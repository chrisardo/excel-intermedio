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christian(programas no borrar)\Grupo diaz\Formato 1.4\"/>
    </mc:Choice>
  </mc:AlternateContent>
  <xr:revisionPtr revIDLastSave="0" documentId="13_ncr:1_{CE717F68-EA4F-4B52-9D03-16F127E57022}" xr6:coauthVersionLast="47" xr6:coauthVersionMax="47" xr10:uidLastSave="{00000000-0000-0000-0000-000000000000}"/>
  <bookViews>
    <workbookView xWindow="3000" yWindow="0" windowWidth="18690" windowHeight="15600" tabRatio="793" activeTab="4" xr2:uid="{00000000-000D-0000-FFFF-FFFF00000000}"/>
  </bookViews>
  <sheets>
    <sheet name="Lista precios 2" sheetId="8" r:id="rId1"/>
    <sheet name="DATA PRODUCTOS" sheetId="14" r:id="rId2"/>
    <sheet name="stock 2" sheetId="9" r:id="rId3"/>
    <sheet name="transito" sheetId="16" r:id="rId4"/>
    <sheet name="DATA CLIENTES" sheetId="7" r:id="rId5"/>
    <sheet name="DATA COBRANZA" sheetId="13" r:id="rId6"/>
    <sheet name="PROYECCION DE VENTAS_ORIGINAL" sheetId="3" r:id="rId7"/>
    <sheet name="REGISTRO DE VISITAS" sheetId="4" r:id="rId8"/>
    <sheet name="REGISTRO COBRANZA" sheetId="12" r:id="rId9"/>
    <sheet name="PROYECCION DE VENTAS_ORIGIN (2)" sheetId="15" r:id="rId10"/>
  </sheets>
  <externalReferences>
    <externalReference r:id="rId11"/>
  </externalReferences>
  <definedNames>
    <definedName name="_xlnm.Print_Area" localSheetId="9">'PROYECCION DE VENTAS_ORIGIN (2)'!$A$1:$L$57</definedName>
    <definedName name="_xlnm.Print_Area" localSheetId="6">'PROYECCION DE VENTAS_ORIGINAL'!$A$1:$L$57</definedName>
    <definedName name="_xlnm.Print_Area" localSheetId="7">'REGISTRO DE VISITAS'!$A$1:$I$6</definedName>
    <definedName name="once">[1]DATOS!$A:$W</definedName>
  </definedNames>
  <calcPr calcId="191029"/>
</workbook>
</file>

<file path=xl/calcChain.xml><?xml version="1.0" encoding="utf-8"?>
<calcChain xmlns="http://schemas.openxmlformats.org/spreadsheetml/2006/main">
  <c r="E51" i="15" l="1"/>
  <c r="D51" i="15"/>
  <c r="C51" i="15"/>
  <c r="E50" i="15"/>
  <c r="G50" i="15" s="1"/>
  <c r="D50" i="15"/>
  <c r="C50" i="15"/>
  <c r="E49" i="15"/>
  <c r="D49" i="15"/>
  <c r="C49" i="15"/>
  <c r="E48" i="15"/>
  <c r="D48" i="15"/>
  <c r="C48" i="15"/>
  <c r="E47" i="15"/>
  <c r="G47" i="15" s="1"/>
  <c r="D47" i="15"/>
  <c r="C47" i="15"/>
  <c r="E46" i="15"/>
  <c r="D46" i="15"/>
  <c r="C46" i="15"/>
  <c r="E45" i="15"/>
  <c r="D45" i="15"/>
  <c r="C45" i="15"/>
  <c r="E44" i="15"/>
  <c r="D44" i="15"/>
  <c r="C44" i="15"/>
  <c r="E43" i="15"/>
  <c r="D43" i="15"/>
  <c r="C43" i="15"/>
  <c r="E42" i="15"/>
  <c r="G42" i="15" s="1"/>
  <c r="D42" i="15"/>
  <c r="C42" i="15"/>
  <c r="E41" i="15"/>
  <c r="D41" i="15"/>
  <c r="C41" i="15"/>
  <c r="E40" i="15"/>
  <c r="D40" i="15"/>
  <c r="C40" i="15"/>
  <c r="E39" i="15"/>
  <c r="G39" i="15" s="1"/>
  <c r="D39" i="15"/>
  <c r="C39" i="15"/>
  <c r="E38" i="15"/>
  <c r="G38" i="15" s="1"/>
  <c r="J38" i="15" s="1"/>
  <c r="D38" i="15"/>
  <c r="C38" i="15"/>
  <c r="E37" i="15"/>
  <c r="D37" i="15"/>
  <c r="C37" i="15"/>
  <c r="E36" i="15"/>
  <c r="D36" i="15"/>
  <c r="C36" i="15"/>
  <c r="E35" i="15"/>
  <c r="D35" i="15"/>
  <c r="C35" i="15"/>
  <c r="E34" i="15"/>
  <c r="G34" i="15" s="1"/>
  <c r="D34" i="15"/>
  <c r="C34" i="15"/>
  <c r="E33" i="15"/>
  <c r="D33" i="15"/>
  <c r="C33" i="15"/>
  <c r="E32" i="15"/>
  <c r="D32" i="15"/>
  <c r="C32" i="15"/>
  <c r="E31" i="15"/>
  <c r="G31" i="15" s="1"/>
  <c r="D31" i="15"/>
  <c r="C31" i="15"/>
  <c r="E30" i="15"/>
  <c r="G30" i="15" s="1"/>
  <c r="J30" i="15" s="1"/>
  <c r="D30" i="15"/>
  <c r="C30" i="15"/>
  <c r="E29" i="15"/>
  <c r="D29" i="15"/>
  <c r="C29" i="15"/>
  <c r="E28" i="15"/>
  <c r="G28" i="15" s="1"/>
  <c r="J28" i="15" s="1"/>
  <c r="D28" i="15"/>
  <c r="C28" i="15"/>
  <c r="E27" i="15"/>
  <c r="D27" i="15"/>
  <c r="C27" i="15"/>
  <c r="E26" i="15"/>
  <c r="G26" i="15" s="1"/>
  <c r="D26" i="15"/>
  <c r="C26" i="15"/>
  <c r="E25" i="15"/>
  <c r="D25" i="15"/>
  <c r="C25" i="15"/>
  <c r="E24" i="15"/>
  <c r="D24" i="15"/>
  <c r="C24" i="15"/>
  <c r="E23" i="15"/>
  <c r="G23" i="15" s="1"/>
  <c r="D23" i="15"/>
  <c r="C23" i="15"/>
  <c r="E22" i="15"/>
  <c r="G22" i="15" s="1"/>
  <c r="D22" i="15"/>
  <c r="C22" i="15"/>
  <c r="E21" i="15"/>
  <c r="D21" i="15"/>
  <c r="C21" i="15"/>
  <c r="E20" i="15"/>
  <c r="D20" i="15"/>
  <c r="C20" i="15"/>
  <c r="E19" i="15"/>
  <c r="D19" i="15"/>
  <c r="C19" i="15"/>
  <c r="E18" i="15"/>
  <c r="G18" i="15" s="1"/>
  <c r="D18" i="15"/>
  <c r="C18" i="15"/>
  <c r="E17" i="15"/>
  <c r="D17" i="15"/>
  <c r="C17" i="15"/>
  <c r="E16" i="15"/>
  <c r="G16" i="15" s="1"/>
  <c r="D16" i="15"/>
  <c r="C16" i="15"/>
  <c r="C10" i="15"/>
  <c r="C9" i="15"/>
  <c r="E8" i="15"/>
  <c r="C10" i="3"/>
  <c r="C9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E17" i="3"/>
  <c r="G17" i="3" s="1"/>
  <c r="E18" i="3"/>
  <c r="G18" i="3" s="1"/>
  <c r="E19" i="3"/>
  <c r="G19" i="3" s="1"/>
  <c r="E20" i="3"/>
  <c r="G20" i="3" s="1"/>
  <c r="E21" i="3"/>
  <c r="G21" i="3" s="1"/>
  <c r="E22" i="3"/>
  <c r="G22" i="3" s="1"/>
  <c r="E23" i="3"/>
  <c r="G23" i="3" s="1"/>
  <c r="E24" i="3"/>
  <c r="G24" i="3" s="1"/>
  <c r="E25" i="3"/>
  <c r="G25" i="3" s="1"/>
  <c r="E26" i="3"/>
  <c r="G26" i="3" s="1"/>
  <c r="E27" i="3"/>
  <c r="G27" i="3" s="1"/>
  <c r="E28" i="3"/>
  <c r="G28" i="3" s="1"/>
  <c r="E29" i="3"/>
  <c r="G29" i="3" s="1"/>
  <c r="E30" i="3"/>
  <c r="G30" i="3" s="1"/>
  <c r="E31" i="3"/>
  <c r="G31" i="3" s="1"/>
  <c r="E32" i="3"/>
  <c r="G32" i="3" s="1"/>
  <c r="E33" i="3"/>
  <c r="G33" i="3" s="1"/>
  <c r="H33" i="3" s="1"/>
  <c r="E34" i="3"/>
  <c r="G34" i="3" s="1"/>
  <c r="E35" i="3"/>
  <c r="G35" i="3" s="1"/>
  <c r="E36" i="3"/>
  <c r="G36" i="3" s="1"/>
  <c r="E37" i="3"/>
  <c r="G37" i="3" s="1"/>
  <c r="E38" i="3"/>
  <c r="E39" i="3"/>
  <c r="G39" i="3" s="1"/>
  <c r="E40" i="3"/>
  <c r="G40" i="3" s="1"/>
  <c r="E41" i="3"/>
  <c r="G41" i="3" s="1"/>
  <c r="H41" i="3" s="1"/>
  <c r="E42" i="3"/>
  <c r="G42" i="3" s="1"/>
  <c r="E43" i="3"/>
  <c r="G43" i="3" s="1"/>
  <c r="E44" i="3"/>
  <c r="G44" i="3" s="1"/>
  <c r="E45" i="3"/>
  <c r="G45" i="3" s="1"/>
  <c r="E46" i="3"/>
  <c r="G46" i="3" s="1"/>
  <c r="E47" i="3"/>
  <c r="G47" i="3" s="1"/>
  <c r="E48" i="3"/>
  <c r="G48" i="3" s="1"/>
  <c r="E49" i="3"/>
  <c r="G49" i="3" s="1"/>
  <c r="H49" i="3" s="1"/>
  <c r="E50" i="3"/>
  <c r="G50" i="3" s="1"/>
  <c r="E51" i="3"/>
  <c r="G51" i="3" s="1"/>
  <c r="E16" i="3"/>
  <c r="G16" i="3" s="1"/>
  <c r="D16" i="3"/>
  <c r="C16" i="3"/>
  <c r="G36" i="15" l="1"/>
  <c r="J36" i="15" s="1"/>
  <c r="G46" i="15"/>
  <c r="J46" i="15" s="1"/>
  <c r="G20" i="15"/>
  <c r="J20" i="15" s="1"/>
  <c r="G44" i="15"/>
  <c r="J44" i="15" s="1"/>
  <c r="H28" i="15"/>
  <c r="K28" i="15" s="1"/>
  <c r="J16" i="15"/>
  <c r="H16" i="15"/>
  <c r="K16" i="15" s="1"/>
  <c r="J39" i="15"/>
  <c r="H39" i="15"/>
  <c r="K39" i="15" s="1"/>
  <c r="J23" i="15"/>
  <c r="H23" i="15"/>
  <c r="K23" i="15" s="1"/>
  <c r="J47" i="15"/>
  <c r="H47" i="15"/>
  <c r="K47" i="15" s="1"/>
  <c r="J31" i="15"/>
  <c r="H31" i="15"/>
  <c r="K31" i="15" s="1"/>
  <c r="G17" i="15"/>
  <c r="H18" i="15"/>
  <c r="K18" i="15" s="1"/>
  <c r="G25" i="15"/>
  <c r="H25" i="15" s="1"/>
  <c r="H26" i="15"/>
  <c r="K26" i="15" s="1"/>
  <c r="G33" i="15"/>
  <c r="H33" i="15" s="1"/>
  <c r="H34" i="15"/>
  <c r="K34" i="15" s="1"/>
  <c r="G41" i="15"/>
  <c r="J41" i="15" s="1"/>
  <c r="H42" i="15"/>
  <c r="K42" i="15" s="1"/>
  <c r="G49" i="15"/>
  <c r="H49" i="15" s="1"/>
  <c r="H50" i="15"/>
  <c r="K50" i="15" s="1"/>
  <c r="J22" i="15"/>
  <c r="J18" i="15"/>
  <c r="G24" i="15"/>
  <c r="J26" i="15"/>
  <c r="G32" i="15"/>
  <c r="J34" i="15"/>
  <c r="G40" i="15"/>
  <c r="J42" i="15"/>
  <c r="G48" i="15"/>
  <c r="J48" i="15" s="1"/>
  <c r="J50" i="15"/>
  <c r="G21" i="15"/>
  <c r="H21" i="15" s="1"/>
  <c r="H22" i="15"/>
  <c r="K22" i="15" s="1"/>
  <c r="G29" i="15"/>
  <c r="H29" i="15" s="1"/>
  <c r="H30" i="15"/>
  <c r="K30" i="15" s="1"/>
  <c r="G37" i="15"/>
  <c r="H37" i="15" s="1"/>
  <c r="H38" i="15"/>
  <c r="K38" i="15" s="1"/>
  <c r="G45" i="15"/>
  <c r="H45" i="15" s="1"/>
  <c r="G19" i="15"/>
  <c r="J19" i="15" s="1"/>
  <c r="G27" i="15"/>
  <c r="G35" i="15"/>
  <c r="J35" i="15" s="1"/>
  <c r="G43" i="15"/>
  <c r="G51" i="15"/>
  <c r="J51" i="15" s="1"/>
  <c r="H47" i="3"/>
  <c r="H39" i="3"/>
  <c r="H46" i="3"/>
  <c r="H30" i="3"/>
  <c r="H45" i="3"/>
  <c r="H37" i="3"/>
  <c r="H29" i="3"/>
  <c r="H21" i="3"/>
  <c r="H44" i="3"/>
  <c r="H36" i="3"/>
  <c r="H28" i="3"/>
  <c r="H20" i="3"/>
  <c r="H51" i="3"/>
  <c r="H43" i="3"/>
  <c r="H35" i="3"/>
  <c r="H27" i="3"/>
  <c r="H19" i="3"/>
  <c r="H50" i="3"/>
  <c r="H42" i="3"/>
  <c r="H34" i="3"/>
  <c r="H26" i="3"/>
  <c r="H18" i="3"/>
  <c r="H25" i="3"/>
  <c r="H17" i="3"/>
  <c r="G38" i="3"/>
  <c r="H38" i="3" s="1"/>
  <c r="H23" i="3"/>
  <c r="H22" i="3"/>
  <c r="H48" i="3"/>
  <c r="H40" i="3"/>
  <c r="H32" i="3"/>
  <c r="H31" i="3"/>
  <c r="H24" i="3"/>
  <c r="H44" i="15" l="1"/>
  <c r="K44" i="15" s="1"/>
  <c r="H46" i="15"/>
  <c r="K46" i="15" s="1"/>
  <c r="H20" i="15"/>
  <c r="K20" i="15" s="1"/>
  <c r="J45" i="15"/>
  <c r="H51" i="15"/>
  <c r="K51" i="15" s="1"/>
  <c r="K45" i="15"/>
  <c r="H36" i="15"/>
  <c r="K36" i="15" s="1"/>
  <c r="J40" i="15"/>
  <c r="J24" i="15"/>
  <c r="H24" i="15"/>
  <c r="K24" i="15" s="1"/>
  <c r="J21" i="15"/>
  <c r="H27" i="15"/>
  <c r="K27" i="15" s="1"/>
  <c r="H19" i="15"/>
  <c r="K19" i="15" s="1"/>
  <c r="J37" i="15"/>
  <c r="H48" i="15"/>
  <c r="K48" i="15" s="1"/>
  <c r="H41" i="15"/>
  <c r="K41" i="15" s="1"/>
  <c r="K49" i="15"/>
  <c r="K33" i="15"/>
  <c r="J17" i="15"/>
  <c r="H17" i="15"/>
  <c r="K17" i="15" s="1"/>
  <c r="J49" i="15"/>
  <c r="J43" i="15"/>
  <c r="J27" i="15"/>
  <c r="H35" i="15"/>
  <c r="K35" i="15" s="1"/>
  <c r="K21" i="15"/>
  <c r="H40" i="15"/>
  <c r="K40" i="15" s="1"/>
  <c r="J29" i="15"/>
  <c r="K37" i="15"/>
  <c r="J33" i="15"/>
  <c r="K25" i="15"/>
  <c r="K29" i="15"/>
  <c r="J32" i="15"/>
  <c r="H32" i="15"/>
  <c r="K32" i="15" s="1"/>
  <c r="H43" i="15"/>
  <c r="K43" i="15" s="1"/>
  <c r="J25" i="15"/>
  <c r="AL113" i="13"/>
  <c r="AL114" i="13"/>
  <c r="AL115" i="13"/>
  <c r="AL116" i="13"/>
  <c r="AL117" i="13"/>
  <c r="AL118" i="13"/>
  <c r="AL119" i="13"/>
  <c r="AL120" i="13"/>
  <c r="AL121" i="13"/>
  <c r="AL122" i="13"/>
  <c r="AL123" i="13"/>
  <c r="AL124" i="13"/>
  <c r="AL125" i="13"/>
  <c r="AL126" i="13"/>
  <c r="AL127" i="13"/>
  <c r="AL128" i="13"/>
  <c r="AL129" i="13"/>
  <c r="AL130" i="13"/>
  <c r="AL131" i="13"/>
  <c r="AL132" i="13"/>
  <c r="AL133" i="13"/>
  <c r="AL134" i="13"/>
  <c r="AL135" i="13"/>
  <c r="AL136" i="13"/>
  <c r="AL137" i="13"/>
  <c r="AL138" i="13"/>
  <c r="AL139" i="13"/>
  <c r="AL140" i="13"/>
  <c r="AL141" i="13"/>
  <c r="AL142" i="13"/>
  <c r="AL143" i="13"/>
  <c r="AL144" i="13"/>
  <c r="AL145" i="13"/>
  <c r="AL146" i="13"/>
  <c r="AL147" i="13"/>
  <c r="AL148" i="13"/>
  <c r="AL149" i="13"/>
  <c r="AL150" i="13"/>
  <c r="AL151" i="13"/>
  <c r="AL152" i="13"/>
  <c r="AL153" i="13"/>
  <c r="AL154" i="13"/>
  <c r="AL155" i="13"/>
  <c r="AL156" i="13"/>
  <c r="AL157" i="13"/>
  <c r="AL158" i="13"/>
  <c r="AL159" i="13"/>
  <c r="AL160" i="13"/>
  <c r="AL161" i="13"/>
  <c r="AL162" i="13"/>
  <c r="AL163" i="13"/>
  <c r="AL164" i="13"/>
  <c r="AL165" i="13"/>
  <c r="AL166" i="13"/>
  <c r="AL167" i="13"/>
  <c r="AL168" i="13"/>
  <c r="AL169" i="13"/>
  <c r="AL170" i="13"/>
  <c r="AL171" i="13"/>
  <c r="AL172" i="13"/>
  <c r="AL173" i="13"/>
  <c r="AL174" i="13"/>
  <c r="AL175" i="13"/>
  <c r="AL176" i="13"/>
  <c r="AL177" i="13"/>
  <c r="AL178" i="13"/>
  <c r="AL179" i="13"/>
  <c r="AL180" i="13"/>
  <c r="AL181" i="13"/>
  <c r="AL182" i="13"/>
  <c r="AL183" i="13"/>
  <c r="AL184" i="13"/>
  <c r="AL185" i="13"/>
  <c r="AL186" i="13"/>
  <c r="AL187" i="13"/>
  <c r="AL188" i="13"/>
  <c r="AL189" i="13"/>
  <c r="AL190" i="13"/>
  <c r="AL191" i="13"/>
  <c r="AL192" i="13"/>
  <c r="AL193" i="13"/>
  <c r="AL194" i="13"/>
  <c r="AL195" i="13"/>
  <c r="AL196" i="13"/>
  <c r="AL197" i="13"/>
  <c r="AL198" i="13"/>
  <c r="AL199" i="13"/>
  <c r="AL200" i="13"/>
  <c r="AL201" i="13"/>
  <c r="AL202" i="13"/>
  <c r="AL203" i="13"/>
  <c r="AL204" i="13"/>
  <c r="AL205" i="13"/>
  <c r="AL206" i="13"/>
  <c r="AL207" i="13"/>
  <c r="AL208" i="13"/>
  <c r="AL209" i="13"/>
  <c r="AL210" i="13"/>
  <c r="AL211" i="13"/>
  <c r="AL212" i="13"/>
  <c r="AL213" i="13"/>
  <c r="AL214" i="13"/>
  <c r="AL215" i="13"/>
  <c r="AL216" i="13"/>
  <c r="AL217" i="13"/>
  <c r="AL218" i="13"/>
  <c r="AL219" i="13"/>
  <c r="AL220" i="13"/>
  <c r="AL221" i="13"/>
  <c r="AL222" i="13"/>
  <c r="AL223" i="13"/>
  <c r="AL224" i="13"/>
  <c r="AL225" i="13"/>
  <c r="AL226" i="13"/>
  <c r="AL227" i="13"/>
  <c r="AL228" i="13"/>
  <c r="AL229" i="13"/>
  <c r="AL230" i="13"/>
  <c r="AL231" i="13"/>
  <c r="AL232" i="13"/>
  <c r="AL233" i="13"/>
  <c r="AL234" i="13"/>
  <c r="AL235" i="13"/>
  <c r="AL236" i="13"/>
  <c r="AL237" i="13"/>
  <c r="AL238" i="13"/>
  <c r="AL239" i="13"/>
  <c r="AL240" i="13"/>
  <c r="AL241" i="13"/>
  <c r="AL242" i="13"/>
  <c r="AL243" i="13"/>
  <c r="AL244" i="13"/>
  <c r="AL245" i="13"/>
  <c r="AL246" i="13"/>
  <c r="AL247" i="13"/>
  <c r="AL248" i="13"/>
  <c r="AL249" i="13"/>
  <c r="AL250" i="13"/>
  <c r="AL251" i="13"/>
  <c r="AL252" i="13"/>
  <c r="AL253" i="13"/>
  <c r="AL254" i="13"/>
  <c r="AL255" i="13"/>
  <c r="AL256" i="13"/>
  <c r="AL257" i="13"/>
  <c r="AL258" i="13"/>
  <c r="AL259" i="13"/>
  <c r="AL260" i="13"/>
  <c r="AL261" i="13"/>
  <c r="AL262" i="13"/>
  <c r="AL263" i="13"/>
  <c r="AL264" i="13"/>
  <c r="AL265" i="13"/>
  <c r="AL266" i="13"/>
  <c r="AL267" i="13"/>
  <c r="AL268" i="13"/>
  <c r="AL269" i="13"/>
  <c r="AL270" i="13"/>
  <c r="AL271" i="13"/>
  <c r="AL272" i="13"/>
  <c r="AL273" i="13"/>
  <c r="AL274" i="13"/>
  <c r="AL275" i="13"/>
  <c r="AL276" i="13"/>
  <c r="AL277" i="13"/>
  <c r="AL278" i="13"/>
  <c r="AL279" i="13"/>
  <c r="AL280" i="13"/>
  <c r="AL281" i="13"/>
  <c r="AL282" i="13"/>
  <c r="AL283" i="13"/>
  <c r="AL284" i="13"/>
  <c r="AL285" i="13"/>
  <c r="AL286" i="13"/>
  <c r="AL287" i="13"/>
  <c r="AL288" i="13"/>
  <c r="AL289" i="13"/>
  <c r="AL290" i="13"/>
  <c r="AL291" i="13"/>
  <c r="AL292" i="13"/>
  <c r="AL293" i="13"/>
  <c r="AL294" i="13"/>
  <c r="AL295" i="13"/>
  <c r="AL296" i="13"/>
  <c r="AL297" i="13"/>
  <c r="AL298" i="13"/>
  <c r="AL299" i="13"/>
  <c r="AL300" i="13"/>
  <c r="AL301" i="13"/>
  <c r="AL302" i="13"/>
  <c r="AL303" i="13"/>
  <c r="AL304" i="13"/>
  <c r="AL305" i="13"/>
  <c r="AL306" i="13"/>
  <c r="AL307" i="13"/>
  <c r="AL308" i="13"/>
  <c r="AL309" i="13"/>
  <c r="AL310" i="13"/>
  <c r="AL311" i="13"/>
  <c r="AL312" i="13"/>
  <c r="AL313" i="13"/>
  <c r="AL314" i="13"/>
  <c r="AL315" i="13"/>
  <c r="AL316" i="13"/>
  <c r="AL317" i="13"/>
  <c r="AL318" i="13"/>
  <c r="AL319" i="13"/>
  <c r="AL320" i="13"/>
  <c r="AL321" i="13"/>
  <c r="AL322" i="13"/>
  <c r="AL323" i="13"/>
  <c r="AL324" i="13"/>
  <c r="AL325" i="13"/>
  <c r="AL326" i="13"/>
  <c r="AL327" i="13"/>
  <c r="AL328" i="13"/>
  <c r="AL329" i="13"/>
  <c r="AL330" i="13"/>
  <c r="AL331" i="13"/>
  <c r="AL332" i="13"/>
  <c r="AL333" i="13"/>
  <c r="AL334" i="13"/>
  <c r="AL335" i="13"/>
  <c r="AL336" i="13"/>
  <c r="AL337" i="13"/>
  <c r="AL338" i="13"/>
  <c r="AL339" i="13"/>
  <c r="AL340" i="13"/>
  <c r="AL341" i="13"/>
  <c r="AL342" i="13"/>
  <c r="AL343" i="13"/>
  <c r="AL344" i="13"/>
  <c r="AL345" i="13"/>
  <c r="AL346" i="13"/>
  <c r="AL347" i="13"/>
  <c r="AL348" i="13"/>
  <c r="AL349" i="13"/>
  <c r="AL350" i="13"/>
  <c r="AL351" i="13"/>
  <c r="AL352" i="13"/>
  <c r="AL353" i="13"/>
  <c r="AL354" i="13"/>
  <c r="AL355" i="13"/>
  <c r="AL356" i="13"/>
  <c r="AL357" i="13"/>
  <c r="AL358" i="13"/>
  <c r="AL359" i="13"/>
  <c r="AL360" i="13"/>
  <c r="AL361" i="13"/>
  <c r="AL362" i="13"/>
  <c r="AL363" i="13"/>
  <c r="AL364" i="13"/>
  <c r="AL365" i="13"/>
  <c r="AL366" i="13"/>
  <c r="AL367" i="13"/>
  <c r="AL368" i="13"/>
  <c r="AL369" i="13"/>
  <c r="AL370" i="13"/>
  <c r="AL371" i="13"/>
  <c r="AL372" i="13"/>
  <c r="AL373" i="13"/>
  <c r="AL374" i="13"/>
  <c r="AL375" i="13"/>
  <c r="AL376" i="13"/>
  <c r="AL377" i="13"/>
  <c r="AL378" i="13"/>
  <c r="AL379" i="13"/>
  <c r="AL380" i="13"/>
  <c r="AL381" i="13"/>
  <c r="AL382" i="13"/>
  <c r="AL383" i="13"/>
  <c r="AL384" i="13"/>
  <c r="AL385" i="13"/>
  <c r="AL386" i="13"/>
  <c r="AL387" i="13"/>
  <c r="AL388" i="13"/>
  <c r="AL389" i="13"/>
  <c r="AL390" i="13"/>
  <c r="AL391" i="13"/>
  <c r="AL392" i="13"/>
  <c r="AL393" i="13"/>
  <c r="AL394" i="13"/>
  <c r="AL395" i="13"/>
  <c r="AL396" i="13"/>
  <c r="AL397" i="13"/>
  <c r="AL398" i="13"/>
  <c r="AL399" i="13"/>
  <c r="AL400" i="13"/>
  <c r="AL401" i="13"/>
  <c r="AL402" i="13"/>
  <c r="AL403" i="13"/>
  <c r="AL404" i="13"/>
  <c r="AL405" i="13"/>
  <c r="AL406" i="13"/>
  <c r="AL407" i="13"/>
  <c r="AL408" i="13"/>
  <c r="AL409" i="13"/>
  <c r="AL410" i="13"/>
  <c r="AL411" i="13"/>
  <c r="AL412" i="13"/>
  <c r="AL413" i="13"/>
  <c r="AL414" i="13"/>
  <c r="AL415" i="13"/>
  <c r="AL416" i="13"/>
  <c r="AL417" i="13"/>
  <c r="AL418" i="13"/>
  <c r="AL419" i="13"/>
  <c r="AL420" i="13"/>
  <c r="AL421" i="13"/>
  <c r="AL422" i="13"/>
  <c r="AL423" i="13"/>
  <c r="AL424" i="13"/>
  <c r="AL425" i="13"/>
  <c r="AL426" i="13"/>
  <c r="AL427" i="13"/>
  <c r="AL428" i="13"/>
  <c r="AL429" i="13"/>
  <c r="AL430" i="13"/>
  <c r="AL431" i="13"/>
  <c r="AL432" i="13"/>
  <c r="AL433" i="13"/>
  <c r="AL434" i="13"/>
  <c r="AL435" i="13"/>
  <c r="AL436" i="13"/>
  <c r="AL437" i="13"/>
  <c r="AL438" i="13"/>
  <c r="AL439" i="13"/>
  <c r="AL440" i="13"/>
  <c r="AL441" i="13"/>
  <c r="AL442" i="13"/>
  <c r="AL443" i="13"/>
  <c r="AL444" i="13"/>
  <c r="AL445" i="13"/>
  <c r="AL446" i="13"/>
  <c r="AL447" i="13"/>
  <c r="AL448" i="13"/>
  <c r="AL449" i="13"/>
  <c r="AL450" i="13"/>
  <c r="AL451" i="13"/>
  <c r="AL452" i="13"/>
  <c r="AL453" i="13"/>
  <c r="AL454" i="13"/>
  <c r="AL455" i="13"/>
  <c r="AL456" i="13"/>
  <c r="AL457" i="13"/>
  <c r="AL458" i="13"/>
  <c r="AL459" i="13"/>
  <c r="AL460" i="13"/>
  <c r="AL461" i="13"/>
  <c r="AL462" i="13"/>
  <c r="AL463" i="13"/>
  <c r="AL464" i="13"/>
  <c r="AL465" i="13"/>
  <c r="AL466" i="13"/>
  <c r="AL467" i="13"/>
  <c r="AL468" i="13"/>
  <c r="AL469" i="13"/>
  <c r="AL470" i="13"/>
  <c r="AL471" i="13"/>
  <c r="AL472" i="13"/>
  <c r="AL473" i="13"/>
  <c r="AL474" i="13"/>
  <c r="AL475" i="13"/>
  <c r="AL476" i="13"/>
  <c r="AL477" i="13"/>
  <c r="AL478" i="13"/>
  <c r="AL479" i="13"/>
  <c r="AL480" i="13"/>
  <c r="AL481" i="13"/>
  <c r="AL482" i="13"/>
  <c r="AL483" i="13"/>
  <c r="AL484" i="13"/>
  <c r="AL485" i="13"/>
  <c r="AL486" i="13"/>
  <c r="AL487" i="13"/>
  <c r="AL488" i="13"/>
  <c r="AL489" i="13"/>
  <c r="AL490" i="13"/>
  <c r="AL491" i="13"/>
  <c r="AL492" i="13"/>
  <c r="AL493" i="13"/>
  <c r="AL494" i="13"/>
  <c r="AL495" i="13"/>
  <c r="AL496" i="13"/>
  <c r="AL497" i="13"/>
  <c r="AL498" i="13"/>
  <c r="AL499" i="13"/>
  <c r="AL500" i="13"/>
  <c r="AL501" i="13"/>
  <c r="AL502" i="13"/>
  <c r="AL503" i="13"/>
  <c r="AL504" i="13"/>
  <c r="AL505" i="13"/>
  <c r="AL506" i="13"/>
  <c r="AL507" i="13"/>
  <c r="AL508" i="13"/>
  <c r="AL509" i="13"/>
  <c r="AL510" i="13"/>
  <c r="AL511" i="13"/>
  <c r="AL512" i="13"/>
  <c r="AL513" i="13"/>
  <c r="AL514" i="13"/>
  <c r="AL515" i="13"/>
  <c r="AL516" i="13"/>
  <c r="AL517" i="13"/>
  <c r="AL518" i="13"/>
  <c r="AL519" i="13"/>
  <c r="AL520" i="13"/>
  <c r="AL521" i="13"/>
  <c r="AL522" i="13"/>
  <c r="AL523" i="13"/>
  <c r="AL524" i="13"/>
  <c r="AL525" i="13"/>
  <c r="AL526" i="13"/>
  <c r="AL527" i="13"/>
  <c r="AL528" i="13"/>
  <c r="AL529" i="13"/>
  <c r="AL530" i="13"/>
  <c r="AL531" i="13"/>
  <c r="AL532" i="13"/>
  <c r="AL533" i="13"/>
  <c r="AL534" i="13"/>
  <c r="AL535" i="13"/>
  <c r="AL536" i="13"/>
  <c r="AL537" i="13"/>
  <c r="AL538" i="13"/>
  <c r="AL539" i="13"/>
  <c r="AL540" i="13"/>
  <c r="AL541" i="13"/>
  <c r="AL542" i="13"/>
  <c r="AL543" i="13"/>
  <c r="AL544" i="13"/>
  <c r="AL545" i="13"/>
  <c r="AL546" i="13"/>
  <c r="AL547" i="13"/>
  <c r="AL548" i="13"/>
  <c r="AL549" i="13"/>
  <c r="AL550" i="13"/>
  <c r="AL551" i="13"/>
  <c r="AL552" i="13"/>
  <c r="AL553" i="13"/>
  <c r="AL554" i="13"/>
  <c r="AL555" i="13"/>
  <c r="AL556" i="13"/>
  <c r="AL557" i="13"/>
  <c r="AL558" i="13"/>
  <c r="AL559" i="13"/>
  <c r="AL560" i="13"/>
  <c r="AL561" i="13"/>
  <c r="AL562" i="13"/>
  <c r="AL563" i="13"/>
  <c r="AL564" i="13"/>
  <c r="AL565" i="13"/>
  <c r="AL566" i="13"/>
  <c r="AL567" i="13"/>
  <c r="AL568" i="13"/>
  <c r="AL569" i="13"/>
  <c r="AL570" i="13"/>
  <c r="AL571" i="13"/>
  <c r="AL572" i="13"/>
  <c r="AL573" i="13"/>
  <c r="AL574" i="13"/>
  <c r="AL575" i="13"/>
  <c r="AL576" i="13"/>
  <c r="AL577" i="13"/>
  <c r="AL578" i="13"/>
  <c r="AL579" i="13"/>
  <c r="AL580" i="13"/>
  <c r="AL581" i="13"/>
  <c r="AL582" i="13"/>
  <c r="AL583" i="13"/>
  <c r="AL584" i="13"/>
  <c r="AL585" i="13"/>
  <c r="AL586" i="13"/>
  <c r="AL587" i="13"/>
  <c r="AL588" i="13"/>
  <c r="AL589" i="13"/>
  <c r="AL590" i="13"/>
  <c r="AL591" i="13"/>
  <c r="AL592" i="13"/>
  <c r="AL593" i="13"/>
  <c r="AL594" i="13"/>
  <c r="AL595" i="13"/>
  <c r="AL596" i="13"/>
  <c r="AL597" i="13"/>
  <c r="AL598" i="13"/>
  <c r="AL599" i="13"/>
  <c r="AL600" i="13"/>
  <c r="AL601" i="13"/>
  <c r="AL602" i="13"/>
  <c r="AL603" i="13"/>
  <c r="AL604" i="13"/>
  <c r="AL605" i="13"/>
  <c r="AL606" i="13"/>
  <c r="AL607" i="13"/>
  <c r="AL608" i="13"/>
  <c r="AL609" i="13"/>
  <c r="AL610" i="13"/>
  <c r="AL611" i="13"/>
  <c r="AL612" i="13"/>
  <c r="AL613" i="13"/>
  <c r="AL614" i="13"/>
  <c r="AL615" i="13"/>
  <c r="AL616" i="13"/>
  <c r="AL617" i="13"/>
  <c r="AL618" i="13"/>
  <c r="AL619" i="13"/>
  <c r="AL620" i="13"/>
  <c r="AL621" i="13"/>
  <c r="AL622" i="13"/>
  <c r="AL623" i="13"/>
  <c r="AL624" i="13"/>
  <c r="AL625" i="13"/>
  <c r="AL626" i="13"/>
  <c r="AL627" i="13"/>
  <c r="AL628" i="13"/>
  <c r="AL629" i="13"/>
  <c r="AL630" i="13"/>
  <c r="AL631" i="13"/>
  <c r="AL632" i="13"/>
  <c r="AL633" i="13"/>
  <c r="AL634" i="13"/>
  <c r="AL635" i="13"/>
  <c r="AL636" i="13"/>
  <c r="AL637" i="13"/>
  <c r="AL638" i="13"/>
  <c r="AL639" i="13"/>
  <c r="AL640" i="13"/>
  <c r="AL641" i="13"/>
  <c r="AL642" i="13"/>
  <c r="AL643" i="13"/>
  <c r="AL644" i="13"/>
  <c r="AL645" i="13"/>
  <c r="AL646" i="13"/>
  <c r="AL647" i="13"/>
  <c r="AL648" i="13"/>
  <c r="AL649" i="13"/>
  <c r="AL650" i="13"/>
  <c r="AL651" i="13"/>
  <c r="AL652" i="13"/>
  <c r="AL653" i="13"/>
  <c r="AL654" i="13"/>
  <c r="AL655" i="13"/>
  <c r="AL656" i="13"/>
  <c r="AL657" i="13"/>
  <c r="AL658" i="13"/>
  <c r="AL659" i="13"/>
  <c r="AL660" i="13"/>
  <c r="AL661" i="13"/>
  <c r="AL662" i="13"/>
  <c r="AL663" i="13"/>
  <c r="AL664" i="13"/>
  <c r="AL665" i="13"/>
  <c r="AL666" i="13"/>
  <c r="AL667" i="13"/>
  <c r="AL668" i="13"/>
  <c r="AL669" i="13"/>
  <c r="AL670" i="13"/>
  <c r="AL671" i="13"/>
  <c r="AL672" i="13"/>
  <c r="AL673" i="13"/>
  <c r="AL674" i="13"/>
  <c r="AL675" i="13"/>
  <c r="AL676" i="13"/>
  <c r="AL677" i="13"/>
  <c r="AL678" i="13"/>
  <c r="AL679" i="13"/>
  <c r="AL680" i="13"/>
  <c r="AL681" i="13"/>
  <c r="AL682" i="13"/>
  <c r="AL683" i="13"/>
  <c r="AL684" i="13"/>
  <c r="AL685" i="13"/>
  <c r="AL686" i="13"/>
  <c r="AL687" i="13"/>
  <c r="AL688" i="13"/>
  <c r="AL689" i="13"/>
  <c r="AL690" i="13"/>
  <c r="AL691" i="13"/>
  <c r="AL692" i="13"/>
  <c r="AL693" i="13"/>
  <c r="AL694" i="13"/>
  <c r="AL695" i="13"/>
  <c r="AL696" i="13"/>
  <c r="AL697" i="13"/>
  <c r="AL698" i="13"/>
  <c r="AL699" i="13"/>
  <c r="AL700" i="13"/>
  <c r="AL701" i="13"/>
  <c r="AL702" i="13"/>
  <c r="AL703" i="13"/>
  <c r="AL704" i="13"/>
  <c r="AL705" i="13"/>
  <c r="AL706" i="13"/>
  <c r="AL707" i="13"/>
  <c r="AL708" i="13"/>
  <c r="AL709" i="13"/>
  <c r="AL710" i="13"/>
  <c r="AL711" i="13"/>
  <c r="AL712" i="13"/>
  <c r="AL713" i="13"/>
  <c r="AL714" i="13"/>
  <c r="AL715" i="13"/>
  <c r="AL716" i="13"/>
  <c r="AL717" i="13"/>
  <c r="AL718" i="13"/>
  <c r="AL719" i="13"/>
  <c r="AL720" i="13"/>
  <c r="AL721" i="13"/>
  <c r="AL722" i="13"/>
  <c r="AL723" i="13"/>
  <c r="AL724" i="13"/>
  <c r="AL725" i="13"/>
  <c r="AL726" i="13"/>
  <c r="AL727" i="13"/>
  <c r="AL728" i="13"/>
  <c r="AL729" i="13"/>
  <c r="AL730" i="13"/>
  <c r="AL731" i="13"/>
  <c r="AL732" i="13"/>
  <c r="AL733" i="13"/>
  <c r="AL734" i="13"/>
  <c r="AL735" i="13"/>
  <c r="AL736" i="13"/>
  <c r="AL737" i="13"/>
  <c r="AL738" i="13"/>
  <c r="AL739" i="13"/>
  <c r="AL740" i="13"/>
  <c r="AL741" i="13"/>
  <c r="AL742" i="13"/>
  <c r="AL743" i="13"/>
  <c r="AL744" i="13"/>
  <c r="AL745" i="13"/>
  <c r="AL746" i="13"/>
  <c r="AL747" i="13"/>
  <c r="AL748" i="13"/>
  <c r="AL749" i="13"/>
  <c r="AL750" i="13"/>
  <c r="AL751" i="13"/>
  <c r="AL752" i="13"/>
  <c r="AL753" i="13"/>
  <c r="AL754" i="13"/>
  <c r="AL755" i="13"/>
  <c r="AL756" i="13"/>
  <c r="AL757" i="13"/>
  <c r="AL758" i="13"/>
  <c r="AL759" i="13"/>
  <c r="AL760" i="13"/>
  <c r="AL761" i="13"/>
  <c r="AL762" i="13"/>
  <c r="AL763" i="13"/>
  <c r="AL764" i="13"/>
  <c r="AL765" i="13"/>
  <c r="AL766" i="13"/>
  <c r="AL767" i="13"/>
  <c r="AL768" i="13"/>
  <c r="AL769" i="13"/>
  <c r="AL770" i="13"/>
  <c r="AL771" i="13"/>
  <c r="AL772" i="13"/>
  <c r="AL773" i="13"/>
  <c r="AL774" i="13"/>
  <c r="AL775" i="13"/>
  <c r="AL776" i="13"/>
  <c r="AL777" i="13"/>
  <c r="AL778" i="13"/>
  <c r="AL779" i="13"/>
  <c r="AL780" i="13"/>
  <c r="AL781" i="13"/>
  <c r="AL782" i="13"/>
  <c r="AL783" i="13"/>
  <c r="K52" i="15" l="1"/>
  <c r="H52" i="15"/>
  <c r="T783" i="13"/>
  <c r="U783" i="13" s="1"/>
  <c r="S783" i="13"/>
  <c r="AK783" i="13" s="1"/>
  <c r="P783" i="13"/>
  <c r="O783" i="13"/>
  <c r="N783" i="13"/>
  <c r="T782" i="13"/>
  <c r="U782" i="13" s="1"/>
  <c r="S782" i="13"/>
  <c r="AK782" i="13" s="1"/>
  <c r="P782" i="13"/>
  <c r="O782" i="13"/>
  <c r="N782" i="13"/>
  <c r="T781" i="13"/>
  <c r="U781" i="13" s="1"/>
  <c r="S781" i="13"/>
  <c r="AK781" i="13" s="1"/>
  <c r="P781" i="13"/>
  <c r="O781" i="13"/>
  <c r="N781" i="13"/>
  <c r="T780" i="13"/>
  <c r="U780" i="13" s="1"/>
  <c r="S780" i="13"/>
  <c r="AK780" i="13" s="1"/>
  <c r="P780" i="13"/>
  <c r="O780" i="13"/>
  <c r="N780" i="13"/>
  <c r="T779" i="13"/>
  <c r="U779" i="13" s="1"/>
  <c r="S779" i="13"/>
  <c r="AK779" i="13" s="1"/>
  <c r="P779" i="13"/>
  <c r="O779" i="13"/>
  <c r="N779" i="13"/>
  <c r="T778" i="13"/>
  <c r="U778" i="13" s="1"/>
  <c r="S778" i="13"/>
  <c r="AK778" i="13" s="1"/>
  <c r="P778" i="13"/>
  <c r="O778" i="13"/>
  <c r="N778" i="13"/>
  <c r="T777" i="13"/>
  <c r="U777" i="13" s="1"/>
  <c r="S777" i="13"/>
  <c r="AK777" i="13" s="1"/>
  <c r="P777" i="13"/>
  <c r="O777" i="13"/>
  <c r="N777" i="13"/>
  <c r="T776" i="13"/>
  <c r="U776" i="13" s="1"/>
  <c r="S776" i="13"/>
  <c r="AK776" i="13" s="1"/>
  <c r="P776" i="13"/>
  <c r="O776" i="13"/>
  <c r="N776" i="13"/>
  <c r="T775" i="13"/>
  <c r="U775" i="13" s="1"/>
  <c r="S775" i="13"/>
  <c r="AK775" i="13" s="1"/>
  <c r="P775" i="13"/>
  <c r="O775" i="13"/>
  <c r="N775" i="13"/>
  <c r="T774" i="13"/>
  <c r="U774" i="13" s="1"/>
  <c r="S774" i="13"/>
  <c r="AK774" i="13" s="1"/>
  <c r="P774" i="13"/>
  <c r="O774" i="13"/>
  <c r="N774" i="13"/>
  <c r="T773" i="13"/>
  <c r="U773" i="13" s="1"/>
  <c r="S773" i="13"/>
  <c r="AK773" i="13" s="1"/>
  <c r="P773" i="13"/>
  <c r="O773" i="13"/>
  <c r="N773" i="13"/>
  <c r="T772" i="13"/>
  <c r="U772" i="13" s="1"/>
  <c r="S772" i="13"/>
  <c r="AK772" i="13" s="1"/>
  <c r="P772" i="13"/>
  <c r="O772" i="13"/>
  <c r="N772" i="13"/>
  <c r="T771" i="13"/>
  <c r="U771" i="13" s="1"/>
  <c r="S771" i="13"/>
  <c r="AK771" i="13" s="1"/>
  <c r="P771" i="13"/>
  <c r="O771" i="13"/>
  <c r="N771" i="13"/>
  <c r="T770" i="13"/>
  <c r="U770" i="13" s="1"/>
  <c r="S770" i="13"/>
  <c r="AK770" i="13" s="1"/>
  <c r="P770" i="13"/>
  <c r="O770" i="13"/>
  <c r="N770" i="13"/>
  <c r="T769" i="13"/>
  <c r="U769" i="13" s="1"/>
  <c r="S769" i="13"/>
  <c r="AK769" i="13" s="1"/>
  <c r="P769" i="13"/>
  <c r="O769" i="13"/>
  <c r="N769" i="13"/>
  <c r="T768" i="13"/>
  <c r="U768" i="13" s="1"/>
  <c r="S768" i="13"/>
  <c r="AK768" i="13" s="1"/>
  <c r="P768" i="13"/>
  <c r="O768" i="13"/>
  <c r="N768" i="13"/>
  <c r="T767" i="13"/>
  <c r="U767" i="13" s="1"/>
  <c r="S767" i="13"/>
  <c r="AK767" i="13" s="1"/>
  <c r="P767" i="13"/>
  <c r="O767" i="13"/>
  <c r="N767" i="13"/>
  <c r="T766" i="13"/>
  <c r="U766" i="13" s="1"/>
  <c r="S766" i="13"/>
  <c r="AK766" i="13" s="1"/>
  <c r="P766" i="13"/>
  <c r="O766" i="13"/>
  <c r="N766" i="13"/>
  <c r="T765" i="13"/>
  <c r="U765" i="13" s="1"/>
  <c r="S765" i="13"/>
  <c r="AK765" i="13" s="1"/>
  <c r="P765" i="13"/>
  <c r="O765" i="13"/>
  <c r="I765" i="13"/>
  <c r="N765" i="13" s="1"/>
  <c r="T764" i="13"/>
  <c r="U764" i="13" s="1"/>
  <c r="S764" i="13"/>
  <c r="AK764" i="13" s="1"/>
  <c r="P764" i="13"/>
  <c r="O764" i="13"/>
  <c r="I764" i="13"/>
  <c r="N764" i="13" s="1"/>
  <c r="T763" i="13"/>
  <c r="U763" i="13" s="1"/>
  <c r="S763" i="13"/>
  <c r="AK763" i="13" s="1"/>
  <c r="P763" i="13"/>
  <c r="O763" i="13"/>
  <c r="I763" i="13"/>
  <c r="N763" i="13" s="1"/>
  <c r="T762" i="13"/>
  <c r="U762" i="13" s="1"/>
  <c r="S762" i="13"/>
  <c r="AK762" i="13" s="1"/>
  <c r="P762" i="13"/>
  <c r="O762" i="13"/>
  <c r="I762" i="13"/>
  <c r="N762" i="13" s="1"/>
  <c r="T761" i="13"/>
  <c r="U761" i="13" s="1"/>
  <c r="S761" i="13"/>
  <c r="AK761" i="13" s="1"/>
  <c r="P761" i="13"/>
  <c r="O761" i="13"/>
  <c r="I761" i="13"/>
  <c r="N761" i="13" s="1"/>
  <c r="T760" i="13"/>
  <c r="U760" i="13" s="1"/>
  <c r="S760" i="13"/>
  <c r="AK760" i="13" s="1"/>
  <c r="P760" i="13"/>
  <c r="O760" i="13"/>
  <c r="N760" i="13"/>
  <c r="T759" i="13"/>
  <c r="U759" i="13" s="1"/>
  <c r="S759" i="13"/>
  <c r="AK759" i="13" s="1"/>
  <c r="P759" i="13"/>
  <c r="O759" i="13"/>
  <c r="N759" i="13"/>
  <c r="T758" i="13"/>
  <c r="U758" i="13" s="1"/>
  <c r="S758" i="13"/>
  <c r="AK758" i="13" s="1"/>
  <c r="P758" i="13"/>
  <c r="O758" i="13"/>
  <c r="N758" i="13"/>
  <c r="T757" i="13"/>
  <c r="U757" i="13" s="1"/>
  <c r="S757" i="13"/>
  <c r="AK757" i="13" s="1"/>
  <c r="P757" i="13"/>
  <c r="O757" i="13"/>
  <c r="N757" i="13"/>
  <c r="T756" i="13"/>
  <c r="U756" i="13" s="1"/>
  <c r="S756" i="13"/>
  <c r="AK756" i="13" s="1"/>
  <c r="P756" i="13"/>
  <c r="O756" i="13"/>
  <c r="N756" i="13"/>
  <c r="T755" i="13"/>
  <c r="U755" i="13" s="1"/>
  <c r="S755" i="13"/>
  <c r="AK755" i="13" s="1"/>
  <c r="P755" i="13"/>
  <c r="O755" i="13"/>
  <c r="N755" i="13"/>
  <c r="T754" i="13"/>
  <c r="U754" i="13" s="1"/>
  <c r="S754" i="13"/>
  <c r="AK754" i="13" s="1"/>
  <c r="P754" i="13"/>
  <c r="O754" i="13"/>
  <c r="N754" i="13"/>
  <c r="T753" i="13"/>
  <c r="U753" i="13" s="1"/>
  <c r="S753" i="13"/>
  <c r="AK753" i="13" s="1"/>
  <c r="P753" i="13"/>
  <c r="O753" i="13"/>
  <c r="N753" i="13"/>
  <c r="T752" i="13"/>
  <c r="U752" i="13" s="1"/>
  <c r="S752" i="13"/>
  <c r="AK752" i="13" s="1"/>
  <c r="P752" i="13"/>
  <c r="O752" i="13"/>
  <c r="J752" i="13"/>
  <c r="N752" i="13" s="1"/>
  <c r="T751" i="13"/>
  <c r="U751" i="13" s="1"/>
  <c r="S751" i="13"/>
  <c r="AK751" i="13" s="1"/>
  <c r="P751" i="13"/>
  <c r="O751" i="13"/>
  <c r="N751" i="13"/>
  <c r="T750" i="13"/>
  <c r="U750" i="13" s="1"/>
  <c r="S750" i="13"/>
  <c r="AK750" i="13" s="1"/>
  <c r="P750" i="13"/>
  <c r="O750" i="13"/>
  <c r="N750" i="13"/>
  <c r="T749" i="13"/>
  <c r="U749" i="13" s="1"/>
  <c r="S749" i="13"/>
  <c r="AK749" i="13" s="1"/>
  <c r="P749" i="13"/>
  <c r="O749" i="13"/>
  <c r="I749" i="13"/>
  <c r="N749" i="13" s="1"/>
  <c r="T748" i="13"/>
  <c r="U748" i="13" s="1"/>
  <c r="S748" i="13"/>
  <c r="AK748" i="13" s="1"/>
  <c r="P748" i="13"/>
  <c r="O748" i="13"/>
  <c r="I748" i="13"/>
  <c r="N748" i="13" s="1"/>
  <c r="T747" i="13"/>
  <c r="U747" i="13" s="1"/>
  <c r="S747" i="13"/>
  <c r="AK747" i="13" s="1"/>
  <c r="P747" i="13"/>
  <c r="O747" i="13"/>
  <c r="I747" i="13"/>
  <c r="N747" i="13" s="1"/>
  <c r="T746" i="13"/>
  <c r="U746" i="13" s="1"/>
  <c r="S746" i="13"/>
  <c r="AK746" i="13" s="1"/>
  <c r="P746" i="13"/>
  <c r="O746" i="13"/>
  <c r="J746" i="13"/>
  <c r="I746" i="13"/>
  <c r="T745" i="13"/>
  <c r="U745" i="13" s="1"/>
  <c r="S745" i="13"/>
  <c r="AK745" i="13" s="1"/>
  <c r="P745" i="13"/>
  <c r="O745" i="13"/>
  <c r="I745" i="13"/>
  <c r="N745" i="13" s="1"/>
  <c r="T744" i="13"/>
  <c r="U744" i="13" s="1"/>
  <c r="S744" i="13"/>
  <c r="AK744" i="13" s="1"/>
  <c r="P744" i="13"/>
  <c r="O744" i="13"/>
  <c r="I744" i="13"/>
  <c r="N744" i="13" s="1"/>
  <c r="T743" i="13"/>
  <c r="U743" i="13" s="1"/>
  <c r="S743" i="13"/>
  <c r="AK743" i="13" s="1"/>
  <c r="P743" i="13"/>
  <c r="O743" i="13"/>
  <c r="I743" i="13"/>
  <c r="N743" i="13" s="1"/>
  <c r="T742" i="13"/>
  <c r="U742" i="13" s="1"/>
  <c r="S742" i="13"/>
  <c r="AK742" i="13" s="1"/>
  <c r="P742" i="13"/>
  <c r="O742" i="13"/>
  <c r="N742" i="13"/>
  <c r="T741" i="13"/>
  <c r="U741" i="13" s="1"/>
  <c r="S741" i="13"/>
  <c r="AK741" i="13" s="1"/>
  <c r="P741" i="13"/>
  <c r="O741" i="13"/>
  <c r="N741" i="13"/>
  <c r="T740" i="13"/>
  <c r="U740" i="13" s="1"/>
  <c r="S740" i="13"/>
  <c r="AK740" i="13" s="1"/>
  <c r="P740" i="13"/>
  <c r="O740" i="13"/>
  <c r="N740" i="13"/>
  <c r="T739" i="13"/>
  <c r="U739" i="13" s="1"/>
  <c r="S739" i="13"/>
  <c r="AK739" i="13" s="1"/>
  <c r="P739" i="13"/>
  <c r="O739" i="13"/>
  <c r="N739" i="13"/>
  <c r="T738" i="13"/>
  <c r="U738" i="13" s="1"/>
  <c r="S738" i="13"/>
  <c r="AK738" i="13" s="1"/>
  <c r="P738" i="13"/>
  <c r="O738" i="13"/>
  <c r="N738" i="13"/>
  <c r="T737" i="13"/>
  <c r="U737" i="13" s="1"/>
  <c r="S737" i="13"/>
  <c r="AK737" i="13" s="1"/>
  <c r="P737" i="13"/>
  <c r="O737" i="13"/>
  <c r="N737" i="13"/>
  <c r="T736" i="13"/>
  <c r="U736" i="13" s="1"/>
  <c r="S736" i="13"/>
  <c r="AK736" i="13" s="1"/>
  <c r="P736" i="13"/>
  <c r="O736" i="13"/>
  <c r="N736" i="13"/>
  <c r="T735" i="13"/>
  <c r="U735" i="13" s="1"/>
  <c r="S735" i="13"/>
  <c r="AK735" i="13" s="1"/>
  <c r="P735" i="13"/>
  <c r="O735" i="13"/>
  <c r="J735" i="13"/>
  <c r="N735" i="13" s="1"/>
  <c r="T734" i="13"/>
  <c r="U734" i="13" s="1"/>
  <c r="S734" i="13"/>
  <c r="AK734" i="13" s="1"/>
  <c r="P734" i="13"/>
  <c r="O734" i="13"/>
  <c r="J734" i="13"/>
  <c r="N734" i="13" s="1"/>
  <c r="T733" i="13"/>
  <c r="U733" i="13" s="1"/>
  <c r="S733" i="13"/>
  <c r="AK733" i="13" s="1"/>
  <c r="P733" i="13"/>
  <c r="O733" i="13"/>
  <c r="J733" i="13"/>
  <c r="N733" i="13" s="1"/>
  <c r="T732" i="13"/>
  <c r="U732" i="13" s="1"/>
  <c r="S732" i="13"/>
  <c r="AK732" i="13" s="1"/>
  <c r="P732" i="13"/>
  <c r="O732" i="13"/>
  <c r="I732" i="13"/>
  <c r="N732" i="13" s="1"/>
  <c r="T731" i="13"/>
  <c r="U731" i="13" s="1"/>
  <c r="S731" i="13"/>
  <c r="AK731" i="13" s="1"/>
  <c r="P731" i="13"/>
  <c r="O731" i="13"/>
  <c r="I731" i="13"/>
  <c r="N731" i="13" s="1"/>
  <c r="T730" i="13"/>
  <c r="U730" i="13" s="1"/>
  <c r="S730" i="13"/>
  <c r="AK730" i="13" s="1"/>
  <c r="P730" i="13"/>
  <c r="O730" i="13"/>
  <c r="I730" i="13"/>
  <c r="N730" i="13" s="1"/>
  <c r="T729" i="13"/>
  <c r="U729" i="13" s="1"/>
  <c r="S729" i="13"/>
  <c r="AK729" i="13" s="1"/>
  <c r="P729" i="13"/>
  <c r="O729" i="13"/>
  <c r="J729" i="13"/>
  <c r="I729" i="13"/>
  <c r="T728" i="13"/>
  <c r="U728" i="13" s="1"/>
  <c r="S728" i="13"/>
  <c r="AK728" i="13" s="1"/>
  <c r="P728" i="13"/>
  <c r="O728" i="13"/>
  <c r="J728" i="13"/>
  <c r="N728" i="13" s="1"/>
  <c r="T727" i="13"/>
  <c r="U727" i="13" s="1"/>
  <c r="S727" i="13"/>
  <c r="AK727" i="13" s="1"/>
  <c r="P727" i="13"/>
  <c r="O727" i="13"/>
  <c r="J727" i="13"/>
  <c r="N727" i="13" s="1"/>
  <c r="T726" i="13"/>
  <c r="U726" i="13" s="1"/>
  <c r="S726" i="13"/>
  <c r="AK726" i="13" s="1"/>
  <c r="P726" i="13"/>
  <c r="O726" i="13"/>
  <c r="N726" i="13"/>
  <c r="T725" i="13"/>
  <c r="U725" i="13" s="1"/>
  <c r="S725" i="13"/>
  <c r="AK725" i="13" s="1"/>
  <c r="P725" i="13"/>
  <c r="O725" i="13"/>
  <c r="J725" i="13"/>
  <c r="N725" i="13" s="1"/>
  <c r="T724" i="13"/>
  <c r="U724" i="13" s="1"/>
  <c r="S724" i="13"/>
  <c r="AK724" i="13" s="1"/>
  <c r="P724" i="13"/>
  <c r="O724" i="13"/>
  <c r="I724" i="13"/>
  <c r="N724" i="13" s="1"/>
  <c r="T723" i="13"/>
  <c r="U723" i="13" s="1"/>
  <c r="S723" i="13"/>
  <c r="AK723" i="13" s="1"/>
  <c r="P723" i="13"/>
  <c r="O723" i="13"/>
  <c r="I723" i="13"/>
  <c r="N723" i="13" s="1"/>
  <c r="T722" i="13"/>
  <c r="U722" i="13" s="1"/>
  <c r="S722" i="13"/>
  <c r="AK722" i="13" s="1"/>
  <c r="P722" i="13"/>
  <c r="O722" i="13"/>
  <c r="N722" i="13"/>
  <c r="T721" i="13"/>
  <c r="U721" i="13" s="1"/>
  <c r="S721" i="13"/>
  <c r="AK721" i="13" s="1"/>
  <c r="P721" i="13"/>
  <c r="O721" i="13"/>
  <c r="J721" i="13"/>
  <c r="N721" i="13" s="1"/>
  <c r="T720" i="13"/>
  <c r="U720" i="13" s="1"/>
  <c r="S720" i="13"/>
  <c r="AK720" i="13" s="1"/>
  <c r="P720" i="13"/>
  <c r="O720" i="13"/>
  <c r="N720" i="13"/>
  <c r="T719" i="13"/>
  <c r="U719" i="13" s="1"/>
  <c r="S719" i="13"/>
  <c r="AK719" i="13" s="1"/>
  <c r="P719" i="13"/>
  <c r="O719" i="13"/>
  <c r="I719" i="13"/>
  <c r="N719" i="13" s="1"/>
  <c r="T718" i="13"/>
  <c r="U718" i="13" s="1"/>
  <c r="S718" i="13"/>
  <c r="AK718" i="13" s="1"/>
  <c r="P718" i="13"/>
  <c r="O718" i="13"/>
  <c r="J718" i="13"/>
  <c r="I718" i="13"/>
  <c r="T717" i="13"/>
  <c r="U717" i="13" s="1"/>
  <c r="S717" i="13"/>
  <c r="AK717" i="13" s="1"/>
  <c r="P717" i="13"/>
  <c r="O717" i="13"/>
  <c r="N717" i="13"/>
  <c r="T716" i="13"/>
  <c r="U716" i="13" s="1"/>
  <c r="S716" i="13"/>
  <c r="AK716" i="13" s="1"/>
  <c r="P716" i="13"/>
  <c r="O716" i="13"/>
  <c r="N716" i="13"/>
  <c r="T715" i="13"/>
  <c r="U715" i="13" s="1"/>
  <c r="S715" i="13"/>
  <c r="AK715" i="13" s="1"/>
  <c r="P715" i="13"/>
  <c r="O715" i="13"/>
  <c r="J715" i="13"/>
  <c r="N715" i="13" s="1"/>
  <c r="T714" i="13"/>
  <c r="U714" i="13" s="1"/>
  <c r="S714" i="13"/>
  <c r="AK714" i="13" s="1"/>
  <c r="P714" i="13"/>
  <c r="O714" i="13"/>
  <c r="I714" i="13"/>
  <c r="N714" i="13" s="1"/>
  <c r="T713" i="13"/>
  <c r="U713" i="13" s="1"/>
  <c r="S713" i="13"/>
  <c r="AK713" i="13" s="1"/>
  <c r="P713" i="13"/>
  <c r="O713" i="13"/>
  <c r="I713" i="13"/>
  <c r="N713" i="13" s="1"/>
  <c r="T712" i="13"/>
  <c r="U712" i="13" s="1"/>
  <c r="S712" i="13"/>
  <c r="AK712" i="13" s="1"/>
  <c r="P712" i="13"/>
  <c r="O712" i="13"/>
  <c r="I712" i="13"/>
  <c r="N712" i="13" s="1"/>
  <c r="T711" i="13"/>
  <c r="U711" i="13" s="1"/>
  <c r="S711" i="13"/>
  <c r="AK711" i="13" s="1"/>
  <c r="P711" i="13"/>
  <c r="O711" i="13"/>
  <c r="J711" i="13"/>
  <c r="N711" i="13" s="1"/>
  <c r="T710" i="13"/>
  <c r="U710" i="13" s="1"/>
  <c r="S710" i="13"/>
  <c r="AK710" i="13" s="1"/>
  <c r="P710" i="13"/>
  <c r="O710" i="13"/>
  <c r="J710" i="13"/>
  <c r="N710" i="13" s="1"/>
  <c r="T709" i="13"/>
  <c r="U709" i="13" s="1"/>
  <c r="S709" i="13"/>
  <c r="AK709" i="13" s="1"/>
  <c r="P709" i="13"/>
  <c r="O709" i="13"/>
  <c r="I709" i="13"/>
  <c r="N709" i="13" s="1"/>
  <c r="T708" i="13"/>
  <c r="U708" i="13" s="1"/>
  <c r="S708" i="13"/>
  <c r="AK708" i="13" s="1"/>
  <c r="P708" i="13"/>
  <c r="O708" i="13"/>
  <c r="J708" i="13"/>
  <c r="I708" i="13"/>
  <c r="T707" i="13"/>
  <c r="U707" i="13" s="1"/>
  <c r="S707" i="13"/>
  <c r="AK707" i="13" s="1"/>
  <c r="P707" i="13"/>
  <c r="O707" i="13"/>
  <c r="N707" i="13"/>
  <c r="T706" i="13"/>
  <c r="U706" i="13" s="1"/>
  <c r="S706" i="13"/>
  <c r="AK706" i="13" s="1"/>
  <c r="P706" i="13"/>
  <c r="O706" i="13"/>
  <c r="N706" i="13"/>
  <c r="T705" i="13"/>
  <c r="U705" i="13" s="1"/>
  <c r="S705" i="13"/>
  <c r="AK705" i="13" s="1"/>
  <c r="P705" i="13"/>
  <c r="O705" i="13"/>
  <c r="J705" i="13"/>
  <c r="N705" i="13" s="1"/>
  <c r="T704" i="13"/>
  <c r="U704" i="13" s="1"/>
  <c r="S704" i="13"/>
  <c r="AK704" i="13" s="1"/>
  <c r="P704" i="13"/>
  <c r="O704" i="13"/>
  <c r="N704" i="13"/>
  <c r="T703" i="13"/>
  <c r="U703" i="13" s="1"/>
  <c r="S703" i="13"/>
  <c r="AK703" i="13" s="1"/>
  <c r="P703" i="13"/>
  <c r="O703" i="13"/>
  <c r="J703" i="13"/>
  <c r="N703" i="13" s="1"/>
  <c r="T702" i="13"/>
  <c r="U702" i="13" s="1"/>
  <c r="S702" i="13"/>
  <c r="AK702" i="13" s="1"/>
  <c r="P702" i="13"/>
  <c r="O702" i="13"/>
  <c r="J702" i="13"/>
  <c r="N702" i="13" s="1"/>
  <c r="T701" i="13"/>
  <c r="U701" i="13" s="1"/>
  <c r="S701" i="13"/>
  <c r="AK701" i="13" s="1"/>
  <c r="P701" i="13"/>
  <c r="O701" i="13"/>
  <c r="J701" i="13"/>
  <c r="N701" i="13" s="1"/>
  <c r="T700" i="13"/>
  <c r="U700" i="13" s="1"/>
  <c r="S700" i="13"/>
  <c r="AK700" i="13" s="1"/>
  <c r="P700" i="13"/>
  <c r="O700" i="13"/>
  <c r="J700" i="13"/>
  <c r="N700" i="13" s="1"/>
  <c r="T699" i="13"/>
  <c r="U699" i="13" s="1"/>
  <c r="S699" i="13"/>
  <c r="AK699" i="13" s="1"/>
  <c r="P699" i="13"/>
  <c r="O699" i="13"/>
  <c r="N699" i="13"/>
  <c r="T698" i="13"/>
  <c r="U698" i="13" s="1"/>
  <c r="S698" i="13"/>
  <c r="AK698" i="13" s="1"/>
  <c r="P698" i="13"/>
  <c r="O698" i="13"/>
  <c r="N698" i="13"/>
  <c r="T697" i="13"/>
  <c r="U697" i="13" s="1"/>
  <c r="S697" i="13"/>
  <c r="AK697" i="13" s="1"/>
  <c r="P697" i="13"/>
  <c r="O697" i="13"/>
  <c r="J697" i="13"/>
  <c r="N697" i="13" s="1"/>
  <c r="T696" i="13"/>
  <c r="U696" i="13" s="1"/>
  <c r="S696" i="13"/>
  <c r="AK696" i="13" s="1"/>
  <c r="P696" i="13"/>
  <c r="O696" i="13"/>
  <c r="N696" i="13"/>
  <c r="T695" i="13"/>
  <c r="U695" i="13" s="1"/>
  <c r="S695" i="13"/>
  <c r="AK695" i="13" s="1"/>
  <c r="P695" i="13"/>
  <c r="O695" i="13"/>
  <c r="N695" i="13"/>
  <c r="T694" i="13"/>
  <c r="U694" i="13" s="1"/>
  <c r="S694" i="13"/>
  <c r="AK694" i="13" s="1"/>
  <c r="P694" i="13"/>
  <c r="O694" i="13"/>
  <c r="N694" i="13"/>
  <c r="T693" i="13"/>
  <c r="U693" i="13" s="1"/>
  <c r="S693" i="13"/>
  <c r="AK693" i="13" s="1"/>
  <c r="P693" i="13"/>
  <c r="O693" i="13"/>
  <c r="N693" i="13"/>
  <c r="T692" i="13"/>
  <c r="U692" i="13" s="1"/>
  <c r="S692" i="13"/>
  <c r="AK692" i="13" s="1"/>
  <c r="P692" i="13"/>
  <c r="O692" i="13"/>
  <c r="J692" i="13"/>
  <c r="N692" i="13" s="1"/>
  <c r="T691" i="13"/>
  <c r="U691" i="13" s="1"/>
  <c r="S691" i="13"/>
  <c r="AK691" i="13" s="1"/>
  <c r="P691" i="13"/>
  <c r="O691" i="13"/>
  <c r="J691" i="13"/>
  <c r="N691" i="13" s="1"/>
  <c r="T690" i="13"/>
  <c r="U690" i="13" s="1"/>
  <c r="S690" i="13"/>
  <c r="AK690" i="13" s="1"/>
  <c r="P690" i="13"/>
  <c r="O690" i="13"/>
  <c r="J690" i="13"/>
  <c r="N690" i="13" s="1"/>
  <c r="T689" i="13"/>
  <c r="U689" i="13" s="1"/>
  <c r="S689" i="13"/>
  <c r="AK689" i="13" s="1"/>
  <c r="P689" i="13"/>
  <c r="O689" i="13"/>
  <c r="N689" i="13"/>
  <c r="T688" i="13"/>
  <c r="U688" i="13" s="1"/>
  <c r="S688" i="13"/>
  <c r="AK688" i="13" s="1"/>
  <c r="P688" i="13"/>
  <c r="O688" i="13"/>
  <c r="N688" i="13"/>
  <c r="T687" i="13"/>
  <c r="U687" i="13" s="1"/>
  <c r="S687" i="13"/>
  <c r="AK687" i="13" s="1"/>
  <c r="P687" i="13"/>
  <c r="O687" i="13"/>
  <c r="N687" i="13"/>
  <c r="T686" i="13"/>
  <c r="U686" i="13" s="1"/>
  <c r="S686" i="13"/>
  <c r="AK686" i="13" s="1"/>
  <c r="P686" i="13"/>
  <c r="O686" i="13"/>
  <c r="N686" i="13"/>
  <c r="T685" i="13"/>
  <c r="U685" i="13" s="1"/>
  <c r="S685" i="13"/>
  <c r="AK685" i="13" s="1"/>
  <c r="P685" i="13"/>
  <c r="O685" i="13"/>
  <c r="N685" i="13"/>
  <c r="T684" i="13"/>
  <c r="U684" i="13" s="1"/>
  <c r="S684" i="13"/>
  <c r="AK684" i="13" s="1"/>
  <c r="P684" i="13"/>
  <c r="O684" i="13"/>
  <c r="J684" i="13"/>
  <c r="N684" i="13" s="1"/>
  <c r="T683" i="13"/>
  <c r="U683" i="13" s="1"/>
  <c r="S683" i="13"/>
  <c r="AK683" i="13" s="1"/>
  <c r="P683" i="13"/>
  <c r="O683" i="13"/>
  <c r="J683" i="13"/>
  <c r="N683" i="13" s="1"/>
  <c r="T682" i="13"/>
  <c r="U682" i="13" s="1"/>
  <c r="S682" i="13"/>
  <c r="AK682" i="13" s="1"/>
  <c r="P682" i="13"/>
  <c r="O682" i="13"/>
  <c r="N682" i="13"/>
  <c r="T681" i="13"/>
  <c r="U681" i="13" s="1"/>
  <c r="S681" i="13"/>
  <c r="AK681" i="13" s="1"/>
  <c r="P681" i="13"/>
  <c r="O681" i="13"/>
  <c r="N681" i="13"/>
  <c r="T680" i="13"/>
  <c r="U680" i="13" s="1"/>
  <c r="S680" i="13"/>
  <c r="AK680" i="13" s="1"/>
  <c r="P680" i="13"/>
  <c r="O680" i="13"/>
  <c r="N680" i="13"/>
  <c r="T679" i="13"/>
  <c r="U679" i="13" s="1"/>
  <c r="S679" i="13"/>
  <c r="AK679" i="13" s="1"/>
  <c r="P679" i="13"/>
  <c r="O679" i="13"/>
  <c r="J679" i="13"/>
  <c r="N679" i="13" s="1"/>
  <c r="T678" i="13"/>
  <c r="U678" i="13" s="1"/>
  <c r="S678" i="13"/>
  <c r="AK678" i="13" s="1"/>
  <c r="P678" i="13"/>
  <c r="O678" i="13"/>
  <c r="N678" i="13"/>
  <c r="T677" i="13"/>
  <c r="U677" i="13" s="1"/>
  <c r="S677" i="13"/>
  <c r="AK677" i="13" s="1"/>
  <c r="P677" i="13"/>
  <c r="O677" i="13"/>
  <c r="N677" i="13"/>
  <c r="T676" i="13"/>
  <c r="U676" i="13" s="1"/>
  <c r="S676" i="13"/>
  <c r="AK676" i="13" s="1"/>
  <c r="P676" i="13"/>
  <c r="O676" i="13"/>
  <c r="N676" i="13"/>
  <c r="T675" i="13"/>
  <c r="U675" i="13" s="1"/>
  <c r="S675" i="13"/>
  <c r="AK675" i="13" s="1"/>
  <c r="P675" i="13"/>
  <c r="O675" i="13"/>
  <c r="N675" i="13"/>
  <c r="T674" i="13"/>
  <c r="U674" i="13" s="1"/>
  <c r="S674" i="13"/>
  <c r="AK674" i="13" s="1"/>
  <c r="P674" i="13"/>
  <c r="O674" i="13"/>
  <c r="N674" i="13"/>
  <c r="T673" i="13"/>
  <c r="U673" i="13" s="1"/>
  <c r="S673" i="13"/>
  <c r="AK673" i="13" s="1"/>
  <c r="P673" i="13"/>
  <c r="O673" i="13"/>
  <c r="N673" i="13"/>
  <c r="T672" i="13"/>
  <c r="U672" i="13" s="1"/>
  <c r="S672" i="13"/>
  <c r="AK672" i="13" s="1"/>
  <c r="P672" i="13"/>
  <c r="O672" i="13"/>
  <c r="N672" i="13"/>
  <c r="T671" i="13"/>
  <c r="U671" i="13" s="1"/>
  <c r="S671" i="13"/>
  <c r="AK671" i="13" s="1"/>
  <c r="P671" i="13"/>
  <c r="O671" i="13"/>
  <c r="J671" i="13"/>
  <c r="N671" i="13" s="1"/>
  <c r="T670" i="13"/>
  <c r="U670" i="13" s="1"/>
  <c r="S670" i="13"/>
  <c r="AK670" i="13" s="1"/>
  <c r="P670" i="13"/>
  <c r="O670" i="13"/>
  <c r="N670" i="13"/>
  <c r="T669" i="13"/>
  <c r="U669" i="13" s="1"/>
  <c r="S669" i="13"/>
  <c r="AK669" i="13" s="1"/>
  <c r="P669" i="13"/>
  <c r="O669" i="13"/>
  <c r="N669" i="13"/>
  <c r="T668" i="13"/>
  <c r="U668" i="13" s="1"/>
  <c r="S668" i="13"/>
  <c r="AK668" i="13" s="1"/>
  <c r="P668" i="13"/>
  <c r="O668" i="13"/>
  <c r="N668" i="13"/>
  <c r="T667" i="13"/>
  <c r="U667" i="13" s="1"/>
  <c r="S667" i="13"/>
  <c r="AK667" i="13" s="1"/>
  <c r="P667" i="13"/>
  <c r="O667" i="13"/>
  <c r="N667" i="13"/>
  <c r="T666" i="13"/>
  <c r="U666" i="13" s="1"/>
  <c r="S666" i="13"/>
  <c r="AK666" i="13" s="1"/>
  <c r="P666" i="13"/>
  <c r="O666" i="13"/>
  <c r="J666" i="13"/>
  <c r="N666" i="13" s="1"/>
  <c r="T665" i="13"/>
  <c r="U665" i="13" s="1"/>
  <c r="S665" i="13"/>
  <c r="AK665" i="13" s="1"/>
  <c r="P665" i="13"/>
  <c r="O665" i="13"/>
  <c r="J665" i="13"/>
  <c r="N665" i="13" s="1"/>
  <c r="T664" i="13"/>
  <c r="U664" i="13" s="1"/>
  <c r="S664" i="13"/>
  <c r="AK664" i="13" s="1"/>
  <c r="P664" i="13"/>
  <c r="O664" i="13"/>
  <c r="N664" i="13"/>
  <c r="T663" i="13"/>
  <c r="U663" i="13" s="1"/>
  <c r="S663" i="13"/>
  <c r="AK663" i="13" s="1"/>
  <c r="P663" i="13"/>
  <c r="O663" i="13"/>
  <c r="N663" i="13"/>
  <c r="T662" i="13"/>
  <c r="U662" i="13" s="1"/>
  <c r="S662" i="13"/>
  <c r="AK662" i="13" s="1"/>
  <c r="P662" i="13"/>
  <c r="O662" i="13"/>
  <c r="J662" i="13"/>
  <c r="N662" i="13" s="1"/>
  <c r="T661" i="13"/>
  <c r="U661" i="13" s="1"/>
  <c r="S661" i="13"/>
  <c r="AK661" i="13" s="1"/>
  <c r="P661" i="13"/>
  <c r="O661" i="13"/>
  <c r="J661" i="13"/>
  <c r="N661" i="13" s="1"/>
  <c r="T660" i="13"/>
  <c r="U660" i="13" s="1"/>
  <c r="S660" i="13"/>
  <c r="AK660" i="13" s="1"/>
  <c r="P660" i="13"/>
  <c r="O660" i="13"/>
  <c r="N660" i="13"/>
  <c r="T659" i="13"/>
  <c r="U659" i="13" s="1"/>
  <c r="S659" i="13"/>
  <c r="AK659" i="13" s="1"/>
  <c r="P659" i="13"/>
  <c r="O659" i="13"/>
  <c r="N659" i="13"/>
  <c r="T658" i="13"/>
  <c r="U658" i="13" s="1"/>
  <c r="S658" i="13"/>
  <c r="AK658" i="13" s="1"/>
  <c r="P658" i="13"/>
  <c r="O658" i="13"/>
  <c r="N658" i="13"/>
  <c r="T657" i="13"/>
  <c r="U657" i="13" s="1"/>
  <c r="S657" i="13"/>
  <c r="AK657" i="13" s="1"/>
  <c r="P657" i="13"/>
  <c r="O657" i="13"/>
  <c r="N657" i="13"/>
  <c r="T656" i="13"/>
  <c r="U656" i="13" s="1"/>
  <c r="S656" i="13"/>
  <c r="AK656" i="13" s="1"/>
  <c r="P656" i="13"/>
  <c r="O656" i="13"/>
  <c r="I656" i="13"/>
  <c r="N656" i="13" s="1"/>
  <c r="T655" i="13"/>
  <c r="U655" i="13" s="1"/>
  <c r="S655" i="13"/>
  <c r="AK655" i="13" s="1"/>
  <c r="P655" i="13"/>
  <c r="O655" i="13"/>
  <c r="I655" i="13"/>
  <c r="N655" i="13" s="1"/>
  <c r="T654" i="13"/>
  <c r="U654" i="13" s="1"/>
  <c r="S654" i="13"/>
  <c r="AK654" i="13" s="1"/>
  <c r="P654" i="13"/>
  <c r="O654" i="13"/>
  <c r="J654" i="13"/>
  <c r="I654" i="13"/>
  <c r="T653" i="13"/>
  <c r="U653" i="13" s="1"/>
  <c r="S653" i="13"/>
  <c r="AK653" i="13" s="1"/>
  <c r="P653" i="13"/>
  <c r="O653" i="13"/>
  <c r="N653" i="13"/>
  <c r="T652" i="13"/>
  <c r="U652" i="13" s="1"/>
  <c r="S652" i="13"/>
  <c r="AK652" i="13" s="1"/>
  <c r="P652" i="13"/>
  <c r="O652" i="13"/>
  <c r="N652" i="13"/>
  <c r="T651" i="13"/>
  <c r="U651" i="13" s="1"/>
  <c r="S651" i="13"/>
  <c r="AK651" i="13" s="1"/>
  <c r="P651" i="13"/>
  <c r="O651" i="13"/>
  <c r="N651" i="13"/>
  <c r="T650" i="13"/>
  <c r="U650" i="13" s="1"/>
  <c r="S650" i="13"/>
  <c r="AK650" i="13" s="1"/>
  <c r="P650" i="13"/>
  <c r="O650" i="13"/>
  <c r="J650" i="13"/>
  <c r="N650" i="13" s="1"/>
  <c r="T649" i="13"/>
  <c r="U649" i="13" s="1"/>
  <c r="S649" i="13"/>
  <c r="AK649" i="13" s="1"/>
  <c r="P649" i="13"/>
  <c r="O649" i="13"/>
  <c r="N649" i="13"/>
  <c r="T648" i="13"/>
  <c r="U648" i="13" s="1"/>
  <c r="S648" i="13"/>
  <c r="AK648" i="13" s="1"/>
  <c r="P648" i="13"/>
  <c r="O648" i="13"/>
  <c r="J648" i="13"/>
  <c r="N648" i="13" s="1"/>
  <c r="T647" i="13"/>
  <c r="U647" i="13" s="1"/>
  <c r="S647" i="13"/>
  <c r="AK647" i="13" s="1"/>
  <c r="P647" i="13"/>
  <c r="O647" i="13"/>
  <c r="J647" i="13"/>
  <c r="N647" i="13" s="1"/>
  <c r="T646" i="13"/>
  <c r="U646" i="13" s="1"/>
  <c r="S646" i="13"/>
  <c r="AK646" i="13" s="1"/>
  <c r="P646" i="13"/>
  <c r="O646" i="13"/>
  <c r="N646" i="13"/>
  <c r="T645" i="13"/>
  <c r="U645" i="13" s="1"/>
  <c r="S645" i="13"/>
  <c r="AK645" i="13" s="1"/>
  <c r="P645" i="13"/>
  <c r="O645" i="13"/>
  <c r="J645" i="13"/>
  <c r="N645" i="13" s="1"/>
  <c r="T644" i="13"/>
  <c r="U644" i="13" s="1"/>
  <c r="S644" i="13"/>
  <c r="AK644" i="13" s="1"/>
  <c r="P644" i="13"/>
  <c r="O644" i="13"/>
  <c r="N644" i="13"/>
  <c r="T643" i="13"/>
  <c r="U643" i="13" s="1"/>
  <c r="S643" i="13"/>
  <c r="AK643" i="13" s="1"/>
  <c r="P643" i="13"/>
  <c r="O643" i="13"/>
  <c r="N643" i="13"/>
  <c r="T642" i="13"/>
  <c r="U642" i="13" s="1"/>
  <c r="S642" i="13"/>
  <c r="AK642" i="13" s="1"/>
  <c r="P642" i="13"/>
  <c r="O642" i="13"/>
  <c r="N642" i="13"/>
  <c r="T641" i="13"/>
  <c r="U641" i="13" s="1"/>
  <c r="S641" i="13"/>
  <c r="AK641" i="13" s="1"/>
  <c r="P641" i="13"/>
  <c r="O641" i="13"/>
  <c r="N641" i="13"/>
  <c r="T640" i="13"/>
  <c r="U640" i="13" s="1"/>
  <c r="S640" i="13"/>
  <c r="AK640" i="13" s="1"/>
  <c r="P640" i="13"/>
  <c r="O640" i="13"/>
  <c r="N640" i="13"/>
  <c r="T639" i="13"/>
  <c r="U639" i="13" s="1"/>
  <c r="S639" i="13"/>
  <c r="AK639" i="13" s="1"/>
  <c r="P639" i="13"/>
  <c r="O639" i="13"/>
  <c r="N639" i="13"/>
  <c r="T638" i="13"/>
  <c r="U638" i="13" s="1"/>
  <c r="S638" i="13"/>
  <c r="AK638" i="13" s="1"/>
  <c r="P638" i="13"/>
  <c r="O638" i="13"/>
  <c r="N638" i="13"/>
  <c r="T637" i="13"/>
  <c r="U637" i="13" s="1"/>
  <c r="S637" i="13"/>
  <c r="AK637" i="13" s="1"/>
  <c r="P637" i="13"/>
  <c r="O637" i="13"/>
  <c r="J637" i="13"/>
  <c r="N637" i="13" s="1"/>
  <c r="T636" i="13"/>
  <c r="U636" i="13" s="1"/>
  <c r="S636" i="13"/>
  <c r="AK636" i="13" s="1"/>
  <c r="P636" i="13"/>
  <c r="O636" i="13"/>
  <c r="J636" i="13"/>
  <c r="N636" i="13" s="1"/>
  <c r="T635" i="13"/>
  <c r="U635" i="13" s="1"/>
  <c r="S635" i="13"/>
  <c r="AK635" i="13" s="1"/>
  <c r="P635" i="13"/>
  <c r="O635" i="13"/>
  <c r="J635" i="13"/>
  <c r="N635" i="13" s="1"/>
  <c r="T634" i="13"/>
  <c r="U634" i="13" s="1"/>
  <c r="S634" i="13"/>
  <c r="AK634" i="13" s="1"/>
  <c r="P634" i="13"/>
  <c r="O634" i="13"/>
  <c r="J634" i="13"/>
  <c r="N634" i="13" s="1"/>
  <c r="T633" i="13"/>
  <c r="U633" i="13" s="1"/>
  <c r="S633" i="13"/>
  <c r="AK633" i="13" s="1"/>
  <c r="P633" i="13"/>
  <c r="O633" i="13"/>
  <c r="J633" i="13"/>
  <c r="N633" i="13" s="1"/>
  <c r="T632" i="13"/>
  <c r="U632" i="13" s="1"/>
  <c r="S632" i="13"/>
  <c r="AK632" i="13" s="1"/>
  <c r="P632" i="13"/>
  <c r="O632" i="13"/>
  <c r="N632" i="13"/>
  <c r="T631" i="13"/>
  <c r="U631" i="13" s="1"/>
  <c r="S631" i="13"/>
  <c r="AK631" i="13" s="1"/>
  <c r="P631" i="13"/>
  <c r="O631" i="13"/>
  <c r="J631" i="13"/>
  <c r="N631" i="13" s="1"/>
  <c r="T630" i="13"/>
  <c r="U630" i="13" s="1"/>
  <c r="S630" i="13"/>
  <c r="AK630" i="13" s="1"/>
  <c r="P630" i="13"/>
  <c r="O630" i="13"/>
  <c r="J630" i="13"/>
  <c r="N630" i="13" s="1"/>
  <c r="T629" i="13"/>
  <c r="U629" i="13" s="1"/>
  <c r="S629" i="13"/>
  <c r="AK629" i="13" s="1"/>
  <c r="P629" i="13"/>
  <c r="O629" i="13"/>
  <c r="J629" i="13"/>
  <c r="N629" i="13" s="1"/>
  <c r="T628" i="13"/>
  <c r="U628" i="13" s="1"/>
  <c r="S628" i="13"/>
  <c r="AK628" i="13" s="1"/>
  <c r="P628" i="13"/>
  <c r="O628" i="13"/>
  <c r="J628" i="13"/>
  <c r="N628" i="13" s="1"/>
  <c r="T627" i="13"/>
  <c r="U627" i="13" s="1"/>
  <c r="S627" i="13"/>
  <c r="AK627" i="13" s="1"/>
  <c r="P627" i="13"/>
  <c r="O627" i="13"/>
  <c r="N627" i="13"/>
  <c r="T626" i="13"/>
  <c r="U626" i="13" s="1"/>
  <c r="S626" i="13"/>
  <c r="AK626" i="13" s="1"/>
  <c r="P626" i="13"/>
  <c r="O626" i="13"/>
  <c r="N626" i="13"/>
  <c r="T625" i="13"/>
  <c r="U625" i="13" s="1"/>
  <c r="S625" i="13"/>
  <c r="AK625" i="13" s="1"/>
  <c r="P625" i="13"/>
  <c r="O625" i="13"/>
  <c r="N625" i="13"/>
  <c r="T624" i="13"/>
  <c r="U624" i="13" s="1"/>
  <c r="S624" i="13"/>
  <c r="AK624" i="13" s="1"/>
  <c r="P624" i="13"/>
  <c r="O624" i="13"/>
  <c r="J624" i="13"/>
  <c r="N624" i="13" s="1"/>
  <c r="T623" i="13"/>
  <c r="U623" i="13" s="1"/>
  <c r="S623" i="13"/>
  <c r="AK623" i="13" s="1"/>
  <c r="P623" i="13"/>
  <c r="O623" i="13"/>
  <c r="I623" i="13"/>
  <c r="N623" i="13" s="1"/>
  <c r="T622" i="13"/>
  <c r="U622" i="13" s="1"/>
  <c r="S622" i="13"/>
  <c r="AK622" i="13" s="1"/>
  <c r="P622" i="13"/>
  <c r="O622" i="13"/>
  <c r="I622" i="13"/>
  <c r="N622" i="13" s="1"/>
  <c r="T621" i="13"/>
  <c r="U621" i="13" s="1"/>
  <c r="S621" i="13"/>
  <c r="AK621" i="13" s="1"/>
  <c r="P621" i="13"/>
  <c r="O621" i="13"/>
  <c r="I621" i="13"/>
  <c r="N621" i="13" s="1"/>
  <c r="T620" i="13"/>
  <c r="U620" i="13" s="1"/>
  <c r="S620" i="13"/>
  <c r="AK620" i="13" s="1"/>
  <c r="P620" i="13"/>
  <c r="O620" i="13"/>
  <c r="I620" i="13"/>
  <c r="N620" i="13" s="1"/>
  <c r="T619" i="13"/>
  <c r="U619" i="13" s="1"/>
  <c r="S619" i="13"/>
  <c r="AK619" i="13" s="1"/>
  <c r="P619" i="13"/>
  <c r="O619" i="13"/>
  <c r="I619" i="13"/>
  <c r="N619" i="13" s="1"/>
  <c r="T618" i="13"/>
  <c r="U618" i="13" s="1"/>
  <c r="S618" i="13"/>
  <c r="AK618" i="13" s="1"/>
  <c r="P618" i="13"/>
  <c r="O618" i="13"/>
  <c r="I618" i="13"/>
  <c r="N618" i="13" s="1"/>
  <c r="T617" i="13"/>
  <c r="U617" i="13" s="1"/>
  <c r="S617" i="13"/>
  <c r="AK617" i="13" s="1"/>
  <c r="P617" i="13"/>
  <c r="O617" i="13"/>
  <c r="I617" i="13"/>
  <c r="N617" i="13" s="1"/>
  <c r="T616" i="13"/>
  <c r="U616" i="13" s="1"/>
  <c r="S616" i="13"/>
  <c r="AK616" i="13" s="1"/>
  <c r="P616" i="13"/>
  <c r="O616" i="13"/>
  <c r="J616" i="13"/>
  <c r="I616" i="13"/>
  <c r="T615" i="13"/>
  <c r="U615" i="13" s="1"/>
  <c r="S615" i="13"/>
  <c r="AK615" i="13" s="1"/>
  <c r="P615" i="13"/>
  <c r="O615" i="13"/>
  <c r="N615" i="13"/>
  <c r="T614" i="13"/>
  <c r="U614" i="13" s="1"/>
  <c r="S614" i="13"/>
  <c r="AK614" i="13" s="1"/>
  <c r="P614" i="13"/>
  <c r="O614" i="13"/>
  <c r="J614" i="13"/>
  <c r="N614" i="13" s="1"/>
  <c r="T613" i="13"/>
  <c r="U613" i="13" s="1"/>
  <c r="S613" i="13"/>
  <c r="AK613" i="13" s="1"/>
  <c r="P613" i="13"/>
  <c r="O613" i="13"/>
  <c r="N613" i="13"/>
  <c r="T612" i="13"/>
  <c r="U612" i="13" s="1"/>
  <c r="S612" i="13"/>
  <c r="AK612" i="13" s="1"/>
  <c r="P612" i="13"/>
  <c r="O612" i="13"/>
  <c r="J612" i="13"/>
  <c r="N612" i="13" s="1"/>
  <c r="T611" i="13"/>
  <c r="U611" i="13" s="1"/>
  <c r="S611" i="13"/>
  <c r="AK611" i="13" s="1"/>
  <c r="P611" i="13"/>
  <c r="O611" i="13"/>
  <c r="N611" i="13"/>
  <c r="T610" i="13"/>
  <c r="U610" i="13" s="1"/>
  <c r="S610" i="13"/>
  <c r="AK610" i="13" s="1"/>
  <c r="P610" i="13"/>
  <c r="O610" i="13"/>
  <c r="J610" i="13"/>
  <c r="N610" i="13" s="1"/>
  <c r="T609" i="13"/>
  <c r="U609" i="13" s="1"/>
  <c r="S609" i="13"/>
  <c r="AK609" i="13" s="1"/>
  <c r="P609" i="13"/>
  <c r="O609" i="13"/>
  <c r="J609" i="13"/>
  <c r="N609" i="13" s="1"/>
  <c r="T608" i="13"/>
  <c r="U608" i="13" s="1"/>
  <c r="S608" i="13"/>
  <c r="AK608" i="13" s="1"/>
  <c r="P608" i="13"/>
  <c r="O608" i="13"/>
  <c r="J608" i="13"/>
  <c r="N608" i="13" s="1"/>
  <c r="T607" i="13"/>
  <c r="U607" i="13" s="1"/>
  <c r="S607" i="13"/>
  <c r="AK607" i="13" s="1"/>
  <c r="P607" i="13"/>
  <c r="O607" i="13"/>
  <c r="J607" i="13"/>
  <c r="N607" i="13" s="1"/>
  <c r="T606" i="13"/>
  <c r="U606" i="13" s="1"/>
  <c r="S606" i="13"/>
  <c r="AK606" i="13" s="1"/>
  <c r="P606" i="13"/>
  <c r="O606" i="13"/>
  <c r="J606" i="13"/>
  <c r="N606" i="13" s="1"/>
  <c r="T605" i="13"/>
  <c r="U605" i="13" s="1"/>
  <c r="S605" i="13"/>
  <c r="AK605" i="13" s="1"/>
  <c r="P605" i="13"/>
  <c r="O605" i="13"/>
  <c r="J605" i="13"/>
  <c r="N605" i="13" s="1"/>
  <c r="T604" i="13"/>
  <c r="U604" i="13" s="1"/>
  <c r="S604" i="13"/>
  <c r="AK604" i="13" s="1"/>
  <c r="P604" i="13"/>
  <c r="O604" i="13"/>
  <c r="N604" i="13"/>
  <c r="T603" i="13"/>
  <c r="U603" i="13" s="1"/>
  <c r="S603" i="13"/>
  <c r="AK603" i="13" s="1"/>
  <c r="P603" i="13"/>
  <c r="O603" i="13"/>
  <c r="N603" i="13"/>
  <c r="T602" i="13"/>
  <c r="U602" i="13" s="1"/>
  <c r="S602" i="13"/>
  <c r="AK602" i="13" s="1"/>
  <c r="P602" i="13"/>
  <c r="O602" i="13"/>
  <c r="J602" i="13"/>
  <c r="N602" i="13" s="1"/>
  <c r="T601" i="13"/>
  <c r="U601" i="13" s="1"/>
  <c r="S601" i="13"/>
  <c r="AK601" i="13" s="1"/>
  <c r="P601" i="13"/>
  <c r="O601" i="13"/>
  <c r="J601" i="13"/>
  <c r="N601" i="13" s="1"/>
  <c r="T600" i="13"/>
  <c r="U600" i="13" s="1"/>
  <c r="S600" i="13"/>
  <c r="AK600" i="13" s="1"/>
  <c r="P600" i="13"/>
  <c r="O600" i="13"/>
  <c r="J600" i="13"/>
  <c r="N600" i="13" s="1"/>
  <c r="T599" i="13"/>
  <c r="U599" i="13" s="1"/>
  <c r="S599" i="13"/>
  <c r="AK599" i="13" s="1"/>
  <c r="P599" i="13"/>
  <c r="O599" i="13"/>
  <c r="J599" i="13"/>
  <c r="N599" i="13" s="1"/>
  <c r="T598" i="13"/>
  <c r="U598" i="13" s="1"/>
  <c r="S598" i="13"/>
  <c r="AK598" i="13" s="1"/>
  <c r="P598" i="13"/>
  <c r="O598" i="13"/>
  <c r="N598" i="13"/>
  <c r="T597" i="13"/>
  <c r="U597" i="13" s="1"/>
  <c r="S597" i="13"/>
  <c r="AK597" i="13" s="1"/>
  <c r="P597" i="13"/>
  <c r="O597" i="13"/>
  <c r="J597" i="13"/>
  <c r="N597" i="13" s="1"/>
  <c r="T596" i="13"/>
  <c r="U596" i="13" s="1"/>
  <c r="S596" i="13"/>
  <c r="AK596" i="13" s="1"/>
  <c r="P596" i="13"/>
  <c r="O596" i="13"/>
  <c r="J596" i="13"/>
  <c r="N596" i="13" s="1"/>
  <c r="T595" i="13"/>
  <c r="U595" i="13" s="1"/>
  <c r="S595" i="13"/>
  <c r="AK595" i="13" s="1"/>
  <c r="P595" i="13"/>
  <c r="O595" i="13"/>
  <c r="J595" i="13"/>
  <c r="N595" i="13" s="1"/>
  <c r="T594" i="13"/>
  <c r="U594" i="13" s="1"/>
  <c r="S594" i="13"/>
  <c r="AK594" i="13" s="1"/>
  <c r="P594" i="13"/>
  <c r="O594" i="13"/>
  <c r="J594" i="13"/>
  <c r="N594" i="13" s="1"/>
  <c r="T593" i="13"/>
  <c r="U593" i="13" s="1"/>
  <c r="S593" i="13"/>
  <c r="AK593" i="13" s="1"/>
  <c r="P593" i="13"/>
  <c r="O593" i="13"/>
  <c r="N593" i="13"/>
  <c r="T592" i="13"/>
  <c r="U592" i="13" s="1"/>
  <c r="S592" i="13"/>
  <c r="AK592" i="13" s="1"/>
  <c r="P592" i="13"/>
  <c r="O592" i="13"/>
  <c r="N592" i="13"/>
  <c r="T591" i="13"/>
  <c r="U591" i="13" s="1"/>
  <c r="S591" i="13"/>
  <c r="AK591" i="13" s="1"/>
  <c r="P591" i="13"/>
  <c r="O591" i="13"/>
  <c r="J591" i="13"/>
  <c r="N591" i="13" s="1"/>
  <c r="T590" i="13"/>
  <c r="U590" i="13" s="1"/>
  <c r="S590" i="13"/>
  <c r="AK590" i="13" s="1"/>
  <c r="P590" i="13"/>
  <c r="O590" i="13"/>
  <c r="J590" i="13"/>
  <c r="N590" i="13" s="1"/>
  <c r="T589" i="13"/>
  <c r="U589" i="13" s="1"/>
  <c r="S589" i="13"/>
  <c r="AK589" i="13" s="1"/>
  <c r="P589" i="13"/>
  <c r="O589" i="13"/>
  <c r="N589" i="13"/>
  <c r="T588" i="13"/>
  <c r="U588" i="13" s="1"/>
  <c r="S588" i="13"/>
  <c r="AK588" i="13" s="1"/>
  <c r="P588" i="13"/>
  <c r="O588" i="13"/>
  <c r="N588" i="13"/>
  <c r="T587" i="13"/>
  <c r="U587" i="13" s="1"/>
  <c r="S587" i="13"/>
  <c r="AK587" i="13" s="1"/>
  <c r="P587" i="13"/>
  <c r="O587" i="13"/>
  <c r="N587" i="13"/>
  <c r="T586" i="13"/>
  <c r="U586" i="13" s="1"/>
  <c r="S586" i="13"/>
  <c r="AK586" i="13" s="1"/>
  <c r="P586" i="13"/>
  <c r="O586" i="13"/>
  <c r="N586" i="13"/>
  <c r="T585" i="13"/>
  <c r="U585" i="13" s="1"/>
  <c r="S585" i="13"/>
  <c r="AK585" i="13" s="1"/>
  <c r="P585" i="13"/>
  <c r="O585" i="13"/>
  <c r="J585" i="13"/>
  <c r="N585" i="13" s="1"/>
  <c r="T584" i="13"/>
  <c r="U584" i="13" s="1"/>
  <c r="S584" i="13"/>
  <c r="AK584" i="13" s="1"/>
  <c r="P584" i="13"/>
  <c r="O584" i="13"/>
  <c r="N584" i="13"/>
  <c r="T583" i="13"/>
  <c r="U583" i="13" s="1"/>
  <c r="S583" i="13"/>
  <c r="AK583" i="13" s="1"/>
  <c r="P583" i="13"/>
  <c r="O583" i="13"/>
  <c r="J583" i="13"/>
  <c r="N583" i="13" s="1"/>
  <c r="T582" i="13"/>
  <c r="U582" i="13" s="1"/>
  <c r="S582" i="13"/>
  <c r="AK582" i="13" s="1"/>
  <c r="P582" i="13"/>
  <c r="O582" i="13"/>
  <c r="J582" i="13"/>
  <c r="N582" i="13" s="1"/>
  <c r="T581" i="13"/>
  <c r="U581" i="13" s="1"/>
  <c r="S581" i="13"/>
  <c r="AK581" i="13" s="1"/>
  <c r="P581" i="13"/>
  <c r="O581" i="13"/>
  <c r="N581" i="13"/>
  <c r="T580" i="13"/>
  <c r="U580" i="13" s="1"/>
  <c r="S580" i="13"/>
  <c r="AK580" i="13" s="1"/>
  <c r="P580" i="13"/>
  <c r="O580" i="13"/>
  <c r="N580" i="13"/>
  <c r="T579" i="13"/>
  <c r="U579" i="13" s="1"/>
  <c r="S579" i="13"/>
  <c r="AK579" i="13" s="1"/>
  <c r="P579" i="13"/>
  <c r="O579" i="13"/>
  <c r="N579" i="13"/>
  <c r="T578" i="13"/>
  <c r="U578" i="13" s="1"/>
  <c r="S578" i="13"/>
  <c r="AK578" i="13" s="1"/>
  <c r="P578" i="13"/>
  <c r="O578" i="13"/>
  <c r="N578" i="13"/>
  <c r="T577" i="13"/>
  <c r="U577" i="13" s="1"/>
  <c r="S577" i="13"/>
  <c r="AK577" i="13" s="1"/>
  <c r="P577" i="13"/>
  <c r="O577" i="13"/>
  <c r="J577" i="13"/>
  <c r="N577" i="13" s="1"/>
  <c r="T576" i="13"/>
  <c r="U576" i="13" s="1"/>
  <c r="S576" i="13"/>
  <c r="AK576" i="13" s="1"/>
  <c r="P576" i="13"/>
  <c r="O576" i="13"/>
  <c r="N576" i="13"/>
  <c r="T575" i="13"/>
  <c r="U575" i="13" s="1"/>
  <c r="S575" i="13"/>
  <c r="AK575" i="13" s="1"/>
  <c r="P575" i="13"/>
  <c r="O575" i="13"/>
  <c r="J575" i="13"/>
  <c r="N575" i="13" s="1"/>
  <c r="T574" i="13"/>
  <c r="U574" i="13" s="1"/>
  <c r="S574" i="13"/>
  <c r="AK574" i="13" s="1"/>
  <c r="P574" i="13"/>
  <c r="O574" i="13"/>
  <c r="N574" i="13"/>
  <c r="T573" i="13"/>
  <c r="U573" i="13" s="1"/>
  <c r="S573" i="13"/>
  <c r="AK573" i="13" s="1"/>
  <c r="P573" i="13"/>
  <c r="O573" i="13"/>
  <c r="N573" i="13"/>
  <c r="T572" i="13"/>
  <c r="U572" i="13" s="1"/>
  <c r="S572" i="13"/>
  <c r="AK572" i="13" s="1"/>
  <c r="P572" i="13"/>
  <c r="O572" i="13"/>
  <c r="N572" i="13"/>
  <c r="T571" i="13"/>
  <c r="U571" i="13" s="1"/>
  <c r="S571" i="13"/>
  <c r="AK571" i="13" s="1"/>
  <c r="P571" i="13"/>
  <c r="O571" i="13"/>
  <c r="J571" i="13"/>
  <c r="N571" i="13" s="1"/>
  <c r="T570" i="13"/>
  <c r="U570" i="13" s="1"/>
  <c r="S570" i="13"/>
  <c r="AK570" i="13" s="1"/>
  <c r="P570" i="13"/>
  <c r="O570" i="13"/>
  <c r="N570" i="13"/>
  <c r="T569" i="13"/>
  <c r="U569" i="13" s="1"/>
  <c r="S569" i="13"/>
  <c r="AK569" i="13" s="1"/>
  <c r="P569" i="13"/>
  <c r="O569" i="13"/>
  <c r="N569" i="13"/>
  <c r="T568" i="13"/>
  <c r="U568" i="13" s="1"/>
  <c r="S568" i="13"/>
  <c r="AK568" i="13" s="1"/>
  <c r="P568" i="13"/>
  <c r="O568" i="13"/>
  <c r="N568" i="13"/>
  <c r="T567" i="13"/>
  <c r="U567" i="13" s="1"/>
  <c r="S567" i="13"/>
  <c r="AK567" i="13" s="1"/>
  <c r="P567" i="13"/>
  <c r="O567" i="13"/>
  <c r="N567" i="13"/>
  <c r="T566" i="13"/>
  <c r="U566" i="13" s="1"/>
  <c r="S566" i="13"/>
  <c r="AK566" i="13" s="1"/>
  <c r="P566" i="13"/>
  <c r="O566" i="13"/>
  <c r="N566" i="13"/>
  <c r="T565" i="13"/>
  <c r="U565" i="13" s="1"/>
  <c r="S565" i="13"/>
  <c r="AK565" i="13" s="1"/>
  <c r="P565" i="13"/>
  <c r="O565" i="13"/>
  <c r="N565" i="13"/>
  <c r="T564" i="13"/>
  <c r="U564" i="13" s="1"/>
  <c r="S564" i="13"/>
  <c r="AK564" i="13" s="1"/>
  <c r="P564" i="13"/>
  <c r="O564" i="13"/>
  <c r="J564" i="13"/>
  <c r="N564" i="13" s="1"/>
  <c r="T563" i="13"/>
  <c r="U563" i="13" s="1"/>
  <c r="S563" i="13"/>
  <c r="AK563" i="13" s="1"/>
  <c r="P563" i="13"/>
  <c r="O563" i="13"/>
  <c r="N563" i="13"/>
  <c r="T562" i="13"/>
  <c r="U562" i="13" s="1"/>
  <c r="S562" i="13"/>
  <c r="AK562" i="13" s="1"/>
  <c r="P562" i="13"/>
  <c r="O562" i="13"/>
  <c r="N562" i="13"/>
  <c r="T561" i="13"/>
  <c r="U561" i="13" s="1"/>
  <c r="S561" i="13"/>
  <c r="AK561" i="13" s="1"/>
  <c r="P561" i="13"/>
  <c r="O561" i="13"/>
  <c r="N561" i="13"/>
  <c r="T560" i="13"/>
  <c r="U560" i="13" s="1"/>
  <c r="S560" i="13"/>
  <c r="AK560" i="13" s="1"/>
  <c r="P560" i="13"/>
  <c r="O560" i="13"/>
  <c r="N560" i="13"/>
  <c r="T559" i="13"/>
  <c r="U559" i="13" s="1"/>
  <c r="S559" i="13"/>
  <c r="AK559" i="13" s="1"/>
  <c r="P559" i="13"/>
  <c r="O559" i="13"/>
  <c r="N559" i="13"/>
  <c r="T558" i="13"/>
  <c r="U558" i="13" s="1"/>
  <c r="S558" i="13"/>
  <c r="AK558" i="13" s="1"/>
  <c r="P558" i="13"/>
  <c r="O558" i="13"/>
  <c r="J558" i="13"/>
  <c r="N558" i="13" s="1"/>
  <c r="T557" i="13"/>
  <c r="U557" i="13" s="1"/>
  <c r="S557" i="13"/>
  <c r="AK557" i="13" s="1"/>
  <c r="P557" i="13"/>
  <c r="O557" i="13"/>
  <c r="N557" i="13"/>
  <c r="T556" i="13"/>
  <c r="U556" i="13" s="1"/>
  <c r="S556" i="13"/>
  <c r="AK556" i="13" s="1"/>
  <c r="P556" i="13"/>
  <c r="O556" i="13"/>
  <c r="N556" i="13"/>
  <c r="T555" i="13"/>
  <c r="U555" i="13" s="1"/>
  <c r="S555" i="13"/>
  <c r="AK555" i="13" s="1"/>
  <c r="P555" i="13"/>
  <c r="O555" i="13"/>
  <c r="N555" i="13"/>
  <c r="T554" i="13"/>
  <c r="U554" i="13" s="1"/>
  <c r="S554" i="13"/>
  <c r="AK554" i="13" s="1"/>
  <c r="P554" i="13"/>
  <c r="O554" i="13"/>
  <c r="J554" i="13"/>
  <c r="N554" i="13" s="1"/>
  <c r="T553" i="13"/>
  <c r="U553" i="13" s="1"/>
  <c r="S553" i="13"/>
  <c r="AK553" i="13" s="1"/>
  <c r="P553" i="13"/>
  <c r="O553" i="13"/>
  <c r="J553" i="13"/>
  <c r="N553" i="13" s="1"/>
  <c r="T552" i="13"/>
  <c r="U552" i="13" s="1"/>
  <c r="S552" i="13"/>
  <c r="AK552" i="13" s="1"/>
  <c r="P552" i="13"/>
  <c r="O552" i="13"/>
  <c r="J552" i="13"/>
  <c r="N552" i="13" s="1"/>
  <c r="T551" i="13"/>
  <c r="U551" i="13" s="1"/>
  <c r="S551" i="13"/>
  <c r="AK551" i="13" s="1"/>
  <c r="P551" i="13"/>
  <c r="O551" i="13"/>
  <c r="J551" i="13"/>
  <c r="N551" i="13" s="1"/>
  <c r="T550" i="13"/>
  <c r="U550" i="13" s="1"/>
  <c r="S550" i="13"/>
  <c r="AK550" i="13" s="1"/>
  <c r="P550" i="13"/>
  <c r="O550" i="13"/>
  <c r="J550" i="13"/>
  <c r="N550" i="13" s="1"/>
  <c r="T549" i="13"/>
  <c r="U549" i="13" s="1"/>
  <c r="S549" i="13"/>
  <c r="AK549" i="13" s="1"/>
  <c r="P549" i="13"/>
  <c r="O549" i="13"/>
  <c r="N549" i="13"/>
  <c r="T548" i="13"/>
  <c r="U548" i="13" s="1"/>
  <c r="S548" i="13"/>
  <c r="AK548" i="13" s="1"/>
  <c r="P548" i="13"/>
  <c r="O548" i="13"/>
  <c r="N548" i="13"/>
  <c r="T547" i="13"/>
  <c r="U547" i="13" s="1"/>
  <c r="S547" i="13"/>
  <c r="AK547" i="13" s="1"/>
  <c r="P547" i="13"/>
  <c r="O547" i="13"/>
  <c r="J547" i="13"/>
  <c r="N547" i="13" s="1"/>
  <c r="T546" i="13"/>
  <c r="U546" i="13" s="1"/>
  <c r="S546" i="13"/>
  <c r="AK546" i="13" s="1"/>
  <c r="P546" i="13"/>
  <c r="O546" i="13"/>
  <c r="J546" i="13"/>
  <c r="N546" i="13" s="1"/>
  <c r="T545" i="13"/>
  <c r="U545" i="13" s="1"/>
  <c r="S545" i="13"/>
  <c r="AK545" i="13" s="1"/>
  <c r="P545" i="13"/>
  <c r="O545" i="13"/>
  <c r="J545" i="13"/>
  <c r="N545" i="13" s="1"/>
  <c r="T544" i="13"/>
  <c r="U544" i="13" s="1"/>
  <c r="S544" i="13"/>
  <c r="AK544" i="13" s="1"/>
  <c r="P544" i="13"/>
  <c r="O544" i="13"/>
  <c r="J544" i="13"/>
  <c r="N544" i="13" s="1"/>
  <c r="T543" i="13"/>
  <c r="U543" i="13" s="1"/>
  <c r="S543" i="13"/>
  <c r="AK543" i="13" s="1"/>
  <c r="P543" i="13"/>
  <c r="O543" i="13"/>
  <c r="J543" i="13"/>
  <c r="N543" i="13" s="1"/>
  <c r="T542" i="13"/>
  <c r="U542" i="13" s="1"/>
  <c r="S542" i="13"/>
  <c r="AK542" i="13" s="1"/>
  <c r="P542" i="13"/>
  <c r="O542" i="13"/>
  <c r="N542" i="13"/>
  <c r="T541" i="13"/>
  <c r="U541" i="13" s="1"/>
  <c r="S541" i="13"/>
  <c r="AK541" i="13" s="1"/>
  <c r="P541" i="13"/>
  <c r="O541" i="13"/>
  <c r="N541" i="13"/>
  <c r="T540" i="13"/>
  <c r="U540" i="13" s="1"/>
  <c r="S540" i="13"/>
  <c r="AK540" i="13" s="1"/>
  <c r="P540" i="13"/>
  <c r="O540" i="13"/>
  <c r="N540" i="13"/>
  <c r="T539" i="13"/>
  <c r="U539" i="13" s="1"/>
  <c r="S539" i="13"/>
  <c r="AK539" i="13" s="1"/>
  <c r="P539" i="13"/>
  <c r="O539" i="13"/>
  <c r="N539" i="13"/>
  <c r="T538" i="13"/>
  <c r="U538" i="13" s="1"/>
  <c r="S538" i="13"/>
  <c r="AK538" i="13" s="1"/>
  <c r="P538" i="13"/>
  <c r="O538" i="13"/>
  <c r="N538" i="13"/>
  <c r="T537" i="13"/>
  <c r="U537" i="13" s="1"/>
  <c r="S537" i="13"/>
  <c r="AK537" i="13" s="1"/>
  <c r="P537" i="13"/>
  <c r="O537" i="13"/>
  <c r="N537" i="13"/>
  <c r="T536" i="13"/>
  <c r="U536" i="13" s="1"/>
  <c r="S536" i="13"/>
  <c r="AK536" i="13" s="1"/>
  <c r="P536" i="13"/>
  <c r="O536" i="13"/>
  <c r="J536" i="13"/>
  <c r="N536" i="13" s="1"/>
  <c r="T535" i="13"/>
  <c r="U535" i="13" s="1"/>
  <c r="S535" i="13"/>
  <c r="AK535" i="13" s="1"/>
  <c r="P535" i="13"/>
  <c r="O535" i="13"/>
  <c r="J535" i="13"/>
  <c r="N535" i="13" s="1"/>
  <c r="T534" i="13"/>
  <c r="U534" i="13" s="1"/>
  <c r="S534" i="13"/>
  <c r="AK534" i="13" s="1"/>
  <c r="P534" i="13"/>
  <c r="O534" i="13"/>
  <c r="N534" i="13"/>
  <c r="T533" i="13"/>
  <c r="U533" i="13" s="1"/>
  <c r="S533" i="13"/>
  <c r="AK533" i="13" s="1"/>
  <c r="P533" i="13"/>
  <c r="O533" i="13"/>
  <c r="N533" i="13"/>
  <c r="T532" i="13"/>
  <c r="U532" i="13" s="1"/>
  <c r="S532" i="13"/>
  <c r="AK532" i="13" s="1"/>
  <c r="P532" i="13"/>
  <c r="O532" i="13"/>
  <c r="J532" i="13"/>
  <c r="N532" i="13" s="1"/>
  <c r="T531" i="13"/>
  <c r="U531" i="13" s="1"/>
  <c r="S531" i="13"/>
  <c r="AK531" i="13" s="1"/>
  <c r="P531" i="13"/>
  <c r="O531" i="13"/>
  <c r="J531" i="13"/>
  <c r="N531" i="13" s="1"/>
  <c r="T530" i="13"/>
  <c r="U530" i="13" s="1"/>
  <c r="S530" i="13"/>
  <c r="AK530" i="13" s="1"/>
  <c r="P530" i="13"/>
  <c r="O530" i="13"/>
  <c r="J530" i="13"/>
  <c r="N530" i="13" s="1"/>
  <c r="T529" i="13"/>
  <c r="U529" i="13" s="1"/>
  <c r="S529" i="13"/>
  <c r="AK529" i="13" s="1"/>
  <c r="P529" i="13"/>
  <c r="O529" i="13"/>
  <c r="N529" i="13"/>
  <c r="T528" i="13"/>
  <c r="U528" i="13" s="1"/>
  <c r="S528" i="13"/>
  <c r="AK528" i="13" s="1"/>
  <c r="P528" i="13"/>
  <c r="O528" i="13"/>
  <c r="N528" i="13"/>
  <c r="T527" i="13"/>
  <c r="U527" i="13" s="1"/>
  <c r="S527" i="13"/>
  <c r="AK527" i="13" s="1"/>
  <c r="P527" i="13"/>
  <c r="O527" i="13"/>
  <c r="J527" i="13"/>
  <c r="N527" i="13" s="1"/>
  <c r="T526" i="13"/>
  <c r="U526" i="13" s="1"/>
  <c r="S526" i="13"/>
  <c r="AK526" i="13" s="1"/>
  <c r="P526" i="13"/>
  <c r="O526" i="13"/>
  <c r="N526" i="13"/>
  <c r="T525" i="13"/>
  <c r="U525" i="13" s="1"/>
  <c r="S525" i="13"/>
  <c r="AK525" i="13" s="1"/>
  <c r="P525" i="13"/>
  <c r="O525" i="13"/>
  <c r="J525" i="13"/>
  <c r="N525" i="13" s="1"/>
  <c r="T524" i="13"/>
  <c r="U524" i="13" s="1"/>
  <c r="S524" i="13"/>
  <c r="AK524" i="13" s="1"/>
  <c r="P524" i="13"/>
  <c r="O524" i="13"/>
  <c r="N524" i="13"/>
  <c r="T523" i="13"/>
  <c r="U523" i="13" s="1"/>
  <c r="S523" i="13"/>
  <c r="AK523" i="13" s="1"/>
  <c r="P523" i="13"/>
  <c r="O523" i="13"/>
  <c r="J523" i="13"/>
  <c r="N523" i="13" s="1"/>
  <c r="T522" i="13"/>
  <c r="U522" i="13" s="1"/>
  <c r="S522" i="13"/>
  <c r="AK522" i="13" s="1"/>
  <c r="P522" i="13"/>
  <c r="O522" i="13"/>
  <c r="J522" i="13"/>
  <c r="N522" i="13" s="1"/>
  <c r="T521" i="13"/>
  <c r="U521" i="13" s="1"/>
  <c r="S521" i="13"/>
  <c r="AK521" i="13" s="1"/>
  <c r="P521" i="13"/>
  <c r="O521" i="13"/>
  <c r="N521" i="13"/>
  <c r="T520" i="13"/>
  <c r="U520" i="13" s="1"/>
  <c r="S520" i="13"/>
  <c r="AK520" i="13" s="1"/>
  <c r="P520" i="13"/>
  <c r="O520" i="13"/>
  <c r="J520" i="13"/>
  <c r="N520" i="13" s="1"/>
  <c r="T519" i="13"/>
  <c r="U519" i="13" s="1"/>
  <c r="S519" i="13"/>
  <c r="AK519" i="13" s="1"/>
  <c r="P519" i="13"/>
  <c r="O519" i="13"/>
  <c r="N519" i="13"/>
  <c r="T518" i="13"/>
  <c r="U518" i="13" s="1"/>
  <c r="S518" i="13"/>
  <c r="AK518" i="13" s="1"/>
  <c r="P518" i="13"/>
  <c r="O518" i="13"/>
  <c r="J518" i="13"/>
  <c r="N518" i="13" s="1"/>
  <c r="T517" i="13"/>
  <c r="U517" i="13" s="1"/>
  <c r="S517" i="13"/>
  <c r="AK517" i="13" s="1"/>
  <c r="P517" i="13"/>
  <c r="O517" i="13"/>
  <c r="N517" i="13"/>
  <c r="T516" i="13"/>
  <c r="U516" i="13" s="1"/>
  <c r="S516" i="13"/>
  <c r="AK516" i="13" s="1"/>
  <c r="P516" i="13"/>
  <c r="O516" i="13"/>
  <c r="J516" i="13"/>
  <c r="N516" i="13" s="1"/>
  <c r="T515" i="13"/>
  <c r="U515" i="13" s="1"/>
  <c r="S515" i="13"/>
  <c r="AK515" i="13" s="1"/>
  <c r="P515" i="13"/>
  <c r="O515" i="13"/>
  <c r="N515" i="13"/>
  <c r="T514" i="13"/>
  <c r="U514" i="13" s="1"/>
  <c r="S514" i="13"/>
  <c r="AK514" i="13" s="1"/>
  <c r="P514" i="13"/>
  <c r="O514" i="13"/>
  <c r="J514" i="13"/>
  <c r="N514" i="13" s="1"/>
  <c r="T513" i="13"/>
  <c r="U513" i="13" s="1"/>
  <c r="S513" i="13"/>
  <c r="AK513" i="13" s="1"/>
  <c r="P513" i="13"/>
  <c r="O513" i="13"/>
  <c r="N513" i="13"/>
  <c r="T512" i="13"/>
  <c r="U512" i="13" s="1"/>
  <c r="S512" i="13"/>
  <c r="AK512" i="13" s="1"/>
  <c r="P512" i="13"/>
  <c r="O512" i="13"/>
  <c r="N512" i="13"/>
  <c r="T511" i="13"/>
  <c r="U511" i="13" s="1"/>
  <c r="S511" i="13"/>
  <c r="AK511" i="13" s="1"/>
  <c r="P511" i="13"/>
  <c r="O511" i="13"/>
  <c r="N511" i="13"/>
  <c r="T510" i="13"/>
  <c r="U510" i="13" s="1"/>
  <c r="S510" i="13"/>
  <c r="AK510" i="13" s="1"/>
  <c r="P510" i="13"/>
  <c r="O510" i="13"/>
  <c r="N510" i="13"/>
  <c r="T509" i="13"/>
  <c r="U509" i="13" s="1"/>
  <c r="S509" i="13"/>
  <c r="AK509" i="13" s="1"/>
  <c r="P509" i="13"/>
  <c r="O509" i="13"/>
  <c r="J509" i="13"/>
  <c r="N509" i="13" s="1"/>
  <c r="T508" i="13"/>
  <c r="U508" i="13" s="1"/>
  <c r="S508" i="13"/>
  <c r="AK508" i="13" s="1"/>
  <c r="P508" i="13"/>
  <c r="O508" i="13"/>
  <c r="N508" i="13"/>
  <c r="T507" i="13"/>
  <c r="U507" i="13" s="1"/>
  <c r="S507" i="13"/>
  <c r="AK507" i="13" s="1"/>
  <c r="P507" i="13"/>
  <c r="O507" i="13"/>
  <c r="J507" i="13"/>
  <c r="N507" i="13" s="1"/>
  <c r="T506" i="13"/>
  <c r="U506" i="13" s="1"/>
  <c r="S506" i="13"/>
  <c r="AK506" i="13" s="1"/>
  <c r="P506" i="13"/>
  <c r="O506" i="13"/>
  <c r="N506" i="13"/>
  <c r="T505" i="13"/>
  <c r="U505" i="13" s="1"/>
  <c r="S505" i="13"/>
  <c r="AK505" i="13" s="1"/>
  <c r="P505" i="13"/>
  <c r="O505" i="13"/>
  <c r="J505" i="13"/>
  <c r="N505" i="13" s="1"/>
  <c r="T504" i="13"/>
  <c r="U504" i="13" s="1"/>
  <c r="S504" i="13"/>
  <c r="AK504" i="13" s="1"/>
  <c r="P504" i="13"/>
  <c r="O504" i="13"/>
  <c r="N504" i="13"/>
  <c r="T503" i="13"/>
  <c r="U503" i="13" s="1"/>
  <c r="S503" i="13"/>
  <c r="AK503" i="13" s="1"/>
  <c r="P503" i="13"/>
  <c r="O503" i="13"/>
  <c r="J503" i="13"/>
  <c r="N503" i="13" s="1"/>
  <c r="T502" i="13"/>
  <c r="U502" i="13" s="1"/>
  <c r="S502" i="13"/>
  <c r="AK502" i="13" s="1"/>
  <c r="P502" i="13"/>
  <c r="O502" i="13"/>
  <c r="N502" i="13"/>
  <c r="T501" i="13"/>
  <c r="U501" i="13" s="1"/>
  <c r="S501" i="13"/>
  <c r="AK501" i="13" s="1"/>
  <c r="P501" i="13"/>
  <c r="O501" i="13"/>
  <c r="J501" i="13"/>
  <c r="N501" i="13" s="1"/>
  <c r="T500" i="13"/>
  <c r="U500" i="13" s="1"/>
  <c r="S500" i="13"/>
  <c r="AK500" i="13" s="1"/>
  <c r="P500" i="13"/>
  <c r="O500" i="13"/>
  <c r="J500" i="13"/>
  <c r="N500" i="13" s="1"/>
  <c r="T499" i="13"/>
  <c r="U499" i="13" s="1"/>
  <c r="S499" i="13"/>
  <c r="AK499" i="13" s="1"/>
  <c r="P499" i="13"/>
  <c r="O499" i="13"/>
  <c r="N499" i="13"/>
  <c r="T498" i="13"/>
  <c r="U498" i="13" s="1"/>
  <c r="S498" i="13"/>
  <c r="AK498" i="13" s="1"/>
  <c r="P498" i="13"/>
  <c r="O498" i="13"/>
  <c r="N498" i="13"/>
  <c r="T497" i="13"/>
  <c r="U497" i="13" s="1"/>
  <c r="S497" i="13"/>
  <c r="AK497" i="13" s="1"/>
  <c r="P497" i="13"/>
  <c r="O497" i="13"/>
  <c r="N497" i="13"/>
  <c r="T496" i="13"/>
  <c r="U496" i="13" s="1"/>
  <c r="S496" i="13"/>
  <c r="AK496" i="13" s="1"/>
  <c r="P496" i="13"/>
  <c r="O496" i="13"/>
  <c r="N496" i="13"/>
  <c r="T495" i="13"/>
  <c r="U495" i="13" s="1"/>
  <c r="S495" i="13"/>
  <c r="AK495" i="13" s="1"/>
  <c r="P495" i="13"/>
  <c r="O495" i="13"/>
  <c r="N495" i="13"/>
  <c r="T494" i="13"/>
  <c r="U494" i="13" s="1"/>
  <c r="S494" i="13"/>
  <c r="AK494" i="13" s="1"/>
  <c r="P494" i="13"/>
  <c r="O494" i="13"/>
  <c r="N494" i="13"/>
  <c r="T493" i="13"/>
  <c r="U493" i="13" s="1"/>
  <c r="S493" i="13"/>
  <c r="AK493" i="13" s="1"/>
  <c r="P493" i="13"/>
  <c r="O493" i="13"/>
  <c r="N493" i="13"/>
  <c r="T492" i="13"/>
  <c r="U492" i="13" s="1"/>
  <c r="S492" i="13"/>
  <c r="AK492" i="13" s="1"/>
  <c r="P492" i="13"/>
  <c r="O492" i="13"/>
  <c r="N492" i="13"/>
  <c r="T491" i="13"/>
  <c r="U491" i="13" s="1"/>
  <c r="S491" i="13"/>
  <c r="AK491" i="13" s="1"/>
  <c r="P491" i="13"/>
  <c r="O491" i="13"/>
  <c r="J491" i="13"/>
  <c r="N491" i="13" s="1"/>
  <c r="T490" i="13"/>
  <c r="U490" i="13" s="1"/>
  <c r="S490" i="13"/>
  <c r="AK490" i="13" s="1"/>
  <c r="P490" i="13"/>
  <c r="O490" i="13"/>
  <c r="J490" i="13"/>
  <c r="N490" i="13" s="1"/>
  <c r="T489" i="13"/>
  <c r="U489" i="13" s="1"/>
  <c r="S489" i="13"/>
  <c r="AK489" i="13" s="1"/>
  <c r="P489" i="13"/>
  <c r="O489" i="13"/>
  <c r="J489" i="13"/>
  <c r="N489" i="13" s="1"/>
  <c r="T488" i="13"/>
  <c r="U488" i="13" s="1"/>
  <c r="S488" i="13"/>
  <c r="AK488" i="13" s="1"/>
  <c r="P488" i="13"/>
  <c r="O488" i="13"/>
  <c r="N488" i="13"/>
  <c r="T487" i="13"/>
  <c r="U487" i="13" s="1"/>
  <c r="S487" i="13"/>
  <c r="AK487" i="13" s="1"/>
  <c r="P487" i="13"/>
  <c r="O487" i="13"/>
  <c r="J487" i="13"/>
  <c r="N487" i="13" s="1"/>
  <c r="T486" i="13"/>
  <c r="U486" i="13" s="1"/>
  <c r="S486" i="13"/>
  <c r="AK486" i="13" s="1"/>
  <c r="P486" i="13"/>
  <c r="O486" i="13"/>
  <c r="N486" i="13"/>
  <c r="T485" i="13"/>
  <c r="U485" i="13" s="1"/>
  <c r="S485" i="13"/>
  <c r="AK485" i="13" s="1"/>
  <c r="P485" i="13"/>
  <c r="O485" i="13"/>
  <c r="N485" i="13"/>
  <c r="T484" i="13"/>
  <c r="U484" i="13" s="1"/>
  <c r="S484" i="13"/>
  <c r="AK484" i="13" s="1"/>
  <c r="P484" i="13"/>
  <c r="O484" i="13"/>
  <c r="J484" i="13"/>
  <c r="N484" i="13" s="1"/>
  <c r="T483" i="13"/>
  <c r="U483" i="13" s="1"/>
  <c r="S483" i="13"/>
  <c r="AK483" i="13" s="1"/>
  <c r="P483" i="13"/>
  <c r="O483" i="13"/>
  <c r="J483" i="13"/>
  <c r="N483" i="13" s="1"/>
  <c r="T482" i="13"/>
  <c r="U482" i="13" s="1"/>
  <c r="S482" i="13"/>
  <c r="AK482" i="13" s="1"/>
  <c r="P482" i="13"/>
  <c r="O482" i="13"/>
  <c r="N482" i="13"/>
  <c r="T481" i="13"/>
  <c r="U481" i="13" s="1"/>
  <c r="S481" i="13"/>
  <c r="AK481" i="13" s="1"/>
  <c r="P481" i="13"/>
  <c r="O481" i="13"/>
  <c r="J481" i="13"/>
  <c r="N481" i="13" s="1"/>
  <c r="T480" i="13"/>
  <c r="U480" i="13" s="1"/>
  <c r="S480" i="13"/>
  <c r="AK480" i="13" s="1"/>
  <c r="P480" i="13"/>
  <c r="O480" i="13"/>
  <c r="N480" i="13"/>
  <c r="T479" i="13"/>
  <c r="U479" i="13" s="1"/>
  <c r="S479" i="13"/>
  <c r="AK479" i="13" s="1"/>
  <c r="P479" i="13"/>
  <c r="O479" i="13"/>
  <c r="J479" i="13"/>
  <c r="N479" i="13" s="1"/>
  <c r="T478" i="13"/>
  <c r="U478" i="13" s="1"/>
  <c r="S478" i="13"/>
  <c r="AK478" i="13" s="1"/>
  <c r="P478" i="13"/>
  <c r="O478" i="13"/>
  <c r="J478" i="13"/>
  <c r="N478" i="13" s="1"/>
  <c r="T477" i="13"/>
  <c r="U477" i="13" s="1"/>
  <c r="S477" i="13"/>
  <c r="AK477" i="13" s="1"/>
  <c r="P477" i="13"/>
  <c r="O477" i="13"/>
  <c r="N477" i="13"/>
  <c r="T476" i="13"/>
  <c r="U476" i="13" s="1"/>
  <c r="S476" i="13"/>
  <c r="AK476" i="13" s="1"/>
  <c r="P476" i="13"/>
  <c r="O476" i="13"/>
  <c r="N476" i="13"/>
  <c r="T475" i="13"/>
  <c r="U475" i="13" s="1"/>
  <c r="S475" i="13"/>
  <c r="AK475" i="13" s="1"/>
  <c r="P475" i="13"/>
  <c r="O475" i="13"/>
  <c r="J475" i="13"/>
  <c r="N475" i="13" s="1"/>
  <c r="T474" i="13"/>
  <c r="U474" i="13" s="1"/>
  <c r="S474" i="13"/>
  <c r="AK474" i="13" s="1"/>
  <c r="P474" i="13"/>
  <c r="O474" i="13"/>
  <c r="N474" i="13"/>
  <c r="T473" i="13"/>
  <c r="U473" i="13" s="1"/>
  <c r="S473" i="13"/>
  <c r="AK473" i="13" s="1"/>
  <c r="P473" i="13"/>
  <c r="O473" i="13"/>
  <c r="J473" i="13"/>
  <c r="N473" i="13" s="1"/>
  <c r="T472" i="13"/>
  <c r="U472" i="13" s="1"/>
  <c r="S472" i="13"/>
  <c r="AK472" i="13" s="1"/>
  <c r="P472" i="13"/>
  <c r="O472" i="13"/>
  <c r="N472" i="13"/>
  <c r="T471" i="13"/>
  <c r="U471" i="13" s="1"/>
  <c r="S471" i="13"/>
  <c r="AK471" i="13" s="1"/>
  <c r="P471" i="13"/>
  <c r="O471" i="13"/>
  <c r="N471" i="13"/>
  <c r="T470" i="13"/>
  <c r="U470" i="13" s="1"/>
  <c r="S470" i="13"/>
  <c r="AK470" i="13" s="1"/>
  <c r="P470" i="13"/>
  <c r="O470" i="13"/>
  <c r="J470" i="13"/>
  <c r="N470" i="13" s="1"/>
  <c r="T469" i="13"/>
  <c r="U469" i="13" s="1"/>
  <c r="S469" i="13"/>
  <c r="AK469" i="13" s="1"/>
  <c r="P469" i="13"/>
  <c r="O469" i="13"/>
  <c r="J469" i="13"/>
  <c r="N469" i="13" s="1"/>
  <c r="T468" i="13"/>
  <c r="U468" i="13" s="1"/>
  <c r="S468" i="13"/>
  <c r="AK468" i="13" s="1"/>
  <c r="P468" i="13"/>
  <c r="O468" i="13"/>
  <c r="N468" i="13"/>
  <c r="T467" i="13"/>
  <c r="U467" i="13" s="1"/>
  <c r="S467" i="13"/>
  <c r="AK467" i="13" s="1"/>
  <c r="P467" i="13"/>
  <c r="O467" i="13"/>
  <c r="J467" i="13"/>
  <c r="N467" i="13" s="1"/>
  <c r="T466" i="13"/>
  <c r="U466" i="13" s="1"/>
  <c r="S466" i="13"/>
  <c r="AK466" i="13" s="1"/>
  <c r="P466" i="13"/>
  <c r="O466" i="13"/>
  <c r="J466" i="13"/>
  <c r="N466" i="13" s="1"/>
  <c r="T465" i="13"/>
  <c r="U465" i="13" s="1"/>
  <c r="S465" i="13"/>
  <c r="AK465" i="13" s="1"/>
  <c r="P465" i="13"/>
  <c r="O465" i="13"/>
  <c r="J465" i="13"/>
  <c r="N465" i="13" s="1"/>
  <c r="T464" i="13"/>
  <c r="U464" i="13" s="1"/>
  <c r="S464" i="13"/>
  <c r="AK464" i="13" s="1"/>
  <c r="P464" i="13"/>
  <c r="O464" i="13"/>
  <c r="J464" i="13"/>
  <c r="N464" i="13" s="1"/>
  <c r="T463" i="13"/>
  <c r="U463" i="13" s="1"/>
  <c r="S463" i="13"/>
  <c r="AK463" i="13" s="1"/>
  <c r="P463" i="13"/>
  <c r="O463" i="13"/>
  <c r="N463" i="13"/>
  <c r="T462" i="13"/>
  <c r="U462" i="13" s="1"/>
  <c r="S462" i="13"/>
  <c r="AK462" i="13" s="1"/>
  <c r="P462" i="13"/>
  <c r="O462" i="13"/>
  <c r="N462" i="13"/>
  <c r="T461" i="13"/>
  <c r="U461" i="13" s="1"/>
  <c r="S461" i="13"/>
  <c r="AK461" i="13" s="1"/>
  <c r="P461" i="13"/>
  <c r="O461" i="13"/>
  <c r="J461" i="13"/>
  <c r="N461" i="13" s="1"/>
  <c r="T460" i="13"/>
  <c r="U460" i="13" s="1"/>
  <c r="S460" i="13"/>
  <c r="AK460" i="13" s="1"/>
  <c r="P460" i="13"/>
  <c r="O460" i="13"/>
  <c r="N460" i="13"/>
  <c r="T459" i="13"/>
  <c r="U459" i="13" s="1"/>
  <c r="S459" i="13"/>
  <c r="AK459" i="13" s="1"/>
  <c r="P459" i="13"/>
  <c r="O459" i="13"/>
  <c r="J459" i="13"/>
  <c r="N459" i="13" s="1"/>
  <c r="T458" i="13"/>
  <c r="U458" i="13" s="1"/>
  <c r="S458" i="13"/>
  <c r="AK458" i="13" s="1"/>
  <c r="P458" i="13"/>
  <c r="O458" i="13"/>
  <c r="N458" i="13"/>
  <c r="T457" i="13"/>
  <c r="U457" i="13" s="1"/>
  <c r="S457" i="13"/>
  <c r="AK457" i="13" s="1"/>
  <c r="P457" i="13"/>
  <c r="O457" i="13"/>
  <c r="N457" i="13"/>
  <c r="T456" i="13"/>
  <c r="U456" i="13" s="1"/>
  <c r="S456" i="13"/>
  <c r="AK456" i="13" s="1"/>
  <c r="P456" i="13"/>
  <c r="O456" i="13"/>
  <c r="N456" i="13"/>
  <c r="T455" i="13"/>
  <c r="U455" i="13" s="1"/>
  <c r="S455" i="13"/>
  <c r="AK455" i="13" s="1"/>
  <c r="P455" i="13"/>
  <c r="O455" i="13"/>
  <c r="N455" i="13"/>
  <c r="T454" i="13"/>
  <c r="U454" i="13" s="1"/>
  <c r="S454" i="13"/>
  <c r="AK454" i="13" s="1"/>
  <c r="P454" i="13"/>
  <c r="O454" i="13"/>
  <c r="J454" i="13"/>
  <c r="N454" i="13" s="1"/>
  <c r="T453" i="13"/>
  <c r="U453" i="13" s="1"/>
  <c r="S453" i="13"/>
  <c r="AK453" i="13" s="1"/>
  <c r="P453" i="13"/>
  <c r="O453" i="13"/>
  <c r="J453" i="13"/>
  <c r="N453" i="13" s="1"/>
  <c r="T452" i="13"/>
  <c r="U452" i="13" s="1"/>
  <c r="S452" i="13"/>
  <c r="AK452" i="13" s="1"/>
  <c r="P452" i="13"/>
  <c r="O452" i="13"/>
  <c r="N452" i="13"/>
  <c r="T451" i="13"/>
  <c r="U451" i="13" s="1"/>
  <c r="S451" i="13"/>
  <c r="AK451" i="13" s="1"/>
  <c r="P451" i="13"/>
  <c r="O451" i="13"/>
  <c r="N451" i="13"/>
  <c r="T450" i="13"/>
  <c r="U450" i="13" s="1"/>
  <c r="S450" i="13"/>
  <c r="AK450" i="13" s="1"/>
  <c r="P450" i="13"/>
  <c r="O450" i="13"/>
  <c r="J450" i="13"/>
  <c r="N450" i="13" s="1"/>
  <c r="T449" i="13"/>
  <c r="U449" i="13" s="1"/>
  <c r="S449" i="13"/>
  <c r="AK449" i="13" s="1"/>
  <c r="P449" i="13"/>
  <c r="O449" i="13"/>
  <c r="N449" i="13"/>
  <c r="T448" i="13"/>
  <c r="U448" i="13" s="1"/>
  <c r="S448" i="13"/>
  <c r="AK448" i="13" s="1"/>
  <c r="P448" i="13"/>
  <c r="O448" i="13"/>
  <c r="N448" i="13"/>
  <c r="T447" i="13"/>
  <c r="U447" i="13" s="1"/>
  <c r="S447" i="13"/>
  <c r="AK447" i="13" s="1"/>
  <c r="P447" i="13"/>
  <c r="O447" i="13"/>
  <c r="N447" i="13"/>
  <c r="T446" i="13"/>
  <c r="U446" i="13" s="1"/>
  <c r="S446" i="13"/>
  <c r="AK446" i="13" s="1"/>
  <c r="P446" i="13"/>
  <c r="O446" i="13"/>
  <c r="N446" i="13"/>
  <c r="T445" i="13"/>
  <c r="U445" i="13" s="1"/>
  <c r="S445" i="13"/>
  <c r="AK445" i="13" s="1"/>
  <c r="P445" i="13"/>
  <c r="O445" i="13"/>
  <c r="J445" i="13"/>
  <c r="N445" i="13" s="1"/>
  <c r="T444" i="13"/>
  <c r="U444" i="13" s="1"/>
  <c r="S444" i="13"/>
  <c r="AK444" i="13" s="1"/>
  <c r="P444" i="13"/>
  <c r="O444" i="13"/>
  <c r="J444" i="13"/>
  <c r="N444" i="13" s="1"/>
  <c r="T443" i="13"/>
  <c r="U443" i="13" s="1"/>
  <c r="S443" i="13"/>
  <c r="AK443" i="13" s="1"/>
  <c r="P443" i="13"/>
  <c r="O443" i="13"/>
  <c r="N443" i="13"/>
  <c r="T442" i="13"/>
  <c r="U442" i="13" s="1"/>
  <c r="S442" i="13"/>
  <c r="AK442" i="13" s="1"/>
  <c r="P442" i="13"/>
  <c r="O442" i="13"/>
  <c r="J442" i="13"/>
  <c r="N442" i="13" s="1"/>
  <c r="T441" i="13"/>
  <c r="U441" i="13" s="1"/>
  <c r="S441" i="13"/>
  <c r="AK441" i="13" s="1"/>
  <c r="P441" i="13"/>
  <c r="O441" i="13"/>
  <c r="J441" i="13"/>
  <c r="N441" i="13" s="1"/>
  <c r="T440" i="13"/>
  <c r="U440" i="13" s="1"/>
  <c r="S440" i="13"/>
  <c r="AK440" i="13" s="1"/>
  <c r="P440" i="13"/>
  <c r="O440" i="13"/>
  <c r="N440" i="13"/>
  <c r="T439" i="13"/>
  <c r="U439" i="13" s="1"/>
  <c r="S439" i="13"/>
  <c r="AK439" i="13" s="1"/>
  <c r="P439" i="13"/>
  <c r="O439" i="13"/>
  <c r="N439" i="13"/>
  <c r="T438" i="13"/>
  <c r="U438" i="13" s="1"/>
  <c r="S438" i="13"/>
  <c r="AK438" i="13" s="1"/>
  <c r="P438" i="13"/>
  <c r="O438" i="13"/>
  <c r="J438" i="13"/>
  <c r="N438" i="13" s="1"/>
  <c r="T437" i="13"/>
  <c r="U437" i="13" s="1"/>
  <c r="S437" i="13"/>
  <c r="AK437" i="13" s="1"/>
  <c r="P437" i="13"/>
  <c r="O437" i="13"/>
  <c r="J437" i="13"/>
  <c r="N437" i="13" s="1"/>
  <c r="T436" i="13"/>
  <c r="U436" i="13" s="1"/>
  <c r="S436" i="13"/>
  <c r="AK436" i="13" s="1"/>
  <c r="P436" i="13"/>
  <c r="O436" i="13"/>
  <c r="J436" i="13"/>
  <c r="N436" i="13" s="1"/>
  <c r="T435" i="13"/>
  <c r="U435" i="13" s="1"/>
  <c r="S435" i="13"/>
  <c r="AK435" i="13" s="1"/>
  <c r="P435" i="13"/>
  <c r="O435" i="13"/>
  <c r="J435" i="13"/>
  <c r="N435" i="13" s="1"/>
  <c r="T434" i="13"/>
  <c r="U434" i="13" s="1"/>
  <c r="S434" i="13"/>
  <c r="AK434" i="13" s="1"/>
  <c r="P434" i="13"/>
  <c r="O434" i="13"/>
  <c r="N434" i="13"/>
  <c r="T433" i="13"/>
  <c r="U433" i="13" s="1"/>
  <c r="S433" i="13"/>
  <c r="AK433" i="13" s="1"/>
  <c r="P433" i="13"/>
  <c r="O433" i="13"/>
  <c r="N433" i="13"/>
  <c r="T432" i="13"/>
  <c r="U432" i="13" s="1"/>
  <c r="S432" i="13"/>
  <c r="AK432" i="13" s="1"/>
  <c r="P432" i="13"/>
  <c r="O432" i="13"/>
  <c r="J432" i="13"/>
  <c r="N432" i="13" s="1"/>
  <c r="T431" i="13"/>
  <c r="U431" i="13" s="1"/>
  <c r="S431" i="13"/>
  <c r="AK431" i="13" s="1"/>
  <c r="P431" i="13"/>
  <c r="O431" i="13"/>
  <c r="J431" i="13"/>
  <c r="N431" i="13" s="1"/>
  <c r="T430" i="13"/>
  <c r="U430" i="13" s="1"/>
  <c r="S430" i="13"/>
  <c r="AK430" i="13" s="1"/>
  <c r="P430" i="13"/>
  <c r="O430" i="13"/>
  <c r="J430" i="13"/>
  <c r="N430" i="13" s="1"/>
  <c r="T429" i="13"/>
  <c r="U429" i="13" s="1"/>
  <c r="S429" i="13"/>
  <c r="AK429" i="13" s="1"/>
  <c r="P429" i="13"/>
  <c r="O429" i="13"/>
  <c r="N429" i="13"/>
  <c r="T428" i="13"/>
  <c r="U428" i="13" s="1"/>
  <c r="S428" i="13"/>
  <c r="AK428" i="13" s="1"/>
  <c r="P428" i="13"/>
  <c r="O428" i="13"/>
  <c r="N428" i="13"/>
  <c r="T427" i="13"/>
  <c r="U427" i="13" s="1"/>
  <c r="S427" i="13"/>
  <c r="AK427" i="13" s="1"/>
  <c r="P427" i="13"/>
  <c r="O427" i="13"/>
  <c r="N427" i="13"/>
  <c r="T426" i="13"/>
  <c r="U426" i="13" s="1"/>
  <c r="S426" i="13"/>
  <c r="AK426" i="13" s="1"/>
  <c r="P426" i="13"/>
  <c r="O426" i="13"/>
  <c r="J426" i="13"/>
  <c r="N426" i="13" s="1"/>
  <c r="T425" i="13"/>
  <c r="U425" i="13" s="1"/>
  <c r="S425" i="13"/>
  <c r="AK425" i="13" s="1"/>
  <c r="P425" i="13"/>
  <c r="O425" i="13"/>
  <c r="N425" i="13"/>
  <c r="T424" i="13"/>
  <c r="U424" i="13" s="1"/>
  <c r="S424" i="13"/>
  <c r="AK424" i="13" s="1"/>
  <c r="P424" i="13"/>
  <c r="O424" i="13"/>
  <c r="N424" i="13"/>
  <c r="T423" i="13"/>
  <c r="U423" i="13" s="1"/>
  <c r="S423" i="13"/>
  <c r="AK423" i="13" s="1"/>
  <c r="P423" i="13"/>
  <c r="O423" i="13"/>
  <c r="J423" i="13"/>
  <c r="N423" i="13" s="1"/>
  <c r="T422" i="13"/>
  <c r="U422" i="13" s="1"/>
  <c r="S422" i="13"/>
  <c r="AK422" i="13" s="1"/>
  <c r="P422" i="13"/>
  <c r="O422" i="13"/>
  <c r="N422" i="13"/>
  <c r="T421" i="13"/>
  <c r="U421" i="13" s="1"/>
  <c r="S421" i="13"/>
  <c r="AK421" i="13" s="1"/>
  <c r="P421" i="13"/>
  <c r="O421" i="13"/>
  <c r="N421" i="13"/>
  <c r="T420" i="13"/>
  <c r="U420" i="13" s="1"/>
  <c r="S420" i="13"/>
  <c r="AK420" i="13" s="1"/>
  <c r="P420" i="13"/>
  <c r="O420" i="13"/>
  <c r="N420" i="13"/>
  <c r="T419" i="13"/>
  <c r="U419" i="13" s="1"/>
  <c r="S419" i="13"/>
  <c r="AK419" i="13" s="1"/>
  <c r="P419" i="13"/>
  <c r="O419" i="13"/>
  <c r="J419" i="13"/>
  <c r="N419" i="13" s="1"/>
  <c r="T418" i="13"/>
  <c r="U418" i="13" s="1"/>
  <c r="S418" i="13"/>
  <c r="AK418" i="13" s="1"/>
  <c r="P418" i="13"/>
  <c r="O418" i="13"/>
  <c r="J418" i="13"/>
  <c r="N418" i="13" s="1"/>
  <c r="T417" i="13"/>
  <c r="U417" i="13" s="1"/>
  <c r="S417" i="13"/>
  <c r="AK417" i="13" s="1"/>
  <c r="P417" i="13"/>
  <c r="O417" i="13"/>
  <c r="J417" i="13"/>
  <c r="N417" i="13" s="1"/>
  <c r="T416" i="13"/>
  <c r="U416" i="13" s="1"/>
  <c r="S416" i="13"/>
  <c r="AK416" i="13" s="1"/>
  <c r="P416" i="13"/>
  <c r="O416" i="13"/>
  <c r="N416" i="13"/>
  <c r="T415" i="13"/>
  <c r="U415" i="13" s="1"/>
  <c r="S415" i="13"/>
  <c r="AK415" i="13" s="1"/>
  <c r="P415" i="13"/>
  <c r="O415" i="13"/>
  <c r="J415" i="13"/>
  <c r="N415" i="13" s="1"/>
  <c r="T414" i="13"/>
  <c r="U414" i="13" s="1"/>
  <c r="S414" i="13"/>
  <c r="AK414" i="13" s="1"/>
  <c r="P414" i="13"/>
  <c r="O414" i="13"/>
  <c r="N414" i="13"/>
  <c r="T413" i="13"/>
  <c r="U413" i="13" s="1"/>
  <c r="S413" i="13"/>
  <c r="AK413" i="13" s="1"/>
  <c r="P413" i="13"/>
  <c r="O413" i="13"/>
  <c r="N413" i="13"/>
  <c r="T412" i="13"/>
  <c r="U412" i="13" s="1"/>
  <c r="S412" i="13"/>
  <c r="AK412" i="13" s="1"/>
  <c r="P412" i="13"/>
  <c r="O412" i="13"/>
  <c r="J412" i="13"/>
  <c r="N412" i="13" s="1"/>
  <c r="T411" i="13"/>
  <c r="U411" i="13" s="1"/>
  <c r="S411" i="13"/>
  <c r="AK411" i="13" s="1"/>
  <c r="P411" i="13"/>
  <c r="O411" i="13"/>
  <c r="J411" i="13"/>
  <c r="N411" i="13" s="1"/>
  <c r="T410" i="13"/>
  <c r="U410" i="13" s="1"/>
  <c r="S410" i="13"/>
  <c r="AK410" i="13" s="1"/>
  <c r="P410" i="13"/>
  <c r="O410" i="13"/>
  <c r="J410" i="13"/>
  <c r="N410" i="13" s="1"/>
  <c r="T409" i="13"/>
  <c r="U409" i="13" s="1"/>
  <c r="S409" i="13"/>
  <c r="AK409" i="13" s="1"/>
  <c r="P409" i="13"/>
  <c r="O409" i="13"/>
  <c r="N409" i="13"/>
  <c r="T408" i="13"/>
  <c r="U408" i="13" s="1"/>
  <c r="S408" i="13"/>
  <c r="AK408" i="13" s="1"/>
  <c r="P408" i="13"/>
  <c r="O408" i="13"/>
  <c r="N408" i="13"/>
  <c r="T407" i="13"/>
  <c r="U407" i="13" s="1"/>
  <c r="S407" i="13"/>
  <c r="AK407" i="13" s="1"/>
  <c r="P407" i="13"/>
  <c r="O407" i="13"/>
  <c r="N407" i="13"/>
  <c r="T406" i="13"/>
  <c r="U406" i="13" s="1"/>
  <c r="S406" i="13"/>
  <c r="AK406" i="13" s="1"/>
  <c r="P406" i="13"/>
  <c r="O406" i="13"/>
  <c r="N406" i="13"/>
  <c r="T405" i="13"/>
  <c r="U405" i="13" s="1"/>
  <c r="S405" i="13"/>
  <c r="AK405" i="13" s="1"/>
  <c r="P405" i="13"/>
  <c r="O405" i="13"/>
  <c r="N405" i="13"/>
  <c r="T404" i="13"/>
  <c r="U404" i="13" s="1"/>
  <c r="S404" i="13"/>
  <c r="AK404" i="13" s="1"/>
  <c r="P404" i="13"/>
  <c r="O404" i="13"/>
  <c r="N404" i="13"/>
  <c r="T403" i="13"/>
  <c r="U403" i="13" s="1"/>
  <c r="S403" i="13"/>
  <c r="AK403" i="13" s="1"/>
  <c r="P403" i="13"/>
  <c r="O403" i="13"/>
  <c r="N403" i="13"/>
  <c r="T402" i="13"/>
  <c r="U402" i="13" s="1"/>
  <c r="S402" i="13"/>
  <c r="AK402" i="13" s="1"/>
  <c r="P402" i="13"/>
  <c r="O402" i="13"/>
  <c r="N402" i="13"/>
  <c r="T401" i="13"/>
  <c r="U401" i="13" s="1"/>
  <c r="S401" i="13"/>
  <c r="AK401" i="13" s="1"/>
  <c r="P401" i="13"/>
  <c r="O401" i="13"/>
  <c r="N401" i="13"/>
  <c r="T400" i="13"/>
  <c r="U400" i="13" s="1"/>
  <c r="S400" i="13"/>
  <c r="AK400" i="13" s="1"/>
  <c r="P400" i="13"/>
  <c r="O400" i="13"/>
  <c r="N400" i="13"/>
  <c r="T399" i="13"/>
  <c r="U399" i="13" s="1"/>
  <c r="S399" i="13"/>
  <c r="AK399" i="13" s="1"/>
  <c r="P399" i="13"/>
  <c r="O399" i="13"/>
  <c r="N399" i="13"/>
  <c r="T398" i="13"/>
  <c r="U398" i="13" s="1"/>
  <c r="S398" i="13"/>
  <c r="AK398" i="13" s="1"/>
  <c r="P398" i="13"/>
  <c r="O398" i="13"/>
  <c r="N398" i="13"/>
  <c r="T397" i="13"/>
  <c r="U397" i="13" s="1"/>
  <c r="S397" i="13"/>
  <c r="AK397" i="13" s="1"/>
  <c r="P397" i="13"/>
  <c r="O397" i="13"/>
  <c r="N397" i="13"/>
  <c r="T396" i="13"/>
  <c r="U396" i="13" s="1"/>
  <c r="S396" i="13"/>
  <c r="AK396" i="13" s="1"/>
  <c r="P396" i="13"/>
  <c r="O396" i="13"/>
  <c r="J396" i="13"/>
  <c r="N396" i="13" s="1"/>
  <c r="T395" i="13"/>
  <c r="U395" i="13" s="1"/>
  <c r="S395" i="13"/>
  <c r="AK395" i="13" s="1"/>
  <c r="P395" i="13"/>
  <c r="O395" i="13"/>
  <c r="J395" i="13"/>
  <c r="N395" i="13" s="1"/>
  <c r="T394" i="13"/>
  <c r="U394" i="13" s="1"/>
  <c r="S394" i="13"/>
  <c r="AK394" i="13" s="1"/>
  <c r="P394" i="13"/>
  <c r="O394" i="13"/>
  <c r="J394" i="13"/>
  <c r="N394" i="13" s="1"/>
  <c r="T393" i="13"/>
  <c r="U393" i="13" s="1"/>
  <c r="S393" i="13"/>
  <c r="AK393" i="13" s="1"/>
  <c r="P393" i="13"/>
  <c r="O393" i="13"/>
  <c r="N393" i="13"/>
  <c r="T392" i="13"/>
  <c r="U392" i="13" s="1"/>
  <c r="S392" i="13"/>
  <c r="AK392" i="13" s="1"/>
  <c r="P392" i="13"/>
  <c r="O392" i="13"/>
  <c r="N392" i="13"/>
  <c r="T391" i="13"/>
  <c r="U391" i="13" s="1"/>
  <c r="S391" i="13"/>
  <c r="AK391" i="13" s="1"/>
  <c r="P391" i="13"/>
  <c r="O391" i="13"/>
  <c r="N391" i="13"/>
  <c r="T390" i="13"/>
  <c r="U390" i="13" s="1"/>
  <c r="S390" i="13"/>
  <c r="AK390" i="13" s="1"/>
  <c r="P390" i="13"/>
  <c r="O390" i="13"/>
  <c r="J390" i="13"/>
  <c r="N390" i="13" s="1"/>
  <c r="T389" i="13"/>
  <c r="U389" i="13" s="1"/>
  <c r="S389" i="13"/>
  <c r="AK389" i="13" s="1"/>
  <c r="P389" i="13"/>
  <c r="O389" i="13"/>
  <c r="J389" i="13"/>
  <c r="N389" i="13" s="1"/>
  <c r="T388" i="13"/>
  <c r="U388" i="13" s="1"/>
  <c r="S388" i="13"/>
  <c r="AK388" i="13" s="1"/>
  <c r="P388" i="13"/>
  <c r="O388" i="13"/>
  <c r="N388" i="13"/>
  <c r="T387" i="13"/>
  <c r="U387" i="13" s="1"/>
  <c r="S387" i="13"/>
  <c r="AK387" i="13" s="1"/>
  <c r="P387" i="13"/>
  <c r="O387" i="13"/>
  <c r="N387" i="13"/>
  <c r="T386" i="13"/>
  <c r="U386" i="13" s="1"/>
  <c r="S386" i="13"/>
  <c r="AK386" i="13" s="1"/>
  <c r="P386" i="13"/>
  <c r="O386" i="13"/>
  <c r="J386" i="13"/>
  <c r="N386" i="13" s="1"/>
  <c r="T385" i="13"/>
  <c r="U385" i="13" s="1"/>
  <c r="S385" i="13"/>
  <c r="AK385" i="13" s="1"/>
  <c r="P385" i="13"/>
  <c r="O385" i="13"/>
  <c r="J385" i="13"/>
  <c r="N385" i="13" s="1"/>
  <c r="T384" i="13"/>
  <c r="U384" i="13" s="1"/>
  <c r="S384" i="13"/>
  <c r="AK384" i="13" s="1"/>
  <c r="P384" i="13"/>
  <c r="O384" i="13"/>
  <c r="N384" i="13"/>
  <c r="T383" i="13"/>
  <c r="U383" i="13" s="1"/>
  <c r="S383" i="13"/>
  <c r="AK383" i="13" s="1"/>
  <c r="P383" i="13"/>
  <c r="O383" i="13"/>
  <c r="N383" i="13"/>
  <c r="T382" i="13"/>
  <c r="U382" i="13" s="1"/>
  <c r="S382" i="13"/>
  <c r="AK382" i="13" s="1"/>
  <c r="P382" i="13"/>
  <c r="O382" i="13"/>
  <c r="N382" i="13"/>
  <c r="T381" i="13"/>
  <c r="U381" i="13" s="1"/>
  <c r="S381" i="13"/>
  <c r="AK381" i="13" s="1"/>
  <c r="P381" i="13"/>
  <c r="O381" i="13"/>
  <c r="N381" i="13"/>
  <c r="T380" i="13"/>
  <c r="U380" i="13" s="1"/>
  <c r="S380" i="13"/>
  <c r="AK380" i="13" s="1"/>
  <c r="P380" i="13"/>
  <c r="O380" i="13"/>
  <c r="N380" i="13"/>
  <c r="T379" i="13"/>
  <c r="U379" i="13" s="1"/>
  <c r="S379" i="13"/>
  <c r="AK379" i="13" s="1"/>
  <c r="P379" i="13"/>
  <c r="O379" i="13"/>
  <c r="N379" i="13"/>
  <c r="T378" i="13"/>
  <c r="U378" i="13" s="1"/>
  <c r="S378" i="13"/>
  <c r="AK378" i="13" s="1"/>
  <c r="P378" i="13"/>
  <c r="O378" i="13"/>
  <c r="J378" i="13"/>
  <c r="N378" i="13" s="1"/>
  <c r="T377" i="13"/>
  <c r="U377" i="13" s="1"/>
  <c r="S377" i="13"/>
  <c r="AK377" i="13" s="1"/>
  <c r="P377" i="13"/>
  <c r="O377" i="13"/>
  <c r="J377" i="13"/>
  <c r="N377" i="13" s="1"/>
  <c r="T376" i="13"/>
  <c r="U376" i="13" s="1"/>
  <c r="S376" i="13"/>
  <c r="AK376" i="13" s="1"/>
  <c r="P376" i="13"/>
  <c r="O376" i="13"/>
  <c r="J376" i="13"/>
  <c r="N376" i="13" s="1"/>
  <c r="T375" i="13"/>
  <c r="U375" i="13" s="1"/>
  <c r="S375" i="13"/>
  <c r="AK375" i="13" s="1"/>
  <c r="P375" i="13"/>
  <c r="O375" i="13"/>
  <c r="N375" i="13"/>
  <c r="T374" i="13"/>
  <c r="U374" i="13" s="1"/>
  <c r="S374" i="13"/>
  <c r="AK374" i="13" s="1"/>
  <c r="P374" i="13"/>
  <c r="O374" i="13"/>
  <c r="N374" i="13"/>
  <c r="T373" i="13"/>
  <c r="U373" i="13" s="1"/>
  <c r="S373" i="13"/>
  <c r="AK373" i="13" s="1"/>
  <c r="P373" i="13"/>
  <c r="O373" i="13"/>
  <c r="N373" i="13"/>
  <c r="T372" i="13"/>
  <c r="U372" i="13" s="1"/>
  <c r="S372" i="13"/>
  <c r="AK372" i="13" s="1"/>
  <c r="P372" i="13"/>
  <c r="O372" i="13"/>
  <c r="J372" i="13"/>
  <c r="N372" i="13" s="1"/>
  <c r="T371" i="13"/>
  <c r="U371" i="13" s="1"/>
  <c r="S371" i="13"/>
  <c r="AK371" i="13" s="1"/>
  <c r="P371" i="13"/>
  <c r="O371" i="13"/>
  <c r="N371" i="13"/>
  <c r="T370" i="13"/>
  <c r="U370" i="13" s="1"/>
  <c r="S370" i="13"/>
  <c r="AK370" i="13" s="1"/>
  <c r="P370" i="13"/>
  <c r="O370" i="13"/>
  <c r="N370" i="13"/>
  <c r="T369" i="13"/>
  <c r="U369" i="13" s="1"/>
  <c r="S369" i="13"/>
  <c r="AK369" i="13" s="1"/>
  <c r="P369" i="13"/>
  <c r="O369" i="13"/>
  <c r="J369" i="13"/>
  <c r="N369" i="13" s="1"/>
  <c r="T368" i="13"/>
  <c r="U368" i="13" s="1"/>
  <c r="S368" i="13"/>
  <c r="AK368" i="13" s="1"/>
  <c r="P368" i="13"/>
  <c r="O368" i="13"/>
  <c r="J368" i="13"/>
  <c r="N368" i="13" s="1"/>
  <c r="T367" i="13"/>
  <c r="U367" i="13" s="1"/>
  <c r="S367" i="13"/>
  <c r="AK367" i="13" s="1"/>
  <c r="P367" i="13"/>
  <c r="O367" i="13"/>
  <c r="J367" i="13"/>
  <c r="N367" i="13" s="1"/>
  <c r="T366" i="13"/>
  <c r="U366" i="13" s="1"/>
  <c r="S366" i="13"/>
  <c r="AK366" i="13" s="1"/>
  <c r="P366" i="13"/>
  <c r="O366" i="13"/>
  <c r="N366" i="13"/>
  <c r="T365" i="13"/>
  <c r="U365" i="13" s="1"/>
  <c r="S365" i="13"/>
  <c r="AK365" i="13" s="1"/>
  <c r="P365" i="13"/>
  <c r="O365" i="13"/>
  <c r="J365" i="13"/>
  <c r="N365" i="13" s="1"/>
  <c r="T364" i="13"/>
  <c r="U364" i="13" s="1"/>
  <c r="S364" i="13"/>
  <c r="AK364" i="13" s="1"/>
  <c r="P364" i="13"/>
  <c r="O364" i="13"/>
  <c r="J364" i="13"/>
  <c r="N364" i="13" s="1"/>
  <c r="T363" i="13"/>
  <c r="U363" i="13" s="1"/>
  <c r="S363" i="13"/>
  <c r="AK363" i="13" s="1"/>
  <c r="P363" i="13"/>
  <c r="O363" i="13"/>
  <c r="J363" i="13"/>
  <c r="N363" i="13" s="1"/>
  <c r="T362" i="13"/>
  <c r="U362" i="13" s="1"/>
  <c r="S362" i="13"/>
  <c r="AK362" i="13" s="1"/>
  <c r="P362" i="13"/>
  <c r="O362" i="13"/>
  <c r="N362" i="13"/>
  <c r="T361" i="13"/>
  <c r="U361" i="13" s="1"/>
  <c r="S361" i="13"/>
  <c r="AK361" i="13" s="1"/>
  <c r="P361" i="13"/>
  <c r="O361" i="13"/>
  <c r="J361" i="13"/>
  <c r="N361" i="13" s="1"/>
  <c r="T360" i="13"/>
  <c r="U360" i="13" s="1"/>
  <c r="S360" i="13"/>
  <c r="AK360" i="13" s="1"/>
  <c r="P360" i="13"/>
  <c r="O360" i="13"/>
  <c r="N360" i="13"/>
  <c r="T359" i="13"/>
  <c r="U359" i="13" s="1"/>
  <c r="S359" i="13"/>
  <c r="AK359" i="13" s="1"/>
  <c r="P359" i="13"/>
  <c r="O359" i="13"/>
  <c r="J359" i="13"/>
  <c r="N359" i="13" s="1"/>
  <c r="T358" i="13"/>
  <c r="U358" i="13" s="1"/>
  <c r="S358" i="13"/>
  <c r="AK358" i="13" s="1"/>
  <c r="P358" i="13"/>
  <c r="O358" i="13"/>
  <c r="J358" i="13"/>
  <c r="N358" i="13" s="1"/>
  <c r="T357" i="13"/>
  <c r="U357" i="13" s="1"/>
  <c r="S357" i="13"/>
  <c r="AK357" i="13" s="1"/>
  <c r="P357" i="13"/>
  <c r="O357" i="13"/>
  <c r="J357" i="13"/>
  <c r="N357" i="13" s="1"/>
  <c r="T356" i="13"/>
  <c r="U356" i="13" s="1"/>
  <c r="S356" i="13"/>
  <c r="AK356" i="13" s="1"/>
  <c r="P356" i="13"/>
  <c r="O356" i="13"/>
  <c r="N356" i="13"/>
  <c r="T355" i="13"/>
  <c r="U355" i="13" s="1"/>
  <c r="S355" i="13"/>
  <c r="AK355" i="13" s="1"/>
  <c r="P355" i="13"/>
  <c r="O355" i="13"/>
  <c r="N355" i="13"/>
  <c r="T354" i="13"/>
  <c r="U354" i="13" s="1"/>
  <c r="S354" i="13"/>
  <c r="AK354" i="13" s="1"/>
  <c r="P354" i="13"/>
  <c r="O354" i="13"/>
  <c r="N354" i="13"/>
  <c r="T353" i="13"/>
  <c r="U353" i="13" s="1"/>
  <c r="S353" i="13"/>
  <c r="AK353" i="13" s="1"/>
  <c r="P353" i="13"/>
  <c r="O353" i="13"/>
  <c r="N353" i="13"/>
  <c r="T352" i="13"/>
  <c r="U352" i="13" s="1"/>
  <c r="S352" i="13"/>
  <c r="AK352" i="13" s="1"/>
  <c r="P352" i="13"/>
  <c r="O352" i="13"/>
  <c r="N352" i="13"/>
  <c r="T351" i="13"/>
  <c r="U351" i="13" s="1"/>
  <c r="S351" i="13"/>
  <c r="AK351" i="13" s="1"/>
  <c r="P351" i="13"/>
  <c r="O351" i="13"/>
  <c r="J351" i="13"/>
  <c r="N351" i="13" s="1"/>
  <c r="T350" i="13"/>
  <c r="U350" i="13" s="1"/>
  <c r="S350" i="13"/>
  <c r="AK350" i="13" s="1"/>
  <c r="P350" i="13"/>
  <c r="O350" i="13"/>
  <c r="J350" i="13"/>
  <c r="N350" i="13" s="1"/>
  <c r="T349" i="13"/>
  <c r="U349" i="13" s="1"/>
  <c r="S349" i="13"/>
  <c r="AK349" i="13" s="1"/>
  <c r="P349" i="13"/>
  <c r="O349" i="13"/>
  <c r="J349" i="13"/>
  <c r="N349" i="13" s="1"/>
  <c r="T348" i="13"/>
  <c r="U348" i="13" s="1"/>
  <c r="S348" i="13"/>
  <c r="AK348" i="13" s="1"/>
  <c r="P348" i="13"/>
  <c r="O348" i="13"/>
  <c r="J348" i="13"/>
  <c r="N348" i="13" s="1"/>
  <c r="T347" i="13"/>
  <c r="U347" i="13" s="1"/>
  <c r="S347" i="13"/>
  <c r="AK347" i="13" s="1"/>
  <c r="P347" i="13"/>
  <c r="O347" i="13"/>
  <c r="J347" i="13"/>
  <c r="N347" i="13" s="1"/>
  <c r="T346" i="13"/>
  <c r="U346" i="13" s="1"/>
  <c r="S346" i="13"/>
  <c r="AK346" i="13" s="1"/>
  <c r="P346" i="13"/>
  <c r="O346" i="13"/>
  <c r="N346" i="13"/>
  <c r="T345" i="13"/>
  <c r="U345" i="13" s="1"/>
  <c r="S345" i="13"/>
  <c r="AK345" i="13" s="1"/>
  <c r="P345" i="13"/>
  <c r="O345" i="13"/>
  <c r="N345" i="13"/>
  <c r="T344" i="13"/>
  <c r="U344" i="13" s="1"/>
  <c r="S344" i="13"/>
  <c r="AK344" i="13" s="1"/>
  <c r="P344" i="13"/>
  <c r="O344" i="13"/>
  <c r="N344" i="13"/>
  <c r="T343" i="13"/>
  <c r="U343" i="13" s="1"/>
  <c r="S343" i="13"/>
  <c r="AK343" i="13" s="1"/>
  <c r="P343" i="13"/>
  <c r="O343" i="13"/>
  <c r="J343" i="13"/>
  <c r="N343" i="13" s="1"/>
  <c r="T342" i="13"/>
  <c r="U342" i="13" s="1"/>
  <c r="S342" i="13"/>
  <c r="AK342" i="13" s="1"/>
  <c r="P342" i="13"/>
  <c r="O342" i="13"/>
  <c r="N342" i="13"/>
  <c r="T341" i="13"/>
  <c r="U341" i="13" s="1"/>
  <c r="S341" i="13"/>
  <c r="AK341" i="13" s="1"/>
  <c r="P341" i="13"/>
  <c r="O341" i="13"/>
  <c r="J341" i="13"/>
  <c r="N341" i="13" s="1"/>
  <c r="T340" i="13"/>
  <c r="U340" i="13" s="1"/>
  <c r="S340" i="13"/>
  <c r="AK340" i="13" s="1"/>
  <c r="P340" i="13"/>
  <c r="O340" i="13"/>
  <c r="N340" i="13"/>
  <c r="T339" i="13"/>
  <c r="U339" i="13" s="1"/>
  <c r="S339" i="13"/>
  <c r="AK339" i="13" s="1"/>
  <c r="P339" i="13"/>
  <c r="O339" i="13"/>
  <c r="N339" i="13"/>
  <c r="T338" i="13"/>
  <c r="U338" i="13" s="1"/>
  <c r="S338" i="13"/>
  <c r="AK338" i="13" s="1"/>
  <c r="P338" i="13"/>
  <c r="O338" i="13"/>
  <c r="N338" i="13"/>
  <c r="T337" i="13"/>
  <c r="U337" i="13" s="1"/>
  <c r="S337" i="13"/>
  <c r="AK337" i="13" s="1"/>
  <c r="P337" i="13"/>
  <c r="O337" i="13"/>
  <c r="J337" i="13"/>
  <c r="N337" i="13" s="1"/>
  <c r="T336" i="13"/>
  <c r="U336" i="13" s="1"/>
  <c r="S336" i="13"/>
  <c r="AK336" i="13" s="1"/>
  <c r="P336" i="13"/>
  <c r="O336" i="13"/>
  <c r="J336" i="13"/>
  <c r="N336" i="13" s="1"/>
  <c r="T335" i="13"/>
  <c r="U335" i="13" s="1"/>
  <c r="S335" i="13"/>
  <c r="AK335" i="13" s="1"/>
  <c r="P335" i="13"/>
  <c r="O335" i="13"/>
  <c r="N335" i="13"/>
  <c r="T334" i="13"/>
  <c r="U334" i="13" s="1"/>
  <c r="S334" i="13"/>
  <c r="AK334" i="13" s="1"/>
  <c r="P334" i="13"/>
  <c r="O334" i="13"/>
  <c r="N334" i="13"/>
  <c r="T333" i="13"/>
  <c r="U333" i="13" s="1"/>
  <c r="S333" i="13"/>
  <c r="AK333" i="13" s="1"/>
  <c r="P333" i="13"/>
  <c r="O333" i="13"/>
  <c r="J333" i="13"/>
  <c r="N333" i="13" s="1"/>
  <c r="T332" i="13"/>
  <c r="U332" i="13" s="1"/>
  <c r="S332" i="13"/>
  <c r="AK332" i="13" s="1"/>
  <c r="P332" i="13"/>
  <c r="O332" i="13"/>
  <c r="N332" i="13"/>
  <c r="T331" i="13"/>
  <c r="U331" i="13" s="1"/>
  <c r="S331" i="13"/>
  <c r="AK331" i="13" s="1"/>
  <c r="P331" i="13"/>
  <c r="O331" i="13"/>
  <c r="J331" i="13"/>
  <c r="N331" i="13" s="1"/>
  <c r="T330" i="13"/>
  <c r="U330" i="13" s="1"/>
  <c r="S330" i="13"/>
  <c r="AK330" i="13" s="1"/>
  <c r="P330" i="13"/>
  <c r="O330" i="13"/>
  <c r="J330" i="13"/>
  <c r="N330" i="13" s="1"/>
  <c r="T329" i="13"/>
  <c r="U329" i="13" s="1"/>
  <c r="S329" i="13"/>
  <c r="AK329" i="13" s="1"/>
  <c r="P329" i="13"/>
  <c r="O329" i="13"/>
  <c r="J329" i="13"/>
  <c r="N329" i="13" s="1"/>
  <c r="T328" i="13"/>
  <c r="U328" i="13" s="1"/>
  <c r="S328" i="13"/>
  <c r="AK328" i="13" s="1"/>
  <c r="P328" i="13"/>
  <c r="O328" i="13"/>
  <c r="N328" i="13"/>
  <c r="T327" i="13"/>
  <c r="U327" i="13" s="1"/>
  <c r="S327" i="13"/>
  <c r="AK327" i="13" s="1"/>
  <c r="P327" i="13"/>
  <c r="O327" i="13"/>
  <c r="J327" i="13"/>
  <c r="N327" i="13" s="1"/>
  <c r="T326" i="13"/>
  <c r="U326" i="13" s="1"/>
  <c r="S326" i="13"/>
  <c r="AK326" i="13" s="1"/>
  <c r="P326" i="13"/>
  <c r="O326" i="13"/>
  <c r="J326" i="13"/>
  <c r="N326" i="13" s="1"/>
  <c r="T325" i="13"/>
  <c r="U325" i="13" s="1"/>
  <c r="S325" i="13"/>
  <c r="AK325" i="13" s="1"/>
  <c r="P325" i="13"/>
  <c r="O325" i="13"/>
  <c r="N325" i="13"/>
  <c r="T324" i="13"/>
  <c r="U324" i="13" s="1"/>
  <c r="S324" i="13"/>
  <c r="AK324" i="13" s="1"/>
  <c r="P324" i="13"/>
  <c r="O324" i="13"/>
  <c r="N324" i="13"/>
  <c r="T323" i="13"/>
  <c r="U323" i="13" s="1"/>
  <c r="S323" i="13"/>
  <c r="AK323" i="13" s="1"/>
  <c r="P323" i="13"/>
  <c r="O323" i="13"/>
  <c r="N323" i="13"/>
  <c r="T322" i="13"/>
  <c r="U322" i="13" s="1"/>
  <c r="S322" i="13"/>
  <c r="AK322" i="13" s="1"/>
  <c r="P322" i="13"/>
  <c r="O322" i="13"/>
  <c r="J322" i="13"/>
  <c r="N322" i="13" s="1"/>
  <c r="T321" i="13"/>
  <c r="U321" i="13" s="1"/>
  <c r="S321" i="13"/>
  <c r="AK321" i="13" s="1"/>
  <c r="P321" i="13"/>
  <c r="O321" i="13"/>
  <c r="J321" i="13"/>
  <c r="N321" i="13" s="1"/>
  <c r="T320" i="13"/>
  <c r="U320" i="13" s="1"/>
  <c r="S320" i="13"/>
  <c r="AK320" i="13" s="1"/>
  <c r="P320" i="13"/>
  <c r="O320" i="13"/>
  <c r="J320" i="13"/>
  <c r="N320" i="13" s="1"/>
  <c r="T319" i="13"/>
  <c r="U319" i="13" s="1"/>
  <c r="S319" i="13"/>
  <c r="AK319" i="13" s="1"/>
  <c r="P319" i="13"/>
  <c r="O319" i="13"/>
  <c r="J319" i="13"/>
  <c r="N319" i="13" s="1"/>
  <c r="T318" i="13"/>
  <c r="U318" i="13" s="1"/>
  <c r="S318" i="13"/>
  <c r="AK318" i="13" s="1"/>
  <c r="P318" i="13"/>
  <c r="O318" i="13"/>
  <c r="J318" i="13"/>
  <c r="N318" i="13" s="1"/>
  <c r="T317" i="13"/>
  <c r="U317" i="13" s="1"/>
  <c r="S317" i="13"/>
  <c r="AK317" i="13" s="1"/>
  <c r="P317" i="13"/>
  <c r="O317" i="13"/>
  <c r="J317" i="13"/>
  <c r="N317" i="13" s="1"/>
  <c r="T316" i="13"/>
  <c r="U316" i="13" s="1"/>
  <c r="S316" i="13"/>
  <c r="AK316" i="13" s="1"/>
  <c r="P316" i="13"/>
  <c r="O316" i="13"/>
  <c r="J316" i="13"/>
  <c r="N316" i="13" s="1"/>
  <c r="T315" i="13"/>
  <c r="U315" i="13" s="1"/>
  <c r="S315" i="13"/>
  <c r="AK315" i="13" s="1"/>
  <c r="P315" i="13"/>
  <c r="O315" i="13"/>
  <c r="N315" i="13"/>
  <c r="T314" i="13"/>
  <c r="U314" i="13" s="1"/>
  <c r="S314" i="13"/>
  <c r="AK314" i="13" s="1"/>
  <c r="P314" i="13"/>
  <c r="O314" i="13"/>
  <c r="N314" i="13"/>
  <c r="T313" i="13"/>
  <c r="U313" i="13" s="1"/>
  <c r="S313" i="13"/>
  <c r="AK313" i="13" s="1"/>
  <c r="P313" i="13"/>
  <c r="O313" i="13"/>
  <c r="N313" i="13"/>
  <c r="T312" i="13"/>
  <c r="U312" i="13" s="1"/>
  <c r="S312" i="13"/>
  <c r="AK312" i="13" s="1"/>
  <c r="P312" i="13"/>
  <c r="O312" i="13"/>
  <c r="J312" i="13"/>
  <c r="N312" i="13" s="1"/>
  <c r="T311" i="13"/>
  <c r="U311" i="13" s="1"/>
  <c r="S311" i="13"/>
  <c r="AK311" i="13" s="1"/>
  <c r="P311" i="13"/>
  <c r="O311" i="13"/>
  <c r="N311" i="13"/>
  <c r="T310" i="13"/>
  <c r="U310" i="13" s="1"/>
  <c r="S310" i="13"/>
  <c r="AK310" i="13" s="1"/>
  <c r="P310" i="13"/>
  <c r="O310" i="13"/>
  <c r="J310" i="13"/>
  <c r="N310" i="13" s="1"/>
  <c r="T309" i="13"/>
  <c r="U309" i="13" s="1"/>
  <c r="S309" i="13"/>
  <c r="AK309" i="13" s="1"/>
  <c r="P309" i="13"/>
  <c r="O309" i="13"/>
  <c r="J309" i="13"/>
  <c r="N309" i="13" s="1"/>
  <c r="T308" i="13"/>
  <c r="U308" i="13" s="1"/>
  <c r="S308" i="13"/>
  <c r="AK308" i="13" s="1"/>
  <c r="P308" i="13"/>
  <c r="O308" i="13"/>
  <c r="J308" i="13"/>
  <c r="N308" i="13" s="1"/>
  <c r="T307" i="13"/>
  <c r="U307" i="13" s="1"/>
  <c r="S307" i="13"/>
  <c r="AK307" i="13" s="1"/>
  <c r="P307" i="13"/>
  <c r="O307" i="13"/>
  <c r="N307" i="13"/>
  <c r="T306" i="13"/>
  <c r="U306" i="13" s="1"/>
  <c r="S306" i="13"/>
  <c r="AK306" i="13" s="1"/>
  <c r="P306" i="13"/>
  <c r="O306" i="13"/>
  <c r="N306" i="13"/>
  <c r="T305" i="13"/>
  <c r="U305" i="13" s="1"/>
  <c r="S305" i="13"/>
  <c r="AK305" i="13" s="1"/>
  <c r="P305" i="13"/>
  <c r="O305" i="13"/>
  <c r="J305" i="13"/>
  <c r="N305" i="13" s="1"/>
  <c r="T304" i="13"/>
  <c r="U304" i="13" s="1"/>
  <c r="S304" i="13"/>
  <c r="AK304" i="13" s="1"/>
  <c r="P304" i="13"/>
  <c r="O304" i="13"/>
  <c r="J304" i="13"/>
  <c r="N304" i="13" s="1"/>
  <c r="T303" i="13"/>
  <c r="U303" i="13" s="1"/>
  <c r="S303" i="13"/>
  <c r="AK303" i="13" s="1"/>
  <c r="P303" i="13"/>
  <c r="O303" i="13"/>
  <c r="J303" i="13"/>
  <c r="N303" i="13" s="1"/>
  <c r="T302" i="13"/>
  <c r="U302" i="13" s="1"/>
  <c r="S302" i="13"/>
  <c r="AK302" i="13" s="1"/>
  <c r="P302" i="13"/>
  <c r="O302" i="13"/>
  <c r="N302" i="13"/>
  <c r="T301" i="13"/>
  <c r="U301" i="13" s="1"/>
  <c r="S301" i="13"/>
  <c r="AK301" i="13" s="1"/>
  <c r="P301" i="13"/>
  <c r="O301" i="13"/>
  <c r="N301" i="13"/>
  <c r="T300" i="13"/>
  <c r="U300" i="13" s="1"/>
  <c r="S300" i="13"/>
  <c r="AK300" i="13" s="1"/>
  <c r="P300" i="13"/>
  <c r="O300" i="13"/>
  <c r="J300" i="13"/>
  <c r="N300" i="13" s="1"/>
  <c r="T299" i="13"/>
  <c r="U299" i="13" s="1"/>
  <c r="S299" i="13"/>
  <c r="AK299" i="13" s="1"/>
  <c r="P299" i="13"/>
  <c r="O299" i="13"/>
  <c r="N299" i="13"/>
  <c r="T298" i="13"/>
  <c r="U298" i="13" s="1"/>
  <c r="S298" i="13"/>
  <c r="AK298" i="13" s="1"/>
  <c r="P298" i="13"/>
  <c r="O298" i="13"/>
  <c r="J298" i="13"/>
  <c r="N298" i="13" s="1"/>
  <c r="T297" i="13"/>
  <c r="U297" i="13" s="1"/>
  <c r="S297" i="13"/>
  <c r="AK297" i="13" s="1"/>
  <c r="P297" i="13"/>
  <c r="O297" i="13"/>
  <c r="N297" i="13"/>
  <c r="T296" i="13"/>
  <c r="U296" i="13" s="1"/>
  <c r="S296" i="13"/>
  <c r="AK296" i="13" s="1"/>
  <c r="P296" i="13"/>
  <c r="O296" i="13"/>
  <c r="N296" i="13"/>
  <c r="T295" i="13"/>
  <c r="U295" i="13" s="1"/>
  <c r="S295" i="13"/>
  <c r="AK295" i="13" s="1"/>
  <c r="P295" i="13"/>
  <c r="O295" i="13"/>
  <c r="J295" i="13"/>
  <c r="N295" i="13" s="1"/>
  <c r="T294" i="13"/>
  <c r="U294" i="13" s="1"/>
  <c r="S294" i="13"/>
  <c r="AK294" i="13" s="1"/>
  <c r="P294" i="13"/>
  <c r="O294" i="13"/>
  <c r="J294" i="13"/>
  <c r="N294" i="13" s="1"/>
  <c r="T293" i="13"/>
  <c r="U293" i="13" s="1"/>
  <c r="S293" i="13"/>
  <c r="AK293" i="13" s="1"/>
  <c r="P293" i="13"/>
  <c r="O293" i="13"/>
  <c r="N293" i="13"/>
  <c r="T292" i="13"/>
  <c r="U292" i="13" s="1"/>
  <c r="S292" i="13"/>
  <c r="AK292" i="13" s="1"/>
  <c r="P292" i="13"/>
  <c r="O292" i="13"/>
  <c r="N292" i="13"/>
  <c r="T291" i="13"/>
  <c r="U291" i="13" s="1"/>
  <c r="S291" i="13"/>
  <c r="AK291" i="13" s="1"/>
  <c r="P291" i="13"/>
  <c r="O291" i="13"/>
  <c r="J291" i="13"/>
  <c r="N291" i="13" s="1"/>
  <c r="T290" i="13"/>
  <c r="U290" i="13" s="1"/>
  <c r="S290" i="13"/>
  <c r="AK290" i="13" s="1"/>
  <c r="P290" i="13"/>
  <c r="O290" i="13"/>
  <c r="J290" i="13"/>
  <c r="N290" i="13" s="1"/>
  <c r="T289" i="13"/>
  <c r="U289" i="13" s="1"/>
  <c r="S289" i="13"/>
  <c r="AK289" i="13" s="1"/>
  <c r="P289" i="13"/>
  <c r="O289" i="13"/>
  <c r="N289" i="13"/>
  <c r="T288" i="13"/>
  <c r="U288" i="13" s="1"/>
  <c r="S288" i="13"/>
  <c r="AK288" i="13" s="1"/>
  <c r="P288" i="13"/>
  <c r="O288" i="13"/>
  <c r="N288" i="13"/>
  <c r="T287" i="13"/>
  <c r="U287" i="13" s="1"/>
  <c r="S287" i="13"/>
  <c r="AK287" i="13" s="1"/>
  <c r="P287" i="13"/>
  <c r="O287" i="13"/>
  <c r="N287" i="13"/>
  <c r="T286" i="13"/>
  <c r="U286" i="13" s="1"/>
  <c r="S286" i="13"/>
  <c r="AK286" i="13" s="1"/>
  <c r="P286" i="13"/>
  <c r="O286" i="13"/>
  <c r="N286" i="13"/>
  <c r="T285" i="13"/>
  <c r="U285" i="13" s="1"/>
  <c r="S285" i="13"/>
  <c r="AK285" i="13" s="1"/>
  <c r="P285" i="13"/>
  <c r="O285" i="13"/>
  <c r="N285" i="13"/>
  <c r="T284" i="13"/>
  <c r="U284" i="13" s="1"/>
  <c r="S284" i="13"/>
  <c r="AK284" i="13" s="1"/>
  <c r="P284" i="13"/>
  <c r="O284" i="13"/>
  <c r="N284" i="13"/>
  <c r="T283" i="13"/>
  <c r="U283" i="13" s="1"/>
  <c r="S283" i="13"/>
  <c r="AK283" i="13" s="1"/>
  <c r="P283" i="13"/>
  <c r="O283" i="13"/>
  <c r="J283" i="13"/>
  <c r="N283" i="13" s="1"/>
  <c r="T282" i="13"/>
  <c r="U282" i="13" s="1"/>
  <c r="S282" i="13"/>
  <c r="AK282" i="13" s="1"/>
  <c r="P282" i="13"/>
  <c r="O282" i="13"/>
  <c r="N282" i="13"/>
  <c r="T281" i="13"/>
  <c r="U281" i="13" s="1"/>
  <c r="S281" i="13"/>
  <c r="AK281" i="13" s="1"/>
  <c r="P281" i="13"/>
  <c r="O281" i="13"/>
  <c r="N281" i="13"/>
  <c r="T280" i="13"/>
  <c r="U280" i="13" s="1"/>
  <c r="S280" i="13"/>
  <c r="AK280" i="13" s="1"/>
  <c r="P280" i="13"/>
  <c r="O280" i="13"/>
  <c r="N280" i="13"/>
  <c r="T279" i="13"/>
  <c r="U279" i="13" s="1"/>
  <c r="S279" i="13"/>
  <c r="AK279" i="13" s="1"/>
  <c r="P279" i="13"/>
  <c r="O279" i="13"/>
  <c r="J279" i="13"/>
  <c r="N279" i="13" s="1"/>
  <c r="T278" i="13"/>
  <c r="U278" i="13" s="1"/>
  <c r="S278" i="13"/>
  <c r="AK278" i="13" s="1"/>
  <c r="P278" i="13"/>
  <c r="O278" i="13"/>
  <c r="J278" i="13"/>
  <c r="N278" i="13" s="1"/>
  <c r="T277" i="13"/>
  <c r="U277" i="13" s="1"/>
  <c r="S277" i="13"/>
  <c r="AK277" i="13" s="1"/>
  <c r="P277" i="13"/>
  <c r="O277" i="13"/>
  <c r="J277" i="13"/>
  <c r="N277" i="13" s="1"/>
  <c r="T276" i="13"/>
  <c r="U276" i="13" s="1"/>
  <c r="S276" i="13"/>
  <c r="AK276" i="13" s="1"/>
  <c r="P276" i="13"/>
  <c r="O276" i="13"/>
  <c r="J276" i="13"/>
  <c r="N276" i="13" s="1"/>
  <c r="T275" i="13"/>
  <c r="U275" i="13" s="1"/>
  <c r="S275" i="13"/>
  <c r="AK275" i="13" s="1"/>
  <c r="P275" i="13"/>
  <c r="O275" i="13"/>
  <c r="J275" i="13"/>
  <c r="N275" i="13" s="1"/>
  <c r="T274" i="13"/>
  <c r="U274" i="13" s="1"/>
  <c r="S274" i="13"/>
  <c r="AK274" i="13" s="1"/>
  <c r="P274" i="13"/>
  <c r="O274" i="13"/>
  <c r="N274" i="13"/>
  <c r="T273" i="13"/>
  <c r="U273" i="13" s="1"/>
  <c r="S273" i="13"/>
  <c r="AK273" i="13" s="1"/>
  <c r="P273" i="13"/>
  <c r="O273" i="13"/>
  <c r="J273" i="13"/>
  <c r="N273" i="13" s="1"/>
  <c r="T272" i="13"/>
  <c r="U272" i="13" s="1"/>
  <c r="S272" i="13"/>
  <c r="AK272" i="13" s="1"/>
  <c r="P272" i="13"/>
  <c r="O272" i="13"/>
  <c r="N272" i="13"/>
  <c r="T271" i="13"/>
  <c r="U271" i="13" s="1"/>
  <c r="S271" i="13"/>
  <c r="AK271" i="13" s="1"/>
  <c r="P271" i="13"/>
  <c r="O271" i="13"/>
  <c r="N271" i="13"/>
  <c r="T270" i="13"/>
  <c r="U270" i="13" s="1"/>
  <c r="S270" i="13"/>
  <c r="AK270" i="13" s="1"/>
  <c r="P270" i="13"/>
  <c r="O270" i="13"/>
  <c r="N270" i="13"/>
  <c r="T269" i="13"/>
  <c r="U269" i="13" s="1"/>
  <c r="S269" i="13"/>
  <c r="AK269" i="13" s="1"/>
  <c r="P269" i="13"/>
  <c r="O269" i="13"/>
  <c r="N269" i="13"/>
  <c r="T268" i="13"/>
  <c r="U268" i="13" s="1"/>
  <c r="S268" i="13"/>
  <c r="AK268" i="13" s="1"/>
  <c r="P268" i="13"/>
  <c r="O268" i="13"/>
  <c r="N268" i="13"/>
  <c r="T267" i="13"/>
  <c r="U267" i="13" s="1"/>
  <c r="S267" i="13"/>
  <c r="AK267" i="13" s="1"/>
  <c r="P267" i="13"/>
  <c r="O267" i="13"/>
  <c r="N267" i="13"/>
  <c r="T266" i="13"/>
  <c r="U266" i="13" s="1"/>
  <c r="S266" i="13"/>
  <c r="AK266" i="13" s="1"/>
  <c r="P266" i="13"/>
  <c r="O266" i="13"/>
  <c r="J266" i="13"/>
  <c r="N266" i="13" s="1"/>
  <c r="T265" i="13"/>
  <c r="U265" i="13" s="1"/>
  <c r="S265" i="13"/>
  <c r="AK265" i="13" s="1"/>
  <c r="P265" i="13"/>
  <c r="O265" i="13"/>
  <c r="N265" i="13"/>
  <c r="T264" i="13"/>
  <c r="U264" i="13" s="1"/>
  <c r="S264" i="13"/>
  <c r="AK264" i="13" s="1"/>
  <c r="P264" i="13"/>
  <c r="O264" i="13"/>
  <c r="J264" i="13"/>
  <c r="N264" i="13" s="1"/>
  <c r="T263" i="13"/>
  <c r="U263" i="13" s="1"/>
  <c r="S263" i="13"/>
  <c r="AK263" i="13" s="1"/>
  <c r="P263" i="13"/>
  <c r="O263" i="13"/>
  <c r="N263" i="13"/>
  <c r="T262" i="13"/>
  <c r="U262" i="13" s="1"/>
  <c r="S262" i="13"/>
  <c r="AK262" i="13" s="1"/>
  <c r="P262" i="13"/>
  <c r="O262" i="13"/>
  <c r="N262" i="13"/>
  <c r="T261" i="13"/>
  <c r="U261" i="13" s="1"/>
  <c r="S261" i="13"/>
  <c r="AK261" i="13" s="1"/>
  <c r="P261" i="13"/>
  <c r="O261" i="13"/>
  <c r="N261" i="13"/>
  <c r="T260" i="13"/>
  <c r="U260" i="13" s="1"/>
  <c r="S260" i="13"/>
  <c r="AK260" i="13" s="1"/>
  <c r="P260" i="13"/>
  <c r="O260" i="13"/>
  <c r="J260" i="13"/>
  <c r="N260" i="13" s="1"/>
  <c r="T259" i="13"/>
  <c r="U259" i="13" s="1"/>
  <c r="S259" i="13"/>
  <c r="AK259" i="13" s="1"/>
  <c r="P259" i="13"/>
  <c r="O259" i="13"/>
  <c r="N259" i="13"/>
  <c r="T258" i="13"/>
  <c r="U258" i="13" s="1"/>
  <c r="S258" i="13"/>
  <c r="AK258" i="13" s="1"/>
  <c r="P258" i="13"/>
  <c r="O258" i="13"/>
  <c r="N258" i="13"/>
  <c r="T257" i="13"/>
  <c r="U257" i="13" s="1"/>
  <c r="S257" i="13"/>
  <c r="AK257" i="13" s="1"/>
  <c r="P257" i="13"/>
  <c r="O257" i="13"/>
  <c r="J257" i="13"/>
  <c r="N257" i="13" s="1"/>
  <c r="T256" i="13"/>
  <c r="U256" i="13" s="1"/>
  <c r="S256" i="13"/>
  <c r="AK256" i="13" s="1"/>
  <c r="P256" i="13"/>
  <c r="O256" i="13"/>
  <c r="N256" i="13"/>
  <c r="T255" i="13"/>
  <c r="U255" i="13" s="1"/>
  <c r="S255" i="13"/>
  <c r="AK255" i="13" s="1"/>
  <c r="P255" i="13"/>
  <c r="O255" i="13"/>
  <c r="N255" i="13"/>
  <c r="T254" i="13"/>
  <c r="U254" i="13" s="1"/>
  <c r="S254" i="13"/>
  <c r="AK254" i="13" s="1"/>
  <c r="P254" i="13"/>
  <c r="O254" i="13"/>
  <c r="N254" i="13"/>
  <c r="T253" i="13"/>
  <c r="U253" i="13" s="1"/>
  <c r="S253" i="13"/>
  <c r="AK253" i="13" s="1"/>
  <c r="P253" i="13"/>
  <c r="O253" i="13"/>
  <c r="J253" i="13"/>
  <c r="N253" i="13" s="1"/>
  <c r="T252" i="13"/>
  <c r="U252" i="13" s="1"/>
  <c r="S252" i="13"/>
  <c r="AK252" i="13" s="1"/>
  <c r="P252" i="13"/>
  <c r="O252" i="13"/>
  <c r="J252" i="13"/>
  <c r="N252" i="13" s="1"/>
  <c r="T251" i="13"/>
  <c r="U251" i="13" s="1"/>
  <c r="S251" i="13"/>
  <c r="AK251" i="13" s="1"/>
  <c r="P251" i="13"/>
  <c r="O251" i="13"/>
  <c r="N251" i="13"/>
  <c r="T250" i="13"/>
  <c r="U250" i="13" s="1"/>
  <c r="S250" i="13"/>
  <c r="AK250" i="13" s="1"/>
  <c r="P250" i="13"/>
  <c r="O250" i="13"/>
  <c r="J250" i="13"/>
  <c r="N250" i="13" s="1"/>
  <c r="T249" i="13"/>
  <c r="U249" i="13" s="1"/>
  <c r="S249" i="13"/>
  <c r="AK249" i="13" s="1"/>
  <c r="P249" i="13"/>
  <c r="O249" i="13"/>
  <c r="N249" i="13"/>
  <c r="T248" i="13"/>
  <c r="U248" i="13" s="1"/>
  <c r="S248" i="13"/>
  <c r="AK248" i="13" s="1"/>
  <c r="P248" i="13"/>
  <c r="O248" i="13"/>
  <c r="J248" i="13"/>
  <c r="N248" i="13" s="1"/>
  <c r="T247" i="13"/>
  <c r="U247" i="13" s="1"/>
  <c r="S247" i="13"/>
  <c r="AK247" i="13" s="1"/>
  <c r="P247" i="13"/>
  <c r="O247" i="13"/>
  <c r="J247" i="13"/>
  <c r="N247" i="13" s="1"/>
  <c r="T246" i="13"/>
  <c r="U246" i="13" s="1"/>
  <c r="S246" i="13"/>
  <c r="AK246" i="13" s="1"/>
  <c r="P246" i="13"/>
  <c r="O246" i="13"/>
  <c r="N246" i="13"/>
  <c r="T245" i="13"/>
  <c r="U245" i="13" s="1"/>
  <c r="S245" i="13"/>
  <c r="AK245" i="13" s="1"/>
  <c r="P245" i="13"/>
  <c r="O245" i="13"/>
  <c r="J245" i="13"/>
  <c r="N245" i="13" s="1"/>
  <c r="T244" i="13"/>
  <c r="U244" i="13" s="1"/>
  <c r="S244" i="13"/>
  <c r="AK244" i="13" s="1"/>
  <c r="P244" i="13"/>
  <c r="O244" i="13"/>
  <c r="J244" i="13"/>
  <c r="N244" i="13" s="1"/>
  <c r="T243" i="13"/>
  <c r="U243" i="13" s="1"/>
  <c r="S243" i="13"/>
  <c r="AK243" i="13" s="1"/>
  <c r="P243" i="13"/>
  <c r="O243" i="13"/>
  <c r="N243" i="13"/>
  <c r="T242" i="13"/>
  <c r="U242" i="13" s="1"/>
  <c r="S242" i="13"/>
  <c r="AK242" i="13" s="1"/>
  <c r="P242" i="13"/>
  <c r="O242" i="13"/>
  <c r="J242" i="13"/>
  <c r="N242" i="13" s="1"/>
  <c r="T241" i="13"/>
  <c r="U241" i="13" s="1"/>
  <c r="S241" i="13"/>
  <c r="AK241" i="13" s="1"/>
  <c r="P241" i="13"/>
  <c r="O241" i="13"/>
  <c r="J241" i="13"/>
  <c r="N241" i="13" s="1"/>
  <c r="T240" i="13"/>
  <c r="U240" i="13" s="1"/>
  <c r="S240" i="13"/>
  <c r="AK240" i="13" s="1"/>
  <c r="P240" i="13"/>
  <c r="O240" i="13"/>
  <c r="J240" i="13"/>
  <c r="N240" i="13" s="1"/>
  <c r="T239" i="13"/>
  <c r="U239" i="13" s="1"/>
  <c r="S239" i="13"/>
  <c r="AK239" i="13" s="1"/>
  <c r="P239" i="13"/>
  <c r="O239" i="13"/>
  <c r="J239" i="13"/>
  <c r="N239" i="13" s="1"/>
  <c r="T238" i="13"/>
  <c r="U238" i="13" s="1"/>
  <c r="S238" i="13"/>
  <c r="AK238" i="13" s="1"/>
  <c r="P238" i="13"/>
  <c r="O238" i="13"/>
  <c r="J238" i="13"/>
  <c r="N238" i="13" s="1"/>
  <c r="T237" i="13"/>
  <c r="U237" i="13" s="1"/>
  <c r="S237" i="13"/>
  <c r="AK237" i="13" s="1"/>
  <c r="P237" i="13"/>
  <c r="O237" i="13"/>
  <c r="J237" i="13"/>
  <c r="N237" i="13" s="1"/>
  <c r="T236" i="13"/>
  <c r="U236" i="13" s="1"/>
  <c r="S236" i="13"/>
  <c r="AK236" i="13" s="1"/>
  <c r="P236" i="13"/>
  <c r="O236" i="13"/>
  <c r="J236" i="13"/>
  <c r="N236" i="13" s="1"/>
  <c r="T235" i="13"/>
  <c r="U235" i="13" s="1"/>
  <c r="S235" i="13"/>
  <c r="AK235" i="13" s="1"/>
  <c r="P235" i="13"/>
  <c r="O235" i="13"/>
  <c r="N235" i="13"/>
  <c r="T234" i="13"/>
  <c r="U234" i="13" s="1"/>
  <c r="S234" i="13"/>
  <c r="AK234" i="13" s="1"/>
  <c r="P234" i="13"/>
  <c r="O234" i="13"/>
  <c r="N234" i="13"/>
  <c r="T233" i="13"/>
  <c r="U233" i="13" s="1"/>
  <c r="S233" i="13"/>
  <c r="AK233" i="13" s="1"/>
  <c r="P233" i="13"/>
  <c r="O233" i="13"/>
  <c r="N233" i="13"/>
  <c r="T232" i="13"/>
  <c r="U232" i="13" s="1"/>
  <c r="S232" i="13"/>
  <c r="AK232" i="13" s="1"/>
  <c r="P232" i="13"/>
  <c r="O232" i="13"/>
  <c r="J232" i="13"/>
  <c r="N232" i="13" s="1"/>
  <c r="T231" i="13"/>
  <c r="U231" i="13" s="1"/>
  <c r="S231" i="13"/>
  <c r="AK231" i="13" s="1"/>
  <c r="P231" i="13"/>
  <c r="O231" i="13"/>
  <c r="J231" i="13"/>
  <c r="N231" i="13" s="1"/>
  <c r="T230" i="13"/>
  <c r="U230" i="13" s="1"/>
  <c r="S230" i="13"/>
  <c r="AK230" i="13" s="1"/>
  <c r="P230" i="13"/>
  <c r="O230" i="13"/>
  <c r="N230" i="13"/>
  <c r="T229" i="13"/>
  <c r="U229" i="13" s="1"/>
  <c r="S229" i="13"/>
  <c r="AK229" i="13" s="1"/>
  <c r="P229" i="13"/>
  <c r="O229" i="13"/>
  <c r="J229" i="13"/>
  <c r="N229" i="13" s="1"/>
  <c r="T228" i="13"/>
  <c r="U228" i="13" s="1"/>
  <c r="S228" i="13"/>
  <c r="AK228" i="13" s="1"/>
  <c r="P228" i="13"/>
  <c r="O228" i="13"/>
  <c r="N228" i="13"/>
  <c r="T227" i="13"/>
  <c r="U227" i="13" s="1"/>
  <c r="S227" i="13"/>
  <c r="AK227" i="13" s="1"/>
  <c r="P227" i="13"/>
  <c r="O227" i="13"/>
  <c r="N227" i="13"/>
  <c r="T226" i="13"/>
  <c r="U226" i="13" s="1"/>
  <c r="S226" i="13"/>
  <c r="AK226" i="13" s="1"/>
  <c r="P226" i="13"/>
  <c r="O226" i="13"/>
  <c r="J226" i="13"/>
  <c r="N226" i="13" s="1"/>
  <c r="T225" i="13"/>
  <c r="U225" i="13" s="1"/>
  <c r="S225" i="13"/>
  <c r="AK225" i="13" s="1"/>
  <c r="P225" i="13"/>
  <c r="O225" i="13"/>
  <c r="J225" i="13"/>
  <c r="N225" i="13" s="1"/>
  <c r="T224" i="13"/>
  <c r="U224" i="13" s="1"/>
  <c r="S224" i="13"/>
  <c r="AK224" i="13" s="1"/>
  <c r="P224" i="13"/>
  <c r="O224" i="13"/>
  <c r="J224" i="13"/>
  <c r="N224" i="13" s="1"/>
  <c r="T223" i="13"/>
  <c r="U223" i="13" s="1"/>
  <c r="S223" i="13"/>
  <c r="AK223" i="13" s="1"/>
  <c r="P223" i="13"/>
  <c r="O223" i="13"/>
  <c r="N223" i="13"/>
  <c r="T222" i="13"/>
  <c r="U222" i="13" s="1"/>
  <c r="S222" i="13"/>
  <c r="AK222" i="13" s="1"/>
  <c r="P222" i="13"/>
  <c r="O222" i="13"/>
  <c r="N222" i="13"/>
  <c r="T221" i="13"/>
  <c r="U221" i="13" s="1"/>
  <c r="S221" i="13"/>
  <c r="AK221" i="13" s="1"/>
  <c r="P221" i="13"/>
  <c r="O221" i="13"/>
  <c r="N221" i="13"/>
  <c r="T220" i="13"/>
  <c r="U220" i="13" s="1"/>
  <c r="S220" i="13"/>
  <c r="AK220" i="13" s="1"/>
  <c r="P220" i="13"/>
  <c r="O220" i="13"/>
  <c r="N220" i="13"/>
  <c r="T219" i="13"/>
  <c r="U219" i="13" s="1"/>
  <c r="S219" i="13"/>
  <c r="AK219" i="13" s="1"/>
  <c r="P219" i="13"/>
  <c r="O219" i="13"/>
  <c r="J219" i="13"/>
  <c r="N219" i="13" s="1"/>
  <c r="T218" i="13"/>
  <c r="U218" i="13" s="1"/>
  <c r="S218" i="13"/>
  <c r="AK218" i="13" s="1"/>
  <c r="P218" i="13"/>
  <c r="O218" i="13"/>
  <c r="J218" i="13"/>
  <c r="N218" i="13" s="1"/>
  <c r="T217" i="13"/>
  <c r="U217" i="13" s="1"/>
  <c r="S217" i="13"/>
  <c r="AK217" i="13" s="1"/>
  <c r="P217" i="13"/>
  <c r="O217" i="13"/>
  <c r="N217" i="13"/>
  <c r="T216" i="13"/>
  <c r="U216" i="13" s="1"/>
  <c r="S216" i="13"/>
  <c r="AK216" i="13" s="1"/>
  <c r="P216" i="13"/>
  <c r="O216" i="13"/>
  <c r="J216" i="13"/>
  <c r="N216" i="13" s="1"/>
  <c r="T215" i="13"/>
  <c r="U215" i="13" s="1"/>
  <c r="S215" i="13"/>
  <c r="AK215" i="13" s="1"/>
  <c r="P215" i="13"/>
  <c r="O215" i="13"/>
  <c r="N215" i="13"/>
  <c r="T214" i="13"/>
  <c r="U214" i="13" s="1"/>
  <c r="S214" i="13"/>
  <c r="AK214" i="13" s="1"/>
  <c r="P214" i="13"/>
  <c r="O214" i="13"/>
  <c r="J214" i="13"/>
  <c r="N214" i="13" s="1"/>
  <c r="T213" i="13"/>
  <c r="U213" i="13" s="1"/>
  <c r="S213" i="13"/>
  <c r="AK213" i="13" s="1"/>
  <c r="P213" i="13"/>
  <c r="O213" i="13"/>
  <c r="J213" i="13"/>
  <c r="N213" i="13" s="1"/>
  <c r="T212" i="13"/>
  <c r="U212" i="13" s="1"/>
  <c r="S212" i="13"/>
  <c r="AK212" i="13" s="1"/>
  <c r="P212" i="13"/>
  <c r="O212" i="13"/>
  <c r="J212" i="13"/>
  <c r="N212" i="13" s="1"/>
  <c r="T211" i="13"/>
  <c r="U211" i="13" s="1"/>
  <c r="S211" i="13"/>
  <c r="AK211" i="13" s="1"/>
  <c r="P211" i="13"/>
  <c r="O211" i="13"/>
  <c r="J211" i="13"/>
  <c r="N211" i="13" s="1"/>
  <c r="T210" i="13"/>
  <c r="U210" i="13" s="1"/>
  <c r="S210" i="13"/>
  <c r="AK210" i="13" s="1"/>
  <c r="P210" i="13"/>
  <c r="O210" i="13"/>
  <c r="N210" i="13"/>
  <c r="T209" i="13"/>
  <c r="U209" i="13" s="1"/>
  <c r="S209" i="13"/>
  <c r="AK209" i="13" s="1"/>
  <c r="P209" i="13"/>
  <c r="O209" i="13"/>
  <c r="N209" i="13"/>
  <c r="T208" i="13"/>
  <c r="U208" i="13" s="1"/>
  <c r="S208" i="13"/>
  <c r="AK208" i="13" s="1"/>
  <c r="P208" i="13"/>
  <c r="O208" i="13"/>
  <c r="I208" i="13"/>
  <c r="N208" i="13" s="1"/>
  <c r="T207" i="13"/>
  <c r="U207" i="13" s="1"/>
  <c r="S207" i="13"/>
  <c r="AK207" i="13" s="1"/>
  <c r="P207" i="13"/>
  <c r="O207" i="13"/>
  <c r="J207" i="13"/>
  <c r="N207" i="13" s="1"/>
  <c r="T206" i="13"/>
  <c r="U206" i="13" s="1"/>
  <c r="S206" i="13"/>
  <c r="AK206" i="13" s="1"/>
  <c r="P206" i="13"/>
  <c r="O206" i="13"/>
  <c r="N206" i="13"/>
  <c r="T205" i="13"/>
  <c r="U205" i="13" s="1"/>
  <c r="S205" i="13"/>
  <c r="AK205" i="13" s="1"/>
  <c r="P205" i="13"/>
  <c r="O205" i="13"/>
  <c r="J205" i="13"/>
  <c r="N205" i="13" s="1"/>
  <c r="T204" i="13"/>
  <c r="U204" i="13" s="1"/>
  <c r="S204" i="13"/>
  <c r="AK204" i="13" s="1"/>
  <c r="P204" i="13"/>
  <c r="O204" i="13"/>
  <c r="J204" i="13"/>
  <c r="N204" i="13" s="1"/>
  <c r="T203" i="13"/>
  <c r="U203" i="13" s="1"/>
  <c r="S203" i="13"/>
  <c r="AK203" i="13" s="1"/>
  <c r="P203" i="13"/>
  <c r="O203" i="13"/>
  <c r="J203" i="13"/>
  <c r="N203" i="13" s="1"/>
  <c r="T202" i="13"/>
  <c r="U202" i="13" s="1"/>
  <c r="S202" i="13"/>
  <c r="AK202" i="13" s="1"/>
  <c r="P202" i="13"/>
  <c r="O202" i="13"/>
  <c r="J202" i="13"/>
  <c r="N202" i="13" s="1"/>
  <c r="T201" i="13"/>
  <c r="U201" i="13" s="1"/>
  <c r="S201" i="13"/>
  <c r="AK201" i="13" s="1"/>
  <c r="P201" i="13"/>
  <c r="O201" i="13"/>
  <c r="N201" i="13"/>
  <c r="T200" i="13"/>
  <c r="U200" i="13" s="1"/>
  <c r="S200" i="13"/>
  <c r="AK200" i="13" s="1"/>
  <c r="P200" i="13"/>
  <c r="O200" i="13"/>
  <c r="J200" i="13"/>
  <c r="N200" i="13" s="1"/>
  <c r="T199" i="13"/>
  <c r="U199" i="13" s="1"/>
  <c r="S199" i="13"/>
  <c r="AK199" i="13" s="1"/>
  <c r="P199" i="13"/>
  <c r="O199" i="13"/>
  <c r="N199" i="13"/>
  <c r="T198" i="13"/>
  <c r="U198" i="13" s="1"/>
  <c r="S198" i="13"/>
  <c r="AK198" i="13" s="1"/>
  <c r="P198" i="13"/>
  <c r="O198" i="13"/>
  <c r="J198" i="13"/>
  <c r="N198" i="13" s="1"/>
  <c r="T197" i="13"/>
  <c r="U197" i="13" s="1"/>
  <c r="S197" i="13"/>
  <c r="AK197" i="13" s="1"/>
  <c r="P197" i="13"/>
  <c r="O197" i="13"/>
  <c r="N197" i="13"/>
  <c r="T196" i="13"/>
  <c r="U196" i="13" s="1"/>
  <c r="S196" i="13"/>
  <c r="AK196" i="13" s="1"/>
  <c r="P196" i="13"/>
  <c r="O196" i="13"/>
  <c r="N196" i="13"/>
  <c r="T195" i="13"/>
  <c r="U195" i="13" s="1"/>
  <c r="S195" i="13"/>
  <c r="AK195" i="13" s="1"/>
  <c r="P195" i="13"/>
  <c r="O195" i="13"/>
  <c r="N195" i="13"/>
  <c r="T194" i="13"/>
  <c r="U194" i="13" s="1"/>
  <c r="S194" i="13"/>
  <c r="AK194" i="13" s="1"/>
  <c r="P194" i="13"/>
  <c r="O194" i="13"/>
  <c r="N194" i="13"/>
  <c r="T193" i="13"/>
  <c r="U193" i="13" s="1"/>
  <c r="S193" i="13"/>
  <c r="AK193" i="13" s="1"/>
  <c r="P193" i="13"/>
  <c r="O193" i="13"/>
  <c r="N193" i="13"/>
  <c r="T192" i="13"/>
  <c r="U192" i="13" s="1"/>
  <c r="S192" i="13"/>
  <c r="AK192" i="13" s="1"/>
  <c r="P192" i="13"/>
  <c r="O192" i="13"/>
  <c r="N192" i="13"/>
  <c r="T191" i="13"/>
  <c r="U191" i="13" s="1"/>
  <c r="S191" i="13"/>
  <c r="AK191" i="13" s="1"/>
  <c r="P191" i="13"/>
  <c r="O191" i="13"/>
  <c r="J191" i="13"/>
  <c r="N191" i="13" s="1"/>
  <c r="T190" i="13"/>
  <c r="U190" i="13" s="1"/>
  <c r="S190" i="13"/>
  <c r="AK190" i="13" s="1"/>
  <c r="P190" i="13"/>
  <c r="O190" i="13"/>
  <c r="J190" i="13"/>
  <c r="N190" i="13" s="1"/>
  <c r="T189" i="13"/>
  <c r="U189" i="13" s="1"/>
  <c r="S189" i="13"/>
  <c r="AK189" i="13" s="1"/>
  <c r="P189" i="13"/>
  <c r="O189" i="13"/>
  <c r="J189" i="13"/>
  <c r="N189" i="13" s="1"/>
  <c r="T188" i="13"/>
  <c r="U188" i="13" s="1"/>
  <c r="S188" i="13"/>
  <c r="AK188" i="13" s="1"/>
  <c r="P188" i="13"/>
  <c r="O188" i="13"/>
  <c r="J188" i="13"/>
  <c r="N188" i="13" s="1"/>
  <c r="T187" i="13"/>
  <c r="U187" i="13" s="1"/>
  <c r="S187" i="13"/>
  <c r="AK187" i="13" s="1"/>
  <c r="P187" i="13"/>
  <c r="O187" i="13"/>
  <c r="N187" i="13"/>
  <c r="T186" i="13"/>
  <c r="U186" i="13" s="1"/>
  <c r="S186" i="13"/>
  <c r="AK186" i="13" s="1"/>
  <c r="P186" i="13"/>
  <c r="O186" i="13"/>
  <c r="J186" i="13"/>
  <c r="N186" i="13" s="1"/>
  <c r="T185" i="13"/>
  <c r="U185" i="13" s="1"/>
  <c r="S185" i="13"/>
  <c r="AK185" i="13" s="1"/>
  <c r="P185" i="13"/>
  <c r="O185" i="13"/>
  <c r="N185" i="13"/>
  <c r="T184" i="13"/>
  <c r="U184" i="13" s="1"/>
  <c r="S184" i="13"/>
  <c r="AK184" i="13" s="1"/>
  <c r="P184" i="13"/>
  <c r="O184" i="13"/>
  <c r="N184" i="13"/>
  <c r="T183" i="13"/>
  <c r="U183" i="13" s="1"/>
  <c r="S183" i="13"/>
  <c r="AK183" i="13" s="1"/>
  <c r="P183" i="13"/>
  <c r="O183" i="13"/>
  <c r="N183" i="13"/>
  <c r="T182" i="13"/>
  <c r="U182" i="13" s="1"/>
  <c r="S182" i="13"/>
  <c r="AK182" i="13" s="1"/>
  <c r="P182" i="13"/>
  <c r="O182" i="13"/>
  <c r="J182" i="13"/>
  <c r="N182" i="13" s="1"/>
  <c r="T181" i="13"/>
  <c r="U181" i="13" s="1"/>
  <c r="S181" i="13"/>
  <c r="AK181" i="13" s="1"/>
  <c r="P181" i="13"/>
  <c r="O181" i="13"/>
  <c r="N181" i="13"/>
  <c r="T180" i="13"/>
  <c r="U180" i="13" s="1"/>
  <c r="S180" i="13"/>
  <c r="AK180" i="13" s="1"/>
  <c r="P180" i="13"/>
  <c r="O180" i="13"/>
  <c r="J180" i="13"/>
  <c r="N180" i="13" s="1"/>
  <c r="T179" i="13"/>
  <c r="U179" i="13" s="1"/>
  <c r="S179" i="13"/>
  <c r="AK179" i="13" s="1"/>
  <c r="P179" i="13"/>
  <c r="O179" i="13"/>
  <c r="N179" i="13"/>
  <c r="T178" i="13"/>
  <c r="U178" i="13" s="1"/>
  <c r="S178" i="13"/>
  <c r="AK178" i="13" s="1"/>
  <c r="P178" i="13"/>
  <c r="O178" i="13"/>
  <c r="N178" i="13"/>
  <c r="T177" i="13"/>
  <c r="U177" i="13" s="1"/>
  <c r="S177" i="13"/>
  <c r="AK177" i="13" s="1"/>
  <c r="P177" i="13"/>
  <c r="O177" i="13"/>
  <c r="N177" i="13"/>
  <c r="T176" i="13"/>
  <c r="U176" i="13" s="1"/>
  <c r="S176" i="13"/>
  <c r="AK176" i="13" s="1"/>
  <c r="P176" i="13"/>
  <c r="O176" i="13"/>
  <c r="N176" i="13"/>
  <c r="T175" i="13"/>
  <c r="U175" i="13" s="1"/>
  <c r="S175" i="13"/>
  <c r="AK175" i="13" s="1"/>
  <c r="P175" i="13"/>
  <c r="O175" i="13"/>
  <c r="N175" i="13"/>
  <c r="T174" i="13"/>
  <c r="U174" i="13" s="1"/>
  <c r="S174" i="13"/>
  <c r="AK174" i="13" s="1"/>
  <c r="P174" i="13"/>
  <c r="O174" i="13"/>
  <c r="J174" i="13"/>
  <c r="N174" i="13" s="1"/>
  <c r="T173" i="13"/>
  <c r="U173" i="13" s="1"/>
  <c r="S173" i="13"/>
  <c r="AK173" i="13" s="1"/>
  <c r="P173" i="13"/>
  <c r="O173" i="13"/>
  <c r="J173" i="13"/>
  <c r="N173" i="13" s="1"/>
  <c r="T172" i="13"/>
  <c r="U172" i="13" s="1"/>
  <c r="S172" i="13"/>
  <c r="AK172" i="13" s="1"/>
  <c r="P172" i="13"/>
  <c r="O172" i="13"/>
  <c r="N172" i="13"/>
  <c r="T171" i="13"/>
  <c r="U171" i="13" s="1"/>
  <c r="S171" i="13"/>
  <c r="AK171" i="13" s="1"/>
  <c r="P171" i="13"/>
  <c r="O171" i="13"/>
  <c r="N171" i="13"/>
  <c r="T170" i="13"/>
  <c r="U170" i="13" s="1"/>
  <c r="S170" i="13"/>
  <c r="AK170" i="13" s="1"/>
  <c r="P170" i="13"/>
  <c r="O170" i="13"/>
  <c r="N170" i="13"/>
  <c r="T169" i="13"/>
  <c r="U169" i="13" s="1"/>
  <c r="S169" i="13"/>
  <c r="AK169" i="13" s="1"/>
  <c r="P169" i="13"/>
  <c r="O169" i="13"/>
  <c r="J169" i="13"/>
  <c r="N169" i="13" s="1"/>
  <c r="T168" i="13"/>
  <c r="U168" i="13" s="1"/>
  <c r="S168" i="13"/>
  <c r="AK168" i="13" s="1"/>
  <c r="P168" i="13"/>
  <c r="O168" i="13"/>
  <c r="J168" i="13"/>
  <c r="N168" i="13" s="1"/>
  <c r="T167" i="13"/>
  <c r="U167" i="13" s="1"/>
  <c r="S167" i="13"/>
  <c r="AK167" i="13" s="1"/>
  <c r="P167" i="13"/>
  <c r="O167" i="13"/>
  <c r="N167" i="13"/>
  <c r="T166" i="13"/>
  <c r="U166" i="13" s="1"/>
  <c r="S166" i="13"/>
  <c r="AK166" i="13" s="1"/>
  <c r="P166" i="13"/>
  <c r="O166" i="13"/>
  <c r="J166" i="13"/>
  <c r="N166" i="13" s="1"/>
  <c r="T165" i="13"/>
  <c r="U165" i="13" s="1"/>
  <c r="S165" i="13"/>
  <c r="AK165" i="13" s="1"/>
  <c r="P165" i="13"/>
  <c r="O165" i="13"/>
  <c r="J165" i="13"/>
  <c r="N165" i="13" s="1"/>
  <c r="T164" i="13"/>
  <c r="U164" i="13" s="1"/>
  <c r="S164" i="13"/>
  <c r="AK164" i="13" s="1"/>
  <c r="P164" i="13"/>
  <c r="O164" i="13"/>
  <c r="J164" i="13"/>
  <c r="N164" i="13" s="1"/>
  <c r="T163" i="13"/>
  <c r="U163" i="13" s="1"/>
  <c r="S163" i="13"/>
  <c r="AK163" i="13" s="1"/>
  <c r="P163" i="13"/>
  <c r="O163" i="13"/>
  <c r="J163" i="13"/>
  <c r="N163" i="13" s="1"/>
  <c r="T162" i="13"/>
  <c r="U162" i="13" s="1"/>
  <c r="S162" i="13"/>
  <c r="AK162" i="13" s="1"/>
  <c r="P162" i="13"/>
  <c r="O162" i="13"/>
  <c r="J162" i="13"/>
  <c r="N162" i="13" s="1"/>
  <c r="T161" i="13"/>
  <c r="U161" i="13" s="1"/>
  <c r="S161" i="13"/>
  <c r="AK161" i="13" s="1"/>
  <c r="P161" i="13"/>
  <c r="O161" i="13"/>
  <c r="J161" i="13"/>
  <c r="N161" i="13" s="1"/>
  <c r="T160" i="13"/>
  <c r="U160" i="13" s="1"/>
  <c r="S160" i="13"/>
  <c r="AK160" i="13" s="1"/>
  <c r="P160" i="13"/>
  <c r="O160" i="13"/>
  <c r="N160" i="13"/>
  <c r="T159" i="13"/>
  <c r="U159" i="13" s="1"/>
  <c r="S159" i="13"/>
  <c r="AK159" i="13" s="1"/>
  <c r="P159" i="13"/>
  <c r="O159" i="13"/>
  <c r="N159" i="13"/>
  <c r="T158" i="13"/>
  <c r="U158" i="13" s="1"/>
  <c r="S158" i="13"/>
  <c r="AK158" i="13" s="1"/>
  <c r="P158" i="13"/>
  <c r="O158" i="13"/>
  <c r="N158" i="13"/>
  <c r="T157" i="13"/>
  <c r="U157" i="13" s="1"/>
  <c r="S157" i="13"/>
  <c r="AK157" i="13" s="1"/>
  <c r="P157" i="13"/>
  <c r="O157" i="13"/>
  <c r="J157" i="13"/>
  <c r="N157" i="13" s="1"/>
  <c r="T156" i="13"/>
  <c r="U156" i="13" s="1"/>
  <c r="S156" i="13"/>
  <c r="AK156" i="13" s="1"/>
  <c r="P156" i="13"/>
  <c r="O156" i="13"/>
  <c r="J156" i="13"/>
  <c r="N156" i="13" s="1"/>
  <c r="T155" i="13"/>
  <c r="U155" i="13" s="1"/>
  <c r="S155" i="13"/>
  <c r="AK155" i="13" s="1"/>
  <c r="P155" i="13"/>
  <c r="O155" i="13"/>
  <c r="J155" i="13"/>
  <c r="N155" i="13" s="1"/>
  <c r="T154" i="13"/>
  <c r="U154" i="13" s="1"/>
  <c r="S154" i="13"/>
  <c r="AK154" i="13" s="1"/>
  <c r="P154" i="13"/>
  <c r="O154" i="13"/>
  <c r="J154" i="13"/>
  <c r="N154" i="13" s="1"/>
  <c r="T153" i="13"/>
  <c r="U153" i="13" s="1"/>
  <c r="S153" i="13"/>
  <c r="AK153" i="13" s="1"/>
  <c r="P153" i="13"/>
  <c r="O153" i="13"/>
  <c r="I153" i="13"/>
  <c r="N153" i="13" s="1"/>
  <c r="T152" i="13"/>
  <c r="U152" i="13" s="1"/>
  <c r="S152" i="13"/>
  <c r="AK152" i="13" s="1"/>
  <c r="P152" i="13"/>
  <c r="O152" i="13"/>
  <c r="J152" i="13"/>
  <c r="N152" i="13" s="1"/>
  <c r="T151" i="13"/>
  <c r="U151" i="13" s="1"/>
  <c r="S151" i="13"/>
  <c r="AK151" i="13" s="1"/>
  <c r="P151" i="13"/>
  <c r="O151" i="13"/>
  <c r="N151" i="13"/>
  <c r="T150" i="13"/>
  <c r="U150" i="13" s="1"/>
  <c r="S150" i="13"/>
  <c r="AK150" i="13" s="1"/>
  <c r="P150" i="13"/>
  <c r="O150" i="13"/>
  <c r="J150" i="13"/>
  <c r="N150" i="13" s="1"/>
  <c r="T149" i="13"/>
  <c r="U149" i="13" s="1"/>
  <c r="S149" i="13"/>
  <c r="AK149" i="13" s="1"/>
  <c r="P149" i="13"/>
  <c r="O149" i="13"/>
  <c r="J149" i="13"/>
  <c r="N149" i="13" s="1"/>
  <c r="T148" i="13"/>
  <c r="U148" i="13" s="1"/>
  <c r="S148" i="13"/>
  <c r="AK148" i="13" s="1"/>
  <c r="P148" i="13"/>
  <c r="O148" i="13"/>
  <c r="N148" i="13"/>
  <c r="T147" i="13"/>
  <c r="U147" i="13" s="1"/>
  <c r="S147" i="13"/>
  <c r="AK147" i="13" s="1"/>
  <c r="P147" i="13"/>
  <c r="O147" i="13"/>
  <c r="N147" i="13"/>
  <c r="T146" i="13"/>
  <c r="U146" i="13" s="1"/>
  <c r="S146" i="13"/>
  <c r="AK146" i="13" s="1"/>
  <c r="P146" i="13"/>
  <c r="O146" i="13"/>
  <c r="J146" i="13"/>
  <c r="N146" i="13" s="1"/>
  <c r="T145" i="13"/>
  <c r="U145" i="13" s="1"/>
  <c r="S145" i="13"/>
  <c r="AK145" i="13" s="1"/>
  <c r="P145" i="13"/>
  <c r="O145" i="13"/>
  <c r="N145" i="13"/>
  <c r="T144" i="13"/>
  <c r="U144" i="13" s="1"/>
  <c r="S144" i="13"/>
  <c r="AK144" i="13" s="1"/>
  <c r="P144" i="13"/>
  <c r="O144" i="13"/>
  <c r="N144" i="13"/>
  <c r="T143" i="13"/>
  <c r="U143" i="13" s="1"/>
  <c r="S143" i="13"/>
  <c r="AK143" i="13" s="1"/>
  <c r="P143" i="13"/>
  <c r="O143" i="13"/>
  <c r="N143" i="13"/>
  <c r="T142" i="13"/>
  <c r="U142" i="13" s="1"/>
  <c r="S142" i="13"/>
  <c r="AK142" i="13" s="1"/>
  <c r="P142" i="13"/>
  <c r="O142" i="13"/>
  <c r="N142" i="13"/>
  <c r="T141" i="13"/>
  <c r="U141" i="13" s="1"/>
  <c r="S141" i="13"/>
  <c r="AK141" i="13" s="1"/>
  <c r="P141" i="13"/>
  <c r="O141" i="13"/>
  <c r="N141" i="13"/>
  <c r="T140" i="13"/>
  <c r="U140" i="13" s="1"/>
  <c r="S140" i="13"/>
  <c r="AK140" i="13" s="1"/>
  <c r="P140" i="13"/>
  <c r="O140" i="13"/>
  <c r="J140" i="13"/>
  <c r="I140" i="13"/>
  <c r="T139" i="13"/>
  <c r="U139" i="13" s="1"/>
  <c r="S139" i="13"/>
  <c r="AK139" i="13" s="1"/>
  <c r="P139" i="13"/>
  <c r="O139" i="13"/>
  <c r="N139" i="13"/>
  <c r="T138" i="13"/>
  <c r="U138" i="13" s="1"/>
  <c r="S138" i="13"/>
  <c r="AK138" i="13" s="1"/>
  <c r="P138" i="13"/>
  <c r="O138" i="13"/>
  <c r="J138" i="13"/>
  <c r="N138" i="13" s="1"/>
  <c r="T137" i="13"/>
  <c r="U137" i="13" s="1"/>
  <c r="S137" i="13"/>
  <c r="AK137" i="13" s="1"/>
  <c r="P137" i="13"/>
  <c r="O137" i="13"/>
  <c r="J137" i="13"/>
  <c r="N137" i="13" s="1"/>
  <c r="T136" i="13"/>
  <c r="U136" i="13" s="1"/>
  <c r="S136" i="13"/>
  <c r="AK136" i="13" s="1"/>
  <c r="P136" i="13"/>
  <c r="O136" i="13"/>
  <c r="J136" i="13"/>
  <c r="N136" i="13" s="1"/>
  <c r="T135" i="13"/>
  <c r="U135" i="13" s="1"/>
  <c r="S135" i="13"/>
  <c r="AK135" i="13" s="1"/>
  <c r="P135" i="13"/>
  <c r="O135" i="13"/>
  <c r="J135" i="13"/>
  <c r="N135" i="13" s="1"/>
  <c r="T134" i="13"/>
  <c r="U134" i="13" s="1"/>
  <c r="S134" i="13"/>
  <c r="AK134" i="13" s="1"/>
  <c r="P134" i="13"/>
  <c r="O134" i="13"/>
  <c r="J134" i="13"/>
  <c r="N134" i="13" s="1"/>
  <c r="T133" i="13"/>
  <c r="U133" i="13" s="1"/>
  <c r="S133" i="13"/>
  <c r="AK133" i="13" s="1"/>
  <c r="P133" i="13"/>
  <c r="O133" i="13"/>
  <c r="J133" i="13"/>
  <c r="N133" i="13" s="1"/>
  <c r="T132" i="13"/>
  <c r="U132" i="13" s="1"/>
  <c r="S132" i="13"/>
  <c r="AK132" i="13" s="1"/>
  <c r="P132" i="13"/>
  <c r="O132" i="13"/>
  <c r="J132" i="13"/>
  <c r="N132" i="13" s="1"/>
  <c r="T131" i="13"/>
  <c r="U131" i="13" s="1"/>
  <c r="S131" i="13"/>
  <c r="AK131" i="13" s="1"/>
  <c r="P131" i="13"/>
  <c r="O131" i="13"/>
  <c r="J131" i="13"/>
  <c r="N131" i="13" s="1"/>
  <c r="T130" i="13"/>
  <c r="U130" i="13" s="1"/>
  <c r="S130" i="13"/>
  <c r="AK130" i="13" s="1"/>
  <c r="P130" i="13"/>
  <c r="O130" i="13"/>
  <c r="J130" i="13"/>
  <c r="N130" i="13" s="1"/>
  <c r="T129" i="13"/>
  <c r="U129" i="13" s="1"/>
  <c r="S129" i="13"/>
  <c r="AK129" i="13" s="1"/>
  <c r="P129" i="13"/>
  <c r="O129" i="13"/>
  <c r="N129" i="13"/>
  <c r="T128" i="13"/>
  <c r="U128" i="13" s="1"/>
  <c r="S128" i="13"/>
  <c r="AK128" i="13" s="1"/>
  <c r="P128" i="13"/>
  <c r="O128" i="13"/>
  <c r="J128" i="13"/>
  <c r="N128" i="13" s="1"/>
  <c r="T127" i="13"/>
  <c r="U127" i="13" s="1"/>
  <c r="S127" i="13"/>
  <c r="AK127" i="13" s="1"/>
  <c r="P127" i="13"/>
  <c r="O127" i="13"/>
  <c r="J127" i="13"/>
  <c r="N127" i="13" s="1"/>
  <c r="T126" i="13"/>
  <c r="U126" i="13" s="1"/>
  <c r="S126" i="13"/>
  <c r="AK126" i="13" s="1"/>
  <c r="P126" i="13"/>
  <c r="O126" i="13"/>
  <c r="J126" i="13"/>
  <c r="N126" i="13" s="1"/>
  <c r="T125" i="13"/>
  <c r="U125" i="13" s="1"/>
  <c r="S125" i="13"/>
  <c r="AK125" i="13" s="1"/>
  <c r="P125" i="13"/>
  <c r="O125" i="13"/>
  <c r="N125" i="13"/>
  <c r="T124" i="13"/>
  <c r="U124" i="13" s="1"/>
  <c r="S124" i="13"/>
  <c r="AK124" i="13" s="1"/>
  <c r="P124" i="13"/>
  <c r="O124" i="13"/>
  <c r="N124" i="13"/>
  <c r="T123" i="13"/>
  <c r="U123" i="13" s="1"/>
  <c r="S123" i="13"/>
  <c r="AK123" i="13" s="1"/>
  <c r="P123" i="13"/>
  <c r="O123" i="13"/>
  <c r="J123" i="13"/>
  <c r="N123" i="13" s="1"/>
  <c r="T122" i="13"/>
  <c r="U122" i="13" s="1"/>
  <c r="S122" i="13"/>
  <c r="AK122" i="13" s="1"/>
  <c r="P122" i="13"/>
  <c r="O122" i="13"/>
  <c r="J122" i="13"/>
  <c r="N122" i="13" s="1"/>
  <c r="T121" i="13"/>
  <c r="U121" i="13" s="1"/>
  <c r="S121" i="13"/>
  <c r="AK121" i="13" s="1"/>
  <c r="P121" i="13"/>
  <c r="O121" i="13"/>
  <c r="N121" i="13"/>
  <c r="T120" i="13"/>
  <c r="U120" i="13" s="1"/>
  <c r="S120" i="13"/>
  <c r="AK120" i="13" s="1"/>
  <c r="P120" i="13"/>
  <c r="O120" i="13"/>
  <c r="N120" i="13"/>
  <c r="T119" i="13"/>
  <c r="U119" i="13" s="1"/>
  <c r="S119" i="13"/>
  <c r="AK119" i="13" s="1"/>
  <c r="P119" i="13"/>
  <c r="O119" i="13"/>
  <c r="N119" i="13"/>
  <c r="T118" i="13"/>
  <c r="U118" i="13" s="1"/>
  <c r="S118" i="13"/>
  <c r="AK118" i="13" s="1"/>
  <c r="P118" i="13"/>
  <c r="O118" i="13"/>
  <c r="N118" i="13"/>
  <c r="T117" i="13"/>
  <c r="U117" i="13" s="1"/>
  <c r="S117" i="13"/>
  <c r="AK117" i="13" s="1"/>
  <c r="P117" i="13"/>
  <c r="O117" i="13"/>
  <c r="N117" i="13"/>
  <c r="T116" i="13"/>
  <c r="U116" i="13" s="1"/>
  <c r="S116" i="13"/>
  <c r="AK116" i="13" s="1"/>
  <c r="P116" i="13"/>
  <c r="O116" i="13"/>
  <c r="J116" i="13"/>
  <c r="N116" i="13" s="1"/>
  <c r="T115" i="13"/>
  <c r="U115" i="13" s="1"/>
  <c r="S115" i="13"/>
  <c r="AK115" i="13" s="1"/>
  <c r="P115" i="13"/>
  <c r="O115" i="13"/>
  <c r="N115" i="13"/>
  <c r="T114" i="13"/>
  <c r="U114" i="13" s="1"/>
  <c r="S114" i="13"/>
  <c r="AK114" i="13" s="1"/>
  <c r="P114" i="13"/>
  <c r="O114" i="13"/>
  <c r="N114" i="13"/>
  <c r="T113" i="13"/>
  <c r="U113" i="13" s="1"/>
  <c r="S113" i="13"/>
  <c r="AK113" i="13" s="1"/>
  <c r="P113" i="13"/>
  <c r="O113" i="13"/>
  <c r="N113" i="13"/>
  <c r="M52" i="15" l="1"/>
  <c r="N52" i="15" s="1"/>
  <c r="I52" i="15"/>
  <c r="L52" i="15" s="1"/>
  <c r="R505" i="13"/>
  <c r="R198" i="13"/>
  <c r="R331" i="13"/>
  <c r="R468" i="13"/>
  <c r="R436" i="13"/>
  <c r="R581" i="13"/>
  <c r="R116" i="13"/>
  <c r="R149" i="13"/>
  <c r="R158" i="13"/>
  <c r="R205" i="13"/>
  <c r="R209" i="13"/>
  <c r="R231" i="13"/>
  <c r="R242" i="13"/>
  <c r="R245" i="13"/>
  <c r="R249" i="13"/>
  <c r="R266" i="13"/>
  <c r="R282" i="13"/>
  <c r="R286" i="13"/>
  <c r="R289" i="13"/>
  <c r="R299" i="13"/>
  <c r="R302" i="13"/>
  <c r="R313" i="13"/>
  <c r="R317" i="13"/>
  <c r="R319" i="13"/>
  <c r="R323" i="13"/>
  <c r="R337" i="13"/>
  <c r="R339" i="13"/>
  <c r="R353" i="13"/>
  <c r="R358" i="13"/>
  <c r="R362" i="13"/>
  <c r="R365" i="13"/>
  <c r="R385" i="13"/>
  <c r="R389" i="13"/>
  <c r="R396" i="13"/>
  <c r="R400" i="13"/>
  <c r="R402" i="13"/>
  <c r="R404" i="13"/>
  <c r="R407" i="13"/>
  <c r="R412" i="13"/>
  <c r="R420" i="13"/>
  <c r="R423" i="13"/>
  <c r="R428" i="13"/>
  <c r="R437" i="13"/>
  <c r="R452" i="13"/>
  <c r="R459" i="13"/>
  <c r="R485" i="13"/>
  <c r="R487" i="13"/>
  <c r="R504" i="13"/>
  <c r="R515" i="13"/>
  <c r="R525" i="13"/>
  <c r="R526" i="13"/>
  <c r="R538" i="13"/>
  <c r="R550" i="13"/>
  <c r="R564" i="13"/>
  <c r="R566" i="13"/>
  <c r="R570" i="13"/>
  <c r="R576" i="13"/>
  <c r="R578" i="13"/>
  <c r="R588" i="13"/>
  <c r="R599" i="13"/>
  <c r="R608" i="13"/>
  <c r="R609" i="13"/>
  <c r="R612" i="13"/>
  <c r="R613" i="13"/>
  <c r="R618" i="13"/>
  <c r="R654" i="13"/>
  <c r="R657" i="13"/>
  <c r="R668" i="13"/>
  <c r="R671" i="13"/>
  <c r="R679" i="13"/>
  <c r="R684" i="13"/>
  <c r="R690" i="13"/>
  <c r="R694" i="13"/>
  <c r="R711" i="13"/>
  <c r="R725" i="13"/>
  <c r="R733" i="13"/>
  <c r="R742" i="13"/>
  <c r="R750" i="13"/>
  <c r="R752" i="13"/>
  <c r="R759" i="13"/>
  <c r="R765" i="13"/>
  <c r="R780" i="13"/>
  <c r="R131" i="13"/>
  <c r="R141" i="13"/>
  <c r="R145" i="13"/>
  <c r="R154" i="13"/>
  <c r="R163" i="13"/>
  <c r="R176" i="13"/>
  <c r="R114" i="13"/>
  <c r="R119" i="13"/>
  <c r="R122" i="13"/>
  <c r="R133" i="13"/>
  <c r="R137" i="13"/>
  <c r="R139" i="13"/>
  <c r="R140" i="13"/>
  <c r="R166" i="13"/>
  <c r="R182" i="13"/>
  <c r="R197" i="13"/>
  <c r="R207" i="13"/>
  <c r="R218" i="13"/>
  <c r="R224" i="13"/>
  <c r="R236" i="13"/>
  <c r="R239" i="13"/>
  <c r="R253" i="13"/>
  <c r="R258" i="13"/>
  <c r="R271" i="13"/>
  <c r="R276" i="13"/>
  <c r="R285" i="13"/>
  <c r="R311" i="13"/>
  <c r="R321" i="13"/>
  <c r="R330" i="13"/>
  <c r="R350" i="13"/>
  <c r="R371" i="13"/>
  <c r="R373" i="13"/>
  <c r="R378" i="13"/>
  <c r="R381" i="13"/>
  <c r="R406" i="13"/>
  <c r="R425" i="13"/>
  <c r="R432" i="13"/>
  <c r="R439" i="13"/>
  <c r="R449" i="13"/>
  <c r="R470" i="13"/>
  <c r="R473" i="13"/>
  <c r="R480" i="13"/>
  <c r="R498" i="13"/>
  <c r="R502" i="13"/>
  <c r="R516" i="13"/>
  <c r="R519" i="13"/>
  <c r="R524" i="13"/>
  <c r="R528" i="13"/>
  <c r="R531" i="13"/>
  <c r="R533" i="13"/>
  <c r="R536" i="13"/>
  <c r="R537" i="13"/>
  <c r="R547" i="13"/>
  <c r="R557" i="13"/>
  <c r="R559" i="13"/>
  <c r="R563" i="13"/>
  <c r="R573" i="13"/>
  <c r="R575" i="13"/>
  <c r="R586" i="13"/>
  <c r="R605" i="13"/>
  <c r="R623" i="13"/>
  <c r="R628" i="13"/>
  <c r="R630" i="13"/>
  <c r="R636" i="13"/>
  <c r="R642" i="13"/>
  <c r="R650" i="13"/>
  <c r="R652" i="13"/>
  <c r="R659" i="13"/>
  <c r="R674" i="13"/>
  <c r="R686" i="13"/>
  <c r="R692" i="13"/>
  <c r="R699" i="13"/>
  <c r="R700" i="13"/>
  <c r="R704" i="13"/>
  <c r="R709" i="13"/>
  <c r="R717" i="13"/>
  <c r="R719" i="13"/>
  <c r="R730" i="13"/>
  <c r="R744" i="13"/>
  <c r="R747" i="13"/>
  <c r="R754" i="13"/>
  <c r="R757" i="13"/>
  <c r="R762" i="13"/>
  <c r="R772" i="13"/>
  <c r="R778" i="13"/>
  <c r="R283" i="13"/>
  <c r="R293" i="13"/>
  <c r="R306" i="13"/>
  <c r="R315" i="13"/>
  <c r="R325" i="13"/>
  <c r="R335" i="13"/>
  <c r="R345" i="13"/>
  <c r="R346" i="13"/>
  <c r="R359" i="13"/>
  <c r="R364" i="13"/>
  <c r="R367" i="13"/>
  <c r="R368" i="13"/>
  <c r="R386" i="13"/>
  <c r="R392" i="13"/>
  <c r="R394" i="13"/>
  <c r="R398" i="13"/>
  <c r="R419" i="13"/>
  <c r="R427" i="13"/>
  <c r="R430" i="13"/>
  <c r="R441" i="13"/>
  <c r="R446" i="13"/>
  <c r="R454" i="13"/>
  <c r="R456" i="13"/>
  <c r="R486" i="13"/>
  <c r="R495" i="13"/>
  <c r="R501" i="13"/>
  <c r="R508" i="13"/>
  <c r="R511" i="13"/>
  <c r="R521" i="13"/>
  <c r="R540" i="13"/>
  <c r="R552" i="13"/>
  <c r="R556" i="13"/>
  <c r="R568" i="13"/>
  <c r="R620" i="13"/>
  <c r="R626" i="13"/>
  <c r="R635" i="13"/>
  <c r="R640" i="13"/>
  <c r="R644" i="13"/>
  <c r="R648" i="13"/>
  <c r="R656" i="13"/>
  <c r="R658" i="13"/>
  <c r="R660" i="13"/>
  <c r="R670" i="13"/>
  <c r="R677" i="13"/>
  <c r="R693" i="13"/>
  <c r="R702" i="13"/>
  <c r="R713" i="13"/>
  <c r="R715" i="13"/>
  <c r="R723" i="13"/>
  <c r="R735" i="13"/>
  <c r="R741" i="13"/>
  <c r="R751" i="13"/>
  <c r="R767" i="13"/>
  <c r="R770" i="13"/>
  <c r="R774" i="13"/>
  <c r="R136" i="13"/>
  <c r="R177" i="13"/>
  <c r="R190" i="13"/>
  <c r="R288" i="13"/>
  <c r="R291" i="13"/>
  <c r="R300" i="13"/>
  <c r="R305" i="13"/>
  <c r="R124" i="13"/>
  <c r="R125" i="13"/>
  <c r="R130" i="13"/>
  <c r="R134" i="13"/>
  <c r="R144" i="13"/>
  <c r="R148" i="13"/>
  <c r="R153" i="13"/>
  <c r="R157" i="13"/>
  <c r="R167" i="13"/>
  <c r="R170" i="13"/>
  <c r="R174" i="13"/>
  <c r="R181" i="13"/>
  <c r="R183" i="13"/>
  <c r="R186" i="13"/>
  <c r="R193" i="13"/>
  <c r="R204" i="13"/>
  <c r="R213" i="13"/>
  <c r="R220" i="13"/>
  <c r="R226" i="13"/>
  <c r="R241" i="13"/>
  <c r="R244" i="13"/>
  <c r="R248" i="13"/>
  <c r="R255" i="13"/>
  <c r="R260" i="13"/>
  <c r="R273" i="13"/>
  <c r="R281" i="13"/>
  <c r="R298" i="13"/>
  <c r="R318" i="13"/>
  <c r="R322" i="13"/>
  <c r="R327" i="13"/>
  <c r="R328" i="13"/>
  <c r="R352" i="13"/>
  <c r="R354" i="13"/>
  <c r="R357" i="13"/>
  <c r="R370" i="13"/>
  <c r="R375" i="13"/>
  <c r="R383" i="13"/>
  <c r="R388" i="13"/>
  <c r="R393" i="13"/>
  <c r="R395" i="13"/>
  <c r="R413" i="13"/>
  <c r="R416" i="13"/>
  <c r="R422" i="13"/>
  <c r="R426" i="13"/>
  <c r="R440" i="13"/>
  <c r="R444" i="13"/>
  <c r="R445" i="13"/>
  <c r="R451" i="13"/>
  <c r="R462" i="13"/>
  <c r="R464" i="13"/>
  <c r="R467" i="13"/>
  <c r="R475" i="13"/>
  <c r="R490" i="13"/>
  <c r="R514" i="13"/>
  <c r="R542" i="13"/>
  <c r="R549" i="13"/>
  <c r="R561" i="13"/>
  <c r="R565" i="13"/>
  <c r="R569" i="13"/>
  <c r="R583" i="13"/>
  <c r="R603" i="13"/>
  <c r="R615" i="13"/>
  <c r="R617" i="13"/>
  <c r="R625" i="13"/>
  <c r="R638" i="13"/>
  <c r="R651" i="13"/>
  <c r="R664" i="13"/>
  <c r="R667" i="13"/>
  <c r="R701" i="13"/>
  <c r="R707" i="13"/>
  <c r="R710" i="13"/>
  <c r="R721" i="13"/>
  <c r="R732" i="13"/>
  <c r="R739" i="13"/>
  <c r="R749" i="13"/>
  <c r="R756" i="13"/>
  <c r="R764" i="13"/>
  <c r="R766" i="13"/>
  <c r="R143" i="13"/>
  <c r="R150" i="13"/>
  <c r="R215" i="13"/>
  <c r="R113" i="13"/>
  <c r="R115" i="13"/>
  <c r="R118" i="13"/>
  <c r="R121" i="13"/>
  <c r="R127" i="13"/>
  <c r="R147" i="13"/>
  <c r="R151" i="13"/>
  <c r="R160" i="13"/>
  <c r="R165" i="13"/>
  <c r="R172" i="13"/>
  <c r="R179" i="13"/>
  <c r="R185" i="13"/>
  <c r="R189" i="13"/>
  <c r="R200" i="13"/>
  <c r="R201" i="13"/>
  <c r="R206" i="13"/>
  <c r="R217" i="13"/>
  <c r="R223" i="13"/>
  <c r="R230" i="13"/>
  <c r="R234" i="13"/>
  <c r="R235" i="13"/>
  <c r="R238" i="13"/>
  <c r="R247" i="13"/>
  <c r="R252" i="13"/>
  <c r="R257" i="13"/>
  <c r="R270" i="13"/>
  <c r="R275" i="13"/>
  <c r="R284" i="13"/>
  <c r="R296" i="13"/>
  <c r="R308" i="13"/>
  <c r="R316" i="13"/>
  <c r="R332" i="13"/>
  <c r="R336" i="13"/>
  <c r="R342" i="13"/>
  <c r="R355" i="13"/>
  <c r="R377" i="13"/>
  <c r="R380" i="13"/>
  <c r="R405" i="13"/>
  <c r="R424" i="13"/>
  <c r="R443" i="13"/>
  <c r="R448" i="13"/>
  <c r="R466" i="13"/>
  <c r="R469" i="13"/>
  <c r="R472" i="13"/>
  <c r="R477" i="13"/>
  <c r="R482" i="13"/>
  <c r="R492" i="13"/>
  <c r="R497" i="13"/>
  <c r="R507" i="13"/>
  <c r="R513" i="13"/>
  <c r="R523" i="13"/>
  <c r="R527" i="13"/>
  <c r="R529" i="13"/>
  <c r="R535" i="13"/>
  <c r="R546" i="13"/>
  <c r="R562" i="13"/>
  <c r="R571" i="13"/>
  <c r="R572" i="13"/>
  <c r="R580" i="13"/>
  <c r="R597" i="13"/>
  <c r="R598" i="13"/>
  <c r="R602" i="13"/>
  <c r="R622" i="13"/>
  <c r="R629" i="13"/>
  <c r="R633" i="13"/>
  <c r="R641" i="13"/>
  <c r="R646" i="13"/>
  <c r="R647" i="13"/>
  <c r="R661" i="13"/>
  <c r="R666" i="13"/>
  <c r="R673" i="13"/>
  <c r="R682" i="13"/>
  <c r="R683" i="13"/>
  <c r="R685" i="13"/>
  <c r="R687" i="13"/>
  <c r="R691" i="13"/>
  <c r="R697" i="13"/>
  <c r="R698" i="13"/>
  <c r="R703" i="13"/>
  <c r="R708" i="13"/>
  <c r="R716" i="13"/>
  <c r="R718" i="13"/>
  <c r="R720" i="13"/>
  <c r="R729" i="13"/>
  <c r="R737" i="13"/>
  <c r="R743" i="13"/>
  <c r="R746" i="13"/>
  <c r="R753" i="13"/>
  <c r="R761" i="13"/>
  <c r="R773" i="13"/>
  <c r="R777" i="13"/>
  <c r="R783" i="13"/>
  <c r="R132" i="13"/>
  <c r="R199" i="13"/>
  <c r="R228" i="13"/>
  <c r="R262" i="13"/>
  <c r="R264" i="13"/>
  <c r="R117" i="13"/>
  <c r="R135" i="13"/>
  <c r="R142" i="13"/>
  <c r="R155" i="13"/>
  <c r="R159" i="13"/>
  <c r="R162" i="13"/>
  <c r="R187" i="13"/>
  <c r="R191" i="13"/>
  <c r="R194" i="13"/>
  <c r="R208" i="13"/>
  <c r="R210" i="13"/>
  <c r="R212" i="13"/>
  <c r="R232" i="13"/>
  <c r="R250" i="13"/>
  <c r="R261" i="13"/>
  <c r="R268" i="13"/>
  <c r="R274" i="13"/>
  <c r="R278" i="13"/>
  <c r="R287" i="13"/>
  <c r="R290" i="13"/>
  <c r="R292" i="13"/>
  <c r="R294" i="13"/>
  <c r="R303" i="13"/>
  <c r="R307" i="13"/>
  <c r="R310" i="13"/>
  <c r="R314" i="13"/>
  <c r="R324" i="13"/>
  <c r="R334" i="13"/>
  <c r="R338" i="13"/>
  <c r="R340" i="13"/>
  <c r="R344" i="13"/>
  <c r="R347" i="13"/>
  <c r="R366" i="13"/>
  <c r="R397" i="13"/>
  <c r="R401" i="13"/>
  <c r="R403" i="13"/>
  <c r="R408" i="13"/>
  <c r="R417" i="13"/>
  <c r="R429" i="13"/>
  <c r="R431" i="13"/>
  <c r="R433" i="13"/>
  <c r="R438" i="13"/>
  <c r="R453" i="13"/>
  <c r="R455" i="13"/>
  <c r="R457" i="13"/>
  <c r="R465" i="13"/>
  <c r="R478" i="13"/>
  <c r="R483" i="13"/>
  <c r="R484" i="13"/>
  <c r="R489" i="13"/>
  <c r="R493" i="13"/>
  <c r="R494" i="13"/>
  <c r="R510" i="13"/>
  <c r="R539" i="13"/>
  <c r="R544" i="13"/>
  <c r="R551" i="13"/>
  <c r="R558" i="13"/>
  <c r="R567" i="13"/>
  <c r="R579" i="13"/>
  <c r="R589" i="13"/>
  <c r="R591" i="13"/>
  <c r="R600" i="13"/>
  <c r="R606" i="13"/>
  <c r="R611" i="13"/>
  <c r="R619" i="13"/>
  <c r="R627" i="13"/>
  <c r="R632" i="13"/>
  <c r="R634" i="13"/>
  <c r="R639" i="13"/>
  <c r="R655" i="13"/>
  <c r="R665" i="13"/>
  <c r="R669" i="13"/>
  <c r="R676" i="13"/>
  <c r="R688" i="13"/>
  <c r="R695" i="13"/>
  <c r="R712" i="13"/>
  <c r="R722" i="13"/>
  <c r="R726" i="13"/>
  <c r="R728" i="13"/>
  <c r="R734" i="13"/>
  <c r="R738" i="13"/>
  <c r="R740" i="13"/>
  <c r="R769" i="13"/>
  <c r="R775" i="13"/>
  <c r="R781" i="13"/>
  <c r="R237" i="13"/>
  <c r="R120" i="13"/>
  <c r="R123" i="13"/>
  <c r="R129" i="13"/>
  <c r="R138" i="13"/>
  <c r="R152" i="13"/>
  <c r="R161" i="13"/>
  <c r="R169" i="13"/>
  <c r="R173" i="13"/>
  <c r="R180" i="13"/>
  <c r="R192" i="13"/>
  <c r="R196" i="13"/>
  <c r="R202" i="13"/>
  <c r="R203" i="13"/>
  <c r="R211" i="13"/>
  <c r="R219" i="13"/>
  <c r="R225" i="13"/>
  <c r="R240" i="13"/>
  <c r="R243" i="13"/>
  <c r="R246" i="13"/>
  <c r="R254" i="13"/>
  <c r="R259" i="13"/>
  <c r="R267" i="13"/>
  <c r="R272" i="13"/>
  <c r="R277" i="13"/>
  <c r="R297" i="13"/>
  <c r="R304" i="13"/>
  <c r="R312" i="13"/>
  <c r="R333" i="13"/>
  <c r="R343" i="13"/>
  <c r="R348" i="13"/>
  <c r="R349" i="13"/>
  <c r="R356" i="13"/>
  <c r="R361" i="13"/>
  <c r="R374" i="13"/>
  <c r="R376" i="13"/>
  <c r="R382" i="13"/>
  <c r="R387" i="13"/>
  <c r="R391" i="13"/>
  <c r="R409" i="13"/>
  <c r="R411" i="13"/>
  <c r="R415" i="13"/>
  <c r="R421" i="13"/>
  <c r="R435" i="13"/>
  <c r="R450" i="13"/>
  <c r="R458" i="13"/>
  <c r="R461" i="13"/>
  <c r="R463" i="13"/>
  <c r="R474" i="13"/>
  <c r="R488" i="13"/>
  <c r="R499" i="13"/>
  <c r="R503" i="13"/>
  <c r="R506" i="13"/>
  <c r="R517" i="13"/>
  <c r="R518" i="13"/>
  <c r="R520" i="13"/>
  <c r="R532" i="13"/>
  <c r="R534" i="13"/>
  <c r="R541" i="13"/>
  <c r="R548" i="13"/>
  <c r="R554" i="13"/>
  <c r="R555" i="13"/>
  <c r="R560" i="13"/>
  <c r="R574" i="13"/>
  <c r="R582" i="13"/>
  <c r="R585" i="13"/>
  <c r="R587" i="13"/>
  <c r="R590" i="13"/>
  <c r="R593" i="13"/>
  <c r="R594" i="13"/>
  <c r="R607" i="13"/>
  <c r="R610" i="13"/>
  <c r="R614" i="13"/>
  <c r="R616" i="13"/>
  <c r="R624" i="13"/>
  <c r="R631" i="13"/>
  <c r="R637" i="13"/>
  <c r="R643" i="13"/>
  <c r="R653" i="13"/>
  <c r="R663" i="13"/>
  <c r="R675" i="13"/>
  <c r="R678" i="13"/>
  <c r="R689" i="13"/>
  <c r="R705" i="13"/>
  <c r="R706" i="13"/>
  <c r="R731" i="13"/>
  <c r="R736" i="13"/>
  <c r="R745" i="13"/>
  <c r="R748" i="13"/>
  <c r="R755" i="13"/>
  <c r="R758" i="13"/>
  <c r="R763" i="13"/>
  <c r="R779" i="13"/>
  <c r="R195" i="13"/>
  <c r="R126" i="13"/>
  <c r="R128" i="13"/>
  <c r="R146" i="13"/>
  <c r="R156" i="13"/>
  <c r="R164" i="13"/>
  <c r="R168" i="13"/>
  <c r="R171" i="13"/>
  <c r="R175" i="13"/>
  <c r="R178" i="13"/>
  <c r="R184" i="13"/>
  <c r="R188" i="13"/>
  <c r="R214" i="13"/>
  <c r="R216" i="13"/>
  <c r="R221" i="13"/>
  <c r="R222" i="13"/>
  <c r="R227" i="13"/>
  <c r="R229" i="13"/>
  <c r="R233" i="13"/>
  <c r="R251" i="13"/>
  <c r="R256" i="13"/>
  <c r="R263" i="13"/>
  <c r="R265" i="13"/>
  <c r="R269" i="13"/>
  <c r="R279" i="13"/>
  <c r="R280" i="13"/>
  <c r="R295" i="13"/>
  <c r="R301" i="13"/>
  <c r="R309" i="13"/>
  <c r="R320" i="13"/>
  <c r="R326" i="13"/>
  <c r="R329" i="13"/>
  <c r="R341" i="13"/>
  <c r="R351" i="13"/>
  <c r="R360" i="13"/>
  <c r="R363" i="13"/>
  <c r="R369" i="13"/>
  <c r="R372" i="13"/>
  <c r="R379" i="13"/>
  <c r="R384" i="13"/>
  <c r="R390" i="13"/>
  <c r="R399" i="13"/>
  <c r="R410" i="13"/>
  <c r="R414" i="13"/>
  <c r="R418" i="13"/>
  <c r="R434" i="13"/>
  <c r="R442" i="13"/>
  <c r="R447" i="13"/>
  <c r="R460" i="13"/>
  <c r="R471" i="13"/>
  <c r="R476" i="13"/>
  <c r="R479" i="13"/>
  <c r="R481" i="13"/>
  <c r="R491" i="13"/>
  <c r="R496" i="13"/>
  <c r="R500" i="13"/>
  <c r="R509" i="13"/>
  <c r="R512" i="13"/>
  <c r="R522" i="13"/>
  <c r="R530" i="13"/>
  <c r="R543" i="13"/>
  <c r="R545" i="13"/>
  <c r="R553" i="13"/>
  <c r="R577" i="13"/>
  <c r="R584" i="13"/>
  <c r="R592" i="13"/>
  <c r="R595" i="13"/>
  <c r="R596" i="13"/>
  <c r="R601" i="13"/>
  <c r="R604" i="13"/>
  <c r="R621" i="13"/>
  <c r="R645" i="13"/>
  <c r="R649" i="13"/>
  <c r="R662" i="13"/>
  <c r="R672" i="13"/>
  <c r="R680" i="13"/>
  <c r="R681" i="13"/>
  <c r="R696" i="13"/>
  <c r="R714" i="13"/>
  <c r="R724" i="13"/>
  <c r="R727" i="13"/>
  <c r="R760" i="13"/>
  <c r="R768" i="13"/>
  <c r="R771" i="13"/>
  <c r="R776" i="13"/>
  <c r="R782" i="13"/>
  <c r="N729" i="13"/>
  <c r="N140" i="13"/>
  <c r="N718" i="13"/>
  <c r="N708" i="13"/>
  <c r="N616" i="13"/>
  <c r="N654" i="13"/>
  <c r="N746" i="13"/>
  <c r="E4" i="12"/>
  <c r="E4" i="4" l="1"/>
  <c r="E8" i="3"/>
  <c r="J25" i="3" l="1"/>
  <c r="J29" i="3"/>
  <c r="J33" i="3"/>
  <c r="J37" i="3"/>
  <c r="J41" i="3"/>
  <c r="J45" i="3"/>
  <c r="K24" i="3"/>
  <c r="K28" i="3"/>
  <c r="K32" i="3"/>
  <c r="K36" i="3"/>
  <c r="K48" i="3"/>
  <c r="J19" i="3"/>
  <c r="J21" i="3"/>
  <c r="J23" i="3"/>
  <c r="J26" i="3"/>
  <c r="J27" i="3"/>
  <c r="J31" i="3"/>
  <c r="J34" i="3"/>
  <c r="J35" i="3"/>
  <c r="J42" i="3"/>
  <c r="J43" i="3"/>
  <c r="J50" i="3"/>
  <c r="J51" i="3"/>
  <c r="K40" i="3" l="1"/>
  <c r="J49" i="3"/>
  <c r="K47" i="3"/>
  <c r="K39" i="3"/>
  <c r="K31" i="3"/>
  <c r="K23" i="3"/>
  <c r="J48" i="3"/>
  <c r="J40" i="3"/>
  <c r="J32" i="3"/>
  <c r="J24" i="3"/>
  <c r="K46" i="3"/>
  <c r="K38" i="3"/>
  <c r="K30" i="3"/>
  <c r="K22" i="3"/>
  <c r="J47" i="3"/>
  <c r="J39" i="3"/>
  <c r="K49" i="3"/>
  <c r="K41" i="3"/>
  <c r="K33" i="3"/>
  <c r="K25" i="3"/>
  <c r="K45" i="3"/>
  <c r="K37" i="3"/>
  <c r="K29" i="3"/>
  <c r="K21" i="3"/>
  <c r="J46" i="3"/>
  <c r="J38" i="3"/>
  <c r="J30" i="3"/>
  <c r="J22" i="3"/>
  <c r="K51" i="3"/>
  <c r="K43" i="3"/>
  <c r="K35" i="3"/>
  <c r="K27" i="3"/>
  <c r="K19" i="3"/>
  <c r="J44" i="3"/>
  <c r="J36" i="3"/>
  <c r="J28" i="3"/>
  <c r="J20" i="3"/>
  <c r="K50" i="3"/>
  <c r="K42" i="3"/>
  <c r="K34" i="3"/>
  <c r="K26" i="3"/>
  <c r="K44" i="3"/>
  <c r="K20" i="3"/>
  <c r="H16" i="3"/>
  <c r="K18" i="3"/>
  <c r="J18" i="3"/>
  <c r="J17" i="3"/>
  <c r="K16" i="3" l="1"/>
  <c r="H52" i="3"/>
  <c r="J16" i="3"/>
  <c r="K17" i="3"/>
  <c r="K52" i="3" l="1"/>
  <c r="M52" i="3" s="1"/>
  <c r="N52" i="3" s="1"/>
  <c r="I52" i="3" l="1"/>
  <c r="L5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9" authorId="0" shapeId="0" xr:uid="{3D76DC04-6736-47C1-9316-70BBF9BF41D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DSCTO PLAN 30/11
800 DSCTO PLAN 31/12
400 DSCTO PLAN 31/01
400 DSCTO PLAN 28/02
400 DSCTO PLAN 31/03
400 DSCTO PLAN 29/04
400 DSCTO PLAN 31/05
400 DSCTO PLAN 30/06
400 DSCTO PLAN 31/07
400 DSCTO PLAN 31/08
400 DSCTO PLAN 30/09
400 DSCTO PLAN 31/10
400 DSCTO PLAN 30/11
444.52 DSCTO PLAN 31/12</t>
        </r>
      </text>
    </comment>
    <comment ref="J34" authorId="0" shapeId="0" xr:uid="{A7AA11B5-D2DB-45F1-A14A-16129B0AF2D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CAJA 11/02
</t>
        </r>
      </text>
    </comment>
    <comment ref="J35" authorId="0" shapeId="0" xr:uid="{F48B0E07-C5DC-4EAD-9757-7034B91F2FB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2000 BCP 11/03
1500 BCP 17/03
</t>
        </r>
      </text>
    </comment>
    <comment ref="J38" authorId="0" shapeId="0" xr:uid="{BB74AFA7-437A-44EC-BFD9-549DB13B510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CAJA 23/05
1000 BBVA 07/06
1000 BBVA 19/06
1000 BBVA 12/07
1000 BBVA 11/08
1000 BBVA 01/09
1000 BBVA 16/09
1000 BBVA 18/10
1000 BBVA 30/10
1000 BBVA 28/11
1000 BBVA 22/12</t>
        </r>
      </text>
    </comment>
    <comment ref="J39" authorId="0" shapeId="0" xr:uid="{7E59331C-7EED-4C4F-BDF2-8A771A644BE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2500 CAJA 20/12
2500 CAJA 20/12</t>
        </r>
      </text>
    </comment>
    <comment ref="J42" authorId="0" shapeId="0" xr:uid="{69D8328F-D5A4-483C-AB21-2F380081BCA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800 BBVA 26/12
200 BBVA 26/12
</t>
        </r>
      </text>
    </comment>
    <comment ref="J43" authorId="0" shapeId="0" xr:uid="{655FA2C4-AAFA-4EEE-9E51-4478DE5E742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2094.46 (592*3.64=2154.88)    BCP $ 01/08
1500 BCP 06/10
1000  BCP 08/12</t>
        </r>
      </text>
    </comment>
    <comment ref="J45" authorId="0" shapeId="0" xr:uid="{D7A531A8-B4EA-461B-B518-AB2D4E7D8A4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593.99 (4270.99) LIQ YOJAN BBVA 27/06
231 ROBO YOHAN
</t>
        </r>
      </text>
    </comment>
    <comment ref="J49" authorId="0" shapeId="0" xr:uid="{FD5B1308-4AD0-43FD-9975-22AE6BCFC4A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1930 BCP 11/07
119.69 (3122.34) BBVA 20/10/22</t>
        </r>
      </text>
    </comment>
    <comment ref="J50" authorId="0" shapeId="0" xr:uid="{416F21F9-31DC-4599-AF91-23919DEC64B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350 (518) BCP 02/08
1000X3=3000 BCP 30/12
500 BCP 30/12</t>
        </r>
      </text>
    </comment>
    <comment ref="J51" authorId="0" shapeId="0" xr:uid="{CA1E9E57-60F0-4789-ABD4-E044391A944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10000 BBVA 05/10/22
2590 BCP 05/10/22
22630 BCP 14/10/22</t>
        </r>
      </text>
    </comment>
    <comment ref="J65" authorId="0" shapeId="0" xr:uid="{1BCF3B97-B3F5-41DF-9426-D18B15E89B7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(5130) BCP 22/12</t>
        </r>
      </text>
    </comment>
    <comment ref="J114" authorId="0" shapeId="0" xr:uid="{A3CF44E4-9839-434E-9D37-A5FE17E1AB4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523.76 BCP 02/08</t>
        </r>
      </text>
    </comment>
    <comment ref="J115" authorId="0" shapeId="0" xr:uid="{65949A29-6952-40FA-883A-ECDF719C1BC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2278 CAJA 15/08</t>
        </r>
      </text>
    </comment>
    <comment ref="J116" authorId="0" shapeId="0" xr:uid="{952EBE42-5303-4FD1-9589-5E2846ADF61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1950 BBVA 05/08
50 BBVA 05/08
5000 BCP 06/08
5400 BCP 06/08
1600 CAJA 08/08
500 (4500)CAJA 08/08</t>
        </r>
      </text>
    </comment>
    <comment ref="J118" authorId="0" shapeId="0" xr:uid="{4C6A838D-9EC0-4046-A299-73806A3E155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18024.1 BBVA 11/08</t>
        </r>
      </text>
    </comment>
    <comment ref="J119" authorId="0" shapeId="0" xr:uid="{1D944DD1-7200-4D44-8F68-2A8AD0888BF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270 BBVA 05/08</t>
        </r>
      </text>
    </comment>
    <comment ref="J120" authorId="0" shapeId="0" xr:uid="{22D192CC-1888-4DA5-8960-D673ECEF3D2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12282.86 CAJA 08/08</t>
        </r>
      </text>
    </comment>
    <comment ref="J121" authorId="0" shapeId="0" xr:uid="{97D35033-22C5-439F-889E-43E46BC0BDC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594.86 CAJA 09/08</t>
        </r>
      </text>
    </comment>
    <comment ref="J122" authorId="0" shapeId="0" xr:uid="{B54E7324-D30A-4D95-AD79-38D139B5D78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CAJA 08/08
300 CAJA 09/08
227.58 CAJA 10/08
99.5 CAJA (100) 12/08</t>
        </r>
      </text>
    </comment>
    <comment ref="J123" authorId="0" shapeId="0" xr:uid="{C68A3E2D-96F7-4944-9540-68F61DCCD45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CAJA 09/08
665.75 CAJA 12/08</t>
        </r>
      </text>
    </comment>
    <comment ref="J124" authorId="0" shapeId="0" xr:uid="{E7B0C00C-64A7-413D-B63A-918F4ED71CF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CAJA 09/08
665.75 CAJA 12/08</t>
        </r>
      </text>
    </comment>
    <comment ref="J125" authorId="0" shapeId="0" xr:uid="{B62D2ABC-FB3A-4DC1-8B87-9EE19B95D43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2401.2 BBVA 23/08</t>
        </r>
      </text>
    </comment>
    <comment ref="J126" authorId="0" shapeId="0" xr:uid="{737E7503-D91C-4E65-ABC0-28DAB191B66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DSCTO PLAN 30/11
800 DSCTO PLAN 31/12
400 DSCTO PLAN 31/01
400 DSCTO PLAN 28/02
400 DSCTO PLAN 31/03
400 DSCTO PLAN 29/04</t>
        </r>
      </text>
    </comment>
    <comment ref="J127" authorId="0" shapeId="0" xr:uid="{954C8067-A51A-47A1-AAA5-76D9D09B968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DSCTO PLAN 31/10
200 DSCTO PLAN 30/11</t>
        </r>
      </text>
    </comment>
    <comment ref="J128" authorId="0" shapeId="0" xr:uid="{4380F66D-C3BD-4DD6-B80E-764CA0B9888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CAJA 22/08
1000 CAJA 25/08
1500 CAJA 30/08
100 CAJA 30/08
1500 BBVA 31/08
500 CAJA 01/09
212 CAJA 01/09</t>
        </r>
      </text>
    </comment>
    <comment ref="J129" authorId="0" shapeId="0" xr:uid="{C230A0A8-1025-4B13-8772-AC851984219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2320 (6390.4) CAJA 15/09</t>
        </r>
      </text>
    </comment>
    <comment ref="J130" authorId="0" shapeId="0" xr:uid="{37272EF9-D19A-4486-8F54-BA6ADB7C4C4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2860 CAJA 02/09
810 CAJA 02/09
2330 CAJA 02/09
1027 (6390.4) CAJA 15/09</t>
        </r>
      </text>
    </comment>
    <comment ref="J131" authorId="0" shapeId="0" xr:uid="{BE4AAF31-836E-4E19-A444-E7DF411094A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10000 BANBIF 15/08
10000 CAJA 07/09
3043.4 (6390.4) 15/09</t>
        </r>
      </text>
    </comment>
    <comment ref="J132" authorId="0" shapeId="0" xr:uid="{0A296170-6096-46B6-9C76-F3A731CFA72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3582.08 CAJA 31/08
1622.47 CAJA 31/08</t>
        </r>
      </text>
    </comment>
    <comment ref="J133" authorId="0" shapeId="0" xr:uid="{26A636F8-AFA2-44B8-A58E-26F510F5360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250 BBVA 25/08
250 BBVA 27/08
200 CAJA 02/09
250 BBVA 05/09
220.058 BBVA 13/09</t>
        </r>
      </text>
    </comment>
    <comment ref="J134" authorId="0" shapeId="0" xr:uid="{B72F82F1-9575-44E3-82A2-25596E14F4E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BN 01/09
487.2 BN 02/09
1000 BN 02/09
500 BN 12/09
500 BN 12/09
700 BN 17/09
1000 BN 01/10
51253.4 BBVA 17/10</t>
        </r>
      </text>
    </comment>
    <comment ref="J135" authorId="0" shapeId="0" xr:uid="{F4AF009B-4EA0-4238-9D32-915B6FC0504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CAJA 24/08
631.56 (661.56_) CAJA 25/08</t>
        </r>
      </text>
    </comment>
    <comment ref="J136" authorId="0" shapeId="0" xr:uid="{A5429CB3-41E8-4C27-8376-CA8B53DF07A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CAJA 22/08
500 CAJA 23/08
500 (1152.5) CAJA 24/08
300 (3213.75) CAJA 26/08
272.35 CAJA 26/08</t>
        </r>
      </text>
    </comment>
    <comment ref="J137" authorId="0" shapeId="0" xr:uid="{224954D5-7A83-4032-B009-6AE1DBD2A94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(4107.18) CAJA 22/08
200 (1152.5) CAJA 24/08
200 (3213.75) CAJA 26/08
200 (720.75) CAJA 31/08
200 (811.5) CAJA 05/09
200 (2600) CAJA 06/09
150 BCP 08/09
150 (2320.63) CAJA 14/09
457.1 (457.1) BCP 16/09
219.81 CAJA 23/09</t>
        </r>
      </text>
    </comment>
    <comment ref="J138" authorId="0" shapeId="0" xr:uid="{FBD853EB-56E5-4265-9A77-5590D63331C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CAJA 23/08
400 (3213.75) CAJA 26/08
400 CAJA 26/08
527.6 (631.28) CAJA 31/08 
599.95 (811.5) CAJA 05/09</t>
        </r>
      </text>
    </comment>
    <comment ref="J139" authorId="0" shapeId="0" xr:uid="{B29E1539-0482-4CC0-99DF-8AB4DC5EA1D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16600 BBVA 28/09</t>
        </r>
      </text>
    </comment>
    <comment ref="I140" authorId="0" shapeId="0" xr:uid="{3A50423F-6D10-413E-A39B-51D2B542C1C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2822.56 NC 13/10</t>
        </r>
      </text>
    </comment>
    <comment ref="J140" authorId="0" shapeId="0" xr:uid="{701000E4-2287-4B28-9850-2E29520B6A0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4000 BBVA 04/08
4000 BBVA 25/08
4000 BBVA 31/08
6000 BBVA 20/09
2000 BBVA 12/10</t>
        </r>
      </text>
    </comment>
    <comment ref="J141" authorId="0" shapeId="0" xr:uid="{67D5EC38-2ADD-4610-97D9-900FB36152A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13598 (24030) INTERB. 02/11</t>
        </r>
      </text>
    </comment>
    <comment ref="J142" authorId="0" shapeId="0" xr:uid="{E3537FC4-A7F5-42D6-9B5D-188C2D7F14F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7520 (24030) INTERB. 02/11</t>
        </r>
      </text>
    </comment>
    <comment ref="J143" authorId="0" shapeId="0" xr:uid="{377FBE0A-EB5A-4B79-A4AC-F1F6A9E0D72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2912 (24030) INTERB. 02/11</t>
        </r>
      </text>
    </comment>
    <comment ref="J146" authorId="0" shapeId="0" xr:uid="{2753C734-3317-42C1-8674-AA048CAB068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4058 CAJA 16/09
1000.40 CAJA 19/09</t>
        </r>
      </text>
    </comment>
    <comment ref="J147" authorId="0" shapeId="0" xr:uid="{F0FE09BE-D927-4727-BA84-CA80F4C8AC2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4080.57 CAJA 05/09</t>
        </r>
      </text>
    </comment>
    <comment ref="J148" authorId="0" shapeId="0" xr:uid="{2AA62001-5771-4C90-98AD-798BA94F681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398.97 (2320.63) CAJA 14/09</t>
        </r>
      </text>
    </comment>
    <comment ref="J149" authorId="0" shapeId="0" xr:uid="{538E9969-2F84-481B-8AC0-CA533172F51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800 BBVA 22/09
3636.4 BBVA 26/09</t>
        </r>
      </text>
    </comment>
    <comment ref="J150" authorId="0" shapeId="0" xr:uid="{9F7DD9DF-B9C3-4BC1-A203-972A44F9EC8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3658.99 BCP 27/09
1500 BCP 14/10
2000 BCP 19/10</t>
        </r>
      </text>
    </comment>
    <comment ref="J151" authorId="0" shapeId="0" xr:uid="{15C6D6D3-1C8C-4BD2-B4D7-F513BDEA52A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10900 BCP 08/09</t>
        </r>
      </text>
    </comment>
    <comment ref="J152" authorId="0" shapeId="0" xr:uid="{6B0095C6-E8B6-40EA-A4B9-4BFE83A565B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(457.1) BCP 16/09
200 (786.33) BCP 09/09
300 CAJA 23/09
185.93 (352) CAJA 11/10</t>
        </r>
      </text>
    </comment>
    <comment ref="I153" authorId="0" shapeId="0" xr:uid="{99A9443D-50D8-4D8C-B9C9-46A42CA12FB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3537.42 NC 01/10</t>
        </r>
      </text>
    </comment>
    <comment ref="J153" authorId="0" shapeId="0" xr:uid="{FA77CD6F-839B-41FB-B605-EE63FAE35BE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166.06 (352) CAJA 11/10</t>
        </r>
      </text>
    </comment>
    <comment ref="J154" authorId="0" shapeId="0" xr:uid="{7393B093-3401-44F6-B084-921D4D7959F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(600) CAJA 12/09
200 (2320.63) CAJA 14/09
200 CAJA 20/09
192.9 CAJA 20/09
300 CAJA 23/09
400 CAJA 26/09
7.1 CAJA 23/09
200 (1157.08) CAJA 28/09
300 (371.65) CAJA 29/09
137.65 CAJA 11/10
200 BIF 14/10
200 CAJA 18/10
200 CAJA 21/10
200 CAJA 26/10
200 BBVA 03/11
200 CAJA 04/11
200 BCP 07/11 </t>
        </r>
      </text>
    </comment>
    <comment ref="J155" authorId="0" shapeId="0" xr:uid="{EBD23770-7C7C-401A-8D22-7185F023D3D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(4495.87) CAJA 06/09
300 (2600) CAJA 06/09
160.62 (3791.39) CAJA 08/09</t>
        </r>
      </text>
    </comment>
    <comment ref="J156" authorId="0" shapeId="0" xr:uid="{2BCF427A-A515-491F-B11D-06F2B83B89F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(600) CAJA 12/09
400 (1095) CAJA 16/09
300 CAJA 20/09
359.6 (431.6) CAJA 27/09</t>
        </r>
      </text>
    </comment>
    <comment ref="J157" authorId="0" shapeId="0" xr:uid="{2686939A-8046-4185-841B-5B82F6286E0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100.74 BBVA 01/10
100 BBVA 02/11</t>
        </r>
      </text>
    </comment>
    <comment ref="J160" authorId="0" shapeId="0" xr:uid="{0964AA74-4BB9-41AD-ABE7-11B62FEC6FB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6161.63 CAJA 01/10</t>
        </r>
      </text>
    </comment>
    <comment ref="J161" authorId="0" shapeId="0" xr:uid="{290F248B-DC4B-4C4A-85AD-41998630F0D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7400 BANBIF 23/09
1000 SCOTIA 06/10
10000 SCOTIA 11/10
</t>
        </r>
      </text>
    </comment>
    <comment ref="J162" authorId="0" shapeId="0" xr:uid="{5B37D841-B686-4B77-AB9D-602734AE3F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 BBVA 01/10
100 BBVA 02/11</t>
        </r>
      </text>
    </comment>
    <comment ref="J163" authorId="0" shapeId="0" xr:uid="{F57CFAE1-ACDD-4EC9-AB67-D18F49EA772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2000 BN 27/01
795.5 BN 27/02</t>
        </r>
      </text>
    </comment>
    <comment ref="J164" authorId="0" shapeId="0" xr:uid="{15468B1B-3FD8-46AE-B530-3EE4D613976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4500 CAJA 25/10
2820.63 (5500) BBVA 03/11</t>
        </r>
      </text>
    </comment>
    <comment ref="J165" authorId="0" shapeId="0" xr:uid="{55A3C1ED-C895-4C5E-B4CD-5B9F412205F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2679.37 (5500) BBVA 03/11
2000 CAJA 09/11
2000 CAJA 11/11
1697.15 BANBIF 18/11</t>
        </r>
      </text>
    </comment>
    <comment ref="J166" authorId="0" shapeId="0" xr:uid="{720A8546-A80B-4F05-98EB-9667506443C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 (3240.95) CAJA 23/09
830.59 CAJA 26/09</t>
        </r>
      </text>
    </comment>
    <comment ref="J168" authorId="0" shapeId="0" xr:uid="{2888D475-CBF6-4F80-B752-34F9F769288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CAJA 26/09
200 BIF 04/10
200 BBVA 19/10
400 BBVA 27/10
600 CAJA 03/11
200 BBVA 08/11
150 BIF 09/11
92.7 CAJA 10/11</t>
        </r>
      </text>
    </comment>
    <comment ref="J169" authorId="0" shapeId="0" xr:uid="{6362461D-2A9D-4511-A4CB-0B976D7A6DD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800 CAJA 26/09
200 (1157.08) CAJA 28/09
203.84 BIF 03/10
503.84 CAJA 11/10
221.16 (296.16) 14/10</t>
        </r>
      </text>
    </comment>
    <comment ref="J170" authorId="0" shapeId="0" xr:uid="{BA68998E-0329-4F5D-BF72-8DB83E217C2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75 (296.16) 14/10</t>
        </r>
      </text>
    </comment>
    <comment ref="J171" authorId="0" shapeId="0" xr:uid="{DEE826DC-ECF1-4E6C-BEF3-418114B9293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14140 BBVA 28/10</t>
        </r>
      </text>
    </comment>
    <comment ref="J172" authorId="0" shapeId="0" xr:uid="{DDCFD7F0-67CA-4F30-A710-E2C1B7DDAF9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14630 BN 25/02</t>
        </r>
      </text>
    </comment>
    <comment ref="J173" authorId="0" shapeId="0" xr:uid="{74D21670-1C7F-4078-ACDB-BDAACFDB439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1200 CAJA 28/09
1350 BIF 05/10
982.65 BCP 10/10</t>
        </r>
      </text>
    </comment>
    <comment ref="J174" authorId="0" shapeId="0" xr:uid="{C7BF786A-3702-4495-8713-9C5F8B0D394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11000 BCP 04/10
5500 BCP 05/10
4500 BBVA 10/10
3000 BBVA 13/10
2170 CAJA 17/10
3000 BCP 17/10</t>
        </r>
      </text>
    </comment>
    <comment ref="J175" authorId="0" shapeId="0" xr:uid="{08F6E0E0-FC38-450C-A5E1-D27E3AE8C5E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1230 BBVA 28/10</t>
        </r>
      </text>
    </comment>
    <comment ref="J176" authorId="0" shapeId="0" xr:uid="{65A2380B-DB1D-459E-A629-69320D7735B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9229.51 BBVA 12/10</t>
        </r>
      </text>
    </comment>
    <comment ref="J177" authorId="0" shapeId="0" xr:uid="{6896CC59-A423-4971-924C-34404020832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175.07 BIF 14/10</t>
        </r>
      </text>
    </comment>
    <comment ref="J178" authorId="0" shapeId="0" xr:uid="{8EA478C5-CCB1-41E8-86D3-98CF500BE41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5607.30 BBVA 12/10</t>
        </r>
      </text>
    </comment>
    <comment ref="J179" authorId="0" shapeId="0" xr:uid="{B8946228-6DB7-4B8E-9D15-B622E27A6D2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1179.88 CAJA 18/10</t>
        </r>
      </text>
    </comment>
    <comment ref="J180" authorId="0" shapeId="0" xr:uid="{DDE26EF3-BEFC-4337-B9A3-BC0A81CE8AB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BBVA 19/10
475.4 CAJA 21/10</t>
        </r>
      </text>
    </comment>
    <comment ref="J181" authorId="0" shapeId="0" xr:uid="{93475888-19CA-4321-B0DD-DED56E6F324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222.96 CAJA 18/10</t>
        </r>
      </text>
    </comment>
    <comment ref="J182" authorId="0" shapeId="0" xr:uid="{E52E428F-E28E-4352-B1A8-752A0F979FE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355.2 BBVA 19/10
300 BBVA 02/11</t>
        </r>
      </text>
    </comment>
    <comment ref="J183" authorId="0" shapeId="0" xr:uid="{5CAA998B-4FB0-4DD0-B444-844DACD6DAD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4204.3 BBVA 26/10</t>
        </r>
      </text>
    </comment>
    <comment ref="J184" authorId="0" shapeId="0" xr:uid="{6A625D32-8ADC-4A16-A7F9-165D36298C8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1529.93 (3656.62) CAJA 29/10
</t>
        </r>
      </text>
    </comment>
    <comment ref="J185" authorId="0" shapeId="0" xr:uid="{15D6839D-2D07-4AF6-9F5F-A6A6C94259D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2126.69 (3656.62) CAJA 29/10
</t>
        </r>
      </text>
    </comment>
    <comment ref="J186" authorId="0" shapeId="0" xr:uid="{BA140F20-27AD-4554-8151-BF301D1FFE2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INTERB. 24/10
800 INTERB. 27/10
1400 CAJA 03/11
</t>
        </r>
      </text>
    </comment>
    <comment ref="J187" authorId="0" shapeId="0" xr:uid="{ED4715C1-2A5C-4801-937B-3CAC3EEB109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5255 BBVA 19/10</t>
        </r>
      </text>
    </comment>
    <comment ref="J188" authorId="0" shapeId="0" xr:uid="{7C9CADB0-1DF9-49B6-BF03-D5847C26B2E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4000 BANBIF 28/10
2450 (3500) BCP 31/10</t>
        </r>
      </text>
    </comment>
    <comment ref="J189" authorId="0" shapeId="0" xr:uid="{6375CB3B-1881-4679-907C-D73DBEDAC72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1050 (3500) 31/10
2130 BCP 03/11</t>
        </r>
      </text>
    </comment>
    <comment ref="J190" authorId="0" shapeId="0" xr:uid="{56F8338E-9861-4D5D-8AC6-BAFCE1541FC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5000 CAJA 29/10
2000 CAJA 04/11
5000 BBVA 05/11
3400 BBVA 11/11
6535.01 BANBIF 16/11</t>
        </r>
      </text>
    </comment>
    <comment ref="J191" authorId="0" shapeId="0" xr:uid="{306F698B-8EB2-4C70-B596-17135C7742D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3900 SCOTIA 17/10
2000 SCOTIA 03/11
3000 BBVA 03/11
5000 SCOTIA 23/11
5000 SCOTIA 06/12
560 BBVA TARJ 20/12
1440 SCOTIA 22/12
2000 SCOTIA 27/12
1000 SCOTIA 29/12</t>
        </r>
      </text>
    </comment>
    <comment ref="J192" authorId="0" shapeId="0" xr:uid="{35115B1A-6692-4606-9EFB-E1BB93A9CE4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1286.8 CAJA 03/11</t>
        </r>
      </text>
    </comment>
    <comment ref="J193" authorId="0" shapeId="0" xr:uid="{7341A7CB-D058-4BAA-ABD4-6B01B84B60E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1483.36 BBVA 05/11</t>
        </r>
      </text>
    </comment>
    <comment ref="J194" authorId="0" shapeId="0" xr:uid="{E28DAA8E-8514-43AC-B5BE-CBA3291D6CF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1069.30 BANBIF 28/10</t>
        </r>
      </text>
    </comment>
    <comment ref="J195" authorId="0" shapeId="0" xr:uid="{2DC16DD6-D019-4308-9295-A816DFA4EC5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6439.36 BCP 31/10</t>
        </r>
      </text>
    </comment>
    <comment ref="J196" authorId="0" shapeId="0" xr:uid="{6520F64E-614C-4D47-BED4-64BF1367085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19549.03 BCP 18/11</t>
        </r>
      </text>
    </comment>
    <comment ref="J197" authorId="0" shapeId="0" xr:uid="{B2C8A69C-4884-4CE1-BD28-5E45B17372C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25000 BCP 19/10
25000 BCP 19/10
</t>
        </r>
      </text>
    </comment>
    <comment ref="J198" authorId="0" shapeId="0" xr:uid="{F133BC06-881D-4B0A-B012-C5B0489742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802.2 (25000) BCP 19/10
6000 BCP 21/10
5000 BCP 21/10
794.88 CAJA 25/10</t>
        </r>
      </text>
    </comment>
    <comment ref="J199" authorId="0" shapeId="0" xr:uid="{82AB4CA1-D3BE-4397-B9AC-9980D986E6D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1012.63 BANBIF 16/11</t>
        </r>
      </text>
    </comment>
    <comment ref="J200" authorId="0" shapeId="0" xr:uid="{7285CFAD-3ED8-4EE9-A6F6-435ED8E1F38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1295.53 CAJA 26/10
3335.05 BCP 26/10
10000 BN 27/10</t>
        </r>
      </text>
    </comment>
    <comment ref="J201" authorId="0" shapeId="0" xr:uid="{E8135E4D-8D86-418B-BDA9-9546446D258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2540 BCP 12/11</t>
        </r>
      </text>
    </comment>
    <comment ref="J202" authorId="0" shapeId="0" xr:uid="{F7AEC9EE-63F3-453A-BFA4-80135F356C2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CAJA 09/11
125 BBVA 14/11
75.76 BIF 15/11
250 BANBIF 17/11
130 CAJA 24/11
200 (1400) CAJA 28/11</t>
        </r>
      </text>
    </comment>
    <comment ref="J203" authorId="0" shapeId="0" xr:uid="{1A873612-54A5-45B1-AA71-6F86E5299D4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BN 25/10
678.27 (1000) 25/10</t>
        </r>
      </text>
    </comment>
    <comment ref="J204" authorId="0" shapeId="0" xr:uid="{C8355388-DA04-4C6D-9481-1556F27F32C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321.73 (1000) BN 25/10
392.3 (1000) BN 26/10</t>
        </r>
      </text>
    </comment>
    <comment ref="J205" authorId="0" shapeId="0" xr:uid="{5C0B2693-AD31-4D35-9560-9E23BE20214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607.7 (1000) BN 26/10
1000 BN 27/10
300 BN 27/10
467 (500) BN 07/11
500 BN 08/11
1000 BN 16/11
1000 BN 18/11
1000 BN 18/11
310.3 BN 18/11</t>
        </r>
      </text>
    </comment>
    <comment ref="J206" authorId="0" shapeId="0" xr:uid="{131FDE56-8281-411A-8583-0480B770794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3600.03 (6050) BBVA 31/10</t>
        </r>
      </text>
    </comment>
    <comment ref="J207" authorId="0" shapeId="0" xr:uid="{B1BAA3C4-E784-4AD0-8BA4-D366755EB25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2449.97 (6050) BBVA 31/10
6050 BCP 03/11
1168.92 (6000) 05/11
2900 CAJA 10/11
4600 BCP 12/11
3500 BBVA 14/11
2831.11 BABIF 17/11</t>
        </r>
      </text>
    </comment>
    <comment ref="I208" authorId="0" shapeId="0" xr:uid="{60E15FAD-132E-4D20-9BF9-0720E21D820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684 NC 03/11</t>
        </r>
      </text>
    </comment>
    <comment ref="J208" authorId="0" shapeId="0" xr:uid="{8B15DFBD-256A-4FA0-97E8-EF6FB506432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485.19 CAJA 03/11</t>
        </r>
      </text>
    </comment>
    <comment ref="J209" authorId="0" shapeId="0" xr:uid="{1FFEA26D-1862-4EEC-BFA8-9B91255D0CF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1082.98 BANBIF 16/11</t>
        </r>
      </text>
    </comment>
    <comment ref="J210" authorId="0" shapeId="0" xr:uid="{19AC6B53-C1F2-4287-801F-3B0D22BED76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606.3 BANBIF 17/11
</t>
        </r>
      </text>
    </comment>
    <comment ref="J211" authorId="0" shapeId="0" xr:uid="{7FDF0E86-D8B4-4787-AB3E-59626EBA629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4685 BANBIF 17/11
5500 BANBIF 23/11
2500 CAJA 24/11
2000 CAJA 25/11
2000 CAJA 02/12
2000 BIF 06/12</t>
        </r>
      </text>
    </comment>
    <comment ref="J212" authorId="0" shapeId="0" xr:uid="{9804FEDF-A013-46A2-AB09-88E6DFF0357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1820 FT
1000 FT
350 FT E001-774
231 FT E001-782</t>
        </r>
      </text>
    </comment>
    <comment ref="J213" authorId="0" shapeId="0" xr:uid="{9199855A-BBB6-4EA8-9484-13B7869B9F6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7000 BANBIF 21/11
4500 CAJA 28/11
4174 BBVA 01/12
6000 (11750) 07/12</t>
        </r>
      </text>
    </comment>
    <comment ref="J214" authorId="0" shapeId="0" xr:uid="{638D9067-966D-4E51-8590-A700036BFBA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 BBVA 15/11
795 BBVA 15/12</t>
        </r>
      </text>
    </comment>
    <comment ref="J215" authorId="0" shapeId="0" xr:uid="{F95A9B4C-DC64-4D0A-9F2F-88AF0AB9744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7574 BCP 14/11</t>
        </r>
      </text>
    </comment>
    <comment ref="J216" authorId="0" shapeId="0" xr:uid="{52FCCFAB-50FD-415A-B029-E4A29382083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DSCTO PLAN 31/10
400 DSCTO PLAN 30/11
600 DSCTO PLAN 31/12</t>
        </r>
      </text>
    </comment>
    <comment ref="J217" authorId="0" shapeId="0" xr:uid="{0BBECEDB-A096-4515-AB64-3DB6190F6EE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1103.4 BANBIF 16/11</t>
        </r>
      </text>
    </comment>
    <comment ref="J218" authorId="0" shapeId="0" xr:uid="{81D5B249-E29F-4B81-B216-44399607A55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1107.48 BCP 16/12
479.58 (1000) BCP 16/12</t>
        </r>
      </text>
    </comment>
    <comment ref="J219" authorId="0" shapeId="0" xr:uid="{1C6A6D05-D181-4C7B-8034-FCDC4BDBBFF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2000 BCP 28/11
2000 BBVA 01/12
1000 CAJA 02/12
1000 BCP 06/12
3000 BIF 06/12
800 BCP 07/12
200 CAJA 10/12
1000 BIF 12/12
1000 BCP 13/12
520.42 (1000) BCP 16/12</t>
        </r>
      </text>
    </comment>
    <comment ref="J220" authorId="0" shapeId="0" xr:uid="{EA61B351-7CBC-447D-AD9A-393136AB80B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870 CAJA 24/11</t>
        </r>
      </text>
    </comment>
    <comment ref="J221" authorId="0" shapeId="0" xr:uid="{0969C99A-7C41-432E-A7CA-AC2A92BB3BD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5099.34 BCP 26/11</t>
        </r>
      </text>
    </comment>
    <comment ref="J222" authorId="0" shapeId="0" xr:uid="{4EBE945F-09B0-41FA-B7E4-C0762250DB1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712.89 (1000) BBVA 18/12</t>
        </r>
      </text>
    </comment>
    <comment ref="J223" authorId="0" shapeId="0" xr:uid="{6B28C75F-2522-4C1C-A729-4270A920DB4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120.62 (1000) BBVA 18/12</t>
        </r>
      </text>
    </comment>
    <comment ref="J224" authorId="0" shapeId="0" xr:uid="{5A02AAF2-38E8-4EF9-A982-840C6B51753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2200 (3000) BBVA 03/02
1587.21 BBVA 01/03</t>
        </r>
      </text>
    </comment>
    <comment ref="J225" authorId="0" shapeId="0" xr:uid="{847522CD-5B1E-465D-AB45-B5D44AB0949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500.57 BBVA 09/01/23
800 (3000) BBVA 03/02</t>
        </r>
      </text>
    </comment>
    <comment ref="J226" authorId="0" shapeId="0" xr:uid="{3C03FF31-5024-4E00-B830-96A0F9D3562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166.49 (1000) BBVA 18/12
3.45 BBVA
17.23 BBVA 21/12</t>
        </r>
      </text>
    </comment>
    <comment ref="J228" authorId="0" shapeId="0" xr:uid="{CEAC06C4-88F9-4E14-B97B-E168C319E21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1018.56 BIF 06/12</t>
        </r>
      </text>
    </comment>
    <comment ref="J229" authorId="0" shapeId="0" xr:uid="{5232E107-D91B-4147-896E-979F867BA51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BIF 14/12
960.71 BIF 19/12</t>
        </r>
      </text>
    </comment>
    <comment ref="J230" authorId="0" shapeId="0" xr:uid="{FC05515F-B831-4B32-AA65-43EB3D37309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2590 CAJA 05/12</t>
        </r>
      </text>
    </comment>
    <comment ref="J231" authorId="0" shapeId="0" xr:uid="{B4D87522-36F0-486B-9F7B-85EDAE65D17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BANBIF 02/12
200 BANBIF 06/12
200 BANBIF 12/12
150 BANBIF 15/12
150 CAJA 17/12
200 (7754.4) BBVA 23/12
200 BIF 28/12
200 BIF 30/12
200 BIF 05/01
200 BIF 13/01
200 BIF 21/01
200 BIF 28/01
210.5 BIF 03/02</t>
        </r>
      </text>
    </comment>
    <comment ref="J232" authorId="0" shapeId="0" xr:uid="{054AC37A-3251-43F0-B091-3125CB52928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CAJA 28/11
300 BIF 06/12
400 BIF 13/12
144.42 CAJA 17/12</t>
        </r>
      </text>
    </comment>
    <comment ref="J233" authorId="0" shapeId="0" xr:uid="{EDF5E8C1-EC3D-4C2A-B99A-E1772475026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2295.6 BCP 21/12</t>
        </r>
      </text>
    </comment>
    <comment ref="J234" authorId="0" shapeId="0" xr:uid="{26CDCA3F-9F28-4DD3-98D7-421E36B2BE6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1045.2 BIF 10/12</t>
        </r>
      </text>
    </comment>
    <comment ref="J235" authorId="0" shapeId="0" xr:uid="{27D76E04-90FC-4D79-943E-F62D6ECFEDC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2416.55 (8353) BBVA 22/12 </t>
        </r>
      </text>
    </comment>
    <comment ref="J236" authorId="0" shapeId="0" xr:uid="{CC682C95-03D3-425E-90A6-305CAF6BD8A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5000 BIF 15/12
341.85 (8353) BBVA 22/12 </t>
        </r>
      </text>
    </comment>
    <comment ref="J237" authorId="0" shapeId="0" xr:uid="{8AA8245A-058D-426F-BA1E-B5996570591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750 CAJA 24/12
1000 BIF 30/12
1750 CAJA 04/01
691.75 CAJA 06/01
350 BIF 14/01
650 BIF 20/1</t>
        </r>
      </text>
    </comment>
    <comment ref="J238" authorId="0" shapeId="0" xr:uid="{F4DC23E6-F277-4AF9-8DA6-46EDAEC124C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BN 19/11
19.72 (500) BN 20/11</t>
        </r>
      </text>
    </comment>
    <comment ref="J239" authorId="0" shapeId="0" xr:uid="{46ED97EC-8BF6-4A62-822A-D767C65F4DC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480.28 (500) BN 20/11
500 BN 20/11
500 BN 06/12
500 BN 06/12
1000 BN 06/12
1000 BN 26/12
1000 BN 31/12
1000 BN 07/01/23
665.1 (1000) BN 24/01
448.62 (1000) BN 27/01</t>
        </r>
      </text>
    </comment>
    <comment ref="J240" authorId="0" shapeId="0" xr:uid="{FFECF25D-DE8B-45DE-A4B7-B93BB5EC5C0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487.64 BN (1000) 27/01</t>
        </r>
      </text>
    </comment>
    <comment ref="J241" authorId="0" shapeId="0" xr:uid="{179506AA-9554-495F-81E2-77F974DA6A8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63.74 (1000) BN 27/01
565 BN 27/01</t>
        </r>
      </text>
    </comment>
    <comment ref="J242" authorId="0" shapeId="0" xr:uid="{9E695C5F-23BC-4422-BBC8-F6DD34AFE9C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BIF 06/12
3973 BIF 14/12</t>
        </r>
      </text>
    </comment>
    <comment ref="J243" authorId="0" shapeId="0" xr:uid="{2B778B1D-8252-42A3-8C2C-DB02F1CA25E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5594.6 (8353) BBVA 22/12 </t>
        </r>
      </text>
    </comment>
    <comment ref="J244" authorId="0" shapeId="0" xr:uid="{B4C95936-9F82-4153-8B56-9A3B2D7E81B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1900 BIF 30/12
1663 (3000) BBVA 09/01/23</t>
        </r>
      </text>
    </comment>
    <comment ref="J245" authorId="0" shapeId="0" xr:uid="{FF09DC9A-24E4-4371-838C-72CB4A69243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1900 BIF 30/12
1337 (3000) BBVA 09/01/23
900 BBVA 13/01/23
600 BBVA 13/01/23
2000 BIF 24/01
1000 BIF 25/01
1500 BIF 26/01
1000 BIF 03/02
1000 BIF 04/02
1000 BIF 11/02
500 BIF 17/02
800 BIF 20/02
1686.64 BIF 02/03
3000 BIF 09/03
1000 BIF 11/03
1000 BIF 16/03</t>
        </r>
      </text>
    </comment>
    <comment ref="J246" authorId="0" shapeId="0" xr:uid="{0C59077D-23F4-4933-967A-0D6D3072A49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808.98 BIF 13/12</t>
        </r>
      </text>
    </comment>
    <comment ref="J247" authorId="0" shapeId="0" xr:uid="{465796B3-AF6E-434D-AF29-71AFE8C27E1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541.6 BIF 10/12
1000 CAJA 07/12</t>
        </r>
      </text>
    </comment>
    <comment ref="J248" authorId="0" shapeId="0" xr:uid="{603F088A-F706-465A-B6CF-5BB3960AC0A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13114.2 CAJA 07/12
2000 BANBIF 15/12</t>
        </r>
      </text>
    </comment>
    <comment ref="J249" authorId="0" shapeId="0" xr:uid="{F5BAB224-4A68-4D39-9419-D9EC24CED74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1409.62 BIF 13/12</t>
        </r>
      </text>
    </comment>
    <comment ref="J250" authorId="0" shapeId="0" xr:uid="{508DAF40-4D5C-4F2A-AC17-0A29CFE4F30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5000 BCP 12/12
3000 BANBIF 15/12
5000 BCP 17/12
1000 BBVA 19/12
3307.51 BCP 20/12
1200 CAJA 27/12</t>
        </r>
      </text>
    </comment>
    <comment ref="J251" authorId="0" shapeId="0" xr:uid="{DF01B864-75B8-4150-811E-CBF563C5C0A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1121.76 BIF 14/12</t>
        </r>
      </text>
    </comment>
    <comment ref="J252" authorId="0" shapeId="0" xr:uid="{55857BA5-8A01-4EFD-B7AA-F5899564089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BIF 14/12
300 BIF 26/12
300 BIF 29/12
300 BIF 31/12
384 BCP 10/01/23</t>
        </r>
      </text>
    </comment>
    <comment ref="J253" authorId="0" shapeId="0" xr:uid="{ECC52559-98B3-4AA0-84D7-E7B2F589E6E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15000 BCP 17/01
12070 BCP 21/01</t>
        </r>
      </text>
    </comment>
    <comment ref="J254" authorId="0" shapeId="0" xr:uid="{54DA0E40-10AE-4E0E-80D8-7218A7F289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11636.08 BCP 30/12</t>
        </r>
      </text>
    </comment>
    <comment ref="J256" authorId="0" shapeId="0" xr:uid="{09505CDA-DC62-4459-9ECE-CCD98F9EA7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31586 BCP 23/12</t>
        </r>
      </text>
    </comment>
    <comment ref="J257" authorId="0" shapeId="0" xr:uid="{85980B57-8D96-4F2D-9440-BFC29DB11DC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5124 BBVA 23/12
2000 CAJA 27/12
1900 BANBIF 29/12</t>
        </r>
      </text>
    </comment>
    <comment ref="J258" authorId="0" shapeId="0" xr:uid="{9F26EDF3-E025-456D-A814-32ED4A7B301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2290 CAJA 22/12</t>
        </r>
      </text>
    </comment>
    <comment ref="J259" authorId="0" shapeId="0" xr:uid="{3DF3D0A3-0A9F-41CF-A4DC-EC478275EB9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1580 BIF 15/12</t>
        </r>
      </text>
    </comment>
    <comment ref="I260" authorId="0" shapeId="0" xr:uid="{15C8AF76-CDDA-4146-A6CF-5C44C2E134D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306.4 NC 20/01</t>
        </r>
      </text>
    </comment>
    <comment ref="J260" authorId="0" shapeId="0" xr:uid="{D5D12C74-3BCC-4B28-B535-4D92A693B34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 CAJA 21/12
150 BIF 26/12
100 CAJA 27/12
150 BIF 29/12
150 BIF 13/01
200 BIF 16/01/23
150 BIF 19/01
190 BIF 25/01
</t>
        </r>
      </text>
    </comment>
    <comment ref="J261" authorId="0" shapeId="0" xr:uid="{063F97BE-EB14-4522-8D7B-C14C3482492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1900 BIF 26/12</t>
        </r>
      </text>
    </comment>
    <comment ref="J262" authorId="0" shapeId="0" xr:uid="{6C8F81AC-1880-4790-A0D4-2595D317A20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1320 BCP 02/01/23</t>
        </r>
      </text>
    </comment>
    <comment ref="J263" authorId="0" shapeId="0" xr:uid="{7C1D4515-561E-48C6-879F-C90B7696706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972 30/11</t>
        </r>
      </text>
    </comment>
    <comment ref="J264" authorId="0" shapeId="0" xr:uid="{713E161B-2A81-4621-A486-84995830C1E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 BCP 31/12
140 BCP 28/02</t>
        </r>
      </text>
    </comment>
    <comment ref="J266" authorId="0" shapeId="0" xr:uid="{AFDBAC8F-F2EB-46AB-8E21-1A54D74EEA2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1500 BIF 31/12
2000 CAJA 02/01/23
1155 BIF 11/01/23</t>
        </r>
      </text>
    </comment>
    <comment ref="J267" authorId="0" shapeId="0" xr:uid="{3327A8BF-2DE7-4E8E-9F61-E1CBD9E5900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5566.7 BIF 09/01/23</t>
        </r>
      </text>
    </comment>
    <comment ref="J268" authorId="0" shapeId="0" xr:uid="{1C7CEABA-B169-4689-B2FF-D2BF861A420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2066.99 BIF 28/12</t>
        </r>
      </text>
    </comment>
    <comment ref="J269" authorId="0" shapeId="0" xr:uid="{A91C5C4C-A34E-4B11-BF12-8F89E967F1C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1300 BIF 16/01/23</t>
        </r>
      </text>
    </comment>
    <comment ref="J270" authorId="0" shapeId="0" xr:uid="{25A45E59-2CD3-4224-844E-8C0DE698AA1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2320.1 BIF 11/01/23</t>
        </r>
      </text>
    </comment>
    <comment ref="J271" authorId="0" shapeId="0" xr:uid="{ED42E28A-C478-4C72-836D-A6BD14D5C10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1728.66 (10000) BBVA 02/01/23 </t>
        </r>
      </text>
    </comment>
    <comment ref="J272" authorId="0" shapeId="0" xr:uid="{35F7C589-05AD-4164-9DFE-2449A6A30CA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19155 BCP 03/02</t>
        </r>
      </text>
    </comment>
    <comment ref="J273" authorId="0" shapeId="0" xr:uid="{143F635A-A21D-4282-AC48-DB7D59C8FE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8271.34 (10000) BBVA 02/01/23 
10000 BBVA 18/01
6000 BBVA 31/01
2000 BIF 06/02
3686.53 (6586.53) BBVA 08/02
</t>
        </r>
      </text>
    </comment>
    <comment ref="J274" authorId="0" shapeId="0" xr:uid="{5809A3B6-3BE2-4088-AC2A-ACAD47D4492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693.68 BBVA 09/03</t>
        </r>
      </text>
    </comment>
    <comment ref="J275" authorId="0" shapeId="0" xr:uid="{D576F818-F09D-48D8-8779-E2B939EF1EA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2000 BIF 18/01
2500 BIF 19/01
1490 BIF 20/01</t>
        </r>
      </text>
    </comment>
    <comment ref="J276" authorId="0" shapeId="0" xr:uid="{65C9A8E1-9700-4FC3-A4D1-3928CC0B70B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BIF 26/01
500 BIF 04/02
400 BIF 10/02</t>
        </r>
      </text>
    </comment>
    <comment ref="J277" authorId="0" shapeId="0" xr:uid="{B2AFFB4A-F60A-4EC2-A012-0F3F9C3B914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64000 BBVA 03/01/23
8000 BBVA 03/01/23</t>
        </r>
      </text>
    </comment>
    <comment ref="J278" authorId="0" shapeId="0" xr:uid="{6673D504-6E9F-467A-8809-21CE98D016C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7000 CAJA 04/01/23
3556.4 BBVA 07/01/23</t>
        </r>
      </text>
    </comment>
    <comment ref="J279" authorId="0" shapeId="0" xr:uid="{B40BFD54-FDAC-40A2-BD6A-2E3ABD1865C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10791 BCP 03/02</t>
        </r>
      </text>
    </comment>
    <comment ref="J280" authorId="0" shapeId="0" xr:uid="{28A4C2F6-19E3-4038-BD0D-D342A007330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2153.8 BIF 17/01/23</t>
        </r>
      </text>
    </comment>
    <comment ref="J283" authorId="0" shapeId="0" xr:uid="{91A6A825-B738-493C-810F-DB79EC6D029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250 BIF 18/01
200.6 BIF 24/01
200 SCOTIA 27/01
200 BIF 30/01
150 BIF 03/02
190 BIF 08/02
221.5 BIF 14/02</t>
        </r>
      </text>
    </comment>
    <comment ref="J286" authorId="0" shapeId="0" xr:uid="{ACE864E8-6391-4642-932B-D1AA0DB90EB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2257.14 (3577.15) BCP 30/01</t>
        </r>
      </text>
    </comment>
    <comment ref="J287" authorId="0" shapeId="0" xr:uid="{AC6EAB32-0F14-4FCB-B378-7F3C644F1A7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1320 (3577.15) BCP 30/01</t>
        </r>
      </text>
    </comment>
    <comment ref="J288" authorId="0" shapeId="0" xr:uid="{596F7E5C-1E95-427C-8C78-248517F60A1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2900 (6586.53) BBVA 08/02</t>
        </r>
      </text>
    </comment>
    <comment ref="J289" authorId="0" shapeId="0" xr:uid="{F2E68A33-852F-4592-A4C7-3D270DFE810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600 BBVA 10/01</t>
        </r>
      </text>
    </comment>
    <comment ref="J290" authorId="0" shapeId="0" xr:uid="{F2B2B96E-09C8-4CCA-985F-D1C585FEBEE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 BBVA 12/01/23
30 FT 219
50 FT 220
80 FT 211
70 FT 210
195 FT 253 13/06
150 FT 269 21/06</t>
        </r>
      </text>
    </comment>
    <comment ref="J291" authorId="0" shapeId="0" xr:uid="{F0EF0847-DCA7-45C7-B0B1-32F34DACD00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4000 BIF 09/01/23
9144 BCP 14/01/23</t>
        </r>
      </text>
    </comment>
    <comment ref="J292" authorId="0" shapeId="0" xr:uid="{05E61657-013D-483B-94E0-B95220ACE1A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1063.1 SCOTIA 27/01</t>
        </r>
      </text>
    </comment>
    <comment ref="J293" authorId="0" shapeId="0" xr:uid="{5BB5FC11-EEF9-43E6-93CD-2E9E1FE517A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1142 BIF 26/01</t>
        </r>
      </text>
    </comment>
    <comment ref="J294" authorId="0" shapeId="0" xr:uid="{7B8139B4-8CA7-4BF3-A739-1394382EC00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10000 BCP 25/01
7050 BIF 31/01</t>
        </r>
      </text>
    </comment>
    <comment ref="J295" authorId="0" shapeId="0" xr:uid="{7B45669B-783F-4781-AE08-2A3B83D4B66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9824 BCP 31/01
6000 BCP 03/02
6000 BCP 04/02
3070 BCP 04/02</t>
        </r>
      </text>
    </comment>
    <comment ref="J296" authorId="0" shapeId="0" xr:uid="{C2E8330B-A75F-42D7-A5BF-4AA2A77D126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7092 BCP 30/01</t>
        </r>
      </text>
    </comment>
    <comment ref="J297" authorId="0" shapeId="0" xr:uid="{DA7FCF05-4B25-4678-BFDA-E707DC4E4DE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175.5 BBVA 20/02</t>
        </r>
      </text>
    </comment>
    <comment ref="J298" authorId="0" shapeId="0" xr:uid="{BA673673-D740-4994-A1A0-88EDFECA7D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2700 BIF 30/01
2395.79 (7069.5) BIF 02/02</t>
        </r>
      </text>
    </comment>
    <comment ref="J299" authorId="0" shapeId="0" xr:uid="{1C0D322C-786D-4913-9F3A-DBB2287641A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4673.71 (7069.5) BIF 02/02</t>
        </r>
      </text>
    </comment>
    <comment ref="J300" authorId="0" shapeId="0" xr:uid="{339F37ED-557F-48A3-AC9D-2C9FA127BF5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1534.96 BBVA 02/02
1000 BCP 09/02</t>
        </r>
      </text>
    </comment>
    <comment ref="J301" authorId="0" shapeId="0" xr:uid="{6370082F-27A2-4A3A-963A-8D3432F3507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10200 BCP 16/02</t>
        </r>
      </text>
    </comment>
    <comment ref="J302" authorId="0" shapeId="0" xr:uid="{97991393-1656-43C9-82D7-7E850B5A702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1440 SCOTIA 08/02</t>
        </r>
      </text>
    </comment>
    <comment ref="J303" authorId="0" shapeId="0" xr:uid="{CE7736BE-9551-4A5D-A260-B06693DDE98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1415 BIF 08/02</t>
        </r>
      </text>
    </comment>
    <comment ref="J304" authorId="0" shapeId="0" xr:uid="{F9795416-178E-4B49-A78B-A494F97529A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BCP 08/02
1528.55 BCP 15/02</t>
        </r>
      </text>
    </comment>
    <comment ref="J305" authorId="0" shapeId="0" xr:uid="{CCA0EAFE-57DF-4362-865B-02D6A63BC07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4900 BCP 10/02
1305 BCP 15/02
5000 BCP 23/02
2000 BCP 10/03
1000 BIF 14/03
1410 BIF 15/03
3000 BIF 15/03</t>
        </r>
      </text>
    </comment>
    <comment ref="J306" authorId="0" shapeId="0" xr:uid="{BBD6906A-5A80-4ADA-A40D-DE02610AD72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1074.2 BIF 04/02</t>
        </r>
      </text>
    </comment>
    <comment ref="J307" authorId="0" shapeId="0" xr:uid="{654E34AD-C580-4707-A9A2-90833865895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12701.2 BCP 28/02</t>
        </r>
      </text>
    </comment>
    <comment ref="J308" authorId="0" shapeId="0" xr:uid="{38243F09-A417-4C34-A473-0DF8EB98F4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SE DESCONTO EN PLANILLA 50% CADA UNO- EULER E IVAN</t>
        </r>
      </text>
    </comment>
    <comment ref="J309" authorId="0" shapeId="0" xr:uid="{357FB9E9-2B95-4BB6-9E04-86E8CAE7C8A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5000 BIF 16/02
3591.1 (5040) BIF 20/02</t>
        </r>
      </text>
    </comment>
    <comment ref="J310" authorId="0" shapeId="0" xr:uid="{A73A8C6A-5AFC-40B5-BC78-918E3047D50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1748.9 (5040) BIF 20/02
4991.1 BIF 21/02</t>
        </r>
      </text>
    </comment>
    <comment ref="J311" authorId="0" shapeId="0" xr:uid="{7B10082B-3433-4036-AC24-2ED7F92DEC6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4052 BCP 21/02</t>
        </r>
      </text>
    </comment>
    <comment ref="J312" authorId="0" shapeId="0" xr:uid="{FE868F3E-63E4-4473-948D-A9D5EB6221D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22000 BCP 18/03
12849 BCP 21/03</t>
        </r>
      </text>
    </comment>
    <comment ref="J313" authorId="0" shapeId="0" xr:uid="{5C987ABD-21B2-499B-B28A-2C2C7C6D81D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3354.72 BCP 21/02</t>
        </r>
      </text>
    </comment>
    <comment ref="J314" authorId="0" shapeId="0" xr:uid="{25FE1360-41F9-413C-98CF-1D47078F2F2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2906 BCP 21/02</t>
        </r>
      </text>
    </comment>
    <comment ref="J315" authorId="0" shapeId="0" xr:uid="{E969E75B-57AB-4CC0-8B1B-60669E38C5E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3153 BCP 14/02</t>
        </r>
      </text>
    </comment>
    <comment ref="J316" authorId="0" shapeId="0" xr:uid="{D91B64EC-2438-4F09-9EF1-38457A74DFA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353.36 (803) BIF 16/02
400 BIF 21/02</t>
        </r>
      </text>
    </comment>
    <comment ref="J317" authorId="0" shapeId="0" xr:uid="{590F0E2B-48D4-4C5D-A78D-101EBD62482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BCP 28/02
1000 BCP 01/03
1000 BCP 03/03
800 BCP 07/03</t>
        </r>
      </text>
    </comment>
    <comment ref="J318" authorId="0" shapeId="0" xr:uid="{9C8A3E2F-7628-49C6-9A79-24C71E2366A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BCP 13/03
1000 INTERBANK 18/03
500 BCP 24/03
600 BIF 27/03
500 INTERB. 31/03
500 BCP 11/04
500 BCP 12/04
440.73 (500) SCOTIA 27/04</t>
        </r>
      </text>
    </comment>
    <comment ref="J319" authorId="0" shapeId="0" xr:uid="{5AA32DB1-B687-4A5D-8201-4CF5A6F0DBE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59.27 (500) SCOTIA 27/04
800 BCP 09/05
500 BCP 03/06
475.3 SCOTIA 12/06</t>
        </r>
      </text>
    </comment>
    <comment ref="J320" authorId="0" shapeId="0" xr:uid="{FB6295CB-6D54-41B6-A73F-5C2B02B3CFE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1099 BIF 09/02
10000 BCP 13/02
3182 BIF 27/02</t>
        </r>
      </text>
    </comment>
    <comment ref="J321" authorId="0" shapeId="0" xr:uid="{2A1FAF05-70B7-407E-8B8E-6A068AFA55E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5250 BIF 06/03
82.7 BBVA 18/03</t>
        </r>
      </text>
    </comment>
    <comment ref="J322" authorId="0" shapeId="0" xr:uid="{7D2FE19A-30C9-46D8-96EF-33586C482B0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14085 BCP 10/03</t>
        </r>
      </text>
    </comment>
    <comment ref="J323" authorId="0" shapeId="0" xr:uid="{9CDB2739-6486-42C2-951F-5D0E6019939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14217.5 INTERBANK 30/03</t>
        </r>
      </text>
    </comment>
    <comment ref="J324" authorId="0" shapeId="0" xr:uid="{3DF3B98B-5098-4474-83AF-E55A3545C8D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1327.1 BIF 15/03</t>
        </r>
      </text>
    </comment>
    <comment ref="J325" authorId="0" shapeId="0" xr:uid="{79C4D414-7438-4DFC-AB7B-996B91C96C4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1301 BIF 17/02</t>
        </r>
      </text>
    </comment>
    <comment ref="J326" authorId="0" shapeId="0" xr:uid="{2DD0E78F-03CC-4C89-A795-AFD24631241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1747.05 (4275) BIF 24/02
LA DIFERENCIA CANCELA VTAS AL CONTADO</t>
        </r>
      </text>
    </comment>
    <comment ref="J327" authorId="0" shapeId="0" xr:uid="{3D6F98FA-46EE-401C-954A-42F5E161368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795.58 (3295.58) BBVA 12/04</t>
        </r>
      </text>
    </comment>
    <comment ref="J328" authorId="0" shapeId="0" xr:uid="{9CD24EC4-1E46-40BF-8B9F-F56CE0CCF0C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1066.06 (2030) BIF 18/02</t>
        </r>
      </text>
    </comment>
    <comment ref="J329" authorId="0" shapeId="0" xr:uid="{0A796E8F-DDF9-4626-BF55-BC581C160BB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756.05 BN 13/03
2500 (3295.58) BBVA 12/04
1500 BBVA 17/05</t>
        </r>
      </text>
    </comment>
    <comment ref="J330" authorId="0" shapeId="0" xr:uid="{06965A6C-675A-4E6D-8A6D-1EFE4BDEFD8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BIF 22/02
306 BIF 25/02
423 BIF 01/03
300 BIF 04/03
100.28 (300) BIF 11/03</t>
        </r>
      </text>
    </comment>
    <comment ref="J331" authorId="0" shapeId="0" xr:uid="{AFC843CE-EA2B-4547-8B44-1A68780F2E2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15153.49 BIF 28/02</t>
        </r>
      </text>
    </comment>
    <comment ref="J332" authorId="0" shapeId="0" xr:uid="{3AD5240C-F141-455D-AE97-3C9F758B3B2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12810 BIF 03/03</t>
        </r>
      </text>
    </comment>
    <comment ref="J333" authorId="0" shapeId="0" xr:uid="{74A04085-8438-43B8-A4BF-4C252009A008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sz val="9"/>
            <color indexed="81"/>
            <rFont val="Tahoma"/>
            <family val="2"/>
          </rPr>
          <t>300 (2030) BIF 18/02
664 CANC. VTA CONTADO 14/02 SELVA MOTOR
300 BIF 22/02
300 BIF 25/02
400 BCP 28/02
300 BIF 04/03
300 BIF 08/03
300 BIF 11/03
500 BIF 18/03
300 BIF 30/03
200 BIF 03/04
300 BIF 05/04
300 BIF 12/04 
150 BIF 15/04
300 BIF 19/04
300 SCOTIA 21/04
300 SCOTIA 28/04
200 SCOTIA 06/05
300 SCOTIA 12/05
300 SCOTIA 17/05
200 SCOTIA 20/05
300 SCOTIA 24/05
565 SCOTIA 03/06</t>
        </r>
      </text>
    </comment>
    <comment ref="J334" authorId="0" shapeId="0" xr:uid="{76E442F3-1BFB-4065-87CB-FA9D7107B66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695.02 (902) BIF 02/03</t>
        </r>
      </text>
    </comment>
    <comment ref="J335" authorId="0" shapeId="0" xr:uid="{A610880D-2CBF-4896-9197-BE11DA60B8E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56 (902) BIF 02/03
150.98 SOBRA DE VTA AL CONTADO</t>
        </r>
      </text>
    </comment>
    <comment ref="J336" authorId="0" shapeId="0" xr:uid="{90AC4974-F8A4-4085-A608-A8156372B6D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 BIF 08/03
206.72 (300) BIF 11/03</t>
        </r>
      </text>
    </comment>
    <comment ref="J337" authorId="0" shapeId="0" xr:uid="{A79527F1-B262-4CB1-9BF1-B5603E8263A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1500 BCP 05/04
2500 BCP 01/05
1317.91 (2000) BCP 08/05</t>
        </r>
      </text>
    </comment>
    <comment ref="J338" authorId="0" shapeId="0" xr:uid="{BE5920E9-EB83-48A2-8341-7D1BE249986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1974.9 BIF 07/03</t>
        </r>
      </text>
    </comment>
    <comment ref="J339" authorId="0" shapeId="0" xr:uid="{B13EFBD8-A5CE-46AC-A0F9-A6CD80515CA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4897.5 BIF 10/03</t>
        </r>
      </text>
    </comment>
    <comment ref="J340" authorId="0" shapeId="0" xr:uid="{B00E4B64-416D-4E52-9233-3C2851D63A6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711.8 BIF 14/03</t>
        </r>
      </text>
    </comment>
    <comment ref="J341" authorId="0" shapeId="0" xr:uid="{7AE8ED68-AD97-4B89-994D-D7502AFA9D0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201.3 BIF 07/03
200 BIF 16/03
200 BIF 17/03
200 BIF 23/03
200 BIF 25/03
270 BIF 27/03</t>
        </r>
      </text>
    </comment>
    <comment ref="J342" authorId="0" shapeId="0" xr:uid="{E90BC4EF-C6F6-4949-96AF-7E4C4B4C4D6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2602.11 BBVA 10/03</t>
        </r>
      </text>
    </comment>
    <comment ref="J343" authorId="0" shapeId="0" xr:uid="{900DEF5D-809A-4030-AC80-CBADF2D32AC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800 BIF 20/03
418.1 BIF 22/03</t>
        </r>
      </text>
    </comment>
    <comment ref="J344" authorId="0" shapeId="0" xr:uid="{DA063CDB-255D-4310-B354-47A234EAB8C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552 SCOTIA 14/03</t>
        </r>
      </text>
    </comment>
    <comment ref="J346" authorId="0" shapeId="0" xr:uid="{4924B697-8259-4556-BEE7-BEB13D63229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1812.1 BIF 16/03</t>
        </r>
      </text>
    </comment>
    <comment ref="J347" authorId="0" shapeId="0" xr:uid="{31CF0566-2249-4336-A389-EB25C18DB1A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682.09 (2000) BCP 08/05
</t>
        </r>
      </text>
    </comment>
    <comment ref="J348" authorId="0" shapeId="0" xr:uid="{83136E13-38B6-4EA8-BD75-D1812ED34B0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250 BIF 07/03
189.1 BIF 08/03</t>
        </r>
      </text>
    </comment>
    <comment ref="J349" authorId="0" shapeId="0" xr:uid="{4A4FBC37-66C4-4A1F-9964-040BB3C1D7F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3164.47 BBVA 06/03
3000 BCP 08/03
4500 BIF 09/03</t>
        </r>
      </text>
    </comment>
    <comment ref="J350" authorId="0" shapeId="0" xr:uid="{1A0BEA0D-C695-43D6-B18F-ADC2AE8442D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700 BIF 06/03
787.9 BIF 07/03
1000 BCP 07/03
1000 BIF 09/03
1000 BIF 10/03
2000.10 BIF 17/03 
</t>
        </r>
      </text>
    </comment>
    <comment ref="J351" authorId="0" shapeId="0" xr:uid="{5C1B5FA1-8823-4A50-AC7F-46BBCCDD6FE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5000 BBVA 25/03
5000 BBVA 27/03
5000 BBVA 29/03
5000 BBVA 04/04
5697.4 BBVA 08/04</t>
        </r>
      </text>
    </comment>
    <comment ref="J352" authorId="0" shapeId="0" xr:uid="{AA061B14-2FEC-46FE-990C-397C7CF1964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6470 (21164.33) BCP 11/03</t>
        </r>
      </text>
    </comment>
    <comment ref="J353" authorId="0" shapeId="0" xr:uid="{A47FD303-E144-46FC-9825-09524FB964C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14694.33 (21164.33) BCP 11/03</t>
        </r>
      </text>
    </comment>
    <comment ref="J354" authorId="0" shapeId="0" xr:uid="{D6E879DA-935B-4261-839C-3212695105F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4280.4 BBVA 18/03</t>
        </r>
      </text>
    </comment>
    <comment ref="J356" authorId="0" shapeId="0" xr:uid="{3FF77B3A-3437-4FFD-8D66-B41CB92C344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4621 BCP 27/03</t>
        </r>
      </text>
    </comment>
    <comment ref="J357" authorId="0" shapeId="0" xr:uid="{8A829F6B-3C38-4263-A6B7-8B940634E4A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1860 (3300) BCP 24/03</t>
        </r>
      </text>
    </comment>
    <comment ref="J358" authorId="0" shapeId="0" xr:uid="{A01DED98-E134-412F-9C47-2F9C8556475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1440 (3300) BCP 24/03
3057 BCP 27/03</t>
        </r>
      </text>
    </comment>
    <comment ref="J359" authorId="0" shapeId="0" xr:uid="{0A54C742-AF04-4A1C-8B2B-78D5CDEFBBF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15093.40 BANBIF 25/09</t>
        </r>
      </text>
    </comment>
    <comment ref="J360" authorId="0" shapeId="0" xr:uid="{8C2B36F6-B367-4E81-959D-CBFEF9E4DA4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9444.8 BN 20/04</t>
        </r>
      </text>
    </comment>
    <comment ref="J361" authorId="0" shapeId="0" xr:uid="{45C58FC6-CD74-44CA-84F1-9BFFC418FE2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220 BIF 25/03
220 BIF 28/03</t>
        </r>
      </text>
    </comment>
    <comment ref="J362" authorId="0" shapeId="0" xr:uid="{E9519083-A78B-4581-B0B1-048335183A2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24328 BBVA 23/03</t>
        </r>
      </text>
    </comment>
    <comment ref="J363" authorId="0" shapeId="0" xr:uid="{CC9288EA-B1A5-41C5-9BD6-4401293682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5163.5 BIF 23/03
14600 BCP 25/03
14400 BCP 27/03</t>
        </r>
      </text>
    </comment>
    <comment ref="J364" authorId="0" shapeId="0" xr:uid="{F7A7A626-67BD-4A19-AC67-807A00F228E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42.32 INTERB 20/05
2300 (2800) BBVA 09/06</t>
        </r>
      </text>
    </comment>
    <comment ref="J365" authorId="0" shapeId="0" xr:uid="{CDF38AB3-0726-454B-9DD9-9DABB393863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BIF 30/03
200 BIF 04/04
279.45 (2631.44) BIF 08/04</t>
        </r>
      </text>
    </comment>
    <comment ref="J366" authorId="0" shapeId="0" xr:uid="{CDA1D596-FFC6-4966-B120-3D33802972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650 BIF 03/04</t>
        </r>
      </text>
    </comment>
    <comment ref="J367" authorId="0" shapeId="0" xr:uid="{D0229694-0DA6-4187-9C79-8CBF28EED80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BIF 03/04
230 BIF 04/04
1000 BIF 05/04
1000 BIF 11/04
</t>
        </r>
      </text>
    </comment>
    <comment ref="J368" authorId="0" shapeId="0" xr:uid="{B56C17AC-DEF2-4A0F-8D98-8DE0AC3A83C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BIF 24/03
500 BIF 29/03
300.1 BIF 04/04</t>
        </r>
      </text>
    </comment>
    <comment ref="J369" authorId="0" shapeId="0" xr:uid="{01585D3C-E7CA-43F0-8D89-F258B5F53C4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650 BIF 12/04
400 BIF 19/04
500 SCOTIA 21/04
500 SCOTIA 27/04
1018.3 SCOTIA 10/05
520 SCOTIA 09/05</t>
        </r>
      </text>
    </comment>
    <comment ref="J370" authorId="0" shapeId="0" xr:uid="{C2CE6FFF-F836-4FC3-A7F9-E9B2E9FE0D9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1165.8 BIF 03/04</t>
        </r>
      </text>
    </comment>
    <comment ref="J371" authorId="0" shapeId="0" xr:uid="{3F8C8B9F-46E1-498F-BC26-523D733F809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2640 BIF 04/04</t>
        </r>
      </text>
    </comment>
    <comment ref="J372" authorId="0" shapeId="0" xr:uid="{C381D109-B48A-4439-AFAF-AA5B2B9BCA1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BIF 12/04
410 BIF 13/04
500 BIF 15/04
300 BIF 19/04
300 SCOTIA 22/04
150 SCOTIA 25/04
200 SCOTIA 29/04
350 SCOTIA 04/05
400 SCOTIA 06/05</t>
        </r>
      </text>
    </comment>
    <comment ref="J373" authorId="0" shapeId="0" xr:uid="{C3F71EE8-F89F-4F2F-A327-76F77169659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7778 BBVA 24/03</t>
        </r>
      </text>
    </comment>
    <comment ref="J374" authorId="0" shapeId="0" xr:uid="{72F3B311-8E21-4422-9525-1B03523FA4C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7778 BBVA 24/03</t>
        </r>
      </text>
    </comment>
    <comment ref="J375" authorId="0" shapeId="0" xr:uid="{0C60AC35-A099-4219-95BF-14C1E17F53B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7778 BBVA 24/03</t>
        </r>
      </text>
    </comment>
    <comment ref="J376" authorId="0" shapeId="0" xr:uid="{FAB9E9C7-5E94-435E-BF3F-75700EA7723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448.8 BIF 28/03
241.3 SCOTIA 26/04</t>
        </r>
      </text>
    </comment>
    <comment ref="J377" authorId="0" shapeId="0" xr:uid="{563A729B-5A65-4974-AC67-134AA2B0D12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5000 BIF 15/04
5620 BIF 19/04</t>
        </r>
      </text>
    </comment>
    <comment ref="J378" authorId="0" shapeId="0" xr:uid="{30882D73-20EE-42AA-AAC9-576132DAE74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3000 BCP 03/04
17059.65 BCP 15/04</t>
        </r>
      </text>
    </comment>
    <comment ref="J379" authorId="0" shapeId="0" xr:uid="{12235F45-EE86-4933-B245-2799931CD04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7778 BBVA 31/03</t>
        </r>
      </text>
    </comment>
    <comment ref="J380" authorId="0" shapeId="0" xr:uid="{4410C2AA-9E53-41C2-9FA1-84351A96E32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7778 BBVA 31/03</t>
        </r>
      </text>
    </comment>
    <comment ref="J381" authorId="0" shapeId="0" xr:uid="{17AAB885-3BC7-4AFA-887A-96169D1181A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7778 BBVA 31/03</t>
        </r>
      </text>
    </comment>
    <comment ref="J382" authorId="0" shapeId="0" xr:uid="{4FB07B37-D4F5-4EA2-BD05-770A01734AC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7778 BBVA 31/03</t>
        </r>
      </text>
    </comment>
    <comment ref="J383" authorId="0" shapeId="0" xr:uid="{10A0086A-E5C3-4097-8A47-B7EF76E9BBA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7778 BBVA 04/04</t>
        </r>
      </text>
    </comment>
    <comment ref="J384" authorId="0" shapeId="0" xr:uid="{10A02D40-2DEE-43AF-9562-1B8190E27D6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1835.89 BBVA 30/03</t>
        </r>
      </text>
    </comment>
    <comment ref="J385" authorId="0" shapeId="0" xr:uid="{6E202C0D-3663-4569-B987-E23B975E03D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SCOTIA 22/04
2000 SCOTIA 25/04
900 SCOTIA 26/04
1600 SCOTIA 27/04
1000 SCOTIA 28/04
1000 SCOTIA 29/04
1529.2 BIF 03/05
30 BBVA 04/5</t>
        </r>
      </text>
    </comment>
    <comment ref="J386" authorId="0" shapeId="0" xr:uid="{08CD8BD4-E3F9-4700-B038-92800820543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BIF 19/04
200 SCOTIA 21/04
259.1 SCOTIA 25/04
150 SCOTIA 27/04
200 SCOTIA 29/04
250 SCOTIA 04/05</t>
        </r>
      </text>
    </comment>
    <comment ref="J388" authorId="0" shapeId="0" xr:uid="{EF11E4F7-E37E-4363-A9BB-AE69662801A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1732 BIF 19/04</t>
        </r>
      </text>
    </comment>
    <comment ref="J389" authorId="0" shapeId="0" xr:uid="{B0DC2940-7FC6-485B-98FC-694E934BA8A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5000 BBVA 12/04
5000 BBVA 14/04
2000 SCOTIA 25/04
2500 BBVA 28/04
12000 BBVA 02/05
12144.6 BBVA 09/05</t>
        </r>
      </text>
    </comment>
    <comment ref="J390" authorId="0" shapeId="0" xr:uid="{C161348D-C9BB-4689-8C9A-AE254181881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350 BIF 15/04
800 SCOTIA 26/04</t>
        </r>
      </text>
    </comment>
    <comment ref="J393" authorId="0" shapeId="0" xr:uid="{01115786-E25C-4537-8EBB-C227C61AE94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720 SCOTIA 09/05</t>
        </r>
      </text>
    </comment>
    <comment ref="J394" authorId="0" shapeId="0" xr:uid="{D28B6A4E-9F03-4BF7-8FBE-E10A9348D16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SCOTIA 16/05
1000 SCOTIA 17/05
1000 SCOTIA 18/05
1000 SCOTIA 19/05
1250 BCP 19/05
1000 SCOTIA 20/05</t>
        </r>
      </text>
    </comment>
    <comment ref="J395" authorId="0" shapeId="0" xr:uid="{CEE0F94A-0E1B-420C-857B-F20A4462A1E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878 BIF 19/04
1000 SCOTIA 22/04
1000 BCP 24/04</t>
        </r>
      </text>
    </comment>
    <comment ref="J396" authorId="0" shapeId="0" xr:uid="{99EE72F3-60AF-48C3-BAE5-AB2313185FE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(2800) BBVA 09/06
412.39 (474.11) BN 17/06
2100 BN 30/06
250 (1305.9) BBVA 03/08</t>
        </r>
      </text>
    </comment>
    <comment ref="J397" authorId="0" shapeId="0" xr:uid="{693D7D40-6CA2-4E95-94CC-8A915082900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61.72 (474.11) BN 17/06</t>
        </r>
      </text>
    </comment>
    <comment ref="J398" authorId="0" shapeId="0" xr:uid="{CBCB0C76-A4A1-4A2D-9CA2-1AF7B9F0C13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19844.5 BBVA 16/05</t>
        </r>
      </text>
    </comment>
    <comment ref="J400" authorId="0" shapeId="0" xr:uid="{C1185382-F6CB-40FC-B94B-F4B8AA69367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475 BBVA 19/04</t>
        </r>
      </text>
    </comment>
    <comment ref="J401" authorId="0" shapeId="0" xr:uid="{B7C7E286-BEC5-4AC3-A5E2-95E4AB7E9DA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765 BBVA 24/04</t>
        </r>
      </text>
    </comment>
    <comment ref="J402" authorId="0" shapeId="0" xr:uid="{DFA95289-0D9F-473F-870A-341A9FC6FCF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489.89 BCP 01/05</t>
        </r>
      </text>
    </comment>
    <comment ref="J403" authorId="0" shapeId="0" xr:uid="{5DF826CD-FC40-4351-AF2A-7C8F7B511F2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3572 BCP 01/05</t>
        </r>
      </text>
    </comment>
    <comment ref="J404" authorId="0" shapeId="0" xr:uid="{05D87674-A4F7-4DC2-8152-F29163ABA52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999.6 SCOTIA 22/04</t>
        </r>
      </text>
    </comment>
    <comment ref="J405" authorId="0" shapeId="0" xr:uid="{34F5C240-11F8-4077-B471-CFF17CB3CA9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1627.59 (6199.02) BCP 12/05</t>
        </r>
      </text>
    </comment>
    <comment ref="J406" authorId="0" shapeId="0" xr:uid="{01EA1DD7-8AB8-47F1-BD6A-823482148A4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4571.43 (6199.02) BCP 12/05</t>
        </r>
      </text>
    </comment>
    <comment ref="J407" authorId="0" shapeId="0" xr:uid="{288C3144-EE8B-4ABD-8CDF-27EF011F486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11250 BCP 16/05</t>
        </r>
      </text>
    </comment>
    <comment ref="J408" authorId="0" shapeId="0" xr:uid="{7D298A70-5C44-46A1-8D70-AC736ED9C43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6169 BCP 05/06</t>
        </r>
      </text>
    </comment>
    <comment ref="J409" authorId="0" shapeId="0" xr:uid="{86DB01DB-BCC0-4380-BB58-284DB9EC9D8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5800 BCP 08/05</t>
        </r>
      </text>
    </comment>
    <comment ref="J410" authorId="0" shapeId="0" xr:uid="{0C5266DA-4F83-4FA1-93A7-C8C9CF5C458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6148.1 LT BCP (6134.24) 06/05
6148.1 LT BCP (6134.24) 11/05</t>
        </r>
      </text>
    </comment>
    <comment ref="J411" authorId="0" shapeId="0" xr:uid="{055D9D4B-A4FD-450C-8730-59E0B495888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8000 BCP 22/04
2000 BBVA 22/04
8186.18 BCP 26/04
5000 BCP 27/04</t>
        </r>
      </text>
    </comment>
    <comment ref="J412" authorId="0" shapeId="0" xr:uid="{199CD39F-8B6A-43A5-96AA-871B6D28340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2700 SCOTIA 27/04
1760 SCOTIA 02/05
0.90 SCOTIA 02/05</t>
        </r>
      </text>
    </comment>
    <comment ref="J414" authorId="0" shapeId="0" xr:uid="{46065C64-604E-404E-BB3B-FE0E2725243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75 SCOTIA 22/04</t>
        </r>
      </text>
    </comment>
    <comment ref="J415" authorId="0" shapeId="0" xr:uid="{24E79D39-2DA6-4CB6-973E-039351AE8C0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SCOTIA 06/05
500 SCOTIA 11/05
50.91 (215.4) SCOTIA 18/05</t>
        </r>
      </text>
    </comment>
    <comment ref="J416" authorId="0" shapeId="0" xr:uid="{5A784AF7-2271-4D43-94F1-6AF6948D0CE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164.4 (215.4) SCOTIA 18/05</t>
        </r>
      </text>
    </comment>
    <comment ref="J417" authorId="0" shapeId="0" xr:uid="{0B6CB0E2-FA51-4CEE-B67D-6555F28F5FC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3380 BIF 03/05
8585 BBVA 26/04</t>
        </r>
      </text>
    </comment>
    <comment ref="J418" authorId="0" shapeId="0" xr:uid="{DD1898FE-211F-4EFE-B899-B5FB630987E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SCOTIA 15/05
400 SCOTIA 19/05
313.7 SCOTIA 22/05</t>
        </r>
      </text>
    </comment>
    <comment ref="J419" authorId="0" shapeId="0" xr:uid="{B485FD9E-C0D9-4108-B507-5F4C010C965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1149 SCOTIA 18/05
1000 SCOTIA 24/05
1000 SCOTIA 25/05
1000 SCOTIA 26/05</t>
        </r>
      </text>
    </comment>
    <comment ref="J420" authorId="0" shapeId="0" xr:uid="{91C02AB9-4234-4D4D-8A68-316085234A1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4005 BCP 27/05</t>
        </r>
      </text>
    </comment>
    <comment ref="J421" authorId="0" shapeId="0" xr:uid="{1BF64A0A-D872-4555-9017-F3998A5B2D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10486.8 BCP 30/05</t>
        </r>
      </text>
    </comment>
    <comment ref="J422" authorId="0" shapeId="0" xr:uid="{DCC9715F-DFC9-4005-B61C-06D137288DF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14170.16 (14319.2) BCP 22/06
149.04 SOBRA</t>
        </r>
      </text>
    </comment>
    <comment ref="J423" authorId="0" shapeId="0" xr:uid="{B7BCC46F-1A43-4313-BD79-0B545BD65F5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270 (1302.1) SCOTIA 29/04
410 (2135) SCOTIA 29/04</t>
        </r>
      </text>
    </comment>
    <comment ref="J424" authorId="0" shapeId="0" xr:uid="{6681FFB6-E7E4-4258-AFDC-EC8CE3B1046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2811.37 (4057.1) BBVA 19/05 </t>
        </r>
      </text>
    </comment>
    <comment ref="J425" authorId="0" shapeId="0" xr:uid="{BE1DD624-B021-44E2-BD0F-A8CC962FE0D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1245.72 (4057.1) BBVA 19/05 </t>
        </r>
      </text>
    </comment>
    <comment ref="J426" authorId="0" shapeId="0" xr:uid="{B9E4CD42-07B3-40A1-AC13-5C2CA196AC0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20000 BCP 16/06
13899.1 BCP 17/06</t>
        </r>
      </text>
    </comment>
    <comment ref="J428" authorId="0" shapeId="0" xr:uid="{A59D6989-2616-47BD-B174-34ECE9B9BC3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827.6 SCOTIA 2705</t>
        </r>
      </text>
    </comment>
    <comment ref="J429" authorId="0" shapeId="0" xr:uid="{17FD3DFB-BA2F-4AB0-B33C-426E2ACFB1F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4240.25 BCP 06/06</t>
        </r>
      </text>
    </comment>
    <comment ref="J430" authorId="0" shapeId="0" xr:uid="{ABA3AEC6-3020-4BFF-B8FB-E51DC18BCC9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4000 INTERB 05/05
3700 INTERB 26/05</t>
        </r>
      </text>
    </comment>
    <comment ref="J431" authorId="0" shapeId="0" xr:uid="{1E7CA9A9-5AFC-4DE3-974C-58E9B565492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SCOTIA 20/05
150 SCOTIA 26/05
200 SCOTIA 30/05
250 SCOTIA 02/06</t>
        </r>
      </text>
    </comment>
    <comment ref="J432" authorId="0" shapeId="0" xr:uid="{A903A8B1-6FE0-4C8F-B213-6940022D2AE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5000 SCOTIA 19/05
6000 SCOTIA 26/05
4000 BCP 27/05
600 SCOTIA 31/05</t>
        </r>
      </text>
    </comment>
    <comment ref="J433" authorId="0" shapeId="0" xr:uid="{0BDA9DEA-C524-4D09-8F28-43ABA7E4741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2528.4 BCP 27/05</t>
        </r>
      </text>
    </comment>
    <comment ref="J434" authorId="0" shapeId="0" xr:uid="{F3C4DAF9-B042-4338-9FF0-7CA36CF6E72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3360 SCOTIA 22/05</t>
        </r>
      </text>
    </comment>
    <comment ref="J435" authorId="0" shapeId="0" xr:uid="{D891E441-F800-4004-8860-C24BFB43A26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SCOTIA 11/05
800 SCOTIA 30/05
500 SCOTIA 08/06
500 SCOTIA 13/06
500 SCOTIA 21/06
600 SCOTIA 27/06
500 SCOTIA 04/07
500 SCOTIA 15/07
500 SCOTIA 22/07
500 SCOTIA 03/08
550 SCOTIA 11/08</t>
        </r>
      </text>
    </comment>
    <comment ref="J436" authorId="0" shapeId="0" xr:uid="{D9507227-54F7-4039-B9A7-11E45CB9602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SCOTIA 23/05
300 SCOTIA 26/05
132.64 (300) SCOTIA 31/05</t>
        </r>
      </text>
    </comment>
    <comment ref="J437" authorId="0" shapeId="0" xr:uid="{753EA553-CDB7-4950-ABA1-BF8073D2287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167.36 (300) SCOTIA 31/05
265.2 SCOTIA 02/06</t>
        </r>
      </text>
    </comment>
    <comment ref="J438" authorId="0" shapeId="0" xr:uid="{49FE453E-3D2D-41E3-B5B2-2FF063F4A58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(5298.3) SCOTIA 06/06
300 SCOTIA 09/06
363.8 CORIA 15/06</t>
        </r>
      </text>
    </comment>
    <comment ref="J439" authorId="0" shapeId="0" xr:uid="{85ED6636-6ABF-4304-9D1C-024AFC6ACA1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1125.18 (1666) 01/06
540.82 SOBRA</t>
        </r>
      </text>
    </comment>
    <comment ref="J440" authorId="0" shapeId="0" xr:uid="{4DA92888-F7AC-4F4A-8CBD-C734D7BC3F3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2440 SCOTIA 30/05</t>
        </r>
      </text>
    </comment>
    <comment ref="J441" authorId="0" shapeId="0" xr:uid="{E28AD900-C55C-4B9E-87A6-AE8DC24B1DD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3325.68 (5000) BANBIF 10/07</t>
        </r>
      </text>
    </comment>
    <comment ref="J442" authorId="0" shapeId="0" xr:uid="{737C24D9-06B8-4DB7-9CC9-E3A89216C35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1674.32 (5000) BANBIF 10/07
2000 SCOTIA 22/07
1000 SCOTIA 27/07
293.86 (1000) SCOTIA 15/08</t>
        </r>
      </text>
    </comment>
    <comment ref="J444" authorId="0" shapeId="0" xr:uid="{D869DD0A-F6BD-4350-ABDE-DAB397DFEAD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2000 SCOTIA 13/06
2000 SCOTIA 15/06
1060.3 (2310.3) SCOTIA 17/06</t>
        </r>
      </text>
    </comment>
    <comment ref="J445" authorId="0" shapeId="0" xr:uid="{773A44B1-F555-433B-ACF5-EC0F4B71B99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SCOTIA 03/06
200 SCOTIA 08/06
150.1 SCOTIA 10/06
208 SCOTIA 15/06
200 SCOTIA 23/06
99.8 SCOTIA 28/06</t>
        </r>
      </text>
    </comment>
    <comment ref="J446" authorId="0" shapeId="0" xr:uid="{F4E4495D-BBFC-439C-B9DA-2311079FEA0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7398 BBVA 15/06</t>
        </r>
      </text>
    </comment>
    <comment ref="J447" authorId="0" shapeId="0" xr:uid="{38071661-04C5-4405-822C-00C2C07C958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3544.03 BBVA 15/06</t>
        </r>
      </text>
    </comment>
    <comment ref="J448" authorId="0" shapeId="0" xr:uid="{55143DF9-EDD5-4AD0-955C-F73499CB7D7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1835 BBVA 15/06</t>
        </r>
      </text>
    </comment>
    <comment ref="J450" authorId="0" shapeId="0" xr:uid="{B13505B6-0FCF-44C5-968E-8F466649E37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706.14 (1000) SCOTIA 15/08
2500 SCOTIA 14/09
1000 SCOTIA 18/09
500 SCOTIA 23/09
500 BANBIF 25/09
500 BANBIF 28/09
500 (5796) BIF 05/10
1500 BIF 16/10
500 BCP 31/10
500 SCOTIA 08/11
500 (2000) BANBIF 15/11
300 (1050) BANBIF 24/11
1000 SCOTIA 30/11
491.5 SCOTIA 13/12</t>
        </r>
      </text>
    </comment>
    <comment ref="J451" authorId="0" shapeId="0" xr:uid="{346F6C36-465A-48C1-8A87-5C346461752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4527 (672) BCP 01/06</t>
        </r>
      </text>
    </comment>
    <comment ref="J452" authorId="0" shapeId="0" xr:uid="{145A7EDB-D39D-4C9E-8B45-F8FF1F33DD3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4527 (3855) BCP 01/06</t>
        </r>
      </text>
    </comment>
    <comment ref="J453" authorId="0" shapeId="0" xr:uid="{988F8660-7A36-45BF-BC7C-2C82F0071C6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3000 BCP 30/06
1000 SCOTIA 04/07
1000 (1883.7) SCOTIA  05/08
900 SCOTOA 07/07
800 SCOTIA 08/07
1000 SCOTIA 10/07
1000 SCOTIA 12/07
1000 SCOTIA 13/07
812.9 SCOTIA 14/07
1000 SCOTIA 15/07
900 (3968.8) SCOTIA 25/07
800 (235.26) SCOTIA 27/07</t>
        </r>
      </text>
    </comment>
    <comment ref="J454" authorId="0" shapeId="0" xr:uid="{6528C511-F01B-465F-9FAB-8CBF6140B14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800 (564.74) SCOTIA 27/07
1000 BCP 25/07
1000 SCOTIA 31/07
800 SCOTIA 01/08
800 SCOTIA 03/08
700 BCP 01/08
1000 SCOTIA 04/08
800 SCOTIA 05/08
800 SCOTIA 08/08
1000 SCOTIA 09/08
700 (1129.9) SCOTIA 10/08
1348.18 (2760) SCOTIA 12/08</t>
        </r>
      </text>
    </comment>
    <comment ref="J455" authorId="0" shapeId="0" xr:uid="{4A492D92-8913-46F5-8034-7884C65EDD6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372 (6472) BCP 03/07
</t>
        </r>
      </text>
    </comment>
    <comment ref="J456" authorId="0" shapeId="0" xr:uid="{4E4A4817-63D0-43DD-94E3-5F3160AABB6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6100 (6472) BCP 03/07</t>
        </r>
      </text>
    </comment>
    <comment ref="J457" authorId="0" shapeId="0" xr:uid="{2BDD8323-6FDB-4EB5-A959-8D898394177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23680 BBVA 26/05</t>
        </r>
      </text>
    </comment>
    <comment ref="J458" authorId="0" shapeId="0" xr:uid="{174D4044-4E55-4C47-BD1D-F371173A4B2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15998 BBVA 29/05</t>
        </r>
      </text>
    </comment>
    <comment ref="J459" authorId="0" shapeId="0" xr:uid="{88476991-D45B-4E68-8C72-BE25519DE9D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5150 SCOTIA 16/06
5000 SCOTIA 26/06</t>
        </r>
      </text>
    </comment>
    <comment ref="J461" authorId="0" shapeId="0" xr:uid="{AFEC4517-02E4-4185-A16A-483389576FC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5706.82 (11014.35) BN DIAZ 26/06</t>
        </r>
      </text>
    </comment>
    <comment ref="J462" authorId="0" shapeId="0" xr:uid="{6F672B6B-B3F4-44D2-8F4F-E26CCCB1D9C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283.8 (1305.9) BBVA 03/08</t>
        </r>
      </text>
    </comment>
    <comment ref="J463" authorId="0" shapeId="0" xr:uid="{71A17EC7-D79B-46C7-95E0-20A7130C31A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2587 SCOTIA 14/06</t>
        </r>
      </text>
    </comment>
    <comment ref="J464" authorId="0" shapeId="0" xr:uid="{35B85769-953E-46F0-9774-8B23C89BCCD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SCOTIA 16/06
1250 (2310.3) SCOTIA 17/06</t>
        </r>
      </text>
    </comment>
    <comment ref="J465" authorId="0" shapeId="0" xr:uid="{1D55CA42-5FC2-4642-AB37-C46EF5C4B2A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 (5298.3) SCOTIA 06/06
150 SCOTIA 10/06
200 SCOTIA 10/07
200 SCOTIA 18/07
200 SCOTIA 27/07
145.5 SCOTIA 23/08</t>
        </r>
      </text>
    </comment>
    <comment ref="J466" authorId="0" shapeId="0" xr:uid="{A11EBAFB-D715-46F3-BE0B-09EF3C25D37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1500 SCOTIA 21/06
1000 SCOTIA 23/06
1208 SCOTIA 27/06</t>
        </r>
      </text>
    </comment>
    <comment ref="J467" authorId="0" shapeId="0" xr:uid="{0A1050D8-B8A4-4428-BF10-88114A4A16A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BCP 12/07
1000 BCP 01/08
500 BCP 08/08
500 BCP 12/08
500 BCP 04/09
500 BCP 19/09
1299.31 BCP 30/09</t>
        </r>
      </text>
    </comment>
    <comment ref="J468" authorId="0" shapeId="0" xr:uid="{6D943FBC-62FC-474E-B6A6-1CAE9768906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4105.13 (11014.35) BN DIAZ 26/06</t>
        </r>
      </text>
    </comment>
    <comment ref="J469" authorId="0" shapeId="0" xr:uid="{DC625E24-7720-45AF-B6B7-0326B56DA96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350 SCOTIA 14/05
35.1 SCOTIA 15/06</t>
        </r>
      </text>
    </comment>
    <comment ref="J470" authorId="0" shapeId="0" xr:uid="{77EAD895-DF34-4ABD-96DC-91F366E0EFA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410 SCOTIA 28/06
500 SCOTIA 30/06
500 SCOTIA 04/07</t>
        </r>
      </text>
    </comment>
    <comment ref="J472" authorId="0" shapeId="0" xr:uid="{4E8FF967-FF6D-4C74-AD1F-6F0F74D4298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1254.2 INTERB. 03/07</t>
        </r>
      </text>
    </comment>
    <comment ref="J473" authorId="0" shapeId="0" xr:uid="{C67EC97B-4C6D-4ECA-B22F-A00F38ECBF8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SCOTIA 28/06
150 (1370) SCOTIA 01/07
100 (1883.7) SCOTIA  05/07
100 SCOTIA 11/07
100 SCOTIA 19/07
100 (3968.8) SCOTIA 25/07
100 (2477.8) SCOTIA 16/08
100 SCOTIA 18/08
100 SCOTIA 22/08
100 SCOTIA 24/08
100 SCOTIA 01/09
100 SCOTIA 09/09
63 SCOTIA 13/09
100 SCOTIA 20/09</t>
        </r>
      </text>
    </comment>
    <comment ref="J474" authorId="0" shapeId="0" xr:uid="{31CC108C-823B-4458-A503-ECDC7BEE163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130.5 SCOTIA 28/06</t>
        </r>
      </text>
    </comment>
    <comment ref="J475" authorId="0" shapeId="0" xr:uid="{378F34C9-FFE2-4942-8BD3-A651C8238C3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700 BCP 04/07
900 SCOTIA 07/07
1500 SCOTIA 11/07
500 SCOTIA 13/07
201.7 SCOTIA 14/07
1000 SCOTIA 15/07
1000 (4525.8) SCOTIA 18/07</t>
        </r>
      </text>
    </comment>
    <comment ref="J477" authorId="0" shapeId="0" xr:uid="{3AA585BF-CE8B-4ACE-9D59-0CB487E0FB9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202 BBVA 19/06</t>
        </r>
      </text>
    </comment>
    <comment ref="J478" authorId="0" shapeId="0" xr:uid="{CABFACDE-C6FF-43B5-B9B9-5059CA40301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541.64 BCP 16/08</t>
        </r>
      </text>
    </comment>
    <comment ref="J479" authorId="0" shapeId="0" xr:uid="{C655A54C-1599-41A5-B9F0-B446F49A974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1650 SCOTIA 08/07
1716.7 SCOTIA 11/07</t>
        </r>
      </text>
    </comment>
    <comment ref="J480" authorId="0" shapeId="0" xr:uid="{D7011064-FF5C-4F35-9AFF-43A8FDAD87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3727.2 SCOTIA 06/07</t>
        </r>
      </text>
    </comment>
    <comment ref="J481" authorId="0" shapeId="0" xr:uid="{80C7EAEF-B074-4A17-A39F-63EBA12E99E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900 SCOTIA 04/07
900 SCOTIA 08/07
500 SCOTIA 12/07
500 SCOTIA 13/07</t>
        </r>
      </text>
    </comment>
    <comment ref="J482" authorId="0" shapeId="0" xr:uid="{12D33FD7-923E-43E9-98E3-C7BCC978812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611.7 (1305.9) BBVA 03/08</t>
        </r>
      </text>
    </comment>
    <comment ref="J483" authorId="0" shapeId="0" xr:uid="{C24F2EED-8D01-41CC-B8A5-B0DBA36C868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1200 SCOTIA 27/07
77.4 (1560) SCOTIA 04/08</t>
        </r>
      </text>
    </comment>
    <comment ref="J484" authorId="0" shapeId="0" xr:uid="{484C8C5E-1F8A-4724-96F4-B73093F9BA2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SCOTIA 06/09
163 BIF 17/10</t>
        </r>
      </text>
    </comment>
    <comment ref="J485" authorId="0" shapeId="0" xr:uid="{E7DF2F1E-A9FB-4375-93E7-9288ACFCD90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160.4 (1305.9) BBVA 03/08</t>
        </r>
      </text>
    </comment>
    <comment ref="J487" authorId="0" shapeId="0" xr:uid="{1ECC930F-A4EF-44C2-9469-386928E872D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533.2 SCOTIA 14/07
400 (1577.6) SCOTIA 17/07
600 SCOTIA 18/07
1000 BCP 19/07
500 SCOTIA 22/07
500 (3968.8) SCOTIA 25/07</t>
        </r>
      </text>
    </comment>
    <comment ref="J488" authorId="0" shapeId="0" xr:uid="{55F1DCA6-31DB-4F02-A23A-2394DB60914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6525 BBVA 14/07</t>
        </r>
      </text>
    </comment>
    <comment ref="J489" authorId="0" shapeId="0" xr:uid="{31E460BC-CE1A-4F6F-A3A1-764B763586E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BN DIAZ 03/08
250 (400) BN DIAZ 04/08</t>
        </r>
      </text>
    </comment>
    <comment ref="J490" authorId="0" shapeId="0" xr:uid="{4546A7F8-47E1-4601-895D-61694361F07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 (400) BN DIAZ 04/08
1000 BN DIAZ 09/08
150 BN DIAZ 11/08
500 BN DIAZ 14/08
250 BN DIAZ 19/08
200 BN DIAZ 21/08
200 BN DIAZ 23/08
320 BN DIAZ 25/08
130 BN DIAZ 26/08</t>
        </r>
      </text>
    </comment>
    <comment ref="J491" authorId="0" shapeId="0" xr:uid="{96F207E5-4648-46F9-A64B-38F80B3A5CE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7000 BN 17/07
15000 BCP 25/07
2800 BBVA 25/07
2170 BN 25/07
3992.96 BCP 26/07</t>
        </r>
      </text>
    </comment>
    <comment ref="J492" authorId="0" shapeId="0" xr:uid="{5A5A1085-CEEB-4AD9-B711-4582EF05EC1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12150 SCOTIA 04/07</t>
        </r>
      </text>
    </comment>
    <comment ref="J494" authorId="0" shapeId="0" xr:uid="{34B2B6AB-F14D-4262-9A5B-C03984665AA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11025.52 BCP 07/09
</t>
        </r>
      </text>
    </comment>
    <comment ref="J495" authorId="0" shapeId="0" xr:uid="{3AFCE799-162D-4BDD-8028-3AF09F8A072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20511 INTERBANK 29/07</t>
        </r>
      </text>
    </comment>
    <comment ref="J496" authorId="0" shapeId="0" xr:uid="{C1596C9C-6FBE-4119-AEA2-C8272EE3735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19780 INTERB. 03/08</t>
        </r>
      </text>
    </comment>
    <comment ref="J497" authorId="0" shapeId="0" xr:uid="{762F2F8D-D197-4801-B9DE-FEABF098668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8595 BCP 31/08</t>
        </r>
      </text>
    </comment>
    <comment ref="J498" authorId="0" shapeId="0" xr:uid="{B93930B1-0F1A-42AF-B259-CA8A3688BFC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16810 INTERB 15/08</t>
        </r>
      </text>
    </comment>
    <comment ref="J499" authorId="0" shapeId="0" xr:uid="{7F7595A0-F3EB-47AE-AF46-B696BCFD15E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17596 BCP 21/08</t>
        </r>
      </text>
    </comment>
    <comment ref="J500" authorId="0" shapeId="0" xr:uid="{927BBD2E-65CA-400B-9A78-1DEDBE3ABCD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 SCOTIA 02/08
200 SCOTIA 04/08
110 SCOTIA 08/08
150 (1129.9) SCOTIA 10/08
178 SCOTIA 15/08
150 SCOTIA 18/08
200 BIF 21/08
150 (2380.8) SCOTIA 23/08
121.7 SCOTIA 25/08</t>
        </r>
      </text>
    </comment>
    <comment ref="J501" authorId="0" shapeId="0" xr:uid="{C6C6CBEE-B340-46E0-8249-6E4607CEB01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 SCOTIA 12/07
131 SCOTIA 19/07</t>
        </r>
      </text>
    </comment>
    <comment ref="J502" authorId="0" shapeId="0" xr:uid="{E73B7BD2-526E-4E6E-85C5-90279EFC63A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17500 BCP 25/07</t>
        </r>
      </text>
    </comment>
    <comment ref="J503" authorId="0" shapeId="0" xr:uid="{8A477F36-E28C-4CBE-A016-B1A20C72A8B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600 SCOTIA 31/07
1000 SCOTIA 01/08
1400 BCP 05/08
500 SCOTIA 09/08
500 SCOTIA 11/08
500 (2477.8) SCOTIA 16/08
700 SCOTIA 19/08
1400 SCOTIA 25/08
500 (3800) SCOTIA 29/08
2500.1 SCOTIA 01/09</t>
        </r>
      </text>
    </comment>
    <comment ref="J505" authorId="0" shapeId="0" xr:uid="{9357C1F7-950D-47C0-A043-5BA1FABE010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(3968.8) SCOTIA 25/07
834.72 (3724.5) SCOTIA 26/07</t>
        </r>
      </text>
    </comment>
    <comment ref="J506" authorId="0" shapeId="0" xr:uid="{B8B71065-128A-4545-AC46-D1C16F1BE19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475 BVA 17/07</t>
        </r>
      </text>
    </comment>
    <comment ref="J507" authorId="0" shapeId="0" xr:uid="{AD705D59-AF89-4D0A-8ED5-129DA5944A3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1408 (3036.3) SCOTIA 03/08
DIF. CONTADO</t>
        </r>
      </text>
    </comment>
    <comment ref="J508" authorId="0" shapeId="0" xr:uid="{A3170228-9464-4BC0-8694-1642061071D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6282.46 BCP 09/08</t>
        </r>
      </text>
    </comment>
    <comment ref="J509" authorId="0" shapeId="0" xr:uid="{23C98950-020C-459A-A67A-6A6A518AEE8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1200 (2591.4) BCP 08/08</t>
        </r>
      </text>
    </comment>
    <comment ref="J510" authorId="0" shapeId="0" xr:uid="{2D5590A2-D454-4400-9E7D-017671DE8EE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1181.88 (4181.82) BBVA 02/08</t>
        </r>
      </text>
    </comment>
    <comment ref="J511" authorId="0" shapeId="0" xr:uid="{6B071CEC-346B-4AEB-907E-9BF6EFF73FC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2999.94 (4181.82) BBVA 02/08</t>
        </r>
      </text>
    </comment>
    <comment ref="J512" authorId="0" shapeId="0" xr:uid="{C9CB5ED6-8CEB-4EBD-A411-FB2C2B7EAA8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270 BCP 09/08</t>
        </r>
      </text>
    </comment>
    <comment ref="J513" authorId="0" shapeId="0" xr:uid="{0F6E73A1-D0E1-4CDE-A413-BFF1E5583F9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1391.4 (2591.4) BCP 08/08</t>
        </r>
      </text>
    </comment>
    <comment ref="J514" authorId="0" shapeId="0" xr:uid="{0D2194D0-5A1A-4BA6-A594-508837DB991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SCOTIA 22/07
300 (3724.5) SCOTIA 26/07
62.6 (342.7) SCOTIA 01/08</t>
        </r>
      </text>
    </comment>
    <comment ref="J515" authorId="0" shapeId="0" xr:uid="{F1DD2358-3A64-4922-99BF-E0DB36A6712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280.01 (342.7) SCOTIA 01/08</t>
        </r>
      </text>
    </comment>
    <comment ref="J516" authorId="0" shapeId="0" xr:uid="{6B5A2D42-E028-41B7-A559-DAC76C14C7C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3967 (4167) BBVA 01/08</t>
        </r>
      </text>
    </comment>
    <comment ref="J517" authorId="0" shapeId="0" xr:uid="{67EE9D5F-9283-4CBB-9A6D-0AF4F5EDA95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(4167) BBVA 01/08</t>
        </r>
      </text>
    </comment>
    <comment ref="J518" authorId="0" shapeId="0" xr:uid="{6F831674-EE20-43BD-9FCA-3D030867666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SCOTIA 26/09
400 BIF 10/10
160 BIF 11/10
339 (3273.5) SCOTIA 22/11</t>
        </r>
      </text>
    </comment>
    <comment ref="J520" authorId="0" shapeId="0" xr:uid="{DC975900-8E37-4B6A-B3E8-25C155D5F6B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1400 SCOTIA 10/08
972 SCOTIA 17/08</t>
        </r>
      </text>
    </comment>
    <comment ref="J522" authorId="0" shapeId="0" xr:uid="{67B9A80F-8AE0-4169-A69B-505245A70EB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SCOTIA 17/08
500 SCOTIA 19/08
400 SCOTIA 24/08
489 (3800) SCOTIA 29/08</t>
        </r>
      </text>
    </comment>
    <comment ref="J523" authorId="0" shapeId="0" xr:uid="{1CA1E295-6F89-499E-94EC-F1ECD3396DD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 SCOTIA 09/08
200 (2477.8) SCOTIA 16/08
119.9 SCOTIA 18/08</t>
        </r>
      </text>
    </comment>
    <comment ref="J524" authorId="0" shapeId="0" xr:uid="{D82FFE6C-0248-4404-987C-401B57F7F7A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6593.6 SCOTIA 08/08</t>
        </r>
      </text>
    </comment>
    <comment ref="J525" authorId="0" shapeId="0" xr:uid="{F5490840-0273-46E7-B79D-79E5C355F33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10000 BBVA 05/10/22
2590 BCP 05/10/22
22630 BCP 14/10/22</t>
        </r>
      </text>
    </comment>
    <comment ref="J527" authorId="0" shapeId="0" xr:uid="{55348D92-6EAC-455E-8129-E4A53191B0D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3900 (13000) BN DIAZ 07/08</t>
        </r>
      </text>
    </comment>
    <comment ref="J528" authorId="0" shapeId="0" xr:uid="{AD4022B5-5F3B-4538-B32A-46D9C4C9A9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7600 (13000) BN DIAZ 07/08</t>
        </r>
      </text>
    </comment>
    <comment ref="J530" authorId="0" shapeId="0" xr:uid="{EB71313D-6908-4E13-AE53-D0FB1FC06FA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153 SCOTIA 15/09
150 (300) SCOTIA 23/09
100 BIF 07/10
256.88 (509) BIF 18/10</t>
        </r>
      </text>
    </comment>
    <comment ref="J531" authorId="0" shapeId="0" xr:uid="{C0A2E70C-2D77-4936-B806-0ACC3DEDEAE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1500 (13000) BN DIAZ 07/08
12000 BN DIAZ 23/08
696.9 (7000) BCP 23/08</t>
        </r>
      </text>
    </comment>
    <comment ref="J532" authorId="0" shapeId="0" xr:uid="{848E8020-8B26-4919-8095-F76A35FF5A4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149.04 (14319.2) BCP 22/06
8000 BCP 02/10
3472.46 BCP 30/10
2850.95 (3000) BCP 13/12</t>
        </r>
      </text>
    </comment>
    <comment ref="J534" authorId="0" shapeId="0" xr:uid="{F8EAC2F2-0EC9-4ACA-BF09-C4383DB1F39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800.43 (4030.41) SCOTIA 19/08</t>
        </r>
      </text>
    </comment>
    <comment ref="J535" authorId="0" shapeId="0" xr:uid="{CBC62B09-0C30-4765-AF8C-2F46081F383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BCP 01/09
960.8 BCP 19/09</t>
        </r>
      </text>
    </comment>
    <comment ref="J536" authorId="0" shapeId="0" xr:uid="{C02C5B8C-D54A-4BEC-AD72-4810BA4B7A6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(3800) SCOTIA 29/08
250 SCOTIA 22/08
300 SCOTIA 31/08
722.8 BCP 12/09</t>
        </r>
      </text>
    </comment>
    <comment ref="J537" authorId="0" shapeId="0" xr:uid="{7A29AFC9-7EBE-412C-AA8C-6716C6650E2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5030 BCP 18/08</t>
        </r>
      </text>
    </comment>
    <comment ref="J538" authorId="0" shapeId="0" xr:uid="{46C9D36D-A368-4315-86FE-9CE3D933C6A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5919.96 (8112) BBVA 22/08</t>
        </r>
      </text>
    </comment>
    <comment ref="J540" authorId="0" shapeId="0" xr:uid="{44733E1C-0141-4EA4-AF5C-D33774FC062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2192 (8112) BBVA 22/08</t>
        </r>
      </text>
    </comment>
    <comment ref="J541" authorId="0" shapeId="0" xr:uid="{D10970F8-6870-4312-9219-CF1B6EDC5E5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3068.75 (4154) BN DIAZ 08/08</t>
        </r>
      </text>
    </comment>
    <comment ref="J542" authorId="0" shapeId="0" xr:uid="{22C9563C-0296-432E-AE0F-06E4DE6CBAD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3068.75 (4154) BN DIAZ 08/08</t>
        </r>
      </text>
    </comment>
    <comment ref="J543" authorId="0" shapeId="0" xr:uid="{5EC470D1-ACA7-4D2E-B313-C060B49FB3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3268.14 (7000) BCP 23/08
3034.96 CONTADO
10000 BN 01/09
6131.87 BN DIAZ 07/09
200 SCOTIA 22/09</t>
        </r>
      </text>
    </comment>
    <comment ref="J544" authorId="0" shapeId="0" xr:uid="{71E95AFF-9E33-43BF-8D60-93DD05150C6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1500 SCOTIA 05/09
1000 SCOTIA 07/09
600 SCOTIA 09/09
1000 SCOTIA 11/09
1000 SCOTIA 12/09
1009 SCOTIA 14/09</t>
        </r>
      </text>
    </comment>
    <comment ref="J545" authorId="0" shapeId="0" xr:uid="{D433B6AC-0182-44F7-AE7A-72290F2118D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SCOTIA 12/09
497 SCOTIA 16/09</t>
        </r>
      </text>
    </comment>
    <comment ref="J546" authorId="0" shapeId="0" xr:uid="{19ACF5CB-B36E-47D7-B7D9-721C75B4143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SCOTIA 25/09
850 BIF 10/10
250 BIF 24/10
214.6 BIF 27/10
512.7 (662.7) SCOTIA 31/10</t>
        </r>
      </text>
    </comment>
    <comment ref="J547" authorId="0" shapeId="0" xr:uid="{DF882CF3-89BB-4F5E-A612-3E8E76CF31B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1528.27 BCP 19/12
149.05 (3000) BCP 13/12</t>
        </r>
      </text>
    </comment>
    <comment ref="J548" authorId="0" shapeId="0" xr:uid="{915452AF-8962-466C-82D8-ABF17BF156C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26495.79 BCP 14/12</t>
        </r>
      </text>
    </comment>
    <comment ref="J549" authorId="0" shapeId="0" xr:uid="{B98DDFCC-970C-4F64-A5DA-2673F886002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31750.22 BCP 23/12</t>
        </r>
      </text>
    </comment>
    <comment ref="J550" authorId="0" shapeId="0" xr:uid="{3FDA4E26-5C64-42DB-BFE8-7E32F354682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115 SCOTIA 22/08
400 (450) SCOTIA 05/09
300 SCOTIA 26/09
200 SCOTIA 29/09</t>
        </r>
      </text>
    </comment>
    <comment ref="J551" authorId="0" shapeId="0" xr:uid="{49672A4B-FC64-41C9-ABE1-5D54DE364AC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 SCOTIA 22/08 
50 (450) SCOTIA 05/09
75.5 (100) SCOTIA 15/09</t>
        </r>
      </text>
    </comment>
    <comment ref="J552" authorId="0" shapeId="0" xr:uid="{059D4446-7FA7-490A-A880-D82BE4F90C1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24.5 (100) SCOTIA 15/09
100 SCOTIA 22/09
150 (300) SCOTIA 23/09
100 SC¿OTIA 26/09
80 SCOTIA 28/09
146.5 SCOTIA 29/09</t>
        </r>
      </text>
    </comment>
    <comment ref="J553" authorId="0" shapeId="0" xr:uid="{2D150D43-4A43-4843-82F0-ABE95AE4A84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 (207) SCOTIA 28/09
300 BIF 19/10
700 BIF 28/11</t>
        </r>
      </text>
    </comment>
    <comment ref="J554" authorId="0" shapeId="0" xr:uid="{410520F6-B5B9-416B-80AC-5FD2574E181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SCOTIA 31/08
1190 SCOTIA 06/09</t>
        </r>
      </text>
    </comment>
    <comment ref="J555" authorId="0" shapeId="0" xr:uid="{5BB07B42-5520-4A83-BA39-F09C61DEA26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890 BCP 14/09</t>
        </r>
      </text>
    </comment>
    <comment ref="J556" authorId="0" shapeId="0" xr:uid="{1330D28D-BB6A-4006-9612-736D89C62EB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27297 BCP 29/12</t>
        </r>
      </text>
    </comment>
    <comment ref="J557" authorId="0" shapeId="0" xr:uid="{2ED95619-5190-44EF-A845-0672A167972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15510 BCP 19/09</t>
        </r>
      </text>
    </comment>
    <comment ref="J558" authorId="0" shapeId="0" xr:uid="{B618497D-CC5D-45E3-8728-91A132D521B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SCOTIA 06/09
900 SCOTIA 07/09
1000 BCP 07/09
850 SCOTIA 09/09
500 BCP 11/09
900 SCOTIA 13/09
1000 SCOTIA 14/09
690 BCP 14/09
800 SCOTIA 16/09
1000 SCOTIA 18/09
800 SCOTIA 20/09
800 BANBIF 21/09
110 SCOTIA 23/09
500 SCOTIA 21/09</t>
        </r>
      </text>
    </comment>
    <comment ref="J559" authorId="0" shapeId="0" xr:uid="{41E00B15-743F-488F-87A9-BB21DB2038D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600 (1000) BCP 27/10</t>
        </r>
      </text>
    </comment>
    <comment ref="J560" authorId="0" shapeId="0" xr:uid="{9B358665-D951-4D26-ABCA-5D6041FB379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(1000) BCP 27/10</t>
        </r>
      </text>
    </comment>
    <comment ref="J561" authorId="0" shapeId="0" xr:uid="{79C6F600-BB11-43EF-971E-2F6AE0674C9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4320 SCOTIA 12/09</t>
        </r>
      </text>
    </comment>
    <comment ref="J562" authorId="0" shapeId="0" xr:uid="{F1884B37-E6C1-40D6-A595-A5160C7982F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150158.92 BBVA 15/11
229841.08 BBVA 15/11</t>
        </r>
      </text>
    </comment>
    <comment ref="J563" authorId="0" shapeId="0" xr:uid="{2A0888B3-DA71-4256-A0C0-C9721446EA4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150158.92 BBVA 15/11
229841.08 BBVA 15/11</t>
        </r>
      </text>
    </comment>
    <comment ref="J564" authorId="0" shapeId="0" xr:uid="{60695141-204E-45A3-8CD2-C1E51F4D00E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700 SCOTIA 23/09
100 SCOTIA 26/09
700 BCP 27/09
600 SCOTIA 29/09
800 SCOTIA 30/09
1000 BCP 26/09
1000 BIF 10/10
936.98 (4864.1) BIF 11/10</t>
        </r>
      </text>
    </comment>
    <comment ref="J565" authorId="0" shapeId="0" xr:uid="{333312C0-1F89-405A-8BD4-07A36E67597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150158.92 BBVA 15/11
229841.08 BBVA 15/11</t>
        </r>
      </text>
    </comment>
    <comment ref="J566" authorId="0" shapeId="0" xr:uid="{23184D90-6E10-414A-B507-F2A49B59808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150158.92 BBVA 15/11
229841.08 BBVA 15/11</t>
        </r>
      </text>
    </comment>
    <comment ref="J568" authorId="0" shapeId="0" xr:uid="{8A2316AB-086F-46FE-B8AF-8F77E921F78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150158.92 BBVA 15/11
229841.08 BBVA 15/11</t>
        </r>
      </text>
    </comment>
    <comment ref="J569" authorId="0" shapeId="0" xr:uid="{A9F9A65D-A84E-42CA-AC8E-9F31CCDB514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630.7 (1678.6) SCOTIA 07/09
</t>
        </r>
      </text>
    </comment>
    <comment ref="J570" authorId="0" shapeId="0" xr:uid="{46EE4D9D-7B0A-4F40-8E84-25A6F30072A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1047.96 (1678.6) SCOTIA 07/09</t>
        </r>
      </text>
    </comment>
    <comment ref="J571" authorId="0" shapeId="0" xr:uid="{BDDAD20B-ECAF-4D32-8B98-4FF46773055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SCOTIA 25/08
400 SCOTIA 01/09
400 SCOTIA 13/09
300 SCOTIA 19/09
332 (532) BANBIF 21/09</t>
        </r>
      </text>
    </comment>
    <comment ref="J572" authorId="0" shapeId="0" xr:uid="{E9A3BA48-B8D0-48CE-8472-B68D9CADCC8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150158.92 BBVA 15/11
229841.08 BBVA 15/11</t>
        </r>
      </text>
    </comment>
    <comment ref="J573" authorId="0" shapeId="0" xr:uid="{5D6FFB4C-7E43-421E-AD2D-7FFD5B51871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45.3 BBVA 28/11</t>
        </r>
      </text>
    </comment>
    <comment ref="J574" authorId="0" shapeId="0" xr:uid="{89FCF1BD-A54D-42B7-B10C-1CBA76E9F21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3089 BCP 06/09</t>
        </r>
      </text>
    </comment>
    <comment ref="J575" authorId="0" shapeId="0" xr:uid="{94E63186-88DB-4D18-AB85-B1C6D059AD2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SCOTIA 28/08
300 SCOTIA 01/09
300 SCOTIA 07/09
200 SCOTIA 11/09
200 SCOTIA 14/09
200 (532) BANBIF 21/09
107 (207) SCOTIA 28/09</t>
        </r>
      </text>
    </comment>
    <comment ref="J576" authorId="0" shapeId="0" xr:uid="{63383B24-76FC-4F91-8FBB-DAFE1BFAB16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47200 BBVA 07/09</t>
        </r>
      </text>
    </comment>
    <comment ref="J577" authorId="0" shapeId="0" xr:uid="{2902E26C-56A7-426B-86E3-0529546E1CE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(2142) SCOTIA 26/08
300 SCOTIA 07/09
200 SCOTIA 13/09
100 SCOTIA 19/09
180 SCOTIA 25/09</t>
        </r>
      </text>
    </comment>
    <comment ref="J579" authorId="0" shapeId="0" xr:uid="{CE407040-2D39-4CAC-B1B1-69130407958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150158.92 BBVA 15/11
229841.08 BBVA 15/11</t>
        </r>
      </text>
    </comment>
    <comment ref="J580" authorId="0" shapeId="0" xr:uid="{905DD64E-9982-4AD0-A4A7-20CA859CFFA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2049 SCOTIA 21/09</t>
        </r>
      </text>
    </comment>
    <comment ref="J581" authorId="0" shapeId="0" xr:uid="{371FD899-39DA-49C6-A137-BD37DC2A191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1151.76 (2100) SCOTIA 15/09</t>
        </r>
      </text>
    </comment>
    <comment ref="J582" authorId="0" shapeId="0" xr:uid="{1E6C6DA5-05C3-4885-9E07-420BCA1EC85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948.24 (2100) SCOTIA 15/09
135.67 (1500) SCOTIA 27/09</t>
        </r>
      </text>
    </comment>
    <comment ref="J583" authorId="0" shapeId="0" xr:uid="{CD6ACB29-6C71-4EB5-9CC2-951A726D32D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1164.33 (1500) SCOTIA 27/09
1000 BIF 23/10
567 SCOTIA 03/11</t>
        </r>
      </text>
    </comment>
    <comment ref="J585" authorId="0" shapeId="0" xr:uid="{AB16CABE-5230-4222-A131-D85FE9BB17C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170 SCOTIA 30/09
200 (939.6) BIF 07/10</t>
        </r>
      </text>
    </comment>
    <comment ref="J586" authorId="0" shapeId="0" xr:uid="{949E731C-F381-4DE2-8D20-6FF7B58A055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2586 (3912) BCP 14/09</t>
        </r>
      </text>
    </comment>
    <comment ref="J587" authorId="0" shapeId="0" xr:uid="{FAC30586-0B5D-4619-8490-975EAB41B1F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3368 BCP 18/09</t>
        </r>
      </text>
    </comment>
    <comment ref="J588" authorId="0" shapeId="0" xr:uid="{BD0F6067-FD4F-437C-9F12-181EBB7CDED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1840 BBVA 19/09</t>
        </r>
      </text>
    </comment>
    <comment ref="J589" authorId="0" shapeId="0" xr:uid="{1C37F773-842F-4372-9D4C-F279C44D63C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1038 (3912) BCP 14/09
288 SOBRA</t>
        </r>
      </text>
    </comment>
    <comment ref="J590" authorId="0" shapeId="0" xr:uid="{2E839935-D00F-4987-99F1-EAFFAE7C527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SCOTIA 14/09
1050 (1400) SCOTIA 03/11
DIF. CONTADO</t>
        </r>
      </text>
    </comment>
    <comment ref="J591" authorId="0" shapeId="0" xr:uid="{BA8ACC07-A374-43F7-9A10-298A6BB22C6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 (1420) SCOTIA 08/10
100 (250) BBVA 02/11
71.9 SCOTIA 16/11</t>
        </r>
      </text>
    </comment>
    <comment ref="J593" authorId="0" shapeId="0" xr:uid="{717A1310-3310-469D-BE65-03A7CB47B7A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4460.49 BBVA 18/09</t>
        </r>
      </text>
    </comment>
    <comment ref="J594" authorId="0" shapeId="0" xr:uid="{9FA6985E-81F3-48F9-9168-2002FE47468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2000 SCOTIA 14/09
2000 SCOTIA 20/09
2000 SCOTIA 22/09
1560 SCOTIA 29/09</t>
        </r>
      </text>
    </comment>
    <comment ref="J595" authorId="0" shapeId="0" xr:uid="{118BF4E7-B572-44C9-A4A4-0A4342FA8D5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 SCOTIA 05/10
100 BN 04/10
250 (509) BIF 18/10
200 (3724) SCOTIA 23/11
616 BBVA 02/12</t>
        </r>
      </text>
    </comment>
    <comment ref="J596" authorId="0" shapeId="0" xr:uid="{B82642D3-E1BE-40D8-B7B3-79AADCE253C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1500 SCOTIA 16/09
1605 SCOTIA 18/09</t>
        </r>
      </text>
    </comment>
    <comment ref="J597" authorId="0" shapeId="0" xr:uid="{9A656CBD-CC62-40C3-A944-C980AC0124D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BCP 18/09
350 SCOTIA 19/09
150 SCOTIA 20/09
215 SCOTIA 22/09
100 SCOTIA 23/09
2000 SCOTIA 23/09
30 SCOTIA 28/09</t>
        </r>
      </text>
    </comment>
    <comment ref="J598" authorId="0" shapeId="0" xr:uid="{A1A48172-467F-4F7F-9966-B8244964117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583.8 SCOTIA 22/09</t>
        </r>
      </text>
    </comment>
    <comment ref="J599" authorId="0" shapeId="0" xr:uid="{BB95F4FB-F22D-4E4B-BE03-1B1F1400519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SCOTIA 25/09
200 SCOTIA 28/09
200 (5796) BIF 05/10
200 BIF 10/10
200 (359) BIF 16/10
189.96 (2420.2) BIF 16/10</t>
        </r>
      </text>
    </comment>
    <comment ref="J600" authorId="0" shapeId="0" xr:uid="{6F1DE1AA-CB7A-48B4-8B03-B6FF6096E4E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663.6 SCOTIA 19/09 
700 (2949.9) 26/09</t>
        </r>
      </text>
    </comment>
    <comment ref="J601" authorId="0" shapeId="0" xr:uid="{76831248-1421-4134-B74B-646952357FD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 SCOTIA 15/09
423 (800) SCOTIA 20/09</t>
        </r>
      </text>
    </comment>
    <comment ref="J602" authorId="0" shapeId="0" xr:uid="{EBDB653F-DFAB-40D9-A8C5-6F952CA3C00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377 (800) SCOTIA 20/09
56 SCOTIA 23/09
300 (2949.9) 26/09
200 (1500) SCOTIA 27/09</t>
        </r>
      </text>
    </comment>
    <comment ref="J605" authorId="0" shapeId="0" xr:uid="{0BEC625D-4A06-4359-81E2-E43293AD55A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SCOTIA 14/09
300 SCOTIA 19/09
200 SCOTIA 25/09
200 SCOTIA 28/09
2.95 (7997.7) SCOTIA 11/11</t>
        </r>
      </text>
    </comment>
    <comment ref="J606" authorId="0" shapeId="0" xr:uid="{C9AA6DC4-54BF-49B9-A334-2A4B921A2AE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1051 SCOTIA 02/09
1051 BN 30/09
1051 BN 03/11</t>
        </r>
      </text>
    </comment>
    <comment ref="J607" authorId="0" shapeId="0" xr:uid="{C902B66F-681A-4BF2-9ECA-B33E88F7E6F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96.05 (7997.7) SCOTIA 11/11
202.9 (3039..3) SCOTIA 14/11
200 BBVA 18/11
200 (4005.8) 28/11</t>
        </r>
      </text>
    </comment>
    <comment ref="J608" authorId="0" shapeId="0" xr:uid="{D795995B-C321-44BA-AE24-D646321CAC1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104.5 (604.5) BIF 17/10
150 (2037) BIF 19/10
150 BIF 25/10
200 BIF 27/10
150 (662.7) SCOTIA 02/11
330 (1420) SCOTIA 08/10</t>
        </r>
      </text>
    </comment>
    <comment ref="J609" authorId="0" shapeId="0" xr:uid="{7FE70D0C-2769-4AFB-A3AA-C38B6B85AAE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SCOTIA 02/09
750 BN 30/09
750 BN 03/11</t>
        </r>
      </text>
    </comment>
    <comment ref="J610" authorId="0" shapeId="0" xr:uid="{BE65B0A4-6994-415B-9BC0-78BEDBD674B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BCP 29/09
86.82 (372.3) SCOTIA 03/10</t>
        </r>
      </text>
    </comment>
    <comment ref="J611" authorId="0" shapeId="0" xr:uid="{0CF4AD3D-2F75-407A-98F7-C060102E7C9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3000 BBVA 16/09</t>
        </r>
      </text>
    </comment>
    <comment ref="J612" authorId="0" shapeId="0" xr:uid="{03F37418-1DA0-4F4B-8E80-86A91E74ADE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4450 (5650) BCP 11/11
DIFERENCIA CONTADO</t>
        </r>
      </text>
    </comment>
    <comment ref="J613" authorId="0" shapeId="0" xr:uid="{7B1AAAC7-BE6C-4D3D-B750-9EBF62D9B14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BBVA 20/09</t>
        </r>
      </text>
    </comment>
    <comment ref="J614" authorId="0" shapeId="0" xr:uid="{DA9EBAAC-B68C-4695-8387-55C3EF4528B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BIF 02/10
250.87 (1082.3) SCOTIA 06/10</t>
        </r>
      </text>
    </comment>
    <comment ref="J615" authorId="0" shapeId="0" xr:uid="{3DEC1C30-9BBF-4B0B-A686-01C8A87C69F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831.41 (1082.3) SCOTIA 06/10</t>
        </r>
      </text>
    </comment>
    <comment ref="J616" authorId="0" shapeId="0" xr:uid="{26D2C638-2CDF-45AF-8011-353D3EA1543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136.86 (500) BIF 15/11
363.1 SCOTIA 22/11
500 (4005.8) SCOTOA 29/11
500 (2702) SCOTIA 06/12
354.6 SCOTIA 16/12
300 SCOTIA 22/12
400 (2070) SCOTIA 29/12
301 (9843.2) SCOTIA 30/12
300 SCOTIA 06/01
300 SCOTIA 06/01</t>
        </r>
      </text>
    </comment>
    <comment ref="J617" authorId="0" shapeId="0" xr:uid="{12FD07AA-5531-455F-B9A2-F94104562A2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136.86 (500) BIF 15/11
363.1 SCOTIA 22/11
500 (4005.8) SCOTOA 29/11
500 (2702) SCOTIA 06/12
354.6 SCOTIA 16/12
300 SCOTIA 22/12
400 (2070) SCOTIA 29/12
301 (9843.2) SCOTIA 30/12
300 SCOTIA 06/01
300 SCOTIA 06/01</t>
        </r>
      </text>
    </comment>
    <comment ref="J618" authorId="0" shapeId="0" xr:uid="{251BFAE5-2E1E-4428-B90E-8CCA15C4938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136.86 (500) BIF 15/11
363.1 SCOTIA 22/11
500 (4005.8) SCOTOA 29/11
500 (2702) SCOTIA 06/12
354.6 SCOTIA 16/12
300 SCOTIA 22/12
400 (2070) SCOTIA 29/12
301 (9843.2) SCOTIA 30/12
300 SCOTIA 06/01
300 SCOTIA 06/01</t>
        </r>
      </text>
    </comment>
    <comment ref="J619" authorId="0" shapeId="0" xr:uid="{A26095E4-68A6-414E-BD65-1B68FA53278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136.86 (500) BIF 15/11
363.1 SCOTIA 22/11
500 (4005.8) SCOTOA 29/11
500 (2702) SCOTIA 06/12
354.6 SCOTIA 16/12
300 SCOTIA 22/12
400 (2070) SCOTIA 29/12
301 (9843.2) SCOTIA 30/12
300 SCOTIA 06/01
300 SCOTIA 06/01</t>
        </r>
      </text>
    </comment>
    <comment ref="J620" authorId="0" shapeId="0" xr:uid="{E906E773-34D8-4FBB-AD14-ADA84669F24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136.86 (500) BIF 15/11
363.1 SCOTIA 22/11
500 (4005.8) SCOTOA 29/11
500 (2702) SCOTIA 06/12
354.6 SCOTIA 16/12
300 SCOTIA 22/12
400 (2070) SCOTIA 29/12
301 (9843.2) SCOTIA 30/12
300 SCOTIA 06/01
300 SCOTIA 06/01</t>
        </r>
      </text>
    </comment>
    <comment ref="J621" authorId="0" shapeId="0" xr:uid="{3258BD68-90C3-4413-B969-82BD8DCD170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136.86 (500) BIF 15/11
363.1 SCOTIA 22/11
500 (4005.8) SCOTOA 29/11
500 (2702) SCOTIA 06/12
354.6 SCOTIA 16/12
300 SCOTIA 22/12
400 (2070) SCOTIA 29/12
301 (9843.2) SCOTIA 30/12
300 SCOTIA 06/01
300 SCOTIA 06/01</t>
        </r>
      </text>
    </comment>
    <comment ref="J622" authorId="0" shapeId="0" xr:uid="{69C92E5A-2BE0-4C7A-A955-58151C31F1F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136.86 (500) BIF 15/11
363.1 SCOTIA 22/11
500 (4005.8) SCOTOA 29/11
500 (2702) SCOTIA 06/12
354.6 SCOTIA 16/12
300 SCOTIA 22/12
400 (2070) SCOTIA 29/12
301 (9843.2) SCOTIA 30/12
300 SCOTIA 06/01
300 SCOTIA 06/01</t>
        </r>
      </text>
    </comment>
    <comment ref="J623" authorId="0" shapeId="0" xr:uid="{EC5FABCE-5BE6-46BC-849E-4BDEB8C7DE8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136.86 (500) BIF 15/11
363.1 SCOTIA 22/11
500 (4005.8) SCOTOA 29/11
500 (2702) SCOTIA 06/12
354.6 SCOTIA 16/12
300 SCOTIA 22/12
400 (2070) SCOTIA 29/12
301 (9843.2) SCOTIA 30/12
300 SCOTIA 06/01
300 SCOTIA 06/01</t>
        </r>
      </text>
    </comment>
    <comment ref="J624" authorId="0" shapeId="0" xr:uid="{461E6063-1259-4CD2-8A0E-6088466F5B6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(1303.6) SCOTIA 03/10
DIF. CONTADO
500 (939.6) BIF 07/10
500 BIF 10/10
500 (2420.2) BIF 16/10
500 (604.5) BIF 17/10
200 BIF 25/10
300 BIF 30/10
500 SCOTIA 03/11
500 SCOTIA 09/11
500 SCOTIA 14/11
363.14 (500) BIF 15/11</t>
        </r>
      </text>
    </comment>
    <comment ref="J627" authorId="0" shapeId="0" xr:uid="{70E1CBE0-ED56-472B-8952-BA3F3455B42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235.44 (372.3) SCOTIA 03/10 </t>
        </r>
      </text>
    </comment>
    <comment ref="J628" authorId="0" shapeId="0" xr:uid="{3E8A7B52-28E4-416B-B837-80F08CE30E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 BBVA 21/12
150 (5416.4)  SCOTIA 27/12
150 BBVA 02/01</t>
        </r>
      </text>
    </comment>
    <comment ref="J629" authorId="0" shapeId="0" xr:uid="{C934326E-E398-43F4-87C5-1FA6DEB4EA2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BN 04/10
1000 BN 04/10
1416.86 (3000) BN 10/10</t>
        </r>
      </text>
    </comment>
    <comment ref="J630" authorId="0" shapeId="0" xr:uid="{222BF7B9-72DC-496A-A7F6-9FBAE7DBC56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1416.86 (3000) BN 10/10
334.64 (352) BN 04/10</t>
        </r>
      </text>
    </comment>
    <comment ref="J631" authorId="0" shapeId="0" xr:uid="{6D38CFDC-E2B4-4A6B-873D-FB95C8F2F57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17.36 (352) BN 04/10
1000X2=2000 BN 04/10</t>
        </r>
      </text>
    </comment>
    <comment ref="J632" authorId="0" shapeId="0" xr:uid="{2FD4AA7D-4D95-4DC9-B3B3-31BF305370A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1296 BIF 02/10</t>
        </r>
      </text>
    </comment>
    <comment ref="J633" authorId="0" shapeId="0" xr:uid="{6C3FD23C-B463-49E9-94E6-E65E1857B6D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7060 (15220) BN DIAZ 25/09
4500 BN 18/10
1500 (2037) BIF 19/10
2000 (3248.2) BIF 21/10</t>
        </r>
      </text>
    </comment>
    <comment ref="J634" authorId="0" shapeId="0" xr:uid="{540C3A2F-6C6E-4274-82E4-3F826CF7770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3000 (4413.74) BIF 21/10
3000 BCP 23/10
1055 BIF 25/10
1000 BIF 28/10</t>
        </r>
      </text>
    </comment>
    <comment ref="J635" authorId="0" shapeId="0" xr:uid="{69F8337F-71DB-4E1F-B8D1-DE699FDF2F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505 SCOTIA 25/09
500 SCOTIA 26/09
500 SCOTIA 29/09
700 BIF 07/10</t>
        </r>
      </text>
    </comment>
    <comment ref="J636" authorId="0" shapeId="0" xr:uid="{B65E9559-C56B-4850-8844-B93D3FA1D35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2090.70 BIF 07/10</t>
        </r>
      </text>
    </comment>
    <comment ref="J637" authorId="0" shapeId="0" xr:uid="{D417E2F4-2C3A-4166-BFB9-3B562BF0AFA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262 BIF 27/10
200 (2202) SCOTIA 17/11
200 (3724) SCOTIA 23/11
200 (1852.3) SCOTIA 28/11 
200 SCOTIA 30/11
200 (600) BBVA 02/12
200 (6008.7) SCOTIA 05/12
200 (3710.3) SCOTIA 07/12
200 SCOTIA 12/12
200 (3670) SCOTIA 14/12
200 SCOTIA 19/12
200 SCOTIA 21/12
200 SCOTIA 23/12
200 (5416.4)  SCOTIA 27/12
200 (9843.2) SCOTIA 30/12
400 (5691.9) SCOTIA 04/01
300 SCOTIA 04/01</t>
        </r>
      </text>
    </comment>
    <comment ref="J638" authorId="0" shapeId="0" xr:uid="{7496E2EB-FAB6-4445-8721-B0939DC7277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3672 BCP 10/10</t>
        </r>
      </text>
    </comment>
    <comment ref="J639" authorId="0" shapeId="0" xr:uid="{C6764894-2D9B-4375-8239-DF83EFE1FD7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2760 BCP 23/10</t>
        </r>
      </text>
    </comment>
    <comment ref="J640" authorId="0" shapeId="0" xr:uid="{E3C95A38-1061-4755-994C-0CA681E4EEE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3810 BCP 09/10</t>
        </r>
      </text>
    </comment>
    <comment ref="J643" authorId="0" shapeId="0" xr:uid="{454DA194-E8F3-4B3C-900F-5FA5F56B86A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489.12 (3959.16) BBVA 18/11</t>
        </r>
      </text>
    </comment>
    <comment ref="J644" authorId="0" shapeId="0" xr:uid="{C99ECFFF-605B-45EA-994F-9ADFDE86AC1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1280.55 (3959.16) BBVA 18/11</t>
        </r>
      </text>
    </comment>
    <comment ref="J645" authorId="0" shapeId="0" xr:uid="{905FC78C-A18C-42FF-AC9A-567B6CB71C5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249.95 (3959.16) BBVA 18/11
1500 BBVA 30/12</t>
        </r>
      </text>
    </comment>
    <comment ref="J646" authorId="0" shapeId="0" xr:uid="{4676AA72-EDCA-4551-BA83-99F800D09E6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1939.54 (3959.16) BBVA 18/11</t>
        </r>
      </text>
    </comment>
    <comment ref="J647" authorId="0" shapeId="0" xr:uid="{0792B355-C74F-4D92-8EEA-76161DA0D3F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 BBVA 16/10
62.42 BBVA 16/11</t>
        </r>
      </text>
    </comment>
    <comment ref="J648" authorId="0" shapeId="0" xr:uid="{206FD0F5-E0AC-43E7-BE13-5F0C66109D7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4000 BBVA 30/09
2100 BCP 30/09
1500 BIF 17/10
1610 BIF 26/10</t>
        </r>
      </text>
    </comment>
    <comment ref="J649" authorId="0" shapeId="0" xr:uid="{3530486F-3ACA-41D9-BEC3-8A8507B3792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556.2 (2731.3) BBVA 04/10</t>
        </r>
      </text>
    </comment>
    <comment ref="J650" authorId="0" shapeId="0" xr:uid="{077A2439-2535-402C-B0E9-D35BA0D456D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(1000) BIF 19/10
DIF. CONTADO
300 BIF 24/10
462 BIF 26/10</t>
        </r>
      </text>
    </comment>
    <comment ref="J651" authorId="0" shapeId="0" xr:uid="{1ACD51CB-EBC0-4122-B697-E7C221275DF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1927.5 SCOTIA 09/11</t>
        </r>
      </text>
    </comment>
    <comment ref="J654" authorId="0" shapeId="0" xr:uid="{08148AD7-6094-4263-8B8F-CB1122CD275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162.3 (1852.3) SCOTIA 28/11 
190 BBVA 17/12</t>
        </r>
      </text>
    </comment>
    <comment ref="J655" authorId="0" shapeId="0" xr:uid="{0816D5C1-C034-4645-8467-91D5332F65E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162.3 (1852.3) SCOTIA 28/11 
190 BBVA 17/12</t>
        </r>
      </text>
    </comment>
    <comment ref="J656" authorId="0" shapeId="0" xr:uid="{2A6B8C3F-9E74-4048-8A50-779C36E0668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162.3 (1852.3) SCOTIA 28/11 
190 BBVA 17/12</t>
        </r>
      </text>
    </comment>
    <comment ref="J657" authorId="0" shapeId="0" xr:uid="{5EC5CD6A-3CAF-45F7-882A-3579B379A4B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13939 BN 31/10</t>
        </r>
      </text>
    </comment>
    <comment ref="J658" authorId="0" shapeId="0" xr:uid="{BBD7F68A-ABE2-4AF1-87A5-9AD00315DE1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724.71 BIF 27/10</t>
        </r>
      </text>
    </comment>
    <comment ref="J659" authorId="0" shapeId="0" xr:uid="{B06159D7-10E2-4C34-B51E-40B10EF96AE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4860 BCP  17/10</t>
        </r>
      </text>
    </comment>
    <comment ref="J660" authorId="0" shapeId="0" xr:uid="{56F53334-8BB8-406D-A78B-9E9BE580C6A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7260 BIF 31/10</t>
        </r>
      </text>
    </comment>
    <comment ref="J661" authorId="0" shapeId="0" xr:uid="{4F484D96-4F38-4493-84D9-4A3FEF97297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 SCOTIA 10/10
530 (579) BIF 11/10
500 BCP 18/10
1000 BCP 23/10
500 BCP 26/10</t>
        </r>
      </text>
    </comment>
    <comment ref="J662" authorId="0" shapeId="0" xr:uid="{A5A818D2-9899-4763-83A5-C73E5FC2449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800 (900) BIF 16/10
500 BIF 18/10
600 BIF 24/10
500 BIF 27/10
500 BIF 04/11
500 SCOTIA 08/11
300 SCOTIA 11/11
400 SCOTIA 18/11
500 SCOTIA 23/11
500 (1852.3) SCOTIA 28/11 
400 (600) BBVA 02/12
300 (2336) SCOTIA 01/12
200 (6008.7) SCOTIA 05/12
276 SCOTIA 11/12</t>
        </r>
      </text>
    </comment>
    <comment ref="J664" authorId="0" shapeId="0" xr:uid="{851B3A92-A192-49C4-82EB-F52F62C37E8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25345.72 BCP 25/11</t>
        </r>
      </text>
    </comment>
    <comment ref="J665" authorId="0" shapeId="0" xr:uid="{75FDC5DE-6DD3-4D83-B1B3-BBE3C9B6299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700 BCP 23/10
753.2 BPC 31/10</t>
        </r>
      </text>
    </comment>
    <comment ref="J666" authorId="0" shapeId="0" xr:uid="{68C558A4-8D0D-4BB3-AB87-CC7E03C1081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 (1420) SCOTIA 08/11
100 (250) BBVA 02/11
100 SCOTIA 16/11
100 (225.98) BBVA 20/12
80 (5416.4)  SCOTIA 27/12
8 BBVA 27/12</t>
        </r>
      </text>
    </comment>
    <comment ref="J671" authorId="0" shapeId="0" xr:uid="{B068B7C8-EF11-44CE-90E2-8CEFBFDA972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SCOTIA 04/11
1000 SCOTIA 09/10
432 (7997.7) SCOTIA 11/11
</t>
        </r>
      </text>
    </comment>
    <comment ref="J672" authorId="0" shapeId="0" xr:uid="{ABDF9B9B-ADBB-4EDB-8610-E85D9DA7821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2179 (2559) BBVA 16/10</t>
        </r>
      </text>
    </comment>
    <comment ref="J673" authorId="0" shapeId="0" xr:uid="{8707E92B-7627-4F95-A435-77AB15C32DC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3598 (4098) BBVA 16/10</t>
        </r>
      </text>
    </comment>
    <comment ref="J674" authorId="0" shapeId="0" xr:uid="{E24C58F9-B98C-4AD0-B6AE-4E1B079BD73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2179 (2559) BBVA 16/10</t>
        </r>
      </text>
    </comment>
    <comment ref="J675" authorId="0" shapeId="0" xr:uid="{6F75366A-59C4-461D-BB81-B148A867993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(4098) BBVA 16/10</t>
        </r>
      </text>
    </comment>
    <comment ref="J676" authorId="0" shapeId="0" xr:uid="{40A86A31-EE74-471A-91D7-A959FA1A7CB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654 (5462) BCP 09/11</t>
        </r>
      </text>
    </comment>
    <comment ref="J677" authorId="0" shapeId="0" xr:uid="{6422C41B-FCD9-4BDE-929B-EDA71C39C67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4808 (5462) BCP 09/11</t>
        </r>
      </text>
    </comment>
    <comment ref="J679" authorId="0" shapeId="0" xr:uid="{A484FE82-D5CF-43A5-8F2C-DAAEA7DD71F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1164.90 SCOTIA 20/11</t>
        </r>
      </text>
    </comment>
    <comment ref="I680" authorId="0" shapeId="0" xr:uid="{5079B999-BE2F-451D-93CD-7DD41F70C21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CANCELO PARTE DE DEUDA DE SHICA</t>
        </r>
      </text>
    </comment>
    <comment ref="J681" authorId="0" shapeId="0" xr:uid="{D70C18F5-EDD5-4C78-B0C7-33293B463B6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1362 (4078.2) BIF 15/11</t>
        </r>
      </text>
    </comment>
    <comment ref="J682" authorId="0" shapeId="0" xr:uid="{E9C8719C-7233-4668-BF02-A88D6C0DE4D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406.2 (4078.2) BIF 15/11</t>
        </r>
      </text>
    </comment>
    <comment ref="J683" authorId="0" shapeId="0" xr:uid="{0D7F3176-4959-411C-AFCF-190B1249225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80 BBVA 15/11
100 (6008.7) SCOTIA 05/12
125.98 (225.98) BBVA 20/12</t>
        </r>
      </text>
    </comment>
    <comment ref="J684" authorId="0" shapeId="0" xr:uid="{70854154-4600-4350-9F85-C6C2E0C9D78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154.6 (662.7) SCOTIA 02/11
60 BBVA 24/11</t>
        </r>
      </text>
    </comment>
    <comment ref="J685" authorId="0" shapeId="0" xr:uid="{7020F988-9329-4FC8-81DE-01BF5F145A7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3697.91 (7000) BN 02/11</t>
        </r>
      </text>
    </comment>
    <comment ref="J686" authorId="0" shapeId="0" xr:uid="{2DD83C70-DB9A-4B49-91B7-DF1BD7AD073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2912.04 (7000) BN 02/11
390 SOBRA MAS
160 BN 02/11 SOBRA</t>
        </r>
      </text>
    </comment>
    <comment ref="J687" authorId="0" shapeId="0" xr:uid="{9696BA0D-4096-495A-B2B3-35E9B18A894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890 BCP 24/11</t>
        </r>
      </text>
    </comment>
    <comment ref="J688" authorId="0" shapeId="0" xr:uid="{916E2B25-8B8E-4348-B9CC-FB2D7484EE3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8250 SCOTIA 08/11</t>
        </r>
      </text>
    </comment>
    <comment ref="J689" authorId="0" shapeId="0" xr:uid="{48C8E715-6B23-438C-B8E6-E13FD883DED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23190 BCP 21/12</t>
        </r>
      </text>
    </comment>
    <comment ref="J690" authorId="0" shapeId="0" xr:uid="{20B7DE32-C0EB-4A6E-AD4F-424CED8CB4A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140 (7997.7) SCOTIA 10/11
500 SCOTIA 17/11
526.5 (1230) SCOTIA 15/12 </t>
        </r>
      </text>
    </comment>
    <comment ref="J691" authorId="0" shapeId="0" xr:uid="{0AC60C0A-D136-44A8-B472-B8DAA1A3B77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280 SCOTIA 22/11
400 SCOTIA 29/11
1600 (2628.4) SCOTIA 07/12</t>
        </r>
      </text>
    </comment>
    <comment ref="J692" authorId="0" shapeId="0" xr:uid="{E7B22010-F533-4DF9-BB52-D99305B7984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BIF 1000 21/11
1000 (3273.5) SCOTIA 22/11
1980 SCOTIA 28/11
1400 (4005.8) SCOTIA 29/11
1600 SCOTIA 30/11
500 BCP 01/12
1500 SCOTIA 02/12
1110 (6008.7) SCOTIA 05/12</t>
        </r>
      </text>
    </comment>
    <comment ref="J697" authorId="0" shapeId="0" xr:uid="{A3BE96D9-8D67-4064-BD3D-15777FC8329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(4078.2) BIF 15/11
300 (3998) SCOTIA 18/11
300 (3273.5) SCOTIA 22/11
200 (4005.8) 29/11
441.16 (6008.7) SCOTIA 05/12</t>
        </r>
      </text>
    </comment>
    <comment ref="J698" authorId="0" shapeId="0" xr:uid="{A3D98D8C-3649-413F-B608-C0D06B135C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3500 (4001) BBVA 15/11</t>
        </r>
      </text>
    </comment>
    <comment ref="J699" authorId="0" shapeId="0" xr:uid="{46B6A165-7031-4E5C-A34F-4BB2A62BAC8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(4001) BBVA 15/11</t>
        </r>
      </text>
    </comment>
    <comment ref="J700" authorId="0" shapeId="0" xr:uid="{322F9421-1C58-4F92-8C2E-B0927D08A2D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(2336) SCOTIA 01/12
276 SCOTIA 11/12
24 (1050) SCOTIA 11/12
200 SCOTIA 12/12
300 (2329.8) SCOTIA 16/12
704.4 (3093) SCOTIA 20/12</t>
        </r>
      </text>
    </comment>
    <comment ref="J701" authorId="0" shapeId="0" xr:uid="{B6F2D320-898D-46DE-BB64-8C2B969F1BD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1500 (2000) BCP 15/12</t>
        </r>
      </text>
    </comment>
    <comment ref="J702" authorId="0" shapeId="0" xr:uid="{C720C38B-248D-4881-A9C5-60E62DA54E6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2820 BCP 15/12
500 (2000) BCP 15/12
</t>
        </r>
      </text>
    </comment>
    <comment ref="J703" authorId="0" shapeId="0" xr:uid="{09D876D5-019D-49BE-A0E4-067BB32D9C2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3000 SCOTIA 05/12
2000 SCOTIA 07/12 3168. SCOTIA 12/12</t>
        </r>
      </text>
    </comment>
    <comment ref="J704" authorId="0" shapeId="0" xr:uid="{9EF01867-F282-4342-8FF5-6EC23957591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2503.8 SCOTIA 21/12</t>
        </r>
      </text>
    </comment>
    <comment ref="J705" authorId="0" shapeId="0" xr:uid="{9A9050C4-6641-4D57-AA35-CCE7482592A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5000 SCOTIA 14/12
5000 SCOTIA 16/12
4340 SCOTIA 19/12</t>
        </r>
      </text>
    </comment>
    <comment ref="J706" authorId="0" shapeId="0" xr:uid="{CB666874-6FF7-4777-8026-4751098D6EC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458.3 (3710.3) SCOTIA 07/12</t>
        </r>
      </text>
    </comment>
    <comment ref="J707" authorId="0" shapeId="0" xr:uid="{3234B470-AF66-4FE1-96D5-A5268D72E0D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1153 BCP AYER</t>
        </r>
      </text>
    </comment>
    <comment ref="J708" authorId="0" shapeId="0" xr:uid="{16D6E1A6-AEF2-4ADE-B28A-11505D9BA0C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BBVA 11/12
200 BCP 18/12
250 BCP 28/12</t>
        </r>
      </text>
    </comment>
    <comment ref="J709" authorId="0" shapeId="0" xr:uid="{2A52654F-8D7C-40E0-9E8A-8239C0E7217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BBVA 11/12
200 BCP 18/12
250 BCP 28/12</t>
        </r>
      </text>
    </comment>
    <comment ref="J710" authorId="0" shapeId="0" xr:uid="{5734E9FE-50D0-465C-B684-DA4B91C3B0B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(5000) BCP 25/11
2700 SCOTIA 30/11
4600 BN 30/11
10400 BCP 02/12
1050 SCOTIA 05/12</t>
        </r>
      </text>
    </comment>
    <comment ref="J711" authorId="0" shapeId="0" xr:uid="{65737BCE-B236-47C3-A116-DD75233FC6C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7690 SCOTIA 11/12
4000 SCOTIA 12/12
10000 BCP 27/12
3000 BCP 29/12</t>
        </r>
      </text>
    </comment>
    <comment ref="J715" authorId="0" shapeId="0" xr:uid="{C0FF8CF4-2093-4EAE-8DB4-4FDC4AE94DA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304 BBVA 11/12
370 BBVA 16/12
200 SCOTIA 16/12</t>
        </r>
      </text>
    </comment>
    <comment ref="J716" authorId="0" shapeId="0" xr:uid="{4F9B6656-CA1A-487C-9443-09EDBE1090F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3713 BCP 15/12</t>
        </r>
      </text>
    </comment>
    <comment ref="J718" authorId="0" shapeId="0" xr:uid="{C0895E9B-9459-4027-A7D4-9F497A41A97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2000 (2270) SCOTIA 29/12
2000 SCOTIA 06/01</t>
        </r>
      </text>
    </comment>
    <comment ref="J719" authorId="0" shapeId="0" xr:uid="{9A140BE7-2943-4294-AEBF-C833A54197C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2000 (2270) SCOTIA 29/12
2000 SCOTIA 06/01</t>
        </r>
      </text>
    </comment>
    <comment ref="J721" authorId="0" shapeId="0" xr:uid="{ADB80E9E-097E-4A9D-A47B-3DB876A8A92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4000 SCOTIA 22/12
2000 SCITA 23/12
2352 SCOTIA 28/12</t>
        </r>
      </text>
    </comment>
    <comment ref="J725" authorId="0" shapeId="0" xr:uid="{B909DAFA-878C-4D2B-88CA-CCFF771A70F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(5582.8) SCOTIA 28/12
350 (9843.2) SCOTIA 30/12
314.9 (614.9) SCOTIA 06/01</t>
        </r>
      </text>
    </comment>
    <comment ref="J726" authorId="0" shapeId="0" xr:uid="{944A3714-7157-498C-8BE2-A696FBA1683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4200 BBVA 20/12</t>
        </r>
      </text>
    </comment>
    <comment ref="J727" authorId="0" shapeId="0" xr:uid="{6A5630CD-CF26-4511-9AE7-D68472168F1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2000 SCOTIA 23/12
2176 SCOTIA 27/12</t>
        </r>
      </text>
    </comment>
    <comment ref="J728" authorId="0" shapeId="0" xr:uid="{952E672D-4087-4044-A231-70B6FEB8F3C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BBVA 02/12
4 BBVA 20/12</t>
        </r>
      </text>
    </comment>
    <comment ref="J729" authorId="0" shapeId="0" xr:uid="{A02232A5-B9F8-476D-A0FA-710CCE12BC1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120 (3093) SCOTIA 20/12
200 (2270) SCOTIA 29/12</t>
        </r>
      </text>
    </comment>
    <comment ref="J730" authorId="0" shapeId="0" xr:uid="{EC0D3179-0CDB-4BCC-8267-C0BFB8C37B3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120 (3093) SCOTIA 20/12
200 (2270) SCOTIA 29/12</t>
        </r>
      </text>
    </comment>
    <comment ref="J731" authorId="0" shapeId="0" xr:uid="{4DB24CE9-C2AF-4991-9ED1-4224EE34BDF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120 (3093) SCOTIA 20/12
200 (2270) SCOTIA 29/12</t>
        </r>
      </text>
    </comment>
    <comment ref="J732" authorId="0" shapeId="0" xr:uid="{D9CA9E15-04BD-4633-B1CA-2ADF38AC2DF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120 (3093) SCOTIA 20/12
200 (2270) SCOTIA 29/12</t>
        </r>
      </text>
    </comment>
    <comment ref="J733" authorId="0" shapeId="0" xr:uid="{F10BA9FB-E054-486B-AEB1-C97DBE947F4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500 (5691.9) SCOTIA 04/01
567.2 (1720) SCOTIA 03/01</t>
        </r>
      </text>
    </comment>
    <comment ref="J734" authorId="0" shapeId="0" xr:uid="{8FD3828C-6251-426C-B702-A5BB5476295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SCOTIA 21/12
300 (5582.8) SCOTIA 28/12
135.2 (9843.2) SCOTIA 30/12</t>
        </r>
      </text>
    </comment>
    <comment ref="J735" authorId="0" shapeId="0" xr:uid="{AC8E3C85-35F3-40D5-A155-FD5005F3DF3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1000 (1480) SCOTIA 12/12
1000 SCOTIA 13/12
1000 SCOTIA 16/12
1000 SCOTIA 15/12
1000 SCOTIA 19/12
1264 SCOTIA 22/12</t>
        </r>
      </text>
    </comment>
    <comment ref="J737" authorId="0" shapeId="0" xr:uid="{B56AB08F-D633-41E4-852B-C9947BECFF5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402 (2329.8) SCOTIA 16/12</t>
        </r>
      </text>
    </comment>
    <comment ref="J738" authorId="0" shapeId="0" xr:uid="{9DC771A9-7E3F-4E8A-A99C-6C7BB872F2B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1862 SCOTIA 23/12</t>
        </r>
      </text>
    </comment>
    <comment ref="J740" authorId="0" shapeId="0" xr:uid="{CA9DBC32-C777-4132-82EB-2C5B07A71FD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400 (5416.4)  SCOTIA 27/12</t>
        </r>
      </text>
    </comment>
    <comment ref="J746" authorId="0" shapeId="0" xr:uid="{3A18D71C-9D38-48F8-8760-820C8CB8832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(614.9) SCOTIA 06/01</t>
        </r>
      </text>
    </comment>
    <comment ref="J747" authorId="0" shapeId="0" xr:uid="{7EEA59D5-A6CC-48AA-A1F0-F6A710834D0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(614.9) SCOTIA 06/01</t>
        </r>
      </text>
    </comment>
    <comment ref="J748" authorId="0" shapeId="0" xr:uid="{29AFF28A-57DF-4262-8D34-80CB4A27E9E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(614.9) SCOTIA 06/01</t>
        </r>
      </text>
    </comment>
    <comment ref="J749" authorId="0" shapeId="0" xr:uid="{EF8B1E84-0588-49D4-8DB7-63084FBF422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300 (614.9) SCOTIA 06/01</t>
        </r>
      </text>
    </comment>
    <comment ref="J752" authorId="0" shapeId="0" xr:uid="{C107D443-CD21-4A20-9A21-7282CC389D2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15750 BBVA 02/01
9000 BCP 06/01</t>
        </r>
      </text>
    </comment>
  </commentList>
</comments>
</file>

<file path=xl/sharedStrings.xml><?xml version="1.0" encoding="utf-8"?>
<sst xmlns="http://schemas.openxmlformats.org/spreadsheetml/2006/main" count="58898" uniqueCount="17670">
  <si>
    <t>CodArticulo</t>
  </si>
  <si>
    <t>Descripción Artículo</t>
  </si>
  <si>
    <t>CodBodega</t>
  </si>
  <si>
    <t>Nombre Bodega</t>
  </si>
  <si>
    <t>Saldo Stock</t>
  </si>
  <si>
    <t>Unidad</t>
  </si>
  <si>
    <t>Propiedad MARCA</t>
  </si>
  <si>
    <t>UN</t>
  </si>
  <si>
    <t>CÓDIGO</t>
  </si>
  <si>
    <t xml:space="preserve">DESCRIPCIÓN </t>
  </si>
  <si>
    <t>CANTIDAD</t>
  </si>
  <si>
    <t>SUMA TOTAL</t>
  </si>
  <si>
    <t>STOCK</t>
  </si>
  <si>
    <t>UNIDADES DE MEDIDAS</t>
  </si>
  <si>
    <t>DESCUENTO
%</t>
  </si>
  <si>
    <t>Precio de Ventas S/.</t>
  </si>
  <si>
    <t>CONTROL Y REGISTRO DE VISITAS A LOS CLIENTES</t>
  </si>
  <si>
    <t>N°</t>
  </si>
  <si>
    <t>NOMBRES  y APELLIDOS- RAZON SOCIAL</t>
  </si>
  <si>
    <t>DIRECCION</t>
  </si>
  <si>
    <t>VENTA PROYECTADA</t>
  </si>
  <si>
    <t>VENTA REAL</t>
  </si>
  <si>
    <t>OBSERVACIONES</t>
  </si>
  <si>
    <t>TELEFONO</t>
  </si>
  <si>
    <t>SEGURO DE CAMPANA GULEY CS381</t>
  </si>
  <si>
    <t>TAPA DE COMBUSTIBLE GULEY CS660</t>
  </si>
  <si>
    <t>TAPA DE ESPADA GULEY CS660</t>
  </si>
  <si>
    <t>CAMPANA CON PIÑON LOCO GULEY CS381</t>
  </si>
  <si>
    <t>FILTRO DE AIRE GULEY CS381</t>
  </si>
  <si>
    <t>FILTRO DE AIRE GULEY 288XP</t>
  </si>
  <si>
    <t>KIT DE EMPAQUETADURA GULEY 288XP</t>
  </si>
  <si>
    <t>RESORTE DE RETACCION GULEY 288XP</t>
  </si>
  <si>
    <t>NYLON RED ROJO DIFER 3.3 X 15M</t>
  </si>
  <si>
    <t>NYLON RED ROJO DIFER 3.3 X 100M</t>
  </si>
  <si>
    <t>TEMPLADOR DE CADENA GULEY 288XP</t>
  </si>
  <si>
    <t>SIN FIN BOMBA GULEY NT5800</t>
  </si>
  <si>
    <t>TAPA DE COMBUSTIBLE GULEY NTB520</t>
  </si>
  <si>
    <t>TRIMMY GULEY NTB520</t>
  </si>
  <si>
    <t>KIT DE PISTON GULEY 372XP</t>
  </si>
  <si>
    <t>CARBURADOR GULEY C381</t>
  </si>
  <si>
    <t>POLEA DE ARRANQUE GULEY NT5800</t>
  </si>
  <si>
    <t>KIT DE CARBURADOR GULEY CS660</t>
  </si>
  <si>
    <t>ENGRANAJE DE SIN FIN GULEY CS381</t>
  </si>
  <si>
    <t>SIN FIN GULEY CS381</t>
  </si>
  <si>
    <t>KIT DE PISTON GULEY CS660</t>
  </si>
  <si>
    <t>RESORTE DE RETRACCION GULEY CS660</t>
  </si>
  <si>
    <t>AMORTIGUADOR GRANDE GULEY CS660</t>
  </si>
  <si>
    <t>AMORTIGUADOR MEDIANO GULEY CS660</t>
  </si>
  <si>
    <t>AMORTIGUADOR C/ BASE GULEY CS660</t>
  </si>
  <si>
    <t>SIN FIN GULEY CS660</t>
  </si>
  <si>
    <t>BOBINA ARRANQUE GULEY CS660</t>
  </si>
  <si>
    <t>BOMBA DE ACEITE GULEY CS660</t>
  </si>
  <si>
    <t>AUTOMATICO GULEY CS381</t>
  </si>
  <si>
    <t>AUTOMATICO GULEY CS660</t>
  </si>
  <si>
    <t>KIT DE CILINDRO GULEY CS381</t>
  </si>
  <si>
    <t>CAJA REDUCTORA GULEY NTB520</t>
  </si>
  <si>
    <t>ESPADA GULEY 36 CS660</t>
  </si>
  <si>
    <t>RED DE PESCA VERDE 9X1</t>
  </si>
  <si>
    <t>RED DE PESCA VERDE 9X1-1/2</t>
  </si>
  <si>
    <t>BOTAS VENUS PNT NG AM 35</t>
  </si>
  <si>
    <t>BOTAS VENUS PNT NG AM 36</t>
  </si>
  <si>
    <t>BOTAS VENUS PNT NG AM 38</t>
  </si>
  <si>
    <t>BOTAS VENUS PNT NG AM 39</t>
  </si>
  <si>
    <t>BOTAS VENUS PNT NG AM 40</t>
  </si>
  <si>
    <t>BOTAS VENUS PNT NG AM 41</t>
  </si>
  <si>
    <t>BOTAS VENUS PNT NG AM 43</t>
  </si>
  <si>
    <t>BOTAS VENUS PNT NG AM 44</t>
  </si>
  <si>
    <t>BOTAS VENUS AND NG AM 39</t>
  </si>
  <si>
    <t>BOTAS VENUS AND AZ GR 39</t>
  </si>
  <si>
    <t>BOTAS VENUS AND VL VL 38</t>
  </si>
  <si>
    <t>BOTAS VENUS AND VL VL 39</t>
  </si>
  <si>
    <t>BOTAS VENUS AND VL FS 36</t>
  </si>
  <si>
    <t>BOTAS VENUS AND VL FS 37</t>
  </si>
  <si>
    <t>BOTAS VENUS AND VL FS 38</t>
  </si>
  <si>
    <t>BOTAS VENUS ZMB NG AM 24</t>
  </si>
  <si>
    <t>BOTAS VENUS ZMB NG AM 25</t>
  </si>
  <si>
    <t>BOTAS VENUS ZMB NG AM 26</t>
  </si>
  <si>
    <t>BOTAS VENUS ZMB AZ NG 24</t>
  </si>
  <si>
    <t>BOTAS VENUS ZMB AZ NG 25</t>
  </si>
  <si>
    <t>BOTAS VENUS ZMB AZ NG 26</t>
  </si>
  <si>
    <t>BOTAS VENUS ZMB RS VL 1 24</t>
  </si>
  <si>
    <t>BOTAS VENUS BOY NG AM 28</t>
  </si>
  <si>
    <t>BOTAS VENUS BOY NG AM 29</t>
  </si>
  <si>
    <t>BOTAS VENUS BOY NG AM 30</t>
  </si>
  <si>
    <t>BOTAS VENUS BOY NG AM 31</t>
  </si>
  <si>
    <t>BOTAS VENUS BOY NG AM 32</t>
  </si>
  <si>
    <t>BOTAS VENUS BOY NG AM 33</t>
  </si>
  <si>
    <t>BOTAS VENUS BOY AZ NG 27</t>
  </si>
  <si>
    <t>BOTAS VENUS BOY AZ NG 28</t>
  </si>
  <si>
    <t>BOTAS VENUS BOY AZ NG 29</t>
  </si>
  <si>
    <t>BOTAS VENUS BOY AZ NG 30</t>
  </si>
  <si>
    <t>BOTAS VENUS BOY AZ NG 31</t>
  </si>
  <si>
    <t>BOTAS VENUS BOY AZ NG 32</t>
  </si>
  <si>
    <t>BOTAS VENUS BOY AZ NG 33</t>
  </si>
  <si>
    <t>BOTAS VENUS BOY VL VL 33</t>
  </si>
  <si>
    <t>BOTAS VENUS BOY RS VL 1 27</t>
  </si>
  <si>
    <t>BOTAS VENUS BOY RS VL 1 28</t>
  </si>
  <si>
    <t>BOTAS VENUS BOY RS VL 1 29</t>
  </si>
  <si>
    <t>BOTAS VENUS BOY RS VL 1 30</t>
  </si>
  <si>
    <t>BOTAS VENUS BOY RS VL 1 32</t>
  </si>
  <si>
    <t>BOTAS VENUS BOY RS VL 1 33</t>
  </si>
  <si>
    <t>BOTAS VEREDA GRN NG AM 36</t>
  </si>
  <si>
    <t>BOTAS VEREDA GRN NG AM 38</t>
  </si>
  <si>
    <t>BOTAS VEREDA GRN NG AM 41</t>
  </si>
  <si>
    <t>BOTAS VEREDA GRN NG AM 42</t>
  </si>
  <si>
    <t>BOTAS VENUS SOLIDA AZ AZ 26</t>
  </si>
  <si>
    <t>BOTAS VENUS SOLIDA MR VL 24</t>
  </si>
  <si>
    <t>BOTAS VENUS SOLIDA MR VL 25</t>
  </si>
  <si>
    <t>BOTAS VENUS SOLIDA MR VL 26</t>
  </si>
  <si>
    <t>BOTAS VENUS PNT NG AM 37</t>
  </si>
  <si>
    <t>BOTAS VENUS AND NG AM 35</t>
  </si>
  <si>
    <t>BOTAS VENUS AND NG AM 36</t>
  </si>
  <si>
    <t>BOTAS VENUS AND NG AM 38</t>
  </si>
  <si>
    <t>BOTAS VENUS AND AZ GR 35</t>
  </si>
  <si>
    <t>BOTAS VENUS AND AZ GR 36</t>
  </si>
  <si>
    <t>BOTAS VENUS AND AZ GR 37</t>
  </si>
  <si>
    <t>BOTAS VENUS AND AZ GR 38</t>
  </si>
  <si>
    <t>BOTAS VENUS ZMB VL VL 24</t>
  </si>
  <si>
    <t>BOTAS VENUS ZMB VL VL 25</t>
  </si>
  <si>
    <t>BOTAS VENUS ZMB VL VL 26</t>
  </si>
  <si>
    <t>BOTAS VENUS BOY NG AM 27</t>
  </si>
  <si>
    <t>BOTAS VENUS BOY VL VL 27</t>
  </si>
  <si>
    <t>BOTAS VENUS BOY VL VL 28</t>
  </si>
  <si>
    <t>BOTAS VENUS BOY VL VL 29</t>
  </si>
  <si>
    <t>BOTAS VENUS BOY VL VL 30</t>
  </si>
  <si>
    <t>BOTAS VENUS BOY VL VL 31</t>
  </si>
  <si>
    <t>BOTAS VENUS BOY VL VL 32</t>
  </si>
  <si>
    <t>BOTAS VENUS AND NG AM 37</t>
  </si>
  <si>
    <t>SERRUCHO PODAD RMAS ALTAS C MGO 78380/681</t>
  </si>
  <si>
    <t>BOTAS VENUS PNT NG AM 42</t>
  </si>
  <si>
    <t>BOMBA ACEITE BONHOEFFER MS660</t>
  </si>
  <si>
    <t>ARCO SEGUETA SMART 4618-12 SWH461812S</t>
  </si>
  <si>
    <t>PERTIGA TELECOPICA DE ALUMINIO PRTAP24</t>
  </si>
  <si>
    <t>MAZA BELLOTA 5203-2 CFB HSL032CFB</t>
  </si>
  <si>
    <t>MAZA BELLOTA 5203-3 CFB HSLO33CFB</t>
  </si>
  <si>
    <t>MAZA BELLOTA 5203-4 CFB HSL034CFB</t>
  </si>
  <si>
    <t>MAZA BELLOTA 5203-6 CFB HSL036CFB</t>
  </si>
  <si>
    <t>PODADORA DE RAMAS ALTAS 14 PULGADAS PRT0114</t>
  </si>
  <si>
    <t>SERRUCHO DE PODA PLEGABLE 12 PULG. SWF0112BM</t>
  </si>
  <si>
    <t>POLEA DE ARRANQUE GULEY MS660</t>
  </si>
  <si>
    <t>AUTOMATICO + GUITARRA POWERFUL 9.0HP</t>
  </si>
  <si>
    <t>ANILLO POWERFUL 5.5 6.5 STD FINO</t>
  </si>
  <si>
    <t>NIVEL ALUMINIO 40CM EPI EP-30182</t>
  </si>
  <si>
    <t>NIVEL ALUMINIO 60CM EPI EP-30184</t>
  </si>
  <si>
    <t>NIVEL ALUMINIO 80CM EPI EP-30185</t>
  </si>
  <si>
    <t>ESCUADRA 12 EPI EP-60022</t>
  </si>
  <si>
    <t>ESCUADRA 16 EPI EP-60023</t>
  </si>
  <si>
    <t>ESCUADRA 12 EPI EP-60025</t>
  </si>
  <si>
    <t>TIRA LINEA 30CM EPI EP-30145</t>
  </si>
  <si>
    <t>PLOMADA 400GR EPI EP-30353</t>
  </si>
  <si>
    <t>PLOMADA 500GR EPI EP-30354</t>
  </si>
  <si>
    <t>WINCHA 3M EPI EP-30322</t>
  </si>
  <si>
    <t>WINCHA 5M EPI EP-30323</t>
  </si>
  <si>
    <t>WINCHA 7.5M EPI EP-30324</t>
  </si>
  <si>
    <t>WINCHA 3M AMARILLA EPI EP-30441</t>
  </si>
  <si>
    <t>WINCHA 5M AMARILLA EPI EP-30442</t>
  </si>
  <si>
    <t>WINCHA 7.5M AMARILLA EPI EP-30443</t>
  </si>
  <si>
    <t>WINCHA 3M AM/NG EPI EP-30396</t>
  </si>
  <si>
    <t>WINCHA 7.5M AM/NG EPI EP-30400</t>
  </si>
  <si>
    <t>WINCHA TRANSP 3M EPI EP-30516</t>
  </si>
  <si>
    <t>WINCHA TRASNP 5M EPI EP-30517</t>
  </si>
  <si>
    <t>WINCHA TRANSP 7.5M EPI EP-30518</t>
  </si>
  <si>
    <t>BALANZA ELEC 100KG EPI EP-30536</t>
  </si>
  <si>
    <t>PINZA UNIVERSAL 7 EPI EP-50239</t>
  </si>
  <si>
    <t>PINZA UNIVERSAL 8 EPI EP-50027</t>
  </si>
  <si>
    <t>PINZA PUNTA 6 EPI EP-50030</t>
  </si>
  <si>
    <t>PINZA CORTE 6 EPI EP-50031</t>
  </si>
  <si>
    <t>PINZA PRESION 10 EPI EP-50147</t>
  </si>
  <si>
    <t>PINZA PRESION 10 EPI EP-50146 MANGO AM/NG</t>
  </si>
  <si>
    <t>PRENSA BANCO 4 EPI EP-50324</t>
  </si>
  <si>
    <t>PRENSA BANCO 6 EPI EP-50220</t>
  </si>
  <si>
    <t>ARCO SIERRA AJUS 18 EPI EP-30158</t>
  </si>
  <si>
    <t>SERRUCHO 16 M/PLASTICO EPI EP-30153</t>
  </si>
  <si>
    <t>SERRUCHO 18 M/PLASTICO EPI EP-30119</t>
  </si>
  <si>
    <t>SERRUCHO 20 M/PLASTICO EPI EP-30120</t>
  </si>
  <si>
    <t>SERRUCHO 22 M/PLASTICO EPI EP-30451</t>
  </si>
  <si>
    <t>SERRUCHO 16 M/MADERA EPI EP-30057</t>
  </si>
  <si>
    <t>SERRUCHO 18 M/MADERA EPI EP-30052</t>
  </si>
  <si>
    <t>SERRUCHO 20 M/MADERA EPI EP-30053</t>
  </si>
  <si>
    <t>SERRUCHO 22 M/MADERA EPI EP-30054</t>
  </si>
  <si>
    <t>MINI SIERRA 10 EPI EP-30389</t>
  </si>
  <si>
    <t>TIJERA OJALATERA 10 EPI EP-20008</t>
  </si>
  <si>
    <t>TIJERA OJALATERA 12 EPI EP-20009</t>
  </si>
  <si>
    <t>SOPORTE SOLDADURA 500A EPI EP-20020</t>
  </si>
  <si>
    <t>CORTA PERNO 18 EPI EP-50037</t>
  </si>
  <si>
    <t>CORTA PERNO 24 EPI EP-50038</t>
  </si>
  <si>
    <t>CORTA PERNO 30 EPI EP-50039</t>
  </si>
  <si>
    <t>CORTA PERNO 36 EPI EP-50040</t>
  </si>
  <si>
    <t>TIJERA TELESCOPICA EPI EP-20283</t>
  </si>
  <si>
    <t>TIJERA 20 EPI EP-30055</t>
  </si>
  <si>
    <t>CUTER 7 EPI EP-10077</t>
  </si>
  <si>
    <t>LLAVE MIXTA 8MM EPI EP-60107</t>
  </si>
  <si>
    <t>LLAVE MIXTA 9MM EPI EP-60108</t>
  </si>
  <si>
    <t>LLAVE MIXTA 10MM EPI EP-60109</t>
  </si>
  <si>
    <t>LLAVE MIXTA 12MM EPI EP-60111</t>
  </si>
  <si>
    <t>LLAVE MIXTA 13MM EPI EP-60112</t>
  </si>
  <si>
    <t>LLAVE MIXTA 14MM EPI EP-60113</t>
  </si>
  <si>
    <t>LLAVE MIXTA 15MM EPI EP-60114</t>
  </si>
  <si>
    <t>LLAVE MIXTA 16MM EPI EP-60115</t>
  </si>
  <si>
    <t>LLAVE MIXTA 17MM EPI EP-60116</t>
  </si>
  <si>
    <t>LLAVE MIXTA 18MM EPI EP-60117</t>
  </si>
  <si>
    <t>LLAVE MIXTA 19MM EPI EP-60118</t>
  </si>
  <si>
    <t>LLAVE MIXTA 11MM EPI EP-60110</t>
  </si>
  <si>
    <t>LLAVE AJUSTABLE C/ MANGO PVC 8 EPI EP-20260</t>
  </si>
  <si>
    <t>LLAVE AJUSTABLE C/MANGO PVC10 EPI EP-20261</t>
  </si>
  <si>
    <t>LLAVE AJUSTABLE C/ MANGO PVC 12 EPI EP-20262</t>
  </si>
  <si>
    <t>LLAVE AJUSTABLE 8 EPI EP-60169</t>
  </si>
  <si>
    <t>LLAVE AJUSTABLE 10 EPI EP-60170</t>
  </si>
  <si>
    <t>LLAVE AJUSTABLE 12 EPI EP-60171</t>
  </si>
  <si>
    <t>LLAVE UNIVERSAL EPI EP-60164</t>
  </si>
  <si>
    <t>LLAVE Y 8-9-10 EPI EP-60034</t>
  </si>
  <si>
    <t>LLAVE Y 8-10-12 EPI EP-60035</t>
  </si>
  <si>
    <t>LLAVE Y 9-11-13 EPI EP-60036</t>
  </si>
  <si>
    <t>LLAVE Y 10-12-14 EPI EP-60037</t>
  </si>
  <si>
    <t>LLAVE Y 12-14-17 EPI EP-60038</t>
  </si>
  <si>
    <t>LLAVE Y 14-17-19 EPI EP-60039</t>
  </si>
  <si>
    <t>LLAVE T 8MM EPI EP-60028</t>
  </si>
  <si>
    <t>LLAVE T 9MM EPI EP-60053</t>
  </si>
  <si>
    <t>LLAVE T 10MM EPI EP-60029</t>
  </si>
  <si>
    <t>LLAVE T 11MM EPI EP-60054</t>
  </si>
  <si>
    <t>LLAVE T 12MM EPI EP-60030</t>
  </si>
  <si>
    <t>LLAVE T 13MM EPI EP-60055</t>
  </si>
  <si>
    <t>LLAVE T 14MM EPI EP-60031</t>
  </si>
  <si>
    <t>LLAVE T 17MM EPI EP-60032</t>
  </si>
  <si>
    <t>LLAVE T 19MM EPI EP-60033</t>
  </si>
  <si>
    <t>SET DADO 1/2 12PZ CON RACH EPI EP-60300</t>
  </si>
  <si>
    <t>DISCO DIAMANTADO 115X10 TURBO B EPI EP-10644</t>
  </si>
  <si>
    <t>DISCO DIAMANTADO 4.5X7M EPI EP-10039</t>
  </si>
  <si>
    <t>DISCO DIAMANTADO 7X115 (4.5) EPI EP-10199</t>
  </si>
  <si>
    <t>DISCO SIERRA 115X40TX22.23 (4.5) EPI EP-60173</t>
  </si>
  <si>
    <t>DISCO SIERRA 180X40TX25.4 (7) EPI EP-60174</t>
  </si>
  <si>
    <t>DISCO SIERRA 115X40TX22.23 (4.5) EPI EP-10042</t>
  </si>
  <si>
    <t>DISCO SIERRA 180X40TX25.4 (7) EPI EP-10044</t>
  </si>
  <si>
    <t>DISCO PULIDO HEXAG 4.5 EPI EP-60548</t>
  </si>
  <si>
    <t>DISCO PULIDO HEXAG 7 EPI EP-60439</t>
  </si>
  <si>
    <t>DISCO PULIDO 7 EPI EP-60295</t>
  </si>
  <si>
    <t>DISCO VELCRO #125 180P EPI EP-10299</t>
  </si>
  <si>
    <t>DISCO VELCRO #180 80P EPI EP-10302</t>
  </si>
  <si>
    <t>DISCO VELCRO #180 100P EPI EP-10303</t>
  </si>
  <si>
    <t>GRIFO DE COMBUSTIBLE PG1500</t>
  </si>
  <si>
    <t>DISCO VELCRO #180 120P EPI EP-10304</t>
  </si>
  <si>
    <t>DISCO VELCRO #180 240P EPI EP-10306</t>
  </si>
  <si>
    <t>CEPILLO COPA ALAMBRE 75MM EPI EP-60408</t>
  </si>
  <si>
    <t>BROCA CONCRETO 6X110MM EPI EP-10271</t>
  </si>
  <si>
    <t>BROCA CONCRETO 8X110MM EPI EP-10272</t>
  </si>
  <si>
    <t>BROCA CONCRETO 10X110MM EPI EP-10471</t>
  </si>
  <si>
    <t>BROCA MULTIFUN 5PCS 4-10MM EPI EP-10177</t>
  </si>
  <si>
    <t>BROCA MULTIFUN 5PCS 4-10MM EPI EP-10411</t>
  </si>
  <si>
    <t>GRIFO DE COMBUSTIBLE PG3000</t>
  </si>
  <si>
    <t>PORTABROCAS C/ LLAVE 2PCS EPI EP-10318</t>
  </si>
  <si>
    <t>CONJUNTO CIERRA PERFORADOR SET11 EPI EP-10220</t>
  </si>
  <si>
    <t>HACHA MANG/FIBRA VIDRIO 1500GR EPI EP-20479</t>
  </si>
  <si>
    <t>HACHA MANG/FIBRA VIDRIO 1800GR EPI EP-20485</t>
  </si>
  <si>
    <t>COMBA MANG FIBRA VIDRI 3KG EPI EP-30349</t>
  </si>
  <si>
    <t>COMBA MANG FIBRA VIDRI 5KG EPI EP-30350</t>
  </si>
  <si>
    <t>MAZO GOMA BLANCO 300G EPI EP-30375</t>
  </si>
  <si>
    <t>MAZO GOMA BLANCO 500G EPI EP-30376</t>
  </si>
  <si>
    <t>BARRA PATA CABRA HEXAGONAL 450X16 18 EPI EP-20089</t>
  </si>
  <si>
    <t>BARRA PATA CABRA HEXAGONAL 600X16 24 EPI EP-20090</t>
  </si>
  <si>
    <t>BARRA PATA CABRA HEXAGONAL 750X16 30 EPI EP-20091</t>
  </si>
  <si>
    <t>BARRA PATA CABRA 450X30X16 18 EPI EP-20092</t>
  </si>
  <si>
    <t>BARRA PATA CABRA 600X30X16 24 EPI EP-20093</t>
  </si>
  <si>
    <t>BARRA PATA CABRA 750X30X16 30 EPI EP-20094</t>
  </si>
  <si>
    <t>FORMON SET 4PZS EPI EP-20105</t>
  </si>
  <si>
    <t>CINCEL PLANO 300X16MM CON MANGO EPI EP-20482</t>
  </si>
  <si>
    <t>LAPIZ PRUEBA MAGNETICA 220V EPI EP-10242</t>
  </si>
  <si>
    <t>SOLDADOR 60W EPI EP-10091</t>
  </si>
  <si>
    <t>SOLDADOR 30W EPI EP-10089</t>
  </si>
  <si>
    <t>SOLDADOR 40W EPI EP-10090</t>
  </si>
  <si>
    <t>MULTITESTER 1.6-600V EPI EP-60551</t>
  </si>
  <si>
    <t>LAPIZ PRUEBA MAGENTICA 200-750V EPI EP-10367</t>
  </si>
  <si>
    <t>PISTOLA P/ SILICONA 1.6-600V EPI EP-50242</t>
  </si>
  <si>
    <t>DESTORNILLADOR ESTRE 3X75 EPI EP-60221</t>
  </si>
  <si>
    <t>DESTORNILLADOR ESTRE 6X75 EPI EP-60223</t>
  </si>
  <si>
    <t>DESTORNILLADOR ESTRE 6X150 EPI EP-60225</t>
  </si>
  <si>
    <t>DESTORNILLADOR INDUS 100-150X6MM EPI EP-60549</t>
  </si>
  <si>
    <t>ALICATE PELACABLES 6 EPI EP-50238</t>
  </si>
  <si>
    <t>JGO DESTORNILLADOR INDUS C/RACHET 9PC EPI EP-60264</t>
  </si>
  <si>
    <t>JGO DESTORNILLADOR 4PCS EPI EP-60020</t>
  </si>
  <si>
    <t>CABLE CLIP 6MM EPI EP-30502</t>
  </si>
  <si>
    <t>CABLE CLIP 8MM EPI EP-30503</t>
  </si>
  <si>
    <t>BOMBA MANUAL MANOMETRO 38X500M EPI EP-10092</t>
  </si>
  <si>
    <t>BOMBA MANUAL 38X500M EPI EP-10315</t>
  </si>
  <si>
    <t>PISTOLA GRASERA 5000-7000PSI EPI EP-10047</t>
  </si>
  <si>
    <t>CEPILLO P/MADERA 4 EPI EP-10093</t>
  </si>
  <si>
    <t>CEPILLO P/MADERA 5 EPI EP-10094</t>
  </si>
  <si>
    <t>CUCHILLA P/CEPILLO 50MM EPI EP-60441</t>
  </si>
  <si>
    <t>BADILEJO PARA ALBAÑIL M/MAD 6 EPI EP-20113</t>
  </si>
  <si>
    <t>BADILEJO PARA ALBAÑIL M/MAD 8 EPI EP-20115</t>
  </si>
  <si>
    <t>LLANA CUADRADA M/MADE 8 EPI EP-30311</t>
  </si>
  <si>
    <t>LLANA CUADRADA M/PLAST 8 EPI EP-30315</t>
  </si>
  <si>
    <t>BADILEJO PARA ALBAÑIL M/PLAST 6 EPI EP-20069</t>
  </si>
  <si>
    <t>BADILEJO PARA ALBAÑIL M/PLAST 8 EPI EP-20071</t>
  </si>
  <si>
    <t>ESPATULA M/PLAST 2 EPI EP-60014</t>
  </si>
  <si>
    <t>ESPATULA M/PLAST 3 EPI EP-60015</t>
  </si>
  <si>
    <t>PALETA YESO DENTADA 280X120 EPI EP-20107</t>
  </si>
  <si>
    <t>PALETA YESO LLANA 280X120 EPI EP-20106</t>
  </si>
  <si>
    <t>RASTRILLO 3MM 12D EPI EP-20039</t>
  </si>
  <si>
    <t>RASTRILLO 3MM 14D EPI EP-20043</t>
  </si>
  <si>
    <t>RASTRILLO C/MANG 14D EPI EP-50450</t>
  </si>
  <si>
    <t>GUANTES PIEL VACA EPI ER-50181</t>
  </si>
  <si>
    <t>GUANTES CUERO 14 EPI EP-50175</t>
  </si>
  <si>
    <t>LENTES SEGURIDAD EPICA STAR EP-60599</t>
  </si>
  <si>
    <t>TALADRO INALAMBRICO 18VEPI EP-10195</t>
  </si>
  <si>
    <t>TALADRO INALAMBRICO DC25V EPI EP-10196</t>
  </si>
  <si>
    <t>ASPIRADORA CARRO 550W EPI EP-60610</t>
  </si>
  <si>
    <t>MARTILLO DEMOLADOR 1300W EPI EP-10920</t>
  </si>
  <si>
    <t>CEPILLADOR ELECT 500W 220V EPI EP-10830</t>
  </si>
  <si>
    <t>SOPLADOR PORTA 500W 220V EPI EP-10914</t>
  </si>
  <si>
    <t>SIERRA CIRC ELECT 1480W 220V EPI EP-10654</t>
  </si>
  <si>
    <t>SIERRA CALAR PENDULO 480W 220V EPI EP-10657</t>
  </si>
  <si>
    <t>CORTADOR PIEDRA 1700W 220V EPI EP-10120</t>
  </si>
  <si>
    <t>AMOLADORA ANGULAR 220V 900W7125MN EPI EP-10652</t>
  </si>
  <si>
    <t>AMOLADORA ANGULAR 220V 1800W/230M EPI EP-10740</t>
  </si>
  <si>
    <t>AMOLADORA ANGULAR 220V/710W WPI EP-10910</t>
  </si>
  <si>
    <t>HIDROLAVADORA ALTA PRESION 1500W 80BAR 8L/MNTO EPI EP-60381</t>
  </si>
  <si>
    <t>TALADRO ELECTRICO 400W EPI EP-10648</t>
  </si>
  <si>
    <t>TALADRO ELECTRICO 680W EPI EP-10649</t>
  </si>
  <si>
    <t>TALADRO ELECTRICO 980W EPI EP-10650</t>
  </si>
  <si>
    <t>MARTILLO GIRATO 1050W 220V EPI EP-10656</t>
  </si>
  <si>
    <t>BOTAS VENUS BOY RS VL 1 31</t>
  </si>
  <si>
    <t>BOTAS VENUS AND VL VL 36</t>
  </si>
  <si>
    <t>BOTAS VENUS AND VL VL 37</t>
  </si>
  <si>
    <t>BOTAS VENUS AND VL VL 35</t>
  </si>
  <si>
    <t>MOCHILA POLYNYLON GRUPO DIAZ</t>
  </si>
  <si>
    <t>MOCHILAS POLYNYLON POWERFUL</t>
  </si>
  <si>
    <t>MOCHILAS POLYNYLON BONHOEFFER</t>
  </si>
  <si>
    <t>GORRO BORDADO GRUPO DIAZ</t>
  </si>
  <si>
    <t>GORRO BORDADO POWERFUL</t>
  </si>
  <si>
    <t>POLO MANGA CORTA POWERFUL</t>
  </si>
  <si>
    <t>MOTOSIERRA DIFER 4500+ ESP 20</t>
  </si>
  <si>
    <t>MOTOSIERRA BONHOEFFER BON-P-CS55</t>
  </si>
  <si>
    <t>ANILLO BONHOEFFER NT520B</t>
  </si>
  <si>
    <t>BOMBIN BONHOEFFER NT520B</t>
  </si>
  <si>
    <t>KIT CARBURADOR BONHOEFFER NT5200</t>
  </si>
  <si>
    <t>AUTOMATICO BONHOEFFER NT520B</t>
  </si>
  <si>
    <t>UÑA AUTOMATICO BONHOEFFER MS660</t>
  </si>
  <si>
    <t>SOGUILLA BONHOEFFER 100MTX4.5MM</t>
  </si>
  <si>
    <t>CAMPANA C/PIÑON LOCO BONHOEFFER NT5800</t>
  </si>
  <si>
    <t>CANASTILLA DE CAMPANA BONHOEFFER MS660</t>
  </si>
  <si>
    <t>EMBRAGUE BONHOEFFER MS381</t>
  </si>
  <si>
    <t>SEGURO DE CUCHILLA BONHOEFFER NT520B</t>
  </si>
  <si>
    <t>KIT PISTON BONHOEFFER MS381</t>
  </si>
  <si>
    <t>KIT PISTON BONHOEFFER 288XP</t>
  </si>
  <si>
    <t>KIT PISTON BONHOEFFER NT520B</t>
  </si>
  <si>
    <t>CORTA CERAMICA BELLOTA (60CM) PASS60</t>
  </si>
  <si>
    <t>ESCOBA MET 22D ROJA C/MANGO BRM22METRHDL</t>
  </si>
  <si>
    <t>ESCOBA PRADO 5370-22MS 101520</t>
  </si>
  <si>
    <t>NYLON GUADAÑA BELL TL10933-15M NY1093315</t>
  </si>
  <si>
    <t>NYLON GUADAÑA BELL TL10933-30M NYL1093330</t>
  </si>
  <si>
    <t>NYLON GUADAÑA BELL TL10933-90M NYL1093390</t>
  </si>
  <si>
    <t>ESCOBA PRADO 5370-26MS 101519</t>
  </si>
  <si>
    <t>BOTAS VENUS PNT NG AM 34</t>
  </si>
  <si>
    <t>SILENCIADOR COMP GX390 MEGA18310Z1C811</t>
  </si>
  <si>
    <t>SILENCIADOR COMP 18310Z1T010 GX160,WB20,WB30</t>
  </si>
  <si>
    <t>SILENCIADOR COMP 18310ZE2W01 GX270</t>
  </si>
  <si>
    <t>SILENCIADOR COMP 18310ZE2W62 GX390</t>
  </si>
  <si>
    <t>PROTECTOR SILENCIADOR 18320ZE2W62 GX390</t>
  </si>
  <si>
    <t>ENS TAP LLENADO ACEITE 15600Z0T810 GX160/200 AQUAX</t>
  </si>
  <si>
    <t>KIT DE PISTON 0.25 GX160 DELG HPGX160025</t>
  </si>
  <si>
    <t>KIT DE PISTON STD GX35T HPGX35T</t>
  </si>
  <si>
    <t>ENS INTERRUPTOR ENCENDIDO 35120Z0T821 WX10T-1</t>
  </si>
  <si>
    <t>ENS BOBINA DE ENCENDIDO 30500Z7E601 EG5000-6500</t>
  </si>
  <si>
    <t>AHOYADORA BROCA DIFER DF-CG520 8</t>
  </si>
  <si>
    <t>MOTOBOMBA DIFER 2T WP15</t>
  </si>
  <si>
    <t>AUTOMATICO COMP DIFER D5800 NUEVO MODELO</t>
  </si>
  <si>
    <t>SILENCIADOR POWERFUL 2500KW</t>
  </si>
  <si>
    <t>SEPARADOR CARBURADOR POWERFUL 5.5,6.5HP</t>
  </si>
  <si>
    <t>SEPARADOR CARBURADOR POWERFUL 9.0HP</t>
  </si>
  <si>
    <t>SEPARADOR CARBURADOR POWERFUL 13.0HP</t>
  </si>
  <si>
    <t>PLACA GUIA POWERFUL 1500KW</t>
  </si>
  <si>
    <t>RETEN DE CIGUEÑAL POWERFUL 1500KW</t>
  </si>
  <si>
    <t>VALVULA ADM/ESC POWERFUL 1500KW</t>
  </si>
  <si>
    <t>GRIFO DE COMBUSTIBLE POWERFUL 1500KW</t>
  </si>
  <si>
    <t>GRIFO DE COMBUSTIBLE POWERFUL 2500KW</t>
  </si>
  <si>
    <t>ANILLO POWERFUL 1500KW</t>
  </si>
  <si>
    <t>GENERADOR GASOL BONHOEFFER 5.0KW</t>
  </si>
  <si>
    <t>GENERADOR GASOL BONHOEFFER 7.5KW</t>
  </si>
  <si>
    <t>MOTOR GASOL BONHOEFFER 9.0HP</t>
  </si>
  <si>
    <t>MOTOBOMBA GASOL BONHOEFFER 4</t>
  </si>
  <si>
    <t>MOTOR GASOL JIANGDONG B200</t>
  </si>
  <si>
    <t>MOTOR GASOL JIANGDONG B90</t>
  </si>
  <si>
    <t>GENERADOR GASOLJIANGDONG JD6500E</t>
  </si>
  <si>
    <t>ELECTROBOMBA BONHOEFFER 0.5HP 220V</t>
  </si>
  <si>
    <t>MOTOGUADAÑA BONHOEFFER BON-P-BC45</t>
  </si>
  <si>
    <t>CADENA REDONDA BONHOEFFER 3/8 ROLLO BON-SCADENA-008</t>
  </si>
  <si>
    <t>CADENA REDONDA BONHOEFFER ROLLO404 BON-SCADENA-010</t>
  </si>
  <si>
    <t>CADENA CUADRADA BONHOEFFER 404 ROLLO</t>
  </si>
  <si>
    <t>KIT CILINDRO BONHOEFFER MS381</t>
  </si>
  <si>
    <t>KIT CILINDRO BONHOEFFER NT520BC</t>
  </si>
  <si>
    <t>MOTOGUADAÑA BONHOEFFER BON-P-BC33</t>
  </si>
  <si>
    <t>MOTOR FUERA DE BORDA YAMAHA E9.9DMHS</t>
  </si>
  <si>
    <t>MOTOR MULTI YAMAHA MX175A1E-P</t>
  </si>
  <si>
    <t>MOTOR MULTI YAMAHA MX200A1E-P</t>
  </si>
  <si>
    <t>MOTOR MULTI YAMAHA MX250A2E-P</t>
  </si>
  <si>
    <t>MOTOR MULTI YAMAHA MX300A2E-P</t>
  </si>
  <si>
    <t>MOTOR MULTI YAMAHA MX360AA6A0</t>
  </si>
  <si>
    <t>MOTOR MULTI YAMAHA MX400AA6A0</t>
  </si>
  <si>
    <t>KIT DE PISTON SITHL MS660</t>
  </si>
  <si>
    <t>ACEITE YAMAHA 4T 20W50 946 ML</t>
  </si>
  <si>
    <t>SIERRA CIRCULAR 2400W 220V EPI-10014</t>
  </si>
  <si>
    <t>MARTILLO DEMOLEDOR EP-10665</t>
  </si>
  <si>
    <t>CARBURADOR (BE70LA) 16100Z7B811 GX270</t>
  </si>
  <si>
    <t>CARBURADOR (BE85K A) 16100Z1C601</t>
  </si>
  <si>
    <t>SIERRA COMPUESTA EP-10832</t>
  </si>
  <si>
    <t>LIJADORA DE YESO EP-10922</t>
  </si>
  <si>
    <t>MOTOR FUERA DE BORDA YAMAHA E60HMHDS</t>
  </si>
  <si>
    <t>MOTOR FUERA DE BORDA YAMAHA E15DMHS</t>
  </si>
  <si>
    <t>MOTOR FUERA DE BORDA YAMAHA E40XMHS</t>
  </si>
  <si>
    <t>MAQUINA SOLDAR 200A EP-10737</t>
  </si>
  <si>
    <t>MAQUINA SOLDAR 250A EP-10738</t>
  </si>
  <si>
    <t>MAQUINA SOLDAR 300A EP-10739</t>
  </si>
  <si>
    <t>COMPRESORA AIRE 2HP 24L EP-10669</t>
  </si>
  <si>
    <t>COMPRESORA AIRE 3HP 50L EP-10670</t>
  </si>
  <si>
    <t>MOTOSIERRA ELECTRICA EP-10928</t>
  </si>
  <si>
    <t>TECLE ELECTRICO 300-600 KG - 750W/1050W EP-30534</t>
  </si>
  <si>
    <t>ELECTROBOMBA 0.5HP EP-50397</t>
  </si>
  <si>
    <t>ELECTROBOMBA JET 1HP EPI-50401</t>
  </si>
  <si>
    <t>EQUIPO HIDROUMATICO 1HP 24L EPI-50402</t>
  </si>
  <si>
    <t>HIDROLAVADORA ALTA PRESION 1500W 120BAR 10L/MNTO EP-60383</t>
  </si>
  <si>
    <t>MAQUINA SELLLADORA EPI-60645</t>
  </si>
  <si>
    <t>PISTOLA P/ PINTAR ELECTRICA EP-50437</t>
  </si>
  <si>
    <t>AMOLADORA BANCO 370W EPI-50440</t>
  </si>
  <si>
    <t>AMOLADORA BANCO 550W EP-50441</t>
  </si>
  <si>
    <t>JGO LLAVE COMBINADA 8 PCS EP-20221</t>
  </si>
  <si>
    <t>JGO LLAVE COMBINADA 10 PCS EP-20222</t>
  </si>
  <si>
    <t>JGO LLAVE COMBINADA 8 PCS EP-20225</t>
  </si>
  <si>
    <t>JGO LLAVE COMBINADA 12 PCS EP-20226</t>
  </si>
  <si>
    <t>JGO LLAVE COMBINADA 8 PCS EP-20311</t>
  </si>
  <si>
    <t>JGO LLAVE COMBINADA 12 PCS EP-20312</t>
  </si>
  <si>
    <t>RACHET EP-20613</t>
  </si>
  <si>
    <t>DESTORNILLADOR ESTRELLA 3x75mm EP-50607</t>
  </si>
  <si>
    <t>DESTORNILLADOR ESTRELLA 8x200mm EP-50615</t>
  </si>
  <si>
    <t>JGO DESTORNILLADOR 31 PCS EP-60653</t>
  </si>
  <si>
    <t>CINTA METRICA 50M EP-30130</t>
  </si>
  <si>
    <t>CINTA METRICA 30M EP-30131</t>
  </si>
  <si>
    <t>FAJA RACHET EP-10221</t>
  </si>
  <si>
    <t>PISTOLA CALAFATEADORA EP-10011</t>
  </si>
  <si>
    <t>PISTOLA CALAFATEADORA EP-10012</t>
  </si>
  <si>
    <t>SERRUCHO DE PODAR 14 EP-30295</t>
  </si>
  <si>
    <t>SIERRA RAMA ALTA EP-20282</t>
  </si>
  <si>
    <t>TIJERA DE PODAR TELESCOPICAS EP-20281</t>
  </si>
  <si>
    <t>TIJERA PODADORA 8 EP-20132</t>
  </si>
  <si>
    <t>LLANA ESPONJA 14X28 EP-20334</t>
  </si>
  <si>
    <t>LLANA ESPONJA 18X32 EP-20335</t>
  </si>
  <si>
    <t>LLANA ESPONJA 20X32 EP-20336</t>
  </si>
  <si>
    <t>LLAVE HEXAGONAL PLANAS EP-20310</t>
  </si>
  <si>
    <t>BROCHA MANGO MADERA 1.5 EP-50333</t>
  </si>
  <si>
    <t>BROCHA MANGO MADERA 2 EP-50334</t>
  </si>
  <si>
    <t>BROCHA MANGO MADERA 3 EP-50336</t>
  </si>
  <si>
    <t>RODILLO 4 EP-60362</t>
  </si>
  <si>
    <t>RODILLO 7 EP-60364</t>
  </si>
  <si>
    <t>RODILLO 9 EP-60365</t>
  </si>
  <si>
    <t>CEPILLO METALICA M/MADERA EP-60046</t>
  </si>
  <si>
    <t>CEPILLO METALICO M/PLASTICO EP-60048</t>
  </si>
  <si>
    <t>REMACHADORA MANUAL EP-50534</t>
  </si>
  <si>
    <t>JGO DE LIMA 4MM EP-20172</t>
  </si>
  <si>
    <t>ALICATE DE CORTE 8 EP-50036</t>
  </si>
  <si>
    <t>PINZA COMBINADA 8 EP-50359</t>
  </si>
  <si>
    <t>ALICATE DE CORTE 6 EP-50360</t>
  </si>
  <si>
    <t>PINZA CARPINTERO 8 EP-50060</t>
  </si>
  <si>
    <t>JUEGO DE ALICATES 4 PCS EP-50357</t>
  </si>
  <si>
    <t>TIJERA PARA ESTAÑO 10 EP-20002</t>
  </si>
  <si>
    <t>ALICATE PICO LORO 10 EP-60006</t>
  </si>
  <si>
    <t>LLAVE STILSON 10 EP-50392</t>
  </si>
  <si>
    <t>GUANTES EP-50411</t>
  </si>
  <si>
    <t>PRENSA DE BANCO 8 EP-50221</t>
  </si>
  <si>
    <t>GATA HIDRAULICA 2 TON EP-60176</t>
  </si>
  <si>
    <t>GATA HIDRAULICA 8 TON EP-60179</t>
  </si>
  <si>
    <t>GATA HIDRAULICA 10 TON EP-60180</t>
  </si>
  <si>
    <t>GATA HIDRAULICA 12 TON EP-60181</t>
  </si>
  <si>
    <t>GATA HIDRAULICA 20 TON EP-60183</t>
  </si>
  <si>
    <t>GATA HIDRAULICA 2 TON EP-60443</t>
  </si>
  <si>
    <t>GATA HIDRAULICA 3 TON EP-60457</t>
  </si>
  <si>
    <t>BOMBA MANUAL 22 LT./MIN EP-60486</t>
  </si>
  <si>
    <t>TECLE 2 TON EP -30467</t>
  </si>
  <si>
    <t>PISTOLA PARA PINTAR EP-50348</t>
  </si>
  <si>
    <t>PISTOLA PARA PINTAR EP-50350</t>
  </si>
  <si>
    <t>JUEGO DE PISTOLA PULVERIZADORA 1/2 EP-60518</t>
  </si>
  <si>
    <t>LUZ DE TRABAJO EP-50496</t>
  </si>
  <si>
    <t>DISCO DESBASTE METAL 7X1/4-7/8 EP-50481</t>
  </si>
  <si>
    <t>DIAMANTE CORTA CERAMICA 22MM (7/8) EP-60485</t>
  </si>
  <si>
    <t>CINCEL PUNTA 300X18MM CON MANGO EP-20086</t>
  </si>
  <si>
    <t>ESCALERA DOMESTICA ALUMINIO 5 PASOS EP-30483</t>
  </si>
  <si>
    <t>ESCALERA DOMESTICA ALUMINIO 6 PASOS EP-30484</t>
  </si>
  <si>
    <t>ESCALERA ALUMINIO POLIVALENTE EP-30485</t>
  </si>
  <si>
    <t>ESCALERA DE ALUMINIO EP-30494</t>
  </si>
  <si>
    <t>CALIBRADOR DIGITAL EP-50569</t>
  </si>
  <si>
    <t>PIE REY EP-50570</t>
  </si>
  <si>
    <t>BALANZA RELOJ 20KG EP-30637</t>
  </si>
  <si>
    <t>BALANZA ELECTRONICA 40 KG EP-30535</t>
  </si>
  <si>
    <t>CARRETILLA EP-30537</t>
  </si>
  <si>
    <t>TRANSPALETA 3TON EP-50499</t>
  </si>
  <si>
    <t>MARTILLO M/M 500G EP-30326</t>
  </si>
  <si>
    <t>MARTILLO M/P 500G EP-30002</t>
  </si>
  <si>
    <t>COMBA MANG.MADERA 1000G EP-30337</t>
  </si>
  <si>
    <t>COMBA MANG. MADERA 1500G EP-30338</t>
  </si>
  <si>
    <t>COMBA MANG. MADERA 2000G EP-30339</t>
  </si>
  <si>
    <t>MAQUINA SOLDAR 300A INDUSTRIAL EP-10235</t>
  </si>
  <si>
    <t>PERNO MARIPOSA SAIL EJE DE COLA</t>
  </si>
  <si>
    <t>PERNO MARIPOSA SAIL DE BASE DE COLA</t>
  </si>
  <si>
    <t>SUJETADOR VIDRIO EP-50228</t>
  </si>
  <si>
    <t>ELECTROBOMBA RDA R-SP1500 PISC 2HP</t>
  </si>
  <si>
    <t>ELECTROBOMBA RDA R-SP2200 PISC 3HP</t>
  </si>
  <si>
    <t>ELECTROBOMBA RDA R-J100L JET 1HP</t>
  </si>
  <si>
    <t>COSECHADORA MAIZ 4YD1</t>
  </si>
  <si>
    <t>EXIHIBIDOR DIFER</t>
  </si>
  <si>
    <t>CARPA DIFER</t>
  </si>
  <si>
    <t>CAJA REDUCTORA DIFER 520</t>
  </si>
  <si>
    <t>MACHETE GAV 1001 PACORA NAT 21.5 MANGO MAD</t>
  </si>
  <si>
    <t>PALIN PALMERA GAV 5402</t>
  </si>
  <si>
    <t>LIMA GAV TRIANGULAR 6 PARJA M/NARANJ</t>
  </si>
  <si>
    <t>COMPRESORA BONHOEFFER 25L BON-DDAC-25L</t>
  </si>
  <si>
    <t>COMPRESORA DE AIRE BONHOEFFER 50L BON-DDAC-50L</t>
  </si>
  <si>
    <t>HIDROLAVADORA BONHOEFFER 1400W BON-E-PW-1400W</t>
  </si>
  <si>
    <t>HIDROLAVADORA BONHOEFFER 1600W BON-E-PW-1600W</t>
  </si>
  <si>
    <t>APISONADOR BONHOEFFER 4HP BON-P-TR-10KN-4.0HP</t>
  </si>
  <si>
    <t>MOTOSIERRA BONHOEFFER CS65 BON-P-CS65</t>
  </si>
  <si>
    <t>EMBRAGUE BONHOEFFER MS660</t>
  </si>
  <si>
    <t>ANILLO BONHOEFFER FS280</t>
  </si>
  <si>
    <t>ANILLO BONHOEFFER 143R-II</t>
  </si>
  <si>
    <t>RED DE PESCA VERDE 12X5 100X100</t>
  </si>
  <si>
    <t>RED DE PESCA VERDE 18X5 100X100</t>
  </si>
  <si>
    <t>RED DE PESCA VERDE 24X2</t>
  </si>
  <si>
    <t>RED DE PESCA VERDE 36X5 50X100</t>
  </si>
  <si>
    <t>RED DE PESCA VERDE 60X5 50X100</t>
  </si>
  <si>
    <t>RED DE PESCA VERDE 60X8 50X100</t>
  </si>
  <si>
    <t>DRIZA VERDE GOLD 3/32</t>
  </si>
  <si>
    <t>DRIZA VERDE GOLD 1/8</t>
  </si>
  <si>
    <t>DRIZA VERDE GOLD 5/32</t>
  </si>
  <si>
    <t>DRIZA VERDE GOLD 3/16</t>
  </si>
  <si>
    <t>DRIZA VERDE GOLD 1/4</t>
  </si>
  <si>
    <t>RED DE PESCA VERDE 12X1-1/2 100X100</t>
  </si>
  <si>
    <t>RED DE PESCA VERDE 12X2 100X100</t>
  </si>
  <si>
    <t>GENERADOR YAMAHA ET-1</t>
  </si>
  <si>
    <t>GENERADOR YAMAHA EF2600D</t>
  </si>
  <si>
    <t>BARRIL AHUMADOR 20 LBR BELLOTA BARAHUMA</t>
  </si>
  <si>
    <t>BASTON ABONADOR BELLOTA</t>
  </si>
  <si>
    <t>BEBEDERO BELLOTA PRO+CON FLOTADOR 500</t>
  </si>
  <si>
    <t>CINTA ENMASCARAR AZUL PRO C576 12MMX36M</t>
  </si>
  <si>
    <t>CINTA ENMASCARAR AZUL PRO C576 18MMX36M</t>
  </si>
  <si>
    <t>CINTA ENMASCARAR AZUL PRO C576 24MMX36M</t>
  </si>
  <si>
    <t>CINTA ENMASCARAR AZUL PRO C576 36MMX36M</t>
  </si>
  <si>
    <t>CINTA ENMASCARAR AZUL PRO C576 46MMX36M</t>
  </si>
  <si>
    <t>CINTA ENMASCARAR MULT C563 18MMX18M</t>
  </si>
  <si>
    <t>CINTA ENMASCARAR MULT C563 18MMX36M</t>
  </si>
  <si>
    <t>CINTA ENMASCARAR MULT C563 46MMX36M</t>
  </si>
  <si>
    <t>MASILLA O ESTUCO KILO</t>
  </si>
  <si>
    <t>SERRUCHO 14 M/M BELLOTA SMART</t>
  </si>
  <si>
    <t>SERRUCHO DRYWALL SW07 BELLOTA</t>
  </si>
  <si>
    <t>TIJERA BELLOTA 3546</t>
  </si>
  <si>
    <t>TIJERA VINA LIGERA 3589-50</t>
  </si>
  <si>
    <t>PISTON STD (S) 150HP,200HP 64D116310290</t>
  </si>
  <si>
    <t>PISTON 2 STD (P) 150HP,200HP 64D116420290</t>
  </si>
  <si>
    <t>PISTON 0.25 (S) 150HP,200HP 64D116350200</t>
  </si>
  <si>
    <t>PISTON 2 0.25 (P) 150HP,200HP 64D116450200</t>
  </si>
  <si>
    <t>CANASTILLA DE PIN PISTON150HP,200HP 933103233700</t>
  </si>
  <si>
    <t>PIN DE PISTON 150HP,200HP 6R5116331000</t>
  </si>
  <si>
    <t>RETEN INFERIOR CIGEÑAL 150HP,200HP 9310122M1500</t>
  </si>
  <si>
    <t>EMPAQUE DE CULATA 1 150HP,200HP 6G511181A300</t>
  </si>
  <si>
    <t>AGUJA DE CARBURADOR 40HP,150HP,200HP 6E5145460000</t>
  </si>
  <si>
    <t>ENGRANAJE DE AVANCE 1 26T 6G5455601000</t>
  </si>
  <si>
    <t>KIT MACHETE 127H 22 PBM+LIMA TRIANGULAR 4087 9</t>
  </si>
  <si>
    <t>RETEN EJE LARGO 150HP,200HP 9310128M1600</t>
  </si>
  <si>
    <t>RETEN EJE CORTO 150HP,200HP 9310130M1700</t>
  </si>
  <si>
    <t>RETEN DE VARILLA 60HP,150HP,200HP 931060901400</t>
  </si>
  <si>
    <t>COJINETE DE AGUJA EJE CORTO 150HP,200HP 933154306100</t>
  </si>
  <si>
    <t>TUERCA DE TORPEDO 150HP,200HP 6G5453840200</t>
  </si>
  <si>
    <t>RESORTE DE SINCRONIZADOR 150HP,200HP 6E5456330100</t>
  </si>
  <si>
    <t>TUERCA EJE LARGO 60HP,150HP,200HP 9017016M0100</t>
  </si>
  <si>
    <t>CHAVETA EJE LARGO 150HP,200HP 9028004M0500</t>
  </si>
  <si>
    <t>PERNO IMANTADO 9.9HP -300HP 688453411000</t>
  </si>
  <si>
    <t>PERNO DE DRENAJE 9.9HP-300HP 903400800200</t>
  </si>
  <si>
    <t>ENGRANAJE RETRO 28T 60HP 6H3455710000</t>
  </si>
  <si>
    <t>KIT DE BOMBA DE AGUA 150HP,200HP 61AW0078A400</t>
  </si>
  <si>
    <t>JGO DE ANILLO STD 9.9HP,15HP 682116100100</t>
  </si>
  <si>
    <t>POLINES PIN DE PISTON 9.9HP,15HP 936021410400</t>
  </si>
  <si>
    <t>ESPACIADORDE BIELA 9.9HP,15HP 9020920M2300</t>
  </si>
  <si>
    <t>TRINQUETE DE RETRACCION 9.9HP,15HP 63V157410000</t>
  </si>
  <si>
    <t>CABLE DE ACELERADOR E9.9HP,15HP 6B4263010000</t>
  </si>
  <si>
    <t>PIÑON 9.9HP,15HP 63V45510000</t>
  </si>
  <si>
    <t>ENGRANAJE DE AVANCE 9.9HP,15HP 6E7455600100</t>
  </si>
  <si>
    <t>IMPELENTE 9.9HP,15HP 05-16)&amp;4T 9.9 (2006) 682443520300</t>
  </si>
  <si>
    <t>COJINETE DE AGUJA EJE CORTO 60HP 93317325U000</t>
  </si>
  <si>
    <t>COJINETE DE AGUJA EJE LARGO 60HP 93315325V100</t>
  </si>
  <si>
    <t>CONECTOR DE COMBUSTIBLE 9.9HP-85HP 6G1243050500</t>
  </si>
  <si>
    <t>IMPELENTE 115HP,150HP,200HP 6E5443520100</t>
  </si>
  <si>
    <t>RODAJE CONICO DE AVANCE 60HP 93332000W700</t>
  </si>
  <si>
    <t>EMPAQUE DE ASIENTO 40X 66T45113A000</t>
  </si>
  <si>
    <t>IMPELENTE ANTIGUO 60HP -50HP 6H3443520000</t>
  </si>
  <si>
    <t>JGO DE ANILLO STD 40X 66T116030000</t>
  </si>
  <si>
    <t>RETEN INFERIOR GRANDE 40X 9310230M5300</t>
  </si>
  <si>
    <t>POLINES 40X 936032111100</t>
  </si>
  <si>
    <t>BOMBA DE COMBUSTIBLE 25HP HASTA 85HP 692244100100</t>
  </si>
  <si>
    <t>SELLO DE ACEITE 904300800300</t>
  </si>
  <si>
    <t>TUERCA DE TORPEDO 60HP 688453840200</t>
  </si>
  <si>
    <t>CANASTILLA DE BIELA 40X 93310727U000</t>
  </si>
  <si>
    <t>HELICE 3X9-7/8X13-F 25HP HASTA 85HP 664459490200</t>
  </si>
  <si>
    <t>HELICE 3X11-3/4X10-G - AL -663459540100</t>
  </si>
  <si>
    <t>HELICE 3X11-5/8X11-G - AL -69W459470000</t>
  </si>
  <si>
    <t>HELICE 3X13-1/2X15-K - AL -6E5459470000</t>
  </si>
  <si>
    <t>HELICE 3X13-5/8X13-K - AL -6E5459490000</t>
  </si>
  <si>
    <t>HELICE 3X14-1/2X17-M -AL -6G5459470100</t>
  </si>
  <si>
    <t>PIN CRANK 40X 66T11681000</t>
  </si>
  <si>
    <t>ESPACIADOR DE PIN PISTON 40X 902012041700</t>
  </si>
  <si>
    <t>DIAFRAGMA 25HP HASTA 85HP 663244110000</t>
  </si>
  <si>
    <t>BOBINA DE CARGA 40X 66T855200000</t>
  </si>
  <si>
    <t>BOBINA DE IGNICION COMPLETO 40X 66T855700000</t>
  </si>
  <si>
    <t>PINON 13T 40X 66T45551000</t>
  </si>
  <si>
    <t>COJINETE DE AGUJA EJE LARGO 40X 933153222400</t>
  </si>
  <si>
    <t>COJINETE DE AGUJA EJE CORTO 40X 933172220400</t>
  </si>
  <si>
    <t>RETEN DE EJE LARGO 40X 9310122M6000</t>
  </si>
  <si>
    <t>CARTUCHO DE BOMBA 40X 63D443220000</t>
  </si>
  <si>
    <t>IMPELENTE 40X 6H4443520200</t>
  </si>
  <si>
    <t>TUERCA DE HELICE 40X-60HP 901711601100</t>
  </si>
  <si>
    <t>CONECTOR DE VARILLA 40X 61N441460000</t>
  </si>
  <si>
    <t>EMPAQUE DE REFRIGERACION 60HP 6H341112A000</t>
  </si>
  <si>
    <t>EMPAQUE DE REFRIGERACION 60HP 6H341114A000</t>
  </si>
  <si>
    <t>EMPAQUE SOBRECULATA 60HP 6H311193A100</t>
  </si>
  <si>
    <t>PISTON 0.25 60HP 6K5116350300</t>
  </si>
  <si>
    <t>JGO DE ANILLOS STD 60HP 6K5116010200</t>
  </si>
  <si>
    <t>JGO DE ANILLOS 0.25 60HP 6K5116011200</t>
  </si>
  <si>
    <t>POLINES PIN DE PISTON 60HP 9360318M0900</t>
  </si>
  <si>
    <t>PIN DE PISTON 60HP 6H3116330000</t>
  </si>
  <si>
    <t>BIELA 60HP 6K5116510000</t>
  </si>
  <si>
    <t>CANASTILLA DE BIELA 60HP 93310527W100</t>
  </si>
  <si>
    <t>PIN CRANK 60HP 6K5116810000</t>
  </si>
  <si>
    <t>COJINETE SUPERIOR 60HP 93311636U600</t>
  </si>
  <si>
    <t>RODAJE CENTRAL CIGEÑAL 40HP,60HP 93332000UE00</t>
  </si>
  <si>
    <t>SELLO LABERINTO 1 60HP 6H3115150000</t>
  </si>
  <si>
    <t>BOBINA DE CARGA 60HP 6H3855200000</t>
  </si>
  <si>
    <t>EMPAQUE DE ASIENTO 60HP 6H345113A000</t>
  </si>
  <si>
    <t>IMPULSOR 2T 60HP,85HP 01-18 75HP,85HP 688443520300</t>
  </si>
  <si>
    <t>PLACA DE BOMBA 60HP 688443230000</t>
  </si>
  <si>
    <t>EMPAQUE DE BOMBA AGUA 60HP 68844315A000</t>
  </si>
  <si>
    <t>EMPAQUE DE BOMBA AGUA 60HP 68844316A000</t>
  </si>
  <si>
    <t>RETEN DE COLA 60HP 9310125M0300</t>
  </si>
  <si>
    <t>CHAVETA EJE LARGO 60HP 9028004M0400</t>
  </si>
  <si>
    <t>PIÑON 12T 60HP 6K5455510000</t>
  </si>
  <si>
    <t>ENGRANAJE AVANCE 28T 60HP 6K5455600000</t>
  </si>
  <si>
    <t>MOTOR FUERA DE BORDA YAMAHA E60HWDL</t>
  </si>
  <si>
    <t>MOTOR FUERA DE BORDA YAMAHA FT60GEHDL</t>
  </si>
  <si>
    <t>MOTOR FUERA DE BORDA YAMAHA 2DMHS</t>
  </si>
  <si>
    <t>CUCHILLO COCINA PLENUS 8 22921008</t>
  </si>
  <si>
    <t>MOTOGUADAÑA MOCHILERA BONHOEFFER BON-P-BP-BC-45</t>
  </si>
  <si>
    <t>KIT CILINDRO BONHOEFFER BON-P-BC45-EP27</t>
  </si>
  <si>
    <t>RESORTE DE EMBRAGUE BONHOEFFER BC45</t>
  </si>
  <si>
    <t>CARBURADOR BONHOEFFER CS55</t>
  </si>
  <si>
    <t>FILTRO DE AIRE BONHOEFFER CS55</t>
  </si>
  <si>
    <t>SWITCH DE ENCENDIDO BONHOEFFER CS55</t>
  </si>
  <si>
    <t>TAPA DE COMBUSTIBLE BONHOEFFER CS55</t>
  </si>
  <si>
    <t>TAPA DE ACEITE BONHOEFFER CS55</t>
  </si>
  <si>
    <t>PROTECTOR BOMBA DE ACEITE BONHOEFFER CS55</t>
  </si>
  <si>
    <t>CANASTILLA DE PISTON BONHOEFFER CS55</t>
  </si>
  <si>
    <t>EXTRANGULADOR DE CARBURADOR BONHOEFFER CS55</t>
  </si>
  <si>
    <t>BASE EXTERIOR DE CARBURADOR BONHOEFFER CS55</t>
  </si>
  <si>
    <t>PLACA SOPORTE DE CARBURADOR BONHOEFFER CS55</t>
  </si>
  <si>
    <t>ARANDELA DE COBRE DE ADMISION BONHOEFFER CS55</t>
  </si>
  <si>
    <t>TUERCA DE TAPA DE FILTRO DE AIRE BONHOEFFER CS55</t>
  </si>
  <si>
    <t>KIT DE PISTON BONOEFFER CS55</t>
  </si>
  <si>
    <t>EMPAQUETADURA DE CILINDRO BONHOEFFER CS55</t>
  </si>
  <si>
    <t>EMPAQUETADURA DE SOPORTE BONHOEFFER CS55</t>
  </si>
  <si>
    <t>EMPAQUETADURA DE CARBURADOR BONHOEFFER CS55</t>
  </si>
  <si>
    <t>EMPAQUETADURA DE CARTER BONHOEFFER CS55</t>
  </si>
  <si>
    <t>EMPAQUETADURA DE SILENCIADOR BONHOEFFER CS55</t>
  </si>
  <si>
    <t>EMPAQUETADURA DE TUBO DE ENTRADA BONHOEFFER CS55</t>
  </si>
  <si>
    <t>TEMPLADOR DE CADENA BONHOEFFER CS55</t>
  </si>
  <si>
    <t>CODO DE ADMISION BONHOEFFER CS55</t>
  </si>
  <si>
    <t>FILTRO DE COMBUSTIBLE BONHOEFFER CS55</t>
  </si>
  <si>
    <t>TORNILLO DOBLE TORNILLO M5X21 BONHOEFFER CS55</t>
  </si>
  <si>
    <t>SEPARADOR DE CODO DE ADMISION BONHOEFFER CS55</t>
  </si>
  <si>
    <t>AUTOMATICO DE ARRANQUE BONHOEFFER CS55</t>
  </si>
  <si>
    <t>BOBINA DE ARRANQUE BONHOEFFER CS55</t>
  </si>
  <si>
    <t>TANQUE DE COMBUSTIBLE BONHOEFFER CS55</t>
  </si>
  <si>
    <t>CIGEÑAL BONHOEFFER CS55</t>
  </si>
  <si>
    <t>CILINDRO BONHOEFFER CS55</t>
  </si>
  <si>
    <t>MONOBLOCK BONHOEFFER CS55</t>
  </si>
  <si>
    <t>SOPLADOR DE MOCHILA BONHOEFFER BON-P-BBL53</t>
  </si>
  <si>
    <t>PANEL SOLAR 330V</t>
  </si>
  <si>
    <t>BOMBA SOLAR BON-P-DCPM-3-1500</t>
  </si>
  <si>
    <t>BOMBA SOLAR BON-P-DLP-3-1200</t>
  </si>
  <si>
    <t>EXHIBIDOR BONHOEFFER</t>
  </si>
  <si>
    <t>ACEITE MARINO YAMALUBE 2M 946ML</t>
  </si>
  <si>
    <t>ACEITE YAMALUBE 4M OM 20W40 946ML</t>
  </si>
  <si>
    <t>ACEITE YAMALUBE 4M OM 20W40 1GL</t>
  </si>
  <si>
    <t>GRASA MARINA YAMAHA TUBO 400GR</t>
  </si>
  <si>
    <t>GENERADOR HONDA EZ6500 CXS</t>
  </si>
  <si>
    <t>GENERADOR HONDA EG5000 CX</t>
  </si>
  <si>
    <t>ACEITE YAMALUBE 2T- SEMISINTETICO 946ML</t>
  </si>
  <si>
    <t>RESORTE DE SINCRONIZADOR 60HP 688456330000</t>
  </si>
  <si>
    <t>EMPAQUE DE BOMBA COMBUSTIBLE 15HP HASTA200HP 65024431A000</t>
  </si>
  <si>
    <t>RESORTE DE COMPRESION 40X 9050115M0100</t>
  </si>
  <si>
    <t>VARILLA DE AHOGADOR 40X 66T412560000</t>
  </si>
  <si>
    <t>VARILLA DE AHOGADOR 40X 66T412570000</t>
  </si>
  <si>
    <t>PASADOR DE SINCRONIZADOR 60HP 9025007M0200</t>
  </si>
  <si>
    <t>BUJE 40X 9038922M0100</t>
  </si>
  <si>
    <t>BUJIA B8HS-10 947020016000</t>
  </si>
  <si>
    <t>CONECTOR DE AHOGAR 661412620200</t>
  </si>
  <si>
    <t>JALADOR CHOQUE 40X 66T412520000</t>
  </si>
  <si>
    <t>RETEN DE ACEITE E/L 20X30X6-648 15HP 931012004800</t>
  </si>
  <si>
    <t>RETEN DE ACEITE 6F5 INFERIOR 40X 9310130M3300</t>
  </si>
  <si>
    <t>PIN DE PISTON 15HP 634116330000</t>
  </si>
  <si>
    <t>RETEN DE ACEITE E/C 17X30X6-650 15HP 931011705400</t>
  </si>
  <si>
    <t>CHAVETA RECTA 200,60HP 902820401000</t>
  </si>
  <si>
    <t>PLACA DE BOMBA AGUA 15HP 682443230000</t>
  </si>
  <si>
    <t>RETEN DE ACEITE COLA E/C 22X36X6-663 40X 931012206700</t>
  </si>
  <si>
    <t>ESPACIADOR INTERIOR 40X 66T459970000</t>
  </si>
  <si>
    <t>PERILLA AHOGADOR 40X 6H4412710200</t>
  </si>
  <si>
    <t>RETEN INFERIOR 40X 931011600100</t>
  </si>
  <si>
    <t>RETEN SUPERIOR 40X 9310235M1800</t>
  </si>
  <si>
    <t>ORRIN DE TORPEDO 60HP 9321085M9700</t>
  </si>
  <si>
    <t>PIN CRACK 15HP 6821168100000</t>
  </si>
  <si>
    <t>CARTUCHO 60 HP 688443220000</t>
  </si>
  <si>
    <t>TUERCA EJE LARGO 40X 901701213800</t>
  </si>
  <si>
    <t>PLACA DE BOMBA 40X 66T443230000</t>
  </si>
  <si>
    <t>CARTUCHO 15HP 682443220000</t>
  </si>
  <si>
    <t>JGO DE ANILLOS 0.25 15HP 682116101100</t>
  </si>
  <si>
    <t>ESPACIADOR BIELA 40,60HP 902092701100</t>
  </si>
  <si>
    <t>VARILLA DE CAMBIO 40X 66T441430000</t>
  </si>
  <si>
    <t>EMBOLO DE CAMBIO 40X 66T456350000</t>
  </si>
  <si>
    <t>FILTRO DE ACEITE YFM450/YZF/R1 20HP,50 HASTA100HP 4T 5GH134407100</t>
  </si>
  <si>
    <t>ESPACIADOR EXTERIOR 60HP 67F459970000</t>
  </si>
  <si>
    <t>LEVA DE CAMBIO 60HP 6H1441510000</t>
  </si>
  <si>
    <t>JGO DE ANILLO STD 150,200HP 61U116010000</t>
  </si>
  <si>
    <t>JGO DE ANILLOS0.25 40X 66T116040000</t>
  </si>
  <si>
    <t>ESPACIADOR INTERIOR 40X 663459870200</t>
  </si>
  <si>
    <t>JGO DE ANILLO 0.25 150,200HP 61U116011000</t>
  </si>
  <si>
    <t>EMPAQUE DE CULATA 15 HP 6B411351A100</t>
  </si>
  <si>
    <t>RODAJE DE CIGUEÑAL 9.9,15HP 93306205A100</t>
  </si>
  <si>
    <t>PISTON 0.25 9.9HP,15HP 6E7116350000</t>
  </si>
  <si>
    <t>PISTON STD 9.9HP, 15HP 6E7116310097</t>
  </si>
  <si>
    <t>JUNTA DE CULATA 1 15HP 63V11181A200</t>
  </si>
  <si>
    <t>PISTON STD 40X 66T116310193</t>
  </si>
  <si>
    <t>EMPAQUE DE CULATA 60 HP 6H311181A200</t>
  </si>
  <si>
    <t>ESPACIADOR DE HELICE 60HP 688459870100</t>
  </si>
  <si>
    <t>PISTON STD 60HP 6K5116310395</t>
  </si>
  <si>
    <t>BOBINA DE IGNITION COMPLETO 60HP 6H3855701000</t>
  </si>
  <si>
    <t>VARILLA DE CAMBIO 40X 66T441500100</t>
  </si>
  <si>
    <t>MANGUERA DE COMBUSTIBLE 9.9HP HASTA 85HP 6Y1243065500</t>
  </si>
  <si>
    <t>PISTON 0.25 40X 66T116350100</t>
  </si>
  <si>
    <t>AMORTIGUADOR LADO SUPERIOR 40X 66T445140000</t>
  </si>
  <si>
    <t>BIELA COMPLETA 40X 6F5116510000</t>
  </si>
  <si>
    <t>EMBRAGUE DE GARRA 40X 66T456310000</t>
  </si>
  <si>
    <t>ENGRANAJE DE ARRANQUE 40X 66T455600100</t>
  </si>
  <si>
    <t>EMBRAGUE DE GARRA 60HP 6H1456310100</t>
  </si>
  <si>
    <t>EJE PROPULSOR DE HELICE 40X 66T456110000</t>
  </si>
  <si>
    <t>CAMBIO 60HP 6H1456410100</t>
  </si>
  <si>
    <t>EJE DE MANDO COMPLETO 40X 16.7 66T455010100</t>
  </si>
  <si>
    <t>KIT DE REPARACION DE BOMBA F75-100HP 60CW00780100</t>
  </si>
  <si>
    <t>EJE DE MANDO S17.7 60HP 69D455010000</t>
  </si>
  <si>
    <t>ESTUCHE REPARACION BOMBA AGUA 40X 66TW00780100</t>
  </si>
  <si>
    <t>BUJE 60HP 9038925M0000</t>
  </si>
  <si>
    <t>MARTILLO 8001-CP 105053</t>
  </si>
  <si>
    <t>RED DE PESCA VERDE 12X1 100X100</t>
  </si>
  <si>
    <t>RED DE PESCA VERDE 18X2 100X100</t>
  </si>
  <si>
    <t>RED DE PESCA VERDE 18X2-1/2 100X100</t>
  </si>
  <si>
    <t>RED DE PESCA VERDE 60X9 50X100</t>
  </si>
  <si>
    <t>RED DE PESCA VERDE 96X7 30X100</t>
  </si>
  <si>
    <t>RED DE PESCA VERDE 96X8 30X100</t>
  </si>
  <si>
    <t>RED DE PESCA VERDE 240X11 30X100</t>
  </si>
  <si>
    <t>ESTUCHE SOLO CROMOS DE BOMBA YAMAHA 60HP 688W00781A00</t>
  </si>
  <si>
    <t>NYLON GUADAÑA BELL R TL10933 ROLLO</t>
  </si>
  <si>
    <t>SUPER MAXTER PIN DE LA TUERCA PROPELA PARA YAMAHA 15HP Y9149030030</t>
  </si>
  <si>
    <t>ACEITE TRANSMISION VISTONY 140XLT</t>
  </si>
  <si>
    <t>RED DE PESCA VERDE 12X1-1/4 100X100M</t>
  </si>
  <si>
    <t>GENERADOR GASOL PG9000E POWERFUL</t>
  </si>
  <si>
    <t>KIT DE TRANSPORTE 2 RUEDAS EF7-EF5.5/EF4.0</t>
  </si>
  <si>
    <t>LIMPIA CARBURADOR VISTONY</t>
  </si>
  <si>
    <t>SELLO ACEITE 9310120M07</t>
  </si>
  <si>
    <t>CHAVETA EJE LARGO 9.9,15-40HP 9028003M0300</t>
  </si>
  <si>
    <t>GENERADOR GASOL BONHOEFFER 9.0KW</t>
  </si>
  <si>
    <t>GENERADOR GASOL SILENCIOSO BONHOEFFER 1.8KW</t>
  </si>
  <si>
    <t>MOTOR GASOL BONHOEFFER 34.0HP</t>
  </si>
  <si>
    <t>ACEITE DJ LUBE HD 50</t>
  </si>
  <si>
    <t>CANASTILLA DE BIELA 6E5 150HP 93310836V200</t>
  </si>
  <si>
    <t>ENGRANAJE RETOCESO 2 26T 150HP 6G5455710200</t>
  </si>
  <si>
    <t>RETEN SUPERIOR 150HP 9310240M3800</t>
  </si>
  <si>
    <t>SEGURO PIN DE PISTON 150HP 6R5116341000</t>
  </si>
  <si>
    <t>ESPACIADOR PIN PISTON 150HP 9020123M0100</t>
  </si>
  <si>
    <t>TUERCA DE SOPORTE 60HP 9018302M0300</t>
  </si>
  <si>
    <t>SEGURO DE TUERCA 150HP 6G5453830100</t>
  </si>
  <si>
    <t>TUERCA DE HELICE 150HP 9017118M0400</t>
  </si>
  <si>
    <t>DESLIZADOR DE CAMBIO 60HP 6H1456340200</t>
  </si>
  <si>
    <t>FILTRO DE ACEITE OM/WR1800 200HP 4T 69J134400400</t>
  </si>
  <si>
    <t>BOBINA DE CARGA 15HP 63V855200100</t>
  </si>
  <si>
    <t>MANIJA DE ARRANQUE 15 - 75HP 689157550200</t>
  </si>
  <si>
    <t>INTERRUPTOR DE PARADA 15 - 75HP 6K5825750300</t>
  </si>
  <si>
    <t>RETEN SUPERIOR 15HP 9311023M0000</t>
  </si>
  <si>
    <t>COJINETE DE AGUJA E/L 15HP 93315314V800</t>
  </si>
  <si>
    <t>COJINETE DE AGUJA E/C 15HP 93315317U200</t>
  </si>
  <si>
    <t>VARILLA DE CAMBIO 15HP 6B4441470000</t>
  </si>
  <si>
    <t>TUERCA E/L 15HP 9017908M0600</t>
  </si>
  <si>
    <t>ESPACIADOR HELICE 15HP 6E7459870100</t>
  </si>
  <si>
    <t>TUERCA DE HELICE 15HP 9017110M0100</t>
  </si>
  <si>
    <t>SEGURO DE HELICE 15HP 914903002000</t>
  </si>
  <si>
    <t>EMPAQUE DE ASIENTO 25HP 61T45113A000</t>
  </si>
  <si>
    <t>EMPAQUE DE CULATA 25HP 61N11181A200</t>
  </si>
  <si>
    <t>PIN DE PISTON 40X 6F5116330000</t>
  </si>
  <si>
    <t>UNIDAD CDI COMPLETA 40X 66T855400200</t>
  </si>
  <si>
    <t>BUJIA NGK LKR6E 9N 947020044000</t>
  </si>
  <si>
    <t>HELICE 3X9- 1/4X9-J1 -AL 15HP 63V459451000</t>
  </si>
  <si>
    <t>RETEN DE COLA 250 HP 931013000200</t>
  </si>
  <si>
    <t>CANASTILLA DE BIELA 40X 93310727V700</t>
  </si>
  <si>
    <t>RETEN INFERIOR 15HP 931022501000</t>
  </si>
  <si>
    <t>ESTUCHE REPARACION DE BOMBA E25BHP 69PW00780200</t>
  </si>
  <si>
    <t>COJINETE DE AGUJA 150HP 93311928U500</t>
  </si>
  <si>
    <t>BIELA COMPLETA 150HP 60H116500000</t>
  </si>
  <si>
    <t>BOMBA DE COMBUSTIBLE 150HP 6E5244100300</t>
  </si>
  <si>
    <t>PORTA RETEN E/C 60HP 6884533100CA</t>
  </si>
  <si>
    <t>PLANETARIO 93341930V200</t>
  </si>
  <si>
    <t>EJE DE MANDO COMPLETO LARGO 150HP 6G5455010200</t>
  </si>
  <si>
    <t>CAMISA EJE MANDO 150HP 6G5455360100</t>
  </si>
  <si>
    <t>JUEGO DE LENGUETA 40X 66TW00040000</t>
  </si>
  <si>
    <t>CAMISA EJE MANDO 15HP 6E7455360000</t>
  </si>
  <si>
    <t>PASADO CILINDRICO 15HP 902500501000</t>
  </si>
  <si>
    <t>JUNTA DE CULATA 1 40X 66T11181A300</t>
  </si>
  <si>
    <t>SELLO LABERINTO 1 40X 6F5115150000</t>
  </si>
  <si>
    <t>ENGRANAJE E15DMHS 15HP 6E7455710000</t>
  </si>
  <si>
    <t>ANILLO 0 40X 9321069MG600</t>
  </si>
  <si>
    <t>MAQUINA PULIDORA EP-10927</t>
  </si>
  <si>
    <t>ANILLO PASADOR 40X 663456330000</t>
  </si>
  <si>
    <t>PLACA 60HP 688453210000</t>
  </si>
  <si>
    <t>JUNTA DE CILINDRO 100HP 68V113510000</t>
  </si>
  <si>
    <t>JUNTA DE CULATA 1 100HP 67F111810300</t>
  </si>
  <si>
    <t>BUJIA LFR5A-11 100HP 947020039100</t>
  </si>
  <si>
    <t>FAJA DE DISTIBUCION 100HP 67F462410000</t>
  </si>
  <si>
    <t>EJE CORTO DE COLA A-85</t>
  </si>
  <si>
    <t>EJE CORTO DE COLA A-100</t>
  </si>
  <si>
    <t>MOTOR JIANGDONDG RADIAD ZH1142WPD 42HP</t>
  </si>
  <si>
    <t>DINAMO JIANGDONG ST-7.5KW 220V MONOFASICO</t>
  </si>
  <si>
    <t>DINAMO JIANGDONG ST-10KW 220V MONOFASICO</t>
  </si>
  <si>
    <t>DINAMO JIANGDONG ST-15KW 220V MONOFASICO</t>
  </si>
  <si>
    <t>DINAMO JIANGDONG ST-20KW 220V MONOFASICO</t>
  </si>
  <si>
    <t>DINAMO JIANGDONG STC-10KW 380/220V TRIFASICO</t>
  </si>
  <si>
    <t>DINAMO JIANGDONG STC-15KW 380/220V TRIFASICO</t>
  </si>
  <si>
    <t>DINAMO JIANGDONG STC-20KW 380/220V TRIFASICO</t>
  </si>
  <si>
    <t>DINAMO JIANGDONG STC-30KW 380/220V TRIFASICO</t>
  </si>
  <si>
    <t>BOTE TRACTOR X209</t>
  </si>
  <si>
    <t>BOTE TRACTOR SX289</t>
  </si>
  <si>
    <t>PRENSA HIDRAULICA TTG10T</t>
  </si>
  <si>
    <t>GENERADOR JIANGDONG PETROLERO DG3500</t>
  </si>
  <si>
    <t>GENERADOR JIANGDONG PETROLERO DG6500E</t>
  </si>
  <si>
    <t>CAMISA EJE DE MANDO 60HP 688455360100</t>
  </si>
  <si>
    <t>CANASTILLA DE BIELA 15HP 93310620W500</t>
  </si>
  <si>
    <t>BIELA 15HP 6K4116510000</t>
  </si>
  <si>
    <t>ENGRANAJE 26T 40X 66T455710000</t>
  </si>
  <si>
    <t>PORTA RETEN E/L 60HP 6D84434101CA</t>
  </si>
  <si>
    <t>EJE PROPUSOR 60HP 6H1456110100</t>
  </si>
  <si>
    <t>SILENCIADOR COM ADIMISION 40XP 66T144401100</t>
  </si>
  <si>
    <t>RODAJE INFERIOR 150HP,200HP 933062080200</t>
  </si>
  <si>
    <t>COJINETE DE AGUJA E/L 150HP 93315430V500</t>
  </si>
  <si>
    <t>PASADOR CILINDRICO 40X 902500602300</t>
  </si>
  <si>
    <t>ORING VARILLA 40X 9321006ME600</t>
  </si>
  <si>
    <t>CAJA BALERO2 150HP 6J94533200CA</t>
  </si>
  <si>
    <t>EJE DE CAMBIO 60HP 6H1456680000</t>
  </si>
  <si>
    <t>RODAJE CONICO DE AVANCE 150HP 93332000V300</t>
  </si>
  <si>
    <t>RODAJE 6G5 RETROCESO 150HP 93306209U000</t>
  </si>
  <si>
    <t>ORING DE TORPEDO 150HP 9321097M5500</t>
  </si>
  <si>
    <t>ESPACIADOR INTERIOR 150HP 63P459870000</t>
  </si>
  <si>
    <t>EJE PROPULSOR 15HP 683456110000</t>
  </si>
  <si>
    <t>RESORTE DE SINCRONIZADOR 15HP 648456331100</t>
  </si>
  <si>
    <t>EMPAQUE DE BOMBA AGUA 40X 63D443160000</t>
  </si>
  <si>
    <t>EMPAQUE DE ASIENTO 100HP 6EK113510000</t>
  </si>
  <si>
    <t>PLACA 150HP 6E5453210000</t>
  </si>
  <si>
    <t>MAQUINA SOLDADORA BONHOEFFER BON-WM-DUAL-200A</t>
  </si>
  <si>
    <t>MAQUINA SOLDADORA BONHOEFFER BON-WM-MULTI-200A</t>
  </si>
  <si>
    <t>TAPA TANQUE BONHOEFFER STROKE</t>
  </si>
  <si>
    <t>ARTICULACIÓN L BONHOEFFER STROKE</t>
  </si>
  <si>
    <t>MANGUERA DESALIDA 1.2M BONHOEFFER STROKE</t>
  </si>
  <si>
    <t>BOLSA DE ACESORIOS BONHOEFFER STROKE</t>
  </si>
  <si>
    <t>ETIQUETA ENGOMADA BONHOEFFER STROKE</t>
  </si>
  <si>
    <t>PISTOLA PULVERIZADORA 3 BOQUILLA</t>
  </si>
  <si>
    <t>VARILLA DE PULVERIZACION BONHOEFFER STROKE</t>
  </si>
  <si>
    <t>CAMPANA C/ PIÑON LOCO BONHOEFFER MS660</t>
  </si>
  <si>
    <t>CAMPANA C/ PIÑON LOCO BONHOEFFER 395XP,288XP</t>
  </si>
  <si>
    <t>EMBRAGUE BONHOEFFER 288XP,395XP</t>
  </si>
  <si>
    <t>ACEITE YAMALUBE MARINO 2M-946ML</t>
  </si>
  <si>
    <t>BOTAS VEREDA GRN NG AM 44</t>
  </si>
  <si>
    <t>GENERADOR GASOL PG950A 2T</t>
  </si>
  <si>
    <t>DESGRANADORA DE MAIZ MANUAL</t>
  </si>
  <si>
    <t>CARBURADOR POWERFUL 5500KW,6500KW</t>
  </si>
  <si>
    <t>KIT DE RESORTE ACELERADOR 5.5</t>
  </si>
  <si>
    <t>KIT DE RESORTE ACELERADOR 9.HP</t>
  </si>
  <si>
    <t>KIT DE PISTON STD GX270 DELGADO HPGX270STD</t>
  </si>
  <si>
    <t>FUNDA INFERIOR 63D45361028D</t>
  </si>
  <si>
    <t>ARANDELA DE UÑA 688453830200</t>
  </si>
  <si>
    <t>PISTON STD 688116310394</t>
  </si>
  <si>
    <t>JGO ANILLO STD 68811603A000</t>
  </si>
  <si>
    <t>PASADOR PISTON 663116330000</t>
  </si>
  <si>
    <t>SEGURO DE PISTON 688116340000</t>
  </si>
  <si>
    <t>BIELA COMPELTO OM E75 688116500300</t>
  </si>
  <si>
    <t>COJINETE 93310835U800</t>
  </si>
  <si>
    <t>ANILLO O 9321046M1600</t>
  </si>
  <si>
    <t>SELLO DE ACEITE 6889310230M0500</t>
  </si>
  <si>
    <t>SELLO DE ACEITE 688 9310420M0200</t>
  </si>
  <si>
    <t>TAPON PROTECTOR 689412730000</t>
  </si>
  <si>
    <t>CIGUEÑAL OM E756881141100</t>
  </si>
  <si>
    <t>ELEMENTO DEL FILTRO 6DBWS24A0000</t>
  </si>
  <si>
    <t>CAJA DE BOMBA DE AGUA 999990391600</t>
  </si>
  <si>
    <t>TAMBOR ROLDANA 66T157140000</t>
  </si>
  <si>
    <t>SOPORTE DE BOMBA 61J243600000</t>
  </si>
  <si>
    <t>COJINETE 933414141400</t>
  </si>
  <si>
    <t>CABLE ACELERADOR E40 66T263010000</t>
  </si>
  <si>
    <t>CUERDA INTERUPTOR 682825560000</t>
  </si>
  <si>
    <t>PRESILLA BULLON PISTON 688116341000</t>
  </si>
  <si>
    <t>COJINETE 93310730V800</t>
  </si>
  <si>
    <t>EMPAQUE DE CULATA OM E75HP 68811181A200</t>
  </si>
  <si>
    <t>COJINETE 93310636U400</t>
  </si>
  <si>
    <t>COJINETE 93306206U500</t>
  </si>
  <si>
    <t>EMPAQUE 68845113A000</t>
  </si>
  <si>
    <t>PIÑON 13T 688455510100</t>
  </si>
  <si>
    <t>ENGRANAJE COMPL 1 688455600000</t>
  </si>
  <si>
    <t>ENS TAP LLENADO ACEITE15600-Z0T-800 GX200</t>
  </si>
  <si>
    <t>MOTOR ESTACIONARIO HONDA GX390 QBL ST</t>
  </si>
  <si>
    <t>MOTOR ESTACIONARIO HONDA GX160H2 QAB</t>
  </si>
  <si>
    <t>MOTOR ESTACIONARIO HONDA GX270H2 QH</t>
  </si>
  <si>
    <t>VALVULA DE ESCAPE 14721ZCJ000 EG1000</t>
  </si>
  <si>
    <t>MOTOGUADAÑA DIFER GX 35 4T</t>
  </si>
  <si>
    <t>MOTOGUADAÑA DIFER DF52 2T</t>
  </si>
  <si>
    <t>MOTOSIERRA DIFER DF5800+ESPADA P.AC</t>
  </si>
  <si>
    <t>ESPADA CRAFTOP 24 NT5800 PUNT PIÑON</t>
  </si>
  <si>
    <t>RETEN CIGUEÑAL CHICO CRAFTOPNT5800</t>
  </si>
  <si>
    <t>SILENCIADOR CRAFTOP NT5800</t>
  </si>
  <si>
    <t>VOLANTE CRAFTOP NT 5800</t>
  </si>
  <si>
    <t>BUJIA NGK BM7A MOTOSIERRA</t>
  </si>
  <si>
    <t>ANILLO TAIWAN MS660 STEEL</t>
  </si>
  <si>
    <t>CAMPANA CON PIÑON LOCO TW 660</t>
  </si>
  <si>
    <t>CARBURADOR TW MS 660</t>
  </si>
  <si>
    <t>CONTRAPESO DE EMBRAGUE TW 660</t>
  </si>
  <si>
    <t>CRUZETA DE EMBRAGUE TW MS660650</t>
  </si>
  <si>
    <t>DESCOMPRESOR TW MS660 STEEL</t>
  </si>
  <si>
    <t>DESTORNILLADOR REGUL AGUJA TW MS660</t>
  </si>
  <si>
    <t>ESPADA DIFER MS660 36</t>
  </si>
  <si>
    <t>FRENO DE MANO TW MS660 650</t>
  </si>
  <si>
    <t>GARRA DE ESPADA TW MS660</t>
  </si>
  <si>
    <t>KIT DE PISTON TW MS660</t>
  </si>
  <si>
    <t>LLAVE ESTRIADA TW MS660 T</t>
  </si>
  <si>
    <t>VOLANTE TW MS660</t>
  </si>
  <si>
    <t>BOBINA ARRANQUE CRAFTOP NTB520B</t>
  </si>
  <si>
    <t>EMBRAGUE COMPLETO TW NTB520B</t>
  </si>
  <si>
    <t>UÑA DE AUTOMAT METAL CRAFTOPNT5200</t>
  </si>
  <si>
    <t>BOBINA ARRANQUE TW 070</t>
  </si>
  <si>
    <t>CAMPANA CON PIÑON LOCO TW 070</t>
  </si>
  <si>
    <t>CANASTILLA DE CAMPANA TW 070 STEEL</t>
  </si>
  <si>
    <t>CHUPON DE BUJIA TW 070</t>
  </si>
  <si>
    <t>RETEN DE CIGUEÑAL CHICO TW MS381</t>
  </si>
  <si>
    <t>RETEN DE CIGUEÑAL GRANDE TW MS381</t>
  </si>
  <si>
    <t>ANILLO NAKAYA 152 1200KW LIFAN</t>
  </si>
  <si>
    <t>SELLO MECANICO FT-20 2 Y 3</t>
  </si>
  <si>
    <t>SACO BLANCO</t>
  </si>
  <si>
    <t>SACO NEGRO</t>
  </si>
  <si>
    <t>AUTOMATICO COMPLETO NAKAYA 9.8HP</t>
  </si>
  <si>
    <t>BIELA NAKAYA 9.0HP</t>
  </si>
  <si>
    <t>FILTRO DE COMBUSTIBLE CHE HUSQVARNA</t>
  </si>
  <si>
    <t>MEDIDOR DE ACEITE NAKAYA 9.0HP</t>
  </si>
  <si>
    <t>RESORTE DE ACELERADOR 5.5HP</t>
  </si>
  <si>
    <t>RESORTE DE RETRAC NAKAYA 13119HP</t>
  </si>
  <si>
    <t>SILENCIADOR NAKAYA 6.5HP. 5.5HP</t>
  </si>
  <si>
    <t>TANQUE DE COMBUSTIBLE MACFORTH 9HP</t>
  </si>
  <si>
    <t>TAPA COMBUSTIBLE PLAST NAKAYA PQPQ</t>
  </si>
  <si>
    <t>DRIZA VERDE YUN 1/8</t>
  </si>
  <si>
    <t>AZADA ESTAMPADA 1.0 S/M 77205104</t>
  </si>
  <si>
    <t>AZADA ESTAMPADA 1.5 SIN MANGO 77205154</t>
  </si>
  <si>
    <t>MARTILLO DE UÑA 18MM 40370018</t>
  </si>
  <si>
    <t>MARTILLO DE UÑA 20MM 40370020</t>
  </si>
  <si>
    <t>MARTILLO DE UÑA 23MM 40370023</t>
  </si>
  <si>
    <t>MARTILLO DE UÑA 25MM 40200025</t>
  </si>
  <si>
    <t>MARTILLO DE UÑA 29MM 40370029</t>
  </si>
  <si>
    <t>MARTILLO DE UÑA 27MM 40370027</t>
  </si>
  <si>
    <t>CUCHILLA MOTOGUADAÑA DF-CG520 2PUNT</t>
  </si>
  <si>
    <t>AZADA ESTAMPADA 2.0 SIN MANGO 77205204</t>
  </si>
  <si>
    <t>MACHETE GAVILAN 26600H 10</t>
  </si>
  <si>
    <t>MACHETE GAVILAN 26600H 14</t>
  </si>
  <si>
    <t>LIMA GAV TRIANG DELGADA SERRU4.5CMANG</t>
  </si>
  <si>
    <t>MACHETE CORNETA RAMBONH12 CFUNDA</t>
  </si>
  <si>
    <t>MACHETE GAV706H 24 MANG NEG</t>
  </si>
  <si>
    <t>MACHETE GAV706H 24 MANG NAR</t>
  </si>
  <si>
    <t>MACHETE GAV127H 17 MANGONEG</t>
  </si>
  <si>
    <t>DRIZA VERDE YUN 3/32</t>
  </si>
  <si>
    <t>MACHETE GAV127H 24 MANG NAR</t>
  </si>
  <si>
    <t>MACHETE GAV127H 17 MANG NAR</t>
  </si>
  <si>
    <t>MACHETE GAV127 H22 MANG NAR</t>
  </si>
  <si>
    <t>LIMA GAV MOTOSIERRA 3/16-8P CMANGO</t>
  </si>
  <si>
    <t>LIMA GAV MOTOSIERRA 7/32-8 CONMANGO</t>
  </si>
  <si>
    <t>FOCO AHORRADOR 18W2U RDA F12V</t>
  </si>
  <si>
    <t>LINTERNA DFRLUX RCARGABLE YM101</t>
  </si>
  <si>
    <t>LIMA GAV TRIANGULAR 8 MNARANJ</t>
  </si>
  <si>
    <t>LIJA EN SECO BARRACUDA GR 120</t>
  </si>
  <si>
    <t>LINTERNA RDA1LEDCABEZACHIC FT2DE1S</t>
  </si>
  <si>
    <t>MACHETE GAV127NAT 22 MANG NEG</t>
  </si>
  <si>
    <t>MARTILLO DE UÑA 34MM 40370034</t>
  </si>
  <si>
    <t>MARTILLO DE UÑA 27MM 40800027</t>
  </si>
  <si>
    <t>MARTILLO DE UÑA 29MM 40200029</t>
  </si>
  <si>
    <t>MACHETE GAVILAN 26600 H 12</t>
  </si>
  <si>
    <t>AZADA ESTAMPADA 2.5 SIN MANGO 77222/254</t>
  </si>
  <si>
    <t>MACHETE BELL 127H-17 PBM 170127BM</t>
  </si>
  <si>
    <t>MACHETE BELL 127H-22 PBM 220127BM</t>
  </si>
  <si>
    <t>MACHETE BELL 127H-22 PPN 220127</t>
  </si>
  <si>
    <t>MACHETE BELL 706-24PBM 240706BM</t>
  </si>
  <si>
    <t>MACHETE BELL 706-24 PPN 240706N</t>
  </si>
  <si>
    <t>ZAPAPICO BELL 809-O P106400</t>
  </si>
  <si>
    <t>LIMA REDON BELL CM4050-8 5/32 854050</t>
  </si>
  <si>
    <t>LIMA REDON BELL CM4050-8 7/32 874050</t>
  </si>
  <si>
    <t>LIMA TRIANGULAR BELLOTA 4087-4CM 440872</t>
  </si>
  <si>
    <t>LIMA TRIANGULAR BELLOTA 4087-7CM 740872</t>
  </si>
  <si>
    <t>LIMA TRIANGULAR BELLOTA 4087-8CM 840872</t>
  </si>
  <si>
    <t>LIMA TRIANGULAR BELLOTA 4087-9CM 940872</t>
  </si>
  <si>
    <t>MACHETE BELL 127H-10 PPNSA 100127SA</t>
  </si>
  <si>
    <t>MACHETE BELL 127H-12 PPNSA 120127SA</t>
  </si>
  <si>
    <t>MACHETE BELL 127H-14 PBM 140127BM</t>
  </si>
  <si>
    <t>PINTURA SPRAY RDA AMARILLO</t>
  </si>
  <si>
    <t>PINTURA SPRAY RDA VERDE</t>
  </si>
  <si>
    <t>CAVADORA RECTA MAY S MANGO 77553045</t>
  </si>
  <si>
    <t>LIMA REDON BELL CM4050-8 3-16 834050</t>
  </si>
  <si>
    <t>KIT DE COLA SAIL I 5.5, 6.5 HP</t>
  </si>
  <si>
    <t>BOCINA CHICO SAIL</t>
  </si>
  <si>
    <t>BOCINA GRANDE SAIL</t>
  </si>
  <si>
    <t>BOCINA DE PLASTICO SAIL</t>
  </si>
  <si>
    <t>TUERCA DE HELICE SAIL</t>
  </si>
  <si>
    <t>KIT DE COLA SAIL II 9,13HP</t>
  </si>
  <si>
    <t>BASE DE COLA CHICO SPS I (BURRITO)</t>
  </si>
  <si>
    <t>BASE DE COLA GRANDE SPS II ( BURRITO)</t>
  </si>
  <si>
    <t>ANILLO BONHOEFFER MS660</t>
  </si>
  <si>
    <t>ANILLO BONHOEFFER 288XP</t>
  </si>
  <si>
    <t>ANILLO BONHOEFFER MS381</t>
  </si>
  <si>
    <t>ANILLO BONHOEFFER NT5800</t>
  </si>
  <si>
    <t>ANILLO BONHOEFFER NT5200</t>
  </si>
  <si>
    <t>CARBURADOR BONHOEFFER SR420</t>
  </si>
  <si>
    <t>CARBURADOR BONHOEFFER MS660</t>
  </si>
  <si>
    <t>CARBURADOR BONHOEFFER MS381</t>
  </si>
  <si>
    <t>CARBURADOR BONHOEFFER HUSQ143R-II</t>
  </si>
  <si>
    <t>CARBURADOR BONHOEFFER NT5800</t>
  </si>
  <si>
    <t>CARBURADOR BONHOEFFER NTB520</t>
  </si>
  <si>
    <t>KIT CARBURADOR BONHOEFFER MS660</t>
  </si>
  <si>
    <t>KIT CARBURADOR BONHOEFFER MS380</t>
  </si>
  <si>
    <t>KIT CARBURADOR BONHOEFFER HUS 143RI</t>
  </si>
  <si>
    <t>KIT CARBURADOR BONHOEFFER NT5800</t>
  </si>
  <si>
    <t>KIT CARBURADOR BONHOEFFER NT520B</t>
  </si>
  <si>
    <t>AUTOMATICO BONHOEFFER MS660 BON-STARTER-006</t>
  </si>
  <si>
    <t>AUTOMATICO BONHOEFFER NT5800 BON-STARTER -005</t>
  </si>
  <si>
    <t>AUTOMATICO BONHOEFFER MS380 BON-STARTER-007</t>
  </si>
  <si>
    <t>AUTOMATICO BONHOEFFER HUSQ 143R-II BON STARTER-010</t>
  </si>
  <si>
    <t>AUTOMATICO BONHOEFFER FS-280 BON-STARTER-009</t>
  </si>
  <si>
    <t>AUTOMATICO BONHOEFFER SR420</t>
  </si>
  <si>
    <t>POLEA DE ARRANQUE BONHOEFFER MS-660 BON-PARRANQUE-660</t>
  </si>
  <si>
    <t>POLEA DE ARRANQUE BONHOEFFER MS-381 BON-PARRANQUE-381</t>
  </si>
  <si>
    <t>POLEA DE ARRANQUE BONHOEFFER NT5800 BON-PARRANQUE-5800</t>
  </si>
  <si>
    <t>RESORTE DE RETRAC. BONHOEFFER MS381</t>
  </si>
  <si>
    <t>RESORTE DE RETRAC. BONHOEFFER 288XP</t>
  </si>
  <si>
    <t>RESORTE DE RETRAC. BONHOEFFER 372XP</t>
  </si>
  <si>
    <t>BOMBA ACEI+SIN FI BONHOEFFER MS660</t>
  </si>
  <si>
    <t>BOMBA ACEITE+SINFIN+ENGRAN BONH 381</t>
  </si>
  <si>
    <t>BOMBA ACEITE BONHOEFFER NT5800</t>
  </si>
  <si>
    <t>PIÑON LOCO 404 BONHOEFFER MS660</t>
  </si>
  <si>
    <t>PIÑON LOCO 3/8 381 BONHOEFFER</t>
  </si>
  <si>
    <t>PIÑON LOCO 3/8 5800 BONHOEFFER</t>
  </si>
  <si>
    <t>PIÑON LOCO 0 .325 5800 BONHOEFFER</t>
  </si>
  <si>
    <t>SIN FIN BONHOEFFER MS-660</t>
  </si>
  <si>
    <t>SIN FIN+ENGRANAJE BONHOEFFER MS-381</t>
  </si>
  <si>
    <t>EMBRAGUE BONHOEFFER HUSQ 143R-II</t>
  </si>
  <si>
    <t>EMBRAGUE BONHOEFFER NT5800</t>
  </si>
  <si>
    <t>EMBRAGUE BONHOEFFER NTB520</t>
  </si>
  <si>
    <t>BOBINA ENCENDIDO/ARRANQUE BONHOEFFER MS660 BON-IGCOIL-001</t>
  </si>
  <si>
    <t>BOBINA ENCENDIDO/ARRANQUE BONHOEFFER 143R-II BON-IGCOIL-004</t>
  </si>
  <si>
    <t>BOBINA ENCENDIDO/ARRANQUE BONHOEFFER NT 5800 BON-IGCOIL-006</t>
  </si>
  <si>
    <t>BOBINA ARRANQUE BONHOEFFER FS280</t>
  </si>
  <si>
    <t>BOBINA ENCENDIDO/ARRANQUE BONHOEFFER SR420 BON-IGCOIL-024</t>
  </si>
  <si>
    <t>BOBINA ARRANQUE BONHOEFFER 288XP</t>
  </si>
  <si>
    <t>BOBINA ENCENDIDO/ALTA BONHOEFFER 288XP BON-IGCOIL-003</t>
  </si>
  <si>
    <t>MANGUERA EXPAND. BONHOEFFER 257MT</t>
  </si>
  <si>
    <t>MANGUERA EXPAND. BONHOEFFER 5015MT</t>
  </si>
  <si>
    <t>MANGUERA EXPAND. BONHOEFFER 7523MT</t>
  </si>
  <si>
    <t>ESPADA BONHOEFFER MS660 36,063-104L</t>
  </si>
  <si>
    <t>ESPADA BONHOEFFER HUSQ 36063-104L</t>
  </si>
  <si>
    <t>ESPADA BONHOEFFER MS381 30-063-97DL</t>
  </si>
  <si>
    <t>ESPADA BONHOEFFER HUSQ 28-063-92L</t>
  </si>
  <si>
    <t>EJE DE MOTOGUADAÑA BONHOEFFER FS280</t>
  </si>
  <si>
    <t>VARILLA SPRAY BONHOEFFER PISTOL90CM</t>
  </si>
  <si>
    <t>VARILLA SPRAY BONHOEFFER PISTOL60CM</t>
  </si>
  <si>
    <t>CANASTILLA BONHOEFFER SR-420</t>
  </si>
  <si>
    <t>SACABUJIA BONHOEFFER MS660 BON-SPWRENCH-MS-210-3/4X1/2</t>
  </si>
  <si>
    <t>TRIMMY + TUERCA MULT BONHOEFFER</t>
  </si>
  <si>
    <t>TRIMMY CABEZAL BONHOEFFER FS280</t>
  </si>
  <si>
    <t>NYLON REDON NAR BONHOEFFER 1LB 45MT BON-TLINE-021</t>
  </si>
  <si>
    <t>NYLON REDON NAR BONHOEFFER 3LB137MT</t>
  </si>
  <si>
    <t>GORRO BONHOEFFER</t>
  </si>
  <si>
    <t>CADENA BONHOEFFER 0.325 1848S</t>
  </si>
  <si>
    <t>FILTRO AIRE POWERFUL 2500KW</t>
  </si>
  <si>
    <t>CAMPANA CABEZAL SOLO TWNT520B</t>
  </si>
  <si>
    <t>MOTOCULTOR POWERFUL PWT186F</t>
  </si>
  <si>
    <t>MOTOCULTOR POWERFUL PWT192F</t>
  </si>
  <si>
    <t>MOTOCULTOR POWERFUL PWT192FE</t>
  </si>
  <si>
    <t>PALA BELLOTA 5558 MA2 155861SP</t>
  </si>
  <si>
    <t>CUCHILLA GUADAÑA GAV PALM PUL 400MM X 1 .25MM</t>
  </si>
  <si>
    <t>MACHETE GAV127 H22 MANG NEG</t>
  </si>
  <si>
    <t>MACHETE GAV127 H24 MANG NEG</t>
  </si>
  <si>
    <t>MOTOR ESTACIONARIO HONDA GP200 QH1</t>
  </si>
  <si>
    <t>RED DE PESCA BLANCA 3X1-1/2 100X100</t>
  </si>
  <si>
    <t>MARTILLO ZAPAT 350G 40460000</t>
  </si>
  <si>
    <t>COMBA OCTAVADA 1,5G 40508003</t>
  </si>
  <si>
    <t>COMBA OCTAVADA 2.0G 40508004</t>
  </si>
  <si>
    <t>PINZA UNIVERSAL 8 41001118</t>
  </si>
  <si>
    <t>JGO LLAVE COMBINADA 1542241215</t>
  </si>
  <si>
    <t>JGO FORMONES 2PZ 43331502</t>
  </si>
  <si>
    <t>JGO FORMONES 4PZ 43331504</t>
  </si>
  <si>
    <t>DISC.CORTE /C.AZULEJO 1.3 43380901</t>
  </si>
  <si>
    <t>JGO CUCHILLO ASAD 12PZAS TRAD 22200905</t>
  </si>
  <si>
    <t>CUCHILLO COCINA 6 DYNAMIC 22901006</t>
  </si>
  <si>
    <t>HACHUELA COCINA 6 CARBON 22956006</t>
  </si>
  <si>
    <t>AZADON BELLOTA 314 105614 BELLOTA</t>
  </si>
  <si>
    <t>CAVADORA BELLOTA 307320 CM 155842</t>
  </si>
  <si>
    <t>CUCHILLA GUADAÑA GAV PALM PUL 450X1-2.5M</t>
  </si>
  <si>
    <t>FUMIGADORA BELLOTA FMB 20LT 100707</t>
  </si>
  <si>
    <t>PALA CUCHARA BELLOTA 5501-3 MAP 155885</t>
  </si>
  <si>
    <t>RED DE PESCA VERDE 18X1 100X100</t>
  </si>
  <si>
    <t>RED DE PESCA VERDE 18X3 100X100</t>
  </si>
  <si>
    <t>RED DE PESCA VERDE 6X6</t>
  </si>
  <si>
    <t>TAPA DE CARTER POWERFUL 13.0HP</t>
  </si>
  <si>
    <t>PODADORA P/PLATANO S/MANGO 77630205 TRAMONTINA</t>
  </si>
  <si>
    <t>AZADON BELLOTA 222-A 105592</t>
  </si>
  <si>
    <t>MACHETE BELL 706-24 PPR 240706A BELLOTA</t>
  </si>
  <si>
    <t>RED DE PESCA VERDE 24X2-1/2</t>
  </si>
  <si>
    <t>RED DE PESCA VERDE 36X7 50X100</t>
  </si>
  <si>
    <t>MACHETE BELL 465-12 PBM 120465BM</t>
  </si>
  <si>
    <t>TIJERA P PODAR 3501-200 8BL 100620 BELLOTA</t>
  </si>
  <si>
    <t>TIJERA P PODAR 3501-220 9 100622 BELLOTA</t>
  </si>
  <si>
    <t>JGO DE CUCHILLOS 6 PZAS COLOR 23099932</t>
  </si>
  <si>
    <t>HOJA ARCO DE SIERRA 100401 4537-21 BELLOTA</t>
  </si>
  <si>
    <t>LIMA GAV TRIANGULAR 7 MNARANJA</t>
  </si>
  <si>
    <t>RED DE PESCA VERDE 18X6 100X100</t>
  </si>
  <si>
    <t>MOTOSIERRA STIHL MS661</t>
  </si>
  <si>
    <t>BUJIA NGK C7HSA /MOTO</t>
  </si>
  <si>
    <t>CUCHILLO ASADO 5 TRADICION 22200005</t>
  </si>
  <si>
    <t>JGO DE ANILLO STD GRUESO GX160 13010Z0T801</t>
  </si>
  <si>
    <t>JGO DE ANILLO STD UMK435T 13010ZM5000</t>
  </si>
  <si>
    <t>ENS BIELA GX160 13200Z0T800</t>
  </si>
  <si>
    <t>CUBIERTA VENTI COM ROJO GX270 19610ZE2010ZL</t>
  </si>
  <si>
    <t>EMBRAGUE COMPLETO HUSQVARNA 395XP,288XP</t>
  </si>
  <si>
    <t>ENS INTERRUPTOR ENCENDIDO 35120Z0DV81</t>
  </si>
  <si>
    <t>KIT DE PISTON GX160H1 HPGX160STD</t>
  </si>
  <si>
    <t>PERNO PRISIONERO GX270 8X47 ESPARR SIL 90047ZE2000</t>
  </si>
  <si>
    <t>PISTON STD GX270 13101ZH9000</t>
  </si>
  <si>
    <t>RETEN ACEITE 30X46X2 GX270 91201Z1D003</t>
  </si>
  <si>
    <t>RODAJE CIGUEÑAL SFX 9.0HP</t>
  </si>
  <si>
    <t>HELICE 3 ASPAS 9.0 HP</t>
  </si>
  <si>
    <t>AGARRADERA ARRANQUE GX160 28461Z0T800</t>
  </si>
  <si>
    <t>ANILLO 025 GX120 4HP 13011Z0S801</t>
  </si>
  <si>
    <t>ANILLO STD GX240 8.HP 13010ZE2013</t>
  </si>
  <si>
    <t>CAJA REDUCTORA UMK 435 16100Z0Z815</t>
  </si>
  <si>
    <t>CIGUEÑAL HUSQVARNA 288XP50181490</t>
  </si>
  <si>
    <t>VALVULA BRIDA ENTRADA WB20H 78110YB3000</t>
  </si>
  <si>
    <t>ENS ARRANQUE RET GX270 28400Z7B702ZA</t>
  </si>
  <si>
    <t>ENS BIELA GX390 13200Z1C900</t>
  </si>
  <si>
    <t>ENS CUBIERTA REGULA VOLT 31720Z30D60 EG4000</t>
  </si>
  <si>
    <t>ENS TAP LLENADO ACEITE GX270 15600Z1C000</t>
  </si>
  <si>
    <t>ENS TERMIN ALTA TENS GX160 30700Z0T803 GX200</t>
  </si>
  <si>
    <t>FILTRO AIRE GX390 17210ZE3505</t>
  </si>
  <si>
    <t>KIT DE PISTON STD GX390 HPG390STD GRUESO</t>
  </si>
  <si>
    <t>PISTON 025 GX270 13102ZH9000</t>
  </si>
  <si>
    <t>PISTON STD GX390 13101ZF6W00</t>
  </si>
  <si>
    <t>PISTON STD UMK435T 13101Z3F000</t>
  </si>
  <si>
    <t>RESORTE GOBERNOR GX270 16561ZE2000</t>
  </si>
  <si>
    <t>CUCHILLO COCINA M/M 8P UNIVERS 22902008</t>
  </si>
  <si>
    <t>RETEN VASTAGO GX270 12209ZE8003 GX390,GX390AQ</t>
  </si>
  <si>
    <t>RETEN VASTAGO GX160 /200 12209ZH8003</t>
  </si>
  <si>
    <t>RED DE PESCA VERDE 24X6</t>
  </si>
  <si>
    <t>LENTES SEG GRIS WURTH</t>
  </si>
  <si>
    <t>CUCHILLA GARLOPA MB104 JGPX3</t>
  </si>
  <si>
    <t>CUCHILLA GARLOPA MB503B JGPX3</t>
  </si>
  <si>
    <t>BUJIA HONDA (BMR4A) EB1000 98073-54744</t>
  </si>
  <si>
    <t>ANILLO RETEN 78118-YB0-003 HONDA WB20/30</t>
  </si>
  <si>
    <t>ANILLO DE PISTON STD 13010-ZM7-000 HONDA EU10</t>
  </si>
  <si>
    <t>EMPAQUE CARBURADOR GX270 16221-ZA0-800 HONDA</t>
  </si>
  <si>
    <t>PISTON 0.25 GX 390 13102-ZF6-W00 GX390</t>
  </si>
  <si>
    <t>TUBO RESIRADERO GX160 15721-ZH8-000 HONDA</t>
  </si>
  <si>
    <t>ESPADA HUSQVARNA 24</t>
  </si>
  <si>
    <t>CHUPON DE BUJIA TW 660</t>
  </si>
  <si>
    <t>BRAZO OSCILANTE UMK435T 28459-ZOH-003 HONDA</t>
  </si>
  <si>
    <t>CABLE DE ACELERADOR HUSQVARNA 390XP, 372XP, 365XP,</t>
  </si>
  <si>
    <t>CARCASA DE EMBRAGUE COMP. UMK435 22100-VK9-A02 HONDA</t>
  </si>
  <si>
    <t>CARRETE DE ARRANQUE RETRACTIL UMK435T 28421-ZM3-0T</t>
  </si>
  <si>
    <t>COLLARIN UMK435T 91504-ZM3-003 HONDA</t>
  </si>
  <si>
    <t>RED DE PESCA VERDE 48X8 50X100</t>
  </si>
  <si>
    <t>CUERDA DE ARRANQUE HUSQVARNA 395XP, 390XP, 288XP,</t>
  </si>
  <si>
    <t>EMPAQUE CARBURADOR GX390 16221-ZF6-800 HONDA</t>
  </si>
  <si>
    <t>EMPAQUE CULATA GX 270 12251-ZH9-010 HONDA</t>
  </si>
  <si>
    <t>EMPAQUE DE AISLADOR CARBURADOR GX270 16223-ZA0-800</t>
  </si>
  <si>
    <t>ELEMENTO FILTRO DE AIRE GX160 17403-ZE1-810 HONDA</t>
  </si>
  <si>
    <t>ANILLO HUSQVARNA 288XP 544225101</t>
  </si>
  <si>
    <t>ARANDELA DE CAMPANA STIHL 660 9581032</t>
  </si>
  <si>
    <t>BALANCIN VALV. ADM. MOTOGUAUMK435T 14431-ZOH-003 H</t>
  </si>
  <si>
    <t>COJINETE DE BOLAS RADIAL 6202 96100-6202-000 HON GX390/390AQUAX</t>
  </si>
  <si>
    <t>CAMPANA PIÑON LOCO HUSQVARNA 390</t>
  </si>
  <si>
    <t>CAMPANA PIÑON LOCO HUSQVARNA 395,288</t>
  </si>
  <si>
    <t>CANASTILLA CIGUEÑAL HUSQVARNA 395,288</t>
  </si>
  <si>
    <t>CHAPA ACEITERA STIHL 660 11286641001</t>
  </si>
  <si>
    <t>COJINETE BOLA RADIAL 6206 GX270 961006206000</t>
  </si>
  <si>
    <t>EMBRAGUE COMPLETO CRAFTOP MS381</t>
  </si>
  <si>
    <t>EMPAQUE DE CARTER GX160 11381ZH8801</t>
  </si>
  <si>
    <t>EMPAQUE CULATA GX160 12391ZE1000</t>
  </si>
  <si>
    <t>EMPAQUE CULATA GX270/390 12391ZE2020</t>
  </si>
  <si>
    <t>CUCHILLO PCARNE M/P 6P UNIVERS 22920006</t>
  </si>
  <si>
    <t>LAMPARA DE BOLSILLO COB WURTH</t>
  </si>
  <si>
    <t>EMPAQUE CILINDRO GX120 12251ZH7801</t>
  </si>
  <si>
    <t>MOTOSIERRA STIHL MS382 ESP 30 CADENA 3/8</t>
  </si>
  <si>
    <t>EMPAQUE AISLAD CARBURADOR GX270/GX390C 16223ZE3W00</t>
  </si>
  <si>
    <t>ENS ARRANQUE RET ROJO GX270 28400ZE2W02ZN</t>
  </si>
  <si>
    <t>ENS ARRANQUE RET UMK435</t>
  </si>
  <si>
    <t>ESPIGA DE PISTON 13111ZF6W00 GX390</t>
  </si>
  <si>
    <t>FILTRO DE COMB MOTOG UMK435 17672Z0H003</t>
  </si>
  <si>
    <t>FILTRO DE COMBUSTIBLE HUSQVARNA</t>
  </si>
  <si>
    <t>KIT DE EMPAQUETADURA TW660</t>
  </si>
  <si>
    <t>KIT DE MANTENIMIENTO GX270 K270QH</t>
  </si>
  <si>
    <t>KIT DE PISTON STD GX270 GRUESO HPGX270STDG</t>
  </si>
  <si>
    <t>MANGUERA DE COMBUSTIBLE HUSQVARNA 365365390</t>
  </si>
  <si>
    <t>PERNO DE REBORDE 8X60 GX160 957230806000</t>
  </si>
  <si>
    <t>TANQUE COMB BLA GX270 17510ZE2801ZC HONDA</t>
  </si>
  <si>
    <t>PISTON STD GX120 13101ZF0020</t>
  </si>
  <si>
    <t>RESORTE DE EMBRAGUE HUSQVARNA 288XP395</t>
  </si>
  <si>
    <t>TUERCA DE ESPADA HUSQVARNA 503220001</t>
  </si>
  <si>
    <t>VALVULA DE ADMISION GX160 14711 Z4V 900 HONDAA</t>
  </si>
  <si>
    <t>ENS GOBERNADOR DE MOTOR GX390 16510 ZE3 000 HONDA</t>
  </si>
  <si>
    <t>ESPIGA DE PISTON 5.5HP 13111 ZE1 000 HONDA</t>
  </si>
  <si>
    <t>GRAPAS DE ESPIGA DE PISTON 90551 ZE1 OOO HONDA GX160/200/270</t>
  </si>
  <si>
    <t>GRAPAS DE PISTON 90601 ZE3 000 HONDA GX390/390AQUAX</t>
  </si>
  <si>
    <t>JGO DE ANILLOS DE PISTON (0.25) 13011 Z5R 004 GX390 QUAXHOND</t>
  </si>
  <si>
    <t>RESORTE RETOR GX270 28442ZE2W01</t>
  </si>
  <si>
    <t>JGO DE ANILLOS DE PISTON STD 13010Z0S801 GX120HONDA</t>
  </si>
  <si>
    <t>KIT DE EMPAQUETADURA HUSQVARNA 390 XP</t>
  </si>
  <si>
    <t>RESORTE GOBERNOR GX390 16561ZE3000</t>
  </si>
  <si>
    <t>RETEN DE ACEITE 22X41 91203ZE0013 GX120</t>
  </si>
  <si>
    <t>RODAJE CIGUEÑAL SFX6207 11HP</t>
  </si>
  <si>
    <t>ROTADOR VALVULA GX270/390 14781ZE2000</t>
  </si>
  <si>
    <t>TAPA CROMADA 17620Z0T813 GX160,GX200,GX270,GX390,GX390A</t>
  </si>
  <si>
    <t>TAPA DE ACEITE CRAFTOP NT5800</t>
  </si>
  <si>
    <t>SILENCIADOR COMP GX160 18310ZF1000</t>
  </si>
  <si>
    <t>TUERCA DE STIHL 660 0009550801</t>
  </si>
  <si>
    <t>SIN FIN HUSQVARNA 372</t>
  </si>
  <si>
    <t>EMPAQUE CUBIERTA CARTER GX120 11381 ZH7 800 HONDAD</t>
  </si>
  <si>
    <t>EMPAQUE DE CUBIERTA CARTER GX270 11381 ZE2 801 HON</t>
  </si>
  <si>
    <t>EMPAQUE CUBIERTA CULATA EG1000 12312 ZCJ 000 HONDA</t>
  </si>
  <si>
    <t>EMPAQUE CULATA DE CILINDRO EG1000 12251 ZCJ 003 HO</t>
  </si>
  <si>
    <t>EMPAQUE CULATA CIINDRO GX160 12251 Z1T 003 HONDA</t>
  </si>
  <si>
    <t>EMPAQUE CULATA CILINDRO GX160 12251 ZL0 003 HON</t>
  </si>
  <si>
    <t>EMPAQUE CARBURADOR UMK435 16221 ZOZ 000 HONDA</t>
  </si>
  <si>
    <t>EMPAQUE SILENCIADOR GX270/390 18381 Z1C 801 HONDA</t>
  </si>
  <si>
    <t>CARBURADOR GX270 16100 Z1D 621</t>
  </si>
  <si>
    <t>ENS GOBERNOR MOTOR ST 16510Z1T000 HONDA GX160</t>
  </si>
  <si>
    <t>RESORTE RETORNO DE ACELERADOR GX160 16562 ZE1 020</t>
  </si>
  <si>
    <t>RESORTE GOBERNADOR GX160 16561 ZE1 020 HONDA</t>
  </si>
  <si>
    <t>ROTADOR DE VALVULA GX160 14781 ZE1 000 HONDA</t>
  </si>
  <si>
    <t>KIT DE MANTENIMIENTO GX160 K160H1QAB3 HONDA</t>
  </si>
  <si>
    <t>KIT DE MANTENIMIENTO GX390 K390H1QH HONDA</t>
  </si>
  <si>
    <t>KIT DE PISTON (0.25) GX270 GRUESO HPGGX270025G HON</t>
  </si>
  <si>
    <t>PALANCA CONTROL ACELERACION GX270 16571ZE2W00</t>
  </si>
  <si>
    <t>PALANCA DE CONTROL ACELERACION GX160 16571ZH8020</t>
  </si>
  <si>
    <t>PALANCA ESTRA CARBURADOR GX160/270/390 16610 Z</t>
  </si>
  <si>
    <t>PISTON STD 13101 ZDF 000 HONDA EU10</t>
  </si>
  <si>
    <t>JUEGO DE LLAVES MIXTAS 8 PZ EN LONA RDA</t>
  </si>
  <si>
    <t>JGO DE ANILLO STD GRUESO GX390 13010 Z1C 800 HO</t>
  </si>
  <si>
    <t>ENS ARRANQUE RETRACTIL GX390 28400 Z7E 702ZA HONDA</t>
  </si>
  <si>
    <t>ENS BIELA DE CIGUEÑAL GX270 13200 Z1D 9000 HONDA</t>
  </si>
  <si>
    <t>JGO DE ANILLO DE PISTON STD GX270 13010 Z1D 801</t>
  </si>
  <si>
    <t>VALVULA DE ADMISION EG1000 14711 ZCJ 000 HONDA</t>
  </si>
  <si>
    <t>VALVULA DE ESCAPE STD 14721ZE2000 GX270</t>
  </si>
  <si>
    <t>VALVULA DE ESCAPE STD 14721Z4V900 HONDA GX200 AQUAX</t>
  </si>
  <si>
    <t>BUJIA NGK F/B B7HS-10 B8HS-10</t>
  </si>
  <si>
    <t>TEMPLADOR DE CADENA STIHL MS660 1125 007 1021</t>
  </si>
  <si>
    <t>JGO DE ANILLOS PISTON 13010Z4P003 HONDA GX160</t>
  </si>
  <si>
    <t>ACEITE DIFER 2T 100 ML PROMOCION</t>
  </si>
  <si>
    <t>RED DE PESCA BLANCA 3X2 YUNXING</t>
  </si>
  <si>
    <t>RESORTE GUSANO 65MM P/ PODADORA</t>
  </si>
  <si>
    <t>ACEITE DIFER 2T 100 ML</t>
  </si>
  <si>
    <t>JGO DE ANILLOS DE PISTON STD 13010Z5R004 GX390AQUAX</t>
  </si>
  <si>
    <t>ENS TAP LLENADO DE ACEITE ST 15600Z0T820 GX160/200/270/390</t>
  </si>
  <si>
    <t>CARBURADOR (BE88M A) STD 16100Z1C881 GX390 AQUAX</t>
  </si>
  <si>
    <t>CARBURADOR (ZCJA 0034) 16100ZCJ003</t>
  </si>
  <si>
    <t>RESORTE DE RETORNO DE ACELERADOR 16562ZE2000 GX270</t>
  </si>
  <si>
    <t>RESORTE DE RETORNO DE ACELERADOR 16562ZE3000 GX390</t>
  </si>
  <si>
    <t>TANQUE COMB BLA NH 31 17510ZE1030ZA GX160/GX200 AQUA</t>
  </si>
  <si>
    <t>ENS RETEN MECANICO DE AGUA 78130YB4004</t>
  </si>
  <si>
    <t>KIT DE PISTON UMK450 STD HPUMK450T</t>
  </si>
  <si>
    <t>KIT DE EMPAQUE 06111ZH8405 GX160</t>
  </si>
  <si>
    <t>KIT DE EMPAQUE GX270 0611ZH9405</t>
  </si>
  <si>
    <t>JGO DE ANILLOS DE PISTON STD 13010Z5H004 GX270</t>
  </si>
  <si>
    <t>MOTOBOMBA HONDA WB30XH</t>
  </si>
  <si>
    <t>SET DE CAJA DE CAMBIO SAIL</t>
  </si>
  <si>
    <t>AUTOMATICO COMP POWERFUL 5.5HP AZU</t>
  </si>
  <si>
    <t>KIT CILINDRO BONHOEFFER MS660 BON-CYLKIT-001</t>
  </si>
  <si>
    <t>KIT CILINDRO BONHOEFFER NT5800</t>
  </si>
  <si>
    <t>KIT CILINDRO BONHOEFFER NT380</t>
  </si>
  <si>
    <t>KIT CILINDRO BONHOEFFER FS280 BON-CYLKIT-004</t>
  </si>
  <si>
    <t>KIT PISTON BONHOEFFER MS660</t>
  </si>
  <si>
    <t>KIT PISTON BONHOEFFER NT5800</t>
  </si>
  <si>
    <t>ELECTROBOMBA BONHOEFFER 0.5HP 127V</t>
  </si>
  <si>
    <t>ELECTROBOMBA BONHOEFFER 1HP 127V</t>
  </si>
  <si>
    <t>BOMBA SUMERG BONHOEFFER 1HP 220V+CAJA CONTROL</t>
  </si>
  <si>
    <t>BOMBA SUMERG BONHOEFFER 2HP 220V+CAJA CONTROL</t>
  </si>
  <si>
    <t>MANGO C/ CABLE ACEL BONHOE 43CC</t>
  </si>
  <si>
    <t>CODO DE ADMISION BONHOEFFER MS660</t>
  </si>
  <si>
    <t>AMORTIGUADOR C/ BASE BONHOEFER MS660</t>
  </si>
  <si>
    <t>AMORTIGUADOR C/ BASE BONHOEFFER MS381</t>
  </si>
  <si>
    <t>CODO DE ADMISION BONHOEFFER MS381</t>
  </si>
  <si>
    <t>CHUPON BUJIA BONHOEFFER MOTOS.</t>
  </si>
  <si>
    <t>MOTOGUADAÑA FS280</t>
  </si>
  <si>
    <t>MOTOGUADAÑA GL45 MOD143</t>
  </si>
  <si>
    <t>AMORTIGUADOR GRANDE BONHOEFFER NT5800 BON-RP-5800-003</t>
  </si>
  <si>
    <t>AMORTIGUADOR CHICO BONHOEFFER NT5800 BON-RP-5800-002</t>
  </si>
  <si>
    <t>AMORTIGUADOR ASIENTO BONHOEFFER NT5800</t>
  </si>
  <si>
    <t>AMORTIGUADOR CHICO BONHOEFFER MS381</t>
  </si>
  <si>
    <t>AMORTIGUADOR ASIENTO BONHOEFFER MS381</t>
  </si>
  <si>
    <t>AMORTIGUADOR CHICO BOHOEFFER MS660</t>
  </si>
  <si>
    <t>AMORTIGUADOR GRANDE BONHOEFFER MS660</t>
  </si>
  <si>
    <t>AMORTIGUADOR MEDIANO BONHOEFFER MS660</t>
  </si>
  <si>
    <t>AMORTIGUADOR GRANDE BONHOEFFER MS381</t>
  </si>
  <si>
    <t>ANILLO GULEY5800</t>
  </si>
  <si>
    <t>CIGUEÑAL GULEY5800</t>
  </si>
  <si>
    <t>CANASTILLA DE PISTONGULEY5800</t>
  </si>
  <si>
    <t>CANASTILLA DE CIGEÑALGULEY5800</t>
  </si>
  <si>
    <t>CANASTILLA DE CAMPANA GULEY5800</t>
  </si>
  <si>
    <t>SILENCIADOR GULEY5800</t>
  </si>
  <si>
    <t>CAMPANA CON PIÑON LOCOGULEY5800</t>
  </si>
  <si>
    <t>MANGUERA DE ACEITE GULEY5800</t>
  </si>
  <si>
    <t>EXTRANGULAR GULEY5800</t>
  </si>
  <si>
    <t>CARBURADOR GULEY 5800</t>
  </si>
  <si>
    <t>KIT DE PISTON GULEY5800</t>
  </si>
  <si>
    <t>AMORTIGUADOR GRANDE GULEY5800</t>
  </si>
  <si>
    <t>TEMPLADOR DE CADENA GULEY5800</t>
  </si>
  <si>
    <t>CIGUEÑAL GULEY520</t>
  </si>
  <si>
    <t>RODAJE GULEY520</t>
  </si>
  <si>
    <t>CANASTILLA DE PISTON GULEY520</t>
  </si>
  <si>
    <t>SILENCIADOR GULEY520</t>
  </si>
  <si>
    <t>RESORTE DE RETRACCION GULEY520</t>
  </si>
  <si>
    <t>CODO DE CARBURADOR GULEY520</t>
  </si>
  <si>
    <t>EMBRAGUE GULEY520</t>
  </si>
  <si>
    <t>KIT DE PISTON GULEY520</t>
  </si>
  <si>
    <t>ANILLO GULEY381</t>
  </si>
  <si>
    <t>KIT DE PISTON GULEY381</t>
  </si>
  <si>
    <t>DESCOMPRESORGULEY381</t>
  </si>
  <si>
    <t>EMBRAGUE GULEY381</t>
  </si>
  <si>
    <t>CODO DE CARBURADOR GULEY381</t>
  </si>
  <si>
    <t>AMORTIGUADOR CHICO GULEY381</t>
  </si>
  <si>
    <t>AMORTIGUADOR GRANDE GULEY381</t>
  </si>
  <si>
    <t>AMORTIGUADOR C/ BASE GULEY 381</t>
  </si>
  <si>
    <t>TAPA DE ACEITEGULEY381</t>
  </si>
  <si>
    <t>KIT DE CILINDRO GULEY382</t>
  </si>
  <si>
    <t>ANILLO GULEY382</t>
  </si>
  <si>
    <t>CIGEÑALGULEY382</t>
  </si>
  <si>
    <t>KIT DE EMPAQUETADURA GULEY382</t>
  </si>
  <si>
    <t>EMBRAGUE GULEY382</t>
  </si>
  <si>
    <t>CARBURADOR GULEY382</t>
  </si>
  <si>
    <t>CODO DE CARBURADOR GULEY382</t>
  </si>
  <si>
    <t>KIT DE CILINDRO GULEY660</t>
  </si>
  <si>
    <t>ANILLO GULEY660</t>
  </si>
  <si>
    <t>DESCOMPRESORGULEY660</t>
  </si>
  <si>
    <t>CHUPON DE BUJIA GULEY660</t>
  </si>
  <si>
    <t>CANASTILLA DE CAMPANA GULEY660</t>
  </si>
  <si>
    <t>CARBURADOR GULEY660</t>
  </si>
  <si>
    <t>CODO DE CARBURADOR GULEY660</t>
  </si>
  <si>
    <t>TAPA DE ACEITEGULEY660</t>
  </si>
  <si>
    <t>ESPARRAGO DE ESPADA GULEY660</t>
  </si>
  <si>
    <t>KIT DE PISTON GULEY288</t>
  </si>
  <si>
    <t>KIT DE PISTON GULEY395</t>
  </si>
  <si>
    <t>CODO DE CARBURAD. GULEY 5800</t>
  </si>
  <si>
    <t>MOTOFUMIGADORA DIFER NTS420</t>
  </si>
  <si>
    <t>MOTOFUMIGADORA DIFER NTS428</t>
  </si>
  <si>
    <t>MOTOSIERRA CRAFTOP 6200 ESP 28</t>
  </si>
  <si>
    <t>CUCHILLA BELLOTA RECTA3503025 PUL R353025P</t>
  </si>
  <si>
    <t>ARO BELLOTA P/ CUCHILLA GDÑA350MM</t>
  </si>
  <si>
    <t>SACO COLORES 80X120CM</t>
  </si>
  <si>
    <t>MOTOR GASOL BONHOEFFER 7.0HP</t>
  </si>
  <si>
    <t>MOTOR GASOL BONHOEFFER 13.0HP</t>
  </si>
  <si>
    <t>MOTOBOMBA GASOL BONHOEFFER 3</t>
  </si>
  <si>
    <t>MOTOBOMBA GASOL BONHOEFFER 2</t>
  </si>
  <si>
    <t>GENERADOR GASOL BONHOEFFER 2.8KW</t>
  </si>
  <si>
    <t>MACHETE BELL 191-21 PPNSA</t>
  </si>
  <si>
    <t>POLEA DE ARRANQUE HUSQVARNA 143</t>
  </si>
  <si>
    <t>FOCO LED T100 9W E27 RDA BL</t>
  </si>
  <si>
    <t>FOCO LED T100 12W E27 RDA BL</t>
  </si>
  <si>
    <t>FOCO LED T100 18W E27 RDA BL</t>
  </si>
  <si>
    <t>BASE PARA MOTOR PETROLERO S/M</t>
  </si>
  <si>
    <t>FOCO LED T100 60W E27 RDA BL</t>
  </si>
  <si>
    <t>COLA GRANDE DE 34HP</t>
  </si>
  <si>
    <t>FOCO LED EMERGENCIA 12W RDA</t>
  </si>
  <si>
    <t>MOTOR GASOL DIFER 154 2.5HP</t>
  </si>
  <si>
    <t>JUNTA/ARANDELA AISLAMIENTO CALOR BON-P-BC33-E7</t>
  </si>
  <si>
    <t>BOBINA ARRANQUE BONHOEFFER MS381 BON-IGCOIL-002</t>
  </si>
  <si>
    <t>CAJA REDUCTORA/ENGRANAJE.BON-P-BC33-SP23</t>
  </si>
  <si>
    <t>LLAVE SEMICIRCULAR/CHAVETA D/VOLANTE 3X5X13 BON-P-BC33-E24</t>
  </si>
  <si>
    <t>LLAVE SEMICIRCULAR O CHAVETA D/VOLANTE BON-P-BC45-EP16</t>
  </si>
  <si>
    <t>TUBO/CODO D/ADMISION P/MOTOS.BONHOEFFER NT5800 BON-RP-5800-019</t>
  </si>
  <si>
    <t>JUNTA DE SILENCIADOR BON-P-BC45-EP28</t>
  </si>
  <si>
    <t>CONJUNTO/BASE D/PLACA ARRANQUE O TRINQUETE BON-P-BC33-E23</t>
  </si>
  <si>
    <t>SOPORTE DE MANILLAR BON-P-BC45-SP11</t>
  </si>
  <si>
    <t>JUNTA/EMPAQUETAD.D/CARBONO D/SILENCIAD.BON-P-BC33-E33</t>
  </si>
  <si>
    <t>FILTRO NO TEJIDO C/ESPONJA O DE AIRE BON-P-BC45-EP54, 55</t>
  </si>
  <si>
    <t>JUNTA D/AISLAMIENTO P/TANQUE D/COMBUST.BON-P-BC33-E16</t>
  </si>
  <si>
    <t>JUNTA/EMPAQUE D/TUBO ENTRADA O BRIDA BON-P-BC45-EP42</t>
  </si>
  <si>
    <t>JUNTA DE CARBURADOR BON-P-BC45-EP44</t>
  </si>
  <si>
    <t>KIT CILINDRO BONHOEFFER 288XP BON-CYLKIT-002</t>
  </si>
  <si>
    <t>CILINDRO REVEST.C/KIT PISTON/KIT D/CILINDRO BON-P-BC33-E31</t>
  </si>
  <si>
    <t>KIT DE CILINDRO BON-P-BC45-EP27</t>
  </si>
  <si>
    <t>KIT DE PISTON BON-P-BC33-E26,27,28,29</t>
  </si>
  <si>
    <t>KIT DE PISTON BON-P-BC45-EP22,23,24,25</t>
  </si>
  <si>
    <t>MANG.IZQ D/BICICL./MANILLAR BON-P-BC45-SP12</t>
  </si>
  <si>
    <t>MANGUERA DE GASOLINA/COMBUSTIBLE BONHOEFFER NT5800 BON-RP-5800-006</t>
  </si>
  <si>
    <t>CONJUNTO MANGUERA FILTRO DE COMBUSTIBLE BON-P-BC33-E66</t>
  </si>
  <si>
    <t>MANGUERA+FILTRO D/COMBUST.BON-P-BC45-EP58-2</t>
  </si>
  <si>
    <t>RETENEDOR/OJALILLO P/CABEZAL NTB520, BON-P-BC45 Y BON-P-BC33</t>
  </si>
  <si>
    <t>RETEN DE ACEITE TC12X22X27 BON-P-BC33-E18</t>
  </si>
  <si>
    <t>SOPORTE TRANSMISION PROF.28MM BON-P-BC45-SP1</t>
  </si>
  <si>
    <t>SOPORTE D/TANQUE D/COMBUST.BON-P-BC45-EP59</t>
  </si>
  <si>
    <t>MOTOBOMBA YAMAHA YP20C</t>
  </si>
  <si>
    <t>SOTANO/BASE D/FILTRO D/AIRE BON-P-BC45-EP49</t>
  </si>
  <si>
    <t>TAPA D/TANQUE D/COMBUSTIBLE BON-P-BC45-EP58.3</t>
  </si>
  <si>
    <t>TUBERIA/MANGUERA DE COMBUSTIBLE BON-P-BC45-EP50</t>
  </si>
  <si>
    <t>TUBO DE MANILLAR INTEG P/BICILET BON-P-BC33-SP15</t>
  </si>
  <si>
    <t>BOBINA D/ARRANQUE BON-P/MOTOGUADAÑA P-BC45 o P-BP-BC45</t>
  </si>
  <si>
    <t>CAJA ENGRANAJE/REDUCT.BON-P-BC45-SP16</t>
  </si>
  <si>
    <t>CONJUNTO/BASE D/PLACA D/ARRANQUE O TRINQUETE BON-P-BC45-EP46</t>
  </si>
  <si>
    <t>VOLANTE BON-P-BC45-EP9</t>
  </si>
  <si>
    <t>AUTOMATICO COMPLETO BON-P-BC45-EP48</t>
  </si>
  <si>
    <t>SELLO/RETEN TC15X30X7 BON-P-BC45-EP13</t>
  </si>
  <si>
    <t>COJINETE/RODAJE P/CAJA REDUCTORA 6202 BON-P-BC45-EP14</t>
  </si>
  <si>
    <t>CIGUEÑAL BON-P-BC45-EP15</t>
  </si>
  <si>
    <t>JUNTA/EMPAQUETADURA DE CILINDRO BON-P-BC45-EP26</t>
  </si>
  <si>
    <t>TUBO D/ENTRADA O BRIDA BON-P-BC45-EP43</t>
  </si>
  <si>
    <t>SELLO D/ACEITE O RETEN D/CIGUEÑAL CHICO TC12X22X27 BON-P-BC45-EP18</t>
  </si>
  <si>
    <t>RASTRILLO LIVIANO S/M 12 DTS</t>
  </si>
  <si>
    <t>JUNTA/EMPAQUETADURA DE CIGUEÑAL BON-P-BC45-EP20</t>
  </si>
  <si>
    <t>CARBURADOR BON-P-BC45-EP45</t>
  </si>
  <si>
    <t>TANQUE DE COMBUSTIBLE BON-P-BC45-EP58.1</t>
  </si>
  <si>
    <t>MANIJA/MANGO DE ACELERAC.DERECH BON-P-BC45-SP13</t>
  </si>
  <si>
    <t>KIT DE EMPAQUETADURA TW NT520B</t>
  </si>
  <si>
    <t>SILENCIADOR TW 381</t>
  </si>
  <si>
    <t>MANGUERA DE COMBUSTIBLE TW MS660</t>
  </si>
  <si>
    <t>SILENCIADOR TW MS660</t>
  </si>
  <si>
    <t>RASTRILLO LIVIANO S/M 14 DTS</t>
  </si>
  <si>
    <t>FILTRO DE AIRE COMPLETO BONHOEFFER BON-P-MD52</t>
  </si>
  <si>
    <t>CARBURADOR BONHOEFFER BON-P-MD52</t>
  </si>
  <si>
    <t>TANQUE DE COMBUSTIBLE BONHOEFFER BON-P-MD52</t>
  </si>
  <si>
    <t>AUTOMATICO DE ARRANQUE COMPLETO BON-P-MD52</t>
  </si>
  <si>
    <t>BOBINA DE ARRANQUE BONHOEFFER BON-P-MD52</t>
  </si>
  <si>
    <t>TANQUE PARA LÍQUIDO BONHOEFFER BON-P-MD52</t>
  </si>
  <si>
    <t>ESPALDAR CON CORREA BONHOEFFER BON-P-MD52</t>
  </si>
  <si>
    <t>BRIDA BONHOEFFER BON-P-MD52</t>
  </si>
  <si>
    <t>KIT DE CILINDRO COMPLETO BONHOEFFER BON-P-MD52</t>
  </si>
  <si>
    <t>CIGEÑAL BONHOEFFER BON-P-MD52</t>
  </si>
  <si>
    <t>RASTRILLO LIVIANOS/M 16 DTS77101164</t>
  </si>
  <si>
    <t>SILENCIADOR BONHOEFFER BON-P-MD52</t>
  </si>
  <si>
    <t>TUBO FLEXIBLE BONHOEFFER BON-P-MD52</t>
  </si>
  <si>
    <t>CODO DE TUBO FLEXIBLE BONHOEFFER BON-P-MD52</t>
  </si>
  <si>
    <t>VOLANTE BONHOEFFER BON-P-MD52</t>
  </si>
  <si>
    <t>GATILLO DE ACELERACIÓN PARA MODELO BON-P-BC33</t>
  </si>
  <si>
    <t>RODAJE CONICO E/L YAMAHA 60 HP 93332000U300</t>
  </si>
  <si>
    <t>PIÑON YAMAHA 100 HP 68V455510000</t>
  </si>
  <si>
    <t>FILTRO DE GASOLINA 25HP/40HP 61N245601000</t>
  </si>
  <si>
    <t>RODAJE CENTRA 15HP 933900002900</t>
  </si>
  <si>
    <t>RODAJE RETRO 15HP 933060051900</t>
  </si>
  <si>
    <t>IMPULSOR 2T 15HP ANTIGUO 63V443520100</t>
  </si>
  <si>
    <t>RODAJE SUPERIOR 40X 93306307U000</t>
  </si>
  <si>
    <t>BUJIA LFR6A -11 W1800 250HP 94720040000</t>
  </si>
  <si>
    <t>ZIN DE BLOCK 60HP 6H3113250100</t>
  </si>
  <si>
    <t>EMPAQUE DE CARBURADOR 70HP 6H314198A100</t>
  </si>
  <si>
    <t>COJINETE DE AGUJA E/L 250HP 933118328000</t>
  </si>
  <si>
    <t>VARILLA SUPERIOR 60HP 6K5441200300</t>
  </si>
  <si>
    <t>COJINETE DE AGUJA E/C 250HP 933154306400</t>
  </si>
  <si>
    <t>FILTRO DE ACEITE OM 250/300HP N26134400300</t>
  </si>
  <si>
    <t>ENGRANAJE DE RETOCESO 25HP 61N455710000</t>
  </si>
  <si>
    <t>RED DE PESCA VERDE 12X3 100X100</t>
  </si>
  <si>
    <t>RED DE PESCA VERDE 36X11 50X100</t>
  </si>
  <si>
    <t>RED DE PESCA VERDE 240X12 30X100</t>
  </si>
  <si>
    <t>RODAJE ENGRANAJE DE RETRO 60HP 93306207U0</t>
  </si>
  <si>
    <t>MOTOGUADAÑA MULTIFUNCIONAL BONHOEFFER BON-P-MT45</t>
  </si>
  <si>
    <t>ASPIRADORA COMERCIAL BONHOEFFER BON-VC-1400W-30L</t>
  </si>
  <si>
    <t>KIT DE PISTON STD DELGADO GX390 HPGX390STDL</t>
  </si>
  <si>
    <t>ENS BOBINA DE ENCENDIDO 30500Z0V861 GX200 AQUAX</t>
  </si>
  <si>
    <t>ENS BIELA 13200Z1T600 GX160</t>
  </si>
  <si>
    <t>MOTOBOMBA HONDA WX10T 1</t>
  </si>
  <si>
    <t>MOTOR GASOL BONHOEFFER 16.0HP</t>
  </si>
  <si>
    <t>ZAPAPICO PUNT PALA ANCHA4LB 77303403</t>
  </si>
  <si>
    <t>GENERADOR GASOL BONHOEFER 3.7KW</t>
  </si>
  <si>
    <t>MOTOBOMBA GASOL ALTA PRESION BONHOEFFER 3</t>
  </si>
  <si>
    <t>MOTOBOMBA GASOL ALTA PRESION BONHOEFFER 2</t>
  </si>
  <si>
    <t>MATERO PLASTICO NEGRO 10LTS-BANDEJA</t>
  </si>
  <si>
    <t>MATERO PLASTICO NEGRO 15LTS-BANDEJA</t>
  </si>
  <si>
    <t>MATERO PLASTICO NEGRO 5LTS+BANDEJA</t>
  </si>
  <si>
    <t>MAZA BELLOTA 5203-10 CM 105460</t>
  </si>
  <si>
    <t>MAZA BELLOTA 5203-12 CM 105462</t>
  </si>
  <si>
    <t>PALA BELLOTA FORJADA REF5602 MA 155800</t>
  </si>
  <si>
    <t>PALIN BELLOTA 5402-10SP BANADERA 155881SP</t>
  </si>
  <si>
    <t>ZAPAPICO PUNT PALA ANCHA5LB 77303503</t>
  </si>
  <si>
    <t>RECOLECTOR DE FRUTA BELLOTA</t>
  </si>
  <si>
    <t>LIMA GAV TRIANGULAR PAREJA 6 MANGO NEGRO</t>
  </si>
  <si>
    <t>MEZCADORA DE CONCRETO 210 LTS DEREK MOTORS</t>
  </si>
  <si>
    <t>HELICE RDA 8.5 PLOMO 6/8</t>
  </si>
  <si>
    <t>COMBA OCTAVADA 3.000G 40508006</t>
  </si>
  <si>
    <t>CARRETILLA 77703432</t>
  </si>
  <si>
    <t>TRITURADOR FORRAJE SIN MOTOR TR40 79860011</t>
  </si>
  <si>
    <t>MOTOR GASOL BONHOEFFER 3.0HP</t>
  </si>
  <si>
    <t>MOTOR GASOL BONHOEFFER 5.5HP</t>
  </si>
  <si>
    <t>KIT PISTON BONHOEFFER BON-P-GE-7.0HP</t>
  </si>
  <si>
    <t>KIT PISTON BONHOEFFER BON-P-GE-9.0HP -45</t>
  </si>
  <si>
    <t>CARRETILLA BELL 5670-5.5 MET NEUMATICA</t>
  </si>
  <si>
    <t>CARRETILLA BELL 5673-5.5 PU 110936 ANTIPINCHAZO</t>
  </si>
  <si>
    <t>RUEDA CARRETILLA NEU 169088R 110901</t>
  </si>
  <si>
    <t>RUEDA CARRETILLA PU 35R8R 110971L</t>
  </si>
  <si>
    <t>BIELA COMPLETO 250HP 6P2116500000</t>
  </si>
  <si>
    <t>FAJA YAMAHA 250HP 6P2462410200</t>
  </si>
  <si>
    <t>RETEN DE VALVULA 250HP 51Y121190000</t>
  </si>
  <si>
    <t>EJE LARGO 250HP 9017016M1900</t>
  </si>
  <si>
    <t>KIT PISTON BONHOEFFER BON-P-GE-13.0HP-48</t>
  </si>
  <si>
    <t>DESTORNILLADOR P.CH 1/ 4X4 41505030</t>
  </si>
  <si>
    <t>EMPAQUETADURA BON-P-GE-7.0HP-18,22,24,26,37,53</t>
  </si>
  <si>
    <t>INTERRUPTOR/GRIFO DE COMBUSTIBLE BONHOEFFER BON-P-GG-2.8KW-GP32</t>
  </si>
  <si>
    <t>REGULADOR DE VOLTAJE/AVR BONHOEFFER GENERADOR 2.8KW</t>
  </si>
  <si>
    <t>ACOPLE BONHOEFFER BON-P-WP3.0-196-PP5,PP6,PP7</t>
  </si>
  <si>
    <t>KIT EMPAQUETADURA BONHOEFFER BON-P-GE-13.0HP</t>
  </si>
  <si>
    <t>ARTICULACION/ACOPLE BONHOFFER BON-P-WP4.0-272-PP5,PP6,PP7</t>
  </si>
  <si>
    <t>ARTICULACION/ACOPLE BONHOEFFER BON-P-WP2.0-196-PP5,PP6,PP7</t>
  </si>
  <si>
    <t>ESCUDO FILTRO AGUA/CANASTILLA SUCCION BONHOEFFER WP3.0-196-PP2,PP3</t>
  </si>
  <si>
    <t>EMPAQUET/KIT EMPAQUETADURA BONHOEFFER 9.0HP</t>
  </si>
  <si>
    <t>ESCUDO FILTRO AGUA/CANASTILLA SUCCION BONHOEFFER WP4</t>
  </si>
  <si>
    <t>DESTORNILLADOR P.CH 1/ 4X4 41500030</t>
  </si>
  <si>
    <t>JUEGO VALVULA BONHOEFFER GE-13.0HP</t>
  </si>
  <si>
    <t>MODULO D/IGNICION/BOBINA ARRANQUE BONHOEFFER GE-9.0HP</t>
  </si>
  <si>
    <t>TANQUE COMBUSTIBLE BONHOEFFER GE-13.0HP</t>
  </si>
  <si>
    <t>AUTOMATICO BONHOEFFER MOTOR 7.0HP</t>
  </si>
  <si>
    <t>CABEZA D/CILINDRO/CULATA BONHOEFFER MOTOR 7.0HP</t>
  </si>
  <si>
    <t>CIGUEÑAL BONHOFFER MOTOR 13.0HP</t>
  </si>
  <si>
    <t>AUTOMATICO BONHOEFFER MOTOR 13.0HP</t>
  </si>
  <si>
    <t>FILTRO DE AIRE BONHOEFFER MOTOR 13.0HP</t>
  </si>
  <si>
    <t>FILTRO DE AIRE BONHOEFFER MOTOR 7.0HP</t>
  </si>
  <si>
    <t>CARBURADOR BONHOEFFER MOTOR 7.0HP</t>
  </si>
  <si>
    <t>DESTORNILLADOR P.CH 1/ 4X6 41500032</t>
  </si>
  <si>
    <t>TAPA DE CARTER BONHOEFFER MOTOR 13.0 HP</t>
  </si>
  <si>
    <t>TAPA DE CARTER BONHOEFFER MOTOR 7.0HP</t>
  </si>
  <si>
    <t>CEPILLO/CARBON BONHOEFFER GENERADOR 5.0KW</t>
  </si>
  <si>
    <t>CIGUEÑAL BONHOEFFER MOTOR 9.0HP</t>
  </si>
  <si>
    <t>AISLANTE/SEPARADOR DE CARBURADOR BONHOEFFER MOTOR 13.0HP</t>
  </si>
  <si>
    <t>SELLO/RETEN DE ACEITE BONHOEFFER MOTOR 13.0HP</t>
  </si>
  <si>
    <t>SELLO/RETEN DE ACEITE BONHOEFFER MOTOR 7.0HP BON-P-GE-7.0HP-49</t>
  </si>
  <si>
    <t>CEPILLO/CARBON BONHOEFFER GENERADOR 2.8KW</t>
  </si>
  <si>
    <t>SILENCIADOR BONHOEFFER MOTOR 13.0HP</t>
  </si>
  <si>
    <t>SILENCIADOR BONHOEFFER MOTOR 7.0HP</t>
  </si>
  <si>
    <t>REGULADOR DE VOLTAJE/AVR BONHOEFFER GENERADOR 5.0 KW</t>
  </si>
  <si>
    <t>AISLANTE/SEPARADOR CARBURADOR BONHOEFFER MOTOR 9.0HP</t>
  </si>
  <si>
    <t>SUDARIO/GUITARRA BONHOEFFER MOTOR 7.0HP</t>
  </si>
  <si>
    <t>REGULADOR DE VOLTAJE/AVR BONHOEFFER GENERADOR 7.5KW</t>
  </si>
  <si>
    <t>SILENCIADOR BONHOEFFER GENERADOR 5.0KW</t>
  </si>
  <si>
    <t>MANGUERA RESPIRADERO/MANGUERA COMBUSTIBLE BONHEOFER MOTOR 9.0HP</t>
  </si>
  <si>
    <t>MODULO DE IGNICION/BOBINA ARRANQUE BONHOEFFER.MOTOR 13.0HP</t>
  </si>
  <si>
    <t>TAPA DE VALVULA/BALANCIN BONHOEFFER MOTOR 7.0HP</t>
  </si>
  <si>
    <t>JUNTA DE ENTRADA BONHOEFFER WP3.0</t>
  </si>
  <si>
    <t>BIELA BONHOEFFER MOTOR 13.0HP</t>
  </si>
  <si>
    <t>DESTORNILLADOR P.CH 3/ 16X3</t>
  </si>
  <si>
    <t>CIGUEÑAL BONHOEFFER MOTOR 7.0HP</t>
  </si>
  <si>
    <t>JUNTA DE ENTRADA/NIPLE BONHOEFFER WP2.0</t>
  </si>
  <si>
    <t>SILENCIADOR BONHOEFFER GENERADOR 2.8KW</t>
  </si>
  <si>
    <t>BIELA BONHOEFFER MOTOR 9.0HP</t>
  </si>
  <si>
    <t>VALVULA ADMISION BONHOEFFER MOTOR 7.0HP</t>
  </si>
  <si>
    <t>MODULO DE IGNICION/BOBINA ARRAQUE BONHOEFFER MOTOR 9.0HP</t>
  </si>
  <si>
    <t>TAPA DE BALANCIN/VALVULA BONHOEFFER MOTOR 9.0HP</t>
  </si>
  <si>
    <t>SOPORTE ENGRANAJE GOB/ACELERADOR COMPLETO BONHOEFFER MOTOR 7.0HP</t>
  </si>
  <si>
    <t>ANILLO BONHOEFFER WP2.0</t>
  </si>
  <si>
    <t>COJINETE/RODAJE BONHOEFFER 6202 MOTOR 13.0HP</t>
  </si>
  <si>
    <t>COJINETE/RODAJE BONHOEFFER 6206 MOTOR 9.0HP</t>
  </si>
  <si>
    <t>COJINETE/RODAJE BONHOEFFER MOTOR 7.0HP</t>
  </si>
  <si>
    <t>MODULO DE IGNICION/BOBINA ARRANQUE BONHOEFFER MOTOR 7.0HP</t>
  </si>
  <si>
    <t>COJINETE/RODAJE BONHOEFFER 6207 MOTOR 13.0HP</t>
  </si>
  <si>
    <t>VALVULA DE ESCAPE BONHOEFFER MOTOR 7.0HP</t>
  </si>
  <si>
    <t>TANQUE COMBUSTIBLE BONHOEFFER MOTOR7.0HP</t>
  </si>
  <si>
    <t>VARILLA DE EMPUJE BONHOEFFER MOTOR 7.0HP</t>
  </si>
  <si>
    <t>ESCUDO DEL FILTRO AGUA/CANASTILLA SUCCION BONHOEFFER WP2.0</t>
  </si>
  <si>
    <t>PRIMAVERA GOBERNADOR BONHOEFFER BON-P-GE-9.0HP-72 MOTOR</t>
  </si>
  <si>
    <t>PRIMAVERA GOBERNADOR BONHOEFFER BON-P-GE-13.0HP-80 MOTOR</t>
  </si>
  <si>
    <t>ESCOBA MET FIJA22D SINMANGO 77837221</t>
  </si>
  <si>
    <t>PRIMAVERA INACTIVA BONHOEFFER MOTOR 9.0HP</t>
  </si>
  <si>
    <t>VINCULO DEL ACELERADOR BONHOEFFER BON-P-GE-7.0HP-77 MOTOR</t>
  </si>
  <si>
    <t>VINCULO DEL ACELERADOR BONHOEFFER BON-P-GE-9.0HP-70 MOTOR</t>
  </si>
  <si>
    <t>LAVADORA DE CAUCHO BONHOEFFER WP2.0</t>
  </si>
  <si>
    <t>PRIMAVERA INACTIVA BONHOEFFER MOTOR 7.0HP</t>
  </si>
  <si>
    <t>JUNTA TORICA BONHOEFFER WP2.0</t>
  </si>
  <si>
    <t>VINCULO DEL ACELERADOR BONHOEFFER BON-P-GE-13.0HP-81 MOTOR</t>
  </si>
  <si>
    <t>JUNTA TORICA BONHOEFFER WP4.0</t>
  </si>
  <si>
    <t>PRIMAVERA INACTIVA BONHOEFFER BON-P-GE-13.0HP-83 MOTOR</t>
  </si>
  <si>
    <t>LAVADORA DE CAUCHO BONHOEFFER WP4.0</t>
  </si>
  <si>
    <t>ESCUADRA 12P 43171/012</t>
  </si>
  <si>
    <t>CARBURADOR BONHOEFFER MOTOR 13.0HP</t>
  </si>
  <si>
    <t>PRIMAVERA DEL GOBERNADOR BON-P-GE-7.0HP-76 MOTOR</t>
  </si>
  <si>
    <t>TAPA DE COMBUSTIBLE BONHOEFFER GENERADOR 2.8KW</t>
  </si>
  <si>
    <t>TAPA DE COMBUSTIBLE BONHOEFFER MOTOR 7.0HP</t>
  </si>
  <si>
    <t>BASE DEL BALANCIN/PLACA GUIA BONHOEFFER MOTOR 9.0HP</t>
  </si>
  <si>
    <t>SELLO/RETEN DE VALVULA ADMIS.BONHOEFFER MOTOR 9.0HP</t>
  </si>
  <si>
    <t>BASE DEL BALANCIN/PLACA GUIA BONHOEFFER MOTOR 7.0HP</t>
  </si>
  <si>
    <t>ESPARRAGO M6-8X130 BONHOEFFER MOTOR 13.0HP</t>
  </si>
  <si>
    <t>PERNO M8X65 BONHOEFFER MOTOR 7-0HP</t>
  </si>
  <si>
    <t>CONJUNTO BALANCIN COMPLETO BONHOEFFER MOTOR 9.0HP</t>
  </si>
  <si>
    <t>SELLO/RETEN DE VALVULA ADMIS BONHOEFFER MOTOR 7.0HP</t>
  </si>
  <si>
    <t>JUNTA/EMPAQUE DE SILENCIADOR BONHOEFFER GENERADOR 2.8KW</t>
  </si>
  <si>
    <t>ESPARRAGO M6X110 BONHOEFFER MOTOR 7.0HP</t>
  </si>
  <si>
    <t>SELLO/RETEN DE ACEITE BONHOEFFER MOTOR 7.0HP BON-P-GE-7.0HP-89</t>
  </si>
  <si>
    <t>VARILLA DE EMPUJE BONHOEFFER MOTOR 13.0HP</t>
  </si>
  <si>
    <t>KIT GOBERNOR BONHOEFFER MOTOR 7.0HP</t>
  </si>
  <si>
    <t>MANGUERA DE COMBUSTIBLE BONHOEFFER MOTOR 7.0HP</t>
  </si>
  <si>
    <t>VARILLA GRADUADA BONHOEFFER MOTOR 7.0HP</t>
  </si>
  <si>
    <t>TAPON DE ACEITE BONHOEFFER MOTOR 7.0HP</t>
  </si>
  <si>
    <t>VARILLA DE EMPUJE BONHOEFFER MOTOR 9.0HP</t>
  </si>
  <si>
    <t>BALANCIN COMPLETO BONHOEFFER MOTOR 7.0HP</t>
  </si>
  <si>
    <t>GOBERNADOR GEAR/KIT GOBERNOR BONHOEFFER MOTOR 9.0HP</t>
  </si>
  <si>
    <t>MANGUERA DE RESPIRADERO/FILTRO AIRE BONHOEFFER MOTOR 7.0HP</t>
  </si>
  <si>
    <t>VARILLA GRADUADA BONHOEFFER MOTOR 9.0HP</t>
  </si>
  <si>
    <t>TAPON DE ACEITE BONHOEFFER MOTOR 13.0HP</t>
  </si>
  <si>
    <t>AISLANTE/SEPARADOR CARBURADOR BONHOEFFER MOTOR 7.0HP</t>
  </si>
  <si>
    <t>SELLO/RETEN DE ACEITE BONHOEFFER MOTOR 9.0HP</t>
  </si>
  <si>
    <t>MANGUERA DE COMBUSTIBLE BONHOEFFER MOTOR 9.0HP</t>
  </si>
  <si>
    <t>PERNO/PERNO DE CULATA BONHOEFFER MOTOR 13.0HP M10X1,25X87</t>
  </si>
  <si>
    <t>JGO DESTORNILLADOR 6PZS 41516506</t>
  </si>
  <si>
    <t>SEMBRADORA POWERFUL 7A2-2</t>
  </si>
  <si>
    <t>LINTERNA RDA 1LED PLASTICO CABEZA CHICO FTP324</t>
  </si>
  <si>
    <t>LINTERNA RDA 1 LED PLASTICO 98A2DE1S</t>
  </si>
  <si>
    <t>LINTERNA RDA 1 LET PLASTICO FTP351</t>
  </si>
  <si>
    <t>LINTERNA RDA 1 LED MET FT2DE2</t>
  </si>
  <si>
    <t>ORING YAMAHA 60HP 9321065M50</t>
  </si>
  <si>
    <t>ORING YAMAHA 9321064ME7</t>
  </si>
  <si>
    <t>ORING YAMAHA 9321022M02</t>
  </si>
  <si>
    <t>JUEGO DE ANILLO 0.50 6K51161011</t>
  </si>
  <si>
    <t>JUEGO LLAVES COMBINAD 6PZS 42241206</t>
  </si>
  <si>
    <t>ARANDELA PLANA YAMAHA 9020110M01</t>
  </si>
  <si>
    <t>ARANDELA PLANA 9020127M00</t>
  </si>
  <si>
    <t>ARANDELA PLANA 9020117682</t>
  </si>
  <si>
    <t>ARANDELA PLANA 9020616M03</t>
  </si>
  <si>
    <t>ARANDELA DE EMPUJE 6884557600</t>
  </si>
  <si>
    <t>ARANDELA DE EMPUJE E40G 6764553300</t>
  </si>
  <si>
    <t>ARANDELA PLANA E15 9020146M29</t>
  </si>
  <si>
    <t>ARANDELA EMPUJE 648455330002</t>
  </si>
  <si>
    <t>ARANDELA DE PLANA 9299016200</t>
  </si>
  <si>
    <t>ARANDELA CIGUEÑAL E40G-JM-XMH-60HM E40 66T1156500</t>
  </si>
  <si>
    <t>JGO LLAVE COMBINADA 8PZ 42241208</t>
  </si>
  <si>
    <t>ARANDELA PLANA 6634557600</t>
  </si>
  <si>
    <t>VARILLA DE CAMBIO 85HP 6884412012</t>
  </si>
  <si>
    <t>BOBINA DE PULSACION 9.9, E15 6B48558000</t>
  </si>
  <si>
    <t>BOBINA ENCENDIDO 85A 6888557011</t>
  </si>
  <si>
    <t>ESTUCHE REPARACION BOMBA 63DW007801</t>
  </si>
  <si>
    <t>BOMBA DE COMBUSTIBLE F100 68V2441000</t>
  </si>
  <si>
    <t>BOQUILLA 40G 40J 6F61434100</t>
  </si>
  <si>
    <t>BUJE E15C 63V4253700</t>
  </si>
  <si>
    <t>BUJE 60HP E60 90386133M38</t>
  </si>
  <si>
    <t>BUJIA LFR6A-11-WV 1800 947020040000</t>
  </si>
  <si>
    <t>JGO LLAVE COMBINADA 12P 42241212</t>
  </si>
  <si>
    <t>CABLE ACELERADOR E40G E40J 6F52631100</t>
  </si>
  <si>
    <t>CAJA BOMBA AGUA E25 30HP 69P4431100</t>
  </si>
  <si>
    <t>TAPA E60 6H34431100</t>
  </si>
  <si>
    <t>CAMISA EJE MANDO 115HP 6E54553600</t>
  </si>
  <si>
    <t>CAMISA EJE MANDO E40 F50 FT50 6H44553600</t>
  </si>
  <si>
    <t>CAMISA EJE MANDO 25HP 61N4553600</t>
  </si>
  <si>
    <t>PORTA RETEN E/L 25HP 61N45331005B</t>
  </si>
  <si>
    <t>RODAJE CONICO 250HP 93332000W100</t>
  </si>
  <si>
    <t>RODAJE CONICO E/C 40X 9333200003</t>
  </si>
  <si>
    <t>RODAJE INF CIGUEÑAL 93306208U0</t>
  </si>
  <si>
    <t>RODAJE INF 60HP 93306306V2</t>
  </si>
  <si>
    <t>TERMINAL DE GASOLINA E40G E40J 6G12430402</t>
  </si>
  <si>
    <t>FAJA 200HP 69J4624100</t>
  </si>
  <si>
    <t>CUBIERTA SELLO E15BMHS E15 6824534400</t>
  </si>
  <si>
    <t>DESLIZADOR CAMBIO 6484563400</t>
  </si>
  <si>
    <t>DIAFRAGMA E115 6E52447100</t>
  </si>
  <si>
    <t>DIAFRAGMA 62Y2447100</t>
  </si>
  <si>
    <t>DIAFRAGMA E115 6E52447101</t>
  </si>
  <si>
    <t>EMBRAGUE GARRA F100 6G54563110</t>
  </si>
  <si>
    <t>LLANA 77370115</t>
  </si>
  <si>
    <t>EMBRAGUE DE GARRA F100 68V4563101</t>
  </si>
  <si>
    <t>CAJA CAMBIO EMBRAGUE GARRA E60 6884563101</t>
  </si>
  <si>
    <t>EMBRAGUE DE GARRA E25 6644563102</t>
  </si>
  <si>
    <t>EMBRAGUE DE GARRA 115AETL E115 6E54563101</t>
  </si>
  <si>
    <t>EMPAQUE CAMARA BOYA E40 66T1438400</t>
  </si>
  <si>
    <t>EMPAQUE E60 6H34123800</t>
  </si>
  <si>
    <t>EMPAQUE E9.9, E15 68241112A1</t>
  </si>
  <si>
    <t>SELLO LAVERINTO E-15</t>
  </si>
  <si>
    <t>EMPAQUE ASIENTO 15HP 63V45113A1</t>
  </si>
  <si>
    <t>LLANA CON DIENTES 77375115</t>
  </si>
  <si>
    <t>SELLO DE ACEITE 9310125018</t>
  </si>
  <si>
    <t>SELLO DE ACEITE F200 69J1333800</t>
  </si>
  <si>
    <t>EMPAQUE 9043006015</t>
  </si>
  <si>
    <t>EMPAQUE E9.9 ,E15 63V41112A0</t>
  </si>
  <si>
    <t>EMPAQUE BOMBA GASOL 6482443502</t>
  </si>
  <si>
    <t>SELLO LABERINTO-E9.9-E15 63V1151502</t>
  </si>
  <si>
    <t>SOPORTE GIRATORIO-E15 68243311074D</t>
  </si>
  <si>
    <t>TORNILLO AJUSTE 6921492300</t>
  </si>
  <si>
    <t>TUERCA ENTALLADA E25 9017114013</t>
  </si>
  <si>
    <t>UNIDAD CDI COMPLETO-F15 6B48554003</t>
  </si>
  <si>
    <t>VALVULA DE ADMISION-F100 68V1211100</t>
  </si>
  <si>
    <t>VALVULA DE ADMOSION-F200 69J1211100</t>
  </si>
  <si>
    <t>VALVULA DE ESCAPE-F100 68V1212100</t>
  </si>
  <si>
    <t>VALVULA DE ESCAPE-F200 69J1212100</t>
  </si>
  <si>
    <t>VARILLA-E40 66T4412400</t>
  </si>
  <si>
    <t>RESORTE ARRANQUE-E15 63V1571300</t>
  </si>
  <si>
    <t>COJINETE PLANO-F200-F250 6P21141620</t>
  </si>
  <si>
    <t>COJINETE PLANO-F200-F250 6P21141720</t>
  </si>
  <si>
    <t>RESORTE YAMAHA 9050116M65</t>
  </si>
  <si>
    <t>LLAVE AJUSTABLE 10P 41016510</t>
  </si>
  <si>
    <t>BOLA 9350316003</t>
  </si>
  <si>
    <t>ARANDELA 9020103313</t>
  </si>
  <si>
    <t>BUJIA (DPR6EA-9)-F50-FT50 9470100375</t>
  </si>
  <si>
    <t>ANILLO-E115-150-200 9321086M38</t>
  </si>
  <si>
    <t>BOBINA COMPLETO-F100 67F8557000</t>
  </si>
  <si>
    <t>CONTRAPESO MANIVELA-E60 6K51142200</t>
  </si>
  <si>
    <t>ANILLO 0.50-E40 66T1160500</t>
  </si>
  <si>
    <t>BOBINA-E15 63V8557000</t>
  </si>
  <si>
    <t>BOMBA DE AGUA-E115 61UW007803</t>
  </si>
  <si>
    <t>CABLE ALTA 03-F100 67F8234300</t>
  </si>
  <si>
    <t>FUNDA INFERIOR-E15 63V45311014D</t>
  </si>
  <si>
    <t>PISTON 0.50-E40 66T1163601</t>
  </si>
  <si>
    <t>COJINETE SUPERIOR-E115-150-200 93311940U3</t>
  </si>
  <si>
    <t>TAPA DE CARBURADOR YAMAHA 85HP 66T1361000</t>
  </si>
  <si>
    <t>CHOQUE</t>
  </si>
  <si>
    <t>EMPAQUE SOBRE CULATA 85HP 68811193A1</t>
  </si>
  <si>
    <t>EMPAQUE DE CULATA-E25 61N11181A2</t>
  </si>
  <si>
    <t>ENGRANAJE DELANTERO-25 61N4556010</t>
  </si>
  <si>
    <t>ENGRANAJE POST-F100 68V4557100</t>
  </si>
  <si>
    <t>LLAVE COMBINADA 10MM 42246110</t>
  </si>
  <si>
    <t>ENGRANAJE COMPLETO-150 6G54557102</t>
  </si>
  <si>
    <t>ESLAVON-E15 63V4412401</t>
  </si>
  <si>
    <t>ESPACIADOR-E15 63V1144500</t>
  </si>
  <si>
    <t>ESPACIADOR-E25 6894599700</t>
  </si>
  <si>
    <t>ESTUCHE BOMBA AGUA-E60 6H3W00781A</t>
  </si>
  <si>
    <t>FILTRO DE GASOLINA-F200-F250 6P3WS24A01</t>
  </si>
  <si>
    <t>FILTRO SEPARADOR DE AGUA MARSEPARATOR</t>
  </si>
  <si>
    <t>FLOTADOR-E115 6E51438502</t>
  </si>
  <si>
    <t>RESORTE-E15 63V1570501</t>
  </si>
  <si>
    <t>LLAVE COMBINADA 11MM 42246111</t>
  </si>
  <si>
    <t>GOMA SELLO AGUA 6474436600</t>
  </si>
  <si>
    <t>HELICE 3X9-1/4X9-J / 15HP-E15 6834594500</t>
  </si>
  <si>
    <t>INTERRUPTOR 6Y58367001</t>
  </si>
  <si>
    <t>HULE DE SELLO-E15CMHS-E15 63V4436510</t>
  </si>
  <si>
    <t>HULE VARILLA-E40G-JM-E40G-40J 6834436501</t>
  </si>
  <si>
    <t>IMPULSOR-E40 6F54435200</t>
  </si>
  <si>
    <t>JEBE-E40 66T1576255</t>
  </si>
  <si>
    <t>JUEGO ANILLO 0,50-E9,9-E15 6821161021</t>
  </si>
  <si>
    <t>JUEGO ANILLO-85 6881161022</t>
  </si>
  <si>
    <t>JUEGO BOMBA AGUA-E40X ESTUCHE COMANDO 66TW00780A</t>
  </si>
  <si>
    <t>LLAVE COMBINADA 12MM 42246112</t>
  </si>
  <si>
    <t>CABLE COMPLETO-E60 6K515770010</t>
  </si>
  <si>
    <t>JUEGO VALV LENGUETA-E25 689W000400</t>
  </si>
  <si>
    <t>KIT DE EMPAQUE-F100 60CW000102</t>
  </si>
  <si>
    <t>SELLO LABERINTO-E25-30 61N1151500</t>
  </si>
  <si>
    <t>LAINA-E60 6884557710</t>
  </si>
  <si>
    <t>LAINA-E60 6884557701</t>
  </si>
  <si>
    <t>SELLO DE ACEITE VALVULA F200 69J1211900</t>
  </si>
  <si>
    <t>LAINA-85 6884556701</t>
  </si>
  <si>
    <t>LAMINILLA-85 688455670112</t>
  </si>
  <si>
    <t>LEVA-E15 63V4415000</t>
  </si>
  <si>
    <t>LLAVE COMBINADA 13MM 42246113</t>
  </si>
  <si>
    <t>MANIJA DE CAMBIO-E15CMHS-E15 63V4411101</t>
  </si>
  <si>
    <t>MANIVELA-E40 66T1144200</t>
  </si>
  <si>
    <t>PASADOR DE HELICE-E60-150-F100 9149040030</t>
  </si>
  <si>
    <t>ENS ARRANQUE RET ROJ R280-ST 28400Z0T851ZA GX200</t>
  </si>
  <si>
    <t>ENS BOBINA DE ENCENDIDO 30500Z1C023 GX270/390</t>
  </si>
  <si>
    <t>ENS BOBINA DE ENCENDIDO 30500Z1C812 GX390AQUAX</t>
  </si>
  <si>
    <t>CUBIERTA DE PERNO 72623VK9A01 UMK435T</t>
  </si>
  <si>
    <t>LLAVE COMBINADA 14MM 42246114</t>
  </si>
  <si>
    <t>JGO DE ANILLOS 13010Z4K004 GX160</t>
  </si>
  <si>
    <t>JGO DE ANILLOS 13010ZJ1841 GX390</t>
  </si>
  <si>
    <t>EMPAQUE CULATA 12251Z5T003 GX390AQUAX</t>
  </si>
  <si>
    <t>LLAVE COMBINADA 15MM 42246115</t>
  </si>
  <si>
    <t>ROUTER ELECTRICO 2100W EP-10053</t>
  </si>
  <si>
    <t>TALADRO INALAMBRICO 22V EP-10735</t>
  </si>
  <si>
    <t>BOMBA SUMERGIBLE DE AGUA 550W 0.75HP 1 EP-50493</t>
  </si>
  <si>
    <t>JGO LLAVE EXAGONAL 9 PCS EP-50661</t>
  </si>
  <si>
    <t>DESTORNILLADOR ESTRE 6X100 EP-50611</t>
  </si>
  <si>
    <t>DESTORNILLADOR ESTRE 6X150 EP-50613</t>
  </si>
  <si>
    <t>DESTORNILLADOR INDUST TELESCOP 2PZ EP-50621</t>
  </si>
  <si>
    <t>JGO DESTORNILLADOR 11PCS EP-60215</t>
  </si>
  <si>
    <t>CORTA CABLE 36 EP-50304</t>
  </si>
  <si>
    <t>LLAVE COMBINADA 16MM 42246116</t>
  </si>
  <si>
    <t>ALICATE CORTE PUNTA 6 EP-50361</t>
  </si>
  <si>
    <t>CINCEL PLANO 12X16MM CON MANGO EP-20659</t>
  </si>
  <si>
    <t>BARRA AGRI 1.2X22 EP-50379</t>
  </si>
  <si>
    <t>BARRA AGRI 1.5X22 EP-50380</t>
  </si>
  <si>
    <t>SELLO DE ACEITE-E60 9310618M01</t>
  </si>
  <si>
    <t>RETEN 9310225M11</t>
  </si>
  <si>
    <t>RETEN DE ACEITE 9310225M28</t>
  </si>
  <si>
    <t>RODAMIENTO-E25-30 93306305U3</t>
  </si>
  <si>
    <t>RODAMIENTO-85 6884555200</t>
  </si>
  <si>
    <t>SEGURO-E60 9344068M03</t>
  </si>
  <si>
    <t>LLAVE COMBINADA 17MM 42246117</t>
  </si>
  <si>
    <t>SEGURO DE AGUJA DE FLOTADOR-E115 6E51415900</t>
  </si>
  <si>
    <t>CHAVETA DE VOLANTE 40 9028005049</t>
  </si>
  <si>
    <t>EMPAQUE E40 66T41114A0</t>
  </si>
  <si>
    <t>EMPAQUE F200 69J1119301</t>
  </si>
  <si>
    <t>EMPAQUE F200 69J1119400</t>
  </si>
  <si>
    <t>EMPAQUETADURA 150HP 6G511193A0</t>
  </si>
  <si>
    <t>EMPAQUE 2-300 9089140272</t>
  </si>
  <si>
    <t>EMPAQUE 2-300 9043008020</t>
  </si>
  <si>
    <t>EMPAQUE DE ACEITE F100 68V1531200</t>
  </si>
  <si>
    <t>EMPAQUE F200 69J1364500</t>
  </si>
  <si>
    <t>LLAVE COMBINADA 19MM 42246119</t>
  </si>
  <si>
    <t>MOTOR DIESEL JIANGDONG JD186FAE 10 HP</t>
  </si>
  <si>
    <t>GENERADOR JIANGDONG PETROLERO SILENC DG6500LDE</t>
  </si>
  <si>
    <t>GENERADOR JIANGDONG PETROLERO SILENC DG9500LDE</t>
  </si>
  <si>
    <t>FILTRO DE AIRE MX400</t>
  </si>
  <si>
    <t>SWITCH MX400</t>
  </si>
  <si>
    <t>TANQUE DE COMBUSTIBLE MX400</t>
  </si>
  <si>
    <t>SILENCIADOR MX400</t>
  </si>
  <si>
    <t>LLAVE COMBINADA 22MM 42246122</t>
  </si>
  <si>
    <t>VOLANTE MX400</t>
  </si>
  <si>
    <t>GUITARRA MX400</t>
  </si>
  <si>
    <t>AUTOMATICO COMPLETO MX400</t>
  </si>
  <si>
    <t>TAPA DE BALANCIN MX400</t>
  </si>
  <si>
    <t>CARENADO DE MACARA DE CULATA MX400</t>
  </si>
  <si>
    <t>CULATA MX400</t>
  </si>
  <si>
    <t>VALVULA ADM/ESCAPE MX400</t>
  </si>
  <si>
    <t>RESORTE DE VALVULA MX400</t>
  </si>
  <si>
    <t>SEGURO DE VALVULA MX400</t>
  </si>
  <si>
    <t>SOBRE SEGUROS DE VALVULA</t>
  </si>
  <si>
    <t>LLAVE COMBINADA 8MM 42246108</t>
  </si>
  <si>
    <t>CARBURADOR MX400</t>
  </si>
  <si>
    <t>BIELA MX400</t>
  </si>
  <si>
    <t>KIT DE PISTON MX400</t>
  </si>
  <si>
    <t>CIGUEÑAL MX400</t>
  </si>
  <si>
    <t>EJE DE LEVA MX400</t>
  </si>
  <si>
    <t>CONTRAPESO MX400</t>
  </si>
  <si>
    <t>ACELERADOR COMPLETO MX400</t>
  </si>
  <si>
    <t>BRAZO DE GOBERNOR MX400</t>
  </si>
  <si>
    <t>POLEA DE METAL DE AUTOMATICO MX400</t>
  </si>
  <si>
    <t>BALANCINES CON PASADOR MX400</t>
  </si>
  <si>
    <t>BUSOS EMPUJADORES MX400</t>
  </si>
  <si>
    <t>VARILLAS MX400</t>
  </si>
  <si>
    <t>SEPARADOR DE CARBURADOR MX400</t>
  </si>
  <si>
    <t>EXTRANGULADOR MX400</t>
  </si>
  <si>
    <t>CDI MX400</t>
  </si>
  <si>
    <t>BOBINA MX400</t>
  </si>
  <si>
    <t>MANGUERA DE TANQUE MX400</t>
  </si>
  <si>
    <t>MANGUERA DE FILTRO DE AIRE MX400</t>
  </si>
  <si>
    <t>VISOR DE ACEITE MX400</t>
  </si>
  <si>
    <t>TAPA DE TANQUE MX400</t>
  </si>
  <si>
    <t>DISCIPADOR DE CALOR MX400</t>
  </si>
  <si>
    <t>KIT DE EMPAQUE MX400</t>
  </si>
  <si>
    <t>TAPA DE CARTER COMPC/GOBERNOR +SENCOR ACEITE MX400</t>
  </si>
  <si>
    <t>MEDIDOR ACEITE MX400</t>
  </si>
  <si>
    <t>MONOBLOCK C/ CARTER MX400</t>
  </si>
  <si>
    <t>SOPORTE DE TANQUE DE COMBUSTIBLE MX400</t>
  </si>
  <si>
    <t>SOPORTE PARA FILTRO DE AIRE MX400</t>
  </si>
  <si>
    <t>AMORTIGUADORES DE CAUCHO P/TANQUE MX400</t>
  </si>
  <si>
    <t>GRIFO DE COMBUSTIBLE MX400</t>
  </si>
  <si>
    <t>PERNO DE CULATA MX400</t>
  </si>
  <si>
    <t>TUERCA + HAUCHA P/CIGUEÑAL MX400</t>
  </si>
  <si>
    <t>GUIA DE CULATA MX400</t>
  </si>
  <si>
    <t>VARILLA CON RESORTE DE ACELERADOR</t>
  </si>
  <si>
    <t>RESORTE GRUESO PARA GOBERNOR MX400</t>
  </si>
  <si>
    <t>GUIAS D/METAL PARA AMORTIGUADOR</t>
  </si>
  <si>
    <t>PISTON 0.25 E115 6R51163501</t>
  </si>
  <si>
    <t>PISTON 050 6F61163600</t>
  </si>
  <si>
    <t>PISTON 0.50 150,200HP 64D1163622</t>
  </si>
  <si>
    <t>PISTON STD 85HP 688116310295</t>
  </si>
  <si>
    <t>QUILLA ESTABILIZADORA 85HP 6884537102</t>
  </si>
  <si>
    <t>RESODRTE YAMAHA E40 66T1570500</t>
  </si>
  <si>
    <t>RESORTE E15 63V1576701</t>
  </si>
  <si>
    <t>PIN E25 6484563500</t>
  </si>
  <si>
    <t>PIN DE FLOTADOR F100 68V1438600</t>
  </si>
  <si>
    <t>RESORTE E40 66T1573400</t>
  </si>
  <si>
    <t>RESORTE E15 63V1578401</t>
  </si>
  <si>
    <t>RESORTE 9050114M09</t>
  </si>
  <si>
    <t>RESORTE 9050116233</t>
  </si>
  <si>
    <t>RESORTE 9050116M01</t>
  </si>
  <si>
    <t>PISTON 0.25 85HP 6881163503</t>
  </si>
  <si>
    <t>MARTILLO UÑA CURVA 29MM 4030029</t>
  </si>
  <si>
    <t>ARANDELA PLANA 9299510100</t>
  </si>
  <si>
    <t>PASADOR MANIVELA E40G E40X 6F51168100</t>
  </si>
  <si>
    <t>PISTON 0.25 E115 150HP 6R51164501</t>
  </si>
  <si>
    <t>PASADOR PISTON E115 6E51163300</t>
  </si>
  <si>
    <t>PASADOR CIGUEÑAL E25 6891168101</t>
  </si>
  <si>
    <t>RESORTE E115 9050116M37</t>
  </si>
  <si>
    <t>RESORTE 15HP 9999903036</t>
  </si>
  <si>
    <t>RESORTE DE COMPRESION 60HP 9050112M48</t>
  </si>
  <si>
    <t>PIN DE PISTON F200 69J1163300</t>
  </si>
  <si>
    <t>RESORTE DE TENSION 9050616M39</t>
  </si>
  <si>
    <t>PIN PISTON E25 6891163300</t>
  </si>
  <si>
    <t>PISTO 0.25 150,200HP 64D1163522</t>
  </si>
  <si>
    <t>PISTON 0.25 E25 61N1163500</t>
  </si>
  <si>
    <t>PISTON 0.50 6E71163600</t>
  </si>
  <si>
    <t>PISTON 2 150,200HP 64D116422290</t>
  </si>
  <si>
    <t>PISTON 0.25 150 200HP 64D1164522</t>
  </si>
  <si>
    <t>BARRA AGRI 1.8X22 EP-50382</t>
  </si>
  <si>
    <t>BROCHA MANGO MADERA 1 EP-50332</t>
  </si>
  <si>
    <t>BROCHA MANGO MADERA 2.5 EP-50335</t>
  </si>
  <si>
    <t>BROCHA MANGO MADERA 4 EP-50337</t>
  </si>
  <si>
    <t>PORTA HERRAMIENTAS EP-60618</t>
  </si>
  <si>
    <t>ESPADA DIFER HUSQ 36</t>
  </si>
  <si>
    <t>ESPADA DIFER HUSQ 28</t>
  </si>
  <si>
    <t>ESPADA DIFER HUSQ 30</t>
  </si>
  <si>
    <t>CIGUEÑAL POWERFUL 9.0HP</t>
  </si>
  <si>
    <t>GUITARRA POWERFUL 5.5HP,6.5HP ROJO</t>
  </si>
  <si>
    <t>GUITARRA POWERFUL 9.0HP ROJO</t>
  </si>
  <si>
    <t>GUITARRA POWERFUL 13.0HP ROJO</t>
  </si>
  <si>
    <t>KIT DE RESORTE ACELERADOR 13.0HP</t>
  </si>
  <si>
    <t>TAPA DE CARTER POWERFUL 5.5,6.5HP</t>
  </si>
  <si>
    <t>TAPA DE CARTER POWERFUL 9.0HP</t>
  </si>
  <si>
    <t>ANILLO POWERFUL 7.0HP</t>
  </si>
  <si>
    <t>POLEA DE METAL P/ AUTOMA 5.5,6.5HP</t>
  </si>
  <si>
    <t>POLEA DE METAL P/ AUTOMA 9.0HP</t>
  </si>
  <si>
    <t>POLEA METAL P/ AUTOMA 13.0HP</t>
  </si>
  <si>
    <t>KIT DE SEGURO VALVULA POWERFUL 5.5,6.5HP</t>
  </si>
  <si>
    <t>KIT DE SEGURO VALVULA POWERFUL 9.0,13.HP</t>
  </si>
  <si>
    <t>NYLON GUADAÑA BELL NTL33R229</t>
  </si>
  <si>
    <t>FILTRO DE AIRE MX 300</t>
  </si>
  <si>
    <t>SWITCH MX 300</t>
  </si>
  <si>
    <t>TANQUE DE COMBUSTIBLE MX 300</t>
  </si>
  <si>
    <t>VOLANTE MX 300</t>
  </si>
  <si>
    <t>GUITARRA MX 300</t>
  </si>
  <si>
    <t>SILENCIADOR MX 300</t>
  </si>
  <si>
    <t>AUTOMATICO COMPLETO MX 300</t>
  </si>
  <si>
    <t>TAPA DE BALANCIN MX 300</t>
  </si>
  <si>
    <t>CARENADO DE MACARA DE CULATA MX 300</t>
  </si>
  <si>
    <t>CULATA MX 300</t>
  </si>
  <si>
    <t>VALVULA ADM/ ESCAPE MX 300</t>
  </si>
  <si>
    <t>RESORTE DE VALVULA MX 300</t>
  </si>
  <si>
    <t>SEGURO DE VALVULA MX 300</t>
  </si>
  <si>
    <t>SOBRE SEGUROS DE VALVULA MX 300</t>
  </si>
  <si>
    <t>CARBURADOR MX 300</t>
  </si>
  <si>
    <t>BIELA MX 300</t>
  </si>
  <si>
    <t>KIT DE PISTON MX 300</t>
  </si>
  <si>
    <t>CIGÜEÑAL MX 300</t>
  </si>
  <si>
    <t>EJE DE LEVA MX 300</t>
  </si>
  <si>
    <t>CONTRAPESO MX 300</t>
  </si>
  <si>
    <t>ACELERADOR COMPLETO MX 300</t>
  </si>
  <si>
    <t>BRAZO DE GOBERNOR MX 300</t>
  </si>
  <si>
    <t>POLEA DE METAL DE AUTOMATICO MX 300</t>
  </si>
  <si>
    <t>BALANCINES CON PASADOR MX 300</t>
  </si>
  <si>
    <t>BUSOS EMPUJADORES MX 300</t>
  </si>
  <si>
    <t>VARILLAS MX 300</t>
  </si>
  <si>
    <t>SEPARADOR DE CARBURADOR MX 300</t>
  </si>
  <si>
    <t>EXTRANGULADOR MX 300</t>
  </si>
  <si>
    <t>CDI MX 300</t>
  </si>
  <si>
    <t>BOBINA MX 300</t>
  </si>
  <si>
    <t>MANGUERA DE TANQUE MX 300</t>
  </si>
  <si>
    <t>MANGUERA DE FILTRO DE AIRE MX 300</t>
  </si>
  <si>
    <t>VISOR DE ACEITE MX 300</t>
  </si>
  <si>
    <t>TAPA DE TANQUE MX 300</t>
  </si>
  <si>
    <t>DISCIPADOR DE CALOR MX 300</t>
  </si>
  <si>
    <t>TAPA DECARTER COMPC/ GOBERNOR</t>
  </si>
  <si>
    <t>KIT DE EMPAQUE MX 300</t>
  </si>
  <si>
    <t>MONOBLOCK O CARTER MX 300</t>
  </si>
  <si>
    <t>MEDIDOR DE ACEITE MX 300</t>
  </si>
  <si>
    <t>SOPORTE DE TANQUE DE COMBUSTIBLE MX 300</t>
  </si>
  <si>
    <t>SOPORTE DE FILTRO DE AIRE MX 300</t>
  </si>
  <si>
    <t>AMORTIGUADORES DE CAUCHO P/ TANQUE MX 300</t>
  </si>
  <si>
    <t>GRIFO DE COMBUSTIBLE MX 300</t>
  </si>
  <si>
    <t>PERNO DE CULATAMX 300</t>
  </si>
  <si>
    <t>TUERCA + HUACHA P / CIGÜEÑAL MX300</t>
  </si>
  <si>
    <t>GUIA DE CULATA MX 300</t>
  </si>
  <si>
    <t>RESORTE GRUESO PARA GOBERNOR MX 300</t>
  </si>
  <si>
    <t>GUIAS DE METAL PARA AMORTIGUADOR MX 300</t>
  </si>
  <si>
    <t>FILTRO DE AIRE MX 250</t>
  </si>
  <si>
    <t>SWITCH MX 250</t>
  </si>
  <si>
    <t>TANQUE DE COMBUSTIBLE MX 250</t>
  </si>
  <si>
    <t>VOLANTE MX 250</t>
  </si>
  <si>
    <t>GUITARRA MX 250</t>
  </si>
  <si>
    <t>SILENCIADOR MX 250</t>
  </si>
  <si>
    <t>AUTOMATICO COMPLETO MX 250</t>
  </si>
  <si>
    <t>TAPA DE BALANCIN MX 250</t>
  </si>
  <si>
    <t>CARENADO DE MACARA DE CULATA MX 250</t>
  </si>
  <si>
    <t>CULATA MX 250</t>
  </si>
  <si>
    <t>VALVULA ADM/ ESCAPE MX 250</t>
  </si>
  <si>
    <t>NIVEL MAGNETICO 18P 43110018</t>
  </si>
  <si>
    <t>RESORTE DE VALVULA MX 250</t>
  </si>
  <si>
    <t>SEGURO DE VALVULA MX 250</t>
  </si>
  <si>
    <t>SOBRE SEGUROS DE VALVULA MX 250</t>
  </si>
  <si>
    <t>CARBURADOR MX 250</t>
  </si>
  <si>
    <t>BIELA MX 250</t>
  </si>
  <si>
    <t>KIT DE PISTON MX 250</t>
  </si>
  <si>
    <t>CIGÜEÑAL MX 250</t>
  </si>
  <si>
    <t>EJE DE LEVA MX 250</t>
  </si>
  <si>
    <t>CONTRAPESO MX 250</t>
  </si>
  <si>
    <t>ACELERADOR COMPLETO MX 250</t>
  </si>
  <si>
    <t>PALA RECTA MANGO CORT 71CM 77400424</t>
  </si>
  <si>
    <t>BRAZO DE GOBERNOR MX 250</t>
  </si>
  <si>
    <t>POLEA DE METAL DE AUTOMATICO MX 250</t>
  </si>
  <si>
    <t>BALANCINES CON PASADOR MX 250</t>
  </si>
  <si>
    <t>BUSOS EMPUJADORES MX 250</t>
  </si>
  <si>
    <t>VARILLAS MX 250</t>
  </si>
  <si>
    <t>SEPARADOR DE CARBURADOR MX 250</t>
  </si>
  <si>
    <t>EXTRANGULADOR MX 250</t>
  </si>
  <si>
    <t>CDI MX 250</t>
  </si>
  <si>
    <t>BOBINA MX 250</t>
  </si>
  <si>
    <t>MANGUERA DE TANQUE MX 250</t>
  </si>
  <si>
    <t>MANGUERA DE FILTRO DE AIRE MX 250</t>
  </si>
  <si>
    <t>VISOR DE ACEITE MX 250</t>
  </si>
  <si>
    <t>TAPA DE TANQUE MX 250</t>
  </si>
  <si>
    <t>DISCIPADOR DE CALOR MX 250</t>
  </si>
  <si>
    <t>TAPA DECARTER COMPC/ GOBERNOR MX250</t>
  </si>
  <si>
    <t>KIT DE EMPAQUE MX 250</t>
  </si>
  <si>
    <t>MONOBLOCK O CARTER MX 250</t>
  </si>
  <si>
    <t>MEDIDOR DE ACEITE MX 250</t>
  </si>
  <si>
    <t>SOPORTE DE TANQUE DE COMBUSTIBLE MX 250</t>
  </si>
  <si>
    <t>SOPORTE DE FILTRO DE AIRE MX 250</t>
  </si>
  <si>
    <t>PINZA CORTE DIAGONAL 6 41006/116</t>
  </si>
  <si>
    <t>AMORTIGUADORES DE CAUCHO P/ TANQUE MX 250</t>
  </si>
  <si>
    <t>GRIFO DE COMBUSTIBLE MX 250</t>
  </si>
  <si>
    <t>PERNO DE CULATAMX 250</t>
  </si>
  <si>
    <t>TUERCA + HUACHA P / CIGÜEÑAL MX250</t>
  </si>
  <si>
    <t>GUIA DE CULATA MX 250</t>
  </si>
  <si>
    <t>VARILLA CON RESORTE DE ACELERADOR MX250</t>
  </si>
  <si>
    <t>RESORTE GRUESO PARA GOBERNOR MX 250</t>
  </si>
  <si>
    <t>GUIAS DE METAL PARA AMORTIGUADOR MX 250</t>
  </si>
  <si>
    <t>PODADORA RAMAS ALTAS 78381771</t>
  </si>
  <si>
    <t>PODADORA P/ CACAO 77630105 S MANG</t>
  </si>
  <si>
    <t>COMBA OCTOGONAL1,500G 40500003</t>
  </si>
  <si>
    <t>TAPA ENGRASADOR COLA SAIL GRANDE</t>
  </si>
  <si>
    <t>ARCO SIERRA FIJO12P 43301012</t>
  </si>
  <si>
    <t>SERRUCHO PROF 16P 43240016</t>
  </si>
  <si>
    <t>SERRUCHO PROF 20P 43240020</t>
  </si>
  <si>
    <t>TIJERON P/PODAR M/MAD 60CM 78360505</t>
  </si>
  <si>
    <t>CAVADORA ARTICULADA M/MADERA 77562503 TRAMONTINA</t>
  </si>
  <si>
    <t>RED DE PESCA VERDE 12X3-1/2 100X100</t>
  </si>
  <si>
    <t>RED DE PESCA VERDE 12X4 100X100</t>
  </si>
  <si>
    <t>RED DE PESCA VERDE 6X4-1/2</t>
  </si>
  <si>
    <t>RED DE PESCA VERDE 6X4</t>
  </si>
  <si>
    <t>RED DE PESCA VERDE 72X8 50X100</t>
  </si>
  <si>
    <t>RED DE PESCA VERDE 9X4</t>
  </si>
  <si>
    <t>SERRUCHO SUPERCUT 15P 43244015</t>
  </si>
  <si>
    <t>FILTRO DE AIRE NAKAYA 5.5,6.5</t>
  </si>
  <si>
    <t>CINTA METRICA 3M 43156303</t>
  </si>
  <si>
    <t>CINTA METRICA 5M 43156305</t>
  </si>
  <si>
    <t>CINTAMETRICA FIBRA VIDR30M 43154031</t>
  </si>
  <si>
    <t>CINTA MET FIBRA VIDRIO 50M 43154051</t>
  </si>
  <si>
    <t>HILO PESCA VERDE CARRETE#12</t>
  </si>
  <si>
    <t>HILO PESCA VERDE CARRETE#24</t>
  </si>
  <si>
    <t>HILO PESCA VERDE CARRETE#48</t>
  </si>
  <si>
    <t>HILO PESCA VERDE CARRETE#18</t>
  </si>
  <si>
    <t>HILO PESCA VERDE CARRETE#3</t>
  </si>
  <si>
    <t>HILO PESCA VERDE CARRETE#6</t>
  </si>
  <si>
    <t>HILO PESCA VER. MADEJO 210/18PLY</t>
  </si>
  <si>
    <t>HILO PESCA VER. MADEJO 210/36PLY</t>
  </si>
  <si>
    <t>HILO PESCA VER. MADEJO 210/72PLY</t>
  </si>
  <si>
    <t>HILO PESCA VER. MADEJO 210/12PLY</t>
  </si>
  <si>
    <t>HILO PESCA VER. MADEJO 210/120PLY</t>
  </si>
  <si>
    <t>HILO PESCA VER. MADEJO 210/240PLY</t>
  </si>
  <si>
    <t>HILO PESCA VER. MADEJO 210/24PLY</t>
  </si>
  <si>
    <t>HILO PESCA VER. MADEJO 210/48PLY</t>
  </si>
  <si>
    <t>HILO PESCA VER. MADEJO 210/60PLY</t>
  </si>
  <si>
    <t>HILO PESCA VER. MADEJO 210/9PLY</t>
  </si>
  <si>
    <t>RED DE PESCA BLANCA 3X2-1/2 100X100</t>
  </si>
  <si>
    <t>RED DE PESCA BLANCA 3X2 100X100</t>
  </si>
  <si>
    <t>RED DE PESCA BLANCA 3X4 100X100</t>
  </si>
  <si>
    <t>RED DE PESCA BLANCA 3X5 100X100</t>
  </si>
  <si>
    <t>RED DE PESCA BLANCA 3X3 100X100</t>
  </si>
  <si>
    <t>RED DE PESCA BLANCA 3X4 1/2 100X100</t>
  </si>
  <si>
    <t>RED DE PESCA VERDE 18X4 100X100</t>
  </si>
  <si>
    <t>RED DE PESCA VERDE 3X4</t>
  </si>
  <si>
    <t>RED DE PESCA VERDE 3X1-1/2 100X100</t>
  </si>
  <si>
    <t>RED DE PESCA VERDE 3X2-1/2</t>
  </si>
  <si>
    <t>RED DE PESCA VERDE 3X2</t>
  </si>
  <si>
    <t>RED DE PESCA VERDE 3X3-1/2</t>
  </si>
  <si>
    <t>RED DE PESCA VERDE 3X4-1/2P</t>
  </si>
  <si>
    <t>RED DE PESCA VERDE 6X5</t>
  </si>
  <si>
    <t>RED DE PESCA VERDE 3X3</t>
  </si>
  <si>
    <t>AMORTIGUADOR GRANDE TW MS660 650</t>
  </si>
  <si>
    <t>ANILLO CHE 288XP</t>
  </si>
  <si>
    <t>ANILLO CHE MS650</t>
  </si>
  <si>
    <t>ANILLO NAKAYA STD 5.5HP . 6.5HP</t>
  </si>
  <si>
    <t>ANILLO STIHL MS381 1115-034-3010</t>
  </si>
  <si>
    <t>ANTIFILTRO CHE 660</t>
  </si>
  <si>
    <t>ARANDELA CAMPANA ESTRELLA TW381</t>
  </si>
  <si>
    <t>ARANDELA DE CAMPANA TW MS381</t>
  </si>
  <si>
    <t>ARANDELA DE EMBRAGUE TW 070</t>
  </si>
  <si>
    <t>ARANDELA DE POLEA TW MS660</t>
  </si>
  <si>
    <t>ARANDELA DE PROTECCION TW 070</t>
  </si>
  <si>
    <t>ARANDELA MEDIANA TW 070</t>
  </si>
  <si>
    <t>ARRANQUE MANUAL SIN POLEA CHE 660</t>
  </si>
  <si>
    <t>AUTOMATICO COMPLETO GULEY BC430</t>
  </si>
  <si>
    <t>AUTOMATICO COMPLETO NAKAYA 13HP</t>
  </si>
  <si>
    <t>BALANCIN COMPLETO NAKAYA PAR 9.11.13HP</t>
  </si>
  <si>
    <t>BIELA MACFORTH 152 1200KW</t>
  </si>
  <si>
    <t>AHOYADORA BROCA DIFER DF-CG520 6</t>
  </si>
  <si>
    <t>RED DE PESCA VERDE 24X4 100M</t>
  </si>
  <si>
    <t>RED DE PESCA VERDE 72X9 50X100M</t>
  </si>
  <si>
    <t>BOBINA ARRANQUE TW MS381</t>
  </si>
  <si>
    <t>BOCINA FINA 5.5HP 6.5HP</t>
  </si>
  <si>
    <t>BOCINA GRUESA 5.5HP. 6.5HP</t>
  </si>
  <si>
    <t>BOCINA GRUESA 5/8 9.0HP. 13HP</t>
  </si>
  <si>
    <t>BOMBA ACEITE STIHL 070</t>
  </si>
  <si>
    <t>BOMBA DE ACEITE TW MS381 STEEL</t>
  </si>
  <si>
    <t>CABLE DE ACELERADOR CRAFTOP NTB520B</t>
  </si>
  <si>
    <t>CABLE DE BOBINA CELESTE HUSQVARNA</t>
  </si>
  <si>
    <t>CABLE DE BOBINA ROJO HUSQVARNA</t>
  </si>
  <si>
    <t>CAMPANA CON PIÑON FIJO TW MS381</t>
  </si>
  <si>
    <t>CANASTILLA DE CAMPANA TW 660 STEEL</t>
  </si>
  <si>
    <t>CANASTILLA PISTON STIHL 660</t>
  </si>
  <si>
    <t>CANASTILLA DE PISTON TW 070</t>
  </si>
  <si>
    <t>CANASTILLA DE PISTON TW MS660 STEEL</t>
  </si>
  <si>
    <t>CHAVETA DE VOLANTE TW 660650 STEEL</t>
  </si>
  <si>
    <t>CIGUEÑAL CHE 288XP. 281XP</t>
  </si>
  <si>
    <t>CIGUEÑAL TW MS070 STEEL</t>
  </si>
  <si>
    <t>CIGUEÑAL TW MS381 STEEL</t>
  </si>
  <si>
    <t>CODO DE ADMISION TW MS381</t>
  </si>
  <si>
    <t>CODO DE ADMISION TW MS660</t>
  </si>
  <si>
    <t>CODO DE CARBURADOR CRAFTOP NT5</t>
  </si>
  <si>
    <t>CODO MANGUERA COMBUSTIBLE TWMS660381</t>
  </si>
  <si>
    <t>COLA GRANDE 13,9 HP</t>
  </si>
  <si>
    <t>COMBA OCTOGONAL 2.000G 40500004</t>
  </si>
  <si>
    <t>BUJIA NGK BP6ES PQ PQ</t>
  </si>
  <si>
    <t>COMBA OCTOGONAL1.000G 40500002</t>
  </si>
  <si>
    <t>EMBRAGUE COMPLETO STIHL 660.650</t>
  </si>
  <si>
    <t>EMBRAGUE COMPLETO TW 381</t>
  </si>
  <si>
    <t>EMBRAGUE COMPLETO TW MS660 STEEL</t>
  </si>
  <si>
    <t>EMPAQUETADURA CILINDRO TW 070</t>
  </si>
  <si>
    <t>ESPADA DIFER 24 NT5800 PUNT ACERAD</t>
  </si>
  <si>
    <t>HILO PESCA VERDE CARRETE#9</t>
  </si>
  <si>
    <t>HILO PESCA VERDE CARRETE#36</t>
  </si>
  <si>
    <t>FILTRO DE ACEITE CRAFTOP MS 660</t>
  </si>
  <si>
    <t>HILO PESCA VER. MADEJO 210/96PLY</t>
  </si>
  <si>
    <t>FILTRO DE AIRE TW 070</t>
  </si>
  <si>
    <t>MOTOR GASOL POWERFUL PW270 9.0</t>
  </si>
  <si>
    <t>GARRA DE ESPADA CRAFTOP NT5800</t>
  </si>
  <si>
    <t>GENERADOR GASOL PG1500A POWERFUL</t>
  </si>
  <si>
    <t>GENERADOR GASOL PG3000A 6.5 POWERFUL</t>
  </si>
  <si>
    <t>GENERADOR GASOL PG5500A 13HP POWERFUL</t>
  </si>
  <si>
    <t>JGO CUBIERTO TRAD 24PZ 22299050</t>
  </si>
  <si>
    <t>OJALILLO DE ALUMINIO DESBROZADORA</t>
  </si>
  <si>
    <t>HELICE 2 ASPAS 13.0HP</t>
  </si>
  <si>
    <t>HELICE 2 ASPAS 5.5HP</t>
  </si>
  <si>
    <t>HELICE 2 ASPAS 6.5HP</t>
  </si>
  <si>
    <t>INYECTOR DE ACEITE DF186</t>
  </si>
  <si>
    <t>KIT DE BIELA PLATT 61XP</t>
  </si>
  <si>
    <t>PLACA GUIA NAKAYA 5.5 HP 6.5HP</t>
  </si>
  <si>
    <t>POLEA DE ARRANQUE CHE 395XP</t>
  </si>
  <si>
    <t>KIT DE CILINDRO TW MS381</t>
  </si>
  <si>
    <t>POLEA DE ARRANQUE MACFORTH 5.56.5HP</t>
  </si>
  <si>
    <t>POLEA DE ARRANQUE NAKAYA 5.5HP</t>
  </si>
  <si>
    <t>KIT GOBERNOR NAKAYA 9.0HP</t>
  </si>
  <si>
    <t>KIT DE PISTON NAKAYA 950KW</t>
  </si>
  <si>
    <t>KIT DE PISTON NAKAYA 6.5HP</t>
  </si>
  <si>
    <t>KIT DE PISTON STIHL 280</t>
  </si>
  <si>
    <t>RESORTE DE EMBRAGUE TW070</t>
  </si>
  <si>
    <t>KIT DE SEGURO VALVULA NAKAYA 5.5HP</t>
  </si>
  <si>
    <t>LLAVE ESTRIADA TW 660 L</t>
  </si>
  <si>
    <t>RESORTE DE RETRACCION STIHL 070</t>
  </si>
  <si>
    <t>RETEN DE CIGUEÑAL NAKAYA 13HP</t>
  </si>
  <si>
    <t>RODAJE DE CAMPANA ESPECIAL TW MS660</t>
  </si>
  <si>
    <t>SACABUJIA TW 660650288XP...</t>
  </si>
  <si>
    <t>SELLO MECANICO NAKAYA WP50 108-18MM 2</t>
  </si>
  <si>
    <t>SELLO MECANICO NAKAYA WP80 108-20MM 3</t>
  </si>
  <si>
    <t>SILENCIADOR CHE 288XP</t>
  </si>
  <si>
    <t>SIN FIN DE BOMBA TW MS381</t>
  </si>
  <si>
    <t>SIN FIN STIHL MS381 1119-640-7100</t>
  </si>
  <si>
    <t>SIN FIN TW MS660</t>
  </si>
  <si>
    <t>SOGUILLA DE ARRANQUE NAKAYA 5.5HP</t>
  </si>
  <si>
    <t>TAPA DE CARTER MACFORTH 13HP</t>
  </si>
  <si>
    <t>TAPA DE COMBUSTIBLE CRAFTOP NT5800</t>
  </si>
  <si>
    <t>TAPA COMBUSTIBLE METAL NAKAYA PQPQ</t>
  </si>
  <si>
    <t>TAPA DE COMBUSTIBLE TW MS381</t>
  </si>
  <si>
    <t>TAPA DE ESPADA TW MS660</t>
  </si>
  <si>
    <t>TAPA CUBIERTA FILTRO DE AIRE TW MS66</t>
  </si>
  <si>
    <t>TEMPLADOR DE CADENA COMPLETO 070</t>
  </si>
  <si>
    <t>TEMPLADOR DE CADENA TW MS660</t>
  </si>
  <si>
    <t>UÑA DE AUTOMATICO NAKAYA 950KW</t>
  </si>
  <si>
    <t>UÑA AUTOMA. STIHL660 1124-195-7200</t>
  </si>
  <si>
    <t>VARILLA BALANCIN NAKAYA 13HP</t>
  </si>
  <si>
    <t>VOLTIMETRO NAKAYA 950KW. GRANDE</t>
  </si>
  <si>
    <t>MANIJA ARRANQUE NAKAYA PQPQ.GENERAD</t>
  </si>
  <si>
    <t>ARANDELA DE CAMPANA CRAFTOP NT5800</t>
  </si>
  <si>
    <t>BALANCIN COMPLETO NAKAYA PAR 5.5HP</t>
  </si>
  <si>
    <t>BOBINA ARRANQUE NAKAYA 950KW</t>
  </si>
  <si>
    <t>BOBINA ARRANQUE TW 288XP</t>
  </si>
  <si>
    <t>MEMBRANA DE BOMBA ACEITE TW070</t>
  </si>
  <si>
    <t>MONOBLOCK NAKAYA 5.5HP</t>
  </si>
  <si>
    <t>MOTOBOMBA GASOL POWERFULL WP20XT2</t>
  </si>
  <si>
    <t>CARBURADOR TW MS361C STEEL</t>
  </si>
  <si>
    <t>BERBIQUI EXCELLENT 111910-10</t>
  </si>
  <si>
    <t>CINTA DE FRENO CRAFTOP NT5800</t>
  </si>
  <si>
    <t>EMPAQUETADURA CULATA NAKAYA5.56.5HP</t>
  </si>
  <si>
    <t>ENGRANAJE DE SIN FIN TW 381STEEL</t>
  </si>
  <si>
    <t>GUIA DE VALVULA NAKAYA 5.5HP</t>
  </si>
  <si>
    <t>AUTOMATICO COMPLETO TW 660</t>
  </si>
  <si>
    <t>CUBIERTA O CARCAZA TW 660</t>
  </si>
  <si>
    <t>RESORTE DE TRINQUETE TW MS660</t>
  </si>
  <si>
    <t>RETEN DE CIGUEÑAL CHICO TW 660</t>
  </si>
  <si>
    <t>RODAJE CIGUEÑAL VOLANT GRAN6203 660</t>
  </si>
  <si>
    <t>TRIMMY CRAFTOP NTB520B</t>
  </si>
  <si>
    <t>ANILLO TAIWAN MS381 STEEL</t>
  </si>
  <si>
    <t>AVR PLASTICO MACFORTH 2500KW.3500KW</t>
  </si>
  <si>
    <t>BALANCIN COMPLETO NAKAYA 1500 KW</t>
  </si>
  <si>
    <t>BOBINA ARRANQUE NAKAYA 6.5.5.5HP</t>
  </si>
  <si>
    <t>RED DE PESCA BLANCA 0.50 9X4</t>
  </si>
  <si>
    <t>CIGUEÑAL TW 660 650</t>
  </si>
  <si>
    <t>EMPAQUETADURA BALANC NAKAYA 5.5.6.5HP</t>
  </si>
  <si>
    <t>BIELA NAKAYA 13HP</t>
  </si>
  <si>
    <t>CAMPANA CON PIÑON LOCO TW 381</t>
  </si>
  <si>
    <t>RED DE PESCA BLANCA 0.50 9X4-1/2</t>
  </si>
  <si>
    <t>RED DE PESCA BLANCA 0.50 9X5</t>
  </si>
  <si>
    <t>RESORTE DE EMBRAGUE TW 660</t>
  </si>
  <si>
    <t>TAPA DE COMBUSTIBLE TW 660</t>
  </si>
  <si>
    <t>TUERCA DE ESPADA TW 660</t>
  </si>
  <si>
    <t>KIT DE EMPAQUETADURA TW MS381</t>
  </si>
  <si>
    <t>ESPARRAGO DE ESPADA TW MS660</t>
  </si>
  <si>
    <t>KIT DE CARBURADOR TW MS381</t>
  </si>
  <si>
    <t>POLEA DE ARRANQUE TW 660 650</t>
  </si>
  <si>
    <t>RED DE PESCA VERDE 18X3-1/2 100X100</t>
  </si>
  <si>
    <t>KIT DE PISTON NAKAYA STD 5.5HP</t>
  </si>
  <si>
    <t>MANGO TW MS660 650</t>
  </si>
  <si>
    <t>MONOBLOCK O CARTER TW MS660</t>
  </si>
  <si>
    <t>VOLTIMETRO MACFORTH 950KW</t>
  </si>
  <si>
    <t>MANIJA DE ARRANQUE TW MOTOSIERRA</t>
  </si>
  <si>
    <t>RETEN DE CIGUEÑAL GRANDE TW MS 660</t>
  </si>
  <si>
    <t>ANILLO NAKAYA STD 13 HP</t>
  </si>
  <si>
    <t>ACEITE HONDA 4T 10W/30</t>
  </si>
  <si>
    <t>VALVULA DE ADMISION GX390 14711ZE3000</t>
  </si>
  <si>
    <t>JGO DE ANILLO PISTON STD EG1000 13010-ZCJ-005</t>
  </si>
  <si>
    <t>KIT DE CARBURADOR TW 5800</t>
  </si>
  <si>
    <t>EXTRANGULADOR COPILLAR 070</t>
  </si>
  <si>
    <t>CANASTILLA DE CAMPANA TW MS381</t>
  </si>
  <si>
    <t>MOTOR GASOL POWERFUL PW390 13HP</t>
  </si>
  <si>
    <t>PIÑON LOCO OREGON 0.325</t>
  </si>
  <si>
    <t>CUERDA DE ARRANQ. RETRAC. UMK435 28462ZM3003</t>
  </si>
  <si>
    <t>SILENCIADOR MACFORTH 950KW</t>
  </si>
  <si>
    <t>PALA PUNTA HUEVO MANG MAD 77460434</t>
  </si>
  <si>
    <t>HOZ SIN MANGO 77600115</t>
  </si>
  <si>
    <t>PODADORA P/PLATANO S/MANGO 77630205</t>
  </si>
  <si>
    <t>ESCOBA MET FIJA 22D MAN MADE 120CM 77837821 (77837721)</t>
  </si>
  <si>
    <t>KIT P JARDIN MANGO MADERA 3PZS 78100801</t>
  </si>
  <si>
    <t>SERRUCHO PODADOR RAMA ALTA 78380781</t>
  </si>
  <si>
    <t>TIJERA PODA MANGO EXTENSIB 78363505</t>
  </si>
  <si>
    <t>HACHITA CON UÑA 450G 40560001</t>
  </si>
  <si>
    <t>PINZA UNIVERSAL 8P 41001108</t>
  </si>
  <si>
    <t>CINCEL PLANO 12P 42700112</t>
  </si>
  <si>
    <t>CINCEL DE PUNTA 12 42705/112</t>
  </si>
  <si>
    <t>ESCUADRA 30CM 43170012</t>
  </si>
  <si>
    <t>SERRUCHO UTILITY 16P 43200016</t>
  </si>
  <si>
    <t>SERRUCHO UTILITY 18P 43200018</t>
  </si>
  <si>
    <t>SERRUCHO DE PODA 12P 43290012</t>
  </si>
  <si>
    <t>DISCO FINO CORTE AC INOX 4 1/2 42592004</t>
  </si>
  <si>
    <t>DISCO FINO CORTE AC INOX 7 42592007</t>
  </si>
  <si>
    <t>JGO CUCHILLO LEGUMBRE TRAD 12 PZ 22210903</t>
  </si>
  <si>
    <t>CUCHILLO P CARNE 12P PROF 24607082</t>
  </si>
  <si>
    <t>CUCHILLO DEPORT 5 OUTDOOR 26050105</t>
  </si>
  <si>
    <t>CUCHILLO DEP 5 FISH 26051105</t>
  </si>
  <si>
    <t>NAVAJA 3 26301003</t>
  </si>
  <si>
    <t>DISCO BARRACUDA CORTE FINO MET4 1/2</t>
  </si>
  <si>
    <t>DISCO BARRACUDA CORTE FINO MET 7X0.55</t>
  </si>
  <si>
    <t>CUCHILLA GUADAÑA GAV PUL 350X1 -2.5</t>
  </si>
  <si>
    <t>CUCHILLA GUADAÑA GAV PUL 350X20-2.5M</t>
  </si>
  <si>
    <t>CUCHILLA GUADAÑA GAV PALM PUL 450X20M-2.5M</t>
  </si>
  <si>
    <t>RED DE PESCA BLANCA 0.40 6X2</t>
  </si>
  <si>
    <t>RED DE PESCA BLANCA 0.40 6X3-1/2</t>
  </si>
  <si>
    <t>RED DE PESCA BLANCA 0.40 6X4</t>
  </si>
  <si>
    <t>RED DE PESCA BLANCA 0.40 6X4-1/2</t>
  </si>
  <si>
    <t>MANIJA CON SOGUILLA TW MOTOSIERRA</t>
  </si>
  <si>
    <t>DESCOMPRESOR TW MS381</t>
  </si>
  <si>
    <t>CLIP DE SEGURO DE CAMPANA TW MS381</t>
  </si>
  <si>
    <t>RESORTE DE TRINQUETE MS381</t>
  </si>
  <si>
    <t>AMORTIGUADOR GRANDE TW MS381</t>
  </si>
  <si>
    <t>AMORTIGUADOR C/ BASE TW MS381</t>
  </si>
  <si>
    <t>KIT DE PISTON TW NT5800</t>
  </si>
  <si>
    <t>CIGUEÑAL TW NT 5800</t>
  </si>
  <si>
    <t>CARBURADOR TW NT5800</t>
  </si>
  <si>
    <t>CAMPANA CON PIÑON LOCO NT5800</t>
  </si>
  <si>
    <t>RESORTE DE RETRACCION TW NT5800</t>
  </si>
  <si>
    <t>TAPA DE COMBUSTIBLE TW NT5800</t>
  </si>
  <si>
    <t>SIN FIN TW NT 5800</t>
  </si>
  <si>
    <t>FILTRO DE AIRE TW NT5800</t>
  </si>
  <si>
    <t>RODAJE DE VOLANTE TW NT 5800</t>
  </si>
  <si>
    <t>CHAPA ACEITERA TW NT5800</t>
  </si>
  <si>
    <t>ESPARRAGO DE ESPADA TW NT5800</t>
  </si>
  <si>
    <t>EXTRANGULADOR TW NT5800</t>
  </si>
  <si>
    <t>MANGO TW NT5800</t>
  </si>
  <si>
    <t>CHAVETA DE VOLANTE TW NT 5800</t>
  </si>
  <si>
    <t>SILENCIADOR COMPLETO TW NT5800</t>
  </si>
  <si>
    <t>KIT DE EMPAQUETADURA TW NT5800</t>
  </si>
  <si>
    <t>SWITCH DE ARRANQUE TW NT5800</t>
  </si>
  <si>
    <t>UÑA DE AUTOMATICO PLASTIC TW NT5800</t>
  </si>
  <si>
    <t>KIT DE PISTON TW NT520B</t>
  </si>
  <si>
    <t>BOBINA ARRANQUE TW NT520B</t>
  </si>
  <si>
    <t>CIGUEÑAL TW NT520B</t>
  </si>
  <si>
    <t>RESORTE DE RETRACCION TW NT520B</t>
  </si>
  <si>
    <t>RETEN DE CIGUEÑAL TW NT520B</t>
  </si>
  <si>
    <t>ARANDELA CAJA REDUCTORA TW NT520B</t>
  </si>
  <si>
    <t>KIT DE CARBURADOR TW NT520B</t>
  </si>
  <si>
    <t>KIT DE PISTON TW GL GX35</t>
  </si>
  <si>
    <t>CAMPANA CABEZA MOTOGUADAÑ TW NT520B</t>
  </si>
  <si>
    <t>PIÑON LOCO TW 3/8</t>
  </si>
  <si>
    <t>PIÑON LOCO TW 0.325</t>
  </si>
  <si>
    <t>TIJERA DE PODAR 78300001</t>
  </si>
  <si>
    <t>PALANCA DE ACELERADOR NAKAYA 9.0HP</t>
  </si>
  <si>
    <t>ACELERADOR COMPLETO NAKAYA 13.0HP</t>
  </si>
  <si>
    <t>EMPAQUETADURA BALANC NAKAYA 9.11.13HP</t>
  </si>
  <si>
    <t>MONOBLOCK NAKAYA 9.0HP</t>
  </si>
  <si>
    <t>SILENCIADOR NAKAYA 13.0HP</t>
  </si>
  <si>
    <t>VALVULA ADMI/ESCA NAKAYA 5.5 HP</t>
  </si>
  <si>
    <t>LLAVE COMBINADA 9MM 42246109</t>
  </si>
  <si>
    <t>AUTOMATICO COMP DIFER DF580 DRETRAC</t>
  </si>
  <si>
    <t>RED DE PESCA VERDE 18X1-1/2</t>
  </si>
  <si>
    <t>RED DE PESCA VERDE 24X4 1/2 100M</t>
  </si>
  <si>
    <t>RED DE PESCA VERDE 24X5 100MM</t>
  </si>
  <si>
    <t>RED DE PESCA VERDE 36X6 50X100</t>
  </si>
  <si>
    <t>RED DE PESCA VERDE 36X7-1/2 50X100</t>
  </si>
  <si>
    <t>RED DE PESCA VERDE 36X9 50X100</t>
  </si>
  <si>
    <t>RED DE PESCA VERDE 96X9 30X100</t>
  </si>
  <si>
    <t>RED DE PESCA BLANCA 36 X 1P</t>
  </si>
  <si>
    <t>HACHUELA CARNICERO 6 TRADICION</t>
  </si>
  <si>
    <t>LLAVE COMBINADA 6MM 42246106</t>
  </si>
  <si>
    <t>LLAVE COMBINADA 24MM 42246124</t>
  </si>
  <si>
    <t>HOZ DIENTES MANGO MADERA 77684255</t>
  </si>
  <si>
    <t>RED DE PESCA VERDE 6X2-1/2</t>
  </si>
  <si>
    <t>RED DE PESCA VERDE 6X2</t>
  </si>
  <si>
    <t>RED DE PESCA VERDE 6X3</t>
  </si>
  <si>
    <t>RED DE PESCA VERDE 6X3-1/2</t>
  </si>
  <si>
    <t>RED DE PESCA VERDE 9X3-1/2</t>
  </si>
  <si>
    <t>RED DE PESCA VERDE 24X8 50X100</t>
  </si>
  <si>
    <t>RED DE PESCA VERDE 24X9 50X100</t>
  </si>
  <si>
    <t>RED DE PESCA BLANCA 24 X 1P</t>
  </si>
  <si>
    <t>BOBINA ARRANQUE HUSQVARNA 390.365</t>
  </si>
  <si>
    <t>MACHETE GAV706NAT24 MANG NEG</t>
  </si>
  <si>
    <t>MACHETE GAV706NAT24 MANG NAR</t>
  </si>
  <si>
    <t>RED DE PESCA VERDE 48X7 50X100</t>
  </si>
  <si>
    <t>RED DE PESCA VERDE 48 X9 50X100</t>
  </si>
  <si>
    <t>SERRUCHO P RAMA ALTA 78382701</t>
  </si>
  <si>
    <t>PINZA PUNTA MEDIA CAÑA6P41008106</t>
  </si>
  <si>
    <t>AUTOMATICO COMPLETO DIFER DF52</t>
  </si>
  <si>
    <t>HELICE RDA 6.25 6/8 5.5HP</t>
  </si>
  <si>
    <t>HELICE RDA 7.50 6/8 9.0HP</t>
  </si>
  <si>
    <t>HELICE RDA 8.0 6/8 13.0HP</t>
  </si>
  <si>
    <t>ELECTROBOMBA RDA QB-60 0.5HP</t>
  </si>
  <si>
    <t>CUCHARA ALBAÑIL 6 MANGO MADERA 77358065</t>
  </si>
  <si>
    <t>CUCHARA ALBAÑIL 8 MANGO MADERA 77358085</t>
  </si>
  <si>
    <t>CUCHARA ALBAÑIL 9 MANGO MADERA 77358095</t>
  </si>
  <si>
    <t>ESPATULA FLEXIBLE 4CM MANGO PLAST</t>
  </si>
  <si>
    <t>ESPATULA FLEXIBLE 8CM MANGO PLAST</t>
  </si>
  <si>
    <t>ESPATULA FLEXIBLE 6CM MANGO PLAST</t>
  </si>
  <si>
    <t>PALA RECTA M/P 71CM 77427404</t>
  </si>
  <si>
    <t>CAVADORA SEMILLERA SIN MANG77630305</t>
  </si>
  <si>
    <t>SERRUCHO PODADOR SIN MANGO 78380701</t>
  </si>
  <si>
    <t>PODADORA RAMAS ALTAS 78381701</t>
  </si>
  <si>
    <t>CINCEL12 CON EMPÑDURA 42700912</t>
  </si>
  <si>
    <t>CINCEL PUNTA 12 EMPUÑADURA 42705912</t>
  </si>
  <si>
    <t>NIVEL ALUMINIO 300MM 43120012</t>
  </si>
  <si>
    <t>NIVEL ALUMINIO 350MM 43120014</t>
  </si>
  <si>
    <t>NIVEL ALUMINIO 450MM 43120018</t>
  </si>
  <si>
    <t>FORMON MANGO PLASTI 1/4 43335001</t>
  </si>
  <si>
    <t>FORMON MANGO PLASTI 3/8 43335002</t>
  </si>
  <si>
    <t>FORMON MANGO PLASTI 5/8 43335004</t>
  </si>
  <si>
    <t>FORMON MANGO PLASTI 3/4 43335005</t>
  </si>
  <si>
    <t>FORMON MANGO PLASTI 7/8 43335006</t>
  </si>
  <si>
    <t>DADO ESTRIADO 1/2 - 10MM 43601110</t>
  </si>
  <si>
    <t>DADO ESTRIADO 1/2 - 11MM 43601111</t>
  </si>
  <si>
    <t>DADO ESTRIADO 1/2 - 12MM 43601112</t>
  </si>
  <si>
    <t>DADO ESTRIADO 1/2 - 13MM 43601113</t>
  </si>
  <si>
    <t>DADO ESTRIADO 1/2 - 14MM 43601114</t>
  </si>
  <si>
    <t>DADO ESTRIADO 1/2 - 15MM 43601115</t>
  </si>
  <si>
    <t>DADO ESTRIADO 1/2 - 17MM 43601117</t>
  </si>
  <si>
    <t>DADO SEXTAVADO 1/2 - 9MM 43603109</t>
  </si>
  <si>
    <t>DADO SEXTAVADO 1/2-10MM 43603110</t>
  </si>
  <si>
    <t>DADO SEXTAVADO 1/2-11MM 43603111</t>
  </si>
  <si>
    <t>DADO SEXTAVADO 1/2-12MM 43603112</t>
  </si>
  <si>
    <t>DADO SEXTAVADO 1/2-13MM 43603113</t>
  </si>
  <si>
    <t>DADO SEXTAVADO 1/2-15MM 43603115</t>
  </si>
  <si>
    <t>DADO SEXTAVADO 1/2-24MM 43603124</t>
  </si>
  <si>
    <t>RED DE PESCA VERDE 3X5</t>
  </si>
  <si>
    <t>VALVULA ADM/ ESC NAKAYA 13.0</t>
  </si>
  <si>
    <t>KIT DE PISTON S/M 9.0HP</t>
  </si>
  <si>
    <t>MOTOGUADAÑA DIFER MOCHILERA DF-BP520</t>
  </si>
  <si>
    <t>KIT DE PISTON TW NT5200</t>
  </si>
  <si>
    <t>NYLON GAVILAN NEGRO CARRETE NARANJA X150 MT</t>
  </si>
  <si>
    <t>DISCO BARRACUDA DIAMANTADO SGMNTDO4.5</t>
  </si>
  <si>
    <t>DISCO BARRACUDA DIAMANTADO SEGMENTADO7</t>
  </si>
  <si>
    <t>PICO ANGOSTA 4P 77300403</t>
  </si>
  <si>
    <t>RED DE PESCA BLANCA 0.40 6X2-1/2</t>
  </si>
  <si>
    <t>RED DE PESCA BLANCA 0.40 6X3</t>
  </si>
  <si>
    <t>ANILLO TAIWAN NT5800</t>
  </si>
  <si>
    <t>CANASTILLA DE PISTON TW NT5800</t>
  </si>
  <si>
    <t>CANASTILLA DE CAMPANA TW NT 5800</t>
  </si>
  <si>
    <t>POLEA ARRANQ TW NT5800 DOBLE RETRACC</t>
  </si>
  <si>
    <t>TEMPLADOR DE CADENA TW NT5800</t>
  </si>
  <si>
    <t>SOGUILLA ARRANQUE TW MS660 3X100M</t>
  </si>
  <si>
    <t>SOGUILLA ARRANQUE TW NT5800 2.5X100M</t>
  </si>
  <si>
    <t>RETEN DE CIGUEÑAL GRANDE TW NT520B</t>
  </si>
  <si>
    <t>RETEN DE CIGUEÑAL CHICO TW NT 520B</t>
  </si>
  <si>
    <t>RESORTE DE EMBRAGUE TW NT520B</t>
  </si>
  <si>
    <t>MOTOR GASOL POWERFUL PW200 6.5</t>
  </si>
  <si>
    <t>CASCO GAVILAN DE PROTECCION NARANJA</t>
  </si>
  <si>
    <t>LLAVE ESTRIADA 8X9MM 42026102</t>
  </si>
  <si>
    <t>NIVEL ALUMINIO 600MM 43120024</t>
  </si>
  <si>
    <t>CEPILLO BLOCK 2 43350002</t>
  </si>
  <si>
    <t>DADO ESTRIADO 1/2 - 22MM 43601122</t>
  </si>
  <si>
    <t>LIMA TRI DELG SERRUCHO 4.5 41700345</t>
  </si>
  <si>
    <t>LIM TRIANGULAR REDO BASTARDA 8</t>
  </si>
  <si>
    <t>TIJERA D PODAR PROF 78304511</t>
  </si>
  <si>
    <t>LIMA PARA AZADA 8 41702308</t>
  </si>
  <si>
    <t>FORMON MANGO MADE 1/4 43330101</t>
  </si>
  <si>
    <t>CADENA TAIWAN 0.325</t>
  </si>
  <si>
    <t>PULVERIZADORA MOTOR DIFER SP768 25L 2T</t>
  </si>
  <si>
    <t>ARANDELA DE CAMPANA TW MS660</t>
  </si>
  <si>
    <t>ACELERADOR COMPLETO POWERFUL 5.5HP</t>
  </si>
  <si>
    <t>CULATA POWERFUL 5.5HP</t>
  </si>
  <si>
    <t>RESORTE RETRACCION PWRFULL 5.5HP</t>
  </si>
  <si>
    <t>ANILLO POWERFUL STD 5.5HP GRUESO</t>
  </si>
  <si>
    <t>VALVULA ADM/ESC POWERFUL 5.56</t>
  </si>
  <si>
    <t>ANILLO POWERFUL STD 6.5HP GRUESO</t>
  </si>
  <si>
    <t>CARBURADOR POWERFUL 9.0HP</t>
  </si>
  <si>
    <t>KIT DE PISTON POWERFUL STD 9.0HP</t>
  </si>
  <si>
    <t>KIT DE PISTON POWERFUL STD 13HP</t>
  </si>
  <si>
    <t>VALVULA ADM/ESC POWERFUL 13HP</t>
  </si>
  <si>
    <t>SOGUILLA ARRANQ PQ POWRFUL5.56.5HP</t>
  </si>
  <si>
    <t>BIELA POWERFUL 5.56.5HP</t>
  </si>
  <si>
    <t>BIELA POWERFUL 11.013.0HP</t>
  </si>
  <si>
    <t>BIELA POWERFUL 8.09.0HP</t>
  </si>
  <si>
    <t>RESORTE D RETRACCION PWRFULL5.56.5</t>
  </si>
  <si>
    <t>KIT DE PISTON POWERFUL STD 5.5HP</t>
  </si>
  <si>
    <t>KIT DE PISTON POWERFUL STD 6.5HP</t>
  </si>
  <si>
    <t>KIT DE GOBERNOR POWERFULL 5.56.5</t>
  </si>
  <si>
    <t>VALVULA ADM/ESC POWERFUL 9.0HP</t>
  </si>
  <si>
    <t>CARBURADOR POWERFUL 5.56.5HP</t>
  </si>
  <si>
    <t>CARBURADOR POWERFUL 13HP</t>
  </si>
  <si>
    <t>CORTA AZULEJO 16P (400MM) FOY</t>
  </si>
  <si>
    <t>MULTICONTACTO BARRA 6 ENT</t>
  </si>
  <si>
    <t>FILTRO DE AIRE COMPLETO S/M 13.0HP</t>
  </si>
  <si>
    <t>LLAVE MIXTA PLANO RDA 9MM</t>
  </si>
  <si>
    <t>DADO ESTRIADO 1/2 - 9MM 43601109</t>
  </si>
  <si>
    <t>JGO CUCHILLO UN CENTURY 8PZ 24099/035</t>
  </si>
  <si>
    <t>AUTOMATICO COMPLETO POWERFUL 5</t>
  </si>
  <si>
    <t>AUTOMATICO COMPLETO POWERFUL 9HP</t>
  </si>
  <si>
    <t>AUTOMATICO COMP POWERFUL 11.13HP</t>
  </si>
  <si>
    <t>FILTRO AIRE COMP POWERFUL 5.56.5HP</t>
  </si>
  <si>
    <t>FILTRO DE AIRE POWERFUL 9.0HP</t>
  </si>
  <si>
    <t>FILTRO AIRE COMP POWERFUL 1113HP</t>
  </si>
  <si>
    <t>EXHIBIDOR GAVILAN PARA MACHETE</t>
  </si>
  <si>
    <t>TAPA COMBUSTI MET POWERFUL 5.5.9.13HP</t>
  </si>
  <si>
    <t>RED DE PESCA BLANCA 0.40 6X5</t>
  </si>
  <si>
    <t>RED DE PESCA BLANCA 3X3-1/2 100X100</t>
  </si>
  <si>
    <t>RED DE PESCA VERDE 3X4 1/2 100X100</t>
  </si>
  <si>
    <t>MANIJA ARRANQ POWERFUL 5.5.6.5.9.13HP</t>
  </si>
  <si>
    <t>RESORTE DE GOBERNOR POWERFUL 5.5.6.5HP</t>
  </si>
  <si>
    <t>KIT EMPAQ BALANCIN POWERFUL 5.5.6.5</t>
  </si>
  <si>
    <t>EMPAQUETADURA CARTER POWERFUL 5.5.6.5HP</t>
  </si>
  <si>
    <t>EMPAQUETADURA CULATA POWERFUL5.5.6.5HP</t>
  </si>
  <si>
    <t>BOBINA ARRANQUE POWERFUL 5.5.6.5HP</t>
  </si>
  <si>
    <t>CHUPON DE BUJIA POWERFUL 5.56.5HP</t>
  </si>
  <si>
    <t>SWITCH DE ARRANQUE POWERFUL PQPQ</t>
  </si>
  <si>
    <t>EMPAQUETADURA CARTER POWERFUL 9HP</t>
  </si>
  <si>
    <t>KIT EMPAQ BALANCIN POWERFUL 9HP</t>
  </si>
  <si>
    <t>EMPAQUETADURA CULATA POWERFUL 9.8HP</t>
  </si>
  <si>
    <t>TANQUE DE COMBUSTIBLE POWERFUL 5.5.6.5HP A</t>
  </si>
  <si>
    <t>TANQUE DE COMBUSTIBLE POWERFUL 9HP A</t>
  </si>
  <si>
    <t>SILENCIADOR COMP POWERFUL 89HP</t>
  </si>
  <si>
    <t>CULATA POWERFUL 13.0HP</t>
  </si>
  <si>
    <t>KIT EMPAQ BALANCIN POWERFUL 13HP</t>
  </si>
  <si>
    <t>EMPAQUETADURA CARTER POWERFUL 13HP</t>
  </si>
  <si>
    <t>EMPAQUETADURA CULATA POWERFUL 13HP</t>
  </si>
  <si>
    <t>BOBINA ARRANQUE POWERFUL 913HP</t>
  </si>
  <si>
    <t>TANQUE DE COMBUSTIBLE POWERFUL 13HP A</t>
  </si>
  <si>
    <t>GUIA DE VALVULA POWERFUL 5.5.6.5HP</t>
  </si>
  <si>
    <t>RETEN DE CIGUEÑAL POWERFUL 5.56.5HP</t>
  </si>
  <si>
    <t>ANILLO POWERFUL STD 9.0HP</t>
  </si>
  <si>
    <t>ANILLO POWERFUL STD 13.0HP</t>
  </si>
  <si>
    <t>ACELERADOR COMPLETO POWERFUL 8.9HP</t>
  </si>
  <si>
    <t>KIT DE GOBERNOR POWERFUL 9.0HP</t>
  </si>
  <si>
    <t>KIT DE GOBERNOR POWERFUL 13.0HP</t>
  </si>
  <si>
    <t>ACELERADOR COMPLETO POWERFUL 13.0HP</t>
  </si>
  <si>
    <t>LINTERNA P/CAB 80LM RECARGABLE</t>
  </si>
  <si>
    <t>RED DE PESCA VERDE 120X11 30X100</t>
  </si>
  <si>
    <t>RED DE PESCA VERDE 240X10 30X100</t>
  </si>
  <si>
    <t>CARPA POWERFUL</t>
  </si>
  <si>
    <t>MOTOGUADAÑA BONHOEFFER PRO 45C</t>
  </si>
  <si>
    <t>EMBRAGUE BONHOEFFER 45C</t>
  </si>
  <si>
    <t>EXAGONAL M8 BONHOEFFER 45CC</t>
  </si>
  <si>
    <t>ARANDELA DE RESORTE BONHOEFFER 45CC</t>
  </si>
  <si>
    <t>ARANDELA PLANA BONHOEFFER 45CC</t>
  </si>
  <si>
    <t>VOLANTE BONHOEFFER 45CC</t>
  </si>
  <si>
    <t>TORNILLO M5X35 BONHOEFFER 45CC</t>
  </si>
  <si>
    <t>CARTER DELANTERO BONH 45C</t>
  </si>
  <si>
    <t>SELLO/RETEN DE ACEITE BONH45C</t>
  </si>
  <si>
    <t>COJINETE/RODAJE 6202 BONHOEFFER 45CC</t>
  </si>
  <si>
    <t>JUNTA CIGUEÑAL/EMPAQUETADURA CARTER BON-P-BC45-EP20</t>
  </si>
  <si>
    <t>LLAVE MEDIA CAÑA 3X13X5 BONH 45CC</t>
  </si>
  <si>
    <t>CIGUEÑAL BONHOEFFER BON-P-BC45-EP15</t>
  </si>
  <si>
    <t>SELLO/RETEN ACEITE TC12X22X7 BON-P-BC45-EP18</t>
  </si>
  <si>
    <t>CARTER TRASERA BONHOEFFER 45CC</t>
  </si>
  <si>
    <t>PLACA ACCIONAMIE ARRANQ BONH45C</t>
  </si>
  <si>
    <t>INTERRUPOR PARADA CABLE BONH 45CC</t>
  </si>
  <si>
    <t>ESTERA DE BAQUELITA M5 BONH 45C</t>
  </si>
  <si>
    <t>PIN 4X10 BONHOEFFER 45CC</t>
  </si>
  <si>
    <t>PIN DE PISTON BONHOEFFER 45CC</t>
  </si>
  <si>
    <t>PISTON BONHOEFFER 45CC</t>
  </si>
  <si>
    <t>HOJA/EMPAQUETADURA CILINDRO BON-P-BC45-EP26</t>
  </si>
  <si>
    <t>CILINDRO BONHOEFFER 45CC</t>
  </si>
  <si>
    <t>PLACA GUIA BONHOEFFER 45CC</t>
  </si>
  <si>
    <t>PERNO M5 X12 BONHOEFFER 45CC</t>
  </si>
  <si>
    <t>CAUCHO BONHOEFFER 45CC</t>
  </si>
  <si>
    <t>CUBIERTA DE MOTOR BONH 45C</t>
  </si>
  <si>
    <t>TABLERO CUBIERTA MOTOR BONH 45C</t>
  </si>
  <si>
    <t>PERNO M6X60 BONHOEFFER 45CC</t>
  </si>
  <si>
    <t>ARANDELA PLANA GRANDE 6 BONH 45CC</t>
  </si>
  <si>
    <t>CONJUNTO JUNTA SILENCIADOR BON-P-BC45-EP28</t>
  </si>
  <si>
    <t>JUNTA TUBO ENTRADA BONH 33C</t>
  </si>
  <si>
    <t>TUBO DE ENTRADA BON-P-BC45-EP44</t>
  </si>
  <si>
    <t>EMPAQUETADURA CARBURADOR BONH 45CC</t>
  </si>
  <si>
    <t>JUNTA DE ARRANQUE BONH 45C</t>
  </si>
  <si>
    <t>ASIENTO DEL FILTRO DE AIRE BON45C</t>
  </si>
  <si>
    <t>ARANDELA PLANA 5 BONH 45C</t>
  </si>
  <si>
    <t>ARANDELA ONDULADA 5 BONH 45C</t>
  </si>
  <si>
    <t>PLACA DE ENTRADA DE AIRE BONHOEFFER</t>
  </si>
  <si>
    <t>TORNILLO CAB CRUZADA M4X12 BONH45C</t>
  </si>
  <si>
    <t>FILTRO DE PAPEL BONHOEFFER 45C</t>
  </si>
  <si>
    <t>PERNO M5 X16 BONHOEFFER 45CC</t>
  </si>
  <si>
    <t>PERNO M6X30 BONHOEFFER 45CC</t>
  </si>
  <si>
    <t>CABEZA CRUZADA M5 X40 BONH 45C</t>
  </si>
  <si>
    <t>EXAGONAL M5 BONHOEFFER 45CC</t>
  </si>
  <si>
    <t>PERNO M6 X20 BONHOEFFER 45CC</t>
  </si>
  <si>
    <t>CARBURADOR BONHOEFFER BON-P-BC45-EP45</t>
  </si>
  <si>
    <t>SILENCIADOR BONHOEFFER 45CC</t>
  </si>
  <si>
    <t>TORNILLO MEDIO DIENTE M5X25 BONH45C</t>
  </si>
  <si>
    <t>JUNTA GOMA TANQUE BONH 45C</t>
  </si>
  <si>
    <t>SOPORTE TANQUE COMBUS BON-P-BC45-EP59</t>
  </si>
  <si>
    <t>BASE TANQUE COMBUST METAL BONH45C</t>
  </si>
  <si>
    <t>PERNO M5X20 BONHOEFFER 45CC</t>
  </si>
  <si>
    <t>ASIENTO DE CEBADOR BONH 45C</t>
  </si>
  <si>
    <t>BOMBILLA DE CEBADOR BONHOEFFER 45CC</t>
  </si>
  <si>
    <t>JUNTA PLANA TUBO ENTRADA BONH 45CC</t>
  </si>
  <si>
    <t>ARNES DE LUJO BONHOEFFER 45CC</t>
  </si>
  <si>
    <t>CONJUNTO PROTOR DE SEGURID PLAST BONH45CC</t>
  </si>
  <si>
    <t>TRIMMY CABEZAL 3.0MM X4MM TECOMEC</t>
  </si>
  <si>
    <t>MANIJA DERECHA CARCASA GOMA BON-P-BC45-SP13</t>
  </si>
  <si>
    <t>MANIJA IZQUIE CARCASA GOMA BONH45CC</t>
  </si>
  <si>
    <t>TUBO DE MANGO EN U 22 BONH 45C</t>
  </si>
  <si>
    <t>SOPORTE MNILLAR BICICLETA AJUST28X22</t>
  </si>
  <si>
    <t>BRIDA HOJ CAJA CAMBIO BONH 45CC</t>
  </si>
  <si>
    <t>ABRAZADERA DE CUCHILLA CAJCAMBIO BONH45</t>
  </si>
  <si>
    <t>PERNO M10X1.25H BONH 45C</t>
  </si>
  <si>
    <t>BOBINA ARRANQUE BONHOEFFER BON-P-BC45 O P-BP-BC45</t>
  </si>
  <si>
    <t>PERNO AUTOPERFORANTE BONH 45C</t>
  </si>
  <si>
    <t>TABLERO PROTECCIIONFIJO 28 BONH 33C</t>
  </si>
  <si>
    <t>PERNO MEDIO DIENT ST 4.8X20 BONH 45CC</t>
  </si>
  <si>
    <t>COJINETE RETENCIÓN ACEIT BONH 45CC</t>
  </si>
  <si>
    <t>CONJUNTO CONECTOR CORREA BONH 45C</t>
  </si>
  <si>
    <t>ABRAZADERA BONHOEFFER 45CC</t>
  </si>
  <si>
    <t>EJE DE TORNILLO BONHOEFFER 33C</t>
  </si>
  <si>
    <t>ARANDELA ONDULADA BONH 33C</t>
  </si>
  <si>
    <t>ARANDELA B(1.2X8.2X18 )BONH 33C</t>
  </si>
  <si>
    <t>CUBIERTA DE VOLANTE BONH 33C</t>
  </si>
  <si>
    <t>PERNO M5X20 BONHOEFFER 33CC</t>
  </si>
  <si>
    <t>JUNTA AISLAMIENTO TERMICO BONH 33CC</t>
  </si>
  <si>
    <t>VOLANTE BON-P-BC33-E11</t>
  </si>
  <si>
    <t>PERNO M5X20 BONHOEFFER 33C</t>
  </si>
  <si>
    <t>CARTER MITAD DELANTERA BONH 33C</t>
  </si>
  <si>
    <t>BOBINA D/ARRANQUE BON-P-BC33-E15</t>
  </si>
  <si>
    <t>PASADOR CILINDRICO B5X10 BONH33C</t>
  </si>
  <si>
    <t>JUNTA/EMPAQUE D/CARTER BON-P-BC33-E19</t>
  </si>
  <si>
    <t>RODAMIENTO DE CIGUEÑAL 6201 BON-P-BC33-E20</t>
  </si>
  <si>
    <t>CIGUEÑAL Y BIELA BON-P-BC33-E21</t>
  </si>
  <si>
    <t>CARTER MITAD TRASERA BONHOEFFER 33C</t>
  </si>
  <si>
    <t>PIN DE PISTON BONHOEFFER 33C</t>
  </si>
  <si>
    <t>PISTON BONHOEFFER 33C</t>
  </si>
  <si>
    <t>ANILLO BONHOEFFER 33C</t>
  </si>
  <si>
    <t>JUNTA/EMPAQUE D/CILINDRO BON-P-BC33-E30</t>
  </si>
  <si>
    <t>CILINDRO RECUBIERTO CERAMIC BONH33C</t>
  </si>
  <si>
    <t>BUJIA BONHOEFFER 33C</t>
  </si>
  <si>
    <t>TORNI M5X16 C ARANDELA GRAN BONH33C</t>
  </si>
  <si>
    <t>SILENCIADOR BONHOEFFER 33C</t>
  </si>
  <si>
    <t>ARANDELA PLANA 6 BONHOEFFER 33C</t>
  </si>
  <si>
    <t>PERNO M6X60 BONHOEFFER 33C</t>
  </si>
  <si>
    <t>JUNTA D/SILENCIADOR BON-P-BC33-E34</t>
  </si>
  <si>
    <t>JUNTA DE SILENCIADOR BON-P-BC33-E36</t>
  </si>
  <si>
    <t>TORNILLO ST3X9 BONHOEFFER 33C</t>
  </si>
  <si>
    <t>TABLERO ANTIVIENTO BONHOEFFER 33C</t>
  </si>
  <si>
    <t>CUBIERTA DE CAJA DEL MOTOR BONH33C</t>
  </si>
  <si>
    <t>CUBIERTA DE TOPE DEL MOTOR BONH33C</t>
  </si>
  <si>
    <t>PERNO CABEZ CRUZADA M5X14 BONH 33C</t>
  </si>
  <si>
    <t>JUNTA/EMPAQUE DEL TUBO D/ENTRADA BON-P-BC33-E47</t>
  </si>
  <si>
    <t>TUBO D/ENTRADA O BRIDA BON-P-BC33-E48</t>
  </si>
  <si>
    <t>JUNTA/EMPAQUE D/CARBURADOR BON-P-BC33-E49</t>
  </si>
  <si>
    <t>CARBURADOR RUIXING (SK-C43E/33) BON-P-BC33-E50</t>
  </si>
  <si>
    <t>JUNTA D/ARRANQUE D/AUTOMATICO BON-P-BC33-E51</t>
  </si>
  <si>
    <t>ARRANCAD.D/RETROCESO BON-P-BC33-E52</t>
  </si>
  <si>
    <t>TABLERO CONEXI TANQCOMBUST BONH33C</t>
  </si>
  <si>
    <t>FILTRO D/ AIRE DENTRO D/BASE BON-P-BC33-E54</t>
  </si>
  <si>
    <t>FILTRO AIRE DENTRO SOPORT BONH 33CC</t>
  </si>
  <si>
    <t>ARANDELA ELASTICA 5 BONHOEFFER 33C</t>
  </si>
  <si>
    <t>ARANDELA PLANA 5 BONHOEFFER 33C</t>
  </si>
  <si>
    <t>PERNO M5X55 BONHOEFFER 33C</t>
  </si>
  <si>
    <t>ESPONJA/FILTRO DE AIRE BON-P-BC33-E59</t>
  </si>
  <si>
    <t>PLACA INTERIOR FILTRO AIRE BONH33C</t>
  </si>
  <si>
    <t>CUBIERTA EXT FILTRO AIRE BONH 33C</t>
  </si>
  <si>
    <t>PERILLA DE FILTRO DE AIRE BONH</t>
  </si>
  <si>
    <t>TUBO EJE 28X1500 BONH5.1 33C</t>
  </si>
  <si>
    <t>MANGO IZQ.CARC.IZQ.C/GOMA O DE ACELER.BON-P-BC33-SP18</t>
  </si>
  <si>
    <t>CONJUNTO PROTEC(13.113.213.313.4</t>
  </si>
  <si>
    <t>GUARDIA DE PROTECCION BONH 33C</t>
  </si>
  <si>
    <t>SOPORTE CORTE LINEA NYLON BONH45CC</t>
  </si>
  <si>
    <t>SOPORTE D/TRANSM.PROF.DE 28 BON-P-BC33-SP1</t>
  </si>
  <si>
    <t>PERNO M6X30 BONHOEFFER 33C</t>
  </si>
  <si>
    <t>PERNO M5X12 BONHOEFFER 33C</t>
  </si>
  <si>
    <t>COJINETE RETENCIÓN ACEITE BONH 33C</t>
  </si>
  <si>
    <t>CUBIERTA COJINETE RETENC BONH 33C</t>
  </si>
  <si>
    <t>COJINETE RETENCIÓN ACEITE BONH 33CC</t>
  </si>
  <si>
    <t>JGO CONECT CORREA INC 7.1 BONH33C</t>
  </si>
  <si>
    <t>CONECTOR DE CORREA BONH 33C</t>
  </si>
  <si>
    <t>EXAGONALM5 BONHOEFFER 33C</t>
  </si>
  <si>
    <t>SOPORTE D/MANILLAR D/BICICLETA BON-P-BC33-SP19</t>
  </si>
  <si>
    <t>PROTECTORES FIJOS ARRIBA 28 BONH33C</t>
  </si>
  <si>
    <t>PERNO MEDIO DIENTE M6X30 BON33C</t>
  </si>
  <si>
    <t>PERNO ST4 8X20 -H-F BONHOEFFER 33C</t>
  </si>
  <si>
    <t>ABRAZADERA TUBO ALUMINIO BONH 33C</t>
  </si>
  <si>
    <t>TRIMMY CABEZAL BONHOEFFER 33C</t>
  </si>
  <si>
    <t>SOPORTE D/TANQUE D/COMBUSTIBLE BON-P-BC33-E64</t>
  </si>
  <si>
    <t>MONTAJE D/TANQUE DE COMBUSTIBLE BON-P-BC33-E63</t>
  </si>
  <si>
    <t>ARNES BONHOEFFER 33C</t>
  </si>
  <si>
    <t>NYLON GUADAÑA BELL N TL10933 ROLLO</t>
  </si>
  <si>
    <t>MACHETE BELL 127H-17 PPN 170127</t>
  </si>
  <si>
    <t>MAZA BELLOTA 5203-2LB CM 105452</t>
  </si>
  <si>
    <t>MAZA BELLOTA 5203-3LB CM 105453</t>
  </si>
  <si>
    <t>MAZA BELLOTA 5203-4 CM 105454</t>
  </si>
  <si>
    <t>MAZA BELLOTA 5203-6 CM 105456</t>
  </si>
  <si>
    <t>SEGUETA BIMETAL BELL 4601-18P</t>
  </si>
  <si>
    <t>SIERRA ARCO MONTARAZ BELL 4539-21</t>
  </si>
  <si>
    <t>ZAPAPICO BELLOTA 809-A P 106405</t>
  </si>
  <si>
    <t>CUCHILLA GUADAÑA BELLOTA 352420P-3/4</t>
  </si>
  <si>
    <t>CUCHILLA GUADAÑA BELLOTA 352425P-1P</t>
  </si>
  <si>
    <t>HACHA BELL OJO PLANO 8125-3LB 106154</t>
  </si>
  <si>
    <t>HACHA BELL OJO PLANO 8125-4LB</t>
  </si>
  <si>
    <t>MACHETE BELL VALERIANA NAT1001-14 NMM 141001</t>
  </si>
  <si>
    <t>ACEITE 2T BONHOEFFER</t>
  </si>
  <si>
    <t>CUBIERTA DE VOLANTE BONH 45C</t>
  </si>
  <si>
    <t>CUBIERTA DE FILTRO DE AIRE BONH45C</t>
  </si>
  <si>
    <t>TUBO EJE MOTOGUADAÑA 28X2X1495</t>
  </si>
  <si>
    <t>ARANDELA DE RESORTE8 BONHOEFFER33CC</t>
  </si>
  <si>
    <t>CUBIERTA COJINETE RETENC BONH 45C</t>
  </si>
  <si>
    <t>HACHA BELL OJO PLANO 8125-3.5LB</t>
  </si>
  <si>
    <t>VOLANTE TW NT 5800</t>
  </si>
  <si>
    <t>MANGUERA DE COMBUSTIBLE TW NT5800</t>
  </si>
  <si>
    <t>MANGUERA DE ACEITE TW NT5800</t>
  </si>
  <si>
    <t>TAPON TW NT5800</t>
  </si>
  <si>
    <t>MONOBLOCK TW NT520B</t>
  </si>
  <si>
    <t>KIT DE CILINDRO TW NT520B</t>
  </si>
  <si>
    <t>RODAJE DE CIGUEÑAL TW NT520B</t>
  </si>
  <si>
    <t>CANASTILLA DE PISTON TW NT520B</t>
  </si>
  <si>
    <t>SILENCIADOR TW NT520B</t>
  </si>
  <si>
    <t>VOLANTE TW NT 520B</t>
  </si>
  <si>
    <t>POLEA DE ARRANQUE TW NT 430</t>
  </si>
  <si>
    <t>POLEA DE ARRANQUE TW NT520B</t>
  </si>
  <si>
    <t>POLEA DE ARRANQUE ALAMBRE TW NT520B</t>
  </si>
  <si>
    <t>TAPA DE COMBUSTIBLE TW NT520B</t>
  </si>
  <si>
    <t>MANGUERA DE COMBUSTIBLE TW NT520B</t>
  </si>
  <si>
    <t>FILTRO DE COMBUSTIBLE TW NT520B</t>
  </si>
  <si>
    <t>BASE DE TANQUE TW NT520B</t>
  </si>
  <si>
    <t>COLECTOR TW NT520B</t>
  </si>
  <si>
    <t>JGO ARANDELA DE CABEZAL TW NT520B</t>
  </si>
  <si>
    <t>MONTAJE DE FILTRO DE AIRE TW MS381</t>
  </si>
  <si>
    <t>CARBURADOR TW MS381</t>
  </si>
  <si>
    <t>TAPA SEGURO FILTRO AIRE TWMS660</t>
  </si>
  <si>
    <t>KIT DE CILINDRO TW FS280</t>
  </si>
  <si>
    <t>KIT DE PISTON TW FS280</t>
  </si>
  <si>
    <t>ANILLO TAIWAN FS280</t>
  </si>
  <si>
    <t>CIGUEÑAL TW FS280</t>
  </si>
  <si>
    <t>RODAJE TW FS280</t>
  </si>
  <si>
    <t>RETEN DE ACEITE TW FS280</t>
  </si>
  <si>
    <t>SILENCIADOR TW FS280</t>
  </si>
  <si>
    <t>BOBINA ARRANQUE TW FS280</t>
  </si>
  <si>
    <t>SEGURO DE TRINQUETE TW FS280</t>
  </si>
  <si>
    <t>MANIJA DE ARRANQUE TW FS280</t>
  </si>
  <si>
    <t>TAPA DE COMBUSTIBLE TW FS280</t>
  </si>
  <si>
    <t>MANGUERA DE COMBUSTIBLE TW FS280</t>
  </si>
  <si>
    <t>FILTRO DE AIRE TW FS280</t>
  </si>
  <si>
    <t>CARBURADOR TW FS280</t>
  </si>
  <si>
    <t>EXTRANGULADOR TW FS280</t>
  </si>
  <si>
    <t>EMBRAGUE TW FS280</t>
  </si>
  <si>
    <t>CAMPANA DE CABEZAL TW FS280</t>
  </si>
  <si>
    <t>CABLE DE ACELERADOR TW FS280</t>
  </si>
  <si>
    <t>CAJA REDUCTORA TW FS280</t>
  </si>
  <si>
    <t>ARANDELA TW FS280</t>
  </si>
  <si>
    <t>TUERCA DE CUCHILLA TW FS280</t>
  </si>
  <si>
    <t>CAJA DE CIGUEÑAL TW 143R</t>
  </si>
  <si>
    <t>KIT DE CILINDRO TW 143R</t>
  </si>
  <si>
    <t>KIT DE PISTON TW 143R</t>
  </si>
  <si>
    <t>ANILLO TAIWAN 143R</t>
  </si>
  <si>
    <t>CIGUEÑAL TW 143R</t>
  </si>
  <si>
    <t>RETEN DE ACEITE TW 143R</t>
  </si>
  <si>
    <t>CANASTILLA DE PISTON TW 143R</t>
  </si>
  <si>
    <t>BOBINA ARRANQUE TW 143R</t>
  </si>
  <si>
    <t>AUTOMATICO COMPLETO TW 143R (430)</t>
  </si>
  <si>
    <t>POLEA DE ARRANQUE TW 143R</t>
  </si>
  <si>
    <t>RESORTE DE RETRACCION TW 143R</t>
  </si>
  <si>
    <t>TANQUE DE COMBUSTIIBLE TW 143R</t>
  </si>
  <si>
    <t>TAPA DE COMBUSTIBLE TW 143R</t>
  </si>
  <si>
    <t>RESORTE DE EMBRAGUE TW 143R</t>
  </si>
  <si>
    <t>ENGRANAJE P/ CAJA REDUCTORA TW 143R</t>
  </si>
  <si>
    <t>ENGRANAJE DE CABEZAL TW 143R</t>
  </si>
  <si>
    <t>EJE DE CABEZAL TW 143R</t>
  </si>
  <si>
    <t>JGO PLACAS D CABEZAL TW143R</t>
  </si>
  <si>
    <t>CINTURON DE ARRANQUE TW 143R</t>
  </si>
  <si>
    <t>JEBE DE AMORTIGUADOR TW 143R</t>
  </si>
  <si>
    <t>CARBURADOR TW 372XP</t>
  </si>
  <si>
    <t>CARBURADOR TW 288XP</t>
  </si>
  <si>
    <t>CARBURADOR TW 236R</t>
  </si>
  <si>
    <t>KIT CARBURADOR TW WALBRO395.288.390XP</t>
  </si>
  <si>
    <t>KIT DE PISTON TW 236R</t>
  </si>
  <si>
    <t>KIT DE PISTON TW 288XP</t>
  </si>
  <si>
    <t>KIT DE PISTON TW 372XP</t>
  </si>
  <si>
    <t>AUTOMATICO COMPLETO TW 288XP</t>
  </si>
  <si>
    <t>AMORTIGUADOR TAIWAN 288XP</t>
  </si>
  <si>
    <t>BOBINA ARRANQUE TW 390XP</t>
  </si>
  <si>
    <t>RODAJE TW 143R</t>
  </si>
  <si>
    <t>JGO PLACAS D CABEZAL TW FS280</t>
  </si>
  <si>
    <t>RODAJE DE CIGUEÑAL TW 6202</t>
  </si>
  <si>
    <t>MOTOBOMBA GASOL WP30 3 POWERFUL</t>
  </si>
  <si>
    <t>AUTOMATICO COMP POWERFUL 9HP AZUL</t>
  </si>
  <si>
    <t>AUTOMATICO COMP POWERFUL 13HP AZUL</t>
  </si>
  <si>
    <t>BALANCIN COMPLETO POWERFUL 5.5.6.5HP</t>
  </si>
  <si>
    <t>BALANCIN COMPLETO POWERFUL 913</t>
  </si>
  <si>
    <t>CULATA POWERFUL 9.0HP</t>
  </si>
  <si>
    <t>KIT EMPAQUETADURA POWERFUL 13HP</t>
  </si>
  <si>
    <t>KIT EMPAQUETADURA POWERFUL 9HP</t>
  </si>
  <si>
    <t>KIT EMPAQUETADURA POWERFUL 5.5</t>
  </si>
  <si>
    <t>RESORTE DE GOBERNOR POWERFUL 9HP</t>
  </si>
  <si>
    <t>RESORTE DE GOBERNOR POWERFUL 13HP</t>
  </si>
  <si>
    <t>MONOBLOCK POWERFUL 9.0HP</t>
  </si>
  <si>
    <t>MONOBLOCK POWERFUL 13.0 HP</t>
  </si>
  <si>
    <t>RETEN DE CIGUEÑAL POWERFUL 9.0HP</t>
  </si>
  <si>
    <t>RETEN DE CIGUEÑAL POWERFUL 13.0HP</t>
  </si>
  <si>
    <t>RETEN DE VALVULA POWERFUL 5.5, 6.5HP</t>
  </si>
  <si>
    <t>RETEN DE VALVULA POWERFUL 9.0,13HP</t>
  </si>
  <si>
    <t>RESORTE RETRACCION PWRFULL 913HP</t>
  </si>
  <si>
    <t>SACABUJIA POWERFUL PQPQ</t>
  </si>
  <si>
    <t>TANQUE DE COMBUSTIBLE POWERFUL 5.56.5 AZUL</t>
  </si>
  <si>
    <t>TANQUE COMBUSTIBL POWERFUL 9HP AZUL</t>
  </si>
  <si>
    <t>TANQUE COMBUST POWERFUL 13HP AZUL</t>
  </si>
  <si>
    <t>BOBINA ARRANQUE POWERFUL 1500KW</t>
  </si>
  <si>
    <t>CARBURADOR POWERFUL 1500KW</t>
  </si>
  <si>
    <t>AUTOMATICO COMPLETO POWERFUL 1500KW</t>
  </si>
  <si>
    <t>CARBURADOR POWERFUL 2500KW</t>
  </si>
  <si>
    <t>ENCHUFE POWERFUL 2500 KW</t>
  </si>
  <si>
    <t>AVR ALUMINIO POWERFUL 5500KW</t>
  </si>
  <si>
    <t>GENERADOR GASOL POWERFULL PG6500LN</t>
  </si>
  <si>
    <t>GENERADOR GASOL PG3000CR 6.5 POWERFUL</t>
  </si>
  <si>
    <t>TRIMMY CABEZAL CON CUCHILLA</t>
  </si>
  <si>
    <t>TRIMMY CABEZAL CON NYLON DE PLASTIC</t>
  </si>
  <si>
    <t>PIÑON LOCO DIFER 3/8 M 5800</t>
  </si>
  <si>
    <t>BALDE RECOLECTOR AGRICOLA 18 LT BKT BKTAC18R</t>
  </si>
  <si>
    <t>BARRA AGRI BELL 5989-18 106218</t>
  </si>
  <si>
    <t>BROCHA FILAMENT NEGR BELL 1M</t>
  </si>
  <si>
    <t>BROCHA FILAMENT NEGR BELL 1.5M</t>
  </si>
  <si>
    <t>BROCHA FILAMENT NEGR BELL 2.5M</t>
  </si>
  <si>
    <t>BROCHA FILAMENT NEGR BELL 4M</t>
  </si>
  <si>
    <t>CUCHILLA GUADAÑA PALMER BELL452220P3/4</t>
  </si>
  <si>
    <t>CUCHILLA GUADAÑA PALM BELL452225P-1</t>
  </si>
  <si>
    <t>HACHA BELL 8129M-3 106100</t>
  </si>
  <si>
    <t>HACHA BELL 8129M-4 106102</t>
  </si>
  <si>
    <t>HACHA BELL 8129M-4.5 106103</t>
  </si>
  <si>
    <t>PALA BELL 5512-2 SPUL155872</t>
  </si>
  <si>
    <t>PALA BELLOTA 5558 MA 155802</t>
  </si>
  <si>
    <t>RESORTE DE TIJERA BELLOTA 3501-22 100632</t>
  </si>
  <si>
    <t>YOYO PARA GUADAÑA BELL PORTA THP117</t>
  </si>
  <si>
    <t>PALA BELLOTA 5558 MAP 155812</t>
  </si>
  <si>
    <t>MOTOR GASOL POWERFUL PW100 3.5HP</t>
  </si>
  <si>
    <t>MOTOCULTOR POWERFUL PWT200</t>
  </si>
  <si>
    <t>TIJERA P PODAR BELL 3523-21 100695</t>
  </si>
  <si>
    <t>PULVERIZA BONHOEFFER MOTOR ZENOAHG26LS</t>
  </si>
  <si>
    <t>ORRIN BONHOEFER G26L</t>
  </si>
  <si>
    <t>CODO CILINDRO BONHOEFER G26LS</t>
  </si>
  <si>
    <t>CONJUNTO DE VALVULA BONH G26LS</t>
  </si>
  <si>
    <t>TUERCA DE VALVULA BONH G26LS</t>
  </si>
  <si>
    <t>RESORTE DE VALVULA BONH G26LS</t>
  </si>
  <si>
    <t>ANILLO DE VALVULA BONH G26LS</t>
  </si>
  <si>
    <t>ARANDELA DE VALVULA BONH G26LS</t>
  </si>
  <si>
    <t>CLIP BONHOEFFER G26LS - L</t>
  </si>
  <si>
    <t>MANGUERA DE SUCCION BONH G26LS</t>
  </si>
  <si>
    <t>SALIDA DE BOMBA BONH G26LS</t>
  </si>
  <si>
    <t>EMBOLO BONHOEFFER G26LS</t>
  </si>
  <si>
    <t>CILINDRO BONHOEFFER G26LS</t>
  </si>
  <si>
    <t>CIGUEÑAL BONHOEFFER G26SL</t>
  </si>
  <si>
    <t>RODAJE BONHOEFFER G26LS</t>
  </si>
  <si>
    <t>SELLO BONHOEFER G26LS 2</t>
  </si>
  <si>
    <t>PISTON BONHOEFFER G26LS</t>
  </si>
  <si>
    <t>ANILLO BONHOEFFER G26LS</t>
  </si>
  <si>
    <t>ARANDELA BONHOEFFER G26LS</t>
  </si>
  <si>
    <t>BOBINA ARRANQUE BONH G26LS</t>
  </si>
  <si>
    <t>BOMBA BONHOEFFER GL26S</t>
  </si>
  <si>
    <t>DIAFRAGMA BONHOEFFER G26SL</t>
  </si>
  <si>
    <t>EMPAQUETADURA BONH G26LS-3</t>
  </si>
  <si>
    <t>FILTRO BONHOEFFER G26LS</t>
  </si>
  <si>
    <t>TANQUE BONHOEFFER G6LS</t>
  </si>
  <si>
    <t>CLIP BONHOEFFER G26LS - S</t>
  </si>
  <si>
    <t>HELICE RDA 8.50 6/8 13.0HP</t>
  </si>
  <si>
    <t>FUMIGADORA MANUAL BONH SL 15L</t>
  </si>
  <si>
    <t>FUMIGADORA MANUAL BONH PLAST 20LT BON-P-MS20L-JP</t>
  </si>
  <si>
    <t>FUMIGADORA MANUAL BONH 20L BON-P-MS20L-JB</t>
  </si>
  <si>
    <t>NYLON BONHOEFFER 3.3MM - 3LB</t>
  </si>
  <si>
    <t>NYLON BONHOEFFER 3.3MM - 5LB X132MT</t>
  </si>
  <si>
    <t>NYLON BONHOEFFER 2.7MM - 3LB</t>
  </si>
  <si>
    <t>PULVERIZADOR ENERGIA PORT BONH 150L</t>
  </si>
  <si>
    <t>PULVERIZADOR ENERGIA PORT BONH 300L</t>
  </si>
  <si>
    <t>ANILLO POWERFUL 0.25 13.P</t>
  </si>
  <si>
    <t>ANILLO POWERFUL 0.25 9HP</t>
  </si>
  <si>
    <t>ANILLO POWERFUL FINO 0.25 5.5HP,6.5HP</t>
  </si>
  <si>
    <t>CIGUEÑAL POWERFUL 5.5 HP</t>
  </si>
  <si>
    <t>CIGUEÑAL POWERFUL 6.5 HP</t>
  </si>
  <si>
    <t>CIGUEÑAL POWERFUL 13.00 HP</t>
  </si>
  <si>
    <t>EMPAQUETADURA BALANC POWERFUL 9.11.13</t>
  </si>
  <si>
    <t>EMPAQUETADURA BALANC POWERFUL5.5. 6.5HP</t>
  </si>
  <si>
    <t>GUIA DE VALVULA POWERFUL 9.0HP.13HP</t>
  </si>
  <si>
    <t>GUITARRA POWERFUL 5.5HP AZUL</t>
  </si>
  <si>
    <t>GUITARRA POWERFUL 9.0HP AZUL</t>
  </si>
  <si>
    <t>GUITARRA POWERFUL 13.0HP AZUL</t>
  </si>
  <si>
    <t>REJILLA TANQUE COMBUST POWERFUL PQPQ</t>
  </si>
  <si>
    <t>MONOBLOCK POWERFUL 5.5HP</t>
  </si>
  <si>
    <t>MONOBLOCK POWERFUL 6.5HP</t>
  </si>
  <si>
    <t>RODAJE CIGUEÑAL POWERFUL 6205 5.5HP</t>
  </si>
  <si>
    <t>RODAJE CIGUEÑAL POWERFUL 6206 9HP</t>
  </si>
  <si>
    <t>RODAJE CIGUEÑAL POWERFUL 6207 13HP</t>
  </si>
  <si>
    <t>SILENCIADOR COMP 5.5HP POWERFUL PL</t>
  </si>
  <si>
    <t>SILENCIADOR COMP 9HP POWERFUL PL</t>
  </si>
  <si>
    <t>SILENCIADOR COMP 13HP POWERFUL PL</t>
  </si>
  <si>
    <t>PLACA GUIA POWERFUL 5.5HP</t>
  </si>
  <si>
    <t>PLACA GUIA POWERFUL 9.0HP.13.0HP</t>
  </si>
  <si>
    <t>SOGUILLA ARRANQUE PQ POWERFUL913HP</t>
  </si>
  <si>
    <t>TUERCA MARIPOSA POWERFUL PQPQ</t>
  </si>
  <si>
    <t>ANILLO STD POWERFUL 1500KW</t>
  </si>
  <si>
    <t>KIT DE PISTON POWERFUL STD 1500KW</t>
  </si>
  <si>
    <t>REJILLA TANQ COMBUST POWERFUL 1500KW</t>
  </si>
  <si>
    <t>SILENCIADOR POWERFUL 1500KW</t>
  </si>
  <si>
    <t>FILTRO AIRE POWERFUL 1500W</t>
  </si>
  <si>
    <t>KIT DE EMPAQUETADURA POWERFUL1500KW</t>
  </si>
  <si>
    <t>CARBON COMPLETO POWERFUL 2500KW</t>
  </si>
  <si>
    <t>AVR ALUMINIO POWERFUL 2500 KW</t>
  </si>
  <si>
    <t>AVR PLASTICO POWERFUL 25000KW</t>
  </si>
  <si>
    <t>CARBON COMPLETO POWERFUL 5500KW</t>
  </si>
  <si>
    <t>AZADON BELLOTA 222-C 105591</t>
  </si>
  <si>
    <t>POLEA DE ARRANQUE TW NT 5800</t>
  </si>
  <si>
    <t>CODO DE CARBURADOR TW 5800</t>
  </si>
  <si>
    <t>RESORTE DE TANQUE TW NT5800</t>
  </si>
  <si>
    <t>POLEA DE ARRANQUE METAL TW NTB520</t>
  </si>
  <si>
    <t>TUERCA DE CUCHILLA TW NT520B</t>
  </si>
  <si>
    <t>TRIMMY TW NT 520B</t>
  </si>
  <si>
    <t>SACABUJIA MOTOGUADAÑA TW NT520B</t>
  </si>
  <si>
    <t>MANGO TW MS381</t>
  </si>
  <si>
    <t>FILTRO DE AIRE TW MS381</t>
  </si>
  <si>
    <t>TAPA DE SEGURO DE FILTRO TW MS660</t>
  </si>
  <si>
    <t>MONOBLOCK TW 280</t>
  </si>
  <si>
    <t>CANASTILLA DE PISTON TW FS280</t>
  </si>
  <si>
    <t>SET DE CAJA REDUCTORA TW 280</t>
  </si>
  <si>
    <t>SOGUILLA DE ARRANQUE 143</t>
  </si>
  <si>
    <t>FILTRO DE AIRE TW 143</t>
  </si>
  <si>
    <t>FILTRO DE COMBUSTIBLE TW 143</t>
  </si>
  <si>
    <t>CARCAZA TW 143</t>
  </si>
  <si>
    <t>PERNO DE EMBRAGUE TW 143</t>
  </si>
  <si>
    <t>KIT DE EMPAQUETADURA TW 143</t>
  </si>
  <si>
    <t>TAPA DE VOLANTE TW 143</t>
  </si>
  <si>
    <t>CAMPANA DE CABEZAL COMPLETO TW143</t>
  </si>
  <si>
    <t>AMORTIGUADOR DE TANQUE TW 143</t>
  </si>
  <si>
    <t>BASE DE TIMON TW 143</t>
  </si>
  <si>
    <t>PROTECTOR DE GRASS TW 143</t>
  </si>
  <si>
    <t>FILTRO O COLADOR BONH 20L</t>
  </si>
  <si>
    <t>BOQUILLA 400014 BONHOEFFER 20 LT</t>
  </si>
  <si>
    <t>BOQUILLA 400015 BONHOEFFER 20 LT</t>
  </si>
  <si>
    <t>BOQUILLA 400016 BONHOEFFER 20 LT</t>
  </si>
  <si>
    <t>BOQUILLA 400017 BONHOEFFER 20 LT</t>
  </si>
  <si>
    <t>PALANCA + VARILLA BONH 20L</t>
  </si>
  <si>
    <t>MANGUERA TRANSPARENTE BONH 20L</t>
  </si>
  <si>
    <t>MANGU+INTERUP+LANZ+BOQ 400023BONH20</t>
  </si>
  <si>
    <t>MANGU+INTERUP+LANZ+BOQ 100011BONH15</t>
  </si>
  <si>
    <t>LANZA+BOQUILLA CON LANZA SS BONH15L</t>
  </si>
  <si>
    <t>CILINDRO BONHOEFFER 20 LT</t>
  </si>
  <si>
    <t>AGITADOR DE BOMBIM BONHOEFFER 20 LT</t>
  </si>
  <si>
    <t>COLADOR BONHOEFFER 20 LT</t>
  </si>
  <si>
    <t>ARNES BONHOEFFER 400019 20 LT</t>
  </si>
  <si>
    <t>TAPA DE TANQUE 200020 BONH 20L</t>
  </si>
  <si>
    <t>BASE DE TANQUE BONHOEFFER 20 L</t>
  </si>
  <si>
    <t>CONJUNTO DE REPUESTOS BONH 20L</t>
  </si>
  <si>
    <t>LANZA+BOQUILL 20028 BONH 20L</t>
  </si>
  <si>
    <t>MANGU+INTERUP+LANZ+BOQ 200026BONH20</t>
  </si>
  <si>
    <t>BOQUILLA 100017 BONHOEFFER 15 LT</t>
  </si>
  <si>
    <t>BOQUILLA 100018 BONH 15L</t>
  </si>
  <si>
    <t>BOQUILLA 100019 BONHOEFFER 15 LT</t>
  </si>
  <si>
    <t>MANGUERA TRANSPARENTE BONH 15L</t>
  </si>
  <si>
    <t>MANGUERA 20027 BONHOEFFER 15 L</t>
  </si>
  <si>
    <t>ARNES 100014 BONHOEFFER 15 LT</t>
  </si>
  <si>
    <t>FILTRO O COLADOR BONH 15L</t>
  </si>
  <si>
    <t>TAPA DE TANQUE 100021 BONH 15L</t>
  </si>
  <si>
    <t>ACCESORIO DE CILINDRO BONH 15L</t>
  </si>
  <si>
    <t>PALANCA 100023 BONH 15L</t>
  </si>
  <si>
    <t>TAPA DE TANQUE 400010 BONH 20L</t>
  </si>
  <si>
    <t>CAMARA COMPLETO BONHOEFFER 400012</t>
  </si>
  <si>
    <t>BOQUILLA 100016 BONHOEFFER 15L</t>
  </si>
  <si>
    <t>PALANCA CON MANIJA BONH 20L</t>
  </si>
  <si>
    <t>CINCEL PUNTA SORRO RDA300X19 8</t>
  </si>
  <si>
    <t>INTERRUPTOR TERMOMAGNTCO RDAC45 20A</t>
  </si>
  <si>
    <t>INTERRUPTOR TERMOMAGNTCO RDAC45 32A</t>
  </si>
  <si>
    <t>LLAVE RUEDA EN CRUZ RDA17X19X21X22</t>
  </si>
  <si>
    <t>LLAVE MIXTA ACODADA RDA 23MM</t>
  </si>
  <si>
    <t>LLAVE MIXTA ACODADA RDA 25MM</t>
  </si>
  <si>
    <t>LLAVE MIXTA ACODADA RDA 26MM</t>
  </si>
  <si>
    <t>LLAVE MIXTA ACODADA RDA 27MM</t>
  </si>
  <si>
    <t>LLAVE MIXTA ACODADA RDA 20MM</t>
  </si>
  <si>
    <t>LLAVE MIXTA PLANO RDA 15MM</t>
  </si>
  <si>
    <t>LLAVE MIXTA PLANO RDA 16MM</t>
  </si>
  <si>
    <t>LLAVE MIXTA PLANO RDA 20MM</t>
  </si>
  <si>
    <t>LLAVE MIXTA PLANO RDA 21MM</t>
  </si>
  <si>
    <t>LLAVE MIXTA PLANO RDA 23MM</t>
  </si>
  <si>
    <t>LLAVE MIXTA PLANO RDA 25MM</t>
  </si>
  <si>
    <t>LLAVE MIXTA PLANO RDA 26MM</t>
  </si>
  <si>
    <t>LLAVE MIXTA PLANO RDA 27MM</t>
  </si>
  <si>
    <t>LLAVE MIXTA PLANO RDA 28MM</t>
  </si>
  <si>
    <t>LLAVE SACABUJIA RDA 17X19</t>
  </si>
  <si>
    <t>LLAVE TIPO PTP RDA 11MM</t>
  </si>
  <si>
    <t>SOCKET DE PLATO CET-P22 RDA</t>
  </si>
  <si>
    <t>TOMACORRIENT TRIPL SOBREP TIERRACETF</t>
  </si>
  <si>
    <t>COLA GRUESA 3.5HP</t>
  </si>
  <si>
    <t>VENTILADOR PIE INDUST RDA 3-1 180W/220V</t>
  </si>
  <si>
    <t>CABLE ACERO GALVANIZADO 1/8X500M</t>
  </si>
  <si>
    <t>CABLE DE ACERO GALVANIZADO 3/8</t>
  </si>
  <si>
    <t>AZADON BELLOTA 222-B 105589</t>
  </si>
  <si>
    <t>BARRA AGRI BELL 5989-16 106216</t>
  </si>
  <si>
    <t>HACHA BELL 8129M-3.5 106101</t>
  </si>
  <si>
    <t>HACHA BELL 8129M-5 106104</t>
  </si>
  <si>
    <t>TIJERA BELLOTA 3501-240 BL 100624BL</t>
  </si>
  <si>
    <t>TIJERA BELLOTA 3501-260 BL 100626BL</t>
  </si>
  <si>
    <t>MOTOR ESTACIONARIO HONDA GX390 TIPOQH1</t>
  </si>
  <si>
    <t>MOTOR ESTACIONARIO HONDA GX200 QBHV ST</t>
  </si>
  <si>
    <t>GENERADOR HONDA EZ3000</t>
  </si>
  <si>
    <t>COLA GRUESA 5.5HP 6.5HP</t>
  </si>
  <si>
    <t>JGO LLAVE CORONA 8PZ RDA SS8</t>
  </si>
  <si>
    <t>LLAVE CORONA 21X23MM RDA</t>
  </si>
  <si>
    <t>LLAVE CORONA 24X27MM RDA</t>
  </si>
  <si>
    <t>LLAVE CORONA 25X28MM RDA</t>
  </si>
  <si>
    <t>LLAVE SACABUJIA 16X17MMRDA</t>
  </si>
  <si>
    <t>LLAVE SACABUJIA 18X19MM RDA</t>
  </si>
  <si>
    <t>LLAVE CORONA 6X7MM RDA</t>
  </si>
  <si>
    <t>LLAVE CORONA 8X9MM RDA</t>
  </si>
  <si>
    <t>LLAVE MIXTA PLANO RDA 11MM</t>
  </si>
  <si>
    <t>MOTOR JIANGDONG RADIAD ZS1105N 18HP</t>
  </si>
  <si>
    <t>MOTOR JIANGDONG C/ BOMBA ZS1105B2WP 18HP</t>
  </si>
  <si>
    <t>MOTOR JIANGDONG C/BOMBA ENC. ELEC. WH1133WPD 33HP</t>
  </si>
  <si>
    <t>MOTOR JIANGDONG C/BOMBA ENC. ELEC. ZS1115WPD 24HP</t>
  </si>
  <si>
    <t>MOTOBOMBA PETROL JIANGDONG WPD40 4HP</t>
  </si>
  <si>
    <t>MOTOR JIANGDONG C/BOMBA ENC. ELEC. ZS1110WPD 20 HP</t>
  </si>
  <si>
    <t>MOTOR EST HONDA GP160 QH1</t>
  </si>
  <si>
    <t>MOTOGUADAÑA HONDA UMK450T</t>
  </si>
  <si>
    <t>GENERADOR HONDA ST EG1000</t>
  </si>
  <si>
    <t>LIMA BELL 4087 4.5 454087(MUESTRA)</t>
  </si>
  <si>
    <t>ABRAZADERA DE CAMBIO BONH 45C</t>
  </si>
  <si>
    <t>FILTRO DE AIRE BONHOEFFER CC45</t>
  </si>
  <si>
    <t>KIT DE EMPAQUES GX390 06111ZF6406</t>
  </si>
  <si>
    <t>JGO DE ANILLO DE PISTON (STD) EB1000</t>
  </si>
  <si>
    <t>CARBURADOR (BE65P) 5.5HPA GX160 16100Z0T821</t>
  </si>
  <si>
    <t>PALANCA CONTROL ACELERACION GX390 16571ZE3W00</t>
  </si>
  <si>
    <t>CUERDA DE ARRANQUE 28462-ZH8-003 GX160/200</t>
  </si>
  <si>
    <t>RETEN DE ACEITE 25X41X6 GX160 91201Z0T801</t>
  </si>
  <si>
    <t>RETEN DE ACEITE 35X52X8 GX390 91201-Z1C-003</t>
  </si>
  <si>
    <t>TANQUE COMB COMP BLA GX390 NH-31 17510ZE3030ZA</t>
  </si>
  <si>
    <t>MOTOBOMBA HONDA WL20XH-DR</t>
  </si>
  <si>
    <t>SOMBRILLA POWERFUL</t>
  </si>
  <si>
    <t>CARRETILLA DE MANO 77713231</t>
  </si>
  <si>
    <t>CUCHILLO P CARNE 10P PROF 24607080</t>
  </si>
  <si>
    <t>CUCHILLO COCINA 5 DYNAMIC 22902005</t>
  </si>
  <si>
    <t>CUCHILLO COCINA 6 DYNAMIC 22902006</t>
  </si>
  <si>
    <t>CUCHILLO COCINA 7 DYNAMIC 22902007</t>
  </si>
  <si>
    <t>CUCHILLO COCINA 8 DYNAMIC 22902008</t>
  </si>
  <si>
    <t>CUCHILLO COCINA 9 DYNAMIC 22902009</t>
  </si>
  <si>
    <t>CUCHILLO COCINA 5 DYNAMIC 22901005</t>
  </si>
  <si>
    <t>CUCHILLO COCINA 7 DYNAMIC22901/007</t>
  </si>
  <si>
    <t>CUCHILLO COCINA 8 DYNAMIC22901/008</t>
  </si>
  <si>
    <t>CUCHILLO COCINA 7 PLENUS 22921007</t>
  </si>
  <si>
    <t>CUCHILLO COCINA 5 PLENUS 22920005</t>
  </si>
  <si>
    <t>CUCHILLO COCINA 6 PLENUS 22920006</t>
  </si>
  <si>
    <t>CUCHILLO COCINA 7 PLENUS 22920007</t>
  </si>
  <si>
    <t>ACEITE 2T BONHOEFFER 1 LT</t>
  </si>
  <si>
    <t>AMORTIGUADOR MEDIANO TW MS660</t>
  </si>
  <si>
    <t>CUCHILLO COCINA 6 PLENUS 22921006</t>
  </si>
  <si>
    <t>CARBURADOR POWERFUL 950KW</t>
  </si>
  <si>
    <t>CAPACITOR POWERFUL 950 KW</t>
  </si>
  <si>
    <t>ASIENTO DE VALVULA POWERFUL 9.0 HP</t>
  </si>
  <si>
    <t>ASIENTO DE VALVULA POWERFUL 13 HP</t>
  </si>
  <si>
    <t>TAPA DE BALANCIN POWERFUL 9.0,13.0 HP</t>
  </si>
  <si>
    <t>TAPA DE BALANCIN POWERFUL 5.0 HP</t>
  </si>
  <si>
    <t>MANGUERA FILTRO AIRE POWERFUL 9.13HP</t>
  </si>
  <si>
    <t>MANGUERA FILTRO AIRE POWERFUL 5.5.6.5HP</t>
  </si>
  <si>
    <t>MANGUERA COMBUST POWERFUL 9.13HP</t>
  </si>
  <si>
    <t>MANGUERA COMBUST POWERFUL 5.5.6.5HP</t>
  </si>
  <si>
    <t>CONTRAPESO HUSQV 143236R 515365601</t>
  </si>
  <si>
    <t>CAMPANA PIÑON LOCO HUSQVAR395288XP</t>
  </si>
  <si>
    <t>BOBINA ARRANQUE HUSQVARNA 288XP</t>
  </si>
  <si>
    <t>PALA BELLOTA 5511 MAP 155836</t>
  </si>
  <si>
    <t>LAPICERO PUBLICITARIO GRUPO DIAZ</t>
  </si>
  <si>
    <t>MOTOBOMBA PETROL JIANGDONG WPD30 3HP</t>
  </si>
  <si>
    <t>MOTOBOMBA PETROL JIANGDONG WPD20 2HP</t>
  </si>
  <si>
    <t>MOTOR GASOL JIANGDONG JF390</t>
  </si>
  <si>
    <t>MOTOR DIESEL JIANGDONG JD186FA 10HP</t>
  </si>
  <si>
    <t>ATOMIZADORA BONH HE-MISTDUSTER52</t>
  </si>
  <si>
    <t>MOTOFUMIGADORA BONH 2 STROKE25LT</t>
  </si>
  <si>
    <t>NIVEL ALUMINIO 450MM 43100018</t>
  </si>
  <si>
    <t>NIVEL ALUMINIO 600MM 43100024</t>
  </si>
  <si>
    <t>KIT HOGAR 19 PZS 43800991</t>
  </si>
  <si>
    <t>KIT LIMPIEZA VEHICULO 8 PZ 43822992</t>
  </si>
  <si>
    <t>KIT ELECTRICISTA 27 PZS 43800997</t>
  </si>
  <si>
    <t>KIT PLOMERO 24 PZS 43800995</t>
  </si>
  <si>
    <t>KIT DE CICLISTA 7 PZS 43800993</t>
  </si>
  <si>
    <t>TIJERA CERCA-VIVA/CES MGO MAD78330125</t>
  </si>
  <si>
    <t>BROCHA CORNETA CERDA NEGRA 2 2/1</t>
  </si>
  <si>
    <t>EXIHIBIDOR GAVILAN PARA MACHETES</t>
  </si>
  <si>
    <t>MOTOCULTOR JIANGDONG JD18</t>
  </si>
  <si>
    <t>FOCO LED A60 5W E27 RDA BL</t>
  </si>
  <si>
    <t>FOCO LED A60 7W E27 RDA BL</t>
  </si>
  <si>
    <t>FOCO LED A60 9W E27 RDA BL</t>
  </si>
  <si>
    <t>FOCO LED A60 12W E27 RDA BL</t>
  </si>
  <si>
    <t>FOCO LED T100 30W E27 RDA BL</t>
  </si>
  <si>
    <t>FOCO LED T140 100W E40 RDA BL</t>
  </si>
  <si>
    <t>PANEL LED SOBR 6W CUAD RDA BL</t>
  </si>
  <si>
    <t>PANEL LED SOBR 18W CUAD RDA BL</t>
  </si>
  <si>
    <t>PULVERIZADORA BONHO VARILLERA WALBRO KS26</t>
  </si>
  <si>
    <t>MOTOGUADAÑA SEMI PROF BONHOEFFER 43CC</t>
  </si>
  <si>
    <t>AHOYADORA BONHOEFFER C/TALADRO 6MM 52CC</t>
  </si>
  <si>
    <t>NEBULIZADORA BONHOEFFER C/ TANQUE 6 LT</t>
  </si>
  <si>
    <t>NEBULIZADORA BONHO HE-FOGGER - 2LT</t>
  </si>
  <si>
    <t>MARTILLO BELLOTA 8001-C PFB HCL01CPFB</t>
  </si>
  <si>
    <t>BOMBA SUCCION JIANGDONG HW150-13</t>
  </si>
  <si>
    <t>FLEXOMETRO BELLOTA 50030-5</t>
  </si>
  <si>
    <t>FUMIGADORA BELLOTA FCI-1.5 VRP 100708</t>
  </si>
  <si>
    <t>FUMIGADORA BELLOTA FCI-5 VRP 100706</t>
  </si>
  <si>
    <t>MAZA BELLOTA 5203-8LB CM 105458</t>
  </si>
  <si>
    <t>PINZA UNIVERSAL 7 41001/117</t>
  </si>
  <si>
    <t>MOTOSIERRA DIFER 9200 36``</t>
  </si>
  <si>
    <t>MOTOSIERRA DIFER 7200 30</t>
  </si>
  <si>
    <t>RED DE PESCA BLANCA 0.50 9X2</t>
  </si>
  <si>
    <t>RED DE PESCA BLANCA 0.50 9X2-1/2</t>
  </si>
  <si>
    <t>RED DE PESCA BLANCA 0.50 9X3</t>
  </si>
  <si>
    <t>RED DE PESCA BLANCA 0.50 9 X 3 -1/2</t>
  </si>
  <si>
    <t>RED DE PESCA VERDE 9X2-1/2</t>
  </si>
  <si>
    <t>RED DE PESCA VERDE 9X3</t>
  </si>
  <si>
    <t>RED DE PESCA VERDE 9X4-1/2</t>
  </si>
  <si>
    <t>RED DE PESCA VERDE 9X5</t>
  </si>
  <si>
    <t>ANILLO GULEY 372 XP</t>
  </si>
  <si>
    <t>ANILLO GULEY 395 XP</t>
  </si>
  <si>
    <t>CARBURADOR GULEY 288XP</t>
  </si>
  <si>
    <t>KIT DE CARBURADOR GULEY FS280</t>
  </si>
  <si>
    <t>KIT DE CILINDRO GULEY NTB520</t>
  </si>
  <si>
    <t>RESORTE DE RETRACCION GULEY 288XP</t>
  </si>
  <si>
    <t>RESORTE DE RETRACCION GULEY 372XP</t>
  </si>
  <si>
    <t>RESORTE DE RETRACCION GULEY 395XP</t>
  </si>
  <si>
    <t>CIGUEÑAL GULEY CS660</t>
  </si>
  <si>
    <t>CANASTILLA DE CAMPANA GULEY CS381</t>
  </si>
  <si>
    <t>CANASTILLA DE CAMPANA GULEY CS660</t>
  </si>
  <si>
    <t>CHAPA ACEITERA GULEY CS660</t>
  </si>
  <si>
    <t>RESORTE DE FRENO GULEY CS660</t>
  </si>
  <si>
    <t>FILTRO DE AIRE GULEY CS660</t>
  </si>
  <si>
    <t>KIT DE EMPAQUETADURA GULEY CS660</t>
  </si>
  <si>
    <t>KIT DE EMPAQUETADURA GULEY NT5800</t>
  </si>
  <si>
    <t>KIT DE EMPAQUETADURA GULEY NTB520</t>
  </si>
  <si>
    <t>LLAVE T GULEY CS660</t>
  </si>
  <si>
    <t>MANGO GULEY CS660</t>
  </si>
  <si>
    <t>RETEN DE CIGUEÑAL CHICO GULEY CS660</t>
  </si>
  <si>
    <t>RODAJE DE CIGUEÑAL GULEY 6203</t>
  </si>
  <si>
    <t>BOMBA PARA SUMERGIBLE BON-P-SPB-1.0 HP</t>
  </si>
  <si>
    <t>CADENA RED BONHOEFFER 404 1480S</t>
  </si>
  <si>
    <t>LLAVE CRUZ 20" EP-20150</t>
  </si>
  <si>
    <t>CADENA BONHOEFFER 3/8 1640S</t>
  </si>
  <si>
    <t>EMPAQUE DE CULATA DE CILINDRO ST 12251ZF6W01</t>
  </si>
  <si>
    <t>TAPA ENGRASADOR COLA SAIL CHICA</t>
  </si>
  <si>
    <t>BASE DE MOTOR SPS I A-85</t>
  </si>
  <si>
    <t>BASE DE MOTOR SPS II A-100</t>
  </si>
  <si>
    <t>RODAJE DE COLA SAIL</t>
  </si>
  <si>
    <t>GULEY</t>
  </si>
  <si>
    <t>ALM IQT - 03A SANTA CLARA</t>
  </si>
  <si>
    <t>IQUITOS</t>
  </si>
  <si>
    <t>MT</t>
  </si>
  <si>
    <t>DIFER</t>
  </si>
  <si>
    <t>ALM IQT - 0573</t>
  </si>
  <si>
    <t>GOLD FISH</t>
  </si>
  <si>
    <t>PR</t>
  </si>
  <si>
    <t>VENUS</t>
  </si>
  <si>
    <t>BOTAS VEREDA GRN NG AM 37</t>
  </si>
  <si>
    <t>BOTAS VEREDA GRN NG AM 39</t>
  </si>
  <si>
    <t>BOTAS VEREDA GRN NG AM 40</t>
  </si>
  <si>
    <t>BONHOEFFER</t>
  </si>
  <si>
    <t>BELLOTA</t>
  </si>
  <si>
    <t>MAZA BELLOTA 5203-3  CFB HSLO33CFB</t>
  </si>
  <si>
    <t>POWERFUL</t>
  </si>
  <si>
    <t>EPICA STAR</t>
  </si>
  <si>
    <t>NIVEL ALUMINIO 80CM EPI  EP-30185</t>
  </si>
  <si>
    <t>LLAVE AJUSTABLE C/ MANGO PVC  8 EPI EP-20260</t>
  </si>
  <si>
    <t>DISCO SIERRA 180X40TX25.4 (7)  EPI EP-60174</t>
  </si>
  <si>
    <t>BROCA MULTIFUN 5PCS 4-10MM  EPI EP-10411</t>
  </si>
  <si>
    <t>ALICATE PELACABLES 6  EPI EP-50238</t>
  </si>
  <si>
    <t>BADILEJO PARA  ALBAÑIL  M/MAD 6 EPI EP-20113</t>
  </si>
  <si>
    <t>BADILEJO PARA ALBAÑIL  M/MAD 8 EPI EP-20115</t>
  </si>
  <si>
    <t>BADILEJO PARA  ALBAÑIL  M/PLAST 8 EPI EP-20071</t>
  </si>
  <si>
    <t>HONDA</t>
  </si>
  <si>
    <t>JIANGDONG</t>
  </si>
  <si>
    <t>ROLLO</t>
  </si>
  <si>
    <t>CADENA REDONDA BONHOEFFER  ROLLO404 BON-SCADENA-010</t>
  </si>
  <si>
    <t>YAMAHA</t>
  </si>
  <si>
    <t>STIHL</t>
  </si>
  <si>
    <t>ELECTROBOMBA  JET 1HP EPI-50401</t>
  </si>
  <si>
    <t>AMOLADORA BANCO 550W  EP-50441</t>
  </si>
  <si>
    <t>DESTORNILLADOR ESTRELLA  8x200mm EP-50615</t>
  </si>
  <si>
    <t>LLANA ESPONJA 18X32  EP-20335</t>
  </si>
  <si>
    <t>BROCHA MANGO MADERA 1.5  EP-50333</t>
  </si>
  <si>
    <t>BROCHA MANGO MADERA 2  EP-50334</t>
  </si>
  <si>
    <t>RODILLO 7  EP-60364</t>
  </si>
  <si>
    <t>RODILLO 9  EP-60365</t>
  </si>
  <si>
    <t>GATA HIDRAULICA 20 TON  EP-60183</t>
  </si>
  <si>
    <t>TECLE  2 TON EP -30467</t>
  </si>
  <si>
    <t>COMBA  MANG.MADERA 1000G EP-30337</t>
  </si>
  <si>
    <t>SAIL</t>
  </si>
  <si>
    <t>RDA</t>
  </si>
  <si>
    <t>GAVILAN</t>
  </si>
  <si>
    <t>TRAMONTINA</t>
  </si>
  <si>
    <t>EMPAQUETADURA  DE CARBURADOR BONHOEFFER CS55</t>
  </si>
  <si>
    <t>EMPAQUETADURA  DE SILENCIADOR BONHOEFFER CS55</t>
  </si>
  <si>
    <t>MONOBLOCK  BONHOEFFER  CS55</t>
  </si>
  <si>
    <t>BOTAS VEREDA GRN NG AM 43</t>
  </si>
  <si>
    <t>CRAFTOP</t>
  </si>
  <si>
    <t>NGK</t>
  </si>
  <si>
    <t>TAIWAN</t>
  </si>
  <si>
    <t>DESCOMPRESOR TW  MS660 STEEL</t>
  </si>
  <si>
    <t>VOLANTE TW  MS660</t>
  </si>
  <si>
    <t>UÑA DE AUTOMAT METAL  CRAFTOPNT5200</t>
  </si>
  <si>
    <t>NAKAYA</t>
  </si>
  <si>
    <t>S/M</t>
  </si>
  <si>
    <t>CHE</t>
  </si>
  <si>
    <t>SILENCIADOR NAKAYA  6.5HP. 5.5HP</t>
  </si>
  <si>
    <t>MACFORTH</t>
  </si>
  <si>
    <t>ESL</t>
  </si>
  <si>
    <t>CUCHILLA GUADAÑA GAV PALM PUL 400MM X 1  .25MM</t>
  </si>
  <si>
    <t>CUCHILLO CARNE 6 PROF 24607086</t>
  </si>
  <si>
    <t>YUNXING</t>
  </si>
  <si>
    <t>EMBRAGUE COMPLETO HUSQVARNA  395XP,288XP</t>
  </si>
  <si>
    <t>HUSQVARNA</t>
  </si>
  <si>
    <t>SFX</t>
  </si>
  <si>
    <t>RESORTE GOBERNOR  GX270 16561ZE2000</t>
  </si>
  <si>
    <t>RETEN VASTAGO  GX160 /200 12209ZH8003</t>
  </si>
  <si>
    <t>EMPAQUE  CULATA CILINDRO GX160 12251 ZL0 003 HON</t>
  </si>
  <si>
    <t>PALANCA ESTRA CARBURADOR  GX160/270/390 16610 Z</t>
  </si>
  <si>
    <t>JUNTA/ARANDELA  AISLAMIENTO CALOR BON-P-BC33-E7</t>
  </si>
  <si>
    <t>TALADRO ELECTRICO 400W EP-10057</t>
  </si>
  <si>
    <t>FIBRODISCO BARRACUDA PRO 4 1/2 GRANO 36</t>
  </si>
  <si>
    <t>FIBRODISCO BARRACUDA PRO 4 1/2 GRANO 50</t>
  </si>
  <si>
    <t>MOTOR FUERA DE BORDA YAMAHA 9.9GMHS</t>
  </si>
  <si>
    <t>MACHETE GAV 191H 24 MANGO NARANJA</t>
  </si>
  <si>
    <t>TERMOFORMADOS PLEGABLES LIMA GAVILAN</t>
  </si>
  <si>
    <t>EXIHIBIDOR TABLERO MACHETES GAVILAN</t>
  </si>
  <si>
    <t>CUCHILLO P/CARNE 8 PROFESSIONAL 24609188</t>
  </si>
  <si>
    <t>LINTERNA RDA RECARGABLE</t>
  </si>
  <si>
    <t>JGO DE ANILLOS DE PISTON STD 13010ZC0003 EB1000</t>
  </si>
  <si>
    <t>CARBURADOR (BE70L A) ST GX270 16100Z1D821</t>
  </si>
  <si>
    <t>COJINETE 93332000U700</t>
  </si>
  <si>
    <t>JUEGO DE ANILLOS STD 6S1116030000</t>
  </si>
  <si>
    <t>SEGURO DE PISTON 63P116331000</t>
  </si>
  <si>
    <t>JUNTA TUBO DE ESCAPE MX400 7HCE46130000</t>
  </si>
  <si>
    <t>VALVULA DE ADMISION-EF7200/MZ360 MX30 7CTE21110000</t>
  </si>
  <si>
    <t>VALVULA DE ESCAPE-EF7200 MX360 7HDE21210000</t>
  </si>
  <si>
    <t>EMPAQUE MX360 7HDE11930000</t>
  </si>
  <si>
    <t>RESORTE DE ARRANQUE MX400 7HCE57130000</t>
  </si>
  <si>
    <t>JUEGO DE ANILLOS (STD)EF7200 MX400 7HDE16100000</t>
  </si>
  <si>
    <t>RETEN DE ACEITE MX400 931023580200</t>
  </si>
  <si>
    <t>TAPON DE BUJIA COMPLET MX 400 7CNH23700000</t>
  </si>
  <si>
    <t>EMPAQUE CUBIERTA DE CARTER MX 400 7HDE54511000</t>
  </si>
  <si>
    <t>INTERRUP.DE PARADA COMPLETO MX400 7HCH25500000</t>
  </si>
  <si>
    <t>ENOAQ, CBTA.DE RESP. MX175 7CNE11690200</t>
  </si>
  <si>
    <t>COJINETE MX175 93306255Y300</t>
  </si>
  <si>
    <t>VARILLA DE EMPUJE DE VALVULA MX360 7HDE21540000</t>
  </si>
  <si>
    <t>RETEN DE ACEITE (25X0X5-256) MX 175 931022509000</t>
  </si>
  <si>
    <t>JUNTA, TUBO DE ESCAPE MX 175 7DBE46130000</t>
  </si>
  <si>
    <t>RETEN RESORTE DE VALVULA-MX175 7CNE21170000</t>
  </si>
  <si>
    <t>PISTON (STD) - MX175 7BXE163100A0</t>
  </si>
  <si>
    <t>JUEGO DE ANILLOS (STD)-MX175 7CPE16100000</t>
  </si>
  <si>
    <t>TUERCA MX250 7HCE44390000</t>
  </si>
  <si>
    <t>PISTON (STD) EF7200 MX400 7HDE163110A0</t>
  </si>
  <si>
    <t>FILTRO DE AIRE -MX400 7HCE44500000</t>
  </si>
  <si>
    <t>VALVULA DE ESCAPE MX250 7VBE21210000</t>
  </si>
  <si>
    <t>RETEN RESORTE DE VALVULA MX360 7CTE21170000</t>
  </si>
  <si>
    <t>COJINETE MZ360 93306252YK00</t>
  </si>
  <si>
    <t>LEVANTADOR DE VALVULA MZ360 7CTE21530000</t>
  </si>
  <si>
    <t>EMPAQUE MX250 7VBE11930100</t>
  </si>
  <si>
    <t>TAPON DEL NIVEL DE ACEITE MX400 7VBE536A0000</t>
  </si>
  <si>
    <t>BIELA COMPLETA MX400 7HPE16500000</t>
  </si>
  <si>
    <t>LEVANTADOR DE VALVULA MX200 7CNE21530000</t>
  </si>
  <si>
    <t>VALVULA DE ADMISION-EF2600/MX175 7CNE21110000</t>
  </si>
  <si>
    <t>TAPON DEL NIVEL DE ACEITE MX175 7BXE536A0000</t>
  </si>
  <si>
    <t>RESORTE DE ARRANQUE MX175 7DBE57130000</t>
  </si>
  <si>
    <t>EJE DE VALANTE CONJUNTO MX175 7CNE19701000</t>
  </si>
  <si>
    <t>SWICH DE ACEITE MX175 7DBH56900000</t>
  </si>
  <si>
    <t>VARILLA DE EMPUJE DE VALVULA MX250 7VBE21540000</t>
  </si>
  <si>
    <t>EMPAQUE DE CUBIERTA DE CARTER MX250 7VBES4510000</t>
  </si>
  <si>
    <t>VALVULA DE ADMISION MX200 7DHE21111000</t>
  </si>
  <si>
    <t>JUNTA DE CULATA MX200 7DHE11810100</t>
  </si>
  <si>
    <t>BUJIA (B7HS) 947020004000</t>
  </si>
  <si>
    <t>CORREA (CON PERNO) 6FPW46240000</t>
  </si>
  <si>
    <t>PIÑON DE ATAQUE 63P455510000</t>
  </si>
  <si>
    <t>EJE DE MANDO COMPL. 63P455011100</t>
  </si>
  <si>
    <t>COJINETE 93306208U000</t>
  </si>
  <si>
    <t>PISTON (NORMA) 6DX116310193</t>
  </si>
  <si>
    <t>PISTON (STD) 6DX116420193</t>
  </si>
  <si>
    <t>KIT DE EMPAQUE DE MOTOR F200/F250  6P2W00010400</t>
  </si>
  <si>
    <t>JUEGO DE ANILLOS (NORMA) 60C116031100</t>
  </si>
  <si>
    <t>ESTUCHE REPARACION BOMBA AGUA 6S1W00780100</t>
  </si>
  <si>
    <t>VALVULA DE ADMISION 7VBE21110000</t>
  </si>
  <si>
    <t>LLAVE DE ACCESO YDIS 2.4</t>
  </si>
  <si>
    <t>AMORTIGUADOR GRANDE TW  MS660 650</t>
  </si>
  <si>
    <t>BOCINA FINA  5.5HP 6.5HP</t>
  </si>
  <si>
    <t>BOCINA GRUESA 5/8  9.0HP. 13HP</t>
  </si>
  <si>
    <t>LLAVE ESTRIADA TW  660 L</t>
  </si>
  <si>
    <t>VOLTIMETRO NAKAYA  950KW. GRANDE</t>
  </si>
  <si>
    <t>MANIJA ARRANQUE NAKAYA  PQPQ.GENERAD</t>
  </si>
  <si>
    <t>MONOBLOCK NAKAYA  5.5HP</t>
  </si>
  <si>
    <t>EXCELLENT</t>
  </si>
  <si>
    <t>CIGUEÑAL TW 660   650</t>
  </si>
  <si>
    <t>BIELA NAKAYA  13HP</t>
  </si>
  <si>
    <t>KIT DE PISTON NAKAYA STD  5.5HP</t>
  </si>
  <si>
    <t>MANGO TW  MS660 650</t>
  </si>
  <si>
    <t>RED DE PESCA VERDE 24X5  100MM</t>
  </si>
  <si>
    <t>CUCHARA ALBAÑIL 9 MANGO  MADERA 77358095</t>
  </si>
  <si>
    <t>PULVERIZADORA MOTOR DIFER SP768  25L 2T</t>
  </si>
  <si>
    <t>FOY</t>
  </si>
  <si>
    <t>TANQUE DE COMBUSTIBLE POWERFUL  5.5.6.5HP A</t>
  </si>
  <si>
    <t>ANILLO POWERFUL STD  9.0HP</t>
  </si>
  <si>
    <t>ANILLO POWERFUL STD  13.0HP</t>
  </si>
  <si>
    <t>SELLO/RETEN DE ACEITE  BONH45C</t>
  </si>
  <si>
    <t>PIN 4X10  BONHOEFFER 45CC</t>
  </si>
  <si>
    <t>PERNO M6X30  BONHOEFFER 45CC</t>
  </si>
  <si>
    <t>PERNO M5 X12  BONHOEFFER 45CC</t>
  </si>
  <si>
    <t>SILENCIADOR  BONHOEFFER 45CC</t>
  </si>
  <si>
    <t>TORNILLO ST3X9  BONHOEFFER 33C</t>
  </si>
  <si>
    <t>PIÑON LOCO  DIFER 3/8 M 5800</t>
  </si>
  <si>
    <t>FUMIGADORA MANUAL BONH 20L  BON-P-MS20L-JB</t>
  </si>
  <si>
    <t>AGITADOR DE BOMBIM  BONHOEFFER 20 LT</t>
  </si>
  <si>
    <t>LLAVE MIXTA ACODADA RDA  23MM</t>
  </si>
  <si>
    <t>LLAVE MIXTA ACODADA RDA  25MM</t>
  </si>
  <si>
    <t>LLAVE MIXTA ACODADA RDA  26MM</t>
  </si>
  <si>
    <t>LLAVE MIXTA ACODADA RDA  27MM</t>
  </si>
  <si>
    <t>LLAVE MIXTA ACODADA RDA  20MM</t>
  </si>
  <si>
    <t>SOCKET  DE PLATO CET-P22 RDA</t>
  </si>
  <si>
    <t>DNI/ RUC</t>
  </si>
  <si>
    <t>Lista de Clientes</t>
  </si>
  <si>
    <t>Código</t>
  </si>
  <si>
    <t>Código Real</t>
  </si>
  <si>
    <t>Nombre</t>
  </si>
  <si>
    <t>Estado</t>
  </si>
  <si>
    <t>Saldo</t>
  </si>
  <si>
    <t>Giro</t>
  </si>
  <si>
    <t>Dirección</t>
  </si>
  <si>
    <t>Comuna</t>
  </si>
  <si>
    <t>Vendedor</t>
  </si>
  <si>
    <t>00000000001</t>
  </si>
  <si>
    <t>CLIENTES VARIOS</t>
  </si>
  <si>
    <t>Activo</t>
  </si>
  <si>
    <t>-</t>
  </si>
  <si>
    <t>00000001</t>
  </si>
  <si>
    <t>VARIOS</t>
  </si>
  <si>
    <t>CLIENTE FINAL</t>
  </si>
  <si>
    <t>JR FAUSTINO MALDONADO 274</t>
  </si>
  <si>
    <t>TARAPOTO</t>
  </si>
  <si>
    <t>00014697</t>
  </si>
  <si>
    <t>JAIRO AREVALO REATEGUI</t>
  </si>
  <si>
    <t>BAZAR</t>
  </si>
  <si>
    <t>MALECON MARAÑON S/N - SAN LORENZO</t>
  </si>
  <si>
    <t>BARRANCA</t>
  </si>
  <si>
    <t>42747417</t>
  </si>
  <si>
    <t>00018897</t>
  </si>
  <si>
    <t>MIRAVAL SANTILLAN TOMAS ROLLING</t>
  </si>
  <si>
    <t>FERRETERIA</t>
  </si>
  <si>
    <t xml:space="preserve">JR TARMA 526 LA MERCED CHANCHAMAYO </t>
  </si>
  <si>
    <t>CHANCHAMAYO</t>
  </si>
  <si>
    <t>00025102</t>
  </si>
  <si>
    <t>NOLORBE UPIACHIHUAY HUMBERTO SEGUNDO</t>
  </si>
  <si>
    <t>MOYOBAMBA</t>
  </si>
  <si>
    <t>74440282</t>
  </si>
  <si>
    <t>00033374</t>
  </si>
  <si>
    <t>CHUMBE NICOLAS DEL AGUILA</t>
  </si>
  <si>
    <t>JR. UCAYALI CDRA.10-CALLERIA-C.PORTILLO-UCAYALI</t>
  </si>
  <si>
    <t>CALLERIA</t>
  </si>
  <si>
    <t>48221183</t>
  </si>
  <si>
    <t>00043404</t>
  </si>
  <si>
    <t>FELIX ZAMALLOA ZULEMA</t>
  </si>
  <si>
    <t>pesca</t>
  </si>
  <si>
    <t>JR LORETO 131 CALLERIA</t>
  </si>
  <si>
    <t>00062983</t>
  </si>
  <si>
    <t>ESPINOZA OCHOA LUIS</t>
  </si>
  <si>
    <t>-FERRETERO</t>
  </si>
  <si>
    <t>VIA DE AVITAMIENTO LA CDR:16</t>
  </si>
  <si>
    <t>00063104</t>
  </si>
  <si>
    <t>EMITH PALMA SORIA</t>
  </si>
  <si>
    <t>JR.SAN MARTIN 432 LA BANDA DE SHILCAYO</t>
  </si>
  <si>
    <t>LA BANDA DE SHILCAYO</t>
  </si>
  <si>
    <t>00065245</t>
  </si>
  <si>
    <t>VARGAS SALAS JAIME</t>
  </si>
  <si>
    <t>clientes</t>
  </si>
  <si>
    <t>FANING 326</t>
  </si>
  <si>
    <t>Iquitos</t>
  </si>
  <si>
    <t>00065822</t>
  </si>
  <si>
    <t>RAMIREZ DEL CASTILLO NEISSER</t>
  </si>
  <si>
    <t>CONSUMIDOR FINAL</t>
  </si>
  <si>
    <t>JR.CUZCO 187</t>
  </si>
  <si>
    <t>ARAMANGO</t>
  </si>
  <si>
    <t>00070542</t>
  </si>
  <si>
    <t>SILVANO PIZANGO PRIMO ARMANDO</t>
  </si>
  <si>
    <t>PSAJE. MADERAS LAMINADAS AA.HH. 15 DE JULIO MZ. D LT. 12</t>
  </si>
  <si>
    <t>41608013</t>
  </si>
  <si>
    <t>00075809</t>
  </si>
  <si>
    <t>AGUILAR MOZOMBITE ROSA ISABEL</t>
  </si>
  <si>
    <t>SANTA MARIA DEL OJEAL</t>
  </si>
  <si>
    <t>00087976</t>
  </si>
  <si>
    <t>SILVANO OCHAVANO JOSEFINA</t>
  </si>
  <si>
    <t>PESCA</t>
  </si>
  <si>
    <t>JR HUASCAR 398 - 9 DE OCTUBRE CALLERIA</t>
  </si>
  <si>
    <t>00089490</t>
  </si>
  <si>
    <t>JR TIWINSAMZ A LT 24</t>
  </si>
  <si>
    <t>00093152</t>
  </si>
  <si>
    <t>JHONI JORGE</t>
  </si>
  <si>
    <t>PDF</t>
  </si>
  <si>
    <t>JR FITZCARRALD N 288</t>
  </si>
  <si>
    <t>00093279</t>
  </si>
  <si>
    <t>CESAR CHAVEZ RIOS</t>
  </si>
  <si>
    <t>ALTOMONTE - RIO AMAZONAS</t>
  </si>
  <si>
    <t>SAN PABLO</t>
  </si>
  <si>
    <t>001027528</t>
  </si>
  <si>
    <t>DENIS PLEKHANOV  PLEKHANOV</t>
  </si>
  <si>
    <t>RUSIA</t>
  </si>
  <si>
    <t>00104939</t>
  </si>
  <si>
    <t>VALDERRAMA YNUMA ANGEL</t>
  </si>
  <si>
    <t>JR COMANDANTE SUAREZ Nº1148</t>
  </si>
  <si>
    <t>CORONEL PORTILLO</t>
  </si>
  <si>
    <t>00108229</t>
  </si>
  <si>
    <t>CLARITA LUZ PAPA SIQUIHUA</t>
  </si>
  <si>
    <t>Inactivo</t>
  </si>
  <si>
    <t>TACHITEA BAJO UCAYALI S/N</t>
  </si>
  <si>
    <t>RAIMONDI</t>
  </si>
  <si>
    <t>41031312</t>
  </si>
  <si>
    <t>00109489</t>
  </si>
  <si>
    <t>ARMIN</t>
  </si>
  <si>
    <t>CASERIO SANTA ISABEL</t>
  </si>
  <si>
    <t>75590136</t>
  </si>
  <si>
    <t>00111331</t>
  </si>
  <si>
    <t>CARLOS ALBERTO PEÑA MORAN</t>
  </si>
  <si>
    <t>CALLE LA PAZ MZ.B LT L.31.</t>
  </si>
  <si>
    <t>YARINACOCHA</t>
  </si>
  <si>
    <t>00118877</t>
  </si>
  <si>
    <t>CASIMIRO RABAROZA RIGOBERTO</t>
  </si>
  <si>
    <t>-PESCA</t>
  </si>
  <si>
    <t>JR TINGO MARIA MZ.M LT6-7</t>
  </si>
  <si>
    <t>00120441</t>
  </si>
  <si>
    <t>MATIAS CASTRO AMASIFUEN</t>
  </si>
  <si>
    <t>CALLE BUENOS AIRES S/N 999</t>
  </si>
  <si>
    <t>00122653</t>
  </si>
  <si>
    <t>MARITHZA</t>
  </si>
  <si>
    <t>AV. TUPAC AMARU MZ.16. LT.07-MANANTAY-C.PORTILLO</t>
  </si>
  <si>
    <t>00125264</t>
  </si>
  <si>
    <t>LOZANO MARIN MARIA ESTHER</t>
  </si>
  <si>
    <t>CLIENTES</t>
  </si>
  <si>
    <t>SANTA ROSA</t>
  </si>
  <si>
    <t>00127331</t>
  </si>
  <si>
    <t>ERICK ARAUJO</t>
  </si>
  <si>
    <t>FREYRE N 1450</t>
  </si>
  <si>
    <t>00128956</t>
  </si>
  <si>
    <t>LINSER GUERRA MORALES</t>
  </si>
  <si>
    <t>AV. LAS AMERICAS S/N-AUCAYACU-J.CRESPO-L.PRADO</t>
  </si>
  <si>
    <t>JOSE CRESPO Y CASTILLO</t>
  </si>
  <si>
    <t>00130425</t>
  </si>
  <si>
    <t>RIOS MARIN RED RIDER</t>
  </si>
  <si>
    <t>PSJ 3 DE JULIO AH NEVA AMERICA MZ 22 LT03</t>
  </si>
  <si>
    <t>MANANTAY</t>
  </si>
  <si>
    <t>46494173</t>
  </si>
  <si>
    <t>001550561</t>
  </si>
  <si>
    <t>ESPERANZA QUINTEROS SILVA</t>
  </si>
  <si>
    <t>Las Amazonas</t>
  </si>
  <si>
    <t>00160065</t>
  </si>
  <si>
    <t>JUAN SIANCAS LEON</t>
  </si>
  <si>
    <t>BOLOGNESI-RAYMONDI-UCAYALI</t>
  </si>
  <si>
    <t>TAHUANIA</t>
  </si>
  <si>
    <t>43313533</t>
  </si>
  <si>
    <t>00160084</t>
  </si>
  <si>
    <t>JORGE CUBA RETAMOZO</t>
  </si>
  <si>
    <t>Jr. URUBAMBA S/N - ATALAYA</t>
  </si>
  <si>
    <t>00166226</t>
  </si>
  <si>
    <t>MARITZA LOARTE VICAÑA</t>
  </si>
  <si>
    <t>COMERCIAL</t>
  </si>
  <si>
    <t>CALLE:IQUITOS S/ N YURIMAGUAS</t>
  </si>
  <si>
    <t>ALTO AMAZONAS</t>
  </si>
  <si>
    <t>44842517</t>
  </si>
  <si>
    <t>00187618</t>
  </si>
  <si>
    <t>FELIX CESPEDES SANDOVAL</t>
  </si>
  <si>
    <t>CFB KM 110 SAN ALEJANDRO</t>
  </si>
  <si>
    <t>IRAZOLA</t>
  </si>
  <si>
    <t>00187957</t>
  </si>
  <si>
    <t>FERNANDEZ DIAZ PORFIRIO</t>
  </si>
  <si>
    <t>CFB KM 86</t>
  </si>
  <si>
    <t>ALEXANDER VON HUMBOLDT</t>
  </si>
  <si>
    <t>002243667</t>
  </si>
  <si>
    <t>JHAN CARLOS RIOBO SILVA</t>
  </si>
  <si>
    <t>CARRETERA IQUITOS NAUTA KM 5</t>
  </si>
  <si>
    <t>NAUTA</t>
  </si>
  <si>
    <t>00456987</t>
  </si>
  <si>
    <t>ORIUNDO</t>
  </si>
  <si>
    <t>005645278</t>
  </si>
  <si>
    <t>JEISON SANTA BUITRAGO</t>
  </si>
  <si>
    <t>TAVARA 1190</t>
  </si>
  <si>
    <t>005978004</t>
  </si>
  <si>
    <t>LOPEZ NUNEZ WILMAN RAUL</t>
  </si>
  <si>
    <t>PUCAURCOS</t>
  </si>
  <si>
    <t>00803678</t>
  </si>
  <si>
    <t>JOSE ANTONIO</t>
  </si>
  <si>
    <t>JR. PASTAZA S/N - SAN LORENZO</t>
  </si>
  <si>
    <t>00805898</t>
  </si>
  <si>
    <t>LOZANO RAMOS GONZALO</t>
  </si>
  <si>
    <t>Psj. Aeropuerto A.A.H.H La Molina Mz D Lt 12</t>
  </si>
  <si>
    <t>Yurimaguas</t>
  </si>
  <si>
    <t>00812906</t>
  </si>
  <si>
    <t>GUERRA DE IBERICO AMALIA</t>
  </si>
  <si>
    <t>JR. SOSIMO RIVAS S/N - LAMAS - LAMAS - SAN MARTIN</t>
  </si>
  <si>
    <t>LAMAS</t>
  </si>
  <si>
    <t>42982111</t>
  </si>
  <si>
    <t>00815707</t>
  </si>
  <si>
    <t>DE LA PEÑA BORDA VDA DE AREVALO ANA NICIDA</t>
  </si>
  <si>
    <t>00818917</t>
  </si>
  <si>
    <t>CORDOVA NUÑEZ HUMBERTO</t>
  </si>
  <si>
    <t>JR. EDUARDO PEÑA MEZA S/N - JUANJUI - MCAL.CACERES - SAN MARTIN</t>
  </si>
  <si>
    <t>JUANJUI</t>
  </si>
  <si>
    <t>00819256</t>
  </si>
  <si>
    <t>SEGUNDO JUAN</t>
  </si>
  <si>
    <t>JR. 30 DE NOVIEMBRE S/NPUEBLO LIBRE</t>
  </si>
  <si>
    <t>JAEN</t>
  </si>
  <si>
    <t>00820961</t>
  </si>
  <si>
    <t>ENRIQUE URIARTE BUSTAMANTE</t>
  </si>
  <si>
    <t>CALLE MI PERU- S/N - SANTA ROSA</t>
  </si>
  <si>
    <t>YAVARI</t>
  </si>
  <si>
    <t>00822211</t>
  </si>
  <si>
    <t>RISCO TOGAS ADOLFO</t>
  </si>
  <si>
    <t>Bariio Santa Rosa - Pampa Hermosa</t>
  </si>
  <si>
    <t>00829633</t>
  </si>
  <si>
    <t>CASAS BUSTAMANTE CARMELA</t>
  </si>
  <si>
    <t>JR EMILIO ACOSTA 285</t>
  </si>
  <si>
    <t>00831960</t>
  </si>
  <si>
    <t>VASQUEZ CAMIZAN DIANA MEDALI</t>
  </si>
  <si>
    <t xml:space="preserve">SIN NEGOCIO </t>
  </si>
  <si>
    <t>JR: 28 DE JULIO CDR1-MOYO</t>
  </si>
  <si>
    <t>73757705</t>
  </si>
  <si>
    <t>00837482</t>
  </si>
  <si>
    <t>RODRIGUEZ DIAZ LEONCIO</t>
  </si>
  <si>
    <t>ferreteria</t>
  </si>
  <si>
    <t>JR: CALSADA S/N</t>
  </si>
  <si>
    <t>00841015</t>
  </si>
  <si>
    <t>PEREZ PEREZ DANIEL</t>
  </si>
  <si>
    <t>AV. LIMA S/N - SAPOSOA - HUALLAGA - SAN MARTIN</t>
  </si>
  <si>
    <t>HUALLAGA</t>
  </si>
  <si>
    <t>00864437</t>
  </si>
  <si>
    <t>SILVA FLORES EDGARDO</t>
  </si>
  <si>
    <t>SAN PEDRO-RIO NANAY</t>
  </si>
  <si>
    <t>00865269</t>
  </si>
  <si>
    <t>ABRAHAM MONTERO YAÑEZ</t>
  </si>
  <si>
    <t>COMUNIDAD ALTO MONTE DE ISRAEL -  RIO AMAZONAS</t>
  </si>
  <si>
    <t>00870112</t>
  </si>
  <si>
    <t>YGNACIO VERA  GIL</t>
  </si>
  <si>
    <t>MALECON PASTAZA S/N- ULLPAYACO</t>
  </si>
  <si>
    <t>PASTAZA</t>
  </si>
  <si>
    <t>46463733</t>
  </si>
  <si>
    <t>00872704</t>
  </si>
  <si>
    <t>DERTEANO DERTEANO RIOS</t>
  </si>
  <si>
    <t>JR. GRAU 119 - PICOTA - PICOTA - SAN MARTIN</t>
  </si>
  <si>
    <t>PICOTA</t>
  </si>
  <si>
    <t>00890875</t>
  </si>
  <si>
    <t>SORIA VIENA LENIN</t>
  </si>
  <si>
    <t>JR. 28 DE JULIO</t>
  </si>
  <si>
    <t>Barranquita</t>
  </si>
  <si>
    <t>00913803</t>
  </si>
  <si>
    <t>TRIGOZO SANCHEZ HILDEBRANDO</t>
  </si>
  <si>
    <t>PSJE. 5 DE JULIO NRO. D-24</t>
  </si>
  <si>
    <t>Punchana</t>
  </si>
  <si>
    <t>00919373</t>
  </si>
  <si>
    <t>ENITH</t>
  </si>
  <si>
    <t>JR ABANCAY 124 HUIMBAYOC</t>
  </si>
  <si>
    <t>HUIMBAYOC</t>
  </si>
  <si>
    <t>00923703</t>
  </si>
  <si>
    <t>SHUPINGAHUA FASABI ELIAS</t>
  </si>
  <si>
    <t>JR. CHICLAYO S/N - LAMAS - LAMAS - SAN MARTIN</t>
  </si>
  <si>
    <t>00927722</t>
  </si>
  <si>
    <t>BRILFIDO HUAYAMA HEREDIA</t>
  </si>
  <si>
    <t>LISBOA MARAÑON RIO TIGRE</t>
  </si>
  <si>
    <t>00928457</t>
  </si>
  <si>
    <t>RICARDO RAMIREZ YSHUIZA</t>
  </si>
  <si>
    <t>CASERIO HUATURI -RIO NANAY</t>
  </si>
  <si>
    <t>00930230</t>
  </si>
  <si>
    <t>AMASIFUEN ISUIZA REMBERTO</t>
  </si>
  <si>
    <t>Caserio Naranjal -</t>
  </si>
  <si>
    <t>San Martin</t>
  </si>
  <si>
    <t>00930424</t>
  </si>
  <si>
    <t>BERNALES CHUMBE OLIGAR</t>
  </si>
  <si>
    <t>BARRANQUITA</t>
  </si>
  <si>
    <t>YURIMAGUAS</t>
  </si>
  <si>
    <t>00930485</t>
  </si>
  <si>
    <t>WILMER AMASIFUEN AMASIFUEN</t>
  </si>
  <si>
    <t>MISHANA-RIO NANAY</t>
  </si>
  <si>
    <t>Belén</t>
  </si>
  <si>
    <t>00959679</t>
  </si>
  <si>
    <t>SALAS TUANAMA DELPINO SEGUNDO</t>
  </si>
  <si>
    <t>JR.TACNA S/N-ZAPATERO</t>
  </si>
  <si>
    <t>ZAPATERO</t>
  </si>
  <si>
    <t>00963624</t>
  </si>
  <si>
    <t>CAMPOS LEON MOISES</t>
  </si>
  <si>
    <t>JR. MARTINEZ DE COMPAGÑON CDRA 15 - TARAPOTO - SAN MARTIN - SAN MARTIN</t>
  </si>
  <si>
    <t>SAN MARTIN</t>
  </si>
  <si>
    <t>00964740</t>
  </si>
  <si>
    <t>JULIO DEL AGUILA DEL AGUILA</t>
  </si>
  <si>
    <t>JUAN JUI</t>
  </si>
  <si>
    <t>00975907</t>
  </si>
  <si>
    <t>GUZMAN RENGIFO HORACIO</t>
  </si>
  <si>
    <t xml:space="preserve">SIN TIENDA </t>
  </si>
  <si>
    <t>JR:LIMA S/N</t>
  </si>
  <si>
    <t>PILLUANA</t>
  </si>
  <si>
    <t>01000193</t>
  </si>
  <si>
    <t>JARA CORVERA ROLANDO</t>
  </si>
  <si>
    <t>A</t>
  </si>
  <si>
    <t>01024360</t>
  </si>
  <si>
    <t>WILFREDO CESAR</t>
  </si>
  <si>
    <t>01028530</t>
  </si>
  <si>
    <t>GARCIA CORDOVA PLUTARCO</t>
  </si>
  <si>
    <t>CASERIO INDEPENDENCIA VALLE DEL SHANUSI</t>
  </si>
  <si>
    <t>01033194</t>
  </si>
  <si>
    <t>JUAN</t>
  </si>
  <si>
    <t>SIN NEGOCIO</t>
  </si>
  <si>
    <t>01040401</t>
  </si>
  <si>
    <t>MARINO</t>
  </si>
  <si>
    <t>AV. CRISTINA GARCIA S/NVALLE LA CONQUISTA</t>
  </si>
  <si>
    <t>SAN IGNACIO</t>
  </si>
  <si>
    <t>01043934</t>
  </si>
  <si>
    <t>DIAZ AGUILAR MANUEL</t>
  </si>
  <si>
    <t>01044974</t>
  </si>
  <si>
    <t>TARRILLO MAS NELLY DE JESUS</t>
  </si>
  <si>
    <t>AV. CAJAMARCA SUR SN - NUEVA CAJAMARCA</t>
  </si>
  <si>
    <t>01044981</t>
  </si>
  <si>
    <t>RODRIGUEZ CHAVEZ PEDRO JOSE</t>
  </si>
  <si>
    <t>01051637</t>
  </si>
  <si>
    <t>CHASQUIBOL CULQUE GILSON</t>
  </si>
  <si>
    <t>01067005</t>
  </si>
  <si>
    <t>DAVILA SAMAME SAMUEL</t>
  </si>
  <si>
    <t>2 DE MAYO 1064</t>
  </si>
  <si>
    <t>01070855</t>
  </si>
  <si>
    <t>JOSE ENRIQUE</t>
  </si>
  <si>
    <t>01080325</t>
  </si>
  <si>
    <t>FLORES TORRES GINO</t>
  </si>
  <si>
    <t>BRETAÑA</t>
  </si>
  <si>
    <t>REQUENA</t>
  </si>
  <si>
    <t>01084264</t>
  </si>
  <si>
    <t>CHUJANDAMA PINCHI JULIO</t>
  </si>
  <si>
    <t>CASERIO NAVARRO</t>
  </si>
  <si>
    <t>Chipurana</t>
  </si>
  <si>
    <t>01084678</t>
  </si>
  <si>
    <t>MONTEIRO PAIMA JUAN</t>
  </si>
  <si>
    <t>01087886</t>
  </si>
  <si>
    <t>MARCIAL LAZO ARCE</t>
  </si>
  <si>
    <t>01093138</t>
  </si>
  <si>
    <t>01093183</t>
  </si>
  <si>
    <t>JIMENEZ RENGIFO ADERVALO</t>
  </si>
  <si>
    <t>Comunidad Santa Sofia - Alto Huallaga</t>
  </si>
  <si>
    <t>01093954</t>
  </si>
  <si>
    <t>PATRICIA</t>
  </si>
  <si>
    <t>PLAZA DE ARMAS S/N</t>
  </si>
  <si>
    <t>PERU</t>
  </si>
  <si>
    <t>01105149</t>
  </si>
  <si>
    <t>PANTA MORAN LEONIDAS</t>
  </si>
  <si>
    <t>C.P SOPLIN VARGAS</t>
  </si>
  <si>
    <t>01106714</t>
  </si>
  <si>
    <t>CRUZ GONZALES</t>
  </si>
  <si>
    <t>JR. MARAÑON S/N - SAN LORENZO</t>
  </si>
  <si>
    <t>01125044</t>
  </si>
  <si>
    <t>SANCHEZ VELA ROBERTO</t>
  </si>
  <si>
    <t>OLLANTA</t>
  </si>
  <si>
    <t>01126201</t>
  </si>
  <si>
    <t>PINEDO MORI ALVINA</t>
  </si>
  <si>
    <t>LAGUNAS</t>
  </si>
  <si>
    <t>Lagunas</t>
  </si>
  <si>
    <t>01129258</t>
  </si>
  <si>
    <t>RUIZ CELIS JOAQUIN</t>
  </si>
  <si>
    <t>15 de Agosto N 309</t>
  </si>
  <si>
    <t>01132310</t>
  </si>
  <si>
    <t>GUERRA MENDOZA ARIETH</t>
  </si>
  <si>
    <t>01140350</t>
  </si>
  <si>
    <t>PAREDES GONZALES AROLDO</t>
  </si>
  <si>
    <t>Alianza - Carretera Yurimaguas - Tarapoto</t>
  </si>
  <si>
    <t>01142896</t>
  </si>
  <si>
    <t>MISHAMA AMASIFEN CELINA</t>
  </si>
  <si>
    <t>CARRET. FERNANDO B. TERRY S/N - CAZPISAPA - PICOTA - SAN MARTIN</t>
  </si>
  <si>
    <t>01146965</t>
  </si>
  <si>
    <t>SALAS TUANAMA GHUNTER</t>
  </si>
  <si>
    <t>01147541</t>
  </si>
  <si>
    <t>CORAL TULUMBA MELISA</t>
  </si>
  <si>
    <t>CALLE SERAFIN FILOMENO 667 - MOYOBAMBA</t>
  </si>
  <si>
    <t>01149966</t>
  </si>
  <si>
    <t>RAMIREZ IGLESIAS AUGUSTO</t>
  </si>
  <si>
    <t>San Pablo de Tipishca</t>
  </si>
  <si>
    <t>01152909</t>
  </si>
  <si>
    <t>PASCUAL CRUZ MOLINA</t>
  </si>
  <si>
    <t xml:space="preserve">FERRETERIA </t>
  </si>
  <si>
    <t>AV. MARGINAL S/N PACAYSAPA</t>
  </si>
  <si>
    <t>01156736</t>
  </si>
  <si>
    <t>SIMON AQUINO SOSIMO</t>
  </si>
  <si>
    <t>AGROQUIMICO</t>
  </si>
  <si>
    <t xml:space="preserve">JR. JORGE CHAVEZ </t>
  </si>
  <si>
    <t>TOCACHE</t>
  </si>
  <si>
    <t>01157538</t>
  </si>
  <si>
    <t>AGUILERA RIVERA EFRAIN</t>
  </si>
  <si>
    <t>PUEBLO JOVEN JESUS NAZARENO MZ. C LT.21</t>
  </si>
  <si>
    <t>01160083</t>
  </si>
  <si>
    <t>HOSMER ARTEAGA GONZALES</t>
  </si>
  <si>
    <t>JR.ARICA 275 - SAN JOSE DE SISA - EL DORADO - SAN MARTIN</t>
  </si>
  <si>
    <t>EL DORADO</t>
  </si>
  <si>
    <t>01165040</t>
  </si>
  <si>
    <t>PAREDES RODRIGUEZ FERNANDINO</t>
  </si>
  <si>
    <t>Jose Riera N 217</t>
  </si>
  <si>
    <t>01186811</t>
  </si>
  <si>
    <t>HUATUCO PUCHUC ELIZABETH EPIFANIA</t>
  </si>
  <si>
    <t xml:space="preserve">SIN ACTIVIDAD COMERCIAL </t>
  </si>
  <si>
    <t>JR: COMERCIO S/N-CACATACHI</t>
  </si>
  <si>
    <t>CACATACHI</t>
  </si>
  <si>
    <t>01218099</t>
  </si>
  <si>
    <t>FLORES FLORES FELIX</t>
  </si>
  <si>
    <t xml:space="preserve">FERRETERIA Y MAQUINARIA DE AGRICULTURA </t>
  </si>
  <si>
    <t>JR SAN MARIN 243-MORALES</t>
  </si>
  <si>
    <t>MORALES</t>
  </si>
  <si>
    <t>01525042</t>
  </si>
  <si>
    <t>PERCY CAMSAYA VILCA</t>
  </si>
  <si>
    <t>COMUNIDAD DE NUEVO PEVAS</t>
  </si>
  <si>
    <t>Ramon Castilla</t>
  </si>
  <si>
    <t>02546</t>
  </si>
  <si>
    <t>10053370123</t>
  </si>
  <si>
    <t>ACUY BROWN ALEX ENRIQUE</t>
  </si>
  <si>
    <t>TRUJILLO 962- Y22</t>
  </si>
  <si>
    <t>PUNCHANA</t>
  </si>
  <si>
    <t>02800874</t>
  </si>
  <si>
    <t>CLAUDIO HUAYANAY AGUILAR</t>
  </si>
  <si>
    <t>COMUNIDAD NATIVA  HUACRACHIRO S/N</t>
  </si>
  <si>
    <t>03382436</t>
  </si>
  <si>
    <t>ERAZO RAMIREZ MARIA EDADIL</t>
  </si>
  <si>
    <t>CASERIO SANTA MARIA - BAJO HUALLAGA</t>
  </si>
  <si>
    <t>03560891</t>
  </si>
  <si>
    <t>ZAPATA GALVEZ JOSE LORENZO</t>
  </si>
  <si>
    <t>03629115</t>
  </si>
  <si>
    <t>CORNEJO VILLARREAL LUIS ENRIQUE</t>
  </si>
  <si>
    <t>sin actividad comercial</t>
  </si>
  <si>
    <t>CARRET. F.B.T. S/N - TABALOSOS</t>
  </si>
  <si>
    <t>TABALOSOS</t>
  </si>
  <si>
    <t>03629411</t>
  </si>
  <si>
    <t>JOSE BURGOS MONTERO</t>
  </si>
  <si>
    <t>AA.HH MARTA CHAVEZ I MZ P LT10 MANANTAY</t>
  </si>
  <si>
    <t>04006120</t>
  </si>
  <si>
    <t>PAULINO QUISPE TTITO</t>
  </si>
  <si>
    <t>C.F.B. KM. 165 - HUIPOCA - UCAYALI</t>
  </si>
  <si>
    <t>PADRE ABAD</t>
  </si>
  <si>
    <t>04014279</t>
  </si>
  <si>
    <t>QUISPE CHOQUE RAUL</t>
  </si>
  <si>
    <t>CALLE SIMON BOLIVAR Nº 660 - BAGUA GRANDE, UTCUBAMBA, AMAZONAS</t>
  </si>
  <si>
    <t>BAGUA GRANDE</t>
  </si>
  <si>
    <t>07511711</t>
  </si>
  <si>
    <t>04016921</t>
  </si>
  <si>
    <t>SABINA YAURI MENDOZA</t>
  </si>
  <si>
    <t>JR. FITZCARRLAD S/N - ATALAYA</t>
  </si>
  <si>
    <t>04349665</t>
  </si>
  <si>
    <t>ALARCON YALICO TEODORO</t>
  </si>
  <si>
    <t>Cochiquina - Alto Monte</t>
  </si>
  <si>
    <t>04827442</t>
  </si>
  <si>
    <t>EDILBERTO HUARANCCA HUARI</t>
  </si>
  <si>
    <t>AV MADRE DE DIOS N 107 PUERTO MALDONADO</t>
  </si>
  <si>
    <t>TAMBOPATA</t>
  </si>
  <si>
    <t>05201878</t>
  </si>
  <si>
    <t>FLORES DEL AGUILA FERNANDO</t>
  </si>
  <si>
    <t>CALLE PALMERAS   353</t>
  </si>
  <si>
    <t>05201886</t>
  </si>
  <si>
    <t>ZEVALLOS HUANAQUIRI ORINSON GUNTER</t>
  </si>
  <si>
    <t>JOSE OLAYA AV. LA MARINA</t>
  </si>
  <si>
    <t>05202310</t>
  </si>
  <si>
    <t>TUANAMA GARCIA LUIS ALBERTO</t>
  </si>
  <si>
    <t>AV.PARTICIPACION #258</t>
  </si>
  <si>
    <t>BELEN</t>
  </si>
  <si>
    <t>05205550</t>
  </si>
  <si>
    <t>ALEJANDRO LUCERO VELA</t>
  </si>
  <si>
    <t>05205722</t>
  </si>
  <si>
    <t>JOSE GUEVARA AMASIFUEN</t>
  </si>
  <si>
    <t>PUERTO PRODUCTORES</t>
  </si>
  <si>
    <t>05208120</t>
  </si>
  <si>
    <t>RUSDANO PACAYA JORDAN</t>
  </si>
  <si>
    <t>SANTA CATALINA KM 45.5 CARRTERA IQUITOS NAUTA</t>
  </si>
  <si>
    <t>05208454</t>
  </si>
  <si>
    <t>francisco Campo Rodriguez</t>
  </si>
  <si>
    <t>Psj Ivan 124- San Juan</t>
  </si>
  <si>
    <t>San Juan Bautista</t>
  </si>
  <si>
    <t>05208606</t>
  </si>
  <si>
    <t>CRISOSTOMO GONZALES ANTONIO</t>
  </si>
  <si>
    <t>-PDF</t>
  </si>
  <si>
    <t>AV MI PERU S/N STA ROSA</t>
  </si>
  <si>
    <t>05210700</t>
  </si>
  <si>
    <t>HERCLAS MELANO MONCADA VASQUEZ</t>
  </si>
  <si>
    <t>SAN ANTONIO  1432-B</t>
  </si>
  <si>
    <t>05213299</t>
  </si>
  <si>
    <t>LOZANO ESCUDERO CARLOS DANIEL</t>
  </si>
  <si>
    <t>URB.RIO MAR M 19</t>
  </si>
  <si>
    <t>05214148</t>
  </si>
  <si>
    <t xml:space="preserve">POMPILIO RUIZ ARÉVALO </t>
  </si>
  <si>
    <t>PALMAS MZI LT7 / CIRCUNVALACION</t>
  </si>
  <si>
    <t>41515716</t>
  </si>
  <si>
    <t>05214178</t>
  </si>
  <si>
    <t>IE N 60113 RUMOCOCHA</t>
  </si>
  <si>
    <t>RUMOCOCHA</t>
  </si>
  <si>
    <t>05215352</t>
  </si>
  <si>
    <t>SHARDIN PEZO CHARLES</t>
  </si>
  <si>
    <t>C. POBLADO SANTA MARIA DEL OJEAL</t>
  </si>
  <si>
    <t>05215517</t>
  </si>
  <si>
    <t>DOLORES ARIRAMA GUERRA</t>
  </si>
  <si>
    <t>CONSUMUDOR FINAL</t>
  </si>
  <si>
    <t>CALLE JOSE DE LA TORRE UGARTE 244 AAHH MODELO</t>
  </si>
  <si>
    <t>05215859</t>
  </si>
  <si>
    <t>LAVI OJANAMA LEONARDO</t>
  </si>
  <si>
    <t>CALLE BLASCO NUÑEZ 5</t>
  </si>
  <si>
    <t>05215939</t>
  </si>
  <si>
    <t>TANG ARBILDO VDA DE CARDAMA GLADIS</t>
  </si>
  <si>
    <t>CALLE RIOMAR</t>
  </si>
  <si>
    <t>05219152</t>
  </si>
  <si>
    <t>NAVARRO TAPULLIMA CLOVIS</t>
  </si>
  <si>
    <t>CALLE LOS PAUCARES MZ C LOTE .21 A.H JESUS DE NAZARETH</t>
  </si>
  <si>
    <t>05220799</t>
  </si>
  <si>
    <t>ANA HO VASQUEZ</t>
  </si>
  <si>
    <t>JULIO C. ARANA N 254</t>
  </si>
  <si>
    <t>05221759</t>
  </si>
  <si>
    <t>DOMPER GONZALES AMADO ISAAC</t>
  </si>
  <si>
    <t>PANAMA 248</t>
  </si>
  <si>
    <t>05221948</t>
  </si>
  <si>
    <t>PINEDO VASQUEZ ERIBERTO</t>
  </si>
  <si>
    <t>CALLE. ALBERTO FUJIMORI AAHH. ALCIDES CARION MZ.B.LT25</t>
  </si>
  <si>
    <t>05223214</t>
  </si>
  <si>
    <t>FIDEL MORI MANUYAMA</t>
  </si>
  <si>
    <t>NUEVO HORIZONTE</t>
  </si>
  <si>
    <t>LAS AMAZONAS</t>
  </si>
  <si>
    <t>05226654</t>
  </si>
  <si>
    <t>DIAZ LUQUE VICTOR</t>
  </si>
  <si>
    <t>28 DE JULIO S/N IQUITOS</t>
  </si>
  <si>
    <t>05226708</t>
  </si>
  <si>
    <t>WILDER HERRERA RAMIREZ</t>
  </si>
  <si>
    <t>05227374</t>
  </si>
  <si>
    <t>TULUMBA ARICARI MELECIO</t>
  </si>
  <si>
    <t>COMUNIDAD NATIVA MANACAMIRI</t>
  </si>
  <si>
    <t>05229216</t>
  </si>
  <si>
    <t>TITO ZAMBRANO ALMEIDA</t>
  </si>
  <si>
    <t>ORAN</t>
  </si>
  <si>
    <t>05229440</t>
  </si>
  <si>
    <t>ACOSTA DE ZUMAETA DORILA</t>
  </si>
  <si>
    <t>RAMON CASTILLA 572</t>
  </si>
  <si>
    <t>05232618</t>
  </si>
  <si>
    <t>PIÑA ASPAJO OLIVER</t>
  </si>
  <si>
    <t>ESPERANZA</t>
  </si>
  <si>
    <t>Napo</t>
  </si>
  <si>
    <t>05232891</t>
  </si>
  <si>
    <t>GILBERTO</t>
  </si>
  <si>
    <t>AGROVETERINARIA</t>
  </si>
  <si>
    <t>CAS. NUEVA ALIANZA S/N -URARINAS</t>
  </si>
  <si>
    <t>URARINAS</t>
  </si>
  <si>
    <t>05233603</t>
  </si>
  <si>
    <t>Raul</t>
  </si>
  <si>
    <t>PSJE. ABRIL / MARAÑON</t>
  </si>
  <si>
    <t>05233710</t>
  </si>
  <si>
    <t>MANUEL BANCHO SILVANO</t>
  </si>
  <si>
    <t>CASERIO NAZARIA</t>
  </si>
  <si>
    <t>05235858</t>
  </si>
  <si>
    <t>PARDAVE MURRIETA ISABEL</t>
  </si>
  <si>
    <t>05238831</t>
  </si>
  <si>
    <t>DEL AGUILA RODRIGUEZ ROSA</t>
  </si>
  <si>
    <t xml:space="preserve">BAZAR </t>
  </si>
  <si>
    <t>URB. RIO MAR L-22</t>
  </si>
  <si>
    <t>05239612</t>
  </si>
  <si>
    <t>EULOGIO SANCHEZ MELENDEZ</t>
  </si>
  <si>
    <t>12 DE ABRIL KM. 56 CARRETERA IQUITOS NAUTA</t>
  </si>
  <si>
    <t>05239873</t>
  </si>
  <si>
    <t>VARGAS TORRES HUMBERTO</t>
  </si>
  <si>
    <t>CALLE ATAHUALPA 1555</t>
  </si>
  <si>
    <t>05244429</t>
  </si>
  <si>
    <t>CHAVEZ LOMAS MARCOS</t>
  </si>
  <si>
    <t>LT 12 MZ F ASENT H. INCA PACHACUTEC</t>
  </si>
  <si>
    <t>Santa Rosa</t>
  </si>
  <si>
    <t>05247218</t>
  </si>
  <si>
    <t>CHONG VILLACORTA ROSA ELENA</t>
  </si>
  <si>
    <t>AV.GRAU 1222-</t>
  </si>
  <si>
    <t>05248317</t>
  </si>
  <si>
    <t>PEÑA MORCERA GERMAN</t>
  </si>
  <si>
    <t>LOS DELFINES KM 9</t>
  </si>
  <si>
    <t>05248716</t>
  </si>
  <si>
    <t>JOEL ROMAYNA CHAVEZ</t>
  </si>
  <si>
    <t>ZUNGAROCHA</t>
  </si>
  <si>
    <t>05249118</t>
  </si>
  <si>
    <t>MOZOMBITE MACHOA MANUEL</t>
  </si>
  <si>
    <t>VILLA BUEN PASTOR</t>
  </si>
  <si>
    <t>05250147</t>
  </si>
  <si>
    <t>ACOSTA RICOPA RONAL ANTONIO</t>
  </si>
  <si>
    <t>SAMAN</t>
  </si>
  <si>
    <t>05250506</t>
  </si>
  <si>
    <t>AREVALO NINA DIMAS ULISES</t>
  </si>
  <si>
    <t>CALLE AMAZONAS</t>
  </si>
  <si>
    <t>05250702</t>
  </si>
  <si>
    <t>JORGE SANCHEZ ALMEIDA</t>
  </si>
  <si>
    <t>05253825</t>
  </si>
  <si>
    <t>JOSE MIGUEL CACHIQUE DEL AGUILA</t>
  </si>
  <si>
    <t>CASERIO YANCHAMA</t>
  </si>
  <si>
    <t>05255004</t>
  </si>
  <si>
    <t>CABUDIVO HUANAQUIRE FERNANDO</t>
  </si>
  <si>
    <t>URB JUAN PABLO BELLA LUZ PJE LOS GUACAMAYOS N 29</t>
  </si>
  <si>
    <t>05257311</t>
  </si>
  <si>
    <t>FULTO</t>
  </si>
  <si>
    <t>CALLE. PADRE LUCERO S/N - LAGUNAS</t>
  </si>
  <si>
    <t>05257690</t>
  </si>
  <si>
    <t>MAMERTO SANCHEZ TORRES</t>
  </si>
  <si>
    <t>RIO ITAYA CASERIO PEÑA BLANCA</t>
  </si>
  <si>
    <t>05259730</t>
  </si>
  <si>
    <t>ZULEMA  ACHO APAGUEÑA</t>
  </si>
  <si>
    <t>05261166</t>
  </si>
  <si>
    <t>SILVA DAVILA JOSE</t>
  </si>
  <si>
    <t>URB RIO MAR MZ U LOTE 2</t>
  </si>
  <si>
    <t>05263198</t>
  </si>
  <si>
    <t>DORA JESUS GONGORA ROJAS</t>
  </si>
  <si>
    <t>05264620</t>
  </si>
  <si>
    <t>BARDALES ORBE JOSE LUIS</t>
  </si>
  <si>
    <t>12 DE OCTUBRE</t>
  </si>
  <si>
    <t>Emilio San Martin</t>
  </si>
  <si>
    <t>05265020</t>
  </si>
  <si>
    <t>NESTOR RUIZ ZEGARRA</t>
  </si>
  <si>
    <t>MOORE 656</t>
  </si>
  <si>
    <t>05266068</t>
  </si>
  <si>
    <t>ISUIZA MOZOMBITE VICTOR MANUEL</t>
  </si>
  <si>
    <t>a</t>
  </si>
  <si>
    <t>05267084</t>
  </si>
  <si>
    <t>ORTILIA HUAYNACARI PEREZ</t>
  </si>
  <si>
    <t>SANTA RITA -RIO NANAY</t>
  </si>
  <si>
    <t>05269051</t>
  </si>
  <si>
    <t>ROBERTO ARIBELEY PEREYRA</t>
  </si>
  <si>
    <t>CLIENTE</t>
  </si>
  <si>
    <t>CASERIO HUATURI RIO NANAY</t>
  </si>
  <si>
    <t>05269954</t>
  </si>
  <si>
    <t>TANANTA NOLORBE ANSELMO</t>
  </si>
  <si>
    <t>CASERIO LIMON -RIO ITAYA</t>
  </si>
  <si>
    <t>05270968</t>
  </si>
  <si>
    <t>RENGIFO TAFUR JUANA</t>
  </si>
  <si>
    <t>05271044</t>
  </si>
  <si>
    <t>ZAITA NUÑEZ WALTER GERMAN</t>
  </si>
  <si>
    <t>CENTRO BARADERILLO</t>
  </si>
  <si>
    <t>Mazan</t>
  </si>
  <si>
    <t>05273701</t>
  </si>
  <si>
    <t>JESUS NOLBERTO SANCHEZ SUELPEREZ</t>
  </si>
  <si>
    <t>CAL. MI PER S/N - SANTA ROSA</t>
  </si>
  <si>
    <t>05273966</t>
  </si>
  <si>
    <t>WILDER LOZANO SANTANA</t>
  </si>
  <si>
    <t>COMUNIDAD SAN JOSE DE YANASHI</t>
  </si>
  <si>
    <t>05274055</t>
  </si>
  <si>
    <t>VASQUEZ MATUTE ARMANDO</t>
  </si>
  <si>
    <t>CASTILLA 715</t>
  </si>
  <si>
    <t>05274424</t>
  </si>
  <si>
    <t>HERRERA GRANDEZ JOSE E.</t>
  </si>
  <si>
    <t>05276159</t>
  </si>
  <si>
    <t>MANUEL AHUANARI ARIRAMA</t>
  </si>
  <si>
    <t>JR. RICARDO PALMA 254 LT 12</t>
  </si>
  <si>
    <t>05277813</t>
  </si>
  <si>
    <t>VASQUEZ DE GUIVIN RODI</t>
  </si>
  <si>
    <t>05278073</t>
  </si>
  <si>
    <t>JAIME PACAYA MOZOMBITE</t>
  </si>
  <si>
    <t>PORTALES BELEN MZ D LT 16</t>
  </si>
  <si>
    <t>05278284</t>
  </si>
  <si>
    <t>VASQUEZ PACAYA JUAN DANIEL</t>
  </si>
  <si>
    <t>CARRETERA IQUITOS NAUTA KM 17</t>
  </si>
  <si>
    <t>05280424</t>
  </si>
  <si>
    <t>MILTON ANGULO SALAZAR</t>
  </si>
  <si>
    <t>CALLE 22 DE JUNIO</t>
  </si>
  <si>
    <t>05282191</t>
  </si>
  <si>
    <t>MANUEL HUAYAMBI LOZANO</t>
  </si>
  <si>
    <t>AV. PARTICIPACION N 1255</t>
  </si>
  <si>
    <t>05283333</t>
  </si>
  <si>
    <t>ARMAS MELENDEZ LUZ ELMERITA</t>
  </si>
  <si>
    <t>VARILLAL</t>
  </si>
  <si>
    <t>05286742</t>
  </si>
  <si>
    <t>GUERRA ARANDA GUIDA DE JESUS</t>
  </si>
  <si>
    <t>ALTO NAPO</t>
  </si>
  <si>
    <t>05286785</t>
  </si>
  <si>
    <t>PEREZ TANCHIVA SAMUEL</t>
  </si>
  <si>
    <t>CARRETERA IQUITOS NAUTA KM 7</t>
  </si>
  <si>
    <t>05289135</t>
  </si>
  <si>
    <t>TORREJON SOTO WILSON ARMANDO</t>
  </si>
  <si>
    <t>BREU</t>
  </si>
  <si>
    <t>YURUA</t>
  </si>
  <si>
    <t>05290352</t>
  </si>
  <si>
    <t>GUERRA MONTES DOMITILA</t>
  </si>
  <si>
    <t>05292366</t>
  </si>
  <si>
    <t>RUSOO BALDEON FLORES</t>
  </si>
  <si>
    <t>CELENDIN S/N</t>
  </si>
  <si>
    <t>05295524</t>
  </si>
  <si>
    <t>FREDDY</t>
  </si>
  <si>
    <t>CALLE TRIUNFO 170 - SAN JUAN</t>
  </si>
  <si>
    <t>PUHINAHUA</t>
  </si>
  <si>
    <t>05296088</t>
  </si>
  <si>
    <t>AURELIO PIZANGO CHUQUIZUTA</t>
  </si>
  <si>
    <t>CASERIA LAGUNA</t>
  </si>
  <si>
    <t>05296424</t>
  </si>
  <si>
    <t>PEREZ VIDEIRA BLANCA YOLANDA</t>
  </si>
  <si>
    <t>CASERIO LLANCHAMA</t>
  </si>
  <si>
    <t>05296449</t>
  </si>
  <si>
    <t>FRANCISCO MORI PIA</t>
  </si>
  <si>
    <t>SAMITO RIO NANAYA</t>
  </si>
  <si>
    <t>Alto Nanay</t>
  </si>
  <si>
    <t>05296507</t>
  </si>
  <si>
    <t>VICTOR RAUL PEREA RAMIREZ</t>
  </si>
  <si>
    <t>CALLE CARLOS OBANDO S/N - VICTORIA</t>
  </si>
  <si>
    <t>MAQUIA</t>
  </si>
  <si>
    <t>05296544</t>
  </si>
  <si>
    <t>OJANAMA MAYTA COOKIE RAMON</t>
  </si>
  <si>
    <t>05296586</t>
  </si>
  <si>
    <t>WILLIAM DONEZ CHUQUIZUTA</t>
  </si>
  <si>
    <t>COMUNIDAD DE ATALAYA</t>
  </si>
  <si>
    <t>05296824</t>
  </si>
  <si>
    <t>ARMANDO VALERA RAMIREZ</t>
  </si>
  <si>
    <t>CALLE 12 DE OCTUBRE N 24</t>
  </si>
  <si>
    <t>05296976</t>
  </si>
  <si>
    <t>LOPEZ PEZO JARI MILTON</t>
  </si>
  <si>
    <t>A.A.H.H Libertad del Paranapura Calle 28 de Agosto Mz H Lt 16</t>
  </si>
  <si>
    <t>05297379</t>
  </si>
  <si>
    <t>PEDRO GUERRA GONZALES</t>
  </si>
  <si>
    <t>AMAZONAS 403</t>
  </si>
  <si>
    <t>Fernando Lores</t>
  </si>
  <si>
    <t>05297680</t>
  </si>
  <si>
    <t>RENGIFO ESTRELLA HERNAN AUGUSTO</t>
  </si>
  <si>
    <t>05299030</t>
  </si>
  <si>
    <t>LORENZO YUMBATO HUAYCAMA</t>
  </si>
  <si>
    <t>CALLE MIGUEL GRAU</t>
  </si>
  <si>
    <t>05299070</t>
  </si>
  <si>
    <t>ZORAIDA MORALES PARANO</t>
  </si>
  <si>
    <t>NUEVO PROGRESO C/N</t>
  </si>
  <si>
    <t>05299208</t>
  </si>
  <si>
    <t>PANDURO PACAYA LIZARDO CARLOS</t>
  </si>
  <si>
    <t>AMAZONAS</t>
  </si>
  <si>
    <t>05299358</t>
  </si>
  <si>
    <t>CURICHIMBA TAPAYURI LUCIANO</t>
  </si>
  <si>
    <t>CONSUMIDOR  FINAL</t>
  </si>
  <si>
    <t>CALLE SANTA ROSA S/N</t>
  </si>
  <si>
    <t>05299566</t>
  </si>
  <si>
    <t>PACAYA GONZALES MIGUEL</t>
  </si>
  <si>
    <t>TANSHIACU</t>
  </si>
  <si>
    <t>05300720</t>
  </si>
  <si>
    <t>ERIBERTO PENA SINARAHUA</t>
  </si>
  <si>
    <t>INDIANA</t>
  </si>
  <si>
    <t>Indiana</t>
  </si>
  <si>
    <t>05302400</t>
  </si>
  <si>
    <t>JOSE ONASIS VASQUEZ</t>
  </si>
  <si>
    <t>CASERIO SAN JOSE DE OROZA</t>
  </si>
  <si>
    <t>05302622</t>
  </si>
  <si>
    <t>FAJARDO SANTILLAN RICHARD</t>
  </si>
  <si>
    <t>YANASHI</t>
  </si>
  <si>
    <t>05302988</t>
  </si>
  <si>
    <t>JOSE ANTONIO VELASQUEZ MANUYAMA</t>
  </si>
  <si>
    <t>SAN ISIDRO</t>
  </si>
  <si>
    <t>05303878</t>
  </si>
  <si>
    <t>BACA DEL AGUILA VICTOR MANUEL</t>
  </si>
  <si>
    <t>PSJ CABO PANTOJA</t>
  </si>
  <si>
    <t>05304459</t>
  </si>
  <si>
    <t>OCHOA TAMANI ROYA</t>
  </si>
  <si>
    <t>NUEVA YORK RIO TIGRE</t>
  </si>
  <si>
    <t>05305417</t>
  </si>
  <si>
    <t>Miguel George Inuma</t>
  </si>
  <si>
    <t>Miraflores -Estrecho</t>
  </si>
  <si>
    <t>05306276</t>
  </si>
  <si>
    <t>NOA SANDOVAL CAITANO</t>
  </si>
  <si>
    <t>COMUNIDAD PUCAYACU</t>
  </si>
  <si>
    <t>05306724</t>
  </si>
  <si>
    <t>PASTRANA BOSMEDIANO ANTONIO ADALBERTO</t>
  </si>
  <si>
    <t>COMUNIDAD CABO PANTOJA RIO NAPO</t>
  </si>
  <si>
    <t>TORRES CAUSANA</t>
  </si>
  <si>
    <t>05307122</t>
  </si>
  <si>
    <t>DAHUA PAPA IVAN</t>
  </si>
  <si>
    <t>COMUNIDAD INGANO LLACTA RIO NAPO</t>
  </si>
  <si>
    <t>05307187</t>
  </si>
  <si>
    <t>COQUINCHE PAPA WILDER</t>
  </si>
  <si>
    <t>RIO NAPO- CAMPO SERIO</t>
  </si>
  <si>
    <t>05307189</t>
  </si>
  <si>
    <t>PAPA LICUY JULIO ABEL</t>
  </si>
  <si>
    <t>05307481</t>
  </si>
  <si>
    <t>PRADO PEMEN WALTER BINCHES</t>
  </si>
  <si>
    <t>YAQUERANA</t>
  </si>
  <si>
    <t>05307690</t>
  </si>
  <si>
    <t>TUMI CASAYUQUI CARLOS DUNU</t>
  </si>
  <si>
    <t>05307701</t>
  </si>
  <si>
    <t>SHINISIO CANSHE AMERICO PACHA</t>
  </si>
  <si>
    <t>05308966</t>
  </si>
  <si>
    <t>MIGUEL SOPLIN RUIZ</t>
  </si>
  <si>
    <t>05309327</t>
  </si>
  <si>
    <t>GODOY PEREZ AMERICO</t>
  </si>
  <si>
    <t>PAMPACHICA</t>
  </si>
  <si>
    <t>05309595</t>
  </si>
  <si>
    <t>AMASIFEN VELA ROSA AMELIA</t>
  </si>
  <si>
    <t>TUPAC</t>
  </si>
  <si>
    <t>05309706</t>
  </si>
  <si>
    <t>CUARAN PEREZ LINA MAGALE</t>
  </si>
  <si>
    <t>AH HUMANO SANTA ROSA</t>
  </si>
  <si>
    <t>05309842</t>
  </si>
  <si>
    <t>MARIA BERNALDITA SOUZA</t>
  </si>
  <si>
    <t>05310607</t>
  </si>
  <si>
    <t>RIOS LOPEZ DENIS</t>
  </si>
  <si>
    <t>PJ LAS FLORIDAS N/19 PUTUMAYO 24</t>
  </si>
  <si>
    <t>05310768</t>
  </si>
  <si>
    <t>GALLARDO DEL AGUILA EULOGIO</t>
  </si>
  <si>
    <t>CALLE 16 DE JUNIO ASENT.H AEROPUEERTO MZ L LT 45 D</t>
  </si>
  <si>
    <t>05310939</t>
  </si>
  <si>
    <t>ROJAS PEREYRA ELMER</t>
  </si>
  <si>
    <t>CALLE LOS NOGALES 334-PAMPACHICA</t>
  </si>
  <si>
    <t>05311447</t>
  </si>
  <si>
    <t>INQUILLA INQUILLA FELIPE</t>
  </si>
  <si>
    <t>-BAZAR</t>
  </si>
  <si>
    <t>CALLE. PATRICIO MOSQUERA S/N - NAPO</t>
  </si>
  <si>
    <t>NAPO</t>
  </si>
  <si>
    <t>05311489</t>
  </si>
  <si>
    <t>HUGO ANGULO MOSQUERA</t>
  </si>
  <si>
    <t>SANTA CLOTILDE</t>
  </si>
  <si>
    <t>05311887</t>
  </si>
  <si>
    <t>OSCAR EDUARDO MANIHUARI TAMANI</t>
  </si>
  <si>
    <t>BARRIO SANTA ROSA -NAPO</t>
  </si>
  <si>
    <t>05312060</t>
  </si>
  <si>
    <t>TAMAYO TAPULLIMA JORGE</t>
  </si>
  <si>
    <t>CASERIO PUERTO HUAMAN SN</t>
  </si>
  <si>
    <t>05312392</t>
  </si>
  <si>
    <t>VASQUEZ PIZANGO SANTOS</t>
  </si>
  <si>
    <t>05312509</t>
  </si>
  <si>
    <t>JOSE DE LA ROSA FLORES NARO</t>
  </si>
  <si>
    <t>SAN ANTONIO DE ZAMBRANO</t>
  </si>
  <si>
    <t>MAZAN</t>
  </si>
  <si>
    <t>05312593</t>
  </si>
  <si>
    <t>RODRIGUEZ TELLO HEALI</t>
  </si>
  <si>
    <t>05314715</t>
  </si>
  <si>
    <t>MELENDEZ LOMAS FRANCILES</t>
  </si>
  <si>
    <t>CASERIO MUENA CAÑO RIO ITAYA</t>
  </si>
  <si>
    <t>05315316</t>
  </si>
  <si>
    <t>MIRNA LOY CARPIO GATICA</t>
  </si>
  <si>
    <t>CALLE # 3</t>
  </si>
  <si>
    <t>46318302</t>
  </si>
  <si>
    <t>05315741</t>
  </si>
  <si>
    <t>YTURRARAN PINEDO JORGE LUIS</t>
  </si>
  <si>
    <t>INDEPENDENCIA 665</t>
  </si>
  <si>
    <t>05316686</t>
  </si>
  <si>
    <t>JOSE GOMEZ MOENA</t>
  </si>
  <si>
    <t>CASERIO LIBERTAD-RIO NANAY</t>
  </si>
  <si>
    <t>Nauta</t>
  </si>
  <si>
    <t>05316713</t>
  </si>
  <si>
    <t>GILMER CORDOVA SHUPINGAHUA</t>
  </si>
  <si>
    <t>CASERIO MIRAFLORES</t>
  </si>
  <si>
    <t>05317043</t>
  </si>
  <si>
    <t>ORBE CADILLO DE COSENTINO AMPARO MARTINA</t>
  </si>
  <si>
    <t>CARRETERA SANTO TOMAS KM 1</t>
  </si>
  <si>
    <t>05317554</t>
  </si>
  <si>
    <t>DEL CUADRO PORTOCARRERO ORLANDO</t>
  </si>
  <si>
    <t>URB JUAN PABLO SEGUNDO MODULO 25 DEPARTAMENTO 101</t>
  </si>
  <si>
    <t>SAN JUAN BAUTISTA</t>
  </si>
  <si>
    <t>05319780</t>
  </si>
  <si>
    <t>SANDI TORRES NILO</t>
  </si>
  <si>
    <t>CONFUMIDOR FINAL</t>
  </si>
  <si>
    <t>BOLONESI N/ 1754</t>
  </si>
  <si>
    <t>05321046</t>
  </si>
  <si>
    <t>ANTONIA VASQUEZ FREITAS</t>
  </si>
  <si>
    <t>CALLE SAN LUIS 9 ASEN H. LAS MERCEDES</t>
  </si>
  <si>
    <t>05321306</t>
  </si>
  <si>
    <t>RIOS GARCIA GERMAN</t>
  </si>
  <si>
    <t>05322114</t>
  </si>
  <si>
    <t>MARTA LAURIANO PINCHI</t>
  </si>
  <si>
    <t>ANITA CABRERA CALLE 2 DE FEBRERO</t>
  </si>
  <si>
    <t>05322481</t>
  </si>
  <si>
    <t>GARATE BARRERA HECTOR</t>
  </si>
  <si>
    <t>AV LA PARTICIPACION MZ E LT 1</t>
  </si>
  <si>
    <t>05322888</t>
  </si>
  <si>
    <t>HERRERA MONTUFAR WILDER</t>
  </si>
  <si>
    <t>05324218</t>
  </si>
  <si>
    <t>PEÑA SINARAHUA MANUEL ALBERTO</t>
  </si>
  <si>
    <t>PJE 5 DE DICIEMBRE</t>
  </si>
  <si>
    <t>05325579</t>
  </si>
  <si>
    <t>MARIN LAZO PEDRO</t>
  </si>
  <si>
    <t>CALLE SALAVERRY 26 TERMINAL CARRETERA IQUITOS - NAUTA</t>
  </si>
  <si>
    <t>05326240</t>
  </si>
  <si>
    <t>RUBEN</t>
  </si>
  <si>
    <t>CASERIO ULLPAYACU-RIO PASTAZA</t>
  </si>
  <si>
    <t>05326907</t>
  </si>
  <si>
    <t>SILVIA SANTILLAN MEZA</t>
  </si>
  <si>
    <t>05330090</t>
  </si>
  <si>
    <t>AMANDA RIOS SALDANA</t>
  </si>
  <si>
    <t>GANDON CENTRO POBLADO</t>
  </si>
  <si>
    <t>05330426</t>
  </si>
  <si>
    <t>CARLOS SINARAHUA TAMAYO</t>
  </si>
  <si>
    <t>COMUNIDAD SAN PEDRO DE MARUPA</t>
  </si>
  <si>
    <t>05331923</t>
  </si>
  <si>
    <t>ERIVERTO MACAHUACHI ARANDA</t>
  </si>
  <si>
    <t>CASERIO CAHUIDE S/N</t>
  </si>
  <si>
    <t>05332229</t>
  </si>
  <si>
    <t>WINSTON BARRERA TORRES</t>
  </si>
  <si>
    <t>ANITA CABRERA CALLE 2 DE FEBRERO 228</t>
  </si>
  <si>
    <t>05333072</t>
  </si>
  <si>
    <t>ESTHELITA PAREDES MUNOZ</t>
  </si>
  <si>
    <t>12 DE ABRIL-CARRETERA IQUITOS NAUTA KM. 56</t>
  </si>
  <si>
    <t>05333424</t>
  </si>
  <si>
    <t>LINDER ACHO OCHAVANO</t>
  </si>
  <si>
    <t>CALLE 13</t>
  </si>
  <si>
    <t>05334556</t>
  </si>
  <si>
    <t>WALTER BANEO ASPAJO</t>
  </si>
  <si>
    <t>CAL. 22 DE JUNIO-RUMOCOCHA</t>
  </si>
  <si>
    <t>05335009</t>
  </si>
  <si>
    <t>RICOPA AQUITUARI ARTEMIO HUMBERTO</t>
  </si>
  <si>
    <t>CALLE JESUS PAENZ 12 MICAELA</t>
  </si>
  <si>
    <t>05336388</t>
  </si>
  <si>
    <t>MANRRIQUE VARGAS JERRY</t>
  </si>
  <si>
    <t>05337042</t>
  </si>
  <si>
    <t>JUAN ABEL ROJAS FLORES</t>
  </si>
  <si>
    <t>.</t>
  </si>
  <si>
    <t>CALLE ABTAO 454</t>
  </si>
  <si>
    <t>05338009</t>
  </si>
  <si>
    <t>MARIELA JARAMILLO MANUYAMA</t>
  </si>
  <si>
    <t>SANTA ROSA 164</t>
  </si>
  <si>
    <t>053388139</t>
  </si>
  <si>
    <t>05388139</t>
  </si>
  <si>
    <t>VIDURRIZAGA REATEGUI MARIA TERESA</t>
  </si>
  <si>
    <t>TACNA N 116</t>
  </si>
  <si>
    <t>05339126</t>
  </si>
  <si>
    <t>JUAN ALVARADO RUIZ</t>
  </si>
  <si>
    <t>CALLE LIBERTAD  660</t>
  </si>
  <si>
    <t>05339281</t>
  </si>
  <si>
    <t>BOLIVAR MOZOMBITE SONIA TERESA</t>
  </si>
  <si>
    <t>CALLE LOS PINOS MZ E LTE 3</t>
  </si>
  <si>
    <t>05341673</t>
  </si>
  <si>
    <t>JUAN TELLO SIHUENE</t>
  </si>
  <si>
    <t>05345617</t>
  </si>
  <si>
    <t>MENDOZA MONTELVIS JHOEL</t>
  </si>
  <si>
    <t>30 DE AGOSTO ENTRADA SANTO TOMAS</t>
  </si>
  <si>
    <t>05346294</t>
  </si>
  <si>
    <t>NACIMIENTO YSUIZA SEGUNDO CESAR</t>
  </si>
  <si>
    <t>TRIUNFO CON HUASCAR MZ G LOTE 11</t>
  </si>
  <si>
    <t>05346977</t>
  </si>
  <si>
    <t>MANCHINARI LAULATE DEMETRIO</t>
  </si>
  <si>
    <t>CASERIO SAN JOSE DE OMAGUAS - RIO AMAZONAS</t>
  </si>
  <si>
    <t>05348099</t>
  </si>
  <si>
    <t>SAHUARICO LOPEZ TERESA</t>
  </si>
  <si>
    <t>CASERIO CENTRO ARENAL-RIO AMAZONAS</t>
  </si>
  <si>
    <t>05350983</t>
  </si>
  <si>
    <t>PABLO PAPA URAPARI</t>
  </si>
  <si>
    <t>05350985</t>
  </si>
  <si>
    <t>JUVENCIO JURI MEDRANO</t>
  </si>
  <si>
    <t>05351130</t>
  </si>
  <si>
    <t>NAVARRO SAJAMI WILMER</t>
  </si>
  <si>
    <t>FRANCISCO DE ORELLANA</t>
  </si>
  <si>
    <t>05353053</t>
  </si>
  <si>
    <t>LOURDES MOZOMBITE ARIMUYA</t>
  </si>
  <si>
    <t>CAL. ABTAO C/ 16 DE JULIO</t>
  </si>
  <si>
    <t>05353250</t>
  </si>
  <si>
    <t>MENDOZA PEREZ JUAN LUIS</t>
  </si>
  <si>
    <t>AV DEL EJERCITO 341B</t>
  </si>
  <si>
    <t>05353597</t>
  </si>
  <si>
    <t>TORRES JIMENEZ JOSEFA</t>
  </si>
  <si>
    <t>ANGAMOS 149</t>
  </si>
  <si>
    <t>05354068</t>
  </si>
  <si>
    <t>NEMESIO HUAYMANA CHUJUTALLI</t>
  </si>
  <si>
    <t>05355015</t>
  </si>
  <si>
    <t>ZUMAETA DE DIAZ MARGARITA</t>
  </si>
  <si>
    <t>MALVINAS CON CALLE ARGENTINA N 32</t>
  </si>
  <si>
    <t>05355235</t>
  </si>
  <si>
    <t>SALDAÑA LUNA HAUSHOFER</t>
  </si>
  <si>
    <t>5 DE JULIO MIGUEL GRAU</t>
  </si>
  <si>
    <t>05355603</t>
  </si>
  <si>
    <t>CAHUACHI RUIZ OLIVER</t>
  </si>
  <si>
    <t>CASERIO YANAYACU RIO APAYACU</t>
  </si>
  <si>
    <t>05355824</t>
  </si>
  <si>
    <t>ALMEIDA VILCARROMERO KLEIBER ALCIDES</t>
  </si>
  <si>
    <t>05356116</t>
  </si>
  <si>
    <t>NAPIAMA RENGIFO JOSE</t>
  </si>
  <si>
    <t>SECTOR 3 LAS AMAZONAS</t>
  </si>
  <si>
    <t>05357922</t>
  </si>
  <si>
    <t>JOSE MENDOZA AHUANARI</t>
  </si>
  <si>
    <t>CASERIO CHINO-RIO CAHUAY</t>
  </si>
  <si>
    <t>Jenaro Herrera</t>
  </si>
  <si>
    <t>05358420</t>
  </si>
  <si>
    <t>FREITAS MENDOZA LUZ ANGELICA</t>
  </si>
  <si>
    <t>CALLE JOSE DE LA TORRE UGARTE N 387</t>
  </si>
  <si>
    <t>05358747</t>
  </si>
  <si>
    <t>VALLES ASPAJO JULIA ISAURA</t>
  </si>
  <si>
    <t>JR PUTUMAYO # 1509</t>
  </si>
  <si>
    <t>40074066</t>
  </si>
  <si>
    <t>05359181</t>
  </si>
  <si>
    <t>ELBA VICERRA ACOSTA</t>
  </si>
  <si>
    <t>05359340</t>
  </si>
  <si>
    <t>LINARES CHAVEZ VICTOR</t>
  </si>
  <si>
    <t>JR. LOS LAURELES S/N - CALLERIA</t>
  </si>
  <si>
    <t>PERENE</t>
  </si>
  <si>
    <t>05361261</t>
  </si>
  <si>
    <t>RIVERA MOENA CARLOS ARMANDO</t>
  </si>
  <si>
    <t>05363015</t>
  </si>
  <si>
    <t>SALDAÑA PANDURO JANI</t>
  </si>
  <si>
    <t>NUEVO HORIZONTE -BAJO AMAZONAS</t>
  </si>
  <si>
    <t>05363456</t>
  </si>
  <si>
    <t>ROBINSON TECO ANDOA</t>
  </si>
  <si>
    <t>05363740</t>
  </si>
  <si>
    <t>LA TORRE ACHO ALCEDO</t>
  </si>
  <si>
    <t>VIRGEN DE LOURDES MZ I LOTE 20</t>
  </si>
  <si>
    <t>05365893</t>
  </si>
  <si>
    <t>PINEDO BARRETO HORINSON HOMERO</t>
  </si>
  <si>
    <t>STA ROSA S/N</t>
  </si>
  <si>
    <t>05367796</t>
  </si>
  <si>
    <t>PANDURO MOZOMBITE CARMEN ROCIO</t>
  </si>
  <si>
    <t>BERMUDEZ 1162</t>
  </si>
  <si>
    <t>05368552</t>
  </si>
  <si>
    <t>julia consuelo layche canayo</t>
  </si>
  <si>
    <t>PADRE COCHA</t>
  </si>
  <si>
    <t>05368957</t>
  </si>
  <si>
    <t>JOSE ENRIQUE NOA ZUMBA</t>
  </si>
  <si>
    <t>COMUNIDAD DE SANTA ROSA</t>
  </si>
  <si>
    <t>05370003</t>
  </si>
  <si>
    <t>MANUEL</t>
  </si>
  <si>
    <t>MALECON MORONA</t>
  </si>
  <si>
    <t>05371675</t>
  </si>
  <si>
    <t>LEOPOLDO PEREZ CHOTA</t>
  </si>
  <si>
    <t>RUMOCHADORA</t>
  </si>
  <si>
    <t>05372834</t>
  </si>
  <si>
    <t>CARLOS ALBERTO VILLA FUMACHI</t>
  </si>
  <si>
    <t>CALLE ABTAO</t>
  </si>
  <si>
    <t>05372855</t>
  </si>
  <si>
    <t>EDINSON MAYNAS HUALINGA</t>
  </si>
  <si>
    <t>PAMPA  HERMOSA</t>
  </si>
  <si>
    <t>05373485</t>
  </si>
  <si>
    <t>DEL AGUILA HIDALGO JAIME</t>
  </si>
  <si>
    <t>CALLE TRIUNFO 268</t>
  </si>
  <si>
    <t>05373791</t>
  </si>
  <si>
    <t>ROJAS CASANOVA CESAR HUMBERTO</t>
  </si>
  <si>
    <t>LOS FICUS. AA.HH. 14 DE NOVIEMBRE MZ A LT-24</t>
  </si>
  <si>
    <t>05376038</t>
  </si>
  <si>
    <t>AREVALO DIAZ MONLLI</t>
  </si>
  <si>
    <t>AV  TOPAL  S/N -   MAYPUCO</t>
  </si>
  <si>
    <t>05378571</t>
  </si>
  <si>
    <t>MAYNAS HUALINGA GERARDO</t>
  </si>
  <si>
    <t>NUEVA JERUSALEN</t>
  </si>
  <si>
    <t>05378966</t>
  </si>
  <si>
    <t>LUIS ALBERTO ANDRA PEÑA</t>
  </si>
  <si>
    <t>05379104</t>
  </si>
  <si>
    <t>LAURA CUBAS POCLIN</t>
  </si>
  <si>
    <t>CALLE YAVARI N 998</t>
  </si>
  <si>
    <t>05379206</t>
  </si>
  <si>
    <t>ZUTA TAPULLIMA JAMES</t>
  </si>
  <si>
    <t>VILLA PETROPERU MZ C LOTE 12</t>
  </si>
  <si>
    <t>05379938</t>
  </si>
  <si>
    <t>CONTRERAS ROMERO CHARLY</t>
  </si>
  <si>
    <t>CALLE ATAHUALPA N 1327</t>
  </si>
  <si>
    <t>05380943</t>
  </si>
  <si>
    <t>CHOTA CURI MERCEDES</t>
  </si>
  <si>
    <t>CASERIO 2 DE MAYO</t>
  </si>
  <si>
    <t>05381072</t>
  </si>
  <si>
    <t>HARRY CLIFTON RUSSELL ALGER</t>
  </si>
  <si>
    <t>AV. GUARDIA CIVIL 551</t>
  </si>
  <si>
    <t>05381348</t>
  </si>
  <si>
    <t>DAVILA JAVA AUGUSTO</t>
  </si>
  <si>
    <t>SAN JOSE-RIO ITAYA</t>
  </si>
  <si>
    <t>05381998</t>
  </si>
  <si>
    <t>SANCHEZ TAPULLIMA JUAN MIGUEL</t>
  </si>
  <si>
    <t>CARRETERA IQUITOS NAUTA KM 9.5</t>
  </si>
  <si>
    <t>05382350</t>
  </si>
  <si>
    <t>MANIHUARI FLORES BENITO</t>
  </si>
  <si>
    <t>ESTRECHO</t>
  </si>
  <si>
    <t>05384891</t>
  </si>
  <si>
    <t>PEPE CEBAS PENA</t>
  </si>
  <si>
    <t>13 DE FEBRERO-CARRETERA IQUITOS NAUTA KM 32</t>
  </si>
  <si>
    <t>05385409</t>
  </si>
  <si>
    <t>TRIGOSO POZO ARNOLDO</t>
  </si>
  <si>
    <t>SARAMIRIZA - NIEVA - CONDORCANQUI</t>
  </si>
  <si>
    <t>Nieva</t>
  </si>
  <si>
    <t>05385933</t>
  </si>
  <si>
    <t>SOPLIN PEREZ WENNINGER</t>
  </si>
  <si>
    <t>CCNN YURAYACU ALTURA RIO NAPO</t>
  </si>
  <si>
    <t>05386489</t>
  </si>
  <si>
    <t>REATEGUI MONCADA MARCIAL</t>
  </si>
  <si>
    <t>PROVIDENCIA - BAJO HUALLAGA</t>
  </si>
  <si>
    <t>05386930</t>
  </si>
  <si>
    <t>MEZA ACOSTA GITLER</t>
  </si>
  <si>
    <t>Caserio el Progreso</t>
  </si>
  <si>
    <t>Santa Cruz</t>
  </si>
  <si>
    <t>05387186</t>
  </si>
  <si>
    <t>COTRINA VALLES MIGUEL</t>
  </si>
  <si>
    <t>BARRIO LA LOMA - JUAM RUIZ IBARRA</t>
  </si>
  <si>
    <t>05387643</t>
  </si>
  <si>
    <t>YUPE HUAMAN GEIDEN LUIS</t>
  </si>
  <si>
    <t>JORGE CHAVEZ N 619</t>
  </si>
  <si>
    <t>05387701</t>
  </si>
  <si>
    <t>ARCE AMASIFUEN ROMER</t>
  </si>
  <si>
    <t>COMUNIDAD QUECHUA SANTA SOFIA-PAPAPLAYA</t>
  </si>
  <si>
    <t>05387727</t>
  </si>
  <si>
    <t>PEZO CARDENAS DERWIN</t>
  </si>
  <si>
    <t>JULIO C RUIZ N 209</t>
  </si>
  <si>
    <t>05388662</t>
  </si>
  <si>
    <t>SALAZAR PACAYA SAUL ABDIAS</t>
  </si>
  <si>
    <t>CASERIO SAN FERNANDO</t>
  </si>
  <si>
    <t>Balsapuerto</t>
  </si>
  <si>
    <t>05389048</t>
  </si>
  <si>
    <t>RENGIFO REYNA JUAN</t>
  </si>
  <si>
    <t>SHUCUHSYACU</t>
  </si>
  <si>
    <t>05389349</t>
  </si>
  <si>
    <t>TERCERO GALVEZ CARDENAS</t>
  </si>
  <si>
    <t>JULIO C. PINEDO N123 - YURIMAGUAS</t>
  </si>
  <si>
    <t>05389425</t>
  </si>
  <si>
    <t>WARNER</t>
  </si>
  <si>
    <t>CALLE ARICA</t>
  </si>
  <si>
    <t>05391341</t>
  </si>
  <si>
    <t>JULIO CESAR FASABI MARIN</t>
  </si>
  <si>
    <t>VALLE ENCANTADO KM 10 CARRETERA IQUITOS</t>
  </si>
  <si>
    <t>05395437</t>
  </si>
  <si>
    <t>JHONNY DAVILA BRAGA</t>
  </si>
  <si>
    <t>05396527</t>
  </si>
  <si>
    <t>CHANCHARI ASIPALI FILDOR</t>
  </si>
  <si>
    <t>05396866</t>
  </si>
  <si>
    <t>CARLOS RICHAR PANDURO REYES</t>
  </si>
  <si>
    <t>05397820</t>
  </si>
  <si>
    <t>DEL AGUILA VASQUEZ MANUEL ARMANDO</t>
  </si>
  <si>
    <t>05397915</t>
  </si>
  <si>
    <t>TUANAMA AMARINGO NATIVIDAD</t>
  </si>
  <si>
    <t>CASERIO 12 DE ABRIL</t>
  </si>
  <si>
    <t>05397950</t>
  </si>
  <si>
    <t>GARCIA LINARES ROMAN</t>
  </si>
  <si>
    <t>05398044</t>
  </si>
  <si>
    <t>MIKE</t>
  </si>
  <si>
    <t>05398873</t>
  </si>
  <si>
    <t>GUILLERMO RIOS MUNOS</t>
  </si>
  <si>
    <t>05399581</t>
  </si>
  <si>
    <t>CHIRE MAYHUASCA CRISTOBAL KEVIN</t>
  </si>
  <si>
    <t>NUEVO ORIENTE</t>
  </si>
  <si>
    <t>05400422</t>
  </si>
  <si>
    <t>ABNER FATAMA TUHANAMA</t>
  </si>
  <si>
    <t>NUEVA VIDA</t>
  </si>
  <si>
    <t>Trompeteros</t>
  </si>
  <si>
    <t>05400427</t>
  </si>
  <si>
    <t>AUGUSTO PEIXOTO PINEDO</t>
  </si>
  <si>
    <t>JR.TRUJILLO 1145</t>
  </si>
  <si>
    <t>05400555</t>
  </si>
  <si>
    <t>HITLER BRAIZ LOZANO</t>
  </si>
  <si>
    <t>AV. COLONIAL</t>
  </si>
  <si>
    <t>05400587</t>
  </si>
  <si>
    <t>RAMIREZ HUAYUNGA GERMAN</t>
  </si>
  <si>
    <t>CENTRO POBLADO 13 DE FEBRERO KM 33 CALLE LOS CLAVELES LOTE 10</t>
  </si>
  <si>
    <t>05401397</t>
  </si>
  <si>
    <t>LUIS MACAHUACHI PEREZ</t>
  </si>
  <si>
    <t>CASERIO NUEVO PERU - QUEBRADA SINCHICUY RIO AMAZONAS</t>
  </si>
  <si>
    <t>05402666</t>
  </si>
  <si>
    <t>GARCIA DEL AGUILA ANTONIO</t>
  </si>
  <si>
    <t>CALLE LORETO S/N YANASHI -LAS AMAZONAS</t>
  </si>
  <si>
    <t>05404361</t>
  </si>
  <si>
    <t>SANCHEZ BARDALES JUAN BAUTISTA</t>
  </si>
  <si>
    <t>CASERIO SAN JUAN DE PINTUYACU</t>
  </si>
  <si>
    <t>05404896</t>
  </si>
  <si>
    <t>LARICO GARCIA PAULINO MARTIN</t>
  </si>
  <si>
    <t>05406063</t>
  </si>
  <si>
    <t>JULIO CESAR CUMAPA RIOS</t>
  </si>
  <si>
    <t>LOCALIDAD SOPLIN VARGAS</t>
  </si>
  <si>
    <t>PUTUMAYO</t>
  </si>
  <si>
    <t>05407781</t>
  </si>
  <si>
    <t>CURINUQUI PIZANGO JUAN WILIAN</t>
  </si>
  <si>
    <t>23 DE MARZO D-21</t>
  </si>
  <si>
    <t>05408629</t>
  </si>
  <si>
    <t>EDGAR YUPE TANGOA</t>
  </si>
  <si>
    <t>COMUNIDAD NATIVA MILAGRO</t>
  </si>
  <si>
    <t>05408881</t>
  </si>
  <si>
    <t>BERCI ELISEO</t>
  </si>
  <si>
    <t>05410310</t>
  </si>
  <si>
    <t>GARCIA FLORES KLEISY DARLEDY</t>
  </si>
  <si>
    <t>CALVO DE ARAUJO 1924</t>
  </si>
  <si>
    <t>05410445</t>
  </si>
  <si>
    <t>ROJAS MURO JULIA ISABEL</t>
  </si>
  <si>
    <t>BELLO HORIZONTE  3128</t>
  </si>
  <si>
    <t>05410883</t>
  </si>
  <si>
    <t>HUGO CORREA SHUNA</t>
  </si>
  <si>
    <t>SAN ANDRES-RIO ITAYA</t>
  </si>
  <si>
    <t>05411371</t>
  </si>
  <si>
    <t>MICHEL RANDIN MANUYAMA SIQUIHUA</t>
  </si>
  <si>
    <t>COM. SALVADOR</t>
  </si>
  <si>
    <t>05413903</t>
  </si>
  <si>
    <t>GERMAN HUAYUNGA FLORES</t>
  </si>
  <si>
    <t>LA AMISTAD PERU</t>
  </si>
  <si>
    <t>05414166</t>
  </si>
  <si>
    <t>OLORTEGUI GARCIA ELIDA</t>
  </si>
  <si>
    <t>05415467</t>
  </si>
  <si>
    <t>DE LA CRUZ PEÑA JARLE</t>
  </si>
  <si>
    <t>TAMANCO RIO UCAYALI</t>
  </si>
  <si>
    <t>05416135</t>
  </si>
  <si>
    <t>VELA VELA WERNER</t>
  </si>
  <si>
    <t>CALLE AMERICA # 140 - IQUITOS</t>
  </si>
  <si>
    <t>05416529</t>
  </si>
  <si>
    <t>HORINSON</t>
  </si>
  <si>
    <t>CALLE LAS FLORES S/N - ISLANDIA</t>
  </si>
  <si>
    <t>05416715</t>
  </si>
  <si>
    <t>PADILLA VELA MAYER</t>
  </si>
  <si>
    <t>05417651</t>
  </si>
  <si>
    <t>LOPEZ CAUPER GUILLERMO</t>
  </si>
  <si>
    <t>05417776</t>
  </si>
  <si>
    <t>AREVALO GUERRERO GEAN CARLO</t>
  </si>
  <si>
    <t>JOSE GALVEZ 109</t>
  </si>
  <si>
    <t>05455612</t>
  </si>
  <si>
    <t>HERMER MOSCOSO BRAGA</t>
  </si>
  <si>
    <t>CALLE 3 C/ 16 DE JULIO</t>
  </si>
  <si>
    <t>05580789</t>
  </si>
  <si>
    <t>Pinedo Pinedo Roner</t>
  </si>
  <si>
    <t>Cal. La Loretana N. 374</t>
  </si>
  <si>
    <t>05580797</t>
  </si>
  <si>
    <t>CARLOS</t>
  </si>
  <si>
    <t>MANCO CAPAC 110.A</t>
  </si>
  <si>
    <t>05582925</t>
  </si>
  <si>
    <t>RUCOBA MARICHIN RUBEN</t>
  </si>
  <si>
    <t>COMUNIDAD SOLEDAD</t>
  </si>
  <si>
    <t>05582934</t>
  </si>
  <si>
    <t>AREVALO BARRERA VICTOR</t>
  </si>
  <si>
    <t>VALLE DEL ZAPOTE - CASERIO NUEVA ESPERANZA</t>
  </si>
  <si>
    <t>05583224</t>
  </si>
  <si>
    <t>JORGE RENGIFO PUA</t>
  </si>
  <si>
    <t>CASERIO SOLEDAD-BALSAPUERTO</t>
  </si>
  <si>
    <t>05583611</t>
  </si>
  <si>
    <t>PINEDO CARBALLO DAVID</t>
  </si>
  <si>
    <t>MAYNAS N 712</t>
  </si>
  <si>
    <t>05583647</t>
  </si>
  <si>
    <t>MILAGROS VILCHEZ GONZALES</t>
  </si>
  <si>
    <t>JR INGLATERRA - SHAMBOYACU- PICOTA - SAN MARTIN</t>
  </si>
  <si>
    <t>05583716</t>
  </si>
  <si>
    <t>HERLITA</t>
  </si>
  <si>
    <t>JR.MOYOBAMBA S/N BALSAPUERTO</t>
  </si>
  <si>
    <t>05583790</t>
  </si>
  <si>
    <t>IGLESIA CRISTIANA EVANGELICA FILADELFIA PINEDO MEZA ALADINO</t>
  </si>
  <si>
    <t>MAYNAS N 407</t>
  </si>
  <si>
    <t>05585074</t>
  </si>
  <si>
    <t>ALBERTO TANGOA CHOTA</t>
  </si>
  <si>
    <t>CENTRO POBLADO MENOR SAN GABRIEL DE BARADERO- BALSAPUERTO</t>
  </si>
  <si>
    <t>05585530</t>
  </si>
  <si>
    <t>NAPUCHI IPUSHIMA BENITO</t>
  </si>
  <si>
    <t>CASERIO YAHUAR - ALTO HUALLAGA</t>
  </si>
  <si>
    <t>05586185</t>
  </si>
  <si>
    <t>PIZANGO PIZANGO EUSTAQUI</t>
  </si>
  <si>
    <t>05586669</t>
  </si>
  <si>
    <t>OJANAMA DE DEL AGUILA MELITA</t>
  </si>
  <si>
    <t>PSJ LOS ANGELES N 124 - JUAN PRIMO RUIZ</t>
  </si>
  <si>
    <t>0558732</t>
  </si>
  <si>
    <t>ALBERTO</t>
  </si>
  <si>
    <t>CALLE ARICA 921-YURIMAGUAS</t>
  </si>
  <si>
    <t>05587516</t>
  </si>
  <si>
    <t>CACHIQUE MARICHIN JUAN AXILDO</t>
  </si>
  <si>
    <t>PSJ.TARAPOTO N.212</t>
  </si>
  <si>
    <t>05587975</t>
  </si>
  <si>
    <t>JOSE CARLOS ALTAMIRANO QUINTANA</t>
  </si>
  <si>
    <t>ARTICULOS FERRETEROS Y DE CONSTRUCCION</t>
  </si>
  <si>
    <t>JR. MANCO CAPAC 110 B</t>
  </si>
  <si>
    <t>05588255</t>
  </si>
  <si>
    <t>PISCO PANDURO SAMUEL</t>
  </si>
  <si>
    <t>ARICA N 1646</t>
  </si>
  <si>
    <t>05588275</t>
  </si>
  <si>
    <t>SANGAY HUAMAN VICTOR CACIMIRO</t>
  </si>
  <si>
    <t>05588601</t>
  </si>
  <si>
    <t>CARO SANGAMA PERLA</t>
  </si>
  <si>
    <t>15 de Agosto - Urb. Santa Marta</t>
  </si>
  <si>
    <t>05588629</t>
  </si>
  <si>
    <t>DEL AGUILA LOPEZ SAUL</t>
  </si>
  <si>
    <t>BOLOGNESI N 810</t>
  </si>
  <si>
    <t>05589266</t>
  </si>
  <si>
    <t>ALAVA VARGAS LINO</t>
  </si>
  <si>
    <t>15 DE AGOSTO 3ERA CUADRA N 343</t>
  </si>
  <si>
    <t>05591131</t>
  </si>
  <si>
    <t>RODRIGUEZ PINEDO CARLOTA</t>
  </si>
  <si>
    <t>Caserio San MIGUEL - Alto Huallaga</t>
  </si>
  <si>
    <t>05592674</t>
  </si>
  <si>
    <t>SINARAHUA PIZANGO CARLOS</t>
  </si>
  <si>
    <t>CALLE HUACAMAYO MZ F LTE 3 ASOCIACION VILLA VICTORIA</t>
  </si>
  <si>
    <t>05594237</t>
  </si>
  <si>
    <t>ANGELICA</t>
  </si>
  <si>
    <t>SAN LORENZO</t>
  </si>
  <si>
    <t>05594318</t>
  </si>
  <si>
    <t>GARCIA NAVA ISIDORO</t>
  </si>
  <si>
    <t>Psj. Pastaza N 307</t>
  </si>
  <si>
    <t>05594520</t>
  </si>
  <si>
    <t>ZAITA INUMA FELIX</t>
  </si>
  <si>
    <t>CASERIO MANGUAY-RIO PARANAPURA</t>
  </si>
  <si>
    <t>05594570</t>
  </si>
  <si>
    <t>RUBEN DELGADO PEA</t>
  </si>
  <si>
    <t>15 DE AGOSTO MZ A LT 2-LOA MADEROS</t>
  </si>
  <si>
    <t>05595383</t>
  </si>
  <si>
    <t>SANTIAGO PAIMA FLORES</t>
  </si>
  <si>
    <t>NAUTA N 148</t>
  </si>
  <si>
    <t>05595722</t>
  </si>
  <si>
    <t>ELADIO</t>
  </si>
  <si>
    <t>ATANASIO JAUREGUI N 222- YURIMAGAUS</t>
  </si>
  <si>
    <t>05596063</t>
  </si>
  <si>
    <t>SILVA CHANCHARI WALQUER</t>
  </si>
  <si>
    <t>05596790</t>
  </si>
  <si>
    <t>ERNESTO ASPAJO GOMEZ</t>
  </si>
  <si>
    <t>CENTRO POBLADO 12 DE ABRIL KM.56 IQUITOS NAUTA</t>
  </si>
  <si>
    <t>05597278</t>
  </si>
  <si>
    <t>TORRES PUA MARIANO</t>
  </si>
  <si>
    <t>Comunidad 2 de Mayo</t>
  </si>
  <si>
    <t>05597391</t>
  </si>
  <si>
    <t>LANCHA PIZANGO ORLANDO</t>
  </si>
  <si>
    <t>COMUNIDAD SAN FERNANDO</t>
  </si>
  <si>
    <t>BALSAPUERTO</t>
  </si>
  <si>
    <t>05597761</t>
  </si>
  <si>
    <t>MARICHIN TANGOA DAVID</t>
  </si>
  <si>
    <t>Comunidad Progreso - Alto Paranapura</t>
  </si>
  <si>
    <t>05597774</t>
  </si>
  <si>
    <t>YUMI CAHUAZA CUPERTINO</t>
  </si>
  <si>
    <t>Caserio Puerto Porvenir -</t>
  </si>
  <si>
    <t>05601037</t>
  </si>
  <si>
    <t>SANDOVAL TALEXIO SERVANDO</t>
  </si>
  <si>
    <t>JEBEROS</t>
  </si>
  <si>
    <t>05602882</t>
  </si>
  <si>
    <t>CARMEN AMERICA</t>
  </si>
  <si>
    <t>CALLE MIRAFLORES</t>
  </si>
  <si>
    <t>05605967</t>
  </si>
  <si>
    <t>HUASAY</t>
  </si>
  <si>
    <t>AV. PRINCIPAL S/N - SARAMIRIZA</t>
  </si>
  <si>
    <t>MANSERICHE</t>
  </si>
  <si>
    <t>05608210</t>
  </si>
  <si>
    <t>LOMAS MANIHUARI JAVIER</t>
  </si>
  <si>
    <t>05608250</t>
  </si>
  <si>
    <t>CABANILLAS CURINUQUI ALEJANDRO</t>
  </si>
  <si>
    <t>NARANJAL - BAJO HUALLAGA</t>
  </si>
  <si>
    <t>05608307</t>
  </si>
  <si>
    <t>ASUNCION HUAYUNGA HUALINGA</t>
  </si>
  <si>
    <t>SANTA GEMA - BAJO HUALLAGA</t>
  </si>
  <si>
    <t>05609492</t>
  </si>
  <si>
    <t>DEL CASTILLO ESTRELLA JULIAN</t>
  </si>
  <si>
    <t xml:space="preserve">comercial </t>
  </si>
  <si>
    <t xml:space="preserve">CALLE: 28 DE JULIO </t>
  </si>
  <si>
    <t>TENIENTE CESAR LOPEZ ROJAS</t>
  </si>
  <si>
    <t>05610936</t>
  </si>
  <si>
    <t>LANCHA GUERRA ROGER</t>
  </si>
  <si>
    <t>Centro Poblado Santa Maria - Bajo Huallaga</t>
  </si>
  <si>
    <t>05611021</t>
  </si>
  <si>
    <t>GUERRA NOLORBE NATIVIDAD</t>
  </si>
  <si>
    <t>Caserio Primavera - Bajo Huallaga</t>
  </si>
  <si>
    <t>05611494</t>
  </si>
  <si>
    <t>RENGIFO SANGAMA CARLOS HUMBERTO</t>
  </si>
  <si>
    <t>LORETANA N 214</t>
  </si>
  <si>
    <t>05611508</t>
  </si>
  <si>
    <t>TANCHIVA DIAZ DE PIPA RUTH</t>
  </si>
  <si>
    <t>JR. INDEPENCIA MZ X LT 16 - LAS AMERICAS</t>
  </si>
  <si>
    <t>05611897</t>
  </si>
  <si>
    <t>FLORES GUERRA ESTEFITA</t>
  </si>
  <si>
    <t>CASERIO SAN CARLOS - ALTO HUALLAGA</t>
  </si>
  <si>
    <t>05611955</t>
  </si>
  <si>
    <t>SHARDIN ACHO JAVIER</t>
  </si>
  <si>
    <t>Caserio Santa Lucia - Rio Paranapura</t>
  </si>
  <si>
    <t>05612316</t>
  </si>
  <si>
    <t>NAPO MARICHIN CARMELIN</t>
  </si>
  <si>
    <t>CASERIO NUEVO CHAZUTA</t>
  </si>
  <si>
    <t>05614356</t>
  </si>
  <si>
    <t>YUME HUIÑAPI LUIS</t>
  </si>
  <si>
    <t>PANAN</t>
  </si>
  <si>
    <t>05614409</t>
  </si>
  <si>
    <t>GOMEZ TUESTA JORGE LUIS</t>
  </si>
  <si>
    <t>25 de Julio Mz B Lt 8 A.A.H.H - Independecia</t>
  </si>
  <si>
    <t>05616874</t>
  </si>
  <si>
    <t>ARMAS DEL AGUILA EDINSON</t>
  </si>
  <si>
    <t>05616878</t>
  </si>
  <si>
    <t>GRANDEZ DOMINGUEZ HUGO</t>
  </si>
  <si>
    <t>5 DE JUNIO MZ C LT 2 A.A.H.H LAS PRADERAS</t>
  </si>
  <si>
    <t>05617003</t>
  </si>
  <si>
    <t>RAMIREZ TANGOA ADEMID</t>
  </si>
  <si>
    <t>05617327</t>
  </si>
  <si>
    <t>PASHANASI AMASIFUEN HILTER</t>
  </si>
  <si>
    <t>Caserio Naranjal - Barranquita</t>
  </si>
  <si>
    <t>05617654</t>
  </si>
  <si>
    <t>RAMIRO ANDOA JESUS</t>
  </si>
  <si>
    <t>JOSE CARLOS MARIATEGUI N 109</t>
  </si>
  <si>
    <t>05618550</t>
  </si>
  <si>
    <t>KEVIN PEREZ REATEGUI</t>
  </si>
  <si>
    <t>ATAHUALPA N 303</t>
  </si>
  <si>
    <t>05618652</t>
  </si>
  <si>
    <t>VALENCIA VALLES CESAR</t>
  </si>
  <si>
    <t>SAN LUCIA -  CARRETERA YURI - BALSAPUERTO</t>
  </si>
  <si>
    <t>05620013</t>
  </si>
  <si>
    <t>JORGE CARDENAS RUIZ</t>
  </si>
  <si>
    <t>CALLE EL VADO SN</t>
  </si>
  <si>
    <t>05620017</t>
  </si>
  <si>
    <t>OLGA QUINTANILLA ORBE</t>
  </si>
  <si>
    <t>JR-MORAONA N125-SAN LORENZO</t>
  </si>
  <si>
    <t>05620286</t>
  </si>
  <si>
    <t>CARIAJANO CHUJE NICOLAS</t>
  </si>
  <si>
    <t>AV PARTICIPACION VIOLETA CORREA</t>
  </si>
  <si>
    <t>05623262</t>
  </si>
  <si>
    <t>LOZANO TECCO EMILIANO</t>
  </si>
  <si>
    <t>05623675</t>
  </si>
  <si>
    <t>ROJAS CURINUQUI VDA DE LINARES ANA</t>
  </si>
  <si>
    <t>PJE SECOYA 225-MICAELA</t>
  </si>
  <si>
    <t>05625920</t>
  </si>
  <si>
    <t>JUANA CLAVO PEREZ</t>
  </si>
  <si>
    <t>AV.PRINCIPAL S/N SARAMIRIZA</t>
  </si>
  <si>
    <t>05626022</t>
  </si>
  <si>
    <t>VICTOR  CLAVO  PEREZ</t>
  </si>
  <si>
    <t>05627400</t>
  </si>
  <si>
    <t>SUNDI AKUMBARI GUILLERMO</t>
  </si>
  <si>
    <t>CN MUSA KARUSHA SN RIO PASTAZA</t>
  </si>
  <si>
    <t>05627587</t>
  </si>
  <si>
    <t>VERONICA GARCIA TUESTA</t>
  </si>
  <si>
    <t>ULLPAYACU-PASTAZA</t>
  </si>
  <si>
    <t>05627588</t>
  </si>
  <si>
    <t>GUIDO</t>
  </si>
  <si>
    <t>05629323</t>
  </si>
  <si>
    <t>RENGIFO TAPULLIMA ARCELIT</t>
  </si>
  <si>
    <t>Primavera</t>
  </si>
  <si>
    <t>05631296</t>
  </si>
  <si>
    <t>GONZALES TANANTA JOSE PRIMO</t>
  </si>
  <si>
    <t>Caserio Santa Teresa - Bajo Huallaga</t>
  </si>
  <si>
    <t>05632668</t>
  </si>
  <si>
    <t>CARRANZA DELGADO NIXON</t>
  </si>
  <si>
    <t>FERRETEIA</t>
  </si>
  <si>
    <t>JR.       MARAÑON   420    SAN   LORENZO</t>
  </si>
  <si>
    <t>05702830</t>
  </si>
  <si>
    <t>JULIO WALTER LABAJOS GUERRERO</t>
  </si>
  <si>
    <t>MAL. BUENOS AIRE S/N-NAUTA</t>
  </si>
  <si>
    <t>05703342</t>
  </si>
  <si>
    <t>JORGE TAMANI VILCA</t>
  </si>
  <si>
    <t>PSJ.MANDOZA S/N-NAUTA</t>
  </si>
  <si>
    <t>70092435</t>
  </si>
  <si>
    <t>05703639</t>
  </si>
  <si>
    <t>FERNANDO DAHUA SANDY</t>
  </si>
  <si>
    <t>CABALLOCOCHA</t>
  </si>
  <si>
    <t>05704128</t>
  </si>
  <si>
    <t>TOLOMEO CARRANZA DEL AGUILA</t>
  </si>
  <si>
    <t>SAN PEDRO DE MANGUA</t>
  </si>
  <si>
    <t>05704632</t>
  </si>
  <si>
    <t>FLORES PANDURO EDUARDO</t>
  </si>
  <si>
    <t>CASERIO NUEVA UNION</t>
  </si>
  <si>
    <t>Urarinas</t>
  </si>
  <si>
    <t>05707644</t>
  </si>
  <si>
    <t>HUAMAN AREVALO LUIS</t>
  </si>
  <si>
    <t>CALLE SAN AGUSTIN SN</t>
  </si>
  <si>
    <t>TIGRE</t>
  </si>
  <si>
    <t>05708468</t>
  </si>
  <si>
    <t>VERGARA ARIMUYA LUZ MILENA</t>
  </si>
  <si>
    <t>05708572</t>
  </si>
  <si>
    <t>GUERRA USHIHUA WILIAN</t>
  </si>
  <si>
    <t>Comunidad Nativa 28 de Julio</t>
  </si>
  <si>
    <t>05709440</t>
  </si>
  <si>
    <t>JUANITO CULQUI PIZANGO</t>
  </si>
  <si>
    <t>COMUNIDAD NUEVO ANGOAS</t>
  </si>
  <si>
    <t>05709510</t>
  </si>
  <si>
    <t>MOISES TRUJILLO ACHO</t>
  </si>
  <si>
    <t>CALLE MAYPUCO</t>
  </si>
  <si>
    <t>05709580</t>
  </si>
  <si>
    <t>IRARICA GAMARRA MAURO</t>
  </si>
  <si>
    <t>AV. PARTICIPACION AA.HH 28 DE JULIO</t>
  </si>
  <si>
    <t>05710112</t>
  </si>
  <si>
    <t>FERNANDO FERNANDEZ SAJAMI</t>
  </si>
  <si>
    <t>05711091</t>
  </si>
  <si>
    <t>JOSE FRANCISCO TORRES ROJAS</t>
  </si>
  <si>
    <t>CARRETERA SANTO TOMAS 3.5</t>
  </si>
  <si>
    <t>05711108</t>
  </si>
  <si>
    <t>DUGLER  TAMANI  MOZOMBITE</t>
  </si>
  <si>
    <t xml:space="preserve">RAUL HUALINGA   S/N    TROMPETROS   </t>
  </si>
  <si>
    <t>TROMPETEROS</t>
  </si>
  <si>
    <t>05712482</t>
  </si>
  <si>
    <t>ALEJANDRO PEREZ AREVALO</t>
  </si>
  <si>
    <t>SAN ROQUE</t>
  </si>
  <si>
    <t>Parinari</t>
  </si>
  <si>
    <t>05712808</t>
  </si>
  <si>
    <t>VELA SAAVEDRA LUIS ROYMER</t>
  </si>
  <si>
    <t>SAN AGUSTIN  S/N   INTUTO</t>
  </si>
  <si>
    <t>05713689</t>
  </si>
  <si>
    <t>AQUILES MANIHUARI CARDENAS</t>
  </si>
  <si>
    <t>NUEVA ALIANZA</t>
  </si>
  <si>
    <t>05713700</t>
  </si>
  <si>
    <t>AHUITE TARICUARIMA VICTOR</t>
  </si>
  <si>
    <t>SANTA CARMELA</t>
  </si>
  <si>
    <t>05713801</t>
  </si>
  <si>
    <t>INUMA ARAHUATA VICENTE</t>
  </si>
  <si>
    <t>05714240</t>
  </si>
  <si>
    <t>MACAHUACHI RODRIGUEZ JOSE</t>
  </si>
  <si>
    <t>MALECON BUENOS AIRES 1 CUADRA</t>
  </si>
  <si>
    <t>05714900</t>
  </si>
  <si>
    <t>WILIAM  MAHUA  CARITIMARI</t>
  </si>
  <si>
    <t>SAN JUAN DE LAGUNILLOS - NAUTA</t>
  </si>
  <si>
    <t>05715212</t>
  </si>
  <si>
    <t>DENIS SALAS VELA</t>
  </si>
  <si>
    <t>05717085</t>
  </si>
  <si>
    <t>GERARDO HUALINGA MAYNAS</t>
  </si>
  <si>
    <t>PAMPA HERMOSA</t>
  </si>
  <si>
    <t>05780090</t>
  </si>
  <si>
    <t>SANCHEZ BARRERA ROGER</t>
  </si>
  <si>
    <t>JOSE OLAYA</t>
  </si>
  <si>
    <t>05780725</t>
  </si>
  <si>
    <t>ARCHELI</t>
  </si>
  <si>
    <t>05780747</t>
  </si>
  <si>
    <t>SANCHEZ VAQUERO ANGEL CRISOSTOMO</t>
  </si>
  <si>
    <t>05781658</t>
  </si>
  <si>
    <t>RENGIFO PEÑA JULIO</t>
  </si>
  <si>
    <t>CASERIO SAN ANTONIO</t>
  </si>
  <si>
    <t>05783860</t>
  </si>
  <si>
    <t>ISABEL LOPEZ TINA</t>
  </si>
  <si>
    <t>CENTRO POBLADO SAN JOSE DE COCHIQUINA</t>
  </si>
  <si>
    <t>05784294</t>
  </si>
  <si>
    <t>SHEQUER AGUILAR ESPINAR</t>
  </si>
  <si>
    <t>CASERIO SAN LUCAS KM 42</t>
  </si>
  <si>
    <t>05784750</t>
  </si>
  <si>
    <t>FLORES VEGA LUZ AURA</t>
  </si>
  <si>
    <t>CARRETERA IQUITOS NAUTA KM. 61</t>
  </si>
  <si>
    <t>05786744</t>
  </si>
  <si>
    <t>HUAYABAN FERREIRA NORTE</t>
  </si>
  <si>
    <t>ISALANDIA</t>
  </si>
  <si>
    <t>05787314</t>
  </si>
  <si>
    <t>CUMAPA DEL AGUILA JOSE</t>
  </si>
  <si>
    <t>CONTAMANA</t>
  </si>
  <si>
    <t>05787372</t>
  </si>
  <si>
    <t>HUAYA CURINUQUI MAURO</t>
  </si>
  <si>
    <t>ISLANDIA</t>
  </si>
  <si>
    <t>Yavari</t>
  </si>
  <si>
    <t>05787419</t>
  </si>
  <si>
    <t>SHUPINGAHUA RIOS SANTOS SEGUNDO</t>
  </si>
  <si>
    <t>05787571</t>
  </si>
  <si>
    <t>JOIDITA NERY YALTA DE GARAY</t>
  </si>
  <si>
    <t>RICARDO PALMA S/N TACORA PUESTO</t>
  </si>
  <si>
    <t>05788863</t>
  </si>
  <si>
    <t>GUERRERO COHELO RAQUEL</t>
  </si>
  <si>
    <t>COMUNIDAD CUSHILLO COCHA RAMON CASTILLA</t>
  </si>
  <si>
    <t>05790093</t>
  </si>
  <si>
    <t>ZEVALLOS GONZALEZ NORMA ESTHER</t>
  </si>
  <si>
    <t>CALLE MOYOBAMBA 168</t>
  </si>
  <si>
    <t>05790482</t>
  </si>
  <si>
    <t>LUZ MARINA DEL AGUILA SINARAHUA</t>
  </si>
  <si>
    <t>RAMON CASTILLA</t>
  </si>
  <si>
    <t>05791332</t>
  </si>
  <si>
    <t>RODRIGUEZ MORENO CELSO</t>
  </si>
  <si>
    <t>CASERIO COCHIQUINA</t>
  </si>
  <si>
    <t>Pebas</t>
  </si>
  <si>
    <t>05791349</t>
  </si>
  <si>
    <t>ALVARADO CAHUAMARI PASCUAL</t>
  </si>
  <si>
    <t>PEVAS</t>
  </si>
  <si>
    <t>05791724</t>
  </si>
  <si>
    <t>CARLOS RUBIO FLORES</t>
  </si>
  <si>
    <t>CALLE NAPO 143</t>
  </si>
  <si>
    <t>05791914</t>
  </si>
  <si>
    <t>LUIS SIAS PENA</t>
  </si>
  <si>
    <t>ANGAMOS -BAJO AMAZONAS</t>
  </si>
  <si>
    <t>05792192</t>
  </si>
  <si>
    <t>RUIZ RUIZ JULIO</t>
  </si>
  <si>
    <t>PSJ. TUPAC AMARU S/N - SAN PABLO</t>
  </si>
  <si>
    <t>05793000</t>
  </si>
  <si>
    <t>PANDURO RIOS JORGE LUIS</t>
  </si>
  <si>
    <t>CHIMBOTE</t>
  </si>
  <si>
    <t>05793389</t>
  </si>
  <si>
    <t>BALAREZO GAVIRIA JUAN</t>
  </si>
  <si>
    <t>COMUNIDAD APAYACU</t>
  </si>
  <si>
    <t>PEBAS</t>
  </si>
  <si>
    <t>05795086</t>
  </si>
  <si>
    <t>MUÑOZ VIGIL TOBIAS MARTIN</t>
  </si>
  <si>
    <t>ISLANDIA S/N</t>
  </si>
  <si>
    <t>05840428</t>
  </si>
  <si>
    <t>MACUYAMA AHUANARI JESUS</t>
  </si>
  <si>
    <t>Requena</t>
  </si>
  <si>
    <t>05840431</t>
  </si>
  <si>
    <t>ESTRADA VILLACREZ MINOR SANTOS</t>
  </si>
  <si>
    <t>PJE ARMANDO FORTES 161</t>
  </si>
  <si>
    <t>05840562</t>
  </si>
  <si>
    <t>TARICUARIMA LOMAS ABEL</t>
  </si>
  <si>
    <t>05842290</t>
  </si>
  <si>
    <t>BARRON FREYRE LUIS ERNESTO</t>
  </si>
  <si>
    <t>CALLE CONSTITUCION 110</t>
  </si>
  <si>
    <t>05842662</t>
  </si>
  <si>
    <t>PAREDES YJUMA EMILIA</t>
  </si>
  <si>
    <t>AA HH TRIUNFO CALLE 20 DE DICIEMBRE MZ H LOTE 5</t>
  </si>
  <si>
    <t>05845842</t>
  </si>
  <si>
    <t>ALCIDES AREVALO MOZOMBITE</t>
  </si>
  <si>
    <t>CAHUIDE</t>
  </si>
  <si>
    <t>05845891</t>
  </si>
  <si>
    <t>GERSON FLORES ANDOA</t>
  </si>
  <si>
    <t>05847037</t>
  </si>
  <si>
    <t>GLORIA INES</t>
  </si>
  <si>
    <t>COMUNIDAD VICTORIA S/N - MAQUIA</t>
  </si>
  <si>
    <t>05849071</t>
  </si>
  <si>
    <t>OCUMBE TARICUARIMA PEPE</t>
  </si>
  <si>
    <t>CABO LOPEZ</t>
  </si>
  <si>
    <t>05849076</t>
  </si>
  <si>
    <t>RAFAEL SIERRA USHINAHUA</t>
  </si>
  <si>
    <t>FLOR DE PUNGA</t>
  </si>
  <si>
    <t>05849511</t>
  </si>
  <si>
    <t>MAXIMO MORENO MANCO</t>
  </si>
  <si>
    <t>CALLE 28 DE JULIO S/N - FLOR DE PUNGA</t>
  </si>
  <si>
    <t>CAPELO</t>
  </si>
  <si>
    <t>05851030</t>
  </si>
  <si>
    <t>CHARPENTIER ROJAS WALTER</t>
  </si>
  <si>
    <t>CASERIO NUEVA PATRIA</t>
  </si>
  <si>
    <t>05851408</t>
  </si>
  <si>
    <t>DOMINGUEZ MELENDES RAFAEL</t>
  </si>
  <si>
    <t>TAMANCO</t>
  </si>
  <si>
    <t>05854507</t>
  </si>
  <si>
    <t>MARCIAL PEREZ YAHUARCANI</t>
  </si>
  <si>
    <t>05854595</t>
  </si>
  <si>
    <t>HUANUIRI MAYTAHUARI VICTOR</t>
  </si>
  <si>
    <t>PAUCAR</t>
  </si>
  <si>
    <t>05854745</t>
  </si>
  <si>
    <t>TAMANI AHUANARI VICTOR</t>
  </si>
  <si>
    <t>URB SANTA SOFIA B-3</t>
  </si>
  <si>
    <t>05854760</t>
  </si>
  <si>
    <t>SANTIAGO</t>
  </si>
  <si>
    <t>CAL. LOS ANGELES S/N - HUACRACHIRO</t>
  </si>
  <si>
    <t>05854836</t>
  </si>
  <si>
    <t>AMPUDIA BARDALES GERARDO</t>
  </si>
  <si>
    <t>05855176</t>
  </si>
  <si>
    <t>DIXON URIBE AHUANARI</t>
  </si>
  <si>
    <t>CAL. BARRIO ALTO S/N - BRETAÑA</t>
  </si>
  <si>
    <t>05855640</t>
  </si>
  <si>
    <t>MARIO SABOYA RODRIGUEZ</t>
  </si>
  <si>
    <t>05855694</t>
  </si>
  <si>
    <t>PABLO MACAHUACHI DAVILA</t>
  </si>
  <si>
    <t>SAN PEDRO</t>
  </si>
  <si>
    <t>Puinahua</t>
  </si>
  <si>
    <t>05856706</t>
  </si>
  <si>
    <t>ARNALDO TORRES OCHAVANO</t>
  </si>
  <si>
    <t>Putumayo</t>
  </si>
  <si>
    <t>05857105</t>
  </si>
  <si>
    <t>MANIHUARI CANAYO BREITNER</t>
  </si>
  <si>
    <t>BAGAZAN SAQUENA</t>
  </si>
  <si>
    <t>Saquena</t>
  </si>
  <si>
    <t>05857634</t>
  </si>
  <si>
    <t>ELSA VASQUEZ ACOSTA DE PEREZ</t>
  </si>
  <si>
    <t>CEDRO ISLA-RIO UCAYALI</t>
  </si>
  <si>
    <t>05858474</t>
  </si>
  <si>
    <t>FON DE PEZ</t>
  </si>
  <si>
    <t>CEDRO ISLA-RIP UCAYALI</t>
  </si>
  <si>
    <t>05858631</t>
  </si>
  <si>
    <t>YARAHUA MANUYAMA MARIA</t>
  </si>
  <si>
    <t>GENARO HERRERA</t>
  </si>
  <si>
    <t>05860089</t>
  </si>
  <si>
    <t>PERLA  FLORES FLORES</t>
  </si>
  <si>
    <t>CALLE MALECON TARAPACA S/N - REQUENA</t>
  </si>
  <si>
    <t>05860296</t>
  </si>
  <si>
    <t>ANTIDORO MANIHUARI PEZO</t>
  </si>
  <si>
    <t>CASERIO HUATAPI</t>
  </si>
  <si>
    <t>05860449</t>
  </si>
  <si>
    <t>ALBERTO PACAYA TARICUARIMA</t>
  </si>
  <si>
    <t>05865129</t>
  </si>
  <si>
    <t>KATY TAMANI SILVANO</t>
  </si>
  <si>
    <t>PSJ 24 DE JUNIO</t>
  </si>
  <si>
    <t>05865199</t>
  </si>
  <si>
    <t>MAYER TORRES VALERA</t>
  </si>
  <si>
    <t>CALLE LOS OLIVOS MZ 4 LT 26</t>
  </si>
  <si>
    <t>05865917</t>
  </si>
  <si>
    <t>RISTER SHUPINGAHUA SANGAMA</t>
  </si>
  <si>
    <t>AV. PUINAHUA S/N - OBRERO</t>
  </si>
  <si>
    <t>PUINAHUA</t>
  </si>
  <si>
    <t>05869470</t>
  </si>
  <si>
    <t>HECTOR DEGREGORI PINEDO</t>
  </si>
  <si>
    <t>MALECON VARGAS GUERRA S/N-ORELLANA-VARGAS GUERRA</t>
  </si>
  <si>
    <t>VARGAS GUERRA</t>
  </si>
  <si>
    <t>05925910</t>
  </si>
  <si>
    <t>DORCA OCHAVANO OCHAVANO</t>
  </si>
  <si>
    <t>JR.EMILO ACOST-MOYOBAMBA</t>
  </si>
  <si>
    <t>05935864</t>
  </si>
  <si>
    <t>MARCO ANTONIO PINEDO NOLORBE</t>
  </si>
  <si>
    <t>JR. LA AZUCENAS</t>
  </si>
  <si>
    <t>05937528</t>
  </si>
  <si>
    <t>RAMIREZ OCHAVANO AMERICO</t>
  </si>
  <si>
    <t>CALVO ARAUJO 1638</t>
  </si>
  <si>
    <t>05954345</t>
  </si>
  <si>
    <t>EDGARDO SALVADOR ARONES FERNANDEZ</t>
  </si>
  <si>
    <t>MLC.MALECON VARGAS GUERRA NRO. S/N -CONTAMANA</t>
  </si>
  <si>
    <t>05954713</t>
  </si>
  <si>
    <t>FELIX RIPALDA SAENZ</t>
  </si>
  <si>
    <t>JR ESPIRAL</t>
  </si>
  <si>
    <t>05956623</t>
  </si>
  <si>
    <t>CELMIRA MOZOMBITE MURRIETA</t>
  </si>
  <si>
    <t>PUCACURO</t>
  </si>
  <si>
    <t>05957930</t>
  </si>
  <si>
    <t>VASQUEZ PLAZA MARCO ANTONIO</t>
  </si>
  <si>
    <t>BELLAVISTA</t>
  </si>
  <si>
    <t>06020185</t>
  </si>
  <si>
    <t>ANIBAL RODOLFO MALCA GOMEZ</t>
  </si>
  <si>
    <t>INDEPENDENCIA MZ. E LT. 22 - YARINACOCHA</t>
  </si>
  <si>
    <t>06041366</t>
  </si>
  <si>
    <t>GRATELLY SILVA EDWARD</t>
  </si>
  <si>
    <t>ABTAO 753</t>
  </si>
  <si>
    <t>06240677</t>
  </si>
  <si>
    <t>MANUEL ERNESTO ZARATE TELLO</t>
  </si>
  <si>
    <t>06282374</t>
  </si>
  <si>
    <t>HERNAN TEODORO VALDEZ GAMARRA</t>
  </si>
  <si>
    <t>AV MARISCAL CACERES VILLA MILITAR MORONA COCHA CASA 46</t>
  </si>
  <si>
    <t>06461690</t>
  </si>
  <si>
    <t>JUAN NOLBERTO</t>
  </si>
  <si>
    <t>AV. MARGINAL S/N YURINAKI</t>
  </si>
  <si>
    <t>SATIPO</t>
  </si>
  <si>
    <t>06582084</t>
  </si>
  <si>
    <t>TERRONES CELIS SEGUNDO NICOLAS</t>
  </si>
  <si>
    <t>CALLE MAYNAS  839</t>
  </si>
  <si>
    <t>06674617</t>
  </si>
  <si>
    <t>ALEJANDRO CRUZ CELADITA</t>
  </si>
  <si>
    <t>JR. AUGUSTO HILSER S/N - SATIPO</t>
  </si>
  <si>
    <t>06876272</t>
  </si>
  <si>
    <t>TOHALINO TOMAYRO CARLOS SEGUNDO</t>
  </si>
  <si>
    <t>JR. RAYMONDI S/N</t>
  </si>
  <si>
    <t>06932819</t>
  </si>
  <si>
    <t>MARCELINA FLOR ROJAS ROSALES</t>
  </si>
  <si>
    <t>CHALHUAHUACHO - APURIMAC</t>
  </si>
  <si>
    <t>CHALLHUAHUACHO</t>
  </si>
  <si>
    <t>07211798</t>
  </si>
  <si>
    <t>MELVER SILVANO PIZANGO</t>
  </si>
  <si>
    <t>SARAMIRIZA</t>
  </si>
  <si>
    <t>07215023</t>
  </si>
  <si>
    <t>HENRRY COCHINQUE MUNOZ</t>
  </si>
  <si>
    <t>COMUNIDAD ANGOTEROS</t>
  </si>
  <si>
    <t>07321963</t>
  </si>
  <si>
    <t>SUNCION LINARES HERMOGENES</t>
  </si>
  <si>
    <t>07425924</t>
  </si>
  <si>
    <t>PINEDO SHUÑA ADAN</t>
  </si>
  <si>
    <t>YURUA -BREU</t>
  </si>
  <si>
    <t>07481310</t>
  </si>
  <si>
    <t>ROXANA HERMOSA CAHUANA</t>
  </si>
  <si>
    <t>C.F.B. KM. 86 - VON HUMBOLT</t>
  </si>
  <si>
    <t>RAFAEL RIOS UGARTE</t>
  </si>
  <si>
    <t>Jr. Tahuantinsuyo # 818 Tarapoto</t>
  </si>
  <si>
    <t>07534188</t>
  </si>
  <si>
    <t>PERCY HUINAPI CARBALLO</t>
  </si>
  <si>
    <t>075809</t>
  </si>
  <si>
    <t>GUILLERMO CONSTANT MANDELLI</t>
  </si>
  <si>
    <t>07765235</t>
  </si>
  <si>
    <t>RAMIREZ MORALES NEIRE</t>
  </si>
  <si>
    <t>SAN ALEJANDRO KM 110</t>
  </si>
  <si>
    <t>08041646</t>
  </si>
  <si>
    <t>ROJAS ALCOSER DE SALIZAR FELICITA G.</t>
  </si>
  <si>
    <t>08206883</t>
  </si>
  <si>
    <t>JUANA ALVINA LUJERIO RONDAN</t>
  </si>
  <si>
    <t>CALLE JULIO ROMERO CASTRA CDRA 2 - CAMPANILLA - MCAL.CACERES - SAN MARTIN</t>
  </si>
  <si>
    <t>MARISCAL CACERES</t>
  </si>
  <si>
    <t>08268386</t>
  </si>
  <si>
    <t>HENDER AUGUSTO PASTOR ESLAVA</t>
  </si>
  <si>
    <t>08478271</t>
  </si>
  <si>
    <t>MELENDEZ LEON MARTIN</t>
  </si>
  <si>
    <t>AV MICAELA BASTIDAS MZ,B LT,04 PICHANAQUI</t>
  </si>
  <si>
    <t>PICHANAQUI</t>
  </si>
  <si>
    <t>08739008</t>
  </si>
  <si>
    <t>PEÑA ESPINOZA NEIDA AMALIA</t>
  </si>
  <si>
    <t>RICARDO PALMA 795</t>
  </si>
  <si>
    <t>08869774</t>
  </si>
  <si>
    <t>OCAMPO LOPEZ NELIDA</t>
  </si>
  <si>
    <t>JR. HUAMBO Nº 222 - MENDOZA - SAN NICOLAS - RODRIGUEZ DE MENDOZA - AMAZONAS</t>
  </si>
  <si>
    <t>SAN NICOLAS</t>
  </si>
  <si>
    <t>09219691</t>
  </si>
  <si>
    <t>IRENE (JUSAY)</t>
  </si>
  <si>
    <t>PSJE. 2 DE JULIO S/N - ISLANDIA</t>
  </si>
  <si>
    <t>09329154</t>
  </si>
  <si>
    <t>PAREDES DAVILA CESAR ARTEMIO</t>
  </si>
  <si>
    <t>LAS FLORES</t>
  </si>
  <si>
    <t>San Juan de Lurigancho</t>
  </si>
  <si>
    <t>09722210</t>
  </si>
  <si>
    <t>RODRIGUEZ PEDEMONTE SHERWIN</t>
  </si>
  <si>
    <t>09856724</t>
  </si>
  <si>
    <t>CABEZAS ESTRADA CESAR AUGUSTO</t>
  </si>
  <si>
    <t>09936843</t>
  </si>
  <si>
    <t>EYDER</t>
  </si>
  <si>
    <t>CALLE PELOJO S/N</t>
  </si>
  <si>
    <t>10000043716</t>
  </si>
  <si>
    <t>RODRIGUEZ SANCHEZ JUAN</t>
  </si>
  <si>
    <t>JR TARAPACA/9DICIEMBRE S/N - PTO. 03 MERCADO 1</t>
  </si>
  <si>
    <t>10000049633</t>
  </si>
  <si>
    <t>LUZ TERRONES RIOS</t>
  </si>
  <si>
    <t>JR. 7 DE JUNIO S/N MERCADO 2-CALLERIA-C.PORTILLO-UCAYALI</t>
  </si>
  <si>
    <t>10000085613</t>
  </si>
  <si>
    <t>TOLOMEO MORALES HUERTA</t>
  </si>
  <si>
    <t>JR. BUENOS AIRES MZA. 33 - ATALAYA</t>
  </si>
  <si>
    <t>10000087438</t>
  </si>
  <si>
    <t>RIVAS VASQUEZ AGUSTIN</t>
  </si>
  <si>
    <t>AV. LA MARINA 561</t>
  </si>
  <si>
    <t>MAYNAS</t>
  </si>
  <si>
    <t>10000210582</t>
  </si>
  <si>
    <t>KERYMA PANDURO DE TOLENTINO</t>
  </si>
  <si>
    <t>JIRÓN GUILLERMO SISLEY</t>
  </si>
  <si>
    <t>10000392257</t>
  </si>
  <si>
    <t>BRAGA SALAZAR ANTERO</t>
  </si>
  <si>
    <t>JR GRAU 164</t>
  </si>
  <si>
    <t>10000399626</t>
  </si>
  <si>
    <t>RODRIGUEZ ALVARADO LUCIO</t>
  </si>
  <si>
    <t>JR 9 DE DICIEMBRE , MERCADO 1</t>
  </si>
  <si>
    <t>10000406843</t>
  </si>
  <si>
    <t>BERNA PAIMA HERMINIA</t>
  </si>
  <si>
    <t>JR. 7 DE JUNIO C/ INDEPENDENCIA MERCADO N°2 PSTO 1</t>
  </si>
  <si>
    <t>10000434049</t>
  </si>
  <si>
    <t xml:space="preserve">JR LORETO 131 CALLERIA </t>
  </si>
  <si>
    <t>10000467770</t>
  </si>
  <si>
    <t>CHOQUE GAMARRA HELEN LUPE</t>
  </si>
  <si>
    <t>CARR. IQUITOS /NAUTA KM 5.5 - QUISTOCOHA</t>
  </si>
  <si>
    <t>10000523769</t>
  </si>
  <si>
    <t>RAMIREZ DE AREVALO IRMA DORIS</t>
  </si>
  <si>
    <t>JR. 7 DE JUNIO</t>
  </si>
  <si>
    <t>10000681801</t>
  </si>
  <si>
    <t>CAMPOS SAJAMI DE GODEAU EDITH</t>
  </si>
  <si>
    <t>JR. TARAPACA CDRA 8</t>
  </si>
  <si>
    <t>10000820020</t>
  </si>
  <si>
    <t>ALEJANDRO MIGUEL VENTURA LOZADA</t>
  </si>
  <si>
    <t>10000830718</t>
  </si>
  <si>
    <t>GONZALES PEREZ MANUEL</t>
  </si>
  <si>
    <t>JR RUPERTO PEREZ 321 YARINACOCHA</t>
  </si>
  <si>
    <t>10000834845</t>
  </si>
  <si>
    <t>TRIGOZO RIOS ROSA</t>
  </si>
  <si>
    <t>JR. 9 DE DICIEMBRE PUERTA 8 MERCADO 1</t>
  </si>
  <si>
    <t>10000879059</t>
  </si>
  <si>
    <t>VALERA CHUQUIPIONDO LUIS</t>
  </si>
  <si>
    <t>CALLE OROYA MZ.14, LTE.03 - CALLERIA</t>
  </si>
  <si>
    <t>10000996284</t>
  </si>
  <si>
    <t>CHACON FONSECA WILFREDO</t>
  </si>
  <si>
    <t>CA MASISEA A26 URB MASISEA A ESPALDA DE LA AV UNION C/ EGLINTON</t>
  </si>
  <si>
    <t>10001022283</t>
  </si>
  <si>
    <t>CALIXTO DE MORALES CELIA ROMERO</t>
  </si>
  <si>
    <t>JIRON RUPERTO PEREZ MAYNAS</t>
  </si>
  <si>
    <t>10001040079</t>
  </si>
  <si>
    <t>SHAHUANO AHUANARI SANDRO</t>
  </si>
  <si>
    <t>-COMERCIAL</t>
  </si>
  <si>
    <t>-BREU</t>
  </si>
  <si>
    <t>10001070393</t>
  </si>
  <si>
    <t>IRMA BUITRON GARFIAS</t>
  </si>
  <si>
    <t>JR. 7 DE JUNIO CDRA. 6</t>
  </si>
  <si>
    <t>10001080798</t>
  </si>
  <si>
    <t>SALDAÑA VASQUEZ JUAN</t>
  </si>
  <si>
    <t>JR VARGAS GUERRA S/N-ORELLANA</t>
  </si>
  <si>
    <t>10001108714</t>
  </si>
  <si>
    <t>SANCHEZ HIDALGO NEIVI SHANE</t>
  </si>
  <si>
    <t>AV TUPAC MZ 35 LT 14</t>
  </si>
  <si>
    <t>10001111740</t>
  </si>
  <si>
    <t>GALINDO ENCISIO JULIA</t>
  </si>
  <si>
    <t>CAL. TUPAC AMARU I S/N - SAN PABLO</t>
  </si>
  <si>
    <t>10001222193</t>
  </si>
  <si>
    <t>DIVA BARDALES QUIROZ</t>
  </si>
  <si>
    <t>CAL.MANTARO NRO. 208 - SAN MARTIN DE PANGOA</t>
  </si>
  <si>
    <t>PANGOA</t>
  </si>
  <si>
    <t>10001246939</t>
  </si>
  <si>
    <t>VELA CELIS ROCIO DEL PILAR</t>
  </si>
  <si>
    <t>FARRETERIA</t>
  </si>
  <si>
    <t>PSJ. TENIENTE LUIS GARCIA 280 CALLERIA</t>
  </si>
  <si>
    <t>10001257736</t>
  </si>
  <si>
    <t>JOSE PILAR BERRU RUIZ</t>
  </si>
  <si>
    <t>CALLE RIOJA MZ.32 LT 17 - ATALAYA</t>
  </si>
  <si>
    <t>RAYMONDI</t>
  </si>
  <si>
    <t>10001262454</t>
  </si>
  <si>
    <t>ORIHUELA MOSQUERA RICHARD HANS</t>
  </si>
  <si>
    <t>AV CENTENARIO 4800 AL COSTADO DE TURISMO CENTRAL</t>
  </si>
  <si>
    <t>10001262497</t>
  </si>
  <si>
    <t xml:space="preserve">CARDENAS BERNA JUNIOR </t>
  </si>
  <si>
    <t>JIRÓN 7 DE JUNIO</t>
  </si>
  <si>
    <t>10001270660</t>
  </si>
  <si>
    <t>LOVERA PAIMA SAIDA ESTHER</t>
  </si>
  <si>
    <t>10001510032</t>
  </si>
  <si>
    <t>VICTOR MANUEL SANCHEZ RIOS</t>
  </si>
  <si>
    <t>JR. ENE NRO. SN-RAYMONDI-ATALAYA-UCAYALI</t>
  </si>
  <si>
    <t>10001520585</t>
  </si>
  <si>
    <t>MARINA CCAHUANA REDONDEZ</t>
  </si>
  <si>
    <t>CONSTRUCCION</t>
  </si>
  <si>
    <t>JR. URUBAMBA MZ.</t>
  </si>
  <si>
    <t>10001600058</t>
  </si>
  <si>
    <t>HUGO GUMERCINDO CONTRERAS ALTEZ</t>
  </si>
  <si>
    <t xml:space="preserve">JR. BUENOS AIRES NRO. </t>
  </si>
  <si>
    <t>10001600252</t>
  </si>
  <si>
    <t>JULIAN RIVAS TAYPE</t>
  </si>
  <si>
    <t>CAL.FITZCARRALD NRO. S/N - ATALAYA</t>
  </si>
  <si>
    <t>10001627487</t>
  </si>
  <si>
    <t>SECILIA MARGARITA ANALOJA ARETEAGA</t>
  </si>
  <si>
    <t>BARRIO NUEVO SAN JUAN S/N -SEPAHUA-ATALAYA</t>
  </si>
  <si>
    <t>SEPAHUA</t>
  </si>
  <si>
    <t>10001828946</t>
  </si>
  <si>
    <t>ROGER NUNTA NUBE</t>
  </si>
  <si>
    <t>JR. JOSE OLAYA MZA. E LOTE.</t>
  </si>
  <si>
    <t>10001858632</t>
  </si>
  <si>
    <t>AYALA VALENZUELA  LUIS ANTONIO</t>
  </si>
  <si>
    <t>AV.SIMON BOLIVAR</t>
  </si>
  <si>
    <t>10001879575</t>
  </si>
  <si>
    <t>ALEXANDER VON HUNBOLT KM86</t>
  </si>
  <si>
    <t>10008055063</t>
  </si>
  <si>
    <t>BARDALEZ TUESTA LLERME</t>
  </si>
  <si>
    <t>AV. MARGINAL S/N PACAYZAPA</t>
  </si>
  <si>
    <t>PACAYZAPA</t>
  </si>
  <si>
    <t>10008374622</t>
  </si>
  <si>
    <t>MARRUFO CORONEL ALFREDO</t>
  </si>
  <si>
    <t>AV. MARGINAL SN</t>
  </si>
  <si>
    <t>ALONSO DE ALVARADO</t>
  </si>
  <si>
    <t>10008395476</t>
  </si>
  <si>
    <t>FERNANDEZ JULON FELIPE</t>
  </si>
  <si>
    <t>JR. LAS FLORES Nº 867-SORITOR-MOYOBAMBA-SAN MARTIN</t>
  </si>
  <si>
    <t>SORITOR</t>
  </si>
  <si>
    <t>10008452691</t>
  </si>
  <si>
    <t>CHAVEZ ANGULO MARIA ENCARNACION</t>
  </si>
  <si>
    <t>AV.LIMA N 679 - SAPOSOA - HUALLAGA - SAN MARTIN</t>
  </si>
  <si>
    <t>10008728084</t>
  </si>
  <si>
    <t>FERNANDEZ RODRIGUEZ DEMETRIO</t>
  </si>
  <si>
    <t xml:space="preserve"> VENTA AL POR MAYOR DE MATERIALES DE CONSTRUCCIÓN ARTÍCULOS DE FERRETERÍA</t>
  </si>
  <si>
    <t>JR. RICARDO PALMA S/N - BELLAVISTA - BELLAVISTA - SAN MARTIN</t>
  </si>
  <si>
    <t>10008729234</t>
  </si>
  <si>
    <t>SAJAMI TEJADA JOSE RENINGER</t>
  </si>
  <si>
    <t>JR. SAN MARTIN 517 - BELLAVISTA - BELLAVISTA - SAN MARTIN</t>
  </si>
  <si>
    <t>10008809866</t>
  </si>
  <si>
    <t>HUAMAN INFANTE JULIO CESAR</t>
  </si>
  <si>
    <t>OTROS TIPOS DE VENTA AL POR MENOR</t>
  </si>
  <si>
    <t>JR. TUPAC AMARU S/N (REF. FERRETERIA KARLITA) CONSUELO - SAN PABLO - BELLAVISTA - SAN MARTIN</t>
  </si>
  <si>
    <t>10008843525</t>
  </si>
  <si>
    <t>CARDENAS RUIZ JOSE SALUSTINO</t>
  </si>
  <si>
    <t>AV. MARGINAL 1139 - NUEVO PROGRESO</t>
  </si>
  <si>
    <t>NUEVO PROGRESO</t>
  </si>
  <si>
    <t>10008848896</t>
  </si>
  <si>
    <t>RUIZ SALDANA FERNANDO</t>
  </si>
  <si>
    <t>VENTA DE PARTES, PIEZAS Y ACCESORIOS PARA VEHÍCULOS AUTOMOTORES</t>
  </si>
  <si>
    <t>JR. IQUITOS Nº 333 - BELLAVISTA - BELLAVISTA - SAN MARTIN</t>
  </si>
  <si>
    <t>10008985010</t>
  </si>
  <si>
    <t>FASABI SHUPINGAHUA MEDARDO</t>
  </si>
  <si>
    <t>CC.NN PUCAHURTO- RIO NANAY</t>
  </si>
  <si>
    <t>10009172110</t>
  </si>
  <si>
    <t>REATEGUI MORA JAQUELIN</t>
  </si>
  <si>
    <t>VENTA AL POR MENOR DE ARTÍCULOS DE FERRETERÍA PINTURAS Y PRODUCTOS DE VIDRIO</t>
  </si>
  <si>
    <t>JR. ARICA Nº 235 - SAN JOSE DE SISA - EL DORADO - SAN MARTIN</t>
  </si>
  <si>
    <t>10009182671</t>
  </si>
  <si>
    <t>PEREZ VASQUEZ ROBINSON</t>
  </si>
  <si>
    <t xml:space="preserve">VENTA AL POR MENOR DE ARTÍCULOS DE FERRETERÍA PINTURAS Y PRODUCTOS DE VIDRIO </t>
  </si>
  <si>
    <t>JR. GRAU Nº 460 - SAN JOSE DE SISA - EL DORADO - SAN MARTIN</t>
  </si>
  <si>
    <t>10009191998</t>
  </si>
  <si>
    <t>YNGA YRIGOIN ROGER AUGUSTO</t>
  </si>
  <si>
    <t>JR. COMERCIO Nº 394 - SAN JOSE DE SISA - EL DORADO - SAN MARTIN</t>
  </si>
  <si>
    <t>SAN JOSE DE SISA</t>
  </si>
  <si>
    <t>10009193737</t>
  </si>
  <si>
    <t>PEREZ REATEGUI ENITH</t>
  </si>
  <si>
    <t>VTA. MIN. ALIMENTOS BEBIDAS TABACO</t>
  </si>
  <si>
    <t>JR. ABANCAY S7N - HUIMBAYOC - SAN MARTIN - SAN MARTIN</t>
  </si>
  <si>
    <t>10009208394</t>
  </si>
  <si>
    <t>PADILLA PINEDO JOSE JUSTINO</t>
  </si>
  <si>
    <t>JR SAN MARTIN CDRA 4 - SAN  MARTIN DE ALAO - EL DORADO - SAN MARTIN</t>
  </si>
  <si>
    <t>10009311471</t>
  </si>
  <si>
    <t>BOCANEGRA CHUJUTALLI BETTY</t>
  </si>
  <si>
    <t>JR. SAN MARTIN S/N SAN MARTIN DE ALAO  - EL DORADO - SAN MARTIN</t>
  </si>
  <si>
    <t>SISA</t>
  </si>
  <si>
    <t>10009321867</t>
  </si>
  <si>
    <t>REATEGUI PINEDO EDGARDO</t>
  </si>
  <si>
    <t>CALLE COMERCIO Nº 422 - SAN JOSE DE SISA - EL DORADO - SAN MARTIN</t>
  </si>
  <si>
    <t>10009493030</t>
  </si>
  <si>
    <t>AMACIFUEN VARGAS PERCY</t>
  </si>
  <si>
    <t>VENTA AL POR MENOR DE ARTÍCULOS DE FERRETERÍA PINTURAS</t>
  </si>
  <si>
    <t>JR. DOMINGO CANAL GUERRA MZ.122 LT.14F ASC. LA PLAZA - LAMAS - LAMAS - SAN MARTIN</t>
  </si>
  <si>
    <t>10009625050</t>
  </si>
  <si>
    <t>PALOMINO ALARCON RAIDA MARCELINA</t>
  </si>
  <si>
    <t>JIRON CHORRO SAN JUAN</t>
  </si>
  <si>
    <t>10009629896</t>
  </si>
  <si>
    <t>POZO QUILLA JOSEFINA OLGA</t>
  </si>
  <si>
    <t>AV. RICARDO PALMA CDRA. 3 - TOCACHE</t>
  </si>
  <si>
    <t>10009692440</t>
  </si>
  <si>
    <t>HUAMAN ACUÑA CLARO AGAPITO</t>
  </si>
  <si>
    <t>MAQUINARIAS Y REPUESTOS</t>
  </si>
  <si>
    <t>JR. TACNA NO. 589 - SAN JOSE DE SISA - EL DORADO - SAN MARTIN</t>
  </si>
  <si>
    <t>10009704642</t>
  </si>
  <si>
    <t>BOCANEGRA GUEVARA ADALBERTO</t>
  </si>
  <si>
    <t>JR. MARAÑON # 653 - SAN LORENZO</t>
  </si>
  <si>
    <t>10009707331</t>
  </si>
  <si>
    <t>GUERRERO NAYRA RODOLFO</t>
  </si>
  <si>
    <t>JR. EDUARDO PEÑA MEZA N 587 - JUANJUI - MCAL.CACERES - SAN MARTIN</t>
  </si>
  <si>
    <t>10009715181</t>
  </si>
  <si>
    <t>RENGIFO PINEDO ELADIO</t>
  </si>
  <si>
    <t>COM. SANTA RITA DE CASTILLA SN - RIO MARAÑON</t>
  </si>
  <si>
    <t>PARINARI</t>
  </si>
  <si>
    <t>10010060112</t>
  </si>
  <si>
    <t>GARCIA JULCA ROSITA</t>
  </si>
  <si>
    <t>JR. LETICIA CUADRA 3 (MERCADO N2) - JUANJUI - MCAL.CACERES - SAN MARTIN</t>
  </si>
  <si>
    <t>10010350170</t>
  </si>
  <si>
    <t>CASTRO MONTEZA RODOLFO</t>
  </si>
  <si>
    <t>-JR CALLE TENIENTE CASAR LOPEZ N°411 - YURIMAGUAS, ALTO AMAZONAS, LORETO</t>
  </si>
  <si>
    <t>10010501658</t>
  </si>
  <si>
    <t>MENDOZA CORREA VISENCIA</t>
  </si>
  <si>
    <t>JR. PIURA S/N - NUEVA CAJAMARCA</t>
  </si>
  <si>
    <t>NUEVA CAJAMARCA</t>
  </si>
  <si>
    <t>10010530500</t>
  </si>
  <si>
    <t>YRIGOIN GIL NILDA MARIA</t>
  </si>
  <si>
    <t>VENTAS AL POR MAYOR DE ARTICULOS DE FERRETERIA</t>
  </si>
  <si>
    <t>JR. EMILIO ACOSTA CUADRA 2 - MOYOBAMBA</t>
  </si>
  <si>
    <t>10010552813</t>
  </si>
  <si>
    <t>ROBLEDO GARCIA JOSEFA</t>
  </si>
  <si>
    <t>-COMERCIO</t>
  </si>
  <si>
    <t>-JR. COMERCIO SN - NARANJOS</t>
  </si>
  <si>
    <t>PARDO MIGUEL</t>
  </si>
  <si>
    <t>10010555537</t>
  </si>
  <si>
    <t>MONDRAGON FLORES VICENTE</t>
  </si>
  <si>
    <t>AAHH Santa Marta - Via Evitamiento</t>
  </si>
  <si>
    <t>10010620266</t>
  </si>
  <si>
    <t>MORI GONZALES INES</t>
  </si>
  <si>
    <t>AV. LA MARGINAL N 347 - PACAYZAPA, ALONSO DE ALVARADO, LAMAS, SAN MARTIN</t>
  </si>
  <si>
    <t>10010640526</t>
  </si>
  <si>
    <t>RUBIO APONTE NELLY</t>
  </si>
  <si>
    <t>JR. TAHUANTINSUYO NRO. 662 - TARAPOTO - SAN MARTIN - SAN MARTIN</t>
  </si>
  <si>
    <t>10010781545</t>
  </si>
  <si>
    <t>MENDOZA DAVILA JAIME ENRIQUE</t>
  </si>
  <si>
    <t>AV. LIMA 598 - SAPOSOA - HUALLAGA - SAN MARTIN</t>
  </si>
  <si>
    <t>10010926641</t>
  </si>
  <si>
    <t>DAVILA FLORES EMPERATRIZ</t>
  </si>
  <si>
    <t>Jr: Avenida Peru N 439-MORALES-TARAPOTO-SAN MARTIN</t>
  </si>
  <si>
    <t>10010951211</t>
  </si>
  <si>
    <t>SALAZAR TENAZOA EXIVA</t>
  </si>
  <si>
    <t>10011027399</t>
  </si>
  <si>
    <t>LOPEZ MELENDEZ JULIA</t>
  </si>
  <si>
    <t>JR.LEGUIA N 232 - MORALES - SAN MARTIN - SAN MARTIN</t>
  </si>
  <si>
    <t>10011043629</t>
  </si>
  <si>
    <t>GARCIA AMASIFUEN FRANKLIN</t>
  </si>
  <si>
    <t>HABILITACION URBANA MUNICIPAL</t>
  </si>
  <si>
    <t>10011108747</t>
  </si>
  <si>
    <t>BRICEÑO PEÑA JORGE ELIAS</t>
  </si>
  <si>
    <t>JIRÓN RAMON CASTILLA Nº 385 - TARAPOTO - SAN MARTIN - SAN MARTIN</t>
  </si>
  <si>
    <t>10011181258</t>
  </si>
  <si>
    <t>GOMEZ MOZOMBITE NOEMI</t>
  </si>
  <si>
    <t>15 DE AGOSTO #1242</t>
  </si>
  <si>
    <t>10011224356</t>
  </si>
  <si>
    <t>VASQUEZ PANDURO VICENTE</t>
  </si>
  <si>
    <t>-PASAJE CORNEJO PORTUGAL 2556</t>
  </si>
  <si>
    <t>10011292599</t>
  </si>
  <si>
    <t>PINEDO JABA DAVID</t>
  </si>
  <si>
    <t>CALLE ARRIBA PERU  200-MAZAN</t>
  </si>
  <si>
    <t>10011353024</t>
  </si>
  <si>
    <t>LUMBA APASTEGUI GABRIEL</t>
  </si>
  <si>
    <t>AV. PADRE LUCERO S/N - LAGUNAS</t>
  </si>
  <si>
    <t>10011476967</t>
  </si>
  <si>
    <t>VILLACORTA PINEDO LUCY LYNN</t>
  </si>
  <si>
    <t>AV. VIA DE EVITAMIENTO 357 - TARAPOTO - SAN MARTIN - SAN MARTIN</t>
  </si>
  <si>
    <t>10011507781</t>
  </si>
  <si>
    <t>GUEVARA DELGADO DE HERNANDEZ MARIA ELSA</t>
  </si>
  <si>
    <t xml:space="preserve">AV. AMAZONAS S/N - NARANJILLO </t>
  </si>
  <si>
    <t>10011516098</t>
  </si>
  <si>
    <t>CHUMBE TORRES JOSE ALBERTO</t>
  </si>
  <si>
    <t>MICAELA BASTIDA 260 SHUCUSYACU</t>
  </si>
  <si>
    <t>10011890895</t>
  </si>
  <si>
    <t>BALDEON MOYA ELMER NEMECIO</t>
  </si>
  <si>
    <t>CARRETERA FERNANDO BELAUNDE TERRI 934 - NUEVO PROGRESO</t>
  </si>
  <si>
    <t>10026184725</t>
  </si>
  <si>
    <t>BARRIENTOS CARRILLO CARLOS RICARDO</t>
  </si>
  <si>
    <t>CAL. SAPOSOA</t>
  </si>
  <si>
    <t>10032433923</t>
  </si>
  <si>
    <t>QUISPE LIZANA JOSE LUIS</t>
  </si>
  <si>
    <t>JR. EMILIO ACOSTA N 435 - MOYOBAMBA - MOYOBAMBA - SAN MARTIN</t>
  </si>
  <si>
    <t>10033738191</t>
  </si>
  <si>
    <t>VICTOR ABRAHAN BARRETO RAMIREZ</t>
  </si>
  <si>
    <t>SANTA MARIA-BAJO HUALLAGA</t>
  </si>
  <si>
    <t>10035608911</t>
  </si>
  <si>
    <t>--</t>
  </si>
  <si>
    <t>10040198062</t>
  </si>
  <si>
    <t>TTITO HUAMAN CECILIA</t>
  </si>
  <si>
    <t>JR.LOS PROCERES S/N - AUCAYACU</t>
  </si>
  <si>
    <t>1004082198</t>
  </si>
  <si>
    <t>ROSALES CASIMIR JULIO JERONIMO</t>
  </si>
  <si>
    <t>CALLE: HUALLAGA 145- SAN LORENZO</t>
  </si>
  <si>
    <t>DATEM DEL MARAÑON</t>
  </si>
  <si>
    <t>10040821983</t>
  </si>
  <si>
    <t xml:space="preserve">CALLE: HUALLAGA 145-SAN LORENZO </t>
  </si>
  <si>
    <t>1004214809</t>
  </si>
  <si>
    <t>10042148909</t>
  </si>
  <si>
    <t>MANCILLA FLORENCIO TOMAS</t>
  </si>
  <si>
    <t>VENTA AL POR MENOR DE APARATOS ELÉCTRICOS DE USO DOMÉSTICO MUEBLES, EQU. DE ILUMINACIÓN</t>
  </si>
  <si>
    <t>JR LETICIA Nº506 - JUANJUI - MCAL.CACERES - SAN MARTIN</t>
  </si>
  <si>
    <t>10043004927</t>
  </si>
  <si>
    <t>LOECHLE MULLER SUCESION RICARDO</t>
  </si>
  <si>
    <t>JR. GRAU 405 Dpto 4</t>
  </si>
  <si>
    <t>OXAPAMPA</t>
  </si>
  <si>
    <t>10043187339</t>
  </si>
  <si>
    <t>ALARCON HUAMAN AURELIA</t>
  </si>
  <si>
    <t>AV.LEOPOLDO KRAUSSE 734 - VILLA RICA</t>
  </si>
  <si>
    <t>VILLA RICA</t>
  </si>
  <si>
    <t>10043239959</t>
  </si>
  <si>
    <t>CARLOS ENRIQUE SCHULER RODRIGUEZ</t>
  </si>
  <si>
    <t>AV. LEOPOLDO KRAUSE NRO. - VILLA RICA</t>
  </si>
  <si>
    <t>10043283931</t>
  </si>
  <si>
    <t>JUSTINIANO TARAZONA DE CUNZA REGINA</t>
  </si>
  <si>
    <t>AV. ALMIRANTE GRAU #1171</t>
  </si>
  <si>
    <t>05379695</t>
  </si>
  <si>
    <t>10043382263</t>
  </si>
  <si>
    <t>VALLE CAPCHA EDGAR</t>
  </si>
  <si>
    <t>JR. MAYER S/N - OXAPAMPA</t>
  </si>
  <si>
    <t>10043412618</t>
  </si>
  <si>
    <t>HASSINGER ACOSTA EBER WILLIAN</t>
  </si>
  <si>
    <t>AC SAN MARTIN C/ PROLONG HUANCABAMBA - OXAPAMPA</t>
  </si>
  <si>
    <t>10043416478</t>
  </si>
  <si>
    <t>FERNANDEZ INCISO PRIMITIVO</t>
  </si>
  <si>
    <t>JIRON MULLEMBRUCK S/N - OXAPAMPA</t>
  </si>
  <si>
    <t>10043465487</t>
  </si>
  <si>
    <t>AYALA RIVERA NELIDA OLINDA</t>
  </si>
  <si>
    <t>10052111451</t>
  </si>
  <si>
    <t>VARGAS TELLO LUZ ENITH</t>
  </si>
  <si>
    <t>CALLE IQUITOS 179 -IQUITOS</t>
  </si>
  <si>
    <t>10052130552</t>
  </si>
  <si>
    <t>AGUILAR DE YUTO NERI</t>
  </si>
  <si>
    <t xml:space="preserve">LUBRICENTRO Y REPUESTERA </t>
  </si>
  <si>
    <t xml:space="preserve">LAS PALMAERAS N° 407 - IQUITOS </t>
  </si>
  <si>
    <t>70018854</t>
  </si>
  <si>
    <t>10052149865</t>
  </si>
  <si>
    <t>MOZOMBITE LAULATE ROSA EDITH</t>
  </si>
  <si>
    <t>CAL. 16 MZ-B LT.16 - BELEN</t>
  </si>
  <si>
    <t>10052168452</t>
  </si>
  <si>
    <t>DEL CASTILLO BANCHO CELEDONIO RAUL</t>
  </si>
  <si>
    <t>*</t>
  </si>
  <si>
    <t>GANZO AZUL 157</t>
  </si>
  <si>
    <t>10052287346</t>
  </si>
  <si>
    <t xml:space="preserve"> RUTH ESTHER RUIZ TORRES</t>
  </si>
  <si>
    <t>CALLE 3 N169 ABTAO</t>
  </si>
  <si>
    <t>10052397389</t>
  </si>
  <si>
    <t>IZUISA VILLACORTA NORMA</t>
  </si>
  <si>
    <t>AV. AUGUSTO FREYRE #</t>
  </si>
  <si>
    <t>10052397923</t>
  </si>
  <si>
    <t>AROLDO PAIVA MACEDO</t>
  </si>
  <si>
    <t>PSJE. SOMMO 160</t>
  </si>
  <si>
    <t>10052419196</t>
  </si>
  <si>
    <t>CORONEL GUZMAN MAURO GERONIMO</t>
  </si>
  <si>
    <t>PROL.SIMON BOLIVAR S/N - NIEVA</t>
  </si>
  <si>
    <t>NIEVA</t>
  </si>
  <si>
    <t>10052512757</t>
  </si>
  <si>
    <t>SANCHEZ MORENO JOSEFINA DE JESUS</t>
  </si>
  <si>
    <t>REPUESTO</t>
  </si>
  <si>
    <t>CARRETERA IQUITOS - NAUTA KM. 2.5</t>
  </si>
  <si>
    <t>10052551833</t>
  </si>
  <si>
    <t xml:space="preserve">NERY ELENA WONG DE CHING </t>
  </si>
  <si>
    <t>CALLE REQUENA N233</t>
  </si>
  <si>
    <t>10052643738</t>
  </si>
  <si>
    <t>MORENO VDA.DE GONZALES ROSITA</t>
  </si>
  <si>
    <t>CALLE JORGE LUIS DONAYRE MZ- J TL- 1</t>
  </si>
  <si>
    <t>10052655965</t>
  </si>
  <si>
    <t>LUIS GONZALES CARDENAS</t>
  </si>
  <si>
    <t>SAN JOSE 241</t>
  </si>
  <si>
    <t>10052710753</t>
  </si>
  <si>
    <t>MELENDEZ DE ANGULO YOLANDA</t>
  </si>
  <si>
    <t>AV GUARDIA CILVIL 669</t>
  </si>
  <si>
    <t>10052817400</t>
  </si>
  <si>
    <t>DEL AGUILA MACEDO JORGE ENRIQUE</t>
  </si>
  <si>
    <t>CALLE LEONCIO PRADO  278</t>
  </si>
  <si>
    <t>10052854542</t>
  </si>
  <si>
    <t>VARAS SAAVEDRA GILBERTO</t>
  </si>
  <si>
    <t>AV PUTUMAYO  1762</t>
  </si>
  <si>
    <t>10052881191</t>
  </si>
  <si>
    <t>GRANDEZ DAVILA ITALO</t>
  </si>
  <si>
    <t>AV MI PERU S/N - SANTA  ROSA</t>
  </si>
  <si>
    <t>10052914812</t>
  </si>
  <si>
    <t>BENAVIDEZ TIRAVANTI GUILLERMO</t>
  </si>
  <si>
    <t>CAL.ORO NEGRO NRO. S/NTROMPETEROS</t>
  </si>
  <si>
    <t>10052934007</t>
  </si>
  <si>
    <t>SERGIO FERNANDO CHUQUIPIONDO GUARDIA</t>
  </si>
  <si>
    <t>RICARDO PALMA  1442</t>
  </si>
  <si>
    <t>10053100649</t>
  </si>
  <si>
    <t>JORGE ROMERO GRANDEZ</t>
  </si>
  <si>
    <t>CALLE AREQUIPA S/N ESTRECHO</t>
  </si>
  <si>
    <t>10053121476</t>
  </si>
  <si>
    <t>CAPINOA GRANDEZ EDWIN</t>
  </si>
  <si>
    <t>CL. 30 DE AGOSTO N 212 - MAZAN</t>
  </si>
  <si>
    <t>10053186438</t>
  </si>
  <si>
    <t>ACOSTA ISUIZA VICTOR HUGO</t>
  </si>
  <si>
    <t>10053344351</t>
  </si>
  <si>
    <t>SANGAMA ZUTA RAUL</t>
  </si>
  <si>
    <t>CALLE CABO PANTOJA N° 2458-MAZAN</t>
  </si>
  <si>
    <t>10053347725</t>
  </si>
  <si>
    <t>RICHARD VASQUEZ NAVARRO</t>
  </si>
  <si>
    <t>CALLE DIEGO DE ALMADRO 328</t>
  </si>
  <si>
    <t>10053376733</t>
  </si>
  <si>
    <t>ARRIAGA AYARZA HILTER BERNARDO</t>
  </si>
  <si>
    <t>PASAJE CHICLAYO 170 PUNCHANA</t>
  </si>
  <si>
    <t>10053389045</t>
  </si>
  <si>
    <t>MELITA ASPAJO TUESTA</t>
  </si>
  <si>
    <t>CALLE AMAZONAS 779-SAN LORENZO</t>
  </si>
  <si>
    <t>10053389517</t>
  </si>
  <si>
    <t>TORRES LAYANGO VDA DE VELA FLOR MELITA</t>
  </si>
  <si>
    <t>AV. LAS AMERICAS MZ-A LT.4 - SANTO TOMAS</t>
  </si>
  <si>
    <t>SAN JUAN</t>
  </si>
  <si>
    <t>10053401002</t>
  </si>
  <si>
    <t>LEON YI CHIOK YI</t>
  </si>
  <si>
    <t>CALLE RAMIREZ HURTADO # 1140</t>
  </si>
  <si>
    <t>10053495015</t>
  </si>
  <si>
    <t>VARGAS PAREDES VICTOR HUGO</t>
  </si>
  <si>
    <t>URB. SARGENTO LORES  H-3</t>
  </si>
  <si>
    <t>10053496135</t>
  </si>
  <si>
    <t>MANZUR FLORES CARLOS FERNANDO</t>
  </si>
  <si>
    <t>YAVARI 322</t>
  </si>
  <si>
    <t>10053504570</t>
  </si>
  <si>
    <t>AREVALO CARDENAS NESTOR</t>
  </si>
  <si>
    <t>CALLE BOLIVAR Nº 697</t>
  </si>
  <si>
    <t>10053515679</t>
  </si>
  <si>
    <t>JORGE LUIS  VALLES PELAES</t>
  </si>
  <si>
    <t>CALLE RAMON CASTILLA NRO 1173 ESQUINA CON ABTAO</t>
  </si>
  <si>
    <t>10053528061</t>
  </si>
  <si>
    <t>ALVIS DAVILA AZUCENA</t>
  </si>
  <si>
    <t>CALLE RICARDO PALMA</t>
  </si>
  <si>
    <t>10053535084</t>
  </si>
  <si>
    <t>VALERA RUIZ DANITH</t>
  </si>
  <si>
    <t>-COMUNIDAD BUENOS AIRES QUBRADO PUCATE</t>
  </si>
  <si>
    <t>10053537125</t>
  </si>
  <si>
    <t>DORIS MARILU FAJARDO SANCHEZ</t>
  </si>
  <si>
    <t>PSJE . LAS ORQUIDEAS  NRO 7</t>
  </si>
  <si>
    <t>10053607247</t>
  </si>
  <si>
    <t>MOSCOSO CHING DIONISIO EULOGIO</t>
  </si>
  <si>
    <t>RAMIREZ HURTADO NRO 1133 (ESQUINA CON PSJE. PAQUITO)</t>
  </si>
  <si>
    <t>10053622368</t>
  </si>
  <si>
    <t>10053622378</t>
  </si>
  <si>
    <t>JULIO CESAR TELLO ROJAS</t>
  </si>
  <si>
    <t>CAHUIDE 229-TUPAC</t>
  </si>
  <si>
    <t>TELLO ROJAS JULIO CESAR</t>
  </si>
  <si>
    <t>10053626241</t>
  </si>
  <si>
    <t>VILLACORTA GONZALES HAMILTON</t>
  </si>
  <si>
    <t>AV LA MARINA 2345</t>
  </si>
  <si>
    <t>10053626926</t>
  </si>
  <si>
    <t>DAVILA PEREZ CARLOS OCTAVIO</t>
  </si>
  <si>
    <t>CAL.AREQUIPA NRO.</t>
  </si>
  <si>
    <t>10053730065</t>
  </si>
  <si>
    <t>RENGIFO PAREDES ROGER LUPO</t>
  </si>
  <si>
    <t>-CALLE 5 Nª 13</t>
  </si>
  <si>
    <t>LORETO</t>
  </si>
  <si>
    <t>10053736616</t>
  </si>
  <si>
    <t>CHUQUIPIONDO LOZANO ROGER</t>
  </si>
  <si>
    <t>CARRETERA IQUITOS/NAUTA KM. 14.90</t>
  </si>
  <si>
    <t>46892916</t>
  </si>
  <si>
    <t>10053775883</t>
  </si>
  <si>
    <t>RIOS MORALES ROCIO CASILDA</t>
  </si>
  <si>
    <t>PSJ GENERAL SANTA CRUZ MZ L LT 10-YARINACOCHA</t>
  </si>
  <si>
    <t>Yarinacocha</t>
  </si>
  <si>
    <t>10053778491</t>
  </si>
  <si>
    <t>TARICUARIMA CASTILLO DE RIMACHI NELLY DE JESUS</t>
  </si>
  <si>
    <t>CARRETERA IQUITOS / NAUTA QUISTOCOCHA</t>
  </si>
  <si>
    <t>10053782600</t>
  </si>
  <si>
    <t>RODRIGUEZ GONZALES DE MORI KELLY</t>
  </si>
  <si>
    <t>10053803577</t>
  </si>
  <si>
    <t>WILER LOPEZ SHARDIN</t>
  </si>
  <si>
    <t>CALLE MANUEL SEOANE 170 SECADA VIGNETTA</t>
  </si>
  <si>
    <t>10053805294</t>
  </si>
  <si>
    <t>DAVILA DEL AGUILA AUGUSTO FERNANDO</t>
  </si>
  <si>
    <t>AVENIDA GRAU 1365</t>
  </si>
  <si>
    <t>10053826674</t>
  </si>
  <si>
    <t>CARLOS TORRES CUMAPA</t>
  </si>
  <si>
    <t>AV PARTICIPACION LOTE B 15 BELEN</t>
  </si>
  <si>
    <t>10053841185</t>
  </si>
  <si>
    <t>GONZALES CABALLERO CARLOS ALBERTO</t>
  </si>
  <si>
    <t>CALLE ALFONSO UGARTE</t>
  </si>
  <si>
    <t>10053843188</t>
  </si>
  <si>
    <t>CRUZ AMPARO SANCHEZ RUIZ</t>
  </si>
  <si>
    <t>JR PACA 999</t>
  </si>
  <si>
    <t>10053861640</t>
  </si>
  <si>
    <t>BAZAN LLAJA FELIX</t>
  </si>
  <si>
    <t>CO BERMUBEZ S/N-  SAN JOSE DE SARAMURO</t>
  </si>
  <si>
    <t>10053868571</t>
  </si>
  <si>
    <t>PINEDO TORRES WALDIR</t>
  </si>
  <si>
    <t>calle julio c arana 220 yurimaguas</t>
  </si>
  <si>
    <t>10053876108</t>
  </si>
  <si>
    <t>CELIS SALINAS CESAR</t>
  </si>
  <si>
    <t>CALLE PROGRESO N 414</t>
  </si>
  <si>
    <t>10053887029</t>
  </si>
  <si>
    <t>MARCHAN MARIN CLEVER</t>
  </si>
  <si>
    <t>PROLONGACION 15 DE AGOSTO MZ A LT 1</t>
  </si>
  <si>
    <t>10053896222</t>
  </si>
  <si>
    <t>HUAMAN CRUZ TEODORICO TEOBALDO</t>
  </si>
  <si>
    <t>CALLE JAUREGUI</t>
  </si>
  <si>
    <t>10053899051</t>
  </si>
  <si>
    <t>MAJIPO CASIQUE ALFREDO</t>
  </si>
  <si>
    <t>JOSE RIERA N 706</t>
  </si>
  <si>
    <t>10053924871</t>
  </si>
  <si>
    <t>RIOS LOMAS DARLING ELMIRA</t>
  </si>
  <si>
    <t>28 DE JULIO</t>
  </si>
  <si>
    <t>10053926261</t>
  </si>
  <si>
    <t xml:space="preserve">MARY LUZ MELENDEZ VILLACORTA </t>
  </si>
  <si>
    <t>RICARDO PALMA CDRA 9</t>
  </si>
  <si>
    <t>10053971062</t>
  </si>
  <si>
    <t>PINEDO BANCHO ONESIMO</t>
  </si>
  <si>
    <t>CALLE PADRE LUCERO # 1802 - LAGUNAS</t>
  </si>
  <si>
    <t>10053983079</t>
  </si>
  <si>
    <t>SHAPIAMA WESEMBER ITALO</t>
  </si>
  <si>
    <t>PJE COLON MZA H LOTE 1</t>
  </si>
  <si>
    <t>10053999013</t>
  </si>
  <si>
    <t>PEREZ BUSTAMANTE DANNY</t>
  </si>
  <si>
    <t xml:space="preserve">REPUESTERA </t>
  </si>
  <si>
    <t>CALLE BOLOGNESI N°1672</t>
  </si>
  <si>
    <t>10054004279</t>
  </si>
  <si>
    <t>PEIXOTO PINEDO AUGUSTO</t>
  </si>
  <si>
    <t>CALLE TRUJILLO Nª 1145 - PUNCHANA</t>
  </si>
  <si>
    <t>10054020819</t>
  </si>
  <si>
    <t>QUISPE TTITO AMERICO</t>
  </si>
  <si>
    <t>SARGENTO LORES 1732</t>
  </si>
  <si>
    <t>10054031179</t>
  </si>
  <si>
    <t>MESIA ZALADA BRIGIT DEL CARMEN</t>
  </si>
  <si>
    <t>AV. ALFONSO UGARTE # 380</t>
  </si>
  <si>
    <t>10054042791</t>
  </si>
  <si>
    <t>GARCIA SALDAÑA FRANCISCO ANTONIO</t>
  </si>
  <si>
    <t>PJS CONDOR N 35</t>
  </si>
  <si>
    <t>10054045005</t>
  </si>
  <si>
    <t xml:space="preserve">AUGUSTO CHING SOPLIN </t>
  </si>
  <si>
    <t>CALLE REQUENA #222 - IQUITOS</t>
  </si>
  <si>
    <t>10054078973</t>
  </si>
  <si>
    <t>ALVARADO TUANAMA OLINDA</t>
  </si>
  <si>
    <t>28 DE JULIO EL ESTRECHO S/N</t>
  </si>
  <si>
    <t>10054098435</t>
  </si>
  <si>
    <t>TORRES CORDOVA GARI</t>
  </si>
  <si>
    <t>SOL NACIENTE C5-BELEN</t>
  </si>
  <si>
    <t>10054105865</t>
  </si>
  <si>
    <t>PINEDO FLORES GLENIS ROSEMARIE</t>
  </si>
  <si>
    <t>AV.NANAY MZ J LT. 9 - SANTA CLARA</t>
  </si>
  <si>
    <t>10054170845</t>
  </si>
  <si>
    <t xml:space="preserve">ROSMERI SABOYA VELA </t>
  </si>
  <si>
    <t>CAL. ABTAO # 392</t>
  </si>
  <si>
    <t>10055802187</t>
  </si>
  <si>
    <t>HURTADO NUÑEZ MAXIMO</t>
  </si>
  <si>
    <t>ATANASIO JAUREGUI 206 YURIMAGUAS</t>
  </si>
  <si>
    <t>10055803671</t>
  </si>
  <si>
    <t xml:space="preserve">REATEGUI SALDAÑA DE HURTADO AMPARO </t>
  </si>
  <si>
    <t>CALLE: JULIO C. ARANA N 165</t>
  </si>
  <si>
    <t>10055813782</t>
  </si>
  <si>
    <t>OLIVEROS VARGAS MARIA ROSARIO</t>
  </si>
  <si>
    <t>AV. ATANASIO JAUREGUI N 407</t>
  </si>
  <si>
    <t>10055878850</t>
  </si>
  <si>
    <t>CONDE GREFA FRANCISCA ESPAÑA</t>
  </si>
  <si>
    <t>JR.MALECON MARAÑON N S/N BAR.CENTRO-BARRANCA DATEM DEL MARAÑON</t>
  </si>
  <si>
    <t>10055905083</t>
  </si>
  <si>
    <t>RAMOS MEDINA OSCAR</t>
  </si>
  <si>
    <t>VENTA AL POR MENOR DE ARTÍCULOS DE FERRETERÍA</t>
  </si>
  <si>
    <t>JR: ATANACIO JAUREGUI Nº403-YURIMAGUAS - ALTO AMAZONAS - LORETO</t>
  </si>
  <si>
    <t>10055956923</t>
  </si>
  <si>
    <t>AMASIFUEN BARTRA TRINIDAD DE JESUS</t>
  </si>
  <si>
    <t>CALLE RICARDO PALMA  CDRA. 9</t>
  </si>
  <si>
    <t>10055957229</t>
  </si>
  <si>
    <t>HURTADO NUÑEZ ELADIO</t>
  </si>
  <si>
    <t>-FERRETERIA</t>
  </si>
  <si>
    <t>-JR: ATANASIO JAUREGUI CUADRA 2 -YURIMAGUAS</t>
  </si>
  <si>
    <t>10055976061</t>
  </si>
  <si>
    <t>SILVA OLIVEIRA NILDA LICET</t>
  </si>
  <si>
    <t>JR MOYOBAMBA S/N BALSAPUERTO</t>
  </si>
  <si>
    <t>10055985842</t>
  </si>
  <si>
    <t>CARDENAS CORDOVA FLAUBER</t>
  </si>
  <si>
    <t>JR. MARAÑON N 482 SAN LORENZO</t>
  </si>
  <si>
    <t>10055987292</t>
  </si>
  <si>
    <t>CARRASCO GUAPE NOLBERTO</t>
  </si>
  <si>
    <t>CAL.MIGUEL MONTALVAN NRO. 707</t>
  </si>
  <si>
    <t>10056038553</t>
  </si>
  <si>
    <t>AREVALO DE HURTADO MARTHA</t>
  </si>
  <si>
    <t>CALLE JULIO C. PINEDO 148 - YURIMAGUAS</t>
  </si>
  <si>
    <t>10056043549</t>
  </si>
  <si>
    <t>HIDALGO OLIMARES RUTH</t>
  </si>
  <si>
    <t>CAL.SARGENTO LORES NRO. 696 LAGUNAS</t>
  </si>
  <si>
    <t>10056132860</t>
  </si>
  <si>
    <t>GONZALEZ PEREZ YLMER</t>
  </si>
  <si>
    <t>CAL.ATANASIO JAUREGUI NRO. 906</t>
  </si>
  <si>
    <t>10056141486</t>
  </si>
  <si>
    <t>ALVARES RIOS SEGUNDO WADIVALDO</t>
  </si>
  <si>
    <t>CAL.MALECON MARAÑON NRO. SN</t>
  </si>
  <si>
    <t>10056146356</t>
  </si>
  <si>
    <t>VARGAS ROSALES TERCERO MILTON</t>
  </si>
  <si>
    <t>CALLE FCO. BARDALEZ 302</t>
  </si>
  <si>
    <t>10056158940</t>
  </si>
  <si>
    <t>CARDENAS DE GALVEZ JOSEFA DE JESUS</t>
  </si>
  <si>
    <t>CALLE JULIUO C. PINEDO</t>
  </si>
  <si>
    <t>10056183511</t>
  </si>
  <si>
    <t>ESTELA FERNANDEZ GERARDO</t>
  </si>
  <si>
    <t>CALLE PADRE LUCERO S/N - LAGUNAS</t>
  </si>
  <si>
    <t>10056200172</t>
  </si>
  <si>
    <t>QUINTANILLA ORBE OLGA</t>
  </si>
  <si>
    <t>CALLE: MORONA 125- SAN LORENZO DATEN DEL MARAÑON</t>
  </si>
  <si>
    <t>10056211247</t>
  </si>
  <si>
    <t>PAIMA HUIÑAPI LIZ</t>
  </si>
  <si>
    <t>CALLE MORONA # 246 - SAN LORENZO</t>
  </si>
  <si>
    <t>10056244005</t>
  </si>
  <si>
    <t>RODRIGUEZ MOSQUERA NANSI</t>
  </si>
  <si>
    <t>AV. FITZCARRALD NRO. 742 LAGUNAS</t>
  </si>
  <si>
    <t>10056248779</t>
  </si>
  <si>
    <t>HUAMAN       CELIS ARTURO</t>
  </si>
  <si>
    <t>CAL.JUAN VASQUEZ NRO. 722 LAGUNAS</t>
  </si>
  <si>
    <t>10056256216</t>
  </si>
  <si>
    <t>QUIÑONES RISCO RONALD</t>
  </si>
  <si>
    <t>CALLE PRINCIPAL S/N - SARAMIRIZA</t>
  </si>
  <si>
    <t>10056319510</t>
  </si>
  <si>
    <t>INGA VASQUEZ MARIA LUISA</t>
  </si>
  <si>
    <t>-CALLE TNTE. CESAR LOPEZ Nº 501-YURIMAGUAS - ALTO AMAZONAS - LORETO</t>
  </si>
  <si>
    <t>10057058884</t>
  </si>
  <si>
    <t>SHICA LLAJA FEDERICO</t>
  </si>
  <si>
    <t>JR. LIMA C/ MALECON MENDOZA # 146 - NAUTA</t>
  </si>
  <si>
    <t>10057100601</t>
  </si>
  <si>
    <t>LONG OLIVA JORGE LUIS</t>
  </si>
  <si>
    <t>CAL. GARCILAZO DE LA VEGA N 264</t>
  </si>
  <si>
    <t>10057170439</t>
  </si>
  <si>
    <t>ASIPALI PAIMA CARLOS</t>
  </si>
  <si>
    <t>CCNN SANTA CLARA ELENA - RIO CORRIENTE</t>
  </si>
  <si>
    <t>10057813682</t>
  </si>
  <si>
    <t>ASAYAC RODRIGUEZ BEDER</t>
  </si>
  <si>
    <t>CAL.PATRICIA LOZANO NRO. S/N - CABALLOCOCHA</t>
  </si>
  <si>
    <t>10057820808</t>
  </si>
  <si>
    <t>TORRES SANCHEZ EMPERATRIZ</t>
  </si>
  <si>
    <t>COLONIA ANGAMOS</t>
  </si>
  <si>
    <t>10057884784</t>
  </si>
  <si>
    <t>OCMIN ARROYO CARLOS ALBERTO</t>
  </si>
  <si>
    <t>CAL.GRAU NRO. 100 - CABALLOCOCHA</t>
  </si>
  <si>
    <t>10057926339</t>
  </si>
  <si>
    <t>PORTAL HEREDIA DE RUIZ MAGDA</t>
  </si>
  <si>
    <t>PSJE. TUPAC AMARU S/N - SAN PABLO</t>
  </si>
  <si>
    <t>10058406363</t>
  </si>
  <si>
    <t>REATEGUI MONTOYA DAVID MELITO</t>
  </si>
  <si>
    <t>CAL. MALECON MANAOS #341 REQUENA</t>
  </si>
  <si>
    <t>10058422474</t>
  </si>
  <si>
    <t>SERVAN PELAIZ ENRIQUETA</t>
  </si>
  <si>
    <t>CL. PUINAHUA N 306-REQUENA</t>
  </si>
  <si>
    <t>10058555504</t>
  </si>
  <si>
    <t>MURRIETA GONZALES BLANCA AMPARITO</t>
  </si>
  <si>
    <t>CALLE BRETAÑA S/N  - BRETAÑA</t>
  </si>
  <si>
    <t>10058605668</t>
  </si>
  <si>
    <t>PEREZ GUERRA OMAR</t>
  </si>
  <si>
    <t>CAL 3 DE JULIO MZ L LT 2-A.H. CUIDAD JARDIN</t>
  </si>
  <si>
    <t>10058618875</t>
  </si>
  <si>
    <t>PEREZ RAMOS MARCO ANTONIO</t>
  </si>
  <si>
    <t>CAL. SAN ANTONIO S/N - REQUENA</t>
  </si>
  <si>
    <t>10058624093</t>
  </si>
  <si>
    <t>VILLANUEVA RIOS ENITH</t>
  </si>
  <si>
    <t>AGUIRRE 1324</t>
  </si>
  <si>
    <t>10058679645</t>
  </si>
  <si>
    <t>GUMERCINDA ELAYDA BERNILLA SANTIAGO</t>
  </si>
  <si>
    <t>JR. VARGAS GUERRA</t>
  </si>
  <si>
    <t>10058690843</t>
  </si>
  <si>
    <t>MERCEDES RAMIREZ RODRIGUEZ</t>
  </si>
  <si>
    <t>MLC. VARGAS GUERRA S/N-CONTAMANA-UCAYALI-LORETO</t>
  </si>
  <si>
    <t>10058694610</t>
  </si>
  <si>
    <t>TITO LIVIO DEGREGORI PINEDO</t>
  </si>
  <si>
    <t>JR: 7 DE JUNIO</t>
  </si>
  <si>
    <t>10058696647</t>
  </si>
  <si>
    <t>ALEJANDRO SILVA GUEVARA</t>
  </si>
  <si>
    <t>MLC.PORTILLO MZ.</t>
  </si>
  <si>
    <t>10059360227</t>
  </si>
  <si>
    <t>VICTOR MANUEL AREVALO VELASQUEZ</t>
  </si>
  <si>
    <t>JR. ANTONIO SANDY NRO. S/N-ORELLANA-UCAYALI-LORETO</t>
  </si>
  <si>
    <t>10059542597</t>
  </si>
  <si>
    <t>CARLOS VIDAL HUAYLLAS LEVA</t>
  </si>
  <si>
    <t>JR SUCRE S/NCALLERIA-C.PORTILLO-UCAYALI</t>
  </si>
  <si>
    <t>10059547068</t>
  </si>
  <si>
    <t>NOLBERTO GARCIA AVALOS</t>
  </si>
  <si>
    <t>JIRÓN AMAZONAS</t>
  </si>
  <si>
    <t>10063023171</t>
  </si>
  <si>
    <t>POLO VILLANUEVA ALEJANDRO BENEDICTO</t>
  </si>
  <si>
    <t>AV. MI PERU S/N - SANTA ROSA</t>
  </si>
  <si>
    <t>10067195448</t>
  </si>
  <si>
    <t>JESUS ESPINOZA JACINTO</t>
  </si>
  <si>
    <t>JIRON 9 DE DICIEMBRE</t>
  </si>
  <si>
    <t>10068035843</t>
  </si>
  <si>
    <t>SUAREZ CHOTA FRANCISCO MARCELO</t>
  </si>
  <si>
    <t>-COMERCIANTE</t>
  </si>
  <si>
    <t>CFB KMM110 MZX1 LT1 COSTADO PUENTE</t>
  </si>
  <si>
    <t>10072319333</t>
  </si>
  <si>
    <t>OLIVAL MOSQUERA VDA DE AGUILAR MARIA CELIA</t>
  </si>
  <si>
    <t>AVENIDA CENTENARIO</t>
  </si>
  <si>
    <t>10072861863</t>
  </si>
  <si>
    <t>DIAZ AREVALO MERCEDES EMPERATRIZ</t>
  </si>
  <si>
    <t>JR.TARAPACÁ PTO 12-13 MERCADO N°1</t>
  </si>
  <si>
    <t>10073349198</t>
  </si>
  <si>
    <t>MACEDO MOLANO LUIS JAMES</t>
  </si>
  <si>
    <t>CALLE MORONA N 225 - SAN LORENZO</t>
  </si>
  <si>
    <t>10073809369</t>
  </si>
  <si>
    <t>TRUJILLO ALAYA EUGENIO</t>
  </si>
  <si>
    <t>JIRÓN FREDY ALIAGA 837 - TOCACHE</t>
  </si>
  <si>
    <t>10074099616</t>
  </si>
  <si>
    <t>BUSTAMANTE QUISPE EUSEBIO</t>
  </si>
  <si>
    <t xml:space="preserve">CASERIO ISLANDIA S/N </t>
  </si>
  <si>
    <t>10074325489</t>
  </si>
  <si>
    <t>CAMARENA PEÑA FALCONERIO ALADINO</t>
  </si>
  <si>
    <t>AV PADRE SALAS N°619 - VILLA RICA</t>
  </si>
  <si>
    <t>10074547678</t>
  </si>
  <si>
    <t>VALVERDE CANCHO HAYDEE NANCY</t>
  </si>
  <si>
    <t>RICARDO PALMA</t>
  </si>
  <si>
    <t>10074970431</t>
  </si>
  <si>
    <t>OLIVA PRADA FERNANDEZ</t>
  </si>
  <si>
    <t>RICARDO PALMA S/N</t>
  </si>
  <si>
    <t>10075158594</t>
  </si>
  <si>
    <t>FLORES SUNCIÓN ROBERTO</t>
  </si>
  <si>
    <t>JR. CALVO DE ARAUJO 2037</t>
  </si>
  <si>
    <t>10075258891</t>
  </si>
  <si>
    <t>JIMENEZ BERRU LUZ AMERICA</t>
  </si>
  <si>
    <t>CALLE REQUENA S/N</t>
  </si>
  <si>
    <t>10075964884</t>
  </si>
  <si>
    <t>RIVADENEYRA GILVONIO FREDDY ANTONIO</t>
  </si>
  <si>
    <t>AV MARISCAL CACERES NRO 967</t>
  </si>
  <si>
    <t>10076408764</t>
  </si>
  <si>
    <t>JOSE FRANCISCO ANGULO RAMIREZ</t>
  </si>
  <si>
    <t>CALLE LOS VENCEDORES MZ B LT 26</t>
  </si>
  <si>
    <t>10076437811</t>
  </si>
  <si>
    <t>ROBERTO CARLOS BAZAN TERRONES</t>
  </si>
  <si>
    <t>JR. MARISCAL CACERES 595-CALLERIA</t>
  </si>
  <si>
    <t>10077432685</t>
  </si>
  <si>
    <t>PELAEZ ORTIZ NOLASTICO</t>
  </si>
  <si>
    <t>JR. LETICIA CDRA.3 (MERCADO Nº2) - JUANJUI - MCAL.CACERES - SAN MARTIN</t>
  </si>
  <si>
    <t>10077650739</t>
  </si>
  <si>
    <t xml:space="preserve">MARIO VILLACORTA ALARDE </t>
  </si>
  <si>
    <t>AV. GUARDIA CIVIL #1301</t>
  </si>
  <si>
    <t>10078423353</t>
  </si>
  <si>
    <t>DALMACIA MERCEDES HILARIO SOTO</t>
  </si>
  <si>
    <t>C.F.B. LM. 60NESHUYA-P.ABAD-UCAYALI</t>
  </si>
  <si>
    <t>NESHUYA</t>
  </si>
  <si>
    <t>10085555150</t>
  </si>
  <si>
    <t>PERCY VASSALLO TINOCO</t>
  </si>
  <si>
    <t>JR. TARMA NRO. 235-LA MERCED-CHANCHAMAYO-JUNIN</t>
  </si>
  <si>
    <t>10086671633</t>
  </si>
  <si>
    <t>DEL AGUILA ALVARADO HORTENCIA</t>
  </si>
  <si>
    <t>MANCO CAPAC</t>
  </si>
  <si>
    <t>10086690735</t>
  </si>
  <si>
    <t>ACUY BROWN JAIME ARTURO</t>
  </si>
  <si>
    <t>TRUJILLO  723</t>
  </si>
  <si>
    <t>10088823081</t>
  </si>
  <si>
    <t>10088826081</t>
  </si>
  <si>
    <t>GONZALES SATALAYA AIDELI</t>
  </si>
  <si>
    <t>CALLE ORO NEGRO S/N</t>
  </si>
  <si>
    <t>10089379771</t>
  </si>
  <si>
    <t xml:space="preserve">YONI FLORES BENDEZU </t>
  </si>
  <si>
    <t>SEÑOR DE LOS MILAGROS MZ:C  LT:13B</t>
  </si>
  <si>
    <t>10095936348</t>
  </si>
  <si>
    <t>LOPEZ DIAZ MIGUEL LUIS</t>
  </si>
  <si>
    <t>CAL. 28 DE JULIO S/N - ESTRECHO</t>
  </si>
  <si>
    <t>10096401651</t>
  </si>
  <si>
    <t>GARCIA SAMANIEGO HERLESS OMAR</t>
  </si>
  <si>
    <t>AV.UNIÓN</t>
  </si>
  <si>
    <t>10096582213</t>
  </si>
  <si>
    <t>DIAZ HUAYTA CARLOS ALBERTO</t>
  </si>
  <si>
    <t>CAL. LAS PALMERAS MZ-A LT. 6 - SANTA CLARA</t>
  </si>
  <si>
    <t>10097915097</t>
  </si>
  <si>
    <t>TORIBIO ESPIRITU ALFREDO</t>
  </si>
  <si>
    <t>CALLE BRETAÑA</t>
  </si>
  <si>
    <t>10098646537</t>
  </si>
  <si>
    <t>JESSICA JESSENIA CARTAGENA CARDENAS</t>
  </si>
  <si>
    <t>AV. SIMON BOLIVAR 181</t>
  </si>
  <si>
    <t>10099243177</t>
  </si>
  <si>
    <t>GUEVARA ETO SEGUNDO ESTEBAN</t>
  </si>
  <si>
    <t>JR. SALAMANCA Nº 490 - CHACHAPOYAS</t>
  </si>
  <si>
    <t>CHACHAPOYAS</t>
  </si>
  <si>
    <t>10099591795</t>
  </si>
  <si>
    <t>FLORES ARMILLON CARMELA</t>
  </si>
  <si>
    <t>AV. LAS AMERICAS 523 - AUCAYACU</t>
  </si>
  <si>
    <t>10101222654</t>
  </si>
  <si>
    <t>SANCHEZ VASQUEZ JUAN</t>
  </si>
  <si>
    <t>CALLE. JULIO C. ARANA</t>
  </si>
  <si>
    <t>10105767299</t>
  </si>
  <si>
    <t>MARTINEZ PADILLA GIOVANNA MARIBEL</t>
  </si>
  <si>
    <t>CARRETERA IQUITOS/NAUTA KM.9.100</t>
  </si>
  <si>
    <t>10106178882</t>
  </si>
  <si>
    <t>JOSE LUIS AYLLON SAAVEDRA</t>
  </si>
  <si>
    <t>CALLE RAIMONDI 250</t>
  </si>
  <si>
    <t>10106258304</t>
  </si>
  <si>
    <t>BAZAN CORDOVA ALEJANDRA</t>
  </si>
  <si>
    <t xml:space="preserve">CARRET. FERNANDO BELAUNDE TERRY S/N - </t>
  </si>
  <si>
    <t>10107024978</t>
  </si>
  <si>
    <t>JOSE ELMER MONCADA OCHOA</t>
  </si>
  <si>
    <t>JR. SAN FERNANDO N</t>
  </si>
  <si>
    <t>10107133211</t>
  </si>
  <si>
    <t>CHAVEZ CALLUPE RICHARD ROLANDO</t>
  </si>
  <si>
    <t>JR 28 DE JULIO 769 HUANUCO</t>
  </si>
  <si>
    <t>HUANUCO</t>
  </si>
  <si>
    <t>10107196051</t>
  </si>
  <si>
    <t>BURGA NOLORBE JERRY</t>
  </si>
  <si>
    <t>AV. AVIACION 210</t>
  </si>
  <si>
    <t>10108117821</t>
  </si>
  <si>
    <t>TAGLE CABRERA JOSE MARTIN</t>
  </si>
  <si>
    <t xml:space="preserve">JR: COREL SECADA N°106 BAR- COMERCIO-MOYOBAMBA-SAN MARTIN </t>
  </si>
  <si>
    <t>10135777</t>
  </si>
  <si>
    <t>JAVIER MAXIMO</t>
  </si>
  <si>
    <t>JR LOS CLAVELES S/N</t>
  </si>
  <si>
    <t>10139656</t>
  </si>
  <si>
    <t>LUZ DIANA ALVAN DE NAVARRO</t>
  </si>
  <si>
    <t>10143111</t>
  </si>
  <si>
    <t>ARREGUI MUÑOZ PAULO CESAR</t>
  </si>
  <si>
    <t>BEGONIA 518</t>
  </si>
  <si>
    <t>10146851</t>
  </si>
  <si>
    <t>FLAVIO SOTO SALAZAR</t>
  </si>
  <si>
    <t>CALLE RAMON CASTILLA # 1125 - CABALLOCOCHA</t>
  </si>
  <si>
    <t>1016031086</t>
  </si>
  <si>
    <t>SEBASTIAN URREA MOGOLLON</t>
  </si>
  <si>
    <t>PUERTO MARIÑO</t>
  </si>
  <si>
    <t>10164284943</t>
  </si>
  <si>
    <t xml:space="preserve">JOSE AURELIO PERICHE SIESQUEN </t>
  </si>
  <si>
    <t>AV.PARTICIPACION MZA LT7-A.H.TRIANGULO</t>
  </si>
  <si>
    <t>10166622013</t>
  </si>
  <si>
    <t>GUEVARA TARRILLO OSCAR</t>
  </si>
  <si>
    <t>JR. PEDRO DE URSUA 155 - TARAPOTO</t>
  </si>
  <si>
    <t>10167167263</t>
  </si>
  <si>
    <t>CAMPOS SEGURA DOLORES BLADEMIR</t>
  </si>
  <si>
    <t>CALLE PATRICIO MOSQUERA S/N SANTA CLOTILDE</t>
  </si>
  <si>
    <t>10167504430</t>
  </si>
  <si>
    <t>HUAMAN HUANCAS EULOGIA</t>
  </si>
  <si>
    <t>CAL.JULIO C. ARANA NRO. 161</t>
  </si>
  <si>
    <t>10167608308</t>
  </si>
  <si>
    <t>GUEVARA TORRES JESUS OLIVER</t>
  </si>
  <si>
    <t>AV. LUIS GONZALES #1599 - CHICLAYO-LAMBAYAQUE</t>
  </si>
  <si>
    <t>CHICLAYO</t>
  </si>
  <si>
    <t>10167994224</t>
  </si>
  <si>
    <t>HUAMAN HUANCAS DAVID</t>
  </si>
  <si>
    <t>VENTA AL POR MAYOR NO ESPECIALIZADA</t>
  </si>
  <si>
    <t>JR. EDUARDO PEÑA MEZA Nº 587 - JUANJUI - MCAL.CACERES - SAN MARTIN</t>
  </si>
  <si>
    <t>10174478169</t>
  </si>
  <si>
    <t>LLAGUENTO SANCHEZ LUIS ALBERTO</t>
  </si>
  <si>
    <t>JR. HUALLAGA 649 - TARAPOTO - SAN MARTIN - SAN MARTIN</t>
  </si>
  <si>
    <t>10175402433</t>
  </si>
  <si>
    <t>AVALOS ESTELA CESAR AUGUSTO</t>
  </si>
  <si>
    <t>CARRETERA INDIANA</t>
  </si>
  <si>
    <t>MAZAN - INDIANA</t>
  </si>
  <si>
    <t>10176280871</t>
  </si>
  <si>
    <t>TELLO CRUZ MARCELINO</t>
  </si>
  <si>
    <t>AV. SARGENTO LORES MZA 37 LOTE 01 - NUEVO PROGRESO</t>
  </si>
  <si>
    <t>10178217980</t>
  </si>
  <si>
    <t>TORRES SANDOVAL ELIAS SABINO</t>
  </si>
  <si>
    <t>28 DE JULIO S/N - IQUITOS</t>
  </si>
  <si>
    <t>10178239304</t>
  </si>
  <si>
    <t>BOCANEGRA HONORIO PAULINA</t>
  </si>
  <si>
    <t>JR. BOLOGNESI N 278 - NUEVA CAJAMARCA-RIOJA-SAN MARTIN</t>
  </si>
  <si>
    <t>10179068376</t>
  </si>
  <si>
    <t>REYNA GOMEZ LUIS ALBERTO</t>
  </si>
  <si>
    <t>JR. RAMON CASTILLA 367 - TARAPOTO - SAN MARTIN - SAN MARTIN</t>
  </si>
  <si>
    <t>10181492428</t>
  </si>
  <si>
    <t>CIEZA TORRES CELA</t>
  </si>
  <si>
    <t>JR. COMERCIO Nº 566 - LONYA GRANDE - UTCUBAMBA - AMAZONAS</t>
  </si>
  <si>
    <t>LONYA GRANDE</t>
  </si>
  <si>
    <t>10181499112</t>
  </si>
  <si>
    <t>BUENO YENGLE VICTOR SALOMON</t>
  </si>
  <si>
    <t>ACTIVIDADES DE CONSULTORIA DE GESTION</t>
  </si>
  <si>
    <t>JR. LAS PALMERAS NO.362 - LA BANDA DE SHILCAYO - SAN MARTIN - SAN MARTIN</t>
  </si>
  <si>
    <t>10181829937</t>
  </si>
  <si>
    <t>HUAMAN SIFUENTES EUSEBIO CARLOS</t>
  </si>
  <si>
    <t>CALLE: MANCO CAPAC #115-YURIMAGUAS - ALTO AMAZONAS - LORETO</t>
  </si>
  <si>
    <t>10188789965</t>
  </si>
  <si>
    <t>CHAVEZ ZARZOSA ANGEL PEREGRINO</t>
  </si>
  <si>
    <t>JR. NICOLAS DE PIEROLA Nº 459 - TARAPOTO - SAN MARTIN - SAN MARTIN</t>
  </si>
  <si>
    <t>40195644</t>
  </si>
  <si>
    <t>10198306857</t>
  </si>
  <si>
    <t>CARDENAS HUAMAN JULIO CESAR</t>
  </si>
  <si>
    <t>JR LIMA 846 - PICHANAQUI</t>
  </si>
  <si>
    <t>10198505116</t>
  </si>
  <si>
    <t>REPRESENTACIONES OSCANOA JAVIER VICTOR</t>
  </si>
  <si>
    <t>CALLE 06 DE AGOSTO S/N - PANGOA</t>
  </si>
  <si>
    <t>10199437823</t>
  </si>
  <si>
    <t>TORRES TORRE JULIANA ERNESTINA</t>
  </si>
  <si>
    <t>AV. DEL PANGOA 727 - SAN MARTIN DE PANGOA</t>
  </si>
  <si>
    <t>10200442887</t>
  </si>
  <si>
    <t>GAVINO QUISPEALAYA GEDEON</t>
  </si>
  <si>
    <t>CALLE TUPAC AMARU SN - SAN PABLO</t>
  </si>
  <si>
    <t>10201174886</t>
  </si>
  <si>
    <t>GRACIELA NUÑEZ VERA</t>
  </si>
  <si>
    <t>JR PROGRESO 532-CORONEL PORTILLO-CALLERIA-UCAYALI</t>
  </si>
  <si>
    <t>10205266491</t>
  </si>
  <si>
    <t>ROMAN CASTILLO CESAR</t>
  </si>
  <si>
    <t>JR. PROGRESO S/N - SAN RAMÓN</t>
  </si>
  <si>
    <t>SAN RAMON</t>
  </si>
  <si>
    <t>10206952020</t>
  </si>
  <si>
    <t>BARZOLA YANCAN OSLER MAURO</t>
  </si>
  <si>
    <t>CARRETERA FERNANDO BELAUNDE TERRY</t>
  </si>
  <si>
    <t>10207263252</t>
  </si>
  <si>
    <t>ROSALES RIVERA RUBEN PEDRO</t>
  </si>
  <si>
    <t>VENTA AL POR MAYOR DE MATERIALES DE CONSTRUCCIÓN ARTÍCULOS DE FERRETERÍA Y EQUIPO Y MATERIALES</t>
  </si>
  <si>
    <t>JR. JORGE CHAVEZ Nº 1481 - TARAPOTO - SAN MARTIN - SAN MARTIN</t>
  </si>
  <si>
    <t>10209623604</t>
  </si>
  <si>
    <t>NICOLAS CALLUPE PALOMINO</t>
  </si>
  <si>
    <t>AVENIDA LAS AMERICAS 513 - AUCAYACU</t>
  </si>
  <si>
    <t>10209683160</t>
  </si>
  <si>
    <t>EGOAVIL BALBIN VIDES WALTER</t>
  </si>
  <si>
    <t>URB. VALLE DORADO MZA. LOTE 07 - PICHARI</t>
  </si>
  <si>
    <t>PICHARI</t>
  </si>
  <si>
    <t>10209952063</t>
  </si>
  <si>
    <t>INGA PAUCAR RAUL ELIAS</t>
  </si>
  <si>
    <t>10209965459</t>
  </si>
  <si>
    <t>JANETH GIOVANNA MENDOZA TORRES</t>
  </si>
  <si>
    <t>JR. AUGUSTO HILSER NRO. 472- SATIPO</t>
  </si>
  <si>
    <t>10209965751</t>
  </si>
  <si>
    <t>ALEJO MELO ALICIA ROCIO</t>
  </si>
  <si>
    <t>JR AUGUSTO HILSER S/N SATIPO SATIPO JUNIN</t>
  </si>
  <si>
    <t>10209989871</t>
  </si>
  <si>
    <t>FERNANDO ENRIQUE CUSIPUMA LAZO</t>
  </si>
  <si>
    <t>CAL. 03 DE NOVIEMBRE #554 - SAN MARTIN DE PANGOA</t>
  </si>
  <si>
    <t>10210033896</t>
  </si>
  <si>
    <t>ANDIA ARAUJO DINA AMELIA</t>
  </si>
  <si>
    <t>JIRÓN AUGUSTO HILSER 318 - SATIPO</t>
  </si>
  <si>
    <t>10210047919</t>
  </si>
  <si>
    <t>CAMPOS DE ORTIZ SABINA</t>
  </si>
  <si>
    <t>AV. PANGOA S/N FRENTE AL JARDIN PANGOA SATIPO JUNI</t>
  </si>
  <si>
    <t>10210704758</t>
  </si>
  <si>
    <t>CUCHO RAMOS EDA VIOLETA</t>
  </si>
  <si>
    <t>JIRON LIMA 846 - PICHANAQUI</t>
  </si>
  <si>
    <t>10211385371</t>
  </si>
  <si>
    <t>SALAS ESPINOZA JANET ROSARIO</t>
  </si>
  <si>
    <t>AVENIDA CAPITAN SOTO 430 - VILLA RICA</t>
  </si>
  <si>
    <t>10211446175</t>
  </si>
  <si>
    <t>MEJIA HUAMANI WILBER</t>
  </si>
  <si>
    <t>CAL. SAN MARTIN MZ F LT 16 S/N-SAN PABLO</t>
  </si>
  <si>
    <t>10211450598</t>
  </si>
  <si>
    <t>DIAZ AREVALO VICTOR MANUEL</t>
  </si>
  <si>
    <t>JR. TARAPACA S/NMERCADO</t>
  </si>
  <si>
    <t>10214976574</t>
  </si>
  <si>
    <t>PASACHE LOPEZ JOSE JAVIER</t>
  </si>
  <si>
    <t>10221810029</t>
  </si>
  <si>
    <t>MOLINA ALLCAHUAMAN LUIS</t>
  </si>
  <si>
    <t>CARR. FER. BEL. TERRY #241 - AUCAYACU</t>
  </si>
  <si>
    <t>10224018008</t>
  </si>
  <si>
    <t>VELA PORTILLO CARLOS</t>
  </si>
  <si>
    <t>JR 28 DE JULIO 752 HUANUCO</t>
  </si>
  <si>
    <t>10224191958</t>
  </si>
  <si>
    <t>ISIDRO Y SALAZAR NOEMI</t>
  </si>
  <si>
    <t>JIRÓN SAN MARTIN 794 - HUANUCO</t>
  </si>
  <si>
    <t>10224600840</t>
  </si>
  <si>
    <t>ESPINOZA GONZALES VICTOR</t>
  </si>
  <si>
    <t>AV. FEDERICO BASADRE MZ155 LT4A AGUAYTIA</t>
  </si>
  <si>
    <t>10224641511</t>
  </si>
  <si>
    <t>GRADOS CRUZ RITA ELIZABETH</t>
  </si>
  <si>
    <t>JR. JORGE CHAVEZ 690 - TOCACHE</t>
  </si>
  <si>
    <t>10224670953</t>
  </si>
  <si>
    <t>VALERIO CAMONES SEGUNDINA</t>
  </si>
  <si>
    <t>CALLE PATRICIO MOSQUERA MZ-19 LT.5  -  SANTA CLOTILD</t>
  </si>
  <si>
    <t>10224764338</t>
  </si>
  <si>
    <t>LLANOS MARTIN YOLANDA</t>
  </si>
  <si>
    <t>FERRETRIA</t>
  </si>
  <si>
    <t xml:space="preserve">AV 28 DE JULIO N°120 TINGO MARIA </t>
  </si>
  <si>
    <t>RUPA-RUPA</t>
  </si>
  <si>
    <t>10224767132</t>
  </si>
  <si>
    <t>VEGA RAMIREZ NARCISA</t>
  </si>
  <si>
    <t>AV. NESHUYA MZ. 10 LT. 2-B - NESHUYA</t>
  </si>
  <si>
    <t>10225105516</t>
  </si>
  <si>
    <t>ALDO CESAR SALAZAR NIEVES</t>
  </si>
  <si>
    <t>CAL.LA MERCED NRO. 141 - HUANUCO</t>
  </si>
  <si>
    <t>10225149602</t>
  </si>
  <si>
    <t>ALMERCO PALACIOS RUDY</t>
  </si>
  <si>
    <t>10225230256</t>
  </si>
  <si>
    <t>MACALUPU CABALLERO CARLOS JOSE</t>
  </si>
  <si>
    <t>AV SARITA COLONIA S/N CODO DEL POZUZO</t>
  </si>
  <si>
    <t>POZUZO</t>
  </si>
  <si>
    <t>10226567157</t>
  </si>
  <si>
    <t>ALBINO BAZAN MALPARTIDA</t>
  </si>
  <si>
    <t>AV. HUARAZ N° 527 - AUCAYACU</t>
  </si>
  <si>
    <t>10226720869</t>
  </si>
  <si>
    <t>ROBLES TORRES NERY</t>
  </si>
  <si>
    <t>AV SIMON BOLIVAS 192</t>
  </si>
  <si>
    <t>10228653433</t>
  </si>
  <si>
    <t>VILLADEZA LAGUNA REYNALDO</t>
  </si>
  <si>
    <t>AV. SALAZAR S/N - TAMANCO</t>
  </si>
  <si>
    <t>EMILIO SAN MARTIN</t>
  </si>
  <si>
    <t>10228806949</t>
  </si>
  <si>
    <t>ESPINOZA MATIAS AGUSTIN PELAO</t>
  </si>
  <si>
    <t xml:space="preserve">URB MUNICIPAL KM6 MZG, LT09 </t>
  </si>
  <si>
    <t>10228827547</t>
  </si>
  <si>
    <t>TELLO SANTOS WALDER FORTUNATO</t>
  </si>
  <si>
    <t>10229630887</t>
  </si>
  <si>
    <t>SALDAÑA PEREZ DOWNEY</t>
  </si>
  <si>
    <t>AV. ANTONIO RAYMONDI #120 - TINGO MARIA</t>
  </si>
  <si>
    <t>10229661243</t>
  </si>
  <si>
    <t>SALDAÑA PEREZ LUDENDORFF -</t>
  </si>
  <si>
    <t>AV RAIMONDI 116 - TINGO MARIA</t>
  </si>
  <si>
    <t>10229665036</t>
  </si>
  <si>
    <t>POVES PIZARRO IRENE GLADIS</t>
  </si>
  <si>
    <t>PROLONG. TARMA S/N LA MERCED CHANCHAMAYO</t>
  </si>
  <si>
    <t>10229730980</t>
  </si>
  <si>
    <t>10229730989</t>
  </si>
  <si>
    <t>NAJAR RIOS ALBERTO</t>
  </si>
  <si>
    <t>JR. HUASCAR N 788 - PUCALLPA</t>
  </si>
  <si>
    <t>10229916086</t>
  </si>
  <si>
    <t>10229946086</t>
  </si>
  <si>
    <t>VALDERRAMA ANTAURCO CELIA AURORA</t>
  </si>
  <si>
    <t>CARRETERA FERNANDO BELAUNDE TERRI 934</t>
  </si>
  <si>
    <t>10229985251</t>
  </si>
  <si>
    <t>EMILIA HUALPA LIMA</t>
  </si>
  <si>
    <t>AV. SIMON BOLIVAR NRO. 374</t>
  </si>
  <si>
    <t>10230065034</t>
  </si>
  <si>
    <t>OSORIO LOJA FRANCISCO</t>
  </si>
  <si>
    <t>AV. LIMA # 412 -  AUCAYACU</t>
  </si>
  <si>
    <t>10230085337</t>
  </si>
  <si>
    <t>RIVERA SOLIS SANTA IRENE</t>
  </si>
  <si>
    <t>JR CAYUMBA 284</t>
  </si>
  <si>
    <t>RUPA RUPA</t>
  </si>
  <si>
    <t>10230108981</t>
  </si>
  <si>
    <t>SANTOS BASILIO MOISES</t>
  </si>
  <si>
    <t>CALLE FITZCARRALD S/N - ATALAYA</t>
  </si>
  <si>
    <t>10230152310</t>
  </si>
  <si>
    <t>ALDABE DE DIESTRA KEYLI</t>
  </si>
  <si>
    <t>AV. CURIMANA S/N -PADRE ABAD - UCAYALI</t>
  </si>
  <si>
    <t>CURIMANA</t>
  </si>
  <si>
    <t>10231676070</t>
  </si>
  <si>
    <t>AQUINO TRINIDAD ANTONIO</t>
  </si>
  <si>
    <t>C.F.B JJ.VV LAS PALMERAS</t>
  </si>
  <si>
    <t>10234703787</t>
  </si>
  <si>
    <t>FREDY NICEFORO HUAMANI ZUBILETE</t>
  </si>
  <si>
    <t>CAL.FIZTCARRAL NRO. S/N -RAYMONDI-ATALAYA-UCAYALI</t>
  </si>
  <si>
    <t>10235685987</t>
  </si>
  <si>
    <t>YANCE GONZALEZ VDA DE CAPCHA YOLANDA NARCISA</t>
  </si>
  <si>
    <t>10243733</t>
  </si>
  <si>
    <t>LANDA HUACHHUACO RUBEN CLAUDIO</t>
  </si>
  <si>
    <t>COMERCIANTE</t>
  </si>
  <si>
    <t>AV. HUAROCHIRI LL08 ASOCIACION ENCALDA 1ra ETAPA SANTA ANITA</t>
  </si>
  <si>
    <t>ATE</t>
  </si>
  <si>
    <t>10246958195</t>
  </si>
  <si>
    <t>MAQUERA POCOHUANCA ELENA</t>
  </si>
  <si>
    <t>AVENIDA LAS AMERICAS 523 - AUCAYACU</t>
  </si>
  <si>
    <t>10247070961</t>
  </si>
  <si>
    <t>CAHUANA CHOQUEPUMA JULIA</t>
  </si>
  <si>
    <t>AVENIDA LAS AMERICAS 531 - AUCAYACU</t>
  </si>
  <si>
    <t>10256281690</t>
  </si>
  <si>
    <t>ORDINOLA DEZA SANTOS ESTEBAN</t>
  </si>
  <si>
    <t>URB SANTA URSULA MZ E LOTE 12</t>
  </si>
  <si>
    <t>10258595535</t>
  </si>
  <si>
    <t>CUBAS GAVIDIA GENNI KELITA</t>
  </si>
  <si>
    <t>JR:25 DE MAYO</t>
  </si>
  <si>
    <t>10269400451</t>
  </si>
  <si>
    <t>BRICEÑO CASTAÑEDA EUGENIO</t>
  </si>
  <si>
    <t>CALLE 30 DE AGOSTO S/N - MAZAN</t>
  </si>
  <si>
    <t>10269584039</t>
  </si>
  <si>
    <t>JULCA VASQUEZ RAFAEL</t>
  </si>
  <si>
    <t>JR.GRAU #858 CAJABAMBA</t>
  </si>
  <si>
    <t>CAJABAMBA</t>
  </si>
  <si>
    <t>10273766095</t>
  </si>
  <si>
    <t>DIAZ GUERRERO LEONIDAS</t>
  </si>
  <si>
    <t>VENTA DE EQUIPOS Y MAQUINAS</t>
  </si>
  <si>
    <t>AV MARIANO MELGAR 959 - BAGUA GRANDE - UTCUBAMBA - AMAZONAS</t>
  </si>
  <si>
    <t>10273780870</t>
  </si>
  <si>
    <t>DOMEL JULCA RAMIREZ</t>
  </si>
  <si>
    <t>CARRETERA SANTA MARIA KM 1.5 -PUNCHANA</t>
  </si>
  <si>
    <t>10274250301</t>
  </si>
  <si>
    <t>RUFASTO PEREZ NERI</t>
  </si>
  <si>
    <t>LEONCIO PRADO S/N</t>
  </si>
  <si>
    <t>10274356796</t>
  </si>
  <si>
    <t>SAMAME TOCTO NORMA SOLEDAD</t>
  </si>
  <si>
    <t>AV. MARISCAL CASTILLA 824 - JAEN, - JAÉN - CAJAMARCA</t>
  </si>
  <si>
    <t>10275754213</t>
  </si>
  <si>
    <t>CHAVEZ BRIONES WILMER JAIME</t>
  </si>
  <si>
    <t>CALLE SANCHEZ CERRO CUADRA  3 - NAUTA</t>
  </si>
  <si>
    <t>10277085254</t>
  </si>
  <si>
    <t>CAMPOS TIBAJA ELENA</t>
  </si>
  <si>
    <t>JR.EMILIO ACOSTA N-441-MOYOBAMBA</t>
  </si>
  <si>
    <t>10277298274</t>
  </si>
  <si>
    <t>FERNANDEZ CUBAS ANCELMO</t>
  </si>
  <si>
    <t>JR. MARAÑON NRO. 1055 SAN LORENZO</t>
  </si>
  <si>
    <t>10277419098</t>
  </si>
  <si>
    <t>ROJAS TAPIA INDALECIO</t>
  </si>
  <si>
    <t>CAL. RAYMONDI NRO-C-02  CENTRO DE JAEN - JAÉN - JAÉN - CAJAMARCA</t>
  </si>
  <si>
    <t>10278200251</t>
  </si>
  <si>
    <t>NUÑEZ OCAÑA SELMAN DUGGAR</t>
  </si>
  <si>
    <t>CAL. MARAÑON S/N - SAN LORENZO</t>
  </si>
  <si>
    <t>10278226838</t>
  </si>
  <si>
    <t>MARIA CRUZ SARMIENTO PEÑA</t>
  </si>
  <si>
    <t>CALLE . PASTAZA   192  SAN LORENZO</t>
  </si>
  <si>
    <t>10278236078</t>
  </si>
  <si>
    <t>RIOFRIO ARIAS MARIA EMILIA</t>
  </si>
  <si>
    <t>AV SAN IGNACIO CRDA 4 S/N - SAN IGNACIO</t>
  </si>
  <si>
    <t>10278589779</t>
  </si>
  <si>
    <t>LAZO ABAD ROMEL</t>
  </si>
  <si>
    <t>JR. 25 DE MAYO N 279 MOYOBAMBA - SAN MARTIN</t>
  </si>
  <si>
    <t>10278589973</t>
  </si>
  <si>
    <t>COLUNCHE DIAZ MARIA SANTOS</t>
  </si>
  <si>
    <t>JR. LIBERTAD 719 - NUEVA CAJAMARCA - RIOJA - SAN MARTIN</t>
  </si>
  <si>
    <t>10281142084</t>
  </si>
  <si>
    <t>NELSON MONTEZA CALDERON</t>
  </si>
  <si>
    <t>C.F.B. MZ.I. LTE.4A- KM 5 CALLERIA-C.PORTILLO-UCAYALI</t>
  </si>
  <si>
    <t>10285915321</t>
  </si>
  <si>
    <t>RAMIREZ PILLACA JUAN MACARIO</t>
  </si>
  <si>
    <t>JR. MALECON S/N - SEPAHUA</t>
  </si>
  <si>
    <t>10328889328</t>
  </si>
  <si>
    <t>OSCAR HUGO ROLDAN CORDOVA</t>
  </si>
  <si>
    <t>CALLE MARTIRES DE LA DEMOCRACIA MZ D LT 25-BELEN</t>
  </si>
  <si>
    <t>10332503265</t>
  </si>
  <si>
    <t>SANTIAGO VALIUS ROBERTO</t>
  </si>
  <si>
    <t>CALLE SARGENTO LORES S/N - PEBAS</t>
  </si>
  <si>
    <t>10334115432</t>
  </si>
  <si>
    <t>MELENDEZ DE MAS MARIA HERMELINDA</t>
  </si>
  <si>
    <t>AV. COPERACIÓN POPULAR SN - CAS. NUEVO CHIRIMOTO</t>
  </si>
  <si>
    <t>OMIA</t>
  </si>
  <si>
    <t>10334295040</t>
  </si>
  <si>
    <t>MENDOZA ROJAS DINO OMAR</t>
  </si>
  <si>
    <t>JR. ESQUINAS #512-CHACHAPOYAS</t>
  </si>
  <si>
    <t>10334315482</t>
  </si>
  <si>
    <t>HUANGAL LINARES RICARDO SALOMON</t>
  </si>
  <si>
    <t>JR. ATAHUALPA Nº 233 - SAN IGNACIO - SAN IGNACIO - CAJAMARCA</t>
  </si>
  <si>
    <t>10335895725</t>
  </si>
  <si>
    <t>CABALLERO BARDALES EDGAR ALBERTO</t>
  </si>
  <si>
    <t>CALL. PRINCIPAL S/N - SARAMIRIZA</t>
  </si>
  <si>
    <t>10336472763</t>
  </si>
  <si>
    <t>BARBOZA REGALADO AURELIA</t>
  </si>
  <si>
    <t>10336495321</t>
  </si>
  <si>
    <t>CASTRO TICLIAHUANCA SAMUEL</t>
  </si>
  <si>
    <t>CALLE MANCO CAPAC 195 - YURIMAGUAS</t>
  </si>
  <si>
    <t>10336497065</t>
  </si>
  <si>
    <t>VASQUEZ IRIGOIN TEODORO</t>
  </si>
  <si>
    <t>CARRET.MARGINAL SN (FRENTE AL LAVADERO LUBIARTE) - MOYOBAMBA</t>
  </si>
  <si>
    <t>10336563033</t>
  </si>
  <si>
    <t>PORTOCARRERO VASQUEZ ALEYDA MARGOTH</t>
  </si>
  <si>
    <t>JR 28 DE JULIO S/N - LONYA GRANDE - UTCUBAMBA - AMAZONAS</t>
  </si>
  <si>
    <t>10336725211</t>
  </si>
  <si>
    <t>HUAMAN FERNANDEZ SEGUNDO ZENON</t>
  </si>
  <si>
    <t>AV.   TALARA S/N  SAN   ROQUE</t>
  </si>
  <si>
    <t>10336725971</t>
  </si>
  <si>
    <t>SANTIAGO RAMIREZ CORDOVA</t>
  </si>
  <si>
    <t>JR ALONSO DE ALVARADO N 329 - TARAPOTO - SAN MARTIN - SAN MARTIN</t>
  </si>
  <si>
    <t>10337342243</t>
  </si>
  <si>
    <t>MONTENEGRO CHAVEZ LUIS ALEJANDRO</t>
  </si>
  <si>
    <t>-AV- SACSAYHUAMAN 177 PEDRO RUIZ</t>
  </si>
  <si>
    <t>JAZAN</t>
  </si>
  <si>
    <t>10337393221</t>
  </si>
  <si>
    <t>GUEVARA CHUQUICAHUA LUVER</t>
  </si>
  <si>
    <t>CALLE LOS ALGARROBOS C16</t>
  </si>
  <si>
    <t>10337660032</t>
  </si>
  <si>
    <t>CULQUI PUERTA ROSA</t>
  </si>
  <si>
    <t>AV . JUAN  VELASCO   S/N    SANTA MARIA DE NIEVA</t>
  </si>
  <si>
    <t>10337661489</t>
  </si>
  <si>
    <t>CARRERA LINARES ELMER ANTONIO</t>
  </si>
  <si>
    <t>-JR. SIMON BOLIVAR 410</t>
  </si>
  <si>
    <t>10337995123</t>
  </si>
  <si>
    <t>MACEDO VILLANUEVA PACO</t>
  </si>
  <si>
    <t>TUPAC AMARU 437</t>
  </si>
  <si>
    <t>10338077471</t>
  </si>
  <si>
    <t>RAMOS VALQUI JORGE ANDRES</t>
  </si>
  <si>
    <t>VENTA AL POR MENOR DE ARTICULOS DE FERRETERIA</t>
  </si>
  <si>
    <t>JR. HUAMBO Nº 222 - MENDOZA -SAN NICOLAS - RODRIGUEZ DE MENDOZA - AMAZONAS</t>
  </si>
  <si>
    <t>10338198553</t>
  </si>
  <si>
    <t>SULLCA MAMANI MAURO</t>
  </si>
  <si>
    <t>JR.AUSGUSTO HILSER 972 - SATIPO</t>
  </si>
  <si>
    <t>10339416155</t>
  </si>
  <si>
    <t>SANCHEZ CAJO DALMACIO GREGORIO</t>
  </si>
  <si>
    <t>JR AMAZONAS N 103 - MENDOZA - SAN NICOLAS - RODRIGUEZ DE MENDOZA - AMAZONAS</t>
  </si>
  <si>
    <t>10339417798</t>
  </si>
  <si>
    <t>SANTILLAN VILLA JOSE GONZALO</t>
  </si>
  <si>
    <t>JR. TORIBIO RODRIGUEZ DE MENDOZA Nº 322 - MENDOZA, RODRIGUEZ DE MENDOZA, AMAZONAS</t>
  </si>
  <si>
    <t>10339418492</t>
  </si>
  <si>
    <t>SANTILLAN DE MAS MARIA AURORA</t>
  </si>
  <si>
    <t>JR. AMAZONAS S/N - RODRIGUEZ DE MENDOZA</t>
  </si>
  <si>
    <t>10364811</t>
  </si>
  <si>
    <t>LOPEZ RAMIREZ NIXON</t>
  </si>
  <si>
    <t xml:space="preserve">JR.SHANAO </t>
  </si>
  <si>
    <t>PINTO RECODO</t>
  </si>
  <si>
    <t>10400022041</t>
  </si>
  <si>
    <t>MAIQUEN TORRES ROSA ESTHER</t>
  </si>
  <si>
    <t>JR SAN MARTIN S/N BREU</t>
  </si>
  <si>
    <t>10400716116</t>
  </si>
  <si>
    <t>FLORES ROSALES YOLANDA</t>
  </si>
  <si>
    <t>JR. CAYUMBA 244 - TINGO MARIA</t>
  </si>
  <si>
    <t>10401274761</t>
  </si>
  <si>
    <t>SALAS MACEDO ALFREDO</t>
  </si>
  <si>
    <t>COMUNIDAD OLLANTA S/N - URARINAS</t>
  </si>
  <si>
    <t>10401343275</t>
  </si>
  <si>
    <t>ANDRES MALLQUI REYES</t>
  </si>
  <si>
    <t>CAR.FERNANDO B. TERRY MZ.C. LT.</t>
  </si>
  <si>
    <t>10402177255</t>
  </si>
  <si>
    <t>ZAPATA TIMANA SEGUNDO</t>
  </si>
  <si>
    <t>SARGENTO LORES S/N PEBAS RAMON CASTILLA</t>
  </si>
  <si>
    <t>10402347576</t>
  </si>
  <si>
    <t>ARIMUYA SAQUIRAY MARIA ELIZABET</t>
  </si>
  <si>
    <t>CAL. CABO PANTOJA N 104 - MAZAN</t>
  </si>
  <si>
    <t>10402994253</t>
  </si>
  <si>
    <t>YRIGOIN GIL GLADIS MARIA</t>
  </si>
  <si>
    <t>JR. EMILIO ACOSTA 638 - MOYOBAMBA, MOYOBAMBA, SAN MARTIN</t>
  </si>
  <si>
    <t>10403072660</t>
  </si>
  <si>
    <t>DENIS GARCIA ALENCAR</t>
  </si>
  <si>
    <t>CALLE SANCHEZ CERRO SN - NAUTA</t>
  </si>
  <si>
    <t>10403367937</t>
  </si>
  <si>
    <t>REATEGUI CHUNG OSCAR RICARDO</t>
  </si>
  <si>
    <t>ANGAMOS</t>
  </si>
  <si>
    <t>Yaquerana</t>
  </si>
  <si>
    <t>10403403097</t>
  </si>
  <si>
    <t>MONTOYA TICONA RICARDO</t>
  </si>
  <si>
    <t>CARRETERA IQUITOS - NAUTA KM 1.5 - VILLA SELVA - SAN JUAN</t>
  </si>
  <si>
    <t>10403678894</t>
  </si>
  <si>
    <t>ALVARADO ESTEBAN JOAQUIN ORLANDO</t>
  </si>
  <si>
    <t>CC POLVOS BLANCOS N°33 TOCACHE</t>
  </si>
  <si>
    <t>10403696868</t>
  </si>
  <si>
    <t>GONZALES BACA ENGELBERTO</t>
  </si>
  <si>
    <t>AV SAN FERNANDO 588 FRENTE AL COLEGIO SAN FERNANDO</t>
  </si>
  <si>
    <t>10404338124</t>
  </si>
  <si>
    <t>AGURTO TICLIAHUANCA SHEYLY GERALDINY</t>
  </si>
  <si>
    <t>JR. 25 DE MAYO 279</t>
  </si>
  <si>
    <t>10404751129</t>
  </si>
  <si>
    <t>SALAS PLAZA NORITA</t>
  </si>
  <si>
    <t>CAL. MALECON TARAPACA  # 160 - REQUENA</t>
  </si>
  <si>
    <t>10404764395</t>
  </si>
  <si>
    <t xml:space="preserve">YARA MANUYAMA MACEDO </t>
  </si>
  <si>
    <t>CALLE 28 DE JULIO S/N</t>
  </si>
  <si>
    <t>10405185526</t>
  </si>
  <si>
    <t>DEVARBIERE AREVALO JULIO MOISES</t>
  </si>
  <si>
    <t>AVENIDA LIMA 189 - AUCAYACU</t>
  </si>
  <si>
    <t>10405491716</t>
  </si>
  <si>
    <t>COLLANTES LOPEZ CARLOS ALBERTO</t>
  </si>
  <si>
    <t>VENTA AL POR MAYOR DE ABARROTES Y OTROS</t>
  </si>
  <si>
    <t>JR. AMAZONAS C/ PSJE. HILARIO LOPEZ - MENDOZA - SAN NICOLAS - RODRIGUEZ DE MENDOZA - AMAZONAS</t>
  </si>
  <si>
    <t>10405536361</t>
  </si>
  <si>
    <t>KERYMA SHERY TOLENTINO PANDURO</t>
  </si>
  <si>
    <t>AV UNION MZ A LTE</t>
  </si>
  <si>
    <t>10406125357</t>
  </si>
  <si>
    <t>MARLENA PANDURO CURICHIMBA</t>
  </si>
  <si>
    <t>REQUENA CUADRA 1 -PUERTO DON JOSE S/N</t>
  </si>
  <si>
    <t>10406241063</t>
  </si>
  <si>
    <t>DANIELA SALAS CARDENAS</t>
  </si>
  <si>
    <t>AV. SANTIAGO SABOYA MZ.</t>
  </si>
  <si>
    <t>10406618248</t>
  </si>
  <si>
    <t>CHILICAHUA SALAS FRIDA</t>
  </si>
  <si>
    <t>CARRETERA YURIMAGUA MUNICHIS BALSAPUERTO KM 21 SANTALUCIA</t>
  </si>
  <si>
    <t>10406625856</t>
  </si>
  <si>
    <t>IDROGO NIETO SALATIEL</t>
  </si>
  <si>
    <t>VENTA AL POR MAYOR DE MATERIALES DE CONSTRUCCIÓN</t>
  </si>
  <si>
    <t>CALLE MARISCAL URETA N 1222 - JAEN - JAÉN - CAJAMARCA</t>
  </si>
  <si>
    <t>10406697717</t>
  </si>
  <si>
    <t>GARCIA RAMOS ELEODORO</t>
  </si>
  <si>
    <t>10406768681</t>
  </si>
  <si>
    <t>ALICIA ROJAS ORE</t>
  </si>
  <si>
    <t>10407351644</t>
  </si>
  <si>
    <t>LEON CAHUANA NATIVIDAD CARMEN</t>
  </si>
  <si>
    <t>JIRÓN LEONCIO PRADO 753 - UCHIZA</t>
  </si>
  <si>
    <t>UCHIZA</t>
  </si>
  <si>
    <t>10407452033</t>
  </si>
  <si>
    <t>VIZCONDE MONDRAGON ERLANDY</t>
  </si>
  <si>
    <t>JR. HUALLAGA Nº 1241 - JUANJUI - MCAL.CACERES - SAN MARTIN</t>
  </si>
  <si>
    <t>10407466310</t>
  </si>
  <si>
    <t>PEREA VARGAS DAVID ALI</t>
  </si>
  <si>
    <t>10407507610</t>
  </si>
  <si>
    <t>GOÑAS INGA JOSEFINA</t>
  </si>
  <si>
    <t>AV. NANAY MZ-A LT. 4 - SANTA CLARA</t>
  </si>
  <si>
    <t>10407585882</t>
  </si>
  <si>
    <t>SOL SOL GOMEZ GIOVANNI RAFAELIN</t>
  </si>
  <si>
    <t>AV. AUGUSTO FREYRE N° 1739</t>
  </si>
  <si>
    <t>10407934917</t>
  </si>
  <si>
    <t>BARDALES DE LA CRUZ RONALD WILFREDO</t>
  </si>
  <si>
    <t>AV. LEOPOLDO KRAUSE S/N - VILLA RICA</t>
  </si>
  <si>
    <t>10408290801</t>
  </si>
  <si>
    <t>ASAYAC REATEGUI MAGNUS</t>
  </si>
  <si>
    <t>1040829081</t>
  </si>
  <si>
    <t>ASAYAY REATEGUI MAGNUS</t>
  </si>
  <si>
    <t>SR DE LOS MILAGROS 148</t>
  </si>
  <si>
    <t>10408498096</t>
  </si>
  <si>
    <t>HIDALGO YUME JOHN</t>
  </si>
  <si>
    <t>CALLE ROSA MERINO 710</t>
  </si>
  <si>
    <t>10408595415</t>
  </si>
  <si>
    <t>PEREZ ALTAMIRANO JOSE MARCOS</t>
  </si>
  <si>
    <t>JR. JOSE SANTOS CHOCANO S/N - LONYA GRANDE - UTCUBAMBA - AMAZONAS</t>
  </si>
  <si>
    <t>10408711156</t>
  </si>
  <si>
    <t>BALDEON LOPEZ DE CAMPOS MARIA ISABEL</t>
  </si>
  <si>
    <t xml:space="preserve">ACTIVIDADES DE APOYO A LA AGRICULTURA  </t>
  </si>
  <si>
    <t>JR CORONEL SECADA N 232 - MOYOBAMBA</t>
  </si>
  <si>
    <t>10408931431</t>
  </si>
  <si>
    <t>QUISPE VILCATOMA CARLOS AMERICO</t>
  </si>
  <si>
    <t>-CALLE LOS ROSALES Mza A LOTE 32 MASUSA</t>
  </si>
  <si>
    <t>10409062283</t>
  </si>
  <si>
    <t>CARLOS TAMANI PEREZ</t>
  </si>
  <si>
    <t>10409436850</t>
  </si>
  <si>
    <t>RODRIGUEZ CHUMA LEOPOLDO MIKE</t>
  </si>
  <si>
    <t>CALLE ABTAO N° 1718</t>
  </si>
  <si>
    <t>10409534649</t>
  </si>
  <si>
    <t>CHAVEZ ACOSTA  ABNER MANUEL</t>
  </si>
  <si>
    <t>JR. 25 DE MAYO N 271 - MOYOBAMBA - MOYOBAMBA - SAN MARTIN</t>
  </si>
  <si>
    <t>10409632047</t>
  </si>
  <si>
    <t>MATTOS TRUJILLO SEGUNDO JOSE</t>
  </si>
  <si>
    <t>AV. SIMON BOLIVAR MZA .H LOT .20</t>
  </si>
  <si>
    <t>10409962519</t>
  </si>
  <si>
    <t>VELA GUERRA DHYK</t>
  </si>
  <si>
    <t>10410170171</t>
  </si>
  <si>
    <t>DIAZ AREVALO ZOILA MILAGROS</t>
  </si>
  <si>
    <t>JR. TARAPACA S/NMERCADO 1. PTO.14-CALLERIA 999</t>
  </si>
  <si>
    <t>10410517715</t>
  </si>
  <si>
    <t>LUCIO RODRIGUEZ ACOSTA</t>
  </si>
  <si>
    <t xml:space="preserve">JR. 9 DE DICIEMBRE # 230 A.  CALLERIA </t>
  </si>
  <si>
    <t>10410532323</t>
  </si>
  <si>
    <t>LOPEZ LOBATO JILMER</t>
  </si>
  <si>
    <t>JR.ALONSO DE ALVARADO N 321 - TARAPOTO - SAN MARTIN - SAN MARTIN</t>
  </si>
  <si>
    <t>10410723153</t>
  </si>
  <si>
    <t>ESTELA FERNANDEZ SEGUNDO</t>
  </si>
  <si>
    <t>CALLE: PADRE LUCERO S/N LAGUNAS</t>
  </si>
  <si>
    <t>10410818065</t>
  </si>
  <si>
    <t>LUIS HERNANDO PEREIRA CACHIQUE</t>
  </si>
  <si>
    <t>CALLE VINATEA MZ O LT. 16</t>
  </si>
  <si>
    <t>10410860061</t>
  </si>
  <si>
    <t>BECERRA IDROGO ALMANZOR</t>
  </si>
  <si>
    <t>JR. SAN MARTIN S/N - SAN MARTIN DE ALAO - EL DORADO - SAN MARTIN</t>
  </si>
  <si>
    <t>10411089181</t>
  </si>
  <si>
    <t>NAVARRO SERNAQUE MARIA EDY</t>
  </si>
  <si>
    <t>MANCO CAPAC N116-YURIMAGUAS</t>
  </si>
  <si>
    <t>10411200189</t>
  </si>
  <si>
    <t>ARBILDO AQUITUARI ANDERSON</t>
  </si>
  <si>
    <t>10411625643</t>
  </si>
  <si>
    <t>SALINAS SALOME SONIA GIOVANA</t>
  </si>
  <si>
    <t>AV 15 DE OCTUBRE S/N SAMUGARI</t>
  </si>
  <si>
    <t>10411899760</t>
  </si>
  <si>
    <t>QUISPE HUAMAN RICK MILLER</t>
  </si>
  <si>
    <t>AV GRAU #220</t>
  </si>
  <si>
    <t>10412267759</t>
  </si>
  <si>
    <t>DEL AGUILA NUÑEZ LESLYE</t>
  </si>
  <si>
    <t>AV FREYRE #1302</t>
  </si>
  <si>
    <t>10412361283</t>
  </si>
  <si>
    <t>MAS SANTILLAN LENIN</t>
  </si>
  <si>
    <t>AV. JUAN PARDO MIGUEL Nº 832 - MENDOZA, SAN NICOLAS, R.DE MENDOZA, AMAZONAS</t>
  </si>
  <si>
    <t>10412395919</t>
  </si>
  <si>
    <t>FLORES DIAZ RAUL FERNANDO</t>
  </si>
  <si>
    <t>CALLE VICTORIA MZ-I LT. 5 CARRETERA SANTO TOMAS</t>
  </si>
  <si>
    <t>10412746487</t>
  </si>
  <si>
    <t>FELICITAS  CHAVEZ  SALAZAR</t>
  </si>
  <si>
    <t>JR. ARICA 895</t>
  </si>
  <si>
    <t>10412774171</t>
  </si>
  <si>
    <t xml:space="preserve">RENGIFO RIOS AUGUSTO RAFAEL  </t>
  </si>
  <si>
    <t xml:space="preserve">REPUESTO Y FERRETERIA </t>
  </si>
  <si>
    <t>AV. LAS CAMELIAS N°33</t>
  </si>
  <si>
    <t>10413075888</t>
  </si>
  <si>
    <t>CHUMBE TELLO IVAN</t>
  </si>
  <si>
    <t>10413494724</t>
  </si>
  <si>
    <t>AÑAZCO VENTURO ELIZABETH</t>
  </si>
  <si>
    <t>JR 7 DE JUNIO</t>
  </si>
  <si>
    <t>10413575449</t>
  </si>
  <si>
    <t>MURRIETA ARIRAMA CARLOS</t>
  </si>
  <si>
    <t>JR.CONDAMINE 785</t>
  </si>
  <si>
    <t>10413740849</t>
  </si>
  <si>
    <t>RAMIREZ SOTO NADIA ORIANA</t>
  </si>
  <si>
    <t>URB. RIO MAR MAZ-L LT. 7 - BELEN</t>
  </si>
  <si>
    <t>10413851659</t>
  </si>
  <si>
    <t>GARCIA HEREDIA NELSO</t>
  </si>
  <si>
    <t>JR. MIGUEL GRAU CDRA 2 - SAPOSOA - HUALLAGA - SAN MARTIN</t>
  </si>
  <si>
    <t>SAPOSOA</t>
  </si>
  <si>
    <t>10414238438</t>
  </si>
  <si>
    <t>JIMENEZ GARCIA ESGARD EMILIO</t>
  </si>
  <si>
    <t xml:space="preserve">AV.CHAZUTA S/N - CHAZUTA - SAN MARTIN - SAN MARTIN </t>
  </si>
  <si>
    <t>10414866404</t>
  </si>
  <si>
    <t>DAVILA NEYRA RODMAN JEMISON</t>
  </si>
  <si>
    <t>JR TAHUANTINSUYO Nº 613 - TARAPOTO - SAN MARTIN - SAN MARTIN</t>
  </si>
  <si>
    <t>10415326888</t>
  </si>
  <si>
    <t>HUANQUIS HUAYLLANI KELLY KARIN</t>
  </si>
  <si>
    <t>JR. DEL PANGOA MZA. 31 LOTE. 6 URB. 6 - MAZAMARI</t>
  </si>
  <si>
    <t>MAZAMARI</t>
  </si>
  <si>
    <t>10416356438</t>
  </si>
  <si>
    <t>SALAS PUTPAÑA ETHEL JUNEK</t>
  </si>
  <si>
    <t>10416756886</t>
  </si>
  <si>
    <t>COLLAZOS ALARCON RUBEN</t>
  </si>
  <si>
    <t>AV. HABILITACION URBANA MUNICIPAL N 387 - CALLERIA</t>
  </si>
  <si>
    <t>10416902653</t>
  </si>
  <si>
    <t>JHANTER JOSUE MIGUEL TORRES</t>
  </si>
  <si>
    <t>JR. LIMA NRO.</t>
  </si>
  <si>
    <t>10417075556</t>
  </si>
  <si>
    <t>MALAQUIS RAMIREZ JAIRO</t>
  </si>
  <si>
    <t>10417075882</t>
  </si>
  <si>
    <t>CAMPOS CORONEL ELVIS OMAR</t>
  </si>
  <si>
    <t>AV. PAKAMUROS N 1501-JAEN-JAEN.CAJAMARCA</t>
  </si>
  <si>
    <t>10417289017</t>
  </si>
  <si>
    <t>VARGAS VENANCINO JOISY MARGOTH</t>
  </si>
  <si>
    <t>10417317363</t>
  </si>
  <si>
    <t>PARIATANTA CARRASCO EDIS LEIDA</t>
  </si>
  <si>
    <t>JR: TUPAC AMARU 1100-MORALES</t>
  </si>
  <si>
    <t>10417386471</t>
  </si>
  <si>
    <t>CELIA QUISPE MICHI</t>
  </si>
  <si>
    <t>PJ. FITZCARRALD NRO. S/N ATALAYA</t>
  </si>
  <si>
    <t>10417480710</t>
  </si>
  <si>
    <t>AQUINO SOLANO JHONY NARCISO</t>
  </si>
  <si>
    <t>10417636795</t>
  </si>
  <si>
    <t>MORI SANCHEZ SHEYLA KARINA</t>
  </si>
  <si>
    <t>CALLE PUTUMAYO #2744</t>
  </si>
  <si>
    <t>10417643791</t>
  </si>
  <si>
    <t>CCALLO LUNA BERNABE</t>
  </si>
  <si>
    <t>AA.HH FRANCISCO BOLOGNESI CARRETERA 3.5KM</t>
  </si>
  <si>
    <t>10418000894</t>
  </si>
  <si>
    <t>EDUAR ELSI ESTELA MERA</t>
  </si>
  <si>
    <t>JR. HUALLAGA 1473 - JUANJUI - MCAL.CACERES - SAN MARTIN</t>
  </si>
  <si>
    <t>10418090214</t>
  </si>
  <si>
    <t>CAPCHA YANCE ENRIQUE BARTOLOME</t>
  </si>
  <si>
    <t>JR. SAN MARTIN DE PORRES 191 - PICHANAQUI</t>
  </si>
  <si>
    <t>10418250831</t>
  </si>
  <si>
    <t>RICOPA SAJAMI AQUILES</t>
  </si>
  <si>
    <t>JR ATALAYA N 306 P.J SAN FERNADO. CALLERIA</t>
  </si>
  <si>
    <t>10418418937</t>
  </si>
  <si>
    <t>YNQUILTUPA CARO FELIPE CAYETANO</t>
  </si>
  <si>
    <t>C.P BELLAVISTA CALLARU SN - CALLARU</t>
  </si>
  <si>
    <t>10418614493</t>
  </si>
  <si>
    <t>VELA RIVERA ELIAS</t>
  </si>
  <si>
    <t>10418739539</t>
  </si>
  <si>
    <t>CHINGUEL ORTIZ DOMINGA</t>
  </si>
  <si>
    <t>VENTA AL POR MAYOR DE OTROS ENSERES DOMÉSTICOS</t>
  </si>
  <si>
    <t>JR. HUALLAGA CDRA.5 S/N - BELLAVISTA - BELLAVISTA - SAN MARTIN</t>
  </si>
  <si>
    <t>10418751725</t>
  </si>
  <si>
    <t>CASTRO RENGIFO DIMAS</t>
  </si>
  <si>
    <t>AAHH PRIMAVERA</t>
  </si>
  <si>
    <t>10418828434</t>
  </si>
  <si>
    <t>DAVILA SHUÑA BEPO</t>
  </si>
  <si>
    <t>JR.SAN MIGUEL MZ N 1 - LA BANDA DE SHILCAYO - SAN MARTIN - SAN MARTIN</t>
  </si>
  <si>
    <t>10419090889</t>
  </si>
  <si>
    <t>DARWIN CARITIMARI GARCIA</t>
  </si>
  <si>
    <t xml:space="preserve">PSJE LAS ORQUIDEAS MZ B LT 17 </t>
  </si>
  <si>
    <t>10419276079</t>
  </si>
  <si>
    <t>ANGULO CHANG REX JACK</t>
  </si>
  <si>
    <t>PSJ LAGUNA MZ A LT 9</t>
  </si>
  <si>
    <t>10419467559</t>
  </si>
  <si>
    <t>MEDER SERETTI MARIO</t>
  </si>
  <si>
    <t>AV DEL EJERCITO 178 MORONACOCHA</t>
  </si>
  <si>
    <t>10419933371</t>
  </si>
  <si>
    <t>SUAREZ CASTILLO MADAY</t>
  </si>
  <si>
    <t>JR. HIPOLITO RANGEL 762 - SORITOR-MOYOBAMBA-SAN MARTIN</t>
  </si>
  <si>
    <t>10419960131</t>
  </si>
  <si>
    <t>VICUÑA MELENDRES BETTY</t>
  </si>
  <si>
    <t>JR PASEO DE LA REPUBLICA MZ I LT 2 YARINACOCHA</t>
  </si>
  <si>
    <t>10420208168</t>
  </si>
  <si>
    <t>OLLARCE ROJAS CINTHIA EVELYN</t>
  </si>
  <si>
    <t>AV. ANTONIO RAYMONDI N°1374 SATIPO JUNIN</t>
  </si>
  <si>
    <t>JUNIN</t>
  </si>
  <si>
    <t>10420276643</t>
  </si>
  <si>
    <t>CRUZ ALARCON MARIA GLADIS</t>
  </si>
  <si>
    <t>JR. JULIO ROMERO CASTRO S/N - CAMPANILLA - MCAL.CACERES - SAN MARTIN</t>
  </si>
  <si>
    <t>CAMPANILLA</t>
  </si>
  <si>
    <t>10421075030</t>
  </si>
  <si>
    <t>AZUCENA MALLQUI IGARZA</t>
  </si>
  <si>
    <t>MONZON S/N TINGO MARIA-LEONCIO PRADO-HUANUCO</t>
  </si>
  <si>
    <t>10421485874</t>
  </si>
  <si>
    <t>DEL AGUILA WALKY ROCIO</t>
  </si>
  <si>
    <t>CAL. LORETO S/N - LAGUNAS</t>
  </si>
  <si>
    <t>10421525302</t>
  </si>
  <si>
    <t>GONZALES HUANSI SARA</t>
  </si>
  <si>
    <t>AV.VIA DE EVITAMIENTO Nº 2024 - TARAPOTO - SAN MARTIN - SAN MARTIN</t>
  </si>
  <si>
    <t>10421706293</t>
  </si>
  <si>
    <t>COLLAZOS ALARCON JUDIT</t>
  </si>
  <si>
    <t xml:space="preserve">HABILIATCION URB. SANTA MARINA 407 </t>
  </si>
  <si>
    <t>10422032504</t>
  </si>
  <si>
    <t>LAPA VALENZUELA YINA LUCY</t>
  </si>
  <si>
    <t>JIRÓN AUGUSTO HILSER S/N - SATIPO</t>
  </si>
  <si>
    <t>10422274770</t>
  </si>
  <si>
    <t xml:space="preserve"> HECTOR LUIS VILLENA ISUIZA </t>
  </si>
  <si>
    <t>AV. FREYRE # 1035</t>
  </si>
  <si>
    <t>10422509343</t>
  </si>
  <si>
    <t>YRIGOIN GIL PERCY DALTON</t>
  </si>
  <si>
    <t>JR. SERAFIN FIOMENO N 667 - MOYOBAMBA</t>
  </si>
  <si>
    <t>10422707129</t>
  </si>
  <si>
    <t>ALTAMIRANO CUBAS JACOB</t>
  </si>
  <si>
    <t>AV.CAJAMARCA NORTE S/N NUEVA CAJAMARCA</t>
  </si>
  <si>
    <t>10422774101</t>
  </si>
  <si>
    <t>CELIZ PORTILLA ELMER</t>
  </si>
  <si>
    <t>JR LIMA 376 - TARAPOTO - SAN MARTIN - SAN MARTIN</t>
  </si>
  <si>
    <t>10422939437</t>
  </si>
  <si>
    <t>VEGA FERNANDEZ JOSE MIGUEL</t>
  </si>
  <si>
    <t>JR. BOLOGNESI C/AMARGURA  - SORITOR - MOYOBAMBA - SAN MARTIN</t>
  </si>
  <si>
    <t>10423617662</t>
  </si>
  <si>
    <t>BONIFACIO RICSE ROCIO ROMELIA</t>
  </si>
  <si>
    <t>CALLE MANTARO 212 - S.M. PANGOA</t>
  </si>
  <si>
    <t>10423730329</t>
  </si>
  <si>
    <t>LEON LAURENCIO EDGAR ORLANDO</t>
  </si>
  <si>
    <t>JR. SAN MARTIN 782 - HUANUCO</t>
  </si>
  <si>
    <t>10423757120</t>
  </si>
  <si>
    <t>EMANUEL CAMPOS RICSE</t>
  </si>
  <si>
    <t>JR. FIZCARRALD S/NSEPAHUA-ATALAYA-UCAYALI</t>
  </si>
  <si>
    <t>10424100698</t>
  </si>
  <si>
    <t>GARCIA LINARES CARLO MAGNO</t>
  </si>
  <si>
    <t>Jr.Sinchi Roca N242-La Banda de Shilcayo</t>
  </si>
  <si>
    <t>LA BANDA</t>
  </si>
  <si>
    <t>10424431236</t>
  </si>
  <si>
    <t>BARBARAN FREYTAS SAMIA</t>
  </si>
  <si>
    <t>JOSE BERNARDO  ALCEDO 404</t>
  </si>
  <si>
    <t>10424432763</t>
  </si>
  <si>
    <t>LEVI REMIGIO ENRIQUE</t>
  </si>
  <si>
    <t>JIRÓN AGUILAR</t>
  </si>
  <si>
    <t>10424698208</t>
  </si>
  <si>
    <t>PEDRO RICOPA MORI</t>
  </si>
  <si>
    <t>TRNASPORTES</t>
  </si>
  <si>
    <t>CALLE SAN MARTIN DE PORRAS S/N</t>
  </si>
  <si>
    <t>10424818688</t>
  </si>
  <si>
    <t>BERNILLA TANTARICO YOVANY CELSO</t>
  </si>
  <si>
    <t>MALECON VARGAS GUERRA N 327</t>
  </si>
  <si>
    <t>10425218013</t>
  </si>
  <si>
    <t xml:space="preserve"> ROMINI DE LOS ANGELES QUIROZ ROMAN</t>
  </si>
  <si>
    <t>CALLE 3 N.120</t>
  </si>
  <si>
    <t>10425503231</t>
  </si>
  <si>
    <t>PATRICIA PEREZ CUÑA</t>
  </si>
  <si>
    <t>CALLE AREQUIPA #597</t>
  </si>
  <si>
    <t>10425761019</t>
  </si>
  <si>
    <t>CARPENA FLORES CARLOS ENRIQUE</t>
  </si>
  <si>
    <t>CC.NN. PUERTO ALEGRIA - DIST. MORONA</t>
  </si>
  <si>
    <t>MORONA</t>
  </si>
  <si>
    <t>10426276441</t>
  </si>
  <si>
    <t>VIDAL LOPEZ CLARINA</t>
  </si>
  <si>
    <t>AV. LEONCIO PRADO 842 - UCHIZA</t>
  </si>
  <si>
    <t>10426296492</t>
  </si>
  <si>
    <t>ROMAN JULCA ABELARDO</t>
  </si>
  <si>
    <t>JR SAN MARTIN 541 HUANUCO</t>
  </si>
  <si>
    <t>10426522786</t>
  </si>
  <si>
    <t>CARDENAS QUISPE RUTH MARILUZ</t>
  </si>
  <si>
    <t>BELLAVISTA NANAY #13</t>
  </si>
  <si>
    <t>10426699392</t>
  </si>
  <si>
    <t>ZEVALLOS SALCEDO ELEAZAR MARTIN</t>
  </si>
  <si>
    <t>10427164409</t>
  </si>
  <si>
    <t>MARTINEZ PADILLA ROSARIO SARITA</t>
  </si>
  <si>
    <t>CALLE LA HERRADURA MZ. T LT-2</t>
  </si>
  <si>
    <t>10427192348</t>
  </si>
  <si>
    <t>TUESTA PINEDO RONY</t>
  </si>
  <si>
    <t>JR. AMAZONAS N 226-MENDOZA-RODRIGUEZ DE MENDOZA-AMAZONAS</t>
  </si>
  <si>
    <t>10427926911</t>
  </si>
  <si>
    <t xml:space="preserve">INDIRA UTIA VASQUEZ </t>
  </si>
  <si>
    <t>CALLE 09 DE DICIEMBRE 461</t>
  </si>
  <si>
    <t>10428178713</t>
  </si>
  <si>
    <t>LELIBETH ASPAJO HUANI</t>
  </si>
  <si>
    <t>CALLE LOS VENCEDORES S/N SAN JUAN</t>
  </si>
  <si>
    <t>10428487881</t>
  </si>
  <si>
    <t>JIBAJA SEMBRERA CHRISTIAN FERNANDO</t>
  </si>
  <si>
    <t>AV-GULLMAN # 220 / PIURA-PIURA</t>
  </si>
  <si>
    <t>PIURA</t>
  </si>
  <si>
    <t>10428561231</t>
  </si>
  <si>
    <t>FALCON PINEDO LEONOR</t>
  </si>
  <si>
    <t>VENTA AL POR MAYOR DE MAQUINARIA EQUIPO Y MATERIALES AGROPECUARIOS</t>
  </si>
  <si>
    <t>JR. SUCRE S/N - MORALES - SAN MARTIN - SAN MARTIN</t>
  </si>
  <si>
    <t>10428628760</t>
  </si>
  <si>
    <t>OLASCOAGA VILLA NORMITA</t>
  </si>
  <si>
    <t>JR. SALAMANCA N 989-CHACHAPOYAS-CHACHAPOYAS-AMAZONAS</t>
  </si>
  <si>
    <t>10428652342</t>
  </si>
  <si>
    <t>MUÑOZ SERVAN TEDIN MAYOLO</t>
  </si>
  <si>
    <t>JR. AMAZONAS SN COCHAMAL</t>
  </si>
  <si>
    <t>10428787680</t>
  </si>
  <si>
    <t>COVEÑAS HUARANCA CARMEN ELIZABETH</t>
  </si>
  <si>
    <t>AV. LAS AMERICAS 513 - AUCAYACU</t>
  </si>
  <si>
    <t>10429030647</t>
  </si>
  <si>
    <t>CRUZ GRANDEZ EDWIN IGOR</t>
  </si>
  <si>
    <t>JR. LAS ORQUIDEAS MZA. K LOTE. 08 A 6 CDRAS DE ALMACENES IRANZA</t>
  </si>
  <si>
    <t>10429086154</t>
  </si>
  <si>
    <t>LOPEZ VEINTEMILLA MARY CARMEN</t>
  </si>
  <si>
    <t>JR. AMAZONAS Nº 536 - LA BANDA DE SHILCAYO - SAN MARTIN - SAN MARTIN</t>
  </si>
  <si>
    <t>10429307754</t>
  </si>
  <si>
    <t>GARCIA GRANDEZ CARLOS ALBERTO</t>
  </si>
  <si>
    <t>Caserio Jeberillos</t>
  </si>
  <si>
    <t>10429411764</t>
  </si>
  <si>
    <t>CONDOR CONDOR VLADIMIR</t>
  </si>
  <si>
    <t>CAL. URUBAMBA M 13 - ATALAYA</t>
  </si>
  <si>
    <t>10429655809</t>
  </si>
  <si>
    <t>HUAMAN QUISPE JUSAY ELENA</t>
  </si>
  <si>
    <t>PSJ 2 DE JULIO S/N-ISLANDIA</t>
  </si>
  <si>
    <t>10429770501</t>
  </si>
  <si>
    <t>PEDRO SOLIS CHAPARIN CUSTODIO</t>
  </si>
  <si>
    <t>10429885341</t>
  </si>
  <si>
    <t>SANCHEZ LOPEZ JUAN CARLOS</t>
  </si>
  <si>
    <t>C.P. M VILLA JUANCITO S/N - JUANCITO</t>
  </si>
  <si>
    <t>SARAYACU</t>
  </si>
  <si>
    <t>10429885952</t>
  </si>
  <si>
    <t>CESPEDES TADEO ROSA FLOR</t>
  </si>
  <si>
    <t>MALECON RIO AGUAYTIA SN</t>
  </si>
  <si>
    <t>10430045119</t>
  </si>
  <si>
    <t xml:space="preserve">ISABEL OJANAMA  SORIA </t>
  </si>
  <si>
    <t>JULIO C ARANA 119</t>
  </si>
  <si>
    <t>10430280550</t>
  </si>
  <si>
    <t>ROJAS PINEDO LUIS CARLOS</t>
  </si>
  <si>
    <t>AUGUSTO FREYRE</t>
  </si>
  <si>
    <t>10430416397</t>
  </si>
  <si>
    <t>CHAHUA TOLENTINO YUDE YANITA</t>
  </si>
  <si>
    <t xml:space="preserve">AV 1 DE JUNIO MZ45, LT01 CAMPO VERDE </t>
  </si>
  <si>
    <t>CAMPOVERDE</t>
  </si>
  <si>
    <t>10430733961</t>
  </si>
  <si>
    <t xml:space="preserve">SANTI MELENDEZ SEGUNDO MAMERTO </t>
  </si>
  <si>
    <t xml:space="preserve">REPUESTO </t>
  </si>
  <si>
    <t>PARTICIPACION MZ. B LT. 13</t>
  </si>
  <si>
    <t>10430762767</t>
  </si>
  <si>
    <t>JESUS RUIZ JARBES</t>
  </si>
  <si>
    <t>REQUENA # 313</t>
  </si>
  <si>
    <t>10430773165</t>
  </si>
  <si>
    <t>VALVERDE PAUCAR CLARA LUZ</t>
  </si>
  <si>
    <t>ATALAYA S/N</t>
  </si>
  <si>
    <t>10430793018</t>
  </si>
  <si>
    <t>SEGUNDO DEODATO LOPEZ RUBIO</t>
  </si>
  <si>
    <t>10431064079</t>
  </si>
  <si>
    <t>LOPEZ RUBIO JHOEL</t>
  </si>
  <si>
    <t>JR. ALFONSO UGARTE Nº 423 - TARAPOTO - SAN MARTIN - SAN MARTIN</t>
  </si>
  <si>
    <t>10431261729</t>
  </si>
  <si>
    <t>TRUJILLO VILLANUEVA UCCIEL</t>
  </si>
  <si>
    <t>JR. 28 DE JULIO N° 165 YARINACOCHA</t>
  </si>
  <si>
    <t>10431456988</t>
  </si>
  <si>
    <t>CRUZ MOLINA AVELINO</t>
  </si>
  <si>
    <t>AV MARGINAL MZ 42 LT 07  - CP. ALIANZA - CAYNARACHI - LAMAS - SAN MARTIN</t>
  </si>
  <si>
    <t>CAYNARACHI</t>
  </si>
  <si>
    <t>10431524908</t>
  </si>
  <si>
    <t>DIAZ BECERRA JOSE ELI</t>
  </si>
  <si>
    <t>CALLE LAS ROCA MZ Ñ LOTE 9 LOS DELFINES SAN JUAN BAUTISTA</t>
  </si>
  <si>
    <t>10432009306</t>
  </si>
  <si>
    <t>LOPEZ CERVANTES LESSIN MIRELLY</t>
  </si>
  <si>
    <t>AV. TALARA S//N - SAN ROQUE</t>
  </si>
  <si>
    <t>10432178400</t>
  </si>
  <si>
    <t>SALAS SALAS DANIA LUZ</t>
  </si>
  <si>
    <t>JR. ARICA NO.275 - SAN JOSE DE SISA- EL DORADO - SAN MARTIN</t>
  </si>
  <si>
    <t>10432338393</t>
  </si>
  <si>
    <t>YONG PIMENTEL EMERSON ROGER</t>
  </si>
  <si>
    <t>URB. JUAN PABLO SEGUNDO DPTO. 101</t>
  </si>
  <si>
    <t>10432449462</t>
  </si>
  <si>
    <t>LUNA OÑATE ALVER</t>
  </si>
  <si>
    <t>MZ,Ñ  LT.207 LLOCHEGUA HUANTA</t>
  </si>
  <si>
    <t>LLOCHEGUA</t>
  </si>
  <si>
    <t>10432480041</t>
  </si>
  <si>
    <t>AVELLANEDA LINARES NILS EBERTH</t>
  </si>
  <si>
    <t>JR. LORETO N 835 - IQUITOS</t>
  </si>
  <si>
    <t>10432761091</t>
  </si>
  <si>
    <t>CARRANZA SANCHEZ DAMIAN</t>
  </si>
  <si>
    <t>AV. CIRCUNVALACION Nº 1211 - BAGUA CHICA, BAGUA, AMAZONAS</t>
  </si>
  <si>
    <t>BAGUA</t>
  </si>
  <si>
    <t>10433234834</t>
  </si>
  <si>
    <t>LIMASCA LI MAURO</t>
  </si>
  <si>
    <t>VENTA AL POR MENOR DE REPUESTOS Y MAQUINARIAS</t>
  </si>
  <si>
    <t>IMAZITA - BAGUA - AMAZONAS</t>
  </si>
  <si>
    <t>10433353485</t>
  </si>
  <si>
    <t>PINEDO CONDORI LINDA TERESA</t>
  </si>
  <si>
    <t>CARLOS PE ZAINS N° 226 - CABALLOCOCHA</t>
  </si>
  <si>
    <t>10433521540</t>
  </si>
  <si>
    <t>VILLOSLADA CLAVO VICTOR</t>
  </si>
  <si>
    <t>CAL. JUAN VELASCO S/N- NIEVA</t>
  </si>
  <si>
    <t>10433610194</t>
  </si>
  <si>
    <t>LEON LAURENCIO SONIA NEDITH</t>
  </si>
  <si>
    <t>JR 28 DE JULIO N-690  - AMBO</t>
  </si>
  <si>
    <t>AMBO</t>
  </si>
  <si>
    <t>10433991198</t>
  </si>
  <si>
    <t>ROBLEDO LALANGUI MILTON ADAN</t>
  </si>
  <si>
    <t xml:space="preserve">FERRETERIA Y MAQUINARIA PARA AGRICULTURA </t>
  </si>
  <si>
    <t>AV. SAN IGNACIO SN -SAN IGNACIO</t>
  </si>
  <si>
    <t>10434048465</t>
  </si>
  <si>
    <t>ARANDA ZURITA JHONY</t>
  </si>
  <si>
    <t>JR. SANTA ROSA N 344 - SAN IGNACIO, SAN IGNACIO, CAJAMARCA</t>
  </si>
  <si>
    <t>10434237993</t>
  </si>
  <si>
    <t>LAZARO LOPEZ KAREN SUSEL</t>
  </si>
  <si>
    <t>AV. LEONCIO PRADO CDRA. 7 S/N - UCHIZA</t>
  </si>
  <si>
    <t>10434261797</t>
  </si>
  <si>
    <t>SANCHEZ ESPINOZA MIGUEL</t>
  </si>
  <si>
    <t>URB SANTA MARINA KM6</t>
  </si>
  <si>
    <t>10434605534</t>
  </si>
  <si>
    <t>BELLODAS RODRIGUEZ MIRKO MANUEL</t>
  </si>
  <si>
    <t>MALECON MARAÑON N 150 - NAUTA</t>
  </si>
  <si>
    <t>10435443473</t>
  </si>
  <si>
    <t>LIZANA HUANCAS HIPOLITO</t>
  </si>
  <si>
    <t>PUTUMAYO MZ 13 LT 05 - SAN LORENZO</t>
  </si>
  <si>
    <t>10435611147</t>
  </si>
  <si>
    <t>CAMPOS HOYOS GEINER</t>
  </si>
  <si>
    <t xml:space="preserve">-SERAFIN FILOMENO </t>
  </si>
  <si>
    <t>10435670585</t>
  </si>
  <si>
    <t>PERICHE PAIMA RUTH JANNETTY</t>
  </si>
  <si>
    <t>PARTICIPACIÓN</t>
  </si>
  <si>
    <t>10435710722</t>
  </si>
  <si>
    <t>ROSMAN HUANCAS JULCA</t>
  </si>
  <si>
    <t>JR. TENIENTE CLAVERO 259 CC EL HUEQUITO N°2</t>
  </si>
  <si>
    <t>10435748746</t>
  </si>
  <si>
    <t>HUAMAN PADILLA HELDER</t>
  </si>
  <si>
    <t>JR. LIBERTAD/TNTE.CLAVERO S/N-CALLERIA-C.PORTILLO</t>
  </si>
  <si>
    <t>10435818043</t>
  </si>
  <si>
    <t>PLASENCIA ARRIOLA CINDY BONY</t>
  </si>
  <si>
    <t>AV. MARGINAL S/N- SANTA ANA - PERENE</t>
  </si>
  <si>
    <t>10435900025</t>
  </si>
  <si>
    <t>ELVIRA LEON DELA CRUZ</t>
  </si>
  <si>
    <t>AV. NESHUYA S/N KM. 60-NESHUYA-P.ABAD-UCAYALI</t>
  </si>
  <si>
    <t>10436209547</t>
  </si>
  <si>
    <t>MEZA LEANDRO SILVIA</t>
  </si>
  <si>
    <t>AV. LIMA 279 - AUCAYACU</t>
  </si>
  <si>
    <t>10436281817</t>
  </si>
  <si>
    <t>GARRIDO PIÑHEYROS AQUILES ANACREONTE</t>
  </si>
  <si>
    <t>PUERTO ABEL GUERRA</t>
  </si>
  <si>
    <t>10436406679</t>
  </si>
  <si>
    <t>MAURY MESIA RAFAEL RENATO</t>
  </si>
  <si>
    <t>PJ.SIMON BOLIVAR 149 ALT.CDRA 19 PUTUMAYO</t>
  </si>
  <si>
    <t>10437266641</t>
  </si>
  <si>
    <t>REYES CUBAS FLORINDA</t>
  </si>
  <si>
    <t>CAL. HUGO PESCE S/NSAN PABLO</t>
  </si>
  <si>
    <t>10437551907</t>
  </si>
  <si>
    <t>ALBINO MASGO EDITH ILIANA</t>
  </si>
  <si>
    <t>JR.AGUILAR 271</t>
  </si>
  <si>
    <t>10437814</t>
  </si>
  <si>
    <t>HECTOR</t>
  </si>
  <si>
    <t>LORENCILLO 1 -</t>
  </si>
  <si>
    <t>CONSTITUCION</t>
  </si>
  <si>
    <t>10437987837</t>
  </si>
  <si>
    <t>FERNANDEZ ÑAUPAS EDITH ELIZABETH</t>
  </si>
  <si>
    <t>AV. MARGINAL 797 - KIVINAQUI</t>
  </si>
  <si>
    <t>10438024218</t>
  </si>
  <si>
    <t>CUBAS ARRASCUE JOSE RICARDO</t>
  </si>
  <si>
    <t>JR. VENCEDORES DE COMAINAS Nº 499 - TARAPOTO - SAN MARTIN - SAN MARTIN</t>
  </si>
  <si>
    <t>10438156106</t>
  </si>
  <si>
    <t>ORTEGA TORRES YARI CHARO</t>
  </si>
  <si>
    <t>AV. TITO JAIME 195 - TINGO MARIA</t>
  </si>
  <si>
    <t>10438156467</t>
  </si>
  <si>
    <t>QUISPE POCOHUANCA ELIZABETH DELIA</t>
  </si>
  <si>
    <t>AV. LIMA 315 - AUCAYACU</t>
  </si>
  <si>
    <t>10438281369</t>
  </si>
  <si>
    <t>VASQUEZ GONZA GLORIA</t>
  </si>
  <si>
    <t>-Jr lima 212</t>
  </si>
  <si>
    <t>10438302706</t>
  </si>
  <si>
    <t>SOBRADO CASIMIRO FRANK JHON</t>
  </si>
  <si>
    <t>CAL.OXAPAMPA LT 06 MZ01</t>
  </si>
  <si>
    <t>10438527465</t>
  </si>
  <si>
    <t>CABRERA ESPINOZA WILMER</t>
  </si>
  <si>
    <t>AV. MARIANO MELGAR 188 - BAGUA CHICA - BAGUA - AMAZONAS</t>
  </si>
  <si>
    <t>10438678315</t>
  </si>
  <si>
    <t>GAMARRA QUIÑONEZ JUAN CARLOS</t>
  </si>
  <si>
    <t>MERCADO MUNICIPAL #1 PUESTO 1</t>
  </si>
  <si>
    <t>10438885094</t>
  </si>
  <si>
    <t>RODRIGUEZ VELA CYNTHIA JAZMIN</t>
  </si>
  <si>
    <t>10439773265</t>
  </si>
  <si>
    <t>CASTRO MUZURRIETA FRANZ ALEX</t>
  </si>
  <si>
    <t>CFB MZ 158PAMPAYURAC</t>
  </si>
  <si>
    <t>PAMAPAYURAC</t>
  </si>
  <si>
    <t>10439906141</t>
  </si>
  <si>
    <t>CUNYAS JIMENEZ JUAN CARLOS</t>
  </si>
  <si>
    <t>JR ARGENTINA MZ</t>
  </si>
  <si>
    <t>10440063123</t>
  </si>
  <si>
    <t>QUINTEROS CRISPIN DARLEN JOEL</t>
  </si>
  <si>
    <t>CALLE. BARRIO  BAJO  SN   -   BRETAÑA</t>
  </si>
  <si>
    <t>10440384752</t>
  </si>
  <si>
    <t>ERCILIA VANESSA JARAMILLO ALVARADO</t>
  </si>
  <si>
    <t>AV. PARTICIPACIÓN #1197 BELEN</t>
  </si>
  <si>
    <t>10440395321</t>
  </si>
  <si>
    <t>TORRES GARCIA FRANCISCO JAVIER</t>
  </si>
  <si>
    <t>CAL. MALECON MANAOS S/N - REQUENA</t>
  </si>
  <si>
    <t>10440699222</t>
  </si>
  <si>
    <t>CENEPO LUNA MARCO ANTONIO</t>
  </si>
  <si>
    <t>JR. MAXIMILIANO MURRIETA C-4 S/N - LA BANDA DE SHILCAYO</t>
  </si>
  <si>
    <t>10440960010</t>
  </si>
  <si>
    <t>CHIRIHUANA MOZOMBITE SHERLY ANA</t>
  </si>
  <si>
    <t>JR 9 DE DICIEMBRE S/N MERCADO 1</t>
  </si>
  <si>
    <t>10442106172</t>
  </si>
  <si>
    <t>PINEDO SALAS GULLNARDA</t>
  </si>
  <si>
    <t>PASAJE SIMON BOLIVAR</t>
  </si>
  <si>
    <t>10442233158</t>
  </si>
  <si>
    <t>DEXI ALVARADO VARGAS</t>
  </si>
  <si>
    <t>PSJE. SOLDADO LUNA N 15</t>
  </si>
  <si>
    <t>10442935811</t>
  </si>
  <si>
    <t>RENGIFO MAGIPO PATSSI</t>
  </si>
  <si>
    <t>LORETO 103</t>
  </si>
  <si>
    <t>10443045363</t>
  </si>
  <si>
    <t>SOL SOL MACHOA OMERO</t>
  </si>
  <si>
    <t>CALLE.  MALECON   S/N   LORETO  TROMPETEROS</t>
  </si>
  <si>
    <t>104431117496</t>
  </si>
  <si>
    <t>10443117496</t>
  </si>
  <si>
    <t>LADY DIANA RIVERA CARDOZO</t>
  </si>
  <si>
    <t>AV. MI PERU S/N - CON CALLE HERNAN GARRIDO LECA</t>
  </si>
  <si>
    <t>10443164478</t>
  </si>
  <si>
    <t>MARITZA ELISEA MEDINA CORONEL</t>
  </si>
  <si>
    <t>JR. TIWINZA Nº 550 - TARAPOTO - SAN MARTIN - SAN MARTIN</t>
  </si>
  <si>
    <t>10443276942</t>
  </si>
  <si>
    <t>LOPEZ DOMINGUEZ JAIME ANGEL</t>
  </si>
  <si>
    <t>AV. CIRCUNVALACIÓN MZ. B LT 3B - PICHANAKI</t>
  </si>
  <si>
    <t>10443372941</t>
  </si>
  <si>
    <t>GUEVARA RICALDE LUISA MARIA</t>
  </si>
  <si>
    <t>JIRÓN 7 DE JUNIO N°643 INT PSTO 4 CALLERIA</t>
  </si>
  <si>
    <t>10443393329</t>
  </si>
  <si>
    <t>MARIN TANANTA LADISLAO</t>
  </si>
  <si>
    <t>CALLE TAVARA WEST  C1 - 2</t>
  </si>
  <si>
    <t>10443512191</t>
  </si>
  <si>
    <t>ALVARADO LACHE FELIX ALADINO</t>
  </si>
  <si>
    <t>CALLE LOS ROSALES MZ-H LT. 14</t>
  </si>
  <si>
    <t>10443622921</t>
  </si>
  <si>
    <t>ANGULO MACAHUACHI SERGIA AURORA</t>
  </si>
  <si>
    <t>PSJ. GARDENIAS</t>
  </si>
  <si>
    <t>10443784930</t>
  </si>
  <si>
    <t xml:space="preserve"> KAREN VIRGINIA MANDUJANO VALVERDE </t>
  </si>
  <si>
    <t>CLL RICARDO PALMA CDRA 09</t>
  </si>
  <si>
    <t>10443936691</t>
  </si>
  <si>
    <t>FLORES CAMINO JIMMY MICHEL</t>
  </si>
  <si>
    <t>JR. MARTINEZ DE COMPAGÑON Nº 470 - TARAPOTO - SAN MARTIN - SAN MARTIN</t>
  </si>
  <si>
    <t>10443951160</t>
  </si>
  <si>
    <t>GOMEZ CCAHUANA RUTH</t>
  </si>
  <si>
    <t>CAL. URUBAMBA MZA. 12 LOTE 3A - ATALAYA</t>
  </si>
  <si>
    <t>10444519741</t>
  </si>
  <si>
    <t>CHAVEZ BACA HIRENA</t>
  </si>
  <si>
    <t>AV. LIMA 241 - AUCAYACU</t>
  </si>
  <si>
    <t>10444554491</t>
  </si>
  <si>
    <t>JORGE CHAVEZ RENGIFO RIOS</t>
  </si>
  <si>
    <t>PJE OCEANO INDICO A 9</t>
  </si>
  <si>
    <t>10444788149</t>
  </si>
  <si>
    <t>ACUÑA ASTO ROSA DEL PILAR</t>
  </si>
  <si>
    <t>JR CURIMANA S/N CURIMANA-PADREABAD -UCAYALI</t>
  </si>
  <si>
    <t>10444888453</t>
  </si>
  <si>
    <t>CAJACURI HUARCAYA GOLDWYN JESER</t>
  </si>
  <si>
    <t>AV. MOISÉS AYASAC S/N - CURIMANA</t>
  </si>
  <si>
    <t>10444908721</t>
  </si>
  <si>
    <t>JULCA SILVA ROBERT WAGNER</t>
  </si>
  <si>
    <t>JR. UCAYALI MZ.34. LT.06MASISEA-C.PORTILLO-UCAYALI</t>
  </si>
  <si>
    <t>MASISEA</t>
  </si>
  <si>
    <t>10445501595</t>
  </si>
  <si>
    <t>PACHAMORA TORRES WILHEM</t>
  </si>
  <si>
    <t>CAL.CORNEJO NEYRA NRO. 716 - NIEVA</t>
  </si>
  <si>
    <t>10445696850</t>
  </si>
  <si>
    <t>SAHUARICO QUISPE CARLOS NAPOLEON</t>
  </si>
  <si>
    <t>CALLE ABTAO NRO 02 BELEN</t>
  </si>
  <si>
    <t>10445842660</t>
  </si>
  <si>
    <t>ESPINOZA ALVAREZ WILLY</t>
  </si>
  <si>
    <t>10446183406</t>
  </si>
  <si>
    <t>TOCTO ROMERO MARIA ELIZABETH</t>
  </si>
  <si>
    <t>Calle Manco capac # 112 - YURIMAGUAS</t>
  </si>
  <si>
    <t>10446245363</t>
  </si>
  <si>
    <t>MUÑOZ MONTANO ROBERT</t>
  </si>
  <si>
    <t>VENTA DE MAQUINARIAS.</t>
  </si>
  <si>
    <t>10446310246</t>
  </si>
  <si>
    <t>NAVARRO MURAYARI BETTY LUZ</t>
  </si>
  <si>
    <t>CAL. JORGE CHAVEZ C/ BOLIVAR S/N - REQUENA</t>
  </si>
  <si>
    <t>10446376361</t>
  </si>
  <si>
    <t xml:space="preserve">LIZETH LOZANO PAREDES </t>
  </si>
  <si>
    <t>AV. PARTICIPACION CUADRA 23 AA.HH. INKA ROCA B-2 BELEN</t>
  </si>
  <si>
    <t>10446399018</t>
  </si>
  <si>
    <t>BOCANEGRA PINEDO DAX SEAN</t>
  </si>
  <si>
    <t>CALLE YURIMAGUAS N 664</t>
  </si>
  <si>
    <t>10446451371</t>
  </si>
  <si>
    <t>CRUZ GALINDO IVAN</t>
  </si>
  <si>
    <t>JR FIZCARRALD MZ S/N - ATALAYA</t>
  </si>
  <si>
    <t>10446749060</t>
  </si>
  <si>
    <t>ORDOÑA GOMEZ MARIA ORTENCIA</t>
  </si>
  <si>
    <t>AV. SACSAYHUAMAN N° 151 PEDRO RUIZ, JAZÁN, BÓNGARA, AMAZONAS</t>
  </si>
  <si>
    <t>10446817481</t>
  </si>
  <si>
    <t>MACHUCA DIAZ ANDREA JACKELIN</t>
  </si>
  <si>
    <t>CASTAÑAS MZ-N LT.5 - IQUITOS</t>
  </si>
  <si>
    <t>10447003797</t>
  </si>
  <si>
    <t>MURAYARI CHOTA GILMER</t>
  </si>
  <si>
    <t>CONSUMIDADOR FINAL</t>
  </si>
  <si>
    <t>PJE 14 DE AGOSTO MZ I LOTE 20</t>
  </si>
  <si>
    <t>10447027858</t>
  </si>
  <si>
    <t xml:space="preserve">FABIO ABIGAHI SCHLAMAUSS PASTRANA </t>
  </si>
  <si>
    <t>AV. PARTICIPACIN MZ A LT-6</t>
  </si>
  <si>
    <t>10447128417</t>
  </si>
  <si>
    <t>RUIZ TELLO KATHY</t>
  </si>
  <si>
    <t>COMUNIDAD REMANSO - RIO PUTUMAYO</t>
  </si>
  <si>
    <t>10447256130</t>
  </si>
  <si>
    <t>MARITZA ISABEL VARGAS RAMIREZ</t>
  </si>
  <si>
    <t>AVENIDA COLONIZACION</t>
  </si>
  <si>
    <t>10447478060</t>
  </si>
  <si>
    <t>RODRIGUEZ TRUJILLO MARISOL</t>
  </si>
  <si>
    <t>JR. TORIBIO RODRIGUEZ DE MENDOZA Nº 520 - MENDOZA, RODRIGUEZ DE MENDOZA, AMAZONAS</t>
  </si>
  <si>
    <t>RODRIGUEZ DE MENDOZA</t>
  </si>
  <si>
    <t>10447778322</t>
  </si>
  <si>
    <t>RUIZ NAVARRO  JORGE</t>
  </si>
  <si>
    <t>10447779</t>
  </si>
  <si>
    <t>MAURA ROMANI FLORES</t>
  </si>
  <si>
    <t>CARRETERA SANTO TOMAS KM. 1.5  - SANTO TOMAS</t>
  </si>
  <si>
    <t>10447890491</t>
  </si>
  <si>
    <t>WILLIAN ASIPALI TINA</t>
  </si>
  <si>
    <t>AV CIRCULAR S/N NUEVO PROGRESO</t>
  </si>
  <si>
    <t>10447898549</t>
  </si>
  <si>
    <t>CORDOVA COHEN MARCELO</t>
  </si>
  <si>
    <t>CALLE LOSCEDROSMZ P LOTE 1 NINA RUMI</t>
  </si>
  <si>
    <t>10447931775</t>
  </si>
  <si>
    <t>CAMPOS HOYOS ELFER</t>
  </si>
  <si>
    <t>JR. CORONEL SECADA 232 - MOYOBAMBA</t>
  </si>
  <si>
    <t>10448285281</t>
  </si>
  <si>
    <t>TRIGOSO TUESTA JELY</t>
  </si>
  <si>
    <t>AV. JUAN PARDO DE MIGUEL N 832-MENDOZA-RODRIGUEZ DE MENDOZA-AMAZONAS</t>
  </si>
  <si>
    <t>10448316853</t>
  </si>
  <si>
    <t>NACION OLIVAS KELIN RICARDO</t>
  </si>
  <si>
    <t>JR JORGE CHAVEZ #652 - TOCACHE</t>
  </si>
  <si>
    <t>10448589591</t>
  </si>
  <si>
    <t>BECERRA LLAMO LILIAN MIRTHA</t>
  </si>
  <si>
    <t>CARRETERA CUSHILLOCOCHA SN - CABALLOCOCHA</t>
  </si>
  <si>
    <t>10448707895</t>
  </si>
  <si>
    <t>ZACARIAS MENDOZA COLLANTES</t>
  </si>
  <si>
    <t>CALLE 7 N 37-BELEN</t>
  </si>
  <si>
    <t>10448923521</t>
  </si>
  <si>
    <t>ARBILDO JHOSSEF OBREGON VILLA</t>
  </si>
  <si>
    <t>AV. TUPAC AMARU MZ.</t>
  </si>
  <si>
    <t>PUERTO INCA</t>
  </si>
  <si>
    <t>10449292681</t>
  </si>
  <si>
    <t>HUAYNATES SANCHO EUFENIA GABRIELA</t>
  </si>
  <si>
    <t>AV. TNTE MEJIA MZ 39 LT 15 - ATALAYA</t>
  </si>
  <si>
    <t>10449541401</t>
  </si>
  <si>
    <t>MONTOYA ORBE JOEL</t>
  </si>
  <si>
    <t>CARRETERA IQUITOS - NAUTA KM 2.5</t>
  </si>
  <si>
    <t>10449631892</t>
  </si>
  <si>
    <t>SANDOVAL GOMEZ EDGAR</t>
  </si>
  <si>
    <t>OTRAS ACTIVIDADES DE VENTA AL POR MENOR EN COMERCIOS NO ESPECIALIZADOS</t>
  </si>
  <si>
    <t>10449890227</t>
  </si>
  <si>
    <t>SILVA TELLO EVER FRAIN</t>
  </si>
  <si>
    <t>CAL. TUPAC AMARU S/N</t>
  </si>
  <si>
    <t>10449965073</t>
  </si>
  <si>
    <t>MELENDEZ PEREZ HERDERKLEIS WEQUENVAWER</t>
  </si>
  <si>
    <t>JR PAMPA HERMOSA SN</t>
  </si>
  <si>
    <t>10450069090</t>
  </si>
  <si>
    <t>SANDI LLAJA CORNELIO</t>
  </si>
  <si>
    <t>AV DEL EJERCITO 1718</t>
  </si>
  <si>
    <t>10450776977</t>
  </si>
  <si>
    <t>VISA QUISPETERA JULIO</t>
  </si>
  <si>
    <t>AV.PANAMERICANA S/N -ABANCAY</t>
  </si>
  <si>
    <t>10450793642</t>
  </si>
  <si>
    <t>FACHIN PEREZ RAFAEL</t>
  </si>
  <si>
    <t>10450939248</t>
  </si>
  <si>
    <t>CONDORI ORE YURI DICSON</t>
  </si>
  <si>
    <t>PJ. ALEJANDRO CALDERON S/N  PUERTO BERMUDEZ</t>
  </si>
  <si>
    <t>PUERTO BERMUDEZ</t>
  </si>
  <si>
    <t>10451008701</t>
  </si>
  <si>
    <t>BARDALES COACHI MEREDITH</t>
  </si>
  <si>
    <t>CAL. VENECIA MZ-B LT.14 - SANTO TOMAS</t>
  </si>
  <si>
    <t>10451058911</t>
  </si>
  <si>
    <t>CRUZ MOLINA SEGUNDO ARCADIO</t>
  </si>
  <si>
    <t>AV. MARGINAL S/N CP ALIANZA - PONGO DE CAYNARACHI - LAMAS - SAN MARTIN</t>
  </si>
  <si>
    <t>10451162441</t>
  </si>
  <si>
    <t>ORTIZ MERCADO KEYLA SARAY</t>
  </si>
  <si>
    <t>PROLONGACION TARMA 373 - LA MERCED - FRENTE AL TERMINAL</t>
  </si>
  <si>
    <t>10451369518</t>
  </si>
  <si>
    <t>REYES REYES HELES</t>
  </si>
  <si>
    <t>CALLE 28 DE JULIO S/N -SAN ANTONIO</t>
  </si>
  <si>
    <t>San Pablo</t>
  </si>
  <si>
    <t>10451514615</t>
  </si>
  <si>
    <t>PALOMINO RIOS ANDREY ABRAHAM MARTIN</t>
  </si>
  <si>
    <t>FITZCARRALD  543</t>
  </si>
  <si>
    <t>10451542902</t>
  </si>
  <si>
    <t>NUÑEZ NORIEGA IRMA EULALIA</t>
  </si>
  <si>
    <t>CARRETERA INDIANA-MAZAN S/N  INDIANA-MAYNAS-LORETO</t>
  </si>
  <si>
    <t>10451586977</t>
  </si>
  <si>
    <t>GUSTAVO EDWIN WATANAVE INUMA</t>
  </si>
  <si>
    <t>SECTOR MALECON S/N -INDIANA</t>
  </si>
  <si>
    <t>10451595780</t>
  </si>
  <si>
    <t>PUMA ESCOBAR ROXANA</t>
  </si>
  <si>
    <t>JR. 28 DE JULIO NRO 311 YARINACOCHA</t>
  </si>
  <si>
    <t>10451721602</t>
  </si>
  <si>
    <t>SALDAÑA MONTES MARTIN</t>
  </si>
  <si>
    <t>FERRETERÍA</t>
  </si>
  <si>
    <t>CALLE LA HERRADURA A-4 KM. 9 -  LOS DELFINES</t>
  </si>
  <si>
    <t>10451780471</t>
  </si>
  <si>
    <t>RUIZ LOPEZ FREDY WILLY</t>
  </si>
  <si>
    <t>PSJE. CRUZAIRO MZ-B LT-22</t>
  </si>
  <si>
    <t>10452244549</t>
  </si>
  <si>
    <t>NIETO OLAYA ERNESTO</t>
  </si>
  <si>
    <t>JR. CORONEL SECADA N 284 - MOYOBAMBA - MOYOBAMBA - SAN MARTIN</t>
  </si>
  <si>
    <t>10452550496</t>
  </si>
  <si>
    <t>FLORMIRA TELLO CRUZ</t>
  </si>
  <si>
    <t>CARRET.FERNANDO BELAUNDE TERRY SN</t>
  </si>
  <si>
    <t>10452561790</t>
  </si>
  <si>
    <t>CATAMAYO PEREZ ROGELIO</t>
  </si>
  <si>
    <t>JR.URUBAMBA CRA 8 - ATALAYA</t>
  </si>
  <si>
    <t>10452674781</t>
  </si>
  <si>
    <t>FRANK EDISON SOPLIN RODRIGUEZ</t>
  </si>
  <si>
    <t>CALLE MALECON TARAPACA 127-REQUENA</t>
  </si>
  <si>
    <t>10453303158</t>
  </si>
  <si>
    <t>NOA AHUANARI LETY ISIDORA</t>
  </si>
  <si>
    <t>A.H VILLA SELVA MZ B LT 21 CARRETERA IQUITOS-NAUTA</t>
  </si>
  <si>
    <t>10453480980</t>
  </si>
  <si>
    <t>HIDALGO SINOJARA SANDY BEATRIZ</t>
  </si>
  <si>
    <t>FERERTERIA</t>
  </si>
  <si>
    <t>JR PEDRO DE URSUA 696 - TARAPOTO, SAN MARTIN, SAN MARTIN</t>
  </si>
  <si>
    <t>10453884266</t>
  </si>
  <si>
    <t>CONTRERAS MEGO KATTIA KAREM</t>
  </si>
  <si>
    <t>JR. TENIENTE MEJIA S/N - ATALAYA</t>
  </si>
  <si>
    <t>10454171301</t>
  </si>
  <si>
    <t>SIMON IBAÑEZ ANGELITA MARLENI</t>
  </si>
  <si>
    <t>CALLE RUBEN INFANTE - MANANTAY</t>
  </si>
  <si>
    <t>10454215902</t>
  </si>
  <si>
    <t>QUISPE PEREZ YANETH TANIA</t>
  </si>
  <si>
    <t>AV SAN RAMON N177 CHANCHAMAYO</t>
  </si>
  <si>
    <t>10454377694</t>
  </si>
  <si>
    <t>GOMEZ ROMERO MARTIN</t>
  </si>
  <si>
    <t>EMANCIPACION 409 - ROSA MERINO</t>
  </si>
  <si>
    <t>10454415324</t>
  </si>
  <si>
    <t>AQUEMY LIZETH SAQUIRAY ZEVALLOS</t>
  </si>
  <si>
    <t>C.F.B KM 111</t>
  </si>
  <si>
    <t>10455231561</t>
  </si>
  <si>
    <t xml:space="preserve"> SANTIAGO CASTRO TICLIAHUANCA</t>
  </si>
  <si>
    <t>10455409166</t>
  </si>
  <si>
    <t>SILVA SANTILLAN SILVIA</t>
  </si>
  <si>
    <t>CAL. LOS ROSALES MZ.A LT.36 - MASUSA</t>
  </si>
  <si>
    <t>10455863410</t>
  </si>
  <si>
    <t>ORTIZ TELLO WUELDER</t>
  </si>
  <si>
    <t>CALLE: FLORIDA S/N BARRANQUITA</t>
  </si>
  <si>
    <t>10455958755</t>
  </si>
  <si>
    <t>GAVIOLA PACAYA RUITER</t>
  </si>
  <si>
    <t>CAL. WALTER SALAZAR N 200 - TAMANCO</t>
  </si>
  <si>
    <t>10456268442</t>
  </si>
  <si>
    <t>FINETTI PAREDES ANGELLO PASCUALE</t>
  </si>
  <si>
    <t>PSJ 15 DE SEPTIEMBRE 185</t>
  </si>
  <si>
    <t>10456923998</t>
  </si>
  <si>
    <t>ROMERO PAULINO ELIZABETH</t>
  </si>
  <si>
    <t>10457083471</t>
  </si>
  <si>
    <t>URAPARI TRIGOZO LUZ MARIA</t>
  </si>
  <si>
    <t>AV. NESHUYA MZ. 2 LT. 2-A - NESHUYA</t>
  </si>
  <si>
    <t>10457331440</t>
  </si>
  <si>
    <t>GUERRERO ZUMBA KATERIN ANILU</t>
  </si>
  <si>
    <t>10457507670</t>
  </si>
  <si>
    <t>ESPINOZA BAZAN ELIZABETH RUTH</t>
  </si>
  <si>
    <t xml:space="preserve">JR DOS DE MAYO MZ. G ,  LT. 04 </t>
  </si>
  <si>
    <t>10457527824</t>
  </si>
  <si>
    <t>ISLA ACUÑA DENIS BERLIN</t>
  </si>
  <si>
    <t xml:space="preserve">TURNAVISTA </t>
  </si>
  <si>
    <t>TOURNAVISTA</t>
  </si>
  <si>
    <t>10458126734</t>
  </si>
  <si>
    <t>CONTRERAS RIOFRIO RAUL EDGARDO</t>
  </si>
  <si>
    <t>AV. SAN IGNACIO S/N CUADRA 4-SAN IGNACIO-SAN IGNACIO-CAJAMARCA</t>
  </si>
  <si>
    <t>10458158296</t>
  </si>
  <si>
    <t>ZUMAETA REATEGUI TEDY</t>
  </si>
  <si>
    <t>AV. PRIMAVERA MZ.20 LT.32 POR EL COLEGIO SAN ISIDRO CALLERIA</t>
  </si>
  <si>
    <t>10458235665</t>
  </si>
  <si>
    <t>TORRES PERALES ALEXANDER</t>
  </si>
  <si>
    <t>JR IQUITOS S/N - NUEVA CAJAMARCA</t>
  </si>
  <si>
    <t>10458597508</t>
  </si>
  <si>
    <t>CASTRO MOZOMBITE JUAN CARLOS SEGUNDO</t>
  </si>
  <si>
    <t>JULIO C ARANA #306</t>
  </si>
  <si>
    <t>10458679750</t>
  </si>
  <si>
    <t>ANDY YURI SANDOVAL OTIVO</t>
  </si>
  <si>
    <t>AV.RAMON CASTILLA S/N PUERTO BERMUDEZ -OXAPAMAPA-PASCO</t>
  </si>
  <si>
    <t>10458814827</t>
  </si>
  <si>
    <t>CARDENAS QUISPE WILLIANS BERTHONY</t>
  </si>
  <si>
    <t>BELLAVISTA NANAY N 13 - NANAY</t>
  </si>
  <si>
    <t>10459115205</t>
  </si>
  <si>
    <t>CUSQUE SANTOS REYNALDO</t>
  </si>
  <si>
    <t>10459252288</t>
  </si>
  <si>
    <t>FALERA ATANACIO NAHUM ELIAS</t>
  </si>
  <si>
    <t>10459681391</t>
  </si>
  <si>
    <t>LOZANO LOPEZ PAUL ABIGAEL</t>
  </si>
  <si>
    <t>CALLE SANTA BARBARA NO 100</t>
  </si>
  <si>
    <t>10460651951</t>
  </si>
  <si>
    <t>KAREN LILIANA SABOYA NINA</t>
  </si>
  <si>
    <t>AV LA HERRADURA N 5 KM 9 LOS DELFINES</t>
  </si>
  <si>
    <t>10461241803</t>
  </si>
  <si>
    <t>LINO ECHEVARRIA CELESTINA</t>
  </si>
  <si>
    <t>CALLE CAPITAN BELGRANO N° 431 - PUNCHANA</t>
  </si>
  <si>
    <t>10461262177</t>
  </si>
  <si>
    <t>JUAN VARGAS MELENA</t>
  </si>
  <si>
    <t>AV. WALTER SALAZAR N 5-TAMANCO -REQUENA</t>
  </si>
  <si>
    <t>10461431882</t>
  </si>
  <si>
    <t>DIANA PATY SOBRADO BERNA</t>
  </si>
  <si>
    <t>JR. 28 DE JULIO MZ.3 LT.13 FRENTE AL MERCADO YARINACOCHA</t>
  </si>
  <si>
    <t>10461847990</t>
  </si>
  <si>
    <t>MARTINEZ VARGAS ELIAS ABEL</t>
  </si>
  <si>
    <t xml:space="preserve">URB SANTA CLARA </t>
  </si>
  <si>
    <t>10461897521</t>
  </si>
  <si>
    <t>PEÑA AQUISES NAYLY</t>
  </si>
  <si>
    <t>CAL.LOS CEDROS MZA. 79B LOTE. 1E-RAYMONDI-ATALAYA-UCAYALI</t>
  </si>
  <si>
    <t>10462428605</t>
  </si>
  <si>
    <t>ESPINOZA MUENA EDWAR PETER</t>
  </si>
  <si>
    <t>10462707571</t>
  </si>
  <si>
    <t>FLORES ALTAMIRANO DEYBIS</t>
  </si>
  <si>
    <t>JIRÓN TOCACHE # 636 - TOCACHE</t>
  </si>
  <si>
    <t>10463024478</t>
  </si>
  <si>
    <t>RUIZ PERALES ELI</t>
  </si>
  <si>
    <t>CALLE TRUJILLO S/N JUNTA VECIMAL LA UNION -LORETO-LORETO -NAUTA</t>
  </si>
  <si>
    <t>10463442504</t>
  </si>
  <si>
    <t>FLOR SOLEDAD GOMEZ CCAHUANA</t>
  </si>
  <si>
    <t>JIRÓN URUBAMBA S/N - ATALAYA</t>
  </si>
  <si>
    <t>10463545150</t>
  </si>
  <si>
    <t>PEREA BARRERA LUZ MARIBEL</t>
  </si>
  <si>
    <t>JR. TARAPACA S/N (MERCADO</t>
  </si>
  <si>
    <t>10463599438</t>
  </si>
  <si>
    <t>RAFAEL TUESTA TIMANAL</t>
  </si>
  <si>
    <t>CUIDAD LOS MORALES</t>
  </si>
  <si>
    <t>LURIN</t>
  </si>
  <si>
    <t>10463678354</t>
  </si>
  <si>
    <t>PALOMINO ILLANES JENNIFER PATRICIA</t>
  </si>
  <si>
    <t>ASOC VILLA DE JESUS MZ 3 LOTE 24 LIMA</t>
  </si>
  <si>
    <t>Villa El Salvador</t>
  </si>
  <si>
    <t>10463693388</t>
  </si>
  <si>
    <t>HY MENDEZ GIANCARLO</t>
  </si>
  <si>
    <t>JR. SUCRE N 701A</t>
  </si>
  <si>
    <t>10463792513</t>
  </si>
  <si>
    <t>PONCE SALIS OLIVIA BEATA</t>
  </si>
  <si>
    <t>JR. TUPAC AMARU MZ 16 LT 6A - AUCAYACU</t>
  </si>
  <si>
    <t>10463928369</t>
  </si>
  <si>
    <t>JIMENEZ GALVEZ DANTE SAMUEL</t>
  </si>
  <si>
    <t>COMUNIDAD AGRARIA ALTOMONTE SN - ALTOMONTE</t>
  </si>
  <si>
    <t>10464941733</t>
  </si>
  <si>
    <t>BETTSY JHOANA RUIZ BANEO</t>
  </si>
  <si>
    <t>COMPRA POR MAYOR</t>
  </si>
  <si>
    <t>ARRIBA PERU S/N</t>
  </si>
  <si>
    <t>10465032133</t>
  </si>
  <si>
    <t>MALDONADO SUAREZ CESAR ANIBAL</t>
  </si>
  <si>
    <t>AV TUPAC AMARU MZ 35 LT 1 MANANTAY</t>
  </si>
  <si>
    <t>10465186581</t>
  </si>
  <si>
    <t>WILDER JHON LAURENCIO AROSTEGUI</t>
  </si>
  <si>
    <t>JR VULCANO S/N PUERTO INCA</t>
  </si>
  <si>
    <t>10465305890</t>
  </si>
  <si>
    <t>LLACUA BERROCAL LUIS MORY</t>
  </si>
  <si>
    <t>10465363865</t>
  </si>
  <si>
    <t>TELLO CRUZ ELENA</t>
  </si>
  <si>
    <t>JR. SARGENTO LORES MZ.30, LTE.6- NVO. PROGRESO - TOCACHE - SAN MARTIN</t>
  </si>
  <si>
    <t>10466017006</t>
  </si>
  <si>
    <t>LOAYZA CUBILLA JULIANA KAROL</t>
  </si>
  <si>
    <t>AV. LEOLPOLDO KLAUSEN S/N - VILLA RICA</t>
  </si>
  <si>
    <t>10466704950</t>
  </si>
  <si>
    <t>LUNA ESQUIVEL CYNTHIA CAROLA</t>
  </si>
  <si>
    <t>URB.VILLA CUMBAZA S/N - MORALES - SAN MARTIN - SAN MARTIN</t>
  </si>
  <si>
    <t>10466924470</t>
  </si>
  <si>
    <t>GUZMAN CAMPOS HENRY FREYRE</t>
  </si>
  <si>
    <t>AV. CAJAMARCA SUR N 206-NUEVA CAJAMARCA, RIOJA, SAN MARTIN</t>
  </si>
  <si>
    <t>10467360553</t>
  </si>
  <si>
    <t>GIL CORRALES MARIA ELITA</t>
  </si>
  <si>
    <t>AV COSTAMERA NORTE G1 4 URB. JARDIN TROPICAL CAMINO A ROMPEOLAS</t>
  </si>
  <si>
    <t>10467436037</t>
  </si>
  <si>
    <t>TELLO AGUILAR EDWAR</t>
  </si>
  <si>
    <t>CALLE PROGRESO S/N - CABALLOCOCHA</t>
  </si>
  <si>
    <t>10467622108</t>
  </si>
  <si>
    <t>NEMIAS CARHUAMAC VENTURA</t>
  </si>
  <si>
    <t>CFBT.- PUERTO SUNGARO</t>
  </si>
  <si>
    <t>10468597620</t>
  </si>
  <si>
    <t>RENGIFO GUEVARA PABLO JUNIOR</t>
  </si>
  <si>
    <t>ROGER WALTER 840</t>
  </si>
  <si>
    <t>10468683488</t>
  </si>
  <si>
    <t>NAVEROS LOAYZA ELAM JAIR</t>
  </si>
  <si>
    <t>JR. MARCOS CANEPA S/N - VILLA RICA</t>
  </si>
  <si>
    <t>10469036761</t>
  </si>
  <si>
    <t>VELA DAVILA JORGE ALBERTO</t>
  </si>
  <si>
    <t>CALLE TRIUNFO # 108 SANTA ROSA</t>
  </si>
  <si>
    <t>10469095709</t>
  </si>
  <si>
    <t>NORIEGA CABRERA MARIA GABRIELA</t>
  </si>
  <si>
    <t>JR.  CALLAO Nº 1006 - MOYOBAMBA, MOYOBAMBA, SAN MARTIN</t>
  </si>
  <si>
    <t>10469390352</t>
  </si>
  <si>
    <t>GONZALEZ SALAS EVA GISSELLA</t>
  </si>
  <si>
    <t>AGRICOLA</t>
  </si>
  <si>
    <t>JR 30 DE AGOSTO N° 290 CALLERIA</t>
  </si>
  <si>
    <t>10470034381</t>
  </si>
  <si>
    <t>CASTRO PAITAN FIDEL</t>
  </si>
  <si>
    <t>JR. 11 DE SETIEMBRE S/N - NESHUYA</t>
  </si>
  <si>
    <t>10470102166</t>
  </si>
  <si>
    <t>MERCADO RIOS YOUNOR CARLOS</t>
  </si>
  <si>
    <t>CALLE SAN RAMON DE PANGOA  S/N PANGOA SATIPO JUNIN</t>
  </si>
  <si>
    <t>10470504621</t>
  </si>
  <si>
    <t>NEIRA CONDEZO KARINA SOFIA</t>
  </si>
  <si>
    <t>PANAO-PACHITEA</t>
  </si>
  <si>
    <t>PANAO</t>
  </si>
  <si>
    <t>10470934391</t>
  </si>
  <si>
    <t>RUSBEL MAYQUEN LOPEZ ANDI</t>
  </si>
  <si>
    <t>JR .URURBAMABA S/N-ATALAYA</t>
  </si>
  <si>
    <t>10471895526</t>
  </si>
  <si>
    <t>TUSARMA MORALES MILBIA</t>
  </si>
  <si>
    <t>SOPLIN VARGAS S/N RIO PUTUMAYO</t>
  </si>
  <si>
    <t>Soplin</t>
  </si>
  <si>
    <t>10472015597</t>
  </si>
  <si>
    <t>LEON RIVERA DANDY</t>
  </si>
  <si>
    <t>10472144</t>
  </si>
  <si>
    <t>10472144648</t>
  </si>
  <si>
    <t>ELIAS YONEL RAMOS SUMARAN</t>
  </si>
  <si>
    <t>C.F.B KM 110</t>
  </si>
  <si>
    <t>10472246475</t>
  </si>
  <si>
    <t>SALAZAR MENOR JUAN CARLOS</t>
  </si>
  <si>
    <t>-BON</t>
  </si>
  <si>
    <t>-JR. EMILIO ACOSTA  SN MOYOBAMBA</t>
  </si>
  <si>
    <t>10472278555</t>
  </si>
  <si>
    <t>PALACIOS CORONADO NIXON ABEL</t>
  </si>
  <si>
    <t>JR.RICARDO PALMA C/ MARISCAL CACERES -  BELLAVISTA - BELLAVISTA  - SAN MARTIN</t>
  </si>
  <si>
    <t>10472791091</t>
  </si>
  <si>
    <t>MONTOYA ORBE JHONATAN BRAULIO</t>
  </si>
  <si>
    <t>AV. PARTICIPACION MZ. 28 LT.14</t>
  </si>
  <si>
    <t>10473045341</t>
  </si>
  <si>
    <t>MARIA DOLORES ALTAMIRANO ROJAS</t>
  </si>
  <si>
    <t>CARRETERA FERNANDO BELAUNDE TERRI</t>
  </si>
  <si>
    <t>10473076158</t>
  </si>
  <si>
    <t>CHOTA SOPLIN LAMBERTO</t>
  </si>
  <si>
    <t xml:space="preserve">CALLE LAS PALMERAS S/N </t>
  </si>
  <si>
    <t>10473586181</t>
  </si>
  <si>
    <t>DAVILA SALAZAR FREYDI STALYN</t>
  </si>
  <si>
    <t>LA POZA_RIO SANTIAGO</t>
  </si>
  <si>
    <t>RIO SANTIAGO</t>
  </si>
  <si>
    <t>10473763091</t>
  </si>
  <si>
    <t>PARDAVE SALAS KENIA ROSSINI</t>
  </si>
  <si>
    <t>10473787992</t>
  </si>
  <si>
    <t>SINDY ELVIRA VARGAS REVILLA</t>
  </si>
  <si>
    <t>CALLE RICARDO PALMA CUADRA 09 S/N</t>
  </si>
  <si>
    <t>10474061812</t>
  </si>
  <si>
    <t>ORTEGA TORRES EVELYN ESTEFANY</t>
  </si>
  <si>
    <t>JR. CAYUMBA 264 - TINGO MARIA</t>
  </si>
  <si>
    <t>10474471123</t>
  </si>
  <si>
    <t>PIZANGO HUIÑAPI JOSE CARLOS</t>
  </si>
  <si>
    <t>CAL. IQUITOS N.500</t>
  </si>
  <si>
    <t>10474818751</t>
  </si>
  <si>
    <t>ALEGRE BUENO ANA FLOR</t>
  </si>
  <si>
    <t>AV CAPITAN LARRIE SN PUERTO BERMUDES</t>
  </si>
  <si>
    <t>10474980605</t>
  </si>
  <si>
    <t>RAMOS MANUYAMA ANDER ERICK</t>
  </si>
  <si>
    <t>CAL. LAS PALMERAS N 161 - IQUITOS</t>
  </si>
  <si>
    <t>10475131199</t>
  </si>
  <si>
    <t>CRUZADO TORRES MILAGROS</t>
  </si>
  <si>
    <t>CALLE AMERICA 123</t>
  </si>
  <si>
    <t>10475195651</t>
  </si>
  <si>
    <t>ESPINOZA ALVAREZ HECTOR GUIMEL</t>
  </si>
  <si>
    <t>CALLE N3 MZG , LT10 URBANIZACION MUNICIPAL KM 6</t>
  </si>
  <si>
    <t>10475602167</t>
  </si>
  <si>
    <t>AQUINO ESPIRITU ROY ALFREDO</t>
  </si>
  <si>
    <t>AV. NESHUYA MZA. 16 LT. 12 C.H.JJ.VV.NESHUYA</t>
  </si>
  <si>
    <t>10475835498</t>
  </si>
  <si>
    <t>ALVITES VASQUEZ JAIME</t>
  </si>
  <si>
    <t>PSJ SUCRE N 215</t>
  </si>
  <si>
    <t>10475983446</t>
  </si>
  <si>
    <t>OLORTEGUI SHAHUANO CELINA MEREDITH</t>
  </si>
  <si>
    <t>JR. 7 DE JUNIO #649</t>
  </si>
  <si>
    <t>10476055917</t>
  </si>
  <si>
    <t>JACQUELINE DEL PILAR BALDEON CHOTA</t>
  </si>
  <si>
    <t>CAL. ABTAO MZ - Y LLT. 14</t>
  </si>
  <si>
    <t>10476346997</t>
  </si>
  <si>
    <t>HIDALGO MORI PATRICIA</t>
  </si>
  <si>
    <t>SARAMURO</t>
  </si>
  <si>
    <t>10476409204</t>
  </si>
  <si>
    <t>RIXON GAVEL RIOS PINHEIRO</t>
  </si>
  <si>
    <t>CALLE BOLIVAR S/N</t>
  </si>
  <si>
    <t>10476414356</t>
  </si>
  <si>
    <t>ROMAN ROBLES JONATAN</t>
  </si>
  <si>
    <t>AV. SAN MARTIN #703 PUCALLPA</t>
  </si>
  <si>
    <t>10476609351</t>
  </si>
  <si>
    <t>CHAHUA TOLENTINO ELITA SARY</t>
  </si>
  <si>
    <t>JR. LIMA 380 - AUCAYACU</t>
  </si>
  <si>
    <t>10476768352</t>
  </si>
  <si>
    <t>CHAVEZ DIAZ LUCERO KHELEN</t>
  </si>
  <si>
    <t>JR. TARMA S/N - LA MERCED</t>
  </si>
  <si>
    <t>10476780522</t>
  </si>
  <si>
    <t>SALAZAR CONDE JULIO CESAR</t>
  </si>
  <si>
    <t>MIGUEL MONTALVAN N 622</t>
  </si>
  <si>
    <t>10476992813</t>
  </si>
  <si>
    <t>BANEO ISUIZA ROSA CAMELIA</t>
  </si>
  <si>
    <t>CALLE LAS FLORES MZ B LT 7</t>
  </si>
  <si>
    <t>10477246741</t>
  </si>
  <si>
    <t>WILLIAMS GERARDO RUTTI UZCO</t>
  </si>
  <si>
    <t>CAL.URUBAMBA MZA.</t>
  </si>
  <si>
    <t>10477305976</t>
  </si>
  <si>
    <t>CARRANZA CASTAÑEDA LINDA YZAMAR</t>
  </si>
  <si>
    <t>CALLE SARGENTO LORES SN - PEBAS</t>
  </si>
  <si>
    <t>10477397765</t>
  </si>
  <si>
    <t>LAURENTE CASTRO LUCELLY MILAGROS</t>
  </si>
  <si>
    <t>JIRON CALLAO 239 - TINGO MARIA</t>
  </si>
  <si>
    <t>10477507196</t>
  </si>
  <si>
    <t>CHAVEZ AVILA ROCIO SUSAN</t>
  </si>
  <si>
    <t>CALLE 24 MZ 61</t>
  </si>
  <si>
    <t>10477541475</t>
  </si>
  <si>
    <t>CLAVO FERNANDEZ RONAL</t>
  </si>
  <si>
    <t xml:space="preserve">AGRO Y FERRETERIA </t>
  </si>
  <si>
    <t>JR: LIBERTAD CDRA:7 -NUEVACAJAMARCA</t>
  </si>
  <si>
    <t>10477604108</t>
  </si>
  <si>
    <t>DORADO GONZALES BORIS ELVIS</t>
  </si>
  <si>
    <t>CAL.JERUSALEN S/N</t>
  </si>
  <si>
    <t>10477630290</t>
  </si>
  <si>
    <t>CHUJUTALLI PISCO MADAI LIBNI</t>
  </si>
  <si>
    <t xml:space="preserve">VENTA AL POR MAYOR DE MATERIALES DE CONSTRUCCIÓN ARTÍCULOS DE FERRETERÍA Y EQUIPO Y MATERIALES </t>
  </si>
  <si>
    <t>JR. LIMA Nº 524 - TARAPOTO - SAN MARTIN - SAN MARTIN</t>
  </si>
  <si>
    <t>10478862488</t>
  </si>
  <si>
    <t>LEIVA QUISPE AVILIO RAUL</t>
  </si>
  <si>
    <t>CC.PP. NUEVA ITALIA S/N</t>
  </si>
  <si>
    <t>10478956580</t>
  </si>
  <si>
    <t>DOMINGUEZ SANDOVAL ESTHER CAROLINA</t>
  </si>
  <si>
    <t>PROLONGACION TARMA 237 LA MERCED - CHANCHAMAYO</t>
  </si>
  <si>
    <t>10479789962</t>
  </si>
  <si>
    <t>SANDOVAL MIRANDA JHON KEVIN</t>
  </si>
  <si>
    <t>JR. 28 DE JULIO # 113A</t>
  </si>
  <si>
    <t>10480035459</t>
  </si>
  <si>
    <t>MACALUPU RODRIGUEZ MARCIA</t>
  </si>
  <si>
    <t>CAL. SANTIAGO VELA MZ-M LT. 3 - SANTA CLARA</t>
  </si>
  <si>
    <t>10480125482</t>
  </si>
  <si>
    <t>SANTILLAN GALLARDO MILAGROS JENNY</t>
  </si>
  <si>
    <t>JR. BOLOGNESI 350 UCHIZA</t>
  </si>
  <si>
    <t>10480745324</t>
  </si>
  <si>
    <t>GONZÁLES LLONTOP RUVI ROXANA</t>
  </si>
  <si>
    <t>JR. AHUASHIYACU Nº 736 - TARAPOTO, SAN MARTIN, SAN MARTIN</t>
  </si>
  <si>
    <t>10480936448</t>
  </si>
  <si>
    <t>ROMANI NOA BELIGRAM JOSEAS</t>
  </si>
  <si>
    <t>CARRETERA SANTO TOMAS KM 3.5 -</t>
  </si>
  <si>
    <t>10480943185</t>
  </si>
  <si>
    <t>SILVA TELLO MARIA DEYSI</t>
  </si>
  <si>
    <t xml:space="preserve">CA.SARGENTO LORES S/N </t>
  </si>
  <si>
    <t>10480989746</t>
  </si>
  <si>
    <t>SOBRADO BERNA DANY DANIEL</t>
  </si>
  <si>
    <t>JR. 7 DE JUNIO N°639 CALLERIA</t>
  </si>
  <si>
    <t>10481014510</t>
  </si>
  <si>
    <t>JULCA TIQUILLAHUANCA WILDER</t>
  </si>
  <si>
    <t>JR SAN MARTIN S/N SAN MARTIN DE ALAO - EL DORADO  SAN MARTIN</t>
  </si>
  <si>
    <t>10481629409</t>
  </si>
  <si>
    <t>VELA BARDALES NEIVA JEANETH</t>
  </si>
  <si>
    <t>AV. AUGUSTO FREYRE N 898</t>
  </si>
  <si>
    <t>10481717944</t>
  </si>
  <si>
    <t>DE SOUZA CERRON ANA</t>
  </si>
  <si>
    <t xml:space="preserve">JR. 7 DE JUNIO 669 CALLERIA </t>
  </si>
  <si>
    <t>10481879642</t>
  </si>
  <si>
    <t>GONZALES MUÑOZ MARIA MARLENI</t>
  </si>
  <si>
    <t>JR. 25 DE MAYO N 945 - MOYOBAMBA</t>
  </si>
  <si>
    <t>10482016150</t>
  </si>
  <si>
    <t xml:space="preserve">BENITA LANCHA MAGIPO </t>
  </si>
  <si>
    <t>CALLE REQUENA #315</t>
  </si>
  <si>
    <t>10482261413</t>
  </si>
  <si>
    <t>LAZO ABAD ALEX</t>
  </si>
  <si>
    <t>JR. 25 DE MAYO SIN N- MOYOBAMBA, MOYOBAMBA, SAN MARTIN</t>
  </si>
  <si>
    <t>10482795230</t>
  </si>
  <si>
    <t>AVELLANEDA FUENTES KAREN ROSE MARIE</t>
  </si>
  <si>
    <t>AV. MARGINAL S/N - NARANJOS - PARDO MIGUEL- RIOJA - SAN MARTIN</t>
  </si>
  <si>
    <t>10482795566</t>
  </si>
  <si>
    <t>BELTRAN ARTIAGA ERMAN ESTEBAN</t>
  </si>
  <si>
    <t>JR: ARICA 327</t>
  </si>
  <si>
    <t>10482816628</t>
  </si>
  <si>
    <t>HERRERA BENAVIDES JAVIER</t>
  </si>
  <si>
    <t>VENTA DE MAQUINARIAS Y REPUESTOS</t>
  </si>
  <si>
    <t>JR. AMARGURA  ESQUINA CON JR. SAN JOSE - SORITOR - MOYOBAMBA - SAN MARTIN</t>
  </si>
  <si>
    <t>10483324486</t>
  </si>
  <si>
    <t>BAZAN PALADINES JHON DISNEY</t>
  </si>
  <si>
    <t>JR. SIMÓN BOLIVAR</t>
  </si>
  <si>
    <t>10483421058</t>
  </si>
  <si>
    <t>RAUL EDWIN INGA APOLINARIO</t>
  </si>
  <si>
    <t>JR URUBAMBA S/N ATALAYA-RAYMONDI -UCAYALI</t>
  </si>
  <si>
    <t>10483452441</t>
  </si>
  <si>
    <t>SOBRADO CASIMIRO BROOLIN</t>
  </si>
  <si>
    <t>AV.FERNANDO BELAUNDE TERRY S/N URB 4TA</t>
  </si>
  <si>
    <t>10483742946</t>
  </si>
  <si>
    <t>FIORELA MICAELA PEREZ WISSAR</t>
  </si>
  <si>
    <t>JIRON APURIMAC 131 - SAN RAMON - CHANCHAMAYO</t>
  </si>
  <si>
    <t>10484168984</t>
  </si>
  <si>
    <t>ALANYA TRINIDAD GRECIA ISABEL</t>
  </si>
  <si>
    <t>JR. IQUITOS N 783 - NUEVA CAJAMARCA</t>
  </si>
  <si>
    <t>10484728165</t>
  </si>
  <si>
    <t>VILCHEZ CHAPOÑAN DIEGO DE ALMAGRO</t>
  </si>
  <si>
    <t>JR ICA 364</t>
  </si>
  <si>
    <t>La Peca</t>
  </si>
  <si>
    <t>10485073740</t>
  </si>
  <si>
    <t>ARELI SUNY CHAHUA TOLENTINO</t>
  </si>
  <si>
    <t>AV. 1 DE JUNIO MZ. 45 LT. 1-CAMPO VERDE-C.PORTILLO</t>
  </si>
  <si>
    <t>10485108276</t>
  </si>
  <si>
    <t>CAMAN MARTINEZ TALITA NICOL</t>
  </si>
  <si>
    <t>CARRETERA IQUITOS NAUTA 9.10</t>
  </si>
  <si>
    <t>10485415632</t>
  </si>
  <si>
    <t>VASQUEZ LINGAN GEINER</t>
  </si>
  <si>
    <t>JR. 25 DE MAYO N 227 - MOYOBAMBA, SAN MARTIN</t>
  </si>
  <si>
    <t>10485496781</t>
  </si>
  <si>
    <t>GOMEZ GUTIERREZ JOEL</t>
  </si>
  <si>
    <t>AV SIMON BOLIVAR SN</t>
  </si>
  <si>
    <t>10485847940</t>
  </si>
  <si>
    <t>QUIROZ CABANILLAS EDDY ENRIQUE</t>
  </si>
  <si>
    <t>SAN ANTONIO S/N</t>
  </si>
  <si>
    <t>10486480322</t>
  </si>
  <si>
    <t>SANDOVAL VALDIVIA TESSI ROSANITA</t>
  </si>
  <si>
    <t>S/ N</t>
  </si>
  <si>
    <t>10487063423</t>
  </si>
  <si>
    <t>GUERRERO HUAMAN DELLY FLOR</t>
  </si>
  <si>
    <t>10488127387</t>
  </si>
  <si>
    <t>VASQUEZ LINGAN SEGUNDO MIGUEL</t>
  </si>
  <si>
    <t>JR.CORONEL SECADA 255 - MOYOBAMBA -SAN MARTIN</t>
  </si>
  <si>
    <t>10488732591</t>
  </si>
  <si>
    <t>ASTONITAS INUMA LIZ VANESSA</t>
  </si>
  <si>
    <t>AV ALFONSO NAVARRO CAUPER  285</t>
  </si>
  <si>
    <t>10490462240</t>
  </si>
  <si>
    <t>RENGIFO GALDINO ANTONIO</t>
  </si>
  <si>
    <t>CALLE LECCA S/N SANTA ROSA</t>
  </si>
  <si>
    <t>10552547</t>
  </si>
  <si>
    <t>WARD FLORES TAIPE</t>
  </si>
  <si>
    <t>10601330267</t>
  </si>
  <si>
    <t>LOPEZ MONTANO SAMUEL GEMAN</t>
  </si>
  <si>
    <t>AV. LEONCIO PRADO #860 - UCHIZA</t>
  </si>
  <si>
    <t>10604730525</t>
  </si>
  <si>
    <t>QUINTOS CABRERA LUIS ALBERTO</t>
  </si>
  <si>
    <t>CAL. LAS PALMERAS SN - ISLANDIA</t>
  </si>
  <si>
    <t>10608854156</t>
  </si>
  <si>
    <t>OLORTEGUI SHAHUANO JOSE ELIAS</t>
  </si>
  <si>
    <t>JR 7 DE JUNIO 641 MERCADO #2 CALLERIA</t>
  </si>
  <si>
    <t>10609331</t>
  </si>
  <si>
    <t>EDDIE VASQUEZ RUA</t>
  </si>
  <si>
    <t>AV. MICAELA BASTIDAS#345 PICHANAKI</t>
  </si>
  <si>
    <t>10610665778</t>
  </si>
  <si>
    <t>FLORES YABAR DANUSKA VALERIA</t>
  </si>
  <si>
    <t>CALLE LA HERRADURA MZ A4 LT 1</t>
  </si>
  <si>
    <t>10612833465</t>
  </si>
  <si>
    <t>LOPEZ BROWN ODASIR</t>
  </si>
  <si>
    <t>CALLE LAS AMERICAS S/N - ISLANDIA</t>
  </si>
  <si>
    <t>10613122066</t>
  </si>
  <si>
    <t>JORGE LUIS CARDENAS RIOS</t>
  </si>
  <si>
    <t>PSJE. MAZAN S/N</t>
  </si>
  <si>
    <t>10617823422</t>
  </si>
  <si>
    <t>PIRCA ESTRELLA ALEX FRANK</t>
  </si>
  <si>
    <t>PROLONGACION TARMA #327 LA MERCED - CHANCHAMAYO</t>
  </si>
  <si>
    <t>10619178691</t>
  </si>
  <si>
    <t>KATTY GISELA JARA LEON</t>
  </si>
  <si>
    <t>10628323637</t>
  </si>
  <si>
    <t>DIAZ ZABALETA DORLIZA</t>
  </si>
  <si>
    <t>CARRETERA MARGINAL SUR 426 LA BDA DEL SHILICAYO 426</t>
  </si>
  <si>
    <t>10665418</t>
  </si>
  <si>
    <t>CARDENAS VERGARAY MARIA NATIVIDAD</t>
  </si>
  <si>
    <t>CAS.MAYORUNA</t>
  </si>
  <si>
    <t>10700195371</t>
  </si>
  <si>
    <t>CUEVA PEIXOTO INGRID</t>
  </si>
  <si>
    <t>CALLE PROLONGACION INDEPENDENCIA MZ O LOTE 19</t>
  </si>
  <si>
    <t>10700615711</t>
  </si>
  <si>
    <t>OBLITAS PUTPAÑA SANDRA</t>
  </si>
  <si>
    <t>JR. COMERCIO S/N - SAN JOSE DE SISA - EL DORADO - SAN MARTIN</t>
  </si>
  <si>
    <t>10700701331</t>
  </si>
  <si>
    <t>VILLOSLADA CLAVO RAQUEL</t>
  </si>
  <si>
    <t>CALLE. BOLOGNESI  S/N SARAMIRIZA</t>
  </si>
  <si>
    <t>10700786973</t>
  </si>
  <si>
    <t>VILLACORTA RODRIGUEZ ITALO</t>
  </si>
  <si>
    <t>CALLE GARCILAZO N 317 - YURIMAGUAS</t>
  </si>
  <si>
    <t>10701085944</t>
  </si>
  <si>
    <t>QUISPE SULLCA REYNER EDUARDO</t>
  </si>
  <si>
    <t>C.F.B MZ A LOTE02 CAS HUIPOCA</t>
  </si>
  <si>
    <t>10702461001</t>
  </si>
  <si>
    <t>ORACO PAPA LUISA ANDREA</t>
  </si>
  <si>
    <t>CALLE MORONA 127</t>
  </si>
  <si>
    <t>10702497</t>
  </si>
  <si>
    <t>10702597680</t>
  </si>
  <si>
    <t>FLORES ROSALES NELIDA</t>
  </si>
  <si>
    <t>JR. CAYUMBA 260 - TINGO MARIA</t>
  </si>
  <si>
    <t>10702643177</t>
  </si>
  <si>
    <t>BOBADILLA CANAYO LINO ADRIAN</t>
  </si>
  <si>
    <t>REPUESTERA</t>
  </si>
  <si>
    <t xml:space="preserve">CALLE LAS AMERICA MZ.K LT. 11 SANTO TOMAS </t>
  </si>
  <si>
    <t>10703085992</t>
  </si>
  <si>
    <t>LOPEZ CAMPOS ASTRID ALEJANDRA</t>
  </si>
  <si>
    <t>10703533723</t>
  </si>
  <si>
    <t>ROJAS TAPULLIMA DANIXA</t>
  </si>
  <si>
    <t>PSJE. MENDOZA S/N-NAUTA</t>
  </si>
  <si>
    <t>10703760495</t>
  </si>
  <si>
    <t>HUARANCA POCOHUANCA JHONATAN</t>
  </si>
  <si>
    <t>AV. LAS AMERICAS 506 - AUCAYACU</t>
  </si>
  <si>
    <t>10703798166</t>
  </si>
  <si>
    <t>CARDENAS ROMERO WOLFERS IRVIN</t>
  </si>
  <si>
    <t>JR NAUTA  256</t>
  </si>
  <si>
    <t>10704068986</t>
  </si>
  <si>
    <t>CORDOVA BARCO DANITZA</t>
  </si>
  <si>
    <t>JR MOISES ASAYAL S/N</t>
  </si>
  <si>
    <t>10705063929</t>
  </si>
  <si>
    <t>ORIZANO GUTIERREZ RONNIE CHRISTIAN</t>
  </si>
  <si>
    <t>10705475631</t>
  </si>
  <si>
    <t>NEIL JOE BECERRA MERINO</t>
  </si>
  <si>
    <t>-LA POZA CENTRO POBLADO SN</t>
  </si>
  <si>
    <t>10706085306</t>
  </si>
  <si>
    <t>CCASANI CAYLLAHUA DEYMI DANIEL</t>
  </si>
  <si>
    <t>AV. CENTENARIO KM</t>
  </si>
  <si>
    <t>10706555060</t>
  </si>
  <si>
    <t>MILAGROS DE JESUS DEL CASTILLO VASQUEZ</t>
  </si>
  <si>
    <t>MARISCAL CASTILLA N 925</t>
  </si>
  <si>
    <t>10706626277</t>
  </si>
  <si>
    <t>REQUELME PALACIOS JHOCELYTH</t>
  </si>
  <si>
    <t>JR SARGENTO LORES S/N - ROQUE</t>
  </si>
  <si>
    <t>10706757690</t>
  </si>
  <si>
    <t>DEL AGUILA MACEDO JORGE HERNAN</t>
  </si>
  <si>
    <t>CALLE FRANCISCO BOLOGNESI 725</t>
  </si>
  <si>
    <t>10706871999</t>
  </si>
  <si>
    <t>FERNANDEZ TORRES FERNANDO</t>
  </si>
  <si>
    <t>MALECON SAN JOSE S/N - MAZAN</t>
  </si>
  <si>
    <t>10707598498</t>
  </si>
  <si>
    <t>QUISPE HUARANCCA ARNOLD ANIBAL</t>
  </si>
  <si>
    <t>CALLE.URUBAMBA MZ 9 LT 17 - ATALAYA</t>
  </si>
  <si>
    <t>10707630502</t>
  </si>
  <si>
    <t>VASQUEZ GARCIA JOSE MELCHOR</t>
  </si>
  <si>
    <t>ZAMORA N 600</t>
  </si>
  <si>
    <t>10707702074</t>
  </si>
  <si>
    <t>BERRU ACOSTA CESAR</t>
  </si>
  <si>
    <t>CALLE RIOJA MZ. 32 LT. 17 - ATALAYA</t>
  </si>
  <si>
    <t>10707827241</t>
  </si>
  <si>
    <t>CARDENAS TORRES ERIKA VANESSA</t>
  </si>
  <si>
    <t>JR. FREDDY ALIAGA 705 - TOCACHE</t>
  </si>
  <si>
    <t>10707916872</t>
  </si>
  <si>
    <t>RUIZ ARBILDO MARCO ANTONIO</t>
  </si>
  <si>
    <t>JR.BRASILIA 591</t>
  </si>
  <si>
    <t>10709104271</t>
  </si>
  <si>
    <t>KURIYAMA TAFUR EDGAR FRANCISCO</t>
  </si>
  <si>
    <t>10709239886</t>
  </si>
  <si>
    <t>PINEDO ALVIS RAI ANDRE</t>
  </si>
  <si>
    <t>CALLE MAGDALENA NUEVA</t>
  </si>
  <si>
    <t>10709295794</t>
  </si>
  <si>
    <t>SOLSOL MACEDO JUAN GERMAN</t>
  </si>
  <si>
    <t>URBANIZACION VILLA HERMOZA - MORALES - SAN MARTIN - SAN MARTIN</t>
  </si>
  <si>
    <t>10709423512</t>
  </si>
  <si>
    <t>MESTANZA TORRES ERIC</t>
  </si>
  <si>
    <t>PSJE. MARTIREZ DE LA DEMOCRACIA MZ.E LT. 24 - BELEN</t>
  </si>
  <si>
    <t>10710162021</t>
  </si>
  <si>
    <t>AHUANARI AQUITUARI GREISY CECITA</t>
  </si>
  <si>
    <t>10710604695</t>
  </si>
  <si>
    <t>PAOLO MARTIN VALDIZAN NUÑEZ</t>
  </si>
  <si>
    <t>CALLE 16 DE JULIO 172</t>
  </si>
  <si>
    <t>10710741048</t>
  </si>
  <si>
    <t>DOMINGUEZ PONCE SEGUNDO ALFONSO</t>
  </si>
  <si>
    <t>JR. JORGE CHAVEZ 389 - TOCACHE</t>
  </si>
  <si>
    <t>10710988833</t>
  </si>
  <si>
    <t>CORONEL HUAMAN GERSON JEREL</t>
  </si>
  <si>
    <t>AV.  HEROES DEL CENEPA N 1600 BAGUA CHICA</t>
  </si>
  <si>
    <t>10711057850</t>
  </si>
  <si>
    <t>SHICA SALINAS FRANCO FEDERICO</t>
  </si>
  <si>
    <t>JR. LIMA #103</t>
  </si>
  <si>
    <t>10711182603</t>
  </si>
  <si>
    <t>REATEGUI PEREZ JEFERSON PEDRO</t>
  </si>
  <si>
    <t>CAL MALECON S/N - TROMPETEROS</t>
  </si>
  <si>
    <t>10711987512</t>
  </si>
  <si>
    <t>DUEÑAS MORALES ISIDORA</t>
  </si>
  <si>
    <t>10712041060</t>
  </si>
  <si>
    <t>TORRES OROCHE ARIANA THALIA</t>
  </si>
  <si>
    <t>AV. AUGUSTO FREYRE</t>
  </si>
  <si>
    <t>10712754511</t>
  </si>
  <si>
    <t>AREVALO MEGO JEAN CHRISTIAN</t>
  </si>
  <si>
    <t>JR. RICARDO PALMA 735</t>
  </si>
  <si>
    <t>10715645705</t>
  </si>
  <si>
    <t xml:space="preserve">MIGUEL ANGEL PEREZ GARCIA </t>
  </si>
  <si>
    <t>CAL. ARICA N 976</t>
  </si>
  <si>
    <t>10717823422</t>
  </si>
  <si>
    <t>ALEX FRANK PIRCA ESTRELLA</t>
  </si>
  <si>
    <t>PROLONGACIÓN TARMA 323 - LA MERCED</t>
  </si>
  <si>
    <t>10718362372</t>
  </si>
  <si>
    <t>SINARAHUA GONZALES HARLEY</t>
  </si>
  <si>
    <t>JR. RAMON CASTILLA N 480 - TARAPOTO - SAN MARTIN - SAN MARTIN</t>
  </si>
  <si>
    <t>10718803557</t>
  </si>
  <si>
    <t>GALARZA LEON JUAN CARLOS</t>
  </si>
  <si>
    <t>AV. AUGUSTO HILSER  368 - SATIPO</t>
  </si>
  <si>
    <t>10718899392</t>
  </si>
  <si>
    <t>YAP GARCIA RODOLFO</t>
  </si>
  <si>
    <t>JR LA CONDAMINE 785</t>
  </si>
  <si>
    <t>10719156466</t>
  </si>
  <si>
    <t>ESPEZA CURI BRYAN</t>
  </si>
  <si>
    <t xml:space="preserve">AV. 06 DE AGOSTO S/N - S.M. DE PANGOA </t>
  </si>
  <si>
    <t>10719577585</t>
  </si>
  <si>
    <t>CRUZ NAVARRO NILTON</t>
  </si>
  <si>
    <t>CARRETERA MARGINAL S/N CP  ALIANZA , PAMPA HERMOA, ALTO AMAZONAS, LORETO</t>
  </si>
  <si>
    <t>SAMM</t>
  </si>
  <si>
    <t>10719744783</t>
  </si>
  <si>
    <t>PONGO RAFAEL YENITS MAHIYUMI</t>
  </si>
  <si>
    <t>AV DEL PANGOA 720 MAZAMARI</t>
  </si>
  <si>
    <t>10720052089</t>
  </si>
  <si>
    <t>BERDUSCO HUANACO YANET LOZAIDA</t>
  </si>
  <si>
    <t>CA. AGUANOS N S/N MZ. O LT. 1B</t>
  </si>
  <si>
    <t>10720331344</t>
  </si>
  <si>
    <t>SANCHEZ CRUZ JOSE YOBER</t>
  </si>
  <si>
    <t>--AV.MARGINAL MZA 42 LTE 7 CP.ALIANZA</t>
  </si>
  <si>
    <t>10721771933</t>
  </si>
  <si>
    <t>MURAYARI CORDOVA VERONICA MIGUELINA</t>
  </si>
  <si>
    <t>LOS ROSALES MZ A LT 34 IQUITOS</t>
  </si>
  <si>
    <t>10721988347</t>
  </si>
  <si>
    <t>HUAMAN VERGARA SUSAN MARY</t>
  </si>
  <si>
    <t>CAL. 15 DE JUNIO C-21 B AH SIMON BOLIVAR</t>
  </si>
  <si>
    <t>10722112224</t>
  </si>
  <si>
    <t>LAZO ACOSTA LUIS ABEL</t>
  </si>
  <si>
    <t>Prolongacion Calvo de Araujo Mz B lt 3 - Pampa Chica</t>
  </si>
  <si>
    <t>10722287521</t>
  </si>
  <si>
    <t>ROJAS MALDONADO DANICA WINY NELIDA</t>
  </si>
  <si>
    <t>JR. PROGRESO 202 SAN</t>
  </si>
  <si>
    <t>10723515098</t>
  </si>
  <si>
    <t>SOTO PEREYRA MARIANA LUDITH</t>
  </si>
  <si>
    <t>JR AGUAYTI 1 CUADRA</t>
  </si>
  <si>
    <t>10723712748</t>
  </si>
  <si>
    <t>TRANSPORTE DE CARGA NOHAT</t>
  </si>
  <si>
    <t>CALLE 4 DE AGOSTO MZ B LT 12</t>
  </si>
  <si>
    <t>10724168405</t>
  </si>
  <si>
    <t>MATUTE VALLES CAROL JESSENIA</t>
  </si>
  <si>
    <t>JR CABO ALBERTO N 105 - TARAPOTO</t>
  </si>
  <si>
    <t>10726197925</t>
  </si>
  <si>
    <t>LOPEZ HUAMAN SANDRA VENESSA</t>
  </si>
  <si>
    <t>AV. ALFONSO HUGARTE CDRA 7 - TARAPOTO</t>
  </si>
  <si>
    <t>10726897528</t>
  </si>
  <si>
    <t>GARCIA CORDOVA BRIAN JORDAN</t>
  </si>
  <si>
    <t>CAR. IQUITOS - NAUTA KM. 1.5 LOS TRINFADORES MZ-A - SAN JUAN</t>
  </si>
  <si>
    <t>10727577098</t>
  </si>
  <si>
    <t>FUMACHI SILVA PRISSILA KARINA</t>
  </si>
  <si>
    <t>JR. ABUJAO MZA. Ñ LT. 25 - CALLERIA</t>
  </si>
  <si>
    <t>10728073646</t>
  </si>
  <si>
    <t>FERNANDEZ VIZCONDE KEVIN SMITH</t>
  </si>
  <si>
    <t>CART.A oasis sector cumbacillo cdra. 02 morales-san Martin</t>
  </si>
  <si>
    <t>10728105441</t>
  </si>
  <si>
    <t>PINEDO ROJAS GERARDO MANUEL</t>
  </si>
  <si>
    <t>10728419640</t>
  </si>
  <si>
    <t>VELA ASPAJO SHEYLA XIMENA</t>
  </si>
  <si>
    <t>10728936512</t>
  </si>
  <si>
    <t>GUERRA ALVAREZ MELVA MAYLETH</t>
  </si>
  <si>
    <t>CALLE GENERAL MERINO  564</t>
  </si>
  <si>
    <t>10731898842</t>
  </si>
  <si>
    <t>KEVIN REYMAN CASTILLO ADRIANZEN</t>
  </si>
  <si>
    <t>17 DE JUNIO MZ D LT 39 -PUNCHANA</t>
  </si>
  <si>
    <t>10733628397</t>
  </si>
  <si>
    <t>CHAMBILLA SANCHEZ PREYSI</t>
  </si>
  <si>
    <t>PICHARI LA CONVENCION CUZCO</t>
  </si>
  <si>
    <t>10734444486</t>
  </si>
  <si>
    <t>FIORELLA ROSA ELVIRA HOLGUIN SAAVEDRA</t>
  </si>
  <si>
    <t>JR. 9 DE DICIEMBRE-CALLERIA-C.PORTILLO-UCAYALI</t>
  </si>
  <si>
    <t>10734829361</t>
  </si>
  <si>
    <t>ESPINOZA MATSUO KEIKO MIDORI</t>
  </si>
  <si>
    <t>AV DEL PANGOA SN MAZAMARI</t>
  </si>
  <si>
    <t>10736422005</t>
  </si>
  <si>
    <t>RIVERA YAICATE AMERICO</t>
  </si>
  <si>
    <t>AV PARTICIPACION 10</t>
  </si>
  <si>
    <t>10736581189</t>
  </si>
  <si>
    <t>CONTRERAS CAHUANA CHRISTIAN FELIPE</t>
  </si>
  <si>
    <t>10736639675</t>
  </si>
  <si>
    <t>DIAZ OLIVERA RUBEN</t>
  </si>
  <si>
    <t>JR. LAGARTO MZA. H2 LT. 5 - NUEVA REQUENA</t>
  </si>
  <si>
    <t>NUEVA REQUENA</t>
  </si>
  <si>
    <t>10737691794</t>
  </si>
  <si>
    <t>VASQUEZ CHUQUE DEYVIS JAVIER</t>
  </si>
  <si>
    <t>JIRÓN ALONSO DE ALVARADO 636 - TARAPOTO - SAN MARTIN - SAN MARTIN</t>
  </si>
  <si>
    <t>10738454800</t>
  </si>
  <si>
    <t>RAMOS LEYVA JUNIOR SMITH</t>
  </si>
  <si>
    <t>JR.GERMAN RENGIFO CUADRA</t>
  </si>
  <si>
    <t>10739621416</t>
  </si>
  <si>
    <t>DEL CASTILLO PLASENCIA NAYELY YASMINE</t>
  </si>
  <si>
    <t>JR 09 DE DICIEMBRE # 640 - PICHANAQUI</t>
  </si>
  <si>
    <t>10739623711</t>
  </si>
  <si>
    <t>CRUZ NAVARRO WILSER</t>
  </si>
  <si>
    <t>AV. MARGINAL</t>
  </si>
  <si>
    <t>10740665214</t>
  </si>
  <si>
    <t>BONILLA CONDORI ANDREA ESTEFANI</t>
  </si>
  <si>
    <t>AV JUAN SANTOS S/N SAN RAMON CHANCHAMAYO JUNIN</t>
  </si>
  <si>
    <t>10740672466</t>
  </si>
  <si>
    <t>SAAVEDRA GOMEZ SANDRO</t>
  </si>
  <si>
    <t>-CIRCUVALACION CDR:11-TARAPOTO</t>
  </si>
  <si>
    <t>10740741310</t>
  </si>
  <si>
    <t>FLORES MELENDEZ CARLOS OSMAR</t>
  </si>
  <si>
    <t>AA.HH VIRGEN DE FATIMA MZ A TL 4</t>
  </si>
  <si>
    <t>10741567518</t>
  </si>
  <si>
    <t>QUINTANILLA PORRAS ABEL</t>
  </si>
  <si>
    <t>AV MICAELA BASTIDAS 379 - PICHANAKI CHANCHAMAYO JUNI</t>
  </si>
  <si>
    <t>10742236213</t>
  </si>
  <si>
    <t>CASAS RUIZ HELEN AOELEON</t>
  </si>
  <si>
    <t>PSJE QUIÑONEZ 206 MORONACOCHA</t>
  </si>
  <si>
    <t>10743162248</t>
  </si>
  <si>
    <t>ASAYAC MURRIETA ANSTHONG BEDER</t>
  </si>
  <si>
    <t>CALLE PATRICIA LOZANO SN - CABALLOCOCHA</t>
  </si>
  <si>
    <t>10743495930</t>
  </si>
  <si>
    <t>CASTILLO ZUÑIGA JOSE ALEXANDER</t>
  </si>
  <si>
    <t>JR- SANTA ROSA - SAN IGNACIO-CAJAMARCA</t>
  </si>
  <si>
    <t>10743541923</t>
  </si>
  <si>
    <t>ZARATE ESPIRITU NAYSHA ESMERALDA</t>
  </si>
  <si>
    <t>AV TUPAC AMARU MZ17 LT8 SIEMRPE UNIDOS 2 MANANTAY</t>
  </si>
  <si>
    <t>10743658006</t>
  </si>
  <si>
    <t>ECHEVARRIA PIZANGO DE VARGAS CANDI THALIA</t>
  </si>
  <si>
    <t>AV LOS GIRALOSOLES MZ17, LT15 CALLERIA</t>
  </si>
  <si>
    <t>10743993522</t>
  </si>
  <si>
    <t>NAVARRO BECERRA JENNY TALITA</t>
  </si>
  <si>
    <t>AV TUPAC AMARU MZ 37 LT 28</t>
  </si>
  <si>
    <t>10744109766</t>
  </si>
  <si>
    <t>FERREIRA CRUZADO CESIA NOEMI</t>
  </si>
  <si>
    <t>AV. CURIMANA MZ. 24 LT. 01D - CURIMANA</t>
  </si>
  <si>
    <t>10745049759</t>
  </si>
  <si>
    <t>INGA APOLINARIO FRANK ANTHONI</t>
  </si>
  <si>
    <t>JR. URUBAMBA S/N</t>
  </si>
  <si>
    <t>10745921294</t>
  </si>
  <si>
    <t>DIAZ VARGAS LESLIE FIORELLA</t>
  </si>
  <si>
    <t>JR. ATAHUALPA NRO 12 INT. 04 O.J ALIANZA</t>
  </si>
  <si>
    <t>10745955164</t>
  </si>
  <si>
    <t>PEREZ ISUIZA MARCOS</t>
  </si>
  <si>
    <t>CAL.CONTAMINE N.317</t>
  </si>
  <si>
    <t>10748116686</t>
  </si>
  <si>
    <t>FLORES GUERRA DEIVIT</t>
  </si>
  <si>
    <t>10748116688</t>
  </si>
  <si>
    <t>AV. NAVARRO CAUPER Nº 567</t>
  </si>
  <si>
    <t>10748866723</t>
  </si>
  <si>
    <t>URIARTE GUERRERO JUAN ALEXANDER</t>
  </si>
  <si>
    <t>AVENIDA MARISCAL CASTILLA N 1617 - JAEN - JAÉN - CAJAMARCA</t>
  </si>
  <si>
    <t>10748982073</t>
  </si>
  <si>
    <t>SATALAYA PUA ANDY CALIXTO</t>
  </si>
  <si>
    <t>Malecon Shanusi N 456</t>
  </si>
  <si>
    <t>10749941427</t>
  </si>
  <si>
    <t>MARTEL PONCE CHARLES ROMARIO</t>
  </si>
  <si>
    <t>JR 28 DE JULIO 728-HUANUCO</t>
  </si>
  <si>
    <t>10751084914</t>
  </si>
  <si>
    <t>ASIPALI CHOTA FRANK WILLER</t>
  </si>
  <si>
    <t>JOSE OLAYA 333 SAN JUAN -YURIMAGUAS</t>
  </si>
  <si>
    <t>10752603605</t>
  </si>
  <si>
    <t>CCALA GARCIA MELISSA ESTHEFANY</t>
  </si>
  <si>
    <t>10755653620</t>
  </si>
  <si>
    <t>PAIMA SANDA GREYSI VANESA</t>
  </si>
  <si>
    <t>CALLE REQUENA 331</t>
  </si>
  <si>
    <t>10756650187</t>
  </si>
  <si>
    <t>CRUZ QUINTOS LIDUVINA</t>
  </si>
  <si>
    <t>AV. MARGINAL S/N - PACAYZAPA - ALONSO DE ALVARADO - LAMAS - SAN MARTIN</t>
  </si>
  <si>
    <t>10757345817</t>
  </si>
  <si>
    <t>RAMIREZ SILVA MERLY EDITH</t>
  </si>
  <si>
    <t>JR. AMAZONAS N 111-MENDOZA-RODRIGUEZ DE MENDOZA-AMAZONAS</t>
  </si>
  <si>
    <t>10758232544</t>
  </si>
  <si>
    <t>RAMIREZ ALVARADO GURITH PATRICK</t>
  </si>
  <si>
    <t>CARRETERA IQUITOS-NAUTA</t>
  </si>
  <si>
    <t>10759484067</t>
  </si>
  <si>
    <t>CHAVEZ AVILA LUIS CRISTHIAN</t>
  </si>
  <si>
    <t>VENTA AL POR MAYOR DE OTROS TIPOS DE MAQUINARIA Y EQUIPO</t>
  </si>
  <si>
    <t>JR. MARTINEZ DE COMPAGÑON Nº 631 - TARAPOTO - SAN MARTIN - SAN MARTIN</t>
  </si>
  <si>
    <t>10759744913</t>
  </si>
  <si>
    <t>GUEVARA SAMAME EZEQUIEL</t>
  </si>
  <si>
    <t>JR FRANCISCO DEL AGUILA MZ A139 LT 3A</t>
  </si>
  <si>
    <t>10760441517</t>
  </si>
  <si>
    <t>GARCIA PADILLA LORENA XIOMARA</t>
  </si>
  <si>
    <t>PSJE. PHILIPS MZ- A LT. 25</t>
  </si>
  <si>
    <t>10760633327</t>
  </si>
  <si>
    <t>CCASANI ROJAS ALEX JUAN</t>
  </si>
  <si>
    <t>MERCADO MICAELA BASTIDAS</t>
  </si>
  <si>
    <t>10761275122</t>
  </si>
  <si>
    <t>RUIZ GONZALES JUDITH ESTHAYSY</t>
  </si>
  <si>
    <t>JR. BOLIVAR CDRA. 01 - OXAPAMPA</t>
  </si>
  <si>
    <t>10761524181</t>
  </si>
  <si>
    <t>BERRIOS AMACIFUEN KELITA</t>
  </si>
  <si>
    <t>VENTA DE PARTES PIEZAS Y ACCESORIOS PARA VEHÍCULOS AUTOMOTORES</t>
  </si>
  <si>
    <t>AV.LORETO N 504 - SAPOSOA - HUALLAGA - SAN MARTIN</t>
  </si>
  <si>
    <t>10761812195</t>
  </si>
  <si>
    <t>ALIAGA CUADROS HELEN STEFANI</t>
  </si>
  <si>
    <t>JR. SEMINARIO S/N - SEPAHUA</t>
  </si>
  <si>
    <t>10762428658</t>
  </si>
  <si>
    <t>CHAVEZ PARIAGUACHE CARLA LUZ</t>
  </si>
  <si>
    <t>AV MARINO MELGAR 979 - BAGUA GRANDE</t>
  </si>
  <si>
    <t>43010132</t>
  </si>
  <si>
    <t>10762461787</t>
  </si>
  <si>
    <t>MONTERO INUMA NANY ELIZABETH</t>
  </si>
  <si>
    <t>CAL. GARCILAZO DE LA VEGA 311 - YURIMAGUAS</t>
  </si>
  <si>
    <t>10762670017</t>
  </si>
  <si>
    <t>ABANTO JIMENEZ BLADIMIR</t>
  </si>
  <si>
    <t>CABO PANTOJA S/N - MAZAN</t>
  </si>
  <si>
    <t>10765024205</t>
  </si>
  <si>
    <t>RAMOS CALDERON ENER</t>
  </si>
  <si>
    <t>AV SAN JACINTO 29 - SANTA ANA - PERENE</t>
  </si>
  <si>
    <t>10765555618</t>
  </si>
  <si>
    <t>FERNANDEZ HERRERA EARLINI YOBELI</t>
  </si>
  <si>
    <t>AV UNION S/N - RIO SANTIAGO</t>
  </si>
  <si>
    <t>10766136309</t>
  </si>
  <si>
    <t>PASQUEL HERNANDEZ EMILY ODALIZ</t>
  </si>
  <si>
    <t>10766623528</t>
  </si>
  <si>
    <t>MONTOYA QUIROZ JOHN DAVID</t>
  </si>
  <si>
    <t>INCA ROCA 189</t>
  </si>
  <si>
    <t>10767277801</t>
  </si>
  <si>
    <t>HUARANCCA MACURI KATHERINE FAVIOLA</t>
  </si>
  <si>
    <t>JR. JAUJA MZ. 16 LT. 02 TOURNAVISTA</t>
  </si>
  <si>
    <t>10768111451</t>
  </si>
  <si>
    <t>SINARAHUA TAPULLIMA BILL CLINTON</t>
  </si>
  <si>
    <t>JR. JIMENEZ PIMENTEL Nº 803 - TARAPOTO - SAN MARTIN - SAN MARTIN</t>
  </si>
  <si>
    <t>10769755981</t>
  </si>
  <si>
    <t>ARELLANO MAMANI ALEXANDER</t>
  </si>
  <si>
    <t>CALLE URUBAMBA MZ. 6 LT.9 - ATALAYA</t>
  </si>
  <si>
    <t>10770045</t>
  </si>
  <si>
    <t>LOPEZ SUAREZ DE PEÑA MARLENE ELIZABETH</t>
  </si>
  <si>
    <t>10770463390</t>
  </si>
  <si>
    <t>OLIVARES EUSTAQUIO CESAR AUGUSTO</t>
  </si>
  <si>
    <t>AV NESHUYA MZ 1 LT 11</t>
  </si>
  <si>
    <t>10770608541</t>
  </si>
  <si>
    <t>REATEGUI VIZCARRA MARIA ELIZABETH</t>
  </si>
  <si>
    <t>JR. LOS LIBERTADORES N 191-YARINACOCHA-C.PORTILLO-UCAYALI</t>
  </si>
  <si>
    <t>10771452138</t>
  </si>
  <si>
    <t>PEZO SIFUENTES MIRIAM LUCIA</t>
  </si>
  <si>
    <t>-JR LAS FLORES MZ2LT7-YARINACOCHA</t>
  </si>
  <si>
    <t>10771712857</t>
  </si>
  <si>
    <t>MONDRAGON OLANO DAWER STALY</t>
  </si>
  <si>
    <t>VENTA AL POR MENO DE FERRETERIA</t>
  </si>
  <si>
    <t>JR. LIBERTAD C/ JR. SANTA ROSA S/N - NUEVA CAJAMARCA, RIOJA, SAN MARTIN</t>
  </si>
  <si>
    <t>10771727439</t>
  </si>
  <si>
    <t>AQUINO VARGAS SHEILA MILAGROS KETEL</t>
  </si>
  <si>
    <t>-JR 28 DE JULIO 706</t>
  </si>
  <si>
    <t>10772821111</t>
  </si>
  <si>
    <t>QUIJAITE DAMIAN JOSE FERNANDO</t>
  </si>
  <si>
    <t>AV.28 DE JULIO 112 ESQUINA CON JIRON CALLAO</t>
  </si>
  <si>
    <t>10773318242</t>
  </si>
  <si>
    <t>HUAMAN ANTICONA WILSON YHONATAN</t>
  </si>
  <si>
    <t>VENTA DE REPUESTOS</t>
  </si>
  <si>
    <t>JR. VIRGEN NATIVIDAD S/N - POSIC - RIOJA - SAN MARTIN</t>
  </si>
  <si>
    <t>POSIC</t>
  </si>
  <si>
    <t>RC</t>
  </si>
  <si>
    <t>10774773415</t>
  </si>
  <si>
    <t>MARICARMEN VARGAS PEÑA</t>
  </si>
  <si>
    <t>CALLE GARCILAZO DE LA VEGA 320</t>
  </si>
  <si>
    <t>10774831971</t>
  </si>
  <si>
    <t>SAGASTEGUI VARILLA MIRIAN CARMELI</t>
  </si>
  <si>
    <t>JR SIMON BOLIVAR</t>
  </si>
  <si>
    <t>10774928052</t>
  </si>
  <si>
    <t>DELGADO PEREZ SOHONER SMITH</t>
  </si>
  <si>
    <t xml:space="preserve">JR:CORONEL SACADA N°255-MOYOBAMBA </t>
  </si>
  <si>
    <t>10776726546</t>
  </si>
  <si>
    <t>CAYETANO FLORES CHRISTIAN YHUNA</t>
  </si>
  <si>
    <t>AV LAS AMERICAS 520 - AUCAYACU</t>
  </si>
  <si>
    <t>10776775130</t>
  </si>
  <si>
    <t>GUEVARA DIAZ JHEYSON JUVENAL</t>
  </si>
  <si>
    <t>AV. CHACHAPOYAS 3840 - BAGUA GRANDE - UTCUBAMBA - AMAZONAS</t>
  </si>
  <si>
    <t>10781162642</t>
  </si>
  <si>
    <t>ARIAS LUCERO IRMA</t>
  </si>
  <si>
    <t>AV MARGINAL MZA LT9 PICHANAKI CHANCHAMAYO JUNIN</t>
  </si>
  <si>
    <t>10785513008</t>
  </si>
  <si>
    <t>ABAD RIVERA JOIS SHIRLEY</t>
  </si>
  <si>
    <t>JR CAYUMBA 284 TINGO MARIA</t>
  </si>
  <si>
    <t>10785966142</t>
  </si>
  <si>
    <t>SANGAMA TUANAMA JERRI</t>
  </si>
  <si>
    <t>CALL. SIMON BOLIVAR #719</t>
  </si>
  <si>
    <t>10788863786</t>
  </si>
  <si>
    <t>CASTRO REQUEJO JHUNIOR SMITH</t>
  </si>
  <si>
    <t>CALLE GARCILAZO DE LA VEGA N 412</t>
  </si>
  <si>
    <t>10801246571</t>
  </si>
  <si>
    <t>ABONO MEDRANA OLGA</t>
  </si>
  <si>
    <t>JIRÓN SAN MARTIN 780</t>
  </si>
  <si>
    <t>10802191206</t>
  </si>
  <si>
    <t>VELASCO RAMIREZ LUZ NOEMI</t>
  </si>
  <si>
    <t>JR. AUGUSTO B. LEGUIA  Nº 449 - BELLAVISTA - BELLAVISTA - SAN MARTIN</t>
  </si>
  <si>
    <t>10802673936</t>
  </si>
  <si>
    <t>SUAREZ SOLANO GILMER</t>
  </si>
  <si>
    <t>JR. LAS FLORES N 802 - SORITOR-MOYOBAMBA-SAN MARTIN</t>
  </si>
  <si>
    <t>10802979156</t>
  </si>
  <si>
    <t>RENGIFO TEJEDO WILLMAN ISAMAR</t>
  </si>
  <si>
    <t>AV.LA MARINA 381</t>
  </si>
  <si>
    <t>10803049594</t>
  </si>
  <si>
    <t>CARDENAS HIDALGO SAMUEL</t>
  </si>
  <si>
    <t>CALLE PADRE LUCERO MZ P LT 1 A - LAGUNAS</t>
  </si>
  <si>
    <t>10803135318</t>
  </si>
  <si>
    <t>GURIZ TANCHIVA KIQUER</t>
  </si>
  <si>
    <t>10803289986</t>
  </si>
  <si>
    <t>MACEDO MOZOMBITE FIDEL</t>
  </si>
  <si>
    <t>CALLE LOS VENCEDORES -42</t>
  </si>
  <si>
    <t>10803297571</t>
  </si>
  <si>
    <t>GRANDEZ CHAVEZ ULISES</t>
  </si>
  <si>
    <t>LOS LAURELES</t>
  </si>
  <si>
    <t>10803944810</t>
  </si>
  <si>
    <t>VILLOSLADA CLAVO ABEL</t>
  </si>
  <si>
    <t>AV. PRINCIPAL S/N SARAMIRIZA</t>
  </si>
  <si>
    <t>10803946651</t>
  </si>
  <si>
    <t>WONG YEPEZ JORGE ALFONSO</t>
  </si>
  <si>
    <t>PROLONGACION MIRAFLORES 811-SAN JUAN</t>
  </si>
  <si>
    <t>10804270197</t>
  </si>
  <si>
    <t>DIAZ GONGORA MIXY JACQUELINE</t>
  </si>
  <si>
    <t>-AV INTERNACIONAL S/N</t>
  </si>
  <si>
    <t>10804336201</t>
  </si>
  <si>
    <t>BARBOZA MEJIA NOLBERTO</t>
  </si>
  <si>
    <t>JULIO C. PINEDO Nº160-YURIMAGGUAS</t>
  </si>
  <si>
    <t>10804622361</t>
  </si>
  <si>
    <t>GUEVARA OROZCO HENRY JACSON</t>
  </si>
  <si>
    <t>PSJE. BERMUDEZ - SARAMURO</t>
  </si>
  <si>
    <t>10805009298</t>
  </si>
  <si>
    <t>REVILLA VASQUEZ LEIDY PATRICIA</t>
  </si>
  <si>
    <t>RICARDO PALMA CDRA.9 S/N TACORA</t>
  </si>
  <si>
    <t>10805063683</t>
  </si>
  <si>
    <t>OJITOS VASQUEZ RONALD</t>
  </si>
  <si>
    <t>JR. VILLA SELVA MZ41 . LT4 YARINACOCHA</t>
  </si>
  <si>
    <t>10805318908</t>
  </si>
  <si>
    <t>NOVOA SAAVEDRA NICKEL AMIN</t>
  </si>
  <si>
    <t>VENTA DE MAQUINARIAS AGRICOLAS</t>
  </si>
  <si>
    <t>JR.  JIMENEZ PIMENTEL Nº 865 - TARAPOTO - SAN MARTIN - SAN MARTIN</t>
  </si>
  <si>
    <t>10805908837</t>
  </si>
  <si>
    <t>ROJAS ECHEVARRIA BLANCA</t>
  </si>
  <si>
    <t>CORNEJO PORTUGAL 2192</t>
  </si>
  <si>
    <t>10806125810</t>
  </si>
  <si>
    <t>GUEVARA REYES JUAN</t>
  </si>
  <si>
    <t>CHIRIACO S/N</t>
  </si>
  <si>
    <t>IMAZA</t>
  </si>
  <si>
    <t>10806670001</t>
  </si>
  <si>
    <t>POZO JABO AURELIO ALBERTO</t>
  </si>
  <si>
    <t>10806712600</t>
  </si>
  <si>
    <t>CABANILLA VENTURA CARLOS AMARO</t>
  </si>
  <si>
    <t>CALLE TOPAL S/N-MAYPUCO</t>
  </si>
  <si>
    <t>10806748752</t>
  </si>
  <si>
    <t>ALVIS GUEVARA MAYTE ELIANE</t>
  </si>
  <si>
    <t>JR TARAPACA CDRA 10 MERCADO 1 PSTO 8</t>
  </si>
  <si>
    <t>10927778</t>
  </si>
  <si>
    <t xml:space="preserve">SIDNEY ORTIZ ALCANTARA </t>
  </si>
  <si>
    <t>11111111111</t>
  </si>
  <si>
    <t>Cliente Generico</t>
  </si>
  <si>
    <t>13276113</t>
  </si>
  <si>
    <t>RONALD GUILLERMO</t>
  </si>
  <si>
    <t>PSJE. SEBASTIAN ORELLANA 111 EL TAMBO HUNCAYO</t>
  </si>
  <si>
    <t>EL TAMBO</t>
  </si>
  <si>
    <t>150084111-7</t>
  </si>
  <si>
    <t>PABLO LIZARDO COX ALOMIA</t>
  </si>
  <si>
    <t>TRANSPORTES</t>
  </si>
  <si>
    <t>COMUNIDAD CABO PANTOJA</t>
  </si>
  <si>
    <t>15282737</t>
  </si>
  <si>
    <t>IVAN MANUEL ROJAS ROSAS</t>
  </si>
  <si>
    <t>CHALHUAHUACHO APURIMAC</t>
  </si>
  <si>
    <t>15602546800</t>
  </si>
  <si>
    <t>FU YONG JUAN</t>
  </si>
  <si>
    <t>CAL. 9 DE DICIEMBRE #231</t>
  </si>
  <si>
    <t>15603496161</t>
  </si>
  <si>
    <t>JHON ALEXANDER VELASCO SILVA</t>
  </si>
  <si>
    <t>10 DE AGOSTO 125</t>
  </si>
  <si>
    <t>15603746896</t>
  </si>
  <si>
    <t>DOMINGUEZ CABALLERO RONALD GUILLERMO</t>
  </si>
  <si>
    <t>PSJE SEBASTIAN ORELLANA 111 EL TAMBO HUNCAYO</t>
  </si>
  <si>
    <t>HUANCAYO</t>
  </si>
  <si>
    <t>15605496161</t>
  </si>
  <si>
    <t>VELASCO SILVA JHON ALEXANDER</t>
  </si>
  <si>
    <t>15607004134</t>
  </si>
  <si>
    <t>CONDORI MAURICIO MARCIAL</t>
  </si>
  <si>
    <t>CAL. RAMIREZ HURTADO # 1220</t>
  </si>
  <si>
    <t>15611406875</t>
  </si>
  <si>
    <t>VIEIRA DA SILVA MARIA EUNICE</t>
  </si>
  <si>
    <t>15655281</t>
  </si>
  <si>
    <t>BUSTIOS CAM MARCO ANTONIO</t>
  </si>
  <si>
    <t>Av Huaura s/n HUAURA – HUACHO – LIMA</t>
  </si>
  <si>
    <t>HUAURA</t>
  </si>
  <si>
    <t>15942005</t>
  </si>
  <si>
    <t>FERNANDO  VILLAJUAN FLORES</t>
  </si>
  <si>
    <t>PUCALLPA</t>
  </si>
  <si>
    <t>16528638</t>
  </si>
  <si>
    <t>CABRERA SANDOVAL VICTOR EDUARDO</t>
  </si>
  <si>
    <t>16651301</t>
  </si>
  <si>
    <t>ESTELA MUNOZ SAUL</t>
  </si>
  <si>
    <t>AV. PAKAMUROS S/N, JAÉN, JAÉN, CAJAMARCA</t>
  </si>
  <si>
    <t>16719937</t>
  </si>
  <si>
    <t>RIVERA ESPINOZA FELIX</t>
  </si>
  <si>
    <t>JR. EDUARDO PEÑA MEZA S/N - JUANJUI - MCAL,CACERES - SAN MARTIN</t>
  </si>
  <si>
    <t>16802316</t>
  </si>
  <si>
    <t>DELGADO CARRANZA EDILBERTO</t>
  </si>
  <si>
    <t>JR. HUALLAGA S/N - BELLAVISTA - BELLAVISTA - SAN MARTIN</t>
  </si>
  <si>
    <t>17193053092</t>
  </si>
  <si>
    <t>DELGADO DE MARRUFO REYNA ISAVEL</t>
  </si>
  <si>
    <t>JR. ANGAIZA 844-RIOJA-RIOJA-SAN MARTIN</t>
  </si>
  <si>
    <t>RIOJA</t>
  </si>
  <si>
    <t>17283477665</t>
  </si>
  <si>
    <t>CONTRERAS ALTEZ ALBERTO</t>
  </si>
  <si>
    <t>JR. URUBAMBA NRO 10 -ATALAYA</t>
  </si>
  <si>
    <t>17311126644</t>
  </si>
  <si>
    <t>DIAZ ALAYO JORGE LUIS</t>
  </si>
  <si>
    <t>AV PROGRESO 252 CALZADA-MOYOBAMBA</t>
  </si>
  <si>
    <t>17426890</t>
  </si>
  <si>
    <t>VICENTE</t>
  </si>
  <si>
    <t>JR. SARGENTO LORES N 225</t>
  </si>
  <si>
    <t>17526002</t>
  </si>
  <si>
    <t>TORRES YAICATE GLORIA</t>
  </si>
  <si>
    <t>17576649</t>
  </si>
  <si>
    <t>CAS. OLLANTA - RIO CHAMBIRA - URARINAS</t>
  </si>
  <si>
    <t>17630579</t>
  </si>
  <si>
    <t>MODESTO  LEIVA SALVADOR</t>
  </si>
  <si>
    <t>17676433</t>
  </si>
  <si>
    <t>OMAR MELENDEZ MARTINEZ</t>
  </si>
  <si>
    <t>SAN ANDRES</t>
  </si>
  <si>
    <t>17805810</t>
  </si>
  <si>
    <t>NICOLAS</t>
  </si>
  <si>
    <t>AV. CAJAMARCA SUR N 700-NUEVA CAJAMARCA-RIOJA-SAN M</t>
  </si>
  <si>
    <t>18158152</t>
  </si>
  <si>
    <t>MARGARITA PRETELL CORDOVA</t>
  </si>
  <si>
    <t>COMERCIO</t>
  </si>
  <si>
    <t xml:space="preserve">JR. TAHUANTINSUYO 818 </t>
  </si>
  <si>
    <t>18198529000</t>
  </si>
  <si>
    <t>CERRON DIAZ JORGE LUIS</t>
  </si>
  <si>
    <t>AV. CAJAMARCA SUR N 700-NUEVA CAJAMARCA-RIOJA-SAN MARTIN</t>
  </si>
  <si>
    <t>18208495</t>
  </si>
  <si>
    <t>PRETEL CORDOVA ELADIO ENRIQUE</t>
  </si>
  <si>
    <t>PROLONGACION IQUITOS 550 JAEN</t>
  </si>
  <si>
    <t>18981740</t>
  </si>
  <si>
    <t>RENGIFO CULQUE JAVIER</t>
  </si>
  <si>
    <t>Caserio Nuevo Horizonte - Alto Huallaga</t>
  </si>
  <si>
    <t>18985852</t>
  </si>
  <si>
    <t>JORGE</t>
  </si>
  <si>
    <t>BARADERO</t>
  </si>
  <si>
    <t>19002647</t>
  </si>
  <si>
    <t>FERNANDO ROGERO RUIZ</t>
  </si>
  <si>
    <t>RICARDO PALMA 460</t>
  </si>
  <si>
    <t>19899885</t>
  </si>
  <si>
    <t>RODRIGO</t>
  </si>
  <si>
    <t>CARRETERA  BELAUNDE TERRY SN -  SUNGARO</t>
  </si>
  <si>
    <t>20076159</t>
  </si>
  <si>
    <t>LUIS CASTILLO MENESES</t>
  </si>
  <si>
    <t>AV. DEL PANGOA 720 - MAZAMARI</t>
  </si>
  <si>
    <t>20100045193</t>
  </si>
  <si>
    <t>DISTRIBUIDORA INCORESA S A</t>
  </si>
  <si>
    <t>CAL. SANTA BERNARDITA NRO. 024 URB. PALOMINO - LIMA LIMA LIMA</t>
  </si>
  <si>
    <t>LIMA</t>
  </si>
  <si>
    <t>20101495338</t>
  </si>
  <si>
    <t>SERVIGER E I R L</t>
  </si>
  <si>
    <t>AV. ENRIQUE MEIGGS NRO. 2800 URB. MIRONES BAJOS - LIMA LIMA LIMA</t>
  </si>
  <si>
    <t>20103794669</t>
  </si>
  <si>
    <t>INSTITUTO DE PROMOCION SOCIAL AMAZONICA</t>
  </si>
  <si>
    <t>CAL. ABTAO NRO 255</t>
  </si>
  <si>
    <t>2010379561</t>
  </si>
  <si>
    <t>EMP REG DE SERV PUBLICO DE ELECTRICIDAD</t>
  </si>
  <si>
    <t>AV. GENERAL EP AUGUSTO FREYRE NRO. 1168 - LORETO MAYNAS IQUITOS</t>
  </si>
  <si>
    <t>20103795631</t>
  </si>
  <si>
    <t>AV. GENERAL EP AUGUSTO FREYRE NRO. 1168 LORETO - MAYNAS - IQUITOS</t>
  </si>
  <si>
    <t>20103912297</t>
  </si>
  <si>
    <t>SERVICIOS Y EQUIPOS AMAZONICOS S.A.C</t>
  </si>
  <si>
    <t>AV. LA MARINA NRO. 486 - LORETO MAYNAS IQUITOS</t>
  </si>
  <si>
    <t>20103921288</t>
  </si>
  <si>
    <t>LORINSA CONTRATISTAS GENERALES S.R.LTDA</t>
  </si>
  <si>
    <t>JR. UCAYALI NRO 357</t>
  </si>
  <si>
    <t>20103941980</t>
  </si>
  <si>
    <t>CONSULTORES VETERINARIOS Y AGRICOLAS SRL</t>
  </si>
  <si>
    <t>AGRO VETERINARIA</t>
  </si>
  <si>
    <t xml:space="preserve">JR. ARICA NRO 901 </t>
  </si>
  <si>
    <t>20103945039</t>
  </si>
  <si>
    <t>CORPORACION HOTELERA Y TURISTICA DEL AMAZONAS S.A. - CHASA</t>
  </si>
  <si>
    <t>JR. RICARDO PALMA NRO. 259 RES. RICARDO PALMA LORETO - MAYNAS - IQUITOS</t>
  </si>
  <si>
    <t>20103964921</t>
  </si>
  <si>
    <t>EXPLORACIONES AMAZONICAS S.A.</t>
  </si>
  <si>
    <t>AV. LA MARINA NRO. 340 (FRENTE A CLINICA ANA STAHL) LORETO - MAYNAS - IQUITOS</t>
  </si>
  <si>
    <t>20103967199</t>
  </si>
  <si>
    <t>COMERCIAL INDUSTRIAL SELVA S.A.</t>
  </si>
  <si>
    <t>JR. ARICA NRO. 340 - LORETO MAYNAS IQUITOS</t>
  </si>
  <si>
    <t>20104102744</t>
  </si>
  <si>
    <t>COMERCIAL SELVA NOR PERUANA S.A.</t>
  </si>
  <si>
    <t>JR. MAYNAS NRO. 265 - SAN MARTÍN SAN MARTÍN TARAPOTO</t>
  </si>
  <si>
    <t>20118474555</t>
  </si>
  <si>
    <t>PRO NAT-FUND PERUANA LA CONSER DE LA NAT</t>
  </si>
  <si>
    <t>CAL. DOñA JUANA NRO. 137 URB. LOS ROSALES - LIMA LIMA SANTIAGO DE SURCO</t>
  </si>
  <si>
    <t>Surco</t>
  </si>
  <si>
    <t>20131365994</t>
  </si>
  <si>
    <t>INSTITUTO NACIONAL DE INNOVACION AGRARIA</t>
  </si>
  <si>
    <t>AV. LA MOLINA NRO. 1981 - LIMA LIMA LA MOLINA</t>
  </si>
  <si>
    <t>La Molina</t>
  </si>
  <si>
    <t>20131369981</t>
  </si>
  <si>
    <t>INSTITUTO NACIONAL DE ESTAD. E INFORMATI</t>
  </si>
  <si>
    <t>JR PUTUMAYO 173</t>
  </si>
  <si>
    <t>20131373075</t>
  </si>
  <si>
    <t>SERVICIO NACIONAL DE SANIDAD AGRARIA</t>
  </si>
  <si>
    <t>CALLE MIRAFLORES SN SECTOR 09 DE OCTUBRE</t>
  </si>
  <si>
    <t>20137431182</t>
  </si>
  <si>
    <t>DIACONIA, ASOCIACION EVANGELICA LUTERANA DE AYUDA PARA EL DESARROLLO COMUNAL</t>
  </si>
  <si>
    <t>JR. GENERAL ORBEGOSO NRO. 728 - LIMA LIMA BREÑA</t>
  </si>
  <si>
    <t>Breña</t>
  </si>
  <si>
    <t>20137894107</t>
  </si>
  <si>
    <t>CENTRO DE INVESTIGACION Y PROMOCION POPULAR</t>
  </si>
  <si>
    <t>JR. GREGORIO PAREDES NRO. 161 - LIMA LIMA PUEBLO LIBRE</t>
  </si>
  <si>
    <t>PUEBLO LIBRE</t>
  </si>
  <si>
    <t>20138684173</t>
  </si>
  <si>
    <t>CTRO.P.EL DES.DEL INDIG AMAZONICO CEDIA</t>
  </si>
  <si>
    <t>PJ. BONIFACIO NRO 166 URB. LOS ROSALES DE STA.R</t>
  </si>
  <si>
    <t>Canta</t>
  </si>
  <si>
    <t>20153408191</t>
  </si>
  <si>
    <t>MARINA DE GUERRA DEL PERU</t>
  </si>
  <si>
    <t>AV. LA MARINA S/N</t>
  </si>
  <si>
    <t>20159981216</t>
  </si>
  <si>
    <t>PODER JUDICIAL</t>
  </si>
  <si>
    <t>AV. NICOLAS DE PIEROLA NRO. 745 - LIMA LIMA LIMA</t>
  </si>
  <si>
    <t>20173193450</t>
  </si>
  <si>
    <t>CONSERVACION NATURALEZA AMAZONICA PERU A</t>
  </si>
  <si>
    <t>AV. LA MARINA NRO 340</t>
  </si>
  <si>
    <t>20176709139</t>
  </si>
  <si>
    <t>VICARIATO APOSTOLICO SAN JOSE DEL AMAZONAS</t>
  </si>
  <si>
    <t>AV LA MARINA  1487</t>
  </si>
  <si>
    <t>20177662446</t>
  </si>
  <si>
    <t>MUNICIPALIDAD PROVINCIAL DE ALTO AMAZONAS</t>
  </si>
  <si>
    <t>PZA. ARMAS NRO 114</t>
  </si>
  <si>
    <t>20178500083</t>
  </si>
  <si>
    <t>MUNICIPALIDAD DISTRITAL DE NUEVA CAJAMARCA</t>
  </si>
  <si>
    <t>SERVICIOS</t>
  </si>
  <si>
    <t xml:space="preserve">JR. BOLOGNESI 103 </t>
  </si>
  <si>
    <t>20178698843</t>
  </si>
  <si>
    <t>MUNICIPALIDAD DISTRITAL DE INDIANA</t>
  </si>
  <si>
    <t xml:space="preserve">MLC. SAN JOSE NRO S-N </t>
  </si>
  <si>
    <t>20180260316</t>
  </si>
  <si>
    <t>UNIVERSIDAD NACIONAL DE LA AMAZONIA PERUANA</t>
  </si>
  <si>
    <t>CAL. SAN MARCOS NRO. 185 OTR. OTROS - LORETO MAYNAS SAN JUAN BAUTISTA</t>
  </si>
  <si>
    <t>20188775111</t>
  </si>
  <si>
    <t>MUNICIPALIDAD DISTRITAL DE URARINAS</t>
  </si>
  <si>
    <t>CAL. BORJA NRO. 426 - LORETO MAYNAS PUNCHANA</t>
  </si>
  <si>
    <t>20191631057</t>
  </si>
  <si>
    <t>CARITAS DIOCESANA DE IQUITOS</t>
  </si>
  <si>
    <t>MLC. M.TARAPACA NRO 260</t>
  </si>
  <si>
    <t>20201315949</t>
  </si>
  <si>
    <t>MUNICIPALIDAD DISTRITAL DEL PUINAHUA</t>
  </si>
  <si>
    <t>CAL.CALLAO Nª  676 - LORETO MAYNAS IQUITOS</t>
  </si>
  <si>
    <t>20203866497</t>
  </si>
  <si>
    <t>SIMA IQUITOS S R LTDA</t>
  </si>
  <si>
    <t xml:space="preserve">AV. LA MARINA NRO 1079 </t>
  </si>
  <si>
    <t>20207736261</t>
  </si>
  <si>
    <t>P E DESARROLLO INTEGRAL CUENCA RIO PUTUMAYO</t>
  </si>
  <si>
    <t>CALLE YAVARI  870</t>
  </si>
  <si>
    <t>20208084896</t>
  </si>
  <si>
    <t>MUNICIPALIDAD DISTRITAL DE SAN PABLO</t>
  </si>
  <si>
    <t>CALLE MARIE BERNAD NRO S/ ESQUINA CON 9 DE OCTUBRE</t>
  </si>
  <si>
    <t>20215308911</t>
  </si>
  <si>
    <t>MAESTRANZA Y SERVICIOS SOCIEDAD ANONIMA CERRADA</t>
  </si>
  <si>
    <t>AV. LA MARINA NRO 564 APV. GANSO AZUL</t>
  </si>
  <si>
    <t>20220897908</t>
  </si>
  <si>
    <t>MUNICIPALIDAD DISTRITAL DEL TIGRE</t>
  </si>
  <si>
    <t>CALLE DIEGO DE ALMAGRO 437-PUNCHANA</t>
  </si>
  <si>
    <t>20220898114</t>
  </si>
  <si>
    <t>COSECHA EVANGELISTICA EN EL AMAZONAS</t>
  </si>
  <si>
    <t>JR. REQUENA NRO. 350 - LORETO MAYNAS IQUITOS</t>
  </si>
  <si>
    <t>20228535461</t>
  </si>
  <si>
    <t>VENTURA CASTRO E.I.R.L.</t>
  </si>
  <si>
    <t>JR. 7 DE JUNIO NRO. 927 - UCAYALI CORONEL PORTILLO CALLERIA</t>
  </si>
  <si>
    <t>20261430470</t>
  </si>
  <si>
    <t>PROFONANPE</t>
  </si>
  <si>
    <t>PARQUE GONZALES PRADA 396 Y JIRON FELIX DIBOS 400</t>
  </si>
  <si>
    <t>Magdalena del Mar</t>
  </si>
  <si>
    <t>20280300021</t>
  </si>
  <si>
    <t>TRANSPORTES JUPITER SRL</t>
  </si>
  <si>
    <t>AV. LA MARINA NRO. 2067 - LORETO MAYNAS PUNCHANA</t>
  </si>
  <si>
    <t>20280536734</t>
  </si>
  <si>
    <t>INSTITUTO DE EDUCACION SUPERIOR TECNOLOGICO PUBLICO AMAZONAS</t>
  </si>
  <si>
    <t>CAR. CARRETERA NRO. 3.5 ---- CARRETERA YURIMA-TARAPOTO - LORETO ALTO AMAZONAS YURIMAGUAS</t>
  </si>
  <si>
    <t>20280627969</t>
  </si>
  <si>
    <t>A &amp; E TOURS TAHUAYO LODGE EIRL</t>
  </si>
  <si>
    <t>AV. LA MARINA NRO. 100 - LORETO MAYNAS IQUITOS</t>
  </si>
  <si>
    <t>20280659739</t>
  </si>
  <si>
    <t>CONSORCIO AGROPECUARIO LAGUNAS S.A.</t>
  </si>
  <si>
    <t>JR. MARISCAL CASTILLA NRO 109</t>
  </si>
  <si>
    <t>20296637697</t>
  </si>
  <si>
    <t>BIDDLE INC S.A.C.</t>
  </si>
  <si>
    <t>CAL. RICARDO J. ANGULO RAMIREZ NRO. 713 URB. CORPAC - LIMA LIMA SAN ISIDRO</t>
  </si>
  <si>
    <t>San Isidro</t>
  </si>
  <si>
    <t>20309619511</t>
  </si>
  <si>
    <t>COMERCIAL FERRETERA EUROPA E.I.R.LTDA</t>
  </si>
  <si>
    <t>JR. MARIANO GANOZA LT. 1A MZ. 70 - UCAYALI CORONEL PORTILLO CAMPOVERDE</t>
  </si>
  <si>
    <t>20329028471</t>
  </si>
  <si>
    <t>ASOCIACION CIVIL PROYECTO AMAZONAS</t>
  </si>
  <si>
    <t>AV LA MARINA   2288</t>
  </si>
  <si>
    <t>20352487067</t>
  </si>
  <si>
    <t>MULTIVENTAS BERTHA E.I.R.L.</t>
  </si>
  <si>
    <t>JR. UCAYALI NRO. 353 - UCAYALI CORONEL PORTILLO CALLERIA</t>
  </si>
  <si>
    <t>20366372181</t>
  </si>
  <si>
    <t>CENTRO DE EDUCACION TECNICO-PRODUCTIVA RICARDO PALMA</t>
  </si>
  <si>
    <t>CAL. 2 DE MAYO NRO. 1420 - LORETO MAYNAS IQUITOS</t>
  </si>
  <si>
    <t>20366696327</t>
  </si>
  <si>
    <t>PASTORAL SOCIAL CARITAS REQUENA</t>
  </si>
  <si>
    <t>CAL. SAN FRANCISCO NRO. 104 - LORETO REQUENA REQUENA</t>
  </si>
  <si>
    <t>20369007760</t>
  </si>
  <si>
    <t>COMERCIAL EL CHOTANITO SOC. RESP. LTDA.</t>
  </si>
  <si>
    <t>JR. DIEGO PALOMINO NRO 1236 CERCADO - JAÉN - JAÉN - CAJAMARCA</t>
  </si>
  <si>
    <t>20393211653</t>
  </si>
  <si>
    <t>INVERSIONES EL TRIUNFO S.R.L.</t>
  </si>
  <si>
    <t>CAR. FEDERICO BASADRE KL. REF - UCAYALI CORONEL PORTILLO CALLERIA</t>
  </si>
  <si>
    <t>20393223236</t>
  </si>
  <si>
    <t>INSELVA S.A.C.</t>
  </si>
  <si>
    <t>JR. 7 DE JUNIO NRO. 955 URB. CERCADO DE PUCALLPA - UCAYALI CORONEL PORTILLO CALLERIA</t>
  </si>
  <si>
    <t>20393240327</t>
  </si>
  <si>
    <t>INVERSIONES Y REPRESENTACIONES TAS E.I.R.L.</t>
  </si>
  <si>
    <t xml:space="preserve">JR. ELMER FAUCETT NRO 297 URB. CERCADO DE PUCALLPA </t>
  </si>
  <si>
    <t>20393248816</t>
  </si>
  <si>
    <t>REPRESENTACIONES PILLACA E.I.R.L.</t>
  </si>
  <si>
    <t>CAL. RIOJA LT. 14 MZ. 33 - UCAYALI ATALAYA RAYMONDI</t>
  </si>
  <si>
    <t>20393285690</t>
  </si>
  <si>
    <t>ALMIRSA CONTRATISTAS GENERALES S.R.L.</t>
  </si>
  <si>
    <t>JR. SAO PAULO MZA. J LOTE 05 CAS. MARIELA</t>
  </si>
  <si>
    <t>Padre Abad</t>
  </si>
  <si>
    <t>20393375761</t>
  </si>
  <si>
    <t>NEGOCIOS INTEGRALES E.I.R.L</t>
  </si>
  <si>
    <t>JR. 7 DE JUNIO NRO. 1035 - UCAYALI CORONEL PORTILLO CALLERIA</t>
  </si>
  <si>
    <t>20393417359</t>
  </si>
  <si>
    <t>FERRIPLAS E.I.R.L.</t>
  </si>
  <si>
    <t>JR. 7 DE JUNIO NRO. 673 - UCAYALI CORONEL PORTILLO CALLERIA</t>
  </si>
  <si>
    <t>20393546591</t>
  </si>
  <si>
    <t>FERRETERIA JUMELSA S.R.L.</t>
  </si>
  <si>
    <t xml:space="preserve">JR. 7 DE JUNIO NRO 767 URB. CERCADO DE PUCALLPA </t>
  </si>
  <si>
    <t>20393585812</t>
  </si>
  <si>
    <t>FERRETERIA  YOL ANG E.I.R.L.</t>
  </si>
  <si>
    <t>JR. 7 DE JUNIO NRO. 268 - UCAYALI CORONEL PORTILLO CALLERIA</t>
  </si>
  <si>
    <t>20393633990</t>
  </si>
  <si>
    <t>CONSTRUCTORA PREIMAQ SAC</t>
  </si>
  <si>
    <t>AV. LA MARINA N 2203</t>
  </si>
  <si>
    <t>20393657317</t>
  </si>
  <si>
    <t>DISTRIBUIDORA JADES  E.I.R.L.</t>
  </si>
  <si>
    <t>AV. HABILITACION URBANA MUNIC NRO. 387 - UCAYALI CORONEL PORTILLO CALLERIA</t>
  </si>
  <si>
    <t>20393713837</t>
  </si>
  <si>
    <t>GRUPO DAVID EIRL</t>
  </si>
  <si>
    <t>JR. COMANDANTE BARRERA NRO. 861 A.H. BELLAVISTA - UCAYALI CORONEL PORTILLO CALLERIA</t>
  </si>
  <si>
    <t>20393741539</t>
  </si>
  <si>
    <t>DEYMA MOTORS S.A.C.</t>
  </si>
  <si>
    <t xml:space="preserve">JR. 7 DE JUNIO NRO 926 URB. CERCADO DE PUCALLPA </t>
  </si>
  <si>
    <t>20393810875</t>
  </si>
  <si>
    <t>CONSTRUCCIONES BIRI S.A.C.</t>
  </si>
  <si>
    <t>JR. AMAZONAS NRO. 544 - UCAYALI ATALAYA RAYMONDI</t>
  </si>
  <si>
    <t>20393915383</t>
  </si>
  <si>
    <t>FERREMAX CIA S.A.</t>
  </si>
  <si>
    <t>JR. 7 DE JUNIO NRO. 745 - UCAYALI CORONEL PORTILLO CALLERIA</t>
  </si>
  <si>
    <t>20393929252</t>
  </si>
  <si>
    <t>EMPRESA MAGIN PIO S.A.C.</t>
  </si>
  <si>
    <t>CAL. PIURA LT. 19 MZ. H P.J. SACHACHORRO - LORETO LORETO NAUTA</t>
  </si>
  <si>
    <t>20393953391</t>
  </si>
  <si>
    <t>INMOBILIARIA Y SERVICIOS ROJAS RAMIREZ E.I.R.L.</t>
  </si>
  <si>
    <t>CAR. FEDERICO BASADRE LT. 4 MZ. H A.H. AGUSTIN CAUPER VIDEIRA - UCAYALI CORONEL PORTILLO YARINACOCHA</t>
  </si>
  <si>
    <t>20393955091</t>
  </si>
  <si>
    <t>SEGURIPLUS COMPANY S.R.L.</t>
  </si>
  <si>
    <t>PJ. 1 MZA. A LOTE. 12 A.H. 22 DE NOVIEMBRE (A 7 CDRAS DEL COLEGIO PERLA DE YARINA) UCAYALI - CORONEL</t>
  </si>
  <si>
    <t>20393989824</t>
  </si>
  <si>
    <t>DUOAGRICOLA E.I.R.L.</t>
  </si>
  <si>
    <t xml:space="preserve">AV. SIMON BOLIVAR NRO 335 AGUAYTIA </t>
  </si>
  <si>
    <t>20394000737</t>
  </si>
  <si>
    <t>LA CASA DEL MADERERO IMPORT S.R.L.</t>
  </si>
  <si>
    <t>JR. 7 DE JUNIO NRO. 948 - UCAYALI CORONEL PORTILLO CALLERIA</t>
  </si>
  <si>
    <t>20394028232</t>
  </si>
  <si>
    <t>SELVA GOLDEN GROUP S.A.C.</t>
  </si>
  <si>
    <t>JR. IPARIA LT. 13A MZ. 160 A.H. MIRAFLORES - UCAYALI CORONEL PORTILLO YARINACOCHA</t>
  </si>
  <si>
    <t>20394050327</t>
  </si>
  <si>
    <t>SERVICIOS GENERALES ESPAÑITA E.I.R.L.</t>
  </si>
  <si>
    <t>AV. TUPAC AMARU MZA. 16 LOTE. 1 A.H. FRATERNIDAD (A 2 CDRAS DEL GRIFO SANTA FELICIA) UCAYALI - CORON</t>
  </si>
  <si>
    <t>20394054829</t>
  </si>
  <si>
    <t>CENTROBAN &amp; CREDIBAN SOTO S.A.C.</t>
  </si>
  <si>
    <t xml:space="preserve">JR. 7 DE JUNIO NRO 952 URB. CERCADO DE PUCALLPA </t>
  </si>
  <si>
    <t>20394063577</t>
  </si>
  <si>
    <t>FERRELECTRIC GOMEZ S.A.C.</t>
  </si>
  <si>
    <t xml:space="preserve">CAL. URUBAMBA MZA. 12 LOTE 3A </t>
  </si>
  <si>
    <t>20394080587</t>
  </si>
  <si>
    <t>IMPORTACIONES ORO BLANCO E.I.R.L.</t>
  </si>
  <si>
    <t>comerciante</t>
  </si>
  <si>
    <t xml:space="preserve">JR. RAYMONDI NRO 672 </t>
  </si>
  <si>
    <t>20394084221</t>
  </si>
  <si>
    <t>INVERSIONES Y AFINES CUSTODIO E.I.R.L.</t>
  </si>
  <si>
    <t>AV. TUPAC AMARU LT. 18 MZ. 19 A.H. SIEMPRE UNIDOS II - UCAYALI CORONEL PORTILLO MANANTAY</t>
  </si>
  <si>
    <t>20399678553</t>
  </si>
  <si>
    <t>INGENIERIA DEL CONCRETO PACIFICO EIRL.</t>
  </si>
  <si>
    <t>LT. 17 MZ. E URB. PARQUE INDUSTRIAL - CUSCO CUSCO WANCHAQ</t>
  </si>
  <si>
    <t>Wanchaq</t>
  </si>
  <si>
    <t>20404175166</t>
  </si>
  <si>
    <t>MATERIALES ADITIVOS Y DERIVADOS PARA LA CONSTRUCCION S.R.L.</t>
  </si>
  <si>
    <t xml:space="preserve">JR. RICARDO PALMA NRO 498 </t>
  </si>
  <si>
    <t>20404440170</t>
  </si>
  <si>
    <t>COMERCIAL RAMIREZ E.I.R.L.</t>
  </si>
  <si>
    <t xml:space="preserve"> VENTA AL POR MAYOR DE MATERIALES DE CONSTRUCCIÓN ARTÍCULOS DE FERRETERÍA </t>
  </si>
  <si>
    <t>JR. BOLOGNESI NRO. 652 (PRIMER PISO BELLAVISTA) - BELLAVISTA - BELLAVISTA - SAN MARTIN</t>
  </si>
  <si>
    <t>20408124400</t>
  </si>
  <si>
    <t>CORPORACION MAZA SANDOVAL S.A.C.</t>
  </si>
  <si>
    <t>JR. PORVENIR NRO 102 HUARAL - LIMA</t>
  </si>
  <si>
    <t>HUARAL</t>
  </si>
  <si>
    <t>20408454299</t>
  </si>
  <si>
    <t>GERENCIA REGIONAL DE SALUD DE LORETO</t>
  </si>
  <si>
    <t xml:space="preserve">AV. COLONIAL MZA. B LOTE 21 </t>
  </si>
  <si>
    <t>20408676941</t>
  </si>
  <si>
    <t>COMUNIDAD NATIVA OREJONES</t>
  </si>
  <si>
    <t>C.RURIO NAPO NRO. SN C.C. RIO NAPO</t>
  </si>
  <si>
    <t>20408727449</t>
  </si>
  <si>
    <t>UNIDAD DE GESTION EDUCATIVA DE ALTO AMAZONAS - YURIMAGUAS</t>
  </si>
  <si>
    <t>CAL. TACNA NRO 802</t>
  </si>
  <si>
    <t>20409082859</t>
  </si>
  <si>
    <t>TRIPLAY MARTIN S.A.C.</t>
  </si>
  <si>
    <t xml:space="preserve">AV. LA MARINA KM. 03 </t>
  </si>
  <si>
    <t>20412885</t>
  </si>
  <si>
    <t>PEDRO</t>
  </si>
  <si>
    <t>AV. PACHACUTEC S/N-MANANTAY-C.PORTILLO-UCAYALI</t>
  </si>
  <si>
    <t>20438495739</t>
  </si>
  <si>
    <t>COMERCIAL RIOJA EIRL</t>
  </si>
  <si>
    <t>CAL. PARDO MIGUEL NRO. 344 ---- CENTRO JAEN - CAJAMARCA - JAÉN - JAÉN</t>
  </si>
  <si>
    <t>20446857283</t>
  </si>
  <si>
    <t>REPRESENTACIONES JRZ E.I.R.L.</t>
  </si>
  <si>
    <t>JR. ALFONSO UGARTE NRO. 820 - SAN MARTÍN SAN MARTÍN TARAPOTO</t>
  </si>
  <si>
    <t>20450175677</t>
  </si>
  <si>
    <t>CENTRO COMERCIAL REQUEJO E.I.R.L.</t>
  </si>
  <si>
    <t>JR. MARAÑON NRO. S/N C.P. SAN LORENZO - LORETO DATEM DEL MARAÑÓN BARRANCA</t>
  </si>
  <si>
    <t>20450236561</t>
  </si>
  <si>
    <t>IMPORTACIONES Y MAQUINARIAS CREDIHOGAR EIRL</t>
  </si>
  <si>
    <t>VENTA DE MAQUINARIAS</t>
  </si>
  <si>
    <t>JR. LIBERTAD NRO 516 - NUEVA CAJAMARCA, RIOJA, SAN MARTIN</t>
  </si>
  <si>
    <t>20450356540</t>
  </si>
  <si>
    <t>IMPORTACIONES PATRICIA S.A.C.</t>
  </si>
  <si>
    <t>JR. HUALLAGA NRO. C-10 (CRUCE CON SARGENTO LORES) - JUANJUI - MCAL.CACERES - SAN MARTIN</t>
  </si>
  <si>
    <t>20450362434</t>
  </si>
  <si>
    <t>INVERSIONES Y SERVICIOS GENERALES WHS E.I.R.L.</t>
  </si>
  <si>
    <t>JR. LIMATAMBO NRO. 332 - SAN MARTÍN SAN MARTÍN TARAPOTO</t>
  </si>
  <si>
    <t>20450414175</t>
  </si>
  <si>
    <t>COMERCIAL ROCKYTRANS E.I.R.L.</t>
  </si>
  <si>
    <t>AV. CAJAMARCA NRO S/N CP AGUAS VERDES - PARDO MIGUEL - RIOJA - SAN MARTIN</t>
  </si>
  <si>
    <t>20450438601</t>
  </si>
  <si>
    <t>AMAZON RESORTS SAC</t>
  </si>
  <si>
    <t>FUNDO DON LUISS/N PADRE COCHA</t>
  </si>
  <si>
    <t>20450455793</t>
  </si>
  <si>
    <t>COMERCIOS AMAZONAS S.A.C.</t>
  </si>
  <si>
    <t>JR. SAN MARTIN NRO 520  - BELLAVISTA - BELLAVISTA - SAN MARTIN</t>
  </si>
  <si>
    <t>20450478068</t>
  </si>
  <si>
    <t>HOTEL BOCA RATON E.I.R.L.</t>
  </si>
  <si>
    <t>JR MIGUEL GRAU 151</t>
  </si>
  <si>
    <t>20450899080</t>
  </si>
  <si>
    <t>YAMAHA MOTOR SELVA DEL PERU S.A.</t>
  </si>
  <si>
    <t>JR. PROSPERO NRO. 450 (PROSPERO 456) LORETO - MAYNAS - IQUITOS</t>
  </si>
  <si>
    <t>20450954528</t>
  </si>
  <si>
    <t>COMERCIAL CHANG YI EIRL</t>
  </si>
  <si>
    <t>CAL. RAMIREZ HURTADO. NRO. 1134 OTR. BELEN - LORETO MAYNAS BELÉN</t>
  </si>
  <si>
    <t>20451000731</t>
  </si>
  <si>
    <t>ASOCIACION COMUNIDAD LOCAL DE ADMINISTRACION DE SALUD MAZAN - ACLAS MAZAN</t>
  </si>
  <si>
    <t>CAL. 30 DE AGOSTO C/ARTURO RIO NRO 100 CAS. 30 DE AGOSTO Y ARTURO RIO</t>
  </si>
  <si>
    <t>20451037812</t>
  </si>
  <si>
    <t>FU KAM S.R.L.</t>
  </si>
  <si>
    <t xml:space="preserve">JR. CONDAMINE NRO 771 P.J. DANIEL ALCIDES CARRION </t>
  </si>
  <si>
    <t>20451134184</t>
  </si>
  <si>
    <t>BALANCEADOS CONAVET S.R.L.T</t>
  </si>
  <si>
    <t xml:space="preserve">AV. GRAU NRO 1200 </t>
  </si>
  <si>
    <t>20451375548</t>
  </si>
  <si>
    <t>CONSTRUCTORA YAVARI S.R.L.</t>
  </si>
  <si>
    <t>CAL. RAMON CASTILLA NRO. 466 - LORETO MAYNAS IQUITOS</t>
  </si>
  <si>
    <t>20451415949</t>
  </si>
  <si>
    <t>SERVCIOS GENERALES  KEVIN STUART EIRL</t>
  </si>
  <si>
    <t>CAL. TUPAC AMARU I NRO. S/N - LORETO MARISCAL RAMÓN CASTILLA SAN PABLO</t>
  </si>
  <si>
    <t>20451422481</t>
  </si>
  <si>
    <t>CONSORCIO MIRANDA EIRL</t>
  </si>
  <si>
    <t>JR. RAUL PILCO PEREZ NRO. 159 - LORETO MAYNAS IQUITOS</t>
  </si>
  <si>
    <t>20451433254</t>
  </si>
  <si>
    <t>SERVICENTRO CESAR SRL</t>
  </si>
  <si>
    <t xml:space="preserve">CAL. BOLOGNESI NRO 1278 </t>
  </si>
  <si>
    <t>20451434579</t>
  </si>
  <si>
    <t>SERVICIOS GENERALES JANETH SRL.</t>
  </si>
  <si>
    <t>AV. 9 DE DICIEMBRE NRO. 554 - LORETO MAYNAS IQUITOS</t>
  </si>
  <si>
    <t>20451441192</t>
  </si>
  <si>
    <t>J T C E.I.R.L.</t>
  </si>
  <si>
    <t>CAL. 3 DE JUNIO NRO 51</t>
  </si>
  <si>
    <t>20455796891</t>
  </si>
  <si>
    <t>OPCIONES INGENIERIA Y TECNOLOGIA AMBIENTAL S.R.L.</t>
  </si>
  <si>
    <t>CAL. JOSE OLAYA NRO. S/N ---- ALATA - AREQUIPA AREQUIPA TIABAYA</t>
  </si>
  <si>
    <t>TIABAYA</t>
  </si>
  <si>
    <t>20468853842</t>
  </si>
  <si>
    <t>GREP TOURS S.A.C.</t>
  </si>
  <si>
    <t>MZA. A LOTE. 27 URB. RESIDENCIAL SANTA ROSA</t>
  </si>
  <si>
    <t>20477482750</t>
  </si>
  <si>
    <t>INNOVACIONES TECNOLOGICAS AGRICOLAS Y FORESTALES S.A.C.-ITAGRIF S.A.C.</t>
  </si>
  <si>
    <t>AV. CESAR VALLEJO NRO. 303 URB. PALERMO - LA LIBERTAD TRUJILLO TRUJILLO</t>
  </si>
  <si>
    <t>TRUJILLO</t>
  </si>
  <si>
    <t>20478053178</t>
  </si>
  <si>
    <t>SERVICIO NACIONAL DE AREAS NATURALES PROTEGIDAS POR EL ESTADO - SERNANP</t>
  </si>
  <si>
    <t xml:space="preserve">CAL. LOS PETIRROJOS NRO 355 URB. EL PALOMAR </t>
  </si>
  <si>
    <t>20479441988</t>
  </si>
  <si>
    <t>FERRETERIA HUAMANTANGA S.R.L.</t>
  </si>
  <si>
    <t>AV. MARISCAL CASTILLA NRO 524 - JAÉN - JAÉN - CAJAMARCA</t>
  </si>
  <si>
    <t>20479731391</t>
  </si>
  <si>
    <t>NEGOCIOS TERAN EMPRESA INDIVIDUAL DE RESPONSABILIDAD LIMITADA</t>
  </si>
  <si>
    <t>JR. SARGENTO LORES NRO. 106 - AMAZONAS, BAGUA, BAGUA CHICA</t>
  </si>
  <si>
    <t>20479749176</t>
  </si>
  <si>
    <t>NEGOCIACIONES TAFUR E.I.R.L.</t>
  </si>
  <si>
    <t>JR. AMAZONAS NRO. 101 - AMAZONAS RODRÍGUEZ DE MENDOZA SAN NICOLÁS</t>
  </si>
  <si>
    <t>20479936014</t>
  </si>
  <si>
    <t>MAQUICENTRO E.I.R.L</t>
  </si>
  <si>
    <t>CAL. PAKAMUROS NRO. 600 URB. SAN JUAN (ESQUINA EL BOSQUE Y PAKAMUROS)</t>
  </si>
  <si>
    <t>20479951081</t>
  </si>
  <si>
    <t>NEGOCIOS W.VASQUEZ  E.I.R.L</t>
  </si>
  <si>
    <t>AV. MARISCAL CASTILLA NRO. 342 INT. A - CAJAMARCA JAÉN JAÉN</t>
  </si>
  <si>
    <t>20479992780</t>
  </si>
  <si>
    <t>CENTRO COMERCIAL JESSY DE JOSE DARIO SRL</t>
  </si>
  <si>
    <t>JR. AMAZONAS NRO. S/N - AMAZONAS RODRÍGUEZ DE MENDOZA SAN NICOLÁS</t>
  </si>
  <si>
    <t>20480048815</t>
  </si>
  <si>
    <t>INVERSIONES ALCANTARA ODAR E.I.R.L</t>
  </si>
  <si>
    <t>CAL. DIEGO PALOMINO NRO 1353 CENTRO JAEN (COSTADO HOTEL PRIMS)</t>
  </si>
  <si>
    <t>20480275803</t>
  </si>
  <si>
    <t>FERRETERIA CHAVEZ S.R.L.</t>
  </si>
  <si>
    <t>20480674414</t>
  </si>
  <si>
    <t>NEGOCIOS WAIMAKU  E.I.R.L.</t>
  </si>
  <si>
    <t>JR. SIMON BOLIVAR NRO SN CENTRO</t>
  </si>
  <si>
    <t>20480696906</t>
  </si>
  <si>
    <t>EMPRESA DE SERVICIOS Y MANTENIMIENTO SHALUKO E.I.R.L</t>
  </si>
  <si>
    <t>JR. 29 DE AGOSTO NRO 409</t>
  </si>
  <si>
    <t>Bagua</t>
  </si>
  <si>
    <t>20480709901</t>
  </si>
  <si>
    <t>PESANTES HERMANOS S.R.L.</t>
  </si>
  <si>
    <t xml:space="preserve">AV. SAN IGNACIO NRO 437 CENTRO </t>
  </si>
  <si>
    <t>20481511161</t>
  </si>
  <si>
    <t>QUENDE S.A.C.</t>
  </si>
  <si>
    <t>AV. CESAR VALLEJO NRO. 670 URB. PALERMO - LA LIBERTAD TRUJILLO TRUJILLO</t>
  </si>
  <si>
    <t>20485993895</t>
  </si>
  <si>
    <t>REPRESENTACIONES Y SERVICIOS B &amp; G E.I.R.L.</t>
  </si>
  <si>
    <t xml:space="preserve">AV. PERU NRO 959 </t>
  </si>
  <si>
    <t>20486408422</t>
  </si>
  <si>
    <t>COMERCIALIZADORA MIGUELITO SOCIEDAD ANONIMA CERRADA</t>
  </si>
  <si>
    <t xml:space="preserve">JR. MIGUEL GRAU NRO SN </t>
  </si>
  <si>
    <t>20486496372</t>
  </si>
  <si>
    <t>SATELITAL TELECOMUNICACIONES S.A.C.</t>
  </si>
  <si>
    <t xml:space="preserve">AV. 28 DE JULIO NRO 757 INT. 1001 URB. LEURO </t>
  </si>
  <si>
    <t>MIRAFLORES</t>
  </si>
  <si>
    <t>20486547201</t>
  </si>
  <si>
    <t>LA FERRETERIA S.A.C.</t>
  </si>
  <si>
    <t>JR. BELGRADO NRO. 137 INT. 2 (A 20 METROS DE LA AV. SAN MARTIN) PASCO - OXAPAMPA - OXAPAMPA</t>
  </si>
  <si>
    <t>20486555565</t>
  </si>
  <si>
    <t>AGROSELVA PERENE EMPRESA INDIVIDUAL DE RESPONSABILIDAD LIMITADA</t>
  </si>
  <si>
    <t>AV. MARGINAL LT. 19 MZ. B A.V. SAN JACINTO - JUNÍN CHANCHAMAYO PERENE</t>
  </si>
  <si>
    <t>20486777461</t>
  </si>
  <si>
    <t>COMERCIAL VASQUEZ S.R.L.</t>
  </si>
  <si>
    <t>AV. MICAELA BASTIDAS NRO. 341 (ALT DE LIMA) JUNIN - CHANCHAMAYO - PICHANAQUI</t>
  </si>
  <si>
    <t>20487170713</t>
  </si>
  <si>
    <t>DISTRIBUIDORA MIGUELITO SOLUCIONES SOCIEDAD ANONIMA CERRADA</t>
  </si>
  <si>
    <t>JR. MIGUEL GRAU NRO. S/N - PASCO OXAPAMPA CONSTITUCIÓN</t>
  </si>
  <si>
    <t>20487194655</t>
  </si>
  <si>
    <t>MOIRA NEGOCIOS Y SERVICIOS S.R.L.</t>
  </si>
  <si>
    <t>JR. JUNIN NRO. 231 URB. SATIPO (A 30 MT DEL JR. MIGUEL GRAU) JUNIN - SATIPO - SATIPO</t>
  </si>
  <si>
    <t>20487226956</t>
  </si>
  <si>
    <t>REPRESENTACIONES Y MULTISERVICIOS GARRITO EMP. INDIVIDUAL DE RESPONS. LIMITADA-R &amp; S GARRITO E.I.R.L</t>
  </si>
  <si>
    <t>JR. COLONOS FUNDADORES NRO. 652 - JUNÍN SATIPO SATIPO</t>
  </si>
  <si>
    <t>20487295923</t>
  </si>
  <si>
    <t>AV. MARCOS CANEPA NRO. 255 URB. VILLA RICA - PASCO OXAPAMPA VILLA RICA</t>
  </si>
  <si>
    <t>20487791581</t>
  </si>
  <si>
    <t>COMERCIAL FERRETERIA GORKY EIRL</t>
  </si>
  <si>
    <t>MARISCAL URETA 960</t>
  </si>
  <si>
    <t>20487823024</t>
  </si>
  <si>
    <t>LIBRERIA KENNPOOL EMPRESA INDIVIDUAL DE RESPONSABILIDAD LIMITADA</t>
  </si>
  <si>
    <t>VENTA AL POR MENOR DE LIBROS PERIÓDICOS Y ARTÍCULOS DE PAPELERÍA EN COMERCIOS ESPECIALIZADOS</t>
  </si>
  <si>
    <t xml:space="preserve">JR. AMAZONAS NRO 551 CENTRO DE BAGUA - BAGUA CHICA - BAGUA - AMAZONAS </t>
  </si>
  <si>
    <t>20487989267</t>
  </si>
  <si>
    <t>GRUPO BAZAN S.A.C.</t>
  </si>
  <si>
    <t>JR. SIMON BOLIVAR NRO. S/N SEC. LA TUNA - AMAZONAS CONDORCANQUI NIEVA</t>
  </si>
  <si>
    <t>20488766334</t>
  </si>
  <si>
    <t>SERVICIOS AEREOS TARAPOTO E.I.R.L.</t>
  </si>
  <si>
    <t>JR. PERÚ NRO 536 BAR. PARTIDO ALTO</t>
  </si>
  <si>
    <t>20488965965</t>
  </si>
  <si>
    <t>COMERCIAL GUTIERREZ SRL</t>
  </si>
  <si>
    <t>20490295195</t>
  </si>
  <si>
    <t>CAMINO VERDE TAMBOPATA</t>
  </si>
  <si>
    <t>JR. NICOLAS DE PIEROLA LT. 9B MZ. 12W A.H. VILLA HERMOZA - MADRE DE DIOS TAMBOPATA TAMBOPATA</t>
  </si>
  <si>
    <t>Tambopata</t>
  </si>
  <si>
    <t>20491161281</t>
  </si>
  <si>
    <t>ASTILLERO ZODIAC AG EMPRESA INDIVIDUAL DE RESPONSABILIDAD LIMITADA-ASTILLERO ZODIAC E.I.R.L.</t>
  </si>
  <si>
    <t>---- SECTOR TROPICAL LT. I MZ. --- ---- VILLA SALVACION - MADRE DE DIOS MANU MANU</t>
  </si>
  <si>
    <t>MANU</t>
  </si>
  <si>
    <t>20493164458</t>
  </si>
  <si>
    <t>GREMIO PESQUERO ARTESANAL DE LORETO</t>
  </si>
  <si>
    <t>PJ. SAN JOSE NRO. S/N - LORETO MAYNAS PUNCHANA</t>
  </si>
  <si>
    <t>20493192150</t>
  </si>
  <si>
    <t>R.S.S. CONTRATISTAS GENERALES E.I.R.L.</t>
  </si>
  <si>
    <t>CAL.SAN FRANCISCO DE ASIS NRO. L-38</t>
  </si>
  <si>
    <t>20493196902</t>
  </si>
  <si>
    <t>GOBIERNO REGIONAL DE LORETO</t>
  </si>
  <si>
    <t>AV. JOSE ABELARDO QUIÑONES KL. 1.4 - LORETO MAYNAS BELÉN</t>
  </si>
  <si>
    <t>Belen</t>
  </si>
  <si>
    <t>20493198786</t>
  </si>
  <si>
    <t>ACLAS SANTA ROSA</t>
  </si>
  <si>
    <t>CALLE MI PERU S/N ISLA SANTA ROSA</t>
  </si>
  <si>
    <t>20493223721</t>
  </si>
  <si>
    <t>COMERCIAL SANTA INES S.R.L.</t>
  </si>
  <si>
    <t>AV. LA MARINA NRO. 1015 - LORETO MAYNAS PUNCHANA</t>
  </si>
  <si>
    <t>20493246772</t>
  </si>
  <si>
    <t>ASTILLERO HENRY E I R L</t>
  </si>
  <si>
    <t>AV. LA MARINA KM. 1.5  FRENTE A LA VILLA NAVAL LORETO - MAYNAS- PUNCHANA</t>
  </si>
  <si>
    <t>20493257031</t>
  </si>
  <si>
    <t>INVERSIONES DE LA AMAZONIA E.I.R.L.</t>
  </si>
  <si>
    <t xml:space="preserve">CAL. BRASIL NRO 594 </t>
  </si>
  <si>
    <t>20493263863</t>
  </si>
  <si>
    <t>COMERCIAL FU CHEN E.I.R.L.</t>
  </si>
  <si>
    <t xml:space="preserve">CAL. RAMIREZ HURTADO NRO 1042 </t>
  </si>
  <si>
    <t>20493312821</t>
  </si>
  <si>
    <t>CONSULTORIAS OBRAS Y SERVICIOS DEL AMAZONAS EIRL</t>
  </si>
  <si>
    <t>AV FREYRE  1365 -PUNCHANA</t>
  </si>
  <si>
    <t>20493323602</t>
  </si>
  <si>
    <t>CERVECERIA AMAZONICA SAC.</t>
  </si>
  <si>
    <t>CAR. IQUITOS NAUTA KM. 3.9</t>
  </si>
  <si>
    <t>20493347960</t>
  </si>
  <si>
    <t>COMUNIDAD NATIVA 28 DE JULIO</t>
  </si>
  <si>
    <t xml:space="preserve">CAL. CALLAO NRO 764 </t>
  </si>
  <si>
    <t>20493357761</t>
  </si>
  <si>
    <t>INVERSIONES EL CHASQUI S.A.C.</t>
  </si>
  <si>
    <t>ABTAO CON 16 DE JULIO Y-2</t>
  </si>
  <si>
    <t>20493380827</t>
  </si>
  <si>
    <t>COMERCIALIZADORA LOS TULIPANES S.A.C.</t>
  </si>
  <si>
    <t>AV. QUIÑONES KM. 5.5</t>
  </si>
  <si>
    <t>20493393724</t>
  </si>
  <si>
    <t>MUNICIPALIDAD DEL CENTRO POBLADO MENOR SAN JUAQUIN DE OMAGUAS</t>
  </si>
  <si>
    <t>CALLE TITO CHAVEZ 235</t>
  </si>
  <si>
    <t>20493410831</t>
  </si>
  <si>
    <t>GUACAMAYO SERVICE S.C.R.L.</t>
  </si>
  <si>
    <t>AV. ALFONSO UGARTE NRO. 680 APV. JOSE MALEIROS - LORETO MAYNAS IQUITOS</t>
  </si>
  <si>
    <t>20493431162</t>
  </si>
  <si>
    <t>INVERSIONES N.H. E.I.R.L.</t>
  </si>
  <si>
    <t>JR. SARGENTO LORES NRO. 912 URB. LAS PALMERAS - LORETO MAYNAS IQUITOS</t>
  </si>
  <si>
    <t>20493468082</t>
  </si>
  <si>
    <t>THE TIGER RANCH E.I.R.L.</t>
  </si>
  <si>
    <t xml:space="preserve">CAR. IQUITOS NAUTA CAS. SAN LUCAS KM. 44.2 </t>
  </si>
  <si>
    <t>20493496370</t>
  </si>
  <si>
    <t>J IMPORT EXPORT LINARES SERVICIOS GENERALES E.I.R.L.</t>
  </si>
  <si>
    <t>JR. PUTUMAYO LT. 12 MZ. P URB. SARGENTO LORES - LORETO MAYNAS IQUITOS</t>
  </si>
  <si>
    <t>20493538633</t>
  </si>
  <si>
    <t>INVERSIONES  SAVAREN SRL</t>
  </si>
  <si>
    <t>PSJE. CORNEJO PORTUGAL  2556 - IQUITOS</t>
  </si>
  <si>
    <t>20493571096</t>
  </si>
  <si>
    <t>MUYUNA LODGE E.I.R.L.</t>
  </si>
  <si>
    <t>CAL. PUTUMAYO NRO. 163 INT. B - LORETO MAYNAS IQUITOS</t>
  </si>
  <si>
    <t>20493580591</t>
  </si>
  <si>
    <t>D TODO FERRETERA S.A.C.</t>
  </si>
  <si>
    <t xml:space="preserve">FERRETERÍA </t>
  </si>
  <si>
    <t xml:space="preserve">CAL. SARGENTO LORES NRO 516 </t>
  </si>
  <si>
    <t>20493584821</t>
  </si>
  <si>
    <t>AQUA EXPEDITIONS S A C</t>
  </si>
  <si>
    <t>RAYMONDI 253</t>
  </si>
  <si>
    <t>20493620721</t>
  </si>
  <si>
    <t>JOSEPH S.A.C.</t>
  </si>
  <si>
    <t>AV. LA MARINA NRO 1248</t>
  </si>
  <si>
    <t>20493634519</t>
  </si>
  <si>
    <t>COMERCIAL LINDA TERESITA EIRL</t>
  </si>
  <si>
    <t xml:space="preserve">CAL. CARLOS P. SAENZ NRO 226 CABALLOCOCHA </t>
  </si>
  <si>
    <t>20493642619</t>
  </si>
  <si>
    <t>CENTRO POBLADO MENOR DE SAN LUIS DE TACSHA CURARAY</t>
  </si>
  <si>
    <t>---- BARRIO LOS ANGELES NRO. SN C.P. SAN LUIS DE TACSHA - LORETO MAYNAS NAPO</t>
  </si>
  <si>
    <t>20493647173</t>
  </si>
  <si>
    <t>INSTITUTO DE EDUCACION SUPERIOR PEDAGOGICO PUBLICO REVERENDO PADRE CAYETANO ARDANZA</t>
  </si>
  <si>
    <t>CAL.MORONA NRO.510SAN LORENZO.LORETO-DATEM DEL MARAÑON-BARRANCA</t>
  </si>
  <si>
    <t>Barranca</t>
  </si>
  <si>
    <t>20493693523</t>
  </si>
  <si>
    <t>COMERCIAL CABALLOCOCHA E.I.R.L.</t>
  </si>
  <si>
    <t xml:space="preserve">CAL. CARLOS PATRICIO SAENZ NRO 111 </t>
  </si>
  <si>
    <t>20493700597</t>
  </si>
  <si>
    <t>INSTITUCION EDUCATIVA INICIAL N°157 VICTORIA BARCIA BONIFFATTI</t>
  </si>
  <si>
    <t>CAL. YAVARI NRO. 749 - LORETO MAYNAS IQUITOS</t>
  </si>
  <si>
    <t>20493742753</t>
  </si>
  <si>
    <t>COMERCIAL EL PUMA E.I.R.L.</t>
  </si>
  <si>
    <t xml:space="preserve">CAL. PROGRESO NRO 300 CABALLOCOCHA </t>
  </si>
  <si>
    <t>20493753526</t>
  </si>
  <si>
    <t>EQUIMAP AMAZONICA S.A.C.</t>
  </si>
  <si>
    <t>JR. HUALLAGA NRO. 483 URB. JARDIN PAZ - LORETO MAYNAS IQUITOS</t>
  </si>
  <si>
    <t>20493780507</t>
  </si>
  <si>
    <t>NEGOCIOS Y SERVICIOS GENERALES EMERSON E.I.R.L.</t>
  </si>
  <si>
    <t>MLC. MARAÑON NRO. 478 CAS. SAN LORENZO - LORETO DATEM DEL MARAÑÓN BARRANCA</t>
  </si>
  <si>
    <t>20493784162</t>
  </si>
  <si>
    <t>MULTICENTRO ARICA S.A.C.</t>
  </si>
  <si>
    <t>CAL.SAN MARTIN NRO. 325 LORETO - MAYNAS - IQUITOS</t>
  </si>
  <si>
    <t>20493785487</t>
  </si>
  <si>
    <t>GAMBOA E.I.R.L.</t>
  </si>
  <si>
    <t xml:space="preserve">CAL. LOS LIRIOS NRO S/N C.P. NINA RUMI </t>
  </si>
  <si>
    <t>20493817869</t>
  </si>
  <si>
    <t>ALTERNATIVA COMERCIAL Y SERVICIOS TOTAL E.I.R.L.</t>
  </si>
  <si>
    <t xml:space="preserve">VENTA AL POR MAYOR DE MATERIALES DE CONSTRUCCIÓN ARTÍCULOS DE FERRETERÍA Y EQUIPO </t>
  </si>
  <si>
    <t>AV. VIA DE EVITAMIENTO Nº566 - TARAPOTO - SAN MARTIN - SAN MARTIN</t>
  </si>
  <si>
    <t>20493893379</t>
  </si>
  <si>
    <t>LILIAN ELISA SOCIEDAD ANONIMA CERRADA</t>
  </si>
  <si>
    <t>JR. COMERCIO NRO 428 - SAN JOSE DE SISA - EL DORADO - SAN MARTIN</t>
  </si>
  <si>
    <t>20493986385</t>
  </si>
  <si>
    <t>DISTRIBUCIONES EL CENTRO S.A.C.</t>
  </si>
  <si>
    <t>AV. CARRETERA MARGINAL NRO. 201 ---- NARANJOS - SAN MARTÍN RIOJA PARDO MIGUEL</t>
  </si>
  <si>
    <t>204939995295</t>
  </si>
  <si>
    <t>20493995295</t>
  </si>
  <si>
    <t>CORPORACION DE SERVICIOS TURISTICOS LIRIO S.A.C.</t>
  </si>
  <si>
    <t>CAL. ARICA NRO 111 URB. EL CENTRO</t>
  </si>
  <si>
    <t>20494030111</t>
  </si>
  <si>
    <t>KIRAM BUILDING AND SERVICES E.I.R.L.</t>
  </si>
  <si>
    <t>PJ. MORONA NRO. 110 BAR. LAS AMERICAS - LORETO ALTO AMAZONAS YURIMAGUAS</t>
  </si>
  <si>
    <t>20494036585</t>
  </si>
  <si>
    <t>GRUPO PAQUISHA S.A.C</t>
  </si>
  <si>
    <t xml:space="preserve">VENTA AL POR MAYOR DE MATERIALES DE CONSTRUCCIÓN Y ARTÍCULOS DE FERRETERÍA </t>
  </si>
  <si>
    <t>JR. AMAZONAS NRO. 624 SEC. CENTRO - SAN MARTÍN SAN MARTÍN LA BANDA DE SHILCAYO</t>
  </si>
  <si>
    <t>20494087651</t>
  </si>
  <si>
    <t>TRANSPORTE FLUVIAL Y TERRESTRE RENZO SOCIEDAD ANONIMA CERRADA</t>
  </si>
  <si>
    <t>CAL. LAS AZUCENAS NRO. 220 INT. A - LORETO MAYNAS SAN JUAN BAUTISTA</t>
  </si>
  <si>
    <t>20494100186</t>
  </si>
  <si>
    <t xml:space="preserve"> IMPORTACIONES FVC EIRL </t>
  </si>
  <si>
    <t xml:space="preserve">JR. CORONEL SECADA NRO 281 URB. MOYOBAMBA </t>
  </si>
  <si>
    <t>20494100429</t>
  </si>
  <si>
    <t>BARRANCA CONSTRUCCIONES E.I.R.L.</t>
  </si>
  <si>
    <t>CAL. 15 DE AGOSTO 2DO. PISO NRO 919</t>
  </si>
  <si>
    <t>20494112788</t>
  </si>
  <si>
    <t>INVERSIONES LOS CUATRO CUATROS S.R.L.</t>
  </si>
  <si>
    <t>JR. MANCO CAPAC NRO. 135 - LORETO ALTO AMAZONAS YURIMAGUAS</t>
  </si>
  <si>
    <t>20494119014</t>
  </si>
  <si>
    <t xml:space="preserve"> IMPORT CASITA DEL MOTOR E.I.R.L. </t>
  </si>
  <si>
    <t>VENTA AL POR MAYOR DE MATERIALES DE CONSTRUCCIÓN ARTÍCULOS DE FERRETERÍA</t>
  </si>
  <si>
    <t>JR. TAHUANTINSUYO NRO. 608 - TARAPOTO - SAN MARTIN - SAN MARTIN</t>
  </si>
  <si>
    <t>20494127629</t>
  </si>
  <si>
    <t>MERCANTIL FERRIMAS E.I.R.L</t>
  </si>
  <si>
    <t>-comercio</t>
  </si>
  <si>
    <t xml:space="preserve">AV. CAJAMARCA SUR NRO 288 </t>
  </si>
  <si>
    <t>20494129168</t>
  </si>
  <si>
    <t>FERRETERIA TOBARA SOCIEDAD ANONIMA CERRADA</t>
  </si>
  <si>
    <t>JR. ALFONSO UGARTE NRO. 522 - SAN MARTÍN SAN MARTÍN JUAN GUERRA</t>
  </si>
  <si>
    <t>JUAN GUERRA</t>
  </si>
  <si>
    <t>20494151171</t>
  </si>
  <si>
    <t>IMPORTACIONES GENERALES  NIETO SOCIEDAD DE RESPONSABILIDAD LIMITADA</t>
  </si>
  <si>
    <t>AV. CAJAMARCA SUR NRO 222 - NUEVA CAJAMARCA, RIOJA, SAN MARTIN</t>
  </si>
  <si>
    <t>20494153549</t>
  </si>
  <si>
    <t>SHANSHO PARTS S.A.C.</t>
  </si>
  <si>
    <t>JR. HUALLAGA NRO 1098 - JUANJUI - MCAL.CACERES - SAN MARTIN</t>
  </si>
  <si>
    <t>20495122108</t>
  </si>
  <si>
    <t>EQUIPO DE HERRAMIENTAS S.A.C</t>
  </si>
  <si>
    <t>LT. 15 MZ. G ---- EL FUTURO DE NASCA - ICA NASCA NASCA</t>
  </si>
  <si>
    <t>NAZCA</t>
  </si>
  <si>
    <t>20495640401</t>
  </si>
  <si>
    <t>AGROINDUSTRIAS CENTURION S.R.L.</t>
  </si>
  <si>
    <t>JR. BOLOGNESI NRO 830 /CAJABAMBA CAJAMARCA</t>
  </si>
  <si>
    <t>20495994989</t>
  </si>
  <si>
    <t>AGRICOLA CAJAMARCA EIRL</t>
  </si>
  <si>
    <t xml:space="preserve"> AV. VIA DE EVITAMIENTO MZA. D LOTE. 4A BR LA COLMENA - CAJAMARCA (AV VIA EVITAM NORTE 2486 COSTAD HAWAIANO) </t>
  </si>
  <si>
    <t>20502093691</t>
  </si>
  <si>
    <t>MISSIONARY VENTURES - PERU</t>
  </si>
  <si>
    <t>CAL. MAYNAS NRO. 435 SEC. BARRIO AGUAMIRO - LORETO ALTO AMAZONAS YURIMAGUAS</t>
  </si>
  <si>
    <t>20506250103</t>
  </si>
  <si>
    <t>GDP STUDIOS S.A.C.</t>
  </si>
  <si>
    <t>AV. LARCO NRO. 734 - LIMA LIMA MIRAFLORES</t>
  </si>
  <si>
    <t>Miraflores</t>
  </si>
  <si>
    <t>20508565934</t>
  </si>
  <si>
    <t>HIPERMERCADOS TOTTUS S.A</t>
  </si>
  <si>
    <t>AV. ANGAMOS ESTE NRO. 1805 INT. P10 - LIMA LIMA SURQUILLO</t>
  </si>
  <si>
    <t>SURQUILLO</t>
  </si>
  <si>
    <t>20513842377</t>
  </si>
  <si>
    <t>PETROTAL PERU S.R.L.</t>
  </si>
  <si>
    <t>AV. DIONISIO DERTEANO NRO. 144 INT. 1201 URB. SANTA ANA - LIMA LIMA SAN ISIDRO</t>
  </si>
  <si>
    <t>20518777646</t>
  </si>
  <si>
    <t>GLOBAL FIBER PERU S.A.C.</t>
  </si>
  <si>
    <t>AV. 28 DE JULIO NRO. 757 INT. 1002 URB. LEURO LIMA - LIMA - MIRAFLORES</t>
  </si>
  <si>
    <t>20525550789</t>
  </si>
  <si>
    <t>EQUIPOS Y MAQUINARIAS SADAAN S.R.L.</t>
  </si>
  <si>
    <t>20526058578</t>
  </si>
  <si>
    <t>COMERCIAL RAFAEL NORTE SOCIEDAD ANONIMA CERRADA</t>
  </si>
  <si>
    <t>AV. SANCHES CERRO Mz Z Lt 50- PIURA PIURA TAMBO GRANDE</t>
  </si>
  <si>
    <t>TAMBO GRANDE</t>
  </si>
  <si>
    <t>20528115463</t>
  </si>
  <si>
    <t>COMERCIALIZADORA CHARITO EIRL</t>
  </si>
  <si>
    <t xml:space="preserve">CAL. TARAPACA NRO 256 </t>
  </si>
  <si>
    <t>20528115897</t>
  </si>
  <si>
    <t>CABALLERO CONTRATISTAS GENERALES E.I.R.L.</t>
  </si>
  <si>
    <t>AV. PRINCIPAL NRO. S/N ---- VILLA SARAMIRIZA - LORETO DATEM DEL MARAÑÓN MANSERICHE</t>
  </si>
  <si>
    <t>Manseriche</t>
  </si>
  <si>
    <t>20528132988</t>
  </si>
  <si>
    <t>INVERSIONES DIAZ E.I.R.L</t>
  </si>
  <si>
    <t>JR PROSPERO 1451</t>
  </si>
  <si>
    <t>20528137432</t>
  </si>
  <si>
    <t>AMAZONAS CONTRATISTAS GENERALES S.A.C.</t>
  </si>
  <si>
    <t>CAL. PEVAS NRO. 1269 - LORETO MAYNAS IQUITOS</t>
  </si>
  <si>
    <t>20528197095</t>
  </si>
  <si>
    <t>COMUNIDAD NATIVA SAN MARTIN</t>
  </si>
  <si>
    <t>CAL. LAS CAMELIAS NRO. 164 - LORETO MAYNAS SAN JUAN BAUTISTA</t>
  </si>
  <si>
    <t>20528202781</t>
  </si>
  <si>
    <t>TRANSPORTE TURISTICO TRAUCO E.I.R.L.</t>
  </si>
  <si>
    <t>CAL. EL TRIGAL NRO 117 C.P. BARRIO FLORIDO</t>
  </si>
  <si>
    <t>20528215336</t>
  </si>
  <si>
    <t>MOTOMAQ S.A.C.</t>
  </si>
  <si>
    <t>AV. AV JOSE ABELARDO QUIÑONES KM. 2</t>
  </si>
  <si>
    <t>20528217461</t>
  </si>
  <si>
    <t>CONSTRUCTORA CYC S.A.C.</t>
  </si>
  <si>
    <t>AV. LA PARTICIPACION NRO. 2064 - LORETO MAYNAS BELÉN</t>
  </si>
  <si>
    <t>20528223606</t>
  </si>
  <si>
    <t>INVERSIONES COLOSAL S.R.L.</t>
  </si>
  <si>
    <t>CAL. RAMIREZ HURTADO NRO. 1095 - LORETO MAYNAS BELÉN</t>
  </si>
  <si>
    <t>20528232931</t>
  </si>
  <si>
    <t>INVERSIONES Y REPRESENTACIONES ROMA S.A.C</t>
  </si>
  <si>
    <t>NRO 48 DEP. 102 URB. JUAN  PABLO</t>
  </si>
  <si>
    <t>20528256105</t>
  </si>
  <si>
    <t>REPRESENTACIONES JEAMNI LUIS E.I.R.L.</t>
  </si>
  <si>
    <t>AV. LA MARINA NRO. 2273 - LORETO MAYNAS PUNCHANA</t>
  </si>
  <si>
    <t>20528260633</t>
  </si>
  <si>
    <t>LA PERLITA DE IQUITOS</t>
  </si>
  <si>
    <t>CARRETERA NAUTA KM 22.5</t>
  </si>
  <si>
    <t>20528261109</t>
  </si>
  <si>
    <t>AMAZON &amp; ANDES EXPEDITION E.I.R.L.</t>
  </si>
  <si>
    <t>CAL. PEVAS NRO. 113B - LORETO MAYNAS IQUITOS</t>
  </si>
  <si>
    <t>20528283</t>
  </si>
  <si>
    <t>WALTER CONTRERAS PINO</t>
  </si>
  <si>
    <t>JR. DEL PANGOA S/N  - MAZAMARI</t>
  </si>
  <si>
    <t>20528292594</t>
  </si>
  <si>
    <t>REPRESENTACIONES TROPIKSELVA SOCIEDAD COMERCIAL DE RESPONSABILIDAD LIMITADA</t>
  </si>
  <si>
    <t>CAL. CALVO DE ARAUJO NRO 1440</t>
  </si>
  <si>
    <t>20528292918</t>
  </si>
  <si>
    <t>UNIDAD DE GESTION EDUCATIVA LOCAL DATEM DEL MARAÑON</t>
  </si>
  <si>
    <t xml:space="preserve">JR. PASTAZA NRO 224 </t>
  </si>
  <si>
    <t>20528325948</t>
  </si>
  <si>
    <t>SELVA MOTOS UCS S.R.L</t>
  </si>
  <si>
    <t>CAL.REQUENA NRO. 265 (FRENTE AL MERCADO PRODUCTORES) LORETO - MAYNAS - IQUITOS</t>
  </si>
  <si>
    <t>20528336630</t>
  </si>
  <si>
    <t>ASTILLERO GRUPO CAM E.I.R.L.</t>
  </si>
  <si>
    <t xml:space="preserve">AV. LA MARINA NRO 2177 </t>
  </si>
  <si>
    <t>20528338098</t>
  </si>
  <si>
    <t>MADEC LORETO S.A.C</t>
  </si>
  <si>
    <t>JR. HUALLAGA NRO. 545</t>
  </si>
  <si>
    <t>20528344811</t>
  </si>
  <si>
    <t>TEMPLE OF THE WAY OF LIGHT SAC</t>
  </si>
  <si>
    <t>JR PUTUMAYO  993</t>
  </si>
  <si>
    <t>20528348646</t>
  </si>
  <si>
    <t>DE LO MAXIMO DETPCO S.R.L.</t>
  </si>
  <si>
    <t xml:space="preserve">CAL. ABTAO NRO 443 </t>
  </si>
  <si>
    <t>20528351787</t>
  </si>
  <si>
    <t>GRUPO GATICA</t>
  </si>
  <si>
    <t>CALL. ALFONSO UGARTE N 547</t>
  </si>
  <si>
    <t>20528378804</t>
  </si>
  <si>
    <t>INVERSIONES ZAFIRA S.R.L.</t>
  </si>
  <si>
    <t>CAL. EDILBERTO VALLES NRO 1083 A.H. PETRO PERU - PUNCHANA</t>
  </si>
  <si>
    <t>20528401393</t>
  </si>
  <si>
    <t>TAMSHI S.A.C.</t>
  </si>
  <si>
    <t>CAL. BRASIL NRO. 349 - LORETO MAYNAS IQUITOS</t>
  </si>
  <si>
    <t>20528406352</t>
  </si>
  <si>
    <t>ASERRADERO FORESTAL BECERRA E.I.R.L.</t>
  </si>
  <si>
    <t xml:space="preserve">CAR. SANTA MARIA MASUSA KM. 1.5 </t>
  </si>
  <si>
    <t>20528408649</t>
  </si>
  <si>
    <t>SERVICENTRO REQUENA S.A.C.</t>
  </si>
  <si>
    <t>CAL. 09 DE OCTUBRE NRO. 142 - LORETO REQUENA REQUENA</t>
  </si>
  <si>
    <t>20528421238</t>
  </si>
  <si>
    <t>VERU INVERSIONES S.A.C.</t>
  </si>
  <si>
    <t xml:space="preserve">CAL. PANAMA MZA. 4 LOTE 6A URB. LOS PROCERES </t>
  </si>
  <si>
    <t>20528447890</t>
  </si>
  <si>
    <t>COMERCIALIZADORA &amp; DISTRIBUIDORA CLAUDIA ANGELLY E.I.R.L.</t>
  </si>
  <si>
    <t>CAL. ALFONSO UGARTE NRO. 355 - LORETO MAYNAS BELÉN</t>
  </si>
  <si>
    <t>20528452389</t>
  </si>
  <si>
    <t>AMAZON DOLPHIN LODGE P.E E.I.R.L</t>
  </si>
  <si>
    <t>CAL. FANNING NRO. 677 - LORETO MAYNAS IQUITOS</t>
  </si>
  <si>
    <t>20528454756</t>
  </si>
  <si>
    <t>KING WORLF ENGINEERS AND LOGISTIC SERVICES SAC</t>
  </si>
  <si>
    <t>AV. DEL EJERCITO N 1980</t>
  </si>
  <si>
    <t>20528456619</t>
  </si>
  <si>
    <t>IQUITOS MARKET BELEN EMPRESA INDIVIDUAL DE RESPONSABILIDAD LIMITADA</t>
  </si>
  <si>
    <t xml:space="preserve">JR. ARICA NRO 1250 </t>
  </si>
  <si>
    <t>20528461701</t>
  </si>
  <si>
    <t>FERRETERIA VILCA E.I.R.L.</t>
  </si>
  <si>
    <t>CAL. LAS AMERICAS NRO. 223 - LORETO MAYNAS IQUITOS</t>
  </si>
  <si>
    <t>20528476300</t>
  </si>
  <si>
    <t>CONSTRUCCIONES Y EDIFICACIONES VULCANO E.I.R.L.</t>
  </si>
  <si>
    <t>CAL. MI PERU NRO. 434 - LORETO MAYNAS IQUITOS</t>
  </si>
  <si>
    <t>20528481303</t>
  </si>
  <si>
    <t>TRANS FLUVIAL REY EIRL</t>
  </si>
  <si>
    <t>JR.PROSPERO 1392 LORETO -MAYNAS-BELEN</t>
  </si>
  <si>
    <t>20528481729</t>
  </si>
  <si>
    <t>COMUNIDAD NATIVA PUERTO FRANCO</t>
  </si>
  <si>
    <t>JR. MAYNAS NRO. 551 P.J. SAN ANTONIO - LORETO MAYNAS IQUITOS</t>
  </si>
  <si>
    <t>20529073063</t>
  </si>
  <si>
    <t>EDUARDO &amp; LUIS CONSTRUCTORES SOCIEDAD COMERCIAL DE RESPONSABILIDAD LIMITADA</t>
  </si>
  <si>
    <t xml:space="preserve">AV. MIGUEL GRAU MZA. C LOTE 4 CPME.CASTILLO GRANDE </t>
  </si>
  <si>
    <t>20530837816</t>
  </si>
  <si>
    <t>CONSTRUCTORA MLS SAC</t>
  </si>
  <si>
    <t>JR 27 DE NOVIEMBRE NRO 628 URB. HUARUPAMPA-HUARAZ</t>
  </si>
  <si>
    <t>Huaral</t>
  </si>
  <si>
    <t>20531150474</t>
  </si>
  <si>
    <t>AGENCIA FLUVIAL DOS MIL EIRLTDA</t>
  </si>
  <si>
    <t>CAL. UCAYALI NRO 717 BR.AGUAMIRO</t>
  </si>
  <si>
    <t>20531382685</t>
  </si>
  <si>
    <t>FERRETERIA BAZAR EL TUMI EIRL</t>
  </si>
  <si>
    <t>JR. ANGAIZA NRO 874 - RIOJA - RIOJA - SAN MARTIN</t>
  </si>
  <si>
    <t>20531431562</t>
  </si>
  <si>
    <t>RECOMAR SRL</t>
  </si>
  <si>
    <t>AV. AVIACION NRO. S/N SEC. BARRIO HUAYCO - SAN MARTÍN SAN MARTÍN TARAPOTO</t>
  </si>
  <si>
    <t>20531459572</t>
  </si>
  <si>
    <t>NIETO IMPORT SRL</t>
  </si>
  <si>
    <t xml:space="preserve"> VENTA AL POR MAYOR DE MATERIALES DE FERRETERIA </t>
  </si>
  <si>
    <t>JR: ALFONSO UGARTE 523-TARAPOTO - SAN MARTIN - SAN MARTIN</t>
  </si>
  <si>
    <t>20531466510</t>
  </si>
  <si>
    <t>COMERCIAL EL OTORONGO E.I.R.L.</t>
  </si>
  <si>
    <t>CAL. JULIO C. ARANA NRO. 120 - LORETO ALTO AMAZONAS YURIMAGUAS</t>
  </si>
  <si>
    <t>20531468644</t>
  </si>
  <si>
    <t>FERRETERIA CASH S.R.L.</t>
  </si>
  <si>
    <t>JR. TOCACHE NRO. 386 - SAN MARTÍN TOCACHE TOCACHE</t>
  </si>
  <si>
    <t>20532061661</t>
  </si>
  <si>
    <t>MAQUIAGRO VALVERDE E.I.R.L.</t>
  </si>
  <si>
    <t>JOSE GALVEZ NRO 788 EL PROGRESO / CHIMBOTE</t>
  </si>
  <si>
    <t>20533612343</t>
  </si>
  <si>
    <t>INVERSIONES JHIRE &amp; IMPORTACIONES S.A.C.</t>
  </si>
  <si>
    <t xml:space="preserve">CAL. COCHAC NRO S/N CAS. COCHAC </t>
  </si>
  <si>
    <t>HUARAZ</t>
  </si>
  <si>
    <t>20536670824</t>
  </si>
  <si>
    <t>ECOMPAL S.A.C.</t>
  </si>
  <si>
    <t>CAL. 3 MZA. V LOTE 16 URB. HUERTOS DE LURIN</t>
  </si>
  <si>
    <t>Pachacamac</t>
  </si>
  <si>
    <t>20537799</t>
  </si>
  <si>
    <t>SILVINO ROJAS MEZA</t>
  </si>
  <si>
    <t>AV  PUERTO BERMUDEZ S/N VILLA RICA</t>
  </si>
  <si>
    <t>20538986616</t>
  </si>
  <si>
    <t>COMERCIAL ZUMAETA E.I.R.L.</t>
  </si>
  <si>
    <t>VENTA AL POR MENOR DE MATERIALES DE CONSTRUCCION Y FERRETERIA</t>
  </si>
  <si>
    <t>AV. SALAMANCA NRO. 918 URB. CHACHAPOYAS - AMAZONAS CHACHAPOYAS CHACHAPOYAS</t>
  </si>
  <si>
    <t>20539061501</t>
  </si>
  <si>
    <t>AGROCENTRO N&amp;B SOCIEDAD COMERCIAL DE RESPONSABILIDAD LIMITADA</t>
  </si>
  <si>
    <t>AV. CHACHAPOYAS NRO. 3049 - AMAZONAS UTCUBAMBA BAGUA GRANDE</t>
  </si>
  <si>
    <t>20541147960</t>
  </si>
  <si>
    <t>TREEHOUSE ADVENTURES EMPRESA INDIVIDUAL DE RESPONSABILIDAD LIMITADA</t>
  </si>
  <si>
    <t xml:space="preserve">CAL. ALZAMORA NRO 422 </t>
  </si>
  <si>
    <t>20541162179</t>
  </si>
  <si>
    <t>HUMMINGBIRD CENTER E.I.R.L.</t>
  </si>
  <si>
    <t>CAR. IQUITOS - NAUTA C.P. VARILLAL KM. 14.3</t>
  </si>
  <si>
    <t>20541204947</t>
  </si>
  <si>
    <t>INVERSIONES DOS FRONTERAS SAC</t>
  </si>
  <si>
    <t>AV.LA PARTCIPACION MZ A LOTE 32 A PJ. 9 DE OCTUBRE</t>
  </si>
  <si>
    <t>20541211056</t>
  </si>
  <si>
    <t>TROPICAL GAS S.A.C.</t>
  </si>
  <si>
    <t>AV. JOSE ABELARDO QUIÑONES KM. 4.5</t>
  </si>
  <si>
    <t>20541260260</t>
  </si>
  <si>
    <t>REPUESTOS Y REPRESENTACIONES H.P.G. E.I.R.L.</t>
  </si>
  <si>
    <t xml:space="preserve">AV. LA MARINA NRO 1265 </t>
  </si>
  <si>
    <t>20541274562</t>
  </si>
  <si>
    <t>NEGOCIOS Y SERVICIOS ASTRID E.I.R.L.</t>
  </si>
  <si>
    <t>JR. 7 DE JUNIO NRO. 440 URB. CERCADO DE PUCALLPA - UCAYALI CORONEL PORTILLO CALLERIA</t>
  </si>
  <si>
    <t>20541292111</t>
  </si>
  <si>
    <t>INVERSIONES BURGA SAN ISIDRO E.I.R.L.</t>
  </si>
  <si>
    <t>NRO. SN C.P. SAN ISIDRO - LORETO MARISCAL RAMÓN CASTILLA SAN PABLO</t>
  </si>
  <si>
    <t>20541294750</t>
  </si>
  <si>
    <t>SERVICIOS GENERALES METAL MECANICA SANCHEZ EIRL</t>
  </si>
  <si>
    <t>CAR.IQUITOS NAUTA NRO. 768</t>
  </si>
  <si>
    <t>20541295489</t>
  </si>
  <si>
    <t>MISIONES DEL AGUA PERU</t>
  </si>
  <si>
    <t>OTR. URB. RIO MAR LT. 17 MZ. K URB. RIO MAR - LORETO MAYNAS BELÉN</t>
  </si>
  <si>
    <t>20541327941</t>
  </si>
  <si>
    <t>GRUPO SHALOM E.I.R.L.</t>
  </si>
  <si>
    <t>JR. 24 DE SETIEMBRE NRO. 1135 (COSTADO PLAZA PRINCIPAL) JUNIN - CHANCHAMAYO - PICHANAQUI</t>
  </si>
  <si>
    <t>20541412</t>
  </si>
  <si>
    <t>AV. CIRCUNVALACION S/NPICHANAKICHANCHAMAYOJUNIN</t>
  </si>
  <si>
    <t>20542201623</t>
  </si>
  <si>
    <t>FERRETERIA HUALLAGA C &amp; Z E.I.R.L.</t>
  </si>
  <si>
    <t>CAR. FERNANDO BELAUNDE TERRY KM. 59 - PICOTA - PICOTA - SAN MARTIN</t>
  </si>
  <si>
    <t>20542208806</t>
  </si>
  <si>
    <t>FERRETERIA Y DISTRIBUIDORA VALERIA E.I.R.L.</t>
  </si>
  <si>
    <t>- VENTA AL POR MENOR DE ARTÍCULOS DE FERRETERÍA PINTURAS Y PRODUCTOS DE VIDRIO</t>
  </si>
  <si>
    <t>JR. CHORRILLOS NRO. S/N (VIA DE EVITAMIENTO) SAPOSOA - HUALLAGA - SAN MARTIN</t>
  </si>
  <si>
    <t>20542220687</t>
  </si>
  <si>
    <t>FERRETERIA MARRUFO E.I.R.L.</t>
  </si>
  <si>
    <t>JR. SERAFIN FILOMENO NRO. 576 - SAN MARTÍN MOYOBAMBA MOYOBAMBA</t>
  </si>
  <si>
    <t>20542245833</t>
  </si>
  <si>
    <t>COMERCIAL FERRETERIA NUÑEZ SOCIEDAD ANONIMA CERRADA</t>
  </si>
  <si>
    <t>AV. LIMA NRO. 626 - BELLAVISTA - BELLAVISTA - SAN MARTIN</t>
  </si>
  <si>
    <t>20542262258</t>
  </si>
  <si>
    <t>CADENA 88 S.A.C.</t>
  </si>
  <si>
    <t>JR.MARTINEZ DE COMPAGÑON Nº 408 - TARAPOTO - SAN MARTIN - SAN MARTIN</t>
  </si>
  <si>
    <t>20542280400</t>
  </si>
  <si>
    <t>REPRESENTACIONES Y SERVICIOS GENERALES LA FORTALEZA SAC</t>
  </si>
  <si>
    <t>JR. PEDRO CANGA N 670</t>
  </si>
  <si>
    <t>Moquegua</t>
  </si>
  <si>
    <t>20542289881</t>
  </si>
  <si>
    <t>GRONES FERRETEROS E.I.R.L.</t>
  </si>
  <si>
    <t>JR. LIMA NRO. 376 (FRENTE A MI BANCO) - TARAPOTO - SAN MARTIN - SAN MARTIN</t>
  </si>
  <si>
    <t>20542343339</t>
  </si>
  <si>
    <t>IMPORTACIONES DIAZ S.R.L.</t>
  </si>
  <si>
    <t xml:space="preserve">JR. ANGAIZA NRO 372 </t>
  </si>
  <si>
    <t>20543480291</t>
  </si>
  <si>
    <t>CONCESIONARIA PUERTO AMAZONAS S.A.</t>
  </si>
  <si>
    <t>AV. JAVIER PRADO ESTE NRO. 4135 INT. 701 - LIMA LIMA SANTIAGO DE SURCO</t>
  </si>
  <si>
    <t>SANTIAGO DE SURCO</t>
  </si>
  <si>
    <t>20544998413</t>
  </si>
  <si>
    <t>SOCIEDAD DISTRIBUIDORA FERRETERA S.A.C.</t>
  </si>
  <si>
    <t>AV. LOS ALISOS MZA. J LOTE 4 URB. LOS JARDINES DE NARANJAL - SAN MARTIN DE PORRES - LIMA - LIMA</t>
  </si>
  <si>
    <t>SAN MARTIN DE PORRES</t>
  </si>
  <si>
    <t>20549195</t>
  </si>
  <si>
    <t>ANGLAS RIVERA CARLOS</t>
  </si>
  <si>
    <t>AMARANGO</t>
  </si>
  <si>
    <t>20549374582</t>
  </si>
  <si>
    <t>CREARQ GROUP S.A.C. ARQUITECTURA Y CONSTRUCCION</t>
  </si>
  <si>
    <t>JR. ALBERTO URETA MZA. L LOTE 53 URB. COVIMA / LA MOLINA</t>
  </si>
  <si>
    <t>LA MOLINA</t>
  </si>
  <si>
    <t>20553255709</t>
  </si>
  <si>
    <t>KANAY SAC</t>
  </si>
  <si>
    <t>AV.28 DE JULIO #1150 INT.402 URB.SAN ANTONIO LIMA -LIMA-MIRAFLORES</t>
  </si>
  <si>
    <t>20553468524</t>
  </si>
  <si>
    <t>IMPORTADORA-EXPORTADORA ISABEL Y JOSE S.A.C.</t>
  </si>
  <si>
    <t>AV. ARGENTINA NRO. 339 INT. 12-G - LIMA LIMA LIMA</t>
  </si>
  <si>
    <t>20553492158</t>
  </si>
  <si>
    <t>ANDIRA EQUIPMENT SAC</t>
  </si>
  <si>
    <t>CAL. GERMAN SCHREIBER NRO 276 URB SANTA ANA</t>
  </si>
  <si>
    <t>20557202073</t>
  </si>
  <si>
    <t>GRUPO ZAVALETA S.R.L.</t>
  </si>
  <si>
    <t>JR. PARURO NRO. 778 DPTO. D - LIMA LIMA LIMA</t>
  </si>
  <si>
    <t>20559608361</t>
  </si>
  <si>
    <t>RHINO INGENIERIA Y CONSTRUCCION S.A.C.</t>
  </si>
  <si>
    <t>AV. CESAR VALLEJO NRO. 943 INT. PIS1 URB. ARANJUEZ - LA LIBERTAD TRUJILLO TRUJILLO</t>
  </si>
  <si>
    <t>20561207268</t>
  </si>
  <si>
    <t>CARSALSI MACHINERY S.R.L.</t>
  </si>
  <si>
    <t>AV. AUGUSTO B. LEGUIA NRO. 1120 URB. SAN LORENZO - LAMBAYEQUE CHICLAYO JOSÉ LEONARDO ORTIZ</t>
  </si>
  <si>
    <t>20561321800</t>
  </si>
  <si>
    <t>GRUPO VILRA E.I.R.L.</t>
  </si>
  <si>
    <t>VENTA AL POR MAYOR DE MATERIALES DE CONSTRUCCIÓN Y FERRETERIA</t>
  </si>
  <si>
    <t>AV. LIBERTAD NRO 580 BARRIO YANCE - CHACHAPOYAS - CHACHAPOYAS - AMAZONAS</t>
  </si>
  <si>
    <t>20561417076</t>
  </si>
  <si>
    <t>FERRETERIA KAYJAN E.I.R.L.</t>
  </si>
  <si>
    <t>AV. SALAMANCA NRO. 440 - CHACHAPOYAS - CHACHAPOYAS - AMAZONAS</t>
  </si>
  <si>
    <t>20561769</t>
  </si>
  <si>
    <t>TEODORA RAMIREZ MAILLMA</t>
  </si>
  <si>
    <t>20563140918</t>
  </si>
  <si>
    <t>SERVIGER AT E.I.R.L.</t>
  </si>
  <si>
    <t>CAL. TNTE ARISTEDES DEL CARPIO NRO 1453 URB. LOS CIPRESES - LIMA</t>
  </si>
  <si>
    <t>20567113923</t>
  </si>
  <si>
    <t>INSTITUTO CHAIKUNI</t>
  </si>
  <si>
    <t>JR. PUTUMAYO NRO. 993 P.J. SERAFIN FILOMENO - LORETO MAYNAS IQUITOS</t>
  </si>
  <si>
    <t>20567134335</t>
  </si>
  <si>
    <t>HERRAMIENTAS AGROINDUSTRIALES JAFID S.A.C.</t>
  </si>
  <si>
    <t>CAL.REQUENA NRO. 229 (POR EL EMRCADO PRODUCTORES) LORETO - MAYNAS - IQUITOS</t>
  </si>
  <si>
    <t>20567139302</t>
  </si>
  <si>
    <t>COMPLEJO TURISTICO EL MIJANO S.R.L.</t>
  </si>
  <si>
    <t>KL. 13.7 CAS. EL VARILLAL - LORETO MAYNAS SAN JUAN BAUTISTA</t>
  </si>
  <si>
    <t>20567150021</t>
  </si>
  <si>
    <t>SERPENTARIO JAVIER E.I.R.L.</t>
  </si>
  <si>
    <t>C.AF COMUNIDAD NRO S/N C.P. PADRE COCHA</t>
  </si>
  <si>
    <t>20567160841</t>
  </si>
  <si>
    <t>CORPORACION CARZO S.R.L.</t>
  </si>
  <si>
    <t xml:space="preserve">AV. PARTICIPACION NRO SN A.H. MODELO </t>
  </si>
  <si>
    <t>20567173233</t>
  </si>
  <si>
    <t>MADERERA Y SERVICIOS DEL AGUILA E.I.R.L.</t>
  </si>
  <si>
    <t>PJ. LAS BERMUDAS NRO 114</t>
  </si>
  <si>
    <t>20567189156</t>
  </si>
  <si>
    <t>COOPERATIVA DE CACAO PERUANO S.A.C.</t>
  </si>
  <si>
    <t>20567194583</t>
  </si>
  <si>
    <t>AGRO AYSELL E.I.R.L.</t>
  </si>
  <si>
    <t xml:space="preserve">CAL. 1 DE SEPTIEMBRE NRO 9 CABALLO COCHA </t>
  </si>
  <si>
    <t>20567205020</t>
  </si>
  <si>
    <t>AMAZON GREEN ECOLODGE SRL</t>
  </si>
  <si>
    <t>JR. ARICA  363</t>
  </si>
  <si>
    <t>20567213391</t>
  </si>
  <si>
    <t>COOPERATIVA DE SERVICIOS MULTIPLES ESPERANZA DEL BOSQUEZ</t>
  </si>
  <si>
    <t>CALLE YURIMAGUAS 186</t>
  </si>
  <si>
    <t>20567221653</t>
  </si>
  <si>
    <t>VELSANG COMERCIO SERVICIO CONSTRUCTOR S.A.C.</t>
  </si>
  <si>
    <t xml:space="preserve">MZA. S LOTE 54A URB. MARTIRES DE LA DEMOCRACIA </t>
  </si>
  <si>
    <t>20567222200</t>
  </si>
  <si>
    <t>INVERSIONES OGAROS E.I.R.L.</t>
  </si>
  <si>
    <t>CAL. LAS FLORES NRO. SN - LORETO MARISCAL RAMÓN CASTILLA YAVARI</t>
  </si>
  <si>
    <t>20567256015</t>
  </si>
  <si>
    <t>MULTISERVICIOS YEROBY E.I.R.L.</t>
  </si>
  <si>
    <t>CAL. FUJIMORI NRO S/N</t>
  </si>
  <si>
    <t>20567259111</t>
  </si>
  <si>
    <t>INVERSIONES DON PANCHO EMPRESA INDIVIDUAL DE RESPONSABILIDAD LIMITADA</t>
  </si>
  <si>
    <t>CAL.REQUENA NRO. 339 (2DO PISO CERCA A BOULLOSA) LORETO - MAYNAS - IQUITOS</t>
  </si>
  <si>
    <t>20567265511</t>
  </si>
  <si>
    <t>AMAZON GREEN ADVENTURE</t>
  </si>
  <si>
    <t>AV. LA MARINA 2014</t>
  </si>
  <si>
    <t>20567266169</t>
  </si>
  <si>
    <t>NEGOCIOS MULTIPLES JULISSA Y FABRICIO SA</t>
  </si>
  <si>
    <t>COM.12 DE OCTUBRE S/N INTUTO</t>
  </si>
  <si>
    <t>20567267564</t>
  </si>
  <si>
    <t>INVERSIONES OMAGUA E.I.R.L.</t>
  </si>
  <si>
    <t>CAL. JUAN BARDALES CHUQUIPIOND LT. 14 MZ. Q - LORETO MAYNAS PUNCHANA</t>
  </si>
  <si>
    <t>20567268293</t>
  </si>
  <si>
    <t>FAST BUSINESS IQUITOS E.I.R.L.</t>
  </si>
  <si>
    <t>CAL. 3 DE OCTUBRE NRO 318 INT. B URB. 3 DE OCTUBRE</t>
  </si>
  <si>
    <t>20567273025</t>
  </si>
  <si>
    <t>MULTISERVICIOS AMAZON DREAM S.R.L.</t>
  </si>
  <si>
    <t>CAL. MOORE NRO. 366 - LORETO MAYNAS IQUITOS</t>
  </si>
  <si>
    <t>20567287085</t>
  </si>
  <si>
    <t>MUNICIPALIDAD DISTRITAL DE YAGUAS</t>
  </si>
  <si>
    <t>CALLE OLLANTA HUMALA S/N  REMANSO RIO PUTUMAYO</t>
  </si>
  <si>
    <t>20567289614</t>
  </si>
  <si>
    <t>PRESERVE NATURE S.A.C.</t>
  </si>
  <si>
    <t>PJ. LOS SURCOS LT. 56 MZ. 1 - LORETO MAYNAS SAN JUAN BAUTISTA</t>
  </si>
  <si>
    <t>20567292593</t>
  </si>
  <si>
    <t>EMPRESA COMUNAL PUCACURO DEL RIO CORRIENTES DE RESPONSABILIDAD LIMITADA</t>
  </si>
  <si>
    <t>NRO. D-2 URB. URB. CESAR CALVO DE ARAUJ - LORETO MAYNAS SAN JUAN BAUTISTA</t>
  </si>
  <si>
    <t>20567292917</t>
  </si>
  <si>
    <t>MULTISERVICIOS Y CONSTRUCTORA BRIANNA VALENTINA EMPRESA INDIVIDUAL DE RESPONSABILIDAD LIMITADA</t>
  </si>
  <si>
    <t>JR. PUTUMAYO NRO 2731 A.H. MUNICH</t>
  </si>
  <si>
    <t>20568813015</t>
  </si>
  <si>
    <t>MULTISERVICIOS CRISBEN EMPRESA INDIVIDUAL DE RESPONSABILIDAD LIMITADA</t>
  </si>
  <si>
    <t>20568826851</t>
  </si>
  <si>
    <t>MULTISERVIS CONSULTOR BERROSPI E.I.R.L.</t>
  </si>
  <si>
    <t>CAL.UCAYALI NRO. 277 - PANGOA</t>
  </si>
  <si>
    <t>20568832664</t>
  </si>
  <si>
    <t>AGRO FERRETERIA GAVINO S.A.C.</t>
  </si>
  <si>
    <t xml:space="preserve">JR. GRAU MZA. O LOTE 15 </t>
  </si>
  <si>
    <t>20568888023</t>
  </si>
  <si>
    <t>EL CONSTRUCTOR SAN MARTIN &amp; COMPAÑIA SOCIEDAD ANONIMA CERRADA</t>
  </si>
  <si>
    <t xml:space="preserve">AV. CAPITAN SOTO NRO S/N URB. VILLA RICA </t>
  </si>
  <si>
    <t>20568904916</t>
  </si>
  <si>
    <t>ECOMEX´S SOCIEDAD COMERCIAL DE RESPONSABILIDAD LIMITADA - ECOMEX´S S.R.L.</t>
  </si>
  <si>
    <t>CAR. MARGINAL LT. E MZ. 03 URB. RIO NEGRO - JUNÍN SATIPO RÍO NEGRO</t>
  </si>
  <si>
    <t>20568940980</t>
  </si>
  <si>
    <t>INVERSIONES KARIT E.I.R.L.</t>
  </si>
  <si>
    <t>AV. AV. LOS FUNDADORES NRO. S/N - HUÁNUCO PUERTO INCA CODO DEL POZUZO</t>
  </si>
  <si>
    <t>20568948964</t>
  </si>
  <si>
    <t>CORPORACIÓN HNOS NUÑEZ S.A.C.</t>
  </si>
  <si>
    <t xml:space="preserve">MZA. N LOTE 03 C.P. SAN FERNANDO DE KIVINAKI </t>
  </si>
  <si>
    <t>20570777271</t>
  </si>
  <si>
    <t>H&amp;C INVERSIONES CAJAMARCA SOCIEDAD DE RESPONSABILIDAD LIMITADA</t>
  </si>
  <si>
    <t>JR. EL CARMEN NRO 831 SEC. SAN IGNACIO  - SAN IGNACIO - CAJAMARCA</t>
  </si>
  <si>
    <t>20570810074</t>
  </si>
  <si>
    <t>LA PARADA NEGOCIO FERRETERO E.I.R.L.</t>
  </si>
  <si>
    <t>CAL. ORELLANA NRO. C-02 SEC. MORRO SOLAR ALTO - CAJAMARCA JAÉN JAÉN</t>
  </si>
  <si>
    <t>20570819705</t>
  </si>
  <si>
    <t>FERRETERIA C&amp;C EMPRESA INDIVIDUAL DE RESPONSABILIDAD LIMITADA</t>
  </si>
  <si>
    <t>JR. SANTA ROSA NRO. 445 SEC. SAN IGNACIO - CAJAMARCA SAN IGNACIO SAN IGNACIO</t>
  </si>
  <si>
    <t>20570897331</t>
  </si>
  <si>
    <t>CORPORACION FLORES F &amp; S S.A.C.</t>
  </si>
  <si>
    <t xml:space="preserve"> VENTA AL POR MAYOR DE MATERIALES DE CONSTRUCCIÓN</t>
  </si>
  <si>
    <t>AV. PAKAMUROS NRO 2030 SEC. PUEBLO LIBRE - JAÉN - JAÉN - CAJAMARCA</t>
  </si>
  <si>
    <t>20571404886</t>
  </si>
  <si>
    <t>REPRESENTACIONES GREMBEK S.A.C.</t>
  </si>
  <si>
    <t>JR. BOLOGNESI NRO. 182 - LIMA BARRANCA BARRANCA</t>
  </si>
  <si>
    <t>20572120555</t>
  </si>
  <si>
    <t>EL IMAN FERRETEROS S.A.C.</t>
  </si>
  <si>
    <t xml:space="preserve">VENTA AL POR MAYOR DE MATERIALES DE CONSTRUCCIÓN ARTÍCULOS DE FERRETERÍA </t>
  </si>
  <si>
    <t>CAR. FERNANDO BELAUNDE TERRY NRO. S/N JUANJUICILLO - JUANJUI - MCAL.CACERES - SAN MARTIN</t>
  </si>
  <si>
    <t>20572123228</t>
  </si>
  <si>
    <t>JAS CONSULTORIA Y SERVICIOS GENERALES EIRL</t>
  </si>
  <si>
    <t>CAL. CONDAMINE NRO 515A</t>
  </si>
  <si>
    <t>20572129935</t>
  </si>
  <si>
    <t>FERRYHOGAR JESHUA E.I.R.L.</t>
  </si>
  <si>
    <t>CAL. ELENA PARDO NRO. 118 - LORETO ALTO AMAZONAS YURIMAGUAS</t>
  </si>
  <si>
    <t>20572142362</t>
  </si>
  <si>
    <t>DISTRIBUIDORA MISTER S.A.C.</t>
  </si>
  <si>
    <t>ENTA AL POR MAYOR DE MATERIALES DE CONSTRUCCIÓN ARTÍCULOS DE FERRETERÍA Y EQUIPO Y MATERIALES</t>
  </si>
  <si>
    <t>. LIMA NRO. 471 (AL COSTADO DE COMERCIAL SUPER BARATITO) - TARAPOTO - SAN MARTIN - SAN MARTIN</t>
  </si>
  <si>
    <t>20572240534</t>
  </si>
  <si>
    <t>INVERSIONES URCE S.R.L.</t>
  </si>
  <si>
    <t>CAL. GARCILAZO DE LA VEGA NRO. 114 ---- BR GARCILAZO - LORETO ALTO AMAZONAS YURIMAGUAS</t>
  </si>
  <si>
    <t>20572284582</t>
  </si>
  <si>
    <t>SERVICIOS GENERALES BT&amp;B E.I.R.L.</t>
  </si>
  <si>
    <t xml:space="preserve">JR. MARAÑON NRO 931 SAN LORENZO </t>
  </si>
  <si>
    <t>20572287506</t>
  </si>
  <si>
    <t>GRUPO ACOSTA INVERSIONES S.A.C.</t>
  </si>
  <si>
    <t>JR. LA MERCED NRO 302 - JUANJUI - MCAL.CACERES - SAN MARTIN</t>
  </si>
  <si>
    <t>20573338473</t>
  </si>
  <si>
    <t>INVERSIONES KIOMI S.R.L.</t>
  </si>
  <si>
    <t>AV. LIMA NRO. 250 ---- CENT AUCAYACU - HUÁNUCO LEONCIO PRADO JOSÉ CRESPO Y CASTILLO</t>
  </si>
  <si>
    <t>20585105</t>
  </si>
  <si>
    <t>GREGORIO LLACUA HERRERA</t>
  </si>
  <si>
    <t>JR FIZCARRALD S/N ATALAYA</t>
  </si>
  <si>
    <t>20592692</t>
  </si>
  <si>
    <t>CESAR</t>
  </si>
  <si>
    <t>AV CIRCUNVALACION SN PICHANAQUI</t>
  </si>
  <si>
    <t>20600015029</t>
  </si>
  <si>
    <t>ANTALSYS PERU EIRL</t>
  </si>
  <si>
    <t>JR. NAUTA  667</t>
  </si>
  <si>
    <t>20600032195</t>
  </si>
  <si>
    <t>CENTRO COMERCIAL EL SOL E.I.R.L.</t>
  </si>
  <si>
    <t xml:space="preserve">AV. A. UGARTE NRO 147 </t>
  </si>
  <si>
    <t>20600036212</t>
  </si>
  <si>
    <t>FERRETERIA EL CHACHAPOYANO S.R.L.</t>
  </si>
  <si>
    <t>JR. PUTUMAYO NRO 2268 ESQ .CON TARMA</t>
  </si>
  <si>
    <t>20600051521</t>
  </si>
  <si>
    <t>MULTISERVICIOS TAFUR E.I.R.L.</t>
  </si>
  <si>
    <t>ISLA SANTA ROSA NRO. SN C.P. ISLA SANTA ROSA - LORETO MARISCAL RAMÓN CASTILLA RAMÓN CASTILLA</t>
  </si>
  <si>
    <t>MARISCAL RAMON CASTILLA</t>
  </si>
  <si>
    <t>20600057635</t>
  </si>
  <si>
    <t>CONSTRUCTORES SANTA AURELIA S.A.C.</t>
  </si>
  <si>
    <t xml:space="preserve">AV. MARGINAL NRO 408 </t>
  </si>
  <si>
    <t>20600099761</t>
  </si>
  <si>
    <t>NEGOCIO FERRETERO ALEXANDER E.I.R.L.</t>
  </si>
  <si>
    <t xml:space="preserve">CAL. RAYMONDI NRO 197 CENT. JAEN </t>
  </si>
  <si>
    <t>20600106750</t>
  </si>
  <si>
    <t>TELESERVICIOS SELVA E.I.R.L.</t>
  </si>
  <si>
    <t>JR. CONDAMINE NRO. 147 P.J. SERAFIN FILOMENO - LORETO MAYNAS IQUITOS</t>
  </si>
  <si>
    <t>20600107161</t>
  </si>
  <si>
    <t>FERRETERIA MONTERO S.A.C.</t>
  </si>
  <si>
    <t xml:space="preserve">AV. AGRICULTURA NRO 101 </t>
  </si>
  <si>
    <t>20600109201</t>
  </si>
  <si>
    <t>TRANS LINARES S.R.L.</t>
  </si>
  <si>
    <t xml:space="preserve">CAL. PUEBLO DIGNO MZA. R LOTE 34 A.H. SOL NACIENTE </t>
  </si>
  <si>
    <t>20600119321</t>
  </si>
  <si>
    <t>TRANSPORTES EDUARDO SOCIEDAD ANONIMA CERRADA</t>
  </si>
  <si>
    <t>ELENA PARDO NRO. 114 (ELENA PARDO 114-116) LORETO - ALTO AMAZONAS - YURIMAGUAS</t>
  </si>
  <si>
    <t>20600123166</t>
  </si>
  <si>
    <t>GLOBAL SERVICES VILLACREZ S.R.L.</t>
  </si>
  <si>
    <t>CAL. LOS PROCERES LT. 17 MZ. A - LORETO MAYNAS PUNCHANA</t>
  </si>
  <si>
    <t>20600139631</t>
  </si>
  <si>
    <t>FERRETERIA SHALOM-JIRCH E.I.R.L.</t>
  </si>
  <si>
    <t>JR. SAN MARTIN NRO. SN - SAN MARTÍN LAMAS BARRANQUITA</t>
  </si>
  <si>
    <t>20600176049</t>
  </si>
  <si>
    <t>REPRESENTACIONES AQUISES S.A.C.</t>
  </si>
  <si>
    <t>CAL.RIMAC MZA. 27 LOTE. 17 UCAYALI - ATALAYA - RAYMONDI</t>
  </si>
  <si>
    <t>20600220897</t>
  </si>
  <si>
    <t>CONSORCIO TARMEÑA S.A.C.</t>
  </si>
  <si>
    <t>CAL. SAN RAMON NRO. S/N - PANGOA</t>
  </si>
  <si>
    <t>20600237218</t>
  </si>
  <si>
    <t>COMERCIAL CHONG E.I.R.L.</t>
  </si>
  <si>
    <t>CAL. RAMIREZ HURTADO NRO. 1154 - LORETO MAYNAS BELÉN</t>
  </si>
  <si>
    <t>20600266161</t>
  </si>
  <si>
    <t>TRANSPORTE FLUVIAL CORAZON DE JESUS E.I.R.L</t>
  </si>
  <si>
    <t>CAL. FRANCISCO BOLOGNESI NRO 542 MORALILLOS</t>
  </si>
  <si>
    <t>20600280334</t>
  </si>
  <si>
    <t>NG ALVARADO E.I.R.L.</t>
  </si>
  <si>
    <t>OTRAS ACTIVIDADES</t>
  </si>
  <si>
    <t>JR. CORONEL SECADA NRO 201 - MOYOBAMBA, MOYOBAMBA, SAN MARTIN</t>
  </si>
  <si>
    <t>20600355075</t>
  </si>
  <si>
    <t>MULTINEGOCIOS M &amp; S E.I.R.L.</t>
  </si>
  <si>
    <t>AV. JOSE GALVEZ NRO. 367 P.J. JOSE GALVEZ - LORETO MAYNAS BELÉN</t>
  </si>
  <si>
    <t>20600402472</t>
  </si>
  <si>
    <t>SERVICIOS GENERALES PAYELVI E.I.R.L.</t>
  </si>
  <si>
    <t>20600407148</t>
  </si>
  <si>
    <t>MAQUICASA E.I.R.L.</t>
  </si>
  <si>
    <t xml:space="preserve">JR. WASHINGTON NRO 1698 </t>
  </si>
  <si>
    <t>20600430395</t>
  </si>
  <si>
    <t>BRIANIZ EIRL</t>
  </si>
  <si>
    <t>PARTICIPACION MZA B LT-21</t>
  </si>
  <si>
    <t>20600441311</t>
  </si>
  <si>
    <t>AGROCOMERCIALIZADORA EL PLATANAL E.I.R.L</t>
  </si>
  <si>
    <t>---- VIA DE EVITAMIENTO NRO. S/N - LORETO ALTO AMAZONAS YURIMAGUAS</t>
  </si>
  <si>
    <t>20600460146</t>
  </si>
  <si>
    <t>CREDITOS MARTIN E.I.R.L.</t>
  </si>
  <si>
    <t>JR. HUALLAGA NRO 987  - JUANJUI - MCAL.CACERES - SAN MARTIN</t>
  </si>
  <si>
    <t>20600518373</t>
  </si>
  <si>
    <t>MULTISERVICIOS JANETH E.I.R.L.</t>
  </si>
  <si>
    <t xml:space="preserve">CAL. PROGRESO NRO 208 </t>
  </si>
  <si>
    <t>20600531256</t>
  </si>
  <si>
    <t>SISTEMAS DE RIEGO TECNIFICADO EDIFAVI S.R.L.</t>
  </si>
  <si>
    <t>AV. SAN MARTIN DE PORRES NRO 1062 BAR. SAN MARTIN DE PORRES - CAJAMARCA</t>
  </si>
  <si>
    <t>CAJAMARCA</t>
  </si>
  <si>
    <t>20600558685</t>
  </si>
  <si>
    <t>MULTISERVICIOS HAYDEE S.A.C</t>
  </si>
  <si>
    <t>CALLE REQUENA  155</t>
  </si>
  <si>
    <t>20600564961</t>
  </si>
  <si>
    <t>DISTRIBUIDORA NARANJOS S.A.C.</t>
  </si>
  <si>
    <t>AV. MARGINAL SUR NRO 203 - NARANJOS - PARDO MIGUEL - RIOJA - SAN MARTIN</t>
  </si>
  <si>
    <t>20600566017</t>
  </si>
  <si>
    <t>FERRETERIA CONSTRUCCION Y AGREGADOS RUBIO S.A.C.</t>
  </si>
  <si>
    <t xml:space="preserve">PJ. TUPAC AMARU NRO 176 URB. CHACHAPOYAS </t>
  </si>
  <si>
    <t>20600592794</t>
  </si>
  <si>
    <t>BEGASA NEGOCIOS S.R.L.</t>
  </si>
  <si>
    <t>AV. LA PARTICIPACION LT. 11 MZ. J - LORETO MAYNAS SAN JUAN BAUTISTA</t>
  </si>
  <si>
    <t>20600630840</t>
  </si>
  <si>
    <t>NEGOCIACIONES Y SERVICIOS NISSI SOCIEDAD COMERCIAL DE RESPONSABILIDAD LIMITADA</t>
  </si>
  <si>
    <t>comercial</t>
  </si>
  <si>
    <t xml:space="preserve">JR. CALLAO NRO 247 CENT TINGO MARIA </t>
  </si>
  <si>
    <t>20600635434</t>
  </si>
  <si>
    <t>COMERCIAL ATENAS SAC</t>
  </si>
  <si>
    <t>JR. ARICA NRO. 868 - LORETO MAYNAS IQUITOS</t>
  </si>
  <si>
    <t>20600639928</t>
  </si>
  <si>
    <t>LOJA IMPORT E.I.R.L.</t>
  </si>
  <si>
    <t xml:space="preserve">JR. SALAMANCA NRO 400 BAR. YANCE </t>
  </si>
  <si>
    <t>20600651855</t>
  </si>
  <si>
    <t>ALDI MAQ AGROFOREST S.R.L.</t>
  </si>
  <si>
    <t>AV. AUGUSTO B LEGUIA NRO. 1148 URB. SAN LORENZO - LAMBAYEQUE - CHICLAYO JOSÉ LEONARDO ORTIZ</t>
  </si>
  <si>
    <t>20600680324</t>
  </si>
  <si>
    <t>COMERCIAL ALARI S.R.L.</t>
  </si>
  <si>
    <t xml:space="preserve">AV. PARTICIPACION MZA. 28 LOTE 2 </t>
  </si>
  <si>
    <t>20600689984</t>
  </si>
  <si>
    <t>INVERSIONES Y DISTRIBUCIONES SMART E.I.R.L.</t>
  </si>
  <si>
    <t>JR. 1 LT. 3A MZ. T H.U. PROGRESIVA LOS AGUAJALES - UCAYALI CORONEL PORTILLO CALLERIA</t>
  </si>
  <si>
    <t>20600691296</t>
  </si>
  <si>
    <t>EL AVANCE IMPORTACIONES E.I.R.L.</t>
  </si>
  <si>
    <t xml:space="preserve">AV. SALAMANCA NRO 680 URB. CHACHAPOYAS </t>
  </si>
  <si>
    <t>20600694422</t>
  </si>
  <si>
    <t>D´ CAMPOS E.I.R.L.</t>
  </si>
  <si>
    <t>CAL. LEONCIO PRADO NRO. S/N - LORETO MARISCAL RAMÓN CASTILLA RAMÓN CASTILLA</t>
  </si>
  <si>
    <t>20600706501</t>
  </si>
  <si>
    <t>GRUPO Y DISTRIBUIDOR FERRETERO CUSTODIO E.I.R.L.</t>
  </si>
  <si>
    <t>AV. TUPAC AMARU LT. 17 MZ. 35 - UCAYALI CORONEL PORTILLO MANANTAY</t>
  </si>
  <si>
    <t>20600711441</t>
  </si>
  <si>
    <t>COMERCIAL &amp; REPRESENTACIONES KOKI E.I.R.L.</t>
  </si>
  <si>
    <t xml:space="preserve">AV. SIMON BOLIVAR NRO 253 </t>
  </si>
  <si>
    <t>20600712277</t>
  </si>
  <si>
    <t>INVERSIONES IRIS R &amp; T SRL</t>
  </si>
  <si>
    <t>CAL.REQUENA NRO. 249 (POR EL MERCADO DE PRODUCTORES) LORETO - MAYNAS - IQUITOS</t>
  </si>
  <si>
    <t>20600746457</t>
  </si>
  <si>
    <t>CORPORACION FERRETERA ROJAS &amp; MONTALVO S.A.C.</t>
  </si>
  <si>
    <t xml:space="preserve">CAR. FEDERICO BASADRE MZA. 134 LOTE 3 </t>
  </si>
  <si>
    <t>20600778146</t>
  </si>
  <si>
    <t>CORPORACION FERRETERA &amp; MAQUINARIAS WILIBEL S.A.C.</t>
  </si>
  <si>
    <t xml:space="preserve">CAL. URUBAMBA MZA. 7 LOTE 4C </t>
  </si>
  <si>
    <t>20600873009</t>
  </si>
  <si>
    <t>MAQUINARIAS ESPINOZA C &amp; Y S.A.C.</t>
  </si>
  <si>
    <t>AV. REPUBLICA DE ARGENTINA NRO. 327 INT. 4AL6 ---- PABELLON P1 PSJE. PRINC 4 - LIMA LIMA LIMA</t>
  </si>
  <si>
    <t>20600874811</t>
  </si>
  <si>
    <t>CONSTRUCTORA &amp; SERVICIOS GENERALES SATELITE E.I.R.L.</t>
  </si>
  <si>
    <t>CAL. DANIEL ALCIDES CARRION NRO. 690 - LORETO ALTO AMAZONAS YURIMAGUAS</t>
  </si>
  <si>
    <t>20600875681</t>
  </si>
  <si>
    <t>INVERSIONES RUBIO OLIVEIRA E.I.R.L. - RUBOLI E.I.R.L.</t>
  </si>
  <si>
    <t>JR. LEONCIO PRADO NRO. REF - SAN MARTÍN SAN MARTÍN TARAPOTO</t>
  </si>
  <si>
    <t>20600885155</t>
  </si>
  <si>
    <t>GRUPO CENTRAL PORRAS A&amp;P EMPRESA INDIVIDUAL DE RESPONSABILIDAD LIMITADA</t>
  </si>
  <si>
    <t xml:space="preserve">AV. MARGINAL LOTE 7 A.V. SAN JACINTO </t>
  </si>
  <si>
    <t>20600901983</t>
  </si>
  <si>
    <t>INVERSIONES FERRETERAS PORVENIR E.I.R.L.</t>
  </si>
  <si>
    <t>AV. VILLANUEVA PINILLOS NRO. 698 SEC. PUEBLO NUEVO - CAJAMARCA JAÉN JAÉN</t>
  </si>
  <si>
    <t>20600912501</t>
  </si>
  <si>
    <t>AGRO FERRETERIA FRANK SOCIEDAD ANONIMA CERRADA - AGRO FERRETERIA FRANK S.A.C.</t>
  </si>
  <si>
    <t>CAL. OXAPAMPA LT. 06 MZ. 01 C.P. CIUDAD CONSTITUCION - PASCO OXAPAMPA CONSTITUCIÓN</t>
  </si>
  <si>
    <t>20600930908</t>
  </si>
  <si>
    <t>INVERSIONES MARAÑON JAEN E.I.R.L.</t>
  </si>
  <si>
    <t>AV. PAKAMUROS NRO. C-12 URB. LAS FLORES - CAJAMARCA JAÉN JAÉN</t>
  </si>
  <si>
    <t>20600935683</t>
  </si>
  <si>
    <t>INVERSIONES AMAZON COMPANY EMPRESA INDIVIDUAL DE R</t>
  </si>
  <si>
    <t>PJ. BENAVIDES NRO. 285 A.H. 3 DE JUNIO (ANTES DE LLEGAR A LA PLAZA GRAU) LORETO</t>
  </si>
  <si>
    <t>20600936230</t>
  </si>
  <si>
    <t>SINAI IMPORT E.I.R.L.</t>
  </si>
  <si>
    <t>VENTA MAQUINARIAS</t>
  </si>
  <si>
    <t>JR. LIBERTAD NRO. 644 - NUEVA CAJAMARCA - RIOJA - SAN MARTIN</t>
  </si>
  <si>
    <t>20600938801</t>
  </si>
  <si>
    <t>FERRETOOLS .S.A.C.</t>
  </si>
  <si>
    <t>CAL. 3 LT. 10 MZ. G - UCAYALI CORONEL PORTILLO CALLERIA</t>
  </si>
  <si>
    <t>20600952219</t>
  </si>
  <si>
    <t>MULTIVENTAS Y COMERCIOS YAVI S.A.C.</t>
  </si>
  <si>
    <t>PJ. ESPERANZA LT. 31 MZ. A URB. FRANCISCO RAFAEL - LORETO MAYNAS PUNCHANA</t>
  </si>
  <si>
    <t>20600971647</t>
  </si>
  <si>
    <t>DISTRIBUIDORA JARLU EIRL</t>
  </si>
  <si>
    <t>AV LA MARINA 257</t>
  </si>
  <si>
    <t>20600986229</t>
  </si>
  <si>
    <t>IMPORT &amp; DISTRIBUIDOR FERRETERO PUCALLPA SKYLINE S.A.C. - IMDIFEPUSKY S.A.C.</t>
  </si>
  <si>
    <t>AV. TUPAC AMARU LT. 03 MZ. 18 - UCAYALI CORONEL PORTILLO MANANTAY</t>
  </si>
  <si>
    <t>20601005701</t>
  </si>
  <si>
    <t>MANITI CAMP EXPEDITIONS EMPRESA INDIVIDUAL DE RESPONSABILIDAD LIMITADA</t>
  </si>
  <si>
    <t>JR. HUALLAGA NRO. 240 P.J. SERAFIN FILOMENO - LORETO MAYNAS IQUITOS</t>
  </si>
  <si>
    <t>20601008808</t>
  </si>
  <si>
    <t>SERGEN E.G.V. S.A.C.</t>
  </si>
  <si>
    <t>PJ. SAN MARTIN MZA. E LOTE. 28 A.H. ELIANE KARP</t>
  </si>
  <si>
    <t>20601024650</t>
  </si>
  <si>
    <t>MULTISERVICIOS NINFAGRIMA E.I.R.L.</t>
  </si>
  <si>
    <t>JR. PROSPERO NRO. 1359 - LORETO MAYNAS BELÉN</t>
  </si>
  <si>
    <t>20601065275</t>
  </si>
  <si>
    <t>COMERCIOS SOL DEL ORIENTE E.I.R.L.</t>
  </si>
  <si>
    <t xml:space="preserve">CAL. CALLE RAMIREZ HURTADO NRO 1124 </t>
  </si>
  <si>
    <t>20601137152</t>
  </si>
  <si>
    <t>M &amp; R IMPORTACIONES E.I.R.L.</t>
  </si>
  <si>
    <t>JR. ANGAIZA NRO. 372 BAR. NUEVA RIOJA - SAN MARTÍN RIOJA RIOJA</t>
  </si>
  <si>
    <t>20601144566</t>
  </si>
  <si>
    <t>PLASTICOS EL GUACAMAYO E.I.R.L.</t>
  </si>
  <si>
    <t>JR. ELIAS AGUIRRE NRO. 1189 - LORETO MAYNAS BELÉN</t>
  </si>
  <si>
    <t>20601150949</t>
  </si>
  <si>
    <t>COMERCIAL LA ROCA L Y S S.R.L.</t>
  </si>
  <si>
    <t>AV. ALFONSO UGARTE NRO. 1006 - LORETO MAYNAS IQUITOS</t>
  </si>
  <si>
    <t>20601172721</t>
  </si>
  <si>
    <t>CONTRATISTAS &amp; MULTISERVICIOS RODRIGUEZ SOCIEDAD ANONIMA CERRADA.</t>
  </si>
  <si>
    <t xml:space="preserve">CAL. SAN MARTIN NRO S/N C.P. PUERTO BERMUDEZ </t>
  </si>
  <si>
    <t>20601173591</t>
  </si>
  <si>
    <t>G&amp;E MAQUINARIAS AGRICOLAS S.A.C.</t>
  </si>
  <si>
    <t>JR. JORGE CHAVEZ NRO. 417 URB. JORGE CHAVEZ - SAN MARTÍN TOCACHE TOCACHE</t>
  </si>
  <si>
    <t>20601182107</t>
  </si>
  <si>
    <t>KAWSAY RETREAT E.I.R.L.</t>
  </si>
  <si>
    <t>JR. ABTAO NRO. 1145 P.J. MARISCAL CASTILLA - LORETO MAYNAS IQUITOS</t>
  </si>
  <si>
    <t>20601206201</t>
  </si>
  <si>
    <t>AGRONEGOCIOS NOBLEJAS SOCIEDAD ANONIMA CERRADA - AGRONEGOCIOS NOBLEJAS S.A.C.</t>
  </si>
  <si>
    <t>COMERCIA</t>
  </si>
  <si>
    <t>AV. JUAN FRANTZEN NRO. SN URB. ISCOZACIN - PASCO OXAPAMPA PALCAZU</t>
  </si>
  <si>
    <t>20601213495</t>
  </si>
  <si>
    <t>NOVEDADES ALISALVA E.I.R.L.</t>
  </si>
  <si>
    <t>COMERCILA</t>
  </si>
  <si>
    <t>JR. AYACUCHO NRO. 496 ---- CENT. C.U. HUANUCO - HUÁNUCO HUÁNUCO HUANUCO</t>
  </si>
  <si>
    <t>20601233321</t>
  </si>
  <si>
    <t>NEGOCIACIONES MEGA STANTO S.A.C.</t>
  </si>
  <si>
    <t>JR. ELMER FAUCETT NRO. 297 URB. FRAY MARTIN - UCAYALI CORONEL PORTILLO CALLERIA</t>
  </si>
  <si>
    <t>20601259991</t>
  </si>
  <si>
    <t>TIENDAS CAJAMARCA EMPRESA INDIVIDUAL DE RESPONSABILIDAD LIMITADA</t>
  </si>
  <si>
    <t>VENTA AL POR MAYOR DE MATERIALES DE CONSTRUCCIÓN ARTÍCULOS DE FERRETERÍA Y EQUIPO</t>
  </si>
  <si>
    <t>JR. TAHUANTINSUYO NRO. 317 - TARAPOTO - SAN MARTIN - SAN MARTIN</t>
  </si>
  <si>
    <t>20601273960</t>
  </si>
  <si>
    <t>MULTIVENTAS TONG E.I.R.L.</t>
  </si>
  <si>
    <t xml:space="preserve">CAL. RAMIREZ HURTADO NRO 1140 </t>
  </si>
  <si>
    <t>20601310997</t>
  </si>
  <si>
    <t>INVERSIONES FERR S.A.C.</t>
  </si>
  <si>
    <t>AV. NESHUYA LT. 13 MZ. 29 ---- JJ.VV. LAS PALMERAS - UCAYALI PADRE ABAD NESHUYA</t>
  </si>
  <si>
    <t>20601326249</t>
  </si>
  <si>
    <t>RCG GROUP S.A.C.</t>
  </si>
  <si>
    <t>JR. PROSPERO NRO 294 P.J. SERAFIN FILOMENO</t>
  </si>
  <si>
    <t>20601328411</t>
  </si>
  <si>
    <t>THE THREE SILVAS S.R.L.</t>
  </si>
  <si>
    <t>CAL. MOORE NRO. 443 - LORETO MAYNAS IQUITOS</t>
  </si>
  <si>
    <t>20601334993</t>
  </si>
  <si>
    <t>FERREYRA FISHES &amp; TURTLES E.I.R.L.</t>
  </si>
  <si>
    <t xml:space="preserve">CAL. LAS AZUCENAS NRO 390 </t>
  </si>
  <si>
    <t>20601347084</t>
  </si>
  <si>
    <t>PERFORACIONES CHUAN EIRL</t>
  </si>
  <si>
    <t>PRO. 15 DE AGOSTO NRO. 1240 - LORETO ALTO AMAZONAS YURIMAGUAS</t>
  </si>
  <si>
    <t>20601356041</t>
  </si>
  <si>
    <t>MULTISERVICIOS &amp; CONSULTORIA EDUMARD E.I.R.L.</t>
  </si>
  <si>
    <t>PJ. TUPAC AMARU LT. 12 MZ. G - LORETO MAYNAS PUNCHANA</t>
  </si>
  <si>
    <t>20601396051</t>
  </si>
  <si>
    <t>COMERCIAL LINS E.I.R.L.</t>
  </si>
  <si>
    <t>CAL. REQUENA NRO. 273 - LORETO MAYNAS IQUITOS</t>
  </si>
  <si>
    <t>20601398932</t>
  </si>
  <si>
    <t>MULTISERVICIOS AREVALO EMPRESA INDIVIDUAL DE RESPONSABILIDAD LIMITADA</t>
  </si>
  <si>
    <t>CAL. BOLIVAR NRO. 697 - LORETO MAYNAS IQUITOS</t>
  </si>
  <si>
    <t>20601414920</t>
  </si>
  <si>
    <t>CATCH THE VISION PERU RIVER MINISTRY</t>
  </si>
  <si>
    <t>LOS DIAMANTES 03 NINA RUMI</t>
  </si>
  <si>
    <t>20601425093</t>
  </si>
  <si>
    <t>COMERCIAL FERRETERA CLARIBEC EMPRESA INDIVIDUAL DE RESPONSABILIDAD LIMITADA</t>
  </si>
  <si>
    <t xml:space="preserve">AV. GRAU NRO 1223 P.J. BERMUDEZ </t>
  </si>
  <si>
    <t>20601442605</t>
  </si>
  <si>
    <t>MUNDO SUR E.I.R.L.</t>
  </si>
  <si>
    <t>20601474132</t>
  </si>
  <si>
    <t>TINRIVER S.R.L.</t>
  </si>
  <si>
    <t>JR. ARICA NRO. 645 - SAPOSOA - HUALLAGA - SAN MARTIN</t>
  </si>
  <si>
    <t>20601495211</t>
  </si>
  <si>
    <t>MULTIVENTAS LEON E.I.R.L.</t>
  </si>
  <si>
    <t>CAL. 09 DE DICIEMBRE NRO. 229 - LORETO MAYNAS BELÉN</t>
  </si>
  <si>
    <t>20601496136</t>
  </si>
  <si>
    <t>CENTRO PLASTIK E.I.R.L.</t>
  </si>
  <si>
    <t>CAL. 9 DE DICIEMBRE NRO. 133 - LORETO MAYNAS BELÉN</t>
  </si>
  <si>
    <t>20601496241</t>
  </si>
  <si>
    <t>PLASTIC PLUS E.I.R.L.</t>
  </si>
  <si>
    <t>CAL. 9 DE DICIEMBRE NRO. 221 - LORETO MAYNAS IQUITOS</t>
  </si>
  <si>
    <t>20601537312</t>
  </si>
  <si>
    <t>INVERSIONES Y NEGOCIOS WU WU HNOS SOCIEDAD COMERCIAL DE RESPONSABILIDAD LIMITADA</t>
  </si>
  <si>
    <t>CAL. RAMIREZ HURTADO NRO. 1158 - LORETO MAYNAS BELÉN</t>
  </si>
  <si>
    <t>20601543231</t>
  </si>
  <si>
    <t>C &amp; M AGRO SELVA E.I.R.L.</t>
  </si>
  <si>
    <t>CAL. CARLOS P SAENZ NRO. SN URB. CARLOS P SAENZ - LORETO MARISCAL RAMÓN CASTILLA RAMÓN CASTILLA</t>
  </si>
  <si>
    <t>20601550262</t>
  </si>
  <si>
    <t>FERRO INDUSTRIAL NORTE E.I.R.L.</t>
  </si>
  <si>
    <t>JR. MIGUEL GRAU NRO. S/N C.P. CONSUELO - SAN PABLO - BELLAVISTA - SAN MARTIN</t>
  </si>
  <si>
    <t>20601555175</t>
  </si>
  <si>
    <t>FERRIMPORT LIDIA E.I.R.L.</t>
  </si>
  <si>
    <t>JR. CAYUMBA NRO. 293 - HUÁNUCO LEONCIO PRADO RUPA-RUPA</t>
  </si>
  <si>
    <t>20601592526</t>
  </si>
  <si>
    <t>BAZAR ITALY S.R.L.</t>
  </si>
  <si>
    <t>JR. ARICA NRO. 1053 - LORETO MAYNAS IQUITOS</t>
  </si>
  <si>
    <t>20601623961</t>
  </si>
  <si>
    <t>JIN LI E.I.R.L.</t>
  </si>
  <si>
    <t>CAL. RAMIREZ HURTADO NRO. 1118 - LORETO MAYNAS BELÉN</t>
  </si>
  <si>
    <t>20601637848</t>
  </si>
  <si>
    <t>VIVE PROMOTORA E INMOBILIARIA S.A.C.</t>
  </si>
  <si>
    <t>-pdf</t>
  </si>
  <si>
    <t xml:space="preserve">JR. LA INMACULADA NRO 460, URB. CERCADO DE PUCALLPA </t>
  </si>
  <si>
    <t>20601657628</t>
  </si>
  <si>
    <t>AGRO-FER AMAZONAS S.R.L.</t>
  </si>
  <si>
    <t xml:space="preserve">JR. ABTAO NRO 520 P.J. BERMUDEZ </t>
  </si>
  <si>
    <t>20601658934</t>
  </si>
  <si>
    <t>DAZA ZARATE REPRESENTACIONES E.I.R.L.</t>
  </si>
  <si>
    <t>JR. ARICA NRO 947</t>
  </si>
  <si>
    <t>20601673674</t>
  </si>
  <si>
    <t>INVERSIONES &amp; SERVICIOS MULTIPLES ELIMAR E.I.R.L.</t>
  </si>
  <si>
    <t>JR. MIGUEL GRAU SEMINARIO LT. 1B MZ. 26 - UCAYALI CORONEL PORTILLO CAMPOVERDE</t>
  </si>
  <si>
    <t>20601673976</t>
  </si>
  <si>
    <t>IMPORTACIONES BELLA DURMIENTE S.A.C.</t>
  </si>
  <si>
    <t>CAR. FEDERICO BASADRE LT. 1 MZ. G - UCAYALI CORONEL PORTILLO YARINACOCHA</t>
  </si>
  <si>
    <t>20601747791</t>
  </si>
  <si>
    <t>SERVICIOS Y CONSTRUCCION DE OBRAS CIVILES E.I.R.L. - SEYCOC E.I.R.L.</t>
  </si>
  <si>
    <t>LT. 6 MZ. S URB. RIO MAR - LORETO MAYNAS BELÉN</t>
  </si>
  <si>
    <t>20601764734</t>
  </si>
  <si>
    <t>CORPORACION DANUZAN E.I.R.L.</t>
  </si>
  <si>
    <t>CAL. HEROES DEL CENEPA NRO 187</t>
  </si>
  <si>
    <t>20601786304</t>
  </si>
  <si>
    <t>SERVICIOS Y PROTECCION AGRICOLA S.A.C</t>
  </si>
  <si>
    <t>VENTAS AGRICOLAS</t>
  </si>
  <si>
    <t>CAL. LOS CACTUS NRO. 235 URB. FEDERICO VILLAREAL - LAMBAYEQUE CHICLAYO CHICLAYO</t>
  </si>
  <si>
    <t>20601788081</t>
  </si>
  <si>
    <t>DISTRIBUCIONES FLORIDA R&amp;D E.I.R.L.</t>
  </si>
  <si>
    <t>JR. LA UNION NRO. S/N BAR. SAN ANTONIO - AMAZONAS BONGARÁ FLORIDA</t>
  </si>
  <si>
    <t>FLORIDA</t>
  </si>
  <si>
    <t>20601803713</t>
  </si>
  <si>
    <t>INVERSIONES &amp; NEGOCIOS MARIN E.I.R.L.</t>
  </si>
  <si>
    <t xml:space="preserve">AV. IMAZA NRO 185 C.P. IMACITA </t>
  </si>
  <si>
    <t>20601805147</t>
  </si>
  <si>
    <t>AGRO SERVICIOS MAS COSECHA EIRL</t>
  </si>
  <si>
    <t>AV. LIMA NRO. 361 - AUCAYACU</t>
  </si>
  <si>
    <t>20601810418</t>
  </si>
  <si>
    <t>JP TRANSPORTES Y COMERCIALIZACION E.I.R.L.</t>
  </si>
  <si>
    <t xml:space="preserve">CAL. BRASIL NRO 345 </t>
  </si>
  <si>
    <t>20601828937</t>
  </si>
  <si>
    <t>MOTO REPUESTOS ANTHONY II E.I.R.L.</t>
  </si>
  <si>
    <t xml:space="preserve">AV. NAVARRO CAUPER NRO 147 </t>
  </si>
  <si>
    <t>20601847460</t>
  </si>
  <si>
    <t>INVERSION FERRETERA BOLOGNESI E.I.R.L.</t>
  </si>
  <si>
    <t>20601888042</t>
  </si>
  <si>
    <t>FERRETERIA JACY U.R E.I.R.L</t>
  </si>
  <si>
    <t>CAL. URUBAMBA MZA. 7 LOTE 4C - ATALAYA</t>
  </si>
  <si>
    <t>20601891876</t>
  </si>
  <si>
    <t>MULTISERVICIOS ROYELI E.I.R.L.</t>
  </si>
  <si>
    <t>CAL. CESAR VALLEJO NRO. 173 APV. SAN MARTIN - AMAZONAS UTCUBAMBA BAGUA GRANDE</t>
  </si>
  <si>
    <t>20601917174</t>
  </si>
  <si>
    <t>SAN JOSE &amp; LM DISTRIBUIDOR S.A.C.</t>
  </si>
  <si>
    <t>VENTA AL POR MENOR</t>
  </si>
  <si>
    <t>AV. MARIANO MELGAR NRO 883 - BAGUA GRANDE - UTCUBAMBA - AMAZONAS</t>
  </si>
  <si>
    <t>20601931819</t>
  </si>
  <si>
    <t>CENTRO DEL FRIO G&amp;B S.A.C.</t>
  </si>
  <si>
    <t>CAL. CESAR VALLEJO NRO SN - REQUENA</t>
  </si>
  <si>
    <t>20601998557</t>
  </si>
  <si>
    <t>AGRONEGOCIOS DANITZA Y J.E. E.I.R.L.</t>
  </si>
  <si>
    <t>JR. TUPAC AMARU NRO. 602 CP. CONSUELO - SAN PABLO - BELLAVISTA - SAN MARTIN</t>
  </si>
  <si>
    <t>20602008020</t>
  </si>
  <si>
    <t>ALCANZANDO AL PERU</t>
  </si>
  <si>
    <t>CALLE ABTAO 1516</t>
  </si>
  <si>
    <t>20602020798</t>
  </si>
  <si>
    <t>BRUNNER BIENESTAR ECOLOGICO S.A.C</t>
  </si>
  <si>
    <t>PJ. LAS CAMELIAS NRO S/N</t>
  </si>
  <si>
    <t>20602038158</t>
  </si>
  <si>
    <t>INVERSIONES SPJ E.I.R.L</t>
  </si>
  <si>
    <t xml:space="preserve">CAL. MANCO CAPAC NRO 137 CENTRO </t>
  </si>
  <si>
    <t>20602260373</t>
  </si>
  <si>
    <t>CORPORACION SEBAS EMPRESA INDIVIDUAL DE RESPONSABILIDAD LIMITADA - CORPORACION SEBAS E.I.R.L.</t>
  </si>
  <si>
    <t>JR. TAHUANTINSUYO NRO 321 (TERCER PISO) - TARAPOTO - SAN MARTIN - SAN MARTIN</t>
  </si>
  <si>
    <t>20602268382</t>
  </si>
  <si>
    <t>SANTA MARILYN E.I.R.L.</t>
  </si>
  <si>
    <t>AV. MARISCAL CACERES NRO SN DEP. O-30</t>
  </si>
  <si>
    <t>20602272932</t>
  </si>
  <si>
    <t>GRUPO DRAGMAX S.A.C.</t>
  </si>
  <si>
    <t xml:space="preserve"> VENTA AL POR MAYOR DE MAQUINARIA EQUIPO Y MATERIALES AGROPECUARIOS</t>
  </si>
  <si>
    <t>JR. JIMENEZ PIMENTEL NRO. 1048 - TARAPOTO - SAN MARTIN - SAN MARTIN</t>
  </si>
  <si>
    <t>20602281427</t>
  </si>
  <si>
    <t>CORPORACION CENTRO COMERCIAL LEO S.A.C.</t>
  </si>
  <si>
    <t>CAR. FEDERICO BASADRE LT. 146 MZ. A URB. PAMPA YURAC - UCAYALI PADRE ABAD PADRE ABAD</t>
  </si>
  <si>
    <t>20602303668</t>
  </si>
  <si>
    <t>AGROFERRETERIA DIEGO E.I.R.L.</t>
  </si>
  <si>
    <t>JR. CALLAO NRO. 225 ---- CENTRO TINGO MARIA - HUÁNUCO LEONCIO PRADO RUPA-RUPA</t>
  </si>
  <si>
    <t>20602309950</t>
  </si>
  <si>
    <t>GRANJA INAGRO E.I.R.L.</t>
  </si>
  <si>
    <t>CAR. IQUITOS - NAUTA KM. 1</t>
  </si>
  <si>
    <t>20602364578</t>
  </si>
  <si>
    <t>INVERSIONES AGRICOLAS DEL ORIENTE S.R.L.</t>
  </si>
  <si>
    <t>CAL. FANNING NRO 1058 - IQUITOS</t>
  </si>
  <si>
    <t>20602375537</t>
  </si>
  <si>
    <t>PLASTICOS AZUMI EMPRESA INDIVIDUAL DE RESPONSABILIDAD LIMITADA</t>
  </si>
  <si>
    <t>JR. ARICA NRO. 1198 - LORETO MAYNAS BELÉN</t>
  </si>
  <si>
    <t>20602450784</t>
  </si>
  <si>
    <t>DISTRIBUCIONES JAMVALK E.I.R.L.</t>
  </si>
  <si>
    <t>CAL. PETROPERU SN- VILLA SARAMIRIZA</t>
  </si>
  <si>
    <t>20602466508</t>
  </si>
  <si>
    <t>AMAZON OASIS S.A.C.</t>
  </si>
  <si>
    <t>NRO S/N CAS. MOMONCILLO</t>
  </si>
  <si>
    <t>20602468845</t>
  </si>
  <si>
    <t>DISTRIBUIDORA BEMAR E.I.R.L.</t>
  </si>
  <si>
    <t>AV. HABILITACION URBANA MUNIC LT. 08 MZ. E - UCAYALI CORONEL PORTILLO CALLERIA</t>
  </si>
  <si>
    <t>20602504680</t>
  </si>
  <si>
    <t>INVERSIONES IDROGO &amp; BUSTAMANTE E.I.R.L.</t>
  </si>
  <si>
    <t>AV. ALMIRANTE GRAU NRO. 357 - SAN MARTÍN MOYOBAMBA MOYOBAMBA</t>
  </si>
  <si>
    <t>20602526659</t>
  </si>
  <si>
    <t>INVERSIONES FERREMEZA S.A.C.</t>
  </si>
  <si>
    <t xml:space="preserve">JR. EMILIO ACOSTA NRO 441 </t>
  </si>
  <si>
    <t>20602541984</t>
  </si>
  <si>
    <t>NEGOCIOS Y SERVICIOS GENERALES MARYFRAND E.I.R.L.</t>
  </si>
  <si>
    <t>AV. PRINCIPAL NRO 00 - SARAMIRIZA</t>
  </si>
  <si>
    <t>20602542115</t>
  </si>
  <si>
    <t>ICARO DIECISIETE S.A.S. SUCURSAL DEL PERU</t>
  </si>
  <si>
    <t>JR. TRUJILLO NRO. 456 DPTO. 202 URB. ORRANTIA - LIMA LIMA MAGDALENA DEL MAR</t>
  </si>
  <si>
    <t>20602544002</t>
  </si>
  <si>
    <t>COMPAÑIA OPERADORA DE LA SELVA S.A.</t>
  </si>
  <si>
    <t>AV. JOSE ABELARDO QUIÑONES NRO. 1480 (COSTADO DEL COLEGIO CNI) LORETO - MAYNAS - SAN JUAN BAUTISTA</t>
  </si>
  <si>
    <t>20602557139</t>
  </si>
  <si>
    <t>TIENDA MAYORISTA LA CANASTA EIRL</t>
  </si>
  <si>
    <t>CALLE ABTAO Nª 367 (ENTRE AGUIRRE Y ABTAO)</t>
  </si>
  <si>
    <t>20602564631</t>
  </si>
  <si>
    <t>INVERSIONES LEO CUESTA E.I.R.L.</t>
  </si>
  <si>
    <t>AV. CIRCUNVALACION NRO. 1205 - SAN MARTÍN SAN MARTÍN TARAPOTO</t>
  </si>
  <si>
    <t>20602600191</t>
  </si>
  <si>
    <t>ECONI PERU S.A.C.</t>
  </si>
  <si>
    <t>JR. ALFONSO UGARTE NRO 1882 - TARAPOTO - SAN MARTIN -  SAN MARTIN</t>
  </si>
  <si>
    <t>20602623549</t>
  </si>
  <si>
    <t>ISDIMO E.I.R.L.</t>
  </si>
  <si>
    <t>AV. CAJAMARCA SUR NRO. 283 - SAN MARTÍN RIOJA NUEVA CAJAMARCA</t>
  </si>
  <si>
    <t>20602760279</t>
  </si>
  <si>
    <t>COMERCIAL FERRETERA PACIFICO E.I.R.L.</t>
  </si>
  <si>
    <t xml:space="preserve">AV. FREYRE NRO 1037 </t>
  </si>
  <si>
    <t>20602769772</t>
  </si>
  <si>
    <t>INVERSIONES L &amp; C HERMANAS EMPRESA INDIVIDUAL DE RESPONSABILIDAD LIMITADA</t>
  </si>
  <si>
    <t>ENTA AL POR MAYOR DE MATERIALES DE CONSTRUCCIÓN ARTÍCULOS DE FERRETERÍA</t>
  </si>
  <si>
    <t>JR. SAN MARTIN NRO. S/N - SHAMBOYACU - PICOTA - SAN MARTIN</t>
  </si>
  <si>
    <t>SHAMBOYACU</t>
  </si>
  <si>
    <t>20602771033</t>
  </si>
  <si>
    <t>RA &amp; HARI E.I.R.L.</t>
  </si>
  <si>
    <t>20602781624</t>
  </si>
  <si>
    <t>HLP BIOAGRO E.I.R.L.</t>
  </si>
  <si>
    <t>AV. SIMON BOLIVAR NRO. 137 URB. AGUAYTIA - UCAYALI PADRE ABAD PADRE ABAD</t>
  </si>
  <si>
    <t>20602792545</t>
  </si>
  <si>
    <t>COMERCIAL FERRETERA DD &amp; J E.I.R.L.</t>
  </si>
  <si>
    <t xml:space="preserve">AV. REQUENA NRO 339 P.J. DANIEL ALCIDES CARRION </t>
  </si>
  <si>
    <t>20602798438</t>
  </si>
  <si>
    <t>MOTORNAUTICA IQUITOS EIRL</t>
  </si>
  <si>
    <t>CALLE SAN JOSE MZ D LT 27 MORONA COCHA</t>
  </si>
  <si>
    <t>20602805493</t>
  </si>
  <si>
    <t>FERRETERIA &amp; NEGOCIOS KEVIN E.I.R.L.</t>
  </si>
  <si>
    <t>JR. ANGAIZA NRO. 855 - SAN MARTÍN RIOJA RIOJA</t>
  </si>
  <si>
    <t>20602841287</t>
  </si>
  <si>
    <t>INVERSION Y MULTIVENTAS J Y F EIRL</t>
  </si>
  <si>
    <t>CALLE BRASIL N 370</t>
  </si>
  <si>
    <t>20602841996</t>
  </si>
  <si>
    <t>CORPORACION RIOYAP S.A.C.</t>
  </si>
  <si>
    <t>JR. CONDAMINE NRO. 785 P.J. DANIEL ALCIDES CARRION - LORETO MAYNAS IQUITOS</t>
  </si>
  <si>
    <t>20602850359</t>
  </si>
  <si>
    <t>CONSORCIO VILLALEVEAU S.R.L</t>
  </si>
  <si>
    <t>JR. MORONA NRO. 517 - LORETO MAYNAS IQUITOS</t>
  </si>
  <si>
    <t>20602862748</t>
  </si>
  <si>
    <t>MULTISERVICIOS MISHELL EIRL</t>
  </si>
  <si>
    <t>AV. ALFONSO UGARTE 768</t>
  </si>
  <si>
    <t>20602905242</t>
  </si>
  <si>
    <t>GRUPO FERRETERO EL GANADOR E.I.R.L.</t>
  </si>
  <si>
    <t xml:space="preserve">JR. 7 DE JUNIO NRO 774 </t>
  </si>
  <si>
    <t>20602945295</t>
  </si>
  <si>
    <t>FERRETERIA &amp; MULTISERVICIOS MILSA S.R.L.</t>
  </si>
  <si>
    <t>JR. 7 DE JUNIO NRO. 750 - UCAYALI CORONEL PORTILLO CALLERIA</t>
  </si>
  <si>
    <t>20602951449</t>
  </si>
  <si>
    <t>IMPORTACIONES YRIGOIN E.I.R.L.</t>
  </si>
  <si>
    <t xml:space="preserve">AV. MARISCAL CASTILLA NRO 1608 </t>
  </si>
  <si>
    <t>20602967493</t>
  </si>
  <si>
    <t>JACAMAR LODGE EXPEDITIONS SAC</t>
  </si>
  <si>
    <t>CALLE PEVAS  162</t>
  </si>
  <si>
    <t>20602969470</t>
  </si>
  <si>
    <t>TRANSROMER E.I.R.L.</t>
  </si>
  <si>
    <t>AV. LA MARINA NRO. 37 - LORETO MAYNAS PUNCHANA</t>
  </si>
  <si>
    <t>20603117141</t>
  </si>
  <si>
    <t>H &amp; H GLOBAL CORP EMPRESA INDIVIDUAL DE RESPONSABILIDAD LIMITADA</t>
  </si>
  <si>
    <t>AV. MARIANO MELGAR NRO. 215 - CAJAMARCA SAN IGNACIO SAN IGNACIO</t>
  </si>
  <si>
    <t>20603122888</t>
  </si>
  <si>
    <t>FERRETERIA ANTECO E.I.R.L.</t>
  </si>
  <si>
    <t xml:space="preserve">JR. SARGENTO LOREZ NRO REF SEC. LA PARADA </t>
  </si>
  <si>
    <t>20603153589</t>
  </si>
  <si>
    <t>INVERSIONES RAMOS OBREGON EMPRESA INDIVIDUAL DE RESPONSABILIDAD LIMITADA</t>
  </si>
  <si>
    <t>AV. MICAELA BASTIDAS NRO. 553 - JUNÍN SATIPO SATIPO</t>
  </si>
  <si>
    <t>20603162707</t>
  </si>
  <si>
    <t>IMPORTACION &amp; EXPORTACION JBM E.I.R.L.</t>
  </si>
  <si>
    <t xml:space="preserve">CAL. ADOLFO MOREY NRO 399 </t>
  </si>
  <si>
    <t>20603171404</t>
  </si>
  <si>
    <t>INVERSIONES Y SERVICIOS SALOMON E.I.R.L.</t>
  </si>
  <si>
    <t>JR. CONDAMINE NRO. 614 (ESQUINA DE CONDAMINE Y TAVARA) LORETO - MAYNAS - IQUITOS</t>
  </si>
  <si>
    <t>20603174772</t>
  </si>
  <si>
    <t>FLORMO CONSTRUCCIONES NACIONALES S A C</t>
  </si>
  <si>
    <t>CALLE  PROSPERO NRO 1376 LORETO MAYNAS BELEN</t>
  </si>
  <si>
    <t>20603197501</t>
  </si>
  <si>
    <t>MULTIPERNOS DONATO KALEB EIRL</t>
  </si>
  <si>
    <t>JR. ANGAIZA NRO. SN - SAN MARTÍN RIOJA RIOJA</t>
  </si>
  <si>
    <t>20603230061</t>
  </si>
  <si>
    <t>INFER GM S.A.C.</t>
  </si>
  <si>
    <t xml:space="preserve">AV. LEOPOLDO KRAUSSE NRO 1029 URB. VILLA RICA </t>
  </si>
  <si>
    <t>20603242131</t>
  </si>
  <si>
    <t>INVERSIONES Y DISTRIBUCIONES CEMARX S.A.C.</t>
  </si>
  <si>
    <t>AV. LIMA #209 LT. 10A MZ. 7 - HUÁNUCO LEONCIO PRADO JOSÉ CRESPO Y CASTILLO</t>
  </si>
  <si>
    <t>20603321317</t>
  </si>
  <si>
    <t>DISTRIBUIDORA HASKIN S.A.C.</t>
  </si>
  <si>
    <t xml:space="preserve">JR. ALFONSO UGARTE MZA. H LOTE 12 A.H. ROBERTO RUIZ VARGAS </t>
  </si>
  <si>
    <t>20603329237</t>
  </si>
  <si>
    <t>MUNDO AGRICOLA A.M. E.I.R.L.</t>
  </si>
  <si>
    <t>AV. MARGINAL NRO SN A.V. SAN JACINTO - SANTA ANA - PERENE</t>
  </si>
  <si>
    <t>20603330791</t>
  </si>
  <si>
    <t>NEGOCIACIONES YANCAN EMPRESA INDIVIDUAL DE RESPONSABILIDAD LIMITADA</t>
  </si>
  <si>
    <t>CAL. 3 NRO. 170 - LORETO MAYNAS BELÉN</t>
  </si>
  <si>
    <t>20603392419</t>
  </si>
  <si>
    <t>FERROPLAST GROUP E.I.R.L.</t>
  </si>
  <si>
    <t>VENTA AL POR MAYOR DE MATERIALES DE CONSTRUCCION</t>
  </si>
  <si>
    <t xml:space="preserve">JR. LIBERTAD NRO 776 BAR. YANCE, CHACHAPOYAS, CHACHAPOYAS, AMAZONAS </t>
  </si>
  <si>
    <t>20603404883</t>
  </si>
  <si>
    <t>FERROCONSTRUCTOR MELENDRES E.I.R.L.</t>
  </si>
  <si>
    <t>VENTA ARTICULOS DE FERRETERIA AL POR MENOR</t>
  </si>
  <si>
    <t>JR. TUPAC AMARU NRO. S/N C.P. CONSUELO (AL COSTADO DEL PARADERO VILLA BELLAVISTA) SAN PABLO - BELLAVISTA - SAN MARTIN</t>
  </si>
  <si>
    <t>20603421524</t>
  </si>
  <si>
    <t>PLEJO INVERSIONES Y CONSTRUCTORA E.I.R.L.</t>
  </si>
  <si>
    <t xml:space="preserve">AV. PERU MZA. 2 LOTE 3A </t>
  </si>
  <si>
    <t>20603429070</t>
  </si>
  <si>
    <t>INVERSIONES GENERALES CHOQUIMAQUI E.I.R.L.</t>
  </si>
  <si>
    <t>AV. LEONCIO PRADO NRO. 785 - UCHIZA</t>
  </si>
  <si>
    <t>20603529902</t>
  </si>
  <si>
    <t>INVERSIONES PACHAS E.I.R.L.</t>
  </si>
  <si>
    <t>VENTA DE PRODUCTOS VARIOS</t>
  </si>
  <si>
    <t xml:space="preserve">CAL.NAPO NRO. 108 DPTO. 1 C.P. SAN LORENZO </t>
  </si>
  <si>
    <t>20603541961</t>
  </si>
  <si>
    <t>TRANSPORTE Y SERVICIOS LOGISTICOS MIGUEL ALEXANDER EIRL</t>
  </si>
  <si>
    <t>CALLE DIEGO DE ALMAGRO 715 SAN ANTONIO LORETO-MAYNAS-IQUITOS</t>
  </si>
  <si>
    <t>20603574720</t>
  </si>
  <si>
    <t>TRANSPORTES FLUVIALES CHAVEZ E.I.R.L.</t>
  </si>
  <si>
    <t>JR. ALZAMORA NRO. 1154 - LORETO MAYNAS IQUITOS</t>
  </si>
  <si>
    <t>20603581157</t>
  </si>
  <si>
    <t>URANO COMPANY S.A.C.</t>
  </si>
  <si>
    <t>CAL. YAVARI NRO. 1616 - LORETO MAYNAS IQUITOS</t>
  </si>
  <si>
    <t>20603600020</t>
  </si>
  <si>
    <t>VALENTINA TRANSP. FLUVIAL SOCIEDAD COMERCIAL DE RESPONSABILIDAD LIMITADA</t>
  </si>
  <si>
    <t>AV. UNION NRO. SN C.P. LA POZA - AMAZONAS CONDORCANQUI RÍO SANTIAGO</t>
  </si>
  <si>
    <t>20603612231</t>
  </si>
  <si>
    <t>S &amp; M IMPORTACIONES SERVYMAQ E.I.R.L.</t>
  </si>
  <si>
    <t>VENTA AL POR MAYOR DE MAQUINARIA</t>
  </si>
  <si>
    <t>AV. CAJAMARCA SUR NRO 1135 - NUEVA CAJAMARCA, RIOJA, SAN MARTIN</t>
  </si>
  <si>
    <t>20603639937</t>
  </si>
  <si>
    <t>CONSORCIO DEL TIGRE FORESTALES S.A.C</t>
  </si>
  <si>
    <t>CAL. LAS AZUCENAS NRO 60</t>
  </si>
  <si>
    <t>20603641061</t>
  </si>
  <si>
    <t>TRADING IMPORT ORIENTE M &amp; S E.I.R.L.</t>
  </si>
  <si>
    <t xml:space="preserve">AV. GRAU NRO. 1274 P.J. BERMUDEZ </t>
  </si>
  <si>
    <t>20603643217</t>
  </si>
  <si>
    <t>COMERCIAL YGNACIO E.I.R.L</t>
  </si>
  <si>
    <t>CAL. REQUENA NRO. 272 - LORETO MAYNAS IQUITOS</t>
  </si>
  <si>
    <t>20603661096</t>
  </si>
  <si>
    <t>PLASTICOS Y NOVEDADES SARITA E.I.R.L.</t>
  </si>
  <si>
    <t xml:space="preserve">JR. ARICA NRO 1260 </t>
  </si>
  <si>
    <t>20603739320</t>
  </si>
  <si>
    <t>NEGOCIOS KJC S.R.L.</t>
  </si>
  <si>
    <t>CAL. DIEGO PALOMINO NRO 1159 - JAÉN - JAÉN - CAJAMARCA</t>
  </si>
  <si>
    <t>20603758561</t>
  </si>
  <si>
    <t>EL IMAN F &amp; M INVERSIONES EMPRESA INDIVIDUAL DE RESPONSABILIDAD LIMITADA</t>
  </si>
  <si>
    <t>CAR.FERNANDO BELAUNDE TERRY KM. 71 (CERCA A LA I.E. JOSE CARLOS MARIATEGUI) - SAN HILARION - PICOTA - SAN MARTIN</t>
  </si>
  <si>
    <t>20603784686</t>
  </si>
  <si>
    <t>GRUPO ROLEO S.R.L.</t>
  </si>
  <si>
    <t>C.F.BELAUNDE TERRY MZ 15 LT 7</t>
  </si>
  <si>
    <t>20603837305</t>
  </si>
  <si>
    <t>CONSULTORES Y EJECUTORES ARINOVA S.A.C.</t>
  </si>
  <si>
    <t>AV. CIRCUNVALACION NRO. 479 (PART. ALTO. POR LA PLANTA DE EMAPA) - TARAPOTO - SAN MARTIN - SAN MARTIN</t>
  </si>
  <si>
    <t>20603894309</t>
  </si>
  <si>
    <t>IMAN CORPORATION EMPRESA INDIVIDUAL DE RESPONSABILIDAD LIMITADA</t>
  </si>
  <si>
    <t xml:space="preserve">VENTA AL POR MAYOR DE MATERIALES DE CONSTRUCCION ARTICULOS DE FERRETERIA </t>
  </si>
  <si>
    <t>JR. SUCRE NRO. 530 - PICOTA - PICOTA - SAN MARTIN</t>
  </si>
  <si>
    <t>20603894902</t>
  </si>
  <si>
    <t>CONSORCIO CENTRO SALUD DE YURUA</t>
  </si>
  <si>
    <t>CAL. BASILIO RAMIREZ PEÑA NRO. 491 INT. 401 COO. SIMA - LIMA LIMA SAN MARTÍN DE PORRES</t>
  </si>
  <si>
    <t>20603903529</t>
  </si>
  <si>
    <t>FERRETERIA FRONTERITA E.I.R.L.</t>
  </si>
  <si>
    <t>CAL. MARISCAL CASTILLA NRO. 1009 SEC. PUEBLO LIBRE - CAJAMARCA - JAÉN - JAÉN</t>
  </si>
  <si>
    <t>20603956487</t>
  </si>
  <si>
    <t>REPTILIANS TURTLES &amp; TROPICAL FISH E.I.R.L.</t>
  </si>
  <si>
    <t>CAR. IQUITOS NAUTA KL. 38.7 C.P. NUEVO HORIZONTE - LORETO MAYNAS SAN JUAN BAUTISTA</t>
  </si>
  <si>
    <t>20603958170</t>
  </si>
  <si>
    <t>COMUNIDAD NATIVA PAICHE PLAYA</t>
  </si>
  <si>
    <t>NRO S/N COM. COMUNIDAD NATIVA PAICHE P</t>
  </si>
  <si>
    <t>20604021317</t>
  </si>
  <si>
    <t>AGROFERR JESSICA E.I.R.L.</t>
  </si>
  <si>
    <t>comecial</t>
  </si>
  <si>
    <t xml:space="preserve">JR. SARGENTO LORES NRO 181 URB. AUCAYACU </t>
  </si>
  <si>
    <t>20604055076</t>
  </si>
  <si>
    <t>EMPRESA Y SERVICIOS PETROLEOS SELVA S.A.C.</t>
  </si>
  <si>
    <t>CAL. 03 DE OCTUBRE NRO 416</t>
  </si>
  <si>
    <t>20604080101</t>
  </si>
  <si>
    <t>REPUESTOS Y SERVICIOS EL GATO A.L.M. E.I.R.L.</t>
  </si>
  <si>
    <t>JR. 9 DE DICIEMBRE NRO. 610 UCAYALI - CORONEL PORTILLO - CALLERIA</t>
  </si>
  <si>
    <t>20604084165</t>
  </si>
  <si>
    <t>GRUPO PATRICIA S.R.L.</t>
  </si>
  <si>
    <t>FERR</t>
  </si>
  <si>
    <t xml:space="preserve">JR. FREDY ALIAGA NRO 1054 </t>
  </si>
  <si>
    <t>20604107742</t>
  </si>
  <si>
    <t>COMUNIDAD NATIVA ESPAÑA - RIO BLANCO</t>
  </si>
  <si>
    <t>CAL. LAS CAMELIAS NRO 164</t>
  </si>
  <si>
    <t>20604145610</t>
  </si>
  <si>
    <t>INVERSIONES MONDRAGON PERU E.I.R.L.</t>
  </si>
  <si>
    <t>-VENTA AL POR MENOR DE ARTÍCULOS DE FERRETERÍA</t>
  </si>
  <si>
    <t>JR. LIBERTAD MZA. 07 -RIOJA</t>
  </si>
  <si>
    <t>20604167231</t>
  </si>
  <si>
    <t>AGROFERRETERIA MISHEL EIRL</t>
  </si>
  <si>
    <t>AV. LAS AMERICAS NRO 539 - AUCAYACU</t>
  </si>
  <si>
    <t>20604172765</t>
  </si>
  <si>
    <t>CONSTRUCCIONES Y SERVICIOS GENERAL BRIGIDA Y JESUS E.I.R.L.</t>
  </si>
  <si>
    <t>JR. LA PAZ DEL SEÑOR LT. 19 MZ. B URB. JUAN PABLO SEGUNDO - UCAYALI CORONEL PORTILLO YARINACOCHA</t>
  </si>
  <si>
    <t>20604224790</t>
  </si>
  <si>
    <t>COMERCIALIZADORA CHAN TOY E.I.R.L.</t>
  </si>
  <si>
    <t>CAL. ABTAO NRO 342</t>
  </si>
  <si>
    <t>20604224889</t>
  </si>
  <si>
    <t>CENTRO COMERCIAL DON FERNANDO E.I.R.L.</t>
  </si>
  <si>
    <t>JR. ARICA NRO. 1186 - LORETO MAYNAS IQUITOS</t>
  </si>
  <si>
    <t>20604264562</t>
  </si>
  <si>
    <t>TRANSPORTES Y SERVICIOS JET IQUITOS EMPRESA INDIVIDUAL DE RESPONSABILIDAD LIMITADA</t>
  </si>
  <si>
    <t>JR. BRASIL NRO 385 URB. JARDIN PAZ</t>
  </si>
  <si>
    <t>20604269068</t>
  </si>
  <si>
    <t>RENTA CAR G Y G E.I.R.L.</t>
  </si>
  <si>
    <t xml:space="preserve">AV. AEROPUERTO LT. 1 MZ. B A.H. AVIACION </t>
  </si>
  <si>
    <t>20604302049</t>
  </si>
  <si>
    <t>LOYMAR INVERSIONES E.I.R.L.</t>
  </si>
  <si>
    <t>20604310360</t>
  </si>
  <si>
    <t>YAKU AMAZON LODGE &amp; EXPEDITIONS SRL</t>
  </si>
  <si>
    <t>HERNANDO DE LUQUE  138- SAN ANTONIO- IQUITOS</t>
  </si>
  <si>
    <t>20604328064</t>
  </si>
  <si>
    <t>GRUPO MAGAMA E.I.R.L.</t>
  </si>
  <si>
    <t>JR. TAHUANTINSUYO NRO. 214 - TARAPOTO - SAN MARTIN - SAN MARTIN</t>
  </si>
  <si>
    <t>20604367418</t>
  </si>
  <si>
    <t>IMPORTACIONES &amp; SERVICIOS SUAREZ EMPRESA INDIVIDUAL DE RESPONSABILIDAD LIMITADA</t>
  </si>
  <si>
    <t>JR. MARTINEZ DE COMPAGÑON NRO. 412 - TARAPOTO - SAN MARTIN - SAN MARTIN</t>
  </si>
  <si>
    <t>20604405409</t>
  </si>
  <si>
    <t>AL PAZ EMPRESA INDIVIDUAL DE RESPONSABILIDAD LIMITADA</t>
  </si>
  <si>
    <t xml:space="preserve">CAL. NANAY NRO 507 P.J. VERSALLES </t>
  </si>
  <si>
    <t>20604456461</t>
  </si>
  <si>
    <t>A&amp;B INVERSIONES DAYMARI E.I.R.L.</t>
  </si>
  <si>
    <t>CAL. LA PALMERAS NRO. S/N C.P. CHIRIACO - AMAZONAS BAGUA IMAZA</t>
  </si>
  <si>
    <t>20604456462</t>
  </si>
  <si>
    <t>A&amp;B INVERSINES DAYMARI  E.I.R.L</t>
  </si>
  <si>
    <t>CALLE: LAS PALMERAS  S/N  C.P CHIRIACO</t>
  </si>
  <si>
    <t>20604470375</t>
  </si>
  <si>
    <t>GRUPO YRIGOIN II E.I.R.L.</t>
  </si>
  <si>
    <t>JR. CORONEL SECADA NRO. 264 - SAN MARTÍN MOYOBAMBA MOYOBAMBA</t>
  </si>
  <si>
    <t>20604527318</t>
  </si>
  <si>
    <t>AGRO FERRETERA V Y R E.I.R.L.</t>
  </si>
  <si>
    <t>VETERINARIA</t>
  </si>
  <si>
    <t xml:space="preserve">JR. ABTAO NRO 523 P.J. BERMUDEZ </t>
  </si>
  <si>
    <t>20604550727</t>
  </si>
  <si>
    <t>INVERSIONES Y SERVICIOS BARON 4 E.I.R.L.</t>
  </si>
  <si>
    <t>JR. JUAN VELASCO ALVARADO NRO. 912 P.J. JUAN VELASCO ALVARADO - AMAZONAS CONDORCANQUI NIEVA</t>
  </si>
  <si>
    <t>20604632511</t>
  </si>
  <si>
    <t>KAPRELL S.A.C.</t>
  </si>
  <si>
    <t>CAL. COLLASUYO NRO 291 SEC. PUEBLO LIBRE - JAEN - JAEN -CAJAMARCA</t>
  </si>
  <si>
    <t>20604683492</t>
  </si>
  <si>
    <t>LA GRANDE PUCALLPA E.I.R.L.</t>
  </si>
  <si>
    <t>JR. JHON F. KENNEDY LT. 07 MZ. 05 P.J. ROSA DE AMERICA - UCAYALI CORONEL PORTILLO CALLERIA</t>
  </si>
  <si>
    <t>20604833036</t>
  </si>
  <si>
    <t>A &amp; G CORPORACION SANTA ROSA S.A.C.</t>
  </si>
  <si>
    <t>AV. CAJAMARCA SUR NRO. SN URB. CAJAMARCA SUR - SAN MARTÍN RIOJA NUEVA CAJAMARCA</t>
  </si>
  <si>
    <t>20604846073</t>
  </si>
  <si>
    <t>DISTRIBUCIONES ALEJANDRIA S.R.L.</t>
  </si>
  <si>
    <t>AV. MESONES MURO NRO. 1357 SEC. NUEVO HORIZONTE - CAJAMARCA JAÉN JAÉN</t>
  </si>
  <si>
    <t>20604848831</t>
  </si>
  <si>
    <t>SOLENKA E.I.R.L.</t>
  </si>
  <si>
    <t xml:space="preserve">AV. DEL EJERCITO NRO 1209 </t>
  </si>
  <si>
    <t>20604880697</t>
  </si>
  <si>
    <t>INVERSIONES &amp; TRANSPORTES FLUVIAL MECHITA E.I.R.L.</t>
  </si>
  <si>
    <t>---- TUPAC AMARU NRO. 312 A.H. SAN JUAN - LORETO ALTO AMAZONAS YURIMAGUAS</t>
  </si>
  <si>
    <t>20604915661</t>
  </si>
  <si>
    <t>GRUPO HORIZONTE EDUCA PERU SAC</t>
  </si>
  <si>
    <t>MZA C  LOTE 2 URB EL VALLE   2 ETAPA</t>
  </si>
  <si>
    <t>Trujillo</t>
  </si>
  <si>
    <t>20605012621</t>
  </si>
  <si>
    <t>FERROCIMA E.I.R.L.</t>
  </si>
  <si>
    <t>JR. FREDY ALIAGA NRO. 760 - SAN MARTÍN TOCACHE TOCACHE</t>
  </si>
  <si>
    <t>20605023551</t>
  </si>
  <si>
    <t>DISTRIBUIDORA &amp; MULTIVENTAS EL CAMPESINO E.I.R.L.</t>
  </si>
  <si>
    <t>JR. 9 DE DICIEMBRE NRO. 584 URB. CERCADO DE PUCALLPA - UCAYALI CORONEL PORTILLO CALLERIA</t>
  </si>
  <si>
    <t>20605027327</t>
  </si>
  <si>
    <t>MAX MAQUINARIAS E.I.R.L</t>
  </si>
  <si>
    <t>JR MARTINEZ DE COMPAGÑON NRO 638</t>
  </si>
  <si>
    <t>20605055711</t>
  </si>
  <si>
    <t>CARTEM &amp; SOLER NEGOCIOS S.R.L.</t>
  </si>
  <si>
    <t>AV. MARGINAL NRO. S/N ---- SAN JACINTO - JUNÍN CHANCHAMAYO PERENE</t>
  </si>
  <si>
    <t>20605057862</t>
  </si>
  <si>
    <t>NAVIERA JULY DORIS E.I.R.L.</t>
  </si>
  <si>
    <t>20605091467</t>
  </si>
  <si>
    <t>MULTIVENTAS SAN MATEO S.R.L.</t>
  </si>
  <si>
    <t>FETTERERIA</t>
  </si>
  <si>
    <t xml:space="preserve">CAL. VILLANUEVA PINILLOS NRO 375 CENTRO JAEN </t>
  </si>
  <si>
    <t>20605170065</t>
  </si>
  <si>
    <t>ALMACENES Y DISTRIBUCIONES FLORES E.I.R.L.</t>
  </si>
  <si>
    <t xml:space="preserve">CAL. 03 MZA. T LOTE 4 </t>
  </si>
  <si>
    <t>20605206019</t>
  </si>
  <si>
    <t>ANGULO LLANOS E.I.R.L.</t>
  </si>
  <si>
    <t>JR. EMILIO ACOSTA NRO. 326 SAN MARTIN - MOYOBAMBA - MOYOBAMBA</t>
  </si>
  <si>
    <t>20605211519</t>
  </si>
  <si>
    <t>CUMACEBA EXPERIENCE S.R.L.</t>
  </si>
  <si>
    <t>AV. REQUENA NRO 180 P.J. DANIEL ALCIDES CARRION</t>
  </si>
  <si>
    <t>20605213473</t>
  </si>
  <si>
    <t>CHMAR S.A.C.</t>
  </si>
  <si>
    <t xml:space="preserve">JR. ELMER FAUCETT MZA. C LOTE 3 </t>
  </si>
  <si>
    <t>20605258671</t>
  </si>
  <si>
    <t>EMPRESA COMUNAL NATIVA DE SARAMURILLO DE RESPONSABILIDAD LIMITADA</t>
  </si>
  <si>
    <t>OTR.CESAR CALVO DE ARAUJO NRO. -D-2 URB. URBANIZACION CALVO DE ARAUJO</t>
  </si>
  <si>
    <t>20605271473</t>
  </si>
  <si>
    <t>DISTRIBUIDORA FERRETERA AVE FENIX SAN JUAN BAUTISTA E.I.R.L.</t>
  </si>
  <si>
    <t>PJ. LOS OLIVOS NRO. C-02 H.U. PALESTINA - CAJAMARCA JAÉN JAÉN</t>
  </si>
  <si>
    <t>20605289623</t>
  </si>
  <si>
    <t>PATTYS FERRETERIA E.I.R.L.</t>
  </si>
  <si>
    <t>AV. GRAU NRO. 1162 - LORETO MAYNAS IQUITOS</t>
  </si>
  <si>
    <t>20605295640</t>
  </si>
  <si>
    <t>COMERCIAL FERRETERA NARRO E.I.R.L.</t>
  </si>
  <si>
    <t>AV. AMAZONAS NRO S/N C.P. NARANJILLO - NUEVA CAJAMARCA - RIOJA - SAN MARTIN</t>
  </si>
  <si>
    <t>20605297324</t>
  </si>
  <si>
    <t>CORPORACION &amp; INVERSIONES AGROECOLOGIA MUNDO VERDE E.I.R.L.</t>
  </si>
  <si>
    <t>JR. AUGUSTO B. LEGUIA NRO 597 - SATIPO</t>
  </si>
  <si>
    <t>20605300589</t>
  </si>
  <si>
    <t>K &amp; H RODRIGUEZ INVERSIONES S.R.L.</t>
  </si>
  <si>
    <t>CAL.JOSE GALVEZ NRO. 291</t>
  </si>
  <si>
    <t>20605329081</t>
  </si>
  <si>
    <t>REPRESENTACIONES G &amp; R BUSINESS S.A.C.</t>
  </si>
  <si>
    <t>JR. MICAELA BASTIDAS NRO 503 URB. 09 DE ABRIL-TARAPOTO</t>
  </si>
  <si>
    <t>20605369856</t>
  </si>
  <si>
    <t>PERU EXPORT TURTLES &amp; TROPICAL FISH EIRL</t>
  </si>
  <si>
    <t>CALLE LAS GARDENIAS S/N SAN JUAN BAUTISTA</t>
  </si>
  <si>
    <t>20605385690</t>
  </si>
  <si>
    <t>LA CASA DEL MOTORCITO E.I.R.L.</t>
  </si>
  <si>
    <t xml:space="preserve">CAL. LADISLAO ESPINAR NRO 845 </t>
  </si>
  <si>
    <t>20605398821</t>
  </si>
  <si>
    <t>GRUPO FAGU E.I.R.L.</t>
  </si>
  <si>
    <t xml:space="preserve">FRANCISCO BOLOGNESI NRO 719 </t>
  </si>
  <si>
    <t>20605407626</t>
  </si>
  <si>
    <t>FERRETERIA CONSTRUCCIONES Y MULTISERVICIOS MASHITA S.A.C.</t>
  </si>
  <si>
    <t>JR. CESAR VALLEJO AV. MARIAN NRO 404  - BAGUA GRANDE</t>
  </si>
  <si>
    <t>20605485082</t>
  </si>
  <si>
    <t>FERRETERIA BRASIL EL ECONOMICO E.I.R.L.</t>
  </si>
  <si>
    <t>CAL. 7 LT. 11 MZ. 09 - UCAYALI CORONEL PORTILLO MANANTAY</t>
  </si>
  <si>
    <t>20605503030</t>
  </si>
  <si>
    <t>GRUPO VALTHAMAR S.A.C.</t>
  </si>
  <si>
    <t xml:space="preserve">ATANASIO JAUREGUI NRO 427 </t>
  </si>
  <si>
    <t>20605512055</t>
  </si>
  <si>
    <t>AKEMY IMPORTS S.A.C.</t>
  </si>
  <si>
    <t>CAL. AUGUSTO B. LEGUIA NRO. 764 - BELLAVISTA - SAN MARTIN - SAN MARTIN</t>
  </si>
  <si>
    <t>20605513663</t>
  </si>
  <si>
    <t>ROBERLAC S.A.C.</t>
  </si>
  <si>
    <t>JR. LA CONDAMINE NRO. 260 - LORETO MAYNAS IQUITOS</t>
  </si>
  <si>
    <t>20605627383</t>
  </si>
  <si>
    <t>CROPS QUITO S.A.C.</t>
  </si>
  <si>
    <t>AV. CENTENARIO LT. 6 MZ. B ASC. SANTA ROSA DE LIMA - LIMA HUAURA SANTA MARÍA</t>
  </si>
  <si>
    <t>20605650652</t>
  </si>
  <si>
    <t>GRIFO J &amp; M E.I.R.L.</t>
  </si>
  <si>
    <t>PADRE LUCERO MZA. Z LOTE 38</t>
  </si>
  <si>
    <t>20605698817</t>
  </si>
  <si>
    <t>FERRETERIA WILMER &amp; ESTEFANI E.I.R.L.</t>
  </si>
  <si>
    <t>JR. ANGAIZA NRO. 854 - SAN MARTÍN RIOJA RIOJA</t>
  </si>
  <si>
    <t>20605757457</t>
  </si>
  <si>
    <t>FERRETERIAS TUN TUN E.I.R.L.</t>
  </si>
  <si>
    <t>CAL. 07 LT. 02 MZ. I - UCAYALI CORONEL PORTILLO CALLERIA</t>
  </si>
  <si>
    <t>20605822542</t>
  </si>
  <si>
    <t>SERVICIOS Y COMERCIO EMUNA YUMBREL E.I.R.L.</t>
  </si>
  <si>
    <t>CAL. SARGENTO LORES NRO. 1888 - LORETO MAYNAS IQUITOS</t>
  </si>
  <si>
    <t>20605832777</t>
  </si>
  <si>
    <t>CLARILU INVERSIONES E.I.R.L.</t>
  </si>
  <si>
    <t>CAL. MI PERU NRO. 656 - LORETO MAYNAS IQUITOS</t>
  </si>
  <si>
    <t>20605852425</t>
  </si>
  <si>
    <t>FALEN IMPORT E.I.R.L.</t>
  </si>
  <si>
    <t>-VENTA AL POR MAYOR DE OTROS TIPOS DE MAQUINARIA Y EQUIPO</t>
  </si>
  <si>
    <t>JR. AUGUSTO B. LEGUIA NRO. REF (CDRA 7-FRENTE A LA PELUQUERÍA MICHEL) - BELLAVISTA - BELLAVISTA - SAN MARTIN</t>
  </si>
  <si>
    <t>20605882243</t>
  </si>
  <si>
    <t>COMERCIAL JHE E.I.R.L.</t>
  </si>
  <si>
    <t>CAL. ABTAO NRO 20 ENTRE RAMIREZ HURTADO Y 16 DE JULIO</t>
  </si>
  <si>
    <t>20605928472</t>
  </si>
  <si>
    <t>CONSTRUCTORA CONSULTORA Y MULTISERVICIOS CARLIER SOCIEDAD ANÓNIMA CERRADA</t>
  </si>
  <si>
    <t>CAL. MANTARO NRO. 146 - JUNÍN SATIPO PANGOA</t>
  </si>
  <si>
    <t>20605931716</t>
  </si>
  <si>
    <t>TECMOCREDIT S.A.C.</t>
  </si>
  <si>
    <t>CAL. YAWAR FIESTA NRO. 118 SEC. PUEBLO LIBRE - CAJAMARCA JAÉN JAÉN</t>
  </si>
  <si>
    <t>20605984020</t>
  </si>
  <si>
    <t>PROGRESOLF JAEN E.I.R.L.</t>
  </si>
  <si>
    <t>JR. TORRE TAGLE NRO. 817 SEC. AROMO BAJO - CAJAMARCA JAÉN JAÉN</t>
  </si>
  <si>
    <t>20605988211</t>
  </si>
  <si>
    <t>IRIGOIN MONTENEGRO IMPORT E.I.R.L.</t>
  </si>
  <si>
    <t>AV. CHACHAPOYAS NRO 2579  - BAGUA GRANDE - UTCUBAMBA - AMAZONAS</t>
  </si>
  <si>
    <t>20606140615</t>
  </si>
  <si>
    <t>CONSTRUCTORA &amp; INVERSIONES FERRETERAS CARPIO EIRL</t>
  </si>
  <si>
    <t>AV. PAKAMUROS NRO 2000 URB. LOS ALCANFORES - JAEN - JAEN - CAJAMARCA</t>
  </si>
  <si>
    <t>20606160861</t>
  </si>
  <si>
    <t>COMERCIALIZADORA PERALES E.I.R.L.</t>
  </si>
  <si>
    <t xml:space="preserve">PRO. CONTISUYO NRO 200 SEC. LAS FLORES </t>
  </si>
  <si>
    <t>20606185589</t>
  </si>
  <si>
    <t>CENTRO HOGAR RIOJA E.I.R.L.</t>
  </si>
  <si>
    <t>JR. SANTO TORIBIO NRO. 1260 - SAN MARTÍN RIOJA RIOJA</t>
  </si>
  <si>
    <t>20606207655</t>
  </si>
  <si>
    <t>LUPUNA JUNGLE TOURS EMPRESA INDIVIDUAL DE RESPONSABILIDAD LIMITADA</t>
  </si>
  <si>
    <t>JR. PUTUMAYO NRO 128 INT. B P.J. SERAFIN FILOMENO</t>
  </si>
  <si>
    <t>20606248068</t>
  </si>
  <si>
    <t>CARBEL IQUITOS E.I.R.L.</t>
  </si>
  <si>
    <t xml:space="preserve">AV. ALFONSO UGARTE NRO 397 P.J. JOSE GALVEZ </t>
  </si>
  <si>
    <t>20606251221</t>
  </si>
  <si>
    <t>HL CONSTRUCCIONES E INMOBILIARIA</t>
  </si>
  <si>
    <t>AV. ABELARDO QUIÑONES 2325</t>
  </si>
  <si>
    <t>20606252987</t>
  </si>
  <si>
    <t>SAMIRIA SOLUCIONES S.A.C</t>
  </si>
  <si>
    <t>LT. 46 DPTO. 402 MZ. R URB. JAZMINES DEL NARANJAL - LIMA LIMA LOS OLIVOS</t>
  </si>
  <si>
    <t>Los Olivos</t>
  </si>
  <si>
    <t>20606264055</t>
  </si>
  <si>
    <t>HERNETS COMPANY S A.C.</t>
  </si>
  <si>
    <t xml:space="preserve">JR. AMARGURA MZA. E' LOTE 17 P.J. JAVIER HERAUD </t>
  </si>
  <si>
    <t>SANTA</t>
  </si>
  <si>
    <t>20606287675</t>
  </si>
  <si>
    <t>INVERSIONES GISELLE VG EMPRESA INDIVIDUAL DE RESPONSABILIDAD LIMITADA</t>
  </si>
  <si>
    <t>AV. ALBERTO FUJIMORI LT. 04 MZ. 26 URB. 5TA ETAPA - PASCO OXAPAMPA CONSTITUCIÓN</t>
  </si>
  <si>
    <t>20606287918</t>
  </si>
  <si>
    <t>MULTISERVICIOS V &amp; R ORIENTAL E.I.R.L.</t>
  </si>
  <si>
    <t>AV. ALFONSO UGARTE NRO 285 DEP. 2</t>
  </si>
  <si>
    <t>20606329173</t>
  </si>
  <si>
    <t>LADRILLERA FERRETERIA ATENAS E.I.R.L.</t>
  </si>
  <si>
    <t>CAL. JORGE CHAVEZ NRO. 131 - LORETO REQUENA REQUENA</t>
  </si>
  <si>
    <t>20606371609</t>
  </si>
  <si>
    <t>CONSTRUCCIONES Y TRANSPORTE TRANSMAD EL CEDRO E.I.R.L</t>
  </si>
  <si>
    <t xml:space="preserve">CAL. 10 DE AGOSTO NRO 136 </t>
  </si>
  <si>
    <t>20606374365</t>
  </si>
  <si>
    <t>TRANSPORTE MIGUEL EIRL</t>
  </si>
  <si>
    <t>CALLE SANCHEZ CERRO LOTE 5.6  NAUTA</t>
  </si>
  <si>
    <t>20606396822</t>
  </si>
  <si>
    <t>EMPRESA DE TRANSPORTE Y TURISMO ROYAL JIREH AMAZON E.I.R.L.</t>
  </si>
  <si>
    <t>CAL. PEVAS NRO. 408 P.J. SERAFIN FILOMENO - LORETO MAYNAS IQUITOS</t>
  </si>
  <si>
    <t>20606404965</t>
  </si>
  <si>
    <t>CORPORACION FERRETERA IMPORTADORA Y SERVICIOS ANEXOS IQUITOS E.I.R.L.</t>
  </si>
  <si>
    <t>AV. GRAU NRO. 1150 - LORETO MAYNAS IQUITOS</t>
  </si>
  <si>
    <t>20606445092</t>
  </si>
  <si>
    <t>VALER INVESTMENTS E.I.R.L.</t>
  </si>
  <si>
    <t>CAL. TACNA NRO. 400 - LORETO ALTO AMAZONAS YURIMAGUAS</t>
  </si>
  <si>
    <t>20606491230</t>
  </si>
  <si>
    <t>GRUPO LAS MALVINAS S.A.C.</t>
  </si>
  <si>
    <t>AV. CARRETERA FERNANDO BELAUN NRO. 161 URB. JUANJUCILLO - SAN MARTÍN MARISCAL CÁCERES JUANJUÍ</t>
  </si>
  <si>
    <t>20606495863</t>
  </si>
  <si>
    <t>MULTISERVICIOS CHELITA E.I.R.L</t>
  </si>
  <si>
    <t>CAL. 16 DE JULIO LT. 10 MZ. U - LORETO MAYNAS BELÉN</t>
  </si>
  <si>
    <t>20606521481</t>
  </si>
  <si>
    <t>SERVICIOS AMAZONICOS H S MONACO EIRL</t>
  </si>
  <si>
    <t>CAL. ATAHUALPA N H-7-BELEN</t>
  </si>
  <si>
    <t>20606532041</t>
  </si>
  <si>
    <t>INVERSIONES Y SERVICIOS GENERALES ARSA E.I.R.L.</t>
  </si>
  <si>
    <t>CAL. TENIENTE PINGLO NRO. 132 - LORETO MAYNAS IQUITOS</t>
  </si>
  <si>
    <t>20606532211</t>
  </si>
  <si>
    <t>INVERSIONES JAZ DE LORETO S.A.C.</t>
  </si>
  <si>
    <t>FERETERIA</t>
  </si>
  <si>
    <t>20606537256</t>
  </si>
  <si>
    <t>D&amp;J INVERSIONES DEL ORIENTE E.I.R.L.</t>
  </si>
  <si>
    <t xml:space="preserve">JR. ANTONIO RAYMONDI NRO 205 </t>
  </si>
  <si>
    <t>20606538724</t>
  </si>
  <si>
    <t>EL HIJO DE CHOTA E.I.R.L.</t>
  </si>
  <si>
    <t>CAL. ANTONIO RAYMONDI NRO. 198 SEC. PUEBLO NUEVO - CAJAMARCA JAÉN JAÉN</t>
  </si>
  <si>
    <t>20606540354</t>
  </si>
  <si>
    <t>GRUPO A &amp; V FERRIMAX SOCIEDAD ANONIMA CERRADA</t>
  </si>
  <si>
    <t>CAL. MARISCAL URETA NRO 1128 - JAÉN</t>
  </si>
  <si>
    <t>20606540681</t>
  </si>
  <si>
    <t>INVERSIONES TAIRA E.I.R.L.</t>
  </si>
  <si>
    <t xml:space="preserve">AV. NESHUYA MZA. 29 LOTE 14 </t>
  </si>
  <si>
    <t>20606605243</t>
  </si>
  <si>
    <t>LUBRICENTRO EL PRIMO E.I.R.L.</t>
  </si>
  <si>
    <t xml:space="preserve">AV. PARTICIPACION MZA. W LOTE 28 KM. 3.5 </t>
  </si>
  <si>
    <t>20606608374</t>
  </si>
  <si>
    <t>SERVICIOS GENERALES JUNIOR FOX E.I.R.L.</t>
  </si>
  <si>
    <t>CAL. NAUTA NRO. 303 URB. VILLA NAVAL - LORETO MAYNAS IQUITOS</t>
  </si>
  <si>
    <t>20606652705</t>
  </si>
  <si>
    <t>IMPORT TOOLS ELVIS JOSE E.I.R.L.</t>
  </si>
  <si>
    <t xml:space="preserve">AV. SINCHI ROCA MZA. R LOTE 1A URB. PEDREGAL </t>
  </si>
  <si>
    <t>SAN ANTONIO</t>
  </si>
  <si>
    <t>20606661887</t>
  </si>
  <si>
    <t>FIERROS Y TECHOS SOCIEDAD ANONIMA CERRADA</t>
  </si>
  <si>
    <t>CAR. CARRETERA FEDERICO BASADR LT. 02 MZ. H KL. 5.20 A.H. AGUSTIN CAUPER - UCAYALI CORONEL PORTILLO YARINACOCHA</t>
  </si>
  <si>
    <t>20606691336</t>
  </si>
  <si>
    <t>GRUPO JOVEN TORRES E.I.R.L.</t>
  </si>
  <si>
    <t>CAL. REQUENILLO LT. 4 A MZ. 58 OTR. REQUENILLO - LORETO REQUENA REQUENA</t>
  </si>
  <si>
    <t>20606704705</t>
  </si>
  <si>
    <t>GRAMAR METALMECANICA S.A.C.</t>
  </si>
  <si>
    <t xml:space="preserve">AV. REPUBLICA DE ARGENTINA NRO 477 INT. 102 URB. LIMA INDUSTRIAL </t>
  </si>
  <si>
    <t>20606726164</t>
  </si>
  <si>
    <t>HOSPEDAJE BELLALUZ GAMBOA EMPRESA INDIVIDUAL DE RESPONSABILIDAD LIMITADA</t>
  </si>
  <si>
    <t>CAL. GRAU NRO 327 - CABALLOCOCHA</t>
  </si>
  <si>
    <t>20606731745</t>
  </si>
  <si>
    <t>SOLUCIONES &amp; SERVICIOS J. ADRIAN E.I.R.L.</t>
  </si>
  <si>
    <t>CAL. VENECIA NRO. 104 - LORETO MAYNAS BELÉN</t>
  </si>
  <si>
    <t>20606738391</t>
  </si>
  <si>
    <t>IMPORTACIONES MAQUIMOTORS PERU S.A.C.</t>
  </si>
  <si>
    <t>JR. 7 DE JUNIO LT. 6-C MZ. 145 - UCAYALI CORONEL PORTILLO CALLERIA</t>
  </si>
  <si>
    <t>20606783320</t>
  </si>
  <si>
    <t>FERRETERIA EYMI E.I.R.L.</t>
  </si>
  <si>
    <t xml:space="preserve">AV. PAKAMUROS NRO 0C17 SEC. PUEBLO LIBRE </t>
  </si>
  <si>
    <t>20606811625</t>
  </si>
  <si>
    <t>HAFID MOTOS S.A.C.</t>
  </si>
  <si>
    <t>AV. CENTENARIO NRO. 453 URB. CERCADO DE PUCALLPA - UCAYALI CORONEL PORTILLO CALLERIA</t>
  </si>
  <si>
    <t>20606816163</t>
  </si>
  <si>
    <t>AQV TRANSPORTES E INVERSIONES EMPRESA INDIVIDUAL DE RESPONSABILIDAD LIMITADA</t>
  </si>
  <si>
    <t>JR. SARGENTO LORES NRO. 1732</t>
  </si>
  <si>
    <t>20606951991</t>
  </si>
  <si>
    <t>MILIA AMAZON LODGE SAC</t>
  </si>
  <si>
    <t>CALLE 30 DE AGOSTO  451 - IQUITOS</t>
  </si>
  <si>
    <t>20607120201</t>
  </si>
  <si>
    <t>ELECTROHOGAR YATACO E.I.R.L.</t>
  </si>
  <si>
    <t xml:space="preserve">AV. LUZURIAGA NRO 439 OTR. CENT HUARAZ </t>
  </si>
  <si>
    <t>20607176231</t>
  </si>
  <si>
    <t>DISTRIBUIDOR FERRETERO DE LA AMAZONIA S.R.L.</t>
  </si>
  <si>
    <t>JR. BELLA DURMIENTE LT. 7 MZ. B - UCAYALI CORONEL PORTILLO MANANTAY</t>
  </si>
  <si>
    <t>20607179809</t>
  </si>
  <si>
    <t>TAHUAYO PARADISE EIRL</t>
  </si>
  <si>
    <t>CALLE LORETO  414 INT. A</t>
  </si>
  <si>
    <t>20607201120</t>
  </si>
  <si>
    <t>IMPORTACIONES SILJE E.I.R.L.</t>
  </si>
  <si>
    <t>JR. RAYMONDI NRO. 717 - UCAYALI CORONEL PORTILLO CALLERIA</t>
  </si>
  <si>
    <t>20607319201</t>
  </si>
  <si>
    <t>GRUPO ALDAVA SOCIEDAD ANONIMA CERRADA</t>
  </si>
  <si>
    <t>CALLE RAMIREZ HURTADO NRO 1020</t>
  </si>
  <si>
    <t>20607326038</t>
  </si>
  <si>
    <t>AUTOMOTRIZ MULTIMARCA FULL INYECTION YURIMAGUAS E.I.R.L.</t>
  </si>
  <si>
    <t>CAL. MI PERU NRO. 430 A.H. LA NATIVIDAD - LORETO ALTO AMAZONAS YURIMAGUAS</t>
  </si>
  <si>
    <t>20607365092</t>
  </si>
  <si>
    <t>PIEDRAS CHANCADAS DEL BAJO MARAÑON E.I.R.L.</t>
  </si>
  <si>
    <t>20607393002</t>
  </si>
  <si>
    <t>GRIFO FLOTANTE BAHUBALI SAC</t>
  </si>
  <si>
    <t>CALLE LOS AGUANOS  129 PUNCHANA</t>
  </si>
  <si>
    <t>20607398438</t>
  </si>
  <si>
    <t>IMPORTACIONES ORDOÑEZ E.I.R.L.</t>
  </si>
  <si>
    <t>VENTA AL POR MENOR DE ARTICULO DE FERRETERIA</t>
  </si>
  <si>
    <t xml:space="preserve">JR. MARTINEZ DE COMPAÑON NO.461 - TARAPOTO - SAN MARTIN - SAN MARTIN </t>
  </si>
  <si>
    <t>20607401897</t>
  </si>
  <si>
    <t>BALTIMORE K &amp; A E.I.R.L.</t>
  </si>
  <si>
    <t>CAL. LOS PAUJILES LT. 20 MZ. J - LORETO MAYNAS SAN JUAN BAUTISTA</t>
  </si>
  <si>
    <t>20607406091</t>
  </si>
  <si>
    <t>REPUESTOS MILENA MILER E.I.R.L.</t>
  </si>
  <si>
    <t>VENTA DE PARTES Y PIEZAS DE AUTOMOTORES</t>
  </si>
  <si>
    <t>NRO. 410 OTR. JR. SIMON BOLIVAR - AMAZONAS CONDORCANQUI NIEVA</t>
  </si>
  <si>
    <t>20607422789</t>
  </si>
  <si>
    <t>CONSORCIO HIDRÁULICO NAUTA</t>
  </si>
  <si>
    <t>OTR. MODULO NRO 22 DEP. 101 URB. JUAN PABLO II</t>
  </si>
  <si>
    <t>20607501778</t>
  </si>
  <si>
    <t>CORPORACION FERRETERA DAVCO E.I.R.L.</t>
  </si>
  <si>
    <t>AV. TUPAC AMARU LT. 12 MZ. 39 A.H. ANTONIO MARINO - UCAYALI CORONEL PORTILLO MANANTAY</t>
  </si>
  <si>
    <t>20607508900</t>
  </si>
  <si>
    <t>CORPORACION YERIKO SOCIEDAD ANONIMA CERRADA</t>
  </si>
  <si>
    <t>AV. CAFETALEROS MZA. B URB. COPERATIVA (ESQUINA ENTRE AV. MARGINAL Y CAFETALEROS) JUNIN - SATIPO - PANGOA</t>
  </si>
  <si>
    <t>20607524247</t>
  </si>
  <si>
    <t>MULTISERVICIOS FRANQUITOS S.A.C</t>
  </si>
  <si>
    <t>AV. DAMASO LABERGE LT. 8 MZ. A - LORETO MAYNAS INDIANA</t>
  </si>
  <si>
    <t>20607545694</t>
  </si>
  <si>
    <t>DISTRIBUIDORA Y COMERCIALIZADORA EL CHINO SHECO SOCIEDAD ANONIMA CERRADA</t>
  </si>
  <si>
    <t>CAL. 16 DE JULIO LT. 1 MZ. 16 - LORETO MAYNAS BELÉN</t>
  </si>
  <si>
    <t>20607546321</t>
  </si>
  <si>
    <t>OVNI CORPORACION FERRETERA S.A.C.</t>
  </si>
  <si>
    <t>AV. LA MARINA NRO 1822 - PUNCHANA</t>
  </si>
  <si>
    <t>20607548685</t>
  </si>
  <si>
    <t>AGROPECUARIA PIR E.I.R.L.</t>
  </si>
  <si>
    <t>AV. DEL EJERCITO NRO. 124 OTR. AVENIDA DEL EJERCITO - LORETO MAYNAS IQUITOS</t>
  </si>
  <si>
    <t>20607561754</t>
  </si>
  <si>
    <t>COMERCIAL LUZDAYMER EIRL</t>
  </si>
  <si>
    <t>AV. PRINCIPAL NRO. S/N C.P. SARAMIRIZA - LORETO DATEM DEL MARAÑÓN MANSERICHE</t>
  </si>
  <si>
    <t>20607583111</t>
  </si>
  <si>
    <t>INVERSIONES C&amp;H EXPRESS S.A.C.</t>
  </si>
  <si>
    <t xml:space="preserve">AV. CAJAMARCA SUR NRO 700 </t>
  </si>
  <si>
    <t>20607605531</t>
  </si>
  <si>
    <t>DISTRIBUIDOR JULIO JV E.I.R.L</t>
  </si>
  <si>
    <t>JR. CONDAMINE NRO. 789 P.J. DANIEL ALCIDES CARRION (POR EL MERCADO DE PRODUCTORE</t>
  </si>
  <si>
    <t>20607612791</t>
  </si>
  <si>
    <t>CORPORACION RODAS VARGAS EIRL</t>
  </si>
  <si>
    <t xml:space="preserve"> VENTA AL POR MENOR DE PRENDAS DE VESTIR y CALZADO</t>
  </si>
  <si>
    <t>AV. ORTIZ ARRIETA NRO. 225 URB. CHACHAPOYAS - AMAZONAS - CHACHAPOYAS -CHACHAPOYAS</t>
  </si>
  <si>
    <t>20607618586</t>
  </si>
  <si>
    <t>GRUPO FERRETERO KEM EIRL</t>
  </si>
  <si>
    <t>MARISCAL URETA 999</t>
  </si>
  <si>
    <t>20607650111</t>
  </si>
  <si>
    <t>CONSORCIO FERRETERO JUAN GABRIEL S.A.C.</t>
  </si>
  <si>
    <t>JR. SAN MARTIN NRO. S/N (2DA CUADRA) SAN MARTIN - EL DORADO - SAN MARTIN</t>
  </si>
  <si>
    <t>20607650951</t>
  </si>
  <si>
    <t>LA MERCED HOME CENTER E.I.R.L.</t>
  </si>
  <si>
    <t>AV. PERU NRO. 389A - SAN MARTÍN SAN MARTÍN MORALES</t>
  </si>
  <si>
    <t>20607683361</t>
  </si>
  <si>
    <t>CORPORACION MACHUCA E.I.R.L</t>
  </si>
  <si>
    <t>AV. PARTICIPACION LT. LT-4 MZ. MZ30 A.H. SAN PABLO DE LA LUZ - LORETO MAYNAS SAN JUAN BAUTISTA</t>
  </si>
  <si>
    <t>20607718891</t>
  </si>
  <si>
    <t>NEGOCIOS LOZANO E.I.R.L.</t>
  </si>
  <si>
    <t>JR. RAMON CASTILLA NRO. 414 - SAN MARTÍN -SAN MARTÍN -TARAPOTO</t>
  </si>
  <si>
    <t>20607831085</t>
  </si>
  <si>
    <t>COMERCIAL FERRETERO DEL ORIENTE E.I.R.L</t>
  </si>
  <si>
    <t xml:space="preserve">ENTA AL POR MAYOR DE MATERIALES DE CONSTRUCCIÓN ARTÍCULOS DE FERRETERÍA Y EQUIPO Y MATERIALES </t>
  </si>
  <si>
    <t>20607855294</t>
  </si>
  <si>
    <t>MG INDUSTRIA &amp; COMERCIO SAC</t>
  </si>
  <si>
    <t>CAL. LLOQUE YUPANQUI NRO. 620 - AMAZONAS UTCUBAMBA BAGUA GRANDE</t>
  </si>
  <si>
    <t>20607871702</t>
  </si>
  <si>
    <t>GRUPO &amp; SERVICIOS GENERALES MAHIDEVRAN E.I.R.L.</t>
  </si>
  <si>
    <t>PJ. REQUIA NRO. 122 A.H. REQUIA - LORETO ALTO AMAZONAS YURIMAGUAS</t>
  </si>
  <si>
    <t>20607882445</t>
  </si>
  <si>
    <t>PIRANA PARK S R L</t>
  </si>
  <si>
    <t>RIO MOMON</t>
  </si>
  <si>
    <t>20607882704</t>
  </si>
  <si>
    <t>MULTISERVICIOS Y REPRESENTACIONES QUIROZ SOCIEDAD ANONIMA CERRADA</t>
  </si>
  <si>
    <t>CAL. C.P.YANASHI NRO. S/N - LORETO MAYNAS LAS AMAZONAS</t>
  </si>
  <si>
    <t>20607884189</t>
  </si>
  <si>
    <t>CORPORACION FERREMAN S.A.C.</t>
  </si>
  <si>
    <t>AV. HABILITACION URBANA NRO. 508 URB. HABILITACION URBANA MUNIC - UCAYALI CORONEL PORTILLO CALLERIA</t>
  </si>
  <si>
    <t>20607888729</t>
  </si>
  <si>
    <t>INDUSTRIAS Y PROYECTOS LIZAMA S.A.C.</t>
  </si>
  <si>
    <t>JR. PURUS NRO. 746 - UCAYALI ATALAYA RAYMONDI</t>
  </si>
  <si>
    <t>20607890022</t>
  </si>
  <si>
    <t>GRUPO MAPRES S.A.C</t>
  </si>
  <si>
    <t>LT. 09 MZ. C URB. LOS JASMINEZ - HUÁNUCO HUÁNUCO AMARILIS</t>
  </si>
  <si>
    <t>AMARILIS</t>
  </si>
  <si>
    <t>20607896438</t>
  </si>
  <si>
    <t>CONSTRUCTORA PICURO SOCIEDAD ANONIMA CERRADA</t>
  </si>
  <si>
    <t xml:space="preserve">JR RICARDO PALMA1485  </t>
  </si>
  <si>
    <t>20607907685</t>
  </si>
  <si>
    <t>D &amp; G NEGOCIOS CORPORATIVOS S.R.L.</t>
  </si>
  <si>
    <t xml:space="preserve">CAR. F.B.T. KM. 3.5 </t>
  </si>
  <si>
    <t>20607937606</t>
  </si>
  <si>
    <t>INVERSIONES MARAÑON TARAPOTO E.I.R.L.</t>
  </si>
  <si>
    <t xml:space="preserve">JR. JIMÉNEZ PIMENTEL NRO 502 URB. CERCADO </t>
  </si>
  <si>
    <t>20607976954</t>
  </si>
  <si>
    <t>FERRETERIA CONSTRUCCIONES Y MULTISERVICIOS VILLOSLADA EIRL</t>
  </si>
  <si>
    <t>JR. ANDRES AVELINO CACERES NRO. 315 P.J. UTUCAMBA - AMAZONAS UTCUBAMBA BAGUA GRANDE</t>
  </si>
  <si>
    <t>UTCUBAMBA</t>
  </si>
  <si>
    <t>20607984990</t>
  </si>
  <si>
    <t>JHEYSON CONSTRUCTOR S.A.C.</t>
  </si>
  <si>
    <t>AV. CHACHAPOYAS NRO. 3182 SEC. SAN LUIS - AMAZONAS UTCUBAMBA BAGUA GRANDE</t>
  </si>
  <si>
    <t>20608022792</t>
  </si>
  <si>
    <t>FC SUCURSAL EIRL</t>
  </si>
  <si>
    <t xml:space="preserve">AV. GRAU NRO 1209 P.J. BERMUDEZ </t>
  </si>
  <si>
    <t>20608036106</t>
  </si>
  <si>
    <t>MOTORS PARTS AMAZONAS S.A.C</t>
  </si>
  <si>
    <t>CALLE YAVARI 318</t>
  </si>
  <si>
    <t>20608077732</t>
  </si>
  <si>
    <t>CONSORCIO ARIES</t>
  </si>
  <si>
    <t>CAL. TRUJILLO NRO. 1215 - LORETO MAYNAS PUNCHANA</t>
  </si>
  <si>
    <t>20608091476</t>
  </si>
  <si>
    <t>INDUSTRIAS BACALLA SOCIEDAD ANONIMA CERRADA</t>
  </si>
  <si>
    <t>CAL. TACNA MZA. 18 LOTE 4 A.H. NAUTA</t>
  </si>
  <si>
    <t>20608113887</t>
  </si>
  <si>
    <t>BEZARA E.I.R.L.</t>
  </si>
  <si>
    <t>AV. CAJAMARCA SUR NRO 538 - NVA. CAJAMARCA - RIOJA - SAN MARTIN</t>
  </si>
  <si>
    <t>20608131435</t>
  </si>
  <si>
    <t>DISTRIBUIDORA FERRETERA GRUPO RENGIFO E.I.R.L.</t>
  </si>
  <si>
    <t xml:space="preserve">AV. AUGUSTO FREYRE NRO 639 P.J. DANIEL ALCIDES CARRION </t>
  </si>
  <si>
    <t>20608137638</t>
  </si>
  <si>
    <t>GRUPO LIVIA JS S.A.C.</t>
  </si>
  <si>
    <t>CAR. FERNANDO BELAUNDE TERRY LT. 5A MZ. 102 BAR. SAN JUAN - HUÁNUCO LEONCIO PRADO JOSÉ CRESPO Y CASTILLO</t>
  </si>
  <si>
    <t>20608154516</t>
  </si>
  <si>
    <t>FERRETERIA DOCTOR OBRA S.A.C.</t>
  </si>
  <si>
    <t>AV. CIRCUNVALACIÓN NRO. 454 OTR. TARAPOTO - TARAPOTO - SAN MARTIN - SAN MARTIN</t>
  </si>
  <si>
    <t>20608154940</t>
  </si>
  <si>
    <t>COOPERATIVA DE SERVICIOS MULTIPLES SANTA MARIA DE NIEVA</t>
  </si>
  <si>
    <t xml:space="preserve">JR. SIMON BOLIVAR S/N MZA. L LOTE 01 SANTA MARIA DE NIEVA </t>
  </si>
  <si>
    <t>20608156071</t>
  </si>
  <si>
    <t>DISTRIBUCIONES AGROMOTORS E.I.R.L</t>
  </si>
  <si>
    <t>20608186841</t>
  </si>
  <si>
    <t>GOMEZ &amp; R INVERSIONES GENERALES EIRL</t>
  </si>
  <si>
    <t>CAL. PROLONGACION CENTRAL MZA B LT-15</t>
  </si>
  <si>
    <t>20608217771</t>
  </si>
  <si>
    <t>WCM IMPORT SOCIEDAD COMERCIAL DE RESPONSABILIDAD LIMITADA</t>
  </si>
  <si>
    <t xml:space="preserve">OTR. AVENIDA 8 DE SETIEMBRE MZA. CH LOTE 20 OTR. ASOCIACION DE VIVIENDA 08 </t>
  </si>
  <si>
    <t>20608261134</t>
  </si>
  <si>
    <t>IMAN SELVA ALTO MAYO E.I.R.L.</t>
  </si>
  <si>
    <t>JR. CUZCO NRO. 227 BAR. LLUYLLUCUCHA - SAN MARTÍN MOYOBAMBA MOYOBAMBA</t>
  </si>
  <si>
    <t>20608263935</t>
  </si>
  <si>
    <t>NEGOCIO Y VENTAS LUHANA &amp; JOHANA EMPRESA INDIVIDUAL DE RESPONSABILIDAD LIMITADA</t>
  </si>
  <si>
    <t xml:space="preserve">AV. JOSE ABELARDO QUIÑONES KM. 4 </t>
  </si>
  <si>
    <t>20608301586</t>
  </si>
  <si>
    <t>EMPODERAMIENTO DE LA NIÑA Y MUJER AMAZÓNICA (ENMA)</t>
  </si>
  <si>
    <t>CAL. S. OCAMPO NRO 173</t>
  </si>
  <si>
    <t>20608385950</t>
  </si>
  <si>
    <t>GRUPO FERMEN S.A.C.</t>
  </si>
  <si>
    <t>VENTA DE PRODUCTOS AL POR MENOR</t>
  </si>
  <si>
    <t>JR. PIURA NRO. 626 - SAN MARTÍN RIOJA NUEVA CAJAMARCA</t>
  </si>
  <si>
    <t>20608402188</t>
  </si>
  <si>
    <t>MULTIVENTAS Y SERVICIOS RODRIGUEZ SOCIEDAD ANONIMA CERRADA</t>
  </si>
  <si>
    <t>CAL. SAN MARTIN NRO. S/N - PASCO OXAPAMPA PUERTO BERMÚDEZ</t>
  </si>
  <si>
    <t>20608582933</t>
  </si>
  <si>
    <t>VCM CONSTRUCTORES SAC</t>
  </si>
  <si>
    <t>JR. FRANCISCO PIZARRO NRO 501 - BAGUA GRANDE, UTCUBAMBA, AMAZONAS</t>
  </si>
  <si>
    <t>20608612361</t>
  </si>
  <si>
    <t>MULTISERVICIOS GENERALES S$K S.A.C.</t>
  </si>
  <si>
    <t>AV. BOLOGNESI S/N - TAHUANIA</t>
  </si>
  <si>
    <t>20608641638</t>
  </si>
  <si>
    <t>FERRETERA CAMPO &amp; PESCA EMPRESA INDIVIDUAL DE RESPONSABILIDAD LIMITADA</t>
  </si>
  <si>
    <t xml:space="preserve">CAL. CALLE AYACUCHO NRO 504 URB. RAMON CASTILLA </t>
  </si>
  <si>
    <t>20608655833</t>
  </si>
  <si>
    <t>FERREMASS PUCALLPA S.A.</t>
  </si>
  <si>
    <t>AV. TUPAC AMARU LT. 7 MZ. 16 A.H. FRATERNIDAD - UCAYALI CORONEL PORTILLO MANANTAY</t>
  </si>
  <si>
    <t>20608667882</t>
  </si>
  <si>
    <t>FERRETERIA EDU E.I.R.L.</t>
  </si>
  <si>
    <t>AV. BELAUNDE CDRA. 9 - FRENTE AL TANQUE DE AGUA - TOCACHE</t>
  </si>
  <si>
    <t>20608704451</t>
  </si>
  <si>
    <t>GRUPO FERRETERO MIGUEL ANGEL´S EMPRESA INDIVIDUAL DE RESPONSABILIDAD LIMITADA</t>
  </si>
  <si>
    <t xml:space="preserve">JR. 28 DE JULIO NRO 311 INT. 1 DEP. 1 URB. YARINACOCHA </t>
  </si>
  <si>
    <t>20608734911</t>
  </si>
  <si>
    <t>CONSORCIO VIAL AGUSTINOS</t>
  </si>
  <si>
    <t>AV. DEL EJERCITO 1864</t>
  </si>
  <si>
    <t>20608759086</t>
  </si>
  <si>
    <t>LIVANOS MAQUINAS &amp; HERRAMIENTAS DEL PERU E.I.R.L.</t>
  </si>
  <si>
    <t>AV. CESAR VALLEJO NRO. 943 URB. ARANJUEZ - LA LIBERTAD TRUJILLO TRUJILLO</t>
  </si>
  <si>
    <t>20608781936</t>
  </si>
  <si>
    <t>MAQUINARIAS JAEN E.I.R.L.</t>
  </si>
  <si>
    <t>CAL. TAHUANTINSUYO NRO 101 - JAEN - JAEN - CAJAMARCA</t>
  </si>
  <si>
    <t>20608787586</t>
  </si>
  <si>
    <t>CONSORCIO BEHER</t>
  </si>
  <si>
    <t>MZA. D LOTE 08 URB. FCO. BOLOGNESI</t>
  </si>
  <si>
    <t>20608793624</t>
  </si>
  <si>
    <t>INVERSIONES Y SERVICIOS MALU E.I.R.L.</t>
  </si>
  <si>
    <t>CAL. ROGER WALTER NRO. 30 - LORETO MAYNAS IQUITOS</t>
  </si>
  <si>
    <t>20608797433</t>
  </si>
  <si>
    <t>CORPORACION SWV PETROGAS</t>
  </si>
  <si>
    <t>CAR. CARRETERA IQUITOS NAUTA COM. CARRETERA IQUITOS NAUTA KM. 57.5</t>
  </si>
  <si>
    <t>20608837206</t>
  </si>
  <si>
    <t>DISTRIBUIDORA FERRETERA KAROLAY S.A.C.</t>
  </si>
  <si>
    <t>AV. AGROPECUARIA NRO. 324 ---- 18 DE ENERO - AMAZONAS, BAGUA, BAGUA CHICA</t>
  </si>
  <si>
    <t>20608837524</t>
  </si>
  <si>
    <t>ARQUITECTURA, CONSTRUCCION Y BIENESTAR SOCIEDAD ANONIMA CERRADA</t>
  </si>
  <si>
    <t>AV. MARGINAL NRO. 021B URB. SANTA ANA - JUNÍN CHANCHAMAYO PERENE</t>
  </si>
  <si>
    <t>20608847147</t>
  </si>
  <si>
    <t>TUESTA MULTISERVICIOS GENERALES E.I.R.L.</t>
  </si>
  <si>
    <t>CAL.LAS CAMELIAS NRO. 125 LORETO - MAYNAS - SAN JUAN BAUTISTA</t>
  </si>
  <si>
    <t>20608861115</t>
  </si>
  <si>
    <t>AMAZON JOURNEYS LODGE E.I.R.L.</t>
  </si>
  <si>
    <t>CAL. FITZCARRALD NRO 174 P.J. SERAFIN FILOMENO</t>
  </si>
  <si>
    <t>20608876406</t>
  </si>
  <si>
    <t>GRUPO COMERCIAL FAMER SOCIEDAD COMERCIAL DE RESPONSABILIDAD LIMITADA</t>
  </si>
  <si>
    <t xml:space="preserve">JR. CONDAMINE NRO 751 INT. 751 P.J. DANIEL ALCIDES CARRION </t>
  </si>
  <si>
    <t>20608886142</t>
  </si>
  <si>
    <t>CONSTRUCTORA SERVICIOS Y TRANSPORTE M &amp; T S.A.C.</t>
  </si>
  <si>
    <t>CAL. JANE DONAYRE LT. F MZ. 07 A.H. DELICIA MANZUR - LORETO MAYNAS PUNCHANA</t>
  </si>
  <si>
    <t>20608894111</t>
  </si>
  <si>
    <t>LUDAGRO E.I.R.L.</t>
  </si>
  <si>
    <t>AV. GRAU NRO. 1864 OTR. AVENIDA - PIURA PIURA PIURA</t>
  </si>
  <si>
    <t>20608918656</t>
  </si>
  <si>
    <t>IMPORTACIONES TAGLE E.I.R.L</t>
  </si>
  <si>
    <t>VENTA DE PARTES PIEZAS Y ACCESORIOS PARA VEHICULOS AUTOMOTORES</t>
  </si>
  <si>
    <t>JR. CORONEL SECADA NRO 106 BAR. COMERCIO - MOYOBAMBA - MOYOBAMBA - SAN MARTIN</t>
  </si>
  <si>
    <t>20608944037</t>
  </si>
  <si>
    <t>WARE HOUSE PAQUISHA E.I.R.L.</t>
  </si>
  <si>
    <t>CAL. LA VIA LT. 04 MZ. C - LORETO ALTO AMAZONAS YURIMAGUAS</t>
  </si>
  <si>
    <t>20608946901</t>
  </si>
  <si>
    <t>CORPORACION BANANA EMPRESA INDIVIDUAL DE RESPONSABILIDAD LIMITADA</t>
  </si>
  <si>
    <t>CAL. NAUTA NRO 221</t>
  </si>
  <si>
    <t>20608961594</t>
  </si>
  <si>
    <t>MULTISERV YGNACIO E.I.R.L</t>
  </si>
  <si>
    <t>CAL. REQUENA NRO. 269 - LORETO MAYNAS IQUITOS</t>
  </si>
  <si>
    <t>20608972286</t>
  </si>
  <si>
    <t>INVERSIONES TURISTICAS NH E.I.R.L.</t>
  </si>
  <si>
    <t>CAL. SANTA ROSA NRO 638 P.J. FRANCISCO BOLOGNESI</t>
  </si>
  <si>
    <t>20608996185</t>
  </si>
  <si>
    <t>LA CASITA DE LILI E.I.R.L.</t>
  </si>
  <si>
    <t xml:space="preserve">JR. PROGRESO NRO 532 </t>
  </si>
  <si>
    <t>20609106795</t>
  </si>
  <si>
    <t>CORPORACION FERRETERO ANYERO E.I.R.L.</t>
  </si>
  <si>
    <t>JR. AYACUCHO SN C.P. NARANJI NRO. 0 - SAN MARTÍN RIOJA NUEVA CAJAMARCA</t>
  </si>
  <si>
    <t>AWAJUN</t>
  </si>
  <si>
    <t>20609122014</t>
  </si>
  <si>
    <t>BOSQUE GRANDE S.A.C</t>
  </si>
  <si>
    <t>JR. JORGE CHAVEZ NRO. 1264 - TARAPOTO - SAN MARTIN - SAN MARTIN</t>
  </si>
  <si>
    <t>20609152304</t>
  </si>
  <si>
    <t>REPRESENTACIONES Y SERVICIOS GENERALES ALTAMIRANO E.I.R.L.</t>
  </si>
  <si>
    <t>JR. CORONEL SECADA NRO. 273 - SAN MARTÍN MOYOBAMBA MOYOBAMBA</t>
  </si>
  <si>
    <t>20609167638</t>
  </si>
  <si>
    <t>DISTRIBUIDORA FERRETERA JUISA EMPRESA INDIVIDUAL DE RESPONSABILIDAD LIMITADA</t>
  </si>
  <si>
    <t xml:space="preserve">JR. SAN MARTIN NRO 1063 </t>
  </si>
  <si>
    <t>SAN AGUSTIN</t>
  </si>
  <si>
    <t>20609224267</t>
  </si>
  <si>
    <t>ELECTROINNOVA SERVICIOS MULTIPLES S.A.C.</t>
  </si>
  <si>
    <t>JR. EMILIANO VARGAS GRANDEZ  S/N  - RODRIGUEZ DE MENDOZA</t>
  </si>
  <si>
    <t>20609241862</t>
  </si>
  <si>
    <t>CONSTRUCCIONES Y SERVICIOS KHALED E.I.R.L</t>
  </si>
  <si>
    <t>AV. EL EJERCITO NRO. 519 URB. SACHAPUQUIO - TARAPOTO - SAN MARTIN - SAN MARTIN</t>
  </si>
  <si>
    <t>20609243300</t>
  </si>
  <si>
    <t>GRUPO RIVERA PERU SOCIEDAD ANONIMA CERRADA</t>
  </si>
  <si>
    <t>CAL. 6 DE AGOSTO NRO. 474 - JUNÍN SATIPO PANGOA</t>
  </si>
  <si>
    <t>20609273098</t>
  </si>
  <si>
    <t>CONSORCIO KOPER</t>
  </si>
  <si>
    <t>PRO. GARCILAZO DE LA VEGA NRO 756 URB. SEC AROMO BAJO</t>
  </si>
  <si>
    <t>20609337061</t>
  </si>
  <si>
    <t>FERRETERIA EL RENACER EMPRESA INDIVIDUAL DE RESPONSABILIDAD LIMITADA</t>
  </si>
  <si>
    <t>JR. PUTUMAYO NRO. 2624 A.H. CESAR LOPEZ SILVA - LORETO MAYNAS IQUITOS</t>
  </si>
  <si>
    <t>20609373149</t>
  </si>
  <si>
    <t>SAN IGNACIO LLACSAHUANGA IMPORT E.I.R.L.</t>
  </si>
  <si>
    <t>CAL. ORELLANA NRO. 293 SEC. MORRO SOLAR - CAJAMARCA JAÉN JAÉN</t>
  </si>
  <si>
    <t>20609485907</t>
  </si>
  <si>
    <t>CORPORACION FERRETERA CONTINENTAL S.A.C.</t>
  </si>
  <si>
    <t xml:space="preserve">AV. ANTONIO RAIMONDI NRO 629 </t>
  </si>
  <si>
    <t>20609529777</t>
  </si>
  <si>
    <t>FERRETERA GERSER S.A.C</t>
  </si>
  <si>
    <t>AV. VIA DE EVITAMIENTO NRO 1397 - TARAPOTO - SAN MARTIN - SAN MARTIN</t>
  </si>
  <si>
    <t>20609549336</t>
  </si>
  <si>
    <t>MANGUERA Y CONEXIONES HIDRAULICAS QUIÑONEZ M &amp; E SOCIEDAD COMERCIAL DE RESPONSABILIDAD LIMITADA</t>
  </si>
  <si>
    <t>AV. LA MARINA NRO 142 Z.I. PINEDO DE ESPINOZA BELEN</t>
  </si>
  <si>
    <t>20609571013</t>
  </si>
  <si>
    <t>RESIDENCIAL &amp; CORPORATIONS INMOBILIARIA S.A.C.</t>
  </si>
  <si>
    <t>CAL. MOORE NRO 681</t>
  </si>
  <si>
    <t>20609576082</t>
  </si>
  <si>
    <t>CONSORCIO REMANSO I</t>
  </si>
  <si>
    <t>CAL. AMAZONAS NRO. 778 - LORETO MAYNAS PUNCHANA</t>
  </si>
  <si>
    <t>20609614421</t>
  </si>
  <si>
    <t>PLASTICOS SIJAN E.I.R.L.</t>
  </si>
  <si>
    <t xml:space="preserve">CAL. ABTAO NRO 351 </t>
  </si>
  <si>
    <t>20609623978</t>
  </si>
  <si>
    <t>CONSORCIOS Y SUMINISTROS MIDAS E.I.R.L.</t>
  </si>
  <si>
    <t>JR. 7 DE JUNIO NRO. 616 URB. CERCADO DE PUCALLPA - UCAYALI CORONEL PORTILLO CALLERIA</t>
  </si>
  <si>
    <t>20609643146</t>
  </si>
  <si>
    <t>GRUPO LANMARJANSGER E.I.R.L.</t>
  </si>
  <si>
    <t xml:space="preserve">JR. EX CARRETERA A YURIMAGUAS NRO 492 OTR. BANDA DE SHILCAYO </t>
  </si>
  <si>
    <t>20609715261</t>
  </si>
  <si>
    <t>INMOBILIARIA AMAZONIA HOUSE S.A.C.</t>
  </si>
  <si>
    <t>CAL. ARGENTINA NRO. 425 A.H. MANUEL CARDOZO DAVILA - LORETO MAYNAS BELÉN</t>
  </si>
  <si>
    <t>20609740575</t>
  </si>
  <si>
    <t>KINGDOM VENTURES PERU</t>
  </si>
  <si>
    <t>CAL. LOS ANGELES NRO SN</t>
  </si>
  <si>
    <t>20609783185</t>
  </si>
  <si>
    <t>INVERSIONES Y SERVICIO ATEN E I R L</t>
  </si>
  <si>
    <t>CALLE MONITOR HUASCAR 556</t>
  </si>
  <si>
    <t>20609851008</t>
  </si>
  <si>
    <t>FERROCIX S.A.C.</t>
  </si>
  <si>
    <t xml:space="preserve">PRO. ALFONSO UGARTE NRO S/N URB. SAN PATRICIO </t>
  </si>
  <si>
    <t>20609871599</t>
  </si>
  <si>
    <t>IQUITOS EXPERIENCE TOURS E.I.R.L.</t>
  </si>
  <si>
    <t>CAL. PRINCIPAL LT. 1 MZ. R A.H. SANTA ROSA DE LIMA - LORETO MAYNAS SAN JUAN BAUTISTA</t>
  </si>
  <si>
    <t>20609901951</t>
  </si>
  <si>
    <t>LOYMAR MAQUINAS Y REPUESTOS E.I.R.L.</t>
  </si>
  <si>
    <t>20609961695</t>
  </si>
  <si>
    <t>DAFLA INVERSIONES E.I.R.L</t>
  </si>
  <si>
    <t>VENTA AL POR MENOR DE APARATOS ELECTRICOS</t>
  </si>
  <si>
    <t>JR. PERU NRO 379 INT. 3 URB. SUCHICHE - TARAPOTO</t>
  </si>
  <si>
    <t>20609962276</t>
  </si>
  <si>
    <t>JENIBE INVERSIONES E.I.R.L.</t>
  </si>
  <si>
    <t>OTR. ALTOMONTE DE ISRAEL NRO. S/N C.C. ALTOMONTE DE ISRAEL - LORETO MARISCAL RAMÓN CASTILLA SAN PABLO</t>
  </si>
  <si>
    <t>20609981424</t>
  </si>
  <si>
    <t>SERVICIOS GENERALES I. SILVA E.I.R.L.</t>
  </si>
  <si>
    <t xml:space="preserve">CAL. ARANDA NRO SN CAS. SOPLIN VARGAS </t>
  </si>
  <si>
    <t>SOPLIN</t>
  </si>
  <si>
    <t>20609984954</t>
  </si>
  <si>
    <t>GRUPO VASKEZ E.I.R.L.</t>
  </si>
  <si>
    <t>AV. CAJAMARCA SUR NRO. 220 - SAN MARTÍN RIOJA NUEVA CAJAMARCA</t>
  </si>
  <si>
    <t>20610013831</t>
  </si>
  <si>
    <t>AMAZON CAPINURI EXPEDITIONS EMPRESA INDIVIDUAL DE RESPONSABILIDAD LIMITADA</t>
  </si>
  <si>
    <t>CAL. SAMANEZ OCAMPO NRO 264 P.J. SERAFIN FILOMENO</t>
  </si>
  <si>
    <t>20610018506</t>
  </si>
  <si>
    <t>CONSORCIO SELVA VERDE</t>
  </si>
  <si>
    <t>JR. ULISES REATEGUI NRO 409</t>
  </si>
  <si>
    <t>Tarapoto</t>
  </si>
  <si>
    <t>20610046381</t>
  </si>
  <si>
    <t>NEGOCIOS MARLUZ S.A.C.</t>
  </si>
  <si>
    <t>JR. MAYOPAMPA LT. 06 MZ. H URB. VILLA HERMOSA - SAN MARTÍN SAN MARTÍN MORALES</t>
  </si>
  <si>
    <t>20610052399</t>
  </si>
  <si>
    <t>SOL DEL ORIENTE INMOBILIARIA Y CONSULTORES S.A.C.</t>
  </si>
  <si>
    <t>CAL. BOLOGNESI MZA. B LOTE 45</t>
  </si>
  <si>
    <t>20610111191</t>
  </si>
  <si>
    <t>GRUPO INVERSIONES GALLO SOCIEDAD ANONIMA CERRADA</t>
  </si>
  <si>
    <t xml:space="preserve">AV. LIMA NRO 341 - AUCAYACU </t>
  </si>
  <si>
    <t>20610207686</t>
  </si>
  <si>
    <t>MADERERA EL CHE E.I.R.L.</t>
  </si>
  <si>
    <t>CAL. SARGENTO LORES NRO. 817 - LORETO ALTO AMAZONAS YURIMAGUAS</t>
  </si>
  <si>
    <t>20610246207</t>
  </si>
  <si>
    <t>GRUPO DON MARINO S.R.L.</t>
  </si>
  <si>
    <t>JR. FREDY ALIAGA NRO. 501 - SAN MARTÍN TOCACHE TOCACHE</t>
  </si>
  <si>
    <t>20610272135</t>
  </si>
  <si>
    <t>CORPORACION FERRETERA MC S.A.C.</t>
  </si>
  <si>
    <t>VENTA DE PRODUCTOS DE FERRETERIA</t>
  </si>
  <si>
    <t>JR. MENDOZA - SECTOR VENECIA LT. 8 MZ. G - SAN MARTÍN SAN MARTÍN LA BANDA DE SHILCAYO</t>
  </si>
  <si>
    <t>20610306595</t>
  </si>
  <si>
    <t>GRUPO EMPRESARIAL COTRINA S.A.C.</t>
  </si>
  <si>
    <t>JR. MIGUEL GRAU NRO CDRA 2 (FRENTE A LA PLAZA) CONSUELO - SAN PABLO - BELLAVISTA - SAN MARTIN</t>
  </si>
  <si>
    <t>20610361863</t>
  </si>
  <si>
    <t>CORPORACION KRISNOAH EMPRESA INDIVIDUAL DE RESPONSABILIDAD LIMITADA</t>
  </si>
  <si>
    <t xml:space="preserve">AV. AVIACION MZA. C LOTE 3 </t>
  </si>
  <si>
    <t>20610362142</t>
  </si>
  <si>
    <t>AGROFER CARRION S.A.C.</t>
  </si>
  <si>
    <t>AV. FEDERICO BASADRE LT. 13 MZ. X1 - UCAYALI PADRE ABAD IRAZOLA</t>
  </si>
  <si>
    <t>20610369813</t>
  </si>
  <si>
    <t>FERRO INVERSIONES LEONCITO EMPRESA INDIVIDUAL DE RESPONSABILIDAD LIMITADA</t>
  </si>
  <si>
    <t xml:space="preserve">JR. MALECON NRO 175 </t>
  </si>
  <si>
    <t>MOLINO</t>
  </si>
  <si>
    <t>20610377344</t>
  </si>
  <si>
    <t>MULTISERVICIOS KJMD E.I.R.L.</t>
  </si>
  <si>
    <t>CAL. FELIPE MOREY NRO. 254 C.C. JENARO HERRERA - LORETO REQUENA JENARO HERRERA</t>
  </si>
  <si>
    <t>JENARO HERRERA</t>
  </si>
  <si>
    <t>20610402683</t>
  </si>
  <si>
    <t>ASOCIACION DE PRODUCTORES AGRARIOS Y PISCICOLAS DE MASHUNTA</t>
  </si>
  <si>
    <t>NRO S/N COM. MASHUNTA</t>
  </si>
  <si>
    <t>20610404520</t>
  </si>
  <si>
    <t>FERROELECTRO BARUCH INVERSIONES E.I.R.L.</t>
  </si>
  <si>
    <t xml:space="preserve">CAL. SERAFIN FILOMENO NRO 761-MOYOBAMBA </t>
  </si>
  <si>
    <t>20610420461</t>
  </si>
  <si>
    <t>AGROIMPORT CORONEL EIRL</t>
  </si>
  <si>
    <t xml:space="preserve">AV. HEROES DEL CENEPA NRO 1600 URB. BAGUA </t>
  </si>
  <si>
    <t>20610432272</t>
  </si>
  <si>
    <t>JN CORPORACION ALEXIS E.I.R.L.</t>
  </si>
  <si>
    <t>AV. PAKAMUROS NRO 1707 SEC. PUEBLO LIBRE - JAÉN, JAÉN, CAJAMARCA</t>
  </si>
  <si>
    <t>20610502980</t>
  </si>
  <si>
    <t>ANGELITA MULTIVENTAS-CONSTRUCCIONES Y CONSULTORES S.A.C.</t>
  </si>
  <si>
    <t xml:space="preserve">JR. MARAÑON MZA. 15 LOTE 11 DEP. A SAN LORENZO </t>
  </si>
  <si>
    <t>20610515062</t>
  </si>
  <si>
    <t>RPP SOLUCIONES E.I.R.L</t>
  </si>
  <si>
    <t>JR. ALFONSO UGARTE NRO. 1075 - TARAPOTO - SAN MARTIN - SAN MARTIN</t>
  </si>
  <si>
    <t>20610525696</t>
  </si>
  <si>
    <t>COMERCIAL FERRETERIA EL REY &amp; WMG E.I.R.L</t>
  </si>
  <si>
    <t>20610527737</t>
  </si>
  <si>
    <t>INV. &amp; KOSMOS P &amp; S S.R.L.</t>
  </si>
  <si>
    <t>CAL. MANTARO NRO. 203 - S.M. PANGOA</t>
  </si>
  <si>
    <t>20610585150</t>
  </si>
  <si>
    <t>MULTISERVICIOS JELI INVERSIONES EMPRESA INDIVIDUAL DE RESPONSABILIDAD LIMITADA</t>
  </si>
  <si>
    <t>JR. PACA NRO. S/N - LORETO UCAYALI VARGAS GUERRA</t>
  </si>
  <si>
    <t>20610586962</t>
  </si>
  <si>
    <t>FERRESOLUCIONES S.A.C.</t>
  </si>
  <si>
    <t>AV. AV CHACHAPOYAS NRO. 1742 URB. FRANSISCO PIZARRO - AMAZONAS UTCUBAMBA BAGUA GRANDE</t>
  </si>
  <si>
    <t>20610587462</t>
  </si>
  <si>
    <t>SERVICIOS GENERALES VALDIZAN WONG IQUITOS EMPRESA INDIVIDUAL DE RESPONSABILIDAD LIMITADA</t>
  </si>
  <si>
    <t>CALLE #03 172</t>
  </si>
  <si>
    <t>20610698965</t>
  </si>
  <si>
    <t>MULTISERVICIOS ZERVID E.I.R.L.</t>
  </si>
  <si>
    <t>JR. TAVARA NRO. 340 P.J. SERAFIN FILOMENO - LORETO MAYNAS IQUITOS</t>
  </si>
  <si>
    <t>20610722157</t>
  </si>
  <si>
    <t>FERRETERIA LA 7 ESQUINAS E.I.R.L.</t>
  </si>
  <si>
    <t>JR. RECREO NRO 997 (POR LAS 7 ESQUINAS) - LA BANDA DE SHILCAYO</t>
  </si>
  <si>
    <t>20610723803</t>
  </si>
  <si>
    <t>INVERSIONES Y SERVICIOS SELVAFER E.I.R.L.</t>
  </si>
  <si>
    <t>JR. DANIEL ALCIDES CARRION INT. 0 MZA. 0 LOTE 0 DEP. 0 C.P. SAN PEDRO  - SAN ANTONIO - SAN MARTIN - SAN MARTIN</t>
  </si>
  <si>
    <t>20610750878</t>
  </si>
  <si>
    <t>MULTISERVICIOS MAKAT S.A.C.</t>
  </si>
  <si>
    <t xml:space="preserve">MZA. A LOTE 5 P.J. BELLA DURMIENTE </t>
  </si>
  <si>
    <t>20610755004</t>
  </si>
  <si>
    <t>FRANK FERRETERO E.I.R.L.</t>
  </si>
  <si>
    <t xml:space="preserve">JR. MOQUEGUA C-04 NRO S/N </t>
  </si>
  <si>
    <t>20610814655</t>
  </si>
  <si>
    <t>20610817611</t>
  </si>
  <si>
    <t>MAQUINARIAS Y MOTORES JAFID S.A.C.</t>
  </si>
  <si>
    <t>JR. REQUENA NRO. 226 - LORETO MAYNAS IQUITOS</t>
  </si>
  <si>
    <t>20610830987</t>
  </si>
  <si>
    <t>INVERSIONES AGROCONST E.I.R.L.</t>
  </si>
  <si>
    <t>JR. ALFONSO UGARTE NRO 417 -TARAPOTO - SAN MARTIN - SAN MARTIN</t>
  </si>
  <si>
    <t>20610847693</t>
  </si>
  <si>
    <t>W2A PERU SOLUCIONES E.I.R.L.</t>
  </si>
  <si>
    <t>JR. PROLONGACION 28 DE JULIO MZA. 18 LOTE 19 - NUEVA CAJAMARCA</t>
  </si>
  <si>
    <t>20610874712</t>
  </si>
  <si>
    <t>DISTRIBUIDOR FERRETERO PUCALLPA E.I.R.L.</t>
  </si>
  <si>
    <t xml:space="preserve">AV. TUPAC AMARU MZA. 18 LOTE 1 </t>
  </si>
  <si>
    <t>20610919392</t>
  </si>
  <si>
    <t>HERNETS COMPANY ORIENTE S.A.C.</t>
  </si>
  <si>
    <t xml:space="preserve">JR. 9 DE DICIEMBRE NRO 556 </t>
  </si>
  <si>
    <t>20610935291</t>
  </si>
  <si>
    <t>DISTRIBUCIONES FERRESOL S.A.C.</t>
  </si>
  <si>
    <t>CALLE VILLANUEVA PINILLOS Nº 720 SEC. PUEBLO LIBRE, JAÉN, JAÉN, CAJAMARCA</t>
  </si>
  <si>
    <t>20611002522</t>
  </si>
  <si>
    <t>PESCADORES SIMON E.I.R.L</t>
  </si>
  <si>
    <t>CAL. REQUENA NRO. 313 - LORETO MAYNAS IQUITOS</t>
  </si>
  <si>
    <t>20611008717</t>
  </si>
  <si>
    <t>FERRONORTE S.A.C.</t>
  </si>
  <si>
    <t>JR. LIBERTAD NRO 651 - NUEVA CAJAMARCA - RIOJA -SAN MARTIN</t>
  </si>
  <si>
    <t>20611009799</t>
  </si>
  <si>
    <t>VALLE ALTO MAYO INVERSIONES E.I.R.L.</t>
  </si>
  <si>
    <t>JR. DIONICIO AGUILAR LT. 08 MZ. 2A - SAN MARTÍN RIOJA RIOJA</t>
  </si>
  <si>
    <t>20611028459</t>
  </si>
  <si>
    <t>INVERSIONES VECAR EMPRESA INDIVIDUAL DE RESPONSABILIDAD LIMITADA</t>
  </si>
  <si>
    <t>JR. LOS JAZMINES NRO. SN C.P. PUERTO SUNGARO - HUÁNUCO PUERTO INCA PUERTO INCA</t>
  </si>
  <si>
    <t>20611033398</t>
  </si>
  <si>
    <t>BAMBU FERRETERIA &amp; HOGAR S.A.C.</t>
  </si>
  <si>
    <t>AV. JOSE ABELARDO QUIÑONEZ LT. 02 MZ. B - LORETO MAYNAS SAN JUAN BAUTISTA</t>
  </si>
  <si>
    <t>20611049006</t>
  </si>
  <si>
    <t>NEGOCIOS ROLIMER E.I.R.L.</t>
  </si>
  <si>
    <t>20611062991</t>
  </si>
  <si>
    <t>MULTISERVICIOS GENERALES INFI E.I.R.L.</t>
  </si>
  <si>
    <t xml:space="preserve">PJ. YAVARI NRO S/N </t>
  </si>
  <si>
    <t>20611065958</t>
  </si>
  <si>
    <t>CONSORCIO SAN MARTIN X</t>
  </si>
  <si>
    <t>AV. CIRCUMLACION LT E ENTRADA CARRETERA SAN RAMON</t>
  </si>
  <si>
    <t>20611068442</t>
  </si>
  <si>
    <t>MAQUINARIAS SILJE S.A.C.</t>
  </si>
  <si>
    <t xml:space="preserve">OTR. JAIME YOSHIYAMA TANAKA MZA. I LOTE 5 A.H. ASENTAMIENTO HUMANO PROYE </t>
  </si>
  <si>
    <t>20611077808</t>
  </si>
  <si>
    <t>INVERSIONES LONAN E.I.R.L.</t>
  </si>
  <si>
    <t>JR. SERAFIN FILOMENO NRO. 726 - SAN MARTÍN MOYOBAMBA MOYOBAMBA</t>
  </si>
  <si>
    <t>20611093404</t>
  </si>
  <si>
    <t>ASOCIACION DE SEMBRADORAS DE 13 DE FEBRERO</t>
  </si>
  <si>
    <t>CALLE INDUSTRIAL MZA 19 LTE 4 CARRETERA-IQUITOS-NAUTA KM32</t>
  </si>
  <si>
    <t>20611113120</t>
  </si>
  <si>
    <t>MULTISERVICIOS JK EIRL</t>
  </si>
  <si>
    <t>JR. FANNING 1255</t>
  </si>
  <si>
    <t>20611131560</t>
  </si>
  <si>
    <t>GILCO HERRAMIENTAS E.I.R.L.</t>
  </si>
  <si>
    <t>JR. GIRASOLES LT. 1 MZ. H1 - MADRE DE DIOS TAMBOPATA TAMBOPATA</t>
  </si>
  <si>
    <t>20611150483</t>
  </si>
  <si>
    <t>GRUPO CAMPESINO S.A.C.</t>
  </si>
  <si>
    <t xml:space="preserve">COMERCIAL </t>
  </si>
  <si>
    <t>20611156074</t>
  </si>
  <si>
    <t>HERRAMIENTAS MARSHA.E E.I.R.L.</t>
  </si>
  <si>
    <t>CAL. REQUENA NRO. 229 - LORETO MAYNAS IQUITOS</t>
  </si>
  <si>
    <t>20611158573</t>
  </si>
  <si>
    <t>IMPORTACIONES OLGUIN S.A.C.</t>
  </si>
  <si>
    <t>AV. PAKAMUROS NRO 1435 SEC. PUEBLO LIBRE - JAEN - JAEN - CAJAMARCA</t>
  </si>
  <si>
    <t>20611166533</t>
  </si>
  <si>
    <t>EXPRESS DON COCO E.I.R.L.</t>
  </si>
  <si>
    <t>CAL. MALECON BUENOS AIRES NRO. SN - LORETO LORETO NAUTA</t>
  </si>
  <si>
    <t>20611169885</t>
  </si>
  <si>
    <t>DYNO CONSTRUCTOR E.I.R.L.</t>
  </si>
  <si>
    <t>20611184507</t>
  </si>
  <si>
    <t>MAQUINARIAS DEL ORIENTE PERUANO EIRL</t>
  </si>
  <si>
    <t>JIRON REQUENA 229</t>
  </si>
  <si>
    <t>20611243767</t>
  </si>
  <si>
    <t>CORPORACION AGROFERRETERA TELLO S.A.C.</t>
  </si>
  <si>
    <t>AV. SARGENTO LORES LT. 01 MZ. 37 - SAN MARTÍN TOCACHE NUEVO PROGRESO</t>
  </si>
  <si>
    <t>20611287977</t>
  </si>
  <si>
    <t>INVERSIONES GENERALES JASHAC EMPRESA INDIVIDUAL DE RESPONSABILIDAD LIMITADA</t>
  </si>
  <si>
    <t>CAL. IQUITOS LT. 4 MZ. H A.H. ANITA CABRERA - LORETO MAYNAS SAN JUAN BAUTISTA</t>
  </si>
  <si>
    <t>20611306530</t>
  </si>
  <si>
    <t>GRUPO HIBRAIN SAID MULTIVENTAS Y SERVICIOS GENERALES E.I.R.L.</t>
  </si>
  <si>
    <t>CAL. JOSE RIERA NRO 419</t>
  </si>
  <si>
    <t>20611356448</t>
  </si>
  <si>
    <t>RECUPER PERU EMPRESA INDIVIDUAL DE RESPONSABILIDAD LIMITADA</t>
  </si>
  <si>
    <t>AV. 28 DE JULIO NRO. 1058 A.H. 6 DE JULIO - LORETO MAYNAS PUNCHANA</t>
  </si>
  <si>
    <t>20611357509</t>
  </si>
  <si>
    <t>FERRETERIA EL MOYOCHO E.I.R.L.</t>
  </si>
  <si>
    <t xml:space="preserve">JR. AYACUCHO NRO 280 </t>
  </si>
  <si>
    <t>20611362103</t>
  </si>
  <si>
    <t>CONSORCIO EDIFICACION ALBERGUE</t>
  </si>
  <si>
    <t>CAL. PEVAS NRO 1001</t>
  </si>
  <si>
    <t>20611365781</t>
  </si>
  <si>
    <t>GRUPO FERRETERO ZACAMI E.I.R.L.</t>
  </si>
  <si>
    <t>FERRETERIAA</t>
  </si>
  <si>
    <t>JR. SAN MARTIN NRO. 227 - SAN MARTÍN SAN MARTÍN MORALES</t>
  </si>
  <si>
    <t>20611394579</t>
  </si>
  <si>
    <t>DISTRIBUIDORA FERRETERA KEM S.R.L.</t>
  </si>
  <si>
    <t>AV. VILLANUEVA PINILLOS NRO 525 CERCADO - JAÉN - JAÉN - CAJAMARCA</t>
  </si>
  <si>
    <t>20611400641</t>
  </si>
  <si>
    <t>CONSORCIO PLUVIAL GONZALES</t>
  </si>
  <si>
    <t>CAL. PEVAS NRO. 1001 OTR. PEVAS - LORETO MAYNAS IQUITOS</t>
  </si>
  <si>
    <t>206114695</t>
  </si>
  <si>
    <t>20611475692</t>
  </si>
  <si>
    <t>CONSORCIO PS ARAHUANTE</t>
  </si>
  <si>
    <t>AV. CIRCUNVALACION NRO 106A</t>
  </si>
  <si>
    <t>20611481676</t>
  </si>
  <si>
    <t>CARLOS MUNDO &amp; ARQUITECTURA E.I.R.L.</t>
  </si>
  <si>
    <t xml:space="preserve">CAL.SAN RAMON S/N MZA. A C.P. SAN RAMON (FRENTE AL PARQUE) </t>
  </si>
  <si>
    <t>20611505290</t>
  </si>
  <si>
    <t>SELCOMART S.A.C.</t>
  </si>
  <si>
    <t>JR. MAXIMILIANO MURRIETA NRO. 4 - SAN MARTÍN SAN MARTÍN LA BANDA DE SHILCAYO</t>
  </si>
  <si>
    <t>20611525746</t>
  </si>
  <si>
    <t>SOLUCIONES ADELU  E.I.R.L</t>
  </si>
  <si>
    <t>AV. GRAU NRO. 1176 - LORETO MAYNAS IQUITOS</t>
  </si>
  <si>
    <t>20611533331</t>
  </si>
  <si>
    <t>INVERSIONES TURISTICAS Y DE INDUSTRIAS ALIMENTARIAS ZAFARI IQUITOS EMPRESA INDIVIDUAL DE RESPONSABIL</t>
  </si>
  <si>
    <t>AV. ELIAS AGUIRRE NRO. 964 - LORETO MAYNAS IQUITOS</t>
  </si>
  <si>
    <t>20611549858</t>
  </si>
  <si>
    <t>CONSORCIO MC</t>
  </si>
  <si>
    <t xml:space="preserve">JR. INMACULADA NRO 154 </t>
  </si>
  <si>
    <t>20611630191</t>
  </si>
  <si>
    <t>CONSORCIO VIAL SINCHI KARIS</t>
  </si>
  <si>
    <t xml:space="preserve">CONSTRUCTORA </t>
  </si>
  <si>
    <t>CAL. JORGE CHAVEZ NRO. 1092 - LORETO MAYNAS IQUITOS</t>
  </si>
  <si>
    <t>20611642157</t>
  </si>
  <si>
    <t>FERROCCENTER ELENA E.I.R.L.</t>
  </si>
  <si>
    <t>AV. SARGENTO LORES MZA 30 LOTE 06 - NUEVO PROGRESO</t>
  </si>
  <si>
    <t>20611643528</t>
  </si>
  <si>
    <t>INVERSIONES AGRO PROGRESO S.A.C.</t>
  </si>
  <si>
    <t>CAL. CAHUIDE NRO. 25 P.J. SAN ANTONIO - LORETO MAYNAS IQUITOS</t>
  </si>
  <si>
    <t>20611763680</t>
  </si>
  <si>
    <t>INVERSIONES GILMER &amp; CIA E.I.R.L.</t>
  </si>
  <si>
    <t xml:space="preserve">JR. CORONEL SECADA NRO 285 </t>
  </si>
  <si>
    <t>20611821655</t>
  </si>
  <si>
    <t>IMPORTACIONES Y SERVICIOS DIMACRO E.I.R.L.</t>
  </si>
  <si>
    <t xml:space="preserve">JR. MARTINEZ DDE COMPAGÑON NRO 470 BAR. HUAYCO </t>
  </si>
  <si>
    <t>20726325</t>
  </si>
  <si>
    <t>VENTA DE HERRAMIENTAS FERRETERAS</t>
  </si>
  <si>
    <t>MERCADO NO.03 - TARAPOTO - SAN MARTIN - SAN MARTIN</t>
  </si>
  <si>
    <t>20970034</t>
  </si>
  <si>
    <t>JR. AUGUSTO HILSLER S/N</t>
  </si>
  <si>
    <t>20972442</t>
  </si>
  <si>
    <t>SIXTO AGUIRRE SANTIAGO</t>
  </si>
  <si>
    <t>CAL. PATRICIO MOSQUERA S/N- SANTA CLOTILDE - RIO NAPO</t>
  </si>
  <si>
    <t>20989045</t>
  </si>
  <si>
    <t>YABAR ROSALES VICENTE ALEX</t>
  </si>
  <si>
    <t>CENTRO POBLADO 12 DE ABRIL S/N</t>
  </si>
  <si>
    <t>20991672</t>
  </si>
  <si>
    <t>RAUL EDGAR</t>
  </si>
  <si>
    <t>CALLE MALECON MANAOS S/N - REQUENA</t>
  </si>
  <si>
    <t>20994375</t>
  </si>
  <si>
    <t>HUAYLLANI PARI VILMA</t>
  </si>
  <si>
    <t>AV. DEL PANGOA S/N - MAZAMARI</t>
  </si>
  <si>
    <t>22411832</t>
  </si>
  <si>
    <t>RAMIRO</t>
  </si>
  <si>
    <t>AV CENTENARIO #744</t>
  </si>
  <si>
    <t>22655263</t>
  </si>
  <si>
    <t>HILARIA  PINEDA CLAUDIO</t>
  </si>
  <si>
    <t>CARRET. CENTRAL AMBO- HCO</t>
  </si>
  <si>
    <t>22967165</t>
  </si>
  <si>
    <t>FERNANDO RODRIGUEZ DIAZ</t>
  </si>
  <si>
    <t>JR LIBERTAD N 197</t>
  </si>
  <si>
    <t>22970748</t>
  </si>
  <si>
    <t>PANDURO BAZAN ELADIO</t>
  </si>
  <si>
    <t>23012438</t>
  </si>
  <si>
    <t>JULCA</t>
  </si>
  <si>
    <t>JR. HUASCAR N 798-CALLERIA-C.PORTILLO-UCAYALI</t>
  </si>
  <si>
    <t>23013452</t>
  </si>
  <si>
    <t>ABAD LOYOLA CARLOS</t>
  </si>
  <si>
    <t>JR  CAYUMBA S/N TINGO MARIA</t>
  </si>
  <si>
    <t>23140517</t>
  </si>
  <si>
    <t>NATIVIDAD EPIFANIA TINEO</t>
  </si>
  <si>
    <t>JR. PACHITEA S/N</t>
  </si>
  <si>
    <t>23160421</t>
  </si>
  <si>
    <t>LA CUENCA DEL ABUAJAO</t>
  </si>
  <si>
    <t>23166839</t>
  </si>
  <si>
    <t>SIMON SILVERIO LINO</t>
  </si>
  <si>
    <t>CASERIO CAYAGAN</t>
  </si>
  <si>
    <t>PACHITEA</t>
  </si>
  <si>
    <t>23170640</t>
  </si>
  <si>
    <t>CIPRIAN INKA ROMERO</t>
  </si>
  <si>
    <t>ALTOMONTE</t>
  </si>
  <si>
    <t>23170913</t>
  </si>
  <si>
    <t>BURGA LEYVA MARTIN</t>
  </si>
  <si>
    <t>23173688</t>
  </si>
  <si>
    <t>PICHIS TRIGOSO JORGE ORLANDO</t>
  </si>
  <si>
    <t>PUCALLPA S/N</t>
  </si>
  <si>
    <t>23707990</t>
  </si>
  <si>
    <t>CONCHA ASTO CARLOS SANTOS</t>
  </si>
  <si>
    <t>23852998</t>
  </si>
  <si>
    <t>NOLE GUERRERO DANTTY EDUARDO</t>
  </si>
  <si>
    <t>JAEN-JAEN</t>
  </si>
  <si>
    <t>23879261</t>
  </si>
  <si>
    <t>HUAMANTUPA PEREZ GRICELDA</t>
  </si>
  <si>
    <t>SECTOR LAGO LABERINTO</t>
  </si>
  <si>
    <t>LABERINTO</t>
  </si>
  <si>
    <t>24707685</t>
  </si>
  <si>
    <t>AGUILAR CHOQUE MARISOL</t>
  </si>
  <si>
    <t>CALLE .  LORETO   S/N   SARAMIRIZA</t>
  </si>
  <si>
    <t>25556834</t>
  </si>
  <si>
    <t>MAXIMO JACINTO ROLDAN</t>
  </si>
  <si>
    <t>ESPERANZA-CACHIYACU</t>
  </si>
  <si>
    <t>25788379</t>
  </si>
  <si>
    <t>LUIS ALBERTO</t>
  </si>
  <si>
    <t>LIZARDO MONTERO 282 LA PEÑA</t>
  </si>
  <si>
    <t>25897</t>
  </si>
  <si>
    <t>26195399</t>
  </si>
  <si>
    <t>FRANCISCO DA SILVA SANCHEZ</t>
  </si>
  <si>
    <t>CALLE SANTA ROSA S/N  - ISLA SANTA ROSA</t>
  </si>
  <si>
    <t>26691797</t>
  </si>
  <si>
    <t>HUGO JORGE</t>
  </si>
  <si>
    <t>CALLE AMADOR MERINO REINA 395</t>
  </si>
  <si>
    <t>27258697</t>
  </si>
  <si>
    <t>GUEVARA REQUEJO JOSE ROSAS</t>
  </si>
  <si>
    <t>27417908</t>
  </si>
  <si>
    <t>OSCAR DELGADO PEREZ</t>
  </si>
  <si>
    <t>OMERCIO</t>
  </si>
  <si>
    <t>CARRET. MARGINAL 232 - NARANJOS</t>
  </si>
  <si>
    <t>27431268</t>
  </si>
  <si>
    <t>MEDINA DIAZ LUIS</t>
  </si>
  <si>
    <t>AV. MARIANO MELGAR PTO. 18 LA PARADA S/N - BAGUA GRANDE</t>
  </si>
  <si>
    <t>27434775</t>
  </si>
  <si>
    <t>TANTALEAN LEIBA CRISTOBAL</t>
  </si>
  <si>
    <t>Jr. Florida s/n</t>
  </si>
  <si>
    <t>27439005</t>
  </si>
  <si>
    <t>ROGELIO</t>
  </si>
  <si>
    <t>CAL SIMON BOLIVAR S/N - TIERRA BLANCA</t>
  </si>
  <si>
    <t>27567616</t>
  </si>
  <si>
    <t>DANIEL GUEVARA DIAZ</t>
  </si>
  <si>
    <t>27571804</t>
  </si>
  <si>
    <t>C.P SAN ANTONIO 1ER ZONA - S/N - JUANCITO</t>
  </si>
  <si>
    <t>27660862</t>
  </si>
  <si>
    <t>REYNALDA RAMIREZ CUTIN</t>
  </si>
  <si>
    <t>CAL. 24 DE JULIO # 1100- SARAMIRIZA</t>
  </si>
  <si>
    <t>27670989</t>
  </si>
  <si>
    <t>JIBAJA MEZA LINDAURO</t>
  </si>
  <si>
    <t>SHUCUSHYACU</t>
  </si>
  <si>
    <t>27715615</t>
  </si>
  <si>
    <t>FRIAS DELGADO OSCAR</t>
  </si>
  <si>
    <t>JR. MARAÑON  610 - SAN LORENZO</t>
  </si>
  <si>
    <t>27732193</t>
  </si>
  <si>
    <t>LOPEZ RAMIREZ MANUEL JESUS</t>
  </si>
  <si>
    <t>AV.AVIACION S/N - TARAPOTO - SAN MARTIN - SAN MARTIN</t>
  </si>
  <si>
    <t>27732385</t>
  </si>
  <si>
    <t>ELEUTERIO</t>
  </si>
  <si>
    <t>SARGENTO LOREZ S/N</t>
  </si>
  <si>
    <t>27732931</t>
  </si>
  <si>
    <t>FORTUNATO</t>
  </si>
  <si>
    <t>LA PLATA</t>
  </si>
  <si>
    <t>27737912</t>
  </si>
  <si>
    <t>BRAVO DELGADO EDILBERTO</t>
  </si>
  <si>
    <t>CABO PANTOJA</t>
  </si>
  <si>
    <t>27821009000</t>
  </si>
  <si>
    <t>27821009</t>
  </si>
  <si>
    <t>SEGUNDO GREGORIO</t>
  </si>
  <si>
    <t>JR. SIMON BOLIVAR N 216-SAN IGNACIO-SAN IGNACIO-CAJAMARCA</t>
  </si>
  <si>
    <t>27825830</t>
  </si>
  <si>
    <t>LUIS ALBERTO DIAZ TORRES</t>
  </si>
  <si>
    <t>VILLA LIBERTAD CASA 11</t>
  </si>
  <si>
    <t>27849105</t>
  </si>
  <si>
    <t>MARIA SARELA</t>
  </si>
  <si>
    <t>JR. SAN ROSA 319-SAN IGNACIO - CAJAMARCA</t>
  </si>
  <si>
    <t>27923011</t>
  </si>
  <si>
    <t>SANTOS GAVINO CARRERA CERDAN</t>
  </si>
  <si>
    <t>CALLE HORIZONTE S/N ISLANDIA</t>
  </si>
  <si>
    <t>27968633</t>
  </si>
  <si>
    <t>RAMOS SUAREZ GUILLERMO</t>
  </si>
  <si>
    <t>JR. LOS PINOS S7N - SHAMBOYACU - PICOTA - SAN MARTIN</t>
  </si>
  <si>
    <t>29653622</t>
  </si>
  <si>
    <t>CONDORI HINOJOSA JAVIER PERCY</t>
  </si>
  <si>
    <t>CAL. NAUTA N. 160</t>
  </si>
  <si>
    <t>29662531</t>
  </si>
  <si>
    <t>RODRIGUEZ ALVAREZ JESUS MANUEL</t>
  </si>
  <si>
    <t>JR RAUL PILCO PEREZ 223</t>
  </si>
  <si>
    <t>30408699</t>
  </si>
  <si>
    <t>BELTRAN ZEVALLOS MARTIN JOSE</t>
  </si>
  <si>
    <t>CAL. BOLOGNESI N.316</t>
  </si>
  <si>
    <t>30424760</t>
  </si>
  <si>
    <t>ROJAS FLORINDEZ GIAMPAOLO OSSIO</t>
  </si>
  <si>
    <t>JR. TARAPACA 150</t>
  </si>
  <si>
    <t>31647510</t>
  </si>
  <si>
    <t>MONTES MATA JULIO</t>
  </si>
  <si>
    <t>JR.RAYMONDI 789 -HUARAZ, ANCASH</t>
  </si>
  <si>
    <t>32647525</t>
  </si>
  <si>
    <t>MARIA MAJIN TORRES</t>
  </si>
  <si>
    <t>CARRETERA IQUITOS/NAUTA KM. 14.80 - VARILLAL</t>
  </si>
  <si>
    <t>32926702</t>
  </si>
  <si>
    <t>CHAVEZ GAVIDIA DE DELGADO MAGDA GLADYS</t>
  </si>
  <si>
    <t>CALLE LAS FLORES S/N ISLANDIA</t>
  </si>
  <si>
    <t>32933978</t>
  </si>
  <si>
    <t>ELMER</t>
  </si>
  <si>
    <t>AV. FERNANDO BELAUNDE TERRY S/N-PUERTO INCA-PTO INCA-HUANUCO</t>
  </si>
  <si>
    <t>33598188</t>
  </si>
  <si>
    <t>CALIXTO SEJEKAM ASANGKAY</t>
  </si>
  <si>
    <t>33653411</t>
  </si>
  <si>
    <t>MEJIA CAMPOS JULIO</t>
  </si>
  <si>
    <t>AV. MARIANO MELGAR 991-LA PARADA</t>
  </si>
  <si>
    <t>33672669</t>
  </si>
  <si>
    <t>CRUZ FERNANDEZ</t>
  </si>
  <si>
    <t>BAGUA GRANDE-AMAZONAS</t>
  </si>
  <si>
    <t>33766148</t>
  </si>
  <si>
    <t>SIMON BOLIVAR 410 - NIEVA</t>
  </si>
  <si>
    <t>33792576</t>
  </si>
  <si>
    <t>ZELADA CHAVEZARROYO OSWALDO</t>
  </si>
  <si>
    <t>37985030</t>
  </si>
  <si>
    <t xml:space="preserve">BETSABE SULCA IRRASABAL </t>
  </si>
  <si>
    <t>CAL. LOS ROSALES S/N MASUSA</t>
  </si>
  <si>
    <t>40019669</t>
  </si>
  <si>
    <t>ROMAINA DEL AGUILA MANUELA</t>
  </si>
  <si>
    <t>CASERIO NUÑEZ COCHA</t>
  </si>
  <si>
    <t>40034766</t>
  </si>
  <si>
    <t>RUSBER TUESTA MARTINEZ</t>
  </si>
  <si>
    <t>CARRETERA IQUITOS NAUTA KM 57</t>
  </si>
  <si>
    <t>40052464</t>
  </si>
  <si>
    <t>SANGAMA OCMIN HUGO GASTON</t>
  </si>
  <si>
    <t>CASERIO LUPUNA</t>
  </si>
  <si>
    <t>40077495</t>
  </si>
  <si>
    <t>SUSANA TELLO SHICA</t>
  </si>
  <si>
    <t>JR. MANCO CAPAC 305</t>
  </si>
  <si>
    <t>40093100</t>
  </si>
  <si>
    <t>MICHEL RIOS CARRILLO</t>
  </si>
  <si>
    <t>AA.HH NUEVO MAGDALENA S/N-</t>
  </si>
  <si>
    <t>40150556</t>
  </si>
  <si>
    <t>MINI ANGULO MELENDEZ</t>
  </si>
  <si>
    <t>ATAHUALPA 938</t>
  </si>
  <si>
    <t>40155083</t>
  </si>
  <si>
    <t>SANDRA CARDENAS MOZOMBITE</t>
  </si>
  <si>
    <t>CALLE MARAÑON S/N - SANTA RITA DE CASTILLA</t>
  </si>
  <si>
    <t>40158581</t>
  </si>
  <si>
    <t>SANTIAGO ROSALES JOSE SAMUEL</t>
  </si>
  <si>
    <t>40172697</t>
  </si>
  <si>
    <t>COQUINCHE CONDO FELIX FEDERICO</t>
  </si>
  <si>
    <t>CASERIO SAN JUAN DE MIRAFLORES RIO NAPO</t>
  </si>
  <si>
    <t>40182430</t>
  </si>
  <si>
    <t>DAHUA VARGAS KARINA GIOVANNA</t>
  </si>
  <si>
    <t>ELIAN CARL CALLE VICTORIA</t>
  </si>
  <si>
    <t>40246997</t>
  </si>
  <si>
    <t>JUAN CARLOS CCASANI CAYLLAHUA</t>
  </si>
  <si>
    <t>MERCADO MICAELA BASTIDA CENTENARIO</t>
  </si>
  <si>
    <t>40288888</t>
  </si>
  <si>
    <t>CARIAJANO IJUMA ANDERSON</t>
  </si>
  <si>
    <t>CALLE LA REAL MZ 5 LOTE 19</t>
  </si>
  <si>
    <t>40289538</t>
  </si>
  <si>
    <t xml:space="preserve">JULIO CESAR </t>
  </si>
  <si>
    <t>FERNANDO LORES</t>
  </si>
  <si>
    <t>40328616</t>
  </si>
  <si>
    <t>JR. SAN MARTIN / PELEJO</t>
  </si>
  <si>
    <t>40342466</t>
  </si>
  <si>
    <t>CARLOS MAGNO PINEDO PEIXOTO</t>
  </si>
  <si>
    <t>40343432</t>
  </si>
  <si>
    <t>CIRO DIAZ MONSALVE</t>
  </si>
  <si>
    <t>PANCHOCOCHA</t>
  </si>
  <si>
    <t>40369857</t>
  </si>
  <si>
    <t>RICHAR HUAYAMBA RENGIFO</t>
  </si>
  <si>
    <t>CALLE CORINA CORAL MZ E LOTE 7</t>
  </si>
  <si>
    <t>40378732</t>
  </si>
  <si>
    <t>DUENDE NOTENO ONELIO</t>
  </si>
  <si>
    <t>CASERIO TEMPESTAD - RIO NAPO</t>
  </si>
  <si>
    <t>40394771</t>
  </si>
  <si>
    <t>ISRAEL</t>
  </si>
  <si>
    <t>COMUNIDAD NATIVA ALIANZA CRISTIANA</t>
  </si>
  <si>
    <t>ANDOAS</t>
  </si>
  <si>
    <t>40441418</t>
  </si>
  <si>
    <t>CARMEN LUCILA LLANCARI SEDANO</t>
  </si>
  <si>
    <t>AV. PANGOA S/N - MAZAMARI</t>
  </si>
  <si>
    <t>40464630</t>
  </si>
  <si>
    <t>GARCIA LOPEZ ABELINO</t>
  </si>
  <si>
    <t>40464663</t>
  </si>
  <si>
    <t>PEMEN MENQUE GUILLERMO NECCA</t>
  </si>
  <si>
    <t>40476439</t>
  </si>
  <si>
    <t>YARA</t>
  </si>
  <si>
    <t>40482101</t>
  </si>
  <si>
    <t>MARGOTH</t>
  </si>
  <si>
    <t>CALLE YARINA S/N</t>
  </si>
  <si>
    <t>40482870</t>
  </si>
  <si>
    <t>MARITZA</t>
  </si>
  <si>
    <t>CAL. TALARA S/-- SAN ROQUE</t>
  </si>
  <si>
    <t>40485615</t>
  </si>
  <si>
    <t>HERMAN GONZALES ALVARADO</t>
  </si>
  <si>
    <t>CALLE LAS ALMEDRAS B 10</t>
  </si>
  <si>
    <t>40495683</t>
  </si>
  <si>
    <t>GARDINI SILVA ERY</t>
  </si>
  <si>
    <t>EL ESTRECHO- PUTUMAYO</t>
  </si>
  <si>
    <t>40504935</t>
  </si>
  <si>
    <t>MANRIQUE VARGAS JERRY</t>
  </si>
  <si>
    <t>40539477</t>
  </si>
  <si>
    <t>VARGAS LOAYZA ANDERSON</t>
  </si>
  <si>
    <t>JR: LA LIBERTAD S/N- PUCACACA</t>
  </si>
  <si>
    <t>PUCACACA</t>
  </si>
  <si>
    <t>40543070</t>
  </si>
  <si>
    <t>CHAVEZ ESPIRITU EDGAR</t>
  </si>
  <si>
    <t>JR. FITZCARRALD S/N - ATALAYA</t>
  </si>
  <si>
    <t>40543978</t>
  </si>
  <si>
    <t>QUEZADA FLORES JOSE ANTONIO</t>
  </si>
  <si>
    <t>CARRETERA IQUITOS -NAUTA KM 32.5</t>
  </si>
  <si>
    <t>40549054</t>
  </si>
  <si>
    <t>SUAREZ DIAZ ELOY</t>
  </si>
  <si>
    <t>SAN JOSE</t>
  </si>
  <si>
    <t>40567929</t>
  </si>
  <si>
    <t>IVAN VALDEZ TORRES</t>
  </si>
  <si>
    <t>AV. MARGINAL S/N - SAN JACINTO- SANTA ANA</t>
  </si>
  <si>
    <t>40598993</t>
  </si>
  <si>
    <t>CURICHIMBA MEDINA JULIAN</t>
  </si>
  <si>
    <t>SR DE LOS MILAGROS 369</t>
  </si>
  <si>
    <t>40605950</t>
  </si>
  <si>
    <t>GUADALUPE VERDE RAMOS</t>
  </si>
  <si>
    <t>CALLE HORIZONTE  S/N - ISLANDIA</t>
  </si>
  <si>
    <t>40650241</t>
  </si>
  <si>
    <t>NENA PAQUITA VILLACORTA UNICAHUARI</t>
  </si>
  <si>
    <t>MASUSA MZ E LT 32</t>
  </si>
  <si>
    <t>40661904</t>
  </si>
  <si>
    <t>TUESTA CHAVEZ JOSE AGUSTIN</t>
  </si>
  <si>
    <t>PASAJE  DAVID REYNA #175 CHACHAPOYAS - AMAZONAS</t>
  </si>
  <si>
    <t>40662311</t>
  </si>
  <si>
    <t>GRANDEZ PEZO HERIBERTO</t>
  </si>
  <si>
    <t>Jr. Zamora N 312</t>
  </si>
  <si>
    <t>40684396</t>
  </si>
  <si>
    <t>RUIZ ORBE ALDO</t>
  </si>
  <si>
    <t>Pampa Hermosa - Bajo Huallaga</t>
  </si>
  <si>
    <t>40684770</t>
  </si>
  <si>
    <t xml:space="preserve">TORRES CABRERA JENNY JACKELYN </t>
  </si>
  <si>
    <t>AV. SACSAYHUAMAN N° 103 - PEDRO RUIZ, JAZÁN, BÓNGARA, AMAZONAS</t>
  </si>
  <si>
    <t>40689055</t>
  </si>
  <si>
    <t>EWARD CARDENAS  QUINTANILLA</t>
  </si>
  <si>
    <t>CALLE: LAS AMERICAS PSJ ANGELICA PICON MZ A LT4</t>
  </si>
  <si>
    <t>40710733</t>
  </si>
  <si>
    <t>PEREZ CACHIQUE WENCESLAO</t>
  </si>
  <si>
    <t>CAL.OSCAR AREVALO MARINA MZ.F.LT01 AA.HH FILADELFIA</t>
  </si>
  <si>
    <t>40817051</t>
  </si>
  <si>
    <t>BORIS ANGEL OCHOA GUZMAN</t>
  </si>
  <si>
    <t>CAL. 3 N 126-BELEN</t>
  </si>
  <si>
    <t>40826927</t>
  </si>
  <si>
    <t>JOAQUINA</t>
  </si>
  <si>
    <t>40845238</t>
  </si>
  <si>
    <t>RUBE RICHIE</t>
  </si>
  <si>
    <t>CALLE LAS FLORES MZ-24 LT.2 - SAN JUAN BAUTISTA</t>
  </si>
  <si>
    <t>40852654</t>
  </si>
  <si>
    <t>ICAHUATE LOMAS TITO</t>
  </si>
  <si>
    <t>Munichis</t>
  </si>
  <si>
    <t>40854684</t>
  </si>
  <si>
    <t>GREFA COQUINCHE RIKI</t>
  </si>
  <si>
    <t>CASERIO ANGOTEROS</t>
  </si>
  <si>
    <t>Torres Causana</t>
  </si>
  <si>
    <t>40860744</t>
  </si>
  <si>
    <t>PACAYA GUTIERREZ GISSELA LY</t>
  </si>
  <si>
    <t>PUERTO FRANCO</t>
  </si>
  <si>
    <t>40862791</t>
  </si>
  <si>
    <t>NILTON CESAR TORRES BARDALES</t>
  </si>
  <si>
    <t>CARDOSO</t>
  </si>
  <si>
    <t>40892877</t>
  </si>
  <si>
    <t>VELA RODRIGUEZ VICKER ROY</t>
  </si>
  <si>
    <t>LIBERTAD -RIO NANAY</t>
  </si>
  <si>
    <t>40909600</t>
  </si>
  <si>
    <t>GESICA NADIR SORIA CUELLAR</t>
  </si>
  <si>
    <t>CALLE BORJA 475</t>
  </si>
  <si>
    <t>40938373</t>
  </si>
  <si>
    <t>BARRERA FREITAS MICAELA</t>
  </si>
  <si>
    <t>40977528</t>
  </si>
  <si>
    <t>RAMIREZ HUAYUNGA FEDERICO</t>
  </si>
  <si>
    <t>A.A.H.H Las VEGAS - Independencia</t>
  </si>
  <si>
    <t>41014274</t>
  </si>
  <si>
    <t>CARRAZCO BALTAZAR OCTAVIO ADOLFO</t>
  </si>
  <si>
    <t>CALLE 16 DE JULIO CON CALLE 4 - BELEN</t>
  </si>
  <si>
    <t>41017775</t>
  </si>
  <si>
    <t>VALENCIA HUILLCA ISMAEL</t>
  </si>
  <si>
    <t>JR JULIO BURGA 233</t>
  </si>
  <si>
    <t>41028423</t>
  </si>
  <si>
    <t>ZAMBRANO NAZARIO JOSE LUIS</t>
  </si>
  <si>
    <t>41037136</t>
  </si>
  <si>
    <t>TUANAMA INUMA ENCARNACION</t>
  </si>
  <si>
    <t>A.A.H.H FERNANDO MELENDEZ CELIS - LA CARRETERA</t>
  </si>
  <si>
    <t>41131406</t>
  </si>
  <si>
    <t>SILVA RIOS SUSY</t>
  </si>
  <si>
    <t>41139852</t>
  </si>
  <si>
    <t>YONEL ENRIQUE REMIGIO</t>
  </si>
  <si>
    <t>JR AGUILAR 271 - HUANUCO</t>
  </si>
  <si>
    <t>41153630</t>
  </si>
  <si>
    <t>LIRIA</t>
  </si>
  <si>
    <t>MALECON TARAPACA N 149 - REQUENA</t>
  </si>
  <si>
    <t>41177604</t>
  </si>
  <si>
    <t>CERNA ALARCON ALEX</t>
  </si>
  <si>
    <t>JR.FREDDY ALIAGA N702-TOCACHE-TOCACHE</t>
  </si>
  <si>
    <t>41177816</t>
  </si>
  <si>
    <t>41190781</t>
  </si>
  <si>
    <t>GIOVANNY BENJAMIN EGOAVIL ROMERO</t>
  </si>
  <si>
    <t>COMUNIDAD COVIRIALI- SATIPO-JUNIN</t>
  </si>
  <si>
    <t>41241609</t>
  </si>
  <si>
    <t>QUIÑONES LEON VANESSA</t>
  </si>
  <si>
    <t>Morona #1240</t>
  </si>
  <si>
    <t>41259392</t>
  </si>
  <si>
    <t>JAMES RUIZ CRUZ</t>
  </si>
  <si>
    <t>12 DE OCTUBRE MZ F-17</t>
  </si>
  <si>
    <t>41270673</t>
  </si>
  <si>
    <t>AMALIA VALDERAMA CEREZO</t>
  </si>
  <si>
    <t>CALLE PEBAS S/N - PEBAS</t>
  </si>
  <si>
    <t>41282552</t>
  </si>
  <si>
    <t>LUCIOLA</t>
  </si>
  <si>
    <t>41291783</t>
  </si>
  <si>
    <t>SIFUENTES VARGAS LUIS TIBERIO</t>
  </si>
  <si>
    <t>CALLE SAN ROQUE 157</t>
  </si>
  <si>
    <t>41296143</t>
  </si>
  <si>
    <t>NUEZ MALAFAYA LANDER</t>
  </si>
  <si>
    <t>PSJE ANGEL BRUSCO 22</t>
  </si>
  <si>
    <t>41307783</t>
  </si>
  <si>
    <t>RUBIO AREVALO AUGUSTO EDUARDO</t>
  </si>
  <si>
    <t>AAHH VICTOR M. MALDONADO BEGAZO KM07 MZ07, LT01</t>
  </si>
  <si>
    <t>41319895</t>
  </si>
  <si>
    <t>MARIA IRENE</t>
  </si>
  <si>
    <t>PSJE. 3 DE AGOSTO - SANTA ROSA</t>
  </si>
  <si>
    <t>41319972</t>
  </si>
  <si>
    <t>CAINAMARI RAMIREZ ADRIAN BENANCIO</t>
  </si>
  <si>
    <t>CARRETERA SANTA AAHH PARAISO</t>
  </si>
  <si>
    <t>41323470</t>
  </si>
  <si>
    <t>LEONIDAS MEDINA ANCO</t>
  </si>
  <si>
    <t>C.P SAN ANTONIO S/N - RIO AMAZONAS</t>
  </si>
  <si>
    <t>41324348</t>
  </si>
  <si>
    <t>EMA CAHUACHI CAHUAMARI</t>
  </si>
  <si>
    <t>SAN JUAQUIN DE OMAGUAS</t>
  </si>
  <si>
    <t>41352954</t>
  </si>
  <si>
    <t>HUAICAMA CAINAMARI RITER GUZMAN</t>
  </si>
  <si>
    <t>A.A.H.H Pijuayal</t>
  </si>
  <si>
    <t>41357544</t>
  </si>
  <si>
    <t>CARLOS MURRIETA ARIRAMA</t>
  </si>
  <si>
    <t>CALLE LAS FLORES - ISLANDIA</t>
  </si>
  <si>
    <t>41381186</t>
  </si>
  <si>
    <t>GELNER ROMERO CANAYO</t>
  </si>
  <si>
    <t>41388616</t>
  </si>
  <si>
    <t>CHAVEZ RODRIGUEZ ANTONIO EDILBERTO</t>
  </si>
  <si>
    <t>CARRETERA LA RESTINGA LT14 YARINACOCHA</t>
  </si>
  <si>
    <t>41427772</t>
  </si>
  <si>
    <t>MAXIMO ARTIAGA ARENAS</t>
  </si>
  <si>
    <t>PAMPA HERMOSA-CARRETERA YURIMAGUAS</t>
  </si>
  <si>
    <t>41458823</t>
  </si>
  <si>
    <t>PEREIRA TELLO CLAUDIO EXLANDER</t>
  </si>
  <si>
    <t>BELLAVISTA NANAY</t>
  </si>
  <si>
    <t>41487884</t>
  </si>
  <si>
    <t>MARIO EDGAR GUZMAN ACOSTA</t>
  </si>
  <si>
    <t>41487886</t>
  </si>
  <si>
    <t>ISELLA   TANANTA   MANIHUARI</t>
  </si>
  <si>
    <t>CAL. TOPAL S/N - MAYPUCO</t>
  </si>
  <si>
    <t>41497440</t>
  </si>
  <si>
    <t>RIVERA FAJARDO ROMAN</t>
  </si>
  <si>
    <t>41538272</t>
  </si>
  <si>
    <t>AREVALO TARRILLO JHONY</t>
  </si>
  <si>
    <t>COMUNIDAD SAN ANTONIO BAJO AMAZONAS</t>
  </si>
  <si>
    <t>41544341</t>
  </si>
  <si>
    <t>ANDRES</t>
  </si>
  <si>
    <t>COMINIDAD NATIVA NUEVA ESPERANZA BALSAPUERTO</t>
  </si>
  <si>
    <t>41572456</t>
  </si>
  <si>
    <t>GLADIS</t>
  </si>
  <si>
    <t>TENIENTE CESAR LOPEZ</t>
  </si>
  <si>
    <t>41576079</t>
  </si>
  <si>
    <t>WILLIAM CERRON BALBIN</t>
  </si>
  <si>
    <t>AV. CIRCUNVALACIÓN S/N - PICHANAKI</t>
  </si>
  <si>
    <t>41619830</t>
  </si>
  <si>
    <t>MARAYAHUA PINEDO JORGE ROEL</t>
  </si>
  <si>
    <t>CAL.JORGE CHAVEZ N.612</t>
  </si>
  <si>
    <t>41646690</t>
  </si>
  <si>
    <t>GARCIA AMARINGO ELISA</t>
  </si>
  <si>
    <t>26 DE FEBRERO MZ C N28 PARTICIPACION</t>
  </si>
  <si>
    <t>41665053</t>
  </si>
  <si>
    <t>VASQUEZ CABRERA OSCAR</t>
  </si>
  <si>
    <t xml:space="preserve">JR.SARGENTO LORES </t>
  </si>
  <si>
    <t>41677063</t>
  </si>
  <si>
    <t>KETTY PAOLA ALVARADO PRADO</t>
  </si>
  <si>
    <t>AGUSTO B LEGUIA Nº111</t>
  </si>
  <si>
    <t>NUEVO IMPERIAL</t>
  </si>
  <si>
    <t>41691663</t>
  </si>
  <si>
    <t>JORGE LUIS ABAD MERINO</t>
  </si>
  <si>
    <t>CARRETERA IQUITOS-NAUTA KM 32.7</t>
  </si>
  <si>
    <t>41698991</t>
  </si>
  <si>
    <t>LANCHA INUMA LIZETH</t>
  </si>
  <si>
    <t>41726241</t>
  </si>
  <si>
    <t>CORAL ACHING ALEXANDER</t>
  </si>
  <si>
    <t>41755508</t>
  </si>
  <si>
    <t>REATEGUI PAUCAR PAOLO CESAR</t>
  </si>
  <si>
    <t>CARR FEDERICO BASADRE AH VILLA SELVA MZ 2 LT 11</t>
  </si>
  <si>
    <t>41757136</t>
  </si>
  <si>
    <t>GUERRERO CHAVEZ RONY ISRAEL</t>
  </si>
  <si>
    <t>CASERIO PUERTO ARTURO - BAJO HUALLAGA</t>
  </si>
  <si>
    <t>41770880</t>
  </si>
  <si>
    <t>JUAN CARLOS PEREZ TANGOA</t>
  </si>
  <si>
    <t>CALLE JERUSALEN MZ A LT 2</t>
  </si>
  <si>
    <t>41776560</t>
  </si>
  <si>
    <t>PANDURO HUAMAN JUAN CARLOS</t>
  </si>
  <si>
    <t>CESERIO LUZ DEL ORIENTE</t>
  </si>
  <si>
    <t>41809278</t>
  </si>
  <si>
    <t>SALAS GARCIA DINA</t>
  </si>
  <si>
    <t>JR. JUNION S/N - BELLAVISTA - BELLAVISTA - SAN MARTIN</t>
  </si>
  <si>
    <t>41813556</t>
  </si>
  <si>
    <t>MURAYARI ARIRAMA JULIO</t>
  </si>
  <si>
    <t>CAL. LAS ALAMEDAS AA.HH BUENA VISTA MZ E. LT 14.</t>
  </si>
  <si>
    <t>41813557</t>
  </si>
  <si>
    <t>PAIMA VARGAS ENRIQUE</t>
  </si>
  <si>
    <t>PROLONGACION LA FLORIDA N 621</t>
  </si>
  <si>
    <t>41813559</t>
  </si>
  <si>
    <t>TANGOA TANGOA JORGE MAXIMO</t>
  </si>
  <si>
    <t>PUCALLPILLO - RIO PARANAPURA</t>
  </si>
  <si>
    <t>41828303</t>
  </si>
  <si>
    <t>ISUIZA AMASIFUEN OSWALDO</t>
  </si>
  <si>
    <t>41845851</t>
  </si>
  <si>
    <t>LINDER</t>
  </si>
  <si>
    <t>AV AVIACION S/N</t>
  </si>
  <si>
    <t>41854819</t>
  </si>
  <si>
    <t>HIDALGO MURRIETA JENNER</t>
  </si>
  <si>
    <t>DIAMANTE AZUL</t>
  </si>
  <si>
    <t>41862331</t>
  </si>
  <si>
    <t>DIAZ ALARCON GREGORIO</t>
  </si>
  <si>
    <t>41865156</t>
  </si>
  <si>
    <t>NUÑEZ RENGIFO DARWIN AGUSTIN</t>
  </si>
  <si>
    <t>41896119</t>
  </si>
  <si>
    <t>JULIA CONDEZO ESPINOZA</t>
  </si>
  <si>
    <t>JR SAN MARTIN 541</t>
  </si>
  <si>
    <t>41905529</t>
  </si>
  <si>
    <t>DAZA CERECEDA JUAN GUALBERTO</t>
  </si>
  <si>
    <t>Bazar</t>
  </si>
  <si>
    <t>CALLE LOS ROSALES MZ H LOTE 7</t>
  </si>
  <si>
    <t>41915438</t>
  </si>
  <si>
    <t>ENCISO ROSALES HEITOR XAVIER</t>
  </si>
  <si>
    <t>41930544</t>
  </si>
  <si>
    <t>RUIZ VILCARROMERO ERIC MOISES</t>
  </si>
  <si>
    <t>Manaos</t>
  </si>
  <si>
    <t>41969502</t>
  </si>
  <si>
    <t>FATAMA TUANAMA WENINGER</t>
  </si>
  <si>
    <t>CASERIO NUEVA VIDA</t>
  </si>
  <si>
    <t>42000957</t>
  </si>
  <si>
    <t>JOSE PINEDO CURICO</t>
  </si>
  <si>
    <t>CARRETERA SANTO TOMAS A-6 OLLANTA</t>
  </si>
  <si>
    <t>42016528</t>
  </si>
  <si>
    <t>VELA ROMERO JENNY</t>
  </si>
  <si>
    <t>TRUJILLO 252</t>
  </si>
  <si>
    <t>42064682</t>
  </si>
  <si>
    <t>ORISON FLORES CUBICAJE</t>
  </si>
  <si>
    <t>42134474</t>
  </si>
  <si>
    <t>LOPEZ GONZALES ERICA</t>
  </si>
  <si>
    <t>42143138</t>
  </si>
  <si>
    <t>LANCHA BARTRA LUIS</t>
  </si>
  <si>
    <t>Caserio Jeberillos - Bajo Huallaga</t>
  </si>
  <si>
    <t>42148455</t>
  </si>
  <si>
    <t>SEGUNDO ALEX MURAYARI TAPULLIMA</t>
  </si>
  <si>
    <t>A.H. 27 DE MARZO MZ-B LT. 20 - SAN ROQUE</t>
  </si>
  <si>
    <t>42156688</t>
  </si>
  <si>
    <t>ISUIZA PACAYA DOBERTIN RAMIRO</t>
  </si>
  <si>
    <t>ASENT.SAM MARCOS</t>
  </si>
  <si>
    <t>42158377</t>
  </si>
  <si>
    <t>KLINGER ENY PONTE HERRERA</t>
  </si>
  <si>
    <t>CALLE LEONCIO PRADO 743- UCHIZA</t>
  </si>
  <si>
    <t>42181479</t>
  </si>
  <si>
    <t>SEXTO SILVA FERNANDEZ</t>
  </si>
  <si>
    <t>CASERIO SAN ANTONIO BAJO HUALLAGA</t>
  </si>
  <si>
    <t>42192836</t>
  </si>
  <si>
    <t>LOPEZ ALMEIDA ANDY PAUL</t>
  </si>
  <si>
    <t>CALLE BRASIL S/ N</t>
  </si>
  <si>
    <t>42202685</t>
  </si>
  <si>
    <t>GENNER JESUS</t>
  </si>
  <si>
    <t>JR. TUPAC AMARU S/N-COVIRIALI-SATIPO-JUNIN</t>
  </si>
  <si>
    <t>42210508</t>
  </si>
  <si>
    <t>JOSE MIGUEL</t>
  </si>
  <si>
    <t>AV. CAJAMARCA SUR SN NUEVO CAJAMARCASAN MARTIN</t>
  </si>
  <si>
    <t>42223499</t>
  </si>
  <si>
    <t>PIZANGO PINEDO HITLER CESAR</t>
  </si>
  <si>
    <t>CC.NN SAN ISIDRO</t>
  </si>
  <si>
    <t>42262881</t>
  </si>
  <si>
    <t>LIZ</t>
  </si>
  <si>
    <t>PSJE. CAMPO PLATA S/N - ATALAYA</t>
  </si>
  <si>
    <t>42275033</t>
  </si>
  <si>
    <t>GASPAR</t>
  </si>
  <si>
    <t>JR PACHITEA SN PANAO</t>
  </si>
  <si>
    <t>42285305</t>
  </si>
  <si>
    <t>CASTAÑEDA NUA ELENSY</t>
  </si>
  <si>
    <t>CALLE LOS CEDROS MZ A LT 10</t>
  </si>
  <si>
    <t>42286698</t>
  </si>
  <si>
    <t>NUÑEZ PIZANGO HENRRY</t>
  </si>
  <si>
    <t>YANAYACU BONBONAJE</t>
  </si>
  <si>
    <t>42333226</t>
  </si>
  <si>
    <t>ERICK</t>
  </si>
  <si>
    <t>42336877</t>
  </si>
  <si>
    <t>MELQUIADES BENAVIDES HURAHUARA</t>
  </si>
  <si>
    <t>42343490</t>
  </si>
  <si>
    <t>ANDERSON MALAFAYA ARIMUYA</t>
  </si>
  <si>
    <t>CASERIO AIZANA</t>
  </si>
  <si>
    <t>42361053</t>
  </si>
  <si>
    <t>PANAIFO AHUANARI EDVIN</t>
  </si>
  <si>
    <t>AV LA MARINA S/ N</t>
  </si>
  <si>
    <t>42375712</t>
  </si>
  <si>
    <t>CAMPOS</t>
  </si>
  <si>
    <t>JR. FIZCARRALD S/N-SEPAHUA-ATALAYA-UCAYALI</t>
  </si>
  <si>
    <t>42375719</t>
  </si>
  <si>
    <t>AMADOR MORALES QUISPE</t>
  </si>
  <si>
    <t>AV. LA CULTURA S/N - PICHARI</t>
  </si>
  <si>
    <t>42379816</t>
  </si>
  <si>
    <t>RICARDO TAMANI HUAYNACARI</t>
  </si>
  <si>
    <t>SANTA RITA DE CASTILLA</t>
  </si>
  <si>
    <t>42407155</t>
  </si>
  <si>
    <t>PEREYRA CELIS ROKLER ERLAND</t>
  </si>
  <si>
    <t>CALLE EL SALVADOR</t>
  </si>
  <si>
    <t>42436679</t>
  </si>
  <si>
    <t>GIORDANO MICHEL RUIZ BACA</t>
  </si>
  <si>
    <t>PSJE CUZCO  359</t>
  </si>
  <si>
    <t>42436688</t>
  </si>
  <si>
    <t>JORGE RENGIFO MACAYO</t>
  </si>
  <si>
    <t>CASERIO PUCASHPA</t>
  </si>
  <si>
    <t>42437913</t>
  </si>
  <si>
    <t>MARIA EDELMIRA PEREZ ALTAMIRANO</t>
  </si>
  <si>
    <t>PROLONGACION INDEPENDENCIA MZQ LT 47</t>
  </si>
  <si>
    <t>42448856</t>
  </si>
  <si>
    <t>PINEDO GEMAN FELIPE</t>
  </si>
  <si>
    <t>42519083</t>
  </si>
  <si>
    <t>VASQUEZ CHOTA MIGUEL</t>
  </si>
  <si>
    <t xml:space="preserve">LAS CAMELIAS S/N </t>
  </si>
  <si>
    <t>42519607</t>
  </si>
  <si>
    <t>MILUSKA YADIRA ARBILDO FUMACHI</t>
  </si>
  <si>
    <t>CAL. ABTAO S/N - BELEN</t>
  </si>
  <si>
    <t>42524484</t>
  </si>
  <si>
    <t>CAYCHO GARCIA JOSE LUIS</t>
  </si>
  <si>
    <t>CALLE LOS NOGALES N° 143 - SAN JUAN</t>
  </si>
  <si>
    <t>42533410</t>
  </si>
  <si>
    <t>RENGIFO AHUANARI JENRY</t>
  </si>
  <si>
    <t>42567279</t>
  </si>
  <si>
    <t>CARLOS JAVIER ROMERO REATEGUI</t>
  </si>
  <si>
    <t>42570018</t>
  </si>
  <si>
    <t>DENIS MORRILLO  CABALLERO</t>
  </si>
  <si>
    <t>MALECON TARAPACA S/N  -  TROMPETEROS</t>
  </si>
  <si>
    <t>42593968</t>
  </si>
  <si>
    <t>SILVER VARGAS SANGAMA</t>
  </si>
  <si>
    <t>JR CESAR CALVO DE ARAUJO</t>
  </si>
  <si>
    <t>42670734</t>
  </si>
  <si>
    <t>DANIEL FLORES MORENO</t>
  </si>
  <si>
    <t>CALLE NAZARETH S/N</t>
  </si>
  <si>
    <t>42682954</t>
  </si>
  <si>
    <t>ELMER MONTELUIS RUBIO</t>
  </si>
  <si>
    <t>SANTA CLARA -3 ZONA BAJO AMAZONAS</t>
  </si>
  <si>
    <t>42691271</t>
  </si>
  <si>
    <t>RUIZ PIZANGO ALDO HENRY</t>
  </si>
  <si>
    <t>42736472</t>
  </si>
  <si>
    <t>HERBER LICAS YARASCA</t>
  </si>
  <si>
    <t>CALLE ALEMANIA MZ-A LT. 01 - TERMINAL</t>
  </si>
  <si>
    <t>42736790</t>
  </si>
  <si>
    <t>SANDI RODRIGUEZ SERGIO</t>
  </si>
  <si>
    <t>A.A.H.H HUGO ARAUJO - MADEROS</t>
  </si>
  <si>
    <t>42736806</t>
  </si>
  <si>
    <t>MANUEL PINEDO MAPICHI</t>
  </si>
  <si>
    <t>SAN MIGUEL - SHANUSI</t>
  </si>
  <si>
    <t>42737941</t>
  </si>
  <si>
    <t>WILLIAN</t>
  </si>
  <si>
    <t>AV. DANIEL MARICHI PAMPA HERMOSA</t>
  </si>
  <si>
    <t>42740681</t>
  </si>
  <si>
    <t>APAGUENO APAGUENO OMRRI OLMAR</t>
  </si>
  <si>
    <t>CALLE TACNA S/N</t>
  </si>
  <si>
    <t>POLITA ROMERO VASQUEZ</t>
  </si>
  <si>
    <t>TAVARA WEST 1041</t>
  </si>
  <si>
    <t>42770798</t>
  </si>
  <si>
    <t>REYES MARQUINA JENNER GABINO</t>
  </si>
  <si>
    <t>42775851</t>
  </si>
  <si>
    <t>HENRY</t>
  </si>
  <si>
    <t>JR. ANTUNEZ DE MAYOLO MZ.B. LT.2-YARINACOCHA</t>
  </si>
  <si>
    <t>42823168</t>
  </si>
  <si>
    <t>PEREZ VELA JOSE FRANK</t>
  </si>
  <si>
    <t>CALLE 28 DE JULIO S/N ESTRELLO</t>
  </si>
  <si>
    <t>42828303</t>
  </si>
  <si>
    <t>PIZANGO PEREZ SAUL</t>
  </si>
  <si>
    <t>CARRETERA QUISTOCOHA 5.5</t>
  </si>
  <si>
    <t>42842403</t>
  </si>
  <si>
    <t>TORRES HUAYA GEYSTER</t>
  </si>
  <si>
    <t>2 de Mayo - Bajo Huallaga</t>
  </si>
  <si>
    <t>42845813</t>
  </si>
  <si>
    <t>HULDA</t>
  </si>
  <si>
    <t>42866810</t>
  </si>
  <si>
    <t>EXAVIER LACHUMA PACAYA</t>
  </si>
  <si>
    <t>CASERIO 8 DE MAYO</t>
  </si>
  <si>
    <t>42866934</t>
  </si>
  <si>
    <t>CHAVEZ DA SILVA GEITHER</t>
  </si>
  <si>
    <t>CALLE 6 DE ENERO M B LOTE 1</t>
  </si>
  <si>
    <t>42878868</t>
  </si>
  <si>
    <t>JUAN JOSE PLAZA ALVAREZ</t>
  </si>
  <si>
    <t>NUEVO SAN JUAN RIO UCAYALI</t>
  </si>
  <si>
    <t>42885123</t>
  </si>
  <si>
    <t>CACERES NAVARRO MIGUEL</t>
  </si>
  <si>
    <t>CALLE  MALECON GRAU  SANTA FE</t>
  </si>
  <si>
    <t>42903781</t>
  </si>
  <si>
    <t>CHANTA PACHERES ARNALDO</t>
  </si>
  <si>
    <t>CASERIO NUEVO HORIZONTE - ALTO HUALLAGA</t>
  </si>
  <si>
    <t>42919481</t>
  </si>
  <si>
    <t>EULER ZURITA GALLARDO</t>
  </si>
  <si>
    <t>CAL. LA TUNA S/N - NIEVA</t>
  </si>
  <si>
    <t>42935156</t>
  </si>
  <si>
    <t>MACANILLA LEVY TOMAS</t>
  </si>
  <si>
    <t>SOPLIN VARGAS -RIO PUTUMAYO</t>
  </si>
  <si>
    <t>42938291</t>
  </si>
  <si>
    <t>FRANCISCA MARGARITA AHUANARI PIZANGO</t>
  </si>
  <si>
    <t>42949562</t>
  </si>
  <si>
    <t>DAVILA HOYOS JHINO</t>
  </si>
  <si>
    <t>Alfonzo Ugarte N 427</t>
  </si>
  <si>
    <t>42960019</t>
  </si>
  <si>
    <t>CRUZ HUAMAN YSAIAS</t>
  </si>
  <si>
    <t>SAN JUAN-LIBERTAD KM 34</t>
  </si>
  <si>
    <t>42990546</t>
  </si>
  <si>
    <t>LENIN SANCHEZ SANCHEZ</t>
  </si>
  <si>
    <t>43006991</t>
  </si>
  <si>
    <t>PACHERRES SEDANO MILAGROS SUGE</t>
  </si>
  <si>
    <t>PICHANAKI</t>
  </si>
  <si>
    <t>EULER ERICK</t>
  </si>
  <si>
    <t>43010138</t>
  </si>
  <si>
    <t>MIGUEL ROJAS PINEDO</t>
  </si>
  <si>
    <t>CALLE. LORETO S/N SANTA RITA CASTILLA</t>
  </si>
  <si>
    <t>43026919</t>
  </si>
  <si>
    <t>WELINTON</t>
  </si>
  <si>
    <t>JR. LIMA N376TARAPÓTOSAN MARTIN</t>
  </si>
  <si>
    <t>43046145</t>
  </si>
  <si>
    <t>MARLON GONZALES RIOS</t>
  </si>
  <si>
    <t>43072181</t>
  </si>
  <si>
    <t>EDINZON JOAO</t>
  </si>
  <si>
    <t>JR. REQUENA 233</t>
  </si>
  <si>
    <t>43101925</t>
  </si>
  <si>
    <t>DEL CASTILLO VASQUEZ ELIAS ARISTIDES</t>
  </si>
  <si>
    <t>43105909</t>
  </si>
  <si>
    <t>HERACLIO DASILVA PANDURO</t>
  </si>
  <si>
    <t>CASERIO AUGUSTO FREYRE</t>
  </si>
  <si>
    <t>43117375</t>
  </si>
  <si>
    <t>OJANAMA RIOS LASTENIA</t>
  </si>
  <si>
    <t>JR.LAMAS S/N</t>
  </si>
  <si>
    <t>Papaplaya</t>
  </si>
  <si>
    <t>43119614</t>
  </si>
  <si>
    <t>CHINCHAY CHINCHAY GILMER</t>
  </si>
  <si>
    <t>Caserio Alfonso Ugarte - Valle Shanusi</t>
  </si>
  <si>
    <t>43130081</t>
  </si>
  <si>
    <t>RODRIGUEZ INUMA GILBERTO ALEJANDRO</t>
  </si>
  <si>
    <t>CASERIO FRAY MARTIN</t>
  </si>
  <si>
    <t>43141420</t>
  </si>
  <si>
    <t>FREDY CASTILLO HUAMAN</t>
  </si>
  <si>
    <t>NAUTA S/N</t>
  </si>
  <si>
    <t>43192581</t>
  </si>
  <si>
    <t>PEREZ FEITOZA SANTIAGO</t>
  </si>
  <si>
    <t>CEDRO ISLA</t>
  </si>
  <si>
    <t>43203879</t>
  </si>
  <si>
    <t>WILKER SAJAMI ZUMAETA</t>
  </si>
  <si>
    <t>CALLE. ALFONSO UGARTE S/N - FLOR DE PUNGA</t>
  </si>
  <si>
    <t>43238083</t>
  </si>
  <si>
    <t>ELITA</t>
  </si>
  <si>
    <t>JR. BAGUA S/N PUEBLO LIBRE MOYOBAMBA</t>
  </si>
  <si>
    <t>ALTO MAYO</t>
  </si>
  <si>
    <t>43238213</t>
  </si>
  <si>
    <t>GUERRERO FLORES CARMEN RUBI</t>
  </si>
  <si>
    <t>ISLA IQUITOS</t>
  </si>
  <si>
    <t>43255413</t>
  </si>
  <si>
    <t>ARAHUANAZA SANDY RICARDO</t>
  </si>
  <si>
    <t>43263124</t>
  </si>
  <si>
    <t>TUANAMA GRANDEZ BERNARDO</t>
  </si>
  <si>
    <t>NUEVO CHAZUTA</t>
  </si>
  <si>
    <t>43283751</t>
  </si>
  <si>
    <t>PIZANGO TANGOA NICOLAS</t>
  </si>
  <si>
    <t>CCNN.NUEVA VIDA</t>
  </si>
  <si>
    <t>43335348</t>
  </si>
  <si>
    <t>43335772</t>
  </si>
  <si>
    <t>Jaime Raul Rengifo Pua</t>
  </si>
  <si>
    <t>Panan</t>
  </si>
  <si>
    <t>43335866</t>
  </si>
  <si>
    <t>JULIO CANELO TORRES</t>
  </si>
  <si>
    <t>BORJA 184</t>
  </si>
  <si>
    <t>43361019</t>
  </si>
  <si>
    <t>SONIA NEDITH LEON LAURENCIO</t>
  </si>
  <si>
    <t>JIRÓN 28 DE JULIO 751</t>
  </si>
  <si>
    <t>43364444</t>
  </si>
  <si>
    <t>NUÑEZ CACHIQUE ROLANDO</t>
  </si>
  <si>
    <t>CENTRO POBLADO SAN GABRIEL DE BARADERO-PARANAPURA</t>
  </si>
  <si>
    <t>43370306</t>
  </si>
  <si>
    <t>JANET VASQUEZ FERNANDEZ</t>
  </si>
  <si>
    <t>43376022</t>
  </si>
  <si>
    <t>WILSON MONGE TUESTA</t>
  </si>
  <si>
    <t>AV. LOS PERIODISTAS 529</t>
  </si>
  <si>
    <t>43385343</t>
  </si>
  <si>
    <t>JIMMY</t>
  </si>
  <si>
    <t>43391988</t>
  </si>
  <si>
    <t>TRUJILLO CRUZ LUIS MIGUEL</t>
  </si>
  <si>
    <t>CARLOS P SAENZ SN</t>
  </si>
  <si>
    <t>43423528</t>
  </si>
  <si>
    <t>TAMANI HUAYMACARI CARLOS MICHAEL</t>
  </si>
  <si>
    <t>CASERIO SAN MARTIN</t>
  </si>
  <si>
    <t>43428309</t>
  </si>
  <si>
    <t>PILAR</t>
  </si>
  <si>
    <t>CALLE TOPAL S/N - MAYPUCO</t>
  </si>
  <si>
    <t>43434883</t>
  </si>
  <si>
    <t>BRAVO</t>
  </si>
  <si>
    <t>AVENIDA MICAELA BASTIDAS</t>
  </si>
  <si>
    <t>43443180</t>
  </si>
  <si>
    <t>TRIGOZO CORDOVA CARLOS</t>
  </si>
  <si>
    <t>SIN ACTIVIDAD COMERCIAL</t>
  </si>
  <si>
    <t>JR. PROGRESO N° 779 - C.P.9 ABRIL - TARAPOPTO</t>
  </si>
  <si>
    <t>43449242</t>
  </si>
  <si>
    <t>MARIA ESTHER RODRIGUEZ GARCES</t>
  </si>
  <si>
    <t>SOPLIN DE VARGAS</t>
  </si>
  <si>
    <t>43466634</t>
  </si>
  <si>
    <t>ABRAHAM DAVIS</t>
  </si>
  <si>
    <t>JR: LAS PALMERAS N1045- YARINACOCHA-C.PORTILLO-UCAYALI</t>
  </si>
  <si>
    <t>43512738</t>
  </si>
  <si>
    <t>Devora del Aguila Gallardo</t>
  </si>
  <si>
    <t>_</t>
  </si>
  <si>
    <t>MORONA 1484</t>
  </si>
  <si>
    <t>43521290</t>
  </si>
  <si>
    <t>ELVIS RIMALACHIN SANCHEZ</t>
  </si>
  <si>
    <t>43527763</t>
  </si>
  <si>
    <t>JANE LUCY NOTENO NOTENO</t>
  </si>
  <si>
    <t>LOCALIDAD MONTERRICO-RIO NAPO</t>
  </si>
  <si>
    <t>43543599</t>
  </si>
  <si>
    <t>GILMA MURAYARI RODRIGUEZ</t>
  </si>
  <si>
    <t>CALLE ALAYZA PAZ SOLDAN 320</t>
  </si>
  <si>
    <t>43551768</t>
  </si>
  <si>
    <t>BRAULIO</t>
  </si>
  <si>
    <t>AV. TITO JAIME S/N - TINGO MARIA</t>
  </si>
  <si>
    <t>43558584</t>
  </si>
  <si>
    <t>LEO</t>
  </si>
  <si>
    <t>PROLONG. REQUENILLO S/N -REQUENA</t>
  </si>
  <si>
    <t>43571058</t>
  </si>
  <si>
    <t>GONZALES TUANAMA DE VARGAS MILENA</t>
  </si>
  <si>
    <t>PARTICIPACION 425</t>
  </si>
  <si>
    <t>43582109</t>
  </si>
  <si>
    <t>RAUL REQUEJO MEJIA</t>
  </si>
  <si>
    <t xml:space="preserve">SORITOR </t>
  </si>
  <si>
    <t>43583462</t>
  </si>
  <si>
    <t>REATEGUI VARGAS WELINTON</t>
  </si>
  <si>
    <t>SECTOR LAS PALMERAS ZONA 5 C.P.R HUERTOS DE MANCHAY QUEBRADA DE MANCHAY MZ T 1 LT 8</t>
  </si>
  <si>
    <t>43591045</t>
  </si>
  <si>
    <t>FIDEL CANELO CUJE</t>
  </si>
  <si>
    <t>COMUNIDAD NATIVA 12 DE OCTUBRE</t>
  </si>
  <si>
    <t>Tigre</t>
  </si>
  <si>
    <t>43591972</t>
  </si>
  <si>
    <t>CAL. NUEVA JERUSALEN S/N - ISLANDIA</t>
  </si>
  <si>
    <t>43596875</t>
  </si>
  <si>
    <t>GRANDEZ VALENCIA TEDDY</t>
  </si>
  <si>
    <t>Comunidad 3 Unidos</t>
  </si>
  <si>
    <t>43606325</t>
  </si>
  <si>
    <t>ISUIZA URUMA DAVID</t>
  </si>
  <si>
    <t>COMUNIDAD REFORMA LLACTA</t>
  </si>
  <si>
    <t>43612827</t>
  </si>
  <si>
    <t>ANGULO PANDURO LUIS EDINSON</t>
  </si>
  <si>
    <t>MALECON PERU MZ O LOTE 1</t>
  </si>
  <si>
    <t>43620954</t>
  </si>
  <si>
    <t>SILVIA MEZA LEANDRO</t>
  </si>
  <si>
    <t>AVENIDA LIMA 279 - AUCAYACU</t>
  </si>
  <si>
    <t>43624477</t>
  </si>
  <si>
    <t>HUANCI GUERRA ARLEN</t>
  </si>
  <si>
    <t>43625119</t>
  </si>
  <si>
    <t>AMASIFUEN ISUIZA JULTON</t>
  </si>
  <si>
    <t>43647264</t>
  </si>
  <si>
    <t>NIETO CARRANZA WILLIAM</t>
  </si>
  <si>
    <t>VENTA DE  MAQUINARIAS AGRICOLAS</t>
  </si>
  <si>
    <t>AV. PAKAMUROS S7N - JAEN - JAEN - CAJAMARCA</t>
  </si>
  <si>
    <t>43653058</t>
  </si>
  <si>
    <t>SATALAYA PAIMA FIDEL</t>
  </si>
  <si>
    <t>CASERIO ITALIA - BAJO HUALLAGA</t>
  </si>
  <si>
    <t>43671807</t>
  </si>
  <si>
    <t>LUZ MIRANDA</t>
  </si>
  <si>
    <t>CAL. PRIMAVERA S/N - SAMAN</t>
  </si>
  <si>
    <t>43675214</t>
  </si>
  <si>
    <t>OSCCO CONDORI JOEL</t>
  </si>
  <si>
    <t>NUEVO PEBAS S/N</t>
  </si>
  <si>
    <t>43684340</t>
  </si>
  <si>
    <t>MURRIETA RIOS GILBERTO NOE</t>
  </si>
  <si>
    <t>LOS NOGALES 270-PAMPACHICA</t>
  </si>
  <si>
    <t>43708889</t>
  </si>
  <si>
    <t>RODRIGUEZ ALTAMIRANO CESAR</t>
  </si>
  <si>
    <t>Estrecho</t>
  </si>
  <si>
    <t>43731280</t>
  </si>
  <si>
    <t>AREVALO DURAND ALCIDES ROGELIO</t>
  </si>
  <si>
    <t>SOPLIN VARGAS S/N</t>
  </si>
  <si>
    <t>43736886</t>
  </si>
  <si>
    <t>ALADO PACAYA GEINER</t>
  </si>
  <si>
    <t>LOCALIDAD LAS MALVINAS</t>
  </si>
  <si>
    <t>Maquia</t>
  </si>
  <si>
    <t>43736899</t>
  </si>
  <si>
    <t>SEGUNDO OLIVERO PIÑA PADILA</t>
  </si>
  <si>
    <t>CALLE. BARRIO ARRIBA S/N HUACRACHIRO</t>
  </si>
  <si>
    <t>43772619</t>
  </si>
  <si>
    <t>ANGELES VICENTE WASHINTON</t>
  </si>
  <si>
    <t>JR. SOSIMO RIVAS S/N - LAMAS - LAMAS -  SAN MARTIN</t>
  </si>
  <si>
    <t>43814196</t>
  </si>
  <si>
    <t>RICHAR CARO FERNANDEZ</t>
  </si>
  <si>
    <t>43823647</t>
  </si>
  <si>
    <t>ELVIRA</t>
  </si>
  <si>
    <t>AV. LA RESTINGA S/N-YARINACOCHA-C.PORTILLO-UCAYALI</t>
  </si>
  <si>
    <t>43833940</t>
  </si>
  <si>
    <t>VAQUERO ARIRAMA JUAN PABLO</t>
  </si>
  <si>
    <t>CALLE TARAPACA S/N</t>
  </si>
  <si>
    <t>43833964</t>
  </si>
  <si>
    <t>SALAZAR PEREZ ISABEL</t>
  </si>
  <si>
    <t>CALLE JUAN RUTH GUEVARA</t>
  </si>
  <si>
    <t>43849836</t>
  </si>
  <si>
    <t>ROQUE RUIZ BARRIGA</t>
  </si>
  <si>
    <t>PSJ CUZCO 250-ASENT H28 DE JULIO</t>
  </si>
  <si>
    <t>43854066</t>
  </si>
  <si>
    <t>GUERRERO CORREA MIJAEL</t>
  </si>
  <si>
    <t>JR. COLON S/N - PICOTA - PICOTA - SAN MARTIN</t>
  </si>
  <si>
    <t>43911938</t>
  </si>
  <si>
    <t>RIOS JARAMILLO WINQUER</t>
  </si>
  <si>
    <t>43917672</t>
  </si>
  <si>
    <t>GONZALES CUSTODIO MARCO ANTONIO</t>
  </si>
  <si>
    <t>Jr. Arica N 418</t>
  </si>
  <si>
    <t>43933251</t>
  </si>
  <si>
    <t>SALDAÑA PINCHI RONALD ALBERTO</t>
  </si>
  <si>
    <t>Arequipa 1483</t>
  </si>
  <si>
    <t>43963319</t>
  </si>
  <si>
    <t>VILCHEZ SILVA HOMERO</t>
  </si>
  <si>
    <t>CASERIO SANTA FE RIO UCAYALI</t>
  </si>
  <si>
    <t>43965516</t>
  </si>
  <si>
    <t>DILMER ALBARRAN BRIONES</t>
  </si>
  <si>
    <t>PJ. MAESTRANZA MZ W / LT 38 - JJ.VV. LAS PALMERAS</t>
  </si>
  <si>
    <t>43969445</t>
  </si>
  <si>
    <t>VELA AGUIRRE GROBER</t>
  </si>
  <si>
    <t>REMANZO</t>
  </si>
  <si>
    <t>43974410</t>
  </si>
  <si>
    <t>VEGA COTRINA ABEL</t>
  </si>
  <si>
    <t>CALLE 6 DE FEBRERO N 305 - LAS FLORES</t>
  </si>
  <si>
    <t>43978699</t>
  </si>
  <si>
    <t>HURTADO AGUILAR FRANK</t>
  </si>
  <si>
    <t xml:space="preserve">JR. JOSE FAUSTINO SANCHEZ CARRION 1451 CALLERIA </t>
  </si>
  <si>
    <t>43980522</t>
  </si>
  <si>
    <t>SHAPIAMA NOTENO CLAUDIO</t>
  </si>
  <si>
    <t>ANITA CABRERA LOS PAUCARES 184</t>
  </si>
  <si>
    <t>43986838</t>
  </si>
  <si>
    <t>NOA PELILEO CRAMER</t>
  </si>
  <si>
    <t>NUEVO SAN ROQUE S/N</t>
  </si>
  <si>
    <t>43986847</t>
  </si>
  <si>
    <t>ARNULFO CAHUACHI TULUMBA</t>
  </si>
  <si>
    <t>CASERIO VAINILLA</t>
  </si>
  <si>
    <t>43989453</t>
  </si>
  <si>
    <t>TUANAMA ARMAS BENJAMIN</t>
  </si>
  <si>
    <t>JR. LAS PRADERAS S/N</t>
  </si>
  <si>
    <t>43991009</t>
  </si>
  <si>
    <t>GABRIEL</t>
  </si>
  <si>
    <t>CASERIO PUERTO ALEGRE</t>
  </si>
  <si>
    <t>43992867</t>
  </si>
  <si>
    <t>ARTURO RUCOBA PANAIFO</t>
  </si>
  <si>
    <t>PUERTO AMERICA</t>
  </si>
  <si>
    <t>43995435</t>
  </si>
  <si>
    <t>Jane Olga Chanchari Carrasco</t>
  </si>
  <si>
    <t>Km09 CaseriO Belen - Carretera ttarapoto-Yurimaguas.</t>
  </si>
  <si>
    <t>43995659</t>
  </si>
  <si>
    <t>MIGUEL</t>
  </si>
  <si>
    <t>44004182</t>
  </si>
  <si>
    <t>PIZANGO TUANAMA DEMETRIO</t>
  </si>
  <si>
    <t>44006140</t>
  </si>
  <si>
    <t>NAVARRO RODRIGUEZ JULIO</t>
  </si>
  <si>
    <t>CONSUMDOR FINAL</t>
  </si>
  <si>
    <t>44006312</t>
  </si>
  <si>
    <t>DARLEN</t>
  </si>
  <si>
    <t>CALLE. BARRIO BAJO S/N - BRETAÑA</t>
  </si>
  <si>
    <t>44014345</t>
  </si>
  <si>
    <t>HILTER CARIAJANO HUALINGA</t>
  </si>
  <si>
    <t>12 DE OCTUBRE RIO TIGRE</t>
  </si>
  <si>
    <t>44018065</t>
  </si>
  <si>
    <t>RIVADENEYRA IMUNDA LEYSA</t>
  </si>
  <si>
    <t>44033232</t>
  </si>
  <si>
    <t>SANDI CHIMBORAS NATANAEL</t>
  </si>
  <si>
    <t>COMUNIDAD JOSE OLAYA</t>
  </si>
  <si>
    <t>44033246</t>
  </si>
  <si>
    <t>GOMEZ SHAHUANO DIANA</t>
  </si>
  <si>
    <t>CAL. ORO NEGRO S/N - TROMPETEROS</t>
  </si>
  <si>
    <t>44033280</t>
  </si>
  <si>
    <t>TORRES SANDI WILLY</t>
  </si>
  <si>
    <t>44034803</t>
  </si>
  <si>
    <t>SHAHUANO TELLO MANUEL</t>
  </si>
  <si>
    <t>A.H 28 DE JULIO CAL. NVO. PARAISO M-16</t>
  </si>
  <si>
    <t>44054422</t>
  </si>
  <si>
    <t>LUCIO SILVADO LOCENO</t>
  </si>
  <si>
    <t>COMUNIDAD ESPARTA -RIO MARAÑON</t>
  </si>
  <si>
    <t>44058554</t>
  </si>
  <si>
    <t>RAUL</t>
  </si>
  <si>
    <t>CALLE REQUENA 202</t>
  </si>
  <si>
    <t>44066927</t>
  </si>
  <si>
    <t>CURMAYARI SOZA LISTER MAX</t>
  </si>
  <si>
    <t>CASERIO SAN ALEJANDRO</t>
  </si>
  <si>
    <t>44070392</t>
  </si>
  <si>
    <t>COQUINCHE NOTENO LENCER</t>
  </si>
  <si>
    <t>CAMPO SERIO</t>
  </si>
  <si>
    <t>44071025</t>
  </si>
  <si>
    <t>NAPUCHI GUERRERO NEMESIO</t>
  </si>
  <si>
    <t>44092445</t>
  </si>
  <si>
    <t>VELA PITA GIANFRANCO</t>
  </si>
  <si>
    <t>44094635</t>
  </si>
  <si>
    <t>DANY DAVID</t>
  </si>
  <si>
    <t>LOS ROSALES A-44 MASUSA</t>
  </si>
  <si>
    <t>44104291</t>
  </si>
  <si>
    <t>FREITAS SANTANA MARY</t>
  </si>
  <si>
    <t>CASERIO NUEVO HORIZONTE -FCO DE ORELLANA</t>
  </si>
  <si>
    <t>44105418</t>
  </si>
  <si>
    <t>MARCOS</t>
  </si>
  <si>
    <t>SECTOR MERCADILLO - ALONSO DE ALVARADO ROQUE-LAMAS-SAN MARTIN</t>
  </si>
  <si>
    <t>44105418000</t>
  </si>
  <si>
    <t>44126375</t>
  </si>
  <si>
    <t>PACAYA MAYTAHUARI LLEMER SAUL</t>
  </si>
  <si>
    <t>SAN JOSE DE LUPUNA</t>
  </si>
  <si>
    <t>44165874</t>
  </si>
  <si>
    <t>VILLACORTA REATEGUI PEDRO ANTONIO</t>
  </si>
  <si>
    <t>44172304</t>
  </si>
  <si>
    <t>BERNA</t>
  </si>
  <si>
    <t>44190402</t>
  </si>
  <si>
    <t>ASPAJO LIBERATO LINA LUZ</t>
  </si>
  <si>
    <t>CASERIO BERBENA</t>
  </si>
  <si>
    <t>44202815</t>
  </si>
  <si>
    <t>BARDALEZ TANGOA WILSON</t>
  </si>
  <si>
    <t>CASERIO NUEVO PARAISO - SHISHINAHUA</t>
  </si>
  <si>
    <t>44204624</t>
  </si>
  <si>
    <t>TAISH NAJARIP KAYAP GERMAN</t>
  </si>
  <si>
    <t>CALLE CALVO DE ARAUJO P-19</t>
  </si>
  <si>
    <t>44210530</t>
  </si>
  <si>
    <t>RUIZ RIVADENEYRA RICHARD</t>
  </si>
  <si>
    <t>JANETH DONAYRE 45</t>
  </si>
  <si>
    <t>44224096</t>
  </si>
  <si>
    <t>NOELIA JAVA MORENO</t>
  </si>
  <si>
    <t>COCHIQUINAS</t>
  </si>
  <si>
    <t>44237449</t>
  </si>
  <si>
    <t>SAANT YURANK TENTETS WELINGTON</t>
  </si>
  <si>
    <t>CC. NN UNKUM</t>
  </si>
  <si>
    <t>Morona</t>
  </si>
  <si>
    <t>44248322</t>
  </si>
  <si>
    <t>GLORIA ORTEGA TAMANI</t>
  </si>
  <si>
    <t>CALLE MARIA PARADO DE BELLIDO Z/N EL ESTRECHO</t>
  </si>
  <si>
    <t>44257812</t>
  </si>
  <si>
    <t>FERMIN USHIHUA PROANO</t>
  </si>
  <si>
    <t>CC. NN HUACACHINA</t>
  </si>
  <si>
    <t>44269981</t>
  </si>
  <si>
    <t>SALVINO COELHO LUIS ALBERTO</t>
  </si>
  <si>
    <t>44271312</t>
  </si>
  <si>
    <t>AURELIA PEÑA CACHIQUE</t>
  </si>
  <si>
    <t>COMUNIDAD FERNANDO ROSAS</t>
  </si>
  <si>
    <t>44272435</t>
  </si>
  <si>
    <t>RAMOS ROJAS MILTON</t>
  </si>
  <si>
    <t>CASERIO NUEVA YORK -RIO TIGRE</t>
  </si>
  <si>
    <t>44274660</t>
  </si>
  <si>
    <t>VICTOR VIGAY TARICUARIMA</t>
  </si>
  <si>
    <t>SAN JOAQUIN DE OMAGUA</t>
  </si>
  <si>
    <t>44282478</t>
  </si>
  <si>
    <t>MARGARITA CHILLITUPA CCORIMANYA</t>
  </si>
  <si>
    <t>JR FIZCARRAL S/N - ATALAYA</t>
  </si>
  <si>
    <t>44298709</t>
  </si>
  <si>
    <t>GARCIA DIAZ ELA</t>
  </si>
  <si>
    <t>GRAU KM 400 - YURIMAGUAS / TARAPOTO</t>
  </si>
  <si>
    <t>44311749</t>
  </si>
  <si>
    <t>RIVERA CARDOZO LADY DIANA</t>
  </si>
  <si>
    <t>44313932</t>
  </si>
  <si>
    <t>CASIQUE CELIS ALEX LEODAN</t>
  </si>
  <si>
    <t>PROLONGACION PESCE S/N</t>
  </si>
  <si>
    <t>44319711</t>
  </si>
  <si>
    <t>VITIRI HUANSI PEPE</t>
  </si>
  <si>
    <t>CASERIO PUERTO AUXILIO</t>
  </si>
  <si>
    <t>44330696</t>
  </si>
  <si>
    <t>LUCIO PIÑA HUAMAN</t>
  </si>
  <si>
    <t>44339320</t>
  </si>
  <si>
    <t>JR. 28 DE JULIO S/N - SINTICO</t>
  </si>
  <si>
    <t>44411047</t>
  </si>
  <si>
    <t>FLOR</t>
  </si>
  <si>
    <t>PJE ALFONSO UGARTE MZ E LT 5</t>
  </si>
  <si>
    <t>44416915</t>
  </si>
  <si>
    <t>ARANDA GUERRERO ALICIA</t>
  </si>
  <si>
    <t>JR CAJAMARCA 136 SAN IGNACIO</t>
  </si>
  <si>
    <t>44421081</t>
  </si>
  <si>
    <t>DENIS CENEPO PACUNDO</t>
  </si>
  <si>
    <t>COMUNIDAD DE SAUKIL</t>
  </si>
  <si>
    <t>44431734</t>
  </si>
  <si>
    <t>DOS SANTOS AHUANARI ABELINO</t>
  </si>
  <si>
    <t>ESTRECHO PUTUMAYO</t>
  </si>
  <si>
    <t>44438338</t>
  </si>
  <si>
    <t>JOEL VÁSQUEZ ARICARA</t>
  </si>
  <si>
    <t>JUAN VELASCO MZ J LT 6. SANTA CLARA</t>
  </si>
  <si>
    <t>44442420</t>
  </si>
  <si>
    <t>HUIÑAPI LANCHA ANGEL LEONIDAS</t>
  </si>
  <si>
    <t>CALL.SAN MARTIN S/N</t>
  </si>
  <si>
    <t>Jeberos</t>
  </si>
  <si>
    <t>44454085</t>
  </si>
  <si>
    <t>MOSQUERA HILORIO JHULIANA MARICELA</t>
  </si>
  <si>
    <t>COMUNIDAD INTUTO</t>
  </si>
  <si>
    <t>44454089</t>
  </si>
  <si>
    <t>ACOSTA HUAYMANA FELIX ARTURO</t>
  </si>
  <si>
    <t>AV SAN ANTONIO 920</t>
  </si>
  <si>
    <t>44454129</t>
  </si>
  <si>
    <t>GARCIA TORRES TANIA</t>
  </si>
  <si>
    <t>PERIODISTA 343</t>
  </si>
  <si>
    <t>44461168</t>
  </si>
  <si>
    <t>FERNANDEZ CHAVEZ FRANKLIN ROLANDO</t>
  </si>
  <si>
    <t>JR GONZALES VIGIL</t>
  </si>
  <si>
    <t>44502238</t>
  </si>
  <si>
    <t>ALAVA CHANCHARI RONIL</t>
  </si>
  <si>
    <t>SANTA CRUZ</t>
  </si>
  <si>
    <t>44504452</t>
  </si>
  <si>
    <t>WAGNER SHIKIKAT PADILLA</t>
  </si>
  <si>
    <t>COMUNIDAD PACHACUTEC</t>
  </si>
  <si>
    <t>44552139</t>
  </si>
  <si>
    <t>YUPE BENAVIDES REMIGIO</t>
  </si>
  <si>
    <t>44569662</t>
  </si>
  <si>
    <t>MISTY ANABEL RAMIREZ ISUIZA</t>
  </si>
  <si>
    <t>AAHH. 9 DE ABRIL/ LOS TRIUNFADORES CALL. LOS OLIVOS MZ H LT 11</t>
  </si>
  <si>
    <t>44578705</t>
  </si>
  <si>
    <t>WILMER</t>
  </si>
  <si>
    <t>ASCENCIO RIVERA MUNICHIS</t>
  </si>
  <si>
    <t>44584642</t>
  </si>
  <si>
    <t>PEDRO DEMETRIO ALIAGA GUERRA</t>
  </si>
  <si>
    <t>COMUNIDAD 12 DE OCTUBRE</t>
  </si>
  <si>
    <t>44586007</t>
  </si>
  <si>
    <t>MACUYAMA ARAUJO ERIK MANUEL</t>
  </si>
  <si>
    <t>44590410</t>
  </si>
  <si>
    <t>MAGIA GALINDO MILTON</t>
  </si>
  <si>
    <t>VIA DE EVITAMIENTO</t>
  </si>
  <si>
    <t>44593799</t>
  </si>
  <si>
    <t>DASILVA PANDURO FRANKLIN</t>
  </si>
  <si>
    <t>AV. LAS FLORES S/N</t>
  </si>
  <si>
    <t>44595340</t>
  </si>
  <si>
    <t>JULIO CURI MEDRANA</t>
  </si>
  <si>
    <t>44609204</t>
  </si>
  <si>
    <t>CHU PEZO LENNY PAOLA</t>
  </si>
  <si>
    <t>44614550</t>
  </si>
  <si>
    <t>MASHUCURI COQUINCHE CLEDIS</t>
  </si>
  <si>
    <t>COMUNIDAD MONTE VERDE</t>
  </si>
  <si>
    <t>44616471</t>
  </si>
  <si>
    <t>INUMA RAMIREZ ALVARO</t>
  </si>
  <si>
    <t>JORGE SIBINAMZ R LOTE 8 SANTA CLARA</t>
  </si>
  <si>
    <t>44625897</t>
  </si>
  <si>
    <t>RICOPA SILVA NILSON</t>
  </si>
  <si>
    <t>LOCALIDAD HUACRACHIRO</t>
  </si>
  <si>
    <t>44645792</t>
  </si>
  <si>
    <t>WILSON ALBERTO ARTIAGA RODRIGUEZ</t>
  </si>
  <si>
    <t>USHPAYACU</t>
  </si>
  <si>
    <t>44648604</t>
  </si>
  <si>
    <t>ARMAS SALDAÑA SONIA</t>
  </si>
  <si>
    <t>44652186</t>
  </si>
  <si>
    <t>HUANCHO SALINAS MARDEN</t>
  </si>
  <si>
    <t>44652260</t>
  </si>
  <si>
    <t>RICOPA PINEDO SALVADOR</t>
  </si>
  <si>
    <t>44657802</t>
  </si>
  <si>
    <t>PROL. HUASCAR N 247 VALLE DORADO PICHARI</t>
  </si>
  <si>
    <t>44667256</t>
  </si>
  <si>
    <t>ROGER VASQUEZ SANGAMA</t>
  </si>
  <si>
    <t>PROL. LIMA CDRA 1 - NAUTA</t>
  </si>
  <si>
    <t>44701673</t>
  </si>
  <si>
    <t>WALTER ISAIAS PINCHE TORRES</t>
  </si>
  <si>
    <t>44707150</t>
  </si>
  <si>
    <t>JOSE</t>
  </si>
  <si>
    <t>C.F.B. KM. 111</t>
  </si>
  <si>
    <t>44707658</t>
  </si>
  <si>
    <t>HAMILTON RODRIGO</t>
  </si>
  <si>
    <t>C</t>
  </si>
  <si>
    <t>PSJE BENAVIDES 112A</t>
  </si>
  <si>
    <t>44716270</t>
  </si>
  <si>
    <t>ANA ISABEL</t>
  </si>
  <si>
    <t>CIRCUNVALACIÓN</t>
  </si>
  <si>
    <t>44716363</t>
  </si>
  <si>
    <t>ELEAZAR PANDURO OCHAVANO</t>
  </si>
  <si>
    <t>44733164</t>
  </si>
  <si>
    <t>CAROLA</t>
  </si>
  <si>
    <t>JR. JULIO C. PINEDO CUADRA 1 - YURIMAGUAS - ALTO AMAZONAS - LORETO</t>
  </si>
  <si>
    <t>44740862</t>
  </si>
  <si>
    <t>CAMUS MANUYAMA MOISE</t>
  </si>
  <si>
    <t>CALLE PUNCHANA LTE 16 CASERIO SANTA CLARA</t>
  </si>
  <si>
    <t>44761597</t>
  </si>
  <si>
    <t>NAVEDA ALVARADO WILINGTON</t>
  </si>
  <si>
    <t>44765206</t>
  </si>
  <si>
    <t>CASERIO: PANAN BALSAPUERTO</t>
  </si>
  <si>
    <t>44795785</t>
  </si>
  <si>
    <t>EUGENIO</t>
  </si>
  <si>
    <t>JR FIZCARRALD S/N ATALAYA- RAYMONDY -UCAYALI</t>
  </si>
  <si>
    <t>44807216</t>
  </si>
  <si>
    <t>MARIELA MANIHUARI PACAYA</t>
  </si>
  <si>
    <t>44829991</t>
  </si>
  <si>
    <t>ALEJANDRIA CALDERON LUZMILA</t>
  </si>
  <si>
    <t>CARRET. YURIMAGUAS S/N - C.P. PAMPA HERMOSA, YURIMAGUAS, ALTO AMAZONAS, LORETO</t>
  </si>
  <si>
    <t>44846009</t>
  </si>
  <si>
    <t>CULQUI DELGADO JENNY</t>
  </si>
  <si>
    <t>CARRETERA FERNANDO BELAUNDE TERRY KM60 - PICOTA - PICOTA - SAN MARTIN</t>
  </si>
  <si>
    <t>44862975</t>
  </si>
  <si>
    <t>PUGA PEÑALOZA DANNY DANIEL</t>
  </si>
  <si>
    <t>CALLE FELIPE MOREY SN - JENARO HERRERA</t>
  </si>
  <si>
    <t>44888442</t>
  </si>
  <si>
    <t xml:space="preserve"> HERMES BRUDS MOSCOSO BRAGA</t>
  </si>
  <si>
    <t>CALLE 3 C/16 DE JULIO</t>
  </si>
  <si>
    <t>44906294</t>
  </si>
  <si>
    <t>AMASIFUEN TANGOA EDVIN</t>
  </si>
  <si>
    <t>CASERIO LEVEAU - SAN MARTIN - SAN MARTIN</t>
  </si>
  <si>
    <t>44917954</t>
  </si>
  <si>
    <t>GABRIEL NUNEZ ESPINOZA</t>
  </si>
  <si>
    <t>VILLA MILITAR CENTENARIO G 3</t>
  </si>
  <si>
    <t>44928347</t>
  </si>
  <si>
    <t>RUT EHONICA SULCA IRRASABAL</t>
  </si>
  <si>
    <t>AV MI PERU STA ROSA S/N</t>
  </si>
  <si>
    <t>44945322</t>
  </si>
  <si>
    <t>LANZA ORACO LINO</t>
  </si>
  <si>
    <t>44945346</t>
  </si>
  <si>
    <t>BERY CLERI NOTENO NOTENO</t>
  </si>
  <si>
    <t>ANGOTEROS</t>
  </si>
  <si>
    <t>44964325</t>
  </si>
  <si>
    <t>PAREJA OCHOA WALTER</t>
  </si>
  <si>
    <t>CALLE LOS AGUANOS N136</t>
  </si>
  <si>
    <t>44965739</t>
  </si>
  <si>
    <t>CAREL RICARDO</t>
  </si>
  <si>
    <t>44994130</t>
  </si>
  <si>
    <t>ALEXANDER MARTINES ESCUDERO</t>
  </si>
  <si>
    <t>44998333</t>
  </si>
  <si>
    <t>HENRRY CASTILLO VENTEMILLA</t>
  </si>
  <si>
    <t>45003193</t>
  </si>
  <si>
    <t>JUDITH CHAVEZ ZAMBRANO</t>
  </si>
  <si>
    <t>CONSUMIODOR FINAL</t>
  </si>
  <si>
    <t>SAN FRANCISCO</t>
  </si>
  <si>
    <t>45012483</t>
  </si>
  <si>
    <t>DAVID SUMBA MACUYAMA</t>
  </si>
  <si>
    <t>JR.VIA DE AVITAMIENTO CRD 16</t>
  </si>
  <si>
    <t>45013716</t>
  </si>
  <si>
    <t>CERRUCHE ROMAYNA YSAC</t>
  </si>
  <si>
    <t>45052395</t>
  </si>
  <si>
    <t>OSCAR MANUEL TORRE MACAHUACHI</t>
  </si>
  <si>
    <t>CALL GRAU 491</t>
  </si>
  <si>
    <t>CALCA</t>
  </si>
  <si>
    <t>45091957</t>
  </si>
  <si>
    <t>CANAQUIRI CACHIQUE ILDA ROSA</t>
  </si>
  <si>
    <t>CALLE LOS ANGELES CARRETERA IQUITOS-NAUTA KM.41</t>
  </si>
  <si>
    <t>45103366</t>
  </si>
  <si>
    <t>BARRIOS ROJAS JOSSELI</t>
  </si>
  <si>
    <t>45121786</t>
  </si>
  <si>
    <t>MUCUSHUA OTEJON GERMAN</t>
  </si>
  <si>
    <t>HUANCAYO - RIO NUPURAY</t>
  </si>
  <si>
    <t>45132024</t>
  </si>
  <si>
    <t>LAZARTE GUILLERMO JORGE LUIS</t>
  </si>
  <si>
    <t>45136951</t>
  </si>
  <si>
    <t>HELES</t>
  </si>
  <si>
    <t>45141331</t>
  </si>
  <si>
    <t>NOLORBE RENGIFO ROQUE ANIBAL</t>
  </si>
  <si>
    <t>45161187</t>
  </si>
  <si>
    <t>SANCHEZ OCMIN DAVID</t>
  </si>
  <si>
    <t>Teniente Cesar Lopez Rojas</t>
  </si>
  <si>
    <t>45179576</t>
  </si>
  <si>
    <t>WILMER LUIS SANDOVAL IZQUIERDO</t>
  </si>
  <si>
    <t>CAL. GRAU S/N - CABALLO COCHA</t>
  </si>
  <si>
    <t>45180438</t>
  </si>
  <si>
    <t>SANDI GARCIA HILARIO</t>
  </si>
  <si>
    <t>CUCHARA RIO CORRIENTE</t>
  </si>
  <si>
    <t>45180571</t>
  </si>
  <si>
    <t>OLIVEIRA YAHUARCANI LENER</t>
  </si>
  <si>
    <t>45182663</t>
  </si>
  <si>
    <t>PATRICIO MALAFAYA DAGOBERTO</t>
  </si>
  <si>
    <t>COMUNIDAD TRES ESQUINAS S/N</t>
  </si>
  <si>
    <t>45182903</t>
  </si>
  <si>
    <t>MELENDEZ JESUS NEMESIO SEGUNDO</t>
  </si>
  <si>
    <t>PIHUICHO ISLA S/N</t>
  </si>
  <si>
    <t>45184608</t>
  </si>
  <si>
    <t>VILLANUEVA CHACON LUCAS</t>
  </si>
  <si>
    <t>45185164</t>
  </si>
  <si>
    <t>JANETH AHU ORDONEZ</t>
  </si>
  <si>
    <t>45186043</t>
  </si>
  <si>
    <t>PEPE ALIN PEREZ PENA</t>
  </si>
  <si>
    <t>CASERIO RESACH DE PERUATE</t>
  </si>
  <si>
    <t>45190563</t>
  </si>
  <si>
    <t>EDWIN RODRIGUEZ CURITIMBA</t>
  </si>
  <si>
    <t>45192879</t>
  </si>
  <si>
    <t>VARGAS FASABI YTALO</t>
  </si>
  <si>
    <t>NUEVO SAN JOSE</t>
  </si>
  <si>
    <t>45213772</t>
  </si>
  <si>
    <t>HERNAN</t>
  </si>
  <si>
    <t>JR. VARGAS GUERRA MZ. B LT. 23 CORONEL PORTILLO</t>
  </si>
  <si>
    <t>45218449</t>
  </si>
  <si>
    <t>HUAYTA NAVARRO MARIA IRENE</t>
  </si>
  <si>
    <t>Caserio Santa Maria - Bajo Huallaga Shitari</t>
  </si>
  <si>
    <t>45223237</t>
  </si>
  <si>
    <t>SALAS PINEDO ESTHALIN</t>
  </si>
  <si>
    <t>Aguirre N 306 - Barrio La Loma</t>
  </si>
  <si>
    <t>45246450</t>
  </si>
  <si>
    <t>HIDALGO RENGIFO WALTER ALEXANDER</t>
  </si>
  <si>
    <t>PJE CENTRAL NUEVO VERSALLES</t>
  </si>
  <si>
    <t>45262875</t>
  </si>
  <si>
    <t>GONZALES LANARO CARLA VANESSA</t>
  </si>
  <si>
    <t>45264765</t>
  </si>
  <si>
    <t>PUA CANCINO LUIS</t>
  </si>
  <si>
    <t>2 Dos de Mayo - Bajo Huallaga</t>
  </si>
  <si>
    <t>45270697</t>
  </si>
  <si>
    <t>SOUZA VELA ELMER</t>
  </si>
  <si>
    <t>BALNEARIO PAMPA CHICA</t>
  </si>
  <si>
    <t>45297856</t>
  </si>
  <si>
    <t>COTRINA CAPA WIGGLES</t>
  </si>
  <si>
    <t>45311554</t>
  </si>
  <si>
    <t>LUJAN DE LA O EMILY</t>
  </si>
  <si>
    <t>CALLE UCAYALI 242 - PANGOA</t>
  </si>
  <si>
    <t>45312123</t>
  </si>
  <si>
    <t>ARIRAMA NUNTA RAUL AUGUSTO</t>
  </si>
  <si>
    <t>COMEERCIAL</t>
  </si>
  <si>
    <t>45325832</t>
  </si>
  <si>
    <t>SIMEON RENAILOS LAGO</t>
  </si>
  <si>
    <t>45330316</t>
  </si>
  <si>
    <t>MURAYARI CORDOVA JOSE</t>
  </si>
  <si>
    <t>COMUNIDAD SABALILLO RIO APAYACU CENTRO POBLADO YANASHI</t>
  </si>
  <si>
    <t>45333894</t>
  </si>
  <si>
    <t>YOVISA PILAR</t>
  </si>
  <si>
    <t>COVIRIALI S/N SATIPO</t>
  </si>
  <si>
    <t>45335254</t>
  </si>
  <si>
    <t>LARRY</t>
  </si>
  <si>
    <t>AV. TALARA S/N - SAN ROQUE</t>
  </si>
  <si>
    <t>45353208</t>
  </si>
  <si>
    <t>JUAN MIGUEL</t>
  </si>
  <si>
    <t>45370125</t>
  </si>
  <si>
    <t>GILBER IRARICA MACAHUACHI</t>
  </si>
  <si>
    <t>CASERIO CONCORDIA</t>
  </si>
  <si>
    <t>45387834</t>
  </si>
  <si>
    <t>SANCHEZ CORRALES CESAR</t>
  </si>
  <si>
    <t>JEBERILLOS</t>
  </si>
  <si>
    <t>45396787</t>
  </si>
  <si>
    <t>CAHUAZA YUPE OTILIA</t>
  </si>
  <si>
    <t>45413517</t>
  </si>
  <si>
    <t>ADRIEL CORDOVA MACEDO</t>
  </si>
  <si>
    <t>45423111</t>
  </si>
  <si>
    <t>SHAPIAMA TAFUR FRANKLING JARLI</t>
  </si>
  <si>
    <t>AGRO</t>
  </si>
  <si>
    <t>JR.PSJ CAMINO VENECIA OASIS 340</t>
  </si>
  <si>
    <t>45459096</t>
  </si>
  <si>
    <t>BETETA ARCE NESSY</t>
  </si>
  <si>
    <t>C.F.B KM 164,5 PAMPAYURAC</t>
  </si>
  <si>
    <t>45475428</t>
  </si>
  <si>
    <t>BALAREZO FASABI FREDY</t>
  </si>
  <si>
    <t>CALLE MAYNAS MZ Ñ LT 12</t>
  </si>
  <si>
    <t>45485168</t>
  </si>
  <si>
    <t>GOLBERTO PIZANGO YAICATE</t>
  </si>
  <si>
    <t>CASERIO 7 DE JUNIO YARINACOCHA</t>
  </si>
  <si>
    <t>45490604</t>
  </si>
  <si>
    <t>FREDY LUIS</t>
  </si>
  <si>
    <t>CAL. MIGUEL GRAU S/- SANTA FE</t>
  </si>
  <si>
    <t>45495430</t>
  </si>
  <si>
    <t>PANAIFO OROCHE CINDY KIABETH</t>
  </si>
  <si>
    <t>CARRETERA IQUITOS NAUTA QUISTOCOCHA KM 5.5</t>
  </si>
  <si>
    <t>45498685</t>
  </si>
  <si>
    <t>ARAMBURU VELA DANIA ARELI</t>
  </si>
  <si>
    <t>NO TIENE NEGOCIO</t>
  </si>
  <si>
    <t>JR. AHUASHIYACU Nº 423 - LA BANDA DE SHILCAYO, SAN MARTIN, SAN MARTIN</t>
  </si>
  <si>
    <t>45513908</t>
  </si>
  <si>
    <t xml:space="preserve">VICTOR HUGO </t>
  </si>
  <si>
    <t>AUCAYO</t>
  </si>
  <si>
    <t>45517147</t>
  </si>
  <si>
    <t>MAGNO JAVIER ZUTA GUEVARA</t>
  </si>
  <si>
    <t>17 DE FEBRERO</t>
  </si>
  <si>
    <t>45519127</t>
  </si>
  <si>
    <t>APARICIO CAHUACHI KENDER</t>
  </si>
  <si>
    <t>LOS FRUTALES</t>
  </si>
  <si>
    <t>45532436</t>
  </si>
  <si>
    <t>PACAYA CACHIQUE EDINSON IVAN</t>
  </si>
  <si>
    <t>45549989</t>
  </si>
  <si>
    <t>PINEDO SHAPIAMA GLENDIZ</t>
  </si>
  <si>
    <t>CALLE.TENIENTE CESAR LOPEZ 501</t>
  </si>
  <si>
    <t>45561954</t>
  </si>
  <si>
    <t>HECTOR GIMENEZ MOCONOQUI</t>
  </si>
  <si>
    <t>45561971</t>
  </si>
  <si>
    <t>VILCHEZ AMIAS SINDI RUTH PRISCILA</t>
  </si>
  <si>
    <t>45586339</t>
  </si>
  <si>
    <t>SALAS SALES SEM</t>
  </si>
  <si>
    <t>CENTRO POBLADO SANTA MARIA-BAJO HUALLAGA</t>
  </si>
  <si>
    <t>45595913</t>
  </si>
  <si>
    <t>45595912</t>
  </si>
  <si>
    <t>ROBLES PISCO TORRES</t>
  </si>
  <si>
    <t>COMUNIDAD PETROLERA RIO CHAMBIRA</t>
  </si>
  <si>
    <t>45616222</t>
  </si>
  <si>
    <t>AMASIFUEN LACHUMA LUIS ALCIMIDES</t>
  </si>
  <si>
    <t>PASAJE VICTORIA MZ I LT 11</t>
  </si>
  <si>
    <t>45621924</t>
  </si>
  <si>
    <t>DAVILA TANGOA LOVEL</t>
  </si>
  <si>
    <t>Jr. Victoria Vasquez N  265</t>
  </si>
  <si>
    <t>Morales</t>
  </si>
  <si>
    <t>45627209</t>
  </si>
  <si>
    <t>SALDAÑA QUISPE SANDER HEBER</t>
  </si>
  <si>
    <t>CALLE VICTOR RAUL HAYA DE LA TORRE 112 MZ A LT 6</t>
  </si>
  <si>
    <t>45708924</t>
  </si>
  <si>
    <t>EDINSON LAVI PANDURO</t>
  </si>
  <si>
    <t>CARRETERA IQUITOS NAUTA KM 9- LOS DELFINES</t>
  </si>
  <si>
    <t>45715408</t>
  </si>
  <si>
    <t>INUMA PIZANGO ALBERTO</t>
  </si>
  <si>
    <t>45727318</t>
  </si>
  <si>
    <t>ERICK FRANK</t>
  </si>
  <si>
    <t>45728488</t>
  </si>
  <si>
    <t>MARILU NAZARIO SERAFIN</t>
  </si>
  <si>
    <t>9 DE OCTUBRE MZC LOTE 9</t>
  </si>
  <si>
    <t>45744615</t>
  </si>
  <si>
    <t>ARICARA HIDALGO JULIA ANGELA</t>
  </si>
  <si>
    <t>VILLA CAMELIAS  MZ A LOTE 18</t>
  </si>
  <si>
    <t>45750767</t>
  </si>
  <si>
    <t>ELIZABETH RUTH</t>
  </si>
  <si>
    <t>AV.2 MAYO MZ G LT 4</t>
  </si>
  <si>
    <t>45769554</t>
  </si>
  <si>
    <t>REATEGUI SOUZA GUSTAVO</t>
  </si>
  <si>
    <t>PSJE SAN LUIS 345</t>
  </si>
  <si>
    <t>45777807</t>
  </si>
  <si>
    <t>CESAR CHAVEZ REATEGUI</t>
  </si>
  <si>
    <t>BARRIO FLORIDO</t>
  </si>
  <si>
    <t>45778801</t>
  </si>
  <si>
    <t>JULCA JAVE WILSON EBER</t>
  </si>
  <si>
    <t>BELLA VISTA</t>
  </si>
  <si>
    <t>45810329</t>
  </si>
  <si>
    <t>PORTOCARRERO MANOSALVA MARIELA DEL PILAR</t>
  </si>
  <si>
    <t>San Pedro de Zapote - Carretera Jeberillos</t>
  </si>
  <si>
    <t>45877982</t>
  </si>
  <si>
    <t>RENGIFO PEREZ NORBERTO LINCER</t>
  </si>
  <si>
    <t>SOLEDAD  1232</t>
  </si>
  <si>
    <t>45889082</t>
  </si>
  <si>
    <t>YENNY ISABEL GONZALES ACOSTA</t>
  </si>
  <si>
    <t>45926180</t>
  </si>
  <si>
    <t>CIEZA RAMIREZ FRANK MICHEL</t>
  </si>
  <si>
    <t>JR. BOLOGNESI Nº 652 - BELLAVISTA - BELLAVISTA - SAN MARTIN</t>
  </si>
  <si>
    <t>45928472</t>
  </si>
  <si>
    <t>CINDY JAYNE GUERRA ROJAS</t>
  </si>
  <si>
    <t>CALLE 9 DE JUNIO NRO 174</t>
  </si>
  <si>
    <t>45931621</t>
  </si>
  <si>
    <t>BARDALES SANGAMA PITER</t>
  </si>
  <si>
    <t>COMUNIDAD CUSHILLOCOCHA S/N  - CABALLOCOCHA</t>
  </si>
  <si>
    <t>45949521</t>
  </si>
  <si>
    <t>HUIÑAPI CAHUAZA MANUEL</t>
  </si>
  <si>
    <t>CASERIO SAN JUAN - ALTO PARANAPURA</t>
  </si>
  <si>
    <t>45957405</t>
  </si>
  <si>
    <t>EMANUEL JUNIOR BARBOZA CHUFANDAMA</t>
  </si>
  <si>
    <t>CALLE JOSE BERNANDO ALCEDO 374</t>
  </si>
  <si>
    <t>45984312</t>
  </si>
  <si>
    <t>RIVAS ISLA JUAN</t>
  </si>
  <si>
    <t>CAL. JORGE CHAVEZ 1050 - IQUITOS</t>
  </si>
  <si>
    <t>45988784</t>
  </si>
  <si>
    <t>RENGIFO VALQUI RODRIGO FRANCISCO</t>
  </si>
  <si>
    <t>46011576</t>
  </si>
  <si>
    <t>ESEQUIEL YAICATE ARMAS</t>
  </si>
  <si>
    <t>CASERIO RAFAEL BELAUNDE 2</t>
  </si>
  <si>
    <t>46022359</t>
  </si>
  <si>
    <t>HUIÑAPI PAREDES JOSE</t>
  </si>
  <si>
    <t>A.A.H.H 28 DE JULIO - INDEPENDENCIA</t>
  </si>
  <si>
    <t>46078147</t>
  </si>
  <si>
    <t>INUMA TANGOA GEUGENIO</t>
  </si>
  <si>
    <t>Comunidad Soledad</t>
  </si>
  <si>
    <t>46080212</t>
  </si>
  <si>
    <t>VITIRI HUIÑAPI HELI</t>
  </si>
  <si>
    <t>46095229</t>
  </si>
  <si>
    <t>SALDAÑA SOUZA SULI DORIS</t>
  </si>
  <si>
    <t>COMUNIDAD SANTA LUCIA RIO NAPO</t>
  </si>
  <si>
    <t>46105256</t>
  </si>
  <si>
    <t>JACK VALVERDE LINARES</t>
  </si>
  <si>
    <t>PSJ. SOLDADO LUNA N.15 TUPAC</t>
  </si>
  <si>
    <t>46117392</t>
  </si>
  <si>
    <t>RIDMER</t>
  </si>
  <si>
    <t>CALLE VILLA PRIMAVERA S/N - SAMAN</t>
  </si>
  <si>
    <t>46123772</t>
  </si>
  <si>
    <t>DANIEL VELA COLLANTES</t>
  </si>
  <si>
    <t>46156787</t>
  </si>
  <si>
    <t>TRUJILLO CORAL CINTHYA JANETH</t>
  </si>
  <si>
    <t>POLVOS BLANCOS S/N - TOCACHE</t>
  </si>
  <si>
    <t>46156928</t>
  </si>
  <si>
    <t>MEZA GONGORA JOSE LUIS</t>
  </si>
  <si>
    <t>CALLE PRIMAVERA</t>
  </si>
  <si>
    <t>46175420</t>
  </si>
  <si>
    <t>JULIO FALCÓN ALVARADO</t>
  </si>
  <si>
    <t>CAL. LOS ROSALES A-4 - MASUSA</t>
  </si>
  <si>
    <t>46186087</t>
  </si>
  <si>
    <t>LOPEZ HUANAY VILMA</t>
  </si>
  <si>
    <t>CAL. TARAPACA S/N</t>
  </si>
  <si>
    <t>46224863</t>
  </si>
  <si>
    <t>CACERES VARGAS DEBORA</t>
  </si>
  <si>
    <t>CASERIO SANTO TOMAS</t>
  </si>
  <si>
    <t>46232762</t>
  </si>
  <si>
    <t>CACHIQUE CAYMATA JOSE RAFAEL</t>
  </si>
  <si>
    <t>BARRIO SAN JUAN</t>
  </si>
  <si>
    <t>46241896</t>
  </si>
  <si>
    <t>NELIDA CHAVEZ VASQUEZ</t>
  </si>
  <si>
    <t>APAYACU</t>
  </si>
  <si>
    <t>46243760</t>
  </si>
  <si>
    <t>JACKY CORDOVA RUIZ</t>
  </si>
  <si>
    <t>MERCADO MICAELA</t>
  </si>
  <si>
    <t>46255801</t>
  </si>
  <si>
    <t>AMASIFUEN YAICATE DENIS JHOEL</t>
  </si>
  <si>
    <t>CASERIO PROVENIR -RIO AMAZONAS</t>
  </si>
  <si>
    <t>46275097</t>
  </si>
  <si>
    <t>DIAS GUTIERREZ JANER</t>
  </si>
  <si>
    <t>CASERIO SARGENTO LORES</t>
  </si>
  <si>
    <t>46281600</t>
  </si>
  <si>
    <t>LUIS MIGUEL RODRIGUEZ ANDY</t>
  </si>
  <si>
    <t>46282318</t>
  </si>
  <si>
    <t>CINTIA YOLIZA</t>
  </si>
  <si>
    <t>JR. MALECON NRO. S/N BARRIO ROSARIO-SEPAHUA-ATALAYA-UCAYALI</t>
  </si>
  <si>
    <t>46309699</t>
  </si>
  <si>
    <t xml:space="preserve">MIRZA MARINA </t>
  </si>
  <si>
    <t>CALLEASCENCIO RIVERA C. POBLADO MUNICHIS MZ.A LT.05</t>
  </si>
  <si>
    <t>46310705</t>
  </si>
  <si>
    <t>SHEYLA DAHUA MACANILLA</t>
  </si>
  <si>
    <t>CALLE LAS FLORES MZ G LOTE 6</t>
  </si>
  <si>
    <t>46326836</t>
  </si>
  <si>
    <t>MACUYAMA TORRES WERLIN</t>
  </si>
  <si>
    <t>46336507</t>
  </si>
  <si>
    <t>ERICK DOSANTOS MACEDO</t>
  </si>
  <si>
    <t>46346119</t>
  </si>
  <si>
    <t>DIAZ RODRIGUEZ DIONISIO</t>
  </si>
  <si>
    <t>Maniti ZONA 1</t>
  </si>
  <si>
    <t>46349830</t>
  </si>
  <si>
    <t>SILVIA PASMINO SINTI</t>
  </si>
  <si>
    <t>CALVO DE ARAUJO 2482</t>
  </si>
  <si>
    <t>46350707</t>
  </si>
  <si>
    <t>JHOEL MAX FLORES MACEDO</t>
  </si>
  <si>
    <t>AV. 28 DE JULIO 515</t>
  </si>
  <si>
    <t>46355812</t>
  </si>
  <si>
    <t>AV. FER. BEL. TERRY #517 - NUEVO PROGRESO-TOCACHE-SAN MARTIN</t>
  </si>
  <si>
    <t>46368440</t>
  </si>
  <si>
    <t>TEDY JIPA CONDE</t>
  </si>
  <si>
    <t>46392836</t>
  </si>
  <si>
    <t>ALTO MONTE S/N</t>
  </si>
  <si>
    <t>46405441</t>
  </si>
  <si>
    <t>FRANZ LARRY BARTENS FERNANDEZ</t>
  </si>
  <si>
    <t>CALLE GARCIA SAENZ N 02</t>
  </si>
  <si>
    <t>46421601</t>
  </si>
  <si>
    <t>JESUS GONZALES WAGNER</t>
  </si>
  <si>
    <t>Caserio Gloria</t>
  </si>
  <si>
    <t>46436913</t>
  </si>
  <si>
    <t>BARRERA VALDERRAMA MERCY</t>
  </si>
  <si>
    <t>A.A.H.H CALLE BUENOS AIRES MZ A LT 8</t>
  </si>
  <si>
    <t>46457043</t>
  </si>
  <si>
    <t>NORIEGA CANAQUIRI BLANCA MARILYN</t>
  </si>
  <si>
    <t>LUIS ANTONIO OCUMBE TARICUARIMA</t>
  </si>
  <si>
    <t>JR. PROSPERO # 1451 - IQUITOS</t>
  </si>
  <si>
    <t>46470380</t>
  </si>
  <si>
    <t>GUEVARA CAHUAMARI PATTY CARO</t>
  </si>
  <si>
    <t>CALLE LOS FICUS MZ X LOTE 30</t>
  </si>
  <si>
    <t>46516682</t>
  </si>
  <si>
    <t>LOMAS VELA JORGE BENITO</t>
  </si>
  <si>
    <t>LA CIRCUVALACION PJE OLMEX ESCALANTE</t>
  </si>
  <si>
    <t>46527365</t>
  </si>
  <si>
    <t>SHUÑA ZAMBRANO JAMETH VISMAR</t>
  </si>
  <si>
    <t>CASERIO SUNICAÑO</t>
  </si>
  <si>
    <t>46527382</t>
  </si>
  <si>
    <t>YAHUARCANI MORI SANDRA</t>
  </si>
  <si>
    <t>SANTA CECILIA</t>
  </si>
  <si>
    <t>46529749</t>
  </si>
  <si>
    <t>GOMEZ SANGAMA MICHAEL JHOAN</t>
  </si>
  <si>
    <t>46540008</t>
  </si>
  <si>
    <t>PEREZ FLORES RITA</t>
  </si>
  <si>
    <t>CAÑAVERAL</t>
  </si>
  <si>
    <t>46543691</t>
  </si>
  <si>
    <t>GOMEZ SIRI DIANA CLARIBETT</t>
  </si>
  <si>
    <t>46550562</t>
  </si>
  <si>
    <t>CUMARI ZUMBA LIDER</t>
  </si>
  <si>
    <t>46577614</t>
  </si>
  <si>
    <t>FLORES RICOPA BRAULIO SANTOS</t>
  </si>
  <si>
    <t>46582354</t>
  </si>
  <si>
    <t>GEISON GUERRA SANCHEZ</t>
  </si>
  <si>
    <t>CALLE. LOS ANGELES S/N HUACRACHIRO</t>
  </si>
  <si>
    <t>46624753</t>
  </si>
  <si>
    <t>ALIAGA RIVERA SARA SARITA</t>
  </si>
  <si>
    <t>AV.CIRCUNVALACION MERCADILLO SAN LORENZO/PUESTO 26-27 / PICHANANQUI</t>
  </si>
  <si>
    <t>46642599</t>
  </si>
  <si>
    <t>JOEL PEREZ ASIPALI</t>
  </si>
  <si>
    <t>46662019</t>
  </si>
  <si>
    <t>46689072</t>
  </si>
  <si>
    <t>CHAVEZ FLORES ERICK JONATHAN</t>
  </si>
  <si>
    <t>PARTICIPACION</t>
  </si>
  <si>
    <t>46698217</t>
  </si>
  <si>
    <t>JUAN FERNANDO RONDONA PANDURO</t>
  </si>
  <si>
    <t>SR DE LOS MILAGROS 384</t>
  </si>
  <si>
    <t>46701346</t>
  </si>
  <si>
    <t>MILTON VARGAS VENANCINO</t>
  </si>
  <si>
    <t>ALFONSO UGARTE S/N YURIMAGUAS</t>
  </si>
  <si>
    <t>46703226</t>
  </si>
  <si>
    <t>CALIXTO PIZANGO TARICUARIMA</t>
  </si>
  <si>
    <t>CASERIO SINCHICUY</t>
  </si>
  <si>
    <t>46711146</t>
  </si>
  <si>
    <t>GRANDEZ AGUIRRE GINO MICHELL</t>
  </si>
  <si>
    <t>Juanjuí</t>
  </si>
  <si>
    <t>Habana</t>
  </si>
  <si>
    <t>46729296</t>
  </si>
  <si>
    <t>ISABEL MEGO CARHUA</t>
  </si>
  <si>
    <t>JR MARAÑON N1105 - SAN LORENZO</t>
  </si>
  <si>
    <t>46730811</t>
  </si>
  <si>
    <t>CACHIQUE INUMA LIXMAN EOCLIDES</t>
  </si>
  <si>
    <t>SAN GABREIL DE VARADERO</t>
  </si>
  <si>
    <t>46731240</t>
  </si>
  <si>
    <t>RAMIREZ DELGADO LUZ LADY</t>
  </si>
  <si>
    <t>JR. SOSIMO RIVAS S/N  - LAMAS - LAMAS - SAN MARTIN</t>
  </si>
  <si>
    <t>46740964</t>
  </si>
  <si>
    <t>LANCHA CHOTA JULIO CESAR</t>
  </si>
  <si>
    <t>FRAY MARTIN- RIO PARANAPURA</t>
  </si>
  <si>
    <t>46811419</t>
  </si>
  <si>
    <t>RUBEN ALFONSO SAAVEDRA DEL AGUILA</t>
  </si>
  <si>
    <t>F</t>
  </si>
  <si>
    <t>PSJE BENAVIDES 115</t>
  </si>
  <si>
    <t>46818237</t>
  </si>
  <si>
    <t>NAMUCHE MORALES NIDIA YANET</t>
  </si>
  <si>
    <t>46821034</t>
  </si>
  <si>
    <t>JOEL TORRES MONDRAGON</t>
  </si>
  <si>
    <t>46823353</t>
  </si>
  <si>
    <t>VENTURA GRANDEZ ALBERTH EISTEN</t>
  </si>
  <si>
    <t>VILLA PAMPAHERMOSA - KARRETERA YU-TARAPOTO KM 46</t>
  </si>
  <si>
    <t>46828389</t>
  </si>
  <si>
    <t>TANGOA ASIPALI ABIEL</t>
  </si>
  <si>
    <t>Caserio Panan - Alto Paranapura</t>
  </si>
  <si>
    <t>46832795</t>
  </si>
  <si>
    <t>VILLACREZ PACAYA YOLANDA</t>
  </si>
  <si>
    <t>CALLE LAS FRONTERAS MZ H LOTE 10</t>
  </si>
  <si>
    <t>46835226</t>
  </si>
  <si>
    <t>SHUPINGAHUA RIOS MARLENE DIONEX</t>
  </si>
  <si>
    <t>46881170</t>
  </si>
  <si>
    <t>SILVANO HUIÑAPI SEGUNDO ANSELMO</t>
  </si>
  <si>
    <t>PALMICHI</t>
  </si>
  <si>
    <t>Cahuapanas</t>
  </si>
  <si>
    <t>46894407</t>
  </si>
  <si>
    <t>MARGARITA MACHOA TORRES</t>
  </si>
  <si>
    <t>CAL. FERNANDO MELENDEZ MZ.E LT. 15 - TERMINAL</t>
  </si>
  <si>
    <t>46897087</t>
  </si>
  <si>
    <t>JUAN CARLOS MEZA ISUIZA</t>
  </si>
  <si>
    <t>BAGAZAN</t>
  </si>
  <si>
    <t>46916811</t>
  </si>
  <si>
    <t>PABLO ANDRADE GONZALEZ</t>
  </si>
  <si>
    <t>ORELLANA</t>
  </si>
  <si>
    <t>46930384</t>
  </si>
  <si>
    <t>NOEMI GULLER PAREJA</t>
  </si>
  <si>
    <t>PSJ ESPERANZA MZ-A LTE 31 URB.  FRANCISCO RAFAEL - PUNCHANA</t>
  </si>
  <si>
    <t>46973518</t>
  </si>
  <si>
    <t>NATORCE TUESTA ELEAZAR</t>
  </si>
  <si>
    <t>18 DE JULIO-RIO MARAÑON</t>
  </si>
  <si>
    <t>47031123</t>
  </si>
  <si>
    <t>WILLER IJUMA RENGIFO</t>
  </si>
  <si>
    <t>ANTIOQUIA</t>
  </si>
  <si>
    <t>47031664</t>
  </si>
  <si>
    <t>VASQUEZ PINEDO JEREMIAS</t>
  </si>
  <si>
    <t>COM. BRILLO NUEVO</t>
  </si>
  <si>
    <t>47034949</t>
  </si>
  <si>
    <t>YUMBATO CASTRO JOHAN SEBASTIAN</t>
  </si>
  <si>
    <t>ASOC. AGRARIA INCA ROCA PARCELA B-08</t>
  </si>
  <si>
    <t>47038004</t>
  </si>
  <si>
    <t>ROJAS VASQUEZ JOSE CARLOS</t>
  </si>
  <si>
    <t>Psj. Los Jardines N 105 - La Primavera</t>
  </si>
  <si>
    <t>47042672</t>
  </si>
  <si>
    <t>GARCIA DA SILVA BREMNER KENNEDY EIDER</t>
  </si>
  <si>
    <t>CABALLO COCHA</t>
  </si>
  <si>
    <t>47048743</t>
  </si>
  <si>
    <t>GOICOCHEA NUÑEZ ABRAHAM SAKEO</t>
  </si>
  <si>
    <t>47056093</t>
  </si>
  <si>
    <t>HUANCHO TAFUR TATIANA DEL PILAR</t>
  </si>
  <si>
    <t>CRUZEIRO 136</t>
  </si>
  <si>
    <t>47064825</t>
  </si>
  <si>
    <t>INUMA MACEDO SANDRA MELISSA</t>
  </si>
  <si>
    <t xml:space="preserve">PESCA </t>
  </si>
  <si>
    <t>ALFONSO UGARTE MZ.N LT04 YARINACOCHA</t>
  </si>
  <si>
    <t>47087194</t>
  </si>
  <si>
    <t>FATAMA RODRIGUEZ HAIWORD ELIAS</t>
  </si>
  <si>
    <t>GUEPPI</t>
  </si>
  <si>
    <t>47091678</t>
  </si>
  <si>
    <t>GUTIERREZ AJON FREDY</t>
  </si>
  <si>
    <t>Alianza - Villa</t>
  </si>
  <si>
    <t>47149629</t>
  </si>
  <si>
    <t>FLORES ALVAREZ CARMELA</t>
  </si>
  <si>
    <t>47185976</t>
  </si>
  <si>
    <t>NUÑEZ SAYAGO KELLY KAREN</t>
  </si>
  <si>
    <t>CALLE. ELIAS AGUIRRE  NRO 1568</t>
  </si>
  <si>
    <t>47209902</t>
  </si>
  <si>
    <t>SCHUVERT SALAS RENGIFO</t>
  </si>
  <si>
    <t>MALECON BUENOS AIRE N 102</t>
  </si>
  <si>
    <t>47210188</t>
  </si>
  <si>
    <t>RUTH MENDOZA RAMIREZ</t>
  </si>
  <si>
    <t>47244743</t>
  </si>
  <si>
    <t>INUMA MACUSI CARLOS</t>
  </si>
  <si>
    <t>CCNN.ALIANZA</t>
  </si>
  <si>
    <t>47253896</t>
  </si>
  <si>
    <t>REVILLA VASQUEZ LEVI</t>
  </si>
  <si>
    <t>Calle Shanusi - Villa Alianza</t>
  </si>
  <si>
    <t>Caynarachi</t>
  </si>
  <si>
    <t>47258422</t>
  </si>
  <si>
    <t>MACEDO CLAVINTO JOSE ISRAEL</t>
  </si>
  <si>
    <t>CALLE LAS FLORES SN</t>
  </si>
  <si>
    <t>47261173</t>
  </si>
  <si>
    <t>LUZGARDA LAULATE ZAMBRANO</t>
  </si>
  <si>
    <t>RAMON CASTILLA 278</t>
  </si>
  <si>
    <t>47277097</t>
  </si>
  <si>
    <t>YAICATE CHAVEZ JOSE ANTONIO</t>
  </si>
  <si>
    <t>47319725</t>
  </si>
  <si>
    <t>VIEDONIO APGUEÑO CURITIMA</t>
  </si>
  <si>
    <t xml:space="preserve">RIO PUINAHUA OLLANTA </t>
  </si>
  <si>
    <t>47321762</t>
  </si>
  <si>
    <t>LANCHA PIZANGO SAULIN</t>
  </si>
  <si>
    <t>COMUNIDAD NATIVA LORETO</t>
  </si>
  <si>
    <t>47332090</t>
  </si>
  <si>
    <t>TUYTUY MAGIN JESUS ANGEL</t>
  </si>
  <si>
    <t>7 DE MARZO</t>
  </si>
  <si>
    <t>47335612</t>
  </si>
  <si>
    <t>YONNY HAROLD</t>
  </si>
  <si>
    <t>JR MANTARO 635 HUANCAYO-HUANCAYO-JUNIN</t>
  </si>
  <si>
    <t>47359600</t>
  </si>
  <si>
    <t>NOA LANZA FRANCLIN</t>
  </si>
  <si>
    <t>47368615</t>
  </si>
  <si>
    <t>OCHAVANO CARITIMARI PRISCILA FIORELA</t>
  </si>
  <si>
    <t>47373162</t>
  </si>
  <si>
    <t>KENI</t>
  </si>
  <si>
    <t>47375872</t>
  </si>
  <si>
    <t>AMASIFUEN PASHANASI ANTENOR</t>
  </si>
  <si>
    <t>ATAHUALPA N 316</t>
  </si>
  <si>
    <t>47394073</t>
  </si>
  <si>
    <t>JHES JASPER SANDOVAL CAÑARI</t>
  </si>
  <si>
    <t>AV TOPAL S/N - MAYPUCO</t>
  </si>
  <si>
    <t>47396946</t>
  </si>
  <si>
    <t>TANGOA LANCHA JOSUE</t>
  </si>
  <si>
    <t>Comunidad Pucallpillo</t>
  </si>
  <si>
    <t>47406321</t>
  </si>
  <si>
    <t>GLISMAN GUILLEN CAHUACHI</t>
  </si>
  <si>
    <t>ABANCAY CON HUASCAR</t>
  </si>
  <si>
    <t>47427112</t>
  </si>
  <si>
    <t>NOE</t>
  </si>
  <si>
    <t>SANTA MARIA DE NIEVA</t>
  </si>
  <si>
    <t>47461631</t>
  </si>
  <si>
    <t>OSCCO CONDORI JUAN ROIS</t>
  </si>
  <si>
    <t>PUERTO GUERRA SN - PEBAS</t>
  </si>
  <si>
    <t>47481532</t>
  </si>
  <si>
    <t>ALCIDES ESPIRITU ARANDA</t>
  </si>
  <si>
    <t>AV. VIA DE EVITAMIENTO S/N-MANANTAY-C.PORTILLO</t>
  </si>
  <si>
    <t>47482964</t>
  </si>
  <si>
    <t>JR. SEPAHUA S/N - SEPAHUA</t>
  </si>
  <si>
    <t>47485030</t>
  </si>
  <si>
    <t>SULLCA IRRAZABAL BETSAIDA</t>
  </si>
  <si>
    <t>47495701</t>
  </si>
  <si>
    <t>CUBICAJE PAIMA JORGE KARD</t>
  </si>
  <si>
    <t>47519615</t>
  </si>
  <si>
    <t>TALEXIO HUIÑAPI PAOLA</t>
  </si>
  <si>
    <t>AV. LA ESPERANZA R-1 PV RESID LAS AMERICAS</t>
  </si>
  <si>
    <t>47519725</t>
  </si>
  <si>
    <t>APAGUEÑO CURITIMA VIEDONIO</t>
  </si>
  <si>
    <t>NUEVO PROGRESO  OLLANTA</t>
  </si>
  <si>
    <t>47522616</t>
  </si>
  <si>
    <t>DANNY RAQUEL JIMENEZ GALVEZ</t>
  </si>
  <si>
    <t>CAS. CHIMBOTE SN - CHIMBOTE</t>
  </si>
  <si>
    <t>47522624</t>
  </si>
  <si>
    <t>JANETH CARRION QUISPE</t>
  </si>
  <si>
    <t>47526255</t>
  </si>
  <si>
    <t>VELASQUEZ CASIQUE JACK LARRY</t>
  </si>
  <si>
    <t>SANTA ISABEL-BAJO MARAÑON</t>
  </si>
  <si>
    <t>47554388</t>
  </si>
  <si>
    <t>47588030</t>
  </si>
  <si>
    <t>AYBAR JAIME MARK WILLIAMS</t>
  </si>
  <si>
    <t>ROCA FUERTE S/N MANANTAY</t>
  </si>
  <si>
    <t>47591255</t>
  </si>
  <si>
    <t>LUCAS MORENO DE LA CRUZ</t>
  </si>
  <si>
    <t>SAN PABLO-BAJO AMAZONAS</t>
  </si>
  <si>
    <t>47599596</t>
  </si>
  <si>
    <t>RUBEN RUIZ PANDURO</t>
  </si>
  <si>
    <t>CASERIO EL TIGRE-SHUCUSHYACU</t>
  </si>
  <si>
    <t>47613812</t>
  </si>
  <si>
    <t>MORI ESTRADA ALDO</t>
  </si>
  <si>
    <t>CALLE SAN MARCO 114 JUAQUIN ABENSUR</t>
  </si>
  <si>
    <t>47621730</t>
  </si>
  <si>
    <t>TAPULLIMA TAPULLIMA ALCIDES</t>
  </si>
  <si>
    <t>47650514</t>
  </si>
  <si>
    <t>YUPE HUANSI DARWIN</t>
  </si>
  <si>
    <t>GRAU CUADRA 10 CON 2 DE MAYO 124</t>
  </si>
  <si>
    <t>47681746</t>
  </si>
  <si>
    <t>MOLANO PEÑA HERLY HARRY</t>
  </si>
  <si>
    <t>47739448</t>
  </si>
  <si>
    <t>MANUEL DAVILA ALVA</t>
  </si>
  <si>
    <t>47754142</t>
  </si>
  <si>
    <t>DEL AGUILA MANUYAMA JUAN MANUEL</t>
  </si>
  <si>
    <t>CASERIO SANTA CLARA AV. NANAY</t>
  </si>
  <si>
    <t>47754147</t>
  </si>
  <si>
    <t>SIN TIENDA</t>
  </si>
  <si>
    <t>JR: LIBERTAD-BARRANQUITA</t>
  </si>
  <si>
    <t>47814948</t>
  </si>
  <si>
    <t>MONICA PATRICIA ROJAS CATASHUMBA</t>
  </si>
  <si>
    <t>47818237</t>
  </si>
  <si>
    <t>RUSBER ANIBAL EXALTACION RENGIFO</t>
  </si>
  <si>
    <t>47823354</t>
  </si>
  <si>
    <t>NURIBE INUMA LUIS</t>
  </si>
  <si>
    <t>CHAMBIRA</t>
  </si>
  <si>
    <t>47837164</t>
  </si>
  <si>
    <t>SILVIA MARIBEL</t>
  </si>
  <si>
    <t>47849280</t>
  </si>
  <si>
    <t>TIHUAIRO YUYARIMA PREGIL</t>
  </si>
  <si>
    <t>Arahuanta</t>
  </si>
  <si>
    <t>47849305</t>
  </si>
  <si>
    <t>CANDY SAYDA ARANZA BENDEZU</t>
  </si>
  <si>
    <t>AV. LA CULTURAS S/N  PICHARI- CONVENCIONCUSCO</t>
  </si>
  <si>
    <t>47859051</t>
  </si>
  <si>
    <t>DIEGO ANTONIO</t>
  </si>
  <si>
    <t>JR URUBANBA SN</t>
  </si>
  <si>
    <t>47869197</t>
  </si>
  <si>
    <t>TANGOA NOTENO FLOIDA</t>
  </si>
  <si>
    <t>-.</t>
  </si>
  <si>
    <t>COMUNIDAD NUEVA ESPERANZA</t>
  </si>
  <si>
    <t>TENIENTE MANUEL CLAVERO</t>
  </si>
  <si>
    <t>47875763</t>
  </si>
  <si>
    <t>AHUANARI TORO JAIR REYNEL</t>
  </si>
  <si>
    <t>CHIMBOTE BAJO AMAZONAS</t>
  </si>
  <si>
    <t>47896589</t>
  </si>
  <si>
    <t>MEZA ROBLES ALADINO</t>
  </si>
  <si>
    <t>CASERIO NUEVO LORETO</t>
  </si>
  <si>
    <t>47901808</t>
  </si>
  <si>
    <t>NAJAIRA ZAZA</t>
  </si>
  <si>
    <t>47922300</t>
  </si>
  <si>
    <t>WALDO</t>
  </si>
  <si>
    <t>MANATAY PUCALLPA</t>
  </si>
  <si>
    <t>47926427</t>
  </si>
  <si>
    <t>ALVARO VELA MANIHUARI</t>
  </si>
  <si>
    <t>CASERIO VILLASIS</t>
  </si>
  <si>
    <t>47926841</t>
  </si>
  <si>
    <t>DELGADO TORRES WILDOR</t>
  </si>
  <si>
    <t>47933424</t>
  </si>
  <si>
    <t>LELI TAIS YASPANA DIAZ</t>
  </si>
  <si>
    <t>JR. SANTOS CHOCANO</t>
  </si>
  <si>
    <t>47947009</t>
  </si>
  <si>
    <t>TANGOA MONGE LENY AMPARO</t>
  </si>
  <si>
    <t>C.P. SANTA MARIA</t>
  </si>
  <si>
    <t>47953706</t>
  </si>
  <si>
    <t>RONALD</t>
  </si>
  <si>
    <t>JR. LIMA S/N-AUCAYACU-JOSE CRESPO-L.PRADO-HUANUCO</t>
  </si>
  <si>
    <t>47968253</t>
  </si>
  <si>
    <t>YUMBATO LINARES REIDEN</t>
  </si>
  <si>
    <t>PUERTO PRINCIPAL SN</t>
  </si>
  <si>
    <t>47994574</t>
  </si>
  <si>
    <t>VARGAS PEÑA JUAN LORENZO</t>
  </si>
  <si>
    <t>Garcilaso N 320</t>
  </si>
  <si>
    <t>48013901</t>
  </si>
  <si>
    <t>HUAMAN BERNILLA WILDER</t>
  </si>
  <si>
    <t>SAN PABLO S/ N</t>
  </si>
  <si>
    <t>48017769</t>
  </si>
  <si>
    <t>SCAVINO DIAZ HERBERT ANTONIO</t>
  </si>
  <si>
    <t>CALLE RAIMONDI 328</t>
  </si>
  <si>
    <t>48028088</t>
  </si>
  <si>
    <t>PANDURO MACAHUACHI ANITA RUTH</t>
  </si>
  <si>
    <t>48031465</t>
  </si>
  <si>
    <t>GALARRETA FUELMONTH CRISTHIAN ALEJANDRO</t>
  </si>
  <si>
    <t>FEDERICO VILLARREAL 373</t>
  </si>
  <si>
    <t>48037858</t>
  </si>
  <si>
    <t>AREVALO CHUMBE BEDREDIN</t>
  </si>
  <si>
    <t>VENTA MAQUINARIAS AGRICOLAS</t>
  </si>
  <si>
    <t>JR. FRANCISCO BOLOGNESI Nº 159 CP 9 DE ABRIL  - TARAPOTO - SAN MARTIN - SAN MARTIN</t>
  </si>
  <si>
    <t>48055283</t>
  </si>
  <si>
    <t>HUAMAN MURAYARI AUGUSTO</t>
  </si>
  <si>
    <t>4806</t>
  </si>
  <si>
    <t>74605457</t>
  </si>
  <si>
    <t>ISUIZA AMARINGO JOSE PASTOR</t>
  </si>
  <si>
    <t>SAN GABRIEL DE VARADERO</t>
  </si>
  <si>
    <t>48060816</t>
  </si>
  <si>
    <t>JORGE IGNACIO INUMA</t>
  </si>
  <si>
    <t>48066643</t>
  </si>
  <si>
    <t>ELENA RODRÍGUEZ SATALAYA</t>
  </si>
  <si>
    <t>JULIO C/ABTAO S/N</t>
  </si>
  <si>
    <t>48075221</t>
  </si>
  <si>
    <t>ERLITA</t>
  </si>
  <si>
    <t>MERCADO DE YARINA COCHA</t>
  </si>
  <si>
    <t>48085631</t>
  </si>
  <si>
    <t>JAVIER</t>
  </si>
  <si>
    <t>AV. LIMA 256 AUCAYACU</t>
  </si>
  <si>
    <t>48088366</t>
  </si>
  <si>
    <t>MARGARITA SAJAMI ARAUJO</t>
  </si>
  <si>
    <t>VALLE DORADO PICHARI</t>
  </si>
  <si>
    <t>48090046</t>
  </si>
  <si>
    <t>BANEO RUCOBA ZENAURA FLORCITA</t>
  </si>
  <si>
    <t>Caserio Buenos Aires - Alto Paranapura</t>
  </si>
  <si>
    <t>48104662</t>
  </si>
  <si>
    <t>JUANITA LUCIA SONEHUA CAPINOA</t>
  </si>
  <si>
    <t>MANATI</t>
  </si>
  <si>
    <t>48131843</t>
  </si>
  <si>
    <t>PEREZ PINEDO SEGUNDO HILTER</t>
  </si>
  <si>
    <t>GUARDIA CIVIL  1579</t>
  </si>
  <si>
    <t>48172265</t>
  </si>
  <si>
    <t>GONZALES FLORES EZEQUIEL</t>
  </si>
  <si>
    <t>48184554</t>
  </si>
  <si>
    <t>TORRES RUCOBA ANA MARIA</t>
  </si>
  <si>
    <t>PANAN-BALSAPUERTO -LORETO</t>
  </si>
  <si>
    <t>48193234</t>
  </si>
  <si>
    <t>SANTANA NARVAEZ MARCELINO</t>
  </si>
  <si>
    <t>48198609</t>
  </si>
  <si>
    <t>MELITA SALAZAR ASHANGA</t>
  </si>
  <si>
    <t>SAN JUAN DE YANAYACU</t>
  </si>
  <si>
    <t>48200050</t>
  </si>
  <si>
    <t>JHON LINCOLN</t>
  </si>
  <si>
    <t>JR SIMON BOLIVAR S/N -AGUAYTIA- PADRE ABAD</t>
  </si>
  <si>
    <t>48201179</t>
  </si>
  <si>
    <t>SULI JUDITH CONDE SHIHUANGO</t>
  </si>
  <si>
    <t>48204652</t>
  </si>
  <si>
    <t>HUANCHO SHAHUANO SARA</t>
  </si>
  <si>
    <t>48216518</t>
  </si>
  <si>
    <t>CALLE. MARIA ELIA S/N - INTUTO</t>
  </si>
  <si>
    <t>48229861</t>
  </si>
  <si>
    <t>GUIDELTI HUANUIRE FLORES</t>
  </si>
  <si>
    <t>JOSE OLAYA 385</t>
  </si>
  <si>
    <t>48240741</t>
  </si>
  <si>
    <t>EDUARDO YSMODES FLORES</t>
  </si>
  <si>
    <t>JR. AMAZONAS N</t>
  </si>
  <si>
    <t>48251715</t>
  </si>
  <si>
    <t>DEL AGUILA DO SANTOS GREYSI</t>
  </si>
  <si>
    <t>CALLE PROGRESO MZ C LT 25</t>
  </si>
  <si>
    <t>48256387</t>
  </si>
  <si>
    <t>ZUTA PANAIJO JAQUELINE</t>
  </si>
  <si>
    <t>CASERIO POLLERA POZA</t>
  </si>
  <si>
    <t>48272723</t>
  </si>
  <si>
    <t>RODRIGUEZ RUIZ LUIS</t>
  </si>
  <si>
    <t>48284834</t>
  </si>
  <si>
    <t>TANGOA TORRES EDWIN SAMUEL</t>
  </si>
  <si>
    <t>Comunidad Moyobambillo</t>
  </si>
  <si>
    <t>48307104</t>
  </si>
  <si>
    <t>SISI RUIZ LOMAS PINEDO</t>
  </si>
  <si>
    <t>28 DE JULIO 1058-PUNCHANA</t>
  </si>
  <si>
    <t>48310419</t>
  </si>
  <si>
    <t>ELISEO</t>
  </si>
  <si>
    <t>JR AYACUCHO 422 LA MERCED</t>
  </si>
  <si>
    <t>48315587</t>
  </si>
  <si>
    <t>TINEO QUISPE YORGING ANTONY</t>
  </si>
  <si>
    <t>PSJ HUALLAGA MZ B LT21</t>
  </si>
  <si>
    <t>48342105</t>
  </si>
  <si>
    <t>RAUL EDWIN</t>
  </si>
  <si>
    <t>JIRÓN PANGOA</t>
  </si>
  <si>
    <t>48357810</t>
  </si>
  <si>
    <t>HUAICAMA HUANSI MANUEL</t>
  </si>
  <si>
    <t>48361730</t>
  </si>
  <si>
    <t>SALAZAR VASQUEZ ORLANDO</t>
  </si>
  <si>
    <t>CASERIO MIGUEL GRAU KM 40</t>
  </si>
  <si>
    <t>48362670</t>
  </si>
  <si>
    <t>PAPA ANDI NURIA LLOQUINA</t>
  </si>
  <si>
    <t>CASERIO BANDEJA ISLA</t>
  </si>
  <si>
    <t>48364722</t>
  </si>
  <si>
    <t>PIZARRO ALMEIDA JAMIL</t>
  </si>
  <si>
    <t>CASERIO RAFAEL BELAUNDE 2 ZONA</t>
  </si>
  <si>
    <t>48379221</t>
  </si>
  <si>
    <t>MARY AHUANARI IBARAN</t>
  </si>
  <si>
    <t>PSJ MIAMI S/N</t>
  </si>
  <si>
    <t>48390225</t>
  </si>
  <si>
    <t>CANAYO PAYMA NEDER</t>
  </si>
  <si>
    <t>COMUNIDAD NUEVA JERUSALEN RIO CORRIENTE</t>
  </si>
  <si>
    <t>48393753</t>
  </si>
  <si>
    <t>ROGER SANDI PANAIFO</t>
  </si>
  <si>
    <t>48394438</t>
  </si>
  <si>
    <t>AMALIA MARINA</t>
  </si>
  <si>
    <t>48410714</t>
  </si>
  <si>
    <t>JOSE BENITO NADUCHI COTRINA</t>
  </si>
  <si>
    <t>ALTO HUALLAGA- CASERIO YAHUAR</t>
  </si>
  <si>
    <t>48433001</t>
  </si>
  <si>
    <t>MARIA LUZ MORETO MALDONADO</t>
  </si>
  <si>
    <t xml:space="preserve">LAS PRADERAS SN YURIMAGUAS </t>
  </si>
  <si>
    <t>48440694</t>
  </si>
  <si>
    <t>NOE VARGAS CRUZ</t>
  </si>
  <si>
    <t xml:space="preserve">JR.LA FLORIDA S/N </t>
  </si>
  <si>
    <t>48475266</t>
  </si>
  <si>
    <t>TAPULLIMA CAPINOA ENITH MILAGROS</t>
  </si>
  <si>
    <t>48505567</t>
  </si>
  <si>
    <t>FERNANDES CASTERNOQUE MAGALY</t>
  </si>
  <si>
    <t>Caserio San Antonio - Bajo Huallaga</t>
  </si>
  <si>
    <t>48505568</t>
  </si>
  <si>
    <t>PIZANGO PUA LIBNER</t>
  </si>
  <si>
    <t>COMUNIDAD NATIVA LIBERTAD</t>
  </si>
  <si>
    <t>48520094</t>
  </si>
  <si>
    <t>SERAFIN RICOPA SILVA</t>
  </si>
  <si>
    <t>HUACRACHIRO RIO PUINAHUA</t>
  </si>
  <si>
    <t>48526660</t>
  </si>
  <si>
    <t>TICUÑA YUTO OMAR</t>
  </si>
  <si>
    <t>PUERTO HENRY SN</t>
  </si>
  <si>
    <t>05372268</t>
  </si>
  <si>
    <t>48540552</t>
  </si>
  <si>
    <t>JEANS DAVILA ZUÑIGA</t>
  </si>
  <si>
    <t>48559481</t>
  </si>
  <si>
    <t>PUA HUANSI SEGUNDO</t>
  </si>
  <si>
    <t>PUERTO PORVENIR</t>
  </si>
  <si>
    <t>48574554</t>
  </si>
  <si>
    <t>ELENA PEREZ GUZMAN</t>
  </si>
  <si>
    <t>SANTA MARTHA</t>
  </si>
  <si>
    <t>48580907</t>
  </si>
  <si>
    <t>PINEDO TANGOA EMILIO</t>
  </si>
  <si>
    <t>SAN FRANCISCO DE ANGAMOS</t>
  </si>
  <si>
    <t>48584794</t>
  </si>
  <si>
    <t>EDDY ENRIQUE</t>
  </si>
  <si>
    <t>48589014</t>
  </si>
  <si>
    <t>MANIHUARI ALVA RENIMER</t>
  </si>
  <si>
    <t>48591586</t>
  </si>
  <si>
    <t>RAMIREZ PIZANGO ANDY</t>
  </si>
  <si>
    <t>CACHIHUÑUSHCA-CARRETERA JEBERILLOS</t>
  </si>
  <si>
    <t>48596991</t>
  </si>
  <si>
    <t>SELMITH OROSCO REATEGUI</t>
  </si>
  <si>
    <t>CALLE SANTA ROSA ASENT H. ROSA</t>
  </si>
  <si>
    <t>48600034</t>
  </si>
  <si>
    <t>SORALUZ  AMASIFUENTES RENZO URIEL</t>
  </si>
  <si>
    <t>AV. PADRE LUCERO N 1332 - LAGUNAS</t>
  </si>
  <si>
    <t>48619758</t>
  </si>
  <si>
    <t>LUISA BEATRIZ SOSA DURAND</t>
  </si>
  <si>
    <t>CALLE LAS MAGNOLIAS MZ B LT 19</t>
  </si>
  <si>
    <t>48621798</t>
  </si>
  <si>
    <t>LUIS HERNANDO ARANA FLORES</t>
  </si>
  <si>
    <t>NUEVO PEVAS</t>
  </si>
  <si>
    <t>48645284</t>
  </si>
  <si>
    <t>CASERIO:PUCALLPINO BALSAPUERTO</t>
  </si>
  <si>
    <t>48647707</t>
  </si>
  <si>
    <t>LEON HERRERA LUIS DANIEL</t>
  </si>
  <si>
    <t>CALLE.  AV PRINCIPAL   SARAMIRIZA   S/N</t>
  </si>
  <si>
    <t>48658836</t>
  </si>
  <si>
    <t>VALDERRAMA FACHIN ARLIN</t>
  </si>
  <si>
    <t>Lago Cuipari - Tnte. Cesar Lopez</t>
  </si>
  <si>
    <t>48692202</t>
  </si>
  <si>
    <t>LIMBER TORRES SIAS</t>
  </si>
  <si>
    <t>COM. PARAISO</t>
  </si>
  <si>
    <t>48700149</t>
  </si>
  <si>
    <t>CISNEROS YUPANQUI ENOC</t>
  </si>
  <si>
    <t>48719182</t>
  </si>
  <si>
    <t>ELBER SILVANO PEREZ</t>
  </si>
  <si>
    <t>MASUSA</t>
  </si>
  <si>
    <t>48721875</t>
  </si>
  <si>
    <t>PABLO GARCIA BARRERA</t>
  </si>
  <si>
    <t>48746349</t>
  </si>
  <si>
    <t>DENIS SMITH</t>
  </si>
  <si>
    <t>JR AGUILAR S/N - HUANUCO</t>
  </si>
  <si>
    <t>48794880</t>
  </si>
  <si>
    <t>JOSE MAPEZ FERREYRA</t>
  </si>
  <si>
    <t>48812371</t>
  </si>
  <si>
    <t>MACUSI VELA JOSE</t>
  </si>
  <si>
    <t>NUEVO LIBERTAD</t>
  </si>
  <si>
    <t>48815786</t>
  </si>
  <si>
    <t>CARLOS MACUSI AHUITE</t>
  </si>
  <si>
    <t>48819862</t>
  </si>
  <si>
    <t>DIAZ CHUJUTALLI MAX</t>
  </si>
  <si>
    <t>48820458</t>
  </si>
  <si>
    <t>CUSMA DIAZ EXEQUIEL</t>
  </si>
  <si>
    <t>COM GUADALUPE</t>
  </si>
  <si>
    <t>48834511</t>
  </si>
  <si>
    <t>DEYSI GUERRA BARDALES</t>
  </si>
  <si>
    <t>JR. MALECON S/N-ORELLANA</t>
  </si>
  <si>
    <t>48839524</t>
  </si>
  <si>
    <t>BARDALES TUANAMA ISRAEL</t>
  </si>
  <si>
    <t>CASERIO JORGE CHAVEZ LAGO PUCUNA</t>
  </si>
  <si>
    <t>48847715</t>
  </si>
  <si>
    <t>RIDMER DEL AGUILA GUEVARA</t>
  </si>
  <si>
    <t>48853487</t>
  </si>
  <si>
    <t>VENTURA PEREZ FELIX</t>
  </si>
  <si>
    <t>CALLE PORVENIR MZ -H-LT -32-AH TRIUNFO</t>
  </si>
  <si>
    <t>48856630</t>
  </si>
  <si>
    <t>AGKUASH KAJEKUI RICHAR</t>
  </si>
  <si>
    <t>JR. MARAÑON SN - SAN LORENZO</t>
  </si>
  <si>
    <t>48873446</t>
  </si>
  <si>
    <t>JHONATAN LANZA DEL AGUILA</t>
  </si>
  <si>
    <t>VERSALLES CALLE CENRAL</t>
  </si>
  <si>
    <t>48873989</t>
  </si>
  <si>
    <t>URAPARI JOTA NAYDI</t>
  </si>
  <si>
    <t>48890114</t>
  </si>
  <si>
    <t>JOSE ANIBAL RODRIGUEZ MORENO</t>
  </si>
  <si>
    <t>SECTOR SAN JOAQUIN</t>
  </si>
  <si>
    <t>48902338</t>
  </si>
  <si>
    <t>SALAS LANCHA CELMITH</t>
  </si>
  <si>
    <t>CASERIO BAGAZAN</t>
  </si>
  <si>
    <t>Pachiza</t>
  </si>
  <si>
    <t>48906569</t>
  </si>
  <si>
    <t>VIRGILIO SANCHEZ SANCHIUM</t>
  </si>
  <si>
    <t>SAN LORENZO S/N BARRANCA DATEM DEL MARAÑON</t>
  </si>
  <si>
    <t>48923822</t>
  </si>
  <si>
    <t>CORREA OLIVEROS ADOLFO</t>
  </si>
  <si>
    <t>SOPLIN VARGAS</t>
  </si>
  <si>
    <t>48939799</t>
  </si>
  <si>
    <t>ANTONIO YUMBO RIOJA</t>
  </si>
  <si>
    <t>CASERIO PETROLERO-CARRETERA IQUITOS NAUTA KM 41</t>
  </si>
  <si>
    <t>48941402</t>
  </si>
  <si>
    <t>ESTHER</t>
  </si>
  <si>
    <t>48955920</t>
  </si>
  <si>
    <t>YNUMA HUIÑAPI JUAN MANUEL</t>
  </si>
  <si>
    <t>CHAZUTA</t>
  </si>
  <si>
    <t>48979104</t>
  </si>
  <si>
    <t>DA COSTA LOZANO OLINDA</t>
  </si>
  <si>
    <t>CPM ISLA SANTA ROSA</t>
  </si>
  <si>
    <t>48988796</t>
  </si>
  <si>
    <t>PINEDO GAVIRIA EDINSON</t>
  </si>
  <si>
    <t>COMUNIDAD PRIMAVERA - RIO PUTUMAYO</t>
  </si>
  <si>
    <t>49004400</t>
  </si>
  <si>
    <t>REYNEL MANUYAMA RIOS</t>
  </si>
  <si>
    <t>COMUNIDAD NUEVO PENEYA</t>
  </si>
  <si>
    <t>49011075</t>
  </si>
  <si>
    <t>CAPINOA NOTENO ROBINSON</t>
  </si>
  <si>
    <t>CASERIO VILLA PRIMAVERA</t>
  </si>
  <si>
    <t>49011551</t>
  </si>
  <si>
    <t>WALDIR INUMA TORRES</t>
  </si>
  <si>
    <t>49016631</t>
  </si>
  <si>
    <t>LINDAURA SANCHEZ YAHUARCANI</t>
  </si>
  <si>
    <t>CASERIO NUEVO SAN JOSE -RIO ITAYA</t>
  </si>
  <si>
    <t>49017269</t>
  </si>
  <si>
    <t>OJAICURO VELA WILDER</t>
  </si>
  <si>
    <t>COMUNIDAD ALIANZA-RIO CHAMBIRA</t>
  </si>
  <si>
    <t>49021182</t>
  </si>
  <si>
    <t>MARIA FRANCISCA RIOS MAPEZ</t>
  </si>
  <si>
    <t>SARGENTO LORES MZ D LT2</t>
  </si>
  <si>
    <t>49035083</t>
  </si>
  <si>
    <t>MARTI SANJUAN GEMA TERESA</t>
  </si>
  <si>
    <t>49041636</t>
  </si>
  <si>
    <t>VEINTEMILLA GEBÓL WENINGER</t>
  </si>
  <si>
    <t>CALLE LAS CRISNEJAS 173 AH JOAQUIN ABENSUR</t>
  </si>
  <si>
    <t>49055326</t>
  </si>
  <si>
    <t>DANIEL YACTAYO MARICHIN</t>
  </si>
  <si>
    <t>CCNN DIAMANTE AZUL RIO NANAY</t>
  </si>
  <si>
    <t>ALTO NANAY</t>
  </si>
  <si>
    <t>49068930</t>
  </si>
  <si>
    <t>PEDRO OBDULIO ARICARI</t>
  </si>
  <si>
    <t>49083303</t>
  </si>
  <si>
    <t>TORRES PIZANGO ARQUIMEDES</t>
  </si>
  <si>
    <t>CASERIO PUERTO POR VENIR</t>
  </si>
  <si>
    <t>52885123</t>
  </si>
  <si>
    <t>CAL. JESUS DE PRADA S/N - FLOR DE PUNGA</t>
  </si>
  <si>
    <t>54786094</t>
  </si>
  <si>
    <t>ALEX</t>
  </si>
  <si>
    <t>CAL. SAN JUAN ZONA 2 S/N - JUANCITO</t>
  </si>
  <si>
    <t>55.555.555-5</t>
  </si>
  <si>
    <t>Contribuyente Extranjero</t>
  </si>
  <si>
    <t>Exportación</t>
  </si>
  <si>
    <t>60110927</t>
  </si>
  <si>
    <t>HUANSI VARGAS NIXON</t>
  </si>
  <si>
    <t>BAGAZAN - MARAÑON</t>
  </si>
  <si>
    <t>60187162</t>
  </si>
  <si>
    <t>CACHIRICO MACUSI WILIAN</t>
  </si>
  <si>
    <t>60266064</t>
  </si>
  <si>
    <t>Emily Paredes ahuanari</t>
  </si>
  <si>
    <t>flor de punga</t>
  </si>
  <si>
    <t>60496881</t>
  </si>
  <si>
    <t>ERICKSON</t>
  </si>
  <si>
    <t>CALLE MIRAFLORES S/N - MOYOBAMBA</t>
  </si>
  <si>
    <t>60544221</t>
  </si>
  <si>
    <t>LANCHA PUA RICHARD</t>
  </si>
  <si>
    <t>Comunidad Ancón - Cachiyacu</t>
  </si>
  <si>
    <t>60577136</t>
  </si>
  <si>
    <t>ROSA YBETH</t>
  </si>
  <si>
    <t>60590081</t>
  </si>
  <si>
    <t>JEAN POUL FASANADO ASIPALI</t>
  </si>
  <si>
    <t>PORTAL DE BELEN</t>
  </si>
  <si>
    <t>60590195</t>
  </si>
  <si>
    <t>CORDOVA VASQUEZ ADRIEL MAYER</t>
  </si>
  <si>
    <t>60647539</t>
  </si>
  <si>
    <t>TANGER INUMA AMACIFUEN</t>
  </si>
  <si>
    <t>CASERIO NUEVO UCHIZA</t>
  </si>
  <si>
    <t>60654748</t>
  </si>
  <si>
    <t>SILVANO MURAYARI ELVIA LIZETH</t>
  </si>
  <si>
    <t>URB.SARGENTO LORES L-12B</t>
  </si>
  <si>
    <t>60661494</t>
  </si>
  <si>
    <t>HUIÑAPI APUELA ABNEL</t>
  </si>
  <si>
    <t>60679022</t>
  </si>
  <si>
    <t>POANLLI OKAMA AKUMBARI</t>
  </si>
  <si>
    <t>COMUNIDAD NUEVA UNION RIO CHAPURI</t>
  </si>
  <si>
    <t>60692403</t>
  </si>
  <si>
    <t>REYES FACHIN GREYSI</t>
  </si>
  <si>
    <t>ACENTAMIENTO HUMANO SANTA ROSA R L M C T 9</t>
  </si>
  <si>
    <t>61055869</t>
  </si>
  <si>
    <t>JERLLY MONTES SANDY</t>
  </si>
  <si>
    <t>MICAELA BASTIDAS 538</t>
  </si>
  <si>
    <t>61065257</t>
  </si>
  <si>
    <t>EDOLINA</t>
  </si>
  <si>
    <t>AV. UNIÓN S/ N  - LA POZA</t>
  </si>
  <si>
    <t>61102382</t>
  </si>
  <si>
    <t>ROMERO CAINICELA JOSUE</t>
  </si>
  <si>
    <t>ISLANDIA PERU</t>
  </si>
  <si>
    <t>61283430</t>
  </si>
  <si>
    <t>AMPUDIA GUERRA DORILA ANGELITA</t>
  </si>
  <si>
    <t>AA.HH LOS SETICOS</t>
  </si>
  <si>
    <t>61319540</t>
  </si>
  <si>
    <t>COBOS VALLES JOSE TEOFILO</t>
  </si>
  <si>
    <t>CARRET.IQUITOS NAUTA KM 14 EL VARILLAL</t>
  </si>
  <si>
    <t>61396145</t>
  </si>
  <si>
    <t>ALBARO SIFUENTE NOLORBE</t>
  </si>
  <si>
    <t>ASENT H. UPIS LOS CLAVELES DE PARTE BAJA MZ 1LT2</t>
  </si>
  <si>
    <t>61425724</t>
  </si>
  <si>
    <t>ISAIAS MASHINGASHI</t>
  </si>
  <si>
    <t>COMUNIDAD NATIVA DE SHINGUITO</t>
  </si>
  <si>
    <t>61549780</t>
  </si>
  <si>
    <t>BARRERA SANDI NICOLI COCETI</t>
  </si>
  <si>
    <t>CALLE UNION 912</t>
  </si>
  <si>
    <t>61600754</t>
  </si>
  <si>
    <t>MEJIA MACUSI EFRAIN</t>
  </si>
  <si>
    <t>61680507</t>
  </si>
  <si>
    <t>LANZA JIPA JALMER</t>
  </si>
  <si>
    <t>COMUNIDAD NATIVA SAMUNA</t>
  </si>
  <si>
    <t>61734540</t>
  </si>
  <si>
    <t>MACUSI JOGUISTA SANTIAGO</t>
  </si>
  <si>
    <t>61753224</t>
  </si>
  <si>
    <t>TAMANI TIHUAIRO DEIVIS</t>
  </si>
  <si>
    <t>HUALLPA ISLA</t>
  </si>
  <si>
    <t>61946025</t>
  </si>
  <si>
    <t>NOLORBE SINARAHUA ARDIN</t>
  </si>
  <si>
    <t>CASERIO JUANCHO PLAYA -RIO NAPO</t>
  </si>
  <si>
    <t>62192199</t>
  </si>
  <si>
    <t>JAN JHOSSEP SHAHUANO CARIHUASARI</t>
  </si>
  <si>
    <t>62241816</t>
  </si>
  <si>
    <t>LLORAVANTE RODRIGUEZ LLERAL</t>
  </si>
  <si>
    <t>CASERIO SANTA TERESA - BAJO HUALLAGA</t>
  </si>
  <si>
    <t>62247074</t>
  </si>
  <si>
    <t>ANDRES OJAICATE MEJIA</t>
  </si>
  <si>
    <t>62256971</t>
  </si>
  <si>
    <t>WILMER CASTRO FERREYRA</t>
  </si>
  <si>
    <t>CAPIRONAL</t>
  </si>
  <si>
    <t>62311225</t>
  </si>
  <si>
    <t>APAGUEÑO PEREZ LEYSER ALFONSO</t>
  </si>
  <si>
    <t>SAN JOSE DE SAMIRIA - RIO MARAÑON</t>
  </si>
  <si>
    <t>62386767</t>
  </si>
  <si>
    <t>SANDRO SILVANO SANCHEZ</t>
  </si>
  <si>
    <t>COMUNIDAD 24 DE JUNIO -RIO AMAZONAS</t>
  </si>
  <si>
    <t>62397981</t>
  </si>
  <si>
    <t>RODRIGUEZ MANUYAMA RONY SAMUEL</t>
  </si>
  <si>
    <t>CLINTES</t>
  </si>
  <si>
    <t>YAQUERANA ANGAMOS</t>
  </si>
  <si>
    <t>62401114</t>
  </si>
  <si>
    <t>NOLBERTO MORENO HUAYTAN</t>
  </si>
  <si>
    <t>62429080</t>
  </si>
  <si>
    <t>TAYANDA TANCHINA RONALDO</t>
  </si>
  <si>
    <t>PUERTO BELEN</t>
  </si>
  <si>
    <t>Pastaza</t>
  </si>
  <si>
    <t>62440365</t>
  </si>
  <si>
    <t>PIZANGO AHUANARI MAYRA KARINA</t>
  </si>
  <si>
    <t>62537104</t>
  </si>
  <si>
    <t>CHAVEZ RAFEL ALEX JUNIOR</t>
  </si>
  <si>
    <t>62624245</t>
  </si>
  <si>
    <t>CAPPA MANUYAMA CELIA SELMIRA</t>
  </si>
  <si>
    <t>JOSE ABELARDO QUIÑONES - VIA DE EVITAMIENTO</t>
  </si>
  <si>
    <t>62699961</t>
  </si>
  <si>
    <t>REYNOSO TALEXIO TALEXIO</t>
  </si>
  <si>
    <t>CAL. LOS ROSALES MZ-A LT.42 - MASUSA</t>
  </si>
  <si>
    <t>62736816</t>
  </si>
  <si>
    <t>BARDALES NAVARRO MILTON GREGORY</t>
  </si>
  <si>
    <t>LOCALIDAD URARINAS</t>
  </si>
  <si>
    <t>62766242</t>
  </si>
  <si>
    <t>VELA INUMA RICARDO</t>
  </si>
  <si>
    <t>COM.NUEVA REFORMA</t>
  </si>
  <si>
    <t>62796702</t>
  </si>
  <si>
    <t>CHANCHARI CAHUAZA SEGUNDO ISIDRO</t>
  </si>
  <si>
    <t>CC.NN. NUEVA ESPERANZA</t>
  </si>
  <si>
    <t>62814673</t>
  </si>
  <si>
    <t>MOZOMBITE SOPLIN MARIA ACELA</t>
  </si>
  <si>
    <t>62816435</t>
  </si>
  <si>
    <t>FABIOLA DEL PILAR VELA PASMINO</t>
  </si>
  <si>
    <t>SANTO TOMAS 2 CUADRA</t>
  </si>
  <si>
    <t>62844163</t>
  </si>
  <si>
    <t>GABRIELA LIZBETH ARCE HUANAQUI</t>
  </si>
  <si>
    <t>62877875</t>
  </si>
  <si>
    <t>JHULY</t>
  </si>
  <si>
    <t>62883326</t>
  </si>
  <si>
    <t>PACAYA PEREZ JERRY</t>
  </si>
  <si>
    <t>CAL. CARLOS P SAENZ MZ- 226 - CABALLOCOCHA</t>
  </si>
  <si>
    <t>62912883</t>
  </si>
  <si>
    <t>SALAS MURAYARI JUANA DEL PILAR</t>
  </si>
  <si>
    <t>PUCAURCO</t>
  </si>
  <si>
    <t>62914008</t>
  </si>
  <si>
    <t>IPUSHIMA DAVILA WILDER</t>
  </si>
  <si>
    <t>62931195</t>
  </si>
  <si>
    <t>VALERA PAREDES BEATRIZ</t>
  </si>
  <si>
    <t>Aguirre - Mercado el Bado.</t>
  </si>
  <si>
    <t>62945350</t>
  </si>
  <si>
    <t>BASTOS VARGAS MARY</t>
  </si>
  <si>
    <t>COMUNIDAD PROMAVERA RIO PUTUMAYO</t>
  </si>
  <si>
    <t>62945492</t>
  </si>
  <si>
    <t>QUIROZ JIPA GELY VANESSA</t>
  </si>
  <si>
    <t>62947212</t>
  </si>
  <si>
    <t>RIOS HUALINGA ALEX</t>
  </si>
  <si>
    <t>VALENCIA</t>
  </si>
  <si>
    <t>62948187</t>
  </si>
  <si>
    <t>MACUSI VELA MIGUEL</t>
  </si>
  <si>
    <t>CN SANTA CRUZ RIO CHAMBIRA</t>
  </si>
  <si>
    <t>62992918</t>
  </si>
  <si>
    <t>ELIAS DANIEL CCOLLUHUARA CORREA</t>
  </si>
  <si>
    <t xml:space="preserve">COMUNIDAD SAN ISIDRO BAJO AMAZONAS </t>
  </si>
  <si>
    <t>63098762</t>
  </si>
  <si>
    <t>ELI ANIEL PACAYA PEREA</t>
  </si>
  <si>
    <t>COMUNIDAD NATIVA NUEVO SAN JUAN</t>
  </si>
  <si>
    <t>63110606</t>
  </si>
  <si>
    <t>VELA OJAICURO CARLOS</t>
  </si>
  <si>
    <t>COMUNIDAD CHAMBIRA</t>
  </si>
  <si>
    <t>63126108</t>
  </si>
  <si>
    <t>CASTERNOQUE ASPAJO ERIKA</t>
  </si>
  <si>
    <t>San Antonio</t>
  </si>
  <si>
    <t>63213974</t>
  </si>
  <si>
    <t>NUÑEZ CHUQUIHUANCA KELI NAYELI</t>
  </si>
  <si>
    <t>63242753</t>
  </si>
  <si>
    <t>TANGOA ROJAS MAYER</t>
  </si>
  <si>
    <t>MUNICHIS</t>
  </si>
  <si>
    <t>63273149</t>
  </si>
  <si>
    <t>DIAZ HUAMAN LEVIS</t>
  </si>
  <si>
    <t>63308291</t>
  </si>
  <si>
    <t>WILBER RUIZ SAQUIRAY</t>
  </si>
  <si>
    <t>63308299</t>
  </si>
  <si>
    <t>SAMUEL CARIAJANO SANDY</t>
  </si>
  <si>
    <t>NUEVO JERUSALEN</t>
  </si>
  <si>
    <t>63341440</t>
  </si>
  <si>
    <t>TUYTUY ARIMUYA KIMBER LENER</t>
  </si>
  <si>
    <t>EX PETROLERO</t>
  </si>
  <si>
    <t>63347752</t>
  </si>
  <si>
    <t>JUAN CARLOS</t>
  </si>
  <si>
    <t>AA HH marta chave  mz 22 lt  9</t>
  </si>
  <si>
    <t>6523</t>
  </si>
  <si>
    <t>WILIAN CACHIRICO MACUSI</t>
  </si>
  <si>
    <t>6985</t>
  </si>
  <si>
    <t>10378255</t>
  </si>
  <si>
    <t>USHIÑAHUA SILVA AURY</t>
  </si>
  <si>
    <t>70013664</t>
  </si>
  <si>
    <t>DEMETRIO MUCUSHUA CHUJE</t>
  </si>
  <si>
    <t>VIA TROMPETEROS</t>
  </si>
  <si>
    <t>MALPARTIDA MACEDO PIERO</t>
  </si>
  <si>
    <t xml:space="preserve">REPIESTERA </t>
  </si>
  <si>
    <t>FANNING N° 535</t>
  </si>
  <si>
    <t>70035608</t>
  </si>
  <si>
    <t>BANDA RUIZ JULIO AGUSTIN</t>
  </si>
  <si>
    <t>SIN NINGUNA ACTIVIDAD COMERCIAL</t>
  </si>
  <si>
    <t>JR. VICTOR MANUEL AREVALO Nº 226 - SAUCE</t>
  </si>
  <si>
    <t>SAUCE</t>
  </si>
  <si>
    <t>70069528</t>
  </si>
  <si>
    <t>ALARCON MAZA SEGUNDO JOSE</t>
  </si>
  <si>
    <t>AV. PRINCIPAL    S/N  SARAMIRIZA</t>
  </si>
  <si>
    <t>70108448</t>
  </si>
  <si>
    <t>VILLAMAR PINEDO HERMAN JUNIOR</t>
  </si>
  <si>
    <t>ANGAMOS YAQUIRANA</t>
  </si>
  <si>
    <t>70226633</t>
  </si>
  <si>
    <t>SUSANA CHOTA VALDERRAMA</t>
  </si>
  <si>
    <t>70226816</t>
  </si>
  <si>
    <t>ENOC</t>
  </si>
  <si>
    <t>70230551</t>
  </si>
  <si>
    <t>MORI SHAPIAMA JORGE MARTIN</t>
  </si>
  <si>
    <t>JR. TARAPOTO S/N - TARAPOTO - SAN MARTIN - SAN MARTIN</t>
  </si>
  <si>
    <t>70240611</t>
  </si>
  <si>
    <t>LESIER WUATANAVE JIMENEZ</t>
  </si>
  <si>
    <t>PUERTO ALEGRIA</t>
  </si>
  <si>
    <t>70242331</t>
  </si>
  <si>
    <t>RODRIGUEZ CHAVEZ JAVIER</t>
  </si>
  <si>
    <t>PASAMANERIA</t>
  </si>
  <si>
    <t>AV.LIMA CUADRA 12 - SAPOSOA - HUALLAGA - SAN MARTIN</t>
  </si>
  <si>
    <t>70245989</t>
  </si>
  <si>
    <t>JAIR ALEXANDER LECCA AGUILAR</t>
  </si>
  <si>
    <t>CALLE PALAS ATENEA N 114 - ISLANDIA</t>
  </si>
  <si>
    <t>70246195</t>
  </si>
  <si>
    <t>WENDER  LANZA CURINUQUI</t>
  </si>
  <si>
    <t>C.P. ORAN - RIO AMAZONAS</t>
  </si>
  <si>
    <t>70256598</t>
  </si>
  <si>
    <t>GONZALES RIOS CHARLI</t>
  </si>
  <si>
    <t>BAJO AMAZONAS</t>
  </si>
  <si>
    <t>70264516</t>
  </si>
  <si>
    <t>DAVILA PAREDES PITER GERMAN</t>
  </si>
  <si>
    <t>SANTA MARIA</t>
  </si>
  <si>
    <t>70265057</t>
  </si>
  <si>
    <t>FASABI CACHIQUE CHARLES</t>
  </si>
  <si>
    <t>COMUNIDAD GALLITO-RIO AMAZONAS</t>
  </si>
  <si>
    <t>70285430</t>
  </si>
  <si>
    <t>CHUJE SANDI RONEL</t>
  </si>
  <si>
    <t>TNTE RUIZ</t>
  </si>
  <si>
    <t>70314635</t>
  </si>
  <si>
    <t>ORTIZ TELLO YANES</t>
  </si>
  <si>
    <t>70366101</t>
  </si>
  <si>
    <t>MURAYARI CARITIMARI MARIA ARACELI</t>
  </si>
  <si>
    <t>70366104</t>
  </si>
  <si>
    <t>CAROL PEÑA CHUJUTALLI</t>
  </si>
  <si>
    <t>CALLE:MAYNAS S/N YURIMAGUAS</t>
  </si>
  <si>
    <t>70376049</t>
  </si>
  <si>
    <t>JHONATAN</t>
  </si>
  <si>
    <t>AV. LAS AMERICAS</t>
  </si>
  <si>
    <t>70379816</t>
  </si>
  <si>
    <t>WOLFERS CARDENAS ROMERO</t>
  </si>
  <si>
    <t>JR NAUTA 256</t>
  </si>
  <si>
    <t>70415857</t>
  </si>
  <si>
    <t>GARCIA RODRIGUEZ MARCELO FABIO</t>
  </si>
  <si>
    <t>CALLE CACERES 686</t>
  </si>
  <si>
    <t>70447963</t>
  </si>
  <si>
    <t>SUSAN MERLE</t>
  </si>
  <si>
    <t>AV. CAJAMARCA SUR S/N NUEVA CAJAMARCA</t>
  </si>
  <si>
    <t>70460265</t>
  </si>
  <si>
    <t>CISNEROS RAMIREZ MARISELA</t>
  </si>
  <si>
    <t>70478267</t>
  </si>
  <si>
    <t>ZEVALLOS VASQUEZ EDWING</t>
  </si>
  <si>
    <t>ANGOTERO</t>
  </si>
  <si>
    <t>70480016</t>
  </si>
  <si>
    <t>ORFELITA</t>
  </si>
  <si>
    <t>70480053</t>
  </si>
  <si>
    <t>PINEDO CORA GINO ALDAIR GERONIMO</t>
  </si>
  <si>
    <t>GANZO 128</t>
  </si>
  <si>
    <t>70481569</t>
  </si>
  <si>
    <t>JARAMA CANELOS DEINA VICTORIA</t>
  </si>
  <si>
    <t>SIMON BOLIVAR 389</t>
  </si>
  <si>
    <t>70576266</t>
  </si>
  <si>
    <t>JOEL ARBILDO VALERA</t>
  </si>
  <si>
    <t>70606601</t>
  </si>
  <si>
    <t>HECTOR CEFERINO</t>
  </si>
  <si>
    <t>JR 9 DE OCTUBRE 280</t>
  </si>
  <si>
    <t>70655063</t>
  </si>
  <si>
    <t>CARDENAS JARAMILLO LUIS FELIPE</t>
  </si>
  <si>
    <t>TAMSHIYACU</t>
  </si>
  <si>
    <t>70680766</t>
  </si>
  <si>
    <t>GABRIEL RAMOS HUALINGA</t>
  </si>
  <si>
    <t>MALECON BUENOS AIRE S/N-NAUTA</t>
  </si>
  <si>
    <t>70686166</t>
  </si>
  <si>
    <t>CLEYDER MACANILLA PAPA</t>
  </si>
  <si>
    <t>70687403</t>
  </si>
  <si>
    <t>DAHUA TOTE CARLOS JUCEPP</t>
  </si>
  <si>
    <t>PROLONGACION AUGUSTINOS</t>
  </si>
  <si>
    <t>70749336</t>
  </si>
  <si>
    <t>MARK ADDER MONTES NARO</t>
  </si>
  <si>
    <t>CAL. CABO PANTOJA N 203 - MAZAN</t>
  </si>
  <si>
    <t>70755581</t>
  </si>
  <si>
    <t>ESTRADA VELA JOZSEF GILMAR</t>
  </si>
  <si>
    <t>70791687</t>
  </si>
  <si>
    <t>ARBILDO MARCO ANTONIO</t>
  </si>
  <si>
    <t>JR BRASILIA 529</t>
  </si>
  <si>
    <t>70809800</t>
  </si>
  <si>
    <t>DAVID JHUNIOR</t>
  </si>
  <si>
    <t>AV. MARGINAL MZ.6 LT. 08 -  MAZAMARI</t>
  </si>
  <si>
    <t>70817028</t>
  </si>
  <si>
    <t>LOPEZ SILVANO JHONNY</t>
  </si>
  <si>
    <t>CALLE. JOSE OLAYA SN - ULPAYACO</t>
  </si>
  <si>
    <t>70819521</t>
  </si>
  <si>
    <t>VICTOR ALIN</t>
  </si>
  <si>
    <t>CASERIO YAURILLA H-07 A</t>
  </si>
  <si>
    <t>70848822</t>
  </si>
  <si>
    <t>HOLANDA ALVAREZ IRENE ELIZABETH</t>
  </si>
  <si>
    <t>CC.NN HUNGURAHUAL</t>
  </si>
  <si>
    <t>70882145</t>
  </si>
  <si>
    <t>HIDALGO LOPEZ LUDITH</t>
  </si>
  <si>
    <t>70926714</t>
  </si>
  <si>
    <t>NESY FANY</t>
  </si>
  <si>
    <t>JR. ANTONIO MAYA DE BRITO N 187-CALLERIA-C.PORTILLO-UCAYALI 187</t>
  </si>
  <si>
    <t>70975403</t>
  </si>
  <si>
    <t>JESUS</t>
  </si>
  <si>
    <t>JR BELEN SN</t>
  </si>
  <si>
    <t>71068873</t>
  </si>
  <si>
    <t>DUENDE RENGIFO MANUEL</t>
  </si>
  <si>
    <t>DIAMANTE AZUL RIO NAPO</t>
  </si>
  <si>
    <t>71107092</t>
  </si>
  <si>
    <t>VASQUEZ MARICAHUA RAUL FRANCISCO</t>
  </si>
  <si>
    <t>JR. LASMARGARITAS MZ C LOTE 3 LA BANDA DE SHILCAYO-</t>
  </si>
  <si>
    <t>711070929</t>
  </si>
  <si>
    <t>JJR. LASMARGARITAS MZ C LOTE 3 LA BANDA DE SHILCAYO-</t>
  </si>
  <si>
    <t>71131149</t>
  </si>
  <si>
    <t>JACQE JANETH PAYMA TAPAYURI</t>
  </si>
  <si>
    <t>20 DE ENERO JORGE CHAVEZ</t>
  </si>
  <si>
    <t>71133187</t>
  </si>
  <si>
    <t>EMERSON HUASANGA PIPA</t>
  </si>
  <si>
    <t>71213860</t>
  </si>
  <si>
    <t>MACA NORIEGA MIKE</t>
  </si>
  <si>
    <t>CALLE BEGONIAS 464</t>
  </si>
  <si>
    <t>71253271</t>
  </si>
  <si>
    <t xml:space="preserve">RUTH ROSALES RUIZ </t>
  </si>
  <si>
    <t xml:space="preserve">CALLE: LOS NOGALES  143 LORETO MAYNAS </t>
  </si>
  <si>
    <t>71255488</t>
  </si>
  <si>
    <t>CHRISTIAN CENEPO TORRES</t>
  </si>
  <si>
    <t>CALLE IQUITOS  111 -PUNCHANA</t>
  </si>
  <si>
    <t>71294765</t>
  </si>
  <si>
    <t>JONES PEREZ GERSON</t>
  </si>
  <si>
    <t>REPUESTERO</t>
  </si>
  <si>
    <t>PARTICIPACION CDRA 28 MZ. J LT. 8</t>
  </si>
  <si>
    <t>71308671</t>
  </si>
  <si>
    <t>GLORIA ALICIA</t>
  </si>
  <si>
    <t>JR. BREU S/N - BREU</t>
  </si>
  <si>
    <t>71399871</t>
  </si>
  <si>
    <t>PIZANGO ACHO NARDO CORNELIO</t>
  </si>
  <si>
    <t>CC.NN CANOAPUERTO</t>
  </si>
  <si>
    <t>71416963</t>
  </si>
  <si>
    <t>NAPO LAULATE NIXON</t>
  </si>
  <si>
    <t>Comunidad San Jorge</t>
  </si>
  <si>
    <t>71447217</t>
  </si>
  <si>
    <t>HECTOR ARBAIZA AGUILA</t>
  </si>
  <si>
    <t>SIN ACTIVAD COMERCIAL</t>
  </si>
  <si>
    <t>JR.ATAHUALPA 860 CHIRINOS-SAN IGNACIO-CAJAMARCA</t>
  </si>
  <si>
    <t>CHIRINOS</t>
  </si>
  <si>
    <t>71480492</t>
  </si>
  <si>
    <t>CLEVER CARIJANO SANDI</t>
  </si>
  <si>
    <t>CC. NN  NUEVO JERUSALEN</t>
  </si>
  <si>
    <t>71485221</t>
  </si>
  <si>
    <t>SANDI GARCIA REYNALDO</t>
  </si>
  <si>
    <t>COMUNIDAD NATIVA CUCHARA RIO CORRIENTE</t>
  </si>
  <si>
    <t>71562850</t>
  </si>
  <si>
    <t>PLAZA FERNANDEZ SALLY LUCIA</t>
  </si>
  <si>
    <t>JR CALLAO 456 CALLERIA</t>
  </si>
  <si>
    <t>71569688</t>
  </si>
  <si>
    <t>ALVA VASQUEZ JESSENIA MERCEDES</t>
  </si>
  <si>
    <t>5 DE DICIEMBRE B 14</t>
  </si>
  <si>
    <t>71662404</t>
  </si>
  <si>
    <t xml:space="preserve">VITALIANO ALTAMIRANO RODRIGUEZ </t>
  </si>
  <si>
    <t>CALLE: CONDAMINE S/N YURIMAGUAS</t>
  </si>
  <si>
    <t>71709766</t>
  </si>
  <si>
    <t>JOSE EDY</t>
  </si>
  <si>
    <t>AV.PAKAMUROS N</t>
  </si>
  <si>
    <t>71736513</t>
  </si>
  <si>
    <t>DEL AGUILA APAGÜEÑO MANUEL</t>
  </si>
  <si>
    <t>JR. COMERCIO S/N</t>
  </si>
  <si>
    <t>AGUA BLANCA</t>
  </si>
  <si>
    <t>71769767</t>
  </si>
  <si>
    <t>MELANIO</t>
  </si>
  <si>
    <t>PASAJE LOS OLIVOS S/N  JAEN</t>
  </si>
  <si>
    <t>71777812</t>
  </si>
  <si>
    <t>YAHUARCANI CUMAPA DANNY</t>
  </si>
  <si>
    <t>FLORIDA N 293</t>
  </si>
  <si>
    <t>71804005</t>
  </si>
  <si>
    <t>HUIÑAPI ARICARI JEAN ROBINIO</t>
  </si>
  <si>
    <t>JESUS DE PRAGA</t>
  </si>
  <si>
    <t>71831743</t>
  </si>
  <si>
    <t>CORONEL ALVARADO ESLI YACENI</t>
  </si>
  <si>
    <t>LIBERTAD DEL PARANAPURA CALLE ORIENTE MZ A LT 1 - VIA EVITAMIENTO</t>
  </si>
  <si>
    <t>71851080</t>
  </si>
  <si>
    <t>MEDRANO GUEVARA AROLDO JORDY</t>
  </si>
  <si>
    <t>JR. LIBERTAD Nº 516 - NUEVA CAJAMARCA - RIOJA - SAN MARTIN</t>
  </si>
  <si>
    <t>71879423</t>
  </si>
  <si>
    <t>CUELLO PENA JHEYNER</t>
  </si>
  <si>
    <t>CALLE LAMBAYEQUE Nª 115</t>
  </si>
  <si>
    <t>JOSE LEONARDO ORTIZ</t>
  </si>
  <si>
    <t>72114929</t>
  </si>
  <si>
    <t>NOTENO COQUINCHE FELICHE</t>
  </si>
  <si>
    <t>COMUIDAD ANGOTEROS</t>
  </si>
  <si>
    <t>7211798</t>
  </si>
  <si>
    <t>7215023</t>
  </si>
  <si>
    <t>72160004</t>
  </si>
  <si>
    <t>MOZOMBITE TELLO CIMY FIORELLA</t>
  </si>
  <si>
    <t>Zamora N 1023</t>
  </si>
  <si>
    <t>72162148</t>
  </si>
  <si>
    <t>CESAR ANTONIO</t>
  </si>
  <si>
    <t>MERCADO YARINACOCHA</t>
  </si>
  <si>
    <t>72256015</t>
  </si>
  <si>
    <t>TANGOA YUMI EFRAIN</t>
  </si>
  <si>
    <t>72302281</t>
  </si>
  <si>
    <t>JENIFFER GAYTAN GONZALES</t>
  </si>
  <si>
    <t>72319190</t>
  </si>
  <si>
    <t>YENY VIOLETA YANAMARI MARICAHUA</t>
  </si>
  <si>
    <t>CALLE LOS ANGELES</t>
  </si>
  <si>
    <t>72354412</t>
  </si>
  <si>
    <t>LUCIA BALDOMERA MONTOYA SOUZA</t>
  </si>
  <si>
    <t>SANTO TOMAS</t>
  </si>
  <si>
    <t>72371277</t>
  </si>
  <si>
    <t>REATEGUI ANGULO CESAR ANTONIO</t>
  </si>
  <si>
    <t>PSJE FATIMA Nª10</t>
  </si>
  <si>
    <t>72420225</t>
  </si>
  <si>
    <t>ROGER</t>
  </si>
  <si>
    <t>CAL. VARGAS GUERRA S/N - ESTRECHO</t>
  </si>
  <si>
    <t>72536831</t>
  </si>
  <si>
    <t>ERIKA</t>
  </si>
  <si>
    <t>AV MARGINAL S/N</t>
  </si>
  <si>
    <t>72559423</t>
  </si>
  <si>
    <t>JORGE HENRIQUE</t>
  </si>
  <si>
    <t>CALLE BREU SN</t>
  </si>
  <si>
    <t>72582479</t>
  </si>
  <si>
    <t>DASILVA VASQUEZ DAYANE</t>
  </si>
  <si>
    <t>CALLE LOS JAZMINES 118</t>
  </si>
  <si>
    <t>72622832</t>
  </si>
  <si>
    <t>CONOVILCA ESCOBAR REYNA MARIBEL</t>
  </si>
  <si>
    <t>72627361</t>
  </si>
  <si>
    <t>EDIS VIZNEY LLOMERO CHIMBO</t>
  </si>
  <si>
    <t>AAHH NUEVO UNION -SIRO ALEGRIA</t>
  </si>
  <si>
    <t>72671779</t>
  </si>
  <si>
    <t>AGUILAR SALDAÑA BRIAN AQUILES</t>
  </si>
  <si>
    <t>JR. HUALLAGA S/N - JUANJUI - MCAL.CACERES - SAN MARTIN</t>
  </si>
  <si>
    <t>72709518</t>
  </si>
  <si>
    <t>COQUINCHE VIGAY RIQUELMER</t>
  </si>
  <si>
    <t>72720652</t>
  </si>
  <si>
    <t>ROJAS GOMEZ LUIS FELIPE</t>
  </si>
  <si>
    <t>CALLE 10 DE AGOSTO N 9</t>
  </si>
  <si>
    <t>72720665</t>
  </si>
  <si>
    <t>TAFUR VIZCARRA NEFI LUIS</t>
  </si>
  <si>
    <t xml:space="preserve">PDF </t>
  </si>
  <si>
    <t xml:space="preserve">CALLE BELLO HORIZONTE N° 540- SAN JUAN </t>
  </si>
  <si>
    <t>72720666</t>
  </si>
  <si>
    <t>TAFUR VIZCARRA GRACE CAMILA</t>
  </si>
  <si>
    <t>72723687</t>
  </si>
  <si>
    <t>CARDENAS TULUMBA DIEGO MOISES</t>
  </si>
  <si>
    <t>72736136</t>
  </si>
  <si>
    <t>TIRADO PAREDES ROMAN HANNOBERIANO</t>
  </si>
  <si>
    <t>JR EBANO 100 SJL</t>
  </si>
  <si>
    <t>SAN JUAN DE LURIGANCHO</t>
  </si>
  <si>
    <t>72864753</t>
  </si>
  <si>
    <t>LANCHA MAYTAHUARI LUCY</t>
  </si>
  <si>
    <t>72864783</t>
  </si>
  <si>
    <t>VARGAS CHAVEZ ROLANDO</t>
  </si>
  <si>
    <t>CALLE WALTER SALAZAR S/N - TAMANCO</t>
  </si>
  <si>
    <t>72959568</t>
  </si>
  <si>
    <t>SORIA AMASIFUEN CLAUDIO RAMIRO</t>
  </si>
  <si>
    <t>CASERIO JORGE CHAVEZ</t>
  </si>
  <si>
    <t>73020621</t>
  </si>
  <si>
    <t>MOZOMBITE ISUIZA JOSE</t>
  </si>
  <si>
    <t>73038185</t>
  </si>
  <si>
    <t>FIGUEROA DAHUA RUTH SHAKIRA</t>
  </si>
  <si>
    <t>Centro Poblado San Rafael</t>
  </si>
  <si>
    <t>73109689</t>
  </si>
  <si>
    <t>AXEL RODRIGO GONZALES ROJAS</t>
  </si>
  <si>
    <t>28 DE JULIO 135</t>
  </si>
  <si>
    <t>73142127</t>
  </si>
  <si>
    <t>FARECADE GUTIERREZ DAMANCIO</t>
  </si>
  <si>
    <t>73186829</t>
  </si>
  <si>
    <t>CONTRERAS VASQUEZ GOLBERT JHOMAR</t>
  </si>
  <si>
    <t>SAN JUAN BAUTISTA / PACORA LAMBAYEQUE</t>
  </si>
  <si>
    <t>CAÑARIS</t>
  </si>
  <si>
    <t>73209227</t>
  </si>
  <si>
    <t>MAX JUNIOR  SILBA LOPEZ</t>
  </si>
  <si>
    <t>REPUESTERIA</t>
  </si>
  <si>
    <t>JR.san Martin # 432- la banda de shilcayo</t>
  </si>
  <si>
    <t>73210011</t>
  </si>
  <si>
    <t>MILENA CARRERA GARCIA</t>
  </si>
  <si>
    <t>JR. SIMON BOLIVAR 410</t>
  </si>
  <si>
    <t>73213371</t>
  </si>
  <si>
    <t>EDDY ALAYN</t>
  </si>
  <si>
    <t>AAHH SAN JUAN DE MIRAFLORES MZ 13</t>
  </si>
  <si>
    <t>73351064</t>
  </si>
  <si>
    <t>REYNA CHOTA PIMENTEL</t>
  </si>
  <si>
    <t>PJS LA MARINA 20 ASENT.H.LAS MALVINAS</t>
  </si>
  <si>
    <t>73516159</t>
  </si>
  <si>
    <t>FELIX SINTI FATAMA</t>
  </si>
  <si>
    <t>CALLE HUALLAGA S/N PAPAPLAYA</t>
  </si>
  <si>
    <t>73535746</t>
  </si>
  <si>
    <t>SHAPIAMA BOCANEGRA ALEXANDER</t>
  </si>
  <si>
    <t>73570862</t>
  </si>
  <si>
    <t>FERNANDEZ</t>
  </si>
  <si>
    <t>KM 200</t>
  </si>
  <si>
    <t>73673040</t>
  </si>
  <si>
    <t>GUERRERO HUAMAN LARIZ YINA</t>
  </si>
  <si>
    <t>VENTA DE MAQUINARIAS Y HERRAMIENTAS AL POR MAYOR</t>
  </si>
  <si>
    <t>73743781</t>
  </si>
  <si>
    <t>CAHUACHI AREVALO ABRAHAM ISAAC</t>
  </si>
  <si>
    <t>CALLE ALEMANIA # A - 01 - SJB - TERMINAL - SAN JUAN BAUTISTA - MAYNAS</t>
  </si>
  <si>
    <t>73753778</t>
  </si>
  <si>
    <t>FRANKLING DAVID</t>
  </si>
  <si>
    <t>AV.PRIMAVERA MZ 20</t>
  </si>
  <si>
    <t>73757704</t>
  </si>
  <si>
    <t>RUIDIAS YUYARIMA VICTOR LEONARDO</t>
  </si>
  <si>
    <t>CARRETERA NUEVO LIMA</t>
  </si>
  <si>
    <t>ALTO BIAVO</t>
  </si>
  <si>
    <t>CARLOS EDUARDO RUIDIAS YURARIMA</t>
  </si>
  <si>
    <t>JR.ALFONSO UGARTE CDR 10</t>
  </si>
  <si>
    <t>73765161</t>
  </si>
  <si>
    <t>CABRERA AGUILAR EDITA</t>
  </si>
  <si>
    <t>JR 749 SORITOR</t>
  </si>
  <si>
    <t>73823993</t>
  </si>
  <si>
    <t>EZEQUIEL TELLO NUÑEZ</t>
  </si>
  <si>
    <t>LOS ROSALES MZ- M LT-16- MASUSA</t>
  </si>
  <si>
    <t>73861549</t>
  </si>
  <si>
    <t>PIZANGO PUA ARMILDO</t>
  </si>
  <si>
    <t>CENTRO POBLADO PANAN</t>
  </si>
  <si>
    <t>73866889</t>
  </si>
  <si>
    <t>Alicia Estela Benavides Pua</t>
  </si>
  <si>
    <t>73869675</t>
  </si>
  <si>
    <t>NAPO APAGUEÑO WALTER SANTOS</t>
  </si>
  <si>
    <t>CN. NUEVA CHAZUTA</t>
  </si>
  <si>
    <t>73906515</t>
  </si>
  <si>
    <t>CUEVA RODAS LUIS A.</t>
  </si>
  <si>
    <t>JR. RICARDO PALMA S/N - SHAMBOYACU - PICOTA - SAN MARTIN</t>
  </si>
  <si>
    <t>74047618</t>
  </si>
  <si>
    <t>SANTOS HUARANCA JACKELINE KATHERINE</t>
  </si>
  <si>
    <t>JR. PROCERES 103 - AUACAYACU</t>
  </si>
  <si>
    <t>74090813</t>
  </si>
  <si>
    <t>ALEYDA ROMINA TOCTO VILCA</t>
  </si>
  <si>
    <t>JR. REYES GUERRA 533</t>
  </si>
  <si>
    <t>74150219</t>
  </si>
  <si>
    <t>LUIS ISUIZA VASQUEZ</t>
  </si>
  <si>
    <t>BAGAZAN MZ U LOTE 21</t>
  </si>
  <si>
    <t>74172906</t>
  </si>
  <si>
    <t>EMERZON DEIVI AYARZA BARDALES</t>
  </si>
  <si>
    <t>PSJ 5 DE JULIO C-24</t>
  </si>
  <si>
    <t>74202997</t>
  </si>
  <si>
    <t>RUTH KARINA</t>
  </si>
  <si>
    <t>74276464</t>
  </si>
  <si>
    <t>BRICEÑO ESPINAL MIGUEL</t>
  </si>
  <si>
    <t>JR.SUCRE S/N</t>
  </si>
  <si>
    <t>74289667</t>
  </si>
  <si>
    <t>RAMIREZ VIERA EVELYN GIOMIRA</t>
  </si>
  <si>
    <t xml:space="preserve">JR:EMILIO ACOSTA 123-MOYOBAMBA </t>
  </si>
  <si>
    <t>74365800</t>
  </si>
  <si>
    <t>CANDI THALIA ECHEVARRIA PIZANGO</t>
  </si>
  <si>
    <t>AV GIRASOLES MZ17 LT15 JORGE BASADRE G.</t>
  </si>
  <si>
    <t>74395286</t>
  </si>
  <si>
    <t>ANGULO PAREDES JUANITA MILAGROS</t>
  </si>
  <si>
    <t>74402241</t>
  </si>
  <si>
    <t>RUTH MAYRA RIOS ASPAJO</t>
  </si>
  <si>
    <t>74402968</t>
  </si>
  <si>
    <t>SAIRO CAHUAZA RACHAR EVER</t>
  </si>
  <si>
    <t>CONCORDIA</t>
  </si>
  <si>
    <t>74409025</t>
  </si>
  <si>
    <t>MARIÑO PEZO PATRICK</t>
  </si>
  <si>
    <t>MANACAMIRI</t>
  </si>
  <si>
    <t>74457686</t>
  </si>
  <si>
    <t>EDWIN GAMONAL PAREDES</t>
  </si>
  <si>
    <t>74480567</t>
  </si>
  <si>
    <t>PIZANGO INUMA JAIRO</t>
  </si>
  <si>
    <t>COMINUDAD SAN ANTONIO</t>
  </si>
  <si>
    <t>74487694</t>
  </si>
  <si>
    <t xml:space="preserve">WELINTON FACHIN ORTIZ </t>
  </si>
  <si>
    <t>PUERTO LA PARROQUIA S/N SAN LORENZO</t>
  </si>
  <si>
    <t>74554930</t>
  </si>
  <si>
    <t>CIEZA OLIVERA ELIZABETH</t>
  </si>
  <si>
    <t xml:space="preserve">CALLE ORELLANA 202 - JAÉN </t>
  </si>
  <si>
    <t>74656586</t>
  </si>
  <si>
    <t>HUALINGA TORRES SEGUNDO GERARDO</t>
  </si>
  <si>
    <t>CN PAMPA HERMOSA RIO CORRIENTE</t>
  </si>
  <si>
    <t>74771275</t>
  </si>
  <si>
    <t>RIOS DEL AGUILA   ANA</t>
  </si>
  <si>
    <t>CAL. LOS OLIVOS S/N - NVA ALIANZA - URARINAS</t>
  </si>
  <si>
    <t>74830841</t>
  </si>
  <si>
    <t>RODRIGUEZ YUMBATO NILBER</t>
  </si>
  <si>
    <t>SANTA ANA</t>
  </si>
  <si>
    <t>74830927</t>
  </si>
  <si>
    <t>VARAS GUTIERREZ SEAM DILAM</t>
  </si>
  <si>
    <t>74937065</t>
  </si>
  <si>
    <t>LUCIA</t>
  </si>
  <si>
    <t>JR. CORONEL PORTILLO S/N</t>
  </si>
  <si>
    <t>75018723</t>
  </si>
  <si>
    <t>ROSA MARIA CORDOVA  FUENTE</t>
  </si>
  <si>
    <t>75058971</t>
  </si>
  <si>
    <t>SILVIA TERESA CURICHIMBA ANGULO</t>
  </si>
  <si>
    <t>CAL. CARLOS SAEZ N 226 - CABALLOCOCHA</t>
  </si>
  <si>
    <t>75083352</t>
  </si>
  <si>
    <t>VICTOR ALFREDO</t>
  </si>
  <si>
    <t>75145508</t>
  </si>
  <si>
    <t>JAIRO RIMARACHI MEDINA</t>
  </si>
  <si>
    <t>CALLE  MI PERU S/N  - SANTA ROSA</t>
  </si>
  <si>
    <t>75159836</t>
  </si>
  <si>
    <t>RENGIFO LACHUMA PAOLO LLOHAN</t>
  </si>
  <si>
    <t>75180851</t>
  </si>
  <si>
    <t>MARTINEZ CAJAS YERLINA ELIZABETH</t>
  </si>
  <si>
    <t>75407799</t>
  </si>
  <si>
    <t>PINEDO PAIMA WANDA JASMIN</t>
  </si>
  <si>
    <t>A.A.H.H Fernando Melendez Calle Calep Mz A Lt 7 - Salida.</t>
  </si>
  <si>
    <t>75518489</t>
  </si>
  <si>
    <t>RAI RIOS CORAL</t>
  </si>
  <si>
    <t>JR. COMANDANTE CHIRINOS 472</t>
  </si>
  <si>
    <t>75576626</t>
  </si>
  <si>
    <t>RODRIGUEZ HUIÑAPI ELIO</t>
  </si>
  <si>
    <t>A.A.H.H LOS MADERO CALLE LUPUNA MZ V LT 11 - 15 DE AGOSTO.</t>
  </si>
  <si>
    <t>75601753</t>
  </si>
  <si>
    <t>CHUQUIVAL BARDALEZ MARQUINHO</t>
  </si>
  <si>
    <t>A.A.H.H LAS VEGAS PSJ ARNALDO PEREZ-</t>
  </si>
  <si>
    <t>75661666</t>
  </si>
  <si>
    <t>CORDOVA MURAYARI JAMIL</t>
  </si>
  <si>
    <t>CALLE PROLONGACION 15 DE AGOSTO</t>
  </si>
  <si>
    <t>75749681</t>
  </si>
  <si>
    <t>RAMIREZ DIAZ HECTOR ISAAC</t>
  </si>
  <si>
    <t>75796228</t>
  </si>
  <si>
    <t>MARIN ACOSTA JUAN</t>
  </si>
  <si>
    <t>LUPUNA 2 ZONA</t>
  </si>
  <si>
    <t>75937868</t>
  </si>
  <si>
    <t>MARTINEZ CAJAS JHON CHRISTIAN</t>
  </si>
  <si>
    <t xml:space="preserve">CAL. MICAELA BASTIDAS </t>
  </si>
  <si>
    <t>75966440</t>
  </si>
  <si>
    <t>HUANCHO PIZANGO MANUEL</t>
  </si>
  <si>
    <t>76061966</t>
  </si>
  <si>
    <t>CARLOS ANTONIO GARCIA RIOS</t>
  </si>
  <si>
    <t>76073944</t>
  </si>
  <si>
    <t>ENERION</t>
  </si>
  <si>
    <t>CARR FEDERICO BAZADRE KM 111</t>
  </si>
  <si>
    <t>76076867</t>
  </si>
  <si>
    <t>MORETO MALDONADO JHONATAN</t>
  </si>
  <si>
    <t>SHUCHUSHYACU</t>
  </si>
  <si>
    <t>76127022</t>
  </si>
  <si>
    <t>JUAN ANDERSON</t>
  </si>
  <si>
    <t>CALLE SIMON BOLIVAS S/N</t>
  </si>
  <si>
    <t>76144854</t>
  </si>
  <si>
    <t>LOPEZ CASTERNOQUE CLARA ISABEL</t>
  </si>
  <si>
    <t>76153431</t>
  </si>
  <si>
    <t>RAMIREZ ISUIZA SEGUNDO BRANLEE</t>
  </si>
  <si>
    <t>CASERIO PROGRESO</t>
  </si>
  <si>
    <t>76191671</t>
  </si>
  <si>
    <t>HUANCAS MENDO EDWIN</t>
  </si>
  <si>
    <t>JR. EMILIO ACOSTA 381 - MOYOBAMBA - MOYOBAMBA - SAN MARTIN</t>
  </si>
  <si>
    <t>76207467</t>
  </si>
  <si>
    <t>JOEL</t>
  </si>
  <si>
    <t>76221042</t>
  </si>
  <si>
    <t>JIM AXEL SANCHEZ MACA</t>
  </si>
  <si>
    <t>OLLANTA RIO MARAÑON</t>
  </si>
  <si>
    <t>76246923</t>
  </si>
  <si>
    <t>JHONY HIDALGO MURAYARI</t>
  </si>
  <si>
    <t>CHINO RIO TAHUAYO</t>
  </si>
  <si>
    <t>76358587</t>
  </si>
  <si>
    <t>SHERIL ITATI MORENO BICERRA</t>
  </si>
  <si>
    <t>76369266</t>
  </si>
  <si>
    <t>VEGA FLORES JOB ISAIAS</t>
  </si>
  <si>
    <t>CALLE CARDOZOASENT.H.VIOLETA CORREA MAZ,LL.LT.37</t>
  </si>
  <si>
    <t>76403573</t>
  </si>
  <si>
    <t>DIANA VENTURA PAUCAR</t>
  </si>
  <si>
    <t>AVENIDA LAS AMERICAS 570 - AUCAYACU</t>
  </si>
  <si>
    <t>76468638</t>
  </si>
  <si>
    <t>AREVALO ROJAS DELIVET</t>
  </si>
  <si>
    <t>COMUNIDAD PEBAS S/N</t>
  </si>
  <si>
    <t>76571783</t>
  </si>
  <si>
    <t>CORREA CARRASCO WILSER</t>
  </si>
  <si>
    <t>Nuevo Conan</t>
  </si>
  <si>
    <t>76615262</t>
  </si>
  <si>
    <t>MURAYARI PANDURO GRECIA LUZ</t>
  </si>
  <si>
    <t>caserio bello horizonte</t>
  </si>
  <si>
    <t>76629968</t>
  </si>
  <si>
    <t>CHISTAMA TOLEDO AREIDA</t>
  </si>
  <si>
    <t>76659906</t>
  </si>
  <si>
    <t>JHONY ALVARO CHURAY SILVA</t>
  </si>
  <si>
    <t>76693920</t>
  </si>
  <si>
    <t>CASTRO ROJAS ABIGAIL ISAURA</t>
  </si>
  <si>
    <t>LUIS CARDICEL DAZA - VIA DEL PARANAPURA</t>
  </si>
  <si>
    <t>76727780</t>
  </si>
  <si>
    <t>KATHERINE FAVIOLA HUARANCA MACURI</t>
  </si>
  <si>
    <t>JR. DANIEL MORENO MZ 16 LT 02 - TOURNAVISTA</t>
  </si>
  <si>
    <t>76728681</t>
  </si>
  <si>
    <t>GONZALES HUAITA MARIBEL</t>
  </si>
  <si>
    <t>76748849</t>
  </si>
  <si>
    <t>SEXTO PUA TANGO</t>
  </si>
  <si>
    <t>76760722</t>
  </si>
  <si>
    <t>DAYER YOMPIRI LAZARO</t>
  </si>
  <si>
    <t>AV. MICAELA BASTIDAS 341 - PICHANAQUI</t>
  </si>
  <si>
    <t>76828582</t>
  </si>
  <si>
    <t>LAYLI PEREZ ISUIZA</t>
  </si>
  <si>
    <t>ANITA CABRERA</t>
  </si>
  <si>
    <t>76841584</t>
  </si>
  <si>
    <t>NEIL AREVALO VASQUEZ</t>
  </si>
  <si>
    <t>MERCADO YARINA PTO.16-YARINACOCHA</t>
  </si>
  <si>
    <t>76842374</t>
  </si>
  <si>
    <t>JEFERSON MASHACURI JIPA</t>
  </si>
  <si>
    <t>PUERTO ARICA</t>
  </si>
  <si>
    <t>76842415</t>
  </si>
  <si>
    <t>JOTA NOA SENIT MARILIT</t>
  </si>
  <si>
    <t>76845219</t>
  </si>
  <si>
    <t>76868842</t>
  </si>
  <si>
    <t>AMANCIO VELAN</t>
  </si>
  <si>
    <t>JR. SAN MARTIN N 625 - HUANUCO</t>
  </si>
  <si>
    <t>76908510</t>
  </si>
  <si>
    <t>ESPIRITU PAJARES JOSUE AURELIO</t>
  </si>
  <si>
    <t>AVIACION S7N</t>
  </si>
  <si>
    <t>76909941</t>
  </si>
  <si>
    <t>CAHUAZA PIZANGO MAX KELVIN DAVID</t>
  </si>
  <si>
    <t>COMUNIDAD NATIVA PROGRESO</t>
  </si>
  <si>
    <t>76915111</t>
  </si>
  <si>
    <t>PIZANGO MARICHIN JHORDI FRAN</t>
  </si>
  <si>
    <t>SAN FERNANDO - CACHIYACU</t>
  </si>
  <si>
    <t>76927281</t>
  </si>
  <si>
    <t>RUIZ SANDI KEWIN ALBERTO</t>
  </si>
  <si>
    <t>76975735</t>
  </si>
  <si>
    <t>EUCLIVIA PAPA NOTENO</t>
  </si>
  <si>
    <t>76983048</t>
  </si>
  <si>
    <t>ADIEL DELGADO LUNASCO</t>
  </si>
  <si>
    <t>C.P SAN JOSE DE COCHIQUINAS - COCHIQUINAS</t>
  </si>
  <si>
    <t>76986024</t>
  </si>
  <si>
    <t>SARA</t>
  </si>
  <si>
    <t>COMUNIDAD NUEVO PEBAS S/N - PEBAS</t>
  </si>
  <si>
    <t>77018726</t>
  </si>
  <si>
    <t>BRIAN</t>
  </si>
  <si>
    <t>VISTA ALEGRE 196 PUNTA DEL ESTE TARAPOTO</t>
  </si>
  <si>
    <t>77023397</t>
  </si>
  <si>
    <t>KEVIN ARNOLD</t>
  </si>
  <si>
    <t>JR AUGUSTO HILSER S/N SATIPO</t>
  </si>
  <si>
    <t>77061303</t>
  </si>
  <si>
    <t>DE LA CRUZ PASTRANA JUNIOR EDU</t>
  </si>
  <si>
    <t>JR. BARRIO NUEVO SAN JUAN S/N - SEPAHUA</t>
  </si>
  <si>
    <t>77070740</t>
  </si>
  <si>
    <t>EDUARDO ROULLON GOMEZ</t>
  </si>
  <si>
    <t>REQUENA S/N</t>
  </si>
  <si>
    <t>77103949</t>
  </si>
  <si>
    <t>PIZANGO ACHO LENIN RICARDO</t>
  </si>
  <si>
    <t>Comunidad Bella Vista</t>
  </si>
  <si>
    <t>77137534</t>
  </si>
  <si>
    <t>PIZURI PIZANGO NIXON</t>
  </si>
  <si>
    <t>San Gabriel de Baradero</t>
  </si>
  <si>
    <t>77299242</t>
  </si>
  <si>
    <t>SUSANA SILVIA NOA GEROMA</t>
  </si>
  <si>
    <t>COMUNIDAD NUEVO PEBAS S/N -  PEBAS</t>
  </si>
  <si>
    <t>77390714</t>
  </si>
  <si>
    <t>SANGAMA CHUJE JEAN</t>
  </si>
  <si>
    <t>NUEVO REMANENTE</t>
  </si>
  <si>
    <t>77427370</t>
  </si>
  <si>
    <t>SANDI CARMEN RIVERA</t>
  </si>
  <si>
    <t>77427929</t>
  </si>
  <si>
    <t>WASUM</t>
  </si>
  <si>
    <t>JR. 9 DE DICIEMBRE S/N</t>
  </si>
  <si>
    <t>77477341</t>
  </si>
  <si>
    <t>VARGAS PEÑA MARICARMEN</t>
  </si>
  <si>
    <t>CALLE GARCILAZO 320 - YURIMAGUAS</t>
  </si>
  <si>
    <t>77487824</t>
  </si>
  <si>
    <t>CARLOS DANIEL CAPAQUERA APAZA</t>
  </si>
  <si>
    <t>CALLE REQUENA # 290</t>
  </si>
  <si>
    <t>77500459</t>
  </si>
  <si>
    <t>VALDERRAMA RIOS JHON FRANCO</t>
  </si>
  <si>
    <t>77532238</t>
  </si>
  <si>
    <t>RUIZ PIZANGO ABEL</t>
  </si>
  <si>
    <t>77571217</t>
  </si>
  <si>
    <t>MASHUCURI COQUINCHE EFRAIN OMERO</t>
  </si>
  <si>
    <t>PUCAYACU RIO NAPO</t>
  </si>
  <si>
    <t>77662141</t>
  </si>
  <si>
    <t>MENDOZA GONZALES LUIS ARMANDO</t>
  </si>
  <si>
    <t>77681038</t>
  </si>
  <si>
    <t>IJUMA RENGIFO ROGELIO</t>
  </si>
  <si>
    <t>Clientes varios</t>
  </si>
  <si>
    <t>Tronpeteros</t>
  </si>
  <si>
    <t>77693120</t>
  </si>
  <si>
    <t>MARICARMEN RENGIFO ROMERO</t>
  </si>
  <si>
    <t>PARTICIPACION VIOLETA CORREA</t>
  </si>
  <si>
    <t>77694108</t>
  </si>
  <si>
    <t>MANUEL ALBERTO</t>
  </si>
  <si>
    <t>JR. LEONCIO PRADO N1362 - TARAPOTO</t>
  </si>
  <si>
    <t>77694633</t>
  </si>
  <si>
    <t>FLAVIO JAIR SANDOVAL TUANAMA</t>
  </si>
  <si>
    <t>77704807</t>
  </si>
  <si>
    <t>MANCHAY PIZANGO PERCY ADIAS</t>
  </si>
  <si>
    <t>77809962</t>
  </si>
  <si>
    <t>TAI SHARON</t>
  </si>
  <si>
    <t>AV. SANTO DOMINGO CCPP CHOTA BAMABA</t>
  </si>
  <si>
    <t>77903650</t>
  </si>
  <si>
    <t>JHONATAN RUBEN MORALES TAIPE</t>
  </si>
  <si>
    <t>CURIMANA  PASANDO NESHUYA</t>
  </si>
  <si>
    <t>77920660</t>
  </si>
  <si>
    <t>MOZOMBITE GONZALES ISAAC MILNER</t>
  </si>
  <si>
    <t>Psj. Los Angeles N 106 - La LOMA</t>
  </si>
  <si>
    <t>78009670</t>
  </si>
  <si>
    <t>CASTERNOQUE SILVA JOSUE DANIEL</t>
  </si>
  <si>
    <t>12 DE ABRIL-CARRETERA IQUITOS NAUTA KM 56</t>
  </si>
  <si>
    <t>78204870</t>
  </si>
  <si>
    <t>PAIMA TELLO GRECIA JASMIN</t>
  </si>
  <si>
    <t xml:space="preserve">CALLE JOSE VELA S/N </t>
  </si>
  <si>
    <t>78291377</t>
  </si>
  <si>
    <t>LUZ</t>
  </si>
  <si>
    <t>COCHIQUINOS -SAN PABLO</t>
  </si>
  <si>
    <t>78291378</t>
  </si>
  <si>
    <t>LUZ DEYSI</t>
  </si>
  <si>
    <t>CALLE TUPAC AMARU DRA. 1 - SAN PABLO</t>
  </si>
  <si>
    <t>78374647</t>
  </si>
  <si>
    <t>VIGAY MASHACURI MICHELL</t>
  </si>
  <si>
    <t>CALLE 17 DE OCTUBRE MZ E LOTE 18</t>
  </si>
  <si>
    <t>78376358</t>
  </si>
  <si>
    <t>LANCHA PIZANGO CORNELIO</t>
  </si>
  <si>
    <t>AV. VIA DE EVITAMIENTO CUDRA 20 - TARAPOTO - SAN MARTIN - SAN MARTIN</t>
  </si>
  <si>
    <t>79135285</t>
  </si>
  <si>
    <t>PAZ QUISPE SENAYDA</t>
  </si>
  <si>
    <t>SAN MARTIN 574</t>
  </si>
  <si>
    <t>80020554</t>
  </si>
  <si>
    <t>LINCE PIÑA FABABA</t>
  </si>
  <si>
    <t>CAL. JESUS DE NAZARETH MZ. B LT. 6 - CIRCUMBALACIN</t>
  </si>
  <si>
    <t>80069287</t>
  </si>
  <si>
    <t>VICTOR ARMANDO</t>
  </si>
  <si>
    <t>ANEXO ANGELES TOTERANI S/NPERENE CHANCHAMAYO</t>
  </si>
  <si>
    <t>80206171</t>
  </si>
  <si>
    <t>ABEL GUERRA CARDENAS</t>
  </si>
  <si>
    <t>JR RAFAEL VILLACORTAMZ B 13</t>
  </si>
  <si>
    <t>80267949</t>
  </si>
  <si>
    <t>OCHAVANO AQUITUARI ROMULO</t>
  </si>
  <si>
    <t>CASERIO AYACUCHO</t>
  </si>
  <si>
    <t>80269937</t>
  </si>
  <si>
    <t>PIZANGO HUANCHO HERNAN</t>
  </si>
  <si>
    <t>CASERIO CACHIHUAYUSÑCA - KM 10 CARRETERA YURI-JEBERILLOS</t>
  </si>
  <si>
    <t>80270201</t>
  </si>
  <si>
    <t>UTIA FLORES JONAS</t>
  </si>
  <si>
    <t>CACERIO CHIRAPA - ALTO HUALLAGA</t>
  </si>
  <si>
    <t>80297915</t>
  </si>
  <si>
    <t>80303916</t>
  </si>
  <si>
    <t>INUMA LANCHA JOSE</t>
  </si>
  <si>
    <t>JR.LETICIA CUADRA 2 - JUANJUI . MCAL.CACERES - SAN MARTIN</t>
  </si>
  <si>
    <t>80304157</t>
  </si>
  <si>
    <t>EGNA FACHIN SANCHEZ</t>
  </si>
  <si>
    <t>INTUTO</t>
  </si>
  <si>
    <t>80304457</t>
  </si>
  <si>
    <t>PUA RUCOBA JOSE</t>
  </si>
  <si>
    <t>CASERIO SANTA MERCEDES S/N</t>
  </si>
  <si>
    <t>80306164</t>
  </si>
  <si>
    <t>RENGIFO CAHUAZA MIGUEL</t>
  </si>
  <si>
    <t>80306215</t>
  </si>
  <si>
    <t>TANGOA TUESTA EUGENIO</t>
  </si>
  <si>
    <t>COMUNIDAD NUEVO JUNIN</t>
  </si>
  <si>
    <t>80308135</t>
  </si>
  <si>
    <t>HUANSI MORENO JUAN</t>
  </si>
  <si>
    <t>CALLE YAVARI S/N IQUITOS</t>
  </si>
  <si>
    <t>80319329</t>
  </si>
  <si>
    <t>RUIDIAS ARELLANO JUAN CARLOS</t>
  </si>
  <si>
    <t>JR. ORIENTE S/N - TARAPOTO</t>
  </si>
  <si>
    <t>80325168</t>
  </si>
  <si>
    <t>CUESPAN SUAREZ JOSE</t>
  </si>
  <si>
    <t>80326145</t>
  </si>
  <si>
    <t>SANDOVAL HUAMAN ELADIO</t>
  </si>
  <si>
    <t>MAQUINARIAS AGRICOLAS Y FERRETERAS</t>
  </si>
  <si>
    <t>JR. RICARDO PALMA S/N -  SHAMBOYACU -  PICOTA - SAN MARTIN</t>
  </si>
  <si>
    <t>80326532</t>
  </si>
  <si>
    <t>MANUYAMA YAHUARCANI ROBERTINA</t>
  </si>
  <si>
    <t>CASERIO SANTA CLARA</t>
  </si>
  <si>
    <t>80326690</t>
  </si>
  <si>
    <t>WALTER SHAPIAMA TARICUARIMA</t>
  </si>
  <si>
    <t>CALLE JOSE BARCIA S/N - JENARO HERRERA</t>
  </si>
  <si>
    <t>80329336</t>
  </si>
  <si>
    <t>RICOPA TINA JUAN ARLINDO</t>
  </si>
  <si>
    <t>80330976</t>
  </si>
  <si>
    <t>JUAN CARLOS TRIGOSO MANANITA</t>
  </si>
  <si>
    <t>HUASCAR G-15 -IQUITOS</t>
  </si>
  <si>
    <t>80335753</t>
  </si>
  <si>
    <t>MAEL MENDOZA GONSALES</t>
  </si>
  <si>
    <t>C.F.B. KM.111</t>
  </si>
  <si>
    <t>80353470</t>
  </si>
  <si>
    <t>Alberto Pizango Lancha</t>
  </si>
  <si>
    <t>Nuevo Sisa</t>
  </si>
  <si>
    <t>80353905</t>
  </si>
  <si>
    <t>TANGOA VITIRI JIRTON</t>
  </si>
  <si>
    <t>80367049</t>
  </si>
  <si>
    <t>LAVI FASANANDO RONALD</t>
  </si>
  <si>
    <t>CASERIO SAN JOSE-RIO ITAYA</t>
  </si>
  <si>
    <t>80379619</t>
  </si>
  <si>
    <t>ABRAM CANAYO HUANIRI</t>
  </si>
  <si>
    <t>CASERIO SANTA RITA S/N</t>
  </si>
  <si>
    <t>80383348</t>
  </si>
  <si>
    <t>SIFUENTES TAPULLIMA FERNANDO</t>
  </si>
  <si>
    <t>IQUITOS S/N</t>
  </si>
  <si>
    <t>80385058</t>
  </si>
  <si>
    <t>EDWIN ISUIZA MENDOZA</t>
  </si>
  <si>
    <t>80385634</t>
  </si>
  <si>
    <t>MELQUI PEREZ PAIMA</t>
  </si>
  <si>
    <t>TAPIRILLO RIO AMAZONAS</t>
  </si>
  <si>
    <t>80390298</t>
  </si>
  <si>
    <t>GUEVARA RENGIFO KARINA</t>
  </si>
  <si>
    <t>CONSUMIDO FINAL</t>
  </si>
  <si>
    <t>COMUNIDAD DE URARINAS</t>
  </si>
  <si>
    <t>80390597</t>
  </si>
  <si>
    <t>LILIA GUZMAN MACEDO</t>
  </si>
  <si>
    <t>SAN PEDRO DE MARUPA</t>
  </si>
  <si>
    <t>80394511</t>
  </si>
  <si>
    <t>SANCHEZ ASPAJO SADITH</t>
  </si>
  <si>
    <t>PAMPA CAÑO</t>
  </si>
  <si>
    <t>80394680</t>
  </si>
  <si>
    <t>DAVILA SANCHEZ MARIA DE JESUS</t>
  </si>
  <si>
    <t>Caserio Callao - Rio Paranapura</t>
  </si>
  <si>
    <t>80396493</t>
  </si>
  <si>
    <t>IPUSHIMA SALINAS ZULEMA</t>
  </si>
  <si>
    <t>80401706</t>
  </si>
  <si>
    <t>JERLI ARQUIMEDES TAMANI AHUANARI</t>
  </si>
  <si>
    <t>CALLE 1 S/N REQUENA</t>
  </si>
  <si>
    <t>8041646</t>
  </si>
  <si>
    <t>ANTONIO PEREIRA CRUZ</t>
  </si>
  <si>
    <t>80419521</t>
  </si>
  <si>
    <t>BRUO FLORES LINBERZON</t>
  </si>
  <si>
    <t>CPM YANASHI PRIMERA SECTOR</t>
  </si>
  <si>
    <t>80428721</t>
  </si>
  <si>
    <t>MERCEDES CORDOVA MIDEIRO</t>
  </si>
  <si>
    <t>CASERIO NINA RUMI</t>
  </si>
  <si>
    <t>80429432</t>
  </si>
  <si>
    <t>WILDER GARSES CURINUQUI</t>
  </si>
  <si>
    <t>80429969</t>
  </si>
  <si>
    <t>RIGOBERTO VASQUEZ AHUANARI</t>
  </si>
  <si>
    <t>RINA RUMI S/N</t>
  </si>
  <si>
    <t>80430289</t>
  </si>
  <si>
    <t>MACA ZUMBILLA ZENAIDA</t>
  </si>
  <si>
    <t>NUEVA FLORESTA RIO NAPO</t>
  </si>
  <si>
    <t>80431721</t>
  </si>
  <si>
    <t>LUCIA AHUNARI TAPULLIMA</t>
  </si>
  <si>
    <t>80436727</t>
  </si>
  <si>
    <t>SAIRO YAICATE GEORGE</t>
  </si>
  <si>
    <t>80446970</t>
  </si>
  <si>
    <t>TIHUAY CHOTA WILEN</t>
  </si>
  <si>
    <t>80451097</t>
  </si>
  <si>
    <t>FLORES PINEDO EZEQUIEL</t>
  </si>
  <si>
    <t>Barrio la Loma S/N</t>
  </si>
  <si>
    <t>80460071</t>
  </si>
  <si>
    <t>SORIA GONZALES AGUSTIN SEGUNDO</t>
  </si>
  <si>
    <t>COMUNIDAD NUEVO SAN JUAN</t>
  </si>
  <si>
    <t>80460159</t>
  </si>
  <si>
    <t>ISUIZA SIFUENTES JUVENAL</t>
  </si>
  <si>
    <t>NUEVA ESPERANZA</t>
  </si>
  <si>
    <t>804602881</t>
  </si>
  <si>
    <t>ROGER APAGUEÑO MURAYARI</t>
  </si>
  <si>
    <t>CALLE . LORETO     S/N   SANTA RITA DE CASTILA</t>
  </si>
  <si>
    <t>80461856</t>
  </si>
  <si>
    <t>PEÑA RIOS YANIRE LITI</t>
  </si>
  <si>
    <t>80463214</t>
  </si>
  <si>
    <t>IBARAN LOMAS JOSE AUGUSTO</t>
  </si>
  <si>
    <t>A.A.H.H BRISAS DEL SHANUSI - TNT CECADA</t>
  </si>
  <si>
    <t>80464026</t>
  </si>
  <si>
    <t>DEL CASTILLO RENGIFO MARLENE</t>
  </si>
  <si>
    <t>80464513</t>
  </si>
  <si>
    <t>RIOS RIOS BELISARIO</t>
  </si>
  <si>
    <t>80467066</t>
  </si>
  <si>
    <t>PONCE</t>
  </si>
  <si>
    <t>80471708</t>
  </si>
  <si>
    <t>RENGIFO PUA TEODOMIRO</t>
  </si>
  <si>
    <t>Caserio Soledad</t>
  </si>
  <si>
    <t>80471918</t>
  </si>
  <si>
    <t>CARRION SHUPINGAHUA HILTER</t>
  </si>
  <si>
    <t>80480431</t>
  </si>
  <si>
    <t>PRINCIPE SORIA GABRIEL AUGUSTO</t>
  </si>
  <si>
    <t>CASERIO VARILLAL</t>
  </si>
  <si>
    <t>80486287</t>
  </si>
  <si>
    <t>PASTOR FLORES OJANAMA</t>
  </si>
  <si>
    <t>80487917</t>
  </si>
  <si>
    <t>ZACARIAS  SANCHEZ LOPEZ</t>
  </si>
  <si>
    <t>C.P SAN JUAN ZONA I - JUANCITO</t>
  </si>
  <si>
    <t>80491329</t>
  </si>
  <si>
    <t>NUBE WILSON</t>
  </si>
  <si>
    <t>JR. LAS LAGUNAS MZ.B. LT9-MANANTAY-C.PORTILLO</t>
  </si>
  <si>
    <t>80500408</t>
  </si>
  <si>
    <t>ELVA SOBERO LOPEZ</t>
  </si>
  <si>
    <t>80502776</t>
  </si>
  <si>
    <t>VIENA CAHUAZA ROGER</t>
  </si>
  <si>
    <t>IBERIA</t>
  </si>
  <si>
    <t>Tapiche</t>
  </si>
  <si>
    <t>80505260</t>
  </si>
  <si>
    <t>EDGAR GUTIERREZ CAPINOA</t>
  </si>
  <si>
    <t>CASERIO PUERTO BELAUNDE</t>
  </si>
  <si>
    <t>80513434</t>
  </si>
  <si>
    <t>TABITA DIAZ TUANAMA</t>
  </si>
  <si>
    <t>HUANANA</t>
  </si>
  <si>
    <t>80514662</t>
  </si>
  <si>
    <t>NAPO SHUY FRANKLIN</t>
  </si>
  <si>
    <t>caserio charapillo</t>
  </si>
  <si>
    <t>80524449</t>
  </si>
  <si>
    <t>TANGOA NAPO DAVID</t>
  </si>
  <si>
    <t>CASERIO SAN LORENZO</t>
  </si>
  <si>
    <t>80526936</t>
  </si>
  <si>
    <t>LLERUSA GOMEZ OLIVEIRA</t>
  </si>
  <si>
    <t>JR VARGAS GUERRA MZB LT23</t>
  </si>
  <si>
    <t>80527115</t>
  </si>
  <si>
    <t>VELASQUEZ PEREZ DE CAHUACHI JUDITH</t>
  </si>
  <si>
    <t>80531328</t>
  </si>
  <si>
    <t>SANDI TAPUY EMERSON</t>
  </si>
  <si>
    <t>CASERIO 12 DE OCTUBRE</t>
  </si>
  <si>
    <t>80534724</t>
  </si>
  <si>
    <t>FASABI YUIMACHI AYDE</t>
  </si>
  <si>
    <t>CALLE CINCO MZ H LT 2 ANEXO MORONA TERMINAL</t>
  </si>
  <si>
    <t>80584571000</t>
  </si>
  <si>
    <t>80584571</t>
  </si>
  <si>
    <t>CESAR ENRIQUE</t>
  </si>
  <si>
    <t>JR. JULIO C. ARANA N CUADRA 1-YURIMAGUAS-ALTO AMAZONAS-YURIMAGUAS</t>
  </si>
  <si>
    <t>80593511</t>
  </si>
  <si>
    <t>SHUPINGAHUA TUANAMA SERGIO</t>
  </si>
  <si>
    <t>CASERIO 28 DE JULIO RIO ITAYA</t>
  </si>
  <si>
    <t>80594518</t>
  </si>
  <si>
    <t>JHONY GARCEZ FATAMA</t>
  </si>
  <si>
    <t>ROSA PANDURO , SANTA MERCEDEZ</t>
  </si>
  <si>
    <t>80605806</t>
  </si>
  <si>
    <t>TORRES VILCHEZ FEDERICO</t>
  </si>
  <si>
    <t>80607728</t>
  </si>
  <si>
    <t>CAHUAZA IRARICA WELINTON</t>
  </si>
  <si>
    <t>COLONIAL SANTO TOMAS</t>
  </si>
  <si>
    <t>80652279</t>
  </si>
  <si>
    <t>RUIZ ORBE RICARDO QUINTO</t>
  </si>
  <si>
    <t>PAMPA HERMOSA - BAJO HUALLAGA</t>
  </si>
  <si>
    <t>80655715</t>
  </si>
  <si>
    <t>FLORECINDA VINOLA ALVAN</t>
  </si>
  <si>
    <t>TROMPETEROS RIO CORRIENTE</t>
  </si>
  <si>
    <t>80656083</t>
  </si>
  <si>
    <t>LASTER DE JESUS AREVALO DURAN</t>
  </si>
  <si>
    <t>CALLE SANTA JULIA MZ A LOTE 6</t>
  </si>
  <si>
    <t>80656453</t>
  </si>
  <si>
    <t>MANUEL INUMA ARAUATA</t>
  </si>
  <si>
    <t>80657236</t>
  </si>
  <si>
    <t>PISCO LOPEZ NECEMIO</t>
  </si>
  <si>
    <t>COMUNIDAD CAMPESINA UNION QUEBRADA AUCAYO</t>
  </si>
  <si>
    <t>80657355</t>
  </si>
  <si>
    <t>LOPEZ CAUPER OSCAR</t>
  </si>
  <si>
    <t>CASERIO BELEN DE JUDA .IQUITOS NAUTA</t>
  </si>
  <si>
    <t>80658056</t>
  </si>
  <si>
    <t>COQUINCHE PELILEO ROSEMILDO</t>
  </si>
  <si>
    <t>80658409</t>
  </si>
  <si>
    <t>ROLANDO PAPA LANZA</t>
  </si>
  <si>
    <t>RIO NAPO</t>
  </si>
  <si>
    <t>80658659</t>
  </si>
  <si>
    <t>ELIZABET LOURDES GUADALUPE IZQUIERDO</t>
  </si>
  <si>
    <t>COMUNIDAD NUEVO PEBAS S/N -  NVO. PEBAS</t>
  </si>
  <si>
    <t>80674875</t>
  </si>
  <si>
    <t>ALVIS</t>
  </si>
  <si>
    <t>AVENIDA TARAPACÁ</t>
  </si>
  <si>
    <t>80676226</t>
  </si>
  <si>
    <t>JOSE LUIS SANCHEZ</t>
  </si>
  <si>
    <t>GARCIA SAENZ 1 PRIMERA CUADRA</t>
  </si>
  <si>
    <t>80681011</t>
  </si>
  <si>
    <t>ASELITA TUISIMA SAJAMI</t>
  </si>
  <si>
    <t>CASERIO YANAYACU BOMBONAJE RIO AMAZONAS</t>
  </si>
  <si>
    <t>80990593</t>
  </si>
  <si>
    <t>QUISPE HUARINGA SARA NELIDA</t>
  </si>
  <si>
    <t>ALTO MONTE BAJO AMAZONAS</t>
  </si>
  <si>
    <t>81522859</t>
  </si>
  <si>
    <t>MARK ANTHONY BUTUNA GUERRERO</t>
  </si>
  <si>
    <t>CALLE 11 DE AGOSTO MZ. Z LT. 62 - SANTA ROSA</t>
  </si>
  <si>
    <t>81666049</t>
  </si>
  <si>
    <t>LOPEZ CACHIRICO JUAN CARLOS</t>
  </si>
  <si>
    <t>81673603</t>
  </si>
  <si>
    <t>YNUMA HUIÑAPI ASTOLFO</t>
  </si>
  <si>
    <t>C.NATIVA SANTA MARTHA</t>
  </si>
  <si>
    <t>8380001546</t>
  </si>
  <si>
    <t>CREDITOS PARRA &amp; CIA SAS</t>
  </si>
  <si>
    <t>CALLE 7  1033 BARRIO CENTRO</t>
  </si>
  <si>
    <t>LETICIA</t>
  </si>
  <si>
    <t>8600024643</t>
  </si>
  <si>
    <t>CORPORACION DE FERIAS Y EXPOSICIONES S.A</t>
  </si>
  <si>
    <t>PUBLICO</t>
  </si>
  <si>
    <t>CARRERA 3724-67</t>
  </si>
  <si>
    <t>9</t>
  </si>
  <si>
    <t>10474242035</t>
  </si>
  <si>
    <t>CENEPO RENGIFO MARITZA</t>
  </si>
  <si>
    <t>CALLE, LORETO S/N SANTA RITA CASTILLA</t>
  </si>
  <si>
    <t>901363830</t>
  </si>
  <si>
    <t>VICTUALSCOMEX S.A.S.</t>
  </si>
  <si>
    <t>CL 7 N 348</t>
  </si>
  <si>
    <t>NORTE DE SANTANDER</t>
  </si>
  <si>
    <t>92185760</t>
  </si>
  <si>
    <t>JULIO</t>
  </si>
  <si>
    <t>CALLE SAN MARTIN S/N - PELEJO</t>
  </si>
  <si>
    <t>9721</t>
  </si>
  <si>
    <t>MIGUEL GRAU KM 40- CARRETERA YURI / TARAPOTO</t>
  </si>
  <si>
    <t>984</t>
  </si>
  <si>
    <t>10427726521</t>
  </si>
  <si>
    <t>RIVERA RAMIREZ BREDIS</t>
  </si>
  <si>
    <t>AV LA MARINA 1552</t>
  </si>
  <si>
    <t>99999999</t>
  </si>
  <si>
    <t>CARRET.  VIA DE EVITAMIENTO S/N - TARAPOTO</t>
  </si>
  <si>
    <t>B1041108918</t>
  </si>
  <si>
    <t>BON00083484</t>
  </si>
  <si>
    <t>00083484</t>
  </si>
  <si>
    <t>FILEMON</t>
  </si>
  <si>
    <t>AV. LA MARINAYARINACOCHA 999</t>
  </si>
  <si>
    <t>BON00120441</t>
  </si>
  <si>
    <t>BON05299662</t>
  </si>
  <si>
    <t>05299662</t>
  </si>
  <si>
    <t>MILTON</t>
  </si>
  <si>
    <t>JR. JOSE OLAYA S/N- 999</t>
  </si>
  <si>
    <t>BON05333424</t>
  </si>
  <si>
    <t>BON05389349</t>
  </si>
  <si>
    <t>BON05389914</t>
  </si>
  <si>
    <t>05389914</t>
  </si>
  <si>
    <t>RAFAEL</t>
  </si>
  <si>
    <t>PANAOPACHITEA 999</t>
  </si>
  <si>
    <t>BON05604359</t>
  </si>
  <si>
    <t>10056043590</t>
  </si>
  <si>
    <t>ACHING CARDENAS MARIA ONDINA</t>
  </si>
  <si>
    <t>CALLE DANIEL ALCIDES CARRION N304 - DISTRITO LAGUNAS</t>
  </si>
  <si>
    <t>BON10008843</t>
  </si>
  <si>
    <t>BON10008975</t>
  </si>
  <si>
    <t>10008975341</t>
  </si>
  <si>
    <t>RUCOBA GOMEZ ELEANA</t>
  </si>
  <si>
    <t>JR. SAN MARTIN S/N</t>
  </si>
  <si>
    <t>BON10009625</t>
  </si>
  <si>
    <t>BON10043412</t>
  </si>
  <si>
    <t>AC SAN MARTIN C/ PROLONG HUANCABAMBA</t>
  </si>
  <si>
    <t>BON10165166</t>
  </si>
  <si>
    <t>10165166596</t>
  </si>
  <si>
    <t>JORDAN LIZA HILARIO</t>
  </si>
  <si>
    <t>JR. MARISCAL URETA 1305 - JAEN</t>
  </si>
  <si>
    <t>BON10176280</t>
  </si>
  <si>
    <t>AV. SARGENTO LORES MZ A</t>
  </si>
  <si>
    <t>BON10205414</t>
  </si>
  <si>
    <t>10205414121</t>
  </si>
  <si>
    <t>JORGE JESUS ALIAGA QUISPE</t>
  </si>
  <si>
    <t>BON10273766</t>
  </si>
  <si>
    <t>AV MARIANO MELGAR 959 - BAGUA GRANDE</t>
  </si>
  <si>
    <t>BON10274350</t>
  </si>
  <si>
    <t>10274350691</t>
  </si>
  <si>
    <t>CARRION GUERRERO MIGUEL</t>
  </si>
  <si>
    <t>JR. EL PORVENIR 354 - SAN IGNACIO</t>
  </si>
  <si>
    <t>BON10277488</t>
  </si>
  <si>
    <t>10277488936</t>
  </si>
  <si>
    <t>LOPEZ RUIZ AIDA ROSA</t>
  </si>
  <si>
    <t>JR DIEGO PALOMINO N 1200 - JAEN</t>
  </si>
  <si>
    <t>BON10400822</t>
  </si>
  <si>
    <t>10400822781</t>
  </si>
  <si>
    <t>DELGADO FLORES MICHEL JANS</t>
  </si>
  <si>
    <t>AV AVIACION MZ 39</t>
  </si>
  <si>
    <t>BON10407811</t>
  </si>
  <si>
    <t>10407811785</t>
  </si>
  <si>
    <t>QUISPE ORIHUELA CESAR ROGELIO</t>
  </si>
  <si>
    <t>AV MANUEL PINTO - JR ABELARDO QUIÑONEZ</t>
  </si>
  <si>
    <t>BON10408711</t>
  </si>
  <si>
    <t xml:space="preserve">APOYO A LA AGRICULTURA </t>
  </si>
  <si>
    <t>BON10410532</t>
  </si>
  <si>
    <t>JR.ALONSO DE ALVARADO N 321</t>
  </si>
  <si>
    <t>BON10415326</t>
  </si>
  <si>
    <t>JR. DEL PANGOA MZA. 31 LOTE. 6 URB. 6</t>
  </si>
  <si>
    <t>BON10420276</t>
  </si>
  <si>
    <t>CRUZ ALARCON MARIA GLADYS</t>
  </si>
  <si>
    <t>JR JULIO ROMERO CASTRO S/N</t>
  </si>
  <si>
    <t>BON10423757</t>
  </si>
  <si>
    <t>ATALAYA</t>
  </si>
  <si>
    <t>BON10424253</t>
  </si>
  <si>
    <t>10424253192</t>
  </si>
  <si>
    <t>ANDAMAYO GOMEZ YESSENIA ZULEMA</t>
  </si>
  <si>
    <t>AV MICAELA BASTIDAS N 356 PICHANAKI CHANCHAMAYO J</t>
  </si>
  <si>
    <t>BON10429086</t>
  </si>
  <si>
    <t>JR. CABO ALBERTO LEVEAU 153</t>
  </si>
  <si>
    <t>BON10430065</t>
  </si>
  <si>
    <t>10430065811</t>
  </si>
  <si>
    <t>FIESTAS YARLEQUE ALAN ARMANDO</t>
  </si>
  <si>
    <t>JR. ALFONSO UGARTE 417 - TARAPOTO - SAN MARTIN - SAN MARTIN</t>
  </si>
  <si>
    <t>BON10431456</t>
  </si>
  <si>
    <t>AV MARGINAL MZ 42 LT 07 CP ALIANZA</t>
  </si>
  <si>
    <t>BON10437987</t>
  </si>
  <si>
    <t>BON10443936</t>
  </si>
  <si>
    <t>JR TAHUANTINSUYO N 306 - TARAPOTO</t>
  </si>
  <si>
    <t>BON10444289</t>
  </si>
  <si>
    <t>10444289339</t>
  </si>
  <si>
    <t>SALVADOR CASTILLO LIBRANDO</t>
  </si>
  <si>
    <t>JR. EL PORVENIR N203</t>
  </si>
  <si>
    <t>BON10445921</t>
  </si>
  <si>
    <t>10445921845</t>
  </si>
  <si>
    <t>ROMAN ROBLES JHON CHARLIE</t>
  </si>
  <si>
    <t xml:space="preserve">AV. SAN MARTIN 709 CALLERIA </t>
  </si>
  <si>
    <t>BON10447590</t>
  </si>
  <si>
    <t>10447590676</t>
  </si>
  <si>
    <t>LEON VILLANO CELESTINA</t>
  </si>
  <si>
    <t>JIRÓN AUGUSTO HILSER 306</t>
  </si>
  <si>
    <t>BON10447931</t>
  </si>
  <si>
    <t>BON10452244</t>
  </si>
  <si>
    <t>JR. CORONEL SECADA N 284 - MOYOBAMBA</t>
  </si>
  <si>
    <t>BON10454215</t>
  </si>
  <si>
    <t>QUISPE PEREZ TANIA</t>
  </si>
  <si>
    <t>AV SAN RAMON N 117 CHANCHAMAYO</t>
  </si>
  <si>
    <t>BON10458235</t>
  </si>
  <si>
    <t>BON10465363</t>
  </si>
  <si>
    <t>BON10466017</t>
  </si>
  <si>
    <t>AV. LEOLPOLDO KLAUSEN SN 999</t>
  </si>
  <si>
    <t>BON10472144</t>
  </si>
  <si>
    <t>BON10473045</t>
  </si>
  <si>
    <t>BON10473449</t>
  </si>
  <si>
    <t>10473449035</t>
  </si>
  <si>
    <t>HIDALGO VASQUEZ ISAAC ERICK</t>
  </si>
  <si>
    <t>JR. AUGUSTO B. LEGUIA 764 BELLAVISTA</t>
  </si>
  <si>
    <t>BON10476780</t>
  </si>
  <si>
    <t>BON10478956</t>
  </si>
  <si>
    <t>BON10480125</t>
  </si>
  <si>
    <t>BON10484168</t>
  </si>
  <si>
    <t>BON10484264</t>
  </si>
  <si>
    <t>10484264126</t>
  </si>
  <si>
    <t>ZABALETA RIVERA ROSA</t>
  </si>
  <si>
    <t>HB. MUNICIPAL MZ T 2</t>
  </si>
  <si>
    <t>BON10484719</t>
  </si>
  <si>
    <t>10484719077</t>
  </si>
  <si>
    <t>ROMAN ROBLES MARIELA NIDIA</t>
  </si>
  <si>
    <t>JR. 07 DE JUNIO 802 CALLERIA</t>
  </si>
  <si>
    <t>BON10710988</t>
  </si>
  <si>
    <t>BAGUA CHICA</t>
  </si>
  <si>
    <t>BON10717823</t>
  </si>
  <si>
    <t>PROLONGACIÓN TARMA 323</t>
  </si>
  <si>
    <t>BON10718362</t>
  </si>
  <si>
    <t>BON10734541</t>
  </si>
  <si>
    <t>10734541503</t>
  </si>
  <si>
    <t>LOAYZA SANCHEZ NICHEL JHASON</t>
  </si>
  <si>
    <t>AV. SAN MARTIN</t>
  </si>
  <si>
    <t>BON10740665</t>
  </si>
  <si>
    <t>BON10751084</t>
  </si>
  <si>
    <t>BON10761524</t>
  </si>
  <si>
    <t>AV.LORETO N 504- SAPOSOA</t>
  </si>
  <si>
    <t>BON10762152</t>
  </si>
  <si>
    <t>10762152709</t>
  </si>
  <si>
    <t>VELAISOSA MELENDREZ RUTH MERY</t>
  </si>
  <si>
    <t>JR 07 DE JUNIO</t>
  </si>
  <si>
    <t>BON10765024</t>
  </si>
  <si>
    <t>AV SAN JACINTO</t>
  </si>
  <si>
    <t>BON10772111</t>
  </si>
  <si>
    <t>10772111482</t>
  </si>
  <si>
    <t>RUIZ FABABA JEISON RICK</t>
  </si>
  <si>
    <t>JR. RUPERTO PEREZ MZ. 04 LT. 01 YARINA</t>
  </si>
  <si>
    <t>BON10774831</t>
  </si>
  <si>
    <t>BON10785966</t>
  </si>
  <si>
    <t>BON20537799</t>
  </si>
  <si>
    <t>SILVINO SILVINO</t>
  </si>
  <si>
    <t>BON20603529</t>
  </si>
  <si>
    <t>BON23171550</t>
  </si>
  <si>
    <t>23171550</t>
  </si>
  <si>
    <t>VICTORIA</t>
  </si>
  <si>
    <t>AV. SAN MARTIN N 734-CALLERIA-C.PORTILLO-UCAYALI 734</t>
  </si>
  <si>
    <t>BON40425082</t>
  </si>
  <si>
    <t>40425082</t>
  </si>
  <si>
    <t>MARILIN</t>
  </si>
  <si>
    <t>JIRÓN BOLOGNESI</t>
  </si>
  <si>
    <t>BON42171460</t>
  </si>
  <si>
    <t>42171460</t>
  </si>
  <si>
    <t>LUIS ENRIQUE VERGARA NIETO</t>
  </si>
  <si>
    <t>JR. LEONCIO PRADO N 838-UCHIZA-TOCACHE-SAN MRTIN</t>
  </si>
  <si>
    <t>BON43434883</t>
  </si>
  <si>
    <t>MARIO</t>
  </si>
  <si>
    <t>AV. MARGINAL S/N</t>
  </si>
  <si>
    <t>BON46355812</t>
  </si>
  <si>
    <t>BON63265354</t>
  </si>
  <si>
    <t>63265354</t>
  </si>
  <si>
    <t>CRISTIAN RAUL</t>
  </si>
  <si>
    <t>JR.  LAS VIOLETAS MZ 11 LT 12</t>
  </si>
  <si>
    <t>BON73209227</t>
  </si>
  <si>
    <t>BON74751500</t>
  </si>
  <si>
    <t>74751500</t>
  </si>
  <si>
    <t>DIEGO</t>
  </si>
  <si>
    <t>AV. MICAELA BASTIDAS 341-PICHANAQUI 341</t>
  </si>
  <si>
    <t>DIS10053982</t>
  </si>
  <si>
    <t>10053982463</t>
  </si>
  <si>
    <t>YNOÑAN SIESQUEN LUIS ALBERTO</t>
  </si>
  <si>
    <t>CAL. PATRICIO MOSQUEDA MZ-12 LT- 04 - SANTA CLOTILDE</t>
  </si>
  <si>
    <t>IQTLOYMAR</t>
  </si>
  <si>
    <t>CALLE REQUENA N° 201 CON PABLO ROSEL N° 306</t>
  </si>
  <si>
    <t>MORALESPARANO</t>
  </si>
  <si>
    <t>ZORAIDA</t>
  </si>
  <si>
    <t>CONSUMIDOE FINAL</t>
  </si>
  <si>
    <t>CALLE PROGRESO S/N</t>
  </si>
  <si>
    <t>PDF00885040</t>
  </si>
  <si>
    <t>00885040</t>
  </si>
  <si>
    <t>HERNANDO</t>
  </si>
  <si>
    <t>PDF01084093</t>
  </si>
  <si>
    <t>01084093</t>
  </si>
  <si>
    <t>RULER JESÚS</t>
  </si>
  <si>
    <t>JR.SAN MIGUEL CDRA. 10 BANDA DE SHILCAYO</t>
  </si>
  <si>
    <t>PDF01119852</t>
  </si>
  <si>
    <t>01119852</t>
  </si>
  <si>
    <t>DE BARDALES</t>
  </si>
  <si>
    <t>JR LAS PALMERAS #443 - LA BANDA DEL SHILCAYO</t>
  </si>
  <si>
    <t>PDF05312754</t>
  </si>
  <si>
    <t>05312754</t>
  </si>
  <si>
    <t>ELMER JAIR</t>
  </si>
  <si>
    <t>PDF05336388</t>
  </si>
  <si>
    <t>JERRY</t>
  </si>
  <si>
    <t>JR. GRAU 119-PICOTA</t>
  </si>
  <si>
    <t>PDF05410568</t>
  </si>
  <si>
    <t>05410568</t>
  </si>
  <si>
    <t>ELMER FERNANDEZ HERNANDEZ</t>
  </si>
  <si>
    <t>JR. FERNANDO BELAUNDE TERRY MZ 6 LT 13LA BAMDA DEL SHILICAYO</t>
  </si>
  <si>
    <t>PDF05417392</t>
  </si>
  <si>
    <t>05417392</t>
  </si>
  <si>
    <t>CRISTIAN</t>
  </si>
  <si>
    <t>JR.SERAFIN FILOMENO N667 MOYOBAMBA</t>
  </si>
  <si>
    <t>PDF05583647</t>
  </si>
  <si>
    <t>PDF05604359</t>
  </si>
  <si>
    <t>ANGIE LUCERO</t>
  </si>
  <si>
    <t>AV MARGINAL LT 09 MZ 12 - ALIANZA</t>
  </si>
  <si>
    <t>PDF05605967</t>
  </si>
  <si>
    <t>KEVIN MANUEL</t>
  </si>
  <si>
    <t>JR TORIBIO RODRIGUEZ DE MENDOZA #515 - MENDOZA</t>
  </si>
  <si>
    <t>PDF05613864</t>
  </si>
  <si>
    <t>05613864</t>
  </si>
  <si>
    <t>ANA GABRIELA</t>
  </si>
  <si>
    <t>JR. ALERTA</t>
  </si>
  <si>
    <t>PDF05618193</t>
  </si>
  <si>
    <t>05618193</t>
  </si>
  <si>
    <t>FELIX</t>
  </si>
  <si>
    <t>CAR. YURIMAGUAS CDRA 8 SNLA BAMDA DE SHILICAYO</t>
  </si>
  <si>
    <t>PDF05712482</t>
  </si>
  <si>
    <t>FRANK</t>
  </si>
  <si>
    <t>JR. BOLOGNESI N 652 - BELLAVISTA</t>
  </si>
  <si>
    <t>PDF06302317</t>
  </si>
  <si>
    <t>06302317</t>
  </si>
  <si>
    <t>LEANDRO JOELITO</t>
  </si>
  <si>
    <t>AV. CHAZUTA CDRA. 5CHAZUTASAN MARTIN</t>
  </si>
  <si>
    <t>PDF06816629</t>
  </si>
  <si>
    <t>06816629</t>
  </si>
  <si>
    <t>PDF10008127</t>
  </si>
  <si>
    <t>10008127731</t>
  </si>
  <si>
    <t>PAREDES FLORES MIRLETH</t>
  </si>
  <si>
    <t>JR. AMARGURA N677 SORITOR</t>
  </si>
  <si>
    <t>PDF10008186</t>
  </si>
  <si>
    <t>10008186991</t>
  </si>
  <si>
    <t>GARCIA FLORES EDILBERTO</t>
  </si>
  <si>
    <t>JR.CALLAO 729 - MOYOBAMBA</t>
  </si>
  <si>
    <t>PDF10008296</t>
  </si>
  <si>
    <t>10008296320</t>
  </si>
  <si>
    <t>DIAZ ALAYO LUIS ENRIQUE</t>
  </si>
  <si>
    <t>AV. PROGRESO 252 - CALZADA</t>
  </si>
  <si>
    <t>PDF10008395</t>
  </si>
  <si>
    <t>JR. LAS FLORES N 867-SORITOR-MOYOBAMBA-SAN MARTIN</t>
  </si>
  <si>
    <t>PDF10008728</t>
  </si>
  <si>
    <t>JR. RICARDO PALMA S/- BELLAVISTABELLAVISTASAN MARTIN</t>
  </si>
  <si>
    <t>PDF10008729</t>
  </si>
  <si>
    <t>JR. SAN MARTIN 517 - BELLAVISTA</t>
  </si>
  <si>
    <t>PDF10008809</t>
  </si>
  <si>
    <t>JR. TUPAC AMARU SNCONSUELO. REF. FERRETERIA KARLITA</t>
  </si>
  <si>
    <t>PDF10008891</t>
  </si>
  <si>
    <t>10008891481</t>
  </si>
  <si>
    <t>COTRINA ALCANTARA CESAR RAUL</t>
  </si>
  <si>
    <t>JR. MIGUEL GRAU N 230 CONSUELO - SAN PABLO - BELLAVISTA</t>
  </si>
  <si>
    <t>PDF10009182</t>
  </si>
  <si>
    <t>Jr. INDEPENDENCIA S/N SAN JOSE DE SISA</t>
  </si>
  <si>
    <t>PDF10009208</t>
  </si>
  <si>
    <t>JR SAN MARTIN CDRA 4</t>
  </si>
  <si>
    <t>SAN MARTIN DE ALAO</t>
  </si>
  <si>
    <t>PDF10009493</t>
  </si>
  <si>
    <t>PDF10009525</t>
  </si>
  <si>
    <t>10009525101</t>
  </si>
  <si>
    <t>RAMIREZ TANG GUIDO</t>
  </si>
  <si>
    <t>JR.SIMON BOLIVAR 209 - LA BANDA DE SHILCAYO</t>
  </si>
  <si>
    <t>PDF10009692</t>
  </si>
  <si>
    <t>JR. FRANCISCO BOLOGNESI N572 PICOTA- PICOTA - SAN MARTIN</t>
  </si>
  <si>
    <t>PDF10010060</t>
  </si>
  <si>
    <t>JR. LETICIA CUADRA 3 (MERCADO N2) JUANJUI</t>
  </si>
  <si>
    <t>PDF10010405</t>
  </si>
  <si>
    <t>10010405659</t>
  </si>
  <si>
    <t>CORREA ZEGARRA ROYER</t>
  </si>
  <si>
    <t>YURAYACU 999</t>
  </si>
  <si>
    <t>YURACYACU</t>
  </si>
  <si>
    <t>PDF10010640</t>
  </si>
  <si>
    <t>JR. TAHUANTINSUYO NRO. 662 - TARAPOTO</t>
  </si>
  <si>
    <t>PDF10010673</t>
  </si>
  <si>
    <t>10010673939</t>
  </si>
  <si>
    <t>CHAVEZ TUESTA CARLOS</t>
  </si>
  <si>
    <t>JR.ALONSO DE ALVARADO 196 - TARAPOTO - SAN MARTIN</t>
  </si>
  <si>
    <t>PDF10010781</t>
  </si>
  <si>
    <t>AV. LIMA 598 - SAPOSOA</t>
  </si>
  <si>
    <t>PDF10011174</t>
  </si>
  <si>
    <t>10011174626</t>
  </si>
  <si>
    <t>CUBAS SILVA SEGUNDO NELSON</t>
  </si>
  <si>
    <t>AV. CAJAMARCA SUR 227N. CAJAMARCAREF. CORP.SANTA ROSA</t>
  </si>
  <si>
    <t>PDF10011175</t>
  </si>
  <si>
    <t>10011175606</t>
  </si>
  <si>
    <t>TENAZOA FASANANDO DIANA</t>
  </si>
  <si>
    <t>MERCADO 03 HUAYCO</t>
  </si>
  <si>
    <t>PDF10011340</t>
  </si>
  <si>
    <t>10011340445</t>
  </si>
  <si>
    <t>GUEVARA TARRILLO JORGE LUIS</t>
  </si>
  <si>
    <t>JR. PEDRO DE URSUA 155 TARAPOTO</t>
  </si>
  <si>
    <t>PDF10011475</t>
  </si>
  <si>
    <t>10011475260</t>
  </si>
  <si>
    <t>HIDALGO SANCHEZ ROLDAN SEGUNDO</t>
  </si>
  <si>
    <t>CARRETERA YURIMAGUAS 558 BDA DE SHILCAYO SAN MARTIN</t>
  </si>
  <si>
    <t>PDF10011476</t>
  </si>
  <si>
    <t>AV. VIA DE EVITAMIENTO 357 - TARAPOTO</t>
  </si>
  <si>
    <t>PDF10011578</t>
  </si>
  <si>
    <t>10011578581</t>
  </si>
  <si>
    <t>OJANAMA ARMAS DOLIBETHZ</t>
  </si>
  <si>
    <t>JR LIMA 314 - TARAPOTO</t>
  </si>
  <si>
    <t>PDF10032433</t>
  </si>
  <si>
    <t>JR. EMILIO ACOSTA N 435 - MOYOBAMBA</t>
  </si>
  <si>
    <t>PDF10036925</t>
  </si>
  <si>
    <t>10036925987</t>
  </si>
  <si>
    <t>CASTILLO LOPEZ ANALBERTO</t>
  </si>
  <si>
    <t>JR. JUNIN N 101</t>
  </si>
  <si>
    <t>PDF10042148</t>
  </si>
  <si>
    <t>JR LETICIA 506 - JUANJUI</t>
  </si>
  <si>
    <t>PDF10053807</t>
  </si>
  <si>
    <t>10053807858</t>
  </si>
  <si>
    <t>VASQUEZ TANANTA RAUL</t>
  </si>
  <si>
    <t>JR. SIMON BOLIVAR N 209 BANDA DE SHILCAYO</t>
  </si>
  <si>
    <t>PDF10053863</t>
  </si>
  <si>
    <t>10053863341</t>
  </si>
  <si>
    <t>DEL AGUILA NAPUCHI GEMITH</t>
  </si>
  <si>
    <t>JR. A. ALVARADO 176 - TARAPOTO</t>
  </si>
  <si>
    <t>PDF10059297</t>
  </si>
  <si>
    <t>10059297398</t>
  </si>
  <si>
    <t>RUIZ PEZO GILBERTO</t>
  </si>
  <si>
    <t>AV. MARGINAL CP ALIANZA - YURIMAGUAS - ALTO AMAZON</t>
  </si>
  <si>
    <t>PDF10073658</t>
  </si>
  <si>
    <t>10073658620</t>
  </si>
  <si>
    <t>VEGA ELIZALDE EVA ROSAURA</t>
  </si>
  <si>
    <t>JR MOYOBAMBA 380</t>
  </si>
  <si>
    <t>PDF10085789</t>
  </si>
  <si>
    <t>10085789312</t>
  </si>
  <si>
    <t>CHAVEZ FERNANDEZ NOEMA</t>
  </si>
  <si>
    <t>CARRETERA FERNANDO BELAÚNDE TERRY 2245 - BAGUA GRANDE</t>
  </si>
  <si>
    <t>PDF10164187</t>
  </si>
  <si>
    <t>10164187743</t>
  </si>
  <si>
    <t>CHAVEZ MARTINEZ MARIA ISABEL</t>
  </si>
  <si>
    <t>JR. VENCEDORES DE COMAINAS N 449 (BARRIO HUAYCO) - TARAPOTO</t>
  </si>
  <si>
    <t>PDF10166622</t>
  </si>
  <si>
    <t>JR. PEDRO DE URSUA 155</t>
  </si>
  <si>
    <t>PDF10166718</t>
  </si>
  <si>
    <t>10166718231</t>
  </si>
  <si>
    <t>BRAVO MONTENEGRO LUIS ALBERTO</t>
  </si>
  <si>
    <t>PSJE. MALACASI 155 - PUEBLO JOVEN - 2 DE MAYO</t>
  </si>
  <si>
    <t>PDF10167924</t>
  </si>
  <si>
    <t>10167924838</t>
  </si>
  <si>
    <t>TORRES MIRANDA SAMUEL</t>
  </si>
  <si>
    <t>JR. EMILIO ACOSTA 441 MOYOBAMBA</t>
  </si>
  <si>
    <t>PDF10179068</t>
  </si>
  <si>
    <t>JR. RAMON CASTILLA 367- TARAPOTO- SAN MARTIN</t>
  </si>
  <si>
    <t>PDF10273754</t>
  </si>
  <si>
    <t>10273754313</t>
  </si>
  <si>
    <t>INGA CHAVEZ MARIA JOSEFINA</t>
  </si>
  <si>
    <t>AV. MARIANO MELGAR N 971 - BAGUA GRANDE</t>
  </si>
  <si>
    <t>PDF10274342</t>
  </si>
  <si>
    <t>10274342159</t>
  </si>
  <si>
    <t>ESTELA VASQUEZ FLOR</t>
  </si>
  <si>
    <t>MARISAL URETA # 1057 - JAÉN</t>
  </si>
  <si>
    <t>PDF10274356</t>
  </si>
  <si>
    <t>AV. MARISCAL CASTILLA 824 - JAEN</t>
  </si>
  <si>
    <t>PDF10276606</t>
  </si>
  <si>
    <t>10276606811</t>
  </si>
  <si>
    <t>VASQUEZ BURGA REINILDA</t>
  </si>
  <si>
    <t>JR. LIBERTAD 663 NUEVA CAJAMARCA</t>
  </si>
  <si>
    <t>PDF10278522</t>
  </si>
  <si>
    <t>10278522992</t>
  </si>
  <si>
    <t>CASTILLO CORDOVA DAVID</t>
  </si>
  <si>
    <t>JR. ATAHUALPA PTO N 1 SAN IGNACIO</t>
  </si>
  <si>
    <t>PDF10278589</t>
  </si>
  <si>
    <t>PDF10334015</t>
  </si>
  <si>
    <t>10334015250</t>
  </si>
  <si>
    <t>VILLANUEVA AGUILAR DANIEL</t>
  </si>
  <si>
    <t>AV CAJAMARCA SUR 220 NVA. CAJ.</t>
  </si>
  <si>
    <t>PDF10334295</t>
  </si>
  <si>
    <t>JR. 3 ESQUINAS # 512 - CHACHAPOYAS</t>
  </si>
  <si>
    <t>PDF10335735</t>
  </si>
  <si>
    <t>10335735680</t>
  </si>
  <si>
    <t>SOTO PAREDES MARIA MARIBEL</t>
  </si>
  <si>
    <t>JR. LIMA 218 - BAGUA CHICA</t>
  </si>
  <si>
    <t>PDF10335890</t>
  </si>
  <si>
    <t>10335890324</t>
  </si>
  <si>
    <t>CARDOZO ZAVALETA LILIANA JANETE</t>
  </si>
  <si>
    <t>COM. IMACITA S/N C.P. IMACITA</t>
  </si>
  <si>
    <t>PDF10336497</t>
  </si>
  <si>
    <t>TEODORO VASQUEZ YRIGOIN</t>
  </si>
  <si>
    <t>CARRETERA MARGINAL S/N MOYOBAMBA</t>
  </si>
  <si>
    <t>PDF10336544</t>
  </si>
  <si>
    <t>10336544896</t>
  </si>
  <si>
    <t>FERNANDEZ HERRERA JULIO ARMANDO</t>
  </si>
  <si>
    <t>JR.RIOBAMBA S/N - POMACOCHAS - LA FLORIDA-BONGARÁ-AMAZONAS</t>
  </si>
  <si>
    <t>LA FLORIDA</t>
  </si>
  <si>
    <t>PDF10336563</t>
  </si>
  <si>
    <t>JR 28 DE JULIO S/N - LONYA GRANDE</t>
  </si>
  <si>
    <t>PDF10336704</t>
  </si>
  <si>
    <t>10336704982</t>
  </si>
  <si>
    <t>MEDINA DIAZ SEGUNDO DIONICIO</t>
  </si>
  <si>
    <t>MERCADO LA PARADA PTO.11 BAGUA GRANDE</t>
  </si>
  <si>
    <t>PDF10336725</t>
  </si>
  <si>
    <t>PDF10339417</t>
  </si>
  <si>
    <t>JOSE GONZALO</t>
  </si>
  <si>
    <t>JR. TORIBIO RODRIGUEZ DE MENDOZA 322</t>
  </si>
  <si>
    <t>PDF10402994</t>
  </si>
  <si>
    <t>JR. EMILIO ACOSTA 638 - MOYOBAMBA</t>
  </si>
  <si>
    <t>PDF10403887</t>
  </si>
  <si>
    <t>10403887159</t>
  </si>
  <si>
    <t>ALTAMIRANO HERRERA JUAN INBER</t>
  </si>
  <si>
    <t>AV. MESONES MURO 1395 SEC MORRO SOLAR</t>
  </si>
  <si>
    <t>PDF10404338</t>
  </si>
  <si>
    <t>PDF10406590</t>
  </si>
  <si>
    <t>10406590858</t>
  </si>
  <si>
    <t>FUENTES LOPEZ MARIA EPIFANIA</t>
  </si>
  <si>
    <t>JR HUAYABAMBA C/31 DE OCTUBRE N502</t>
  </si>
  <si>
    <t>PDF10406625</t>
  </si>
  <si>
    <t>CALLE MARISCAL URETA N 1222 - JAEN</t>
  </si>
  <si>
    <t>PDF10407452</t>
  </si>
  <si>
    <t>JR. HUALLAGA S/N - JUANJUI</t>
  </si>
  <si>
    <t>PDF10408242</t>
  </si>
  <si>
    <t>10408242610</t>
  </si>
  <si>
    <t>PINCHI GUERRA ZOILITA</t>
  </si>
  <si>
    <t>JR. ABANCAY 520 - TARAPOTO - SAN MARTIN</t>
  </si>
  <si>
    <t>PDF10408595</t>
  </si>
  <si>
    <t>JR. JOSE SANTOS CHOCANO S/N - LONYA GRANDE</t>
  </si>
  <si>
    <t>PDF10409534</t>
  </si>
  <si>
    <t>JR. 25 DE MAYO N 271 - MOYOBAMBA</t>
  </si>
  <si>
    <t>PDF10410860</t>
  </si>
  <si>
    <t>JR. SAN MARTIN S/N.- SAN MARTIN DE ALAO</t>
  </si>
  <si>
    <t>PDF10410889</t>
  </si>
  <si>
    <t>10410889914</t>
  </si>
  <si>
    <t>FERNANDEZ DIAZ MERCE</t>
  </si>
  <si>
    <t>PDF10412269</t>
  </si>
  <si>
    <t>10412269085</t>
  </si>
  <si>
    <t>CERNA CHUQUILIN ADIMIR</t>
  </si>
  <si>
    <t>AV. ALFONSO UGARTE S/N - CALZADA</t>
  </si>
  <si>
    <t>CALZADA</t>
  </si>
  <si>
    <t>PDF10414238</t>
  </si>
  <si>
    <t>AV.CHAZUTA S/NCHAZUTASAN MARTIN</t>
  </si>
  <si>
    <t>PDF10414866</t>
  </si>
  <si>
    <t>JR TAHUANTINSUYO N 613 - TARAPOTO</t>
  </si>
  <si>
    <t>PDF10415574</t>
  </si>
  <si>
    <t>10415574661</t>
  </si>
  <si>
    <t>PEREZ TUANAMA SEGUNDO ROBIN</t>
  </si>
  <si>
    <t>JR. COMERCIO CUADRA 9 - SAN JOSE DE SISA</t>
  </si>
  <si>
    <t>PDF10418000</t>
  </si>
  <si>
    <t>JR. HUALLAGA 1473 - JUANJUI</t>
  </si>
  <si>
    <t>PDF10418549</t>
  </si>
  <si>
    <t>10418549560</t>
  </si>
  <si>
    <t>AGUILAR CAMPOS RONALD</t>
  </si>
  <si>
    <t>JR.MARTINEZ DE CAMPAGÑON 440</t>
  </si>
  <si>
    <t>PDF10418614</t>
  </si>
  <si>
    <t>JR.HUSCAR N229-SAN JOSE DE SISA</t>
  </si>
  <si>
    <t>PDF10418739</t>
  </si>
  <si>
    <t>JR. SAN MARTÍN - BELLAVISTA</t>
  </si>
  <si>
    <t>PDF10418828</t>
  </si>
  <si>
    <t>JR.SAN MIGUEL MZ N 1 - LA BANDA DE SHILCAYO</t>
  </si>
  <si>
    <t>PDF10419668</t>
  </si>
  <si>
    <t>10419668881</t>
  </si>
  <si>
    <t>CARRANZA HUAMAN MIRIAN NELLY</t>
  </si>
  <si>
    <t>JR. EMILIO ACOSTA 333 INT. A - MOYOBAMBA</t>
  </si>
  <si>
    <t>PDF10419933</t>
  </si>
  <si>
    <t xml:space="preserve"> MADAY</t>
  </si>
  <si>
    <t>PDF10420001</t>
  </si>
  <si>
    <t>10420001601</t>
  </si>
  <si>
    <t>PRETTEL SAMAN LADY DIANA</t>
  </si>
  <si>
    <t>JR MESONES MURO 491 - JAÉN</t>
  </si>
  <si>
    <t>JAÉN</t>
  </si>
  <si>
    <t>PDF10420237</t>
  </si>
  <si>
    <t>10420237214</t>
  </si>
  <si>
    <t>OLIVERA MERA WALTER</t>
  </si>
  <si>
    <t>AV.VILLANUEVA PINILLOS  N 604 - JAEN</t>
  </si>
  <si>
    <t>PDF10421474</t>
  </si>
  <si>
    <t>10421474473</t>
  </si>
  <si>
    <t>CARPIO FERNANDEZ ROSAS</t>
  </si>
  <si>
    <t>AV. PACAMUROS N 1805</t>
  </si>
  <si>
    <t>PDF10422509</t>
  </si>
  <si>
    <t>PDF10422707</t>
  </si>
  <si>
    <t>PDF10422774</t>
  </si>
  <si>
    <t>JR LIMA 370</t>
  </si>
  <si>
    <t>PDF10427458</t>
  </si>
  <si>
    <t>10427458534</t>
  </si>
  <si>
    <t>CHUQUIPA AGUILAR EDWAR</t>
  </si>
  <si>
    <t>AV. MARIANO MELGAR N 979 - BAGUA GRANDE</t>
  </si>
  <si>
    <t>PDF10430332</t>
  </si>
  <si>
    <t>10430332363</t>
  </si>
  <si>
    <t>CUBAS ARRASCUE MARIA MARIBEL</t>
  </si>
  <si>
    <t>AV. FERNANDO BELAUNDE TERRY S/N BAGUA GRANDE</t>
  </si>
  <si>
    <t>PDF10431628</t>
  </si>
  <si>
    <t>10431628746</t>
  </si>
  <si>
    <t>HIDALGO DETQUIZAN EPIFANIO</t>
  </si>
  <si>
    <t>CAS. NUEVO CHIRIMOTO - RODRIGUEZ DE MENDOZA-AMAZONAS</t>
  </si>
  <si>
    <t>PDF10433991</t>
  </si>
  <si>
    <t>ROBLEDO LALANGUI MILTON</t>
  </si>
  <si>
    <t>BON</t>
  </si>
  <si>
    <t>AV MARIANO MELGAR N264 - BAGUA GRANDE</t>
  </si>
  <si>
    <t xml:space="preserve">SAN IGNACIO </t>
  </si>
  <si>
    <t>PDF10434048</t>
  </si>
  <si>
    <t>JR. SANTA ROSA N 344 - SAN IGNACIO</t>
  </si>
  <si>
    <t>PDF10434684</t>
  </si>
  <si>
    <t>10434684191</t>
  </si>
  <si>
    <t>VASQUEZ ALVARADO MIGUEL</t>
  </si>
  <si>
    <t>AV. PRINCIPAL S/N CHIRIYACO - IMAZA</t>
  </si>
  <si>
    <t>PDF10436805</t>
  </si>
  <si>
    <t>10436805093</t>
  </si>
  <si>
    <t>LAZO JIMENEZ CESAR DENNISSE</t>
  </si>
  <si>
    <t>JR.DANIEL ALCIDES CARRION S/N CP SAN PEDRO DE CUMBAZA - SAN ANTONIO - SAN MARTIN</t>
  </si>
  <si>
    <t>PDF10438301</t>
  </si>
  <si>
    <t>10438301271</t>
  </si>
  <si>
    <t>TOMAS ESPINOZA WILMER</t>
  </si>
  <si>
    <t>JR. LETICIA 506</t>
  </si>
  <si>
    <t>PDF10438527</t>
  </si>
  <si>
    <t>AV. MARIANO MELGAR 188 - BAGUA CHICA</t>
  </si>
  <si>
    <t>PDF10438529</t>
  </si>
  <si>
    <t>10438529794</t>
  </si>
  <si>
    <t>DEL AGUILA CASTILLO JOSE ADAN</t>
  </si>
  <si>
    <t>JR. HUALLAGA S/N CAMPANILLA</t>
  </si>
  <si>
    <t>PDF10440729</t>
  </si>
  <si>
    <t>10440729172</t>
  </si>
  <si>
    <t>VEGA FERNANDEZ ABELINO</t>
  </si>
  <si>
    <t>JR. AMARGURA S/N  - SORITOR</t>
  </si>
  <si>
    <t>PDF10440861</t>
  </si>
  <si>
    <t>10440861453</t>
  </si>
  <si>
    <t>PINCHI ISUIZA PAOLO ROSSI</t>
  </si>
  <si>
    <t>JR. LAS MARGARITAS 250 LA FLORIDA</t>
  </si>
  <si>
    <t>PDF10441481</t>
  </si>
  <si>
    <t>10441481573</t>
  </si>
  <si>
    <t>RAMIREZ DAVILA ANDY</t>
  </si>
  <si>
    <t>JR.LOS ANDES 368 - MORALES</t>
  </si>
  <si>
    <t>PDF10443149</t>
  </si>
  <si>
    <t>10443149495</t>
  </si>
  <si>
    <t>ALTAMIRANO COLVAQUE ROBERTH</t>
  </si>
  <si>
    <t>JR. LAS FLORES 749</t>
  </si>
  <si>
    <t>PDF10445909</t>
  </si>
  <si>
    <t>10445909063</t>
  </si>
  <si>
    <t>VASQUEZ BARTUREN FLOR NOEMI</t>
  </si>
  <si>
    <t>JR.SAN MARTIN 944</t>
  </si>
  <si>
    <t>PDF10445913</t>
  </si>
  <si>
    <t>10445913818</t>
  </si>
  <si>
    <t>VASQUEZ VIZCONDE JOSUNE</t>
  </si>
  <si>
    <t>AV. PAKAMUROS N 1707 - JAEN</t>
  </si>
  <si>
    <t>PDF10452010</t>
  </si>
  <si>
    <t>10452010521</t>
  </si>
  <si>
    <t>MANCHAY PADILLA WILDER</t>
  </si>
  <si>
    <t>JR. ALONSO DE ALVARADO N718- TARAPOTOSAN MARTIN 718</t>
  </si>
  <si>
    <t>PDF10455025</t>
  </si>
  <si>
    <t>10455025040</t>
  </si>
  <si>
    <t>ROSALES ARROYO DOCIA KATTY</t>
  </si>
  <si>
    <t>MERCADO NO 3</t>
  </si>
  <si>
    <t>PDF10458126</t>
  </si>
  <si>
    <t>PDF10458717</t>
  </si>
  <si>
    <t>10458717856</t>
  </si>
  <si>
    <t>COTRINA SALDAÑA MARIA EDITA</t>
  </si>
  <si>
    <t>AV. CORAZÓN DE JESÚS</t>
  </si>
  <si>
    <t>PDF10459034</t>
  </si>
  <si>
    <t>10459034493</t>
  </si>
  <si>
    <t>GUERRERO HERRERA DORIS</t>
  </si>
  <si>
    <t>JR. SARGENTO LORES N 505 - CAMPANILLA</t>
  </si>
  <si>
    <t>PDF10460386</t>
  </si>
  <si>
    <t>10460386590</t>
  </si>
  <si>
    <t>VASQUEZ ABANTO ROSBEL</t>
  </si>
  <si>
    <t>AV. MARGINAL S/N-POMACOCHAS</t>
  </si>
  <si>
    <t>PDF10465704</t>
  </si>
  <si>
    <t>10465704565</t>
  </si>
  <si>
    <t>SANCHEZ GALLARDO VIDAL JORDANO</t>
  </si>
  <si>
    <t>AV CHACHAPOYAS 2263  BAGUA GRANDE</t>
  </si>
  <si>
    <t>PDF10466234</t>
  </si>
  <si>
    <t>10466234678</t>
  </si>
  <si>
    <t>CASTREJON OJANAMA JOSUE</t>
  </si>
  <si>
    <t>CARRET. YURIMAGUAS NO. 801LA BANDA DE SHILCAYO 801</t>
  </si>
  <si>
    <t>PDF10466367</t>
  </si>
  <si>
    <t>10466367457</t>
  </si>
  <si>
    <t>CUEVA GONZALES ANGEL</t>
  </si>
  <si>
    <t>AV. CHACHAPOYAS 2254 - BAGUA GRANDE</t>
  </si>
  <si>
    <t>PDF10472278</t>
  </si>
  <si>
    <t>JR.RICARDO PALMA C/ MARISCAL CACERES</t>
  </si>
  <si>
    <t>PDF10472983</t>
  </si>
  <si>
    <t>10472983135</t>
  </si>
  <si>
    <t>VASQUEZ VIZCONDE ROSA DELICIA</t>
  </si>
  <si>
    <t>AV.MARISCAL CASTILLA 832 - JAEN</t>
  </si>
  <si>
    <t>PDF10475501</t>
  </si>
  <si>
    <t>10475501140</t>
  </si>
  <si>
    <t>MENDOZA PAIMA JHON CRISTIAN</t>
  </si>
  <si>
    <t>JR.LAS CUCARDAS MZ M 9</t>
  </si>
  <si>
    <t>PDF10475813</t>
  </si>
  <si>
    <t>10475813265</t>
  </si>
  <si>
    <t>CAMPOS RODRIGUEZ DEYNER</t>
  </si>
  <si>
    <t>PROLONGACION MIGUEL GRAU S/NPICOTA</t>
  </si>
  <si>
    <t>PDF10481014</t>
  </si>
  <si>
    <t>JR SAN MARTIN S/N SAN MARTIN DE ALAO</t>
  </si>
  <si>
    <t>PDF10481879</t>
  </si>
  <si>
    <t>PDF10482795</t>
  </si>
  <si>
    <t>AV. MARGINAL S/N - NARANJOS</t>
  </si>
  <si>
    <t>PDF10482816</t>
  </si>
  <si>
    <t>JR. AMARGURA  ESQUINA CON JR. SAN JOSE</t>
  </si>
  <si>
    <t>PDF10483436</t>
  </si>
  <si>
    <t>10483436586</t>
  </si>
  <si>
    <t>GUERRERO VARGAS ALEX JOEL</t>
  </si>
  <si>
    <t>AV MARIANO MELGAR S/N - BAGUA GRANDE</t>
  </si>
  <si>
    <t>PDF10485415</t>
  </si>
  <si>
    <t>PDF10628323</t>
  </si>
  <si>
    <t>PDF10700615</t>
  </si>
  <si>
    <t>JR. COMERCIO N</t>
  </si>
  <si>
    <t>PDF10700786</t>
  </si>
  <si>
    <t>PDF10701590</t>
  </si>
  <si>
    <t>10701590436</t>
  </si>
  <si>
    <t>HUAÑAP ESQUIA BRAHIAN DOUGLAS</t>
  </si>
  <si>
    <t>JR.YURIMAGUAS 611 BANDA DE SHILCAYO</t>
  </si>
  <si>
    <t>BANDA DE SHILCAYO</t>
  </si>
  <si>
    <t>PDF10706142</t>
  </si>
  <si>
    <t>10706142822</t>
  </si>
  <si>
    <t>PACHAS GAMONAL JHOAN</t>
  </si>
  <si>
    <t>JR.AMAZONAS S/N-NARANJILLO</t>
  </si>
  <si>
    <t>PDF10706626</t>
  </si>
  <si>
    <t>PDF10709295</t>
  </si>
  <si>
    <t>URBANIZACION VILLA HERMOZA MORALES SAN MARTIN</t>
  </si>
  <si>
    <t>PDF10711070</t>
  </si>
  <si>
    <t>10711070929</t>
  </si>
  <si>
    <t>VASQUEZ MARICAHUA RAUL FRANSISCO</t>
  </si>
  <si>
    <t>PDF10712754</t>
  </si>
  <si>
    <t>PDF10716055</t>
  </si>
  <si>
    <t>10716055952</t>
  </si>
  <si>
    <t>FATAMA PINCHI JUNIOR ALEXIS</t>
  </si>
  <si>
    <t>JR HUALLAGA # 1046 - JUANJUI</t>
  </si>
  <si>
    <t>PDF10719061</t>
  </si>
  <si>
    <t>10719061449</t>
  </si>
  <si>
    <t>CRUZ VASQUEZ LUZ MABEL</t>
  </si>
  <si>
    <t>PASAJE ESPAÑA N 100 B.SUCHICHE - TARAPOTO - SAN MARTIN</t>
  </si>
  <si>
    <t>PDF10719577</t>
  </si>
  <si>
    <t>10719577615</t>
  </si>
  <si>
    <t>CRUZ NAVARRO ALIDA</t>
  </si>
  <si>
    <t>AV.LA MARGINAL MZ42LT07 CP ALIANZA</t>
  </si>
  <si>
    <t>PDF10724168</t>
  </si>
  <si>
    <t>PDF10726197</t>
  </si>
  <si>
    <t>PDF10729224</t>
  </si>
  <si>
    <t>10729224761</t>
  </si>
  <si>
    <t>VASQUEZ CUBAS JESUS ENRIQUE</t>
  </si>
  <si>
    <t>CALLE. VILLANUEVA PINILLOS N 525 JAEN</t>
  </si>
  <si>
    <t>PDF10735054</t>
  </si>
  <si>
    <t>10735054801</t>
  </si>
  <si>
    <t>IZQUIERDO BUSTAMANTE FRANKLIN IVAN</t>
  </si>
  <si>
    <t>JR. MOQUEGUA S/N NUEVA CAJAMARCA</t>
  </si>
  <si>
    <t>PDF10737691</t>
  </si>
  <si>
    <t>JIRÓN ALONSO DE ALVARADO 636 - TARAPOTO- SAN MARTIN</t>
  </si>
  <si>
    <t>PDF10740793</t>
  </si>
  <si>
    <t>10740793913</t>
  </si>
  <si>
    <t>CARRASCO RODRIGUEZ LENNIN BRIAN</t>
  </si>
  <si>
    <t>AV. MARISCAL CAASTILLA 1396</t>
  </si>
  <si>
    <t>PDF10745921</t>
  </si>
  <si>
    <t>10745921286</t>
  </si>
  <si>
    <t>DIAZ VARGAS JHON HEYSEN</t>
  </si>
  <si>
    <t>AV. LA MARGINAL MZ 12 LT. 07  C.P. ALIANZA -CAYNARACHI-LAMAS- SAN MARTIN</t>
  </si>
  <si>
    <t>PDF10748866</t>
  </si>
  <si>
    <t>AVENIDA MARISCAL CASTILLA N 1617 - JAEN</t>
  </si>
  <si>
    <t>PDF10756764</t>
  </si>
  <si>
    <t>10756764506</t>
  </si>
  <si>
    <t>OLGUIN ESPINOZA ANGEL DAVID</t>
  </si>
  <si>
    <t>AV PAKAMUROS 1435 - JAEN</t>
  </si>
  <si>
    <t>PDF10762428</t>
  </si>
  <si>
    <t>PDF10766467</t>
  </si>
  <si>
    <t>10766467283</t>
  </si>
  <si>
    <t>LOPEZ SALDIVAR ROVINSON</t>
  </si>
  <si>
    <t>CARRETERA A SHABUYACU</t>
  </si>
  <si>
    <t>PDF10776775</t>
  </si>
  <si>
    <t>AV. CHACHAPOYAS 3840 - BAGUA GRANDE</t>
  </si>
  <si>
    <t>PDF10802673</t>
  </si>
  <si>
    <t>PDF10804017</t>
  </si>
  <si>
    <t>10804017319</t>
  </si>
  <si>
    <t>TORRES NUÑEZ MARINA</t>
  </si>
  <si>
    <t>AV PAKAMUROS 1550 - JAEN</t>
  </si>
  <si>
    <t>PDF16767784</t>
  </si>
  <si>
    <t>16767784</t>
  </si>
  <si>
    <t>ELIAS</t>
  </si>
  <si>
    <t>JR MALECON MARAÑON - SAN LORENZO</t>
  </si>
  <si>
    <t>PDF17193053</t>
  </si>
  <si>
    <t>PDF17338636</t>
  </si>
  <si>
    <t>17338636326</t>
  </si>
  <si>
    <t>ROJAS REAÑO VICTOR HUGO</t>
  </si>
  <si>
    <t>CARRETERA 8 AÑOS FERMALES KM 01</t>
  </si>
  <si>
    <t>PDF22967165</t>
  </si>
  <si>
    <t>FERNANDO</t>
  </si>
  <si>
    <t>PDF27733742</t>
  </si>
  <si>
    <t>27733742</t>
  </si>
  <si>
    <t>JORGE LUIS</t>
  </si>
  <si>
    <t>CALLE  IQUITOS N1049 - MOYOBAMBA</t>
  </si>
  <si>
    <t>PDF33598188</t>
  </si>
  <si>
    <t>CALIXTO</t>
  </si>
  <si>
    <t>AV. HEROES DEL CENEPA S/N BAGUA  CHICA</t>
  </si>
  <si>
    <t>PDF40019673</t>
  </si>
  <si>
    <t>40019673</t>
  </si>
  <si>
    <t>MIRELA IBET</t>
  </si>
  <si>
    <t>AV. MARIANO MELGAR N971 BAGUA GRANDE</t>
  </si>
  <si>
    <t>PDF41726241</t>
  </si>
  <si>
    <t>ALEXANDER</t>
  </si>
  <si>
    <t>JR. LAGUNAS - LAGUNAS - ALTO AMAZONAS</t>
  </si>
  <si>
    <t>PDF41913498</t>
  </si>
  <si>
    <t>41913498</t>
  </si>
  <si>
    <t>AQUILES</t>
  </si>
  <si>
    <t>PROLONGACION  15 DE AGOSTO  YURIMAGUAS</t>
  </si>
  <si>
    <t>PDF43137575</t>
  </si>
  <si>
    <t>43137575</t>
  </si>
  <si>
    <t>ALAN RENÉ</t>
  </si>
  <si>
    <t>JR. LA JUNTA S/N</t>
  </si>
  <si>
    <t>PDF43271313</t>
  </si>
  <si>
    <t>43271313</t>
  </si>
  <si>
    <t>ABELINO</t>
  </si>
  <si>
    <t>SUCUSYACU</t>
  </si>
  <si>
    <t>PDF43477122</t>
  </si>
  <si>
    <t>43477122</t>
  </si>
  <si>
    <t>DARWIN</t>
  </si>
  <si>
    <t>JR. ALCIDES CARRION S/N</t>
  </si>
  <si>
    <t>PDF44154108</t>
  </si>
  <si>
    <t>44154108</t>
  </si>
  <si>
    <t>EVA</t>
  </si>
  <si>
    <t>JR SARGENTO LORES S/N FRENTE A LA PLAZA - CAMPANILLA</t>
  </si>
  <si>
    <t>PDF44624536</t>
  </si>
  <si>
    <t>44624536</t>
  </si>
  <si>
    <t>ROBERT</t>
  </si>
  <si>
    <t>JR YOTIBIO RODRIGUEZ DE MENDOZA # 515-MENDOZA-SAN NICOLAS-RODRIGUEZ DE MENDOZA-AMAZONAS</t>
  </si>
  <si>
    <t>PDF45105891</t>
  </si>
  <si>
    <t>45105891</t>
  </si>
  <si>
    <t>SEGUNDO</t>
  </si>
  <si>
    <t>AV MARGINAL S/N CAYNARACHI</t>
  </si>
  <si>
    <t>PONGO DE CAYNARACHI</t>
  </si>
  <si>
    <t>PDF46436955</t>
  </si>
  <si>
    <t>46436955</t>
  </si>
  <si>
    <t>NOHEMY</t>
  </si>
  <si>
    <t>JR. HUASCAR 107 - SAN IGNACIO</t>
  </si>
  <si>
    <t>PDF47419812</t>
  </si>
  <si>
    <t>47419812</t>
  </si>
  <si>
    <t>ANA MARIA</t>
  </si>
  <si>
    <t>JR. SAN MARTIN S7N CON SGTO LORES -SAN MARTIN DE ALO</t>
  </si>
  <si>
    <t>PDF47525758</t>
  </si>
  <si>
    <t>47525758</t>
  </si>
  <si>
    <t>ESTELA</t>
  </si>
  <si>
    <t>JR. PAKAMUROS   S/N JAEN</t>
  </si>
  <si>
    <t>PDF47907919</t>
  </si>
  <si>
    <t>47907919</t>
  </si>
  <si>
    <t>EFRAIN</t>
  </si>
  <si>
    <t>JR. CHAZUTA S/NCHAZUTA</t>
  </si>
  <si>
    <t>PDF60629059</t>
  </si>
  <si>
    <t>60629059</t>
  </si>
  <si>
    <t>MCDO. 03 S/N PUESTO A-5 PABELLON D</t>
  </si>
  <si>
    <t>PDF70536973</t>
  </si>
  <si>
    <t>70536973</t>
  </si>
  <si>
    <t>TOMAS</t>
  </si>
  <si>
    <t>BAGUA GRANDE 999</t>
  </si>
  <si>
    <t>PDF72661973</t>
  </si>
  <si>
    <t>72661973</t>
  </si>
  <si>
    <t>JHOAN HENRY</t>
  </si>
  <si>
    <t>JR PALCAZU S/N - SAN LORENZO</t>
  </si>
  <si>
    <t>PDF73209227</t>
  </si>
  <si>
    <t>05618734</t>
  </si>
  <si>
    <t>MAX JUNIOR SILVA LOPEZ</t>
  </si>
  <si>
    <t>JR. SAN MARTIN #432 - LA BANDA DE SHILCAYO</t>
  </si>
  <si>
    <t>PDF73702243</t>
  </si>
  <si>
    <t>73702243</t>
  </si>
  <si>
    <t>CANDY</t>
  </si>
  <si>
    <t>JR. ALELIAS  N234 TARAPOTO</t>
  </si>
  <si>
    <t>PDF76439433</t>
  </si>
  <si>
    <t>76439433</t>
  </si>
  <si>
    <t>CARLA</t>
  </si>
  <si>
    <t>AV MARIANO MELGAR 979</t>
  </si>
  <si>
    <t>PDF76664301</t>
  </si>
  <si>
    <t>76664301</t>
  </si>
  <si>
    <t>AV. LIMA CDRA 6 - SAPOSOA - HUALLAGA</t>
  </si>
  <si>
    <t>PDF77018726</t>
  </si>
  <si>
    <t>PDF77329614</t>
  </si>
  <si>
    <t>77329614</t>
  </si>
  <si>
    <t>MILTON YOEL</t>
  </si>
  <si>
    <t>AV. CAJAMARCA SUR N 220 - NUEVA CAJAMARCA</t>
  </si>
  <si>
    <t>PDF77694108</t>
  </si>
  <si>
    <t>PDF80319329</t>
  </si>
  <si>
    <t>VIA DE EVITAMIENTO CUADRA 1</t>
  </si>
  <si>
    <t>PEDEMONTERODRIGUEZED</t>
  </si>
  <si>
    <t>ROMANGARCIALINARES</t>
  </si>
  <si>
    <t>10053979501</t>
  </si>
  <si>
    <t>ROMAN GARCIA LINARES</t>
  </si>
  <si>
    <t>YURIPACHAS</t>
  </si>
  <si>
    <t>CALLE GARCILAZO DE LA VEGA N° 143-YURIMAGUAS</t>
  </si>
  <si>
    <t>RUC:</t>
  </si>
  <si>
    <t xml:space="preserve">TELEFONO : </t>
  </si>
  <si>
    <t xml:space="preserve">DIRECCION: </t>
  </si>
  <si>
    <t>MACHETE GAV 191 H21 TY MAN NEGRO</t>
  </si>
  <si>
    <t>FIBRODISCO BARRACUDA PRO 4 1/2 GRANO 60</t>
  </si>
  <si>
    <t>FIBRODISCO BARRACUDA PRO 4 1/2 GRANO 80</t>
  </si>
  <si>
    <t>FIBRODISCO BARRACUDA PRO 4 1/2 GRANO 100</t>
  </si>
  <si>
    <t>RODILLO CORNETA PROF 9*3/4</t>
  </si>
  <si>
    <t>RODILLO CORNETA PROF 9*3/8</t>
  </si>
  <si>
    <t>BOBINA DE ARRANQUE BONCS65-B02</t>
  </si>
  <si>
    <t>CARBURADOR BONHOEFFER BONCS65-D05</t>
  </si>
  <si>
    <t>LINTERNA CORNETA SUPER LED RECARGA 2673-10W</t>
  </si>
  <si>
    <t>LINTERNA CORNETA SUPER LED RECARGA 8889-3W</t>
  </si>
  <si>
    <t>BARRA AGRICOLA COLIMA 16 LB</t>
  </si>
  <si>
    <t>SERRUCHO GAV PROF CURVO PODA 12 M/PLASTICO</t>
  </si>
  <si>
    <t>FUMIGADORA PL2500 B NYLON PL2500N-S</t>
  </si>
  <si>
    <t>CUCHILLO P/CARNE 10 POFESIONALES 24609080</t>
  </si>
  <si>
    <t>SELECTOR DE ARVENSES BELLOTA 70CM SCTARV70</t>
  </si>
  <si>
    <t>CUCHILLO DEPORT 6 OUTDOOR 26010106</t>
  </si>
  <si>
    <t>BARRA AGRICOLA COLIMA DE 18 LLB</t>
  </si>
  <si>
    <t>Precio Venta Total</t>
  </si>
  <si>
    <t>Precio de Venta Unitario con descuento</t>
  </si>
  <si>
    <t>Precio de Venta total con descuento</t>
  </si>
  <si>
    <t>Precio de Venta Unitario</t>
  </si>
  <si>
    <t>PROYECCIÓN DE VENTAS N°:</t>
  </si>
  <si>
    <t>VENDEDOR</t>
  </si>
  <si>
    <t>FECHA</t>
  </si>
  <si>
    <t xml:space="preserve">CLIENTE      : </t>
  </si>
  <si>
    <t>VENDEDOR:</t>
  </si>
  <si>
    <t>FECHA:</t>
  </si>
  <si>
    <t>DIAS VENCIMIENTO</t>
  </si>
  <si>
    <t>REGISTRO DE COBRANZA</t>
  </si>
  <si>
    <t>DEUDA TOTAL</t>
  </si>
  <si>
    <t>PLAZO DE CREDITO</t>
  </si>
  <si>
    <t>FECHA VENCIMIENTO</t>
  </si>
  <si>
    <t>COBRANZA PROYECTADA</t>
  </si>
  <si>
    <t>COBRANZA REAL</t>
  </si>
  <si>
    <t>RUC</t>
  </si>
  <si>
    <t>DEPARTAMENTO</t>
  </si>
  <si>
    <t>ZONA</t>
  </si>
  <si>
    <t>N° CELULAR</t>
  </si>
  <si>
    <t>LINEA DE CREDITO</t>
  </si>
  <si>
    <t>FACTURA</t>
  </si>
  <si>
    <t>IMPORTE APROBADO</t>
  </si>
  <si>
    <t>AMORTIZACION2</t>
  </si>
  <si>
    <t>DEPOSITO</t>
  </si>
  <si>
    <t>F. COBRANZA</t>
  </si>
  <si>
    <t>BANCO</t>
  </si>
  <si>
    <t>SALDO PENDIENTE</t>
  </si>
  <si>
    <t>MES EMISION</t>
  </si>
  <si>
    <t>AÑO</t>
  </si>
  <si>
    <t>EMISION</t>
  </si>
  <si>
    <t>MES VENCIM</t>
  </si>
  <si>
    <t>VENCIMIENTO</t>
  </si>
  <si>
    <t>ALERTA DIAS</t>
  </si>
  <si>
    <t>TRAMO</t>
  </si>
  <si>
    <t>CANAL</t>
  </si>
  <si>
    <t>MODALIDAD DE CREDITO</t>
  </si>
  <si>
    <t>PLAZO</t>
  </si>
  <si>
    <t>LETRA</t>
  </si>
  <si>
    <t>FACTURA2</t>
  </si>
  <si>
    <t>GARANTIA</t>
  </si>
  <si>
    <t>DOC. INGRESO BCO</t>
  </si>
  <si>
    <t xml:space="preserve">COBRANZA </t>
  </si>
  <si>
    <t>FECHA INGRESO</t>
  </si>
  <si>
    <t>N. UNICO</t>
  </si>
  <si>
    <t>F.VCMTO</t>
  </si>
  <si>
    <t>F. PAGO</t>
  </si>
  <si>
    <t>ESTADO</t>
  </si>
  <si>
    <t>SUCURSAL</t>
  </si>
  <si>
    <t>COMENTARIO</t>
  </si>
  <si>
    <t>WONG DE CHING NERY ELENA</t>
  </si>
  <si>
    <t>DIRECTO</t>
  </si>
  <si>
    <t>CANCELADO</t>
  </si>
  <si>
    <t>CHING SOPLIN AUGUSTO</t>
  </si>
  <si>
    <t>RUIZ BANEO BETTSY JHOANA</t>
  </si>
  <si>
    <t>GARCIA ALENCAR DENIS</t>
  </si>
  <si>
    <t>PERSONAL</t>
  </si>
  <si>
    <t>PENDIENTE</t>
  </si>
  <si>
    <t>B025-0002274</t>
  </si>
  <si>
    <t>B025-0002275</t>
  </si>
  <si>
    <t>B025-0002270</t>
  </si>
  <si>
    <t>B014-0003223</t>
  </si>
  <si>
    <t>B014-0003224</t>
  </si>
  <si>
    <t>B026-0001253</t>
  </si>
  <si>
    <t>B026-0001252</t>
  </si>
  <si>
    <t>B026-0001257</t>
  </si>
  <si>
    <t>B026-0001255</t>
  </si>
  <si>
    <t>B026-0001254</t>
  </si>
  <si>
    <t>B026-0001256</t>
  </si>
  <si>
    <t>B026-0001251</t>
  </si>
  <si>
    <t>B005-0004669</t>
  </si>
  <si>
    <t>B005-0004667</t>
  </si>
  <si>
    <t>B005-0004666</t>
  </si>
  <si>
    <t>DISTRIBUIDORA Y COMERCIALIZADORA EL CHINO SHECO SA</t>
  </si>
  <si>
    <t>INVERSIONES Y SERVICIOS SALOMON E.I.R.L</t>
  </si>
  <si>
    <t>DISTRIBUIDOR JULIO JV EMPRESA INDIVIDUAL DE RESPON</t>
  </si>
  <si>
    <t>CARBEL IQUITOS EIRL</t>
  </si>
  <si>
    <t>NEGOCIACIONES YANCAN E.I.R.L</t>
  </si>
  <si>
    <t>COMERCIALIZADORA &amp; DISTRIBUIDORA CLAUDIA ANGELLY</t>
  </si>
  <si>
    <t>MELENDEZ VILLACORTA MARY LUZ</t>
  </si>
  <si>
    <t>CORPORACION FERRETERA IMPORTADORA Y SERVICIOS ANEX</t>
  </si>
  <si>
    <t>F034-0000163</t>
  </si>
  <si>
    <t>F034-0000174</t>
  </si>
  <si>
    <t>F026-0003705</t>
  </si>
  <si>
    <t>F034-0000190</t>
  </si>
  <si>
    <t>F034-0000189</t>
  </si>
  <si>
    <t>F034-0000200</t>
  </si>
  <si>
    <t>INVERSIONES IRIS R &amp; T S.R.L.</t>
  </si>
  <si>
    <t>F034-0000202</t>
  </si>
  <si>
    <t>F026-0003738</t>
  </si>
  <si>
    <t>F034-0000201</t>
  </si>
  <si>
    <t>F026-0003759</t>
  </si>
  <si>
    <t>F026-0003757</t>
  </si>
  <si>
    <t>F026-0003758</t>
  </si>
  <si>
    <t>F034-0000212</t>
  </si>
  <si>
    <t>F026-0003777</t>
  </si>
  <si>
    <t>BERMEO DIAZ BERCI ELICEO</t>
  </si>
  <si>
    <t>B034-0000089</t>
  </si>
  <si>
    <t>B034-0000090</t>
  </si>
  <si>
    <t>F026-0003800</t>
  </si>
  <si>
    <t>F026-0003803</t>
  </si>
  <si>
    <t>F034-0000232</t>
  </si>
  <si>
    <t>F034-0000233</t>
  </si>
  <si>
    <t>F026-0003804</t>
  </si>
  <si>
    <t>F026-0003828</t>
  </si>
  <si>
    <t>F034-0000242</t>
  </si>
  <si>
    <t>F026-0003843</t>
  </si>
  <si>
    <t>COMERCIAL FERRETERA EL SUPER ECONOMICO E.I.R.L</t>
  </si>
  <si>
    <t>F026-0003851</t>
  </si>
  <si>
    <t>ANDINA GROUP EIRL</t>
  </si>
  <si>
    <t>F026-0003850</t>
  </si>
  <si>
    <t>AGRO FERRETERA V Y R EIRL</t>
  </si>
  <si>
    <t>F026-0003848</t>
  </si>
  <si>
    <t>F034-0000253</t>
  </si>
  <si>
    <t>B034-0000112</t>
  </si>
  <si>
    <t>ABASTECIMIENTOS Y SERVICIOS HUVIHU E.I.R.L.</t>
  </si>
  <si>
    <t>F034-0000258</t>
  </si>
  <si>
    <t>F034-0000259</t>
  </si>
  <si>
    <t>F034-0000260</t>
  </si>
  <si>
    <t>F034-0000270</t>
  </si>
  <si>
    <t>F026-0003906</t>
  </si>
  <si>
    <t>F034-0000274</t>
  </si>
  <si>
    <t>SABOYA VELA ROSMERI</t>
  </si>
  <si>
    <t>F026-0003939</t>
  </si>
  <si>
    <t>F026-0003945</t>
  </si>
  <si>
    <t>F026-0003954</t>
  </si>
  <si>
    <t>F026-0003969</t>
  </si>
  <si>
    <t>LA CASA PLAST SAC</t>
  </si>
  <si>
    <t>F026-0003956</t>
  </si>
  <si>
    <t>EL PUNCHANINO CONSTRUCTOR SAC</t>
  </si>
  <si>
    <t>F026-0003958</t>
  </si>
  <si>
    <t>F026-0003970</t>
  </si>
  <si>
    <t>F026-0003966</t>
  </si>
  <si>
    <t>F026-0003967</t>
  </si>
  <si>
    <t>F026-0003963</t>
  </si>
  <si>
    <t>MACUYAMA ARAUJO ERICK MANUEL</t>
  </si>
  <si>
    <t>B026-0001602</t>
  </si>
  <si>
    <t>F034-0000295</t>
  </si>
  <si>
    <t>F034-0000297</t>
  </si>
  <si>
    <t>F026-0003998</t>
  </si>
  <si>
    <t>F014-0000328</t>
  </si>
  <si>
    <t>ZAMBRANO DEL AGUILA JORGE BEDER</t>
  </si>
  <si>
    <t>B001-0008154</t>
  </si>
  <si>
    <t>FLORES SUNCIÒN ROBERTO</t>
  </si>
  <si>
    <t>F034-0000317</t>
  </si>
  <si>
    <t>F026-0004047</t>
  </si>
  <si>
    <t>F034-0000315</t>
  </si>
  <si>
    <t>YALTA DE GARAY JOIDITA NERY</t>
  </si>
  <si>
    <t>B026-0001638</t>
  </si>
  <si>
    <t>F034-0000319</t>
  </si>
  <si>
    <t>F026-0004051</t>
  </si>
  <si>
    <t>F026-0004052</t>
  </si>
  <si>
    <t>F026-0004057</t>
  </si>
  <si>
    <t>F034-0000326</t>
  </si>
  <si>
    <t>F034-0000325</t>
  </si>
  <si>
    <t>F026-0004076</t>
  </si>
  <si>
    <t>F034-0000329</t>
  </si>
  <si>
    <t>F034-0000330</t>
  </si>
  <si>
    <t>MULTISERV  YGNACIO EIRL</t>
  </si>
  <si>
    <t>F034-0000332</t>
  </si>
  <si>
    <t>F026-0004098</t>
  </si>
  <si>
    <t>F034-0000336</t>
  </si>
  <si>
    <t>PATTYS FERRETERIA EIRL</t>
  </si>
  <si>
    <t>F026-0004101</t>
  </si>
  <si>
    <t>AGROVETERINARIA MASTER S.C.R.L.</t>
  </si>
  <si>
    <t>20493381807</t>
  </si>
  <si>
    <t>F026-0004100</t>
  </si>
  <si>
    <t>F026-0004099</t>
  </si>
  <si>
    <t>PANDURO MONTALVAN GLORIA MELISSA</t>
  </si>
  <si>
    <t>42034126</t>
  </si>
  <si>
    <t>B001-0008276</t>
  </si>
  <si>
    <t>INVERSIONES IRIS R&amp;T SRL</t>
  </si>
  <si>
    <t>INV20600712</t>
  </si>
  <si>
    <t>F026-0004105</t>
  </si>
  <si>
    <t>DISTRIBUCIONES JAMVALK EIRL</t>
  </si>
  <si>
    <t>F026-0004103</t>
  </si>
  <si>
    <t>F026-0004104</t>
  </si>
  <si>
    <t>BBVA</t>
  </si>
  <si>
    <t>F026-0004135</t>
  </si>
  <si>
    <t>F034-0000347</t>
  </si>
  <si>
    <t>F026-0004136</t>
  </si>
  <si>
    <t>F034-0000348</t>
  </si>
  <si>
    <t>F034-0000357</t>
  </si>
  <si>
    <t>F014-0000355</t>
  </si>
  <si>
    <t>PEREZ CUÑA PATRICIA</t>
  </si>
  <si>
    <t>F026-0004162</t>
  </si>
  <si>
    <t>F026-0004163</t>
  </si>
  <si>
    <t>MULTISERV YGNACIO EIRL</t>
  </si>
  <si>
    <t>F026-0004167</t>
  </si>
  <si>
    <t>F026-0004177</t>
  </si>
  <si>
    <t>F026-0004185</t>
  </si>
  <si>
    <t>F026-0004181</t>
  </si>
  <si>
    <t>F026-0004182</t>
  </si>
  <si>
    <t>F026-0004193</t>
  </si>
  <si>
    <t>F034-0000377</t>
  </si>
  <si>
    <t>F026-0004225</t>
  </si>
  <si>
    <t>F026-0004231</t>
  </si>
  <si>
    <t>F026-0004235</t>
  </si>
  <si>
    <t>F026-0004236</t>
  </si>
  <si>
    <t>F034-0000384</t>
  </si>
  <si>
    <t>F026-0004244</t>
  </si>
  <si>
    <t>F034-0000385</t>
  </si>
  <si>
    <t>FERRETERIA VILCA E.I.R.L</t>
  </si>
  <si>
    <t>F026-0004250</t>
  </si>
  <si>
    <t>F026-0004248</t>
  </si>
  <si>
    <t>F026-0004249</t>
  </si>
  <si>
    <t>F034-0000387</t>
  </si>
  <si>
    <t>SEGURIP LUS COMPANY S.R.L</t>
  </si>
  <si>
    <t>F034-0000394</t>
  </si>
  <si>
    <t>TRANSPORTE</t>
  </si>
  <si>
    <t>F034-0000391</t>
  </si>
  <si>
    <t>ROMERO VASQUEZ POLITA</t>
  </si>
  <si>
    <t>B034-0000192</t>
  </si>
  <si>
    <t>F026-0004279</t>
  </si>
  <si>
    <t>B034-0000196</t>
  </si>
  <si>
    <t>F026-0004287</t>
  </si>
  <si>
    <t>F026-0004288</t>
  </si>
  <si>
    <t>F034-0000406</t>
  </si>
  <si>
    <t>F034-0000408</t>
  </si>
  <si>
    <t>F026-0004299</t>
  </si>
  <si>
    <t>B026-0001771</t>
  </si>
  <si>
    <t>SUSAN</t>
  </si>
  <si>
    <t>B026-0001772</t>
  </si>
  <si>
    <t>F034-0000414</t>
  </si>
  <si>
    <t>B026-0001770</t>
  </si>
  <si>
    <t>B034-0000202</t>
  </si>
  <si>
    <t>F034-0000423</t>
  </si>
  <si>
    <t>F026-0004344</t>
  </si>
  <si>
    <t>F026-0004347</t>
  </si>
  <si>
    <t>F034-0000428</t>
  </si>
  <si>
    <t>F026-0004342</t>
  </si>
  <si>
    <t>F026-0004343</t>
  </si>
  <si>
    <t>F026-0004350</t>
  </si>
  <si>
    <t>F026-0004354</t>
  </si>
  <si>
    <t>F026-0004359</t>
  </si>
  <si>
    <t>F026-0004360</t>
  </si>
  <si>
    <t>F026-0004357</t>
  </si>
  <si>
    <t>F026-0004363</t>
  </si>
  <si>
    <t>F034-0000438</t>
  </si>
  <si>
    <t>F034-0000439</t>
  </si>
  <si>
    <t>F034-0000440</t>
  </si>
  <si>
    <t>F026-0004365</t>
  </si>
  <si>
    <t>F034-0000443</t>
  </si>
  <si>
    <t>F026-0004362</t>
  </si>
  <si>
    <t>F034-0000437</t>
  </si>
  <si>
    <t>F026-0004372</t>
  </si>
  <si>
    <t>JARAMILLO ALVARADO ERCILIA VANESSA</t>
  </si>
  <si>
    <t>F026-0004380</t>
  </si>
  <si>
    <t>F026-0004399</t>
  </si>
  <si>
    <t>F026-0004403</t>
  </si>
  <si>
    <t>F034-0000473</t>
  </si>
  <si>
    <t>F026-0004419</t>
  </si>
  <si>
    <t>F026-0004426</t>
  </si>
  <si>
    <t>F026-0004441</t>
  </si>
  <si>
    <t>F026-0004442</t>
  </si>
  <si>
    <t>F026-0000068</t>
  </si>
  <si>
    <t>F026-0004435</t>
  </si>
  <si>
    <t>F026-0004444</t>
  </si>
  <si>
    <t>F026-0004443</t>
  </si>
  <si>
    <t>F034-0000480</t>
  </si>
  <si>
    <t>F026-0004445</t>
  </si>
  <si>
    <t>ADAL IMPORT SRL</t>
  </si>
  <si>
    <t>20602240127</t>
  </si>
  <si>
    <t>F026-0004446</t>
  </si>
  <si>
    <t>F026-0004450</t>
  </si>
  <si>
    <t>F026-0004448</t>
  </si>
  <si>
    <t>VILLANUEVA COBOS ROGER</t>
  </si>
  <si>
    <t>70425123</t>
  </si>
  <si>
    <t>B026-0001855</t>
  </si>
  <si>
    <t>F034-0000497</t>
  </si>
  <si>
    <t>F026-0004519</t>
  </si>
  <si>
    <t>F026-0004515</t>
  </si>
  <si>
    <t>F026-0004523</t>
  </si>
  <si>
    <t>F026-0004552</t>
  </si>
  <si>
    <t>F034-0000524</t>
  </si>
  <si>
    <t>F026-0004555</t>
  </si>
  <si>
    <t>F026-0004556</t>
  </si>
  <si>
    <t>F034-0000525</t>
  </si>
  <si>
    <t>B026-0001892</t>
  </si>
  <si>
    <t>F034-0000529</t>
  </si>
  <si>
    <t>F026-0004561</t>
  </si>
  <si>
    <t>SERVICIO NACIONAL DE AREAS NATURALES PROTEGIDAS PO</t>
  </si>
  <si>
    <t>F009-0001005</t>
  </si>
  <si>
    <t>F026-0004569</t>
  </si>
  <si>
    <t>F034-0000539</t>
  </si>
  <si>
    <t>F026-0004570</t>
  </si>
  <si>
    <t>B026-0001903</t>
  </si>
  <si>
    <t>B026-0001902</t>
  </si>
  <si>
    <t>F026-0004582</t>
  </si>
  <si>
    <t>VARAS GUTIERREZ SEAN DILAN</t>
  </si>
  <si>
    <t>B026-0001906</t>
  </si>
  <si>
    <t>B026-0001905</t>
  </si>
  <si>
    <t>F026-0004587</t>
  </si>
  <si>
    <t>F034-0000547</t>
  </si>
  <si>
    <t>F034-0000549</t>
  </si>
  <si>
    <t>RONAL</t>
  </si>
  <si>
    <t>B026-0001911</t>
  </si>
  <si>
    <t>SAQUIRAY CACHIQUE MAYRA LISBETH</t>
  </si>
  <si>
    <t>10449063258</t>
  </si>
  <si>
    <t>F026-0004604</t>
  </si>
  <si>
    <t>SOLDADO</t>
  </si>
  <si>
    <t>EULER ERIK LINARES RODRIGUEZ</t>
  </si>
  <si>
    <t>F034-0000555</t>
  </si>
  <si>
    <t>JONATHAN ACOSTA RIOS</t>
  </si>
  <si>
    <t>F026-0004600</t>
  </si>
  <si>
    <t>DISTRIBUIDOR JULIO JV EIRL</t>
  </si>
  <si>
    <t>BON2060765</t>
  </si>
  <si>
    <t>F034-0000563</t>
  </si>
  <si>
    <t>F026-0004633</t>
  </si>
  <si>
    <t>F026-0004631</t>
  </si>
  <si>
    <t>F026-0004632</t>
  </si>
  <si>
    <t>B026-0001942</t>
  </si>
  <si>
    <t>F026-0004640</t>
  </si>
  <si>
    <t>F026-0004641</t>
  </si>
  <si>
    <t>F026-0004639</t>
  </si>
  <si>
    <t>LUIS ANTONIO OCUMBE TARICUARIM</t>
  </si>
  <si>
    <t>F034-0000569</t>
  </si>
  <si>
    <t>TAMSHI SAC</t>
  </si>
  <si>
    <t>ERICK SAAVEDRA MONTESINOS</t>
  </si>
  <si>
    <t>F009-0001054</t>
  </si>
  <si>
    <t>F026-0004703</t>
  </si>
  <si>
    <t>GRUPO COMERCIAL FAMER SCRL</t>
  </si>
  <si>
    <t>F026-0004702</t>
  </si>
  <si>
    <t>F034-0000598</t>
  </si>
  <si>
    <t>F026-0004723</t>
  </si>
  <si>
    <t>F026-0004741</t>
  </si>
  <si>
    <t>GARCIA DIAZ IVAN CRUZ</t>
  </si>
  <si>
    <t>70880530</t>
  </si>
  <si>
    <t>B025-0003654</t>
  </si>
  <si>
    <t>F026-0004786</t>
  </si>
  <si>
    <t>F026-0004787</t>
  </si>
  <si>
    <t>F034-0000636</t>
  </si>
  <si>
    <t>F026-0004788</t>
  </si>
  <si>
    <t>F026-0004775</t>
  </si>
  <si>
    <t>F034-0000634</t>
  </si>
  <si>
    <t>F026-0004783</t>
  </si>
  <si>
    <t>F026-0004781</t>
  </si>
  <si>
    <t>F034-0000645</t>
  </si>
  <si>
    <t>F026-0004810</t>
  </si>
  <si>
    <t>F026-0004811</t>
  </si>
  <si>
    <t>F034-0000647</t>
  </si>
  <si>
    <t>F026-0004812</t>
  </si>
  <si>
    <t>F026-0004837</t>
  </si>
  <si>
    <t>F026-0004838</t>
  </si>
  <si>
    <t>F026-0004829</t>
  </si>
  <si>
    <t>F026-0004836</t>
  </si>
  <si>
    <t>F026-0004835</t>
  </si>
  <si>
    <t>B026-0002017</t>
  </si>
  <si>
    <t>F034-0000667</t>
  </si>
  <si>
    <t>F034-0000669</t>
  </si>
  <si>
    <t>F026-0004861</t>
  </si>
  <si>
    <t>F026-0004863</t>
  </si>
  <si>
    <t>F026-0004862</t>
  </si>
  <si>
    <t>F026-0004860</t>
  </si>
  <si>
    <t>F026-0004867</t>
  </si>
  <si>
    <t>F026-0004868</t>
  </si>
  <si>
    <t>F034-0000686</t>
  </si>
  <si>
    <t>F026-0004885</t>
  </si>
  <si>
    <t>F026-0004890</t>
  </si>
  <si>
    <t>F026-0004900</t>
  </si>
  <si>
    <t>F026-0004901</t>
  </si>
  <si>
    <t>F026-0004902</t>
  </si>
  <si>
    <t>F026-0004899</t>
  </si>
  <si>
    <t>F026-0004903</t>
  </si>
  <si>
    <t>F009-0001113</t>
  </si>
  <si>
    <t>NEGOCIO Y VENTAS LUHANA &amp; JOHANA E.I.R.L</t>
  </si>
  <si>
    <t>F034-0000698</t>
  </si>
  <si>
    <t>F026-0004910</t>
  </si>
  <si>
    <t>BON10459115</t>
  </si>
  <si>
    <t>F034-0000709</t>
  </si>
  <si>
    <t>F026-0004925</t>
  </si>
  <si>
    <t>F034-0000712</t>
  </si>
  <si>
    <t>F034-0000717</t>
  </si>
  <si>
    <t>F034-0000725</t>
  </si>
  <si>
    <t>F026-0004945</t>
  </si>
  <si>
    <t>F026-0004946</t>
  </si>
  <si>
    <t>F034-0000718</t>
  </si>
  <si>
    <t>BCP</t>
  </si>
  <si>
    <t>B026-0000038</t>
  </si>
  <si>
    <t>F034-0000741</t>
  </si>
  <si>
    <t>F026-0004966</t>
  </si>
  <si>
    <t>F034-0000742</t>
  </si>
  <si>
    <t>F034-0000751</t>
  </si>
  <si>
    <t>F034-0000762</t>
  </si>
  <si>
    <t>F034-0000766</t>
  </si>
  <si>
    <t>PIERO</t>
  </si>
  <si>
    <t>PEDICP</t>
  </si>
  <si>
    <t>TEDDY OVERSLUIJS QUEVEDO</t>
  </si>
  <si>
    <t>F009-0001148</t>
  </si>
  <si>
    <t>F034-0000769</t>
  </si>
  <si>
    <t>F034-0000775</t>
  </si>
  <si>
    <t>F026-0004996</t>
  </si>
  <si>
    <t>F026-0004997</t>
  </si>
  <si>
    <t>F026-0005027</t>
  </si>
  <si>
    <t>SANTI MELENDEZ SEGUNDO MAMERTO</t>
  </si>
  <si>
    <t>F034-0000789</t>
  </si>
  <si>
    <t>F026-0005046</t>
  </si>
  <si>
    <t>F026-0005044</t>
  </si>
  <si>
    <t>F026-0005050</t>
  </si>
  <si>
    <t>COMERCIOS SOL DEL ORIENTE E.I.R.L</t>
  </si>
  <si>
    <t>F026-0005047</t>
  </si>
  <si>
    <t>F009-0001173</t>
  </si>
  <si>
    <t>TEDDY</t>
  </si>
  <si>
    <t>F009-0001174</t>
  </si>
  <si>
    <t>F009-0001175</t>
  </si>
  <si>
    <t>F034-0000819</t>
  </si>
  <si>
    <t>F026-0005109</t>
  </si>
  <si>
    <t>F026-0005110</t>
  </si>
  <si>
    <t>F009-0001191</t>
  </si>
  <si>
    <t>F009-0001192</t>
  </si>
  <si>
    <t>F009-0001193</t>
  </si>
  <si>
    <t>F009-0001194</t>
  </si>
  <si>
    <t>F009-0001195</t>
  </si>
  <si>
    <t>F026-0005122</t>
  </si>
  <si>
    <t>F026-0005139</t>
  </si>
  <si>
    <t>F026-0005138</t>
  </si>
  <si>
    <t>F034-0000853</t>
  </si>
  <si>
    <t>BON20600712</t>
  </si>
  <si>
    <t>F034-0000854</t>
  </si>
  <si>
    <t>F034-0000851</t>
  </si>
  <si>
    <t>PIERO JUNIOR MALPARTIDA MACEDO</t>
  </si>
  <si>
    <t>F034-0000855</t>
  </si>
  <si>
    <t>F034-0000013</t>
  </si>
  <si>
    <t>F034-0000860</t>
  </si>
  <si>
    <t>F009-0001226</t>
  </si>
  <si>
    <t>F034-0000872</t>
  </si>
  <si>
    <t>F034-0000871</t>
  </si>
  <si>
    <t>F034-0000873</t>
  </si>
  <si>
    <t>B026-0002162</t>
  </si>
  <si>
    <t>F034-0000884</t>
  </si>
  <si>
    <t>F034-0000883</t>
  </si>
  <si>
    <t>F009-0001237</t>
  </si>
  <si>
    <t>F009-0001238</t>
  </si>
  <si>
    <t>F026-0005204</t>
  </si>
  <si>
    <t>F034-0000886</t>
  </si>
  <si>
    <t>F034-0000885</t>
  </si>
  <si>
    <t>F026-0005203</t>
  </si>
  <si>
    <t>F034-0000887</t>
  </si>
  <si>
    <t>F026-0005201</t>
  </si>
  <si>
    <t>F026-0005202</t>
  </si>
  <si>
    <t>CAS20601529</t>
  </si>
  <si>
    <t>F026-0005209</t>
  </si>
  <si>
    <t>F034-0000895</t>
  </si>
  <si>
    <t>F034-0000896</t>
  </si>
  <si>
    <t>F034-0000898</t>
  </si>
  <si>
    <t>F034-0000016</t>
  </si>
  <si>
    <t>JORGE ZAMBRANO DEL AGUILA</t>
  </si>
  <si>
    <t>B001-0009730</t>
  </si>
  <si>
    <t>F026-0005237</t>
  </si>
  <si>
    <t>F026-0005238</t>
  </si>
  <si>
    <t>F026-0005233</t>
  </si>
  <si>
    <t>F026-0005251</t>
  </si>
  <si>
    <t>F026-0005258</t>
  </si>
  <si>
    <t>F026-0005269</t>
  </si>
  <si>
    <t>F026-0005267</t>
  </si>
  <si>
    <t>F026-0005268</t>
  </si>
  <si>
    <t>CANAQUIRI MACUYAMA ADRIANA MELISSA</t>
  </si>
  <si>
    <t>SILVIA MARIBEL DIAZ SANTANA</t>
  </si>
  <si>
    <t>B005-0006170</t>
  </si>
  <si>
    <t>F023-0002077</t>
  </si>
  <si>
    <t>F023-0002078</t>
  </si>
  <si>
    <t>F026-0005286</t>
  </si>
  <si>
    <t>F026-0000080</t>
  </si>
  <si>
    <t>F026-0005305</t>
  </si>
  <si>
    <t>F026-0005306</t>
  </si>
  <si>
    <t>EMPRESA COMUNAL DE SERVICIOS AGROPECUARIOS JOSE OL</t>
  </si>
  <si>
    <t>F009-0001278</t>
  </si>
  <si>
    <t>CORPORACION CARZO S.R.L</t>
  </si>
  <si>
    <t>F026-0005321</t>
  </si>
  <si>
    <t>CARLOS VILLACORTA MANIHUARI</t>
  </si>
  <si>
    <t>F034-0000969</t>
  </si>
  <si>
    <t>F026-0005323</t>
  </si>
  <si>
    <t>F034-0000974</t>
  </si>
  <si>
    <t>F026-0005333</t>
  </si>
  <si>
    <t>PERICHE SIESQUEN AURELIO JOSE</t>
  </si>
  <si>
    <t>F026-0005343</t>
  </si>
  <si>
    <t>F026-0005344</t>
  </si>
  <si>
    <t>F026-0005345</t>
  </si>
  <si>
    <t>F026-0005348</t>
  </si>
  <si>
    <t>F026-0005355</t>
  </si>
  <si>
    <t>F026-0005362</t>
  </si>
  <si>
    <t>F026-0005363</t>
  </si>
  <si>
    <t>F034-0000985</t>
  </si>
  <si>
    <t>F026-0005364</t>
  </si>
  <si>
    <t>F026-0005374</t>
  </si>
  <si>
    <t>F026-0005410</t>
  </si>
  <si>
    <t>F034-0001005</t>
  </si>
  <si>
    <t>F034-0001009</t>
  </si>
  <si>
    <t>F034-0000019</t>
  </si>
  <si>
    <t>F034-0001012</t>
  </si>
  <si>
    <t>F026-0005409</t>
  </si>
  <si>
    <t>F034-0001003</t>
  </si>
  <si>
    <t>F026-0005398</t>
  </si>
  <si>
    <t>F034-0000998</t>
  </si>
  <si>
    <t>F026-0005408</t>
  </si>
  <si>
    <t>F034-0001004</t>
  </si>
  <si>
    <t>F009-0001306</t>
  </si>
  <si>
    <t>MUNICIPALIDAD DISTRITAL DE EMILIO SAN MARTIN</t>
  </si>
  <si>
    <t>F009-0001307</t>
  </si>
  <si>
    <t>PESCADORES SIMON EMPRESA INDIVIDUAL DE RESPONSABILIDAD LIMITADA</t>
  </si>
  <si>
    <t>F026-0005427</t>
  </si>
  <si>
    <t>F034-0001025</t>
  </si>
  <si>
    <t>F034-0001021</t>
  </si>
  <si>
    <t>B026-0002264</t>
  </si>
  <si>
    <t>F026-0005458</t>
  </si>
  <si>
    <t>F034-0001032</t>
  </si>
  <si>
    <t>F026-0005444</t>
  </si>
  <si>
    <t>F026-0005461</t>
  </si>
  <si>
    <t>F026-0005454</t>
  </si>
  <si>
    <t>LANCHA MAGIPO BENITA</t>
  </si>
  <si>
    <t>F026-0005459</t>
  </si>
  <si>
    <t>F026-0005455</t>
  </si>
  <si>
    <t>PLASTICOS Y NOVEDADES SARITA EIRL</t>
  </si>
  <si>
    <t>F026-0005456</t>
  </si>
  <si>
    <t>DIAZ SANTANA AMALIA MARINA</t>
  </si>
  <si>
    <t>B014-0004596</t>
  </si>
  <si>
    <t>F026-0005486</t>
  </si>
  <si>
    <t>F026-0005485</t>
  </si>
  <si>
    <t>F026-0005501</t>
  </si>
  <si>
    <t>F026-0005502</t>
  </si>
  <si>
    <t>F034-0001062</t>
  </si>
  <si>
    <t>F009-0001343</t>
  </si>
  <si>
    <t>COMERCIAL FERRETERA CLARIBEC EMPRESA INDIVIDUAL DE</t>
  </si>
  <si>
    <t>F026-0005509</t>
  </si>
  <si>
    <t>F026-0005510</t>
  </si>
  <si>
    <t>F026-0005519</t>
  </si>
  <si>
    <t>F034-0001067</t>
  </si>
  <si>
    <t>B026-0002294</t>
  </si>
  <si>
    <t>F026-0005523</t>
  </si>
  <si>
    <t>F026-0005534</t>
  </si>
  <si>
    <t>AREVALO HUAMAN LUIS</t>
  </si>
  <si>
    <t>B034-0000387</t>
  </si>
  <si>
    <t>B026-0000044</t>
  </si>
  <si>
    <t>F026-0005549</t>
  </si>
  <si>
    <t>F026-0005548</t>
  </si>
  <si>
    <t>F026-0005561</t>
  </si>
  <si>
    <t>F034-0001089</t>
  </si>
  <si>
    <t>PESCADOR SIMON EMPRESA INDIVIDUAL DE RESPONSABILID</t>
  </si>
  <si>
    <t>F026-0005578</t>
  </si>
  <si>
    <t>F034-0001095</t>
  </si>
  <si>
    <t>F034-0000024</t>
  </si>
  <si>
    <t>F026-0005605</t>
  </si>
  <si>
    <t>F026-0005606</t>
  </si>
  <si>
    <t>F026-0005607</t>
  </si>
  <si>
    <t>F026-0005602</t>
  </si>
  <si>
    <t>F026-0005603</t>
  </si>
  <si>
    <t>F026-0005604</t>
  </si>
  <si>
    <t>F026-0005616</t>
  </si>
  <si>
    <t>CARLOS CESAR VILLACORTA MANIHUARI</t>
  </si>
  <si>
    <t>Jim Melito Arimuya Panduro</t>
  </si>
  <si>
    <t>JOSE AURELIO PERICHE SIESQUEN</t>
  </si>
  <si>
    <t>ROSMERI SABOYA VELA</t>
  </si>
  <si>
    <t>ROGER TEDDY OVERLUIJS QUEVEDO</t>
  </si>
  <si>
    <t>Bettsy Ruiz Baneo</t>
  </si>
  <si>
    <t>AUGUSTO CHING SOPLIN</t>
  </si>
  <si>
    <t>NERY ELENA WONG DE CHING</t>
  </si>
  <si>
    <t>CARLOS AUGUSTO SOLSOL ROJAS</t>
  </si>
  <si>
    <t>ROMINI DE LOS ANGELES QUIROZ ROMAN</t>
  </si>
  <si>
    <t>SCOTIABANK</t>
  </si>
  <si>
    <t>GONZALES MORI ORFELITA</t>
  </si>
  <si>
    <t>BUSCAR DEPOSITO 205</t>
  </si>
  <si>
    <t>BETTSY RUIZ BANEO</t>
  </si>
  <si>
    <t>BENITA LANCHA MAGIPO</t>
  </si>
  <si>
    <t>BN</t>
  </si>
  <si>
    <t>FALTA VERIFICAR DATOS</t>
  </si>
  <si>
    <t>PREGUNTAR JHONATAN</t>
  </si>
  <si>
    <t>PERCY TRINITI</t>
  </si>
  <si>
    <t>DANIEL DIAZ RIOS</t>
  </si>
  <si>
    <t>5408881</t>
  </si>
  <si>
    <t>20603176465</t>
  </si>
  <si>
    <t>20602073107</t>
  </si>
  <si>
    <t>20601472890</t>
  </si>
  <si>
    <t>20601472891</t>
  </si>
  <si>
    <t>20601472892</t>
  </si>
  <si>
    <t>20601529361</t>
  </si>
  <si>
    <t>20601363748</t>
  </si>
  <si>
    <t>44509740</t>
  </si>
  <si>
    <t>5708468</t>
  </si>
  <si>
    <t>73108552</t>
  </si>
  <si>
    <t>20493546733</t>
  </si>
  <si>
    <t>20206075997</t>
  </si>
  <si>
    <t>5707644</t>
  </si>
  <si>
    <t>5202310</t>
  </si>
  <si>
    <t>DIAS RESTANTES</t>
  </si>
  <si>
    <t>DIREECION</t>
  </si>
  <si>
    <t>CODIGO</t>
  </si>
  <si>
    <t>DESCRIPCION ARTICULO</t>
  </si>
  <si>
    <t>NOMBRE BODEGA</t>
  </si>
  <si>
    <t>SALDO STOCK</t>
  </si>
  <si>
    <t>PRECIO</t>
  </si>
  <si>
    <t>UNIDAD</t>
  </si>
  <si>
    <t>PROPIEDAD MARCA</t>
  </si>
  <si>
    <t>00017795</t>
  </si>
  <si>
    <t>JAVIER MOREIRA</t>
  </si>
  <si>
    <t>Vendedis</t>
  </si>
  <si>
    <t>AV. PAKAMUROS S/N - JAÉN</t>
  </si>
  <si>
    <t>00061776</t>
  </si>
  <si>
    <t>MALUQUIS GONZALES JOSE EDILBERTO</t>
  </si>
  <si>
    <t>AV ABELARDO GUERRA S/N-NUEVA REQUENA</t>
  </si>
  <si>
    <t>00121078</t>
  </si>
  <si>
    <t>GONZALEZ POLAR ZUZUNAGA FELIX HERNAN</t>
  </si>
  <si>
    <t>00124785</t>
  </si>
  <si>
    <t>LANCHI RUIZ ALDO</t>
  </si>
  <si>
    <t>00883708</t>
  </si>
  <si>
    <t>ALFREDO FLORES GUERRA</t>
  </si>
  <si>
    <t>02527148</t>
  </si>
  <si>
    <t>CARCASI NUÑEZ RAMIRO ROLANDO</t>
  </si>
  <si>
    <t>COMUNIDAD SINCHICUY</t>
  </si>
  <si>
    <t>03129208</t>
  </si>
  <si>
    <t>GUERRERO VELASQUEZ YGNACIO</t>
  </si>
  <si>
    <t>COMERCIALIZACION DE MAQUINARIAS AGRICOLAS</t>
  </si>
  <si>
    <t>CP HUAJA - SAN JOSE DE SISA - EL DORADO - SAN MARTIN</t>
  </si>
  <si>
    <t>CESAR ALVAREZ Nº109</t>
  </si>
  <si>
    <t>05207538</t>
  </si>
  <si>
    <t>MOZOMBITE SILVANO ANDRES</t>
  </si>
  <si>
    <t>CC.PP SAN JUAQUIN DE OMAGUAS</t>
  </si>
  <si>
    <t>05207883</t>
  </si>
  <si>
    <t>MANUEL SALAS PACAYA</t>
  </si>
  <si>
    <t>05214822</t>
  </si>
  <si>
    <t>JORGE ISUIZA ISUIZA</t>
  </si>
  <si>
    <t>05245524</t>
  </si>
  <si>
    <t>ANGELICA ISUIZA DE TUISIMA</t>
  </si>
  <si>
    <t>MONTE DE SINAI</t>
  </si>
  <si>
    <t>05247456</t>
  </si>
  <si>
    <t>LA PEDRERA</t>
  </si>
  <si>
    <t>05256822</t>
  </si>
  <si>
    <t>CHAVEZ RODRIGUEZ LUIS</t>
  </si>
  <si>
    <t>CALLE MARIA PARADO DE BELLIDO 359 MORONACOCHA</t>
  </si>
  <si>
    <t>05273926</t>
  </si>
  <si>
    <t>MORI CRUZ WILLIAM ALFONSO</t>
  </si>
  <si>
    <t>PORVENIR-RIO NANAY</t>
  </si>
  <si>
    <t>05278325</t>
  </si>
  <si>
    <t>LEONIDES GREFFA SALAZAR</t>
  </si>
  <si>
    <t>JOSE OLAYA N 327</t>
  </si>
  <si>
    <t>05288052</t>
  </si>
  <si>
    <t>ANDY TELLO ISUIZA</t>
  </si>
  <si>
    <t>NUEVA UNION</t>
  </si>
  <si>
    <t>05321078</t>
  </si>
  <si>
    <t>SANDI CHUJE RAMIRO</t>
  </si>
  <si>
    <t>05333571</t>
  </si>
  <si>
    <t>PAIMA JARAMILLO JANIS</t>
  </si>
  <si>
    <t>CASERIO ROCA FUERTE VALLE DEL SHANUSI</t>
  </si>
  <si>
    <t>05333814</t>
  </si>
  <si>
    <t>LOMAS AQUITUARI MARIO</t>
  </si>
  <si>
    <t>SANTA RITA</t>
  </si>
  <si>
    <t>05362169</t>
  </si>
  <si>
    <t>GUIDO ELI MURRIETA RODRIGUEZ</t>
  </si>
  <si>
    <t>05369559</t>
  </si>
  <si>
    <t>PALMIRA NOLORBE NAPIAMA DE GATICA</t>
  </si>
  <si>
    <t>CALLE PACARAN MZ H. LT 15</t>
  </si>
  <si>
    <t>05376163</t>
  </si>
  <si>
    <t>VARGAS GARCIA MARCOS EDUARDO</t>
  </si>
  <si>
    <t>TITO CHAVEZ 351</t>
  </si>
  <si>
    <t>05377301</t>
  </si>
  <si>
    <t>VELA RENGIFO JORGE</t>
  </si>
  <si>
    <t>Cal. Zamora N.334</t>
  </si>
  <si>
    <t>05377380</t>
  </si>
  <si>
    <t>GOÑAS VASQUEZ ZOILA AURORA</t>
  </si>
  <si>
    <t>consumidor final</t>
  </si>
  <si>
    <t>28 DE JULIO RIO ITAYA</t>
  </si>
  <si>
    <t>05385526</t>
  </si>
  <si>
    <t>CORDOVA HUALINGA ALBERTO</t>
  </si>
  <si>
    <t>BERLIN RIO MARAÑON</t>
  </si>
  <si>
    <t>05386857</t>
  </si>
  <si>
    <t>05387150</t>
  </si>
  <si>
    <t>ISMINIO HUIÑAPI JANETH</t>
  </si>
  <si>
    <t>caserio grau km 40</t>
  </si>
  <si>
    <t>05388061</t>
  </si>
  <si>
    <t>PIZANGO YUMBATO ANANIAS</t>
  </si>
  <si>
    <t>Caserío Alfonso Ugarte</t>
  </si>
  <si>
    <t>JULIO C. PINEDO Nº 123 - YURIMAGUAS</t>
  </si>
  <si>
    <t>05389743</t>
  </si>
  <si>
    <t>PISCO MARICHI IDELIA</t>
  </si>
  <si>
    <t>Centro Poblado Santiago de Borja</t>
  </si>
  <si>
    <t>05398535</t>
  </si>
  <si>
    <t>GARCIA AGUILAR ITALO</t>
  </si>
  <si>
    <t>Centro Poblado SAN Luis de Tacsha - Rio Napo</t>
  </si>
  <si>
    <t>05412283</t>
  </si>
  <si>
    <t>NELLY GONZALES NAVARRO</t>
  </si>
  <si>
    <t>CARRETERA SANTA CLARA KM. 2</t>
  </si>
  <si>
    <t>05414244</t>
  </si>
  <si>
    <t>ROGER LOPEZ MACUYAMA</t>
  </si>
  <si>
    <t>AA.HH. NUEVO UNION- CALLE CIRO ALEGRIA</t>
  </si>
  <si>
    <t>05417557</t>
  </si>
  <si>
    <t>SAUL PEREZ ANGULO</t>
  </si>
  <si>
    <t>05580072</t>
  </si>
  <si>
    <t>TORRES RAMIREZ EDINSON</t>
  </si>
  <si>
    <t>cal. arica 939</t>
  </si>
  <si>
    <t>05589460</t>
  </si>
  <si>
    <t>CALDERON SALAZAR ESTEBAN</t>
  </si>
  <si>
    <t>05612879</t>
  </si>
  <si>
    <t>MORI RAMIREZ PAQUITA</t>
  </si>
  <si>
    <t>05613353</t>
  </si>
  <si>
    <t>HUALINGA TALEXIO LUPE</t>
  </si>
  <si>
    <t>call. barrio la plaza S/N.</t>
  </si>
  <si>
    <t>05617707</t>
  </si>
  <si>
    <t>TUANAMA MENDOZA YROSVE</t>
  </si>
  <si>
    <t>quebrada yanayacu caserio nuevo papaplaya</t>
  </si>
  <si>
    <t>05711129</t>
  </si>
  <si>
    <t>MOZOMBITE PINEDO ROCIO DEL PILAR</t>
  </si>
  <si>
    <t>PSJE.SOLEDAD 123</t>
  </si>
  <si>
    <t>05714244</t>
  </si>
  <si>
    <t>WILDER CRUZ MORI</t>
  </si>
  <si>
    <t>CASERIO SOLTERITO</t>
  </si>
  <si>
    <t>05780548</t>
  </si>
  <si>
    <t>VICENTA JAVA SALATE</t>
  </si>
  <si>
    <t>05841033</t>
  </si>
  <si>
    <t>LADISLAO PACAYA MANUYAMA</t>
  </si>
  <si>
    <t>05857841</t>
  </si>
  <si>
    <t>JOSE DANIEL GUERRA MOZOMBITE</t>
  </si>
  <si>
    <t>06418899</t>
  </si>
  <si>
    <t>MARTINEZ MELENDEZ SEGUNDO TOMAS</t>
  </si>
  <si>
    <t>COMUNIDAD SAN JUAN SINCHICUY</t>
  </si>
  <si>
    <t>09761005</t>
  </si>
  <si>
    <t>MENDOZA VASQUEZ SONIA</t>
  </si>
  <si>
    <t>CAL.BOLOGNESI 515</t>
  </si>
  <si>
    <t>JR. 7 DE JUNIO 954 CALLERIA</t>
  </si>
  <si>
    <t>10011538482</t>
  </si>
  <si>
    <t>HERRERA DELGADO MARIA DOMINGA</t>
  </si>
  <si>
    <t>-JR. CAJAMARCA SUR CON AV. FLORIDA CUADRA 1</t>
  </si>
  <si>
    <t>10052602331</t>
  </si>
  <si>
    <t>HUAMAN PADILLA VICTORINO</t>
  </si>
  <si>
    <t>-CALLE MALECON SN  RIO CORRIENTES</t>
  </si>
  <si>
    <t>10052794191</t>
  </si>
  <si>
    <t>JORGE RAUL TANCHIVA PIÑEIRO</t>
  </si>
  <si>
    <t>CALLE TAVARA 916</t>
  </si>
  <si>
    <t>10053038641</t>
  </si>
  <si>
    <t>RIOS TULUMBA FERNANDO GABINO</t>
  </si>
  <si>
    <t>PASAJE SANTA ROSA 37 AAHH CARDOZO</t>
  </si>
  <si>
    <t>JR MI PERU  375</t>
  </si>
  <si>
    <t>73196035</t>
  </si>
  <si>
    <t>10053949644</t>
  </si>
  <si>
    <t>JOSE NILO RUIZ VIN</t>
  </si>
  <si>
    <t>Ferreteria</t>
  </si>
  <si>
    <t>Carretera santo tomas Mz B LT 5 AAHH 30 de agosto</t>
  </si>
  <si>
    <t>10057106595</t>
  </si>
  <si>
    <t>NASHNATO PACAYA CARLOS</t>
  </si>
  <si>
    <t>CALLE BELLAVISTA S/N - NAUTA</t>
  </si>
  <si>
    <t>10058521031</t>
  </si>
  <si>
    <t>NUÑEZ MALAFAYA JUAN</t>
  </si>
  <si>
    <t>-AV TALARA S/N SAN ROQUE</t>
  </si>
  <si>
    <t>10058690606</t>
  </si>
  <si>
    <t>QUISPE CHOQUECONDO DIONISIO</t>
  </si>
  <si>
    <t>INAHUAYA S/N</t>
  </si>
  <si>
    <t>10165973599</t>
  </si>
  <si>
    <t>CONDORI LIN OSCAR MIGUEL</t>
  </si>
  <si>
    <t xml:space="preserve">CCNN ALIANZA CRISTIANA </t>
  </si>
  <si>
    <t>10167642590</t>
  </si>
  <si>
    <t>ALCANTARA DE DIAZ ROXANA</t>
  </si>
  <si>
    <t>CALLE :  FRANCISCO RODRIGUEZ   S/N    NEVA</t>
  </si>
  <si>
    <t>10182142510</t>
  </si>
  <si>
    <t>CASTILLO LECCA ANGELICA MARIA</t>
  </si>
  <si>
    <t>OLLANTA-RIO MARAÑON</t>
  </si>
  <si>
    <t>10200469025</t>
  </si>
  <si>
    <t>CHAVEZ SEDANO VICTOR</t>
  </si>
  <si>
    <t>AV, 28 DE JULIO #58 (FRENTE A CAJA HUANCAYO)</t>
  </si>
  <si>
    <t>AYNA</t>
  </si>
  <si>
    <t>JIRON SAN MARTIN DE PORRES 199 - PICHANAQUI</t>
  </si>
  <si>
    <t>10278410361</t>
  </si>
  <si>
    <t>GARCIA HERNANDEZ DORIS LIDIA</t>
  </si>
  <si>
    <t>10335690953</t>
  </si>
  <si>
    <t>ARCE GONZALES ABEL</t>
  </si>
  <si>
    <t>VENTA AL POR MENOR DE FERRETERIA</t>
  </si>
  <si>
    <t>AV. MARIANO MELGAR N° 436 - BAGUA CHICA - BAGUA - AMAZONAS</t>
  </si>
  <si>
    <t>70385969</t>
  </si>
  <si>
    <t>AV. CHACHAPOYAS N° 2273 - BAGUA GRANDE - UTCUBAMBA - AMAZONAS</t>
  </si>
  <si>
    <t>10336609106</t>
  </si>
  <si>
    <t>OLIVERA QUISPE MANUEL JESUS</t>
  </si>
  <si>
    <t>CON ACTIVIDAD COMERCIAL</t>
  </si>
  <si>
    <t>JR. SAN MARTÍN N° 209 - LONYA GRANDE - UTCUBAMBA - AMAZONAS</t>
  </si>
  <si>
    <t>10339198</t>
  </si>
  <si>
    <t>NEYSI ROJAS VILLACORTA</t>
  </si>
  <si>
    <t>ROCA FUERTE-RIO MARAÑON</t>
  </si>
  <si>
    <t>CALLE GARCILAZO DELA VEGA Nº 126</t>
  </si>
  <si>
    <t xml:space="preserve">CALLE: CESAR ALVAREZ S/N NUEVO ANDOAS DATEM DEL MARAÑON </t>
  </si>
  <si>
    <t>JIRÓN SAN MARTIN 756 - HUANUCO</t>
  </si>
  <si>
    <t>10417864291</t>
  </si>
  <si>
    <t>RODRIGUEZ CAMPOS MILTON</t>
  </si>
  <si>
    <t>AV. JORGE SANCHEZ DIAZ MZA. 03 LT. 09 - MAZAMARI</t>
  </si>
  <si>
    <t>JR.HUASCAR N229 - SAN JOSE DE SISA - EL DORADO - SAN MARTIN</t>
  </si>
  <si>
    <t xml:space="preserve">JR. AMARGURA S/N SORITOR-SORITOR-SAN MARTIN </t>
  </si>
  <si>
    <t>10421186303</t>
  </si>
  <si>
    <t>ALIAGA VASQUEZ PETER</t>
  </si>
  <si>
    <t>JR PUCALLPA</t>
  </si>
  <si>
    <t>10421653670</t>
  </si>
  <si>
    <t>SANCHEZ RODRIGUEZ GERMAN</t>
  </si>
  <si>
    <t>10422706483</t>
  </si>
  <si>
    <t>HERNANDEZ CERNA DULMER</t>
  </si>
  <si>
    <t>PSJ INDOAMERICA N 15</t>
  </si>
  <si>
    <t>10425367558</t>
  </si>
  <si>
    <t xml:space="preserve">DANIEL ENRIQUE PANAIFO ANGULO </t>
  </si>
  <si>
    <t>CAL.URUBAMBA S/N-ATALAYA</t>
  </si>
  <si>
    <t>10431003223</t>
  </si>
  <si>
    <t>GARCIA MANRIQUE JESSICA ROMY</t>
  </si>
  <si>
    <t>COMUN AGRARIA ALTOMONTE S/N</t>
  </si>
  <si>
    <t>10439380352</t>
  </si>
  <si>
    <t>POLINAR ESPINOZA DIANA ELIZABETH</t>
  </si>
  <si>
    <t>JR. ALBERTO FUJIMORI S/N CC. PTO. BERMUDEZ - OXAPAMPA - PASCO</t>
  </si>
  <si>
    <t>10441152961</t>
  </si>
  <si>
    <t>HUAMAN MOREY PAUL</t>
  </si>
  <si>
    <t>AV LEON VELARDE 807</t>
  </si>
  <si>
    <t>10441935817</t>
  </si>
  <si>
    <t>CARAZAS  QUISPE  MARITZA</t>
  </si>
  <si>
    <t>CALLE . SIMON   BOLIVAR</t>
  </si>
  <si>
    <t>10444758746</t>
  </si>
  <si>
    <t>HEIGGHEN RUIZ GREICY DIANA</t>
  </si>
  <si>
    <t>CALLE LAS BERMUDAS  114 -SAN JUAN</t>
  </si>
  <si>
    <t>10446810150</t>
  </si>
  <si>
    <t>MARKY FLORES LUIS ALBERTO HILARION</t>
  </si>
  <si>
    <t>-JR LIMA 419-NAUTA</t>
  </si>
  <si>
    <t>10447150498</t>
  </si>
  <si>
    <t>YAICATE BANEO WERNER NOE</t>
  </si>
  <si>
    <t>BARRIO 28 DE JULIO SN -SANTA CLOTILDE</t>
  </si>
  <si>
    <t>JR. MARTINEZ DE COMPAGNON Nº422 - TARAPOTO - SAN MARTIN - SAN MARTIN</t>
  </si>
  <si>
    <t>MANCO CAPAC Nº 125</t>
  </si>
  <si>
    <t>10457860949</t>
  </si>
  <si>
    <t>TELLO BARDALES ALEX</t>
  </si>
  <si>
    <t>SAN JUAN 2DA ZONA JUANCITO</t>
  </si>
  <si>
    <t>10469200693</t>
  </si>
  <si>
    <t>NOBLEJAS FLORIDO WENDY GISSELA</t>
  </si>
  <si>
    <t>AV BUENOS AIRES S/N ISCOZACIN -PALCAZU-OXAPAMAPA -PASCO</t>
  </si>
  <si>
    <t>10470959831</t>
  </si>
  <si>
    <t>CHAPUÑAN AGUILAR VICTOR LUIS</t>
  </si>
  <si>
    <t>-JR: DAMIAN NANJAR #107 MOYOBAMBA</t>
  </si>
  <si>
    <t>10472272522</t>
  </si>
  <si>
    <t>SALINAS CARMEN ALEX</t>
  </si>
  <si>
    <t xml:space="preserve"> JR. APURIMAC INT 1 LT 21 MZ K – CHULUCANAS- PIURA </t>
  </si>
  <si>
    <t>CHULUCANAS</t>
  </si>
  <si>
    <t xml:space="preserve">JR.MARAÑON NRO.S/N BAR.CENTRO, BARRANCA , DATEM DEL MARAÑON-LORETO </t>
  </si>
  <si>
    <t>10478265013</t>
  </si>
  <si>
    <t>CULQUI VIDARTE JOSE ERMITAÑO</t>
  </si>
  <si>
    <t>COL. SAN MARTIN SN  CP VILLA SARAMIRIZA</t>
  </si>
  <si>
    <t>10480436232</t>
  </si>
  <si>
    <t>DURAND RAMIREZ JHENSS JARO</t>
  </si>
  <si>
    <t>10481374001</t>
  </si>
  <si>
    <t>MULATILLO GARCIA ANTONIETA</t>
  </si>
  <si>
    <t>JIRON LETICIA N° CUADRA 15 - SAUCE</t>
  </si>
  <si>
    <t>MONCADA OCHOA JOSE ELMER</t>
  </si>
  <si>
    <t>10705533402</t>
  </si>
  <si>
    <t>TAPULLIMA TUANAMA SAULO</t>
  </si>
  <si>
    <t>-JR. AMAZONAS 578</t>
  </si>
  <si>
    <t>10715024841</t>
  </si>
  <si>
    <t>YGNACIO GUERRERO JHONATAN</t>
  </si>
  <si>
    <t>-JR. LETECIA</t>
  </si>
  <si>
    <t>JR HUALLAGA # 1046 - JUANJUI - MCAL.CACERES - SAN MARTIN</t>
  </si>
  <si>
    <t>LOPEZ HUAMAN SANDRA VANESSA</t>
  </si>
  <si>
    <t>JR. ALFONSO UGARTE Nº 445 - TARAPOTO - SAN MARTIN - SAN MARTIN</t>
  </si>
  <si>
    <t>AV. LA MARGINAL MZ 12 LT. 07  C.P. ALIANZA  - CAYNARACHI - LAMAS -  SAN MARTIN</t>
  </si>
  <si>
    <t>10760991665</t>
  </si>
  <si>
    <t>CORREA CALLE DILCIA</t>
  </si>
  <si>
    <t>AV. LIMA 351 - AUCAYACU</t>
  </si>
  <si>
    <t>15502726568</t>
  </si>
  <si>
    <t>CHUQUIMBALQUI PINEDO MANUEL</t>
  </si>
  <si>
    <t>-CALLE LA FLORIDA  331- SAN JUAN</t>
  </si>
  <si>
    <t>BREU S/N</t>
  </si>
  <si>
    <t>16424952</t>
  </si>
  <si>
    <t>AGURTO ALVAREZ ANTONIO</t>
  </si>
  <si>
    <t>20100003199</t>
  </si>
  <si>
    <t>EMP NACIONAL DE PUERTOS S A</t>
  </si>
  <si>
    <t>Av. Mariscal Castilla N.1000</t>
  </si>
  <si>
    <t>20144961146</t>
  </si>
  <si>
    <t>CORPORACION RODASUR S.A.C</t>
  </si>
  <si>
    <t>AV. AGUSTIN DE LA ROSA TORO NRO 163 URB. SAN LUIS</t>
  </si>
  <si>
    <t>San Luis</t>
  </si>
  <si>
    <t>20321298894</t>
  </si>
  <si>
    <t>REPRESENTACIONES C.B.LAS TRES VOCES EIRL</t>
  </si>
  <si>
    <t>JR. HUALLAYCO NRO 1485</t>
  </si>
  <si>
    <t>Huanuco</t>
  </si>
  <si>
    <t>20366725874</t>
  </si>
  <si>
    <t>CONAVET S.A</t>
  </si>
  <si>
    <t>JR. ARICA NRO. 901 - LORETO MAYNAS IQUITOS</t>
  </si>
  <si>
    <t>20393303931</t>
  </si>
  <si>
    <t>FRAM S.A.</t>
  </si>
  <si>
    <t>AV. SALVADOR ALLENDE NRO. 209 FND. PAQUITA - UCAYALI CORONEL PORTILLO YARINACOCHA</t>
  </si>
  <si>
    <t>20393598043</t>
  </si>
  <si>
    <t>EXIMPORT DISTRIBUIDORES DE PUCALLPA  S.R.L.</t>
  </si>
  <si>
    <t>JR. HUASCAR NRO. 772 URB. CERCADO DE PUCALLPA - UCAYALI CORONEL PORTILLO CALLERIA</t>
  </si>
  <si>
    <t>20393882272</t>
  </si>
  <si>
    <t>NEGOCIACIONES SUNGARITOS  E.I.R.L.</t>
  </si>
  <si>
    <t>CARRET.FERNANDO BELAUNDE TERRY SN C.P. PUERTO SUNGARO</t>
  </si>
  <si>
    <t>20393957469</t>
  </si>
  <si>
    <t>SHAPSHICO TOURS E.I.R.L.</t>
  </si>
  <si>
    <t>JR. 16 DE OCTUBRE MZA. 92 LOTE. 15</t>
  </si>
  <si>
    <t>20408454531</t>
  </si>
  <si>
    <t>GERENCIA REGIONAL DE DESARROLLO AGRARIO Y RIEGO</t>
  </si>
  <si>
    <t>CAL. RICARDO PALMA NRO. 113 - LORETO MAYNAS IQUITOS</t>
  </si>
  <si>
    <t>VENTA MAQUINARIAS AGRICOLAS Y FERRETERAS</t>
  </si>
  <si>
    <t>20450948986</t>
  </si>
  <si>
    <t>INVERSIONES PERU COMBUSTIBLES SA</t>
  </si>
  <si>
    <t>AV.LA MARINA NRO 944</t>
  </si>
  <si>
    <t>20479378411</t>
  </si>
  <si>
    <t>DISTRIBUCIONES M. OLANO SAC</t>
  </si>
  <si>
    <t>AV. MESONES MURO NRO 230 MORRO SOLAR - JAÉN - JAÉN - CAJAMARCA</t>
  </si>
  <si>
    <t>AV. MARIANO MELGAR N° 953 - SCT. VISALOT - BAGUA GRANDE - UTCUBAMBA - AMAZONAS</t>
  </si>
  <si>
    <t>INVERMARGAT S.R.L.</t>
  </si>
  <si>
    <t>20487371531</t>
  </si>
  <si>
    <t>NETPROCOM EIRL</t>
  </si>
  <si>
    <t>JR. ORTIZ ARRIETA NRO. 530 - CHACHAPOYAS - CHACHAPOYAS - AMAZONAS</t>
  </si>
  <si>
    <t xml:space="preserve">CALLE GARCILAZO DE LA VEGA Nº 119 </t>
  </si>
  <si>
    <t>20493452241</t>
  </si>
  <si>
    <t>MUNICIPALIDAD DISTRITAL DE ANDOAS</t>
  </si>
  <si>
    <t>PZA. DE ARMAS N S/N. CAS. ALIANZA CRISTIANA</t>
  </si>
  <si>
    <t>20493887131</t>
  </si>
  <si>
    <t>AHORA INVERSIONES SOCIEDAD ANONIMA CERRADA</t>
  </si>
  <si>
    <t>VENTA AL POR MENOR DE HERRAMIENTAS FERRETERAS</t>
  </si>
  <si>
    <t>JR. TAHUANTINSUYO NRO 818  (FRENTE AL MERCADO EL HUEQUITO) - TARAPOTO - SAN MARTIN - SAN MARTIN</t>
  </si>
  <si>
    <t>20528287248</t>
  </si>
  <si>
    <t>SERVICIOS GENERALES SAN PABLO R &amp; N S.A.C.</t>
  </si>
  <si>
    <t xml:space="preserve">CAL. RAYMONDI NRO 329 </t>
  </si>
  <si>
    <t>20528414967</t>
  </si>
  <si>
    <t>CONSULTORES Y EJECUTORES ORION E.I.R.L.</t>
  </si>
  <si>
    <t>CAL. ALMIRANTE GUISSE NRO. 366 - LORETO MAYNAS IQUITOS</t>
  </si>
  <si>
    <t>20539015142</t>
  </si>
  <si>
    <t>MILENIUM ARTEFACTOS E.I.R.L.</t>
  </si>
  <si>
    <t xml:space="preserve">JR. SANTA ROSA NRO 327 CENTRO SAN IGNACIO </t>
  </si>
  <si>
    <t>20541190385</t>
  </si>
  <si>
    <t>IMPORTACIONES MEGA CHAMBI S.A.C.</t>
  </si>
  <si>
    <t>JR. PROSPERO NRO. 478 URB. JARDIN PAZ - LORETO MAYNAS IQUITOS</t>
  </si>
  <si>
    <t>20541222091</t>
  </si>
  <si>
    <t>EMPRESA COMUNAL DE SERVICIOS MULTIPLES DE LA COMUNIDAD NATIVA SAN JOSE DE SARAMURO DE RESPONS LIMITA</t>
  </si>
  <si>
    <t>CAL.JULIO C. TELLO NRO. 466</t>
  </si>
  <si>
    <t>20541245627</t>
  </si>
  <si>
    <t>SISTEMAS INTEGRALES HR SOCIEDAD ANONIMA CERRADA</t>
  </si>
  <si>
    <t>JR. FRANCISCO PIZARRO NRO. 1358 - LORETO MAYNAS IQUITOS</t>
  </si>
  <si>
    <t>20541261827</t>
  </si>
  <si>
    <t>TRANS FLUVIAL S.A.C.</t>
  </si>
  <si>
    <t xml:space="preserve">AV. LA MARINA NRO 260 </t>
  </si>
  <si>
    <t>20567214444</t>
  </si>
  <si>
    <t>CHEN FORESTAL SELVA S.A.C.</t>
  </si>
  <si>
    <t>CAR. SANTA MARIA MZA. A LOTE 1 KM. 1.5</t>
  </si>
  <si>
    <t>20570798511</t>
  </si>
  <si>
    <t>DISTRIBUCIONES BAIQUE E.I.R.L.</t>
  </si>
  <si>
    <t xml:space="preserve"> VENTA AL POR MENOR DE ARTÍCULOS DE FERRETERÍA</t>
  </si>
  <si>
    <t xml:space="preserve">JR. ATAHUALPA NRO. 183 ---- CENT. SAN IGNACIO - SAN IGNACIO - CAJAMARCA </t>
  </si>
  <si>
    <t>20600109180</t>
  </si>
  <si>
    <t>BRENDFLES S.A.C.</t>
  </si>
  <si>
    <t>AV. MARISCAL OSCAR R. BENAVID NRO. 540 INT. 103 URB. LIMA INDUSTRIAL - LIMA LIMA LIMA</t>
  </si>
  <si>
    <t>20600288173</t>
  </si>
  <si>
    <t>HERPOS HNOS E.I.R.L</t>
  </si>
  <si>
    <t>JR. TUPAC AMARU NRO. 120 CAS. SAN LUIS - BAGUA GRANDE - UTCUBAMBA - BAGUA GRANDE</t>
  </si>
  <si>
    <t xml:space="preserve">JR. SANTA ROSA NRO 575 OTR. CENTRO - SAN IGNACIO </t>
  </si>
  <si>
    <t>20600791584</t>
  </si>
  <si>
    <t>RAMFER CONSULTORIA Y CONSTRUCCION E.I.R.L.</t>
  </si>
  <si>
    <t>AV. PAKAMUROS NRO. 2293 - JAÉN - JAÉN - CAJAMARCA</t>
  </si>
  <si>
    <t>20601039584</t>
  </si>
  <si>
    <t>SERVICIOS Y NEGOCIOS FORESTALES MERY E.I.R.L.</t>
  </si>
  <si>
    <t>CAL. HERNANDO DE LUQUE NRO 317 P.J. TENIENTE MANUEL CLAVERO</t>
  </si>
  <si>
    <t>20601395402</t>
  </si>
  <si>
    <t xml:space="preserve"> EL ENCANTO DE LAS MARIA´S RESORT E.I.R.L.</t>
  </si>
  <si>
    <t>AV. PERU NRO. S/N URB. SAN ISIDRO (A 1 CDRA DEL SALON COMUNAL) JUNIN - SATIPO - RIO NEGRO</t>
  </si>
  <si>
    <t>RIO NEGRO</t>
  </si>
  <si>
    <t>AV. ANTONIO RAIMONDI Nª 640 - CENT.TINGO MARIA - HUANUCO LEONCIO PRADO RUPA-RUPA</t>
  </si>
  <si>
    <t>20601554268</t>
  </si>
  <si>
    <t>INVERSIONES &amp; MAQUINARIAS HUASCARAN S.A.C.</t>
  </si>
  <si>
    <t>AV. ANTONIO RAYMONDI NRO. 302 BAR. HUARUPAMPA - ÁNCASH HUARAZ HUARAZ</t>
  </si>
  <si>
    <t>20602190316</t>
  </si>
  <si>
    <t>AVENTURAS TIERRA AMAZONICA SAC</t>
  </si>
  <si>
    <t>CALLE UNION NRO 205 PJ 9 DE OCTUBRE ALTURA CDRA 5 DE LA PARTICIPACION</t>
  </si>
  <si>
    <t>20602212191</t>
  </si>
  <si>
    <t>WATER ACCESS PERU E.I.R.L.</t>
  </si>
  <si>
    <t>CAR. IQUITOS - NAUTA MZA. 3.5</t>
  </si>
  <si>
    <t>20602367143</t>
  </si>
  <si>
    <t>NEDZY SERVICIOS GENERALES E.I.R.L.</t>
  </si>
  <si>
    <t>AV. PARTICIPACION NRO. 8 A.H. PROGRESO - LORETO MAYNAS SAN JUAN BAUTISTA</t>
  </si>
  <si>
    <t>CAL. GARCILAZO DE LA VEGA Nº 120 - LORETO ALTO AMAZONAS YURIMAGUAS</t>
  </si>
  <si>
    <t>20603507704</t>
  </si>
  <si>
    <t>AMAZON GREEN VILLAGE E.I.R.L.</t>
  </si>
  <si>
    <t>CAL. SANTA ROSA NRO. 100 INT. A URB. VIRGEN DE LORETO - LORETO MAYNAS IQUITOS</t>
  </si>
  <si>
    <t>20603671202</t>
  </si>
  <si>
    <t>MULTISERVICIOS LOS 3 HERMANITOS E.I.R.L.</t>
  </si>
  <si>
    <t>C.RU OLLANTA NRO. S/N CAS. OLLANTA - LORETO LORETO URARINAS</t>
  </si>
  <si>
    <t>20603851014</t>
  </si>
  <si>
    <t>FERRETERIA Y AGROVETERINARIA PIO PIO S.A.C.</t>
  </si>
  <si>
    <t>JR. SANTA ROSA NRO. 613, CENTRO SAN IGNACIO - SAN IGNACIO - SAN IGNACIO - CAJAMARCA</t>
  </si>
  <si>
    <t xml:space="preserve">GARCILAZO DE LA VEGA Nº 131 </t>
  </si>
  <si>
    <t>20604646457</t>
  </si>
  <si>
    <t>CORPORACION PURI E.I.R.L.</t>
  </si>
  <si>
    <t>AV. PARTICIPACION NRO. 843 - LORETO MAYNAS BELÉN</t>
  </si>
  <si>
    <t>20605802886</t>
  </si>
  <si>
    <t xml:space="preserve"> GRANJA ZERO S.A.C.</t>
  </si>
  <si>
    <t>JR. SALVADOR ALLENDE NRO. 1094 UCAYALI - CORONEL PORTILLO - CALLERIA</t>
  </si>
  <si>
    <t>20606591196</t>
  </si>
  <si>
    <t>CONSORCIO LORETO NAUTA</t>
  </si>
  <si>
    <t>CAL. TARAPACA S/N NRO. S/N - LORETO LORETO NAUTA</t>
  </si>
  <si>
    <t>20606648465</t>
  </si>
  <si>
    <t>INVERSIONES KOQUI EMPRESA INDIVIDUAL DE RESPONSABILIDAD LIMITADA</t>
  </si>
  <si>
    <t>JR. JULIO C. TELLO NRO. 295 URB. SATIPO - JUNÍN SATIPO SATIPO</t>
  </si>
  <si>
    <t>20607134155</t>
  </si>
  <si>
    <t>MANZUE ENERGY SAC</t>
  </si>
  <si>
    <t>CALLE PABLO ROSELL NRO 200 PUERTO DON JOSE</t>
  </si>
  <si>
    <t>20607230278</t>
  </si>
  <si>
    <t>INVERSIONES ITAYA SOCIEDAD ANONIMA CERRADA</t>
  </si>
  <si>
    <t>CAL. MALECON ITAYA LT. 35 MZ. I A.H. 28 DE JULIO - LORETO MAYNAS BELÉN</t>
  </si>
  <si>
    <t xml:space="preserve">JR. MARAÑON Nº 889 </t>
  </si>
  <si>
    <t>20607461482</t>
  </si>
  <si>
    <t>EMPRESA COMUNAL ECOLJA DE RESPONSABILIDAD LIMITADA</t>
  </si>
  <si>
    <t>PJ. CUZCO LT. 31 MZ. K - LORETO MAYNAS IQUITOS</t>
  </si>
  <si>
    <t>20607718475</t>
  </si>
  <si>
    <t>CONSORCIO BELLAVISTA</t>
  </si>
  <si>
    <t>JR. REYES GUERRA NRO. 382</t>
  </si>
  <si>
    <t>Moyobamba</t>
  </si>
  <si>
    <t>20608724321</t>
  </si>
  <si>
    <t>BEMAR IMPORT S.A.C.</t>
  </si>
  <si>
    <t xml:space="preserve">JR. JULIO C. DELGADO NRO 149 INT. 02 </t>
  </si>
  <si>
    <t>GRUPO COMERCIAL FAMER S.C.R.L</t>
  </si>
  <si>
    <t>20609859564</t>
  </si>
  <si>
    <t>CORPORACION E INVERSIONES ROJAS EMPRESA INDIVIDUAL DE RESPONSABILIDAD LIMITADA</t>
  </si>
  <si>
    <t>JR. CALLAO NRO. 227 URB. TINGO MARIA HUANUCO - LEONCIO PRADO - RUPA-RUPA</t>
  </si>
  <si>
    <t xml:space="preserve">CALLE GARCILAZO DE LA VEGA Nº 131 </t>
  </si>
  <si>
    <t>20609944308</t>
  </si>
  <si>
    <t>CORPORACION FERRIMAN S.R.L.</t>
  </si>
  <si>
    <t xml:space="preserve">AV. CAJAMARCA NRO 11 </t>
  </si>
  <si>
    <t>20610138749</t>
  </si>
  <si>
    <t>SERVICIOS GENERALES MESOLEC EMPRESA INDIVIDUAL DE</t>
  </si>
  <si>
    <t>CAL.4 DE MARZO KM. D MZA. 8 A.H. LAS PAMPAS (ENTRANDO POR EL PLATANAL) LORETO -</t>
  </si>
  <si>
    <t>20610355332</t>
  </si>
  <si>
    <t>FERM BIENES Y MULTISERVICIOS S.A.C.</t>
  </si>
  <si>
    <t>CAL. MARAÑON NRO 215</t>
  </si>
  <si>
    <t>20610682899</t>
  </si>
  <si>
    <t xml:space="preserve"> CONSTRUCCIONES GENERALES LAS BRISAS S.A.C.</t>
  </si>
  <si>
    <t>CAL.PRIMAVERA/EUCALIPTO MZA. G LOTE. 05 URB. SAN ISIDRO (PLAZA PROCERES DE LA INDEPENDENCIA) UCAYALI - CORONEL PORTILLO - CALLERIA</t>
  </si>
  <si>
    <t>20610896601</t>
  </si>
  <si>
    <t>INVERSIONES CUSQUE E.I.R.L.</t>
  </si>
  <si>
    <t>CAL. AYACUCHO NRO. 100 A.H. MANUEL PACAYA - LORETO LORETO NAUTA</t>
  </si>
  <si>
    <t>20610962131</t>
  </si>
  <si>
    <t>CENTRO RECREACIONAL TITA MAI AVENTURA SOCIEDAD ANONIMA CERRADA</t>
  </si>
  <si>
    <t>CAR. IQUITOS NAUTA KL. 11 - LORETO MAYNAS SAN JUAN BAUTISTA</t>
  </si>
  <si>
    <t xml:space="preserve">CALLE MANCO CAPAC Nº 109 </t>
  </si>
  <si>
    <t>20611052376</t>
  </si>
  <si>
    <t>SERVICIOS GENERALES MI &amp; LU EIRL</t>
  </si>
  <si>
    <t>JR REQUENA N 328</t>
  </si>
  <si>
    <t xml:space="preserve">CALLE GARCILAZO DE LA VEGA Nº 126 </t>
  </si>
  <si>
    <t>20611301104</t>
  </si>
  <si>
    <t>SERVICIOS GENERALES AQUARIUS E.I.R.L.</t>
  </si>
  <si>
    <t>CAL. MOORE NRO. 1243 P.J. BERMUDEZ - LORETO MAYNAS IQUITOS</t>
  </si>
  <si>
    <t>20611375337</t>
  </si>
  <si>
    <t>SERVICIOS INTEGRALES EL CHOCHE EMPRESA INDIVIDUAL DE RESPONSABILIDAD LIMITADA</t>
  </si>
  <si>
    <t xml:space="preserve">NRO S/N CAS. OLLANTA </t>
  </si>
  <si>
    <t>20611576316</t>
  </si>
  <si>
    <t>INVERSIONES BELLAVISTA CALLARU E.I.R.L.</t>
  </si>
  <si>
    <t>NRO. S/N C.P. BELLAVISTA CALLE PERU - LORETO MARISCAL RAMÓN CASTILLA YAVARI</t>
  </si>
  <si>
    <t>20611688564</t>
  </si>
  <si>
    <t>EMPRESA FERRETERA AVE FENIX SJB E.I.R.L.</t>
  </si>
  <si>
    <t xml:space="preserve">PJ. LOS OLIVOS NRO C-02 URB. H.U PALESTINA </t>
  </si>
  <si>
    <t>20611692545</t>
  </si>
  <si>
    <t>IMPORINVERSIONESCAMPOS EIRL</t>
  </si>
  <si>
    <t xml:space="preserve">AV. PAKAMUROS 1501 </t>
  </si>
  <si>
    <t>20611720140</t>
  </si>
  <si>
    <t>CONSORCIO INDIANA</t>
  </si>
  <si>
    <t>JR. MOORE NRO. 568</t>
  </si>
  <si>
    <t>20612122912</t>
  </si>
  <si>
    <t>INVERSIONES BERMEO E.I.R.L</t>
  </si>
  <si>
    <t>VENTAS AL POR MENOS DE FERRETERIA</t>
  </si>
  <si>
    <t>AV. PAKAMUROS NRO 1714 - JAÉN - JAÉN - CAJAMARCA</t>
  </si>
  <si>
    <t>21144146</t>
  </si>
  <si>
    <t>DAVILA ROJAS ELEODORO</t>
  </si>
  <si>
    <t>22962744</t>
  </si>
  <si>
    <t>MAXIMIANO ESPIRITU PONCE</t>
  </si>
  <si>
    <t xml:space="preserve">MALVINAS </t>
  </si>
  <si>
    <t>23155882</t>
  </si>
  <si>
    <t>LAURENTE ORE CIRILO</t>
  </si>
  <si>
    <t>cliente</t>
  </si>
  <si>
    <t>23171247</t>
  </si>
  <si>
    <t xml:space="preserve">IGIDIO HUAMAN PARIGUANA </t>
  </si>
  <si>
    <t>CASERIO 23 DE OBTUBRE - CAMPOVERDE</t>
  </si>
  <si>
    <t>CARLOS SAUCEDO CHAVEZ</t>
  </si>
  <si>
    <t>27750487</t>
  </si>
  <si>
    <t>SANTOS SALVADOR VALENTIN</t>
  </si>
  <si>
    <t>CALLE.  ORO NEGRO   S/N      TROMPETEROS</t>
  </si>
  <si>
    <t>28715686</t>
  </si>
  <si>
    <t>VELASQUE LLANCCE FERMIN</t>
  </si>
  <si>
    <t>JR. AYACUCHO S/N. AYACUCHO</t>
  </si>
  <si>
    <t>AYACUCHO</t>
  </si>
  <si>
    <t>29587635</t>
  </si>
  <si>
    <t>PERSY JUAN BARRIOS BENAVIDES</t>
  </si>
  <si>
    <t>COMUNIDAD LAS PALMAS</t>
  </si>
  <si>
    <t>33561352</t>
  </si>
  <si>
    <t>RODRIGO BAUTISTA SEGUNDO WILTER</t>
  </si>
  <si>
    <t>ORO NEGRO S/N TROMPETEROS</t>
  </si>
  <si>
    <t>401879080</t>
  </si>
  <si>
    <t>YOVANI CENDALES ORTIZ</t>
  </si>
  <si>
    <t>LAS MAGNOLIAS MZ B LOTE 14</t>
  </si>
  <si>
    <t>40215385</t>
  </si>
  <si>
    <t>MELENDEZ JESUS BLANCA</t>
  </si>
  <si>
    <t>NUEVO AMAZONAS</t>
  </si>
  <si>
    <t>40232600</t>
  </si>
  <si>
    <t>VARGAS GARCIA CAROLA</t>
  </si>
  <si>
    <t>40299052</t>
  </si>
  <si>
    <t>RUIZ ROMERO QUERIBEL</t>
  </si>
  <si>
    <t>LOS GAVILANES J23</t>
  </si>
  <si>
    <t>40329860</t>
  </si>
  <si>
    <t>PRETELL CORDOVA JORGE LUIS</t>
  </si>
  <si>
    <t>JR.TAHUANTINSUYO 818</t>
  </si>
  <si>
    <t>40361224</t>
  </si>
  <si>
    <t>BAZAN PINEDO YORGES</t>
  </si>
  <si>
    <t>CALLE BOLIVAR ESQUINA CON 2 DE MAYO 516-YURIMAGUAS</t>
  </si>
  <si>
    <t>40401978</t>
  </si>
  <si>
    <t>GARRIDO HIROMOTO RAUL EDUARDO</t>
  </si>
  <si>
    <t>NUEVO JUNIN</t>
  </si>
  <si>
    <t>41001058</t>
  </si>
  <si>
    <t>JUCOS ORBE TEODORO AUGUSTO</t>
  </si>
  <si>
    <t>AA.HH LAS VEGAS MZ.K LT1</t>
  </si>
  <si>
    <t>41032711</t>
  </si>
  <si>
    <t>JOSE MACEDO SALAZAR</t>
  </si>
  <si>
    <t>PABLO NERUDA  324</t>
  </si>
  <si>
    <t>41131381</t>
  </si>
  <si>
    <t>CAMILO FLORES AMASIFUEN</t>
  </si>
  <si>
    <t>PABLO ROSELL  1042</t>
  </si>
  <si>
    <t>41141783</t>
  </si>
  <si>
    <t>FIGUEROA MORENO VICTOR RAUL</t>
  </si>
  <si>
    <t>DIAMANTE AZUL-RIO NAPO</t>
  </si>
  <si>
    <t>41325041</t>
  </si>
  <si>
    <t>CASTAÑEDA LINO WILMER</t>
  </si>
  <si>
    <t>AGUAYTIA</t>
  </si>
  <si>
    <t>41586538</t>
  </si>
  <si>
    <t>HUANSI RUIZ DENIS</t>
  </si>
  <si>
    <t>caserio santa gema</t>
  </si>
  <si>
    <t>CALLE. PADRE LUCERO   S/N    LAGUNAS</t>
  </si>
  <si>
    <t>41895403</t>
  </si>
  <si>
    <t>MESTANZA ALEJANDRIA MELVIN SANTIAGO</t>
  </si>
  <si>
    <t>AGRICULTOR</t>
  </si>
  <si>
    <t>41907101</t>
  </si>
  <si>
    <t>CARRION QUISPE EDWIN WINGER</t>
  </si>
  <si>
    <t>ANGAMO</t>
  </si>
  <si>
    <t>42003717</t>
  </si>
  <si>
    <t>FASANANDO ARMAS SAUL</t>
  </si>
  <si>
    <t>PROGRESO- RIO AMAZONAS</t>
  </si>
  <si>
    <t>42212106</t>
  </si>
  <si>
    <t>GAGO MATTOS JOSEFINA MARIVEL</t>
  </si>
  <si>
    <t>pdf</t>
  </si>
  <si>
    <t>AV. MANUEL PRADO 268</t>
  </si>
  <si>
    <t>42425698</t>
  </si>
  <si>
    <t>CLAROS CLAROS ELADIO</t>
  </si>
  <si>
    <t>42481315</t>
  </si>
  <si>
    <t>CACHI RODRIGUEZ VICTOR MANUEL</t>
  </si>
  <si>
    <t>Cal. Coronel portillo 903</t>
  </si>
  <si>
    <t>42518566</t>
  </si>
  <si>
    <t>OLIVEIRA ARISTA CARLOS ALBERTO</t>
  </si>
  <si>
    <t>SECTOR LAS FLORES</t>
  </si>
  <si>
    <t>42564397</t>
  </si>
  <si>
    <t>SINARAHUA FLORES GENDERSON</t>
  </si>
  <si>
    <t>42630231</t>
  </si>
  <si>
    <t>ATENCIA AQUINO ABAD</t>
  </si>
  <si>
    <t>PTO. MALECON AGUAYTIA</t>
  </si>
  <si>
    <t>42770045</t>
  </si>
  <si>
    <t>HUGO SALOMON NOA TUSHUPE</t>
  </si>
  <si>
    <t>42826918</t>
  </si>
  <si>
    <t>HUAMAN DIAZ AIMAR</t>
  </si>
  <si>
    <t>CARRET. F.B. TERRY S/N - POMACOCHAS - FLORIDA - BONGARÁ - AMAZONAS</t>
  </si>
  <si>
    <t>43173910</t>
  </si>
  <si>
    <t>ZUMBA CHASNAMOTE MARIA</t>
  </si>
  <si>
    <t>43210571</t>
  </si>
  <si>
    <t>OLORTEGUI REATEGUI CECIBETH</t>
  </si>
  <si>
    <t>43438634</t>
  </si>
  <si>
    <t>CENTENO DAVILA MIGUEL ISAAC</t>
  </si>
  <si>
    <t>IPARIA</t>
  </si>
  <si>
    <t>43714823</t>
  </si>
  <si>
    <t>MUÑOZ NOA DARWIN</t>
  </si>
  <si>
    <t>43854982</t>
  </si>
  <si>
    <t>ANGEL BANIO ISUIZA</t>
  </si>
  <si>
    <t>YANAYACU 4 ZONA</t>
  </si>
  <si>
    <t>43930339</t>
  </si>
  <si>
    <t>LAUREL VILLACIS PAULO FERNANDO</t>
  </si>
  <si>
    <t>URB. CALVO DE ARAUJO MZ F LT B-SAN JUAN</t>
  </si>
  <si>
    <t>44032991</t>
  </si>
  <si>
    <t>FASABI DEL AGUILA SANDRO JOSIEL</t>
  </si>
  <si>
    <t>Fernando Lores Tanshiyacu</t>
  </si>
  <si>
    <t>44033196</t>
  </si>
  <si>
    <t>HUALINGA SANDI RICARDO</t>
  </si>
  <si>
    <t>44154334</t>
  </si>
  <si>
    <t>HILDER HUAYCAMA MURAYARI</t>
  </si>
  <si>
    <t>ACHUAL TIPISHCA</t>
  </si>
  <si>
    <t>44319773</t>
  </si>
  <si>
    <t>LOPEZ HUIÑAPI TITO</t>
  </si>
  <si>
    <t>44365121</t>
  </si>
  <si>
    <t>RIVERA YUMBATO HITLER</t>
  </si>
  <si>
    <t>44455449</t>
  </si>
  <si>
    <t>RENGIFO RIOS JORGE CHARLES</t>
  </si>
  <si>
    <t>OCEANO INDICO A-9</t>
  </si>
  <si>
    <t>44466952</t>
  </si>
  <si>
    <t>PINEDO PEREZ WASHINTONG ROLANDO</t>
  </si>
  <si>
    <t>SAN PABLO- BAJO AMAZONAS</t>
  </si>
  <si>
    <t>44480977</t>
  </si>
  <si>
    <t>RIVERA PINEDO WAGNER</t>
  </si>
  <si>
    <t>PROLONGACION TRUJILLO CALLE 11 DE SETIEMBRE</t>
  </si>
  <si>
    <t>44487280</t>
  </si>
  <si>
    <t>FLORES DEL CASTILLO JOHN ROLANDO</t>
  </si>
  <si>
    <t>Caserío Balsayacu</t>
  </si>
  <si>
    <t>44494614</t>
  </si>
  <si>
    <t>APUELA ARIMUYA MARIA TERESA</t>
  </si>
  <si>
    <t>AV.NANAY MZ.H LTE 1 SANTA CLARA</t>
  </si>
  <si>
    <t>44593734</t>
  </si>
  <si>
    <t>FRANCISCO TELLO RUIZ</t>
  </si>
  <si>
    <t>44733170</t>
  </si>
  <si>
    <t>NAPO LANCHA MANUEL</t>
  </si>
  <si>
    <t>CASERIO LAS AMAZONAS</t>
  </si>
  <si>
    <t>44848092</t>
  </si>
  <si>
    <t>SANCHEZ CARO JORGE LUIS</t>
  </si>
  <si>
    <t xml:space="preserve">JR.COMANDANTE CHIRINOS 472 </t>
  </si>
  <si>
    <t>44992960</t>
  </si>
  <si>
    <t>JAMBO TIRADO INELSO</t>
  </si>
  <si>
    <t>45053708</t>
  </si>
  <si>
    <t>COQUINCHE MUÑOZ ANTOCA</t>
  </si>
  <si>
    <t>COM.ANGOTERO -RIO NAPO</t>
  </si>
  <si>
    <t>45173451</t>
  </si>
  <si>
    <t>FERNANDEZ HURTADO MARIA LIDIA</t>
  </si>
  <si>
    <t>JR. CARLOS MARIATEGUI S/N AL COSTADO DEL COLEGIO PINCHA POMPA</t>
  </si>
  <si>
    <t>45305759</t>
  </si>
  <si>
    <t>PUA PIZANGO JUAN MANUEL</t>
  </si>
  <si>
    <t>45343181</t>
  </si>
  <si>
    <t>CHALLCO MAMANI RUTH MERY</t>
  </si>
  <si>
    <t>NNUEVA REQUENA S/N</t>
  </si>
  <si>
    <t>45418609</t>
  </si>
  <si>
    <t>ASHANGA NOTENO LEANDRO</t>
  </si>
  <si>
    <t>YARINA LLACTA RIO NAPO</t>
  </si>
  <si>
    <t>45420927</t>
  </si>
  <si>
    <t>GONZALES LAURO CARLO MAGNO</t>
  </si>
  <si>
    <t>SANTA MARIA DE LOGIAL</t>
  </si>
  <si>
    <t>45772148</t>
  </si>
  <si>
    <t>TANGOA TORRES RUTHERFOR JONES BERZILIUS</t>
  </si>
  <si>
    <t>centro poblado san gabriel baradero</t>
  </si>
  <si>
    <t>45821091</t>
  </si>
  <si>
    <t>ARTEMIO MACUSI AHUITE</t>
  </si>
  <si>
    <t>NUEVO SAN JUAN-RIO CHAMBIRA</t>
  </si>
  <si>
    <t>45879579</t>
  </si>
  <si>
    <t>VILLARREAL NARCIZO YAQUELIN ROCIO</t>
  </si>
  <si>
    <t>Comunidad Santa Rosa de Yavari</t>
  </si>
  <si>
    <t>46081102</t>
  </si>
  <si>
    <t>CRIONNI DEIBY WONG LOPEZ</t>
  </si>
  <si>
    <t>PSJ PUTUMAYO N 1729-A</t>
  </si>
  <si>
    <t>46081109</t>
  </si>
  <si>
    <t>ARI ARI MAGALY VIRGILIA</t>
  </si>
  <si>
    <t>PSJ PUTUMAYO 1729-A</t>
  </si>
  <si>
    <t>46119791</t>
  </si>
  <si>
    <t>AMPUERO NUNTA ELISA</t>
  </si>
  <si>
    <t>RICARDO PALMA 1</t>
  </si>
  <si>
    <t>46199464</t>
  </si>
  <si>
    <t>DAYSI GARCIA ROJAS</t>
  </si>
  <si>
    <t>SAN JOSE NUEVO ESPERANZA</t>
  </si>
  <si>
    <t>46230311</t>
  </si>
  <si>
    <t>MARINO CASTILLO GAMEZ</t>
  </si>
  <si>
    <t>46248995</t>
  </si>
  <si>
    <t>JONATHAN KEY PANDURO FLORES</t>
  </si>
  <si>
    <t>46257656</t>
  </si>
  <si>
    <t>JULY DE LA CRUZ CUBIDES</t>
  </si>
  <si>
    <t>AV. 28 DE JULIO 1390</t>
  </si>
  <si>
    <t>46267739</t>
  </si>
  <si>
    <t>JAVIER SIQUIHUA NOTENO</t>
  </si>
  <si>
    <t>46280541</t>
  </si>
  <si>
    <t>DELCIA PATRICIA GEMAN SOSA</t>
  </si>
  <si>
    <t>COMUNIDAD VISTA HERMOSA RIO TAMBOR YACU</t>
  </si>
  <si>
    <t>46319585</t>
  </si>
  <si>
    <t>JESSICA SINUIRI ASIPALI</t>
  </si>
  <si>
    <t>46346169</t>
  </si>
  <si>
    <t>AJEICATE ARAHUATE CELSO</t>
  </si>
  <si>
    <t>46471077</t>
  </si>
  <si>
    <t>MARICRUZ SANCHEZ CHAVEZ</t>
  </si>
  <si>
    <t>HUEPI</t>
  </si>
  <si>
    <t>46507321</t>
  </si>
  <si>
    <t>MOZOMBITE LOMAS JUSTO</t>
  </si>
  <si>
    <t>CASERIO SANTA TERESA -BAJO HUALLAGA</t>
  </si>
  <si>
    <t>46548137</t>
  </si>
  <si>
    <t>TITO MURAYARI DAVILA</t>
  </si>
  <si>
    <t>COM. VISTA ALEGRE</t>
  </si>
  <si>
    <t>46604253</t>
  </si>
  <si>
    <t>JULIAN BANDA CALDERON</t>
  </si>
  <si>
    <t>ONSUMIDOR FINAL</t>
  </si>
  <si>
    <t>46612373</t>
  </si>
  <si>
    <t>LAIR ATAC DELGADO</t>
  </si>
  <si>
    <t>46971631</t>
  </si>
  <si>
    <t>BARRETO QUISPE DUZAN ROGER</t>
  </si>
  <si>
    <t>47064452</t>
  </si>
  <si>
    <t>DEL AGUILA GALLARDO SANDRO LUCIO</t>
  </si>
  <si>
    <t>MORONA 1448</t>
  </si>
  <si>
    <t>47114175</t>
  </si>
  <si>
    <t>PIZANGO PUA CATALINO</t>
  </si>
  <si>
    <t>caserio panan</t>
  </si>
  <si>
    <t>47307743</t>
  </si>
  <si>
    <t>ESTHER LIZANA GABONAL</t>
  </si>
  <si>
    <t>Calle Jesús de Praga</t>
  </si>
  <si>
    <t>47453374</t>
  </si>
  <si>
    <t>CALDERON CARDOZO MIGUEL ANGEL</t>
  </si>
  <si>
    <t>JR.COMANDANTE CHIRINOS 472</t>
  </si>
  <si>
    <t xml:space="preserve">HENRY FRANK </t>
  </si>
  <si>
    <t>47500647</t>
  </si>
  <si>
    <t>RIVERA ROMERO LLEMZ NEVER</t>
  </si>
  <si>
    <t xml:space="preserve">C.F.B KM 17 TIERRA BUENA CAMPO VERDE </t>
  </si>
  <si>
    <t>47584368</t>
  </si>
  <si>
    <t>AMASIFUEN TAPULLIMA JULIAN</t>
  </si>
  <si>
    <t>Caserío Nuevo san Martin</t>
  </si>
  <si>
    <t>47721370</t>
  </si>
  <si>
    <t>SUMPA UNGKUM EMIR</t>
  </si>
  <si>
    <t>Av. Jauregui N.511</t>
  </si>
  <si>
    <t>47761324</t>
  </si>
  <si>
    <t>YAICATE MAYTAHUARI RIDER JESUS</t>
  </si>
  <si>
    <t>48146770</t>
  </si>
  <si>
    <t>JARA ORTIZ ALEJANDRO</t>
  </si>
  <si>
    <t>ASOC. SANTA ROSA</t>
  </si>
  <si>
    <t>CESAR   FLORES  FLORES</t>
  </si>
  <si>
    <t>48231504</t>
  </si>
  <si>
    <t>MANRRIQUE SEJEKAM</t>
  </si>
  <si>
    <t xml:space="preserve">BAGUA CHICA </t>
  </si>
  <si>
    <t>48274142</t>
  </si>
  <si>
    <t>JOSE MARI LARA</t>
  </si>
  <si>
    <t>CALLE.  MALECON   S/N   TROMPETEROS</t>
  </si>
  <si>
    <t>48296151</t>
  </si>
  <si>
    <t>FIGUEROA COQUINCHE NATALY</t>
  </si>
  <si>
    <t>Centro Poblado Rio San Rafael</t>
  </si>
  <si>
    <t>48306966</t>
  </si>
  <si>
    <t>RAMIREZ PANDURO LILA KASANDRA</t>
  </si>
  <si>
    <t>48509821</t>
  </si>
  <si>
    <t>AGUIRRE MORI ANLY FIORELLA</t>
  </si>
  <si>
    <t>48560830</t>
  </si>
  <si>
    <t>JOEL COQUINCHE COQUINCHE</t>
  </si>
  <si>
    <t>AV NAVARRO CAUPER /CON 28 JULIO</t>
  </si>
  <si>
    <t>48607738</t>
  </si>
  <si>
    <t>SCHMIDT SEMINARIO STEFANY GISSEL</t>
  </si>
  <si>
    <t>JR. CHANCHAMAYO MZ. 31 LT.07</t>
  </si>
  <si>
    <t>48647527</t>
  </si>
  <si>
    <t>SEGUNDO VITORIANO MACUSI</t>
  </si>
  <si>
    <t>48666080</t>
  </si>
  <si>
    <t>PINEDO SAAVEDRA WILCER</t>
  </si>
  <si>
    <t>CASERIO TRES UNIDOS</t>
  </si>
  <si>
    <t>48807731</t>
  </si>
  <si>
    <t>LANCHA PIZANGO NOE</t>
  </si>
  <si>
    <t>caserio naranjal</t>
  </si>
  <si>
    <t>48893335</t>
  </si>
  <si>
    <t>QUEZADA VELASQUEZ PETER</t>
  </si>
  <si>
    <t>48916497</t>
  </si>
  <si>
    <t>GONZALES CHIWALA MARGARITA</t>
  </si>
  <si>
    <t>COMUNIDAD ATALAYA-RIO CHAMBIRA</t>
  </si>
  <si>
    <t>ESTHER PACUS VEGA</t>
  </si>
  <si>
    <t>48965230</t>
  </si>
  <si>
    <t>GOMEZ CHUIN ELMER</t>
  </si>
  <si>
    <t>49060983</t>
  </si>
  <si>
    <t>PIZURI TANGOA JHON MAICELO</t>
  </si>
  <si>
    <t>Caserío Nuevo Amanecer</t>
  </si>
  <si>
    <t>49076449</t>
  </si>
  <si>
    <t>PAOLA KARINA CARBAJAL LEON</t>
  </si>
  <si>
    <t>GOREL -SAN JUAN</t>
  </si>
  <si>
    <t>53868571</t>
  </si>
  <si>
    <t>60113018</t>
  </si>
  <si>
    <t>JANIL ROLANDO JOTA  MASHUCURI</t>
  </si>
  <si>
    <t>60509888</t>
  </si>
  <si>
    <t>NOA SILVA SERGIO</t>
  </si>
  <si>
    <t>Purca - Urco Alto Nanay</t>
  </si>
  <si>
    <t>60545293</t>
  </si>
  <si>
    <t>SANCHEZ HUAMAN EDSON SANTIAGO</t>
  </si>
  <si>
    <t>CALLE SAN JUAN SECTOR 12</t>
  </si>
  <si>
    <t>61408756</t>
  </si>
  <si>
    <t>Yuyarima Manihuari Humberto</t>
  </si>
  <si>
    <t>Call. La Guadalupe S/N</t>
  </si>
  <si>
    <t>62363173</t>
  </si>
  <si>
    <t>JHERMA RIOS TARICUARIMA</t>
  </si>
  <si>
    <t>62429130</t>
  </si>
  <si>
    <t>SIMON PUALLI MASHINGASHI</t>
  </si>
  <si>
    <t xml:space="preserve">CCNN NUEVA UNION </t>
  </si>
  <si>
    <t>62912446</t>
  </si>
  <si>
    <t>JACK DAHUA HURAPARI</t>
  </si>
  <si>
    <t>62947811</t>
  </si>
  <si>
    <t>JOSE CHUJE SANDI</t>
  </si>
  <si>
    <t>ALTO CORRIENTE-PAMPAHERMOSA</t>
  </si>
  <si>
    <t>63126158</t>
  </si>
  <si>
    <t>PUA SALINAS RIDER</t>
  </si>
  <si>
    <t>Caserio Nuevo Triunfo</t>
  </si>
  <si>
    <t>70355003</t>
  </si>
  <si>
    <t>LEIDY DELGADO MELENDEZ</t>
  </si>
  <si>
    <t>71068870</t>
  </si>
  <si>
    <t>DUENDE MALDONADO JOEL</t>
  </si>
  <si>
    <t>71491081</t>
  </si>
  <si>
    <t>DAVILA GORDILLO HOOBER GUILMAR</t>
  </si>
  <si>
    <t>Calle Jose Maria Mz Y Lote 1 / Camana</t>
  </si>
  <si>
    <t>CAMANA</t>
  </si>
  <si>
    <t>72176924</t>
  </si>
  <si>
    <t>YAPO HUMPIRE WILSON</t>
  </si>
  <si>
    <t>BOCA UNION</t>
  </si>
  <si>
    <t>72264826</t>
  </si>
  <si>
    <t>CHUJANDAMA CHUJUTALLI NILDER</t>
  </si>
  <si>
    <t>JR. HUALLAGA S/N</t>
  </si>
  <si>
    <t>Huimbayoc</t>
  </si>
  <si>
    <t>72388481</t>
  </si>
  <si>
    <t>NOLE SANDOVAL LUIS GERMAN</t>
  </si>
  <si>
    <t>CARRET.  F.B. TERRY S/N - JAÉN</t>
  </si>
  <si>
    <t>AV. LIMA CDRA 6  - SAPOSOA - HUALLAGA - SAN MARTIN</t>
  </si>
  <si>
    <t>72772145</t>
  </si>
  <si>
    <t>BRANDY PACAYA PANAIFO</t>
  </si>
  <si>
    <t>72862870</t>
  </si>
  <si>
    <t>RIGOBERTO RAYO PAPA</t>
  </si>
  <si>
    <t>73014463</t>
  </si>
  <si>
    <t>LUIGGI ROMAIN SAJAMI PADILLA</t>
  </si>
  <si>
    <t>CALLE 20 DE AGOSTO #140 COLINAS</t>
  </si>
  <si>
    <t>73218491</t>
  </si>
  <si>
    <t>JESUS MANUEL TORRES TAMINCHI</t>
  </si>
  <si>
    <t>CALLE. LOS MADEROS MZ.Z LT1</t>
  </si>
  <si>
    <t>PAPAPLAYA</t>
  </si>
  <si>
    <t>74134412</t>
  </si>
  <si>
    <t>PAREDES PARANA JOSE LUIS</t>
  </si>
  <si>
    <t>74587899</t>
  </si>
  <si>
    <t>VELA CUACHI JUSTO</t>
  </si>
  <si>
    <t>75334962</t>
  </si>
  <si>
    <t xml:space="preserve">CARLOS DANIEL PANDURO GARCIA </t>
  </si>
  <si>
    <t xml:space="preserve">CARRETERA SANTO TOMAS KM. 4.5 </t>
  </si>
  <si>
    <t>75812415</t>
  </si>
  <si>
    <t>NARVAJO MEJIA KELLY JHOSELIN</t>
  </si>
  <si>
    <t>CALLE CIRO ALEGRIA Nº 342 - LIMA</t>
  </si>
  <si>
    <t>HUALMAY</t>
  </si>
  <si>
    <t>76322755</t>
  </si>
  <si>
    <t>JHELLEN GAMARRA ESCOVEDO</t>
  </si>
  <si>
    <t>MARIA TERESA DE CALCUTA</t>
  </si>
  <si>
    <t>76945209</t>
  </si>
  <si>
    <t>GREFA JIPA INES BALVINA</t>
  </si>
  <si>
    <t>CALLE MIRAFLORES MZ F LT10</t>
  </si>
  <si>
    <t>77020823</t>
  </si>
  <si>
    <t>CUNIA CRUZ CRISTIAN JHOEL</t>
  </si>
  <si>
    <t>ALONSO DE ALVARADO S/N - TARAPOTO</t>
  </si>
  <si>
    <t>77291615</t>
  </si>
  <si>
    <t>DEL AGUILA GUERRA CINTIA</t>
  </si>
  <si>
    <t>calle tumi mz a lt1</t>
  </si>
  <si>
    <t>77321266</t>
  </si>
  <si>
    <t>SOSA IMUNDA DILVER</t>
  </si>
  <si>
    <t>77354195</t>
  </si>
  <si>
    <t>ISUIZA VALENCIA RIDER</t>
  </si>
  <si>
    <t>caserio 6 de julio</t>
  </si>
  <si>
    <t>77797760</t>
  </si>
  <si>
    <t>ROMERO DE LA CRUZ ISAI CARLOS</t>
  </si>
  <si>
    <t>80268161</t>
  </si>
  <si>
    <t>NORA PACAYA HUALLAHUA</t>
  </si>
  <si>
    <t>PARTICIPACION 26</t>
  </si>
  <si>
    <t>80310577</t>
  </si>
  <si>
    <t>JUAN JUENTES GONZALES</t>
  </si>
  <si>
    <t>80379900</t>
  </si>
  <si>
    <t>JAIR ZAMBRANO MATEOS</t>
  </si>
  <si>
    <t>80390269</t>
  </si>
  <si>
    <t>SILVA CRUZ MARLI</t>
  </si>
  <si>
    <t>80433472</t>
  </si>
  <si>
    <t>TORRES SEGUA JUANA</t>
  </si>
  <si>
    <t>SAN RAFAEL-RIO CURARAY</t>
  </si>
  <si>
    <t>80446813</t>
  </si>
  <si>
    <t>ANDOA TUESTA DAFERSON PEDRO</t>
  </si>
  <si>
    <t>80459540</t>
  </si>
  <si>
    <t>GORDILLO TORRES JUANA</t>
  </si>
  <si>
    <t>80460179</t>
  </si>
  <si>
    <t>INUMA MARTINEZ RAQUEL</t>
  </si>
  <si>
    <t>PUERTO MIGUEL</t>
  </si>
  <si>
    <t>80531271</t>
  </si>
  <si>
    <t>CHUJE HUALINGA CARLOS MANUEL</t>
  </si>
  <si>
    <t>COMUNIDAD NATIVA 12 DE OCTUBRE -RIO TIGRE</t>
  </si>
  <si>
    <t>80578048</t>
  </si>
  <si>
    <t>YUMBATO MACAHUACHI MERLY SILVIA</t>
  </si>
  <si>
    <t>81627035</t>
  </si>
  <si>
    <t>BRUNO NORIEGA SANCHEZ</t>
  </si>
  <si>
    <t>PROSPERO N 1518</t>
  </si>
  <si>
    <t>Eduardo</t>
  </si>
  <si>
    <t>-392</t>
  </si>
  <si>
    <t>0</t>
  </si>
  <si>
    <t>540</t>
  </si>
  <si>
    <t>1</t>
  </si>
  <si>
    <t>50</t>
  </si>
  <si>
    <t>3,015</t>
  </si>
  <si>
    <t>100</t>
  </si>
  <si>
    <t>330</t>
  </si>
  <si>
    <t>440</t>
  </si>
  <si>
    <t>-126</t>
  </si>
  <si>
    <t>315</t>
  </si>
  <si>
    <t>200,000</t>
  </si>
  <si>
    <t>01088222</t>
  </si>
  <si>
    <t>RAMIREZ VELA WALTER</t>
  </si>
  <si>
    <t>-164</t>
  </si>
  <si>
    <t>1,380</t>
  </si>
  <si>
    <t>10,060</t>
  </si>
  <si>
    <t>700</t>
  </si>
  <si>
    <t>9,660</t>
  </si>
  <si>
    <t>7,088</t>
  </si>
  <si>
    <t>2,070</t>
  </si>
  <si>
    <t>3</t>
  </si>
  <si>
    <t>2,500</t>
  </si>
  <si>
    <t>05315724</t>
  </si>
  <si>
    <t>SOUZA MOZOMBITE RUBEN</t>
  </si>
  <si>
    <t>05358380</t>
  </si>
  <si>
    <t>UPARI YAICATE SANTOS</t>
  </si>
  <si>
    <t>665</t>
  </si>
  <si>
    <t>40</t>
  </si>
  <si>
    <t>466</t>
  </si>
  <si>
    <t>1000</t>
  </si>
  <si>
    <t>-2,500</t>
  </si>
  <si>
    <t>-197</t>
  </si>
  <si>
    <t>1,545</t>
  </si>
  <si>
    <t>20,000</t>
  </si>
  <si>
    <t>60</t>
  </si>
  <si>
    <t>350</t>
  </si>
  <si>
    <t>-792</t>
  </si>
  <si>
    <t>99</t>
  </si>
  <si>
    <t>796</t>
  </si>
  <si>
    <t>400</t>
  </si>
  <si>
    <t>-7,088</t>
  </si>
  <si>
    <t>1,653</t>
  </si>
  <si>
    <t>589</t>
  </si>
  <si>
    <t>481</t>
  </si>
  <si>
    <t>05715528</t>
  </si>
  <si>
    <t>PAIVA MORI JHUVER HUGO</t>
  </si>
  <si>
    <t>MALECON BUENOS AIRES #249</t>
  </si>
  <si>
    <t>05792113</t>
  </si>
  <si>
    <t>VILCA LOPEZ JULIO</t>
  </si>
  <si>
    <t>AV LA MARINA  2213</t>
  </si>
  <si>
    <t>30</t>
  </si>
  <si>
    <t>150</t>
  </si>
  <si>
    <t>1,560</t>
  </si>
  <si>
    <t>7,607</t>
  </si>
  <si>
    <t>1,725</t>
  </si>
  <si>
    <t>5,240</t>
  </si>
  <si>
    <t>3,036</t>
  </si>
  <si>
    <t>8</t>
  </si>
  <si>
    <t>935</t>
  </si>
  <si>
    <t>580</t>
  </si>
  <si>
    <t>951</t>
  </si>
  <si>
    <t>9,541</t>
  </si>
  <si>
    <t>-8</t>
  </si>
  <si>
    <t>3,720</t>
  </si>
  <si>
    <t>746</t>
  </si>
  <si>
    <t>2,566</t>
  </si>
  <si>
    <t>55</t>
  </si>
  <si>
    <t>-79</t>
  </si>
  <si>
    <t>789</t>
  </si>
  <si>
    <t>-63</t>
  </si>
  <si>
    <t>-268</t>
  </si>
  <si>
    <t>3,960</t>
  </si>
  <si>
    <t>7,665</t>
  </si>
  <si>
    <t>3,984</t>
  </si>
  <si>
    <t>5,750</t>
  </si>
  <si>
    <t>1,416</t>
  </si>
  <si>
    <t>2,352</t>
  </si>
  <si>
    <t>1,728</t>
  </si>
  <si>
    <t>2,000</t>
  </si>
  <si>
    <t>1,890</t>
  </si>
  <si>
    <t>3,493</t>
  </si>
  <si>
    <t>3,472</t>
  </si>
  <si>
    <t>510</t>
  </si>
  <si>
    <t>930</t>
  </si>
  <si>
    <t>1,665</t>
  </si>
  <si>
    <t>778</t>
  </si>
  <si>
    <t>408</t>
  </si>
  <si>
    <t>1,482</t>
  </si>
  <si>
    <t>1,431</t>
  </si>
  <si>
    <t>-190</t>
  </si>
  <si>
    <t>2,659</t>
  </si>
  <si>
    <t>1,867</t>
  </si>
  <si>
    <t>10292866866</t>
  </si>
  <si>
    <t>MURGUIA ZEGARRA ALEJANDRINA DELIA</t>
  </si>
  <si>
    <t>Urb.Tasahuayo H-3 /Arequipa</t>
  </si>
  <si>
    <t>JOSE LUIS BUSTAMANTE Y RIVERO</t>
  </si>
  <si>
    <t>836</t>
  </si>
  <si>
    <t>2,658</t>
  </si>
  <si>
    <t>2,757</t>
  </si>
  <si>
    <t>1,800</t>
  </si>
  <si>
    <t>2,300</t>
  </si>
  <si>
    <t>290</t>
  </si>
  <si>
    <t>1,413</t>
  </si>
  <si>
    <t>-20</t>
  </si>
  <si>
    <t>3,954</t>
  </si>
  <si>
    <t>782</t>
  </si>
  <si>
    <t>34</t>
  </si>
  <si>
    <t>1,368</t>
  </si>
  <si>
    <t>500</t>
  </si>
  <si>
    <t>4,623</t>
  </si>
  <si>
    <t>-264</t>
  </si>
  <si>
    <t>3,624</t>
  </si>
  <si>
    <t>480</t>
  </si>
  <si>
    <t>4,476</t>
  </si>
  <si>
    <t>7,052</t>
  </si>
  <si>
    <t>798</t>
  </si>
  <si>
    <t>2,310</t>
  </si>
  <si>
    <t>1,960</t>
  </si>
  <si>
    <t>372</t>
  </si>
  <si>
    <t>10,648</t>
  </si>
  <si>
    <t>902</t>
  </si>
  <si>
    <t>-1,500</t>
  </si>
  <si>
    <t>383</t>
  </si>
  <si>
    <t>-40</t>
  </si>
  <si>
    <t>1,018</t>
  </si>
  <si>
    <t>1,450</t>
  </si>
  <si>
    <t>2,622</t>
  </si>
  <si>
    <t>3,250</t>
  </si>
  <si>
    <t>6,396</t>
  </si>
  <si>
    <t>972</t>
  </si>
  <si>
    <t>4,800</t>
  </si>
  <si>
    <t>10439871151</t>
  </si>
  <si>
    <t>FLORES CHOTA LEYSI</t>
  </si>
  <si>
    <t>JR. ESPERANZA DE NAZARENO PSJ HAMILTON MZ C LT 7</t>
  </si>
  <si>
    <t>332</t>
  </si>
  <si>
    <t>10,188</t>
  </si>
  <si>
    <t>6,231</t>
  </si>
  <si>
    <t>3,366</t>
  </si>
  <si>
    <t>-38</t>
  </si>
  <si>
    <t>2,082</t>
  </si>
  <si>
    <t>181</t>
  </si>
  <si>
    <t>1,750</t>
  </si>
  <si>
    <t>1,080</t>
  </si>
  <si>
    <t>2,520</t>
  </si>
  <si>
    <t>12,967</t>
  </si>
  <si>
    <t>840</t>
  </si>
  <si>
    <t>1,999</t>
  </si>
  <si>
    <t>820</t>
  </si>
  <si>
    <t>9,989</t>
  </si>
  <si>
    <t>1,230</t>
  </si>
  <si>
    <t>172</t>
  </si>
  <si>
    <t>1,146</t>
  </si>
  <si>
    <t>252</t>
  </si>
  <si>
    <t>1,920</t>
  </si>
  <si>
    <t>-30</t>
  </si>
  <si>
    <t>1,593</t>
  </si>
  <si>
    <t>1,640</t>
  </si>
  <si>
    <t>-18</t>
  </si>
  <si>
    <t>2,491</t>
  </si>
  <si>
    <t>370</t>
  </si>
  <si>
    <t>15,708</t>
  </si>
  <si>
    <t>6,483</t>
  </si>
  <si>
    <t>1,550</t>
  </si>
  <si>
    <t>-89</t>
  </si>
  <si>
    <t>536</t>
  </si>
  <si>
    <t>579</t>
  </si>
  <si>
    <t>1,500</t>
  </si>
  <si>
    <t>1,942</t>
  </si>
  <si>
    <t>-10,060</t>
  </si>
  <si>
    <t>11,425</t>
  </si>
  <si>
    <t>-78</t>
  </si>
  <si>
    <t>-100</t>
  </si>
  <si>
    <t>5,550</t>
  </si>
  <si>
    <t>78</t>
  </si>
  <si>
    <t>4,830</t>
  </si>
  <si>
    <t>7,585</t>
  </si>
  <si>
    <t>3,780</t>
  </si>
  <si>
    <t>2,165</t>
  </si>
  <si>
    <t>714</t>
  </si>
  <si>
    <t>3,000</t>
  </si>
  <si>
    <t>10,126</t>
  </si>
  <si>
    <t>120</t>
  </si>
  <si>
    <t>7,026</t>
  </si>
  <si>
    <t>-90</t>
  </si>
  <si>
    <t>1,127</t>
  </si>
  <si>
    <t>950</t>
  </si>
  <si>
    <t>2,353</t>
  </si>
  <si>
    <t>4,030</t>
  </si>
  <si>
    <t>1,400</t>
  </si>
  <si>
    <t>720</t>
  </si>
  <si>
    <t>3,474</t>
  </si>
  <si>
    <t>243</t>
  </si>
  <si>
    <t>2,040</t>
  </si>
  <si>
    <t>9,103</t>
  </si>
  <si>
    <t>8,619</t>
  </si>
  <si>
    <t>70</t>
  </si>
  <si>
    <t>1,620</t>
  </si>
  <si>
    <t>703</t>
  </si>
  <si>
    <t>7,870</t>
  </si>
  <si>
    <t>20,304</t>
  </si>
  <si>
    <t>1,014</t>
  </si>
  <si>
    <t>2,983</t>
  </si>
  <si>
    <t>200</t>
  </si>
  <si>
    <t>3,065</t>
  </si>
  <si>
    <t>381</t>
  </si>
  <si>
    <t>1,925</t>
  </si>
  <si>
    <t>1,871</t>
  </si>
  <si>
    <t>18,818</t>
  </si>
  <si>
    <t>6,134</t>
  </si>
  <si>
    <t>25,934</t>
  </si>
  <si>
    <t>484</t>
  </si>
  <si>
    <t>3,258</t>
  </si>
  <si>
    <t>-10,072</t>
  </si>
  <si>
    <t>594</t>
  </si>
  <si>
    <t>21,186</t>
  </si>
  <si>
    <t>1,859</t>
  </si>
  <si>
    <t>11,098</t>
  </si>
  <si>
    <t>4,608</t>
  </si>
  <si>
    <t>-36</t>
  </si>
  <si>
    <t>1,164</t>
  </si>
  <si>
    <t>8,082</t>
  </si>
  <si>
    <t>18,137</t>
  </si>
  <si>
    <t>1,020</t>
  </si>
  <si>
    <t>12,140</t>
  </si>
  <si>
    <t>5,153</t>
  </si>
  <si>
    <t>1,776</t>
  </si>
  <si>
    <t>3,855</t>
  </si>
  <si>
    <t>-17</t>
  </si>
  <si>
    <t>1,994</t>
  </si>
  <si>
    <t>28,347</t>
  </si>
  <si>
    <t>-115</t>
  </si>
  <si>
    <t>-31</t>
  </si>
  <si>
    <t>-183</t>
  </si>
  <si>
    <t>3,850</t>
  </si>
  <si>
    <t>21,033</t>
  </si>
  <si>
    <t>6,861</t>
  </si>
  <si>
    <t>5,130</t>
  </si>
  <si>
    <t>1,204</t>
  </si>
  <si>
    <t>948</t>
  </si>
  <si>
    <t>4,584</t>
  </si>
  <si>
    <t>27,472</t>
  </si>
  <si>
    <t>2,808</t>
  </si>
  <si>
    <t>4,982</t>
  </si>
  <si>
    <t>3,305</t>
  </si>
  <si>
    <t>-106</t>
  </si>
  <si>
    <t>7,071</t>
  </si>
  <si>
    <t>20,399</t>
  </si>
  <si>
    <t>1,250</t>
  </si>
  <si>
    <t>1,319</t>
  </si>
  <si>
    <t>307</t>
  </si>
  <si>
    <t>1,720</t>
  </si>
  <si>
    <t>-9,660</t>
  </si>
  <si>
    <t>2,298</t>
  </si>
  <si>
    <t>-2,070</t>
  </si>
  <si>
    <t>-35</t>
  </si>
  <si>
    <t>417</t>
  </si>
  <si>
    <t>2,460</t>
  </si>
  <si>
    <t>04</t>
  </si>
  <si>
    <t>499</t>
  </si>
  <si>
    <t>570</t>
  </si>
  <si>
    <t>2,590</t>
  </si>
  <si>
    <t>ESDRAS BRAVO CARRERO</t>
  </si>
  <si>
    <t>660</t>
  </si>
  <si>
    <t>3,412</t>
  </si>
  <si>
    <t>693</t>
  </si>
  <si>
    <t>550</t>
  </si>
  <si>
    <t>1,370</t>
  </si>
  <si>
    <t>-878</t>
  </si>
  <si>
    <t>18,000</t>
  </si>
  <si>
    <t>3,150</t>
  </si>
  <si>
    <t>45704072</t>
  </si>
  <si>
    <t>SOUZA CHAVEZ LORAYNA</t>
  </si>
  <si>
    <t>250</t>
  </si>
  <si>
    <t>429</t>
  </si>
  <si>
    <t>1,520</t>
  </si>
  <si>
    <t>398</t>
  </si>
  <si>
    <t>270</t>
  </si>
  <si>
    <t>-332</t>
  </si>
  <si>
    <t>2</t>
  </si>
  <si>
    <t>-300</t>
  </si>
  <si>
    <t>1,200</t>
  </si>
  <si>
    <t>-9</t>
  </si>
  <si>
    <t>390</t>
  </si>
  <si>
    <t>-12</t>
  </si>
  <si>
    <t>430</t>
  </si>
  <si>
    <t>5,404</t>
  </si>
  <si>
    <t>800</t>
  </si>
  <si>
    <t>05</t>
  </si>
  <si>
    <t>-93</t>
  </si>
  <si>
    <t>3,086</t>
  </si>
  <si>
    <t>5,073</t>
  </si>
  <si>
    <t>-1,523</t>
  </si>
  <si>
    <t>11,292</t>
  </si>
  <si>
    <t>506</t>
  </si>
  <si>
    <t>3,199</t>
  </si>
  <si>
    <t>2,549</t>
  </si>
  <si>
    <t>-344</t>
  </si>
  <si>
    <t>20600441435</t>
  </si>
  <si>
    <t>MULTISERVICIOS LAS COLINAS S.R.L.</t>
  </si>
  <si>
    <t>AV. GUARDIA REPUBLICANA NRO. 472 - LORETO MAYNAS SAN JUAN BAUTISTA</t>
  </si>
  <si>
    <t>20600757971</t>
  </si>
  <si>
    <t>DAREPZA FERRETEROS E.I.R.L.</t>
  </si>
  <si>
    <t xml:space="preserve"> VENTA AL POR MAYOR DE MATERIALES DE CONSTRUCCIÓN ARTÍCULOS DE FERRETERIA Y EQUIPO Y MATERIALES </t>
  </si>
  <si>
    <t>JR. COLON CUADRA 4/ESQUINA CO NRO. S/N BAR. HUAYCO - TARAPOTO - SAN MARTIN - SAN MARTIN</t>
  </si>
  <si>
    <t>20605091165</t>
  </si>
  <si>
    <t>INVERSIONES DIAZ PUCALLPA E.I.R.L.</t>
  </si>
  <si>
    <t>JR. PROSPERO NRO. 1453 LORETO - MAYNAS - BELEN</t>
  </si>
  <si>
    <t>00062704</t>
  </si>
  <si>
    <t>DAVILA MONTALVAN CESAR AUGUSTO</t>
  </si>
  <si>
    <t>JR. MOQUEHUA 3800</t>
  </si>
  <si>
    <t>Calleria</t>
  </si>
  <si>
    <t>5,725</t>
  </si>
  <si>
    <t>05227774</t>
  </si>
  <si>
    <t>TUANAMA GARCIA DANIEL EDGAR</t>
  </si>
  <si>
    <t>773</t>
  </si>
  <si>
    <t>ISIDORO TELLO LOS ROSALES MZA. C LT. 21</t>
  </si>
  <si>
    <t>05582826</t>
  </si>
  <si>
    <t>TAMABI PIZANGO CARLOS</t>
  </si>
  <si>
    <t>yurimaguas</t>
  </si>
  <si>
    <t>05712849</t>
  </si>
  <si>
    <t>BENJAMIN CUNJE DAHUA</t>
  </si>
  <si>
    <t>05788257</t>
  </si>
  <si>
    <t>MATUTE GARCIA DE ANAYA MILA ESTHER</t>
  </si>
  <si>
    <t>2,902</t>
  </si>
  <si>
    <t>1,039</t>
  </si>
  <si>
    <t>409</t>
  </si>
  <si>
    <t>726</t>
  </si>
  <si>
    <t>10450354908</t>
  </si>
  <si>
    <t>AGUILAR PINZON MARYCRIS GIULIANA</t>
  </si>
  <si>
    <t xml:space="preserve">AV.CAJAMARCA SUR 228 NUEVA CAJAMARCA </t>
  </si>
  <si>
    <t>633</t>
  </si>
  <si>
    <t>10452767533</t>
  </si>
  <si>
    <t>AGÜERO QUISPE ALICIA YANETT</t>
  </si>
  <si>
    <t>VENTA MAQUINARIAS Y REPUESTOS</t>
  </si>
  <si>
    <t>JR. MARTINEZ DE COMPAGÑON Nº 436 - TARAPOTO - SAN MARTIN - SAN MARTIN</t>
  </si>
  <si>
    <t>10481087789</t>
  </si>
  <si>
    <t>PEÑALOZA PERALTA GEINER DARWIN</t>
  </si>
  <si>
    <t>JR. RAMON CASTILLA Nº 485 - TARAPOTO - SAN MARTIN - SAN MARTIN</t>
  </si>
  <si>
    <t>10759889172</t>
  </si>
  <si>
    <t>SANTA CRUZ MALUQUIS RONY NEUMAN</t>
  </si>
  <si>
    <t>AV . NUEVA CAJAMARCA SUR 324 NUEVA CAJAMARCA</t>
  </si>
  <si>
    <t>20493205405</t>
  </si>
  <si>
    <t>MMM CONTRATISTAS GENERALES E.I.R.L.</t>
  </si>
  <si>
    <t xml:space="preserve">OTR. CALLERIA MZA. 51 LOTE 08 </t>
  </si>
  <si>
    <t>-4,608</t>
  </si>
  <si>
    <t>696</t>
  </si>
  <si>
    <t>2,564</t>
  </si>
  <si>
    <t>20609636816</t>
  </si>
  <si>
    <t>INVERSIONES RJ CONSTRUCTORES E.I.R.L.</t>
  </si>
  <si>
    <t>VIA. EVITAMIENTO LOTE Q</t>
  </si>
  <si>
    <t>INVERSIONES SEBASTIAN &amp; KAORY E.I.R.L.</t>
  </si>
  <si>
    <t xml:space="preserve">NRO S/N - C.P. IMACITA - IMAZA - UTCUBAMBA - AMAZONAS </t>
  </si>
  <si>
    <t>20611199598</t>
  </si>
  <si>
    <t>COMERCIALIZADORA PABON CENDALES S.R.L.</t>
  </si>
  <si>
    <t xml:space="preserve">CAL. BREÑA NRO 335 </t>
  </si>
  <si>
    <t>20611530197</t>
  </si>
  <si>
    <t>FERREMAQUI JHOSIFER E.I.R.L.</t>
  </si>
  <si>
    <t>VENTA MQUINARIAS Y REPUESTOS</t>
  </si>
  <si>
    <t>CAL. TENIENTE CESAR LOPEZ NRO 626 URB. TENIENTE CESAR LOPEZ  - YURIMAGUAS - ALTO AMAZONAS - LORETO</t>
  </si>
  <si>
    <t>43378199</t>
  </si>
  <si>
    <t>VASQUEZ SANDOVAL JHONNY URIMA</t>
  </si>
  <si>
    <t>pucallpa</t>
  </si>
  <si>
    <t>45388931</t>
  </si>
  <si>
    <t>BERNALES VARGAS ESAU DANIEL</t>
  </si>
  <si>
    <t>2,012</t>
  </si>
  <si>
    <t>62825642</t>
  </si>
  <si>
    <t>ARAUJO SAIRITUPAC ABDIAS ISAI</t>
  </si>
  <si>
    <t>70025611</t>
  </si>
  <si>
    <t>DANIEL BARBOZA PEÑA</t>
  </si>
  <si>
    <t>70669183</t>
  </si>
  <si>
    <t>CHUMBE RUIZ MILY SANDRA</t>
  </si>
  <si>
    <t>LAS FLORES MZC LT4-SANTA CLARA</t>
  </si>
  <si>
    <t>AGAMA SANTOS JAMES</t>
  </si>
  <si>
    <t>AA.HH 2 DE ABRIL MZ.6 LT.7</t>
  </si>
  <si>
    <t>77282111</t>
  </si>
  <si>
    <t>AV. 28 DE JULIO 112 - ESQUINA CON JIRON CALLAO - TINGO MARIA</t>
  </si>
  <si>
    <t>80304959</t>
  </si>
  <si>
    <t>LAGUNAS S/N</t>
  </si>
  <si>
    <t>80382052</t>
  </si>
  <si>
    <t>TARAZONA SALAZAR MANUEL ARTURO</t>
  </si>
  <si>
    <t>CC.PP. NUEVA ITALIA - BOLOGNESI</t>
  </si>
  <si>
    <t>4,439</t>
  </si>
  <si>
    <t>MOTOR FUERA DE BORDA YAMAHA E25BMHS</t>
  </si>
  <si>
    <t>BROCHA MANGO MADERA 3  EP-50336</t>
  </si>
  <si>
    <t>RESORTE DE RETRAC.BONHOEFFER MS660 BON-SSPRING-005</t>
  </si>
  <si>
    <t>RESORTE DE RETRAC. BONHOEFFER FS280 BON-SSPRING-008</t>
  </si>
  <si>
    <t>TUBO +EJE DIFER D520</t>
  </si>
  <si>
    <t>JUEGO DE REPUESTO PARA MOTOR 479CC POWERFUL</t>
  </si>
  <si>
    <t>CAVADORA ARTICULADA MANGO MAD 110CM 77559524</t>
  </si>
  <si>
    <t>TUERCA DE CUCHILLA BONHOEFFER NT520B BON-RGB-CHINESE-007</t>
  </si>
  <si>
    <t>ELECTROBOMBA BONHOEFFER 1HP 220V</t>
  </si>
  <si>
    <t>RESORTE DE RETRAC.BONHOEFFER NT5800 BON-SSPRING-004</t>
  </si>
  <si>
    <t>FILTRO DE COMBUSTIBLE BONHOEFFER MS660 BON-OLFILTER-002</t>
  </si>
  <si>
    <t>FILTRO DE COMBUSTIBLE BONHOEFFER HUSQVARA BON-OLFILTER-003</t>
  </si>
  <si>
    <t>FILTRO DE COMBUSTIBLE BONHOEFFER NT5800</t>
  </si>
  <si>
    <t>CAJA REDUCTORA BONHOEFFER 143R-II 28MM*4T BON-GEARBOX-004</t>
  </si>
  <si>
    <t>CAJA REDUCTORA BONHOEFFER NTB520 28MM*9T BON-GEARBOX-003</t>
  </si>
  <si>
    <t>CAJA REDUCTORA BONHOEFFER FS280 BON-GEARBOX-005</t>
  </si>
  <si>
    <t>CORTADOR CADENA BONHOEFFER BON-CHAINFILE-054</t>
  </si>
  <si>
    <t>GENERADOR HONDA EG6500CXS</t>
  </si>
  <si>
    <t>HELICE RDA 6.25 PLOMO 6/8</t>
  </si>
  <si>
    <t>HELICE RDA 7.5 PLOMO 6/8</t>
  </si>
  <si>
    <t>HELICE RDA 8.0 PLOMO 6/8</t>
  </si>
  <si>
    <t>MOTOR GASOL POWERFUL PW154 2.5HP</t>
  </si>
  <si>
    <t>MOTOBOMBA GASOL POWERFUL WP15XT 1.5HP</t>
  </si>
  <si>
    <t>MOTOBOMBA GASOL POWERFUL HP20B</t>
  </si>
  <si>
    <t>LAVADORA ALTA PRESION AGUA CALIENTE POWERFUL HPW4000</t>
  </si>
  <si>
    <t>MOTOR PETROLERO POWERFUL PD186FA</t>
  </si>
  <si>
    <t>MOTOR PETROLERO POWERFUL PD192FE</t>
  </si>
  <si>
    <t>DINAMO P/ GENERADOR POWERFUL PG1500A</t>
  </si>
  <si>
    <t>DINAMO P/ GENERADOR POWERFUL PG3000A</t>
  </si>
  <si>
    <t>BOTA VENUS LLAN MED TALLA 36</t>
  </si>
  <si>
    <t>BOTA VENUS LLAN MED TALLA 37</t>
  </si>
  <si>
    <t>BOTA VENUS LLAN MED TALLA 38</t>
  </si>
  <si>
    <t>BOTA VENUS LLAN MED TALLA 39</t>
  </si>
  <si>
    <t>BOTA VENUS LLAN MED TALLA 40</t>
  </si>
  <si>
    <t>BOTA VENUS LLAN MED AZGR TALLA 39</t>
  </si>
  <si>
    <t>BOTA VENUS LLAN MED AZGR TALLA 40</t>
  </si>
  <si>
    <t>BOTA VENUS LLAN MED VLVL TALLA 36</t>
  </si>
  <si>
    <t>BOTA VENUS LLAN MED VLVLTALLA 37</t>
  </si>
  <si>
    <t>BOTA VENUS LLAN MED VLVL TALLA 38</t>
  </si>
  <si>
    <t>BOTA VENUS LLAN MED VLVL TALLA 39</t>
  </si>
  <si>
    <t>7,470</t>
  </si>
  <si>
    <t>CARMEN CRISTANCHO CORAL</t>
  </si>
  <si>
    <t>ALIANZA BARRIAO 13 ENERO MARGINAL S/N</t>
  </si>
  <si>
    <t>220</t>
  </si>
  <si>
    <t>00078534</t>
  </si>
  <si>
    <t>MALDONADO ORNETA ROSA MERCEDES</t>
  </si>
  <si>
    <t>04880818</t>
  </si>
  <si>
    <t>RONALD VISCARRA HIDALGO</t>
  </si>
  <si>
    <t>2,551</t>
  </si>
  <si>
    <t>AV. 28 DE JULIO 515 DESAGUADERO</t>
  </si>
  <si>
    <t>DESAGUADERO</t>
  </si>
  <si>
    <t>05242637</t>
  </si>
  <si>
    <t>FLORENTINA CHUJUTALLI  VILLACIS</t>
  </si>
  <si>
    <t>05242966</t>
  </si>
  <si>
    <t>ARICARA VASQUEZ WALTER</t>
  </si>
  <si>
    <t>CARRETERA IQUITOS NAUTA KM 47.5</t>
  </si>
  <si>
    <t>05311764</t>
  </si>
  <si>
    <t>ROSERO MOZOMBITE RUBEN</t>
  </si>
  <si>
    <t>PORVENIR RIO NAPO</t>
  </si>
  <si>
    <t>05316507</t>
  </si>
  <si>
    <t>IEDUCATIVA 60773</t>
  </si>
  <si>
    <t>CONSUMIDOR FUNAL</t>
  </si>
  <si>
    <t>COMUNIDAD MUNDIAL</t>
  </si>
  <si>
    <t>05322290</t>
  </si>
  <si>
    <t>JUAN APAGUEÑO AQUITUARI</t>
  </si>
  <si>
    <t>PADRECOCHA</t>
  </si>
  <si>
    <t>05331166</t>
  </si>
  <si>
    <t>BEJER ERNESTO HOYOS YUMBATO</t>
  </si>
  <si>
    <t>05347501</t>
  </si>
  <si>
    <t>ALVARADO MURRIETA VICTOR</t>
  </si>
  <si>
    <t>CALLE BOLIVAR 204</t>
  </si>
  <si>
    <t>05350968</t>
  </si>
  <si>
    <t>LANZA CANELOS CRESPIN</t>
  </si>
  <si>
    <t>MANITI</t>
  </si>
  <si>
    <t>05353620</t>
  </si>
  <si>
    <t>VASQUEZ IRARICA SOCORRO</t>
  </si>
  <si>
    <t>HUACAYRACU</t>
  </si>
  <si>
    <t>05312407</t>
  </si>
  <si>
    <t>LUIS CRUZADO PEREZ</t>
  </si>
  <si>
    <t>152</t>
  </si>
  <si>
    <t>JR INGLATERRA S/N  - SHAMBOYACU- PICOTA - SAN MARTIN</t>
  </si>
  <si>
    <t>05713535</t>
  </si>
  <si>
    <t>LUDER MANIHUARI ROMERO</t>
  </si>
  <si>
    <t>NUEVA SANTA ROSA</t>
  </si>
  <si>
    <t>05783402</t>
  </si>
  <si>
    <t>MANUEL ANTONIO SANCHEZ SALVINO</t>
  </si>
  <si>
    <t>1,260</t>
  </si>
  <si>
    <t>05787039</t>
  </si>
  <si>
    <t>CRUZ SIFUENTES OBDULIO</t>
  </si>
  <si>
    <t>PTO ALEGRIA RIO AMAZONAS</t>
  </si>
  <si>
    <t>05857625</t>
  </si>
  <si>
    <t>ORBE VASQUEZ ARNULFO</t>
  </si>
  <si>
    <t>05860566</t>
  </si>
  <si>
    <t>OMAR GUERRA PEREZ</t>
  </si>
  <si>
    <t>06955203</t>
  </si>
  <si>
    <t>FARFAN GONZALES LUIS ANTONIO</t>
  </si>
  <si>
    <t>CARRET. FERNANDO BELAUNDE TERRY S/N</t>
  </si>
  <si>
    <t>10001113319</t>
  </si>
  <si>
    <t>PEÑA MORAN CARLOS ALBERTO</t>
  </si>
  <si>
    <t xml:space="preserve">AAHH NUEVA VICTORIA MZ.B LT.31 </t>
  </si>
  <si>
    <t>10001255865</t>
  </si>
  <si>
    <t>CHINO FLORES EDWIN LEOPOLDO</t>
  </si>
  <si>
    <t>210</t>
  </si>
  <si>
    <t>10010347870</t>
  </si>
  <si>
    <t>QUIROZ RODAS ROGERIO ELISEO</t>
  </si>
  <si>
    <t>MALEC. BOLEGNESI 335-REQUENA</t>
  </si>
  <si>
    <t>10052616773</t>
  </si>
  <si>
    <t>HIHUARAQUI CURICO JUAN JOSE</t>
  </si>
  <si>
    <t>-CALLE BOLIVAR  607- TAMSHIYACU</t>
  </si>
  <si>
    <t>7,260</t>
  </si>
  <si>
    <t>10334294850</t>
  </si>
  <si>
    <t>INGA MIXAN NEY</t>
  </si>
  <si>
    <t>AV. SALAMANCA</t>
  </si>
  <si>
    <t>10336725734</t>
  </si>
  <si>
    <t>PEREZ AGUILAR BALDEMAR</t>
  </si>
  <si>
    <t>AV. SALAMANCA N° 576 - CHACHAPOYAS - CHACHAPOYAS - AMAZONAS</t>
  </si>
  <si>
    <t>620</t>
  </si>
  <si>
    <t>10401733405</t>
  </si>
  <si>
    <t>CORDOVA CORDOVA JOSE</t>
  </si>
  <si>
    <t>URB.JUAN PABLO LT26 DEP.101</t>
  </si>
  <si>
    <t>10429432338</t>
  </si>
  <si>
    <t>CUÑACHI ENCINAS JUAN MANUEL</t>
  </si>
  <si>
    <t>JR. MARAÑON   S/N  SAN  LORENZO</t>
  </si>
  <si>
    <t>12,907</t>
  </si>
  <si>
    <t>1,284</t>
  </si>
  <si>
    <t>1,065</t>
  </si>
  <si>
    <t>10470620931</t>
  </si>
  <si>
    <t>SINOJARA TUANAMA CARLITA FIORELA</t>
  </si>
  <si>
    <t>JR. RAMON CASTILLA Nº 734 CPM 9 DE ABRIL - TARAPOTO - SAN MARTIN - SAN MARTIN</t>
  </si>
  <si>
    <t>13,078</t>
  </si>
  <si>
    <t>6,660</t>
  </si>
  <si>
    <t>10468574212</t>
  </si>
  <si>
    <t>ATALAYA HERRERA VERONICA</t>
  </si>
  <si>
    <t xml:space="preserve">CAL.PEVAS NRO. 534A (ENTRE SAMANEZ OCAMPO Y NANAY) LORETO - MAYNAS - IQUITOS	</t>
  </si>
  <si>
    <t>10720210245</t>
  </si>
  <si>
    <t>VILCHEZ DE SOUZA EVERLYN</t>
  </si>
  <si>
    <t>AV. VIA DE EVITAMIENTO MZ.37 LT. 4</t>
  </si>
  <si>
    <t>10712257950</t>
  </si>
  <si>
    <t>RIOJA FERNANDEZ JEANPOLD ECKER</t>
  </si>
  <si>
    <t>CALLE MISTI  976 -PUNCHANA</t>
  </si>
  <si>
    <t>117</t>
  </si>
  <si>
    <t>2,340</t>
  </si>
  <si>
    <t>3,290</t>
  </si>
  <si>
    <t>684</t>
  </si>
  <si>
    <t>15642567</t>
  </si>
  <si>
    <t>ARAINDIA CHAVEZ HUMBERTO</t>
  </si>
  <si>
    <t>1,679</t>
  </si>
  <si>
    <t>20449280513</t>
  </si>
  <si>
    <t>INVERSIONES JODIMAC SRL.</t>
  </si>
  <si>
    <t>VENTA MAQUINARIAS Y HERRAMIENTAS</t>
  </si>
  <si>
    <t>PRO ANCASH LTE 12 URB GRAMADAL (FRENTE AL NARANJAL) MOQUEGUA</t>
  </si>
  <si>
    <t>MOQUEGUA</t>
  </si>
  <si>
    <t>20487659551</t>
  </si>
  <si>
    <t>INVERSIONES GENERALES IMAZA E.I.R.L</t>
  </si>
  <si>
    <t>JR. LIBERTAD NRO 596 URB. YANCE - CHACHAPOYAS - CHACHAPOYAS - AMAZONAS</t>
  </si>
  <si>
    <t>18,676</t>
  </si>
  <si>
    <t>20493167392</t>
  </si>
  <si>
    <t>GRIFO FLOTANTE MARIA EUGENIA EIRL</t>
  </si>
  <si>
    <t>CARRETERA IQUITOS-NAUTA KM 5.5</t>
  </si>
  <si>
    <t>15,685</t>
  </si>
  <si>
    <t>AV. GULLMAN NRO 200 URB. LOS MAGISTRADOS / PIUA</t>
  </si>
  <si>
    <t>750</t>
  </si>
  <si>
    <t>20541233025</t>
  </si>
  <si>
    <t>CONSTRUCTORA MOBILIARIA E INMOBILIARIA DEL AMAZONAS S.A.C.</t>
  </si>
  <si>
    <t>CAL. LAS CASTAñAS NRO. 429 P.J. SAN ANTONIO - LORETO MAYNAS IQUITOS</t>
  </si>
  <si>
    <t>3,048</t>
  </si>
  <si>
    <t>20601119740</t>
  </si>
  <si>
    <t>FIBRA YATTE DEL PERU EMPRESA INDIVIDUAL DE RESPONSABILIDAD LIMITADA-FIBRA YATTE DEL PERU E.I.R.L.</t>
  </si>
  <si>
    <t>CAL. LIBRE LT. 09 MZ. J - MADRE DE DIOS TAMBOPATA TAMBOPATA</t>
  </si>
  <si>
    <t>20601584973</t>
  </si>
  <si>
    <t>SELVA COMBUSTIBLES E.I.R.L.</t>
  </si>
  <si>
    <t xml:space="preserve">CAR. YGS TARAPOTO MAYORES PONGO DE C. KM. 3.8 </t>
  </si>
  <si>
    <t>2060254402</t>
  </si>
  <si>
    <t>COMPAÑIA OPERADORA DE LA SELVA SA</t>
  </si>
  <si>
    <t>20,316</t>
  </si>
  <si>
    <t>5,481</t>
  </si>
  <si>
    <t>4,311</t>
  </si>
  <si>
    <t>20603170424</t>
  </si>
  <si>
    <t>GRUPO FERRO PONT SOCIEDAD ANONIMA CERRADA</t>
  </si>
  <si>
    <t xml:space="preserve">JR. ALFREDO EGLINTON MZ.C LT.17 </t>
  </si>
  <si>
    <t>4,043</t>
  </si>
  <si>
    <t>20604960291</t>
  </si>
  <si>
    <t>REPRESENTACIONES LUCIANA FERNANDA E.I.R.L.</t>
  </si>
  <si>
    <t xml:space="preserve">JR. CACIQUE BOLIVAR MZA. L LOTE 1 </t>
  </si>
  <si>
    <t>20604002207</t>
  </si>
  <si>
    <t>CENTRO FERRETERO LINO E.I.R.L.</t>
  </si>
  <si>
    <t xml:space="preserve">AV. SALAMANCA NRO 699 URB. CHACHAPOYAS - CHACHAPOYAS - CHACHAPOYAS - AMAZONAS </t>
  </si>
  <si>
    <t>20606936835</t>
  </si>
  <si>
    <t>EDIFICACIONES NAFRE E.I.R.L.</t>
  </si>
  <si>
    <t>CONSTRUCCION DE EDIFICIOS</t>
  </si>
  <si>
    <t>JR. LETICIA Nº676 -  SAUCE - SAN MARTIN - SAN MARTIN</t>
  </si>
  <si>
    <t>1,035</t>
  </si>
  <si>
    <t>20608309188</t>
  </si>
  <si>
    <t>LUMIELKA LOGISTICA Y OPERACIONES AMBIENTALES SOCIEDAD ANONIMA CERRADA</t>
  </si>
  <si>
    <t>CAR. CARRETERA FEDERICO BASADR INT. 6 CAS. ANTONIO RAIMONDI KM. 19</t>
  </si>
  <si>
    <t>Campoverde</t>
  </si>
  <si>
    <t>20609324156</t>
  </si>
  <si>
    <t>NUCLEO EJECUTOR CENTRAL YAQUERANA</t>
  </si>
  <si>
    <t>AV. QUIÑONEZ NRO. 1211 - LORETO MAYNAS BELÉN</t>
  </si>
  <si>
    <t>1,713</t>
  </si>
  <si>
    <t>2,462</t>
  </si>
  <si>
    <t>1,806</t>
  </si>
  <si>
    <t>20612125636</t>
  </si>
  <si>
    <t>COMSER MAFER EIRL</t>
  </si>
  <si>
    <t>JR. TRUJILLO  711</t>
  </si>
  <si>
    <t>40302916</t>
  </si>
  <si>
    <t>MANUYAMA AQUITUARI JAVER</t>
  </si>
  <si>
    <t>CASERIO PADRECOCHA</t>
  </si>
  <si>
    <t>40347595</t>
  </si>
  <si>
    <t>VASQUEZ PEREZ RENINGER</t>
  </si>
  <si>
    <t>Caserío Gloria</t>
  </si>
  <si>
    <t>40037942</t>
  </si>
  <si>
    <t>SANCHEZ LOPEZ WANDER</t>
  </si>
  <si>
    <t>40464629</t>
  </si>
  <si>
    <t>ELMER TUSHUPE NOA</t>
  </si>
  <si>
    <t>41329351</t>
  </si>
  <si>
    <t>IE ISLA DEL TIGRE</t>
  </si>
  <si>
    <t>S/N</t>
  </si>
  <si>
    <t>AQUILES LANCHA PAREDES</t>
  </si>
  <si>
    <t>253</t>
  </si>
  <si>
    <t>42294384</t>
  </si>
  <si>
    <t>CACHIQUE CAHUAZA GEORGINA</t>
  </si>
  <si>
    <t>CASERIO NUEVO JERUSALEN -RIO AMAZONAS</t>
  </si>
  <si>
    <t>42916297</t>
  </si>
  <si>
    <t>CISNEROS GONZALES LUIS MIGUEL</t>
  </si>
  <si>
    <t>43435833</t>
  </si>
  <si>
    <t>ESCUDERO RAMIREZ EDGAR ROGELIO</t>
  </si>
  <si>
    <t>44257703</t>
  </si>
  <si>
    <t>HILTER MISAEL SIQUA MACHOA</t>
  </si>
  <si>
    <t>300</t>
  </si>
  <si>
    <t>44476670</t>
  </si>
  <si>
    <t>RONDOY BERRU FRANCI ROXANA</t>
  </si>
  <si>
    <t>CAL.LOS CORALES MZ 9 LT 3 AH LA UNION</t>
  </si>
  <si>
    <t>ALBERTO LEVEAU</t>
  </si>
  <si>
    <t>44746246</t>
  </si>
  <si>
    <t>RICALDI VILCHEZ MARIA MAGDALENA</t>
  </si>
  <si>
    <t>28 DE JULIO S/N CABALLOCOCHA</t>
  </si>
  <si>
    <t>44756553</t>
  </si>
  <si>
    <t>PALACIOS CHANDUVI ELIU</t>
  </si>
  <si>
    <t>CALLE LANCONES SN</t>
  </si>
  <si>
    <t>SULLANA</t>
  </si>
  <si>
    <t>45679908</t>
  </si>
  <si>
    <t>ESTRELLA MASHUCURI JINMER JULIO</t>
  </si>
  <si>
    <t>46414524</t>
  </si>
  <si>
    <t>INGA CORONEL JUAN JOSE</t>
  </si>
  <si>
    <t>CENTRO POBLADO MUNICHIS</t>
  </si>
  <si>
    <t>46730796</t>
  </si>
  <si>
    <t>TANGOA INUMA STALIN GABRIEL</t>
  </si>
  <si>
    <t>Centro Poblado San Gabriel de Baradero</t>
  </si>
  <si>
    <t>47913631</t>
  </si>
  <si>
    <t>RIOS PEREZ BETTY LUZ</t>
  </si>
  <si>
    <t>47940275</t>
  </si>
  <si>
    <t>TULUMBA CAHUAZA REGNER</t>
  </si>
  <si>
    <t>Caserío Nuevo Unión</t>
  </si>
  <si>
    <t>47990611</t>
  </si>
  <si>
    <t>ARMAS CHUFANDAMA ELIZABETH PRISILA</t>
  </si>
  <si>
    <t>VENTAS MAYORISTAS</t>
  </si>
  <si>
    <t>JR. LEONCIO PRADO Nº 1362 - TARAPOTO - SAN MARTIN - SAN MARTIN</t>
  </si>
  <si>
    <t>48048259</t>
  </si>
  <si>
    <t>LUCAS CHOTA NURIBE</t>
  </si>
  <si>
    <t>PSJ LOS URCOS MZ E LT 24</t>
  </si>
  <si>
    <t>47216193</t>
  </si>
  <si>
    <t>FRANCO CONDOR IZQUIERDO</t>
  </si>
  <si>
    <t>TOURNAVISTA S/N</t>
  </si>
  <si>
    <t>47844451</t>
  </si>
  <si>
    <t>CAPINOA SIQUIHUA BALENTINO AVENCIO</t>
  </si>
  <si>
    <t>62415955</t>
  </si>
  <si>
    <t>LANCHA YUPE LIMBER GILBERTO</t>
  </si>
  <si>
    <t>DISTRITO BALSAPUERTO</t>
  </si>
  <si>
    <t>1,334</t>
  </si>
  <si>
    <t>70347119</t>
  </si>
  <si>
    <t>HILARIO HUARI YAIR JUNIOR</t>
  </si>
  <si>
    <t>74126925</t>
  </si>
  <si>
    <t>INUMA PIZANGO CRISTIAN</t>
  </si>
  <si>
    <t>Caserío Santa Clara</t>
  </si>
  <si>
    <t>76080696</t>
  </si>
  <si>
    <t>PUA PIZANGO LINDER</t>
  </si>
  <si>
    <t>CASERIO NUEVO PAPAPLAYA</t>
  </si>
  <si>
    <t>77320637</t>
  </si>
  <si>
    <t>MORENO SIQUIHUA TOÑO HILARIO</t>
  </si>
  <si>
    <t>80461646</t>
  </si>
  <si>
    <t>PEREIRA CRUZ ANTONIO</t>
  </si>
  <si>
    <t>ISLA SANTA ROSA</t>
  </si>
  <si>
    <t>80462665</t>
  </si>
  <si>
    <t>MELITA PIZANGO NARVAEZ</t>
  </si>
  <si>
    <t>VILLA PUERTO CRUZ</t>
  </si>
  <si>
    <t>78009320</t>
  </si>
  <si>
    <t>ROBINSON JIPA GUITIERREZ</t>
  </si>
  <si>
    <t>80657615</t>
  </si>
  <si>
    <t>ALIAS LOPEZ YAICATE</t>
  </si>
  <si>
    <t>CC.NN. COPA DE COPAL-RIO CORRIENTE</t>
  </si>
  <si>
    <t xml:space="preserve">AV. CIRCUNVALACION S/NPICHANAKICHANCHAMAYOJUNIN </t>
  </si>
  <si>
    <t>80554494</t>
  </si>
  <si>
    <t>GUERRA ROMAÑOL QUIÑO</t>
  </si>
  <si>
    <t>CASERIO NUEVO SAN JUAN</t>
  </si>
  <si>
    <t>DESGRANADORA DE MAIZ  MANUAL</t>
  </si>
  <si>
    <t>ETSON  VALDIVIA VELA</t>
  </si>
  <si>
    <t>004484731</t>
  </si>
  <si>
    <t>WILDER RAFAEL ORTEGA RONDON</t>
  </si>
  <si>
    <t>AVENIDA GUARDIA CIVIL N 453</t>
  </si>
  <si>
    <t>636</t>
  </si>
  <si>
    <t>00865315</t>
  </si>
  <si>
    <t>TANTALEAN CUBAS JOSE LUIS</t>
  </si>
  <si>
    <t>CALLE PATRICIO MOSQUERA S/N</t>
  </si>
  <si>
    <t>14,250</t>
  </si>
  <si>
    <t>PROLONGACION TARMA 237</t>
  </si>
  <si>
    <t>01066721</t>
  </si>
  <si>
    <t>CRISTANCHO VALLES LUZ MARINA</t>
  </si>
  <si>
    <t>FLOR DE AGOSTO  RIO MOMON</t>
  </si>
  <si>
    <t>1,116</t>
  </si>
  <si>
    <t>05213159</t>
  </si>
  <si>
    <t>EDUARDO PUERTA PINEDO</t>
  </si>
  <si>
    <t>SAN JOSE N 26</t>
  </si>
  <si>
    <t>05215345</t>
  </si>
  <si>
    <t>SILVA MELENDEZ LILIA DEL PILAR</t>
  </si>
  <si>
    <t>204</t>
  </si>
  <si>
    <t>CALLE 30 DE AGOSTO S/N</t>
  </si>
  <si>
    <t>05263130</t>
  </si>
  <si>
    <t>TORRES SHUÑA JUAN MAGNO</t>
  </si>
  <si>
    <t>CASERIO MAZANA 1RA ZONA RIO ITAYA</t>
  </si>
  <si>
    <t>05267102</t>
  </si>
  <si>
    <t>PADILLA LOZANO ROSA LUZ</t>
  </si>
  <si>
    <t>CALLE 20 DE AGOSTO #140</t>
  </si>
  <si>
    <t>05290349</t>
  </si>
  <si>
    <t>VASQUEZ SIFUENTES ROBERTO</t>
  </si>
  <si>
    <t>GALLITO</t>
  </si>
  <si>
    <t>783</t>
  </si>
  <si>
    <t>05351834</t>
  </si>
  <si>
    <t>LUIS SINARAHUA AHUNARI</t>
  </si>
  <si>
    <t>05356511</t>
  </si>
  <si>
    <t>PANAIFO CASTRO ADRIANO</t>
  </si>
  <si>
    <t>CENTRO POBLADO SANTA MARIA OJEAL</t>
  </si>
  <si>
    <t>05591421</t>
  </si>
  <si>
    <t>SABOYA MEZA DANTE</t>
  </si>
  <si>
    <t>cal. psj. maynas N.206</t>
  </si>
  <si>
    <t>616</t>
  </si>
  <si>
    <t>825</t>
  </si>
  <si>
    <t>1,487</t>
  </si>
  <si>
    <t>05789812</t>
  </si>
  <si>
    <t>DELIA SALVINO SANTAJAYA</t>
  </si>
  <si>
    <t>CALLE VICTORIA REGIA MZ-A LT23</t>
  </si>
  <si>
    <t>12</t>
  </si>
  <si>
    <t>07975314</t>
  </si>
  <si>
    <t>ETHEL FLORES SUNCION</t>
  </si>
  <si>
    <t>CALVO DE ARAUJO 2037</t>
  </si>
  <si>
    <t>10001227616</t>
  </si>
  <si>
    <t>REATEGUI RIOS EDINSON</t>
  </si>
  <si>
    <t>525</t>
  </si>
  <si>
    <t>JR 9 DE DICIEMBRE 521 CALLERIA</t>
  </si>
  <si>
    <t>1,002</t>
  </si>
  <si>
    <t>644</t>
  </si>
  <si>
    <t>10053886570</t>
  </si>
  <si>
    <t>CRISOLOGO CORTEGANA WALKER</t>
  </si>
  <si>
    <t>Av. Víctor Sifuentes N.552</t>
  </si>
  <si>
    <t>10105525473</t>
  </si>
  <si>
    <t>FLORES TAIPE WARD</t>
  </si>
  <si>
    <t>COMUNIDAD YURACYACU</t>
  </si>
  <si>
    <t>818</t>
  </si>
  <si>
    <t>3,057</t>
  </si>
  <si>
    <t>4,176</t>
  </si>
  <si>
    <t>1,329</t>
  </si>
  <si>
    <t>11,220</t>
  </si>
  <si>
    <t>342</t>
  </si>
  <si>
    <t>AV. TUPAC AMARU MZ19 LT16 FRENTE A LA VIDENITA</t>
  </si>
  <si>
    <t>10430269084</t>
  </si>
  <si>
    <t>MELENDEZ MELENDEZ FELIX GREGORIO</t>
  </si>
  <si>
    <t>AV MI PERU STA ROSA</t>
  </si>
  <si>
    <t>JR. HUALLAGA S/N - CAMPANILLA - MARISCAL CACERES - SAN MARTIN</t>
  </si>
  <si>
    <t>180</t>
  </si>
  <si>
    <t>2,205</t>
  </si>
  <si>
    <t>5,098</t>
  </si>
  <si>
    <t>5,510</t>
  </si>
  <si>
    <t>MEDARDO RODRIGUEZ SOBRINO</t>
  </si>
  <si>
    <t>225</t>
  </si>
  <si>
    <t>6</t>
  </si>
  <si>
    <t>1,727</t>
  </si>
  <si>
    <t>20128858904</t>
  </si>
  <si>
    <t>EMP TRANP PUB SERV RAP F BASADRE SAC</t>
  </si>
  <si>
    <t>AV. HABILITACION URBANA MUNIC INT. 2 LT. 1A1B MZ. B1 URB. HABILITACION URBANA MUNIC - UCAYALI CORONEL PORTILLO CALLERIA</t>
  </si>
  <si>
    <t>20351275007</t>
  </si>
  <si>
    <t>FORESTAL GIL SOC. COMER. RESPONS. LTDA.</t>
  </si>
  <si>
    <t>JR. JUAN VILLACORTA RIOS MZA. N LOTE 5 P.J. EL TRIUNFO</t>
  </si>
  <si>
    <t>20393967260</t>
  </si>
  <si>
    <t>FERRETERIA MAESTRITO E.I.R.L.</t>
  </si>
  <si>
    <t xml:space="preserve">JR. 7 DE JUNIO NRO 740 URB. CERCADO DE PUCALLPA </t>
  </si>
  <si>
    <t>4,126</t>
  </si>
  <si>
    <t>20492221571</t>
  </si>
  <si>
    <t>Q-ENERGY PERU S.A.C.</t>
  </si>
  <si>
    <t>CAL. YEN ESCOBEDO GARRO NRO. 681 URB. LA VIÑA - LIMA LIMA SAN LUIS</t>
  </si>
  <si>
    <t>20493179056</t>
  </si>
  <si>
    <t>INSTITUTO BIBLICO PARA LAS IGLESIAS EVANGELISTAS TICUNAS DE LA AMAZONIA I.B.I.E.T.A</t>
  </si>
  <si>
    <t>CAR. CABALLO COCHA NRO. S/N CAS. CUSHILLOCOCHA - LORETO MARISCAL RAMÓN CASTILLA RAMÓN CASTILLA</t>
  </si>
  <si>
    <t>1,310</t>
  </si>
  <si>
    <t>1,160</t>
  </si>
  <si>
    <t>11,423</t>
  </si>
  <si>
    <t>1,125</t>
  </si>
  <si>
    <t>4,753</t>
  </si>
  <si>
    <t>4,260</t>
  </si>
  <si>
    <t>310</t>
  </si>
  <si>
    <t xml:space="preserve">AV PANGOA Nº769 </t>
  </si>
  <si>
    <t>6,564</t>
  </si>
  <si>
    <t>20601227178</t>
  </si>
  <si>
    <t>IMPORT EXPORT PUCALLPA S.A.C.</t>
  </si>
  <si>
    <t>CALLE GARCILAZO DE LA VEGA Nº145</t>
  </si>
  <si>
    <t>20602188575</t>
  </si>
  <si>
    <t>GRUPO INMOBILIARIO E &amp; Z E.I.R.L.</t>
  </si>
  <si>
    <t>AV. ABELARDO QUIÑONES NRO 4018 DEP. 2</t>
  </si>
  <si>
    <t>1,051</t>
  </si>
  <si>
    <t>5,540</t>
  </si>
  <si>
    <t>10,375</t>
  </si>
  <si>
    <t>20607244252</t>
  </si>
  <si>
    <t>FUNDACIÓN PARA LA CONSERVACION Y EL DESARROLLO SOSTENIBLE PERÚ - FCDS PERU</t>
  </si>
  <si>
    <t>CAL. CALLE LOS ALCANFORES -3ER NRO 199 DEP. 302 RES. CALLE LOS ALCANFORES 199</t>
  </si>
  <si>
    <t>20607758973</t>
  </si>
  <si>
    <t>INVERSIONES MISOLCI EIRL</t>
  </si>
  <si>
    <t>JR. SIMON BOLIVAR NRO. S/N URB. NIEVA - AMAZONAS CONDORCANQUI NIEVA</t>
  </si>
  <si>
    <t>20610317171</t>
  </si>
  <si>
    <t>CONSORCIO BELLAVISTA LC</t>
  </si>
  <si>
    <t>CAL. TUPAC AMARU NRO 339</t>
  </si>
  <si>
    <t>20611549131</t>
  </si>
  <si>
    <t>CONSORCIO EJECUTOR SIDDHI</t>
  </si>
  <si>
    <t>CALLE ROMULO ESPINAR N 325</t>
  </si>
  <si>
    <t>1,236</t>
  </si>
  <si>
    <t>33592650</t>
  </si>
  <si>
    <t>RAMOS MELCHOR ORLANDO</t>
  </si>
  <si>
    <t xml:space="preserve">PUEBLO JOVEN SANTANA OLMOS </t>
  </si>
  <si>
    <t>2,231</t>
  </si>
  <si>
    <t>1,140</t>
  </si>
  <si>
    <t>41546501</t>
  </si>
  <si>
    <t>SALAS SANGAMA NELSON</t>
  </si>
  <si>
    <t>SAN ANTONIO DE RIO MAYO</t>
  </si>
  <si>
    <t>42397218</t>
  </si>
  <si>
    <t>TOLENTINO LOPEZ FIDENCIO ENRIQUE</t>
  </si>
  <si>
    <t>KM 7200 JR. ROSALES MZ.6 LT.2</t>
  </si>
  <si>
    <t>7</t>
  </si>
  <si>
    <t>421</t>
  </si>
  <si>
    <t>44023335</t>
  </si>
  <si>
    <t>ARTEMIO CURITIMA CHUJE</t>
  </si>
  <si>
    <t>12 DE OCTUBRE-RIO TIGRE</t>
  </si>
  <si>
    <t>415</t>
  </si>
  <si>
    <t>45008026</t>
  </si>
  <si>
    <t>AMES ZEVALLOS SABOYA</t>
  </si>
  <si>
    <t>46039126</t>
  </si>
  <si>
    <t>VILLACREZ SUAREZ LUIS ARMANDO</t>
  </si>
  <si>
    <t>46269622</t>
  </si>
  <si>
    <t>CHANCHARI TORRES VIVIANO</t>
  </si>
  <si>
    <t>Caserío Nuevo Cuzco</t>
  </si>
  <si>
    <t>46330369</t>
  </si>
  <si>
    <t>TEDDY MANUYAMA CANAYO</t>
  </si>
  <si>
    <t>CALLE LOS OLIVOS MZ. B LT</t>
  </si>
  <si>
    <t>47188594</t>
  </si>
  <si>
    <t>HUAYTA SORIA MAURO</t>
  </si>
  <si>
    <t>Caserío Santa Isabel</t>
  </si>
  <si>
    <t>47436518</t>
  </si>
  <si>
    <t>AYAMBO COLLANTES CLARIVEL</t>
  </si>
  <si>
    <t>TANSHIYACU</t>
  </si>
  <si>
    <t>2,117</t>
  </si>
  <si>
    <t>47760057</t>
  </si>
  <si>
    <t>TANGOA SHUY ERIN JOSE</t>
  </si>
  <si>
    <t>Caserio Alfonso Ugarte</t>
  </si>
  <si>
    <t>47968263</t>
  </si>
  <si>
    <t>ELMER NOA JIPA</t>
  </si>
  <si>
    <t>48030635</t>
  </si>
  <si>
    <t>SALAS ISUIZA GABRIELA SUSANA</t>
  </si>
  <si>
    <t>JR- MIRADOR 136</t>
  </si>
  <si>
    <t>CUÑUMBUQUI</t>
  </si>
  <si>
    <t>48404787</t>
  </si>
  <si>
    <t>PACAYA IRARICA NELVITA</t>
  </si>
  <si>
    <t>1,245</t>
  </si>
  <si>
    <t>-10</t>
  </si>
  <si>
    <t>60430473</t>
  </si>
  <si>
    <t>MURAYARI ARIRAMA PERCY</t>
  </si>
  <si>
    <t>CAHUIDE YANAYACU-BAJO AMAZONAS</t>
  </si>
  <si>
    <t>61150509</t>
  </si>
  <si>
    <t>CAINAMARI CUESPAN HARRY HERMAN</t>
  </si>
  <si>
    <t>326</t>
  </si>
  <si>
    <t>COMUNIDAD BARRIO FLORIDO S/N</t>
  </si>
  <si>
    <t>62247035</t>
  </si>
  <si>
    <t>SEGUNDO ALVARO RIOS FERNANDEZ</t>
  </si>
  <si>
    <t>CABO LOPEZ SECTOR R</t>
  </si>
  <si>
    <t>70749701</t>
  </si>
  <si>
    <t>MOZOMBITE VEGA JHON KEVIN</t>
  </si>
  <si>
    <t>15</t>
  </si>
  <si>
    <t>CALLE ATLANTIDA #479</t>
  </si>
  <si>
    <t>71019812</t>
  </si>
  <si>
    <t>GARAY PUA MARIELA ENITH</t>
  </si>
  <si>
    <t>PSJE. AREQUIPA LT 7 9 DE ABRIL</t>
  </si>
  <si>
    <t>71131847</t>
  </si>
  <si>
    <t>GALVEZ DELGADO CESAR</t>
  </si>
  <si>
    <t>3,600</t>
  </si>
  <si>
    <t>AV MI PERU SN STA ROSA</t>
  </si>
  <si>
    <t>71218050</t>
  </si>
  <si>
    <t>RIVERA HUAMAN RUTH NOEMI</t>
  </si>
  <si>
    <t>PUERTO MALDONADO S/N</t>
  </si>
  <si>
    <t>Madre de Dios</t>
  </si>
  <si>
    <t>72420558</t>
  </si>
  <si>
    <t>RIVERA SUNTA ISAIAS</t>
  </si>
  <si>
    <t>PARTICIPACION SN</t>
  </si>
  <si>
    <t>74402239</t>
  </si>
  <si>
    <t>RIOS ISUIZA ISAAC</t>
  </si>
  <si>
    <t>Caserío Sungache</t>
  </si>
  <si>
    <t>908</t>
  </si>
  <si>
    <t>76831486</t>
  </si>
  <si>
    <t>RENGIFO PALLA ESDRAS</t>
  </si>
  <si>
    <t>4,898</t>
  </si>
  <si>
    <t>CASERIO ULLPAYACU</t>
  </si>
  <si>
    <t>1,374</t>
  </si>
  <si>
    <t>78720103</t>
  </si>
  <si>
    <t>PAPA PEREZ ARIS MELISA</t>
  </si>
  <si>
    <t>1,320</t>
  </si>
  <si>
    <t>360</t>
  </si>
  <si>
    <t>80463402</t>
  </si>
  <si>
    <t>FASABI SAAVEDRA LIDER</t>
  </si>
  <si>
    <t>80536003</t>
  </si>
  <si>
    <t>MACCA CARIAJANO ARMANDO</t>
  </si>
  <si>
    <t>Caserio Huagramona</t>
  </si>
  <si>
    <t>DIAFRAGMA TRANSPARENTE 692244110000</t>
  </si>
  <si>
    <t>SOPORTE 60HP 6H3441170094</t>
  </si>
  <si>
    <t>LIMA TRIANGULAR BELL CM4041-4.5 4540412</t>
  </si>
  <si>
    <t>LIMA TRIANGULAR BELLOTA 4087-5 540872</t>
  </si>
  <si>
    <t>LIMA TRIANGULAR BELLOTA 4087-6 640872</t>
  </si>
  <si>
    <t>PULVERIZADORA MOTOR DIFER DR-768B</t>
  </si>
  <si>
    <t>PULVERIZADORA MOTOR DIFER DR-435</t>
  </si>
  <si>
    <t>PULVERIZADORA MOTOR DIFER DR-900</t>
  </si>
  <si>
    <t>MOTOR COMPLETO TU-26 ENGINE DIFER</t>
  </si>
  <si>
    <t>BOMBA COMPLETA 2T DIFER</t>
  </si>
  <si>
    <t>BOMBA COMPLETA 4T DIFER</t>
  </si>
  <si>
    <t>BOQUILLA FUMIGADORA DIFER</t>
  </si>
  <si>
    <t>MOTOR FUERA DE BORDA YAMAHA 150AETL</t>
  </si>
  <si>
    <t>MOTOR FUERA DE BORDA YAMAHA F100GETL</t>
  </si>
  <si>
    <t>LIMA TRIANGULAR BELL  CM4041-4.5 4540412</t>
  </si>
  <si>
    <t>MOTOR FUERA DE BORDA YAMAHA  F250HETX</t>
  </si>
  <si>
    <t>DSTO PLANILLA</t>
  </si>
  <si>
    <t>May</t>
  </si>
  <si>
    <t>2022</t>
  </si>
  <si>
    <t>Jun</t>
  </si>
  <si>
    <t>TRAMO 4</t>
  </si>
  <si>
    <t>Jul</t>
  </si>
  <si>
    <t>Set</t>
  </si>
  <si>
    <t>Ago</t>
  </si>
  <si>
    <t>Oct</t>
  </si>
  <si>
    <t>Dic</t>
  </si>
  <si>
    <t>Nov</t>
  </si>
  <si>
    <t>Ene</t>
  </si>
  <si>
    <t>Feb</t>
  </si>
  <si>
    <t>2023</t>
  </si>
  <si>
    <t>Mar</t>
  </si>
  <si>
    <t>Abr</t>
  </si>
  <si>
    <t>TRAMO 0</t>
  </si>
  <si>
    <t>TRAMO 3</t>
  </si>
  <si>
    <t>TRAMO 1</t>
  </si>
  <si>
    <t>TRAMO 2</t>
  </si>
  <si>
    <t>2024</t>
  </si>
  <si>
    <t>CARLOS EDUARDO RUIDIAS YUYARIMA</t>
  </si>
  <si>
    <t>HUMBERTO LUCIANO ALVAN FACHIN</t>
  </si>
  <si>
    <t>05272766</t>
  </si>
  <si>
    <t>NASH SILVANO MAURO</t>
  </si>
  <si>
    <t>RAMIREZ HURTADO 1281</t>
  </si>
  <si>
    <t>05304374</t>
  </si>
  <si>
    <t>AJON ORACO FRANCISCO</t>
  </si>
  <si>
    <t>05304944</t>
  </si>
  <si>
    <t>CAPINOA SIQUIHUA ROGER</t>
  </si>
  <si>
    <t>CASERIO PUCA BARRANCA -RIO NAPO</t>
  </si>
  <si>
    <t>05353184</t>
  </si>
  <si>
    <t>LAYANGO COACHI IRMA</t>
  </si>
  <si>
    <t>CALLE LAPUNTA S/N CASERIO STO TOMAS</t>
  </si>
  <si>
    <t>05709812</t>
  </si>
  <si>
    <t>CELIS TAMANI CLARA ESTELA</t>
  </si>
  <si>
    <t>COMUNIDAD SAN FRANCISCO</t>
  </si>
  <si>
    <t>05712250</t>
  </si>
  <si>
    <t>PANDURO CURITIMA HILDA MARINA</t>
  </si>
  <si>
    <t>CON SUMIDOR FINAL</t>
  </si>
  <si>
    <t>10000894902</t>
  </si>
  <si>
    <t>VALDIVIA VELA ETSON</t>
  </si>
  <si>
    <t>191</t>
  </si>
  <si>
    <t>AV SAN MARTIN Nº733</t>
  </si>
  <si>
    <t>363</t>
  </si>
  <si>
    <t>JR. RIOBAMBA S/N - POMACOCHAS - LA FLORIDA-BONGARÁ-AMAZONAS</t>
  </si>
  <si>
    <t>10426522450</t>
  </si>
  <si>
    <t>PERALTA AGUILAR VIDAL</t>
  </si>
  <si>
    <t>1,509</t>
  </si>
  <si>
    <t xml:space="preserve">-AGROVETERINARIA </t>
  </si>
  <si>
    <t>JR. TAHUANTINSUYO Nº896</t>
  </si>
  <si>
    <t>7,065</t>
  </si>
  <si>
    <t>10746203328</t>
  </si>
  <si>
    <t>BALLENA VALLE CARLOS AGENCIANO</t>
  </si>
  <si>
    <t>AV. MARGINAL S/N - POMACOCHAS - FLORIDA - BONGARÁ - AMAZONAS</t>
  </si>
  <si>
    <t>10771727919</t>
  </si>
  <si>
    <t>AYAY LEYVA DALILA</t>
  </si>
  <si>
    <t>VENTA DE ARTICULOS FERRETEROS</t>
  </si>
  <si>
    <t>AV. MARGINAL S/N - BARRIO SAN ANTONIO - POMACOCHAS - FLORIDA - BONGARÁ - AMAZONAS</t>
  </si>
  <si>
    <t>504</t>
  </si>
  <si>
    <t>20600547527</t>
  </si>
  <si>
    <t>REPRESENTACIONES SARAVIA MOTORES S.A.C.</t>
  </si>
  <si>
    <t>3,159</t>
  </si>
  <si>
    <t xml:space="preserve">CAR. FEDERICO BASADRE MZA. 161 LOTE 03 </t>
  </si>
  <si>
    <t>2,200</t>
  </si>
  <si>
    <t>20603396325</t>
  </si>
  <si>
    <t>CUELLAR MAQUINARIAS E.I.R.L.</t>
  </si>
  <si>
    <t>-venta maquinarias y repuestos</t>
  </si>
  <si>
    <t>JR. LIMA NRO. 761 INT. B - LIMA BARRANCA BARRANCA</t>
  </si>
  <si>
    <t>20607319252</t>
  </si>
  <si>
    <t>COMERCIAL ROMERHI E.I.R.L.</t>
  </si>
  <si>
    <t xml:space="preserve">AV. GARCILAZO DE LA VEGA NRO 260 P.J. ALMIRANTE GRAU </t>
  </si>
  <si>
    <t>20607910571</t>
  </si>
  <si>
    <t>URSCORP SERVICIOS GENERALES EMPRESA INDIVIDUAL DE RESPONSABILIDAD LIMITADA</t>
  </si>
  <si>
    <t>CAL. NAUTA NRO. 351 URB. VILLA NAVAL - LORETO MAYNAS IQUITOS</t>
  </si>
  <si>
    <t>20610915656</t>
  </si>
  <si>
    <t>MICATED S.A.C.</t>
  </si>
  <si>
    <t>10,000</t>
  </si>
  <si>
    <t>-VENTA MAQUINARIAS</t>
  </si>
  <si>
    <t>AV. REPUBLICA DE ARGENTINA NRO. 308 URB. LIMA INDUSTRIAL - LIMA LIMA LIMA</t>
  </si>
  <si>
    <t>7,180</t>
  </si>
  <si>
    <t xml:space="preserve">LA POZA RIO SANTIAGO BAGUA </t>
  </si>
  <si>
    <t>41125745</t>
  </si>
  <si>
    <t>VILLEGAS PAUCAR GIL</t>
  </si>
  <si>
    <t>URB. LA ENCANTADA CALLE LOS ALPES S/N SATIPO</t>
  </si>
  <si>
    <t>43990782</t>
  </si>
  <si>
    <t>TANGOA MAPUCHI CARLOS</t>
  </si>
  <si>
    <t>Distrito Balsapuerto</t>
  </si>
  <si>
    <t>45085144</t>
  </si>
  <si>
    <t>ORBE TAPULLIMA RIGOBERTO</t>
  </si>
  <si>
    <t>CALLE 23 DE MARZO MZ C LT-11-PUNCHANA</t>
  </si>
  <si>
    <t>45580070</t>
  </si>
  <si>
    <t>FRANCO RICOPA MANIHUARI</t>
  </si>
  <si>
    <t>505</t>
  </si>
  <si>
    <t>46963355</t>
  </si>
  <si>
    <t>HIPOLITO PANDURO HUARMIYURI</t>
  </si>
  <si>
    <t>COMUNIDAD TIPISHCA - RIO AMAZONAS</t>
  </si>
  <si>
    <t>47359609</t>
  </si>
  <si>
    <t>ABARCA NOTENO GUIDO</t>
  </si>
  <si>
    <t>YARINA LLACTO-RIO AMAZONAS</t>
  </si>
  <si>
    <t>47513137</t>
  </si>
  <si>
    <t>TAMANI CUNAYAPA RODIL IVAN</t>
  </si>
  <si>
    <t>COMUNIDAD SAN JOSE DE PARINARI</t>
  </si>
  <si>
    <t>47950947</t>
  </si>
  <si>
    <t>JRI GRUPO 42</t>
  </si>
  <si>
    <t>92</t>
  </si>
  <si>
    <t>48280325</t>
  </si>
  <si>
    <t>JAMES NATORCE CURITIMA</t>
  </si>
  <si>
    <t>48616544</t>
  </si>
  <si>
    <t>ENZO COQUINCHE ASHANGA</t>
  </si>
  <si>
    <t>61074990</t>
  </si>
  <si>
    <t>MOZOMBITE QUINGA LEYDI</t>
  </si>
  <si>
    <t>70346596</t>
  </si>
  <si>
    <t>EMIR MADALENA GALINDO CURICO</t>
  </si>
  <si>
    <t>72258993</t>
  </si>
  <si>
    <t>JAIME ANTONY CORDOVA MUÑUZ</t>
  </si>
  <si>
    <t>666</t>
  </si>
  <si>
    <t>JR. VICENTE SALAS S/N</t>
  </si>
  <si>
    <t>72367607</t>
  </si>
  <si>
    <t>PINEDO RUIZ WILTON</t>
  </si>
  <si>
    <t>75559812</t>
  </si>
  <si>
    <t>LANCHA VASQUEZ ANGEL EDILBERTO</t>
  </si>
  <si>
    <t>Caserío Jeberillo</t>
  </si>
  <si>
    <t>76037166</t>
  </si>
  <si>
    <t>RUIZ MEDRANO EVILA</t>
  </si>
  <si>
    <t>C.POBLADO YANASHI</t>
  </si>
  <si>
    <t>78108716</t>
  </si>
  <si>
    <t>TUMI INUMA JEFERSON</t>
  </si>
  <si>
    <t>348</t>
  </si>
  <si>
    <t>1,218</t>
  </si>
  <si>
    <t>05359497</t>
  </si>
  <si>
    <t>CHONG CHUNG FERNANDO</t>
  </si>
  <si>
    <t>CALLE 2 DE MZ F LT 9-BELEN</t>
  </si>
  <si>
    <t>05388860</t>
  </si>
  <si>
    <t>RIOS ROJAS ALIN</t>
  </si>
  <si>
    <t>centro poblado alianza</t>
  </si>
  <si>
    <t>05392962</t>
  </si>
  <si>
    <t>IMAN ANCAJIMA SEBASTIAN</t>
  </si>
  <si>
    <t>CALLE SANCHEZ CERRO 679</t>
  </si>
  <si>
    <t>1,096</t>
  </si>
  <si>
    <t>411</t>
  </si>
  <si>
    <t>20103845913</t>
  </si>
  <si>
    <t>COMERCIAL IQUITOS S A</t>
  </si>
  <si>
    <t>CAL.ALMIRANTE GRAU NRO. 1144 (ENTRE 9 DE DICIEMBRE Y ABTAO) LORETO - MAYNAS - IQUITOS</t>
  </si>
  <si>
    <t>20539081013</t>
  </si>
  <si>
    <t>DISTRIBUIDORA M &amp; PATRICK E.I.R.L.</t>
  </si>
  <si>
    <t>JR. SACSAHUAMAN NRO. SN C.P. PEDRO RUIZ - AMAZONAS BONGARÁ JAZAN</t>
  </si>
  <si>
    <t>20601008786</t>
  </si>
  <si>
    <t>TRAPECIO FERRETERA E.I.R.L.</t>
  </si>
  <si>
    <t>AV. GRAU NRO. 1156 - LORETO MAYNAS IQUITOS</t>
  </si>
  <si>
    <t>20601499470</t>
  </si>
  <si>
    <t>FERRETERIA VISTA ALEGRE C &amp; N E.I.R.L.</t>
  </si>
  <si>
    <t>AV. PERU NRO 180 - MORALES - SAN MARTIN - SAN MARTIN</t>
  </si>
  <si>
    <t>20603062753</t>
  </si>
  <si>
    <t>RECIFE INVERSIONES S.A.C.</t>
  </si>
  <si>
    <t>CAL. 30 DE AGOSTO NRO. 165 - LORETO MAYNAS IQUITOS</t>
  </si>
  <si>
    <t>14,921</t>
  </si>
  <si>
    <t>20606514680</t>
  </si>
  <si>
    <t>NS THIAGO E.I.R.L.</t>
  </si>
  <si>
    <t>VENTA AL POR MAYOR HERRAMIENTAS CONSTRUCCION Y FERRETERIA</t>
  </si>
  <si>
    <t>JR. AMAZONAS C5 ESQ CON LEONA NRO SN URB. LEONARDO SOTO - SAPOSOA - HUALLAGA - SAN MARTIN</t>
  </si>
  <si>
    <t>20610144544</t>
  </si>
  <si>
    <t>MIA CESIEL BIENES Y SERVICIOS EMPRESA INDIVIDUAL DE RESPONSABILIDAD LIMITADA</t>
  </si>
  <si>
    <t>JR. MORONA NRO 1007 URB. LAS PALMERAS</t>
  </si>
  <si>
    <t>20610905332</t>
  </si>
  <si>
    <t>SERVICIOS GENERALES LA BENDICION E.I.R.L.</t>
  </si>
  <si>
    <t>CAL. 02 DE MAYO MZA. F LOTE 9</t>
  </si>
  <si>
    <t>1,735</t>
  </si>
  <si>
    <t>145</t>
  </si>
  <si>
    <t>46476098</t>
  </si>
  <si>
    <t>CAMPOS SOBERON SANTOS</t>
  </si>
  <si>
    <t>47723807</t>
  </si>
  <si>
    <t>ALEX TAPULLIMA CHAVEZ</t>
  </si>
  <si>
    <t>48720471</t>
  </si>
  <si>
    <t>HIDALGO MOZOMBITE ANDREA</t>
  </si>
  <si>
    <t>cal. las margaritas barrio las flores</t>
  </si>
  <si>
    <t>61241076</t>
  </si>
  <si>
    <t>ALVAN TUESTA TORIBIO</t>
  </si>
  <si>
    <t>MI PERU 954</t>
  </si>
  <si>
    <t>71857014</t>
  </si>
  <si>
    <t>SANGAMA RAMIREZ MAYKOL</t>
  </si>
  <si>
    <t>CALLE WILMA PILCO MZ E LT 5</t>
  </si>
  <si>
    <t>335</t>
  </si>
  <si>
    <t>05407970</t>
  </si>
  <si>
    <t>JESSICA RENGIFO JIMENEZ</t>
  </si>
  <si>
    <t>SANTA CLARA DE NANAY</t>
  </si>
  <si>
    <t>195</t>
  </si>
  <si>
    <t>05630019</t>
  </si>
  <si>
    <t>MARQUEZ TELLO MARIA ELENA</t>
  </si>
  <si>
    <t>667</t>
  </si>
  <si>
    <t xml:space="preserve">CALLE ARICA Nº329 </t>
  </si>
  <si>
    <t>10001085684</t>
  </si>
  <si>
    <t>MELLO CABRERA CAMERSON</t>
  </si>
  <si>
    <t>22,313</t>
  </si>
  <si>
    <t>14,051</t>
  </si>
  <si>
    <t>1,748</t>
  </si>
  <si>
    <t>2,557</t>
  </si>
  <si>
    <t>10097030133</t>
  </si>
  <si>
    <t>CULE TITO VICENTE</t>
  </si>
  <si>
    <t>AV TUPAC AMARU S/N MANANTAY</t>
  </si>
  <si>
    <t>05393210</t>
  </si>
  <si>
    <t>104113657655</t>
  </si>
  <si>
    <t>HUARANCA HUALLPA MAYRA</t>
  </si>
  <si>
    <t>AV.SIMON BOLIVAR 252- AGUAYTIA</t>
  </si>
  <si>
    <t>17,935</t>
  </si>
  <si>
    <t>425</t>
  </si>
  <si>
    <t>COMERCIALIZACION DE MOTORES Y REPUESTOS</t>
  </si>
  <si>
    <t>JR. HUALLAGA Nº 1048 - JUANJUI - MCAL.CACERES - SAN MARTIN</t>
  </si>
  <si>
    <t>10756125856</t>
  </si>
  <si>
    <t>CHAPARIN ESPIRITU ABED NEGO</t>
  </si>
  <si>
    <t>576</t>
  </si>
  <si>
    <t>AV. AVIACION S/N MANANTAY</t>
  </si>
  <si>
    <t>2,935</t>
  </si>
  <si>
    <t>EMPRESA COMUNAL DE SERVICIOS AGROPECUARIOS JOSE OLAYA DE RESPONSABILIDAD LIMITADA</t>
  </si>
  <si>
    <t>JR. CALVO DE ARAUJO NRO 1149 URB. VIRGEN DE LORETO</t>
  </si>
  <si>
    <t>862</t>
  </si>
  <si>
    <t>3,195</t>
  </si>
  <si>
    <t>20546892841</t>
  </si>
  <si>
    <t>LAS HERMANAS MISIONERAS DE MARIA INMACULADA Y SANTA CATALINA DE SIENA (MADRE LAURA)</t>
  </si>
  <si>
    <t>AV. QUILCA LT. 1 MZ. A A.H. BOCANEGRA - PROV. CONST. DEL CALLAO PROV. CONST. DEL CALLAO CALLAO</t>
  </si>
  <si>
    <t>CALLAO</t>
  </si>
  <si>
    <t>20600267044</t>
  </si>
  <si>
    <t>NOVEDADES TARRILLO E.I.R.L.</t>
  </si>
  <si>
    <t>379</t>
  </si>
  <si>
    <t xml:space="preserve">JR. 25 DE MAYO NRO 228 BAR. BELEN </t>
  </si>
  <si>
    <t>208</t>
  </si>
  <si>
    <t>20603980736</t>
  </si>
  <si>
    <t>FERRETERIA &amp; PROVEEDORES MUÑOZ E.I.R.L.</t>
  </si>
  <si>
    <t>JR. LOS EUCALIPTOS LT. 4 MZ. 31 - UCAYALI CORONEL PORTILLO MANANTAY</t>
  </si>
  <si>
    <t>20605841652</t>
  </si>
  <si>
    <t>FERRY MOYO E.I.R.L.</t>
  </si>
  <si>
    <t>AV. GRAU NRO. 327 - SAN MARTÍN MOYOBAMBA MOYOBAMBA</t>
  </si>
  <si>
    <t>267</t>
  </si>
  <si>
    <t>275</t>
  </si>
  <si>
    <t>33733955</t>
  </si>
  <si>
    <t>QUINTANA REYNA LEONIDAS</t>
  </si>
  <si>
    <t xml:space="preserve">jr. soriano morgan -nro 478 pedro ruiz </t>
  </si>
  <si>
    <t>43729178</t>
  </si>
  <si>
    <t>MOZOMBITE SANDOVAL NEYLA</t>
  </si>
  <si>
    <t>CASERIO ANGOTEROS S/N RIO NAPO</t>
  </si>
  <si>
    <t>43906111</t>
  </si>
  <si>
    <t>ROLANDO DUENDE DAHUA</t>
  </si>
  <si>
    <t>43926359</t>
  </si>
  <si>
    <t>VARGAS ARICARI RONALD</t>
  </si>
  <si>
    <t>PUERTO NANAY</t>
  </si>
  <si>
    <t>48482600</t>
  </si>
  <si>
    <t>LABAJOS CARIAJANO ROSA NINFA</t>
  </si>
  <si>
    <t>caserio nuevo alianza</t>
  </si>
  <si>
    <t>63762776</t>
  </si>
  <si>
    <t>SANDI TARICUARIMA ANDRES</t>
  </si>
  <si>
    <t>COMUNIDAD NATIVA PETROLERAS</t>
  </si>
  <si>
    <t>80492658</t>
  </si>
  <si>
    <t>YOSSELIM DAZA ZERECEDA</t>
  </si>
  <si>
    <t>CENTRO POBLADO NUEVO PEBAS S/N - DIST. PEBAS PROV. MARISCAL RAMON CASTILLA</t>
  </si>
  <si>
    <t>80731523</t>
  </si>
  <si>
    <t>JORGE TUESTA ASIPALI</t>
  </si>
  <si>
    <t>PIURA RIO TIGRE</t>
  </si>
  <si>
    <t>20,047</t>
  </si>
  <si>
    <t>EMBOLO 6H1456350000</t>
  </si>
  <si>
    <t>CADENA CUAD BONHOEFFER 404 1480S</t>
  </si>
  <si>
    <t>RETEN INF DE CIGUEÑAL GRANDE YAMAHA 60 9310230M23</t>
  </si>
  <si>
    <t>ARANDELA  9020103313</t>
  </si>
  <si>
    <t>TAPA DE CARBURADOR YAMAHA  85HP 66T1361000</t>
  </si>
  <si>
    <t>TEMPLADOR DE CADENA BONHOEFFER MS660 BON-CTENSER-002</t>
  </si>
  <si>
    <t>1,410</t>
  </si>
  <si>
    <t>1,455</t>
  </si>
  <si>
    <t>5,469</t>
  </si>
  <si>
    <t>2,571</t>
  </si>
  <si>
    <t>144</t>
  </si>
  <si>
    <t>260</t>
  </si>
  <si>
    <t>291</t>
  </si>
  <si>
    <t>05291399</t>
  </si>
  <si>
    <t>TEJADA LOMAS CESAR AUGUSTO</t>
  </si>
  <si>
    <t>28 DE ENERO RIO ITAYA</t>
  </si>
  <si>
    <t>05305125</t>
  </si>
  <si>
    <t>ANDRES GUTIERREZ PINEDO</t>
  </si>
  <si>
    <t>-320</t>
  </si>
  <si>
    <t>05307479</t>
  </si>
  <si>
    <t>JAVIER UNAN NECCA</t>
  </si>
  <si>
    <t>132</t>
  </si>
  <si>
    <t>05375286</t>
  </si>
  <si>
    <t>DELHUA SANCHEZ MURRIETA</t>
  </si>
  <si>
    <t>AMAZONAS 3 DE OCTUBRE 783</t>
  </si>
  <si>
    <t>-549</t>
  </si>
  <si>
    <t>05415455</t>
  </si>
  <si>
    <t>PEREZ CAHUAMARI TITO</t>
  </si>
  <si>
    <t>2,640</t>
  </si>
  <si>
    <t>05630342</t>
  </si>
  <si>
    <t>GUERRA NOLORBE CLEYBY</t>
  </si>
  <si>
    <t>FLORIDA Nº225</t>
  </si>
  <si>
    <t>05841307</t>
  </si>
  <si>
    <t>ESTHER CUEVA CULQUI</t>
  </si>
  <si>
    <t>SHEBONAL -RIO UCAYALI</t>
  </si>
  <si>
    <t>05858763</t>
  </si>
  <si>
    <t>SHAPIAMA TARICUARIMA ZULEMA</t>
  </si>
  <si>
    <t>28 DE JULIO MZ V LT 19-RUMOCOCHA</t>
  </si>
  <si>
    <t>05861176</t>
  </si>
  <si>
    <t>PABLO ISUIZA MACAYO</t>
  </si>
  <si>
    <t>05863217</t>
  </si>
  <si>
    <t>TEJADA TRIGOSO JAQUELINA</t>
  </si>
  <si>
    <t>08763250</t>
  </si>
  <si>
    <t>HUAYRA JAUCHA TEODOMIRO BENANGIO</t>
  </si>
  <si>
    <t>PASAJE SOMOS 219</t>
  </si>
  <si>
    <t>88</t>
  </si>
  <si>
    <t>MALECON TARAPACA # 114 - REQUENA</t>
  </si>
  <si>
    <t>1,700</t>
  </si>
  <si>
    <t>878</t>
  </si>
  <si>
    <t>10053321025</t>
  </si>
  <si>
    <t>MARIA FATIMA CHAVEZ CHAVEZ</t>
  </si>
  <si>
    <t>CALLE JERUSALEN #12 AAHH SIMON BOLIVAR</t>
  </si>
  <si>
    <t>240</t>
  </si>
  <si>
    <t>10053883384</t>
  </si>
  <si>
    <t>HERRERA NUÑEZ DE FERNANDEZ MARTA</t>
  </si>
  <si>
    <t>JR. COMERCIO N° 317 - LONYA GRANDE - UTCUBAMBA - AMAZONAS</t>
  </si>
  <si>
    <t>1,143</t>
  </si>
  <si>
    <t>7,458</t>
  </si>
  <si>
    <t>604</t>
  </si>
  <si>
    <t>10097113349</t>
  </si>
  <si>
    <t>Av. Sánchez cerro Mz P lote 16 urbanización Santa Ana - PIURA</t>
  </si>
  <si>
    <t>8,572</t>
  </si>
  <si>
    <t>722</t>
  </si>
  <si>
    <t>8,030</t>
  </si>
  <si>
    <t>4,480</t>
  </si>
  <si>
    <t>-61</t>
  </si>
  <si>
    <t>25,969</t>
  </si>
  <si>
    <t>2,740</t>
  </si>
  <si>
    <t>1,321</t>
  </si>
  <si>
    <t>JR. LIMA 218 - BAGUA CHICA - BAGUA - AMAZONAS</t>
  </si>
  <si>
    <t>10411365765</t>
  </si>
  <si>
    <t>2,290</t>
  </si>
  <si>
    <t>1,566</t>
  </si>
  <si>
    <t>1,050</t>
  </si>
  <si>
    <t>-1,000</t>
  </si>
  <si>
    <t>1,008</t>
  </si>
  <si>
    <t>-77</t>
  </si>
  <si>
    <t>10442176529</t>
  </si>
  <si>
    <t>CAMPOS PINTADO DEYSI MARILU</t>
  </si>
  <si>
    <t>3,400</t>
  </si>
  <si>
    <t>-JR. CABO ALBERTO LEVEAU CUADRA 1</t>
  </si>
  <si>
    <t>447</t>
  </si>
  <si>
    <t>2,287</t>
  </si>
  <si>
    <t>8,130</t>
  </si>
  <si>
    <t>2,429</t>
  </si>
  <si>
    <t>1,244</t>
  </si>
  <si>
    <t>JR FIZCARRAL S/N</t>
  </si>
  <si>
    <t>23,235</t>
  </si>
  <si>
    <t>3,206</t>
  </si>
  <si>
    <t>3,263</t>
  </si>
  <si>
    <t>10479599411</t>
  </si>
  <si>
    <t>REATEGUI DELGADO ROSSY ELOYVITH</t>
  </si>
  <si>
    <t>VENTA DE MATERIALES DE CONSTRUCCION Y FERRETERIA</t>
  </si>
  <si>
    <t>JR. JIMENEZ PIMENTEL Nº 1370 - TARAPOTO - SAN MARTIN - SAN MARTIN</t>
  </si>
  <si>
    <t>1,030</t>
  </si>
  <si>
    <t>6,111</t>
  </si>
  <si>
    <t>10,548</t>
  </si>
  <si>
    <t>5,671</t>
  </si>
  <si>
    <t>1,384</t>
  </si>
  <si>
    <t>10710950828</t>
  </si>
  <si>
    <t>CASTRO REQUEJO JEAN CARLOS</t>
  </si>
  <si>
    <t xml:space="preserve">-CALLE MANCO CAPAC 125 YURIMAGUAS </t>
  </si>
  <si>
    <t>1,093</t>
  </si>
  <si>
    <t>5,819</t>
  </si>
  <si>
    <t>1,780</t>
  </si>
  <si>
    <t>5,899</t>
  </si>
  <si>
    <t>8,435</t>
  </si>
  <si>
    <t>4,764</t>
  </si>
  <si>
    <t>20</t>
  </si>
  <si>
    <t>95,953</t>
  </si>
  <si>
    <t>20165979967</t>
  </si>
  <si>
    <t>MUNICIPALIDAD PROVINCIAL DE REQUENA</t>
  </si>
  <si>
    <t>1,680</t>
  </si>
  <si>
    <t>MUNICIPALIDAD</t>
  </si>
  <si>
    <t xml:space="preserve">CAL. SAN FRANCISCO NRO 138 </t>
  </si>
  <si>
    <t>40,574</t>
  </si>
  <si>
    <t>10,272</t>
  </si>
  <si>
    <t>14,229</t>
  </si>
  <si>
    <t>2,794</t>
  </si>
  <si>
    <t>6,445</t>
  </si>
  <si>
    <t>2,098</t>
  </si>
  <si>
    <t>3,194</t>
  </si>
  <si>
    <t>3,542</t>
  </si>
  <si>
    <t>20493747470</t>
  </si>
  <si>
    <t>REPRESENTACIONES LINARES SAC</t>
  </si>
  <si>
    <t>CAL. MALECON TARAPACA NRO. 207 - LORETO REQUENA REQUENA</t>
  </si>
  <si>
    <t>20541137654</t>
  </si>
  <si>
    <t>COMERCIALIZADORA RICOLAC S.A.C.</t>
  </si>
  <si>
    <t>5,160</t>
  </si>
  <si>
    <t xml:space="preserve">CAL. LAS CASTAÑAS NRO 483 </t>
  </si>
  <si>
    <t>229</t>
  </si>
  <si>
    <t>11,629</t>
  </si>
  <si>
    <t>15,694</t>
  </si>
  <si>
    <t>246</t>
  </si>
  <si>
    <t>2,621</t>
  </si>
  <si>
    <t>1,770</t>
  </si>
  <si>
    <t>1,622</t>
  </si>
  <si>
    <t>1,305</t>
  </si>
  <si>
    <t>JR. FRANCISCO BOLOGNESI Nº 569 (A MEDIA CDRA. DEL OVALO)  - PICOTA - PICOTA - SAN MARTIN</t>
  </si>
  <si>
    <t>4,570</t>
  </si>
  <si>
    <t>1,971</t>
  </si>
  <si>
    <t>10,043</t>
  </si>
  <si>
    <t>4,315</t>
  </si>
  <si>
    <t>20604320276</t>
  </si>
  <si>
    <t>INVERSIONES CAFENI N&amp;A S.R.L.</t>
  </si>
  <si>
    <t>JR. SAN MARTIN NRO 141 OTR. - LONYA GRANDE - UTCUBAMBA - AMAZONAS</t>
  </si>
  <si>
    <t>2,160</t>
  </si>
  <si>
    <t>690</t>
  </si>
  <si>
    <t>20605553762</t>
  </si>
  <si>
    <t>VIRIDIS TERRA PERU SOCIEDAD ANONIMA - VIRIDIS TERRA PERU S.A.</t>
  </si>
  <si>
    <t>CAL. 01 MZA. 1 LOTE 7-8 URB. ALFONSO UGARTE</t>
  </si>
  <si>
    <t>997</t>
  </si>
  <si>
    <t>20606467916</t>
  </si>
  <si>
    <t>TRANSPORTES ISABELITA I E.I.R.L.</t>
  </si>
  <si>
    <t xml:space="preserve">CAL. SANCHEZ CERRO LOTE 8 </t>
  </si>
  <si>
    <t>4,173</t>
  </si>
  <si>
    <t xml:space="preserve">MALECON MANAOS MZ:1 LT: 1 </t>
  </si>
  <si>
    <t>3,208</t>
  </si>
  <si>
    <t>20606742844</t>
  </si>
  <si>
    <t>MAESTRANZA Y ASTILLERO DEL ORIENTE E.I.R.L.</t>
  </si>
  <si>
    <t>CAL. PIURA NRO. 363 - LORETO MAYNAS PUNCHANA</t>
  </si>
  <si>
    <t>3,253</t>
  </si>
  <si>
    <t>-60</t>
  </si>
  <si>
    <t>-21</t>
  </si>
  <si>
    <t>-313</t>
  </si>
  <si>
    <t>1,484</t>
  </si>
  <si>
    <t>AV. AUGUSTO B LEGUIA Nª1156 LAMBAYEQUE - CHICLAYO</t>
  </si>
  <si>
    <t>20608845934</t>
  </si>
  <si>
    <t>CONSTRUCTORA ATSA EMPRESA INDIVIDUAL DE RESPONSABILIDAD LIMITADA</t>
  </si>
  <si>
    <t>CAL. RICARDO PALMA NRO. 822 - LORETO MAYNAS IQUITOS</t>
  </si>
  <si>
    <t>985</t>
  </si>
  <si>
    <t>516</t>
  </si>
  <si>
    <t>41245750</t>
  </si>
  <si>
    <t>PACAYA PARANA RONALD JOSIAS</t>
  </si>
  <si>
    <t>15,282</t>
  </si>
  <si>
    <t>CALLE HAYA DE LA TORRE 08</t>
  </si>
  <si>
    <t>788</t>
  </si>
  <si>
    <t>-42</t>
  </si>
  <si>
    <t>41346047</t>
  </si>
  <si>
    <t>JEYNER IVAN</t>
  </si>
  <si>
    <t>JUANJUI S/N</t>
  </si>
  <si>
    <t>41516295</t>
  </si>
  <si>
    <t>YANETH SIMON QUISIVERDE</t>
  </si>
  <si>
    <t>42372538</t>
  </si>
  <si>
    <t>ARMAS MACHOA ISAIAS</t>
  </si>
  <si>
    <t>Call. Morayma Lopez MZ.G LT16</t>
  </si>
  <si>
    <t>156</t>
  </si>
  <si>
    <t>42828308</t>
  </si>
  <si>
    <t>PABLO SOBERO MACUSI</t>
  </si>
  <si>
    <t>PIJUAYAL</t>
  </si>
  <si>
    <t>199</t>
  </si>
  <si>
    <t>-53</t>
  </si>
  <si>
    <t>43733929</t>
  </si>
  <si>
    <t>ESCALANTE GORDILLO MARUJA</t>
  </si>
  <si>
    <t>22,915</t>
  </si>
  <si>
    <t>COMUNIDAD NATIVA WIJINT</t>
  </si>
  <si>
    <t>44643969</t>
  </si>
  <si>
    <t>RENGIFO SORIA GUDELIA</t>
  </si>
  <si>
    <t>964</t>
  </si>
  <si>
    <t>AV. MARIANO MELGAR NRO 1066-BAGUA GRANDE</t>
  </si>
  <si>
    <t>399</t>
  </si>
  <si>
    <t>45423763</t>
  </si>
  <si>
    <t>PERALES NARANJO XUXA STEFANY</t>
  </si>
  <si>
    <t>970</t>
  </si>
  <si>
    <t>LIBERTAD 715</t>
  </si>
  <si>
    <t>5,964</t>
  </si>
  <si>
    <t>175</t>
  </si>
  <si>
    <t>46639839</t>
  </si>
  <si>
    <t>SANCHEZ LOPEZ DEBORA ELITA</t>
  </si>
  <si>
    <t>PASAO DE LA REPUBLICA S/N</t>
  </si>
  <si>
    <t>1,440</t>
  </si>
  <si>
    <t>-29</t>
  </si>
  <si>
    <t>47130960</t>
  </si>
  <si>
    <t>BLAS AHUANARI GABRIEL OMAT</t>
  </si>
  <si>
    <t>198</t>
  </si>
  <si>
    <t>LA GRAN VIA S/N</t>
  </si>
  <si>
    <t>328</t>
  </si>
  <si>
    <t>560</t>
  </si>
  <si>
    <t>4,112</t>
  </si>
  <si>
    <t>2,690</t>
  </si>
  <si>
    <t>7,528</t>
  </si>
  <si>
    <t>2,619</t>
  </si>
  <si>
    <t>72300599</t>
  </si>
  <si>
    <t>LAURA ESTER GOMEZ HERNANDES</t>
  </si>
  <si>
    <t>CALLE PUTUMAYO  847</t>
  </si>
  <si>
    <t>72616017</t>
  </si>
  <si>
    <t>LEINY SANCHEZ VILCHEZ</t>
  </si>
  <si>
    <t>CONSUMDIOR FINAL</t>
  </si>
  <si>
    <t>11,890</t>
  </si>
  <si>
    <t>73036322</t>
  </si>
  <si>
    <t>SOPLIN MELENDEZ FRANCOLY</t>
  </si>
  <si>
    <t>3,058</t>
  </si>
  <si>
    <t>73543665</t>
  </si>
  <si>
    <t>CACHIQUE PIZANGO FREDDY</t>
  </si>
  <si>
    <t>73954734</t>
  </si>
  <si>
    <t>YAHUARCANI OLORTEGUI BRANCO</t>
  </si>
  <si>
    <t>7,457</t>
  </si>
  <si>
    <t>77322469</t>
  </si>
  <si>
    <t>FLORES MOSQUERA CLAUDY ARMINDA</t>
  </si>
  <si>
    <t>77334777</t>
  </si>
  <si>
    <t>ROBERTO CONDE JIPA</t>
  </si>
  <si>
    <t>77698410</t>
  </si>
  <si>
    <t>CHAVEZ SANCHEZ ROGER CAMILO</t>
  </si>
  <si>
    <t>CALLE BRASIL 576</t>
  </si>
  <si>
    <t>108</t>
  </si>
  <si>
    <t>5,122</t>
  </si>
  <si>
    <t>80415801</t>
  </si>
  <si>
    <t>RIBELINO RUIZ YARANGA</t>
  </si>
  <si>
    <t xml:space="preserve">MALECON 101 </t>
  </si>
  <si>
    <t>80461167</t>
  </si>
  <si>
    <t>ROY ROGER SOSA CASARA</t>
  </si>
  <si>
    <t>80466062</t>
  </si>
  <si>
    <t>BICERRA ACOSTA CESAR</t>
  </si>
  <si>
    <t>CASERIO VALENCIA</t>
  </si>
  <si>
    <t>3,507</t>
  </si>
  <si>
    <t>541</t>
  </si>
  <si>
    <t>1,398</t>
  </si>
  <si>
    <t>00002613</t>
  </si>
  <si>
    <t>OLIVEIRA SALDAÑA GILBERTO</t>
  </si>
  <si>
    <t>00185242</t>
  </si>
  <si>
    <t>QUIJANO AQUINO BENICIO</t>
  </si>
  <si>
    <t>1,906</t>
  </si>
  <si>
    <t>1,591</t>
  </si>
  <si>
    <t>7,955</t>
  </si>
  <si>
    <t>05338941</t>
  </si>
  <si>
    <t>DIAZ MOZOMBITE MERY ROSIO</t>
  </si>
  <si>
    <t>COMUNIDAD YAHUMA 2DA ZONA</t>
  </si>
  <si>
    <t>1,943</t>
  </si>
  <si>
    <t>05613648</t>
  </si>
  <si>
    <t>LOPEZ GUILLEN OSCAR</t>
  </si>
  <si>
    <t>CASERIO SAN JOSE - VALLE DEL SHISHINAHUA</t>
  </si>
  <si>
    <t>1,420</t>
  </si>
  <si>
    <t>05703974</t>
  </si>
  <si>
    <t>LOPEZ SOPLIN DORIS</t>
  </si>
  <si>
    <t>NAUTA 2223</t>
  </si>
  <si>
    <t>05846088</t>
  </si>
  <si>
    <t>GARCIA MESA CARLOS ALBERTO</t>
  </si>
  <si>
    <t>CALLE VICTORIA S/N</t>
  </si>
  <si>
    <t>1,861</t>
  </si>
  <si>
    <t>11,847</t>
  </si>
  <si>
    <t>2,100</t>
  </si>
  <si>
    <t>4,279</t>
  </si>
  <si>
    <t>5,790</t>
  </si>
  <si>
    <t>32,910</t>
  </si>
  <si>
    <t>9,274</t>
  </si>
  <si>
    <t>1,198</t>
  </si>
  <si>
    <t>2,801</t>
  </si>
  <si>
    <t>1,921</t>
  </si>
  <si>
    <t>4,437</t>
  </si>
  <si>
    <t>860</t>
  </si>
  <si>
    <t>756</t>
  </si>
  <si>
    <t>29,770</t>
  </si>
  <si>
    <t>4,252</t>
  </si>
  <si>
    <t>6,960</t>
  </si>
  <si>
    <t>1,790</t>
  </si>
  <si>
    <t>10057015166</t>
  </si>
  <si>
    <t>GABRIEL SOLON RICOPA</t>
  </si>
  <si>
    <t>MALECON BUENOS AIRES N 160</t>
  </si>
  <si>
    <t>10067848140</t>
  </si>
  <si>
    <t>CARDENAS VILLACORTA SANTIAGO RAFAEL</t>
  </si>
  <si>
    <t>388</t>
  </si>
  <si>
    <t>1,336</t>
  </si>
  <si>
    <t>15,540</t>
  </si>
  <si>
    <t>PRAXEDES EDGARDO ARRIETA ESPINOZA</t>
  </si>
  <si>
    <t>13,456</t>
  </si>
  <si>
    <t>730</t>
  </si>
  <si>
    <t>804</t>
  </si>
  <si>
    <t>36,503</t>
  </si>
  <si>
    <t>1,290</t>
  </si>
  <si>
    <t>2,236</t>
  </si>
  <si>
    <t>18</t>
  </si>
  <si>
    <t>5,212</t>
  </si>
  <si>
    <t>1,072</t>
  </si>
  <si>
    <t>1,226</t>
  </si>
  <si>
    <t>3,684</t>
  </si>
  <si>
    <t>708</t>
  </si>
  <si>
    <t>10332400784</t>
  </si>
  <si>
    <t>BOLAÑOS ESPINOZA TEODOCIO NICOLAS</t>
  </si>
  <si>
    <t>CARRETERA SANTA MARIA S/N -MASUSA</t>
  </si>
  <si>
    <t>2,694</t>
  </si>
  <si>
    <t>11,671</t>
  </si>
  <si>
    <t>26,860</t>
  </si>
  <si>
    <t>3,390</t>
  </si>
  <si>
    <t>524</t>
  </si>
  <si>
    <t>3,234</t>
  </si>
  <si>
    <t>4,400</t>
  </si>
  <si>
    <t>5,057</t>
  </si>
  <si>
    <t>1,784</t>
  </si>
  <si>
    <t>56,790</t>
  </si>
  <si>
    <t>7,625</t>
  </si>
  <si>
    <t>8,185</t>
  </si>
  <si>
    <t>244</t>
  </si>
  <si>
    <t>962</t>
  </si>
  <si>
    <t>19,499</t>
  </si>
  <si>
    <t>1,951</t>
  </si>
  <si>
    <t>34,106</t>
  </si>
  <si>
    <t>7,620</t>
  </si>
  <si>
    <t>8,420</t>
  </si>
  <si>
    <t>602</t>
  </si>
  <si>
    <t>6,831</t>
  </si>
  <si>
    <t>294</t>
  </si>
  <si>
    <t>552</t>
  </si>
  <si>
    <t>3,465</t>
  </si>
  <si>
    <t>4,138</t>
  </si>
  <si>
    <t>2,336</t>
  </si>
  <si>
    <t>13,343</t>
  </si>
  <si>
    <t>JR. TORIBIO RODRIGUEZ DE MENDOZA - 515 - MENDOZA - SAN NICOLAS - RODRIGUEZ DE MENDOZA - AMAZONAS</t>
  </si>
  <si>
    <t>900</t>
  </si>
  <si>
    <t>816</t>
  </si>
  <si>
    <t>4,128</t>
  </si>
  <si>
    <t>16,550</t>
  </si>
  <si>
    <t>42,863</t>
  </si>
  <si>
    <t>600</t>
  </si>
  <si>
    <t>40,878</t>
  </si>
  <si>
    <t>2,540</t>
  </si>
  <si>
    <t>3,530</t>
  </si>
  <si>
    <t>4,901</t>
  </si>
  <si>
    <t>634</t>
  </si>
  <si>
    <t>428</t>
  </si>
  <si>
    <t>8,856</t>
  </si>
  <si>
    <t>18,998</t>
  </si>
  <si>
    <t>6,370</t>
  </si>
  <si>
    <t>3,527</t>
  </si>
  <si>
    <t>8,299</t>
  </si>
  <si>
    <t>7,358</t>
  </si>
  <si>
    <t>2,726</t>
  </si>
  <si>
    <t>1,650</t>
  </si>
  <si>
    <t>10700889683</t>
  </si>
  <si>
    <t>RIMARACHIN TORRES NILSON ALEXANDER</t>
  </si>
  <si>
    <t>AV. MARISCAL CASTILLA 1329 JAEN</t>
  </si>
  <si>
    <t>10717320412</t>
  </si>
  <si>
    <t>MALDONADO RIVERA LUIS ABRAHAM</t>
  </si>
  <si>
    <t>JR. TARMA 415 - LA MERCED - CHANCHAMAYO</t>
  </si>
  <si>
    <t>9,278</t>
  </si>
  <si>
    <t>16,865</t>
  </si>
  <si>
    <t>1,330</t>
  </si>
  <si>
    <t>870</t>
  </si>
  <si>
    <t>1,004</t>
  </si>
  <si>
    <t>880</t>
  </si>
  <si>
    <t>507</t>
  </si>
  <si>
    <t>5,465</t>
  </si>
  <si>
    <t>2,650</t>
  </si>
  <si>
    <t>14,670</t>
  </si>
  <si>
    <t>2,661</t>
  </si>
  <si>
    <t>6,261</t>
  </si>
  <si>
    <t>6,168</t>
  </si>
  <si>
    <t>3,209</t>
  </si>
  <si>
    <t>20191577681</t>
  </si>
  <si>
    <t>SOCIEDAD DE BENEFICIENCIA DE IQUITOS</t>
  </si>
  <si>
    <t>CALLE RAIMONDI NRO  333</t>
  </si>
  <si>
    <t>6,357</t>
  </si>
  <si>
    <t>2,890</t>
  </si>
  <si>
    <t>5,066</t>
  </si>
  <si>
    <t>1,173</t>
  </si>
  <si>
    <t>2,246</t>
  </si>
  <si>
    <t>4,453</t>
  </si>
  <si>
    <t>6,456</t>
  </si>
  <si>
    <t>8,199</t>
  </si>
  <si>
    <t>59,842</t>
  </si>
  <si>
    <t>6,090</t>
  </si>
  <si>
    <t>1,710</t>
  </si>
  <si>
    <t>20479769525</t>
  </si>
  <si>
    <t>EMPRESA PANIFICADORA NOR CHINCHIPE E.I.R.L.</t>
  </si>
  <si>
    <t>AV. PAKAMUROS NRO. 2010 SEC. PUEBLO LIBRE - CAJAMARCA JAÉN JAÉN</t>
  </si>
  <si>
    <t>2,529</t>
  </si>
  <si>
    <t>20493449703</t>
  </si>
  <si>
    <t>INVERSIONES C.Q. ISRAELITA E.I.R.L.</t>
  </si>
  <si>
    <t xml:space="preserve">CAL. LOS ROSALES MZA. A LOTE 32 MASUSA </t>
  </si>
  <si>
    <t>963</t>
  </si>
  <si>
    <t>4,411</t>
  </si>
  <si>
    <t>868</t>
  </si>
  <si>
    <t>7,759</t>
  </si>
  <si>
    <t>8,382</t>
  </si>
  <si>
    <t>6,935</t>
  </si>
  <si>
    <t>46</t>
  </si>
  <si>
    <t>753</t>
  </si>
  <si>
    <t>16,077</t>
  </si>
  <si>
    <t>4,905</t>
  </si>
  <si>
    <t>20542398311</t>
  </si>
  <si>
    <t>FERRETERIA CPP CONSTRUCTOR S.A.C.</t>
  </si>
  <si>
    <t xml:space="preserve">JR. COMERCIO NRO 228 RES. CENTRO </t>
  </si>
  <si>
    <t>20547500645</t>
  </si>
  <si>
    <t>OUTSOURCING GREEN SOCIEDAD ANONIMA CERRADA</t>
  </si>
  <si>
    <t>414</t>
  </si>
  <si>
    <t>AV. JUAN PABLO FERNANDINI NRO 1236</t>
  </si>
  <si>
    <t>Pueblo Libre</t>
  </si>
  <si>
    <t>8,680</t>
  </si>
  <si>
    <t>5,368</t>
  </si>
  <si>
    <t>24,332</t>
  </si>
  <si>
    <t>639</t>
  </si>
  <si>
    <t>760</t>
  </si>
  <si>
    <t>3,757</t>
  </si>
  <si>
    <t>4,361</t>
  </si>
  <si>
    <t>27,942</t>
  </si>
  <si>
    <t>58,496</t>
  </si>
  <si>
    <t>66,500</t>
  </si>
  <si>
    <t>888</t>
  </si>
  <si>
    <t>17,638</t>
  </si>
  <si>
    <t>16,115</t>
  </si>
  <si>
    <t>2,022</t>
  </si>
  <si>
    <t>12,303</t>
  </si>
  <si>
    <t>1,452</t>
  </si>
  <si>
    <t>19,600</t>
  </si>
  <si>
    <t>2,334</t>
  </si>
  <si>
    <t>34,142</t>
  </si>
  <si>
    <t>7,550</t>
  </si>
  <si>
    <t>6,498</t>
  </si>
  <si>
    <t>3,388</t>
  </si>
  <si>
    <t>20601891361</t>
  </si>
  <si>
    <t>MULTISERVICIOS DON ENRIQUE E.I.R.L.</t>
  </si>
  <si>
    <t>CAL. PABLO ROSELL NRO 660</t>
  </si>
  <si>
    <t>23,205</t>
  </si>
  <si>
    <t>20602508260</t>
  </si>
  <si>
    <t>MULTISERVIS SF S.A.C.</t>
  </si>
  <si>
    <t>934</t>
  </si>
  <si>
    <t xml:space="preserve">JR. BOLOGNESI NRO 442 </t>
  </si>
  <si>
    <t>20602710891</t>
  </si>
  <si>
    <t>AMAZON WONDER EXPEDITIONS S.R.L.</t>
  </si>
  <si>
    <t>CAL. PEVAS NRO. 630 - LORETO MAYNAS IQUITOS</t>
  </si>
  <si>
    <t>196</t>
  </si>
  <si>
    <t>6,817</t>
  </si>
  <si>
    <t>792</t>
  </si>
  <si>
    <t>1,424</t>
  </si>
  <si>
    <t>741</t>
  </si>
  <si>
    <t>22,946</t>
  </si>
  <si>
    <t>8,330</t>
  </si>
  <si>
    <t>5,850</t>
  </si>
  <si>
    <t>36,389</t>
  </si>
  <si>
    <t>2,383</t>
  </si>
  <si>
    <t>1,868</t>
  </si>
  <si>
    <t>9,933</t>
  </si>
  <si>
    <t>3,756</t>
  </si>
  <si>
    <t>2,217</t>
  </si>
  <si>
    <t>10,332</t>
  </si>
  <si>
    <t>14,991</t>
  </si>
  <si>
    <t>3,349</t>
  </si>
  <si>
    <t>894</t>
  </si>
  <si>
    <t>20607393215</t>
  </si>
  <si>
    <t>COMERCIOS Y SERVICIOS ANDREA E.I.R.L.</t>
  </si>
  <si>
    <t>CAL. 9 DE DICIEMBRE NRO 469</t>
  </si>
  <si>
    <t>2,266</t>
  </si>
  <si>
    <t>10,067</t>
  </si>
  <si>
    <t>3,890</t>
  </si>
  <si>
    <t>362</t>
  </si>
  <si>
    <t>20608024175</t>
  </si>
  <si>
    <t>INVERSIONES GENERALES AMADOR E.I.R.L.</t>
  </si>
  <si>
    <t>JR. VIRGEN DE LAS MERCEDES NRO. S/N - UCAYALI ATALAYA TAHUANIA</t>
  </si>
  <si>
    <t>27,787</t>
  </si>
  <si>
    <t>99,416</t>
  </si>
  <si>
    <t>14,090</t>
  </si>
  <si>
    <t>74,377</t>
  </si>
  <si>
    <t>37,671</t>
  </si>
  <si>
    <t>12,849</t>
  </si>
  <si>
    <t>7,701</t>
  </si>
  <si>
    <t>483</t>
  </si>
  <si>
    <t>14,240</t>
  </si>
  <si>
    <t>3,680</t>
  </si>
  <si>
    <t>39,350</t>
  </si>
  <si>
    <t>10,890</t>
  </si>
  <si>
    <t>20609982668</t>
  </si>
  <si>
    <t>UP BLUE S.A.C.</t>
  </si>
  <si>
    <t>VENTA AL POR MAYOR DE OTROS TIPO DE MAQUINARIA</t>
  </si>
  <si>
    <t>JR. BELLO HORIZONTE NRO 2890 URB. PERU - SAN MARTIN DE PORRES - LIMA - LIMA</t>
  </si>
  <si>
    <t>35</t>
  </si>
  <si>
    <t>490</t>
  </si>
  <si>
    <t>391</t>
  </si>
  <si>
    <t>17,415</t>
  </si>
  <si>
    <t>13,290</t>
  </si>
  <si>
    <t>5,668</t>
  </si>
  <si>
    <t>258</t>
  </si>
  <si>
    <t>7,456</t>
  </si>
  <si>
    <t>14,937</t>
  </si>
  <si>
    <t>572</t>
  </si>
  <si>
    <t>2,109</t>
  </si>
  <si>
    <t>2,408</t>
  </si>
  <si>
    <t>61,383</t>
  </si>
  <si>
    <t>384</t>
  </si>
  <si>
    <t>12,770</t>
  </si>
  <si>
    <t>33948870</t>
  </si>
  <si>
    <t>GRANDEZ ARISTA JOSE HERMINES</t>
  </si>
  <si>
    <t>40569023</t>
  </si>
  <si>
    <t>DAMARIS VICTORIA  FLORES VEGA</t>
  </si>
  <si>
    <t>41372794</t>
  </si>
  <si>
    <t>SEGUNDA VEGA SORIA</t>
  </si>
  <si>
    <t>11,618</t>
  </si>
  <si>
    <t>43194312</t>
  </si>
  <si>
    <t>EDINSON WILDER LEANDRO ROJAS</t>
  </si>
  <si>
    <t>4,891</t>
  </si>
  <si>
    <t>C.F.B. KM. 111 JJVV. LAS PALMERAS</t>
  </si>
  <si>
    <t>2,341</t>
  </si>
  <si>
    <t>1,085</t>
  </si>
  <si>
    <t>43860921</t>
  </si>
  <si>
    <t>WILLINGTON MOZOMBITE VILLANUEVA</t>
  </si>
  <si>
    <t>863</t>
  </si>
  <si>
    <t>MAYPUCO</t>
  </si>
  <si>
    <t>110</t>
  </si>
  <si>
    <t>292</t>
  </si>
  <si>
    <t>44515927</t>
  </si>
  <si>
    <t>PINEDO BERAMENDE HEBELI</t>
  </si>
  <si>
    <t>los jirasoles mz. c . lt.3</t>
  </si>
  <si>
    <t>44848094</t>
  </si>
  <si>
    <t>EDGAR LUIS UTIA AHUANARI</t>
  </si>
  <si>
    <t>AA.HH  RUMOCOCHA</t>
  </si>
  <si>
    <t>45451327</t>
  </si>
  <si>
    <t>ACUBINO ARIRAMA MIGUEL</t>
  </si>
  <si>
    <t>CASERIO UNION CAMPESINA LOS TIGRES</t>
  </si>
  <si>
    <t>BAGAZAN MZ U LT 21</t>
  </si>
  <si>
    <t>45867975</t>
  </si>
  <si>
    <t>SANDOVAL OTIVO ANDY YURI</t>
  </si>
  <si>
    <t>-1,410</t>
  </si>
  <si>
    <t>45944178</t>
  </si>
  <si>
    <t>DEL AGUILA ACHO JULIAN</t>
  </si>
  <si>
    <t>46028318</t>
  </si>
  <si>
    <t>IHUARAQUI PEREZ DIOMER MAYER</t>
  </si>
  <si>
    <t>DISTRITO PAPAPLAYA</t>
  </si>
  <si>
    <t>1,570</t>
  </si>
  <si>
    <t>1,252</t>
  </si>
  <si>
    <t>420</t>
  </si>
  <si>
    <t>46947356</t>
  </si>
  <si>
    <t>BERNAL QUISPE ELFERES</t>
  </si>
  <si>
    <t>CIUDAD JAEN</t>
  </si>
  <si>
    <t>Jaen</t>
  </si>
  <si>
    <t>48209026</t>
  </si>
  <si>
    <t>GEGNER ASBEL PELILEO CONDO</t>
  </si>
  <si>
    <t>LIBERTAD VAINILLA BAJO AMAZONAS</t>
  </si>
  <si>
    <t>CALLE TRUJILLO</t>
  </si>
  <si>
    <t>48419197</t>
  </si>
  <si>
    <t>OLORTEGUI REYNA MARIA DORCAS</t>
  </si>
  <si>
    <t>CALLE BENAVIDES 672</t>
  </si>
  <si>
    <t>48577316</t>
  </si>
  <si>
    <t>GONZALES VASQUEZ GISNEY</t>
  </si>
  <si>
    <t>PUCAHURCO-RIO NANAY</t>
  </si>
  <si>
    <t>11,880</t>
  </si>
  <si>
    <t>60187490</t>
  </si>
  <si>
    <t>PAYAGUAJE SANDOVAL WILDER</t>
  </si>
  <si>
    <t>ZAMBELIN DE YARICAYA</t>
  </si>
  <si>
    <t>60720061</t>
  </si>
  <si>
    <t>TAPULLIMA RAMIREZ JHONATAN NOE</t>
  </si>
  <si>
    <t>12 DE OCTUBRE-RIO UCAYALI</t>
  </si>
  <si>
    <t>62786556</t>
  </si>
  <si>
    <t>LINARES ARANDA MARIA</t>
  </si>
  <si>
    <t>CAMALEON ISLA-RIO AMAZONAS</t>
  </si>
  <si>
    <t>3,702</t>
  </si>
  <si>
    <t>70256603</t>
  </si>
  <si>
    <t>PINEDO DAVILA JERSON ENRRIQUE</t>
  </si>
  <si>
    <t>15,179</t>
  </si>
  <si>
    <t>J V DARWIN GRANDEZ CL VICTOR ALVAN SN</t>
  </si>
  <si>
    <t>2,519</t>
  </si>
  <si>
    <t>72205364</t>
  </si>
  <si>
    <t>MACEDO NAPIAMA EDER FERNANDO</t>
  </si>
  <si>
    <t>CALLE 17 DE JUNIO MZ D LT 5- MASUSA</t>
  </si>
  <si>
    <t>72772699</t>
  </si>
  <si>
    <t>DIAZ ZAMBRANO MAIRA</t>
  </si>
  <si>
    <t>CALLE 3 DE AGOSTO MZ 8 LT 17</t>
  </si>
  <si>
    <t>5,706</t>
  </si>
  <si>
    <t>74614830</t>
  </si>
  <si>
    <t>COQUINCHE NOTENO CILDA NEIMA</t>
  </si>
  <si>
    <t>28,189</t>
  </si>
  <si>
    <t>-815</t>
  </si>
  <si>
    <t>80684838</t>
  </si>
  <si>
    <t>MANIHUARI AHUANARI ESTEBAN</t>
  </si>
  <si>
    <t>PUERTO ENRIQUE</t>
  </si>
  <si>
    <t>2,893</t>
  </si>
  <si>
    <t>8,344</t>
  </si>
  <si>
    <t>7,280</t>
  </si>
  <si>
    <t>AV. MESONES MURO NRO 1373 - JAÉN</t>
  </si>
  <si>
    <t>HELICE 3X13-1/4X17-K - AL -6E5459450100</t>
  </si>
  <si>
    <t>PIÑON DE ATAQUE 15HP 63V455510000</t>
  </si>
  <si>
    <t>COJINETE 93306306V100</t>
  </si>
  <si>
    <t>LINTERNA RDA1LEDCABEZACHIC FT2DE1S-1W</t>
  </si>
  <si>
    <t>COJINETE DE AGUJA  E/C 250HP 933154306400</t>
  </si>
  <si>
    <t>BIELA COMPLETAA 6EKW11650000</t>
  </si>
  <si>
    <t>SELLO ACEITE 931028500800</t>
  </si>
  <si>
    <t>INYECTOR 6AW137610100</t>
  </si>
  <si>
    <t>ESPARRAGO ESPADA BONHOEFFER MS660 BON-STUD660-001</t>
  </si>
  <si>
    <t>MOTOBOMBA GASOL POWERFUL WP15XT 1.5</t>
  </si>
  <si>
    <t>PISTON (NORMA) 6FP116310100</t>
  </si>
  <si>
    <t>PISTON / BIELA COMPLETA (NORMA) 60CW11642000</t>
  </si>
  <si>
    <t>ENGRANAJE 1 (28T) 6BM455600000</t>
  </si>
  <si>
    <t>JUNTA DE CILINDRO 63P113510300</t>
  </si>
  <si>
    <t>CUBIERTA ENTRADA AGUA 2 6J9452150000</t>
  </si>
  <si>
    <t>JUEGO DE ANILLOS (0.25MM O/S) 6EK116040000</t>
  </si>
  <si>
    <t>COJINETE PLANO 6EK116560000</t>
  </si>
  <si>
    <t>COJINETE PLANO 6EK116562000</t>
  </si>
  <si>
    <t>COJINETE PLANO 6EK116563000</t>
  </si>
  <si>
    <t>CONJUNTO EJE LEVA COMPL. 6E5441500300</t>
  </si>
  <si>
    <t>SELLO ACEITE 931013501900</t>
  </si>
  <si>
    <t>COJINETE PLANO 6S1116562000</t>
  </si>
  <si>
    <t>FUNDA INFERIOR COMPLETA 6J945301058D</t>
  </si>
  <si>
    <t>EMPAQUE DE CULATA 63P111810000</t>
  </si>
  <si>
    <t>RESORTE RETRACCION PWRFULL  5.5HP</t>
  </si>
  <si>
    <t>Propiedad Marca</t>
  </si>
  <si>
    <t>TRANSITO PCL - IQT</t>
  </si>
  <si>
    <t>KIT DE PISTON  BON-P-BC45-EP22,23,24,25</t>
  </si>
  <si>
    <t>AUTOMATICO COMPLETO  BON-P-BC45-EP48</t>
  </si>
  <si>
    <t>KIT DE PISTON BONCS65-A211,A22,A19</t>
  </si>
  <si>
    <t>TRANSITO TPT - IQT</t>
  </si>
  <si>
    <t>TRANSITO YUR - IQT</t>
  </si>
  <si>
    <t>TRANSITO</t>
  </si>
  <si>
    <t>CANTIDAD EN TRANSITO</t>
  </si>
  <si>
    <t>CANTIDAD EN TRÁNSITO</t>
  </si>
  <si>
    <t>CARBURADOR BONHOEFFER FS-280</t>
  </si>
  <si>
    <t>CAJA REDUCTORA  BONHOEFFER FS280 BON-GEARBOX-005</t>
  </si>
  <si>
    <t>TANQUE DE COMBUSTIBLE BONHOEFFER NTB520 BON-TANK-001</t>
  </si>
  <si>
    <t>TRIMMY CABEZAL STHIL46-2 BONHEOFFER BON-THEAD-015</t>
  </si>
  <si>
    <t>KIT CILINDRO BONHOEFFER HUSQ143R-II BON-CYLKIT-069</t>
  </si>
  <si>
    <t>KIT CILINDRO BONHOEFFER HUSQ372 BON-CYLKIT-016</t>
  </si>
  <si>
    <t>LLAVE ESTRIADA L BONHOEFFER CS660 T27*120*70 BON-SDRIVER-001</t>
  </si>
  <si>
    <t>TUERCA DE ESPADA BONHOEFFER MS660 BON-NUT-001</t>
  </si>
  <si>
    <t>00094263</t>
  </si>
  <si>
    <t>SALAZAR MELENDEZ NICANOR</t>
  </si>
  <si>
    <t>2,651</t>
  </si>
  <si>
    <t>3,061</t>
  </si>
  <si>
    <t>1,225</t>
  </si>
  <si>
    <t>71</t>
  </si>
  <si>
    <t>1,180</t>
  </si>
  <si>
    <t>05406197</t>
  </si>
  <si>
    <t>ELOIZA INUMA GIL</t>
  </si>
  <si>
    <t>INTUTO -RIO TIGRE</t>
  </si>
  <si>
    <t>05781742</t>
  </si>
  <si>
    <t>VASQUEZ TORRES REMIGIO</t>
  </si>
  <si>
    <t>COSUMIDOR FINAL</t>
  </si>
  <si>
    <t>05868541</t>
  </si>
  <si>
    <t>VAQUERO SANCHEZ DIEGO</t>
  </si>
  <si>
    <t>2,800</t>
  </si>
  <si>
    <t>7,578</t>
  </si>
  <si>
    <t>-14</t>
  </si>
  <si>
    <t>3,689</t>
  </si>
  <si>
    <t>445</t>
  </si>
  <si>
    <t>AV FREYRE  1752 - PUNCHANA</t>
  </si>
  <si>
    <t>2,130</t>
  </si>
  <si>
    <t>10276959889</t>
  </si>
  <si>
    <t xml:space="preserve">JOSE </t>
  </si>
  <si>
    <t>AV. MARISCAL CASTILLA 476</t>
  </si>
  <si>
    <t>10278332409</t>
  </si>
  <si>
    <t>CARRION ABARCA CARLOS LUCIO</t>
  </si>
  <si>
    <t>JR. HUASCAR N° 105 - SAN IGNACIO - SAN IGNACIO - CAJAMARCA</t>
  </si>
  <si>
    <t>9,275</t>
  </si>
  <si>
    <t>-1,617</t>
  </si>
  <si>
    <t>1,197</t>
  </si>
  <si>
    <t>4,210</t>
  </si>
  <si>
    <t>10430159106</t>
  </si>
  <si>
    <t>NOVOA SANDOVAL JHONY</t>
  </si>
  <si>
    <t>LAS CRISNEJAS 262-SAN JUAN</t>
  </si>
  <si>
    <t>1,969</t>
  </si>
  <si>
    <t>6,055</t>
  </si>
  <si>
    <t>4,977</t>
  </si>
  <si>
    <t>8,740</t>
  </si>
  <si>
    <t>22,265</t>
  </si>
  <si>
    <t>306</t>
  </si>
  <si>
    <t>59,156</t>
  </si>
  <si>
    <t>3,300</t>
  </si>
  <si>
    <t>7,650</t>
  </si>
  <si>
    <t>-404</t>
  </si>
  <si>
    <t>11,378</t>
  </si>
  <si>
    <t>6,230</t>
  </si>
  <si>
    <t>7,563</t>
  </si>
  <si>
    <t>1,196</t>
  </si>
  <si>
    <t>-765</t>
  </si>
  <si>
    <t>1,998</t>
  </si>
  <si>
    <t>1,404</t>
  </si>
  <si>
    <t>4,914</t>
  </si>
  <si>
    <t>10,655</t>
  </si>
  <si>
    <t>20600109392</t>
  </si>
  <si>
    <t>TRANS BRAVO &amp; LAMAR E.I.R.L.</t>
  </si>
  <si>
    <t xml:space="preserve">CAL. SIMON BOLIVAR NRO 407 BAR. SANTA ROSA </t>
  </si>
  <si>
    <t>77,590</t>
  </si>
  <si>
    <t>2,360</t>
  </si>
  <si>
    <t>8,670</t>
  </si>
  <si>
    <t>20603413424</t>
  </si>
  <si>
    <t>CORPORACION MACARE E.I.R.L.</t>
  </si>
  <si>
    <t>-VENTAS</t>
  </si>
  <si>
    <t>LT. 13 MZ. A A.H. JESUS DE NAZARETH - LORETO MAYNAS PUNCHANA</t>
  </si>
  <si>
    <t>135,430</t>
  </si>
  <si>
    <t>5,312</t>
  </si>
  <si>
    <t>12,970</t>
  </si>
  <si>
    <t>-1,965</t>
  </si>
  <si>
    <t>311</t>
  </si>
  <si>
    <t>8,571</t>
  </si>
  <si>
    <t>1,548</t>
  </si>
  <si>
    <t>650</t>
  </si>
  <si>
    <t>17,378</t>
  </si>
  <si>
    <t>25,856</t>
  </si>
  <si>
    <t>5,967</t>
  </si>
  <si>
    <t>8,918</t>
  </si>
  <si>
    <t>43055983</t>
  </si>
  <si>
    <t>ALAN EMERSON</t>
  </si>
  <si>
    <t>1,540</t>
  </si>
  <si>
    <t>CALLE TACNA 895</t>
  </si>
  <si>
    <t>43349753</t>
  </si>
  <si>
    <t>MANIHUARI CHAVEZ JUAN CARLOS</t>
  </si>
  <si>
    <t>PSJ ABELARDO QUIÑONEZ</t>
  </si>
  <si>
    <t>711</t>
  </si>
  <si>
    <t>47064704</t>
  </si>
  <si>
    <t>GARCIA SALINAS GABRIEL</t>
  </si>
  <si>
    <t>CASERIO SANANGO</t>
  </si>
  <si>
    <t>105</t>
  </si>
  <si>
    <t>4,620</t>
  </si>
  <si>
    <t>1,239</t>
  </si>
  <si>
    <t>74047414</t>
  </si>
  <si>
    <t>REYNA AHUANARI WAGNER MANUEL</t>
  </si>
  <si>
    <t>29 DE JULION 237</t>
  </si>
  <si>
    <t>896</t>
  </si>
  <si>
    <t>806556203</t>
  </si>
  <si>
    <t>GILBERTO INUMA VELA</t>
  </si>
  <si>
    <t>1,220</t>
  </si>
  <si>
    <t>-47,290</t>
  </si>
  <si>
    <t>944</t>
  </si>
  <si>
    <t>10,083</t>
  </si>
  <si>
    <t>8,910</t>
  </si>
  <si>
    <t>10056275873</t>
  </si>
  <si>
    <t>GARCIA TUESTA BERONICA</t>
  </si>
  <si>
    <t>1,280</t>
  </si>
  <si>
    <t>3,171</t>
  </si>
  <si>
    <t>7,693</t>
  </si>
  <si>
    <t>157</t>
  </si>
  <si>
    <t>10470441416</t>
  </si>
  <si>
    <t>AQUISE VILLANO MARIA AYDE</t>
  </si>
  <si>
    <t>CALL URUBAMBA 579</t>
  </si>
  <si>
    <t>15,660</t>
  </si>
  <si>
    <t>10477311208</t>
  </si>
  <si>
    <t>VASQUEZ ALVA MARTIN</t>
  </si>
  <si>
    <t>CALLE 6 N° 237 - BELEN</t>
  </si>
  <si>
    <t>26,383</t>
  </si>
  <si>
    <t>VENTA DE ARTICULOS DE FERRETERIA</t>
  </si>
  <si>
    <t>6,683</t>
  </si>
  <si>
    <t>298</t>
  </si>
  <si>
    <t>20602646026</t>
  </si>
  <si>
    <t>JMS CONSTRUCCIONES Y SERVICIOS GENERALES EIRL</t>
  </si>
  <si>
    <t>PJE LOS PROCERES MZ A LTE 15</t>
  </si>
  <si>
    <t>1,437</t>
  </si>
  <si>
    <t>137,032</t>
  </si>
  <si>
    <t>28,166</t>
  </si>
  <si>
    <t>7,274</t>
  </si>
  <si>
    <t>43,178</t>
  </si>
  <si>
    <t>193</t>
  </si>
  <si>
    <t>13,920</t>
  </si>
  <si>
    <t>1,168</t>
  </si>
  <si>
    <t>-2,703</t>
  </si>
  <si>
    <t>4,422</t>
  </si>
  <si>
    <t>3,281</t>
  </si>
  <si>
    <t>19,561</t>
  </si>
  <si>
    <t>3,180</t>
  </si>
  <si>
    <t>1,381</t>
  </si>
  <si>
    <t>2,099</t>
  </si>
  <si>
    <t>80657047</t>
  </si>
  <si>
    <t>SHAPIAMA COHELO SEGUNDO</t>
  </si>
  <si>
    <t>Comunidad Juan Velazco - Bajo Amazonas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</si>
</sst>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&quot;S/&quot;#,##0.00"/>
    <numFmt numFmtId="165" formatCode="0_ ;[Red]\-0\ "/>
    <numFmt numFmtId="166" formatCode="dd/mm/yy;@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Aptos"/>
      <family val="2"/>
    </font>
    <font>
      <b/>
      <sz val="7"/>
      <color theme="1"/>
      <name val="Aptos"/>
      <family val="2"/>
    </font>
    <font>
      <sz val="10"/>
      <color theme="1"/>
      <name val="Aptos"/>
      <family val="2"/>
    </font>
    <font>
      <b/>
      <sz val="12"/>
      <color theme="1"/>
      <name val="Aptos"/>
      <family val="2"/>
    </font>
    <font>
      <sz val="11"/>
      <name val="Aptos"/>
      <family val="2"/>
    </font>
    <font>
      <sz val="12"/>
      <name val="Aptos"/>
      <family val="2"/>
    </font>
    <font>
      <sz val="12"/>
      <color theme="1"/>
      <name val="Aptos"/>
      <family val="2"/>
    </font>
    <font>
      <b/>
      <sz val="10"/>
      <color theme="0"/>
      <name val="Aptos"/>
      <family val="2"/>
    </font>
    <font>
      <b/>
      <sz val="24"/>
      <color theme="1"/>
      <name val="Aptos"/>
      <family val="2"/>
    </font>
    <font>
      <b/>
      <sz val="8"/>
      <color theme="1"/>
      <name val="Times New Roman"/>
      <family val="1"/>
    </font>
    <font>
      <sz val="8"/>
      <name val="Calibri"/>
      <family val="2"/>
      <scheme val="minor"/>
    </font>
    <font>
      <b/>
      <sz val="9"/>
      <color rgb="FFFF0000"/>
      <name val="Times New Roman"/>
      <family val="1"/>
    </font>
    <font>
      <b/>
      <sz val="10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20"/>
      <color rgb="FFFF0000"/>
      <name val="Times New Roman"/>
      <family val="1"/>
    </font>
    <font>
      <b/>
      <u/>
      <sz val="16"/>
      <color theme="1"/>
      <name val="Times New Roman"/>
      <family val="1"/>
    </font>
    <font>
      <sz val="9"/>
      <color rgb="FFFF0000"/>
      <name val="Times New Roman"/>
      <family val="1"/>
    </font>
    <font>
      <b/>
      <sz val="10"/>
      <color theme="1"/>
      <name val="Aptos"/>
      <family val="2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2">
    <xf numFmtId="0" fontId="0" fillId="0" borderId="0" xfId="0"/>
    <xf numFmtId="0" fontId="20" fillId="0" borderId="0" xfId="0" applyFont="1"/>
    <xf numFmtId="0" fontId="20" fillId="0" borderId="0" xfId="0" applyFont="1" applyAlignment="1">
      <alignment horizontal="center"/>
    </xf>
    <xf numFmtId="0" fontId="21" fillId="35" borderId="0" xfId="0" applyFont="1" applyFill="1" applyAlignment="1">
      <alignment vertical="top"/>
    </xf>
    <xf numFmtId="0" fontId="22" fillId="35" borderId="0" xfId="0" applyFont="1" applyFill="1" applyAlignment="1">
      <alignment vertical="top"/>
    </xf>
    <xf numFmtId="0" fontId="23" fillId="35" borderId="0" xfId="0" applyFont="1" applyFill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horizontal="center" vertical="top"/>
    </xf>
    <xf numFmtId="0" fontId="26" fillId="0" borderId="0" xfId="0" applyFont="1"/>
    <xf numFmtId="0" fontId="27" fillId="36" borderId="12" xfId="0" applyFont="1" applyFill="1" applyBorder="1" applyAlignment="1">
      <alignment horizontal="center" vertical="center"/>
    </xf>
    <xf numFmtId="0" fontId="27" fillId="36" borderId="12" xfId="0" applyFont="1" applyFill="1" applyBorder="1" applyAlignment="1">
      <alignment horizontal="center" vertical="center" wrapText="1"/>
    </xf>
    <xf numFmtId="0" fontId="27" fillId="36" borderId="10" xfId="0" applyFont="1" applyFill="1" applyBorder="1" applyAlignment="1">
      <alignment horizontal="center" vertical="center" wrapText="1"/>
    </xf>
    <xf numFmtId="0" fontId="22" fillId="0" borderId="0" xfId="0" applyFont="1"/>
    <xf numFmtId="1" fontId="0" fillId="0" borderId="0" xfId="0" applyNumberFormat="1" applyAlignment="1">
      <alignment horizontal="left"/>
    </xf>
    <xf numFmtId="0" fontId="0" fillId="33" borderId="0" xfId="0" applyFill="1"/>
    <xf numFmtId="0" fontId="27" fillId="36" borderId="13" xfId="0" applyFont="1" applyFill="1" applyBorder="1" applyAlignment="1">
      <alignment horizontal="center" vertical="center"/>
    </xf>
    <xf numFmtId="0" fontId="24" fillId="33" borderId="0" xfId="0" applyFont="1" applyFill="1" applyAlignment="1">
      <alignment vertical="center"/>
    </xf>
    <xf numFmtId="0" fontId="25" fillId="33" borderId="0" xfId="0" applyFont="1" applyFill="1" applyAlignment="1">
      <alignment vertical="top"/>
    </xf>
    <xf numFmtId="0" fontId="23" fillId="0" borderId="0" xfId="0" applyFont="1" applyAlignment="1">
      <alignment horizontal="left" vertical="center"/>
    </xf>
    <xf numFmtId="0" fontId="25" fillId="0" borderId="0" xfId="0" applyFont="1" applyAlignment="1">
      <alignment vertical="top"/>
    </xf>
    <xf numFmtId="0" fontId="23" fillId="0" borderId="0" xfId="0" applyFont="1" applyAlignment="1">
      <alignment vertical="center"/>
    </xf>
    <xf numFmtId="0" fontId="18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0" fontId="36" fillId="0" borderId="0" xfId="0" applyFont="1" applyProtection="1">
      <protection locked="0"/>
    </xf>
    <xf numFmtId="0" fontId="35" fillId="33" borderId="0" xfId="0" applyFont="1" applyFill="1" applyAlignment="1" applyProtection="1">
      <alignment horizontal="center" vertical="center"/>
      <protection locked="0"/>
    </xf>
    <xf numFmtId="14" fontId="19" fillId="0" borderId="0" xfId="0" applyNumberFormat="1" applyFont="1" applyAlignment="1" applyProtection="1">
      <alignment horizontal="center"/>
      <protection locked="0"/>
    </xf>
    <xf numFmtId="0" fontId="37" fillId="33" borderId="0" xfId="0" applyFont="1" applyFill="1" applyProtection="1">
      <protection locked="0"/>
    </xf>
    <xf numFmtId="0" fontId="31" fillId="33" borderId="0" xfId="0" applyFont="1" applyFill="1" applyAlignment="1" applyProtection="1">
      <alignment vertical="center"/>
      <protection locked="0"/>
    </xf>
    <xf numFmtId="0" fontId="33" fillId="33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Protection="1">
      <protection locked="0"/>
    </xf>
    <xf numFmtId="0" fontId="19" fillId="33" borderId="0" xfId="0" applyFont="1" applyFill="1" applyAlignment="1" applyProtection="1">
      <alignment horizontal="center"/>
      <protection locked="0"/>
    </xf>
    <xf numFmtId="0" fontId="34" fillId="0" borderId="10" xfId="0" applyFont="1" applyBorder="1" applyAlignment="1" applyProtection="1">
      <alignment horizontal="center"/>
      <protection locked="0"/>
    </xf>
    <xf numFmtId="9" fontId="32" fillId="0" borderId="10" xfId="43" applyFont="1" applyBorder="1" applyAlignment="1" applyProtection="1">
      <alignment horizontal="center"/>
      <protection locked="0"/>
    </xf>
    <xf numFmtId="0" fontId="33" fillId="0" borderId="10" xfId="0" applyFont="1" applyBorder="1" applyAlignment="1" applyProtection="1">
      <alignment horizontal="center" wrapText="1"/>
      <protection locked="0"/>
    </xf>
    <xf numFmtId="164" fontId="18" fillId="0" borderId="10" xfId="0" applyNumberFormat="1" applyFont="1" applyBorder="1" applyAlignment="1" applyProtection="1">
      <alignment horizont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/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0" fontId="19" fillId="0" borderId="10" xfId="0" applyFont="1" applyBorder="1"/>
    <xf numFmtId="0" fontId="18" fillId="37" borderId="10" xfId="0" applyFont="1" applyFill="1" applyBorder="1" applyAlignment="1">
      <alignment horizontal="center" vertical="center" wrapText="1"/>
    </xf>
    <xf numFmtId="0" fontId="29" fillId="37" borderId="10" xfId="0" applyFont="1" applyFill="1" applyBorder="1" applyAlignment="1">
      <alignment horizontal="center" vertical="center" wrapText="1"/>
    </xf>
    <xf numFmtId="43" fontId="19" fillId="0" borderId="10" xfId="42" applyFont="1" applyBorder="1" applyAlignment="1" applyProtection="1"/>
    <xf numFmtId="43" fontId="19" fillId="0" borderId="10" xfId="42" applyFont="1" applyBorder="1" applyAlignment="1" applyProtection="1">
      <alignment horizontal="center"/>
    </xf>
    <xf numFmtId="43" fontId="19" fillId="0" borderId="10" xfId="42" applyFont="1" applyBorder="1" applyProtection="1"/>
    <xf numFmtId="43" fontId="18" fillId="0" borderId="10" xfId="0" applyNumberFormat="1" applyFont="1" applyBorder="1"/>
    <xf numFmtId="9" fontId="32" fillId="0" borderId="11" xfId="0" applyNumberFormat="1" applyFont="1" applyBorder="1" applyAlignment="1">
      <alignment horizontal="center"/>
    </xf>
    <xf numFmtId="164" fontId="18" fillId="0" borderId="10" xfId="0" applyNumberFormat="1" applyFont="1" applyBorder="1"/>
    <xf numFmtId="2" fontId="18" fillId="0" borderId="0" xfId="0" applyNumberFormat="1" applyFont="1"/>
    <xf numFmtId="0" fontId="0" fillId="0" borderId="0" xfId="0" applyProtection="1">
      <protection locked="0"/>
    </xf>
    <xf numFmtId="0" fontId="38" fillId="38" borderId="0" xfId="0" applyFont="1" applyFill="1" applyAlignment="1">
      <alignment horizontal="center" vertical="center" wrapText="1"/>
    </xf>
    <xf numFmtId="14" fontId="25" fillId="0" borderId="0" xfId="0" applyNumberFormat="1" applyFont="1" applyAlignment="1">
      <alignment vertical="top"/>
    </xf>
    <xf numFmtId="14" fontId="27" fillId="0" borderId="0" xfId="0" applyNumberFormat="1" applyFont="1" applyAlignment="1">
      <alignment horizontal="center" vertical="center" wrapText="1"/>
    </xf>
    <xf numFmtId="0" fontId="27" fillId="36" borderId="14" xfId="0" applyFont="1" applyFill="1" applyBorder="1" applyAlignment="1">
      <alignment horizontal="center" vertical="center" wrapText="1"/>
    </xf>
    <xf numFmtId="0" fontId="19" fillId="0" borderId="11" xfId="0" applyFont="1" applyBorder="1"/>
    <xf numFmtId="14" fontId="25" fillId="0" borderId="0" xfId="0" applyNumberFormat="1" applyFont="1" applyAlignment="1">
      <alignment horizontal="center" vertical="top"/>
    </xf>
    <xf numFmtId="0" fontId="39" fillId="39" borderId="0" xfId="0" applyFont="1" applyFill="1" applyAlignment="1">
      <alignment horizontal="center" vertical="center" wrapText="1"/>
    </xf>
    <xf numFmtId="0" fontId="40" fillId="39" borderId="0" xfId="0" applyFont="1" applyFill="1" applyAlignment="1">
      <alignment horizontal="center" vertical="center" wrapText="1"/>
    </xf>
    <xf numFmtId="4" fontId="40" fillId="39" borderId="0" xfId="0" applyNumberFormat="1" applyFont="1" applyFill="1" applyAlignment="1">
      <alignment horizontal="left" vertical="center" wrapText="1"/>
    </xf>
    <xf numFmtId="4" fontId="40" fillId="39" borderId="0" xfId="0" applyNumberFormat="1" applyFont="1" applyFill="1" applyAlignment="1">
      <alignment horizontal="right" vertical="center" wrapText="1"/>
    </xf>
    <xf numFmtId="4" fontId="39" fillId="39" borderId="0" xfId="0" applyNumberFormat="1" applyFont="1" applyFill="1" applyAlignment="1">
      <alignment horizontal="center" vertical="center" wrapText="1"/>
    </xf>
    <xf numFmtId="165" fontId="39" fillId="39" borderId="0" xfId="0" applyNumberFormat="1" applyFont="1" applyFill="1" applyAlignment="1">
      <alignment horizontal="center" vertical="center" wrapText="1"/>
    </xf>
    <xf numFmtId="166" fontId="39" fillId="39" borderId="0" xfId="0" applyNumberFormat="1" applyFont="1" applyFill="1" applyAlignment="1">
      <alignment horizontal="center" vertical="center" wrapText="1"/>
    </xf>
    <xf numFmtId="0" fontId="41" fillId="0" borderId="0" xfId="0" applyFont="1" applyAlignment="1">
      <alignment horizontal="right" vertical="center" wrapText="1"/>
    </xf>
    <xf numFmtId="0" fontId="41" fillId="0" borderId="0" xfId="0" applyFont="1" applyAlignment="1">
      <alignment horizontal="center"/>
    </xf>
    <xf numFmtId="166" fontId="41" fillId="0" borderId="0" xfId="0" applyNumberFormat="1" applyFont="1"/>
    <xf numFmtId="0" fontId="42" fillId="0" borderId="0" xfId="0" applyFont="1" applyAlignment="1">
      <alignment horizontal="center" vertical="center"/>
    </xf>
    <xf numFmtId="0" fontId="41" fillId="0" borderId="0" xfId="0" applyFont="1"/>
    <xf numFmtId="4" fontId="41" fillId="0" borderId="0" xfId="0" applyNumberFormat="1" applyFont="1" applyAlignment="1">
      <alignment horizontal="left"/>
    </xf>
    <xf numFmtId="4" fontId="41" fillId="0" borderId="0" xfId="0" applyNumberFormat="1" applyFont="1" applyAlignment="1">
      <alignment horizontal="right"/>
    </xf>
    <xf numFmtId="166" fontId="41" fillId="0" borderId="0" xfId="0" applyNumberFormat="1" applyFont="1" applyAlignment="1">
      <alignment horizontal="center"/>
    </xf>
    <xf numFmtId="165" fontId="41" fillId="0" borderId="0" xfId="0" applyNumberFormat="1" applyFont="1" applyAlignment="1">
      <alignment horizontal="right" vertical="center"/>
    </xf>
    <xf numFmtId="14" fontId="41" fillId="0" borderId="0" xfId="0" applyNumberFormat="1" applyFont="1" applyAlignment="1">
      <alignment horizontal="center"/>
    </xf>
    <xf numFmtId="14" fontId="41" fillId="0" borderId="0" xfId="0" applyNumberFormat="1" applyFont="1"/>
    <xf numFmtId="4" fontId="41" fillId="0" borderId="0" xfId="0" applyNumberFormat="1" applyFont="1"/>
    <xf numFmtId="0" fontId="41" fillId="33" borderId="0" xfId="0" applyFont="1" applyFill="1"/>
    <xf numFmtId="0" fontId="43" fillId="0" borderId="0" xfId="0" applyFont="1"/>
    <xf numFmtId="4" fontId="43" fillId="0" borderId="0" xfId="0" applyNumberFormat="1" applyFont="1"/>
    <xf numFmtId="0" fontId="41" fillId="0" borderId="0" xfId="0" quotePrefix="1" applyFont="1" applyAlignment="1">
      <alignment horizontal="center"/>
    </xf>
    <xf numFmtId="0" fontId="41" fillId="0" borderId="0" xfId="0" applyFont="1" applyAlignment="1">
      <alignment horizontal="right" vertical="center"/>
    </xf>
    <xf numFmtId="4" fontId="41" fillId="33" borderId="0" xfId="0" applyNumberFormat="1" applyFont="1" applyFill="1"/>
    <xf numFmtId="14" fontId="41" fillId="33" borderId="0" xfId="0" applyNumberFormat="1" applyFont="1" applyFill="1"/>
    <xf numFmtId="0" fontId="41" fillId="33" borderId="0" xfId="0" applyFont="1" applyFill="1" applyAlignment="1">
      <alignment horizontal="center"/>
    </xf>
    <xf numFmtId="4" fontId="41" fillId="33" borderId="0" xfId="0" applyNumberFormat="1" applyFont="1" applyFill="1" applyAlignment="1">
      <alignment horizontal="left"/>
    </xf>
    <xf numFmtId="4" fontId="41" fillId="33" borderId="0" xfId="0" applyNumberFormat="1" applyFont="1" applyFill="1" applyAlignment="1">
      <alignment horizontal="right"/>
    </xf>
    <xf numFmtId="166" fontId="41" fillId="33" borderId="0" xfId="0" applyNumberFormat="1" applyFont="1" applyFill="1" applyAlignment="1">
      <alignment horizontal="center"/>
    </xf>
    <xf numFmtId="165" fontId="41" fillId="33" borderId="0" xfId="0" applyNumberFormat="1" applyFont="1" applyFill="1" applyAlignment="1">
      <alignment horizontal="right" vertical="center"/>
    </xf>
    <xf numFmtId="0" fontId="41" fillId="33" borderId="0" xfId="0" applyFont="1" applyFill="1" applyAlignment="1">
      <alignment horizontal="right" vertical="center"/>
    </xf>
    <xf numFmtId="14" fontId="41" fillId="33" borderId="0" xfId="0" applyNumberFormat="1" applyFont="1" applyFill="1" applyAlignment="1">
      <alignment horizontal="center"/>
    </xf>
    <xf numFmtId="166" fontId="41" fillId="33" borderId="0" xfId="0" applyNumberFormat="1" applyFont="1" applyFill="1"/>
    <xf numFmtId="0" fontId="42" fillId="33" borderId="0" xfId="0" applyFont="1" applyFill="1" applyAlignment="1">
      <alignment horizontal="center" vertical="center"/>
    </xf>
    <xf numFmtId="2" fontId="41" fillId="0" borderId="0" xfId="0" applyNumberFormat="1" applyFont="1"/>
    <xf numFmtId="49" fontId="41" fillId="0" borderId="0" xfId="0" applyNumberFormat="1" applyFont="1" applyAlignment="1">
      <alignment horizontal="center"/>
    </xf>
    <xf numFmtId="49" fontId="41" fillId="0" borderId="0" xfId="0" quotePrefix="1" applyNumberFormat="1" applyFont="1" applyAlignment="1">
      <alignment horizontal="center"/>
    </xf>
    <xf numFmtId="49" fontId="41" fillId="33" borderId="0" xfId="0" applyNumberFormat="1" applyFont="1" applyFill="1" applyAlignment="1">
      <alignment horizontal="center"/>
    </xf>
    <xf numFmtId="43" fontId="19" fillId="0" borderId="0" xfId="0" applyNumberFormat="1" applyFont="1"/>
    <xf numFmtId="1" fontId="0" fillId="0" borderId="0" xfId="0" applyNumberFormat="1"/>
    <xf numFmtId="49" fontId="18" fillId="0" borderId="0" xfId="0" applyNumberFormat="1" applyFont="1" applyAlignment="1" applyProtection="1">
      <alignment horizontal="left"/>
      <protection locked="0"/>
    </xf>
    <xf numFmtId="9" fontId="19" fillId="0" borderId="0" xfId="43" applyFont="1"/>
    <xf numFmtId="0" fontId="17" fillId="36" borderId="0" xfId="0" applyFont="1" applyFill="1" applyAlignment="1">
      <alignment horizontal="center"/>
    </xf>
    <xf numFmtId="0" fontId="17" fillId="36" borderId="0" xfId="0" applyFont="1" applyFill="1"/>
    <xf numFmtId="3" fontId="0" fillId="0" borderId="0" xfId="0" applyNumberFormat="1"/>
    <xf numFmtId="0" fontId="0" fillId="0" borderId="10" xfId="0" applyBorder="1" applyProtection="1">
      <protection locked="0"/>
    </xf>
    <xf numFmtId="0" fontId="20" fillId="0" borderId="0" xfId="0" applyFont="1" applyProtection="1">
      <protection locked="0"/>
    </xf>
    <xf numFmtId="49" fontId="20" fillId="0" borderId="0" xfId="0" applyNumberFormat="1" applyFont="1"/>
    <xf numFmtId="49" fontId="0" fillId="0" borderId="0" xfId="0" applyNumberFormat="1"/>
    <xf numFmtId="0" fontId="0" fillId="40" borderId="0" xfId="0" applyFill="1"/>
    <xf numFmtId="0" fontId="0" fillId="0" borderId="0" xfId="0" applyAlignment="1">
      <alignment wrapText="1"/>
    </xf>
    <xf numFmtId="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41" fillId="0" borderId="17" xfId="0" applyFont="1" applyBorder="1" applyAlignment="1">
      <alignment horizontal="center"/>
    </xf>
    <xf numFmtId="0" fontId="41" fillId="0" borderId="17" xfId="0" applyFont="1" applyBorder="1"/>
    <xf numFmtId="4" fontId="41" fillId="0" borderId="17" xfId="0" applyNumberFormat="1" applyFont="1" applyBorder="1" applyAlignment="1">
      <alignment horizontal="left"/>
    </xf>
    <xf numFmtId="4" fontId="41" fillId="0" borderId="17" xfId="0" applyNumberFormat="1" applyFont="1" applyBorder="1" applyAlignment="1">
      <alignment horizontal="right"/>
    </xf>
    <xf numFmtId="4" fontId="41" fillId="0" borderId="17" xfId="0" applyNumberFormat="1" applyFont="1" applyBorder="1"/>
    <xf numFmtId="14" fontId="41" fillId="0" borderId="17" xfId="0" applyNumberFormat="1" applyFont="1" applyBorder="1"/>
    <xf numFmtId="4" fontId="41" fillId="41" borderId="17" xfId="0" applyNumberFormat="1" applyFont="1" applyFill="1" applyBorder="1"/>
    <xf numFmtId="166" fontId="41" fillId="0" borderId="17" xfId="0" applyNumberFormat="1" applyFont="1" applyBorder="1" applyAlignment="1">
      <alignment horizontal="center"/>
    </xf>
    <xf numFmtId="1" fontId="41" fillId="0" borderId="17" xfId="0" applyNumberFormat="1" applyFont="1" applyBorder="1" applyAlignment="1">
      <alignment horizontal="right" vertical="center"/>
    </xf>
    <xf numFmtId="0" fontId="41" fillId="0" borderId="17" xfId="0" applyFont="1" applyBorder="1" applyAlignment="1">
      <alignment horizontal="right" vertical="center" wrapText="1"/>
    </xf>
    <xf numFmtId="165" fontId="41" fillId="0" borderId="17" xfId="0" applyNumberFormat="1" applyFont="1" applyBorder="1" applyAlignment="1">
      <alignment horizontal="right" vertical="center"/>
    </xf>
    <xf numFmtId="14" fontId="41" fillId="0" borderId="17" xfId="0" applyNumberFormat="1" applyFont="1" applyBorder="1" applyAlignment="1">
      <alignment horizontal="center"/>
    </xf>
    <xf numFmtId="166" fontId="41" fillId="0" borderId="17" xfId="0" applyNumberFormat="1" applyFont="1" applyBorder="1"/>
    <xf numFmtId="0" fontId="42" fillId="0" borderId="17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/>
    </xf>
    <xf numFmtId="0" fontId="41" fillId="0" borderId="17" xfId="0" applyFont="1" applyBorder="1" applyAlignment="1">
      <alignment horizontal="left"/>
    </xf>
    <xf numFmtId="0" fontId="41" fillId="0" borderId="17" xfId="0" applyFont="1" applyBorder="1" applyAlignment="1">
      <alignment horizontal="right" vertical="center"/>
    </xf>
    <xf numFmtId="0" fontId="0" fillId="0" borderId="17" xfId="0" applyBorder="1" applyAlignment="1">
      <alignment horizontal="center"/>
    </xf>
    <xf numFmtId="0" fontId="0" fillId="0" borderId="17" xfId="0" applyBorder="1"/>
    <xf numFmtId="0" fontId="44" fillId="0" borderId="17" xfId="0" applyFont="1" applyBorder="1" applyAlignment="1">
      <alignment horizontal="center"/>
    </xf>
    <xf numFmtId="4" fontId="43" fillId="0" borderId="17" xfId="0" applyNumberFormat="1" applyFont="1" applyBorder="1"/>
    <xf numFmtId="4" fontId="44" fillId="0" borderId="17" xfId="0" applyNumberFormat="1" applyFont="1" applyBorder="1"/>
    <xf numFmtId="4" fontId="41" fillId="0" borderId="19" xfId="0" applyNumberFormat="1" applyFont="1" applyBorder="1" applyAlignment="1">
      <alignment horizontal="right" vertical="center"/>
    </xf>
    <xf numFmtId="0" fontId="0" fillId="0" borderId="0" xfId="0"/>
    <xf numFmtId="0" fontId="18" fillId="34" borderId="16" xfId="0" applyFont="1" applyFill="1" applyBorder="1" applyAlignment="1" applyProtection="1">
      <alignment horizontal="center"/>
      <protection locked="0"/>
    </xf>
    <xf numFmtId="0" fontId="18" fillId="34" borderId="10" xfId="0" applyFont="1" applyFill="1" applyBorder="1" applyAlignment="1" applyProtection="1">
      <alignment horizontal="center"/>
      <protection locked="0"/>
    </xf>
    <xf numFmtId="0" fontId="18" fillId="37" borderId="10" xfId="0" applyFont="1" applyFill="1" applyBorder="1" applyAlignment="1">
      <alignment horizontal="center" vertical="center"/>
    </xf>
    <xf numFmtId="0" fontId="18" fillId="37" borderId="10" xfId="0" applyFont="1" applyFill="1" applyBorder="1" applyAlignment="1" applyProtection="1">
      <alignment horizontal="center" vertical="center"/>
      <protection locked="0"/>
    </xf>
    <xf numFmtId="0" fontId="18" fillId="37" borderId="15" xfId="0" applyFont="1" applyFill="1" applyBorder="1" applyAlignment="1" applyProtection="1">
      <alignment horizontal="center" vertical="center"/>
      <protection locked="0"/>
    </xf>
    <xf numFmtId="0" fontId="18" fillId="37" borderId="10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illares" xfId="42" builtinId="3"/>
    <cellStyle name="Neutral" xfId="8" builtinId="28" customBuiltin="1"/>
    <cellStyle name="Normal" xfId="0" builtinId="0"/>
    <cellStyle name="Notas" xfId="15" builtinId="10" customBuiltin="1"/>
    <cellStyle name="Porcentaje" xfId="43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46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C7CE"/>
        </patternFill>
      </fill>
    </dxf>
    <dxf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/mm/yy;@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_ ;[Red]\-0\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_ ;[Red]\-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/mm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/mm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6699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0</xdr:rowOff>
    </xdr:from>
    <xdr:to>
      <xdr:col>1</xdr:col>
      <xdr:colOff>2838450</xdr:colOff>
      <xdr:row>3</xdr:row>
      <xdr:rowOff>180975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66800" y="381000"/>
          <a:ext cx="2828925" cy="37147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LISTA</a:t>
          </a:r>
          <a:r>
            <a:rPr lang="es-ES" sz="1100" baseline="0"/>
            <a:t> DE PRECIOS - DESCRIPCION</a:t>
          </a:r>
          <a:endParaRPr lang="es-ES" sz="1100"/>
        </a:p>
      </xdr:txBody>
    </xdr:sp>
    <xdr:clientData/>
  </xdr:twoCellAnchor>
  <xdr:twoCellAnchor>
    <xdr:from>
      <xdr:col>4</xdr:col>
      <xdr:colOff>95250</xdr:colOff>
      <xdr:row>2</xdr:row>
      <xdr:rowOff>19050</xdr:rowOff>
    </xdr:from>
    <xdr:to>
      <xdr:col>5</xdr:col>
      <xdr:colOff>561975</xdr:colOff>
      <xdr:row>4</xdr:row>
      <xdr:rowOff>9525</xdr:rowOff>
    </xdr:to>
    <xdr:sp macro="[0]!ActualizarPrecios2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91200" y="400050"/>
          <a:ext cx="1228725" cy="37147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INSERTAR LISTA</a:t>
          </a:r>
        </a:p>
      </xdr:txBody>
    </xdr:sp>
    <xdr:clientData/>
  </xdr:twoCellAnchor>
  <xdr:twoCellAnchor>
    <xdr:from>
      <xdr:col>0</xdr:col>
      <xdr:colOff>28576</xdr:colOff>
      <xdr:row>5</xdr:row>
      <xdr:rowOff>123826</xdr:rowOff>
    </xdr:from>
    <xdr:to>
      <xdr:col>1</xdr:col>
      <xdr:colOff>19051</xdr:colOff>
      <xdr:row>6</xdr:row>
      <xdr:rowOff>161926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576" y="1076326"/>
          <a:ext cx="1047750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COD. ARTICULO</a:t>
          </a:r>
        </a:p>
      </xdr:txBody>
    </xdr:sp>
    <xdr:clientData/>
  </xdr:twoCellAnchor>
  <xdr:twoCellAnchor>
    <xdr:from>
      <xdr:col>1</xdr:col>
      <xdr:colOff>295275</xdr:colOff>
      <xdr:row>5</xdr:row>
      <xdr:rowOff>114300</xdr:rowOff>
    </xdr:from>
    <xdr:to>
      <xdr:col>1</xdr:col>
      <xdr:colOff>1343025</xdr:colOff>
      <xdr:row>6</xdr:row>
      <xdr:rowOff>161925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52550" y="1066800"/>
          <a:ext cx="1047750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DESCRIPCION</a:t>
          </a:r>
        </a:p>
      </xdr:txBody>
    </xdr:sp>
    <xdr:clientData/>
  </xdr:twoCellAnchor>
  <xdr:twoCellAnchor>
    <xdr:from>
      <xdr:col>1</xdr:col>
      <xdr:colOff>2657475</xdr:colOff>
      <xdr:row>5</xdr:row>
      <xdr:rowOff>95250</xdr:rowOff>
    </xdr:from>
    <xdr:to>
      <xdr:col>2</xdr:col>
      <xdr:colOff>1009650</xdr:colOff>
      <xdr:row>6</xdr:row>
      <xdr:rowOff>142875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14750" y="1047750"/>
          <a:ext cx="1200150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PRECIO</a:t>
          </a:r>
          <a:r>
            <a:rPr lang="es-ES" sz="1000" b="1" baseline="0"/>
            <a:t> UNITARIO</a:t>
          </a:r>
          <a:endParaRPr lang="es-ES" sz="1000" b="1"/>
        </a:p>
      </xdr:txBody>
    </xdr:sp>
    <xdr:clientData/>
  </xdr:twoCellAnchor>
  <xdr:twoCellAnchor>
    <xdr:from>
      <xdr:col>5</xdr:col>
      <xdr:colOff>666750</xdr:colOff>
      <xdr:row>2</xdr:row>
      <xdr:rowOff>9525</xdr:rowOff>
    </xdr:from>
    <xdr:to>
      <xdr:col>7</xdr:col>
      <xdr:colOff>333375</xdr:colOff>
      <xdr:row>4</xdr:row>
      <xdr:rowOff>19050</xdr:rowOff>
    </xdr:to>
    <xdr:sp macro="[0]!BtnLimpiarListaPrec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24700" y="390525"/>
          <a:ext cx="1190625" cy="3905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LIMPIAR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57150</xdr:rowOff>
    </xdr:from>
    <xdr:to>
      <xdr:col>8</xdr:col>
      <xdr:colOff>571500</xdr:colOff>
      <xdr:row>2</xdr:row>
      <xdr:rowOff>47625</xdr:rowOff>
    </xdr:to>
    <xdr:sp macro="[0]!ActualizarStock2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63025" y="57150"/>
          <a:ext cx="1219200" cy="37147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INSERTAR STOCK</a:t>
          </a:r>
          <a:r>
            <a:rPr lang="es-ES" sz="1100" baseline="0"/>
            <a:t> </a:t>
          </a:r>
          <a:endParaRPr lang="es-ES" sz="1100"/>
        </a:p>
      </xdr:txBody>
    </xdr:sp>
    <xdr:clientData/>
  </xdr:twoCellAnchor>
  <xdr:twoCellAnchor>
    <xdr:from>
      <xdr:col>8</xdr:col>
      <xdr:colOff>695325</xdr:colOff>
      <xdr:row>0</xdr:row>
      <xdr:rowOff>76200</xdr:rowOff>
    </xdr:from>
    <xdr:to>
      <xdr:col>10</xdr:col>
      <xdr:colOff>352425</xdr:colOff>
      <xdr:row>2</xdr:row>
      <xdr:rowOff>57150</xdr:rowOff>
    </xdr:to>
    <xdr:sp macro="[0]!BtnLimpiarListaStock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306050" y="76200"/>
          <a:ext cx="1181100" cy="36195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LIMPIAR DATOS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0</xdr:row>
      <xdr:rowOff>38100</xdr:rowOff>
    </xdr:from>
    <xdr:to>
      <xdr:col>9</xdr:col>
      <xdr:colOff>171450</xdr:colOff>
      <xdr:row>1</xdr:row>
      <xdr:rowOff>142875</xdr:rowOff>
    </xdr:to>
    <xdr:sp macro="[0]!ActualizarTransi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563100" y="38100"/>
          <a:ext cx="1428750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INSERTAR TRNASITO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0</xdr:row>
      <xdr:rowOff>47625</xdr:rowOff>
    </xdr:from>
    <xdr:to>
      <xdr:col>2</xdr:col>
      <xdr:colOff>752475</xdr:colOff>
      <xdr:row>4</xdr:row>
      <xdr:rowOff>96581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47625"/>
          <a:ext cx="1600200" cy="658556"/>
        </a:xfrm>
        <a:prstGeom prst="rect">
          <a:avLst/>
        </a:prstGeom>
      </xdr:spPr>
    </xdr:pic>
    <xdr:clientData/>
  </xdr:twoCellAnchor>
  <xdr:twoCellAnchor>
    <xdr:from>
      <xdr:col>5</xdr:col>
      <xdr:colOff>119743</xdr:colOff>
      <xdr:row>9</xdr:row>
      <xdr:rowOff>204107</xdr:rowOff>
    </xdr:from>
    <xdr:to>
      <xdr:col>6</xdr:col>
      <xdr:colOff>782411</xdr:colOff>
      <xdr:row>11</xdr:row>
      <xdr:rowOff>29596</xdr:rowOff>
    </xdr:to>
    <xdr:sp macro="[0]!btn_Grab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106886" y="1811451"/>
          <a:ext cx="1326016" cy="30173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REGISTRAR</a:t>
          </a:r>
          <a:r>
            <a:rPr lang="es-PE" sz="1100" baseline="0"/>
            <a:t> VISITAS</a:t>
          </a:r>
          <a:endParaRPr lang="es-PE" sz="1100"/>
        </a:p>
      </xdr:txBody>
    </xdr:sp>
    <xdr:clientData/>
  </xdr:twoCellAnchor>
  <xdr:twoCellAnchor>
    <xdr:from>
      <xdr:col>10</xdr:col>
      <xdr:colOff>912019</xdr:colOff>
      <xdr:row>9</xdr:row>
      <xdr:rowOff>207508</xdr:rowOff>
    </xdr:from>
    <xdr:to>
      <xdr:col>11</xdr:col>
      <xdr:colOff>604837</xdr:colOff>
      <xdr:row>11</xdr:row>
      <xdr:rowOff>45583</xdr:rowOff>
    </xdr:to>
    <xdr:sp macro="[0]!BTN_LIMPIAR_DAT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717666" y="1814852"/>
          <a:ext cx="1206613" cy="3143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LIMPIAR </a:t>
          </a:r>
          <a:r>
            <a:rPr lang="es-PE" sz="1100" b="1"/>
            <a:t>DATOS</a:t>
          </a:r>
        </a:p>
      </xdr:txBody>
    </xdr:sp>
    <xdr:clientData/>
  </xdr:twoCellAnchor>
  <xdr:twoCellAnchor>
    <xdr:from>
      <xdr:col>9</xdr:col>
      <xdr:colOff>76540</xdr:colOff>
      <xdr:row>9</xdr:row>
      <xdr:rowOff>195601</xdr:rowOff>
    </xdr:from>
    <xdr:to>
      <xdr:col>10</xdr:col>
      <xdr:colOff>799420</xdr:colOff>
      <xdr:row>11</xdr:row>
      <xdr:rowOff>25512</xdr:rowOff>
    </xdr:to>
    <xdr:sp macro="[0]!CopiarHoj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9184821" y="1802945"/>
          <a:ext cx="1420246" cy="306161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GUARDAR</a:t>
          </a:r>
          <a:r>
            <a:rPr lang="es-ES" sz="1100" baseline="0"/>
            <a:t> FORMATO</a:t>
          </a:r>
          <a:endParaRPr lang="es-ES" sz="1100"/>
        </a:p>
      </xdr:txBody>
    </xdr:sp>
    <xdr:clientData/>
  </xdr:twoCellAnchor>
  <xdr:twoCellAnchor>
    <xdr:from>
      <xdr:col>6</xdr:col>
      <xdr:colOff>892969</xdr:colOff>
      <xdr:row>9</xdr:row>
      <xdr:rowOff>195603</xdr:rowOff>
    </xdr:from>
    <xdr:to>
      <xdr:col>8</xdr:col>
      <xdr:colOff>748394</xdr:colOff>
      <xdr:row>11</xdr:row>
      <xdr:rowOff>8504</xdr:rowOff>
    </xdr:to>
    <xdr:sp macro="[0]!InsertarCodigosEnRegistroCobranz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7543460" y="1802947"/>
          <a:ext cx="1547813" cy="28915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REGISTRAR COBRANZA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287593</xdr:colOff>
      <xdr:row>0</xdr:row>
      <xdr:rowOff>0</xdr:rowOff>
    </xdr:from>
    <xdr:to>
      <xdr:col>1</xdr:col>
      <xdr:colOff>508635</xdr:colOff>
      <xdr:row>2</xdr:row>
      <xdr:rowOff>28575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7593" y="0"/>
          <a:ext cx="1192592" cy="923925"/>
        </a:xfrm>
        <a:prstGeom prst="rect">
          <a:avLst/>
        </a:prstGeom>
      </xdr:spPr>
    </xdr:pic>
    <xdr:clientData/>
  </xdr:twoCellAnchor>
  <xdr:twoCellAnchor>
    <xdr:from>
      <xdr:col>7</xdr:col>
      <xdr:colOff>990600</xdr:colOff>
      <xdr:row>1</xdr:row>
      <xdr:rowOff>0</xdr:rowOff>
    </xdr:from>
    <xdr:to>
      <xdr:col>7</xdr:col>
      <xdr:colOff>2143125</xdr:colOff>
      <xdr:row>1</xdr:row>
      <xdr:rowOff>381000</xdr:rowOff>
    </xdr:to>
    <xdr:sp macro="[0]!BTN_LIMPIAR_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2001500" y="495300"/>
          <a:ext cx="1152525" cy="3810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 b="1"/>
            <a:t>LIMPIAR DATOS</a:t>
          </a:r>
        </a:p>
        <a:p>
          <a:pPr algn="ctr"/>
          <a:endParaRPr lang="es-PE" sz="1100" b="1"/>
        </a:p>
      </xdr:txBody>
    </xdr:sp>
    <xdr:clientData/>
  </xdr:twoCellAnchor>
  <xdr:twoCellAnchor>
    <xdr:from>
      <xdr:col>6</xdr:col>
      <xdr:colOff>133350</xdr:colOff>
      <xdr:row>0</xdr:row>
      <xdr:rowOff>485775</xdr:rowOff>
    </xdr:from>
    <xdr:to>
      <xdr:col>7</xdr:col>
      <xdr:colOff>809625</xdr:colOff>
      <xdr:row>2</xdr:row>
      <xdr:rowOff>0</xdr:rowOff>
    </xdr:to>
    <xdr:sp macro="[0]!CopiarHojaRegistrovisi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372725" y="485775"/>
          <a:ext cx="1447800" cy="40957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GUARDAR FORMATO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6</xdr:row>
          <xdr:rowOff>0</xdr:rowOff>
        </xdr:from>
        <xdr:to>
          <xdr:col>8</xdr:col>
          <xdr:colOff>695325</xdr:colOff>
          <xdr:row>7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0</xdr:row>
      <xdr:rowOff>66675</xdr:rowOff>
    </xdr:from>
    <xdr:to>
      <xdr:col>1</xdr:col>
      <xdr:colOff>1017332</xdr:colOff>
      <xdr:row>2</xdr:row>
      <xdr:rowOff>85725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66675"/>
          <a:ext cx="1855532" cy="609600"/>
        </a:xfrm>
        <a:prstGeom prst="rect">
          <a:avLst/>
        </a:prstGeom>
      </xdr:spPr>
    </xdr:pic>
    <xdr:clientData/>
  </xdr:twoCellAnchor>
  <xdr:twoCellAnchor>
    <xdr:from>
      <xdr:col>7</xdr:col>
      <xdr:colOff>1190625</xdr:colOff>
      <xdr:row>1</xdr:row>
      <xdr:rowOff>85725</xdr:rowOff>
    </xdr:from>
    <xdr:to>
      <xdr:col>8</xdr:col>
      <xdr:colOff>1095375</xdr:colOff>
      <xdr:row>2</xdr:row>
      <xdr:rowOff>0</xdr:rowOff>
    </xdr:to>
    <xdr:sp macro="[0]!btn_limpiar_cobranz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2201525" y="276225"/>
          <a:ext cx="1457325" cy="3143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LIMPIAR DATOS</a:t>
          </a:r>
        </a:p>
      </xdr:txBody>
    </xdr:sp>
    <xdr:clientData/>
  </xdr:twoCellAnchor>
  <xdr:twoCellAnchor>
    <xdr:from>
      <xdr:col>6</xdr:col>
      <xdr:colOff>1104900</xdr:colOff>
      <xdr:row>1</xdr:row>
      <xdr:rowOff>85725</xdr:rowOff>
    </xdr:from>
    <xdr:to>
      <xdr:col>7</xdr:col>
      <xdr:colOff>1047750</xdr:colOff>
      <xdr:row>2</xdr:row>
      <xdr:rowOff>9525</xdr:rowOff>
    </xdr:to>
    <xdr:sp macro="[0]!CopiarHojaRegistrocobranz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0582275" y="276225"/>
          <a:ext cx="1476375" cy="3238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GUARDAR FORMATO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COMISESA\GRATIFICACI&#211;N%20DICIEMBRE%202022%20COMISESA.xlsx" TargetMode="External"/><Relationship Id="rId1" Type="http://schemas.openxmlformats.org/officeDocument/2006/relationships/externalLinkPath" Target="file:///G:\COMISESA\GRATIFICACI&#211;N%20DICIEMBRE%202022%20COMISES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2.2022"/>
      <sheetName val="DATOS"/>
      <sheetName val="data"/>
      <sheetName val="Hoja1"/>
      <sheetName val="Hoja2"/>
    </sheetNames>
    <sheetDataSet>
      <sheetData sheetId="0"/>
      <sheetData sheetId="1">
        <row r="1">
          <cell r="A1" t="str">
            <v>codigo</v>
          </cell>
          <cell r="B1" t="str">
            <v>apater</v>
          </cell>
          <cell r="C1" t="str">
            <v>amater</v>
          </cell>
          <cell r="D1" t="str">
            <v>nombre</v>
          </cell>
          <cell r="E1" t="str">
            <v>numdoc</v>
          </cell>
          <cell r="F1" t="str">
            <v>fnaci</v>
          </cell>
          <cell r="G1" t="str">
            <v>fingr</v>
          </cell>
          <cell r="H1" t="str">
            <v>fcese</v>
          </cell>
          <cell r="I1" t="str">
            <v>afps</v>
          </cell>
          <cell r="J1" t="str">
            <v>R.Basica</v>
          </cell>
          <cell r="K1" t="str">
            <v>Asig. Fam. (1) si, (0) No</v>
          </cell>
          <cell r="L1" t="str">
            <v>asfam</v>
          </cell>
          <cell r="M1" t="str">
            <v>ocupa</v>
          </cell>
          <cell r="N1" t="str">
            <v>C.C.</v>
          </cell>
          <cell r="O1" t="str">
            <v>Nombre C.C.</v>
          </cell>
          <cell r="P1" t="str">
            <v>Establ.</v>
          </cell>
          <cell r="Q1" t="str">
            <v>Nombre Est.</v>
          </cell>
          <cell r="R1" t="str">
            <v>nombre apater amater</v>
          </cell>
        </row>
        <row r="2">
          <cell r="A2" t="str">
            <v>I0678</v>
          </cell>
          <cell r="B2" t="str">
            <v>FACHIN</v>
          </cell>
          <cell r="C2" t="str">
            <v>PINEDO</v>
          </cell>
          <cell r="D2" t="str">
            <v>CARLOS ALFONSO</v>
          </cell>
          <cell r="E2" t="str">
            <v>05289816</v>
          </cell>
          <cell r="F2">
            <v>14436</v>
          </cell>
          <cell r="G2">
            <v>41913</v>
          </cell>
          <cell r="H2" t="str">
            <v xml:space="preserve">  -   -</v>
          </cell>
          <cell r="I2" t="str">
            <v>SIN REGIMEN</v>
          </cell>
          <cell r="J2" t="str">
            <v/>
          </cell>
          <cell r="K2">
            <v>1025</v>
          </cell>
          <cell r="L2" t="str">
            <v>N</v>
          </cell>
          <cell r="M2" t="str">
            <v>ASESOR FINANCIERO ( PERSONAL  DIRECCIÓN)</v>
          </cell>
          <cell r="N2" t="str">
            <v>5011</v>
          </cell>
          <cell r="O2" t="str">
            <v>5011 ADMINISTRACION</v>
          </cell>
          <cell r="P2" t="str">
            <v>0015</v>
          </cell>
          <cell r="Q2" t="str">
            <v>OFICINA  ADMINISTRATIVA</v>
          </cell>
          <cell r="R2" t="str">
            <v>CARLOS ALFONSO FACHIN PINEDO</v>
          </cell>
        </row>
        <row r="3">
          <cell r="A3" t="str">
            <v>I1063</v>
          </cell>
          <cell r="B3" t="str">
            <v>RIOS</v>
          </cell>
          <cell r="C3" t="str">
            <v>NIÑO DE GUZMAN</v>
          </cell>
          <cell r="D3" t="str">
            <v>JANETH DEL PILAR</v>
          </cell>
          <cell r="E3" t="str">
            <v>05377249</v>
          </cell>
          <cell r="F3">
            <v>27268</v>
          </cell>
          <cell r="G3">
            <v>34943</v>
          </cell>
          <cell r="H3" t="str">
            <v xml:space="preserve">  -   -</v>
          </cell>
          <cell r="I3" t="str">
            <v>PRIMA COMISION</v>
          </cell>
          <cell r="J3" t="str">
            <v>572660JRNSO0</v>
          </cell>
          <cell r="K3">
            <v>1650</v>
          </cell>
          <cell r="L3" t="str">
            <v>N</v>
          </cell>
          <cell r="M3" t="str">
            <v>JEFE DE LOGÍSTICA ( PERSONAL  DIRECCIÓN)</v>
          </cell>
          <cell r="N3" t="str">
            <v>0205</v>
          </cell>
          <cell r="O3" t="str">
            <v>0205 LOGISTICA</v>
          </cell>
          <cell r="P3" t="str">
            <v>0015</v>
          </cell>
          <cell r="Q3" t="str">
            <v>OFICINA  ADMINISTRATIVA</v>
          </cell>
          <cell r="R3" t="str">
            <v>JANETH DEL PILAR RIOS NIÑO DE GUZMAN</v>
          </cell>
        </row>
        <row r="4">
          <cell r="A4" t="str">
            <v>I1405</v>
          </cell>
          <cell r="B4" t="str">
            <v>VARGAS</v>
          </cell>
          <cell r="C4" t="str">
            <v>COLLAZOS</v>
          </cell>
          <cell r="D4" t="str">
            <v>MARIA GLADYS</v>
          </cell>
          <cell r="E4" t="str">
            <v>05237807</v>
          </cell>
          <cell r="F4">
            <v>23006</v>
          </cell>
          <cell r="G4">
            <v>38412</v>
          </cell>
          <cell r="H4" t="str">
            <v xml:space="preserve">  -   -</v>
          </cell>
          <cell r="I4" t="str">
            <v>HABITAT COMISIO</v>
          </cell>
          <cell r="J4" t="str">
            <v>230040MVCGL3</v>
          </cell>
          <cell r="K4">
            <v>5500</v>
          </cell>
          <cell r="L4" t="str">
            <v>S</v>
          </cell>
          <cell r="M4" t="str">
            <v>JEFE DE FINANZAS ( PERSONAL  DIRECCIÓN)</v>
          </cell>
          <cell r="N4" t="str">
            <v>27</v>
          </cell>
          <cell r="O4" t="str">
            <v>27 JR REQUENA - IQUITOS - RETA</v>
          </cell>
          <cell r="P4" t="str">
            <v>0015</v>
          </cell>
          <cell r="Q4" t="str">
            <v>OFICINA  ADMINISTRATIVA</v>
          </cell>
          <cell r="R4" t="str">
            <v>MARIA GLADYS VARGAS COLLAZOS</v>
          </cell>
        </row>
        <row r="5">
          <cell r="A5" t="str">
            <v>I1406</v>
          </cell>
          <cell r="B5" t="str">
            <v>HIDALGO</v>
          </cell>
          <cell r="C5" t="str">
            <v>SANDY</v>
          </cell>
          <cell r="D5" t="str">
            <v>BENJAMIN SEGUNDO</v>
          </cell>
          <cell r="E5" t="str">
            <v>05328425</v>
          </cell>
          <cell r="F5">
            <v>25054</v>
          </cell>
          <cell r="G5">
            <v>43587</v>
          </cell>
          <cell r="H5" t="str">
            <v xml:space="preserve">  -   -</v>
          </cell>
          <cell r="I5" t="str">
            <v>PRIMA</v>
          </cell>
          <cell r="J5" t="str">
            <v>550521BHSAD8</v>
          </cell>
          <cell r="K5">
            <v>3500</v>
          </cell>
          <cell r="L5" t="str">
            <v/>
          </cell>
          <cell r="M5" t="str">
            <v>JEFE DE CONTABILIDAD</v>
          </cell>
          <cell r="N5" t="str">
            <v>5002</v>
          </cell>
          <cell r="O5" t="str">
            <v>5002 CONTABILIDAD</v>
          </cell>
          <cell r="P5" t="str">
            <v>0015</v>
          </cell>
          <cell r="Q5" t="str">
            <v>OFICINA  ADMINISTRATIVA</v>
          </cell>
          <cell r="R5" t="str">
            <v>BENJAMIN SEGUNDO HIDALGO SANDY</v>
          </cell>
        </row>
        <row r="6">
          <cell r="A6" t="str">
            <v>I1409</v>
          </cell>
          <cell r="B6" t="str">
            <v>FACHIN</v>
          </cell>
          <cell r="C6" t="str">
            <v>PINEDO DE SUARE</v>
          </cell>
          <cell r="D6" t="str">
            <v>NORMA</v>
          </cell>
          <cell r="E6" t="str">
            <v>08735794</v>
          </cell>
          <cell r="F6">
            <v>13882</v>
          </cell>
          <cell r="G6">
            <v>38534</v>
          </cell>
          <cell r="H6" t="str">
            <v xml:space="preserve">  -   -</v>
          </cell>
          <cell r="I6" t="str">
            <v xml:space="preserve"> Sin AFP</v>
          </cell>
          <cell r="J6" t="str">
            <v/>
          </cell>
          <cell r="K6">
            <v>2500</v>
          </cell>
          <cell r="L6" t="str">
            <v/>
          </cell>
          <cell r="M6" t="str">
            <v>ASISTENTE ADMINISTRATIVO</v>
          </cell>
          <cell r="N6" t="str">
            <v>0810</v>
          </cell>
          <cell r="O6" t="str">
            <v>0810 GASTOS OPERATIVOS</v>
          </cell>
          <cell r="P6" t="str">
            <v>0013</v>
          </cell>
          <cell r="Q6" t="str">
            <v>COMISESA LIMA</v>
          </cell>
          <cell r="R6" t="str">
            <v>NORMA FACHIN PINEDO DE SUARE</v>
          </cell>
        </row>
        <row r="7">
          <cell r="A7" t="str">
            <v>I1421</v>
          </cell>
          <cell r="B7" t="str">
            <v>TORRES</v>
          </cell>
          <cell r="C7" t="str">
            <v>PINEDO</v>
          </cell>
          <cell r="D7" t="str">
            <v>SILVIA CONSUELO</v>
          </cell>
          <cell r="E7" t="str">
            <v>05234476</v>
          </cell>
          <cell r="F7">
            <v>23007</v>
          </cell>
          <cell r="G7">
            <v>41030</v>
          </cell>
          <cell r="H7" t="str">
            <v xml:space="preserve">  -   -</v>
          </cell>
          <cell r="I7" t="str">
            <v>Integra</v>
          </cell>
          <cell r="J7" t="str">
            <v>230050STDRI0</v>
          </cell>
          <cell r="K7">
            <v>1501</v>
          </cell>
          <cell r="L7" t="str">
            <v>S</v>
          </cell>
          <cell r="M7" t="str">
            <v>CAJERA/ VENDEDORA MOSTRADOR</v>
          </cell>
          <cell r="N7" t="str">
            <v>0610</v>
          </cell>
          <cell r="O7" t="str">
            <v>0610 OPERACION DE TIENDA</v>
          </cell>
          <cell r="P7" t="str">
            <v>0008</v>
          </cell>
          <cell r="Q7" t="str">
            <v>COMISESA LA MARINA</v>
          </cell>
          <cell r="R7" t="str">
            <v>SILVIA CONSUELO TORRES PINEDO</v>
          </cell>
        </row>
        <row r="8">
          <cell r="A8" t="str">
            <v>I1529</v>
          </cell>
          <cell r="B8" t="str">
            <v>RONCEROS</v>
          </cell>
          <cell r="C8" t="str">
            <v>LEVANO</v>
          </cell>
          <cell r="D8" t="str">
            <v>ALBERTO JOSE</v>
          </cell>
          <cell r="E8" t="str">
            <v>41002623</v>
          </cell>
          <cell r="F8">
            <v>29781</v>
          </cell>
          <cell r="G8">
            <v>42500</v>
          </cell>
          <cell r="H8" t="str">
            <v xml:space="preserve">  -   -</v>
          </cell>
          <cell r="I8" t="str">
            <v>HABITAT COMISIO</v>
          </cell>
          <cell r="J8" t="str">
            <v>597791ARLCA2</v>
          </cell>
          <cell r="K8">
            <v>1794</v>
          </cell>
          <cell r="L8" t="str">
            <v>S</v>
          </cell>
          <cell r="M8" t="str">
            <v>JEFE DE COMPUTO ( PERSONAL  CONFIANZA)</v>
          </cell>
          <cell r="N8" t="str">
            <v>5006</v>
          </cell>
          <cell r="O8" t="str">
            <v>5006 INFORMATICA</v>
          </cell>
          <cell r="P8" t="str">
            <v>0015</v>
          </cell>
          <cell r="Q8" t="str">
            <v>OFICINA  ADMINISTRATIVA</v>
          </cell>
          <cell r="R8" t="str">
            <v>ALBERTO JOSE RONCEROS LEVANO</v>
          </cell>
        </row>
        <row r="9">
          <cell r="A9" t="str">
            <v>I1547</v>
          </cell>
          <cell r="B9" t="str">
            <v>HERNANDEZ</v>
          </cell>
          <cell r="C9" t="str">
            <v>RAMIREZ</v>
          </cell>
          <cell r="D9" t="str">
            <v>NESTOR</v>
          </cell>
          <cell r="E9" t="str">
            <v>18181635</v>
          </cell>
          <cell r="F9">
            <v>27138</v>
          </cell>
          <cell r="G9">
            <v>39815</v>
          </cell>
          <cell r="H9" t="str">
            <v xml:space="preserve">  -   -</v>
          </cell>
          <cell r="I9" t="str">
            <v>PROFUTURO COMIS</v>
          </cell>
          <cell r="J9" t="str">
            <v>571361NHRNI9</v>
          </cell>
          <cell r="K9">
            <v>1200</v>
          </cell>
          <cell r="L9" t="str">
            <v>S</v>
          </cell>
          <cell r="M9" t="str">
            <v>JEFE DE ALMACÉN</v>
          </cell>
          <cell r="N9" t="str">
            <v>0210</v>
          </cell>
          <cell r="O9" t="str">
            <v>0210 OPERACION DE TIENDA</v>
          </cell>
          <cell r="P9" t="str">
            <v>0018</v>
          </cell>
          <cell r="Q9" t="str">
            <v>COMISESA TIENDA  ARICA</v>
          </cell>
          <cell r="R9" t="str">
            <v>NESTOR HERNANDEZ RAMIREZ</v>
          </cell>
        </row>
        <row r="10">
          <cell r="A10" t="str">
            <v>I1565</v>
          </cell>
          <cell r="B10" t="str">
            <v>MELENDEZ</v>
          </cell>
          <cell r="C10" t="str">
            <v>PUYO</v>
          </cell>
          <cell r="D10" t="str">
            <v>CRISTIAN MARTIN</v>
          </cell>
          <cell r="E10" t="str">
            <v>42407183</v>
          </cell>
          <cell r="F10">
            <v>30848</v>
          </cell>
          <cell r="G10">
            <v>40043</v>
          </cell>
          <cell r="H10" t="str">
            <v xml:space="preserve">  -   -</v>
          </cell>
          <cell r="I10" t="str">
            <v>HABITAT COMISIO</v>
          </cell>
          <cell r="J10" t="str">
            <v>608461CMPEO1</v>
          </cell>
          <cell r="K10">
            <v>1700</v>
          </cell>
          <cell r="L10" t="str">
            <v>S</v>
          </cell>
          <cell r="M10" t="str">
            <v>ASISTENTE DE LOGISTICA</v>
          </cell>
          <cell r="N10" t="str">
            <v>0205</v>
          </cell>
          <cell r="O10" t="str">
            <v>0205 LOGISTICA</v>
          </cell>
          <cell r="P10" t="str">
            <v>0015</v>
          </cell>
          <cell r="Q10" t="str">
            <v>OFICINA  ADMINISTRATIVA</v>
          </cell>
          <cell r="R10" t="str">
            <v>CRISTIAN MARTIN MELENDEZ PUYO</v>
          </cell>
        </row>
        <row r="11">
          <cell r="A11" t="str">
            <v>I1570</v>
          </cell>
          <cell r="B11" t="str">
            <v>RIOS</v>
          </cell>
          <cell r="C11" t="str">
            <v>URBINA</v>
          </cell>
          <cell r="D11" t="str">
            <v>RAMON</v>
          </cell>
          <cell r="E11" t="str">
            <v>05318237</v>
          </cell>
          <cell r="F11">
            <v>21275</v>
          </cell>
          <cell r="G11">
            <v>40087</v>
          </cell>
          <cell r="H11" t="str">
            <v xml:space="preserve">  -   -</v>
          </cell>
          <cell r="I11" t="str">
            <v>PRIMA</v>
          </cell>
          <cell r="J11" t="str">
            <v>212731RRUSI1</v>
          </cell>
          <cell r="K11">
            <v>1025</v>
          </cell>
          <cell r="L11" t="str">
            <v/>
          </cell>
          <cell r="M11" t="str">
            <v>VIGILANTE</v>
          </cell>
          <cell r="N11" t="str">
            <v>5004</v>
          </cell>
          <cell r="O11" t="str">
            <v>5004 SERVICIO DE VIGILANCIA</v>
          </cell>
          <cell r="P11" t="str">
            <v>0015</v>
          </cell>
          <cell r="Q11" t="str">
            <v>OFICINA  ADMINISTRATIVA</v>
          </cell>
          <cell r="R11" t="str">
            <v>RAMON RIOS URBINA</v>
          </cell>
        </row>
        <row r="12">
          <cell r="A12" t="str">
            <v>I1583</v>
          </cell>
          <cell r="B12" t="str">
            <v>VASQUEZ</v>
          </cell>
          <cell r="C12" t="str">
            <v>PAIMA</v>
          </cell>
          <cell r="D12" t="str">
            <v>EDGAR</v>
          </cell>
          <cell r="E12" t="str">
            <v>01159631</v>
          </cell>
          <cell r="F12">
            <v>23865</v>
          </cell>
          <cell r="G12">
            <v>40238</v>
          </cell>
          <cell r="H12" t="str">
            <v xml:space="preserve">  -   -</v>
          </cell>
          <cell r="I12" t="str">
            <v>PRIMA COMISION</v>
          </cell>
          <cell r="J12" t="str">
            <v>538631EVPQM0</v>
          </cell>
          <cell r="K12">
            <v>1025</v>
          </cell>
          <cell r="L12" t="str">
            <v>S</v>
          </cell>
          <cell r="M12" t="str">
            <v>ASISTENTE DE ALMACEN</v>
          </cell>
          <cell r="N12" t="str">
            <v>3203</v>
          </cell>
          <cell r="O12" t="str">
            <v>3203 OPERACION DE DISTRIBUCION</v>
          </cell>
          <cell r="P12" t="str">
            <v>0002</v>
          </cell>
          <cell r="Q12" t="str">
            <v>COMISESA  ALMACEN  PRINCIPAL</v>
          </cell>
          <cell r="R12" t="str">
            <v>EDGAR VASQUEZ PAIMA</v>
          </cell>
        </row>
        <row r="13">
          <cell r="A13" t="str">
            <v>I1595</v>
          </cell>
          <cell r="B13" t="str">
            <v>PASTOR</v>
          </cell>
          <cell r="C13" t="str">
            <v>WARCHELOVISKI</v>
          </cell>
          <cell r="D13" t="str">
            <v>PARIS</v>
          </cell>
          <cell r="E13" t="str">
            <v>45300255</v>
          </cell>
          <cell r="F13">
            <v>32312</v>
          </cell>
          <cell r="G13">
            <v>44198</v>
          </cell>
          <cell r="H13" t="str">
            <v xml:space="preserve">  -   -</v>
          </cell>
          <cell r="I13" t="str">
            <v>Integra</v>
          </cell>
          <cell r="J13" t="str">
            <v>623100PPWTC6</v>
          </cell>
          <cell r="K13">
            <v>2050</v>
          </cell>
          <cell r="L13" t="str">
            <v>S</v>
          </cell>
          <cell r="M13" t="str">
            <v>JEFE RECURSOS HUMANOS ( PERSONAL  CONFIANZA)</v>
          </cell>
          <cell r="N13" t="str">
            <v>5001</v>
          </cell>
          <cell r="O13" t="str">
            <v>5001 PERSONAL</v>
          </cell>
          <cell r="P13" t="str">
            <v>0015</v>
          </cell>
          <cell r="Q13" t="str">
            <v>OFICINA  ADMINISTRATIVA</v>
          </cell>
          <cell r="R13" t="str">
            <v>PARIS PASTOR WARCHELOVISKI</v>
          </cell>
        </row>
        <row r="14">
          <cell r="A14" t="str">
            <v>I1614</v>
          </cell>
          <cell r="B14" t="str">
            <v>OCHICUA</v>
          </cell>
          <cell r="C14" t="str">
            <v>ANCCO</v>
          </cell>
          <cell r="D14" t="str">
            <v>JUAN CARLOS</v>
          </cell>
          <cell r="E14" t="str">
            <v>10089635</v>
          </cell>
          <cell r="F14">
            <v>27446</v>
          </cell>
          <cell r="G14">
            <v>42614</v>
          </cell>
          <cell r="H14" t="str">
            <v xml:space="preserve">  -   -</v>
          </cell>
          <cell r="I14" t="str">
            <v xml:space="preserve"> Sin AFP</v>
          </cell>
          <cell r="J14" t="str">
            <v/>
          </cell>
          <cell r="K14">
            <v>1200</v>
          </cell>
          <cell r="L14" t="str">
            <v>S</v>
          </cell>
          <cell r="M14" t="str">
            <v>ASISTENTE ADMINISTRATIVO</v>
          </cell>
          <cell r="N14" t="str">
            <v>0810</v>
          </cell>
          <cell r="O14" t="str">
            <v>0810 GASTOS OPERATIVOS</v>
          </cell>
          <cell r="P14" t="str">
            <v>0013</v>
          </cell>
          <cell r="Q14" t="str">
            <v>COMISESA LIMA</v>
          </cell>
          <cell r="R14" t="str">
            <v>JUAN CARLOS OCHICUA ANCCO</v>
          </cell>
        </row>
        <row r="15">
          <cell r="A15" t="str">
            <v>I1684</v>
          </cell>
          <cell r="B15" t="str">
            <v>GIL</v>
          </cell>
          <cell r="C15" t="str">
            <v>CORRALES</v>
          </cell>
          <cell r="D15" t="str">
            <v>MARIA ELITA</v>
          </cell>
          <cell r="E15" t="str">
            <v>46736055</v>
          </cell>
          <cell r="F15">
            <v>33039</v>
          </cell>
          <cell r="G15">
            <v>43542</v>
          </cell>
          <cell r="H15" t="str">
            <v xml:space="preserve">  -   -</v>
          </cell>
          <cell r="I15" t="str">
            <v>PROFUTURO COMIS</v>
          </cell>
          <cell r="J15" t="str">
            <v>330370MGCLR0</v>
          </cell>
          <cell r="K15">
            <v>1500</v>
          </cell>
          <cell r="L15" t="str">
            <v>S</v>
          </cell>
          <cell r="M15" t="str">
            <v>ADMINISTRADORA DE SUCURSAL</v>
          </cell>
          <cell r="N15" t="str">
            <v>3511</v>
          </cell>
          <cell r="O15" t="str">
            <v>3511 OPERACION DE TIENDA</v>
          </cell>
          <cell r="P15" t="str">
            <v>0041</v>
          </cell>
          <cell r="Q15" t="str">
            <v>COMISESA  PUERTO MALDONADO</v>
          </cell>
          <cell r="R15" t="str">
            <v>MARIA ELITA GIL CORRALES</v>
          </cell>
        </row>
        <row r="16">
          <cell r="A16" t="str">
            <v>I1691</v>
          </cell>
          <cell r="B16" t="str">
            <v>PANDURO</v>
          </cell>
          <cell r="C16" t="str">
            <v>TAPULLIMA</v>
          </cell>
          <cell r="D16" t="str">
            <v>MONICA GABRIELA</v>
          </cell>
          <cell r="E16" t="str">
            <v>47222428</v>
          </cell>
          <cell r="F16">
            <v>33766</v>
          </cell>
          <cell r="G16">
            <v>44564</v>
          </cell>
          <cell r="H16" t="str">
            <v xml:space="preserve">  -   -</v>
          </cell>
          <cell r="I16" t="str">
            <v>INTEGRA COMISIO</v>
          </cell>
          <cell r="J16" t="str">
            <v>337640MPTDU7</v>
          </cell>
          <cell r="K16">
            <v>1025</v>
          </cell>
          <cell r="L16" t="str">
            <v>S</v>
          </cell>
          <cell r="M16" t="str">
            <v>CAJA/ VENTAS MOSTRADOR</v>
          </cell>
          <cell r="N16" t="str">
            <v>0312</v>
          </cell>
          <cell r="O16" t="str">
            <v>0312 OPERACION DE TIENDA</v>
          </cell>
          <cell r="P16" t="str">
            <v>0004</v>
          </cell>
          <cell r="Q16" t="str">
            <v>COMISESA  PUCALLPA</v>
          </cell>
          <cell r="R16" t="str">
            <v>MONICA GABRIELA PANDURO TAPULLIMA</v>
          </cell>
        </row>
        <row r="17">
          <cell r="A17" t="str">
            <v>I1713</v>
          </cell>
          <cell r="B17" t="str">
            <v>SUAREZ</v>
          </cell>
          <cell r="C17" t="str">
            <v>FACHIN</v>
          </cell>
          <cell r="D17" t="str">
            <v>NORMA DALIA</v>
          </cell>
          <cell r="E17" t="str">
            <v>08740118</v>
          </cell>
          <cell r="F17">
            <v>21957</v>
          </cell>
          <cell r="G17">
            <v>41183</v>
          </cell>
          <cell r="H17" t="str">
            <v xml:space="preserve">  -   -</v>
          </cell>
          <cell r="I17" t="str">
            <v>Integra</v>
          </cell>
          <cell r="J17" t="str">
            <v>219550NSFRH1</v>
          </cell>
          <cell r="K17">
            <v>3500</v>
          </cell>
          <cell r="L17" t="str">
            <v/>
          </cell>
          <cell r="M17" t="str">
            <v>ADMINISTRADORA</v>
          </cell>
          <cell r="N17" t="str">
            <v>0810</v>
          </cell>
          <cell r="O17" t="str">
            <v>0810 GASTOS OPERATIVOS</v>
          </cell>
          <cell r="P17" t="str">
            <v>0013</v>
          </cell>
          <cell r="Q17" t="str">
            <v>COMISESA LIMA</v>
          </cell>
          <cell r="R17" t="str">
            <v>NORMA DALIA SUAREZ FACHIN</v>
          </cell>
        </row>
        <row r="18">
          <cell r="A18" t="str">
            <v>I1740</v>
          </cell>
          <cell r="B18" t="str">
            <v>FACHIN</v>
          </cell>
          <cell r="C18" t="str">
            <v>JARAMA</v>
          </cell>
          <cell r="D18" t="str">
            <v>MARIA GRACIA</v>
          </cell>
          <cell r="E18" t="str">
            <v>44360323</v>
          </cell>
          <cell r="F18">
            <v>31944</v>
          </cell>
          <cell r="G18">
            <v>44198</v>
          </cell>
          <cell r="H18" t="str">
            <v xml:space="preserve">  -   -</v>
          </cell>
          <cell r="I18" t="str">
            <v>INTEGRA COMISIO</v>
          </cell>
          <cell r="J18" t="str">
            <v>619420MFJHA3</v>
          </cell>
          <cell r="K18">
            <v>8000</v>
          </cell>
          <cell r="L18" t="str">
            <v>S</v>
          </cell>
          <cell r="M18" t="str">
            <v>GERENTE GENERAL ( PERSONAL  DIRECCIÓN)</v>
          </cell>
          <cell r="N18" t="str">
            <v>5011</v>
          </cell>
          <cell r="O18" t="str">
            <v>5011 ADMINISTRACION</v>
          </cell>
          <cell r="P18" t="str">
            <v>0015</v>
          </cell>
          <cell r="Q18" t="str">
            <v>OFICINA  ADMINISTRATIVA</v>
          </cell>
          <cell r="R18" t="str">
            <v>MARIA GRACIA FACHIN JARAMA</v>
          </cell>
        </row>
        <row r="19">
          <cell r="A19" t="str">
            <v>I1777</v>
          </cell>
          <cell r="B19" t="str">
            <v>GUERRA</v>
          </cell>
          <cell r="C19" t="str">
            <v>FLORES</v>
          </cell>
          <cell r="D19" t="str">
            <v>MIGUEL</v>
          </cell>
          <cell r="E19" t="str">
            <v>05791517</v>
          </cell>
          <cell r="F19">
            <v>25944</v>
          </cell>
          <cell r="G19">
            <v>41579</v>
          </cell>
          <cell r="H19" t="str">
            <v xml:space="preserve">  -   -</v>
          </cell>
          <cell r="I19" t="str">
            <v>INTEGRA COMISIO</v>
          </cell>
          <cell r="J19" t="str">
            <v>559421MGFRR1</v>
          </cell>
          <cell r="K19">
            <v>1025</v>
          </cell>
          <cell r="L19" t="str">
            <v>S</v>
          </cell>
          <cell r="M19" t="str">
            <v>VIGILANTE</v>
          </cell>
          <cell r="N19" t="str">
            <v>0510</v>
          </cell>
          <cell r="O19" t="str">
            <v>0510 OPERACION DE TIENDA</v>
          </cell>
          <cell r="P19" t="str">
            <v>0011</v>
          </cell>
          <cell r="Q19" t="str">
            <v>COMISESA ISLANDIA</v>
          </cell>
          <cell r="R19" t="str">
            <v>MIGUEL GUERRA FLORES</v>
          </cell>
        </row>
        <row r="20">
          <cell r="A20" t="str">
            <v>I1676</v>
          </cell>
          <cell r="B20" t="str">
            <v>CORDOVA</v>
          </cell>
          <cell r="C20" t="str">
            <v>LOPEZ</v>
          </cell>
          <cell r="D20" t="str">
            <v>GIPSI LUZ</v>
          </cell>
          <cell r="E20" t="str">
            <v>47704276</v>
          </cell>
          <cell r="F20">
            <v>34069</v>
          </cell>
          <cell r="G20">
            <v>44287</v>
          </cell>
          <cell r="H20" t="str">
            <v xml:space="preserve">  -   -</v>
          </cell>
          <cell r="I20" t="str">
            <v>PROFUTURO COMIS</v>
          </cell>
          <cell r="J20" t="str">
            <v>640670GCLDE4</v>
          </cell>
          <cell r="K20">
            <v>1100</v>
          </cell>
          <cell r="L20" t="str">
            <v/>
          </cell>
          <cell r="M20" t="str">
            <v>ADMINIST. DE SUCURSAL</v>
          </cell>
          <cell r="N20" t="str">
            <v>1010</v>
          </cell>
          <cell r="O20" t="str">
            <v>1010 OPERACION DE TIENDA</v>
          </cell>
          <cell r="P20" t="str">
            <v>0020</v>
          </cell>
          <cell r="Q20" t="str">
            <v>COMISESA YURIMAGUA</v>
          </cell>
          <cell r="R20" t="str">
            <v>GIPSI LUZ CORDOVA LOPEZ</v>
          </cell>
        </row>
        <row r="21">
          <cell r="A21" t="str">
            <v>I1816</v>
          </cell>
          <cell r="B21" t="str">
            <v>INUMA</v>
          </cell>
          <cell r="C21" t="str">
            <v>GONZALES</v>
          </cell>
          <cell r="D21" t="str">
            <v>GEISER</v>
          </cell>
          <cell r="E21" t="str">
            <v>71255269</v>
          </cell>
          <cell r="F21">
            <v>34162</v>
          </cell>
          <cell r="G21">
            <v>44166</v>
          </cell>
          <cell r="H21" t="str">
            <v xml:space="preserve">  -   -</v>
          </cell>
          <cell r="I21" t="str">
            <v>HABITAT COMISIO</v>
          </cell>
          <cell r="J21" t="str">
            <v>641601GIGMZ4</v>
          </cell>
          <cell r="K21">
            <v>1100</v>
          </cell>
          <cell r="L21" t="str">
            <v>N</v>
          </cell>
          <cell r="M21" t="str">
            <v>JEFE DE ALM,ACÉN</v>
          </cell>
          <cell r="N21" t="str">
            <v>3203</v>
          </cell>
          <cell r="O21" t="str">
            <v>3203 OPERACION DE DISTRIBUCION</v>
          </cell>
          <cell r="P21" t="str">
            <v>0002</v>
          </cell>
          <cell r="Q21" t="str">
            <v>COMISESA  ALMACEN  PRINCIPAL</v>
          </cell>
          <cell r="R21" t="str">
            <v>GEISER INUMA GONZALES</v>
          </cell>
        </row>
        <row r="22">
          <cell r="A22" t="str">
            <v>I1884</v>
          </cell>
          <cell r="B22" t="str">
            <v>ZAVALETA</v>
          </cell>
          <cell r="C22" t="str">
            <v>ARIAS</v>
          </cell>
          <cell r="D22" t="str">
            <v>ORZON LUIGI</v>
          </cell>
          <cell r="E22" t="str">
            <v>71101339</v>
          </cell>
          <cell r="F22">
            <v>34063</v>
          </cell>
          <cell r="G22">
            <v>43509</v>
          </cell>
          <cell r="H22" t="str">
            <v xml:space="preserve">  -   -</v>
          </cell>
          <cell r="I22" t="str">
            <v>HABITAT COMISIO</v>
          </cell>
          <cell r="J22" t="str">
            <v>640611OZAAA2</v>
          </cell>
          <cell r="K22">
            <v>1200</v>
          </cell>
          <cell r="L22" t="str">
            <v>N</v>
          </cell>
          <cell r="M22" t="str">
            <v>JEFE DE AUDITORIA</v>
          </cell>
          <cell r="N22" t="str">
            <v>5009</v>
          </cell>
          <cell r="O22" t="str">
            <v>5009 AUDITORIA</v>
          </cell>
          <cell r="P22" t="str">
            <v>0015</v>
          </cell>
          <cell r="Q22" t="str">
            <v>OFICINA  ADMINISTRATIVA</v>
          </cell>
          <cell r="R22" t="str">
            <v>ORZON LUIGI ZAVALETA ARIAS</v>
          </cell>
        </row>
        <row r="23">
          <cell r="A23" t="str">
            <v>I1894</v>
          </cell>
          <cell r="B23" t="str">
            <v>AMASIFUEN</v>
          </cell>
          <cell r="C23" t="str">
            <v>CHONG</v>
          </cell>
          <cell r="D23" t="str">
            <v>JOSE JAVIER</v>
          </cell>
          <cell r="E23" t="str">
            <v>44133044</v>
          </cell>
          <cell r="F23">
            <v>30758</v>
          </cell>
          <cell r="G23">
            <v>44270</v>
          </cell>
          <cell r="H23" t="str">
            <v xml:space="preserve">  -   -</v>
          </cell>
          <cell r="I23" t="str">
            <v>PROFUTURO COMIS</v>
          </cell>
          <cell r="J23" t="str">
            <v>607561JACSN7</v>
          </cell>
          <cell r="K23">
            <v>1025</v>
          </cell>
          <cell r="L23" t="str">
            <v>S</v>
          </cell>
          <cell r="M23" t="str">
            <v>ASISTENTE ADMINISTRATIVO</v>
          </cell>
          <cell r="N23" t="str">
            <v>0510</v>
          </cell>
          <cell r="O23" t="str">
            <v>0510 OPERACION DE TIENDA</v>
          </cell>
          <cell r="P23" t="str">
            <v>0011</v>
          </cell>
          <cell r="Q23" t="str">
            <v>COMISESA ISLANDIA</v>
          </cell>
          <cell r="R23" t="str">
            <v>JOSE JAVIER AMASIFUEN CHONG</v>
          </cell>
        </row>
        <row r="24">
          <cell r="A24" t="str">
            <v>I1966</v>
          </cell>
          <cell r="B24" t="str">
            <v>FLORES</v>
          </cell>
          <cell r="C24" t="str">
            <v>GUERRA</v>
          </cell>
          <cell r="D24" t="str">
            <v>GILDA ROSMERY</v>
          </cell>
          <cell r="E24" t="str">
            <v>47451804</v>
          </cell>
          <cell r="F24">
            <v>33321</v>
          </cell>
          <cell r="G24">
            <v>43900</v>
          </cell>
          <cell r="H24" t="str">
            <v xml:space="preserve">  -   -</v>
          </cell>
          <cell r="I24" t="str">
            <v>PRIMA</v>
          </cell>
          <cell r="J24" t="str">
            <v>633191GFGRR9</v>
          </cell>
          <cell r="K24">
            <v>1100</v>
          </cell>
          <cell r="L24" t="str">
            <v>S</v>
          </cell>
          <cell r="M24" t="str">
            <v>SUPERVISORA DE VENTAS</v>
          </cell>
          <cell r="N24" t="str">
            <v>0312</v>
          </cell>
          <cell r="O24" t="str">
            <v>0312 OPERACION DE TIENDA</v>
          </cell>
          <cell r="P24" t="str">
            <v>0004</v>
          </cell>
          <cell r="Q24" t="str">
            <v>COMISESA  PUCALLPA</v>
          </cell>
          <cell r="R24" t="str">
            <v>GILDA ROSMERY FLORES GUERRA</v>
          </cell>
        </row>
        <row r="25">
          <cell r="A25" t="str">
            <v>I2032</v>
          </cell>
          <cell r="B25" t="str">
            <v>TAFUR</v>
          </cell>
          <cell r="C25" t="str">
            <v>LOPEZ</v>
          </cell>
          <cell r="D25" t="str">
            <v>KARINA</v>
          </cell>
          <cell r="E25" t="str">
            <v>73038904</v>
          </cell>
          <cell r="F25">
            <v>34217</v>
          </cell>
          <cell r="G25">
            <v>44228</v>
          </cell>
          <cell r="H25" t="str">
            <v xml:space="preserve">  -   -</v>
          </cell>
          <cell r="I25" t="str">
            <v>PRIMA COMISION</v>
          </cell>
          <cell r="J25" t="str">
            <v>642150KTLUE9</v>
          </cell>
          <cell r="K25">
            <v>1025</v>
          </cell>
          <cell r="L25" t="str">
            <v>S</v>
          </cell>
          <cell r="M25" t="str">
            <v>ASISTENTE ADMINISTRATIVO</v>
          </cell>
          <cell r="N25" t="str">
            <v>0411</v>
          </cell>
          <cell r="O25" t="str">
            <v>0411 OPERACION DE TIENDA</v>
          </cell>
          <cell r="P25" t="str">
            <v>0009</v>
          </cell>
          <cell r="Q25" t="str">
            <v>COMISESA TARAPOTO</v>
          </cell>
          <cell r="R25" t="str">
            <v>KARINA TAFUR LOPEZ</v>
          </cell>
        </row>
        <row r="26">
          <cell r="A26" t="str">
            <v>I2049</v>
          </cell>
          <cell r="B26" t="str">
            <v>DEL CASTILLO</v>
          </cell>
          <cell r="C26" t="str">
            <v>CHILICAHUA</v>
          </cell>
          <cell r="D26" t="str">
            <v>LETIAMOR</v>
          </cell>
          <cell r="E26" t="str">
            <v>70671923</v>
          </cell>
          <cell r="F26">
            <v>34396</v>
          </cell>
          <cell r="G26">
            <v>43328</v>
          </cell>
          <cell r="H26" t="str">
            <v xml:space="preserve">  -   -</v>
          </cell>
          <cell r="I26" t="str">
            <v xml:space="preserve"> Sin AFP</v>
          </cell>
          <cell r="J26" t="str">
            <v/>
          </cell>
          <cell r="K26">
            <v>1025</v>
          </cell>
          <cell r="L26" t="str">
            <v>S</v>
          </cell>
          <cell r="M26" t="str">
            <v>CAJA/ VENTAS MOSTRADOR</v>
          </cell>
          <cell r="N26" t="str">
            <v>1010</v>
          </cell>
          <cell r="O26" t="str">
            <v>1010 OPERACION DE TIENDA</v>
          </cell>
          <cell r="P26" t="str">
            <v>0020</v>
          </cell>
          <cell r="Q26" t="str">
            <v>COMISESA YURIMAGUA</v>
          </cell>
          <cell r="R26" t="str">
            <v>LETIAMOR DEL CASTILLO CHILICAHUA</v>
          </cell>
        </row>
        <row r="27">
          <cell r="A27" t="str">
            <v>I2054</v>
          </cell>
          <cell r="B27" t="str">
            <v>GONZALES</v>
          </cell>
          <cell r="C27" t="str">
            <v>ESPIRITU</v>
          </cell>
          <cell r="D27" t="str">
            <v>SEGUNDO OSWALDO</v>
          </cell>
          <cell r="E27" t="str">
            <v>47131000</v>
          </cell>
          <cell r="F27">
            <v>33424</v>
          </cell>
          <cell r="G27">
            <v>43374</v>
          </cell>
          <cell r="H27" t="str">
            <v xml:space="preserve">  -   -</v>
          </cell>
          <cell r="I27" t="str">
            <v>PRIMA COMISION</v>
          </cell>
          <cell r="J27" t="str">
            <v>334221SGEZI0</v>
          </cell>
          <cell r="K27">
            <v>1200</v>
          </cell>
          <cell r="L27" t="str">
            <v>N</v>
          </cell>
          <cell r="M27" t="str">
            <v>JEFE DE ALMACÉN</v>
          </cell>
          <cell r="N27" t="str">
            <v>3402</v>
          </cell>
          <cell r="O27" t="str">
            <v>3402 OPERACIÓN DE DISTRIBUCIÓN</v>
          </cell>
          <cell r="P27" t="str">
            <v>0004</v>
          </cell>
          <cell r="Q27" t="str">
            <v>COMISESA  PUCALLPA</v>
          </cell>
          <cell r="R27" t="str">
            <v>SEGUNDO OSWALDO GONZALES ESPIRITU</v>
          </cell>
        </row>
        <row r="28">
          <cell r="A28" t="str">
            <v>I2073</v>
          </cell>
          <cell r="B28" t="str">
            <v>IHUARAQUI</v>
          </cell>
          <cell r="C28" t="str">
            <v>CARIVES</v>
          </cell>
          <cell r="D28" t="str">
            <v>DINO DANNY</v>
          </cell>
          <cell r="E28" t="str">
            <v>42367985</v>
          </cell>
          <cell r="F28">
            <v>30657</v>
          </cell>
          <cell r="G28">
            <v>44470</v>
          </cell>
          <cell r="H28" t="str">
            <v xml:space="preserve">  -   -</v>
          </cell>
          <cell r="I28" t="str">
            <v>Profuturo</v>
          </cell>
          <cell r="J28" t="str">
            <v>606551DICAI2</v>
          </cell>
          <cell r="K28">
            <v>1025</v>
          </cell>
          <cell r="L28" t="str">
            <v>N</v>
          </cell>
          <cell r="M28" t="str">
            <v>JEFE DE ALMACÉN</v>
          </cell>
          <cell r="N28" t="str">
            <v>0610</v>
          </cell>
          <cell r="O28" t="str">
            <v>0610 OPERACION DE TIENDA</v>
          </cell>
          <cell r="P28" t="str">
            <v>0008</v>
          </cell>
          <cell r="Q28" t="str">
            <v>COMISESA LA MARINA</v>
          </cell>
          <cell r="R28" t="str">
            <v>DINO DANNY IHUARAQUI CARIVES</v>
          </cell>
        </row>
        <row r="29">
          <cell r="A29" t="str">
            <v>I2077</v>
          </cell>
          <cell r="B29" t="str">
            <v>MOLANO</v>
          </cell>
          <cell r="C29" t="str">
            <v>GARCIA</v>
          </cell>
          <cell r="D29" t="str">
            <v>LUZ MARICIELO</v>
          </cell>
          <cell r="E29" t="str">
            <v>77486187</v>
          </cell>
          <cell r="F29">
            <v>35692</v>
          </cell>
          <cell r="G29">
            <v>44774</v>
          </cell>
          <cell r="H29" t="str">
            <v xml:space="preserve">  -   -</v>
          </cell>
          <cell r="I29" t="str">
            <v>PRIMA COMISION</v>
          </cell>
          <cell r="J29" t="str">
            <v>656900LMGAC9</v>
          </cell>
          <cell r="K29">
            <v>1025</v>
          </cell>
          <cell r="L29" t="str">
            <v>S</v>
          </cell>
          <cell r="M29" t="str">
            <v>CAJERA/ VENDEDORA MOSTRADOR</v>
          </cell>
          <cell r="N29" t="str">
            <v>0210</v>
          </cell>
          <cell r="O29" t="str">
            <v>0210 OPERACION DE TIENDA</v>
          </cell>
          <cell r="P29" t="str">
            <v>0018</v>
          </cell>
          <cell r="Q29" t="str">
            <v>COMISESA TIENDA  ARICA</v>
          </cell>
          <cell r="R29" t="str">
            <v>LUZ MARICIELO MOLANO GARCIA</v>
          </cell>
        </row>
        <row r="30">
          <cell r="A30" t="str">
            <v>I2099</v>
          </cell>
          <cell r="B30" t="str">
            <v>VILLACORTA</v>
          </cell>
          <cell r="C30" t="str">
            <v>MANIHUARI</v>
          </cell>
          <cell r="D30" t="str">
            <v>CARLOS CESAR</v>
          </cell>
          <cell r="E30" t="str">
            <v>41515716</v>
          </cell>
          <cell r="F30">
            <v>30244</v>
          </cell>
          <cell r="G30">
            <v>44805</v>
          </cell>
          <cell r="H30" t="str">
            <v xml:space="preserve">  -   -</v>
          </cell>
          <cell r="I30" t="str">
            <v>PRIMA COMISION</v>
          </cell>
          <cell r="J30" t="str">
            <v>602421CVMLI3</v>
          </cell>
          <cell r="K30">
            <v>1050</v>
          </cell>
          <cell r="L30" t="str">
            <v>S</v>
          </cell>
          <cell r="M30" t="str">
            <v>ASESOR DE VENTAS CIUDAD/CAMPO</v>
          </cell>
          <cell r="N30" t="str">
            <v>0710</v>
          </cell>
          <cell r="O30" t="str">
            <v>0710 OPERACION DE TIENDA</v>
          </cell>
          <cell r="P30" t="str">
            <v>0014</v>
          </cell>
          <cell r="Q30" t="str">
            <v>COMISESA 9 DE DICIEMBRE</v>
          </cell>
          <cell r="R30" t="str">
            <v>CARLOS CESAR VILLACORTA MANIHUARI</v>
          </cell>
        </row>
        <row r="31">
          <cell r="A31" t="str">
            <v>I2124</v>
          </cell>
          <cell r="B31" t="str">
            <v>MANUYAMA</v>
          </cell>
          <cell r="C31" t="str">
            <v>ALTAMIRANO</v>
          </cell>
          <cell r="D31" t="str">
            <v>KAYGER</v>
          </cell>
          <cell r="E31" t="str">
            <v>05791643</v>
          </cell>
          <cell r="F31">
            <v>27277</v>
          </cell>
          <cell r="G31">
            <v>44013</v>
          </cell>
          <cell r="H31" t="str">
            <v xml:space="preserve">  -   -</v>
          </cell>
          <cell r="I31" t="str">
            <v>Integra</v>
          </cell>
          <cell r="J31" t="str">
            <v>572751KMAUA4</v>
          </cell>
          <cell r="K31">
            <v>1025</v>
          </cell>
          <cell r="L31" t="str">
            <v>S</v>
          </cell>
          <cell r="M31" t="str">
            <v>AUXILIAR DE ALMACÉN</v>
          </cell>
          <cell r="N31" t="str">
            <v>0510</v>
          </cell>
          <cell r="O31" t="str">
            <v>0510 OPERACION DE TIENDA</v>
          </cell>
          <cell r="P31" t="str">
            <v>0011</v>
          </cell>
          <cell r="Q31" t="str">
            <v>COMISESA ISLANDIA</v>
          </cell>
          <cell r="R31" t="str">
            <v>KAYGER MANUYAMA ALTAMIRANO</v>
          </cell>
        </row>
        <row r="32">
          <cell r="A32" t="str">
            <v>I2129</v>
          </cell>
          <cell r="B32" t="str">
            <v>PITA</v>
          </cell>
          <cell r="C32" t="str">
            <v>HIDALGO</v>
          </cell>
          <cell r="D32" t="str">
            <v>EYNER</v>
          </cell>
          <cell r="E32" t="str">
            <v>45154286</v>
          </cell>
          <cell r="F32">
            <v>32318</v>
          </cell>
          <cell r="G32">
            <v>44113</v>
          </cell>
          <cell r="H32" t="str">
            <v xml:space="preserve">  -   -</v>
          </cell>
          <cell r="I32" t="str">
            <v>INTEGRA COMISIO</v>
          </cell>
          <cell r="J32" t="str">
            <v>623161EPHAA2</v>
          </cell>
          <cell r="K32">
            <v>1200</v>
          </cell>
          <cell r="L32" t="str">
            <v>S</v>
          </cell>
          <cell r="M32" t="str">
            <v>ADMINISTRADOR</v>
          </cell>
          <cell r="N32" t="str">
            <v>0710</v>
          </cell>
          <cell r="O32" t="str">
            <v>0710 OPERACION DE TIENDA</v>
          </cell>
          <cell r="P32" t="str">
            <v>0014</v>
          </cell>
          <cell r="Q32" t="str">
            <v>COMISESA 9 DE DICIEMBRE</v>
          </cell>
          <cell r="R32" t="str">
            <v>EYNER PITA HIDALGO</v>
          </cell>
        </row>
        <row r="33">
          <cell r="A33" t="str">
            <v>I2133</v>
          </cell>
          <cell r="B33" t="str">
            <v>PACAYA</v>
          </cell>
          <cell r="C33" t="str">
            <v>GRIFA</v>
          </cell>
          <cell r="D33" t="str">
            <v>JERIOT ISAAC</v>
          </cell>
          <cell r="E33" t="str">
            <v>76649662</v>
          </cell>
          <cell r="F33">
            <v>35267</v>
          </cell>
          <cell r="G33">
            <v>44652</v>
          </cell>
          <cell r="H33" t="str">
            <v xml:space="preserve">  -   -</v>
          </cell>
          <cell r="I33" t="str">
            <v>INTEGRA COMISIO</v>
          </cell>
          <cell r="J33" t="str">
            <v>652651JPGAF6</v>
          </cell>
          <cell r="K33">
            <v>1200</v>
          </cell>
          <cell r="L33" t="str">
            <v>N</v>
          </cell>
          <cell r="M33" t="str">
            <v>ASESOR DE VENTAS CIUDAD/ CAMPO</v>
          </cell>
          <cell r="N33" t="str">
            <v>3511</v>
          </cell>
          <cell r="O33" t="str">
            <v>3511 OPERACION DE TIENDA</v>
          </cell>
          <cell r="P33" t="str">
            <v>0041</v>
          </cell>
          <cell r="Q33" t="str">
            <v>COMISESA  PUERTO MALDONADO</v>
          </cell>
          <cell r="R33" t="str">
            <v>JERIOT ISAAC PACAYA GRIFA</v>
          </cell>
        </row>
        <row r="34">
          <cell r="A34" t="str">
            <v>I2137</v>
          </cell>
          <cell r="B34" t="str">
            <v>VASQUEZ</v>
          </cell>
          <cell r="C34" t="str">
            <v>JESUS</v>
          </cell>
          <cell r="D34" t="str">
            <v>MICHAEL JORDAN</v>
          </cell>
          <cell r="E34" t="str">
            <v>72860992</v>
          </cell>
          <cell r="F34">
            <v>34790</v>
          </cell>
          <cell r="G34">
            <v>44256</v>
          </cell>
          <cell r="H34" t="str">
            <v xml:space="preserve">  -   -</v>
          </cell>
          <cell r="I34" t="str">
            <v>INTEGRA COMISIO</v>
          </cell>
          <cell r="J34" t="str">
            <v>347881MVJQU8</v>
          </cell>
          <cell r="K34">
            <v>1025</v>
          </cell>
          <cell r="L34" t="str">
            <v>N</v>
          </cell>
          <cell r="M34" t="str">
            <v>ASISTENTE ADMINISTRATIVO</v>
          </cell>
          <cell r="N34" t="str">
            <v>0411</v>
          </cell>
          <cell r="O34" t="str">
            <v>0411 OPERACION DE TIENDA</v>
          </cell>
          <cell r="P34" t="str">
            <v>0009</v>
          </cell>
          <cell r="Q34" t="str">
            <v>COMISESA TARAPOTO</v>
          </cell>
          <cell r="R34" t="str">
            <v>MICHAEL JORDAN VASQUEZ JESUS</v>
          </cell>
        </row>
        <row r="35">
          <cell r="A35" t="str">
            <v>I2138</v>
          </cell>
          <cell r="B35" t="str">
            <v>FLORES</v>
          </cell>
          <cell r="C35" t="str">
            <v>GARCIA</v>
          </cell>
          <cell r="D35" t="str">
            <v>FRANCISCO</v>
          </cell>
          <cell r="E35" t="str">
            <v>41980015</v>
          </cell>
          <cell r="F35">
            <v>30530</v>
          </cell>
          <cell r="G35">
            <v>44296</v>
          </cell>
          <cell r="H35" t="str">
            <v xml:space="preserve">  -   -</v>
          </cell>
          <cell r="I35" t="str">
            <v>INTEGRA COMISIO</v>
          </cell>
          <cell r="J35" t="str">
            <v>605281FFGRC2</v>
          </cell>
          <cell r="K35">
            <v>1025</v>
          </cell>
          <cell r="L35" t="str">
            <v>S</v>
          </cell>
          <cell r="M35" t="str">
            <v>ASESOR DE VENTAS CIUDAD/ CAMPO</v>
          </cell>
          <cell r="N35" t="str">
            <v>0411</v>
          </cell>
          <cell r="O35" t="str">
            <v>0411 OPERACION DE TIENDA</v>
          </cell>
          <cell r="P35" t="str">
            <v>0009</v>
          </cell>
          <cell r="Q35" t="str">
            <v>COMISESA TARAPOTO</v>
          </cell>
          <cell r="R35" t="str">
            <v>FRANCISCO FLORES GARCIA</v>
          </cell>
        </row>
        <row r="36">
          <cell r="A36" t="str">
            <v>I2144</v>
          </cell>
          <cell r="B36" t="str">
            <v>FLORES</v>
          </cell>
          <cell r="C36" t="str">
            <v>AHUANARI</v>
          </cell>
          <cell r="D36" t="str">
            <v>REYES ABEL</v>
          </cell>
          <cell r="E36" t="str">
            <v>75972187</v>
          </cell>
          <cell r="F36">
            <v>34814</v>
          </cell>
          <cell r="G36">
            <v>44440</v>
          </cell>
          <cell r="H36" t="str">
            <v xml:space="preserve">  -   -</v>
          </cell>
          <cell r="I36" t="str">
            <v>INTEGRA COMISIO</v>
          </cell>
          <cell r="J36" t="str">
            <v>648121RFARA0</v>
          </cell>
          <cell r="K36">
            <v>1025</v>
          </cell>
          <cell r="L36" t="str">
            <v>S</v>
          </cell>
          <cell r="M36" t="str">
            <v>AUXILIAR DE ALMACÉN</v>
          </cell>
          <cell r="N36" t="str">
            <v>0312</v>
          </cell>
          <cell r="O36" t="str">
            <v>0312 OPERACION DE TIENDA</v>
          </cell>
          <cell r="P36" t="str">
            <v>0004</v>
          </cell>
          <cell r="Q36" t="str">
            <v>COMISESA  PUCALLPA</v>
          </cell>
          <cell r="R36" t="str">
            <v>REYES ABEL FLORES AHUANARI</v>
          </cell>
        </row>
        <row r="37">
          <cell r="A37" t="str">
            <v>I2148</v>
          </cell>
          <cell r="B37" t="str">
            <v>GUERRA</v>
          </cell>
          <cell r="C37" t="str">
            <v>VELA</v>
          </cell>
          <cell r="D37" t="str">
            <v>JORDIE MOOLLER</v>
          </cell>
          <cell r="E37" t="str">
            <v>73956846</v>
          </cell>
          <cell r="F37">
            <v>35833</v>
          </cell>
          <cell r="G37">
            <v>44531</v>
          </cell>
          <cell r="H37" t="str">
            <v xml:space="preserve">  -   -</v>
          </cell>
          <cell r="I37" t="str">
            <v>INTEGRA COMISIO</v>
          </cell>
          <cell r="J37" t="str">
            <v>658311JGVRA1</v>
          </cell>
          <cell r="K37">
            <v>1025</v>
          </cell>
          <cell r="L37" t="str">
            <v>N</v>
          </cell>
          <cell r="M37" t="str">
            <v>AUXILIAR DE ALMACÉN</v>
          </cell>
          <cell r="N37" t="str">
            <v>0210</v>
          </cell>
          <cell r="O37" t="str">
            <v>0210 OPERACION DE TIENDA</v>
          </cell>
          <cell r="P37" t="str">
            <v>0018</v>
          </cell>
          <cell r="Q37" t="str">
            <v>COMISESA TIENDA  ARICA</v>
          </cell>
          <cell r="R37" t="str">
            <v>JORDIE MOOLLER GUERRA VELA</v>
          </cell>
        </row>
        <row r="38">
          <cell r="A38" t="str">
            <v>I2150</v>
          </cell>
          <cell r="B38" t="str">
            <v>RAMIREZ</v>
          </cell>
          <cell r="C38" t="str">
            <v>VIENA</v>
          </cell>
          <cell r="D38" t="str">
            <v>JHORKAED AGUSTIN</v>
          </cell>
          <cell r="E38" t="str">
            <v>72748007</v>
          </cell>
          <cell r="F38">
            <v>37429</v>
          </cell>
          <cell r="G38">
            <v>44531</v>
          </cell>
          <cell r="H38" t="str">
            <v xml:space="preserve">  -   -</v>
          </cell>
          <cell r="I38" t="str">
            <v>INTEGRA COMISIO</v>
          </cell>
          <cell r="J38" t="str">
            <v>674271JRVIN7</v>
          </cell>
          <cell r="K38">
            <v>1025</v>
          </cell>
          <cell r="L38" t="str">
            <v>N</v>
          </cell>
          <cell r="M38" t="str">
            <v>CHOFER DE MOTOFURGÚN</v>
          </cell>
          <cell r="N38" t="str">
            <v>0411</v>
          </cell>
          <cell r="O38" t="str">
            <v>0411 OPERACION DE TIENDA</v>
          </cell>
          <cell r="P38" t="str">
            <v>0009</v>
          </cell>
          <cell r="Q38" t="str">
            <v>COMISESA TARAPOTO</v>
          </cell>
          <cell r="R38" t="str">
            <v>JHORKAED AGUSTIN RAMIREZ VIENA</v>
          </cell>
        </row>
        <row r="39">
          <cell r="A39" t="str">
            <v>I2152</v>
          </cell>
          <cell r="B39" t="str">
            <v>VELA</v>
          </cell>
          <cell r="C39" t="str">
            <v>DOZA</v>
          </cell>
          <cell r="D39" t="str">
            <v>JOSE ALEJANDRO</v>
          </cell>
          <cell r="E39" t="str">
            <v>46716943</v>
          </cell>
          <cell r="F39">
            <v>33240</v>
          </cell>
          <cell r="G39">
            <v>44564</v>
          </cell>
          <cell r="H39" t="str">
            <v xml:space="preserve">  -   -</v>
          </cell>
          <cell r="I39" t="str">
            <v>INTEGRA COMISIO</v>
          </cell>
          <cell r="J39" t="str">
            <v>632381JVDAA6</v>
          </cell>
          <cell r="K39">
            <v>1025</v>
          </cell>
          <cell r="L39" t="str">
            <v>S</v>
          </cell>
          <cell r="M39" t="str">
            <v>JEFE DE ALMACÉN</v>
          </cell>
          <cell r="N39" t="str">
            <v>1010</v>
          </cell>
          <cell r="O39" t="str">
            <v>1010 OPERACION DE TIENDA</v>
          </cell>
          <cell r="P39" t="str">
            <v>0020</v>
          </cell>
          <cell r="Q39" t="str">
            <v>COMISESA YURIMAGUA</v>
          </cell>
          <cell r="R39" t="str">
            <v>JOSE ALEJANDRO VELA DOZA</v>
          </cell>
        </row>
        <row r="40">
          <cell r="A40" t="str">
            <v>I2157</v>
          </cell>
          <cell r="B40" t="str">
            <v>CARDONA</v>
          </cell>
          <cell r="C40" t="str">
            <v>SAAVEDRA</v>
          </cell>
          <cell r="D40" t="str">
            <v>FERNANDA JHOSSE</v>
          </cell>
          <cell r="E40" t="str">
            <v>60964055</v>
          </cell>
          <cell r="F40">
            <v>37825</v>
          </cell>
          <cell r="G40">
            <v>44805</v>
          </cell>
          <cell r="H40" t="str">
            <v xml:space="preserve">  -   -</v>
          </cell>
          <cell r="I40" t="str">
            <v>INTEGRA COMISIO</v>
          </cell>
          <cell r="J40" t="str">
            <v>678230FCSDV7</v>
          </cell>
          <cell r="K40">
            <v>1025</v>
          </cell>
          <cell r="L40" t="str">
            <v/>
          </cell>
          <cell r="M40" t="str">
            <v>CAJERA/VENDEDORA MOSTRADOR</v>
          </cell>
          <cell r="N40" t="str">
            <v>0710</v>
          </cell>
          <cell r="O40" t="str">
            <v>0710 OPERACION DE TIENDA</v>
          </cell>
          <cell r="P40" t="str">
            <v>0014</v>
          </cell>
          <cell r="Q40" t="str">
            <v>COMISESA 9 DE DICIEMBRE</v>
          </cell>
          <cell r="R40" t="str">
            <v>FERNANDA JHOSSE CARDONA SAAVEDRA</v>
          </cell>
        </row>
        <row r="41">
          <cell r="A41" t="str">
            <v>I2158</v>
          </cell>
          <cell r="B41" t="str">
            <v>PARDO</v>
          </cell>
          <cell r="C41" t="str">
            <v>MURAYARI</v>
          </cell>
          <cell r="D41" t="str">
            <v>STHEFANY ARACELY</v>
          </cell>
          <cell r="E41" t="str">
            <v>62871646</v>
          </cell>
          <cell r="F41">
            <v>37039</v>
          </cell>
          <cell r="G41">
            <v>44805</v>
          </cell>
          <cell r="H41" t="str">
            <v xml:space="preserve">  -   -</v>
          </cell>
          <cell r="I41" t="str">
            <v>INTEGRA COMISIO</v>
          </cell>
          <cell r="J41" t="str">
            <v>670370SPMDA0</v>
          </cell>
          <cell r="K41">
            <v>1025</v>
          </cell>
          <cell r="L41" t="str">
            <v/>
          </cell>
          <cell r="M41" t="str">
            <v>ASESORA DE VENTAS CIUDAD/CAMPO</v>
          </cell>
          <cell r="N41" t="str">
            <v>1010</v>
          </cell>
          <cell r="O41" t="str">
            <v>1010 OPERACION DE TIENDA</v>
          </cell>
          <cell r="P41" t="str">
            <v>0020</v>
          </cell>
          <cell r="Q41" t="str">
            <v>COMISESA YURIMAGUA</v>
          </cell>
          <cell r="R41" t="str">
            <v>STHEFANY ARACELY PARDO MURAYARI</v>
          </cell>
        </row>
        <row r="42">
          <cell r="A42"/>
          <cell r="B42"/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</row>
        <row r="43">
          <cell r="A43"/>
          <cell r="B43"/>
          <cell r="C43"/>
          <cell r="D43"/>
          <cell r="E43"/>
          <cell r="F43"/>
          <cell r="G43"/>
          <cell r="H43"/>
          <cell r="I43"/>
          <cell r="J43"/>
          <cell r="K43"/>
          <cell r="L43"/>
          <cell r="M43"/>
        </row>
        <row r="44">
          <cell r="A44"/>
          <cell r="B44"/>
          <cell r="C44"/>
          <cell r="D44"/>
          <cell r="E44"/>
          <cell r="F44"/>
          <cell r="G44"/>
          <cell r="H44"/>
          <cell r="I44"/>
          <cell r="J44"/>
          <cell r="K44"/>
          <cell r="L44"/>
          <cell r="M44"/>
        </row>
        <row r="45">
          <cell r="A45"/>
          <cell r="B45"/>
          <cell r="C45"/>
          <cell r="D45"/>
          <cell r="E45"/>
          <cell r="F45"/>
          <cell r="G45"/>
          <cell r="H45"/>
          <cell r="I45"/>
          <cell r="J45"/>
          <cell r="K45"/>
          <cell r="L45"/>
          <cell r="M45"/>
        </row>
        <row r="46">
          <cell r="R46" t="str">
            <v xml:space="preserve">  </v>
          </cell>
        </row>
        <row r="47">
          <cell r="R47" t="str">
            <v xml:space="preserve">  </v>
          </cell>
        </row>
        <row r="48">
          <cell r="R48" t="str">
            <v xml:space="preserve">  </v>
          </cell>
        </row>
        <row r="49">
          <cell r="R49" t="str">
            <v xml:space="preserve">  </v>
          </cell>
        </row>
        <row r="50">
          <cell r="R50" t="str">
            <v xml:space="preserve">  </v>
          </cell>
        </row>
        <row r="51">
          <cell r="D51"/>
          <cell r="R51" t="str">
            <v xml:space="preserve">  </v>
          </cell>
        </row>
        <row r="52">
          <cell r="R52" t="str">
            <v xml:space="preserve">  </v>
          </cell>
        </row>
        <row r="53">
          <cell r="R53" t="str">
            <v xml:space="preserve">  </v>
          </cell>
        </row>
        <row r="54">
          <cell r="R54" t="str">
            <v xml:space="preserve">  </v>
          </cell>
        </row>
        <row r="55">
          <cell r="R55" t="str">
            <v xml:space="preserve">  </v>
          </cell>
        </row>
        <row r="56">
          <cell r="R56" t="str">
            <v xml:space="preserve">  </v>
          </cell>
        </row>
        <row r="57">
          <cell r="R57" t="str">
            <v xml:space="preserve">  </v>
          </cell>
        </row>
        <row r="58">
          <cell r="R58" t="str">
            <v xml:space="preserve">  </v>
          </cell>
        </row>
        <row r="59">
          <cell r="R59" t="str">
            <v xml:space="preserve">  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D153C8-E73E-4123-A41D-66EC29AE32D9}" name="DATA_PRODUCTO" displayName="DATA_PRODUCTO" ref="A1:I1739" totalsRowShown="0">
  <autoFilter ref="A1:I1739" xr:uid="{6CD153C8-E73E-4123-A41D-66EC29AE32D9}"/>
  <tableColumns count="9">
    <tableColumn id="1" xr3:uid="{BCDE9E90-56CD-4F0E-8E54-F4A454BA48C0}" name="CODIGO"/>
    <tableColumn id="2" xr3:uid="{26DB2EB7-8694-4EA4-AB08-A0D0EB5A8363}" name="DESCRIPCION ARTICULO"/>
    <tableColumn id="3" xr3:uid="{22362B68-11D4-4502-A8A4-DB15399CBE8C}" name="NOMBRE BODEGA"/>
    <tableColumn id="4" xr3:uid="{0239F4F0-35AA-421E-9ED9-B9A1D539EF1C}" name="SALDO STOCK"/>
    <tableColumn id="5" xr3:uid="{4A8F7A43-8252-440E-80E5-0B4B8331DF61}" name="PRECIO"/>
    <tableColumn id="6" xr3:uid="{BCBFF134-2896-4CD8-B12D-9704DBD643B3}" name="UNIDAD"/>
    <tableColumn id="7" xr3:uid="{6745F82F-C567-4983-A877-646AEAADB7D2}" name="PROPIEDAD MARCA"/>
    <tableColumn id="11" xr3:uid="{7C227205-1BAE-402C-A22D-019CC77C7911}" name="TRANSITO"/>
    <tableColumn id="12" xr3:uid="{3B714611-F30C-4D46-881B-98BE103E48F7}" name="CANTIDAD EN TRÁNSI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52ED46F-DEB7-41CB-B5B5-14ADF2096ABF}" name="Tabla3" displayName="Tabla3" ref="A1:G144" totalsRowShown="0">
  <autoFilter ref="A1:G144" xr:uid="{A52ED46F-DEB7-41CB-B5B5-14ADF2096ABF}"/>
  <tableColumns count="7">
    <tableColumn id="1" xr3:uid="{822D89CD-99DA-40F4-AB73-702D0BEE7B79}" name="CodArticulo"/>
    <tableColumn id="2" xr3:uid="{8D17BD86-3B89-4666-BAFA-DCAFB47D007E}" name="Descripción Artículo"/>
    <tableColumn id="3" xr3:uid="{BF4ECAFA-7B8C-4B0C-B41F-AFB56D24C5B2}" name="CodBodega"/>
    <tableColumn id="4" xr3:uid="{89AB6656-824C-4C28-9A56-EDD358D417BC}" name="Nombre Bodega"/>
    <tableColumn id="5" xr3:uid="{3DE5CB01-DC3C-422B-9732-BA09C8B28923}" name="CANTIDAD EN TRANSITO"/>
    <tableColumn id="6" xr3:uid="{75337EB9-CD59-4CDF-A963-7AB72FB824EA}" name="Unidad"/>
    <tableColumn id="7" xr3:uid="{3F0B756B-0A50-419F-A457-16D26FE1D85A}" name="Propiedad Marc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1BB7D07-807E-4939-B719-CA55CC042606}" name="DATA_CLIENTES" displayName="DATA_CLIENTES" ref="A2:I4321" totalsRowShown="0">
  <autoFilter ref="A2:I4321" xr:uid="{21BB7D07-807E-4939-B719-CA55CC042606}"/>
  <tableColumns count="9">
    <tableColumn id="1" xr3:uid="{B6C279C8-E624-4042-A2D1-0A7EA9A1A3F1}" name="Código"/>
    <tableColumn id="2" xr3:uid="{A78F8C2D-031D-4C57-9F87-B58FBEE7366F}" name="Código Real"/>
    <tableColumn id="3" xr3:uid="{5D0D3CC3-8CD5-4394-8A0E-E04CC7B002FB}" name="Nombre"/>
    <tableColumn id="4" xr3:uid="{CA0BDE75-AFD1-4105-8951-1F84B97681CC}" name="Estado"/>
    <tableColumn id="5" xr3:uid="{9169E81D-74F2-48CF-B588-7FC086F2CE1D}" name="Saldo"/>
    <tableColumn id="6" xr3:uid="{2A254093-3E3C-4E86-ABA6-CDAA5DAC8931}" name="Giro"/>
    <tableColumn id="7" xr3:uid="{36F934F6-9A7C-49D0-8CE5-2AEC1D125C24}" name="Dirección"/>
    <tableColumn id="8" xr3:uid="{0DD72A4C-4481-41D9-94DB-2AE4360395F7}" name="Comuna"/>
    <tableColumn id="9" xr3:uid="{7C6A5E4A-3F55-46A2-B20F-FEC9875D7F17}" name="Vendedo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A5B86F-A613-450C-83E0-1B335036A4B1}" name="Tabla1" displayName="Tabla1" ref="A13:AL783" totalsRowShown="0" headerRowDxfId="45">
  <autoFilter ref="A13:AL783" xr:uid="{3DA5B86F-A613-450C-83E0-1B335036A4B1}"/>
  <tableColumns count="38">
    <tableColumn id="1" xr3:uid="{0FEC2399-5120-41B3-8FEF-807D04FBE095}" name="RUC" dataDxfId="44"/>
    <tableColumn id="35" xr3:uid="{738F4922-8807-4D68-A877-5D4DA6EA5D13}" name="CLIENTE" dataDxfId="43"/>
    <tableColumn id="32" xr3:uid="{EF7F1D05-58BC-4784-B776-18E479E52ACA}" name="DEPARTAMENTO" dataDxfId="42"/>
    <tableColumn id="31" xr3:uid="{CB5B73B5-BD73-48E7-8233-EB319A789694}" name="ZONA" dataDxfId="41"/>
    <tableColumn id="20" xr3:uid="{BFA5C621-E4C3-4856-9C85-C6DD729E8F14}" name="N° CELULAR" dataDxfId="40"/>
    <tableColumn id="4" xr3:uid="{F949641B-0A61-4318-8C5B-E22B6119F481}" name="VENDEDOR" dataDxfId="39"/>
    <tableColumn id="17" xr3:uid="{24C784A2-9B74-4DBF-8AF5-5AB119A83BB3}" name="LINEA DE CREDITO" dataDxfId="38"/>
    <tableColumn id="38" xr3:uid="{F820BF1E-308F-4B89-B6F6-EEC980D210DC}" name="FACTURA" dataDxfId="37"/>
    <tableColumn id="16" xr3:uid="{05BFCF77-9631-438C-844F-521467B06E16}" name="IMPORTE APROBADO" dataDxfId="36"/>
    <tableColumn id="27" xr3:uid="{4D636D10-FB36-494F-8768-83774FEE54B6}" name="AMORTIZACION2" dataDxfId="35"/>
    <tableColumn id="19" xr3:uid="{84B5FC45-0466-45D8-BE19-3AD12102249F}" name="DEPOSITO" dataDxfId="34"/>
    <tableColumn id="40" xr3:uid="{DA675F0B-2924-43DC-9F40-8B8704C8FDAC}" name="F. COBRANZA" dataDxfId="33"/>
    <tableColumn id="39" xr3:uid="{25A81D73-97F0-4EE0-A9FA-CD84270142C8}" name="BANCO" dataDxfId="32"/>
    <tableColumn id="26" xr3:uid="{FB4D1C3C-5AC6-4F38-B11C-C2DFCFF5EBF6}" name="SALDO PENDIENTE" dataDxfId="31">
      <calculatedColumnFormula>Tabla1[[#This Row],[IMPORTE APROBADO]]-Tabla1[[#This Row],[AMORTIZACION2]]</calculatedColumnFormula>
    </tableColumn>
    <tableColumn id="23" xr3:uid="{E93735CA-D064-489C-A097-26D284150463}" name="MES EMISION" dataDxfId="30">
      <calculatedColumnFormula>TEXT(Tabla1[[#This Row],[EMISION]],"mmm")</calculatedColumnFormula>
    </tableColumn>
    <tableColumn id="29" xr3:uid="{AE214C29-4AD8-4CE2-B6B2-60F3EA02B667}" name="AÑO" dataDxfId="29">
      <calculatedColumnFormula>TEXT(Tabla1[[#This Row],[EMISION]],"YYYY")</calculatedColumnFormula>
    </tableColumn>
    <tableColumn id="5" xr3:uid="{9305959B-9603-4553-9CD7-238CDB52DC66}" name="EMISION" dataDxfId="28"/>
    <tableColumn id="24" xr3:uid="{8949C02E-89BE-490C-995E-8F5C4616CA1A}" name="MES VENCIM" dataDxfId="27">
      <calculatedColumnFormula>TEXT(Tabla1[[#This Row],[VENCIMIENTO]],"mmm")</calculatedColumnFormula>
    </tableColumn>
    <tableColumn id="6" xr3:uid="{651A6567-9A94-4663-B712-A647645EC033}" name="VENCIMIENTO" dataDxfId="26">
      <calculatedColumnFormula>Q14+X14</calculatedColumnFormula>
    </tableColumn>
    <tableColumn id="25" xr3:uid="{C3873FB2-6B91-42AE-825E-AB10475F0FE2}" name="ALERTA DIAS" dataDxfId="25">
      <calculatedColumnFormula>Tabla1[[#This Row],[EMISION]]+Tabla1[[#This Row],[PLAZO]]-TODAY()</calculatedColumnFormula>
    </tableColumn>
    <tableColumn id="30" xr3:uid="{9798EB8D-2D65-4FD8-8E3D-5A00FE0E4D04}" name="TRAMO" dataDxfId="24">
      <calculatedColumnFormula>IF(T14&gt;=0,$U$4,IF(AND(T14&lt;=-1,T14&gt;=-30),$U$5,IF(AND(T14&lt;=-31,T14&gt;=-60),$U$6,IF(AND(T14&lt;=-61,T14&gt;=-90),$U$7,$U$8))))</calculatedColumnFormula>
    </tableColumn>
    <tableColumn id="28" xr3:uid="{A18D6A03-7E19-4367-AE3A-EFBEBB8B72F5}" name="CANAL" dataDxfId="23"/>
    <tableColumn id="7" xr3:uid="{EFBDA5CF-2FC5-4363-BBF4-5E63FE142F04}" name="MODALIDAD DE CREDITO" dataDxfId="22"/>
    <tableColumn id="8" xr3:uid="{77BCCBBA-E15F-4D7E-B40B-3A9F713ED230}" name="PLAZO" dataDxfId="21"/>
    <tableColumn id="9" xr3:uid="{0261391E-8F9E-4BCF-AF30-2ACB6E28F25B}" name="LETRA" dataDxfId="20"/>
    <tableColumn id="10" xr3:uid="{8D803401-384E-4EB0-A5DD-13F313C41B72}" name="FACTURA2" dataDxfId="19"/>
    <tableColumn id="22" xr3:uid="{2DFB32A1-097B-4F9F-A896-6E87143D129D}" name="GARANTIA" dataDxfId="18"/>
    <tableColumn id="3" xr3:uid="{E66A9A26-39AD-43B8-8E79-0B830837CD3E}" name="DOC. INGRESO BCO" dataDxfId="17"/>
    <tableColumn id="11" xr3:uid="{1A8F9864-D89D-4599-ADDD-651448EC459B}" name="COBRANZA " dataDxfId="16"/>
    <tableColumn id="21" xr3:uid="{A79B47A3-D544-4156-B609-B9FBD52A85BB}" name="FECHA INGRESO" dataDxfId="15"/>
    <tableColumn id="12" xr3:uid="{8BB81838-67B4-4C8F-BDA8-F78DCF7B62F3}" name="N. UNICO" dataDxfId="14"/>
    <tableColumn id="13" xr3:uid="{B46353E5-E427-4678-A504-CBAEB850DBF5}" name="F.VCMTO" dataDxfId="13"/>
    <tableColumn id="15" xr3:uid="{17C3100D-6C99-44FE-B36E-C19095753CC1}" name="F. PAGO" dataDxfId="12"/>
    <tableColumn id="18" xr3:uid="{6C265F85-D572-44D8-848E-7AAB6C8C6971}" name="ESTADO" dataDxfId="11"/>
    <tableColumn id="14" xr3:uid="{B8B47C46-03D4-46E2-ABDA-F48F3F9727FD}" name="SUCURSAL" dataDxfId="10"/>
    <tableColumn id="34" xr3:uid="{A4CDA7E7-AA81-435F-8B4E-9B3D76BF2A3E}" name="COMENTARIO" dataDxfId="9"/>
    <tableColumn id="2" xr3:uid="{1554361D-1D5F-47D4-9BA8-486570D0948A}" name="DIAS RESTANTES" dataDxfId="8">
      <calculatedColumnFormula>TODAY() - S14</calculatedColumnFormula>
    </tableColumn>
    <tableColumn id="36" xr3:uid="{813A23BD-1B4B-434E-AAC7-0ADDC4BBA363}" name="DIREECION" dataDxfId="7">
      <calculatedColumnFormula>IFERROR(VLOOKUP(A14,'DATA CLIENTES'!B3976:I7993,6,FALSE),0)</calculatedColumnFormula>
    </tableColumn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EF213-18ED-42BD-8A15-EA8CE009E301}">
  <sheetPr codeName="Hoja6"/>
  <dimension ref="A8:C3124"/>
  <sheetViews>
    <sheetView showGridLines="0" topLeftCell="A3091" workbookViewId="0">
      <selection activeCell="A8" sqref="A8:C3124"/>
    </sheetView>
  </sheetViews>
  <sheetFormatPr baseColWidth="10" defaultRowHeight="15" x14ac:dyDescent="0.25"/>
  <cols>
    <col min="1" max="1" width="15.85546875" customWidth="1"/>
    <col min="2" max="2" width="42.7109375" customWidth="1"/>
    <col min="3" max="3" width="15.42578125" customWidth="1"/>
  </cols>
  <sheetData>
    <row r="8" spans="1:3" x14ac:dyDescent="0.25">
      <c r="A8" s="108">
        <v>10002</v>
      </c>
      <c r="B8" s="108" t="s">
        <v>24</v>
      </c>
      <c r="C8" s="108">
        <v>1.1000000000000001</v>
      </c>
    </row>
    <row r="9" spans="1:3" x14ac:dyDescent="0.25">
      <c r="A9" s="108">
        <v>10003</v>
      </c>
      <c r="B9" s="108" t="s">
        <v>25</v>
      </c>
      <c r="C9" s="108">
        <v>8.4</v>
      </c>
    </row>
    <row r="10" spans="1:3" x14ac:dyDescent="0.25">
      <c r="A10" s="108">
        <v>10004</v>
      </c>
      <c r="B10" s="108" t="s">
        <v>26</v>
      </c>
      <c r="C10" s="108">
        <v>15</v>
      </c>
    </row>
    <row r="11" spans="1:3" x14ac:dyDescent="0.25">
      <c r="A11" s="108">
        <v>10006</v>
      </c>
      <c r="B11" s="108" t="s">
        <v>27</v>
      </c>
      <c r="C11" s="108">
        <v>20</v>
      </c>
    </row>
    <row r="12" spans="1:3" x14ac:dyDescent="0.25">
      <c r="A12" s="108">
        <v>10007</v>
      </c>
      <c r="B12" s="108" t="s">
        <v>28</v>
      </c>
      <c r="C12" s="108">
        <v>8</v>
      </c>
    </row>
    <row r="13" spans="1:3" x14ac:dyDescent="0.25">
      <c r="A13" s="108">
        <v>10008</v>
      </c>
      <c r="B13" s="108" t="s">
        <v>29</v>
      </c>
      <c r="C13" s="108">
        <v>12.5</v>
      </c>
    </row>
    <row r="14" spans="1:3" x14ac:dyDescent="0.25">
      <c r="A14" s="108">
        <v>10009</v>
      </c>
      <c r="B14" s="108" t="s">
        <v>30</v>
      </c>
      <c r="C14" s="108">
        <v>3.5</v>
      </c>
    </row>
    <row r="15" spans="1:3" x14ac:dyDescent="0.25">
      <c r="A15" s="108">
        <v>10010</v>
      </c>
      <c r="B15" s="108" t="s">
        <v>31</v>
      </c>
      <c r="C15" s="108">
        <v>7</v>
      </c>
    </row>
    <row r="16" spans="1:3" x14ac:dyDescent="0.25">
      <c r="A16" s="108">
        <v>100107</v>
      </c>
      <c r="B16" s="108" t="s">
        <v>32</v>
      </c>
      <c r="C16" s="108">
        <v>3.99</v>
      </c>
    </row>
    <row r="17" spans="1:3" x14ac:dyDescent="0.25">
      <c r="A17" s="108">
        <v>100108</v>
      </c>
      <c r="B17" s="108" t="s">
        <v>33</v>
      </c>
      <c r="C17" s="108">
        <v>25.3</v>
      </c>
    </row>
    <row r="18" spans="1:3" x14ac:dyDescent="0.25">
      <c r="A18" s="108">
        <v>10011</v>
      </c>
      <c r="B18" s="108" t="s">
        <v>34</v>
      </c>
      <c r="C18" s="108">
        <v>8.1</v>
      </c>
    </row>
    <row r="19" spans="1:3" x14ac:dyDescent="0.25">
      <c r="A19" s="108">
        <v>10013</v>
      </c>
      <c r="B19" s="108" t="s">
        <v>35</v>
      </c>
      <c r="C19" s="108">
        <v>1.75</v>
      </c>
    </row>
    <row r="20" spans="1:3" x14ac:dyDescent="0.25">
      <c r="A20" s="108">
        <v>10015</v>
      </c>
      <c r="B20" s="108" t="s">
        <v>36</v>
      </c>
      <c r="C20" s="108">
        <v>3.3</v>
      </c>
    </row>
    <row r="21" spans="1:3" x14ac:dyDescent="0.25">
      <c r="A21" s="108">
        <v>10016</v>
      </c>
      <c r="B21" s="108" t="s">
        <v>37</v>
      </c>
      <c r="C21" s="108">
        <v>20.63</v>
      </c>
    </row>
    <row r="22" spans="1:3" x14ac:dyDescent="0.25">
      <c r="A22" s="108">
        <v>10018</v>
      </c>
      <c r="B22" s="108" t="s">
        <v>38</v>
      </c>
      <c r="C22" s="108">
        <v>33.01</v>
      </c>
    </row>
    <row r="23" spans="1:3" x14ac:dyDescent="0.25">
      <c r="A23" s="108">
        <v>10019</v>
      </c>
      <c r="B23" s="108" t="s">
        <v>39</v>
      </c>
      <c r="C23" s="108">
        <v>72.63</v>
      </c>
    </row>
    <row r="24" spans="1:3" x14ac:dyDescent="0.25">
      <c r="A24" s="108">
        <v>10022</v>
      </c>
      <c r="B24" s="108" t="s">
        <v>40</v>
      </c>
      <c r="C24" s="108">
        <v>4</v>
      </c>
    </row>
    <row r="25" spans="1:3" x14ac:dyDescent="0.25">
      <c r="A25" s="108">
        <v>10023</v>
      </c>
      <c r="B25" s="108" t="s">
        <v>41</v>
      </c>
      <c r="C25" s="108">
        <v>7</v>
      </c>
    </row>
    <row r="26" spans="1:3" x14ac:dyDescent="0.25">
      <c r="A26" s="108">
        <v>10025</v>
      </c>
      <c r="B26" s="108" t="s">
        <v>42</v>
      </c>
      <c r="C26" s="108">
        <v>13.21</v>
      </c>
    </row>
    <row r="27" spans="1:3" x14ac:dyDescent="0.25">
      <c r="A27" s="108">
        <v>10026</v>
      </c>
      <c r="B27" s="108" t="s">
        <v>43</v>
      </c>
      <c r="C27" s="108">
        <v>4.95</v>
      </c>
    </row>
    <row r="28" spans="1:3" x14ac:dyDescent="0.25">
      <c r="A28" s="108">
        <v>10027</v>
      </c>
      <c r="B28" s="108" t="s">
        <v>44</v>
      </c>
      <c r="C28" s="108">
        <v>33.01</v>
      </c>
    </row>
    <row r="29" spans="1:3" x14ac:dyDescent="0.25">
      <c r="A29" s="108">
        <v>10028</v>
      </c>
      <c r="B29" s="108" t="s">
        <v>45</v>
      </c>
      <c r="C29" s="108">
        <v>4.2</v>
      </c>
    </row>
    <row r="30" spans="1:3" x14ac:dyDescent="0.25">
      <c r="A30" s="108">
        <v>10029</v>
      </c>
      <c r="B30" s="108" t="s">
        <v>46</v>
      </c>
      <c r="C30" s="108">
        <v>4.5</v>
      </c>
    </row>
    <row r="31" spans="1:3" x14ac:dyDescent="0.25">
      <c r="A31" s="108">
        <v>10030</v>
      </c>
      <c r="B31" s="108" t="s">
        <v>47</v>
      </c>
      <c r="C31" s="108">
        <v>4</v>
      </c>
    </row>
    <row r="32" spans="1:3" x14ac:dyDescent="0.25">
      <c r="A32" s="108">
        <v>10032</v>
      </c>
      <c r="B32" s="108" t="s">
        <v>48</v>
      </c>
      <c r="C32" s="108">
        <v>6</v>
      </c>
    </row>
    <row r="33" spans="1:3" x14ac:dyDescent="0.25">
      <c r="A33" s="108">
        <v>10033</v>
      </c>
      <c r="B33" s="108" t="s">
        <v>49</v>
      </c>
      <c r="C33" s="108">
        <v>6.75</v>
      </c>
    </row>
    <row r="34" spans="1:3" x14ac:dyDescent="0.25">
      <c r="A34" s="108">
        <v>10035</v>
      </c>
      <c r="B34" s="108" t="s">
        <v>50</v>
      </c>
      <c r="C34" s="108">
        <v>31.5</v>
      </c>
    </row>
    <row r="35" spans="1:3" x14ac:dyDescent="0.25">
      <c r="A35" s="108">
        <v>10036</v>
      </c>
      <c r="B35" s="108" t="s">
        <v>51</v>
      </c>
      <c r="C35" s="108">
        <v>45</v>
      </c>
    </row>
    <row r="36" spans="1:3" x14ac:dyDescent="0.25">
      <c r="A36" s="108">
        <v>10037</v>
      </c>
      <c r="B36" s="108" t="s">
        <v>52</v>
      </c>
      <c r="C36" s="108">
        <v>31</v>
      </c>
    </row>
    <row r="37" spans="1:3" x14ac:dyDescent="0.25">
      <c r="A37" s="108">
        <v>10038</v>
      </c>
      <c r="B37" s="108" t="s">
        <v>53</v>
      </c>
      <c r="C37" s="108">
        <v>48</v>
      </c>
    </row>
    <row r="38" spans="1:3" x14ac:dyDescent="0.25">
      <c r="A38" s="108">
        <v>10042</v>
      </c>
      <c r="B38" s="108" t="s">
        <v>54</v>
      </c>
      <c r="C38" s="108">
        <v>103.76</v>
      </c>
    </row>
    <row r="39" spans="1:3" x14ac:dyDescent="0.25">
      <c r="A39" s="108">
        <v>10043</v>
      </c>
      <c r="B39" s="108" t="s">
        <v>55</v>
      </c>
      <c r="C39" s="108">
        <v>31.2</v>
      </c>
    </row>
    <row r="40" spans="1:3" x14ac:dyDescent="0.25">
      <c r="A40" s="108">
        <v>10046</v>
      </c>
      <c r="B40" s="108" t="s">
        <v>56</v>
      </c>
      <c r="C40" s="108">
        <v>133</v>
      </c>
    </row>
    <row r="41" spans="1:3" x14ac:dyDescent="0.25">
      <c r="A41" s="108">
        <v>10047</v>
      </c>
      <c r="B41" s="108" t="s">
        <v>57</v>
      </c>
      <c r="C41" s="108">
        <v>226.67</v>
      </c>
    </row>
    <row r="42" spans="1:3" x14ac:dyDescent="0.25">
      <c r="A42" s="108">
        <v>10048</v>
      </c>
      <c r="B42" s="108" t="s">
        <v>58</v>
      </c>
      <c r="C42" s="108">
        <v>219.5</v>
      </c>
    </row>
    <row r="43" spans="1:3" x14ac:dyDescent="0.25">
      <c r="A43" s="108">
        <v>10049</v>
      </c>
      <c r="B43" s="108" t="s">
        <v>59</v>
      </c>
      <c r="C43" s="108">
        <v>29.67</v>
      </c>
    </row>
    <row r="44" spans="1:3" x14ac:dyDescent="0.25">
      <c r="A44" s="108">
        <v>10050</v>
      </c>
      <c r="B44" s="108" t="s">
        <v>60</v>
      </c>
      <c r="C44" s="108">
        <v>30</v>
      </c>
    </row>
    <row r="45" spans="1:3" x14ac:dyDescent="0.25">
      <c r="A45" s="108">
        <v>10051</v>
      </c>
      <c r="B45" s="108" t="s">
        <v>61</v>
      </c>
      <c r="C45" s="108">
        <v>33</v>
      </c>
    </row>
    <row r="46" spans="1:3" x14ac:dyDescent="0.25">
      <c r="A46" s="108">
        <v>10052</v>
      </c>
      <c r="B46" s="108" t="s">
        <v>62</v>
      </c>
      <c r="C46" s="108">
        <v>34.520000000000003</v>
      </c>
    </row>
    <row r="47" spans="1:3" x14ac:dyDescent="0.25">
      <c r="A47" s="108">
        <v>10053</v>
      </c>
      <c r="B47" s="108" t="s">
        <v>63</v>
      </c>
      <c r="C47" s="108">
        <v>34.630000000000003</v>
      </c>
    </row>
    <row r="48" spans="1:3" x14ac:dyDescent="0.25">
      <c r="A48" s="108">
        <v>10054</v>
      </c>
      <c r="B48" s="108" t="s">
        <v>64</v>
      </c>
      <c r="C48" s="108">
        <v>34.78</v>
      </c>
    </row>
    <row r="49" spans="1:3" x14ac:dyDescent="0.25">
      <c r="A49" s="108">
        <v>10055</v>
      </c>
      <c r="B49" s="108" t="s">
        <v>65</v>
      </c>
      <c r="C49" s="108">
        <v>34.4</v>
      </c>
    </row>
    <row r="50" spans="1:3" x14ac:dyDescent="0.25">
      <c r="A50" s="108">
        <v>10056</v>
      </c>
      <c r="B50" s="108" t="s">
        <v>66</v>
      </c>
      <c r="C50" s="108">
        <v>38.5</v>
      </c>
    </row>
    <row r="51" spans="1:3" x14ac:dyDescent="0.25">
      <c r="A51" s="108">
        <v>10057</v>
      </c>
      <c r="B51" s="108" t="s">
        <v>67</v>
      </c>
      <c r="C51" s="108">
        <v>23.9</v>
      </c>
    </row>
    <row r="52" spans="1:3" x14ac:dyDescent="0.25">
      <c r="A52" s="108">
        <v>10058</v>
      </c>
      <c r="B52" s="108" t="s">
        <v>68</v>
      </c>
      <c r="C52" s="108">
        <v>23.98</v>
      </c>
    </row>
    <row r="53" spans="1:3" x14ac:dyDescent="0.25">
      <c r="A53" s="108">
        <v>10059</v>
      </c>
      <c r="B53" s="108" t="s">
        <v>69</v>
      </c>
      <c r="C53" s="108">
        <v>28</v>
      </c>
    </row>
    <row r="54" spans="1:3" x14ac:dyDescent="0.25">
      <c r="A54" s="108">
        <v>10060</v>
      </c>
      <c r="B54" s="108" t="s">
        <v>70</v>
      </c>
      <c r="C54" s="108">
        <v>27.5</v>
      </c>
    </row>
    <row r="55" spans="1:3" x14ac:dyDescent="0.25">
      <c r="A55" s="108">
        <v>10062</v>
      </c>
      <c r="B55" s="108" t="s">
        <v>71</v>
      </c>
      <c r="C55" s="108">
        <v>28</v>
      </c>
    </row>
    <row r="56" spans="1:3" x14ac:dyDescent="0.25">
      <c r="A56" s="108">
        <v>10063</v>
      </c>
      <c r="B56" s="108" t="s">
        <v>72</v>
      </c>
      <c r="C56" s="108">
        <v>28</v>
      </c>
    </row>
    <row r="57" spans="1:3" x14ac:dyDescent="0.25">
      <c r="A57" s="108">
        <v>10064</v>
      </c>
      <c r="B57" s="108" t="s">
        <v>73</v>
      </c>
      <c r="C57" s="108">
        <v>28</v>
      </c>
    </row>
    <row r="58" spans="1:3" x14ac:dyDescent="0.25">
      <c r="A58" s="108">
        <v>10066</v>
      </c>
      <c r="B58" s="108" t="s">
        <v>74</v>
      </c>
      <c r="C58" s="108">
        <v>14.98</v>
      </c>
    </row>
    <row r="59" spans="1:3" x14ac:dyDescent="0.25">
      <c r="A59" s="108">
        <v>10067</v>
      </c>
      <c r="B59" s="108" t="s">
        <v>75</v>
      </c>
      <c r="C59" s="108">
        <v>14.98</v>
      </c>
    </row>
    <row r="60" spans="1:3" x14ac:dyDescent="0.25">
      <c r="A60" s="108">
        <v>10068</v>
      </c>
      <c r="B60" s="108" t="s">
        <v>76</v>
      </c>
      <c r="C60" s="108">
        <v>14.98</v>
      </c>
    </row>
    <row r="61" spans="1:3" x14ac:dyDescent="0.25">
      <c r="A61" s="108">
        <v>10069</v>
      </c>
      <c r="B61" s="108" t="s">
        <v>77</v>
      </c>
      <c r="C61" s="108">
        <v>14.97</v>
      </c>
    </row>
    <row r="62" spans="1:3" x14ac:dyDescent="0.25">
      <c r="A62" s="108">
        <v>10070</v>
      </c>
      <c r="B62" s="108" t="s">
        <v>78</v>
      </c>
      <c r="C62" s="108">
        <v>14.97</v>
      </c>
    </row>
    <row r="63" spans="1:3" x14ac:dyDescent="0.25">
      <c r="A63" s="108">
        <v>10071</v>
      </c>
      <c r="B63" s="108" t="s">
        <v>79</v>
      </c>
      <c r="C63" s="108">
        <v>13.97</v>
      </c>
    </row>
    <row r="64" spans="1:3" x14ac:dyDescent="0.25">
      <c r="A64" s="108">
        <v>10072</v>
      </c>
      <c r="B64" s="108" t="s">
        <v>80</v>
      </c>
      <c r="C64" s="108">
        <v>18.39</v>
      </c>
    </row>
    <row r="65" spans="1:3" x14ac:dyDescent="0.25">
      <c r="A65" s="108">
        <v>10073</v>
      </c>
      <c r="B65" s="108" t="s">
        <v>81</v>
      </c>
      <c r="C65" s="108">
        <v>18</v>
      </c>
    </row>
    <row r="66" spans="1:3" x14ac:dyDescent="0.25">
      <c r="A66" s="108">
        <v>10074</v>
      </c>
      <c r="B66" s="108" t="s">
        <v>82</v>
      </c>
      <c r="C66" s="108">
        <v>18</v>
      </c>
    </row>
    <row r="67" spans="1:3" x14ac:dyDescent="0.25">
      <c r="A67" s="108">
        <v>10075</v>
      </c>
      <c r="B67" s="108" t="s">
        <v>83</v>
      </c>
      <c r="C67" s="108">
        <v>18</v>
      </c>
    </row>
    <row r="68" spans="1:3" x14ac:dyDescent="0.25">
      <c r="A68" s="108">
        <v>10076</v>
      </c>
      <c r="B68" s="108" t="s">
        <v>84</v>
      </c>
      <c r="C68" s="108">
        <v>18</v>
      </c>
    </row>
    <row r="69" spans="1:3" x14ac:dyDescent="0.25">
      <c r="A69" s="108">
        <v>10077</v>
      </c>
      <c r="B69" s="108" t="s">
        <v>85</v>
      </c>
      <c r="C69" s="108">
        <v>18</v>
      </c>
    </row>
    <row r="70" spans="1:3" x14ac:dyDescent="0.25">
      <c r="A70" s="108">
        <v>10078</v>
      </c>
      <c r="B70" s="108" t="s">
        <v>86</v>
      </c>
      <c r="C70" s="108">
        <v>16.86</v>
      </c>
    </row>
    <row r="71" spans="1:3" x14ac:dyDescent="0.25">
      <c r="A71" s="108">
        <v>10079</v>
      </c>
      <c r="B71" s="108" t="s">
        <v>87</v>
      </c>
      <c r="C71" s="108">
        <v>17.5</v>
      </c>
    </row>
    <row r="72" spans="1:3" x14ac:dyDescent="0.25">
      <c r="A72" s="108">
        <v>10080</v>
      </c>
      <c r="B72" s="108" t="s">
        <v>88</v>
      </c>
      <c r="C72" s="108">
        <v>17.5</v>
      </c>
    </row>
    <row r="73" spans="1:3" x14ac:dyDescent="0.25">
      <c r="A73" s="108">
        <v>10081</v>
      </c>
      <c r="B73" s="108" t="s">
        <v>89</v>
      </c>
      <c r="C73" s="108">
        <v>18</v>
      </c>
    </row>
    <row r="74" spans="1:3" x14ac:dyDescent="0.25">
      <c r="A74" s="108">
        <v>10082</v>
      </c>
      <c r="B74" s="108" t="s">
        <v>90</v>
      </c>
      <c r="C74" s="108">
        <v>17.5</v>
      </c>
    </row>
    <row r="75" spans="1:3" x14ac:dyDescent="0.25">
      <c r="A75" s="108">
        <v>10083</v>
      </c>
      <c r="B75" s="108" t="s">
        <v>91</v>
      </c>
      <c r="C75" s="108">
        <v>18</v>
      </c>
    </row>
    <row r="76" spans="1:3" x14ac:dyDescent="0.25">
      <c r="A76" s="108">
        <v>10084</v>
      </c>
      <c r="B76" s="108" t="s">
        <v>92</v>
      </c>
      <c r="C76" s="108">
        <v>16.53</v>
      </c>
    </row>
    <row r="77" spans="1:3" x14ac:dyDescent="0.25">
      <c r="A77" s="108">
        <v>10085</v>
      </c>
      <c r="B77" s="108" t="s">
        <v>93</v>
      </c>
      <c r="C77" s="108">
        <v>18</v>
      </c>
    </row>
    <row r="78" spans="1:3" x14ac:dyDescent="0.25">
      <c r="A78" s="108">
        <v>10086</v>
      </c>
      <c r="B78" s="108" t="s">
        <v>94</v>
      </c>
      <c r="C78" s="108">
        <v>21.17</v>
      </c>
    </row>
    <row r="79" spans="1:3" x14ac:dyDescent="0.25">
      <c r="A79" s="108">
        <v>10087</v>
      </c>
      <c r="B79" s="108" t="s">
        <v>95</v>
      </c>
      <c r="C79" s="108">
        <v>20</v>
      </c>
    </row>
    <row r="80" spans="1:3" x14ac:dyDescent="0.25">
      <c r="A80" s="108">
        <v>10088</v>
      </c>
      <c r="B80" s="108" t="s">
        <v>96</v>
      </c>
      <c r="C80" s="108">
        <v>20</v>
      </c>
    </row>
    <row r="81" spans="1:3" x14ac:dyDescent="0.25">
      <c r="A81" s="108">
        <v>10089</v>
      </c>
      <c r="B81" s="108" t="s">
        <v>97</v>
      </c>
      <c r="C81" s="108">
        <v>20</v>
      </c>
    </row>
    <row r="82" spans="1:3" x14ac:dyDescent="0.25">
      <c r="A82" s="108">
        <v>10090</v>
      </c>
      <c r="B82" s="108" t="s">
        <v>98</v>
      </c>
      <c r="C82" s="108">
        <v>20</v>
      </c>
    </row>
    <row r="83" spans="1:3" x14ac:dyDescent="0.25">
      <c r="A83" s="108">
        <v>10091</v>
      </c>
      <c r="B83" s="108" t="s">
        <v>99</v>
      </c>
      <c r="C83" s="108">
        <v>20</v>
      </c>
    </row>
    <row r="84" spans="1:3" x14ac:dyDescent="0.25">
      <c r="A84" s="108">
        <v>10092</v>
      </c>
      <c r="B84" s="108" t="s">
        <v>100</v>
      </c>
      <c r="C84" s="108">
        <v>20</v>
      </c>
    </row>
    <row r="85" spans="1:3" x14ac:dyDescent="0.25">
      <c r="A85" s="108">
        <v>10093</v>
      </c>
      <c r="B85" s="108" t="s">
        <v>101</v>
      </c>
      <c r="C85" s="108">
        <v>28.25</v>
      </c>
    </row>
    <row r="86" spans="1:3" x14ac:dyDescent="0.25">
      <c r="A86" s="108">
        <v>10094</v>
      </c>
      <c r="B86" s="108" t="s">
        <v>3067</v>
      </c>
      <c r="C86" s="108">
        <v>30</v>
      </c>
    </row>
    <row r="87" spans="1:3" x14ac:dyDescent="0.25">
      <c r="A87" s="108">
        <v>10095</v>
      </c>
      <c r="B87" s="108" t="s">
        <v>102</v>
      </c>
      <c r="C87" s="108">
        <v>27.25</v>
      </c>
    </row>
    <row r="88" spans="1:3" x14ac:dyDescent="0.25">
      <c r="A88" s="108">
        <v>10096</v>
      </c>
      <c r="B88" s="108" t="s">
        <v>3068</v>
      </c>
      <c r="C88" s="108">
        <v>30</v>
      </c>
    </row>
    <row r="89" spans="1:3" x14ac:dyDescent="0.25">
      <c r="A89" s="108">
        <v>10097</v>
      </c>
      <c r="B89" s="108" t="s">
        <v>3069</v>
      </c>
      <c r="C89" s="108">
        <v>30</v>
      </c>
    </row>
    <row r="90" spans="1:3" x14ac:dyDescent="0.25">
      <c r="A90" s="108">
        <v>10098</v>
      </c>
      <c r="B90" s="108" t="s">
        <v>103</v>
      </c>
      <c r="C90" s="108">
        <v>28.56</v>
      </c>
    </row>
    <row r="91" spans="1:3" x14ac:dyDescent="0.25">
      <c r="A91" s="108">
        <v>10099</v>
      </c>
      <c r="B91" s="108" t="s">
        <v>104</v>
      </c>
      <c r="C91" s="108">
        <v>28.49</v>
      </c>
    </row>
    <row r="92" spans="1:3" x14ac:dyDescent="0.25">
      <c r="A92" s="108">
        <v>10102</v>
      </c>
      <c r="B92" s="108" t="s">
        <v>105</v>
      </c>
      <c r="C92" s="108">
        <v>18.39</v>
      </c>
    </row>
    <row r="93" spans="1:3" x14ac:dyDescent="0.25">
      <c r="A93" s="108">
        <v>10103</v>
      </c>
      <c r="B93" s="108" t="s">
        <v>106</v>
      </c>
      <c r="C93" s="108">
        <v>17.5</v>
      </c>
    </row>
    <row r="94" spans="1:3" x14ac:dyDescent="0.25">
      <c r="A94" s="108">
        <v>10104</v>
      </c>
      <c r="B94" s="108" t="s">
        <v>107</v>
      </c>
      <c r="C94" s="108">
        <v>17.5</v>
      </c>
    </row>
    <row r="95" spans="1:3" x14ac:dyDescent="0.25">
      <c r="A95" s="108">
        <v>10105</v>
      </c>
      <c r="B95" s="108" t="s">
        <v>108</v>
      </c>
      <c r="C95" s="108">
        <v>17.5</v>
      </c>
    </row>
    <row r="96" spans="1:3" x14ac:dyDescent="0.25">
      <c r="A96" s="108">
        <v>10110</v>
      </c>
      <c r="B96" s="108" t="s">
        <v>109</v>
      </c>
      <c r="C96" s="108">
        <v>33</v>
      </c>
    </row>
    <row r="97" spans="1:3" x14ac:dyDescent="0.25">
      <c r="A97" s="108">
        <v>10111</v>
      </c>
      <c r="B97" s="108" t="s">
        <v>110</v>
      </c>
      <c r="C97" s="108">
        <v>25</v>
      </c>
    </row>
    <row r="98" spans="1:3" x14ac:dyDescent="0.25">
      <c r="A98" s="108">
        <v>10112</v>
      </c>
      <c r="B98" s="108" t="s">
        <v>111</v>
      </c>
      <c r="C98" s="108">
        <v>25</v>
      </c>
    </row>
    <row r="99" spans="1:3" x14ac:dyDescent="0.25">
      <c r="A99" s="108">
        <v>10113</v>
      </c>
      <c r="B99" s="108" t="s">
        <v>112</v>
      </c>
      <c r="C99" s="108">
        <v>25</v>
      </c>
    </row>
    <row r="100" spans="1:3" x14ac:dyDescent="0.25">
      <c r="A100" s="108">
        <v>10114</v>
      </c>
      <c r="B100" s="108" t="s">
        <v>113</v>
      </c>
      <c r="C100" s="108">
        <v>25</v>
      </c>
    </row>
    <row r="101" spans="1:3" x14ac:dyDescent="0.25">
      <c r="A101" s="108">
        <v>10115</v>
      </c>
      <c r="B101" s="108" t="s">
        <v>114</v>
      </c>
      <c r="C101" s="108">
        <v>25</v>
      </c>
    </row>
    <row r="102" spans="1:3" x14ac:dyDescent="0.25">
      <c r="A102" s="108">
        <v>10116</v>
      </c>
      <c r="B102" s="108" t="s">
        <v>115</v>
      </c>
      <c r="C102" s="108">
        <v>25</v>
      </c>
    </row>
    <row r="103" spans="1:3" x14ac:dyDescent="0.25">
      <c r="A103" s="108">
        <v>10117</v>
      </c>
      <c r="B103" s="108" t="s">
        <v>116</v>
      </c>
      <c r="C103" s="108">
        <v>25</v>
      </c>
    </row>
    <row r="104" spans="1:3" x14ac:dyDescent="0.25">
      <c r="A104" s="108">
        <v>10118</v>
      </c>
      <c r="B104" s="108" t="s">
        <v>117</v>
      </c>
      <c r="C104" s="108">
        <v>18.39</v>
      </c>
    </row>
    <row r="105" spans="1:3" x14ac:dyDescent="0.25">
      <c r="A105" s="108">
        <v>10119</v>
      </c>
      <c r="B105" s="108" t="s">
        <v>118</v>
      </c>
      <c r="C105" s="108">
        <v>18.39</v>
      </c>
    </row>
    <row r="106" spans="1:3" x14ac:dyDescent="0.25">
      <c r="A106" s="108">
        <v>10120</v>
      </c>
      <c r="B106" s="108" t="s">
        <v>119</v>
      </c>
      <c r="C106" s="108">
        <v>18.39</v>
      </c>
    </row>
    <row r="107" spans="1:3" x14ac:dyDescent="0.25">
      <c r="A107" s="108">
        <v>10121</v>
      </c>
      <c r="B107" s="108" t="s">
        <v>120</v>
      </c>
      <c r="C107" s="108">
        <v>18</v>
      </c>
    </row>
    <row r="108" spans="1:3" x14ac:dyDescent="0.25">
      <c r="A108" s="108">
        <v>10122</v>
      </c>
      <c r="B108" s="108" t="s">
        <v>121</v>
      </c>
      <c r="C108" s="108">
        <v>21.17</v>
      </c>
    </row>
    <row r="109" spans="1:3" x14ac:dyDescent="0.25">
      <c r="A109" s="108">
        <v>10123</v>
      </c>
      <c r="B109" s="108" t="s">
        <v>122</v>
      </c>
      <c r="C109" s="108">
        <v>20</v>
      </c>
    </row>
    <row r="110" spans="1:3" x14ac:dyDescent="0.25">
      <c r="A110" s="108">
        <v>10124</v>
      </c>
      <c r="B110" s="108" t="s">
        <v>123</v>
      </c>
      <c r="C110" s="108">
        <v>21.17</v>
      </c>
    </row>
    <row r="111" spans="1:3" x14ac:dyDescent="0.25">
      <c r="A111" s="108">
        <v>10125</v>
      </c>
      <c r="B111" s="108" t="s">
        <v>124</v>
      </c>
      <c r="C111" s="108">
        <v>21.18</v>
      </c>
    </row>
    <row r="112" spans="1:3" x14ac:dyDescent="0.25">
      <c r="A112" s="108">
        <v>10126</v>
      </c>
      <c r="B112" s="108" t="s">
        <v>125</v>
      </c>
      <c r="C112" s="108">
        <v>20</v>
      </c>
    </row>
    <row r="113" spans="1:3" x14ac:dyDescent="0.25">
      <c r="A113" s="108">
        <v>10127</v>
      </c>
      <c r="B113" s="108" t="s">
        <v>126</v>
      </c>
      <c r="C113" s="108">
        <v>21.17</v>
      </c>
    </row>
    <row r="114" spans="1:3" x14ac:dyDescent="0.25">
      <c r="A114" s="108">
        <v>10130</v>
      </c>
      <c r="B114" s="108" t="s">
        <v>127</v>
      </c>
      <c r="C114" s="108">
        <v>25</v>
      </c>
    </row>
    <row r="115" spans="1:3" ht="30" x14ac:dyDescent="0.25">
      <c r="A115" s="108">
        <v>10131</v>
      </c>
      <c r="B115" s="108" t="s">
        <v>128</v>
      </c>
      <c r="C115" s="108">
        <v>112</v>
      </c>
    </row>
    <row r="116" spans="1:3" x14ac:dyDescent="0.25">
      <c r="A116" s="108">
        <v>10132</v>
      </c>
      <c r="B116" s="108" t="s">
        <v>129</v>
      </c>
      <c r="C116" s="108">
        <v>34.25</v>
      </c>
    </row>
    <row r="117" spans="1:3" x14ac:dyDescent="0.25">
      <c r="A117" s="108">
        <v>10134</v>
      </c>
      <c r="B117" s="108" t="s">
        <v>130</v>
      </c>
      <c r="C117" s="108">
        <v>33</v>
      </c>
    </row>
    <row r="118" spans="1:3" x14ac:dyDescent="0.25">
      <c r="A118" s="108">
        <v>10135</v>
      </c>
      <c r="B118" s="108" t="s">
        <v>131</v>
      </c>
      <c r="C118" s="108">
        <v>22.2</v>
      </c>
    </row>
    <row r="119" spans="1:3" x14ac:dyDescent="0.25">
      <c r="A119" s="108">
        <v>10136</v>
      </c>
      <c r="B119" s="108" t="s">
        <v>132</v>
      </c>
      <c r="C119" s="108">
        <v>55.89</v>
      </c>
    </row>
    <row r="120" spans="1:3" x14ac:dyDescent="0.25">
      <c r="A120" s="108">
        <v>10137</v>
      </c>
      <c r="B120" s="108" t="s">
        <v>133</v>
      </c>
      <c r="C120" s="108">
        <v>31.3</v>
      </c>
    </row>
    <row r="121" spans="1:3" x14ac:dyDescent="0.25">
      <c r="A121" s="108">
        <v>10138</v>
      </c>
      <c r="B121" s="108" t="s">
        <v>134</v>
      </c>
      <c r="C121" s="108">
        <v>35.5</v>
      </c>
    </row>
    <row r="122" spans="1:3" x14ac:dyDescent="0.25">
      <c r="A122" s="108">
        <v>10139</v>
      </c>
      <c r="B122" s="108" t="s">
        <v>135</v>
      </c>
      <c r="C122" s="108">
        <v>48.7</v>
      </c>
    </row>
    <row r="123" spans="1:3" x14ac:dyDescent="0.25">
      <c r="A123" s="108">
        <v>10140</v>
      </c>
      <c r="B123" s="108" t="s">
        <v>136</v>
      </c>
      <c r="C123" s="108">
        <v>99</v>
      </c>
    </row>
    <row r="124" spans="1:3" ht="30" x14ac:dyDescent="0.25">
      <c r="A124" s="108">
        <v>10142</v>
      </c>
      <c r="B124" s="108" t="s">
        <v>137</v>
      </c>
      <c r="C124" s="108">
        <v>69.900000000000006</v>
      </c>
    </row>
    <row r="125" spans="1:3" ht="30" x14ac:dyDescent="0.25">
      <c r="A125" s="108">
        <v>10143</v>
      </c>
      <c r="B125" s="108" t="s">
        <v>138</v>
      </c>
      <c r="C125" s="108">
        <v>58.37</v>
      </c>
    </row>
    <row r="126" spans="1:3" x14ac:dyDescent="0.25">
      <c r="A126" s="108">
        <v>10145</v>
      </c>
      <c r="B126" s="108" t="s">
        <v>139</v>
      </c>
      <c r="C126" s="108">
        <v>3.5</v>
      </c>
    </row>
    <row r="127" spans="1:3" x14ac:dyDescent="0.25">
      <c r="A127" s="108">
        <v>10146</v>
      </c>
      <c r="B127" s="108" t="s">
        <v>140</v>
      </c>
      <c r="C127" s="108">
        <v>75</v>
      </c>
    </row>
    <row r="128" spans="1:3" x14ac:dyDescent="0.25">
      <c r="A128" s="108">
        <v>10149</v>
      </c>
      <c r="B128" s="108" t="s">
        <v>141</v>
      </c>
      <c r="C128" s="108">
        <v>7.28</v>
      </c>
    </row>
    <row r="129" spans="1:3" x14ac:dyDescent="0.25">
      <c r="A129" s="108">
        <v>10150</v>
      </c>
      <c r="B129" s="108" t="s">
        <v>142</v>
      </c>
      <c r="C129" s="108">
        <v>18.600000000000001</v>
      </c>
    </row>
    <row r="130" spans="1:3" x14ac:dyDescent="0.25">
      <c r="A130" s="108">
        <v>10151</v>
      </c>
      <c r="B130" s="108" t="s">
        <v>143</v>
      </c>
      <c r="C130" s="108">
        <v>25.6</v>
      </c>
    </row>
    <row r="131" spans="1:3" x14ac:dyDescent="0.25">
      <c r="A131" s="108">
        <v>10152</v>
      </c>
      <c r="B131" s="108" t="s">
        <v>144</v>
      </c>
      <c r="C131" s="108">
        <v>30.8</v>
      </c>
    </row>
    <row r="132" spans="1:3" x14ac:dyDescent="0.25">
      <c r="A132" s="108">
        <v>10153</v>
      </c>
      <c r="B132" s="108" t="s">
        <v>145</v>
      </c>
      <c r="C132" s="108">
        <v>10.02</v>
      </c>
    </row>
    <row r="133" spans="1:3" x14ac:dyDescent="0.25">
      <c r="A133" s="108">
        <v>10154</v>
      </c>
      <c r="B133" s="108" t="s">
        <v>146</v>
      </c>
      <c r="C133" s="108">
        <v>12.5</v>
      </c>
    </row>
    <row r="134" spans="1:3" x14ac:dyDescent="0.25">
      <c r="A134" s="108">
        <v>10155</v>
      </c>
      <c r="B134" s="108" t="s">
        <v>147</v>
      </c>
      <c r="C134" s="108">
        <v>6.4</v>
      </c>
    </row>
    <row r="135" spans="1:3" x14ac:dyDescent="0.25">
      <c r="A135" s="108">
        <v>10156</v>
      </c>
      <c r="B135" s="108" t="s">
        <v>148</v>
      </c>
      <c r="C135" s="108">
        <v>5.8</v>
      </c>
    </row>
    <row r="136" spans="1:3" x14ac:dyDescent="0.25">
      <c r="A136" s="108">
        <v>10157</v>
      </c>
      <c r="B136" s="108" t="s">
        <v>149</v>
      </c>
      <c r="C136" s="108">
        <v>6.8</v>
      </c>
    </row>
    <row r="137" spans="1:3" x14ac:dyDescent="0.25">
      <c r="A137" s="108">
        <v>10158</v>
      </c>
      <c r="B137" s="108" t="s">
        <v>150</v>
      </c>
      <c r="C137" s="108">
        <v>8</v>
      </c>
    </row>
    <row r="138" spans="1:3" x14ac:dyDescent="0.25">
      <c r="A138" s="108">
        <v>10159</v>
      </c>
      <c r="B138" s="108" t="s">
        <v>151</v>
      </c>
      <c r="C138" s="108">
        <v>4.03</v>
      </c>
    </row>
    <row r="139" spans="1:3" x14ac:dyDescent="0.25">
      <c r="A139" s="108">
        <v>10160</v>
      </c>
      <c r="B139" s="108" t="s">
        <v>152</v>
      </c>
      <c r="C139" s="108">
        <v>4.75</v>
      </c>
    </row>
    <row r="140" spans="1:3" x14ac:dyDescent="0.25">
      <c r="A140" s="108">
        <v>10161</v>
      </c>
      <c r="B140" s="108" t="s">
        <v>153</v>
      </c>
      <c r="C140" s="108">
        <v>8.4</v>
      </c>
    </row>
    <row r="141" spans="1:3" x14ac:dyDescent="0.25">
      <c r="A141" s="108">
        <v>10162</v>
      </c>
      <c r="B141" s="108" t="s">
        <v>154</v>
      </c>
      <c r="C141" s="108">
        <v>2.94</v>
      </c>
    </row>
    <row r="142" spans="1:3" x14ac:dyDescent="0.25">
      <c r="A142" s="108">
        <v>10163</v>
      </c>
      <c r="B142" s="108" t="s">
        <v>155</v>
      </c>
      <c r="C142" s="108">
        <v>3.84</v>
      </c>
    </row>
    <row r="143" spans="1:3" x14ac:dyDescent="0.25">
      <c r="A143" s="108">
        <v>10164</v>
      </c>
      <c r="B143" s="108" t="s">
        <v>156</v>
      </c>
      <c r="C143" s="108">
        <v>5.65</v>
      </c>
    </row>
    <row r="144" spans="1:3" x14ac:dyDescent="0.25">
      <c r="A144" s="108">
        <v>10165</v>
      </c>
      <c r="B144" s="108" t="s">
        <v>157</v>
      </c>
      <c r="C144" s="108">
        <v>5.71</v>
      </c>
    </row>
    <row r="145" spans="1:3" x14ac:dyDescent="0.25">
      <c r="A145" s="108">
        <v>10167</v>
      </c>
      <c r="B145" s="108" t="s">
        <v>158</v>
      </c>
      <c r="C145" s="108">
        <v>13.9</v>
      </c>
    </row>
    <row r="146" spans="1:3" x14ac:dyDescent="0.25">
      <c r="A146" s="108">
        <v>10168</v>
      </c>
      <c r="B146" s="108" t="s">
        <v>159</v>
      </c>
      <c r="C146" s="108">
        <v>5.21</v>
      </c>
    </row>
    <row r="147" spans="1:3" x14ac:dyDescent="0.25">
      <c r="A147" s="108">
        <v>10169</v>
      </c>
      <c r="B147" s="108" t="s">
        <v>160</v>
      </c>
      <c r="C147" s="108">
        <v>6.42</v>
      </c>
    </row>
    <row r="148" spans="1:3" x14ac:dyDescent="0.25">
      <c r="A148" s="108">
        <v>10170</v>
      </c>
      <c r="B148" s="108" t="s">
        <v>161</v>
      </c>
      <c r="C148" s="108">
        <v>12.02</v>
      </c>
    </row>
    <row r="149" spans="1:3" x14ac:dyDescent="0.25">
      <c r="A149" s="108">
        <v>10171</v>
      </c>
      <c r="B149" s="108" t="s">
        <v>162</v>
      </c>
      <c r="C149" s="108">
        <v>129.77000000000001</v>
      </c>
    </row>
    <row r="150" spans="1:3" x14ac:dyDescent="0.25">
      <c r="A150" s="108">
        <v>10172</v>
      </c>
      <c r="B150" s="108" t="s">
        <v>163</v>
      </c>
      <c r="C150" s="108">
        <v>10.94</v>
      </c>
    </row>
    <row r="151" spans="1:3" x14ac:dyDescent="0.25">
      <c r="A151" s="108">
        <v>10173</v>
      </c>
      <c r="B151" s="108" t="s">
        <v>164</v>
      </c>
      <c r="C151" s="108">
        <v>12.3</v>
      </c>
    </row>
    <row r="152" spans="1:3" x14ac:dyDescent="0.25">
      <c r="A152" s="108">
        <v>10174</v>
      </c>
      <c r="B152" s="108" t="s">
        <v>165</v>
      </c>
      <c r="C152" s="108">
        <v>8.9</v>
      </c>
    </row>
    <row r="153" spans="1:3" x14ac:dyDescent="0.25">
      <c r="A153" s="108">
        <v>10175</v>
      </c>
      <c r="B153" s="108" t="s">
        <v>166</v>
      </c>
      <c r="C153" s="108">
        <v>8.8000000000000007</v>
      </c>
    </row>
    <row r="154" spans="1:3" x14ac:dyDescent="0.25">
      <c r="A154" s="108">
        <v>10176</v>
      </c>
      <c r="B154" s="108" t="s">
        <v>167</v>
      </c>
      <c r="C154" s="108">
        <v>11.29</v>
      </c>
    </row>
    <row r="155" spans="1:3" ht="30" x14ac:dyDescent="0.25">
      <c r="A155" s="108">
        <v>10177</v>
      </c>
      <c r="B155" s="108" t="s">
        <v>168</v>
      </c>
      <c r="C155" s="108">
        <v>12.71</v>
      </c>
    </row>
    <row r="156" spans="1:3" x14ac:dyDescent="0.25">
      <c r="A156" s="108">
        <v>10178</v>
      </c>
      <c r="B156" s="108" t="s">
        <v>169</v>
      </c>
      <c r="C156" s="108">
        <v>102.69</v>
      </c>
    </row>
    <row r="157" spans="1:3" x14ac:dyDescent="0.25">
      <c r="A157" s="108">
        <v>10179</v>
      </c>
      <c r="B157" s="108" t="s">
        <v>170</v>
      </c>
      <c r="C157" s="108">
        <v>191.41</v>
      </c>
    </row>
    <row r="158" spans="1:3" x14ac:dyDescent="0.25">
      <c r="A158" s="108">
        <v>10180</v>
      </c>
      <c r="B158" s="108" t="s">
        <v>171</v>
      </c>
      <c r="C158" s="108">
        <v>9.64</v>
      </c>
    </row>
    <row r="159" spans="1:3" x14ac:dyDescent="0.25">
      <c r="A159" s="108">
        <v>10181</v>
      </c>
      <c r="B159" s="108" t="s">
        <v>172</v>
      </c>
      <c r="C159" s="108">
        <v>12.29</v>
      </c>
    </row>
    <row r="160" spans="1:3" x14ac:dyDescent="0.25">
      <c r="A160" s="108">
        <v>10182</v>
      </c>
      <c r="B160" s="108" t="s">
        <v>173</v>
      </c>
      <c r="C160" s="108">
        <v>12.75</v>
      </c>
    </row>
    <row r="161" spans="1:3" x14ac:dyDescent="0.25">
      <c r="A161" s="108">
        <v>10183</v>
      </c>
      <c r="B161" s="108" t="s">
        <v>174</v>
      </c>
      <c r="C161" s="108">
        <v>13.62</v>
      </c>
    </row>
    <row r="162" spans="1:3" x14ac:dyDescent="0.25">
      <c r="A162" s="108">
        <v>10184</v>
      </c>
      <c r="B162" s="108" t="s">
        <v>175</v>
      </c>
      <c r="C162" s="108">
        <v>15.04</v>
      </c>
    </row>
    <row r="163" spans="1:3" x14ac:dyDescent="0.25">
      <c r="A163" s="108">
        <v>10185</v>
      </c>
      <c r="B163" s="108" t="s">
        <v>176</v>
      </c>
      <c r="C163" s="108">
        <v>8.0299999999999994</v>
      </c>
    </row>
    <row r="164" spans="1:3" x14ac:dyDescent="0.25">
      <c r="A164" s="108">
        <v>10186</v>
      </c>
      <c r="B164" s="108" t="s">
        <v>177</v>
      </c>
      <c r="C164" s="108">
        <v>7.71</v>
      </c>
    </row>
    <row r="165" spans="1:3" x14ac:dyDescent="0.25">
      <c r="A165" s="108">
        <v>10187</v>
      </c>
      <c r="B165" s="108" t="s">
        <v>178</v>
      </c>
      <c r="C165" s="108">
        <v>8.09</v>
      </c>
    </row>
    <row r="166" spans="1:3" x14ac:dyDescent="0.25">
      <c r="A166" s="108">
        <v>10188</v>
      </c>
      <c r="B166" s="108" t="s">
        <v>179</v>
      </c>
      <c r="C166" s="108">
        <v>8.48</v>
      </c>
    </row>
    <row r="167" spans="1:3" x14ac:dyDescent="0.25">
      <c r="A167" s="108">
        <v>10189</v>
      </c>
      <c r="B167" s="108" t="s">
        <v>180</v>
      </c>
      <c r="C167" s="108">
        <v>6.4</v>
      </c>
    </row>
    <row r="168" spans="1:3" x14ac:dyDescent="0.25">
      <c r="A168" s="108">
        <v>10191</v>
      </c>
      <c r="B168" s="108" t="s">
        <v>181</v>
      </c>
      <c r="C168" s="108">
        <v>17.829999999999998</v>
      </c>
    </row>
    <row r="169" spans="1:3" x14ac:dyDescent="0.25">
      <c r="A169" s="108">
        <v>10192</v>
      </c>
      <c r="B169" s="108" t="s">
        <v>182</v>
      </c>
      <c r="C169" s="108">
        <v>21.31</v>
      </c>
    </row>
    <row r="170" spans="1:3" x14ac:dyDescent="0.25">
      <c r="A170" s="108">
        <v>10193</v>
      </c>
      <c r="B170" s="108" t="s">
        <v>183</v>
      </c>
      <c r="C170" s="108">
        <v>8.67</v>
      </c>
    </row>
    <row r="171" spans="1:3" x14ac:dyDescent="0.25">
      <c r="A171" s="108">
        <v>10194</v>
      </c>
      <c r="B171" s="108" t="s">
        <v>184</v>
      </c>
      <c r="C171" s="108">
        <v>33.18</v>
      </c>
    </row>
    <row r="172" spans="1:3" x14ac:dyDescent="0.25">
      <c r="A172" s="108">
        <v>10195</v>
      </c>
      <c r="B172" s="108" t="s">
        <v>185</v>
      </c>
      <c r="C172" s="108">
        <v>43.73</v>
      </c>
    </row>
    <row r="173" spans="1:3" x14ac:dyDescent="0.25">
      <c r="A173" s="108">
        <v>10196</v>
      </c>
      <c r="B173" s="108" t="s">
        <v>186</v>
      </c>
      <c r="C173" s="108">
        <v>60.22</v>
      </c>
    </row>
    <row r="174" spans="1:3" x14ac:dyDescent="0.25">
      <c r="A174" s="108">
        <v>10197</v>
      </c>
      <c r="B174" s="108" t="s">
        <v>187</v>
      </c>
      <c r="C174" s="108">
        <v>70.91</v>
      </c>
    </row>
    <row r="175" spans="1:3" x14ac:dyDescent="0.25">
      <c r="A175" s="108">
        <v>10198</v>
      </c>
      <c r="B175" s="108" t="s">
        <v>188</v>
      </c>
      <c r="C175" s="108">
        <v>48.5</v>
      </c>
    </row>
    <row r="176" spans="1:3" x14ac:dyDescent="0.25">
      <c r="A176" s="108">
        <v>10199</v>
      </c>
      <c r="B176" s="108" t="s">
        <v>189</v>
      </c>
      <c r="C176" s="108">
        <v>19.2</v>
      </c>
    </row>
    <row r="177" spans="1:3" x14ac:dyDescent="0.25">
      <c r="A177" s="108">
        <v>10200</v>
      </c>
      <c r="B177" s="108" t="s">
        <v>190</v>
      </c>
      <c r="C177" s="108">
        <v>4.2</v>
      </c>
    </row>
    <row r="178" spans="1:3" x14ac:dyDescent="0.25">
      <c r="A178" s="108">
        <v>10201</v>
      </c>
      <c r="B178" s="108" t="s">
        <v>191</v>
      </c>
      <c r="C178" s="108">
        <v>2.9</v>
      </c>
    </row>
    <row r="179" spans="1:3" x14ac:dyDescent="0.25">
      <c r="A179" s="108">
        <v>10202</v>
      </c>
      <c r="B179" s="108" t="s">
        <v>192</v>
      </c>
      <c r="C179" s="108">
        <v>2.93</v>
      </c>
    </row>
    <row r="180" spans="1:3" x14ac:dyDescent="0.25">
      <c r="A180" s="108">
        <v>10203</v>
      </c>
      <c r="B180" s="108" t="s">
        <v>193</v>
      </c>
      <c r="C180" s="108">
        <v>2.76</v>
      </c>
    </row>
    <row r="181" spans="1:3" x14ac:dyDescent="0.25">
      <c r="A181" s="108">
        <v>10204</v>
      </c>
      <c r="B181" s="108" t="s">
        <v>194</v>
      </c>
      <c r="C181" s="108">
        <v>3.64</v>
      </c>
    </row>
    <row r="182" spans="1:3" x14ac:dyDescent="0.25">
      <c r="A182" s="108">
        <v>10205</v>
      </c>
      <c r="B182" s="108" t="s">
        <v>195</v>
      </c>
      <c r="C182" s="108">
        <v>3.34</v>
      </c>
    </row>
    <row r="183" spans="1:3" x14ac:dyDescent="0.25">
      <c r="A183" s="108">
        <v>10206</v>
      </c>
      <c r="B183" s="108" t="s">
        <v>196</v>
      </c>
      <c r="C183" s="108">
        <v>4.38</v>
      </c>
    </row>
    <row r="184" spans="1:3" x14ac:dyDescent="0.25">
      <c r="A184" s="108">
        <v>10207</v>
      </c>
      <c r="B184" s="108" t="s">
        <v>197</v>
      </c>
      <c r="C184" s="108">
        <v>5.27</v>
      </c>
    </row>
    <row r="185" spans="1:3" x14ac:dyDescent="0.25">
      <c r="A185" s="108">
        <v>10208</v>
      </c>
      <c r="B185" s="108" t="s">
        <v>198</v>
      </c>
      <c r="C185" s="108">
        <v>6.02</v>
      </c>
    </row>
    <row r="186" spans="1:3" x14ac:dyDescent="0.25">
      <c r="A186" s="108">
        <v>10209</v>
      </c>
      <c r="B186" s="108" t="s">
        <v>199</v>
      </c>
      <c r="C186" s="108">
        <v>6.09</v>
      </c>
    </row>
    <row r="187" spans="1:3" x14ac:dyDescent="0.25">
      <c r="A187" s="108">
        <v>10210</v>
      </c>
      <c r="B187" s="108" t="s">
        <v>200</v>
      </c>
      <c r="C187" s="108">
        <v>6.51</v>
      </c>
    </row>
    <row r="188" spans="1:3" x14ac:dyDescent="0.25">
      <c r="A188" s="108">
        <v>10211</v>
      </c>
      <c r="B188" s="108" t="s">
        <v>201</v>
      </c>
      <c r="C188" s="108">
        <v>6.29</v>
      </c>
    </row>
    <row r="189" spans="1:3" x14ac:dyDescent="0.25">
      <c r="A189" s="108">
        <v>10212</v>
      </c>
      <c r="B189" s="108" t="s">
        <v>202</v>
      </c>
      <c r="C189" s="108">
        <v>3.08</v>
      </c>
    </row>
    <row r="190" spans="1:3" ht="30" x14ac:dyDescent="0.25">
      <c r="A190" s="108">
        <v>10213</v>
      </c>
      <c r="B190" s="108" t="s">
        <v>203</v>
      </c>
      <c r="C190" s="108">
        <v>15.14</v>
      </c>
    </row>
    <row r="191" spans="1:3" ht="30" x14ac:dyDescent="0.25">
      <c r="A191" s="108">
        <v>10214</v>
      </c>
      <c r="B191" s="108" t="s">
        <v>204</v>
      </c>
      <c r="C191" s="108">
        <v>20.05</v>
      </c>
    </row>
    <row r="192" spans="1:3" ht="30" x14ac:dyDescent="0.25">
      <c r="A192" s="108">
        <v>10215</v>
      </c>
      <c r="B192" s="108" t="s">
        <v>205</v>
      </c>
      <c r="C192" s="108">
        <v>26.32</v>
      </c>
    </row>
    <row r="193" spans="1:3" x14ac:dyDescent="0.25">
      <c r="A193" s="108">
        <v>10216</v>
      </c>
      <c r="B193" s="108" t="s">
        <v>206</v>
      </c>
      <c r="C193" s="108">
        <v>13.45</v>
      </c>
    </row>
    <row r="194" spans="1:3" x14ac:dyDescent="0.25">
      <c r="A194" s="108">
        <v>10217</v>
      </c>
      <c r="B194" s="108" t="s">
        <v>207</v>
      </c>
      <c r="C194" s="108">
        <v>16.670000000000002</v>
      </c>
    </row>
    <row r="195" spans="1:3" x14ac:dyDescent="0.25">
      <c r="A195" s="108">
        <v>10218</v>
      </c>
      <c r="B195" s="108" t="s">
        <v>208</v>
      </c>
      <c r="C195" s="108">
        <v>23.19</v>
      </c>
    </row>
    <row r="196" spans="1:3" x14ac:dyDescent="0.25">
      <c r="A196" s="108">
        <v>10219</v>
      </c>
      <c r="B196" s="108" t="s">
        <v>209</v>
      </c>
      <c r="C196" s="108">
        <v>12.02</v>
      </c>
    </row>
    <row r="197" spans="1:3" x14ac:dyDescent="0.25">
      <c r="A197" s="108">
        <v>10221</v>
      </c>
      <c r="B197" s="108" t="s">
        <v>210</v>
      </c>
      <c r="C197" s="108">
        <v>5.5</v>
      </c>
    </row>
    <row r="198" spans="1:3" x14ac:dyDescent="0.25">
      <c r="A198" s="108">
        <v>10222</v>
      </c>
      <c r="B198" s="108" t="s">
        <v>211</v>
      </c>
      <c r="C198" s="108">
        <v>5.6</v>
      </c>
    </row>
    <row r="199" spans="1:3" x14ac:dyDescent="0.25">
      <c r="A199" s="108">
        <v>10223</v>
      </c>
      <c r="B199" s="108" t="s">
        <v>212</v>
      </c>
      <c r="C199" s="108">
        <v>6.18</v>
      </c>
    </row>
    <row r="200" spans="1:3" x14ac:dyDescent="0.25">
      <c r="A200" s="108">
        <v>10224</v>
      </c>
      <c r="B200" s="108" t="s">
        <v>213</v>
      </c>
      <c r="C200" s="108">
        <v>6.15</v>
      </c>
    </row>
    <row r="201" spans="1:3" x14ac:dyDescent="0.25">
      <c r="A201" s="108">
        <v>10225</v>
      </c>
      <c r="B201" s="108" t="s">
        <v>214</v>
      </c>
      <c r="C201" s="108">
        <v>8.68</v>
      </c>
    </row>
    <row r="202" spans="1:3" x14ac:dyDescent="0.25">
      <c r="A202" s="108">
        <v>10226</v>
      </c>
      <c r="B202" s="108" t="s">
        <v>215</v>
      </c>
      <c r="C202" s="108">
        <v>8.11</v>
      </c>
    </row>
    <row r="203" spans="1:3" x14ac:dyDescent="0.25">
      <c r="A203" s="108">
        <v>10227</v>
      </c>
      <c r="B203" s="108" t="s">
        <v>216</v>
      </c>
      <c r="C203" s="108">
        <v>4.37</v>
      </c>
    </row>
    <row r="204" spans="1:3" x14ac:dyDescent="0.25">
      <c r="A204" s="108">
        <v>10228</v>
      </c>
      <c r="B204" s="108" t="s">
        <v>217</v>
      </c>
      <c r="C204" s="108">
        <v>4.9000000000000004</v>
      </c>
    </row>
    <row r="205" spans="1:3" x14ac:dyDescent="0.25">
      <c r="A205" s="108">
        <v>10229</v>
      </c>
      <c r="B205" s="108" t="s">
        <v>218</v>
      </c>
      <c r="C205" s="108">
        <v>4.37</v>
      </c>
    </row>
    <row r="206" spans="1:3" x14ac:dyDescent="0.25">
      <c r="A206" s="108">
        <v>10230</v>
      </c>
      <c r="B206" s="108" t="s">
        <v>219</v>
      </c>
      <c r="C206" s="108">
        <v>4.8</v>
      </c>
    </row>
    <row r="207" spans="1:3" x14ac:dyDescent="0.25">
      <c r="A207" s="108">
        <v>10231</v>
      </c>
      <c r="B207" s="108" t="s">
        <v>220</v>
      </c>
      <c r="C207" s="108">
        <v>4.76</v>
      </c>
    </row>
    <row r="208" spans="1:3" x14ac:dyDescent="0.25">
      <c r="A208" s="108">
        <v>10232</v>
      </c>
      <c r="B208" s="108" t="s">
        <v>221</v>
      </c>
      <c r="C208" s="108">
        <v>4.75</v>
      </c>
    </row>
    <row r="209" spans="1:3" x14ac:dyDescent="0.25">
      <c r="A209" s="108">
        <v>10233</v>
      </c>
      <c r="B209" s="108" t="s">
        <v>222</v>
      </c>
      <c r="C209" s="108">
        <v>4.75</v>
      </c>
    </row>
    <row r="210" spans="1:3" x14ac:dyDescent="0.25">
      <c r="A210" s="108">
        <v>10234</v>
      </c>
      <c r="B210" s="108" t="s">
        <v>223</v>
      </c>
      <c r="C210" s="108">
        <v>7.63</v>
      </c>
    </row>
    <row r="211" spans="1:3" x14ac:dyDescent="0.25">
      <c r="A211" s="108">
        <v>10235</v>
      </c>
      <c r="B211" s="108" t="s">
        <v>224</v>
      </c>
      <c r="C211" s="108">
        <v>5.83</v>
      </c>
    </row>
    <row r="212" spans="1:3" x14ac:dyDescent="0.25">
      <c r="A212" s="108">
        <v>10236</v>
      </c>
      <c r="B212" s="108" t="s">
        <v>225</v>
      </c>
      <c r="C212" s="108">
        <v>56.95</v>
      </c>
    </row>
    <row r="213" spans="1:3" ht="30" x14ac:dyDescent="0.25">
      <c r="A213" s="108">
        <v>10237</v>
      </c>
      <c r="B213" s="108" t="s">
        <v>226</v>
      </c>
      <c r="C213" s="108">
        <v>13.05</v>
      </c>
    </row>
    <row r="214" spans="1:3" x14ac:dyDescent="0.25">
      <c r="A214" s="108">
        <v>10238</v>
      </c>
      <c r="B214" s="108" t="s">
        <v>227</v>
      </c>
      <c r="C214" s="108">
        <v>9.93</v>
      </c>
    </row>
    <row r="215" spans="1:3" x14ac:dyDescent="0.25">
      <c r="A215" s="108">
        <v>10239</v>
      </c>
      <c r="B215" s="108" t="s">
        <v>228</v>
      </c>
      <c r="C215" s="108">
        <v>9</v>
      </c>
    </row>
    <row r="216" spans="1:3" ht="30" x14ac:dyDescent="0.25">
      <c r="A216" s="108">
        <v>10240</v>
      </c>
      <c r="B216" s="108" t="s">
        <v>229</v>
      </c>
      <c r="C216" s="108">
        <v>10.33</v>
      </c>
    </row>
    <row r="217" spans="1:3" x14ac:dyDescent="0.25">
      <c r="A217" s="108">
        <v>10241</v>
      </c>
      <c r="B217" s="108" t="s">
        <v>230</v>
      </c>
      <c r="C217" s="108">
        <v>14.5</v>
      </c>
    </row>
    <row r="218" spans="1:3" ht="30" x14ac:dyDescent="0.25">
      <c r="A218" s="108">
        <v>10242</v>
      </c>
      <c r="B218" s="108" t="s">
        <v>231</v>
      </c>
      <c r="C218" s="108">
        <v>12.5</v>
      </c>
    </row>
    <row r="219" spans="1:3" x14ac:dyDescent="0.25">
      <c r="A219" s="108">
        <v>10243</v>
      </c>
      <c r="B219" s="108" t="s">
        <v>232</v>
      </c>
      <c r="C219" s="108">
        <v>17.88</v>
      </c>
    </row>
    <row r="220" spans="1:3" x14ac:dyDescent="0.25">
      <c r="A220" s="108">
        <v>10244</v>
      </c>
      <c r="B220" s="108" t="s">
        <v>233</v>
      </c>
      <c r="C220" s="108">
        <v>3.23</v>
      </c>
    </row>
    <row r="221" spans="1:3" x14ac:dyDescent="0.25">
      <c r="A221" s="108">
        <v>10245</v>
      </c>
      <c r="B221" s="108" t="s">
        <v>234</v>
      </c>
      <c r="C221" s="108">
        <v>6.31</v>
      </c>
    </row>
    <row r="222" spans="1:3" x14ac:dyDescent="0.25">
      <c r="A222" s="108">
        <v>10246</v>
      </c>
      <c r="B222" s="108" t="s">
        <v>235</v>
      </c>
      <c r="C222" s="108">
        <v>6.07</v>
      </c>
    </row>
    <row r="223" spans="1:3" x14ac:dyDescent="0.25">
      <c r="A223" s="108">
        <v>10247</v>
      </c>
      <c r="B223" s="108" t="s">
        <v>236</v>
      </c>
      <c r="C223" s="108">
        <v>0.34</v>
      </c>
    </row>
    <row r="224" spans="1:3" x14ac:dyDescent="0.25">
      <c r="A224" s="108">
        <v>10248</v>
      </c>
      <c r="B224" s="108" t="s">
        <v>237</v>
      </c>
      <c r="C224" s="108">
        <v>0.68</v>
      </c>
    </row>
    <row r="225" spans="1:3" x14ac:dyDescent="0.25">
      <c r="A225" s="108">
        <v>10249</v>
      </c>
      <c r="B225" s="108" t="s">
        <v>238</v>
      </c>
      <c r="C225" s="108">
        <v>0.68</v>
      </c>
    </row>
    <row r="226" spans="1:3" x14ac:dyDescent="0.25">
      <c r="A226" s="108">
        <v>1025</v>
      </c>
      <c r="B226" s="108" t="s">
        <v>239</v>
      </c>
      <c r="C226" s="108">
        <v>4.5</v>
      </c>
    </row>
    <row r="227" spans="1:3" x14ac:dyDescent="0.25">
      <c r="A227" s="108">
        <v>10250</v>
      </c>
      <c r="B227" s="108" t="s">
        <v>240</v>
      </c>
      <c r="C227" s="108">
        <v>0.68</v>
      </c>
    </row>
    <row r="228" spans="1:3" x14ac:dyDescent="0.25">
      <c r="A228" s="108">
        <v>10251</v>
      </c>
      <c r="B228" s="108" t="s">
        <v>241</v>
      </c>
      <c r="C228" s="108">
        <v>0.68</v>
      </c>
    </row>
    <row r="229" spans="1:3" x14ac:dyDescent="0.25">
      <c r="A229" s="108">
        <v>10254</v>
      </c>
      <c r="B229" s="108" t="s">
        <v>242</v>
      </c>
      <c r="C229" s="108">
        <v>5.73</v>
      </c>
    </row>
    <row r="230" spans="1:3" x14ac:dyDescent="0.25">
      <c r="A230" s="108">
        <v>10255</v>
      </c>
      <c r="B230" s="108" t="s">
        <v>243</v>
      </c>
      <c r="C230" s="108">
        <v>2.2599999999999998</v>
      </c>
    </row>
    <row r="231" spans="1:3" x14ac:dyDescent="0.25">
      <c r="A231" s="108">
        <v>10256</v>
      </c>
      <c r="B231" s="108" t="s">
        <v>244</v>
      </c>
      <c r="C231" s="108">
        <v>2.5299999999999998</v>
      </c>
    </row>
    <row r="232" spans="1:3" x14ac:dyDescent="0.25">
      <c r="A232" s="108">
        <v>10257</v>
      </c>
      <c r="B232" s="108" t="s">
        <v>245</v>
      </c>
      <c r="C232" s="108">
        <v>2.78</v>
      </c>
    </row>
    <row r="233" spans="1:3" x14ac:dyDescent="0.25">
      <c r="A233" s="108">
        <v>10258</v>
      </c>
      <c r="B233" s="108" t="s">
        <v>246</v>
      </c>
      <c r="C233" s="108">
        <v>7.5</v>
      </c>
    </row>
    <row r="234" spans="1:3" x14ac:dyDescent="0.25">
      <c r="A234" s="108">
        <v>10259</v>
      </c>
      <c r="B234" s="108" t="s">
        <v>247</v>
      </c>
      <c r="C234" s="108">
        <v>5.96</v>
      </c>
    </row>
    <row r="235" spans="1:3" x14ac:dyDescent="0.25">
      <c r="A235" s="108">
        <v>1026</v>
      </c>
      <c r="B235" s="108" t="s">
        <v>248</v>
      </c>
      <c r="C235" s="108">
        <v>4.5</v>
      </c>
    </row>
    <row r="236" spans="1:3" x14ac:dyDescent="0.25">
      <c r="A236" s="108">
        <v>10261</v>
      </c>
      <c r="B236" s="108" t="s">
        <v>249</v>
      </c>
      <c r="C236" s="108">
        <v>12.43</v>
      </c>
    </row>
    <row r="237" spans="1:3" ht="30" x14ac:dyDescent="0.25">
      <c r="A237" s="108">
        <v>10262</v>
      </c>
      <c r="B237" s="108" t="s">
        <v>250</v>
      </c>
      <c r="C237" s="108">
        <v>13.39</v>
      </c>
    </row>
    <row r="238" spans="1:3" ht="30" x14ac:dyDescent="0.25">
      <c r="A238" s="108">
        <v>10263</v>
      </c>
      <c r="B238" s="108" t="s">
        <v>251</v>
      </c>
      <c r="C238" s="108">
        <v>53.79</v>
      </c>
    </row>
    <row r="239" spans="1:3" ht="30" x14ac:dyDescent="0.25">
      <c r="A239" s="108">
        <v>10264</v>
      </c>
      <c r="B239" s="108" t="s">
        <v>252</v>
      </c>
      <c r="C239" s="108">
        <v>60.43</v>
      </c>
    </row>
    <row r="240" spans="1:3" x14ac:dyDescent="0.25">
      <c r="A240" s="108">
        <v>10265</v>
      </c>
      <c r="B240" s="108" t="s">
        <v>253</v>
      </c>
      <c r="C240" s="108">
        <v>63.22</v>
      </c>
    </row>
    <row r="241" spans="1:3" x14ac:dyDescent="0.25">
      <c r="A241" s="108">
        <v>10266</v>
      </c>
      <c r="B241" s="108" t="s">
        <v>254</v>
      </c>
      <c r="C241" s="108">
        <v>70.47</v>
      </c>
    </row>
    <row r="242" spans="1:3" x14ac:dyDescent="0.25">
      <c r="A242" s="108">
        <v>10267</v>
      </c>
      <c r="B242" s="108" t="s">
        <v>255</v>
      </c>
      <c r="C242" s="108">
        <v>11.45</v>
      </c>
    </row>
    <row r="243" spans="1:3" x14ac:dyDescent="0.25">
      <c r="A243" s="108">
        <v>10268</v>
      </c>
      <c r="B243" s="108" t="s">
        <v>256</v>
      </c>
      <c r="C243" s="108">
        <v>12.74</v>
      </c>
    </row>
    <row r="244" spans="1:3" ht="30" x14ac:dyDescent="0.25">
      <c r="A244" s="108">
        <v>10269</v>
      </c>
      <c r="B244" s="108" t="s">
        <v>257</v>
      </c>
      <c r="C244" s="108">
        <v>11.63</v>
      </c>
    </row>
    <row r="245" spans="1:3" ht="30" x14ac:dyDescent="0.25">
      <c r="A245" s="108">
        <v>10270</v>
      </c>
      <c r="B245" s="108" t="s">
        <v>258</v>
      </c>
      <c r="C245" s="108">
        <v>12.97</v>
      </c>
    </row>
    <row r="246" spans="1:3" ht="30" x14ac:dyDescent="0.25">
      <c r="A246" s="108">
        <v>10271</v>
      </c>
      <c r="B246" s="108" t="s">
        <v>259</v>
      </c>
      <c r="C246" s="108">
        <v>15.22</v>
      </c>
    </row>
    <row r="247" spans="1:3" ht="30" x14ac:dyDescent="0.25">
      <c r="A247" s="108">
        <v>10272</v>
      </c>
      <c r="B247" s="108" t="s">
        <v>260</v>
      </c>
      <c r="C247" s="108">
        <v>18.88</v>
      </c>
    </row>
    <row r="248" spans="1:3" ht="30" x14ac:dyDescent="0.25">
      <c r="A248" s="108">
        <v>10273</v>
      </c>
      <c r="B248" s="108" t="s">
        <v>261</v>
      </c>
      <c r="C248" s="108">
        <v>23.47</v>
      </c>
    </row>
    <row r="249" spans="1:3" ht="30" x14ac:dyDescent="0.25">
      <c r="A249" s="108">
        <v>10274</v>
      </c>
      <c r="B249" s="108" t="s">
        <v>262</v>
      </c>
      <c r="C249" s="108">
        <v>26.67</v>
      </c>
    </row>
    <row r="250" spans="1:3" x14ac:dyDescent="0.25">
      <c r="A250" s="108">
        <v>10275</v>
      </c>
      <c r="B250" s="108" t="s">
        <v>263</v>
      </c>
      <c r="C250" s="108">
        <v>27.1</v>
      </c>
    </row>
    <row r="251" spans="1:3" ht="30" x14ac:dyDescent="0.25">
      <c r="A251" s="108">
        <v>10276</v>
      </c>
      <c r="B251" s="108" t="s">
        <v>264</v>
      </c>
      <c r="C251" s="108">
        <v>24.22</v>
      </c>
    </row>
    <row r="252" spans="1:3" x14ac:dyDescent="0.25">
      <c r="A252" s="108">
        <v>10278</v>
      </c>
      <c r="B252" s="108" t="s">
        <v>265</v>
      </c>
      <c r="C252" s="108">
        <v>1.2</v>
      </c>
    </row>
    <row r="253" spans="1:3" x14ac:dyDescent="0.25">
      <c r="A253" s="108">
        <v>10279</v>
      </c>
      <c r="B253" s="108" t="s">
        <v>266</v>
      </c>
      <c r="C253" s="108">
        <v>12.7</v>
      </c>
    </row>
    <row r="254" spans="1:3" x14ac:dyDescent="0.25">
      <c r="A254" s="108">
        <v>10280</v>
      </c>
      <c r="B254" s="108" t="s">
        <v>267</v>
      </c>
      <c r="C254" s="108">
        <v>11.25</v>
      </c>
    </row>
    <row r="255" spans="1:3" x14ac:dyDescent="0.25">
      <c r="A255" s="108">
        <v>10281</v>
      </c>
      <c r="B255" s="108" t="s">
        <v>268</v>
      </c>
      <c r="C255" s="108">
        <v>12</v>
      </c>
    </row>
    <row r="256" spans="1:3" x14ac:dyDescent="0.25">
      <c r="A256" s="108">
        <v>10282</v>
      </c>
      <c r="B256" s="108" t="s">
        <v>269</v>
      </c>
      <c r="C256" s="108">
        <v>55.95</v>
      </c>
    </row>
    <row r="257" spans="1:3" ht="30" x14ac:dyDescent="0.25">
      <c r="A257" s="108">
        <v>10283</v>
      </c>
      <c r="B257" s="108" t="s">
        <v>270</v>
      </c>
      <c r="C257" s="108">
        <v>1.94</v>
      </c>
    </row>
    <row r="258" spans="1:3" x14ac:dyDescent="0.25">
      <c r="A258" s="108">
        <v>10284</v>
      </c>
      <c r="B258" s="108" t="s">
        <v>271</v>
      </c>
      <c r="C258" s="108">
        <v>30.33</v>
      </c>
    </row>
    <row r="259" spans="1:3" x14ac:dyDescent="0.25">
      <c r="A259" s="108">
        <v>10285</v>
      </c>
      <c r="B259" s="108" t="s">
        <v>272</v>
      </c>
      <c r="C259" s="108">
        <v>2.35</v>
      </c>
    </row>
    <row r="260" spans="1:3" x14ac:dyDescent="0.25">
      <c r="A260" s="108">
        <v>10286</v>
      </c>
      <c r="B260" s="108" t="s">
        <v>273</v>
      </c>
      <c r="C260" s="108">
        <v>3.24</v>
      </c>
    </row>
    <row r="261" spans="1:3" x14ac:dyDescent="0.25">
      <c r="A261" s="108">
        <v>10287</v>
      </c>
      <c r="B261" s="108" t="s">
        <v>274</v>
      </c>
      <c r="C261" s="108">
        <v>3.7</v>
      </c>
    </row>
    <row r="262" spans="1:3" ht="30" x14ac:dyDescent="0.25">
      <c r="A262" s="108">
        <v>10289</v>
      </c>
      <c r="B262" s="108" t="s">
        <v>275</v>
      </c>
      <c r="C262" s="108">
        <v>6.44</v>
      </c>
    </row>
    <row r="263" spans="1:3" x14ac:dyDescent="0.25">
      <c r="A263" s="108">
        <v>10290</v>
      </c>
      <c r="B263" s="108" t="s">
        <v>276</v>
      </c>
      <c r="C263" s="108">
        <v>10.66</v>
      </c>
    </row>
    <row r="264" spans="1:3" ht="30" x14ac:dyDescent="0.25">
      <c r="A264" s="108">
        <v>10291</v>
      </c>
      <c r="B264" s="108" t="s">
        <v>277</v>
      </c>
      <c r="C264" s="108">
        <v>8.94</v>
      </c>
    </row>
    <row r="265" spans="1:3" x14ac:dyDescent="0.25">
      <c r="A265" s="108">
        <v>10292</v>
      </c>
      <c r="B265" s="108" t="s">
        <v>278</v>
      </c>
      <c r="C265" s="108">
        <v>12.81</v>
      </c>
    </row>
    <row r="266" spans="1:3" x14ac:dyDescent="0.25">
      <c r="A266" s="108">
        <v>10294</v>
      </c>
      <c r="B266" s="108" t="s">
        <v>279</v>
      </c>
      <c r="C266" s="108">
        <v>2.5299999999999998</v>
      </c>
    </row>
    <row r="267" spans="1:3" x14ac:dyDescent="0.25">
      <c r="A267" s="108">
        <v>10295</v>
      </c>
      <c r="B267" s="108" t="s">
        <v>280</v>
      </c>
      <c r="C267" s="108">
        <v>3.19</v>
      </c>
    </row>
    <row r="268" spans="1:3" ht="30" x14ac:dyDescent="0.25">
      <c r="A268" s="108">
        <v>10296</v>
      </c>
      <c r="B268" s="108" t="s">
        <v>281</v>
      </c>
      <c r="C268" s="108">
        <v>24.1</v>
      </c>
    </row>
    <row r="269" spans="1:3" x14ac:dyDescent="0.25">
      <c r="A269" s="108">
        <v>10297</v>
      </c>
      <c r="B269" s="108" t="s">
        <v>282</v>
      </c>
      <c r="C269" s="108">
        <v>22.01</v>
      </c>
    </row>
    <row r="270" spans="1:3" x14ac:dyDescent="0.25">
      <c r="A270" s="108">
        <v>10298</v>
      </c>
      <c r="B270" s="108" t="s">
        <v>283</v>
      </c>
      <c r="C270" s="108">
        <v>34.090000000000003</v>
      </c>
    </row>
    <row r="271" spans="1:3" x14ac:dyDescent="0.25">
      <c r="A271" s="108">
        <v>10299</v>
      </c>
      <c r="B271" s="108" t="s">
        <v>284</v>
      </c>
      <c r="C271" s="108">
        <v>35.51</v>
      </c>
    </row>
    <row r="272" spans="1:3" x14ac:dyDescent="0.25">
      <c r="A272" s="108">
        <v>10300</v>
      </c>
      <c r="B272" s="108" t="s">
        <v>285</v>
      </c>
      <c r="C272" s="108">
        <v>38.229999999999997</v>
      </c>
    </row>
    <row r="273" spans="1:3" x14ac:dyDescent="0.25">
      <c r="A273" s="108">
        <v>10301</v>
      </c>
      <c r="B273" s="108" t="s">
        <v>286</v>
      </c>
      <c r="C273" s="108">
        <v>5.58</v>
      </c>
    </row>
    <row r="274" spans="1:3" ht="30" x14ac:dyDescent="0.25">
      <c r="A274" s="108">
        <v>10302</v>
      </c>
      <c r="B274" s="108" t="s">
        <v>287</v>
      </c>
      <c r="C274" s="108">
        <v>4.75</v>
      </c>
    </row>
    <row r="275" spans="1:3" ht="30" x14ac:dyDescent="0.25">
      <c r="A275" s="108">
        <v>10303</v>
      </c>
      <c r="B275" s="108" t="s">
        <v>288</v>
      </c>
      <c r="C275" s="108">
        <v>4.9000000000000004</v>
      </c>
    </row>
    <row r="276" spans="1:3" x14ac:dyDescent="0.25">
      <c r="A276" s="108">
        <v>10304</v>
      </c>
      <c r="B276" s="108" t="s">
        <v>289</v>
      </c>
      <c r="C276" s="108">
        <v>4.5599999999999996</v>
      </c>
    </row>
    <row r="277" spans="1:3" x14ac:dyDescent="0.25">
      <c r="A277" s="108">
        <v>10305</v>
      </c>
      <c r="B277" s="108" t="s">
        <v>290</v>
      </c>
      <c r="C277" s="108">
        <v>4.37</v>
      </c>
    </row>
    <row r="278" spans="1:3" ht="30" x14ac:dyDescent="0.25">
      <c r="A278" s="108">
        <v>10306</v>
      </c>
      <c r="B278" s="108" t="s">
        <v>291</v>
      </c>
      <c r="C278" s="108">
        <v>4.58</v>
      </c>
    </row>
    <row r="279" spans="1:3" ht="30" x14ac:dyDescent="0.25">
      <c r="A279" s="108">
        <v>10307</v>
      </c>
      <c r="B279" s="108" t="s">
        <v>292</v>
      </c>
      <c r="C279" s="108">
        <v>4.83</v>
      </c>
    </row>
    <row r="280" spans="1:3" x14ac:dyDescent="0.25">
      <c r="A280" s="108">
        <v>10308</v>
      </c>
      <c r="B280" s="108" t="s">
        <v>293</v>
      </c>
      <c r="C280" s="108">
        <v>5.24</v>
      </c>
    </row>
    <row r="281" spans="1:3" x14ac:dyDescent="0.25">
      <c r="A281" s="108">
        <v>10309</v>
      </c>
      <c r="B281" s="108" t="s">
        <v>294</v>
      </c>
      <c r="C281" s="108">
        <v>5.75</v>
      </c>
    </row>
    <row r="282" spans="1:3" x14ac:dyDescent="0.25">
      <c r="A282" s="108">
        <v>10310</v>
      </c>
      <c r="B282" s="108" t="s">
        <v>295</v>
      </c>
      <c r="C282" s="108">
        <v>7.07</v>
      </c>
    </row>
    <row r="283" spans="1:3" x14ac:dyDescent="0.25">
      <c r="A283" s="108">
        <v>10311</v>
      </c>
      <c r="B283" s="108" t="s">
        <v>296</v>
      </c>
      <c r="C283" s="108">
        <v>8.35</v>
      </c>
    </row>
    <row r="284" spans="1:3" x14ac:dyDescent="0.25">
      <c r="A284" s="108">
        <v>10312</v>
      </c>
      <c r="B284" s="108" t="s">
        <v>297</v>
      </c>
      <c r="C284" s="108">
        <v>5.65</v>
      </c>
    </row>
    <row r="285" spans="1:3" x14ac:dyDescent="0.25">
      <c r="A285" s="108">
        <v>10313</v>
      </c>
      <c r="B285" s="108" t="s">
        <v>298</v>
      </c>
      <c r="C285" s="108">
        <v>6.62</v>
      </c>
    </row>
    <row r="286" spans="1:3" x14ac:dyDescent="0.25">
      <c r="A286" s="108">
        <v>10314</v>
      </c>
      <c r="B286" s="108" t="s">
        <v>299</v>
      </c>
      <c r="C286" s="108">
        <v>15.93</v>
      </c>
    </row>
    <row r="287" spans="1:3" x14ac:dyDescent="0.25">
      <c r="A287" s="108">
        <v>10315</v>
      </c>
      <c r="B287" s="108" t="s">
        <v>300</v>
      </c>
      <c r="C287" s="108">
        <v>8.41</v>
      </c>
    </row>
    <row r="288" spans="1:3" x14ac:dyDescent="0.25">
      <c r="A288" s="108">
        <v>10316</v>
      </c>
      <c r="B288" s="108" t="s">
        <v>301</v>
      </c>
      <c r="C288" s="108">
        <v>12.48</v>
      </c>
    </row>
    <row r="289" spans="1:3" x14ac:dyDescent="0.25">
      <c r="A289" s="108">
        <v>10317</v>
      </c>
      <c r="B289" s="108" t="s">
        <v>302</v>
      </c>
      <c r="C289" s="108">
        <v>3.62</v>
      </c>
    </row>
    <row r="290" spans="1:3" x14ac:dyDescent="0.25">
      <c r="A290" s="108">
        <v>10318</v>
      </c>
      <c r="B290" s="108" t="s">
        <v>303</v>
      </c>
      <c r="C290" s="108">
        <v>230.8</v>
      </c>
    </row>
    <row r="291" spans="1:3" x14ac:dyDescent="0.25">
      <c r="A291" s="108">
        <v>10319</v>
      </c>
      <c r="B291" s="108" t="s">
        <v>304</v>
      </c>
      <c r="C291" s="108">
        <v>252.69</v>
      </c>
    </row>
    <row r="292" spans="1:3" x14ac:dyDescent="0.25">
      <c r="A292" s="108">
        <v>10320</v>
      </c>
      <c r="B292" s="108" t="s">
        <v>305</v>
      </c>
      <c r="C292" s="108">
        <v>72.39</v>
      </c>
    </row>
    <row r="293" spans="1:3" x14ac:dyDescent="0.25">
      <c r="A293" s="108">
        <v>10321</v>
      </c>
      <c r="B293" s="108" t="s">
        <v>306</v>
      </c>
      <c r="C293" s="108">
        <v>480.94</v>
      </c>
    </row>
    <row r="294" spans="1:3" x14ac:dyDescent="0.25">
      <c r="A294" s="108">
        <v>10322</v>
      </c>
      <c r="B294" s="108" t="s">
        <v>307</v>
      </c>
      <c r="C294" s="108">
        <v>136.19</v>
      </c>
    </row>
    <row r="295" spans="1:3" x14ac:dyDescent="0.25">
      <c r="A295" s="108">
        <v>10323</v>
      </c>
      <c r="B295" s="108" t="s">
        <v>308</v>
      </c>
      <c r="C295" s="108">
        <v>52.6</v>
      </c>
    </row>
    <row r="296" spans="1:3" x14ac:dyDescent="0.25">
      <c r="A296" s="108">
        <v>10325</v>
      </c>
      <c r="B296" s="108" t="s">
        <v>309</v>
      </c>
      <c r="C296" s="108">
        <v>249.92</v>
      </c>
    </row>
    <row r="297" spans="1:3" ht="30" x14ac:dyDescent="0.25">
      <c r="A297" s="108">
        <v>10326</v>
      </c>
      <c r="B297" s="108" t="s">
        <v>310</v>
      </c>
      <c r="C297" s="108">
        <v>257.05</v>
      </c>
    </row>
    <row r="298" spans="1:3" x14ac:dyDescent="0.25">
      <c r="A298" s="108">
        <v>10327</v>
      </c>
      <c r="B298" s="108" t="s">
        <v>311</v>
      </c>
      <c r="C298" s="108">
        <v>147.99</v>
      </c>
    </row>
    <row r="299" spans="1:3" ht="30" x14ac:dyDescent="0.25">
      <c r="A299" s="108">
        <v>10328</v>
      </c>
      <c r="B299" s="108" t="s">
        <v>312</v>
      </c>
      <c r="C299" s="108">
        <v>137.41999999999999</v>
      </c>
    </row>
    <row r="300" spans="1:3" ht="30" x14ac:dyDescent="0.25">
      <c r="A300" s="108">
        <v>10329</v>
      </c>
      <c r="B300" s="108" t="s">
        <v>313</v>
      </c>
      <c r="C300" s="108">
        <v>629.84</v>
      </c>
    </row>
    <row r="301" spans="1:3" ht="30" x14ac:dyDescent="0.25">
      <c r="A301" s="108">
        <v>10330</v>
      </c>
      <c r="B301" s="108" t="s">
        <v>314</v>
      </c>
      <c r="C301" s="108">
        <v>104.17</v>
      </c>
    </row>
    <row r="302" spans="1:3" ht="30" x14ac:dyDescent="0.25">
      <c r="A302" s="108">
        <v>10331</v>
      </c>
      <c r="B302" s="108" t="s">
        <v>315</v>
      </c>
      <c r="C302" s="108">
        <v>438.01</v>
      </c>
    </row>
    <row r="303" spans="1:3" x14ac:dyDescent="0.25">
      <c r="A303" s="108">
        <v>10332</v>
      </c>
      <c r="B303" s="108" t="s">
        <v>316</v>
      </c>
      <c r="C303" s="108">
        <v>103.89</v>
      </c>
    </row>
    <row r="304" spans="1:3" x14ac:dyDescent="0.25">
      <c r="A304" s="108">
        <v>10333</v>
      </c>
      <c r="B304" s="108" t="s">
        <v>317</v>
      </c>
      <c r="C304" s="108">
        <v>132.08000000000001</v>
      </c>
    </row>
    <row r="305" spans="1:3" x14ac:dyDescent="0.25">
      <c r="A305" s="108">
        <v>10334</v>
      </c>
      <c r="B305" s="108" t="s">
        <v>318</v>
      </c>
      <c r="C305" s="108">
        <v>140.19</v>
      </c>
    </row>
    <row r="306" spans="1:3" x14ac:dyDescent="0.25">
      <c r="A306" s="108">
        <v>10335</v>
      </c>
      <c r="B306" s="108" t="s">
        <v>319</v>
      </c>
      <c r="C306" s="108">
        <v>322.57</v>
      </c>
    </row>
    <row r="307" spans="1:3" x14ac:dyDescent="0.25">
      <c r="A307" s="108">
        <v>10336</v>
      </c>
      <c r="B307" s="108" t="s">
        <v>320</v>
      </c>
      <c r="C307" s="108">
        <v>22</v>
      </c>
    </row>
    <row r="308" spans="1:3" x14ac:dyDescent="0.25">
      <c r="A308" s="108">
        <v>10337</v>
      </c>
      <c r="B308" s="108" t="s">
        <v>321</v>
      </c>
      <c r="C308" s="108">
        <v>28</v>
      </c>
    </row>
    <row r="309" spans="1:3" x14ac:dyDescent="0.25">
      <c r="A309" s="108">
        <v>10338</v>
      </c>
      <c r="B309" s="108" t="s">
        <v>322</v>
      </c>
      <c r="C309" s="108">
        <v>28</v>
      </c>
    </row>
    <row r="310" spans="1:3" x14ac:dyDescent="0.25">
      <c r="A310" s="108">
        <v>10339</v>
      </c>
      <c r="B310" s="108" t="s">
        <v>323</v>
      </c>
      <c r="C310" s="108">
        <v>27.12</v>
      </c>
    </row>
    <row r="311" spans="1:3" x14ac:dyDescent="0.25">
      <c r="A311" s="108">
        <v>10341</v>
      </c>
      <c r="B311" s="108" t="s">
        <v>324</v>
      </c>
      <c r="C311" s="108">
        <v>0.01</v>
      </c>
    </row>
    <row r="312" spans="1:3" x14ac:dyDescent="0.25">
      <c r="A312" s="108">
        <v>10342</v>
      </c>
      <c r="B312" s="108" t="s">
        <v>325</v>
      </c>
      <c r="C312" s="108">
        <v>0.01</v>
      </c>
    </row>
    <row r="313" spans="1:3" x14ac:dyDescent="0.25">
      <c r="A313" s="108">
        <v>10343</v>
      </c>
      <c r="B313" s="108" t="s">
        <v>326</v>
      </c>
      <c r="C313" s="108">
        <v>0.01</v>
      </c>
    </row>
    <row r="314" spans="1:3" x14ac:dyDescent="0.25">
      <c r="A314" s="108">
        <v>10344</v>
      </c>
      <c r="B314" s="108" t="s">
        <v>327</v>
      </c>
      <c r="C314" s="108">
        <v>0.01</v>
      </c>
    </row>
    <row r="315" spans="1:3" x14ac:dyDescent="0.25">
      <c r="A315" s="108">
        <v>10345</v>
      </c>
      <c r="B315" s="108" t="s">
        <v>328</v>
      </c>
      <c r="C315" s="108">
        <v>0.01</v>
      </c>
    </row>
    <row r="316" spans="1:3" x14ac:dyDescent="0.25">
      <c r="A316" s="108">
        <v>10346</v>
      </c>
      <c r="B316" s="108" t="s">
        <v>329</v>
      </c>
      <c r="C316" s="108">
        <v>1</v>
      </c>
    </row>
    <row r="317" spans="1:3" x14ac:dyDescent="0.25">
      <c r="A317" s="108">
        <v>10349</v>
      </c>
      <c r="B317" s="108" t="s">
        <v>330</v>
      </c>
      <c r="C317" s="108">
        <v>235.9</v>
      </c>
    </row>
    <row r="318" spans="1:3" x14ac:dyDescent="0.25">
      <c r="A318" s="108">
        <v>10351</v>
      </c>
      <c r="B318" s="108" t="s">
        <v>331</v>
      </c>
      <c r="C318" s="108">
        <v>490.08</v>
      </c>
    </row>
    <row r="319" spans="1:3" x14ac:dyDescent="0.25">
      <c r="A319" s="108">
        <v>10352</v>
      </c>
      <c r="B319" s="108" t="s">
        <v>332</v>
      </c>
      <c r="C319" s="108">
        <v>3.2</v>
      </c>
    </row>
    <row r="320" spans="1:3" x14ac:dyDescent="0.25">
      <c r="A320" s="108">
        <v>10353</v>
      </c>
      <c r="B320" s="108" t="s">
        <v>333</v>
      </c>
      <c r="C320" s="108">
        <v>1.89</v>
      </c>
    </row>
    <row r="321" spans="1:3" x14ac:dyDescent="0.25">
      <c r="A321" s="108">
        <v>10354</v>
      </c>
      <c r="B321" s="108" t="s">
        <v>334</v>
      </c>
      <c r="C321" s="108">
        <v>8.6999999999999993</v>
      </c>
    </row>
    <row r="322" spans="1:3" x14ac:dyDescent="0.25">
      <c r="A322" s="108">
        <v>10355</v>
      </c>
      <c r="B322" s="108" t="s">
        <v>335</v>
      </c>
      <c r="C322" s="108">
        <v>20.61</v>
      </c>
    </row>
    <row r="323" spans="1:3" x14ac:dyDescent="0.25">
      <c r="A323" s="108">
        <v>10356</v>
      </c>
      <c r="B323" s="108" t="s">
        <v>336</v>
      </c>
      <c r="C323" s="108">
        <v>0.83</v>
      </c>
    </row>
    <row r="324" spans="1:3" x14ac:dyDescent="0.25">
      <c r="A324" s="108">
        <v>10357</v>
      </c>
      <c r="B324" s="108" t="s">
        <v>337</v>
      </c>
      <c r="C324" s="108">
        <v>126.51</v>
      </c>
    </row>
    <row r="325" spans="1:3" ht="30" x14ac:dyDescent="0.25">
      <c r="A325" s="108">
        <v>10358</v>
      </c>
      <c r="B325" s="108" t="s">
        <v>338</v>
      </c>
      <c r="C325" s="108">
        <v>22.82</v>
      </c>
    </row>
    <row r="326" spans="1:3" ht="30" x14ac:dyDescent="0.25">
      <c r="A326" s="108">
        <v>10359</v>
      </c>
      <c r="B326" s="108" t="s">
        <v>339</v>
      </c>
      <c r="C326" s="108">
        <v>5.56</v>
      </c>
    </row>
    <row r="327" spans="1:3" x14ac:dyDescent="0.25">
      <c r="A327" s="108">
        <v>10360</v>
      </c>
      <c r="B327" s="108" t="s">
        <v>340</v>
      </c>
      <c r="C327" s="108">
        <v>40.9</v>
      </c>
    </row>
    <row r="328" spans="1:3" x14ac:dyDescent="0.25">
      <c r="A328" s="108">
        <v>10361</v>
      </c>
      <c r="B328" s="108" t="s">
        <v>341</v>
      </c>
      <c r="C328" s="108">
        <v>2.0099999999999998</v>
      </c>
    </row>
    <row r="329" spans="1:3" ht="30" x14ac:dyDescent="0.25">
      <c r="A329" s="108">
        <v>10362</v>
      </c>
      <c r="B329" s="108" t="s">
        <v>16099</v>
      </c>
      <c r="C329" s="108">
        <v>1.66</v>
      </c>
    </row>
    <row r="330" spans="1:3" x14ac:dyDescent="0.25">
      <c r="A330" s="108">
        <v>10363</v>
      </c>
      <c r="B330" s="108" t="s">
        <v>342</v>
      </c>
      <c r="C330" s="108">
        <v>21.68</v>
      </c>
    </row>
    <row r="331" spans="1:3" x14ac:dyDescent="0.25">
      <c r="A331" s="108">
        <v>10364</v>
      </c>
      <c r="B331" s="108" t="s">
        <v>343</v>
      </c>
      <c r="C331" s="108">
        <v>21.68</v>
      </c>
    </row>
    <row r="332" spans="1:3" x14ac:dyDescent="0.25">
      <c r="A332" s="108">
        <v>10365</v>
      </c>
      <c r="B332" s="108" t="s">
        <v>344</v>
      </c>
      <c r="C332" s="108">
        <v>19.440000000000001</v>
      </c>
    </row>
    <row r="333" spans="1:3" x14ac:dyDescent="0.25">
      <c r="A333" s="108">
        <v>10367</v>
      </c>
      <c r="B333" s="108" t="s">
        <v>345</v>
      </c>
      <c r="C333" s="108">
        <v>232.5</v>
      </c>
    </row>
    <row r="334" spans="1:3" ht="30" x14ac:dyDescent="0.25">
      <c r="A334" s="108">
        <v>10368</v>
      </c>
      <c r="B334" s="108" t="s">
        <v>346</v>
      </c>
      <c r="C334" s="108">
        <v>18.690000000000001</v>
      </c>
    </row>
    <row r="335" spans="1:3" x14ac:dyDescent="0.25">
      <c r="A335" s="108">
        <v>10369</v>
      </c>
      <c r="B335" s="108" t="s">
        <v>347</v>
      </c>
      <c r="C335" s="108">
        <v>15.9</v>
      </c>
    </row>
    <row r="336" spans="1:3" ht="30" x14ac:dyDescent="0.25">
      <c r="A336" s="108">
        <v>10370</v>
      </c>
      <c r="B336" s="108" t="s">
        <v>348</v>
      </c>
      <c r="C336" s="108">
        <v>11.2</v>
      </c>
    </row>
    <row r="337" spans="1:3" ht="30" x14ac:dyDescent="0.25">
      <c r="A337" s="108">
        <v>10371</v>
      </c>
      <c r="B337" s="108" t="s">
        <v>349</v>
      </c>
      <c r="C337" s="108">
        <v>21.2</v>
      </c>
    </row>
    <row r="338" spans="1:3" ht="30" x14ac:dyDescent="0.25">
      <c r="A338" s="108">
        <v>10372</v>
      </c>
      <c r="B338" s="108" t="s">
        <v>350</v>
      </c>
      <c r="C338" s="108">
        <v>62.47</v>
      </c>
    </row>
    <row r="339" spans="1:3" x14ac:dyDescent="0.25">
      <c r="A339" s="108">
        <v>10373</v>
      </c>
      <c r="B339" s="108" t="s">
        <v>351</v>
      </c>
      <c r="C339" s="108">
        <v>16.5</v>
      </c>
    </row>
    <row r="340" spans="1:3" x14ac:dyDescent="0.25">
      <c r="A340" s="108">
        <v>10376</v>
      </c>
      <c r="B340" s="108" t="s">
        <v>352</v>
      </c>
      <c r="C340" s="108">
        <v>29</v>
      </c>
    </row>
    <row r="341" spans="1:3" x14ac:dyDescent="0.25">
      <c r="A341" s="108">
        <v>10378</v>
      </c>
      <c r="B341" s="108" t="s">
        <v>353</v>
      </c>
      <c r="C341" s="108">
        <v>309.32</v>
      </c>
    </row>
    <row r="342" spans="1:3" ht="30" x14ac:dyDescent="0.25">
      <c r="A342" s="108">
        <v>10379</v>
      </c>
      <c r="B342" s="108" t="s">
        <v>354</v>
      </c>
      <c r="C342" s="108">
        <v>49</v>
      </c>
    </row>
    <row r="343" spans="1:3" x14ac:dyDescent="0.25">
      <c r="A343" s="108">
        <v>10380</v>
      </c>
      <c r="B343" s="108" t="s">
        <v>355</v>
      </c>
      <c r="C343" s="108">
        <v>82.91</v>
      </c>
    </row>
    <row r="344" spans="1:3" x14ac:dyDescent="0.25">
      <c r="A344" s="108">
        <v>10381</v>
      </c>
      <c r="B344" s="108" t="s">
        <v>356</v>
      </c>
      <c r="C344" s="108">
        <v>93.17</v>
      </c>
    </row>
    <row r="345" spans="1:3" x14ac:dyDescent="0.25">
      <c r="A345" s="108">
        <v>10383</v>
      </c>
      <c r="B345" s="108" t="s">
        <v>357</v>
      </c>
      <c r="C345" s="108">
        <v>55.9</v>
      </c>
    </row>
    <row r="346" spans="1:3" ht="30" x14ac:dyDescent="0.25">
      <c r="A346" s="108">
        <v>10385</v>
      </c>
      <c r="B346" s="108" t="s">
        <v>358</v>
      </c>
      <c r="C346" s="108">
        <v>3.17</v>
      </c>
    </row>
    <row r="347" spans="1:3" x14ac:dyDescent="0.25">
      <c r="A347" s="108">
        <v>10386</v>
      </c>
      <c r="B347" s="108" t="s">
        <v>359</v>
      </c>
      <c r="C347" s="108">
        <v>115.52</v>
      </c>
    </row>
    <row r="348" spans="1:3" x14ac:dyDescent="0.25">
      <c r="A348" s="108">
        <v>10387</v>
      </c>
      <c r="B348" s="108" t="s">
        <v>360</v>
      </c>
      <c r="C348" s="108">
        <v>58.14</v>
      </c>
    </row>
    <row r="349" spans="1:3" ht="30" x14ac:dyDescent="0.25">
      <c r="A349" s="108">
        <v>10390</v>
      </c>
      <c r="B349" s="108" t="s">
        <v>361</v>
      </c>
      <c r="C349" s="108">
        <v>10.8</v>
      </c>
    </row>
    <row r="350" spans="1:3" ht="30" x14ac:dyDescent="0.25">
      <c r="A350" s="108">
        <v>10393</v>
      </c>
      <c r="B350" s="108" t="s">
        <v>362</v>
      </c>
      <c r="C350" s="108">
        <v>60.9</v>
      </c>
    </row>
    <row r="351" spans="1:3" x14ac:dyDescent="0.25">
      <c r="A351" s="108">
        <v>10395</v>
      </c>
      <c r="B351" s="108" t="s">
        <v>363</v>
      </c>
      <c r="C351" s="108">
        <v>322</v>
      </c>
    </row>
    <row r="352" spans="1:3" x14ac:dyDescent="0.25">
      <c r="A352" s="108">
        <v>10396</v>
      </c>
      <c r="B352" s="108" t="s">
        <v>364</v>
      </c>
      <c r="C352" s="108">
        <v>325</v>
      </c>
    </row>
    <row r="353" spans="1:3" ht="30" x14ac:dyDescent="0.25">
      <c r="A353" s="108">
        <v>10397</v>
      </c>
      <c r="B353" s="108" t="s">
        <v>365</v>
      </c>
      <c r="C353" s="108">
        <v>22.9</v>
      </c>
    </row>
    <row r="354" spans="1:3" x14ac:dyDescent="0.25">
      <c r="A354" s="108">
        <v>10399</v>
      </c>
      <c r="B354" s="108" t="s">
        <v>366</v>
      </c>
      <c r="C354" s="108">
        <v>28</v>
      </c>
    </row>
    <row r="355" spans="1:3" ht="30" x14ac:dyDescent="0.25">
      <c r="A355" s="108">
        <v>10400</v>
      </c>
      <c r="B355" s="108" t="s">
        <v>367</v>
      </c>
      <c r="C355" s="108">
        <v>2.2799999999999998</v>
      </c>
    </row>
    <row r="356" spans="1:3" x14ac:dyDescent="0.25">
      <c r="A356" s="108">
        <v>10401</v>
      </c>
      <c r="B356" s="108" t="s">
        <v>368</v>
      </c>
      <c r="C356" s="108">
        <v>3.43</v>
      </c>
    </row>
    <row r="357" spans="1:3" x14ac:dyDescent="0.25">
      <c r="A357" s="108">
        <v>10402</v>
      </c>
      <c r="B357" s="108" t="s">
        <v>369</v>
      </c>
      <c r="C357" s="108">
        <v>3.9</v>
      </c>
    </row>
    <row r="358" spans="1:3" x14ac:dyDescent="0.25">
      <c r="A358" s="108">
        <v>10403</v>
      </c>
      <c r="B358" s="108" t="s">
        <v>370</v>
      </c>
      <c r="C358" s="108">
        <v>2.6</v>
      </c>
    </row>
    <row r="359" spans="1:3" x14ac:dyDescent="0.25">
      <c r="A359" s="108">
        <v>10404</v>
      </c>
      <c r="B359" s="108" t="s">
        <v>371</v>
      </c>
      <c r="C359" s="108">
        <v>2.8</v>
      </c>
    </row>
    <row r="360" spans="1:3" x14ac:dyDescent="0.25">
      <c r="A360" s="108">
        <v>10405</v>
      </c>
      <c r="B360" s="108" t="s">
        <v>372</v>
      </c>
      <c r="C360" s="108">
        <v>11</v>
      </c>
    </row>
    <row r="361" spans="1:3" x14ac:dyDescent="0.25">
      <c r="A361" s="108">
        <v>10406</v>
      </c>
      <c r="B361" s="108" t="s">
        <v>373</v>
      </c>
      <c r="C361" s="108">
        <v>6.75</v>
      </c>
    </row>
    <row r="362" spans="1:3" x14ac:dyDescent="0.25">
      <c r="A362" s="108">
        <v>10407</v>
      </c>
      <c r="B362" s="108" t="s">
        <v>374</v>
      </c>
      <c r="C362" s="108">
        <v>7.23</v>
      </c>
    </row>
    <row r="363" spans="1:3" x14ac:dyDescent="0.25">
      <c r="A363" s="108">
        <v>10408</v>
      </c>
      <c r="B363" s="108" t="s">
        <v>375</v>
      </c>
      <c r="C363" s="108">
        <v>7.5</v>
      </c>
    </row>
    <row r="364" spans="1:3" x14ac:dyDescent="0.25">
      <c r="A364" s="108">
        <v>10410</v>
      </c>
      <c r="B364" s="108" t="s">
        <v>376</v>
      </c>
      <c r="C364" s="109">
        <v>2088.2800000000002</v>
      </c>
    </row>
    <row r="365" spans="1:3" x14ac:dyDescent="0.25">
      <c r="A365" s="108">
        <v>10411</v>
      </c>
      <c r="B365" s="108" t="s">
        <v>377</v>
      </c>
      <c r="C365" s="109">
        <v>2990.53</v>
      </c>
    </row>
    <row r="366" spans="1:3" x14ac:dyDescent="0.25">
      <c r="A366" s="108">
        <v>10412</v>
      </c>
      <c r="B366" s="108" t="s">
        <v>378</v>
      </c>
      <c r="C366" s="108">
        <v>927.39</v>
      </c>
    </row>
    <row r="367" spans="1:3" x14ac:dyDescent="0.25">
      <c r="A367" s="108">
        <v>10413</v>
      </c>
      <c r="B367" s="108" t="s">
        <v>379</v>
      </c>
      <c r="C367" s="109">
        <v>1295.69</v>
      </c>
    </row>
    <row r="368" spans="1:3" x14ac:dyDescent="0.25">
      <c r="A368" s="108">
        <v>10415</v>
      </c>
      <c r="B368" s="108" t="s">
        <v>380</v>
      </c>
      <c r="C368" s="108">
        <v>417.5</v>
      </c>
    </row>
    <row r="369" spans="1:3" x14ac:dyDescent="0.25">
      <c r="A369" s="108">
        <v>10416</v>
      </c>
      <c r="B369" s="108" t="s">
        <v>381</v>
      </c>
      <c r="C369" s="108">
        <v>773</v>
      </c>
    </row>
    <row r="370" spans="1:3" x14ac:dyDescent="0.25">
      <c r="A370" s="108">
        <v>10418</v>
      </c>
      <c r="B370" s="108" t="s">
        <v>382</v>
      </c>
      <c r="C370" s="110">
        <v>1999</v>
      </c>
    </row>
    <row r="371" spans="1:3" x14ac:dyDescent="0.25">
      <c r="A371" s="108">
        <v>10419</v>
      </c>
      <c r="B371" s="108" t="s">
        <v>383</v>
      </c>
      <c r="C371" s="108">
        <v>216.65</v>
      </c>
    </row>
    <row r="372" spans="1:3" x14ac:dyDescent="0.25">
      <c r="A372" s="108">
        <v>10420</v>
      </c>
      <c r="B372" s="108" t="s">
        <v>384</v>
      </c>
      <c r="C372" s="108">
        <v>668.3</v>
      </c>
    </row>
    <row r="373" spans="1:3" ht="30" x14ac:dyDescent="0.25">
      <c r="A373" s="108">
        <v>10421</v>
      </c>
      <c r="B373" s="108" t="s">
        <v>385</v>
      </c>
      <c r="C373" s="108">
        <v>778.67</v>
      </c>
    </row>
    <row r="374" spans="1:3" ht="30" x14ac:dyDescent="0.25">
      <c r="A374" s="108">
        <v>10422</v>
      </c>
      <c r="B374" s="108" t="s">
        <v>386</v>
      </c>
      <c r="C374" s="108">
        <v>893.3</v>
      </c>
    </row>
    <row r="375" spans="1:3" x14ac:dyDescent="0.25">
      <c r="A375" s="108">
        <v>10423</v>
      </c>
      <c r="B375" s="108" t="s">
        <v>387</v>
      </c>
      <c r="C375" s="108">
        <v>895.35</v>
      </c>
    </row>
    <row r="376" spans="1:3" x14ac:dyDescent="0.25">
      <c r="A376" s="108">
        <v>10424</v>
      </c>
      <c r="B376" s="108" t="s">
        <v>388</v>
      </c>
      <c r="C376" s="108">
        <v>104.05</v>
      </c>
    </row>
    <row r="377" spans="1:3" x14ac:dyDescent="0.25">
      <c r="A377" s="108">
        <v>10425</v>
      </c>
      <c r="B377" s="108" t="s">
        <v>389</v>
      </c>
      <c r="C377" s="108">
        <v>55.9</v>
      </c>
    </row>
    <row r="378" spans="1:3" x14ac:dyDescent="0.25">
      <c r="A378" s="108">
        <v>10426</v>
      </c>
      <c r="B378" s="108" t="s">
        <v>390</v>
      </c>
      <c r="C378" s="108">
        <v>634.42999999999995</v>
      </c>
    </row>
    <row r="379" spans="1:3" x14ac:dyDescent="0.25">
      <c r="A379" s="108">
        <v>10427</v>
      </c>
      <c r="B379" s="108" t="s">
        <v>391</v>
      </c>
      <c r="C379" s="110">
        <v>6138</v>
      </c>
    </row>
    <row r="380" spans="1:3" x14ac:dyDescent="0.25">
      <c r="A380" s="108">
        <v>10428</v>
      </c>
      <c r="B380" s="108" t="s">
        <v>392</v>
      </c>
      <c r="C380" s="108">
        <v>750</v>
      </c>
    </row>
    <row r="381" spans="1:3" x14ac:dyDescent="0.25">
      <c r="A381" s="108">
        <v>10429</v>
      </c>
      <c r="B381" s="108" t="s">
        <v>393</v>
      </c>
      <c r="C381" s="108">
        <v>820</v>
      </c>
    </row>
    <row r="382" spans="1:3" x14ac:dyDescent="0.25">
      <c r="A382" s="108">
        <v>10430</v>
      </c>
      <c r="B382" s="108" t="s">
        <v>394</v>
      </c>
      <c r="C382" s="109">
        <v>1118.7</v>
      </c>
    </row>
    <row r="383" spans="1:3" x14ac:dyDescent="0.25">
      <c r="A383" s="108">
        <v>10431</v>
      </c>
      <c r="B383" s="108" t="s">
        <v>395</v>
      </c>
      <c r="C383" s="110">
        <v>1220</v>
      </c>
    </row>
    <row r="384" spans="1:3" x14ac:dyDescent="0.25">
      <c r="A384" s="108">
        <v>10432</v>
      </c>
      <c r="B384" s="108" t="s">
        <v>396</v>
      </c>
      <c r="C384" s="110">
        <v>1550</v>
      </c>
    </row>
    <row r="385" spans="1:3" x14ac:dyDescent="0.25">
      <c r="A385" s="108">
        <v>10434</v>
      </c>
      <c r="B385" s="108" t="s">
        <v>397</v>
      </c>
      <c r="C385" s="110">
        <v>1650</v>
      </c>
    </row>
    <row r="386" spans="1:3" x14ac:dyDescent="0.25">
      <c r="A386" s="108">
        <v>10436</v>
      </c>
      <c r="B386" s="108" t="s">
        <v>398</v>
      </c>
      <c r="C386" s="108">
        <v>200</v>
      </c>
    </row>
    <row r="387" spans="1:3" x14ac:dyDescent="0.25">
      <c r="A387" s="108">
        <v>10437</v>
      </c>
      <c r="B387" s="108" t="s">
        <v>399</v>
      </c>
      <c r="C387" s="108">
        <v>25</v>
      </c>
    </row>
    <row r="388" spans="1:3" x14ac:dyDescent="0.25">
      <c r="A388" s="108">
        <v>10438</v>
      </c>
      <c r="B388" s="108" t="s">
        <v>400</v>
      </c>
      <c r="C388" s="108">
        <v>374.78</v>
      </c>
    </row>
    <row r="389" spans="1:3" x14ac:dyDescent="0.25">
      <c r="A389" s="108">
        <v>10439</v>
      </c>
      <c r="B389" s="108" t="s">
        <v>401</v>
      </c>
      <c r="C389" s="108">
        <v>705.56</v>
      </c>
    </row>
    <row r="390" spans="1:3" x14ac:dyDescent="0.25">
      <c r="A390" s="108">
        <v>10440</v>
      </c>
      <c r="B390" s="108" t="s">
        <v>402</v>
      </c>
      <c r="C390" s="108">
        <v>180</v>
      </c>
    </row>
    <row r="391" spans="1:3" x14ac:dyDescent="0.25">
      <c r="A391" s="108">
        <v>10441</v>
      </c>
      <c r="B391" s="108" t="s">
        <v>403</v>
      </c>
      <c r="C391" s="108">
        <v>187.89</v>
      </c>
    </row>
    <row r="392" spans="1:3" x14ac:dyDescent="0.25">
      <c r="A392" s="108">
        <v>10442</v>
      </c>
      <c r="B392" s="108" t="s">
        <v>404</v>
      </c>
      <c r="C392" s="108">
        <v>655.26</v>
      </c>
    </row>
    <row r="393" spans="1:3" x14ac:dyDescent="0.25">
      <c r="A393" s="108">
        <v>10443</v>
      </c>
      <c r="B393" s="108" t="s">
        <v>405</v>
      </c>
      <c r="C393" s="108">
        <v>213.28</v>
      </c>
    </row>
    <row r="394" spans="1:3" x14ac:dyDescent="0.25">
      <c r="A394" s="108">
        <v>10444</v>
      </c>
      <c r="B394" s="108" t="s">
        <v>406</v>
      </c>
      <c r="C394" s="110">
        <v>23309</v>
      </c>
    </row>
    <row r="395" spans="1:3" x14ac:dyDescent="0.25">
      <c r="A395" s="108">
        <v>10446</v>
      </c>
      <c r="B395" s="108" t="s">
        <v>407</v>
      </c>
      <c r="C395" s="110">
        <v>7977</v>
      </c>
    </row>
    <row r="396" spans="1:3" x14ac:dyDescent="0.25">
      <c r="A396" s="108">
        <v>10449</v>
      </c>
      <c r="B396" s="108" t="s">
        <v>408</v>
      </c>
      <c r="C396" s="110">
        <v>16201</v>
      </c>
    </row>
    <row r="397" spans="1:3" x14ac:dyDescent="0.25">
      <c r="A397" s="108">
        <v>10451</v>
      </c>
      <c r="B397" s="108" t="s">
        <v>409</v>
      </c>
      <c r="C397" s="108">
        <v>234.48</v>
      </c>
    </row>
    <row r="398" spans="1:3" x14ac:dyDescent="0.25">
      <c r="A398" s="108">
        <v>10452</v>
      </c>
      <c r="B398" s="108" t="s">
        <v>410</v>
      </c>
      <c r="C398" s="108">
        <v>305.98</v>
      </c>
    </row>
    <row r="399" spans="1:3" x14ac:dyDescent="0.25">
      <c r="A399" s="108">
        <v>10453</v>
      </c>
      <c r="B399" s="108" t="s">
        <v>411</v>
      </c>
      <c r="C399" s="108">
        <v>321.2</v>
      </c>
    </row>
    <row r="400" spans="1:3" x14ac:dyDescent="0.25">
      <c r="A400" s="108">
        <v>10454</v>
      </c>
      <c r="B400" s="108" t="s">
        <v>412</v>
      </c>
      <c r="C400" s="108">
        <v>487.6</v>
      </c>
    </row>
    <row r="401" spans="1:3" x14ac:dyDescent="0.25">
      <c r="A401" s="108">
        <v>10455</v>
      </c>
      <c r="B401" s="108" t="s">
        <v>413</v>
      </c>
      <c r="C401" s="108">
        <v>588.20000000000005</v>
      </c>
    </row>
    <row r="402" spans="1:3" x14ac:dyDescent="0.25">
      <c r="A402" s="108">
        <v>10456</v>
      </c>
      <c r="B402" s="108" t="s">
        <v>414</v>
      </c>
      <c r="C402" s="108">
        <v>431.7</v>
      </c>
    </row>
    <row r="403" spans="1:3" ht="30" x14ac:dyDescent="0.25">
      <c r="A403" s="108">
        <v>10457</v>
      </c>
      <c r="B403" s="108" t="s">
        <v>415</v>
      </c>
      <c r="C403" s="108">
        <v>592.39</v>
      </c>
    </row>
    <row r="404" spans="1:3" x14ac:dyDescent="0.25">
      <c r="A404" s="108">
        <v>10458</v>
      </c>
      <c r="B404" s="108" t="s">
        <v>416</v>
      </c>
      <c r="C404" s="108">
        <v>149.49</v>
      </c>
    </row>
    <row r="405" spans="1:3" x14ac:dyDescent="0.25">
      <c r="A405" s="108">
        <v>10459</v>
      </c>
      <c r="B405" s="108" t="s">
        <v>417</v>
      </c>
      <c r="C405" s="108">
        <v>308.77</v>
      </c>
    </row>
    <row r="406" spans="1:3" x14ac:dyDescent="0.25">
      <c r="A406" s="108">
        <v>10460</v>
      </c>
      <c r="B406" s="108" t="s">
        <v>418</v>
      </c>
      <c r="C406" s="108">
        <v>485.51</v>
      </c>
    </row>
    <row r="407" spans="1:3" ht="30" x14ac:dyDescent="0.25">
      <c r="A407" s="108">
        <v>10461</v>
      </c>
      <c r="B407" s="108" t="s">
        <v>419</v>
      </c>
      <c r="C407" s="108">
        <v>463.85</v>
      </c>
    </row>
    <row r="408" spans="1:3" x14ac:dyDescent="0.25">
      <c r="A408" s="108">
        <v>10462</v>
      </c>
      <c r="B408" s="108" t="s">
        <v>420</v>
      </c>
      <c r="C408" s="108">
        <v>58.82</v>
      </c>
    </row>
    <row r="409" spans="1:3" x14ac:dyDescent="0.25">
      <c r="A409" s="108">
        <v>10463</v>
      </c>
      <c r="B409" s="108" t="s">
        <v>421</v>
      </c>
      <c r="C409" s="108">
        <v>155.43</v>
      </c>
    </row>
    <row r="410" spans="1:3" x14ac:dyDescent="0.25">
      <c r="A410" s="108">
        <v>10464</v>
      </c>
      <c r="B410" s="108" t="s">
        <v>422</v>
      </c>
      <c r="C410" s="108">
        <v>223.89</v>
      </c>
    </row>
    <row r="411" spans="1:3" x14ac:dyDescent="0.25">
      <c r="A411" s="108">
        <v>10465</v>
      </c>
      <c r="B411" s="108" t="s">
        <v>423</v>
      </c>
      <c r="C411" s="108">
        <v>257.07</v>
      </c>
    </row>
    <row r="412" spans="1:3" x14ac:dyDescent="0.25">
      <c r="A412" s="108">
        <v>10466</v>
      </c>
      <c r="B412" s="108" t="s">
        <v>424</v>
      </c>
      <c r="C412" s="108">
        <v>48.2</v>
      </c>
    </row>
    <row r="413" spans="1:3" x14ac:dyDescent="0.25">
      <c r="A413" s="108">
        <v>10467</v>
      </c>
      <c r="B413" s="108" t="s">
        <v>425</v>
      </c>
      <c r="C413" s="108">
        <v>57.63</v>
      </c>
    </row>
    <row r="414" spans="1:3" x14ac:dyDescent="0.25">
      <c r="A414" s="108">
        <v>10468</v>
      </c>
      <c r="B414" s="108" t="s">
        <v>426</v>
      </c>
      <c r="C414" s="108">
        <v>39.47</v>
      </c>
    </row>
    <row r="415" spans="1:3" x14ac:dyDescent="0.25">
      <c r="A415" s="108">
        <v>10469</v>
      </c>
      <c r="B415" s="108" t="s">
        <v>427</v>
      </c>
      <c r="C415" s="108">
        <v>76.84</v>
      </c>
    </row>
    <row r="416" spans="1:3" x14ac:dyDescent="0.25">
      <c r="A416" s="108">
        <v>10470</v>
      </c>
      <c r="B416" s="108" t="s">
        <v>428</v>
      </c>
      <c r="C416" s="108">
        <v>39.47</v>
      </c>
    </row>
    <row r="417" spans="1:3" x14ac:dyDescent="0.25">
      <c r="A417" s="108">
        <v>10471</v>
      </c>
      <c r="B417" s="108" t="s">
        <v>429</v>
      </c>
      <c r="C417" s="108">
        <v>76.84</v>
      </c>
    </row>
    <row r="418" spans="1:3" x14ac:dyDescent="0.25">
      <c r="A418" s="108">
        <v>10472</v>
      </c>
      <c r="B418" s="108" t="s">
        <v>3051</v>
      </c>
      <c r="C418" s="108">
        <v>31.79</v>
      </c>
    </row>
    <row r="419" spans="1:3" x14ac:dyDescent="0.25">
      <c r="A419" s="108">
        <v>10473</v>
      </c>
      <c r="B419" s="108" t="s">
        <v>430</v>
      </c>
      <c r="C419" s="108">
        <v>17.88</v>
      </c>
    </row>
    <row r="420" spans="1:3" x14ac:dyDescent="0.25">
      <c r="A420" s="108">
        <v>10474</v>
      </c>
      <c r="B420" s="108" t="s">
        <v>431</v>
      </c>
      <c r="C420" s="108">
        <v>2.1</v>
      </c>
    </row>
    <row r="421" spans="1:3" ht="30" x14ac:dyDescent="0.25">
      <c r="A421" s="108">
        <v>10475</v>
      </c>
      <c r="B421" s="108" t="s">
        <v>432</v>
      </c>
      <c r="C421" s="108">
        <v>5.66</v>
      </c>
    </row>
    <row r="422" spans="1:3" x14ac:dyDescent="0.25">
      <c r="A422" s="108">
        <v>10476</v>
      </c>
      <c r="B422" s="108" t="s">
        <v>433</v>
      </c>
      <c r="C422" s="108">
        <v>19.559999999999999</v>
      </c>
    </row>
    <row r="423" spans="1:3" x14ac:dyDescent="0.25">
      <c r="A423" s="108">
        <v>10477</v>
      </c>
      <c r="B423" s="108" t="s">
        <v>434</v>
      </c>
      <c r="C423" s="108">
        <v>82.78</v>
      </c>
    </row>
    <row r="424" spans="1:3" x14ac:dyDescent="0.25">
      <c r="A424" s="108">
        <v>10478</v>
      </c>
      <c r="B424" s="108" t="s">
        <v>435</v>
      </c>
      <c r="C424" s="108">
        <v>75.239999999999995</v>
      </c>
    </row>
    <row r="425" spans="1:3" x14ac:dyDescent="0.25">
      <c r="A425" s="108">
        <v>10479</v>
      </c>
      <c r="B425" s="108" t="s">
        <v>436</v>
      </c>
      <c r="C425" s="108">
        <v>31.8</v>
      </c>
    </row>
    <row r="426" spans="1:3" x14ac:dyDescent="0.25">
      <c r="A426" s="108">
        <v>10480</v>
      </c>
      <c r="B426" s="108" t="s">
        <v>437</v>
      </c>
      <c r="C426" s="108">
        <v>10.130000000000001</v>
      </c>
    </row>
    <row r="427" spans="1:3" x14ac:dyDescent="0.25">
      <c r="A427" s="108">
        <v>10481</v>
      </c>
      <c r="B427" s="108" t="s">
        <v>438</v>
      </c>
      <c r="C427" s="108">
        <v>8.73</v>
      </c>
    </row>
    <row r="428" spans="1:3" x14ac:dyDescent="0.25">
      <c r="A428" s="108">
        <v>10482</v>
      </c>
      <c r="B428" s="108" t="s">
        <v>439</v>
      </c>
      <c r="C428" s="108">
        <v>9.7799999999999994</v>
      </c>
    </row>
    <row r="429" spans="1:3" x14ac:dyDescent="0.25">
      <c r="A429" s="108">
        <v>10483</v>
      </c>
      <c r="B429" s="108" t="s">
        <v>440</v>
      </c>
      <c r="C429" s="108">
        <v>52.67</v>
      </c>
    </row>
    <row r="430" spans="1:3" x14ac:dyDescent="0.25">
      <c r="A430" s="108">
        <v>10484</v>
      </c>
      <c r="B430" s="108" t="s">
        <v>441</v>
      </c>
      <c r="C430" s="108">
        <v>60.11</v>
      </c>
    </row>
    <row r="431" spans="1:3" x14ac:dyDescent="0.25">
      <c r="A431" s="108">
        <v>10485</v>
      </c>
      <c r="B431" s="108" t="s">
        <v>442</v>
      </c>
      <c r="C431" s="108">
        <v>15.72</v>
      </c>
    </row>
    <row r="432" spans="1:3" x14ac:dyDescent="0.25">
      <c r="A432" s="108">
        <v>10486</v>
      </c>
      <c r="B432" s="108" t="s">
        <v>443</v>
      </c>
      <c r="C432" s="108">
        <v>6.75</v>
      </c>
    </row>
    <row r="433" spans="1:3" x14ac:dyDescent="0.25">
      <c r="A433" s="108">
        <v>10487</v>
      </c>
      <c r="B433" s="108" t="s">
        <v>444</v>
      </c>
      <c r="C433" s="108">
        <v>8.25</v>
      </c>
    </row>
    <row r="434" spans="1:3" x14ac:dyDescent="0.25">
      <c r="A434" s="108">
        <v>10488</v>
      </c>
      <c r="B434" s="108" t="s">
        <v>445</v>
      </c>
      <c r="C434" s="108">
        <v>14.11</v>
      </c>
    </row>
    <row r="435" spans="1:3" x14ac:dyDescent="0.25">
      <c r="A435" s="108">
        <v>10489</v>
      </c>
      <c r="B435" s="108" t="s">
        <v>446</v>
      </c>
      <c r="C435" s="108">
        <v>10.34</v>
      </c>
    </row>
    <row r="436" spans="1:3" x14ac:dyDescent="0.25">
      <c r="A436" s="108">
        <v>10490</v>
      </c>
      <c r="B436" s="108" t="s">
        <v>447</v>
      </c>
      <c r="C436" s="108">
        <v>2.1</v>
      </c>
    </row>
    <row r="437" spans="1:3" x14ac:dyDescent="0.25">
      <c r="A437" s="108">
        <v>10491</v>
      </c>
      <c r="B437" s="108" t="s">
        <v>448</v>
      </c>
      <c r="C437" s="108">
        <v>2.8</v>
      </c>
    </row>
    <row r="438" spans="1:3" x14ac:dyDescent="0.25">
      <c r="A438" s="108">
        <v>10492</v>
      </c>
      <c r="B438" s="108" t="s">
        <v>449</v>
      </c>
      <c r="C438" s="108">
        <v>6.17</v>
      </c>
    </row>
    <row r="439" spans="1:3" x14ac:dyDescent="0.25">
      <c r="A439" s="108">
        <v>10493</v>
      </c>
      <c r="B439" s="108" t="s">
        <v>450</v>
      </c>
      <c r="C439" s="108">
        <v>5.1100000000000003</v>
      </c>
    </row>
    <row r="440" spans="1:3" x14ac:dyDescent="0.25">
      <c r="A440" s="108">
        <v>10494</v>
      </c>
      <c r="B440" s="108" t="s">
        <v>451</v>
      </c>
      <c r="C440" s="108">
        <v>6.94</v>
      </c>
    </row>
    <row r="441" spans="1:3" x14ac:dyDescent="0.25">
      <c r="A441" s="108">
        <v>10495</v>
      </c>
      <c r="B441" s="108" t="s">
        <v>452</v>
      </c>
      <c r="C441" s="108">
        <v>8.16</v>
      </c>
    </row>
    <row r="442" spans="1:3" x14ac:dyDescent="0.25">
      <c r="A442" s="108">
        <v>10496</v>
      </c>
      <c r="B442" s="108" t="s">
        <v>453</v>
      </c>
      <c r="C442" s="108">
        <v>3.5</v>
      </c>
    </row>
    <row r="443" spans="1:3" x14ac:dyDescent="0.25">
      <c r="A443" s="108">
        <v>10497</v>
      </c>
      <c r="B443" s="108" t="s">
        <v>454</v>
      </c>
      <c r="C443" s="108">
        <v>3.8</v>
      </c>
    </row>
    <row r="444" spans="1:3" x14ac:dyDescent="0.25">
      <c r="A444" s="108">
        <v>10498</v>
      </c>
      <c r="B444" s="108" t="s">
        <v>455</v>
      </c>
      <c r="C444" s="108">
        <v>15.02</v>
      </c>
    </row>
    <row r="445" spans="1:3" x14ac:dyDescent="0.25">
      <c r="A445" s="108">
        <v>10499</v>
      </c>
      <c r="B445" s="108" t="s">
        <v>456</v>
      </c>
      <c r="C445" s="108">
        <v>10.41</v>
      </c>
    </row>
    <row r="446" spans="1:3" x14ac:dyDescent="0.25">
      <c r="A446" s="108">
        <v>10500</v>
      </c>
      <c r="B446" s="108" t="s">
        <v>457</v>
      </c>
      <c r="C446" s="108">
        <v>11.18</v>
      </c>
    </row>
    <row r="447" spans="1:3" x14ac:dyDescent="0.25">
      <c r="A447" s="108">
        <v>10501</v>
      </c>
      <c r="B447" s="108" t="s">
        <v>458</v>
      </c>
      <c r="C447" s="108">
        <v>13.27</v>
      </c>
    </row>
    <row r="448" spans="1:3" x14ac:dyDescent="0.25">
      <c r="A448" s="108">
        <v>10502</v>
      </c>
      <c r="B448" s="108" t="s">
        <v>459</v>
      </c>
      <c r="C448" s="108">
        <v>12.57</v>
      </c>
    </row>
    <row r="449" spans="1:3" x14ac:dyDescent="0.25">
      <c r="A449" s="108">
        <v>10503</v>
      </c>
      <c r="B449" s="108" t="s">
        <v>460</v>
      </c>
      <c r="C449" s="108">
        <v>9.92</v>
      </c>
    </row>
    <row r="450" spans="1:3" x14ac:dyDescent="0.25">
      <c r="A450" s="108">
        <v>10504</v>
      </c>
      <c r="B450" s="108" t="s">
        <v>461</v>
      </c>
      <c r="C450" s="108">
        <v>34.93</v>
      </c>
    </row>
    <row r="451" spans="1:3" x14ac:dyDescent="0.25">
      <c r="A451" s="108">
        <v>10505</v>
      </c>
      <c r="B451" s="108" t="s">
        <v>462</v>
      </c>
      <c r="C451" s="108">
        <v>16.77</v>
      </c>
    </row>
    <row r="452" spans="1:3" x14ac:dyDescent="0.25">
      <c r="A452" s="108">
        <v>10506</v>
      </c>
      <c r="B452" s="108" t="s">
        <v>463</v>
      </c>
      <c r="C452" s="108">
        <v>13.17</v>
      </c>
    </row>
    <row r="453" spans="1:3" x14ac:dyDescent="0.25">
      <c r="A453" s="108">
        <v>10507</v>
      </c>
      <c r="B453" s="108" t="s">
        <v>464</v>
      </c>
      <c r="C453" s="108">
        <v>15.23</v>
      </c>
    </row>
    <row r="454" spans="1:3" x14ac:dyDescent="0.25">
      <c r="A454" s="108">
        <v>10508</v>
      </c>
      <c r="B454" s="108" t="s">
        <v>465</v>
      </c>
      <c r="C454" s="108">
        <v>2.5</v>
      </c>
    </row>
    <row r="455" spans="1:3" x14ac:dyDescent="0.25">
      <c r="A455" s="108">
        <v>10509</v>
      </c>
      <c r="B455" s="108" t="s">
        <v>466</v>
      </c>
      <c r="C455" s="108">
        <v>257.77</v>
      </c>
    </row>
    <row r="456" spans="1:3" x14ac:dyDescent="0.25">
      <c r="A456" s="108">
        <v>10510</v>
      </c>
      <c r="B456" s="108" t="s">
        <v>467</v>
      </c>
      <c r="C456" s="108">
        <v>48.9</v>
      </c>
    </row>
    <row r="457" spans="1:3" x14ac:dyDescent="0.25">
      <c r="A457" s="108">
        <v>10511</v>
      </c>
      <c r="B457" s="108" t="s">
        <v>468</v>
      </c>
      <c r="C457" s="108">
        <v>66.17</v>
      </c>
    </row>
    <row r="458" spans="1:3" x14ac:dyDescent="0.25">
      <c r="A458" s="108">
        <v>10512</v>
      </c>
      <c r="B458" s="108" t="s">
        <v>469</v>
      </c>
      <c r="C458" s="108">
        <v>88.1</v>
      </c>
    </row>
    <row r="459" spans="1:3" x14ac:dyDescent="0.25">
      <c r="A459" s="108">
        <v>10513</v>
      </c>
      <c r="B459" s="108" t="s">
        <v>470</v>
      </c>
      <c r="C459" s="108">
        <v>94.5</v>
      </c>
    </row>
    <row r="460" spans="1:3" x14ac:dyDescent="0.25">
      <c r="A460" s="108">
        <v>10514</v>
      </c>
      <c r="B460" s="108" t="s">
        <v>471</v>
      </c>
      <c r="C460" s="108">
        <v>128.54</v>
      </c>
    </row>
    <row r="461" spans="1:3" x14ac:dyDescent="0.25">
      <c r="A461" s="108">
        <v>10515</v>
      </c>
      <c r="B461" s="108" t="s">
        <v>472</v>
      </c>
      <c r="C461" s="108">
        <v>108.28</v>
      </c>
    </row>
    <row r="462" spans="1:3" x14ac:dyDescent="0.25">
      <c r="A462" s="108">
        <v>10517</v>
      </c>
      <c r="B462" s="108" t="s">
        <v>473</v>
      </c>
      <c r="C462" s="108">
        <v>406.57</v>
      </c>
    </row>
    <row r="463" spans="1:3" x14ac:dyDescent="0.25">
      <c r="A463" s="108">
        <v>10518</v>
      </c>
      <c r="B463" s="108" t="s">
        <v>474</v>
      </c>
      <c r="C463" s="108">
        <v>81.73</v>
      </c>
    </row>
    <row r="464" spans="1:3" x14ac:dyDescent="0.25">
      <c r="A464" s="108">
        <v>10519</v>
      </c>
      <c r="B464" s="108" t="s">
        <v>475</v>
      </c>
      <c r="C464" s="108">
        <v>252.18</v>
      </c>
    </row>
    <row r="465" spans="1:3" x14ac:dyDescent="0.25">
      <c r="A465" s="108">
        <v>10520</v>
      </c>
      <c r="B465" s="108" t="s">
        <v>476</v>
      </c>
      <c r="C465" s="108">
        <v>31.8</v>
      </c>
    </row>
    <row r="466" spans="1:3" x14ac:dyDescent="0.25">
      <c r="A466" s="108">
        <v>10521</v>
      </c>
      <c r="B466" s="108" t="s">
        <v>477</v>
      </c>
      <c r="C466" s="108">
        <v>52.39</v>
      </c>
    </row>
    <row r="467" spans="1:3" ht="30" x14ac:dyDescent="0.25">
      <c r="A467" s="108">
        <v>10522</v>
      </c>
      <c r="B467" s="108" t="s">
        <v>478</v>
      </c>
      <c r="C467" s="108">
        <v>11.8</v>
      </c>
    </row>
    <row r="468" spans="1:3" x14ac:dyDescent="0.25">
      <c r="A468" s="108">
        <v>10523</v>
      </c>
      <c r="B468" s="108" t="s">
        <v>479</v>
      </c>
      <c r="C468" s="108">
        <v>15.02</v>
      </c>
    </row>
    <row r="469" spans="1:3" x14ac:dyDescent="0.25">
      <c r="A469" s="108">
        <v>10524</v>
      </c>
      <c r="B469" s="108" t="s">
        <v>480</v>
      </c>
      <c r="C469" s="108">
        <v>5.9</v>
      </c>
    </row>
    <row r="470" spans="1:3" ht="30" x14ac:dyDescent="0.25">
      <c r="A470" s="108">
        <v>10525</v>
      </c>
      <c r="B470" s="108" t="s">
        <v>481</v>
      </c>
      <c r="C470" s="108">
        <v>10</v>
      </c>
    </row>
    <row r="471" spans="1:3" ht="30" x14ac:dyDescent="0.25">
      <c r="A471" s="108">
        <v>10526</v>
      </c>
      <c r="B471" s="108" t="s">
        <v>482</v>
      </c>
      <c r="C471" s="108">
        <v>8.6999999999999993</v>
      </c>
    </row>
    <row r="472" spans="1:3" ht="30" x14ac:dyDescent="0.25">
      <c r="A472" s="108">
        <v>10527</v>
      </c>
      <c r="B472" s="108" t="s">
        <v>483</v>
      </c>
      <c r="C472" s="108">
        <v>210.69</v>
      </c>
    </row>
    <row r="473" spans="1:3" ht="30" x14ac:dyDescent="0.25">
      <c r="A473" s="108">
        <v>10528</v>
      </c>
      <c r="B473" s="108" t="s">
        <v>484</v>
      </c>
      <c r="C473" s="108">
        <v>240.87</v>
      </c>
    </row>
    <row r="474" spans="1:3" x14ac:dyDescent="0.25">
      <c r="A474" s="108">
        <v>10529</v>
      </c>
      <c r="B474" s="108" t="s">
        <v>485</v>
      </c>
      <c r="C474" s="108">
        <v>556.76</v>
      </c>
    </row>
    <row r="475" spans="1:3" x14ac:dyDescent="0.25">
      <c r="A475" s="108">
        <v>10530</v>
      </c>
      <c r="B475" s="108" t="s">
        <v>486</v>
      </c>
      <c r="C475" s="108">
        <v>421.24</v>
      </c>
    </row>
    <row r="476" spans="1:3" x14ac:dyDescent="0.25">
      <c r="A476" s="108">
        <v>10531</v>
      </c>
      <c r="B476" s="108" t="s">
        <v>487</v>
      </c>
      <c r="C476" s="108">
        <v>61</v>
      </c>
    </row>
    <row r="477" spans="1:3" x14ac:dyDescent="0.25">
      <c r="A477" s="108">
        <v>10532</v>
      </c>
      <c r="B477" s="108" t="s">
        <v>488</v>
      </c>
      <c r="C477" s="108">
        <v>24.03</v>
      </c>
    </row>
    <row r="478" spans="1:3" x14ac:dyDescent="0.25">
      <c r="A478" s="108">
        <v>10533</v>
      </c>
      <c r="B478" s="108" t="s">
        <v>489</v>
      </c>
      <c r="C478" s="108">
        <v>49.67</v>
      </c>
    </row>
    <row r="479" spans="1:3" x14ac:dyDescent="0.25">
      <c r="A479" s="108">
        <v>10534</v>
      </c>
      <c r="B479" s="108" t="s">
        <v>490</v>
      </c>
      <c r="C479" s="108">
        <v>101.5</v>
      </c>
    </row>
    <row r="480" spans="1:3" x14ac:dyDescent="0.25">
      <c r="A480" s="108">
        <v>10536</v>
      </c>
      <c r="B480" s="108" t="s">
        <v>491</v>
      </c>
      <c r="C480" s="108">
        <v>219.7</v>
      </c>
    </row>
    <row r="481" spans="1:3" x14ac:dyDescent="0.25">
      <c r="A481" s="108">
        <v>10537</v>
      </c>
      <c r="B481" s="108" t="s">
        <v>492</v>
      </c>
      <c r="C481" s="108">
        <v>984.99</v>
      </c>
    </row>
    <row r="482" spans="1:3" x14ac:dyDescent="0.25">
      <c r="A482" s="108">
        <v>10538</v>
      </c>
      <c r="B482" s="108" t="s">
        <v>493</v>
      </c>
      <c r="C482" s="108">
        <v>10.39</v>
      </c>
    </row>
    <row r="483" spans="1:3" x14ac:dyDescent="0.25">
      <c r="A483" s="108">
        <v>10539</v>
      </c>
      <c r="B483" s="108" t="s">
        <v>494</v>
      </c>
      <c r="C483" s="108">
        <v>14.6</v>
      </c>
    </row>
    <row r="484" spans="1:3" x14ac:dyDescent="0.25">
      <c r="A484" s="108">
        <v>10540</v>
      </c>
      <c r="B484" s="108" t="s">
        <v>495</v>
      </c>
      <c r="C484" s="108">
        <v>12.85</v>
      </c>
    </row>
    <row r="485" spans="1:3" x14ac:dyDescent="0.25">
      <c r="A485" s="108">
        <v>10541</v>
      </c>
      <c r="B485" s="108" t="s">
        <v>496</v>
      </c>
      <c r="C485" s="108">
        <v>20.8</v>
      </c>
    </row>
    <row r="486" spans="1:3" x14ac:dyDescent="0.25">
      <c r="A486" s="108">
        <v>10542</v>
      </c>
      <c r="B486" s="108" t="s">
        <v>497</v>
      </c>
      <c r="C486" s="108">
        <v>25.15</v>
      </c>
    </row>
    <row r="487" spans="1:3" x14ac:dyDescent="0.25">
      <c r="A487" s="108">
        <v>10543</v>
      </c>
      <c r="B487" s="108" t="s">
        <v>498</v>
      </c>
      <c r="C487" s="108">
        <v>506.46</v>
      </c>
    </row>
    <row r="488" spans="1:3" x14ac:dyDescent="0.25">
      <c r="A488" s="108">
        <v>10544</v>
      </c>
      <c r="B488" s="108" t="s">
        <v>499</v>
      </c>
      <c r="C488" s="108">
        <v>10</v>
      </c>
    </row>
    <row r="489" spans="1:3" x14ac:dyDescent="0.25">
      <c r="A489" s="108">
        <v>10545</v>
      </c>
      <c r="B489" s="108" t="s">
        <v>500</v>
      </c>
      <c r="C489" s="108">
        <v>11.5</v>
      </c>
    </row>
    <row r="490" spans="1:3" x14ac:dyDescent="0.25">
      <c r="A490" s="108">
        <v>10546</v>
      </c>
      <c r="B490" s="108" t="s">
        <v>501</v>
      </c>
      <c r="C490" s="108">
        <v>28.57</v>
      </c>
    </row>
    <row r="491" spans="1:3" x14ac:dyDescent="0.25">
      <c r="A491" s="108">
        <v>10547</v>
      </c>
      <c r="B491" s="108" t="s">
        <v>502</v>
      </c>
      <c r="C491" s="108">
        <v>656</v>
      </c>
    </row>
    <row r="492" spans="1:3" x14ac:dyDescent="0.25">
      <c r="A492" s="108">
        <v>10548</v>
      </c>
      <c r="B492" s="108" t="s">
        <v>503</v>
      </c>
      <c r="C492" s="108">
        <v>700</v>
      </c>
    </row>
    <row r="493" spans="1:3" x14ac:dyDescent="0.25">
      <c r="A493" s="108">
        <v>10549</v>
      </c>
      <c r="B493" s="108" t="s">
        <v>504</v>
      </c>
      <c r="C493" s="108">
        <v>337</v>
      </c>
    </row>
    <row r="494" spans="1:3" x14ac:dyDescent="0.25">
      <c r="A494" s="108">
        <v>10550</v>
      </c>
      <c r="B494" s="108" t="s">
        <v>505</v>
      </c>
      <c r="C494" s="110">
        <v>5634</v>
      </c>
    </row>
    <row r="495" spans="1:3" x14ac:dyDescent="0.25">
      <c r="A495" s="108">
        <v>10551</v>
      </c>
      <c r="B495" s="108" t="s">
        <v>506</v>
      </c>
      <c r="C495" s="108">
        <v>302.81</v>
      </c>
    </row>
    <row r="496" spans="1:3" x14ac:dyDescent="0.25">
      <c r="A496" s="108">
        <v>10552</v>
      </c>
      <c r="B496" s="108" t="s">
        <v>507</v>
      </c>
      <c r="C496" s="108">
        <v>157.63</v>
      </c>
    </row>
    <row r="497" spans="1:3" x14ac:dyDescent="0.25">
      <c r="A497" s="108">
        <v>10553</v>
      </c>
      <c r="B497" s="108" t="s">
        <v>508</v>
      </c>
      <c r="C497" s="108">
        <v>45</v>
      </c>
    </row>
    <row r="498" spans="1:3" ht="30" x14ac:dyDescent="0.25">
      <c r="A498" s="108">
        <v>10554</v>
      </c>
      <c r="B498" s="108" t="s">
        <v>509</v>
      </c>
      <c r="C498" s="108">
        <v>14.5</v>
      </c>
    </row>
    <row r="499" spans="1:3" x14ac:dyDescent="0.25">
      <c r="A499" s="108">
        <v>10555</v>
      </c>
      <c r="B499" s="108" t="s">
        <v>510</v>
      </c>
      <c r="C499" s="108">
        <v>20.420000000000002</v>
      </c>
    </row>
    <row r="500" spans="1:3" x14ac:dyDescent="0.25">
      <c r="A500" s="108">
        <v>10556</v>
      </c>
      <c r="B500" s="108" t="s">
        <v>511</v>
      </c>
      <c r="C500" s="108">
        <v>6.53</v>
      </c>
    </row>
    <row r="501" spans="1:3" ht="30" x14ac:dyDescent="0.25">
      <c r="A501" s="108">
        <v>10557</v>
      </c>
      <c r="B501" s="108" t="s">
        <v>512</v>
      </c>
      <c r="C501" s="108">
        <v>480.82</v>
      </c>
    </row>
    <row r="502" spans="1:3" ht="30" x14ac:dyDescent="0.25">
      <c r="A502" s="108">
        <v>10558</v>
      </c>
      <c r="B502" s="108" t="s">
        <v>513</v>
      </c>
      <c r="C502" s="108">
        <v>600.92999999999995</v>
      </c>
    </row>
    <row r="503" spans="1:3" ht="30" x14ac:dyDescent="0.25">
      <c r="A503" s="108">
        <v>10559</v>
      </c>
      <c r="B503" s="108" t="s">
        <v>514</v>
      </c>
      <c r="C503" s="108">
        <v>247.83</v>
      </c>
    </row>
    <row r="504" spans="1:3" ht="30" x14ac:dyDescent="0.25">
      <c r="A504" s="108">
        <v>10560</v>
      </c>
      <c r="B504" s="108" t="s">
        <v>515</v>
      </c>
      <c r="C504" s="108">
        <v>318.94</v>
      </c>
    </row>
    <row r="505" spans="1:3" ht="30" x14ac:dyDescent="0.25">
      <c r="A505" s="108">
        <v>10561</v>
      </c>
      <c r="B505" s="108" t="s">
        <v>516</v>
      </c>
      <c r="C505" s="109">
        <v>3326.27</v>
      </c>
    </row>
    <row r="506" spans="1:3" x14ac:dyDescent="0.25">
      <c r="A506" s="108">
        <v>10562</v>
      </c>
      <c r="B506" s="108" t="s">
        <v>517</v>
      </c>
      <c r="C506" s="109">
        <v>1039.2</v>
      </c>
    </row>
    <row r="507" spans="1:3" x14ac:dyDescent="0.25">
      <c r="A507" s="108">
        <v>10563</v>
      </c>
      <c r="B507" s="108" t="s">
        <v>518</v>
      </c>
      <c r="C507" s="108">
        <v>39.5</v>
      </c>
    </row>
    <row r="508" spans="1:3" x14ac:dyDescent="0.25">
      <c r="A508" s="108">
        <v>10564</v>
      </c>
      <c r="B508" s="108" t="s">
        <v>519</v>
      </c>
      <c r="C508" s="108">
        <v>11.5</v>
      </c>
    </row>
    <row r="509" spans="1:3" x14ac:dyDescent="0.25">
      <c r="A509" s="108">
        <v>10565</v>
      </c>
      <c r="B509" s="108" t="s">
        <v>520</v>
      </c>
      <c r="C509" s="108">
        <v>11.5</v>
      </c>
    </row>
    <row r="510" spans="1:3" x14ac:dyDescent="0.25">
      <c r="A510" s="108">
        <v>10567</v>
      </c>
      <c r="B510" s="108" t="s">
        <v>521</v>
      </c>
      <c r="C510" s="108">
        <v>264</v>
      </c>
    </row>
    <row r="511" spans="1:3" x14ac:dyDescent="0.25">
      <c r="A511" s="108">
        <v>10568</v>
      </c>
      <c r="B511" s="108" t="s">
        <v>522</v>
      </c>
      <c r="C511" s="108">
        <v>401</v>
      </c>
    </row>
    <row r="512" spans="1:3" x14ac:dyDescent="0.25">
      <c r="A512" s="108">
        <v>10569</v>
      </c>
      <c r="B512" s="108" t="s">
        <v>523</v>
      </c>
      <c r="C512" s="108">
        <v>583.66999999999996</v>
      </c>
    </row>
    <row r="513" spans="1:3" x14ac:dyDescent="0.25">
      <c r="A513" s="108">
        <v>10571</v>
      </c>
      <c r="B513" s="108" t="s">
        <v>524</v>
      </c>
      <c r="C513" s="108">
        <v>406.33</v>
      </c>
    </row>
    <row r="514" spans="1:3" x14ac:dyDescent="0.25">
      <c r="A514" s="108">
        <v>10572</v>
      </c>
      <c r="B514" s="108" t="s">
        <v>525</v>
      </c>
      <c r="C514" s="108">
        <v>718</v>
      </c>
    </row>
    <row r="515" spans="1:3" x14ac:dyDescent="0.25">
      <c r="A515" s="108">
        <v>10573</v>
      </c>
      <c r="B515" s="108" t="s">
        <v>526</v>
      </c>
      <c r="C515" s="108">
        <v>704</v>
      </c>
    </row>
    <row r="516" spans="1:3" x14ac:dyDescent="0.25">
      <c r="A516" s="108">
        <v>10575</v>
      </c>
      <c r="B516" s="108" t="s">
        <v>527</v>
      </c>
      <c r="C516" s="108">
        <v>8.3000000000000007</v>
      </c>
    </row>
    <row r="517" spans="1:3" x14ac:dyDescent="0.25">
      <c r="A517" s="108">
        <v>10576</v>
      </c>
      <c r="B517" s="108" t="s">
        <v>528</v>
      </c>
      <c r="C517" s="108">
        <v>17.09</v>
      </c>
    </row>
    <row r="518" spans="1:3" x14ac:dyDescent="0.25">
      <c r="A518" s="108">
        <v>10577</v>
      </c>
      <c r="B518" s="108" t="s">
        <v>529</v>
      </c>
      <c r="C518" s="108">
        <v>21</v>
      </c>
    </row>
    <row r="519" spans="1:3" x14ac:dyDescent="0.25">
      <c r="A519" s="108">
        <v>10578</v>
      </c>
      <c r="B519" s="108" t="s">
        <v>530</v>
      </c>
      <c r="C519" s="108">
        <v>30</v>
      </c>
    </row>
    <row r="520" spans="1:3" x14ac:dyDescent="0.25">
      <c r="A520" s="108">
        <v>10579</v>
      </c>
      <c r="B520" s="108" t="s">
        <v>531</v>
      </c>
      <c r="C520" s="108">
        <v>53</v>
      </c>
    </row>
    <row r="521" spans="1:3" x14ac:dyDescent="0.25">
      <c r="A521" s="108">
        <v>10580</v>
      </c>
      <c r="B521" s="108" t="s">
        <v>532</v>
      </c>
      <c r="C521" s="108">
        <v>322.5</v>
      </c>
    </row>
    <row r="522" spans="1:3" x14ac:dyDescent="0.25">
      <c r="A522" s="108">
        <v>10581</v>
      </c>
      <c r="B522" s="108" t="s">
        <v>533</v>
      </c>
      <c r="C522" s="108">
        <v>286</v>
      </c>
    </row>
    <row r="523" spans="1:3" x14ac:dyDescent="0.25">
      <c r="A523" s="108">
        <v>10582</v>
      </c>
      <c r="B523" s="108" t="s">
        <v>534</v>
      </c>
      <c r="C523" s="108">
        <v>710</v>
      </c>
    </row>
    <row r="524" spans="1:3" x14ac:dyDescent="0.25">
      <c r="A524" s="108">
        <v>10583</v>
      </c>
      <c r="B524" s="108" t="s">
        <v>535</v>
      </c>
      <c r="C524" s="110">
        <v>2130</v>
      </c>
    </row>
    <row r="525" spans="1:3" ht="30" x14ac:dyDescent="0.25">
      <c r="A525" s="108">
        <v>10584</v>
      </c>
      <c r="B525" s="108" t="s">
        <v>536</v>
      </c>
      <c r="C525" s="109">
        <v>1568.33</v>
      </c>
    </row>
    <row r="526" spans="1:3" x14ac:dyDescent="0.25">
      <c r="A526" s="108">
        <v>10585</v>
      </c>
      <c r="B526" s="108" t="s">
        <v>537</v>
      </c>
      <c r="C526" s="108">
        <v>174.33</v>
      </c>
    </row>
    <row r="527" spans="1:3" x14ac:dyDescent="0.25">
      <c r="A527" s="108">
        <v>10586</v>
      </c>
      <c r="B527" s="108" t="s">
        <v>538</v>
      </c>
      <c r="C527" s="108">
        <v>406.54</v>
      </c>
    </row>
    <row r="528" spans="1:3" ht="30" x14ac:dyDescent="0.25">
      <c r="A528" s="108">
        <v>10587</v>
      </c>
      <c r="B528" s="108" t="s">
        <v>539</v>
      </c>
      <c r="C528" s="108">
        <v>3.9</v>
      </c>
    </row>
    <row r="529" spans="1:3" ht="30" x14ac:dyDescent="0.25">
      <c r="A529" s="108">
        <v>10588</v>
      </c>
      <c r="B529" s="108" t="s">
        <v>540</v>
      </c>
      <c r="C529" s="108">
        <v>5.76</v>
      </c>
    </row>
    <row r="530" spans="1:3" ht="30" x14ac:dyDescent="0.25">
      <c r="A530" s="108">
        <v>10590</v>
      </c>
      <c r="B530" s="108" t="s">
        <v>541</v>
      </c>
      <c r="C530" s="108">
        <v>7.33</v>
      </c>
    </row>
    <row r="531" spans="1:3" ht="30" x14ac:dyDescent="0.25">
      <c r="A531" s="108">
        <v>10591</v>
      </c>
      <c r="B531" s="108" t="s">
        <v>542</v>
      </c>
      <c r="C531" s="108">
        <v>10.210000000000001</v>
      </c>
    </row>
    <row r="532" spans="1:3" ht="30" x14ac:dyDescent="0.25">
      <c r="A532" s="108">
        <v>10592</v>
      </c>
      <c r="B532" s="108" t="s">
        <v>543</v>
      </c>
      <c r="C532" s="108">
        <v>13.99</v>
      </c>
    </row>
    <row r="533" spans="1:3" x14ac:dyDescent="0.25">
      <c r="A533" s="108">
        <v>10593</v>
      </c>
      <c r="B533" s="108" t="s">
        <v>544</v>
      </c>
      <c r="C533" s="108">
        <v>2.1</v>
      </c>
    </row>
    <row r="534" spans="1:3" x14ac:dyDescent="0.25">
      <c r="A534" s="108">
        <v>10594</v>
      </c>
      <c r="B534" s="108" t="s">
        <v>545</v>
      </c>
      <c r="C534" s="108">
        <v>3.24</v>
      </c>
    </row>
    <row r="535" spans="1:3" x14ac:dyDescent="0.25">
      <c r="A535" s="108">
        <v>10596</v>
      </c>
      <c r="B535" s="108" t="s">
        <v>546</v>
      </c>
      <c r="C535" s="108">
        <v>7.87</v>
      </c>
    </row>
    <row r="536" spans="1:3" x14ac:dyDescent="0.25">
      <c r="A536" s="108">
        <v>10598</v>
      </c>
      <c r="B536" s="108" t="s">
        <v>547</v>
      </c>
      <c r="C536" s="108">
        <v>2.16</v>
      </c>
    </row>
    <row r="537" spans="1:3" x14ac:dyDescent="0.25">
      <c r="A537" s="108">
        <v>10599</v>
      </c>
      <c r="B537" s="108" t="s">
        <v>548</v>
      </c>
      <c r="C537" s="108">
        <v>35.61</v>
      </c>
    </row>
    <row r="538" spans="1:3" x14ac:dyDescent="0.25">
      <c r="A538" s="108">
        <v>10600</v>
      </c>
      <c r="B538" s="108" t="s">
        <v>549</v>
      </c>
      <c r="C538" s="108">
        <v>17.89</v>
      </c>
    </row>
    <row r="539" spans="1:3" x14ac:dyDescent="0.25">
      <c r="A539" s="108">
        <v>10601</v>
      </c>
      <c r="B539" s="108" t="s">
        <v>550</v>
      </c>
      <c r="C539" s="108">
        <v>63.17</v>
      </c>
    </row>
    <row r="540" spans="1:3" x14ac:dyDescent="0.25">
      <c r="A540" s="108">
        <v>10602</v>
      </c>
      <c r="B540" s="108" t="s">
        <v>551</v>
      </c>
      <c r="C540" s="108">
        <v>141.84</v>
      </c>
    </row>
    <row r="541" spans="1:3" x14ac:dyDescent="0.25">
      <c r="A541" s="108">
        <v>10603</v>
      </c>
      <c r="B541" s="108" t="s">
        <v>552</v>
      </c>
      <c r="C541" s="108">
        <v>278</v>
      </c>
    </row>
    <row r="542" spans="1:3" x14ac:dyDescent="0.25">
      <c r="A542" s="108">
        <v>10604</v>
      </c>
      <c r="B542" s="108" t="s">
        <v>553</v>
      </c>
      <c r="C542" s="108">
        <v>271</v>
      </c>
    </row>
    <row r="543" spans="1:3" x14ac:dyDescent="0.25">
      <c r="A543" s="108">
        <v>10605</v>
      </c>
      <c r="B543" s="108" t="s">
        <v>554</v>
      </c>
      <c r="C543" s="108">
        <v>307</v>
      </c>
    </row>
    <row r="544" spans="1:3" x14ac:dyDescent="0.25">
      <c r="A544" s="108">
        <v>10606</v>
      </c>
      <c r="B544" s="108" t="s">
        <v>555</v>
      </c>
      <c r="C544" s="108">
        <v>302</v>
      </c>
    </row>
    <row r="545" spans="1:3" ht="30" x14ac:dyDescent="0.25">
      <c r="A545" s="108">
        <v>10607</v>
      </c>
      <c r="B545" s="108" t="s">
        <v>556</v>
      </c>
      <c r="C545" s="108">
        <v>66</v>
      </c>
    </row>
    <row r="546" spans="1:3" x14ac:dyDescent="0.25">
      <c r="A546" s="108">
        <v>10608</v>
      </c>
      <c r="B546" s="108" t="s">
        <v>557</v>
      </c>
      <c r="C546" s="108">
        <v>28</v>
      </c>
    </row>
    <row r="547" spans="1:3" ht="30" x14ac:dyDescent="0.25">
      <c r="A547" s="108">
        <v>10609</v>
      </c>
      <c r="B547" s="108" t="s">
        <v>558</v>
      </c>
      <c r="C547" s="108">
        <v>11</v>
      </c>
    </row>
    <row r="548" spans="1:3" ht="30" x14ac:dyDescent="0.25">
      <c r="A548" s="108">
        <v>10610</v>
      </c>
      <c r="B548" s="108" t="s">
        <v>559</v>
      </c>
      <c r="C548" s="108">
        <v>173</v>
      </c>
    </row>
    <row r="549" spans="1:3" ht="30" x14ac:dyDescent="0.25">
      <c r="A549" s="108">
        <v>10612</v>
      </c>
      <c r="B549" s="108" t="s">
        <v>560</v>
      </c>
      <c r="C549" s="108">
        <v>30</v>
      </c>
    </row>
    <row r="550" spans="1:3" x14ac:dyDescent="0.25">
      <c r="A550" s="108">
        <v>10614</v>
      </c>
      <c r="B550" s="108" t="s">
        <v>561</v>
      </c>
      <c r="C550" s="110">
        <v>1083</v>
      </c>
    </row>
    <row r="551" spans="1:3" ht="30" x14ac:dyDescent="0.25">
      <c r="A551" s="108">
        <v>10616</v>
      </c>
      <c r="B551" s="108" t="s">
        <v>562</v>
      </c>
      <c r="C551" s="108">
        <v>24.16</v>
      </c>
    </row>
    <row r="552" spans="1:3" x14ac:dyDescent="0.25">
      <c r="A552" s="108">
        <v>10617</v>
      </c>
      <c r="B552" s="108" t="s">
        <v>563</v>
      </c>
      <c r="C552" s="108">
        <v>17</v>
      </c>
    </row>
    <row r="553" spans="1:3" x14ac:dyDescent="0.25">
      <c r="A553" s="108">
        <v>10618</v>
      </c>
      <c r="B553" s="108" t="s">
        <v>564</v>
      </c>
      <c r="C553" s="108">
        <v>16</v>
      </c>
    </row>
    <row r="554" spans="1:3" ht="30" x14ac:dyDescent="0.25">
      <c r="A554" s="108">
        <v>10619</v>
      </c>
      <c r="B554" s="108" t="s">
        <v>565</v>
      </c>
      <c r="C554" s="108">
        <v>9</v>
      </c>
    </row>
    <row r="555" spans="1:3" ht="30" x14ac:dyDescent="0.25">
      <c r="A555" s="108">
        <v>10620</v>
      </c>
      <c r="B555" s="108" t="s">
        <v>566</v>
      </c>
      <c r="C555" s="108">
        <v>81</v>
      </c>
    </row>
    <row r="556" spans="1:3" ht="30" x14ac:dyDescent="0.25">
      <c r="A556" s="108">
        <v>10621</v>
      </c>
      <c r="B556" s="108" t="s">
        <v>567</v>
      </c>
      <c r="C556" s="108">
        <v>63</v>
      </c>
    </row>
    <row r="557" spans="1:3" ht="30" x14ac:dyDescent="0.25">
      <c r="A557" s="108">
        <v>10622</v>
      </c>
      <c r="B557" s="108" t="s">
        <v>568</v>
      </c>
      <c r="C557" s="108">
        <v>22</v>
      </c>
    </row>
    <row r="558" spans="1:3" ht="30" x14ac:dyDescent="0.25">
      <c r="A558" s="108">
        <v>10623</v>
      </c>
      <c r="B558" s="108" t="s">
        <v>569</v>
      </c>
      <c r="C558" s="108">
        <v>11</v>
      </c>
    </row>
    <row r="559" spans="1:3" ht="30" x14ac:dyDescent="0.25">
      <c r="A559" s="108">
        <v>10624</v>
      </c>
      <c r="B559" s="108" t="s">
        <v>570</v>
      </c>
      <c r="C559" s="108">
        <v>22</v>
      </c>
    </row>
    <row r="560" spans="1:3" ht="30" x14ac:dyDescent="0.25">
      <c r="A560" s="108">
        <v>10626</v>
      </c>
      <c r="B560" s="108" t="s">
        <v>571</v>
      </c>
      <c r="C560" s="108">
        <v>39</v>
      </c>
    </row>
    <row r="561" spans="1:3" ht="30" x14ac:dyDescent="0.25">
      <c r="A561" s="108">
        <v>10627</v>
      </c>
      <c r="B561" s="108" t="s">
        <v>572</v>
      </c>
      <c r="C561" s="108">
        <v>38</v>
      </c>
    </row>
    <row r="562" spans="1:3" x14ac:dyDescent="0.25">
      <c r="A562" s="108">
        <v>10628</v>
      </c>
      <c r="B562" s="108" t="s">
        <v>573</v>
      </c>
      <c r="C562" s="108">
        <v>323</v>
      </c>
    </row>
    <row r="563" spans="1:3" ht="30" x14ac:dyDescent="0.25">
      <c r="A563" s="108">
        <v>10629</v>
      </c>
      <c r="B563" s="108" t="s">
        <v>574</v>
      </c>
      <c r="C563" s="108">
        <v>320</v>
      </c>
    </row>
    <row r="564" spans="1:3" x14ac:dyDescent="0.25">
      <c r="A564" s="108">
        <v>10630</v>
      </c>
      <c r="B564" s="108" t="s">
        <v>575</v>
      </c>
      <c r="C564" s="108">
        <v>37</v>
      </c>
    </row>
    <row r="565" spans="1:3" ht="30" x14ac:dyDescent="0.25">
      <c r="A565" s="108">
        <v>10631</v>
      </c>
      <c r="B565" s="108" t="s">
        <v>576</v>
      </c>
      <c r="C565" s="108">
        <v>4</v>
      </c>
    </row>
    <row r="566" spans="1:3" ht="30" x14ac:dyDescent="0.25">
      <c r="A566" s="108">
        <v>10632</v>
      </c>
      <c r="B566" s="108" t="s">
        <v>577</v>
      </c>
      <c r="C566" s="108">
        <v>11</v>
      </c>
    </row>
    <row r="567" spans="1:3" ht="30" x14ac:dyDescent="0.25">
      <c r="A567" s="108">
        <v>10633</v>
      </c>
      <c r="B567" s="108" t="s">
        <v>578</v>
      </c>
      <c r="C567" s="108">
        <v>19</v>
      </c>
    </row>
    <row r="568" spans="1:3" ht="30" x14ac:dyDescent="0.25">
      <c r="A568" s="108">
        <v>10634</v>
      </c>
      <c r="B568" s="108" t="s">
        <v>579</v>
      </c>
      <c r="C568" s="108">
        <v>46</v>
      </c>
    </row>
    <row r="569" spans="1:3" x14ac:dyDescent="0.25">
      <c r="A569" s="108">
        <v>10635</v>
      </c>
      <c r="B569" s="108" t="s">
        <v>580</v>
      </c>
      <c r="C569" s="108">
        <v>92</v>
      </c>
    </row>
    <row r="570" spans="1:3" ht="30" x14ac:dyDescent="0.25">
      <c r="A570" s="108">
        <v>10636</v>
      </c>
      <c r="B570" s="108" t="s">
        <v>581</v>
      </c>
      <c r="C570" s="108">
        <v>240</v>
      </c>
    </row>
    <row r="571" spans="1:3" ht="30" x14ac:dyDescent="0.25">
      <c r="A571" s="108">
        <v>10637</v>
      </c>
      <c r="B571" s="108" t="s">
        <v>582</v>
      </c>
      <c r="C571" s="108">
        <v>58</v>
      </c>
    </row>
    <row r="572" spans="1:3" ht="30" x14ac:dyDescent="0.25">
      <c r="A572" s="108">
        <v>10638</v>
      </c>
      <c r="B572" s="108" t="s">
        <v>583</v>
      </c>
      <c r="C572" s="108">
        <v>41</v>
      </c>
    </row>
    <row r="573" spans="1:3" ht="30" x14ac:dyDescent="0.25">
      <c r="A573" s="108">
        <v>10639</v>
      </c>
      <c r="B573" s="108" t="s">
        <v>584</v>
      </c>
      <c r="C573" s="108">
        <v>132</v>
      </c>
    </row>
    <row r="574" spans="1:3" ht="30" x14ac:dyDescent="0.25">
      <c r="A574" s="108">
        <v>10640</v>
      </c>
      <c r="B574" s="108" t="s">
        <v>585</v>
      </c>
      <c r="C574" s="108">
        <v>45</v>
      </c>
    </row>
    <row r="575" spans="1:3" x14ac:dyDescent="0.25">
      <c r="A575" s="108">
        <v>10641</v>
      </c>
      <c r="B575" s="108" t="s">
        <v>586</v>
      </c>
      <c r="C575" s="108">
        <v>94</v>
      </c>
    </row>
    <row r="576" spans="1:3" ht="30" x14ac:dyDescent="0.25">
      <c r="A576" s="108">
        <v>10642</v>
      </c>
      <c r="B576" s="108" t="s">
        <v>587</v>
      </c>
      <c r="C576" s="108">
        <v>255</v>
      </c>
    </row>
    <row r="577" spans="1:3" x14ac:dyDescent="0.25">
      <c r="A577" s="108">
        <v>10643</v>
      </c>
      <c r="B577" s="108" t="s">
        <v>588</v>
      </c>
      <c r="C577" s="108">
        <v>50</v>
      </c>
    </row>
    <row r="578" spans="1:3" ht="30" x14ac:dyDescent="0.25">
      <c r="A578" s="108">
        <v>10644</v>
      </c>
      <c r="B578" s="108" t="s">
        <v>589</v>
      </c>
      <c r="C578" s="108">
        <v>57</v>
      </c>
    </row>
    <row r="579" spans="1:3" x14ac:dyDescent="0.25">
      <c r="A579" s="108">
        <v>10645</v>
      </c>
      <c r="B579" s="108" t="s">
        <v>590</v>
      </c>
      <c r="C579" s="108">
        <v>73</v>
      </c>
    </row>
    <row r="580" spans="1:3" x14ac:dyDescent="0.25">
      <c r="A580" s="108">
        <v>10646</v>
      </c>
      <c r="B580" s="108" t="s">
        <v>591</v>
      </c>
      <c r="C580" s="108">
        <v>13</v>
      </c>
    </row>
    <row r="581" spans="1:3" x14ac:dyDescent="0.25">
      <c r="A581" s="108">
        <v>10647</v>
      </c>
      <c r="B581" s="108" t="s">
        <v>592</v>
      </c>
      <c r="C581" s="108">
        <v>5</v>
      </c>
    </row>
    <row r="582" spans="1:3" ht="30" x14ac:dyDescent="0.25">
      <c r="A582" s="108">
        <v>10648</v>
      </c>
      <c r="B582" s="108" t="s">
        <v>593</v>
      </c>
      <c r="C582" s="108">
        <v>129</v>
      </c>
    </row>
    <row r="583" spans="1:3" x14ac:dyDescent="0.25">
      <c r="A583" s="108">
        <v>10649</v>
      </c>
      <c r="B583" s="108" t="s">
        <v>594</v>
      </c>
      <c r="C583" s="108">
        <v>3</v>
      </c>
    </row>
    <row r="584" spans="1:3" x14ac:dyDescent="0.25">
      <c r="A584" s="108">
        <v>10650</v>
      </c>
      <c r="B584" s="108" t="s">
        <v>595</v>
      </c>
      <c r="C584" s="108">
        <v>61</v>
      </c>
    </row>
    <row r="585" spans="1:3" x14ac:dyDescent="0.25">
      <c r="A585" s="108">
        <v>10652</v>
      </c>
      <c r="B585" s="108" t="s">
        <v>596</v>
      </c>
      <c r="C585" s="108">
        <v>108</v>
      </c>
    </row>
    <row r="586" spans="1:3" ht="30" x14ac:dyDescent="0.25">
      <c r="A586" s="108">
        <v>10653</v>
      </c>
      <c r="B586" s="108" t="s">
        <v>597</v>
      </c>
      <c r="C586" s="108">
        <v>301</v>
      </c>
    </row>
    <row r="587" spans="1:3" x14ac:dyDescent="0.25">
      <c r="A587" s="108">
        <v>10654</v>
      </c>
      <c r="B587" s="108" t="s">
        <v>598</v>
      </c>
      <c r="C587" s="108">
        <v>361</v>
      </c>
    </row>
    <row r="588" spans="1:3" x14ac:dyDescent="0.25">
      <c r="A588" s="108">
        <v>10655</v>
      </c>
      <c r="B588" s="108" t="s">
        <v>599</v>
      </c>
      <c r="C588" s="108">
        <v>396</v>
      </c>
    </row>
    <row r="589" spans="1:3" x14ac:dyDescent="0.25">
      <c r="A589" s="108">
        <v>10656</v>
      </c>
      <c r="B589" s="108" t="s">
        <v>600</v>
      </c>
      <c r="C589" s="108">
        <v>572</v>
      </c>
    </row>
    <row r="590" spans="1:3" x14ac:dyDescent="0.25">
      <c r="A590" s="108">
        <v>10657</v>
      </c>
      <c r="B590" s="108" t="s">
        <v>601</v>
      </c>
      <c r="C590" s="108">
        <v>529</v>
      </c>
    </row>
    <row r="591" spans="1:3" x14ac:dyDescent="0.25">
      <c r="A591" s="108">
        <v>10659</v>
      </c>
      <c r="B591" s="108" t="s">
        <v>602</v>
      </c>
      <c r="C591" s="108">
        <v>994</v>
      </c>
    </row>
    <row r="592" spans="1:3" x14ac:dyDescent="0.25">
      <c r="A592" s="108">
        <v>10660</v>
      </c>
      <c r="B592" s="108" t="s">
        <v>603</v>
      </c>
      <c r="C592" s="108">
        <v>51</v>
      </c>
    </row>
    <row r="593" spans="1:3" x14ac:dyDescent="0.25">
      <c r="A593" s="108">
        <v>10661</v>
      </c>
      <c r="B593" s="108" t="s">
        <v>604</v>
      </c>
      <c r="C593" s="108">
        <v>10</v>
      </c>
    </row>
    <row r="594" spans="1:3" x14ac:dyDescent="0.25">
      <c r="A594" s="108">
        <v>10663</v>
      </c>
      <c r="B594" s="108" t="s">
        <v>605</v>
      </c>
      <c r="C594" s="108">
        <v>22</v>
      </c>
    </row>
    <row r="595" spans="1:3" x14ac:dyDescent="0.25">
      <c r="A595" s="108">
        <v>10664</v>
      </c>
      <c r="B595" s="108" t="s">
        <v>606</v>
      </c>
      <c r="C595" s="108">
        <v>472</v>
      </c>
    </row>
    <row r="596" spans="1:3" ht="30" x14ac:dyDescent="0.25">
      <c r="A596" s="108">
        <v>10665</v>
      </c>
      <c r="B596" s="108" t="s">
        <v>607</v>
      </c>
      <c r="C596" s="108">
        <v>220</v>
      </c>
    </row>
    <row r="597" spans="1:3" x14ac:dyDescent="0.25">
      <c r="A597" s="108">
        <v>10666</v>
      </c>
      <c r="B597" s="108" t="s">
        <v>608</v>
      </c>
      <c r="C597" s="108">
        <v>219</v>
      </c>
    </row>
    <row r="598" spans="1:3" ht="30" x14ac:dyDescent="0.25">
      <c r="A598" s="108">
        <v>10667</v>
      </c>
      <c r="B598" s="108" t="s">
        <v>609</v>
      </c>
      <c r="C598" s="108">
        <v>147</v>
      </c>
    </row>
    <row r="599" spans="1:3" ht="30" x14ac:dyDescent="0.25">
      <c r="A599" s="108">
        <v>10668</v>
      </c>
      <c r="B599" s="108" t="s">
        <v>610</v>
      </c>
      <c r="C599" s="108">
        <v>28</v>
      </c>
    </row>
    <row r="600" spans="1:3" x14ac:dyDescent="0.25">
      <c r="A600" s="108">
        <v>10669</v>
      </c>
      <c r="B600" s="108" t="s">
        <v>611</v>
      </c>
      <c r="C600" s="108">
        <v>14</v>
      </c>
    </row>
    <row r="601" spans="1:3" x14ac:dyDescent="0.25">
      <c r="A601" s="108">
        <v>10670</v>
      </c>
      <c r="B601" s="108" t="s">
        <v>612</v>
      </c>
      <c r="C601" s="108">
        <v>45</v>
      </c>
    </row>
    <row r="602" spans="1:3" x14ac:dyDescent="0.25">
      <c r="A602" s="108">
        <v>10671</v>
      </c>
      <c r="B602" s="108" t="s">
        <v>613</v>
      </c>
      <c r="C602" s="108">
        <v>52</v>
      </c>
    </row>
    <row r="603" spans="1:3" x14ac:dyDescent="0.25">
      <c r="A603" s="108">
        <v>10672</v>
      </c>
      <c r="B603" s="108" t="s">
        <v>614</v>
      </c>
      <c r="C603" s="108">
        <v>16</v>
      </c>
    </row>
    <row r="604" spans="1:3" x14ac:dyDescent="0.25">
      <c r="A604" s="108">
        <v>10673</v>
      </c>
      <c r="B604" s="108" t="s">
        <v>615</v>
      </c>
      <c r="C604" s="108">
        <v>16</v>
      </c>
    </row>
    <row r="605" spans="1:3" ht="30" x14ac:dyDescent="0.25">
      <c r="A605" s="108">
        <v>10674</v>
      </c>
      <c r="B605" s="108" t="s">
        <v>616</v>
      </c>
      <c r="C605" s="108">
        <v>50</v>
      </c>
    </row>
    <row r="606" spans="1:3" ht="30" x14ac:dyDescent="0.25">
      <c r="A606" s="108">
        <v>10675</v>
      </c>
      <c r="B606" s="108" t="s">
        <v>617</v>
      </c>
      <c r="C606" s="108">
        <v>55</v>
      </c>
    </row>
    <row r="607" spans="1:3" x14ac:dyDescent="0.25">
      <c r="A607" s="108">
        <v>10676</v>
      </c>
      <c r="B607" s="108" t="s">
        <v>618</v>
      </c>
      <c r="C607" s="108">
        <v>78</v>
      </c>
    </row>
    <row r="608" spans="1:3" x14ac:dyDescent="0.25">
      <c r="A608" s="108">
        <v>10677</v>
      </c>
      <c r="B608" s="108" t="s">
        <v>619</v>
      </c>
      <c r="C608" s="108">
        <v>162</v>
      </c>
    </row>
    <row r="609" spans="1:3" x14ac:dyDescent="0.25">
      <c r="A609" s="108">
        <v>10678</v>
      </c>
      <c r="B609" s="108" t="s">
        <v>620</v>
      </c>
      <c r="C609" s="108">
        <v>83</v>
      </c>
    </row>
    <row r="610" spans="1:3" x14ac:dyDescent="0.25">
      <c r="A610" s="108">
        <v>10679</v>
      </c>
      <c r="B610" s="108" t="s">
        <v>621</v>
      </c>
      <c r="C610" s="108">
        <v>89</v>
      </c>
    </row>
    <row r="611" spans="1:3" x14ac:dyDescent="0.25">
      <c r="A611" s="108">
        <v>10680</v>
      </c>
      <c r="B611" s="108" t="s">
        <v>622</v>
      </c>
      <c r="C611" s="108">
        <v>5</v>
      </c>
    </row>
    <row r="612" spans="1:3" x14ac:dyDescent="0.25">
      <c r="A612" s="108">
        <v>10681</v>
      </c>
      <c r="B612" s="108" t="s">
        <v>623</v>
      </c>
      <c r="C612" s="108">
        <v>27</v>
      </c>
    </row>
    <row r="613" spans="1:3" x14ac:dyDescent="0.25">
      <c r="A613" s="108">
        <v>10682</v>
      </c>
      <c r="B613" s="108" t="s">
        <v>624</v>
      </c>
      <c r="C613" s="108">
        <v>153</v>
      </c>
    </row>
    <row r="614" spans="1:3" x14ac:dyDescent="0.25">
      <c r="A614" s="108">
        <v>10683</v>
      </c>
      <c r="B614" s="108" t="s">
        <v>625</v>
      </c>
      <c r="C614" s="108">
        <v>74</v>
      </c>
    </row>
    <row r="615" spans="1:3" x14ac:dyDescent="0.25">
      <c r="A615" s="108">
        <v>10684</v>
      </c>
      <c r="B615" s="108" t="s">
        <v>626</v>
      </c>
      <c r="C615" s="108">
        <v>84</v>
      </c>
    </row>
    <row r="616" spans="1:3" x14ac:dyDescent="0.25">
      <c r="A616" s="108">
        <v>10685</v>
      </c>
      <c r="B616" s="108" t="s">
        <v>627</v>
      </c>
      <c r="C616" s="108">
        <v>189</v>
      </c>
    </row>
    <row r="617" spans="1:3" ht="30" x14ac:dyDescent="0.25">
      <c r="A617" s="108">
        <v>10686</v>
      </c>
      <c r="B617" s="108" t="s">
        <v>628</v>
      </c>
      <c r="C617" s="108">
        <v>288</v>
      </c>
    </row>
    <row r="618" spans="1:3" x14ac:dyDescent="0.25">
      <c r="A618" s="108">
        <v>10688</v>
      </c>
      <c r="B618" s="108" t="s">
        <v>629</v>
      </c>
      <c r="C618" s="108">
        <v>71</v>
      </c>
    </row>
    <row r="619" spans="1:3" x14ac:dyDescent="0.25">
      <c r="A619" s="108">
        <v>10689</v>
      </c>
      <c r="B619" s="108" t="s">
        <v>630</v>
      </c>
      <c r="C619" s="108">
        <v>392</v>
      </c>
    </row>
    <row r="620" spans="1:3" x14ac:dyDescent="0.25">
      <c r="A620" s="108">
        <v>10690</v>
      </c>
      <c r="B620" s="108" t="s">
        <v>631</v>
      </c>
      <c r="C620" s="108">
        <v>53</v>
      </c>
    </row>
    <row r="621" spans="1:3" ht="30" x14ac:dyDescent="0.25">
      <c r="A621" s="108">
        <v>10691</v>
      </c>
      <c r="B621" s="108" t="s">
        <v>632</v>
      </c>
      <c r="C621" s="108">
        <v>51</v>
      </c>
    </row>
    <row r="622" spans="1:3" x14ac:dyDescent="0.25">
      <c r="A622" s="108">
        <v>10692</v>
      </c>
      <c r="B622" s="108" t="s">
        <v>633</v>
      </c>
      <c r="C622" s="108">
        <v>18</v>
      </c>
    </row>
    <row r="623" spans="1:3" ht="30" x14ac:dyDescent="0.25">
      <c r="A623" s="108">
        <v>10693</v>
      </c>
      <c r="B623" s="108" t="s">
        <v>634</v>
      </c>
      <c r="C623" s="108">
        <v>12</v>
      </c>
    </row>
    <row r="624" spans="1:3" ht="30" x14ac:dyDescent="0.25">
      <c r="A624" s="108">
        <v>10694</v>
      </c>
      <c r="B624" s="108" t="s">
        <v>635</v>
      </c>
      <c r="C624" s="108">
        <v>12</v>
      </c>
    </row>
    <row r="625" spans="1:3" x14ac:dyDescent="0.25">
      <c r="A625" s="108">
        <v>10695</v>
      </c>
      <c r="B625" s="108" t="s">
        <v>636</v>
      </c>
      <c r="C625" s="108">
        <v>8.9</v>
      </c>
    </row>
    <row r="626" spans="1:3" x14ac:dyDescent="0.25">
      <c r="A626" s="108">
        <v>10696</v>
      </c>
      <c r="B626" s="108" t="s">
        <v>637</v>
      </c>
      <c r="C626" s="108">
        <v>15</v>
      </c>
    </row>
    <row r="627" spans="1:3" x14ac:dyDescent="0.25">
      <c r="A627" s="108">
        <v>10697</v>
      </c>
      <c r="B627" s="108" t="s">
        <v>638</v>
      </c>
      <c r="C627" s="108">
        <v>230</v>
      </c>
    </row>
    <row r="628" spans="1:3" x14ac:dyDescent="0.25">
      <c r="A628" s="108">
        <v>10698</v>
      </c>
      <c r="B628" s="108" t="s">
        <v>639</v>
      </c>
      <c r="C628" s="108">
        <v>477</v>
      </c>
    </row>
    <row r="629" spans="1:3" x14ac:dyDescent="0.25">
      <c r="A629" s="108">
        <v>10699</v>
      </c>
      <c r="B629" s="108" t="s">
        <v>640</v>
      </c>
      <c r="C629" s="110">
        <v>23976</v>
      </c>
    </row>
    <row r="630" spans="1:3" x14ac:dyDescent="0.25">
      <c r="A630" s="108">
        <v>10700</v>
      </c>
      <c r="B630" s="108" t="s">
        <v>641</v>
      </c>
      <c r="C630" s="110">
        <v>26862</v>
      </c>
    </row>
    <row r="631" spans="1:3" x14ac:dyDescent="0.25">
      <c r="A631" s="108">
        <v>10702</v>
      </c>
      <c r="B631" s="108" t="s">
        <v>642</v>
      </c>
      <c r="C631" s="109">
        <v>1831.5</v>
      </c>
    </row>
    <row r="632" spans="1:3" x14ac:dyDescent="0.25">
      <c r="A632" s="108">
        <v>10705</v>
      </c>
      <c r="B632" s="108" t="s">
        <v>643</v>
      </c>
      <c r="C632" s="108">
        <v>7.21</v>
      </c>
    </row>
    <row r="633" spans="1:3" ht="30" x14ac:dyDescent="0.25">
      <c r="A633" s="108">
        <v>10706</v>
      </c>
      <c r="B633" s="108" t="s">
        <v>644</v>
      </c>
      <c r="C633" s="108">
        <v>744.96</v>
      </c>
    </row>
    <row r="634" spans="1:3" x14ac:dyDescent="0.25">
      <c r="A634" s="108">
        <v>10707</v>
      </c>
      <c r="B634" s="108" t="s">
        <v>645</v>
      </c>
      <c r="C634" s="108">
        <v>145.16999999999999</v>
      </c>
    </row>
    <row r="635" spans="1:3" x14ac:dyDescent="0.25">
      <c r="A635" s="108">
        <v>10709</v>
      </c>
      <c r="B635" s="108" t="s">
        <v>646</v>
      </c>
      <c r="C635" s="108">
        <v>12.85</v>
      </c>
    </row>
    <row r="636" spans="1:3" x14ac:dyDescent="0.25">
      <c r="A636" s="108">
        <v>10712</v>
      </c>
      <c r="B636" s="108" t="s">
        <v>647</v>
      </c>
      <c r="C636" s="108">
        <v>85.54</v>
      </c>
    </row>
    <row r="637" spans="1:3" x14ac:dyDescent="0.25">
      <c r="A637" s="108">
        <v>10713</v>
      </c>
      <c r="B637" s="108" t="s">
        <v>648</v>
      </c>
      <c r="C637" s="108">
        <v>8.3699999999999992</v>
      </c>
    </row>
    <row r="638" spans="1:3" x14ac:dyDescent="0.25">
      <c r="A638" s="108">
        <v>10714</v>
      </c>
      <c r="B638" s="108" t="s">
        <v>649</v>
      </c>
      <c r="C638" s="108">
        <v>6.51</v>
      </c>
    </row>
    <row r="639" spans="1:3" x14ac:dyDescent="0.25">
      <c r="A639" s="108">
        <v>10715</v>
      </c>
      <c r="B639" s="108" t="s">
        <v>650</v>
      </c>
      <c r="C639" s="108">
        <v>1.41</v>
      </c>
    </row>
    <row r="640" spans="1:3" x14ac:dyDescent="0.25">
      <c r="A640" s="108">
        <v>10716</v>
      </c>
      <c r="B640" s="108" t="s">
        <v>651</v>
      </c>
      <c r="C640" s="108">
        <v>1.49</v>
      </c>
    </row>
    <row r="641" spans="1:3" ht="30" x14ac:dyDescent="0.25">
      <c r="A641" s="108">
        <v>10720</v>
      </c>
      <c r="B641" s="108" t="s">
        <v>652</v>
      </c>
      <c r="C641" s="108">
        <v>1.3</v>
      </c>
    </row>
    <row r="642" spans="1:3" x14ac:dyDescent="0.25">
      <c r="A642" s="108">
        <v>10721</v>
      </c>
      <c r="B642" s="108" t="s">
        <v>653</v>
      </c>
      <c r="C642" s="108">
        <v>3.72</v>
      </c>
    </row>
    <row r="643" spans="1:3" ht="30" x14ac:dyDescent="0.25">
      <c r="A643" s="108">
        <v>10722</v>
      </c>
      <c r="B643" s="108" t="s">
        <v>654</v>
      </c>
      <c r="C643" s="108">
        <v>1.49</v>
      </c>
    </row>
    <row r="644" spans="1:3" ht="30" x14ac:dyDescent="0.25">
      <c r="A644" s="108">
        <v>10723</v>
      </c>
      <c r="B644" s="108" t="s">
        <v>655</v>
      </c>
      <c r="C644" s="108">
        <v>6.69</v>
      </c>
    </row>
    <row r="645" spans="1:3" ht="30" x14ac:dyDescent="0.25">
      <c r="A645" s="108">
        <v>10724</v>
      </c>
      <c r="B645" s="108" t="s">
        <v>656</v>
      </c>
      <c r="C645" s="108">
        <v>3.72</v>
      </c>
    </row>
    <row r="646" spans="1:3" ht="30" x14ac:dyDescent="0.25">
      <c r="A646" s="108">
        <v>10725</v>
      </c>
      <c r="B646" s="108" t="s">
        <v>657</v>
      </c>
      <c r="C646" s="108">
        <v>0.43</v>
      </c>
    </row>
    <row r="647" spans="1:3" ht="30" x14ac:dyDescent="0.25">
      <c r="A647" s="108">
        <v>10726</v>
      </c>
      <c r="B647" s="108" t="s">
        <v>658</v>
      </c>
      <c r="C647" s="108">
        <v>1.68</v>
      </c>
    </row>
    <row r="648" spans="1:3" x14ac:dyDescent="0.25">
      <c r="A648" s="108">
        <v>10727</v>
      </c>
      <c r="B648" s="108" t="s">
        <v>659</v>
      </c>
      <c r="C648" s="108">
        <v>37</v>
      </c>
    </row>
    <row r="649" spans="1:3" ht="30" x14ac:dyDescent="0.25">
      <c r="A649" s="108">
        <v>10728</v>
      </c>
      <c r="B649" s="108" t="s">
        <v>660</v>
      </c>
      <c r="C649" s="108">
        <v>0.56000000000000005</v>
      </c>
    </row>
    <row r="650" spans="1:3" ht="30" x14ac:dyDescent="0.25">
      <c r="A650" s="108">
        <v>10729</v>
      </c>
      <c r="B650" s="108" t="s">
        <v>661</v>
      </c>
      <c r="C650" s="108">
        <v>0.56000000000000005</v>
      </c>
    </row>
    <row r="651" spans="1:3" ht="30" x14ac:dyDescent="0.25">
      <c r="A651" s="108">
        <v>10730</v>
      </c>
      <c r="B651" s="108" t="s">
        <v>662</v>
      </c>
      <c r="C651" s="108">
        <v>0.74</v>
      </c>
    </row>
    <row r="652" spans="1:3" ht="30" x14ac:dyDescent="0.25">
      <c r="A652" s="108">
        <v>10731</v>
      </c>
      <c r="B652" s="108" t="s">
        <v>663</v>
      </c>
      <c r="C652" s="108">
        <v>0.84</v>
      </c>
    </row>
    <row r="653" spans="1:3" ht="30" x14ac:dyDescent="0.25">
      <c r="A653" s="108">
        <v>10732</v>
      </c>
      <c r="B653" s="108" t="s">
        <v>664</v>
      </c>
      <c r="C653" s="108">
        <v>0.56000000000000005</v>
      </c>
    </row>
    <row r="654" spans="1:3" ht="30" x14ac:dyDescent="0.25">
      <c r="A654" s="108">
        <v>10733</v>
      </c>
      <c r="B654" s="108" t="s">
        <v>665</v>
      </c>
      <c r="C654" s="108">
        <v>0.22</v>
      </c>
    </row>
    <row r="655" spans="1:3" x14ac:dyDescent="0.25">
      <c r="A655" s="108">
        <v>10734</v>
      </c>
      <c r="B655" s="108" t="s">
        <v>666</v>
      </c>
      <c r="C655" s="108">
        <v>7.44</v>
      </c>
    </row>
    <row r="656" spans="1:3" x14ac:dyDescent="0.25">
      <c r="A656" s="108">
        <v>10735</v>
      </c>
      <c r="B656" s="108" t="s">
        <v>667</v>
      </c>
      <c r="C656" s="108">
        <v>2.6</v>
      </c>
    </row>
    <row r="657" spans="1:3" x14ac:dyDescent="0.25">
      <c r="A657" s="108">
        <v>10736</v>
      </c>
      <c r="B657" s="108" t="s">
        <v>668</v>
      </c>
      <c r="C657" s="108">
        <v>4.28</v>
      </c>
    </row>
    <row r="658" spans="1:3" ht="30" x14ac:dyDescent="0.25">
      <c r="A658" s="108">
        <v>10737</v>
      </c>
      <c r="B658" s="108" t="s">
        <v>669</v>
      </c>
      <c r="C658" s="108">
        <v>1.21</v>
      </c>
    </row>
    <row r="659" spans="1:3" ht="30" x14ac:dyDescent="0.25">
      <c r="A659" s="108">
        <v>10738</v>
      </c>
      <c r="B659" s="108" t="s">
        <v>670</v>
      </c>
      <c r="C659" s="108">
        <v>0.56000000000000005</v>
      </c>
    </row>
    <row r="660" spans="1:3" ht="30" x14ac:dyDescent="0.25">
      <c r="A660" s="108">
        <v>10739</v>
      </c>
      <c r="B660" s="108" t="s">
        <v>671</v>
      </c>
      <c r="C660" s="108">
        <v>50.21</v>
      </c>
    </row>
    <row r="661" spans="1:3" x14ac:dyDescent="0.25">
      <c r="A661" s="108">
        <v>10740</v>
      </c>
      <c r="B661" s="108" t="s">
        <v>672</v>
      </c>
      <c r="C661" s="108">
        <v>46.49</v>
      </c>
    </row>
    <row r="662" spans="1:3" x14ac:dyDescent="0.25">
      <c r="A662" s="108">
        <v>10741</v>
      </c>
      <c r="B662" s="108" t="s">
        <v>673</v>
      </c>
      <c r="C662" s="108">
        <v>42.77</v>
      </c>
    </row>
    <row r="663" spans="1:3" x14ac:dyDescent="0.25">
      <c r="A663" s="108">
        <v>10742</v>
      </c>
      <c r="B663" s="108" t="s">
        <v>674</v>
      </c>
      <c r="C663" s="108">
        <v>79.959999999999994</v>
      </c>
    </row>
    <row r="664" spans="1:3" x14ac:dyDescent="0.25">
      <c r="A664" s="108">
        <v>10743</v>
      </c>
      <c r="B664" s="108" t="s">
        <v>675</v>
      </c>
      <c r="C664" s="108">
        <v>92.98</v>
      </c>
    </row>
    <row r="665" spans="1:3" x14ac:dyDescent="0.25">
      <c r="A665" s="108">
        <v>10744</v>
      </c>
      <c r="B665" s="108" t="s">
        <v>676</v>
      </c>
      <c r="C665" s="108">
        <v>139.47</v>
      </c>
    </row>
    <row r="666" spans="1:3" x14ac:dyDescent="0.25">
      <c r="A666" s="108">
        <v>10745</v>
      </c>
      <c r="B666" s="108" t="s">
        <v>16100</v>
      </c>
      <c r="C666" s="108">
        <v>336.16</v>
      </c>
    </row>
    <row r="667" spans="1:3" ht="30" x14ac:dyDescent="0.25">
      <c r="A667" s="108">
        <v>10750</v>
      </c>
      <c r="B667" s="108" t="s">
        <v>677</v>
      </c>
      <c r="C667" s="108">
        <v>479.2</v>
      </c>
    </row>
    <row r="668" spans="1:3" x14ac:dyDescent="0.25">
      <c r="A668" s="108">
        <v>10753</v>
      </c>
      <c r="B668" s="108" t="s">
        <v>3049</v>
      </c>
      <c r="C668" s="108">
        <v>559.20000000000005</v>
      </c>
    </row>
    <row r="669" spans="1:3" x14ac:dyDescent="0.25">
      <c r="A669" s="108">
        <v>10754</v>
      </c>
      <c r="B669" s="108" t="s">
        <v>678</v>
      </c>
      <c r="C669" s="108">
        <v>479.2</v>
      </c>
    </row>
    <row r="670" spans="1:3" x14ac:dyDescent="0.25">
      <c r="A670" s="108">
        <v>10757</v>
      </c>
      <c r="B670" s="108" t="s">
        <v>679</v>
      </c>
      <c r="C670" s="110">
        <v>2156</v>
      </c>
    </row>
    <row r="671" spans="1:3" x14ac:dyDescent="0.25">
      <c r="A671" s="108">
        <v>10758</v>
      </c>
      <c r="B671" s="108" t="s">
        <v>680</v>
      </c>
      <c r="C671" s="108">
        <v>479.2</v>
      </c>
    </row>
    <row r="672" spans="1:3" x14ac:dyDescent="0.25">
      <c r="A672" s="108">
        <v>10759</v>
      </c>
      <c r="B672" s="108" t="s">
        <v>681</v>
      </c>
      <c r="C672" s="108">
        <v>4.72</v>
      </c>
    </row>
    <row r="673" spans="1:3" x14ac:dyDescent="0.25">
      <c r="A673" s="108">
        <v>10760</v>
      </c>
      <c r="B673" s="108" t="s">
        <v>682</v>
      </c>
      <c r="C673" s="108">
        <v>27.5</v>
      </c>
    </row>
    <row r="674" spans="1:3" x14ac:dyDescent="0.25">
      <c r="A674" s="108">
        <v>10761</v>
      </c>
      <c r="B674" s="108" t="s">
        <v>683</v>
      </c>
      <c r="C674" s="108">
        <v>46</v>
      </c>
    </row>
    <row r="675" spans="1:3" x14ac:dyDescent="0.25">
      <c r="A675" s="108">
        <v>10762</v>
      </c>
      <c r="B675" s="108" t="s">
        <v>684</v>
      </c>
      <c r="C675" s="108">
        <v>123</v>
      </c>
    </row>
    <row r="676" spans="1:3" x14ac:dyDescent="0.25">
      <c r="A676" s="108">
        <v>10763</v>
      </c>
      <c r="B676" s="108" t="s">
        <v>685</v>
      </c>
      <c r="C676" s="108">
        <v>35</v>
      </c>
    </row>
    <row r="677" spans="1:3" x14ac:dyDescent="0.25">
      <c r="A677" s="108">
        <v>10764</v>
      </c>
      <c r="B677" s="108" t="s">
        <v>686</v>
      </c>
      <c r="C677" s="110">
        <v>6310</v>
      </c>
    </row>
    <row r="678" spans="1:3" x14ac:dyDescent="0.25">
      <c r="A678" s="108">
        <v>10765</v>
      </c>
      <c r="B678" s="108" t="s">
        <v>687</v>
      </c>
      <c r="C678" s="110">
        <v>5875</v>
      </c>
    </row>
    <row r="679" spans="1:3" x14ac:dyDescent="0.25">
      <c r="A679" s="108">
        <v>10768</v>
      </c>
      <c r="B679" s="108" t="s">
        <v>688</v>
      </c>
      <c r="C679" s="108">
        <v>25</v>
      </c>
    </row>
    <row r="680" spans="1:3" ht="30" x14ac:dyDescent="0.25">
      <c r="A680" s="108">
        <v>10769</v>
      </c>
      <c r="B680" s="108" t="s">
        <v>689</v>
      </c>
      <c r="C680" s="108">
        <v>5</v>
      </c>
    </row>
    <row r="681" spans="1:3" ht="30" x14ac:dyDescent="0.25">
      <c r="A681" s="108">
        <v>10770</v>
      </c>
      <c r="B681" s="108" t="s">
        <v>690</v>
      </c>
      <c r="C681" s="108">
        <v>5</v>
      </c>
    </row>
    <row r="682" spans="1:3" x14ac:dyDescent="0.25">
      <c r="A682" s="108">
        <v>10771</v>
      </c>
      <c r="B682" s="108" t="s">
        <v>691</v>
      </c>
      <c r="C682" s="108">
        <v>6</v>
      </c>
    </row>
    <row r="683" spans="1:3" x14ac:dyDescent="0.25">
      <c r="A683" s="108">
        <v>10772</v>
      </c>
      <c r="B683" s="108" t="s">
        <v>692</v>
      </c>
      <c r="C683" s="108">
        <v>9</v>
      </c>
    </row>
    <row r="684" spans="1:3" x14ac:dyDescent="0.25">
      <c r="A684" s="108">
        <v>10773</v>
      </c>
      <c r="B684" s="108" t="s">
        <v>693</v>
      </c>
      <c r="C684" s="108">
        <v>9</v>
      </c>
    </row>
    <row r="685" spans="1:3" ht="30" x14ac:dyDescent="0.25">
      <c r="A685" s="108">
        <v>10774</v>
      </c>
      <c r="B685" s="108" t="s">
        <v>694</v>
      </c>
      <c r="C685" s="108">
        <v>10</v>
      </c>
    </row>
    <row r="686" spans="1:3" x14ac:dyDescent="0.25">
      <c r="A686" s="108">
        <v>10775</v>
      </c>
      <c r="B686" s="108" t="s">
        <v>695</v>
      </c>
      <c r="C686" s="108">
        <v>11</v>
      </c>
    </row>
    <row r="687" spans="1:3" x14ac:dyDescent="0.25">
      <c r="A687" s="108">
        <v>10776</v>
      </c>
      <c r="B687" s="108" t="s">
        <v>696</v>
      </c>
      <c r="C687" s="108">
        <v>13</v>
      </c>
    </row>
    <row r="688" spans="1:3" x14ac:dyDescent="0.25">
      <c r="A688" s="108">
        <v>10777</v>
      </c>
      <c r="B688" s="108" t="s">
        <v>697</v>
      </c>
      <c r="C688" s="108">
        <v>13</v>
      </c>
    </row>
    <row r="689" spans="1:3" x14ac:dyDescent="0.25">
      <c r="A689" s="108">
        <v>10778</v>
      </c>
      <c r="B689" s="108" t="s">
        <v>698</v>
      </c>
      <c r="C689" s="108">
        <v>14</v>
      </c>
    </row>
    <row r="690" spans="1:3" ht="30" x14ac:dyDescent="0.25">
      <c r="A690" s="108">
        <v>10779</v>
      </c>
      <c r="B690" s="108" t="s">
        <v>699</v>
      </c>
      <c r="C690" s="108">
        <v>14</v>
      </c>
    </row>
    <row r="691" spans="1:3" ht="30" x14ac:dyDescent="0.25">
      <c r="A691" s="108">
        <v>10780</v>
      </c>
      <c r="B691" s="108" t="s">
        <v>700</v>
      </c>
      <c r="C691" s="108">
        <v>15</v>
      </c>
    </row>
    <row r="692" spans="1:3" x14ac:dyDescent="0.25">
      <c r="A692" s="108">
        <v>10781</v>
      </c>
      <c r="B692" s="108" t="s">
        <v>701</v>
      </c>
      <c r="C692" s="108">
        <v>15</v>
      </c>
    </row>
    <row r="693" spans="1:3" ht="30" x14ac:dyDescent="0.25">
      <c r="A693" s="108">
        <v>10782</v>
      </c>
      <c r="B693" s="108" t="s">
        <v>702</v>
      </c>
      <c r="C693" s="108">
        <v>16</v>
      </c>
    </row>
    <row r="694" spans="1:3" x14ac:dyDescent="0.25">
      <c r="A694" s="108">
        <v>10783</v>
      </c>
      <c r="B694" s="108" t="s">
        <v>703</v>
      </c>
      <c r="C694" s="108">
        <v>17</v>
      </c>
    </row>
    <row r="695" spans="1:3" x14ac:dyDescent="0.25">
      <c r="A695" s="108">
        <v>10784</v>
      </c>
      <c r="B695" s="108" t="s">
        <v>704</v>
      </c>
      <c r="C695" s="108">
        <v>17</v>
      </c>
    </row>
    <row r="696" spans="1:3" ht="30" x14ac:dyDescent="0.25">
      <c r="A696" s="108">
        <v>10785</v>
      </c>
      <c r="B696" s="108" t="s">
        <v>705</v>
      </c>
      <c r="C696" s="108">
        <v>18</v>
      </c>
    </row>
    <row r="697" spans="1:3" x14ac:dyDescent="0.25">
      <c r="A697" s="108">
        <v>10786</v>
      </c>
      <c r="B697" s="108" t="s">
        <v>706</v>
      </c>
      <c r="C697" s="108">
        <v>20</v>
      </c>
    </row>
    <row r="698" spans="1:3" x14ac:dyDescent="0.25">
      <c r="A698" s="108">
        <v>10787</v>
      </c>
      <c r="B698" s="108" t="s">
        <v>707</v>
      </c>
      <c r="C698" s="108">
        <v>21</v>
      </c>
    </row>
    <row r="699" spans="1:3" x14ac:dyDescent="0.25">
      <c r="A699" s="108">
        <v>10788</v>
      </c>
      <c r="B699" s="108" t="s">
        <v>708</v>
      </c>
      <c r="C699" s="108">
        <v>21</v>
      </c>
    </row>
    <row r="700" spans="1:3" x14ac:dyDescent="0.25">
      <c r="A700" s="108">
        <v>10789</v>
      </c>
      <c r="B700" s="108" t="s">
        <v>709</v>
      </c>
      <c r="C700" s="108">
        <v>21</v>
      </c>
    </row>
    <row r="701" spans="1:3" x14ac:dyDescent="0.25">
      <c r="A701" s="108">
        <v>10790</v>
      </c>
      <c r="B701" s="108" t="s">
        <v>710</v>
      </c>
      <c r="C701" s="108">
        <v>23</v>
      </c>
    </row>
    <row r="702" spans="1:3" x14ac:dyDescent="0.25">
      <c r="A702" s="108">
        <v>10791</v>
      </c>
      <c r="B702" s="108" t="s">
        <v>711</v>
      </c>
      <c r="C702" s="108">
        <v>23</v>
      </c>
    </row>
    <row r="703" spans="1:3" x14ac:dyDescent="0.25">
      <c r="A703" s="108">
        <v>10792</v>
      </c>
      <c r="B703" s="108" t="s">
        <v>712</v>
      </c>
      <c r="C703" s="108">
        <v>26</v>
      </c>
    </row>
    <row r="704" spans="1:3" x14ac:dyDescent="0.25">
      <c r="A704" s="108">
        <v>10793</v>
      </c>
      <c r="B704" s="108" t="s">
        <v>713</v>
      </c>
      <c r="C704" s="108">
        <v>26</v>
      </c>
    </row>
    <row r="705" spans="1:3" x14ac:dyDescent="0.25">
      <c r="A705" s="108">
        <v>10794</v>
      </c>
      <c r="B705" s="108" t="s">
        <v>714</v>
      </c>
      <c r="C705" s="108">
        <v>32</v>
      </c>
    </row>
    <row r="706" spans="1:3" x14ac:dyDescent="0.25">
      <c r="A706" s="108">
        <v>10795</v>
      </c>
      <c r="B706" s="108" t="s">
        <v>715</v>
      </c>
      <c r="C706" s="108">
        <v>34</v>
      </c>
    </row>
    <row r="707" spans="1:3" x14ac:dyDescent="0.25">
      <c r="A707" s="108">
        <v>10796</v>
      </c>
      <c r="B707" s="108" t="s">
        <v>716</v>
      </c>
      <c r="C707" s="108">
        <v>36</v>
      </c>
    </row>
    <row r="708" spans="1:3" x14ac:dyDescent="0.25">
      <c r="A708" s="108">
        <v>10797</v>
      </c>
      <c r="B708" s="108" t="s">
        <v>717</v>
      </c>
      <c r="C708" s="108">
        <v>45</v>
      </c>
    </row>
    <row r="709" spans="1:3" x14ac:dyDescent="0.25">
      <c r="A709" s="108">
        <v>10798</v>
      </c>
      <c r="B709" s="108" t="s">
        <v>718</v>
      </c>
      <c r="C709" s="108">
        <v>49</v>
      </c>
    </row>
    <row r="710" spans="1:3" x14ac:dyDescent="0.25">
      <c r="A710" s="108">
        <v>10799</v>
      </c>
      <c r="B710" s="108" t="s">
        <v>719</v>
      </c>
      <c r="C710" s="108">
        <v>54</v>
      </c>
    </row>
    <row r="711" spans="1:3" ht="30" x14ac:dyDescent="0.25">
      <c r="A711" s="108">
        <v>10800</v>
      </c>
      <c r="B711" s="108" t="s">
        <v>720</v>
      </c>
      <c r="C711" s="108">
        <v>55</v>
      </c>
    </row>
    <row r="712" spans="1:3" x14ac:dyDescent="0.25">
      <c r="A712" s="108">
        <v>10801</v>
      </c>
      <c r="B712" s="108" t="s">
        <v>721</v>
      </c>
      <c r="C712" s="108">
        <v>66</v>
      </c>
    </row>
    <row r="713" spans="1:3" x14ac:dyDescent="0.25">
      <c r="A713" s="108">
        <v>10802</v>
      </c>
      <c r="B713" s="108" t="s">
        <v>722</v>
      </c>
      <c r="C713" s="108">
        <v>74</v>
      </c>
    </row>
    <row r="714" spans="1:3" x14ac:dyDescent="0.25">
      <c r="A714" s="108">
        <v>10803</v>
      </c>
      <c r="B714" s="108" t="s">
        <v>723</v>
      </c>
      <c r="C714" s="108">
        <v>93</v>
      </c>
    </row>
    <row r="715" spans="1:3" x14ac:dyDescent="0.25">
      <c r="A715" s="108">
        <v>10804</v>
      </c>
      <c r="B715" s="108" t="s">
        <v>724</v>
      </c>
      <c r="C715" s="108">
        <v>87</v>
      </c>
    </row>
    <row r="716" spans="1:3" x14ac:dyDescent="0.25">
      <c r="A716" s="108">
        <v>10805</v>
      </c>
      <c r="B716" s="108" t="s">
        <v>725</v>
      </c>
      <c r="C716" s="108">
        <v>87</v>
      </c>
    </row>
    <row r="717" spans="1:3" x14ac:dyDescent="0.25">
      <c r="A717" s="108">
        <v>10806</v>
      </c>
      <c r="B717" s="108" t="s">
        <v>726</v>
      </c>
      <c r="C717" s="108">
        <v>90</v>
      </c>
    </row>
    <row r="718" spans="1:3" x14ac:dyDescent="0.25">
      <c r="A718" s="108">
        <v>10808</v>
      </c>
      <c r="B718" s="108" t="s">
        <v>727</v>
      </c>
      <c r="C718" s="108">
        <v>95</v>
      </c>
    </row>
    <row r="719" spans="1:3" x14ac:dyDescent="0.25">
      <c r="A719" s="108">
        <v>10809</v>
      </c>
      <c r="B719" s="108" t="s">
        <v>728</v>
      </c>
      <c r="C719" s="108">
        <v>101</v>
      </c>
    </row>
    <row r="720" spans="1:3" x14ac:dyDescent="0.25">
      <c r="A720" s="108">
        <v>10810</v>
      </c>
      <c r="B720" s="108" t="s">
        <v>729</v>
      </c>
      <c r="C720" s="108">
        <v>100</v>
      </c>
    </row>
    <row r="721" spans="1:3" x14ac:dyDescent="0.25">
      <c r="A721" s="108">
        <v>10811</v>
      </c>
      <c r="B721" s="108" t="s">
        <v>730</v>
      </c>
      <c r="C721" s="108">
        <v>106</v>
      </c>
    </row>
    <row r="722" spans="1:3" x14ac:dyDescent="0.25">
      <c r="A722" s="108">
        <v>10812</v>
      </c>
      <c r="B722" s="108" t="s">
        <v>731</v>
      </c>
      <c r="C722" s="108">
        <v>114</v>
      </c>
    </row>
    <row r="723" spans="1:3" x14ac:dyDescent="0.25">
      <c r="A723" s="108">
        <v>10813</v>
      </c>
      <c r="B723" s="108" t="s">
        <v>732</v>
      </c>
      <c r="C723" s="108">
        <v>118</v>
      </c>
    </row>
    <row r="724" spans="1:3" x14ac:dyDescent="0.25">
      <c r="A724" s="108">
        <v>10814</v>
      </c>
      <c r="B724" s="108" t="s">
        <v>733</v>
      </c>
      <c r="C724" s="108">
        <v>129</v>
      </c>
    </row>
    <row r="725" spans="1:3" x14ac:dyDescent="0.25">
      <c r="A725" s="108">
        <v>10815</v>
      </c>
      <c r="B725" s="108" t="s">
        <v>734</v>
      </c>
      <c r="C725" s="108">
        <v>133</v>
      </c>
    </row>
    <row r="726" spans="1:3" x14ac:dyDescent="0.25">
      <c r="A726" s="108">
        <v>10816</v>
      </c>
      <c r="B726" s="108" t="s">
        <v>735</v>
      </c>
      <c r="C726" s="108">
        <v>135</v>
      </c>
    </row>
    <row r="727" spans="1:3" ht="30" x14ac:dyDescent="0.25">
      <c r="A727" s="108">
        <v>10817</v>
      </c>
      <c r="B727" s="108" t="s">
        <v>736</v>
      </c>
      <c r="C727" s="108">
        <v>181</v>
      </c>
    </row>
    <row r="728" spans="1:3" x14ac:dyDescent="0.25">
      <c r="A728" s="108">
        <v>10818</v>
      </c>
      <c r="B728" s="108" t="s">
        <v>737</v>
      </c>
      <c r="C728" s="108">
        <v>190</v>
      </c>
    </row>
    <row r="729" spans="1:3" ht="30" x14ac:dyDescent="0.25">
      <c r="A729" s="108">
        <v>10819</v>
      </c>
      <c r="B729" s="108" t="s">
        <v>738</v>
      </c>
      <c r="C729" s="108">
        <v>201</v>
      </c>
    </row>
    <row r="730" spans="1:3" x14ac:dyDescent="0.25">
      <c r="A730" s="108">
        <v>10820</v>
      </c>
      <c r="B730" s="108" t="s">
        <v>739</v>
      </c>
      <c r="C730" s="108">
        <v>210</v>
      </c>
    </row>
    <row r="731" spans="1:3" ht="30" x14ac:dyDescent="0.25">
      <c r="A731" s="108">
        <v>10821</v>
      </c>
      <c r="B731" s="108" t="s">
        <v>740</v>
      </c>
      <c r="C731" s="108">
        <v>241</v>
      </c>
    </row>
    <row r="732" spans="1:3" x14ac:dyDescent="0.25">
      <c r="A732" s="108">
        <v>10822</v>
      </c>
      <c r="B732" s="108" t="s">
        <v>741</v>
      </c>
      <c r="C732" s="108">
        <v>271</v>
      </c>
    </row>
    <row r="733" spans="1:3" x14ac:dyDescent="0.25">
      <c r="A733" s="108">
        <v>10823</v>
      </c>
      <c r="B733" s="108" t="s">
        <v>742</v>
      </c>
      <c r="C733" s="108">
        <v>322</v>
      </c>
    </row>
    <row r="734" spans="1:3" x14ac:dyDescent="0.25">
      <c r="A734" s="108">
        <v>10824</v>
      </c>
      <c r="B734" s="108" t="s">
        <v>743</v>
      </c>
      <c r="C734" s="108">
        <v>371</v>
      </c>
    </row>
    <row r="735" spans="1:3" x14ac:dyDescent="0.25">
      <c r="A735" s="108">
        <v>10825</v>
      </c>
      <c r="B735" s="108" t="s">
        <v>744</v>
      </c>
      <c r="C735" s="108">
        <v>396</v>
      </c>
    </row>
    <row r="736" spans="1:3" x14ac:dyDescent="0.25">
      <c r="A736" s="108">
        <v>10826</v>
      </c>
      <c r="B736" s="108" t="s">
        <v>745</v>
      </c>
      <c r="C736" s="108">
        <v>449</v>
      </c>
    </row>
    <row r="737" spans="1:3" x14ac:dyDescent="0.25">
      <c r="A737" s="108">
        <v>10827</v>
      </c>
      <c r="B737" s="108" t="s">
        <v>746</v>
      </c>
      <c r="C737" s="108">
        <v>571</v>
      </c>
    </row>
    <row r="738" spans="1:3" ht="30" x14ac:dyDescent="0.25">
      <c r="A738" s="108">
        <v>10828</v>
      </c>
      <c r="B738" s="108" t="s">
        <v>747</v>
      </c>
      <c r="C738" s="108">
        <v>842</v>
      </c>
    </row>
    <row r="739" spans="1:3" ht="30" x14ac:dyDescent="0.25">
      <c r="A739" s="108">
        <v>10829</v>
      </c>
      <c r="B739" s="108" t="s">
        <v>748</v>
      </c>
      <c r="C739" s="108">
        <v>911</v>
      </c>
    </row>
    <row r="740" spans="1:3" x14ac:dyDescent="0.25">
      <c r="A740" s="108">
        <v>10830</v>
      </c>
      <c r="B740" s="108" t="s">
        <v>749</v>
      </c>
      <c r="C740" s="110">
        <v>1256</v>
      </c>
    </row>
    <row r="741" spans="1:3" ht="30" x14ac:dyDescent="0.25">
      <c r="A741" s="108">
        <v>10831</v>
      </c>
      <c r="B741" s="108" t="s">
        <v>750</v>
      </c>
      <c r="C741" s="108">
        <v>233.8</v>
      </c>
    </row>
    <row r="742" spans="1:3" x14ac:dyDescent="0.25">
      <c r="A742" s="108">
        <v>10832</v>
      </c>
      <c r="B742" s="108" t="s">
        <v>751</v>
      </c>
      <c r="C742" s="108">
        <v>53</v>
      </c>
    </row>
    <row r="743" spans="1:3" x14ac:dyDescent="0.25">
      <c r="A743" s="108">
        <v>10833</v>
      </c>
      <c r="B743" s="108" t="s">
        <v>752</v>
      </c>
      <c r="C743" s="108">
        <v>25.6</v>
      </c>
    </row>
    <row r="744" spans="1:3" x14ac:dyDescent="0.25">
      <c r="A744" s="108">
        <v>10834</v>
      </c>
      <c r="B744" s="108" t="s">
        <v>753</v>
      </c>
      <c r="C744" s="108">
        <v>340</v>
      </c>
    </row>
    <row r="745" spans="1:3" x14ac:dyDescent="0.25">
      <c r="A745" s="108">
        <v>10835</v>
      </c>
      <c r="B745" s="108" t="s">
        <v>754</v>
      </c>
      <c r="C745" s="108">
        <v>406.81</v>
      </c>
    </row>
    <row r="746" spans="1:3" x14ac:dyDescent="0.25">
      <c r="A746" s="108">
        <v>10836</v>
      </c>
      <c r="B746" s="108" t="s">
        <v>755</v>
      </c>
      <c r="C746" s="108">
        <v>409.33</v>
      </c>
    </row>
    <row r="747" spans="1:3" x14ac:dyDescent="0.25">
      <c r="A747" s="108">
        <v>10837</v>
      </c>
      <c r="B747" s="108" t="s">
        <v>756</v>
      </c>
      <c r="C747" s="108">
        <v>739.2</v>
      </c>
    </row>
    <row r="748" spans="1:3" x14ac:dyDescent="0.25">
      <c r="A748" s="108">
        <v>10838</v>
      </c>
      <c r="B748" s="108" t="s">
        <v>757</v>
      </c>
      <c r="C748" s="108">
        <v>662</v>
      </c>
    </row>
    <row r="749" spans="1:3" x14ac:dyDescent="0.25">
      <c r="A749" s="108">
        <v>10839</v>
      </c>
      <c r="B749" s="108" t="s">
        <v>758</v>
      </c>
      <c r="C749" s="108">
        <v>645</v>
      </c>
    </row>
    <row r="750" spans="1:3" x14ac:dyDescent="0.25">
      <c r="A750" s="108">
        <v>10840</v>
      </c>
      <c r="B750" s="108" t="s">
        <v>759</v>
      </c>
      <c r="C750" s="109">
        <v>1729.13</v>
      </c>
    </row>
    <row r="751" spans="1:3" ht="30" x14ac:dyDescent="0.25">
      <c r="A751" s="108">
        <v>10841</v>
      </c>
      <c r="B751" s="108" t="s">
        <v>760</v>
      </c>
      <c r="C751" s="108">
        <v>269</v>
      </c>
    </row>
    <row r="752" spans="1:3" x14ac:dyDescent="0.25">
      <c r="A752" s="108">
        <v>10843</v>
      </c>
      <c r="B752" s="108" t="s">
        <v>761</v>
      </c>
      <c r="C752" s="108">
        <v>199</v>
      </c>
    </row>
    <row r="753" spans="1:3" ht="30" x14ac:dyDescent="0.25">
      <c r="A753" s="108">
        <v>10844</v>
      </c>
      <c r="B753" s="108" t="s">
        <v>762</v>
      </c>
      <c r="C753" s="108">
        <v>1</v>
      </c>
    </row>
    <row r="754" spans="1:3" x14ac:dyDescent="0.25">
      <c r="A754" s="108">
        <v>10845</v>
      </c>
      <c r="B754" s="108" t="s">
        <v>763</v>
      </c>
      <c r="C754" s="108">
        <v>18</v>
      </c>
    </row>
    <row r="755" spans="1:3" x14ac:dyDescent="0.25">
      <c r="A755" s="108">
        <v>10846</v>
      </c>
      <c r="B755" s="108" t="s">
        <v>764</v>
      </c>
      <c r="C755" s="108">
        <v>340</v>
      </c>
    </row>
    <row r="756" spans="1:3" x14ac:dyDescent="0.25">
      <c r="A756" s="108">
        <v>10848</v>
      </c>
      <c r="B756" s="108" t="s">
        <v>765</v>
      </c>
      <c r="C756" s="110">
        <v>2565</v>
      </c>
    </row>
    <row r="757" spans="1:3" x14ac:dyDescent="0.25">
      <c r="A757" s="108">
        <v>10852</v>
      </c>
      <c r="B757" s="108" t="s">
        <v>766</v>
      </c>
      <c r="C757" s="108">
        <v>20</v>
      </c>
    </row>
    <row r="758" spans="1:3" x14ac:dyDescent="0.25">
      <c r="A758" s="108">
        <v>10853</v>
      </c>
      <c r="B758" s="108" t="s">
        <v>767</v>
      </c>
      <c r="C758" s="108">
        <v>18</v>
      </c>
    </row>
    <row r="759" spans="1:3" x14ac:dyDescent="0.25">
      <c r="A759" s="108">
        <v>10862</v>
      </c>
      <c r="B759" s="108" t="s">
        <v>768</v>
      </c>
      <c r="C759" s="108">
        <v>14</v>
      </c>
    </row>
    <row r="760" spans="1:3" x14ac:dyDescent="0.25">
      <c r="A760" s="108">
        <v>10863</v>
      </c>
      <c r="B760" s="108" t="s">
        <v>16608</v>
      </c>
      <c r="C760" s="108">
        <v>30</v>
      </c>
    </row>
    <row r="761" spans="1:3" ht="30" x14ac:dyDescent="0.25">
      <c r="A761" s="108">
        <v>10867</v>
      </c>
      <c r="B761" s="108" t="s">
        <v>769</v>
      </c>
      <c r="C761" s="108">
        <v>14</v>
      </c>
    </row>
    <row r="762" spans="1:3" x14ac:dyDescent="0.25">
      <c r="A762" s="108">
        <v>10869</v>
      </c>
      <c r="B762" s="108" t="s">
        <v>770</v>
      </c>
      <c r="C762" s="109">
        <v>3431.83</v>
      </c>
    </row>
    <row r="763" spans="1:3" ht="30" x14ac:dyDescent="0.25">
      <c r="A763" s="108">
        <v>10870</v>
      </c>
      <c r="B763" s="108" t="s">
        <v>771</v>
      </c>
      <c r="C763" s="109">
        <v>1734.15</v>
      </c>
    </row>
    <row r="764" spans="1:3" x14ac:dyDescent="0.25">
      <c r="A764" s="108">
        <v>10871</v>
      </c>
      <c r="B764" s="108" t="s">
        <v>772</v>
      </c>
      <c r="C764" s="109">
        <v>6715.77</v>
      </c>
    </row>
    <row r="765" spans="1:3" x14ac:dyDescent="0.25">
      <c r="A765" s="108">
        <v>10872</v>
      </c>
      <c r="B765" s="108" t="s">
        <v>773</v>
      </c>
      <c r="C765" s="108">
        <v>18</v>
      </c>
    </row>
    <row r="766" spans="1:3" x14ac:dyDescent="0.25">
      <c r="A766" s="108">
        <v>10876</v>
      </c>
      <c r="B766" s="108" t="s">
        <v>774</v>
      </c>
      <c r="C766" s="108">
        <v>146</v>
      </c>
    </row>
    <row r="767" spans="1:3" ht="30" x14ac:dyDescent="0.25">
      <c r="A767" s="108">
        <v>10877</v>
      </c>
      <c r="B767" s="108" t="s">
        <v>775</v>
      </c>
      <c r="C767" s="108">
        <v>581</v>
      </c>
    </row>
    <row r="768" spans="1:3" x14ac:dyDescent="0.25">
      <c r="A768" s="108">
        <v>10878</v>
      </c>
      <c r="B768" s="108" t="s">
        <v>776</v>
      </c>
      <c r="C768" s="108">
        <v>65</v>
      </c>
    </row>
    <row r="769" spans="1:3" x14ac:dyDescent="0.25">
      <c r="A769" s="108">
        <v>10879</v>
      </c>
      <c r="B769" s="108" t="s">
        <v>777</v>
      </c>
      <c r="C769" s="108">
        <v>7</v>
      </c>
    </row>
    <row r="770" spans="1:3" x14ac:dyDescent="0.25">
      <c r="A770" s="108">
        <v>10880</v>
      </c>
      <c r="B770" s="108" t="s">
        <v>778</v>
      </c>
      <c r="C770" s="108">
        <v>6</v>
      </c>
    </row>
    <row r="771" spans="1:3" x14ac:dyDescent="0.25">
      <c r="A771" s="108">
        <v>10882</v>
      </c>
      <c r="B771" s="108" t="s">
        <v>779</v>
      </c>
      <c r="C771" s="108">
        <v>2</v>
      </c>
    </row>
    <row r="772" spans="1:3" x14ac:dyDescent="0.25">
      <c r="A772" s="108">
        <v>10883</v>
      </c>
      <c r="B772" s="108" t="s">
        <v>780</v>
      </c>
      <c r="C772" s="108">
        <v>37</v>
      </c>
    </row>
    <row r="773" spans="1:3" x14ac:dyDescent="0.25">
      <c r="A773" s="108">
        <v>10884</v>
      </c>
      <c r="B773" s="108" t="s">
        <v>781</v>
      </c>
      <c r="C773" s="108">
        <v>30</v>
      </c>
    </row>
    <row r="774" spans="1:3" x14ac:dyDescent="0.25">
      <c r="A774" s="108">
        <v>10885</v>
      </c>
      <c r="B774" s="108" t="s">
        <v>782</v>
      </c>
      <c r="C774" s="108">
        <v>374</v>
      </c>
    </row>
    <row r="775" spans="1:3" ht="30" x14ac:dyDescent="0.25">
      <c r="A775" s="108">
        <v>10886</v>
      </c>
      <c r="B775" s="108" t="s">
        <v>783</v>
      </c>
      <c r="C775" s="108">
        <v>94.3</v>
      </c>
    </row>
    <row r="776" spans="1:3" x14ac:dyDescent="0.25">
      <c r="A776" s="108">
        <v>10887</v>
      </c>
      <c r="B776" s="108" t="s">
        <v>784</v>
      </c>
      <c r="C776" s="108">
        <v>202</v>
      </c>
    </row>
    <row r="777" spans="1:3" ht="30" x14ac:dyDescent="0.25">
      <c r="A777" s="108">
        <v>10888</v>
      </c>
      <c r="B777" s="108" t="s">
        <v>785</v>
      </c>
      <c r="C777" s="108">
        <v>20</v>
      </c>
    </row>
    <row r="778" spans="1:3" ht="30" x14ac:dyDescent="0.25">
      <c r="A778" s="108">
        <v>10889</v>
      </c>
      <c r="B778" s="108" t="s">
        <v>786</v>
      </c>
      <c r="C778" s="108">
        <v>180</v>
      </c>
    </row>
    <row r="779" spans="1:3" x14ac:dyDescent="0.25">
      <c r="A779" s="108">
        <v>10890</v>
      </c>
      <c r="B779" s="108" t="s">
        <v>787</v>
      </c>
      <c r="C779" s="108">
        <v>26</v>
      </c>
    </row>
    <row r="780" spans="1:3" x14ac:dyDescent="0.25">
      <c r="A780" s="108">
        <v>10891</v>
      </c>
      <c r="B780" s="108" t="s">
        <v>788</v>
      </c>
      <c r="C780" s="108">
        <v>134</v>
      </c>
    </row>
    <row r="781" spans="1:3" x14ac:dyDescent="0.25">
      <c r="A781" s="108">
        <v>10892</v>
      </c>
      <c r="B781" s="108" t="s">
        <v>789</v>
      </c>
      <c r="C781" s="108">
        <v>55</v>
      </c>
    </row>
    <row r="782" spans="1:3" x14ac:dyDescent="0.25">
      <c r="A782" s="108">
        <v>10894</v>
      </c>
      <c r="B782" s="108" t="s">
        <v>790</v>
      </c>
      <c r="C782" s="108">
        <v>50</v>
      </c>
    </row>
    <row r="783" spans="1:3" x14ac:dyDescent="0.25">
      <c r="A783" s="108">
        <v>10895</v>
      </c>
      <c r="B783" s="108" t="s">
        <v>791</v>
      </c>
      <c r="C783" s="108">
        <v>32</v>
      </c>
    </row>
    <row r="784" spans="1:3" x14ac:dyDescent="0.25">
      <c r="A784" s="108">
        <v>10896</v>
      </c>
      <c r="B784" s="108" t="s">
        <v>792</v>
      </c>
      <c r="C784" s="108">
        <v>60</v>
      </c>
    </row>
    <row r="785" spans="1:3" x14ac:dyDescent="0.25">
      <c r="A785" s="108">
        <v>10897</v>
      </c>
      <c r="B785" s="108" t="s">
        <v>793</v>
      </c>
      <c r="C785" s="108">
        <v>11</v>
      </c>
    </row>
    <row r="786" spans="1:3" x14ac:dyDescent="0.25">
      <c r="A786" s="108">
        <v>10898</v>
      </c>
      <c r="B786" s="108" t="s">
        <v>794</v>
      </c>
      <c r="C786" s="108">
        <v>6</v>
      </c>
    </row>
    <row r="787" spans="1:3" x14ac:dyDescent="0.25">
      <c r="A787" s="108">
        <v>10899</v>
      </c>
      <c r="B787" s="108" t="s">
        <v>795</v>
      </c>
      <c r="C787" s="108">
        <v>36</v>
      </c>
    </row>
    <row r="788" spans="1:3" x14ac:dyDescent="0.25">
      <c r="A788" s="108">
        <v>10900</v>
      </c>
      <c r="B788" s="108" t="s">
        <v>796</v>
      </c>
      <c r="C788" s="108">
        <v>82</v>
      </c>
    </row>
    <row r="789" spans="1:3" x14ac:dyDescent="0.25">
      <c r="A789" s="108">
        <v>10901</v>
      </c>
      <c r="B789" s="108" t="s">
        <v>797</v>
      </c>
      <c r="C789" s="108">
        <v>28</v>
      </c>
    </row>
    <row r="790" spans="1:3" x14ac:dyDescent="0.25">
      <c r="A790" s="108">
        <v>10902</v>
      </c>
      <c r="B790" s="108" t="s">
        <v>798</v>
      </c>
      <c r="C790" s="108">
        <v>710</v>
      </c>
    </row>
    <row r="791" spans="1:3" x14ac:dyDescent="0.25">
      <c r="A791" s="108">
        <v>10903</v>
      </c>
      <c r="B791" s="108" t="s">
        <v>16609</v>
      </c>
      <c r="C791" s="108">
        <v>54</v>
      </c>
    </row>
    <row r="792" spans="1:3" x14ac:dyDescent="0.25">
      <c r="A792" s="108">
        <v>10904</v>
      </c>
      <c r="B792" s="108" t="s">
        <v>799</v>
      </c>
      <c r="C792" s="108">
        <v>33.799999999999997</v>
      </c>
    </row>
    <row r="793" spans="1:3" x14ac:dyDescent="0.25">
      <c r="A793" s="108">
        <v>10905</v>
      </c>
      <c r="B793" s="108" t="s">
        <v>800</v>
      </c>
      <c r="C793" s="108">
        <v>361.3</v>
      </c>
    </row>
    <row r="794" spans="1:3" x14ac:dyDescent="0.25">
      <c r="A794" s="108">
        <v>10906</v>
      </c>
      <c r="B794" s="108" t="s">
        <v>801</v>
      </c>
      <c r="C794" s="108">
        <v>60</v>
      </c>
    </row>
    <row r="795" spans="1:3" x14ac:dyDescent="0.25">
      <c r="A795" s="108">
        <v>10907</v>
      </c>
      <c r="B795" s="108" t="s">
        <v>802</v>
      </c>
      <c r="C795" s="108">
        <v>90</v>
      </c>
    </row>
    <row r="796" spans="1:3" x14ac:dyDescent="0.25">
      <c r="A796" s="108">
        <v>10908</v>
      </c>
      <c r="B796" s="108" t="s">
        <v>803</v>
      </c>
      <c r="C796" s="108">
        <v>41</v>
      </c>
    </row>
    <row r="797" spans="1:3" ht="30" x14ac:dyDescent="0.25">
      <c r="A797" s="108">
        <v>10909</v>
      </c>
      <c r="B797" s="108" t="s">
        <v>804</v>
      </c>
      <c r="C797" s="108">
        <v>236.5</v>
      </c>
    </row>
    <row r="798" spans="1:3" x14ac:dyDescent="0.25">
      <c r="A798" s="108">
        <v>10910</v>
      </c>
      <c r="B798" s="108" t="s">
        <v>805</v>
      </c>
      <c r="C798" s="108">
        <v>204</v>
      </c>
    </row>
    <row r="799" spans="1:3" x14ac:dyDescent="0.25">
      <c r="A799" s="108">
        <v>10911</v>
      </c>
      <c r="B799" s="108" t="s">
        <v>806</v>
      </c>
      <c r="C799" s="108">
        <v>648</v>
      </c>
    </row>
    <row r="800" spans="1:3" x14ac:dyDescent="0.25">
      <c r="A800" s="108">
        <v>10913</v>
      </c>
      <c r="B800" s="108" t="s">
        <v>807</v>
      </c>
      <c r="C800" s="108">
        <v>288</v>
      </c>
    </row>
    <row r="801" spans="1:3" x14ac:dyDescent="0.25">
      <c r="A801" s="108">
        <v>10914</v>
      </c>
      <c r="B801" s="108" t="s">
        <v>808</v>
      </c>
      <c r="C801" s="108">
        <v>316</v>
      </c>
    </row>
    <row r="802" spans="1:3" x14ac:dyDescent="0.25">
      <c r="A802" s="108">
        <v>10916</v>
      </c>
      <c r="B802" s="108" t="s">
        <v>809</v>
      </c>
      <c r="C802" s="108">
        <v>346</v>
      </c>
    </row>
    <row r="803" spans="1:3" ht="30" x14ac:dyDescent="0.25">
      <c r="A803" s="108">
        <v>10917</v>
      </c>
      <c r="B803" s="108" t="s">
        <v>810</v>
      </c>
      <c r="C803" s="110">
        <v>2005</v>
      </c>
    </row>
    <row r="804" spans="1:3" x14ac:dyDescent="0.25">
      <c r="A804" s="108">
        <v>10918</v>
      </c>
      <c r="B804" s="108" t="s">
        <v>811</v>
      </c>
      <c r="C804" s="108">
        <v>41</v>
      </c>
    </row>
    <row r="805" spans="1:3" x14ac:dyDescent="0.25">
      <c r="A805" s="108">
        <v>10919</v>
      </c>
      <c r="B805" s="108" t="s">
        <v>812</v>
      </c>
      <c r="C805" s="108">
        <v>95</v>
      </c>
    </row>
    <row r="806" spans="1:3" x14ac:dyDescent="0.25">
      <c r="A806" s="108">
        <v>10921</v>
      </c>
      <c r="B806" s="108" t="s">
        <v>813</v>
      </c>
      <c r="C806" s="108">
        <v>56</v>
      </c>
    </row>
    <row r="807" spans="1:3" x14ac:dyDescent="0.25">
      <c r="A807" s="108">
        <v>10922</v>
      </c>
      <c r="B807" s="108" t="s">
        <v>814</v>
      </c>
      <c r="C807" s="108">
        <v>8</v>
      </c>
    </row>
    <row r="808" spans="1:3" x14ac:dyDescent="0.25">
      <c r="A808" s="108">
        <v>10923</v>
      </c>
      <c r="B808" s="108" t="s">
        <v>815</v>
      </c>
      <c r="C808" s="108">
        <v>154</v>
      </c>
    </row>
    <row r="809" spans="1:3" x14ac:dyDescent="0.25">
      <c r="A809" s="108">
        <v>10924</v>
      </c>
      <c r="B809" s="108" t="s">
        <v>816</v>
      </c>
      <c r="C809" s="108">
        <v>73</v>
      </c>
    </row>
    <row r="810" spans="1:3" x14ac:dyDescent="0.25">
      <c r="A810" s="108">
        <v>10925</v>
      </c>
      <c r="B810" s="108" t="s">
        <v>817</v>
      </c>
      <c r="C810" s="108">
        <v>177</v>
      </c>
    </row>
    <row r="811" spans="1:3" x14ac:dyDescent="0.25">
      <c r="A811" s="108">
        <v>10926</v>
      </c>
      <c r="B811" s="108" t="s">
        <v>818</v>
      </c>
      <c r="C811" s="108">
        <v>13</v>
      </c>
    </row>
    <row r="812" spans="1:3" x14ac:dyDescent="0.25">
      <c r="A812" s="108">
        <v>10927</v>
      </c>
      <c r="B812" s="108" t="s">
        <v>819</v>
      </c>
      <c r="C812" s="108">
        <v>228.08</v>
      </c>
    </row>
    <row r="813" spans="1:3" x14ac:dyDescent="0.25">
      <c r="A813" s="108">
        <v>10928</v>
      </c>
      <c r="B813" s="108" t="s">
        <v>820</v>
      </c>
      <c r="C813" s="108">
        <v>5</v>
      </c>
    </row>
    <row r="814" spans="1:3" x14ac:dyDescent="0.25">
      <c r="A814" s="108">
        <v>10929</v>
      </c>
      <c r="B814" s="108" t="s">
        <v>821</v>
      </c>
      <c r="C814" s="108">
        <v>40</v>
      </c>
    </row>
    <row r="815" spans="1:3" x14ac:dyDescent="0.25">
      <c r="A815" s="108">
        <v>10930</v>
      </c>
      <c r="B815" s="108" t="s">
        <v>822</v>
      </c>
      <c r="C815" s="108">
        <v>190</v>
      </c>
    </row>
    <row r="816" spans="1:3" x14ac:dyDescent="0.25">
      <c r="A816" s="108">
        <v>10931</v>
      </c>
      <c r="B816" s="108" t="s">
        <v>823</v>
      </c>
      <c r="C816" s="108">
        <v>413</v>
      </c>
    </row>
    <row r="817" spans="1:3" x14ac:dyDescent="0.25">
      <c r="A817" s="108">
        <v>10932</v>
      </c>
      <c r="B817" s="108" t="s">
        <v>824</v>
      </c>
      <c r="C817" s="108">
        <v>33</v>
      </c>
    </row>
    <row r="818" spans="1:3" x14ac:dyDescent="0.25">
      <c r="A818" s="108">
        <v>10933</v>
      </c>
      <c r="B818" s="108" t="s">
        <v>825</v>
      </c>
      <c r="C818" s="108">
        <v>196</v>
      </c>
    </row>
    <row r="819" spans="1:3" x14ac:dyDescent="0.25">
      <c r="A819" s="108">
        <v>10934</v>
      </c>
      <c r="B819" s="108" t="s">
        <v>826</v>
      </c>
      <c r="C819" s="108">
        <v>82.31</v>
      </c>
    </row>
    <row r="820" spans="1:3" x14ac:dyDescent="0.25">
      <c r="A820" s="108">
        <v>10935</v>
      </c>
      <c r="B820" s="108" t="s">
        <v>827</v>
      </c>
      <c r="C820" s="108">
        <v>109.74</v>
      </c>
    </row>
    <row r="821" spans="1:3" ht="30" x14ac:dyDescent="0.25">
      <c r="A821" s="108">
        <v>10936</v>
      </c>
      <c r="B821" s="108" t="s">
        <v>828</v>
      </c>
      <c r="C821" s="109">
        <v>4218.43</v>
      </c>
    </row>
    <row r="822" spans="1:3" ht="30" x14ac:dyDescent="0.25">
      <c r="A822" s="108">
        <v>10938</v>
      </c>
      <c r="B822" s="108" t="s">
        <v>829</v>
      </c>
      <c r="C822" s="109">
        <v>1413.62</v>
      </c>
    </row>
    <row r="823" spans="1:3" ht="30" x14ac:dyDescent="0.25">
      <c r="A823" s="108">
        <v>10939</v>
      </c>
      <c r="B823" s="108" t="s">
        <v>830</v>
      </c>
      <c r="C823" s="109">
        <v>1677.28</v>
      </c>
    </row>
    <row r="824" spans="1:3" ht="30" x14ac:dyDescent="0.25">
      <c r="A824" s="108">
        <v>10940</v>
      </c>
      <c r="B824" s="108" t="s">
        <v>831</v>
      </c>
      <c r="C824" s="109">
        <v>2081.17</v>
      </c>
    </row>
    <row r="825" spans="1:3" ht="30" x14ac:dyDescent="0.25">
      <c r="A825" s="108">
        <v>10941</v>
      </c>
      <c r="B825" s="108" t="s">
        <v>832</v>
      </c>
      <c r="C825" s="109">
        <v>2299.94</v>
      </c>
    </row>
    <row r="826" spans="1:3" ht="30" x14ac:dyDescent="0.25">
      <c r="A826" s="108">
        <v>10943</v>
      </c>
      <c r="B826" s="108" t="s">
        <v>833</v>
      </c>
      <c r="C826" s="109">
        <v>1694.11</v>
      </c>
    </row>
    <row r="827" spans="1:3" ht="30" x14ac:dyDescent="0.25">
      <c r="A827" s="108">
        <v>10944</v>
      </c>
      <c r="B827" s="108" t="s">
        <v>834</v>
      </c>
      <c r="C827" s="109">
        <v>2103.61</v>
      </c>
    </row>
    <row r="828" spans="1:3" ht="30" x14ac:dyDescent="0.25">
      <c r="A828" s="108">
        <v>10945</v>
      </c>
      <c r="B828" s="108" t="s">
        <v>835</v>
      </c>
      <c r="C828" s="109">
        <v>2339.21</v>
      </c>
    </row>
    <row r="829" spans="1:3" ht="30" x14ac:dyDescent="0.25">
      <c r="A829" s="108">
        <v>10946</v>
      </c>
      <c r="B829" s="108" t="s">
        <v>836</v>
      </c>
      <c r="C829" s="109">
        <v>2832.86</v>
      </c>
    </row>
    <row r="830" spans="1:3" x14ac:dyDescent="0.25">
      <c r="A830" s="108">
        <v>10947</v>
      </c>
      <c r="B830" s="108" t="s">
        <v>837</v>
      </c>
      <c r="C830" s="109">
        <v>14349.41</v>
      </c>
    </row>
    <row r="831" spans="1:3" x14ac:dyDescent="0.25">
      <c r="A831" s="108">
        <v>10948</v>
      </c>
      <c r="B831" s="108" t="s">
        <v>838</v>
      </c>
      <c r="C831" s="109">
        <v>17602.990000000002</v>
      </c>
    </row>
    <row r="832" spans="1:3" x14ac:dyDescent="0.25">
      <c r="A832" s="108">
        <v>10949</v>
      </c>
      <c r="B832" s="108" t="s">
        <v>839</v>
      </c>
      <c r="C832" s="109">
        <v>2703.84</v>
      </c>
    </row>
    <row r="833" spans="1:3" x14ac:dyDescent="0.25">
      <c r="A833" s="108">
        <v>10950</v>
      </c>
      <c r="B833" s="108" t="s">
        <v>840</v>
      </c>
      <c r="C833" s="109">
        <v>1901.66</v>
      </c>
    </row>
    <row r="834" spans="1:3" x14ac:dyDescent="0.25">
      <c r="A834" s="108">
        <v>10951</v>
      </c>
      <c r="B834" s="108" t="s">
        <v>841</v>
      </c>
      <c r="C834" s="109">
        <v>2563.6</v>
      </c>
    </row>
    <row r="835" spans="1:3" x14ac:dyDescent="0.25">
      <c r="A835" s="108">
        <v>10954</v>
      </c>
      <c r="B835" s="108" t="s">
        <v>842</v>
      </c>
      <c r="C835" s="108">
        <v>81</v>
      </c>
    </row>
    <row r="836" spans="1:3" x14ac:dyDescent="0.25">
      <c r="A836" s="108">
        <v>10955</v>
      </c>
      <c r="B836" s="108" t="s">
        <v>843</v>
      </c>
      <c r="C836" s="108">
        <v>114</v>
      </c>
    </row>
    <row r="837" spans="1:3" x14ac:dyDescent="0.25">
      <c r="A837" s="108">
        <v>10956</v>
      </c>
      <c r="B837" s="108" t="s">
        <v>844</v>
      </c>
      <c r="C837" s="108">
        <v>158</v>
      </c>
    </row>
    <row r="838" spans="1:3" x14ac:dyDescent="0.25">
      <c r="A838" s="108">
        <v>10957</v>
      </c>
      <c r="B838" s="108" t="s">
        <v>845</v>
      </c>
      <c r="C838" s="108">
        <v>322</v>
      </c>
    </row>
    <row r="839" spans="1:3" x14ac:dyDescent="0.25">
      <c r="A839" s="108">
        <v>10958</v>
      </c>
      <c r="B839" s="108" t="s">
        <v>846</v>
      </c>
      <c r="C839" s="108">
        <v>375</v>
      </c>
    </row>
    <row r="840" spans="1:3" x14ac:dyDescent="0.25">
      <c r="A840" s="108">
        <v>10959</v>
      </c>
      <c r="B840" s="108" t="s">
        <v>847</v>
      </c>
      <c r="C840" s="108">
        <v>919</v>
      </c>
    </row>
    <row r="841" spans="1:3" ht="30" x14ac:dyDescent="0.25">
      <c r="A841" s="108">
        <v>10960</v>
      </c>
      <c r="B841" s="108" t="s">
        <v>848</v>
      </c>
      <c r="C841" s="108">
        <v>83</v>
      </c>
    </row>
    <row r="842" spans="1:3" x14ac:dyDescent="0.25">
      <c r="A842" s="108">
        <v>10961</v>
      </c>
      <c r="B842" s="108" t="s">
        <v>849</v>
      </c>
      <c r="C842" s="108">
        <v>130</v>
      </c>
    </row>
    <row r="843" spans="1:3" x14ac:dyDescent="0.25">
      <c r="A843" s="108">
        <v>10962</v>
      </c>
      <c r="B843" s="108" t="s">
        <v>850</v>
      </c>
      <c r="C843" s="108">
        <v>49</v>
      </c>
    </row>
    <row r="844" spans="1:3" x14ac:dyDescent="0.25">
      <c r="A844" s="108">
        <v>10963</v>
      </c>
      <c r="B844" s="108" t="s">
        <v>851</v>
      </c>
      <c r="C844" s="108">
        <v>20</v>
      </c>
    </row>
    <row r="845" spans="1:3" x14ac:dyDescent="0.25">
      <c r="A845" s="108">
        <v>10964</v>
      </c>
      <c r="B845" s="108" t="s">
        <v>852</v>
      </c>
      <c r="C845" s="108">
        <v>6</v>
      </c>
    </row>
    <row r="846" spans="1:3" x14ac:dyDescent="0.25">
      <c r="A846" s="108">
        <v>10966</v>
      </c>
      <c r="B846" s="108" t="s">
        <v>853</v>
      </c>
      <c r="C846" s="108">
        <v>616</v>
      </c>
    </row>
    <row r="847" spans="1:3" x14ac:dyDescent="0.25">
      <c r="A847" s="108">
        <v>10967</v>
      </c>
      <c r="B847" s="108" t="s">
        <v>854</v>
      </c>
      <c r="C847" s="108">
        <v>20</v>
      </c>
    </row>
    <row r="848" spans="1:3" ht="30" x14ac:dyDescent="0.25">
      <c r="A848" s="108">
        <v>10968</v>
      </c>
      <c r="B848" s="108" t="s">
        <v>855</v>
      </c>
      <c r="C848" s="108">
        <v>254</v>
      </c>
    </row>
    <row r="849" spans="1:3" x14ac:dyDescent="0.25">
      <c r="A849" s="108">
        <v>10969</v>
      </c>
      <c r="B849" s="108" t="s">
        <v>856</v>
      </c>
      <c r="C849" s="108">
        <v>168</v>
      </c>
    </row>
    <row r="850" spans="1:3" x14ac:dyDescent="0.25">
      <c r="A850" s="108">
        <v>10970</v>
      </c>
      <c r="B850" s="108" t="s">
        <v>857</v>
      </c>
      <c r="C850" s="108">
        <v>27</v>
      </c>
    </row>
    <row r="851" spans="1:3" x14ac:dyDescent="0.25">
      <c r="A851" s="108">
        <v>10971</v>
      </c>
      <c r="B851" s="108" t="s">
        <v>858</v>
      </c>
      <c r="C851" s="108">
        <v>173</v>
      </c>
    </row>
    <row r="852" spans="1:3" x14ac:dyDescent="0.25">
      <c r="A852" s="108">
        <v>10973</v>
      </c>
      <c r="B852" s="108" t="s">
        <v>859</v>
      </c>
      <c r="C852" s="108">
        <v>563</v>
      </c>
    </row>
    <row r="853" spans="1:3" ht="30" x14ac:dyDescent="0.25">
      <c r="A853" s="108">
        <v>10974</v>
      </c>
      <c r="B853" s="108" t="s">
        <v>860</v>
      </c>
      <c r="C853" s="108">
        <v>9</v>
      </c>
    </row>
    <row r="854" spans="1:3" x14ac:dyDescent="0.25">
      <c r="A854" s="108">
        <v>10975</v>
      </c>
      <c r="B854" s="108" t="s">
        <v>861</v>
      </c>
      <c r="C854" s="108">
        <v>24</v>
      </c>
    </row>
    <row r="855" spans="1:3" x14ac:dyDescent="0.25">
      <c r="A855" s="108">
        <v>10976</v>
      </c>
      <c r="B855" s="108" t="s">
        <v>862</v>
      </c>
      <c r="C855" s="108">
        <v>193</v>
      </c>
    </row>
    <row r="856" spans="1:3" x14ac:dyDescent="0.25">
      <c r="A856" s="108">
        <v>10977</v>
      </c>
      <c r="B856" s="108" t="s">
        <v>863</v>
      </c>
      <c r="C856" s="108">
        <v>126</v>
      </c>
    </row>
    <row r="857" spans="1:3" ht="30" x14ac:dyDescent="0.25">
      <c r="A857" s="108">
        <v>10987</v>
      </c>
      <c r="B857" s="108" t="s">
        <v>864</v>
      </c>
      <c r="C857" s="108">
        <v>564.80999999999995</v>
      </c>
    </row>
    <row r="858" spans="1:3" ht="30" x14ac:dyDescent="0.25">
      <c r="A858" s="108">
        <v>10988</v>
      </c>
      <c r="B858" s="108" t="s">
        <v>865</v>
      </c>
      <c r="C858" s="109">
        <v>1461.86</v>
      </c>
    </row>
    <row r="859" spans="1:3" x14ac:dyDescent="0.25">
      <c r="A859" s="108">
        <v>10989</v>
      </c>
      <c r="B859" s="108" t="s">
        <v>866</v>
      </c>
      <c r="C859" s="108">
        <v>0.5</v>
      </c>
    </row>
    <row r="860" spans="1:3" x14ac:dyDescent="0.25">
      <c r="A860" s="108">
        <v>10990</v>
      </c>
      <c r="B860" s="108" t="s">
        <v>867</v>
      </c>
      <c r="C860" s="108">
        <v>0.5</v>
      </c>
    </row>
    <row r="861" spans="1:3" ht="30" x14ac:dyDescent="0.25">
      <c r="A861" s="108">
        <v>10991</v>
      </c>
      <c r="B861" s="108" t="s">
        <v>868</v>
      </c>
      <c r="C861" s="108">
        <v>0.5</v>
      </c>
    </row>
    <row r="862" spans="1:3" x14ac:dyDescent="0.25">
      <c r="A862" s="108">
        <v>10992</v>
      </c>
      <c r="B862" s="108" t="s">
        <v>869</v>
      </c>
      <c r="C862" s="108">
        <v>0.5</v>
      </c>
    </row>
    <row r="863" spans="1:3" x14ac:dyDescent="0.25">
      <c r="A863" s="108">
        <v>10993</v>
      </c>
      <c r="B863" s="108" t="s">
        <v>870</v>
      </c>
      <c r="C863" s="108">
        <v>0.5</v>
      </c>
    </row>
    <row r="864" spans="1:3" x14ac:dyDescent="0.25">
      <c r="A864" s="108">
        <v>10994</v>
      </c>
      <c r="B864" s="108" t="s">
        <v>871</v>
      </c>
      <c r="C864" s="108">
        <v>0.5</v>
      </c>
    </row>
    <row r="865" spans="1:3" ht="30" x14ac:dyDescent="0.25">
      <c r="A865" s="108">
        <v>10995</v>
      </c>
      <c r="B865" s="108" t="s">
        <v>872</v>
      </c>
      <c r="C865" s="108">
        <v>0.5</v>
      </c>
    </row>
    <row r="866" spans="1:3" ht="30" x14ac:dyDescent="0.25">
      <c r="A866" s="108">
        <v>10996</v>
      </c>
      <c r="B866" s="108" t="s">
        <v>873</v>
      </c>
      <c r="C866" s="108">
        <v>19.25</v>
      </c>
    </row>
    <row r="867" spans="1:3" ht="30" x14ac:dyDescent="0.25">
      <c r="A867" s="108">
        <v>10997</v>
      </c>
      <c r="B867" s="108" t="s">
        <v>874</v>
      </c>
      <c r="C867" s="108">
        <v>20.76</v>
      </c>
    </row>
    <row r="868" spans="1:3" x14ac:dyDescent="0.25">
      <c r="A868" s="108">
        <v>10998</v>
      </c>
      <c r="B868" s="108" t="s">
        <v>875</v>
      </c>
      <c r="C868" s="108">
        <v>32.450000000000003</v>
      </c>
    </row>
    <row r="869" spans="1:3" x14ac:dyDescent="0.25">
      <c r="A869" s="108">
        <v>11000</v>
      </c>
      <c r="B869" s="108" t="s">
        <v>876</v>
      </c>
      <c r="C869" s="108">
        <v>30</v>
      </c>
    </row>
    <row r="870" spans="1:3" x14ac:dyDescent="0.25">
      <c r="A870" s="108">
        <v>20000</v>
      </c>
      <c r="B870" s="108" t="s">
        <v>3107</v>
      </c>
      <c r="C870" s="108">
        <v>32</v>
      </c>
    </row>
    <row r="871" spans="1:3" x14ac:dyDescent="0.25">
      <c r="A871" s="108">
        <v>20001</v>
      </c>
      <c r="B871" s="108" t="s">
        <v>877</v>
      </c>
      <c r="C871" s="108">
        <v>30</v>
      </c>
    </row>
    <row r="872" spans="1:3" x14ac:dyDescent="0.25">
      <c r="A872" s="108">
        <v>20002</v>
      </c>
      <c r="B872" s="108" t="s">
        <v>878</v>
      </c>
      <c r="C872" s="108">
        <v>351.81</v>
      </c>
    </row>
    <row r="873" spans="1:3" x14ac:dyDescent="0.25">
      <c r="A873" s="108">
        <v>20004</v>
      </c>
      <c r="B873" s="108" t="s">
        <v>879</v>
      </c>
      <c r="C873" s="108">
        <v>70.92</v>
      </c>
    </row>
    <row r="874" spans="1:3" x14ac:dyDescent="0.25">
      <c r="A874" s="108">
        <v>20005</v>
      </c>
      <c r="B874" s="108" t="s">
        <v>880</v>
      </c>
      <c r="C874" s="108">
        <v>69.53</v>
      </c>
    </row>
    <row r="875" spans="1:3" x14ac:dyDescent="0.25">
      <c r="A875" s="108">
        <v>20006</v>
      </c>
      <c r="B875" s="108" t="s">
        <v>881</v>
      </c>
      <c r="C875" s="108">
        <v>2.44</v>
      </c>
    </row>
    <row r="876" spans="1:3" x14ac:dyDescent="0.25">
      <c r="A876" s="108">
        <v>20007</v>
      </c>
      <c r="B876" s="108" t="s">
        <v>882</v>
      </c>
      <c r="C876" s="108">
        <v>2.64</v>
      </c>
    </row>
    <row r="877" spans="1:3" ht="30" x14ac:dyDescent="0.25">
      <c r="A877" s="108">
        <v>20008</v>
      </c>
      <c r="B877" s="108" t="s">
        <v>883</v>
      </c>
      <c r="C877" s="108">
        <v>121</v>
      </c>
    </row>
    <row r="878" spans="1:3" x14ac:dyDescent="0.25">
      <c r="A878" s="108">
        <v>20009</v>
      </c>
      <c r="B878" s="108" t="s">
        <v>884</v>
      </c>
      <c r="C878" s="108">
        <v>355</v>
      </c>
    </row>
    <row r="879" spans="1:3" x14ac:dyDescent="0.25">
      <c r="A879" s="108">
        <v>20013</v>
      </c>
      <c r="B879" s="108" t="s">
        <v>885</v>
      </c>
      <c r="C879" s="108">
        <v>34</v>
      </c>
    </row>
    <row r="880" spans="1:3" x14ac:dyDescent="0.25">
      <c r="A880" s="108">
        <v>20015</v>
      </c>
      <c r="B880" s="108" t="s">
        <v>886</v>
      </c>
      <c r="C880" s="108">
        <v>210</v>
      </c>
    </row>
    <row r="881" spans="1:3" x14ac:dyDescent="0.25">
      <c r="A881" s="108">
        <v>20016</v>
      </c>
      <c r="B881" s="108" t="s">
        <v>887</v>
      </c>
      <c r="C881" s="108">
        <v>83</v>
      </c>
    </row>
    <row r="882" spans="1:3" x14ac:dyDescent="0.25">
      <c r="A882" s="108">
        <v>20017</v>
      </c>
      <c r="B882" s="108" t="s">
        <v>888</v>
      </c>
      <c r="C882" s="108">
        <v>24</v>
      </c>
    </row>
    <row r="883" spans="1:3" x14ac:dyDescent="0.25">
      <c r="A883" s="108">
        <v>20018</v>
      </c>
      <c r="B883" s="108" t="s">
        <v>889</v>
      </c>
      <c r="C883" s="108">
        <v>4</v>
      </c>
    </row>
    <row r="884" spans="1:3" x14ac:dyDescent="0.25">
      <c r="A884" s="108">
        <v>20019</v>
      </c>
      <c r="B884" s="108" t="s">
        <v>890</v>
      </c>
      <c r="C884" s="108">
        <v>565</v>
      </c>
    </row>
    <row r="885" spans="1:3" x14ac:dyDescent="0.25">
      <c r="A885" s="108">
        <v>20020</v>
      </c>
      <c r="B885" s="108" t="s">
        <v>891</v>
      </c>
      <c r="C885" s="108">
        <v>306</v>
      </c>
    </row>
    <row r="886" spans="1:3" x14ac:dyDescent="0.25">
      <c r="A886" s="108">
        <v>20021</v>
      </c>
      <c r="B886" s="108" t="s">
        <v>892</v>
      </c>
      <c r="C886" s="108">
        <v>13</v>
      </c>
    </row>
    <row r="887" spans="1:3" x14ac:dyDescent="0.25">
      <c r="A887" s="108">
        <v>20022</v>
      </c>
      <c r="B887" s="108" t="s">
        <v>893</v>
      </c>
      <c r="C887" s="108">
        <v>23</v>
      </c>
    </row>
    <row r="888" spans="1:3" x14ac:dyDescent="0.25">
      <c r="A888" s="108">
        <v>20023</v>
      </c>
      <c r="B888" s="108" t="s">
        <v>894</v>
      </c>
      <c r="C888" s="108">
        <v>10</v>
      </c>
    </row>
    <row r="889" spans="1:3" x14ac:dyDescent="0.25">
      <c r="A889" s="108">
        <v>20024</v>
      </c>
      <c r="B889" s="108" t="s">
        <v>895</v>
      </c>
      <c r="C889" s="108">
        <v>13</v>
      </c>
    </row>
    <row r="890" spans="1:3" x14ac:dyDescent="0.25">
      <c r="A890" s="108">
        <v>20025</v>
      </c>
      <c r="B890" s="108" t="s">
        <v>896</v>
      </c>
      <c r="C890" s="110">
        <v>2943</v>
      </c>
    </row>
    <row r="891" spans="1:3" x14ac:dyDescent="0.25">
      <c r="A891" s="108">
        <v>20027</v>
      </c>
      <c r="B891" s="108" t="s">
        <v>897</v>
      </c>
      <c r="C891" s="108">
        <v>79</v>
      </c>
    </row>
    <row r="892" spans="1:3" x14ac:dyDescent="0.25">
      <c r="A892" s="108">
        <v>20029</v>
      </c>
      <c r="B892" s="108" t="s">
        <v>898</v>
      </c>
      <c r="C892" s="108">
        <v>171</v>
      </c>
    </row>
    <row r="893" spans="1:3" x14ac:dyDescent="0.25">
      <c r="A893" s="108">
        <v>20030</v>
      </c>
      <c r="B893" s="108" t="s">
        <v>899</v>
      </c>
      <c r="C893" s="108">
        <v>164</v>
      </c>
    </row>
    <row r="894" spans="1:3" x14ac:dyDescent="0.25">
      <c r="A894" s="108">
        <v>20031</v>
      </c>
      <c r="B894" s="108" t="s">
        <v>900</v>
      </c>
      <c r="C894" s="108">
        <v>89</v>
      </c>
    </row>
    <row r="895" spans="1:3" x14ac:dyDescent="0.25">
      <c r="A895" s="108">
        <v>20032</v>
      </c>
      <c r="B895" s="108" t="s">
        <v>901</v>
      </c>
      <c r="C895" s="108">
        <v>83</v>
      </c>
    </row>
    <row r="896" spans="1:3" x14ac:dyDescent="0.25">
      <c r="A896" s="108">
        <v>20033</v>
      </c>
      <c r="B896" s="108" t="s">
        <v>902</v>
      </c>
      <c r="C896" s="108">
        <v>47</v>
      </c>
    </row>
    <row r="897" spans="1:3" x14ac:dyDescent="0.25">
      <c r="A897" s="108">
        <v>20034</v>
      </c>
      <c r="B897" s="108" t="s">
        <v>903</v>
      </c>
      <c r="C897" s="108">
        <v>45</v>
      </c>
    </row>
    <row r="898" spans="1:3" x14ac:dyDescent="0.25">
      <c r="A898" s="108">
        <v>20036</v>
      </c>
      <c r="B898" s="108" t="s">
        <v>904</v>
      </c>
      <c r="C898" s="108">
        <v>4</v>
      </c>
    </row>
    <row r="899" spans="1:3" x14ac:dyDescent="0.25">
      <c r="A899" s="108">
        <v>20037</v>
      </c>
      <c r="B899" s="108" t="s">
        <v>905</v>
      </c>
      <c r="C899" s="108">
        <v>269</v>
      </c>
    </row>
    <row r="900" spans="1:3" ht="30" x14ac:dyDescent="0.25">
      <c r="A900" s="108">
        <v>20038</v>
      </c>
      <c r="B900" s="108" t="s">
        <v>906</v>
      </c>
      <c r="C900" s="108">
        <v>143</v>
      </c>
    </row>
    <row r="901" spans="1:3" x14ac:dyDescent="0.25">
      <c r="A901" s="108">
        <v>20041</v>
      </c>
      <c r="B901" s="108" t="s">
        <v>907</v>
      </c>
      <c r="C901" s="108">
        <v>222</v>
      </c>
    </row>
    <row r="902" spans="1:3" x14ac:dyDescent="0.25">
      <c r="A902" s="108">
        <v>20042</v>
      </c>
      <c r="B902" s="108" t="s">
        <v>908</v>
      </c>
      <c r="C902" s="108">
        <v>191</v>
      </c>
    </row>
    <row r="903" spans="1:3" x14ac:dyDescent="0.25">
      <c r="A903" s="108">
        <v>20044</v>
      </c>
      <c r="B903" s="108" t="s">
        <v>909</v>
      </c>
      <c r="C903" s="108">
        <v>22</v>
      </c>
    </row>
    <row r="904" spans="1:3" x14ac:dyDescent="0.25">
      <c r="A904" s="108">
        <v>20045</v>
      </c>
      <c r="B904" s="108" t="s">
        <v>910</v>
      </c>
      <c r="C904" s="108">
        <v>338</v>
      </c>
    </row>
    <row r="905" spans="1:3" x14ac:dyDescent="0.25">
      <c r="A905" s="108">
        <v>20046</v>
      </c>
      <c r="B905" s="108" t="s">
        <v>911</v>
      </c>
      <c r="C905" s="108">
        <v>503</v>
      </c>
    </row>
    <row r="906" spans="1:3" x14ac:dyDescent="0.25">
      <c r="A906" s="108">
        <v>2024</v>
      </c>
      <c r="B906" s="108" t="s">
        <v>912</v>
      </c>
      <c r="C906" s="108">
        <v>1.79</v>
      </c>
    </row>
    <row r="907" spans="1:3" x14ac:dyDescent="0.25">
      <c r="A907" s="108">
        <v>2479</v>
      </c>
      <c r="B907" s="108" t="s">
        <v>913</v>
      </c>
      <c r="C907" s="110">
        <v>1865</v>
      </c>
    </row>
    <row r="908" spans="1:3" x14ac:dyDescent="0.25">
      <c r="A908" s="108">
        <v>2490</v>
      </c>
      <c r="B908" s="108" t="s">
        <v>914</v>
      </c>
      <c r="C908" s="108">
        <v>823</v>
      </c>
    </row>
    <row r="909" spans="1:3" x14ac:dyDescent="0.25">
      <c r="A909" s="108">
        <v>2491</v>
      </c>
      <c r="B909" s="108" t="s">
        <v>915</v>
      </c>
      <c r="C909" s="110">
        <v>1385</v>
      </c>
    </row>
    <row r="910" spans="1:3" x14ac:dyDescent="0.25">
      <c r="A910" s="108">
        <v>3694</v>
      </c>
      <c r="B910" s="108" t="s">
        <v>916</v>
      </c>
      <c r="C910" s="108">
        <v>26.96</v>
      </c>
    </row>
    <row r="911" spans="1:3" x14ac:dyDescent="0.25">
      <c r="A911" s="108">
        <v>4805</v>
      </c>
      <c r="B911" s="108" t="s">
        <v>917</v>
      </c>
      <c r="C911" s="108">
        <v>292</v>
      </c>
    </row>
    <row r="912" spans="1:3" x14ac:dyDescent="0.25">
      <c r="A912" s="108">
        <v>4806</v>
      </c>
      <c r="B912" s="108" t="s">
        <v>918</v>
      </c>
      <c r="C912" s="108">
        <v>290.2</v>
      </c>
    </row>
    <row r="913" spans="1:3" x14ac:dyDescent="0.25">
      <c r="A913" s="108">
        <v>4830</v>
      </c>
      <c r="B913" s="108" t="s">
        <v>919</v>
      </c>
      <c r="C913" s="108">
        <v>289.19</v>
      </c>
    </row>
    <row r="914" spans="1:3" x14ac:dyDescent="0.25">
      <c r="A914" s="108">
        <v>4834</v>
      </c>
      <c r="B914" s="108" t="s">
        <v>920</v>
      </c>
      <c r="C914" s="108">
        <v>53.93</v>
      </c>
    </row>
    <row r="915" spans="1:3" x14ac:dyDescent="0.25">
      <c r="A915" s="108">
        <v>4851</v>
      </c>
      <c r="B915" s="108" t="s">
        <v>921</v>
      </c>
      <c r="C915" s="108">
        <v>2.1</v>
      </c>
    </row>
    <row r="916" spans="1:3" x14ac:dyDescent="0.25">
      <c r="A916" s="108">
        <v>4853</v>
      </c>
      <c r="B916" s="108" t="s">
        <v>922</v>
      </c>
      <c r="C916" s="108">
        <v>20.5</v>
      </c>
    </row>
    <row r="917" spans="1:3" x14ac:dyDescent="0.25">
      <c r="A917" s="108">
        <v>4859</v>
      </c>
      <c r="B917" s="108" t="s">
        <v>923</v>
      </c>
      <c r="C917" s="108">
        <v>26</v>
      </c>
    </row>
    <row r="918" spans="1:3" x14ac:dyDescent="0.25">
      <c r="A918" s="108">
        <v>4862</v>
      </c>
      <c r="B918" s="108" t="s">
        <v>924</v>
      </c>
      <c r="C918" s="108">
        <v>5</v>
      </c>
    </row>
    <row r="919" spans="1:3" x14ac:dyDescent="0.25">
      <c r="A919" s="108">
        <v>4864</v>
      </c>
      <c r="B919" s="108" t="s">
        <v>925</v>
      </c>
      <c r="C919" s="108">
        <v>7.03</v>
      </c>
    </row>
    <row r="920" spans="1:3" x14ac:dyDescent="0.25">
      <c r="A920" s="108">
        <v>4868</v>
      </c>
      <c r="B920" s="108" t="s">
        <v>926</v>
      </c>
      <c r="C920" s="108">
        <v>20</v>
      </c>
    </row>
    <row r="921" spans="1:3" x14ac:dyDescent="0.25">
      <c r="A921" s="108">
        <v>4871</v>
      </c>
      <c r="B921" s="108" t="s">
        <v>927</v>
      </c>
      <c r="C921" s="108">
        <v>70</v>
      </c>
    </row>
    <row r="922" spans="1:3" x14ac:dyDescent="0.25">
      <c r="A922" s="108">
        <v>4874</v>
      </c>
      <c r="B922" s="108" t="s">
        <v>928</v>
      </c>
      <c r="C922" s="108">
        <v>6.5</v>
      </c>
    </row>
    <row r="923" spans="1:3" x14ac:dyDescent="0.25">
      <c r="A923" s="108">
        <v>4875</v>
      </c>
      <c r="B923" s="108" t="s">
        <v>929</v>
      </c>
      <c r="C923" s="108">
        <v>6.5</v>
      </c>
    </row>
    <row r="924" spans="1:3" x14ac:dyDescent="0.25">
      <c r="A924" s="108">
        <v>4876</v>
      </c>
      <c r="B924" s="108" t="s">
        <v>930</v>
      </c>
      <c r="C924" s="108">
        <v>15.82</v>
      </c>
    </row>
    <row r="925" spans="1:3" x14ac:dyDescent="0.25">
      <c r="A925" s="108">
        <v>4877</v>
      </c>
      <c r="B925" s="108" t="s">
        <v>931</v>
      </c>
      <c r="C925" s="108">
        <v>9</v>
      </c>
    </row>
    <row r="926" spans="1:3" x14ac:dyDescent="0.25">
      <c r="A926" s="108">
        <v>4880</v>
      </c>
      <c r="B926" s="108" t="s">
        <v>932</v>
      </c>
      <c r="C926" s="108">
        <v>94</v>
      </c>
    </row>
    <row r="927" spans="1:3" x14ac:dyDescent="0.25">
      <c r="A927" s="108">
        <v>4884</v>
      </c>
      <c r="B927" s="108" t="s">
        <v>933</v>
      </c>
      <c r="C927" s="108">
        <v>35</v>
      </c>
    </row>
    <row r="928" spans="1:3" x14ac:dyDescent="0.25">
      <c r="A928" s="108">
        <v>4885</v>
      </c>
      <c r="B928" s="108" t="s">
        <v>934</v>
      </c>
      <c r="C928" s="108">
        <v>7</v>
      </c>
    </row>
    <row r="929" spans="1:3" x14ac:dyDescent="0.25">
      <c r="A929" s="108">
        <v>4888</v>
      </c>
      <c r="B929" s="108" t="s">
        <v>935</v>
      </c>
      <c r="C929" s="108">
        <v>20</v>
      </c>
    </row>
    <row r="930" spans="1:3" x14ac:dyDescent="0.25">
      <c r="A930" s="108">
        <v>4889</v>
      </c>
      <c r="B930" s="108" t="s">
        <v>936</v>
      </c>
      <c r="C930" s="108">
        <v>6.15</v>
      </c>
    </row>
    <row r="931" spans="1:3" x14ac:dyDescent="0.25">
      <c r="A931" s="108">
        <v>4902</v>
      </c>
      <c r="B931" s="108" t="s">
        <v>937</v>
      </c>
      <c r="C931" s="108">
        <v>35</v>
      </c>
    </row>
    <row r="932" spans="1:3" x14ac:dyDescent="0.25">
      <c r="A932" s="108">
        <v>4907</v>
      </c>
      <c r="B932" s="108" t="s">
        <v>938</v>
      </c>
      <c r="C932" s="108">
        <v>27</v>
      </c>
    </row>
    <row r="933" spans="1:3" x14ac:dyDescent="0.25">
      <c r="A933" s="108">
        <v>4910</v>
      </c>
      <c r="B933" s="108" t="s">
        <v>939</v>
      </c>
      <c r="C933" s="108">
        <v>5.69</v>
      </c>
    </row>
    <row r="934" spans="1:3" x14ac:dyDescent="0.25">
      <c r="A934" s="108">
        <v>4918</v>
      </c>
      <c r="B934" s="108" t="s">
        <v>940</v>
      </c>
      <c r="C934" s="108">
        <v>1.06</v>
      </c>
    </row>
    <row r="935" spans="1:3" x14ac:dyDescent="0.25">
      <c r="A935" s="108">
        <v>4921</v>
      </c>
      <c r="B935" s="108" t="s">
        <v>941</v>
      </c>
      <c r="C935" s="108">
        <v>29.2</v>
      </c>
    </row>
    <row r="936" spans="1:3" x14ac:dyDescent="0.25">
      <c r="A936" s="108">
        <v>4922</v>
      </c>
      <c r="B936" s="108" t="s">
        <v>942</v>
      </c>
      <c r="C936" s="108">
        <v>21.2</v>
      </c>
    </row>
    <row r="937" spans="1:3" x14ac:dyDescent="0.25">
      <c r="A937" s="108">
        <v>4923</v>
      </c>
      <c r="B937" s="108" t="s">
        <v>943</v>
      </c>
      <c r="C937" s="108">
        <v>4.7</v>
      </c>
    </row>
    <row r="938" spans="1:3" x14ac:dyDescent="0.25">
      <c r="A938" s="108">
        <v>4924</v>
      </c>
      <c r="B938" s="108" t="s">
        <v>944</v>
      </c>
      <c r="C938" s="108">
        <v>7</v>
      </c>
    </row>
    <row r="939" spans="1:3" x14ac:dyDescent="0.25">
      <c r="A939" s="108">
        <v>4941</v>
      </c>
      <c r="B939" s="108" t="s">
        <v>945</v>
      </c>
      <c r="C939" s="108">
        <v>4.75</v>
      </c>
    </row>
    <row r="940" spans="1:3" x14ac:dyDescent="0.25">
      <c r="A940" s="108">
        <v>4942</v>
      </c>
      <c r="B940" s="108" t="s">
        <v>946</v>
      </c>
      <c r="C940" s="108">
        <v>4.75</v>
      </c>
    </row>
    <row r="941" spans="1:3" x14ac:dyDescent="0.25">
      <c r="A941" s="108">
        <v>4957</v>
      </c>
      <c r="B941" s="108" t="s">
        <v>947</v>
      </c>
      <c r="C941" s="108">
        <v>7.7</v>
      </c>
    </row>
    <row r="942" spans="1:3" x14ac:dyDescent="0.25">
      <c r="A942" s="108">
        <v>4963</v>
      </c>
      <c r="B942" s="108" t="s">
        <v>948</v>
      </c>
      <c r="C942" s="108">
        <v>12</v>
      </c>
    </row>
    <row r="943" spans="1:3" x14ac:dyDescent="0.25">
      <c r="A943" s="108">
        <v>4968</v>
      </c>
      <c r="B943" s="108" t="s">
        <v>949</v>
      </c>
      <c r="C943" s="108">
        <v>1</v>
      </c>
    </row>
    <row r="944" spans="1:3" x14ac:dyDescent="0.25">
      <c r="A944" s="108">
        <v>4969</v>
      </c>
      <c r="B944" s="108" t="s">
        <v>950</v>
      </c>
      <c r="C944" s="108">
        <v>1.32</v>
      </c>
    </row>
    <row r="945" spans="1:3" x14ac:dyDescent="0.25">
      <c r="A945" s="108">
        <v>5006</v>
      </c>
      <c r="B945" s="108" t="s">
        <v>951</v>
      </c>
      <c r="C945" s="108">
        <v>26.5</v>
      </c>
    </row>
    <row r="946" spans="1:3" x14ac:dyDescent="0.25">
      <c r="A946" s="108">
        <v>5013</v>
      </c>
      <c r="B946" s="108" t="s">
        <v>952</v>
      </c>
      <c r="C946" s="108">
        <v>15.5</v>
      </c>
    </row>
    <row r="947" spans="1:3" x14ac:dyDescent="0.25">
      <c r="A947" s="108">
        <v>5059</v>
      </c>
      <c r="B947" s="108" t="s">
        <v>953</v>
      </c>
      <c r="C947" s="108">
        <v>10.199999999999999</v>
      </c>
    </row>
    <row r="948" spans="1:3" x14ac:dyDescent="0.25">
      <c r="A948" s="108">
        <v>5081</v>
      </c>
      <c r="B948" s="108" t="s">
        <v>954</v>
      </c>
      <c r="C948" s="108">
        <v>1.5</v>
      </c>
    </row>
    <row r="949" spans="1:3" x14ac:dyDescent="0.25">
      <c r="A949" s="108">
        <v>5087</v>
      </c>
      <c r="B949" s="108" t="s">
        <v>955</v>
      </c>
      <c r="C949" s="108">
        <v>1.9</v>
      </c>
    </row>
    <row r="950" spans="1:3" x14ac:dyDescent="0.25">
      <c r="A950" s="108">
        <v>5089</v>
      </c>
      <c r="B950" s="108" t="s">
        <v>956</v>
      </c>
      <c r="C950" s="108">
        <v>6</v>
      </c>
    </row>
    <row r="951" spans="1:3" x14ac:dyDescent="0.25">
      <c r="A951" s="108">
        <v>5099</v>
      </c>
      <c r="B951" s="108" t="s">
        <v>957</v>
      </c>
      <c r="C951" s="108">
        <v>22.26</v>
      </c>
    </row>
    <row r="952" spans="1:3" x14ac:dyDescent="0.25">
      <c r="A952" s="108">
        <v>5105</v>
      </c>
      <c r="B952" s="108" t="s">
        <v>958</v>
      </c>
      <c r="C952" s="108">
        <v>40</v>
      </c>
    </row>
    <row r="953" spans="1:3" x14ac:dyDescent="0.25">
      <c r="A953" s="108">
        <v>5108</v>
      </c>
      <c r="B953" s="108" t="s">
        <v>959</v>
      </c>
      <c r="C953" s="108">
        <v>4.0999999999999996</v>
      </c>
    </row>
    <row r="954" spans="1:3" x14ac:dyDescent="0.25">
      <c r="A954" s="108">
        <v>51247</v>
      </c>
      <c r="B954" s="108" t="s">
        <v>960</v>
      </c>
      <c r="C954" s="108">
        <v>17.77</v>
      </c>
    </row>
    <row r="955" spans="1:3" x14ac:dyDescent="0.25">
      <c r="A955" s="108">
        <v>51252</v>
      </c>
      <c r="B955" s="108" t="s">
        <v>961</v>
      </c>
      <c r="C955" s="108">
        <v>14.54</v>
      </c>
    </row>
    <row r="956" spans="1:3" x14ac:dyDescent="0.25">
      <c r="A956" s="108">
        <v>51253</v>
      </c>
      <c r="B956" s="108" t="s">
        <v>962</v>
      </c>
      <c r="C956" s="108">
        <v>15.6</v>
      </c>
    </row>
    <row r="957" spans="1:3" x14ac:dyDescent="0.25">
      <c r="A957" s="108">
        <v>51254</v>
      </c>
      <c r="B957" s="108" t="s">
        <v>963</v>
      </c>
      <c r="C957" s="108">
        <v>12</v>
      </c>
    </row>
    <row r="958" spans="1:3" x14ac:dyDescent="0.25">
      <c r="A958" s="108">
        <v>51255</v>
      </c>
      <c r="B958" s="108" t="s">
        <v>964</v>
      </c>
      <c r="C958" s="108">
        <v>14.28</v>
      </c>
    </row>
    <row r="959" spans="1:3" x14ac:dyDescent="0.25">
      <c r="A959" s="108">
        <v>51256</v>
      </c>
      <c r="B959" s="108" t="s">
        <v>965</v>
      </c>
      <c r="C959" s="108">
        <v>14.63</v>
      </c>
    </row>
    <row r="960" spans="1:3" x14ac:dyDescent="0.25">
      <c r="A960" s="108">
        <v>51257</v>
      </c>
      <c r="B960" s="108" t="s">
        <v>966</v>
      </c>
      <c r="C960" s="108">
        <v>18.62</v>
      </c>
    </row>
    <row r="961" spans="1:3" x14ac:dyDescent="0.25">
      <c r="A961" s="108">
        <v>51258</v>
      </c>
      <c r="B961" s="108" t="s">
        <v>967</v>
      </c>
      <c r="C961" s="108">
        <v>19.7</v>
      </c>
    </row>
    <row r="962" spans="1:3" x14ac:dyDescent="0.25">
      <c r="A962" s="108">
        <v>51259</v>
      </c>
      <c r="B962" s="108" t="s">
        <v>968</v>
      </c>
      <c r="C962" s="108">
        <v>18.850000000000001</v>
      </c>
    </row>
    <row r="963" spans="1:3" x14ac:dyDescent="0.25">
      <c r="A963" s="108">
        <v>5126</v>
      </c>
      <c r="B963" s="108" t="s">
        <v>969</v>
      </c>
      <c r="C963" s="108">
        <v>3.9</v>
      </c>
    </row>
    <row r="964" spans="1:3" x14ac:dyDescent="0.25">
      <c r="A964" s="108">
        <v>51267</v>
      </c>
      <c r="B964" s="108" t="s">
        <v>970</v>
      </c>
      <c r="C964" s="108">
        <v>16</v>
      </c>
    </row>
    <row r="965" spans="1:3" x14ac:dyDescent="0.25">
      <c r="A965" s="108">
        <v>51270</v>
      </c>
      <c r="B965" s="108" t="s">
        <v>971</v>
      </c>
      <c r="C965" s="108">
        <v>10.5</v>
      </c>
    </row>
    <row r="966" spans="1:3" x14ac:dyDescent="0.25">
      <c r="A966" s="108">
        <v>51271</v>
      </c>
      <c r="B966" s="108" t="s">
        <v>972</v>
      </c>
      <c r="C966" s="108">
        <v>11.5</v>
      </c>
    </row>
    <row r="967" spans="1:3" x14ac:dyDescent="0.25">
      <c r="A967" s="108">
        <v>51272</v>
      </c>
      <c r="B967" s="108" t="s">
        <v>973</v>
      </c>
      <c r="C967" s="108">
        <v>4.24</v>
      </c>
    </row>
    <row r="968" spans="1:3" x14ac:dyDescent="0.25">
      <c r="A968" s="108">
        <v>51273</v>
      </c>
      <c r="B968" s="108" t="s">
        <v>974</v>
      </c>
      <c r="C968" s="108">
        <v>25</v>
      </c>
    </row>
    <row r="969" spans="1:3" x14ac:dyDescent="0.25">
      <c r="A969" s="108">
        <v>51275</v>
      </c>
      <c r="B969" s="108" t="s">
        <v>975</v>
      </c>
      <c r="C969" s="108">
        <v>12.9</v>
      </c>
    </row>
    <row r="970" spans="1:3" x14ac:dyDescent="0.25">
      <c r="A970" s="108">
        <v>51276</v>
      </c>
      <c r="B970" s="108" t="s">
        <v>976</v>
      </c>
      <c r="C970" s="108">
        <v>12.38</v>
      </c>
    </row>
    <row r="971" spans="1:3" x14ac:dyDescent="0.25">
      <c r="A971" s="108">
        <v>51277</v>
      </c>
      <c r="B971" s="108" t="s">
        <v>977</v>
      </c>
      <c r="C971" s="108">
        <v>12.2</v>
      </c>
    </row>
    <row r="972" spans="1:3" x14ac:dyDescent="0.25">
      <c r="A972" s="108">
        <v>5128</v>
      </c>
      <c r="B972" s="108" t="s">
        <v>978</v>
      </c>
      <c r="C972" s="108">
        <v>8.5</v>
      </c>
    </row>
    <row r="973" spans="1:3" x14ac:dyDescent="0.25">
      <c r="A973" s="108">
        <v>51280</v>
      </c>
      <c r="B973" s="108" t="s">
        <v>979</v>
      </c>
      <c r="C973" s="108">
        <v>12.9</v>
      </c>
    </row>
    <row r="974" spans="1:3" x14ac:dyDescent="0.25">
      <c r="A974" s="108">
        <v>51283</v>
      </c>
      <c r="B974" s="108" t="s">
        <v>980</v>
      </c>
      <c r="C974" s="108">
        <v>13.9</v>
      </c>
    </row>
    <row r="975" spans="1:3" x14ac:dyDescent="0.25">
      <c r="A975" s="108">
        <v>51284</v>
      </c>
      <c r="B975" s="108" t="s">
        <v>981</v>
      </c>
      <c r="C975" s="108">
        <v>13.07</v>
      </c>
    </row>
    <row r="976" spans="1:3" x14ac:dyDescent="0.25">
      <c r="A976" s="108">
        <v>51286</v>
      </c>
      <c r="B976" s="108" t="s">
        <v>982</v>
      </c>
      <c r="C976" s="108">
        <v>3.85</v>
      </c>
    </row>
    <row r="977" spans="1:3" x14ac:dyDescent="0.25">
      <c r="A977" s="108">
        <v>51287</v>
      </c>
      <c r="B977" s="108" t="s">
        <v>983</v>
      </c>
      <c r="C977" s="108">
        <v>3.85</v>
      </c>
    </row>
    <row r="978" spans="1:3" x14ac:dyDescent="0.25">
      <c r="A978" s="108">
        <v>51288</v>
      </c>
      <c r="B978" s="108" t="s">
        <v>984</v>
      </c>
      <c r="C978" s="108">
        <v>2.9</v>
      </c>
    </row>
    <row r="979" spans="1:3" x14ac:dyDescent="0.25">
      <c r="A979" s="108">
        <v>51292</v>
      </c>
      <c r="B979" s="108" t="s">
        <v>985</v>
      </c>
      <c r="C979" s="108">
        <v>9.7799999999999994</v>
      </c>
    </row>
    <row r="980" spans="1:3" x14ac:dyDescent="0.25">
      <c r="A980" s="108">
        <v>51295</v>
      </c>
      <c r="B980" s="108" t="s">
        <v>986</v>
      </c>
      <c r="C980" s="108">
        <v>8.5</v>
      </c>
    </row>
    <row r="981" spans="1:3" x14ac:dyDescent="0.25">
      <c r="A981" s="108">
        <v>51298</v>
      </c>
      <c r="B981" s="108" t="s">
        <v>987</v>
      </c>
      <c r="C981" s="108">
        <v>1.48</v>
      </c>
    </row>
    <row r="982" spans="1:3" x14ac:dyDescent="0.25">
      <c r="A982" s="108">
        <v>51299</v>
      </c>
      <c r="B982" s="108" t="s">
        <v>988</v>
      </c>
      <c r="C982" s="108">
        <v>3.48</v>
      </c>
    </row>
    <row r="983" spans="1:3" x14ac:dyDescent="0.25">
      <c r="A983" s="108">
        <v>51300</v>
      </c>
      <c r="B983" s="108" t="s">
        <v>14238</v>
      </c>
      <c r="C983" s="108">
        <v>12.7</v>
      </c>
    </row>
    <row r="984" spans="1:3" x14ac:dyDescent="0.25">
      <c r="A984" s="108">
        <v>51301</v>
      </c>
      <c r="B984" s="108" t="s">
        <v>989</v>
      </c>
      <c r="C984" s="108">
        <v>12.5</v>
      </c>
    </row>
    <row r="985" spans="1:3" x14ac:dyDescent="0.25">
      <c r="A985" s="108">
        <v>51302</v>
      </c>
      <c r="B985" s="108" t="s">
        <v>990</v>
      </c>
      <c r="C985" s="108">
        <v>26.6</v>
      </c>
    </row>
    <row r="986" spans="1:3" x14ac:dyDescent="0.25">
      <c r="A986" s="108">
        <v>51303</v>
      </c>
      <c r="B986" s="108" t="s">
        <v>991</v>
      </c>
      <c r="C986" s="108">
        <v>29.1</v>
      </c>
    </row>
    <row r="987" spans="1:3" x14ac:dyDescent="0.25">
      <c r="A987" s="108">
        <v>51304</v>
      </c>
      <c r="B987" s="108" t="s">
        <v>992</v>
      </c>
      <c r="C987" s="108">
        <v>29.29</v>
      </c>
    </row>
    <row r="988" spans="1:3" x14ac:dyDescent="0.25">
      <c r="A988" s="108">
        <v>51308</v>
      </c>
      <c r="B988" s="108" t="s">
        <v>993</v>
      </c>
      <c r="C988" s="108">
        <v>10.5</v>
      </c>
    </row>
    <row r="989" spans="1:3" x14ac:dyDescent="0.25">
      <c r="A989" s="108">
        <v>51310</v>
      </c>
      <c r="B989" s="108" t="s">
        <v>994</v>
      </c>
      <c r="C989" s="108">
        <v>18.04</v>
      </c>
    </row>
    <row r="990" spans="1:3" x14ac:dyDescent="0.25">
      <c r="A990" s="108">
        <v>51312</v>
      </c>
      <c r="B990" s="108" t="s">
        <v>995</v>
      </c>
      <c r="C990" s="108">
        <v>13.82</v>
      </c>
    </row>
    <row r="991" spans="1:3" x14ac:dyDescent="0.25">
      <c r="A991" s="108">
        <v>51313</v>
      </c>
      <c r="B991" s="108" t="s">
        <v>996</v>
      </c>
      <c r="C991" s="108">
        <v>14.5</v>
      </c>
    </row>
    <row r="992" spans="1:3" x14ac:dyDescent="0.25">
      <c r="A992" s="108">
        <v>51314</v>
      </c>
      <c r="B992" s="108" t="s">
        <v>997</v>
      </c>
      <c r="C992" s="108">
        <v>15</v>
      </c>
    </row>
    <row r="993" spans="1:3" x14ac:dyDescent="0.25">
      <c r="A993" s="108">
        <v>51315</v>
      </c>
      <c r="B993" s="108" t="s">
        <v>998</v>
      </c>
      <c r="C993" s="108">
        <v>13.98</v>
      </c>
    </row>
    <row r="994" spans="1:3" x14ac:dyDescent="0.25">
      <c r="A994" s="108">
        <v>51316</v>
      </c>
      <c r="B994" s="108" t="s">
        <v>999</v>
      </c>
      <c r="C994" s="108">
        <v>12.68</v>
      </c>
    </row>
    <row r="995" spans="1:3" x14ac:dyDescent="0.25">
      <c r="A995" s="108">
        <v>51317</v>
      </c>
      <c r="B995" s="108" t="s">
        <v>1000</v>
      </c>
      <c r="C995" s="108">
        <v>39.6</v>
      </c>
    </row>
    <row r="996" spans="1:3" x14ac:dyDescent="0.25">
      <c r="A996" s="108">
        <v>51318</v>
      </c>
      <c r="B996" s="108" t="s">
        <v>16610</v>
      </c>
      <c r="C996" s="108">
        <v>5.74</v>
      </c>
    </row>
    <row r="997" spans="1:3" x14ac:dyDescent="0.25">
      <c r="A997" s="108">
        <v>51319</v>
      </c>
      <c r="B997" s="108" t="s">
        <v>1001</v>
      </c>
      <c r="C997" s="108">
        <v>4.18</v>
      </c>
    </row>
    <row r="998" spans="1:3" x14ac:dyDescent="0.25">
      <c r="A998" s="108">
        <v>51320</v>
      </c>
      <c r="B998" s="108" t="s">
        <v>1002</v>
      </c>
      <c r="C998" s="108">
        <v>4.5199999999999996</v>
      </c>
    </row>
    <row r="999" spans="1:3" x14ac:dyDescent="0.25">
      <c r="A999" s="108">
        <v>51321</v>
      </c>
      <c r="B999" s="108" t="s">
        <v>1003</v>
      </c>
      <c r="C999" s="108">
        <v>5.97</v>
      </c>
    </row>
    <row r="1000" spans="1:3" x14ac:dyDescent="0.25">
      <c r="A1000" s="108">
        <v>51322</v>
      </c>
      <c r="B1000" s="108" t="s">
        <v>16611</v>
      </c>
      <c r="C1000" s="108">
        <v>7.05</v>
      </c>
    </row>
    <row r="1001" spans="1:3" x14ac:dyDescent="0.25">
      <c r="A1001" s="108">
        <v>51323</v>
      </c>
      <c r="B1001" s="108" t="s">
        <v>16612</v>
      </c>
      <c r="C1001" s="108">
        <v>7.88</v>
      </c>
    </row>
    <row r="1002" spans="1:3" x14ac:dyDescent="0.25">
      <c r="A1002" s="108">
        <v>51324</v>
      </c>
      <c r="B1002" s="108" t="s">
        <v>1004</v>
      </c>
      <c r="C1002" s="108">
        <v>8.9700000000000006</v>
      </c>
    </row>
    <row r="1003" spans="1:3" x14ac:dyDescent="0.25">
      <c r="A1003" s="108">
        <v>51325</v>
      </c>
      <c r="B1003" s="108" t="s">
        <v>1005</v>
      </c>
      <c r="C1003" s="108">
        <v>10.73</v>
      </c>
    </row>
    <row r="1004" spans="1:3" x14ac:dyDescent="0.25">
      <c r="A1004" s="108">
        <v>51326</v>
      </c>
      <c r="B1004" s="108" t="s">
        <v>1006</v>
      </c>
      <c r="C1004" s="108">
        <v>12.98</v>
      </c>
    </row>
    <row r="1005" spans="1:3" x14ac:dyDescent="0.25">
      <c r="A1005" s="108">
        <v>51327</v>
      </c>
      <c r="B1005" s="108" t="s">
        <v>1007</v>
      </c>
      <c r="C1005" s="108">
        <v>11.99</v>
      </c>
    </row>
    <row r="1006" spans="1:3" x14ac:dyDescent="0.25">
      <c r="A1006" s="108">
        <v>51328</v>
      </c>
      <c r="B1006" s="108" t="s">
        <v>1008</v>
      </c>
      <c r="C1006" s="108">
        <v>12.69</v>
      </c>
    </row>
    <row r="1007" spans="1:3" x14ac:dyDescent="0.25">
      <c r="A1007" s="108">
        <v>51329</v>
      </c>
      <c r="B1007" s="108" t="s">
        <v>1009</v>
      </c>
      <c r="C1007" s="108">
        <v>13.94</v>
      </c>
    </row>
    <row r="1008" spans="1:3" x14ac:dyDescent="0.25">
      <c r="A1008" s="108">
        <v>51330</v>
      </c>
      <c r="B1008" s="108" t="s">
        <v>1010</v>
      </c>
      <c r="C1008" s="108">
        <v>4.29</v>
      </c>
    </row>
    <row r="1009" spans="1:3" x14ac:dyDescent="0.25">
      <c r="A1009" s="108">
        <v>51333</v>
      </c>
      <c r="B1009" s="108" t="s">
        <v>1011</v>
      </c>
      <c r="C1009" s="108">
        <v>4.29</v>
      </c>
    </row>
    <row r="1010" spans="1:3" x14ac:dyDescent="0.25">
      <c r="A1010" s="108">
        <v>51335</v>
      </c>
      <c r="B1010" s="108" t="s">
        <v>1012</v>
      </c>
      <c r="C1010" s="108">
        <v>15.85</v>
      </c>
    </row>
    <row r="1011" spans="1:3" x14ac:dyDescent="0.25">
      <c r="A1011" s="108">
        <v>51338</v>
      </c>
      <c r="B1011" s="108" t="s">
        <v>1013</v>
      </c>
      <c r="C1011" s="108">
        <v>4.03</v>
      </c>
    </row>
    <row r="1012" spans="1:3" x14ac:dyDescent="0.25">
      <c r="A1012" s="108">
        <v>51340</v>
      </c>
      <c r="B1012" s="108" t="s">
        <v>1014</v>
      </c>
      <c r="C1012" s="108">
        <v>430</v>
      </c>
    </row>
    <row r="1013" spans="1:3" x14ac:dyDescent="0.25">
      <c r="A1013" s="108">
        <v>51341</v>
      </c>
      <c r="B1013" s="108" t="s">
        <v>1015</v>
      </c>
      <c r="C1013" s="108">
        <v>6</v>
      </c>
    </row>
    <row r="1014" spans="1:3" x14ac:dyDescent="0.25">
      <c r="A1014" s="108">
        <v>51342</v>
      </c>
      <c r="B1014" s="108" t="s">
        <v>1016</v>
      </c>
      <c r="C1014" s="108">
        <v>8</v>
      </c>
    </row>
    <row r="1015" spans="1:3" x14ac:dyDescent="0.25">
      <c r="A1015" s="108">
        <v>51343</v>
      </c>
      <c r="B1015" s="108" t="s">
        <v>1017</v>
      </c>
      <c r="C1015" s="108">
        <v>7.31</v>
      </c>
    </row>
    <row r="1016" spans="1:3" x14ac:dyDescent="0.25">
      <c r="A1016" s="108">
        <v>51344</v>
      </c>
      <c r="B1016" s="108" t="s">
        <v>1018</v>
      </c>
      <c r="C1016" s="108">
        <v>7</v>
      </c>
    </row>
    <row r="1017" spans="1:3" x14ac:dyDescent="0.25">
      <c r="A1017" s="108">
        <v>51346</v>
      </c>
      <c r="B1017" s="108" t="s">
        <v>1019</v>
      </c>
      <c r="C1017" s="108">
        <v>480</v>
      </c>
    </row>
    <row r="1018" spans="1:3" x14ac:dyDescent="0.25">
      <c r="A1018" s="108">
        <v>51347</v>
      </c>
      <c r="B1018" s="108" t="s">
        <v>1020</v>
      </c>
      <c r="C1018" s="108">
        <v>88.5</v>
      </c>
    </row>
    <row r="1019" spans="1:3" x14ac:dyDescent="0.25">
      <c r="A1019" s="108">
        <v>51348</v>
      </c>
      <c r="B1019" s="108" t="s">
        <v>1021</v>
      </c>
      <c r="C1019" s="108">
        <v>90.5</v>
      </c>
    </row>
    <row r="1020" spans="1:3" x14ac:dyDescent="0.25">
      <c r="A1020" s="108">
        <v>51350</v>
      </c>
      <c r="B1020" s="108" t="s">
        <v>1022</v>
      </c>
      <c r="C1020" s="108">
        <v>9.3000000000000007</v>
      </c>
    </row>
    <row r="1021" spans="1:3" x14ac:dyDescent="0.25">
      <c r="A1021" s="108">
        <v>51351</v>
      </c>
      <c r="B1021" s="108" t="s">
        <v>1023</v>
      </c>
      <c r="C1021" s="108">
        <v>8.9</v>
      </c>
    </row>
    <row r="1022" spans="1:3" x14ac:dyDescent="0.25">
      <c r="A1022" s="108">
        <v>51352</v>
      </c>
      <c r="B1022" s="108" t="s">
        <v>1024</v>
      </c>
      <c r="C1022" s="108">
        <v>9</v>
      </c>
    </row>
    <row r="1023" spans="1:3" x14ac:dyDescent="0.25">
      <c r="A1023" s="108">
        <v>51353</v>
      </c>
      <c r="B1023" s="108" t="s">
        <v>1025</v>
      </c>
      <c r="C1023" s="108">
        <v>4.2</v>
      </c>
    </row>
    <row r="1024" spans="1:3" x14ac:dyDescent="0.25">
      <c r="A1024" s="108">
        <v>51354</v>
      </c>
      <c r="B1024" s="108" t="s">
        <v>1026</v>
      </c>
      <c r="C1024" s="108">
        <v>6.5</v>
      </c>
    </row>
    <row r="1025" spans="1:3" x14ac:dyDescent="0.25">
      <c r="A1025" s="108">
        <v>51355</v>
      </c>
      <c r="B1025" s="108" t="s">
        <v>1027</v>
      </c>
      <c r="C1025" s="108">
        <v>68</v>
      </c>
    </row>
    <row r="1026" spans="1:3" x14ac:dyDescent="0.25">
      <c r="A1026" s="108">
        <v>51357</v>
      </c>
      <c r="B1026" s="108" t="s">
        <v>1028</v>
      </c>
      <c r="C1026" s="108">
        <v>84.89</v>
      </c>
    </row>
    <row r="1027" spans="1:3" x14ac:dyDescent="0.25">
      <c r="A1027" s="108">
        <v>51358</v>
      </c>
      <c r="B1027" s="108" t="s">
        <v>1029</v>
      </c>
      <c r="C1027" s="108">
        <v>72.8</v>
      </c>
    </row>
    <row r="1028" spans="1:3" x14ac:dyDescent="0.25">
      <c r="A1028" s="108">
        <v>51359</v>
      </c>
      <c r="B1028" s="108" t="s">
        <v>1030</v>
      </c>
      <c r="C1028" s="108">
        <v>44.96</v>
      </c>
    </row>
    <row r="1029" spans="1:3" x14ac:dyDescent="0.25">
      <c r="A1029" s="108">
        <v>51360</v>
      </c>
      <c r="B1029" s="108" t="s">
        <v>1031</v>
      </c>
      <c r="C1029" s="108">
        <v>43.89</v>
      </c>
    </row>
    <row r="1030" spans="1:3" x14ac:dyDescent="0.25">
      <c r="A1030" s="108">
        <v>51361</v>
      </c>
      <c r="B1030" s="108" t="s">
        <v>1032</v>
      </c>
      <c r="C1030" s="108">
        <v>40</v>
      </c>
    </row>
    <row r="1031" spans="1:3" x14ac:dyDescent="0.25">
      <c r="A1031" s="108">
        <v>51362</v>
      </c>
      <c r="B1031" s="108" t="s">
        <v>1033</v>
      </c>
      <c r="C1031" s="108">
        <v>8.57</v>
      </c>
    </row>
    <row r="1032" spans="1:3" x14ac:dyDescent="0.25">
      <c r="A1032" s="108">
        <v>51363</v>
      </c>
      <c r="B1032" s="108" t="s">
        <v>1034</v>
      </c>
      <c r="C1032" s="108">
        <v>8.23</v>
      </c>
    </row>
    <row r="1033" spans="1:3" x14ac:dyDescent="0.25">
      <c r="A1033" s="108">
        <v>51364</v>
      </c>
      <c r="B1033" s="108" t="s">
        <v>1035</v>
      </c>
      <c r="C1033" s="108">
        <v>7.98</v>
      </c>
    </row>
    <row r="1034" spans="1:3" x14ac:dyDescent="0.25">
      <c r="A1034" s="108">
        <v>51365</v>
      </c>
      <c r="B1034" s="108" t="s">
        <v>1036</v>
      </c>
      <c r="C1034" s="108">
        <v>8.18</v>
      </c>
    </row>
    <row r="1035" spans="1:3" x14ac:dyDescent="0.25">
      <c r="A1035" s="108">
        <v>51366</v>
      </c>
      <c r="B1035" s="108" t="s">
        <v>1037</v>
      </c>
      <c r="C1035" s="108">
        <v>7</v>
      </c>
    </row>
    <row r="1036" spans="1:3" ht="30" x14ac:dyDescent="0.25">
      <c r="A1036" s="108">
        <v>51367</v>
      </c>
      <c r="B1036" s="108" t="s">
        <v>1038</v>
      </c>
      <c r="C1036" s="108">
        <v>56.71</v>
      </c>
    </row>
    <row r="1037" spans="1:3" ht="30" x14ac:dyDescent="0.25">
      <c r="A1037" s="108">
        <v>51368</v>
      </c>
      <c r="B1037" s="108" t="s">
        <v>1039</v>
      </c>
      <c r="C1037" s="108">
        <v>17</v>
      </c>
    </row>
    <row r="1038" spans="1:3" ht="30" x14ac:dyDescent="0.25">
      <c r="A1038" s="108">
        <v>51369</v>
      </c>
      <c r="B1038" s="108" t="s">
        <v>1040</v>
      </c>
      <c r="C1038" s="108">
        <v>40.29</v>
      </c>
    </row>
    <row r="1039" spans="1:3" ht="30" x14ac:dyDescent="0.25">
      <c r="A1039" s="108">
        <v>51370</v>
      </c>
      <c r="B1039" s="108" t="s">
        <v>1041</v>
      </c>
      <c r="C1039" s="108">
        <v>21.79</v>
      </c>
    </row>
    <row r="1040" spans="1:3" ht="30" x14ac:dyDescent="0.25">
      <c r="A1040" s="108">
        <v>51371</v>
      </c>
      <c r="B1040" s="108" t="s">
        <v>1042</v>
      </c>
      <c r="C1040" s="108">
        <v>36.909999999999997</v>
      </c>
    </row>
    <row r="1041" spans="1:3" x14ac:dyDescent="0.25">
      <c r="A1041" s="108">
        <v>51372</v>
      </c>
      <c r="B1041" s="108" t="s">
        <v>1043</v>
      </c>
      <c r="C1041" s="108">
        <v>24</v>
      </c>
    </row>
    <row r="1042" spans="1:3" ht="30" x14ac:dyDescent="0.25">
      <c r="A1042" s="108">
        <v>51373</v>
      </c>
      <c r="B1042" s="108" t="s">
        <v>1044</v>
      </c>
      <c r="C1042" s="108">
        <v>4.2</v>
      </c>
    </row>
    <row r="1043" spans="1:3" ht="30" x14ac:dyDescent="0.25">
      <c r="A1043" s="108">
        <v>51374</v>
      </c>
      <c r="B1043" s="108" t="s">
        <v>1045</v>
      </c>
      <c r="C1043" s="108">
        <v>8.68</v>
      </c>
    </row>
    <row r="1044" spans="1:3" ht="30" x14ac:dyDescent="0.25">
      <c r="A1044" s="108">
        <v>51375</v>
      </c>
      <c r="B1044" s="108" t="s">
        <v>1046</v>
      </c>
      <c r="C1044" s="108">
        <v>5.46</v>
      </c>
    </row>
    <row r="1045" spans="1:3" ht="30" x14ac:dyDescent="0.25">
      <c r="A1045" s="108">
        <v>51376</v>
      </c>
      <c r="B1045" s="108" t="s">
        <v>16101</v>
      </c>
      <c r="C1045" s="108">
        <v>5.7</v>
      </c>
    </row>
    <row r="1046" spans="1:3" ht="30" x14ac:dyDescent="0.25">
      <c r="A1046" s="108">
        <v>51377</v>
      </c>
      <c r="B1046" s="108" t="s">
        <v>16094</v>
      </c>
      <c r="C1046" s="108">
        <v>6.3</v>
      </c>
    </row>
    <row r="1047" spans="1:3" x14ac:dyDescent="0.25">
      <c r="A1047" s="108">
        <v>51378</v>
      </c>
      <c r="B1047" s="108" t="s">
        <v>1047</v>
      </c>
      <c r="C1047" s="108">
        <v>6.2</v>
      </c>
    </row>
    <row r="1048" spans="1:3" ht="30" x14ac:dyDescent="0.25">
      <c r="A1048" s="108">
        <v>51380</v>
      </c>
      <c r="B1048" s="108" t="s">
        <v>16095</v>
      </c>
      <c r="C1048" s="108">
        <v>6</v>
      </c>
    </row>
    <row r="1049" spans="1:3" x14ac:dyDescent="0.25">
      <c r="A1049" s="108">
        <v>51381</v>
      </c>
      <c r="B1049" s="108" t="s">
        <v>1048</v>
      </c>
      <c r="C1049" s="108">
        <v>8.6</v>
      </c>
    </row>
    <row r="1050" spans="1:3" x14ac:dyDescent="0.25">
      <c r="A1050" s="108">
        <v>51382</v>
      </c>
      <c r="B1050" s="108" t="s">
        <v>1049</v>
      </c>
      <c r="C1050" s="108">
        <v>7</v>
      </c>
    </row>
    <row r="1051" spans="1:3" ht="30" x14ac:dyDescent="0.25">
      <c r="A1051" s="108">
        <v>51383</v>
      </c>
      <c r="B1051" s="108" t="s">
        <v>16102</v>
      </c>
      <c r="C1051" s="108">
        <v>5.35</v>
      </c>
    </row>
    <row r="1052" spans="1:3" ht="30" x14ac:dyDescent="0.25">
      <c r="A1052" s="108">
        <v>51384</v>
      </c>
      <c r="B1052" s="108" t="s">
        <v>16103</v>
      </c>
      <c r="C1052" s="108">
        <v>6.06</v>
      </c>
    </row>
    <row r="1053" spans="1:3" x14ac:dyDescent="0.25">
      <c r="A1053" s="108">
        <v>51385</v>
      </c>
      <c r="B1053" s="108" t="s">
        <v>16104</v>
      </c>
      <c r="C1053" s="108">
        <v>5.6</v>
      </c>
    </row>
    <row r="1054" spans="1:3" x14ac:dyDescent="0.25">
      <c r="A1054" s="108">
        <v>51386</v>
      </c>
      <c r="B1054" s="108" t="s">
        <v>1050</v>
      </c>
      <c r="C1054" s="108">
        <v>56.27</v>
      </c>
    </row>
    <row r="1055" spans="1:3" x14ac:dyDescent="0.25">
      <c r="A1055" s="108">
        <v>51387</v>
      </c>
      <c r="B1055" s="108" t="s">
        <v>1051</v>
      </c>
      <c r="C1055" s="108">
        <v>45.62</v>
      </c>
    </row>
    <row r="1056" spans="1:3" x14ac:dyDescent="0.25">
      <c r="A1056" s="108">
        <v>51388</v>
      </c>
      <c r="B1056" s="108" t="s">
        <v>1052</v>
      </c>
      <c r="C1056" s="108">
        <v>12.58</v>
      </c>
    </row>
    <row r="1057" spans="1:3" x14ac:dyDescent="0.25">
      <c r="A1057" s="108">
        <v>51389</v>
      </c>
      <c r="B1057" s="108" t="s">
        <v>1053</v>
      </c>
      <c r="C1057" s="108">
        <v>7.09</v>
      </c>
    </row>
    <row r="1058" spans="1:3" x14ac:dyDescent="0.25">
      <c r="A1058" s="108">
        <v>51390</v>
      </c>
      <c r="B1058" s="108" t="s">
        <v>1054</v>
      </c>
      <c r="C1058" s="108">
        <v>6.58</v>
      </c>
    </row>
    <row r="1059" spans="1:3" x14ac:dyDescent="0.25">
      <c r="A1059" s="108">
        <v>51391</v>
      </c>
      <c r="B1059" s="108" t="s">
        <v>1055</v>
      </c>
      <c r="C1059" s="108">
        <v>6.64</v>
      </c>
    </row>
    <row r="1060" spans="1:3" x14ac:dyDescent="0.25">
      <c r="A1060" s="108">
        <v>51392</v>
      </c>
      <c r="B1060" s="108" t="s">
        <v>1056</v>
      </c>
      <c r="C1060" s="108">
        <v>5.81</v>
      </c>
    </row>
    <row r="1061" spans="1:3" x14ac:dyDescent="0.25">
      <c r="A1061" s="108">
        <v>51393</v>
      </c>
      <c r="B1061" s="108" t="s">
        <v>1057</v>
      </c>
      <c r="C1061" s="108">
        <v>7.55</v>
      </c>
    </row>
    <row r="1062" spans="1:3" x14ac:dyDescent="0.25">
      <c r="A1062" s="108">
        <v>51394</v>
      </c>
      <c r="B1062" s="108" t="s">
        <v>1058</v>
      </c>
      <c r="C1062" s="108">
        <v>16.760000000000002</v>
      </c>
    </row>
    <row r="1063" spans="1:3" x14ac:dyDescent="0.25">
      <c r="A1063" s="108">
        <v>51395</v>
      </c>
      <c r="B1063" s="108" t="s">
        <v>1059</v>
      </c>
      <c r="C1063" s="108">
        <v>23.1</v>
      </c>
    </row>
    <row r="1064" spans="1:3" x14ac:dyDescent="0.25">
      <c r="A1064" s="108">
        <v>51396</v>
      </c>
      <c r="B1064" s="108" t="s">
        <v>1060</v>
      </c>
      <c r="C1064" s="108">
        <v>15.9</v>
      </c>
    </row>
    <row r="1065" spans="1:3" x14ac:dyDescent="0.25">
      <c r="A1065" s="108">
        <v>51397</v>
      </c>
      <c r="B1065" s="108" t="s">
        <v>1061</v>
      </c>
      <c r="C1065" s="108">
        <v>17.5</v>
      </c>
    </row>
    <row r="1066" spans="1:3" ht="30" x14ac:dyDescent="0.25">
      <c r="A1066" s="108">
        <v>51398</v>
      </c>
      <c r="B1066" s="108" t="s">
        <v>16105</v>
      </c>
      <c r="C1066" s="108">
        <v>60</v>
      </c>
    </row>
    <row r="1067" spans="1:3" ht="30" x14ac:dyDescent="0.25">
      <c r="A1067" s="108">
        <v>51399</v>
      </c>
      <c r="B1067" s="108" t="s">
        <v>16106</v>
      </c>
      <c r="C1067" s="108">
        <v>34.92</v>
      </c>
    </row>
    <row r="1068" spans="1:3" ht="30" x14ac:dyDescent="0.25">
      <c r="A1068" s="108">
        <v>51400</v>
      </c>
      <c r="B1068" s="108" t="s">
        <v>16107</v>
      </c>
      <c r="C1068" s="108">
        <v>79.2</v>
      </c>
    </row>
    <row r="1069" spans="1:3" ht="30" x14ac:dyDescent="0.25">
      <c r="A1069" s="108">
        <v>51401</v>
      </c>
      <c r="B1069" s="108" t="s">
        <v>1062</v>
      </c>
      <c r="C1069" s="108">
        <v>46.32</v>
      </c>
    </row>
    <row r="1070" spans="1:3" ht="30" x14ac:dyDescent="0.25">
      <c r="A1070" s="108">
        <v>51402</v>
      </c>
      <c r="B1070" s="108" t="s">
        <v>1063</v>
      </c>
      <c r="C1070" s="108">
        <v>31.73</v>
      </c>
    </row>
    <row r="1071" spans="1:3" ht="30" x14ac:dyDescent="0.25">
      <c r="A1071" s="108">
        <v>51403</v>
      </c>
      <c r="B1071" s="108" t="s">
        <v>1064</v>
      </c>
      <c r="C1071" s="108">
        <v>26.15</v>
      </c>
    </row>
    <row r="1072" spans="1:3" x14ac:dyDescent="0.25">
      <c r="A1072" s="108">
        <v>51404</v>
      </c>
      <c r="B1072" s="108" t="s">
        <v>1065</v>
      </c>
      <c r="C1072" s="108">
        <v>33.29</v>
      </c>
    </row>
    <row r="1073" spans="1:3" ht="30" x14ac:dyDescent="0.25">
      <c r="A1073" s="108">
        <v>51405</v>
      </c>
      <c r="B1073" s="108" t="s">
        <v>1066</v>
      </c>
      <c r="C1073" s="108">
        <v>34.159999999999997</v>
      </c>
    </row>
    <row r="1074" spans="1:3" x14ac:dyDescent="0.25">
      <c r="A1074" s="108">
        <v>51406</v>
      </c>
      <c r="B1074" s="108" t="s">
        <v>1067</v>
      </c>
      <c r="C1074" s="108">
        <v>52.3</v>
      </c>
    </row>
    <row r="1075" spans="1:3" ht="30" x14ac:dyDescent="0.25">
      <c r="A1075" s="108">
        <v>51407</v>
      </c>
      <c r="B1075" s="108" t="s">
        <v>1068</v>
      </c>
      <c r="C1075" s="108">
        <v>42.99</v>
      </c>
    </row>
    <row r="1076" spans="1:3" x14ac:dyDescent="0.25">
      <c r="A1076" s="108">
        <v>51408</v>
      </c>
      <c r="B1076" s="108" t="s">
        <v>1069</v>
      </c>
      <c r="C1076" s="108">
        <v>27.9</v>
      </c>
    </row>
    <row r="1077" spans="1:3" x14ac:dyDescent="0.25">
      <c r="A1077" s="108">
        <v>51409</v>
      </c>
      <c r="B1077" s="108" t="s">
        <v>1070</v>
      </c>
      <c r="C1077" s="108">
        <v>38.25</v>
      </c>
    </row>
    <row r="1078" spans="1:3" x14ac:dyDescent="0.25">
      <c r="A1078" s="108">
        <v>51410</v>
      </c>
      <c r="B1078" s="108" t="s">
        <v>1071</v>
      </c>
      <c r="C1078" s="108">
        <v>51.29</v>
      </c>
    </row>
    <row r="1079" spans="1:3" x14ac:dyDescent="0.25">
      <c r="A1079" s="108">
        <v>51412</v>
      </c>
      <c r="B1079" s="108" t="s">
        <v>1072</v>
      </c>
      <c r="C1079" s="108">
        <v>183.9</v>
      </c>
    </row>
    <row r="1080" spans="1:3" x14ac:dyDescent="0.25">
      <c r="A1080" s="108">
        <v>51413</v>
      </c>
      <c r="B1080" s="108" t="s">
        <v>1073</v>
      </c>
      <c r="C1080" s="108">
        <v>171.38</v>
      </c>
    </row>
    <row r="1081" spans="1:3" x14ac:dyDescent="0.25">
      <c r="A1081" s="108">
        <v>51414</v>
      </c>
      <c r="B1081" s="108" t="s">
        <v>1074</v>
      </c>
      <c r="C1081" s="108">
        <v>143.63</v>
      </c>
    </row>
    <row r="1082" spans="1:3" x14ac:dyDescent="0.25">
      <c r="A1082" s="108">
        <v>51415</v>
      </c>
      <c r="B1082" s="108" t="s">
        <v>1075</v>
      </c>
      <c r="C1082" s="108">
        <v>124.76</v>
      </c>
    </row>
    <row r="1083" spans="1:3" x14ac:dyDescent="0.25">
      <c r="A1083" s="108">
        <v>51416</v>
      </c>
      <c r="B1083" s="108" t="s">
        <v>1076</v>
      </c>
      <c r="C1083" s="108">
        <v>17.5</v>
      </c>
    </row>
    <row r="1084" spans="1:3" x14ac:dyDescent="0.25">
      <c r="A1084" s="108">
        <v>51417</v>
      </c>
      <c r="B1084" s="108" t="s">
        <v>1077</v>
      </c>
      <c r="C1084" s="108">
        <v>29.25</v>
      </c>
    </row>
    <row r="1085" spans="1:3" x14ac:dyDescent="0.25">
      <c r="A1085" s="108">
        <v>51418</v>
      </c>
      <c r="B1085" s="108" t="s">
        <v>1078</v>
      </c>
      <c r="C1085" s="108">
        <v>29.25</v>
      </c>
    </row>
    <row r="1086" spans="1:3" x14ac:dyDescent="0.25">
      <c r="A1086" s="108">
        <v>51419</v>
      </c>
      <c r="B1086" s="108" t="s">
        <v>1079</v>
      </c>
      <c r="C1086" s="108">
        <v>7.2</v>
      </c>
    </row>
    <row r="1087" spans="1:3" ht="30" x14ac:dyDescent="0.25">
      <c r="A1087" s="108">
        <v>51420</v>
      </c>
      <c r="B1087" s="108" t="s">
        <v>1080</v>
      </c>
      <c r="C1087" s="108">
        <v>4.91</v>
      </c>
    </row>
    <row r="1088" spans="1:3" x14ac:dyDescent="0.25">
      <c r="A1088" s="108">
        <v>51421</v>
      </c>
      <c r="B1088" s="108" t="s">
        <v>1081</v>
      </c>
      <c r="C1088" s="108">
        <v>26.98</v>
      </c>
    </row>
    <row r="1089" spans="1:3" x14ac:dyDescent="0.25">
      <c r="A1089" s="108">
        <v>51422</v>
      </c>
      <c r="B1089" s="108" t="s">
        <v>1082</v>
      </c>
      <c r="C1089" s="108">
        <v>34.880000000000003</v>
      </c>
    </row>
    <row r="1090" spans="1:3" ht="30" x14ac:dyDescent="0.25">
      <c r="A1090" s="108">
        <v>51423</v>
      </c>
      <c r="B1090" s="108" t="s">
        <v>1083</v>
      </c>
      <c r="C1090" s="108">
        <v>33.729999999999997</v>
      </c>
    </row>
    <row r="1091" spans="1:3" x14ac:dyDescent="0.25">
      <c r="A1091" s="108">
        <v>51424</v>
      </c>
      <c r="B1091" s="108" t="s">
        <v>1084</v>
      </c>
      <c r="C1091" s="108">
        <v>63.75</v>
      </c>
    </row>
    <row r="1092" spans="1:3" x14ac:dyDescent="0.25">
      <c r="A1092" s="108">
        <v>51427</v>
      </c>
      <c r="B1092" s="108" t="s">
        <v>1085</v>
      </c>
      <c r="C1092" s="108">
        <v>0.1</v>
      </c>
    </row>
    <row r="1093" spans="1:3" x14ac:dyDescent="0.25">
      <c r="A1093" s="108">
        <v>51428</v>
      </c>
      <c r="B1093" s="108" t="s">
        <v>1086</v>
      </c>
      <c r="C1093" s="108">
        <v>0.44</v>
      </c>
    </row>
    <row r="1094" spans="1:3" x14ac:dyDescent="0.25">
      <c r="A1094" s="108">
        <v>51429</v>
      </c>
      <c r="B1094" s="108" t="s">
        <v>3052</v>
      </c>
      <c r="C1094" s="108">
        <v>0.56999999999999995</v>
      </c>
    </row>
    <row r="1095" spans="1:3" x14ac:dyDescent="0.25">
      <c r="A1095" s="108">
        <v>51430</v>
      </c>
      <c r="B1095" s="108" t="s">
        <v>3050</v>
      </c>
      <c r="C1095" s="108">
        <v>0.64</v>
      </c>
    </row>
    <row r="1096" spans="1:3" x14ac:dyDescent="0.25">
      <c r="A1096" s="108">
        <v>51433</v>
      </c>
      <c r="B1096" s="108" t="s">
        <v>1087</v>
      </c>
      <c r="C1096" s="108">
        <v>17.5</v>
      </c>
    </row>
    <row r="1097" spans="1:3" x14ac:dyDescent="0.25">
      <c r="A1097" s="108">
        <v>51434</v>
      </c>
      <c r="B1097" s="108" t="s">
        <v>1088</v>
      </c>
      <c r="C1097" s="108">
        <v>11.25</v>
      </c>
    </row>
    <row r="1098" spans="1:3" x14ac:dyDescent="0.25">
      <c r="A1098" s="108">
        <v>51435</v>
      </c>
      <c r="B1098" s="108" t="s">
        <v>1089</v>
      </c>
      <c r="C1098" s="110">
        <v>2795</v>
      </c>
    </row>
    <row r="1099" spans="1:3" x14ac:dyDescent="0.25">
      <c r="A1099" s="108">
        <v>51436</v>
      </c>
      <c r="B1099" s="108" t="s">
        <v>1090</v>
      </c>
      <c r="C1099" s="110">
        <v>2925</v>
      </c>
    </row>
    <row r="1100" spans="1:3" x14ac:dyDescent="0.25">
      <c r="A1100" s="108">
        <v>51437</v>
      </c>
      <c r="B1100" s="108" t="s">
        <v>1091</v>
      </c>
      <c r="C1100" s="110">
        <v>3237</v>
      </c>
    </row>
    <row r="1101" spans="1:3" x14ac:dyDescent="0.25">
      <c r="A1101" s="108">
        <v>51438</v>
      </c>
      <c r="B1101" s="108" t="s">
        <v>1092</v>
      </c>
      <c r="C1101" s="108">
        <v>39.07</v>
      </c>
    </row>
    <row r="1102" spans="1:3" ht="30" x14ac:dyDescent="0.25">
      <c r="A1102" s="108">
        <v>51439</v>
      </c>
      <c r="B1102" s="108" t="s">
        <v>1093</v>
      </c>
      <c r="C1102" s="108">
        <v>12</v>
      </c>
    </row>
    <row r="1103" spans="1:3" x14ac:dyDescent="0.25">
      <c r="A1103" s="108">
        <v>51440</v>
      </c>
      <c r="B1103" s="108" t="s">
        <v>1094</v>
      </c>
      <c r="C1103" s="108">
        <v>12.71</v>
      </c>
    </row>
    <row r="1104" spans="1:3" x14ac:dyDescent="0.25">
      <c r="A1104" s="108">
        <v>51441</v>
      </c>
      <c r="B1104" s="108" t="s">
        <v>1095</v>
      </c>
      <c r="C1104" s="108">
        <v>12.36</v>
      </c>
    </row>
    <row r="1105" spans="1:3" x14ac:dyDescent="0.25">
      <c r="A1105" s="108">
        <v>51442</v>
      </c>
      <c r="B1105" s="108" t="s">
        <v>1096</v>
      </c>
      <c r="C1105" s="108">
        <v>721</v>
      </c>
    </row>
    <row r="1106" spans="1:3" x14ac:dyDescent="0.25">
      <c r="A1106" s="108">
        <v>51443</v>
      </c>
      <c r="B1106" s="108" t="s">
        <v>1097</v>
      </c>
      <c r="C1106" s="108">
        <v>56</v>
      </c>
    </row>
    <row r="1107" spans="1:3" x14ac:dyDescent="0.25">
      <c r="A1107" s="108">
        <v>51444</v>
      </c>
      <c r="B1107" s="108" t="s">
        <v>1098</v>
      </c>
      <c r="C1107" s="108">
        <v>16.399999999999999</v>
      </c>
    </row>
    <row r="1108" spans="1:3" x14ac:dyDescent="0.25">
      <c r="A1108" s="108">
        <v>51445</v>
      </c>
      <c r="B1108" s="108" t="s">
        <v>1099</v>
      </c>
      <c r="C1108" s="108">
        <v>25.21</v>
      </c>
    </row>
    <row r="1109" spans="1:3" x14ac:dyDescent="0.25">
      <c r="A1109" s="108">
        <v>51446</v>
      </c>
      <c r="B1109" s="108" t="s">
        <v>1100</v>
      </c>
      <c r="C1109" s="108">
        <v>28.41</v>
      </c>
    </row>
    <row r="1110" spans="1:3" x14ac:dyDescent="0.25">
      <c r="A1110" s="108">
        <v>51447</v>
      </c>
      <c r="B1110" s="108" t="s">
        <v>1101</v>
      </c>
      <c r="C1110" s="108">
        <v>15.8</v>
      </c>
    </row>
    <row r="1111" spans="1:3" x14ac:dyDescent="0.25">
      <c r="A1111" s="108">
        <v>51448</v>
      </c>
      <c r="B1111" s="108" t="s">
        <v>1102</v>
      </c>
      <c r="C1111" s="108">
        <v>64.2</v>
      </c>
    </row>
    <row r="1112" spans="1:3" x14ac:dyDescent="0.25">
      <c r="A1112" s="108">
        <v>51450</v>
      </c>
      <c r="B1112" s="108" t="s">
        <v>1103</v>
      </c>
      <c r="C1112" s="108">
        <v>7.1</v>
      </c>
    </row>
    <row r="1113" spans="1:3" x14ac:dyDescent="0.25">
      <c r="A1113" s="108">
        <v>51451</v>
      </c>
      <c r="B1113" s="108" t="s">
        <v>1104</v>
      </c>
      <c r="C1113" s="108">
        <v>14.1</v>
      </c>
    </row>
    <row r="1114" spans="1:3" x14ac:dyDescent="0.25">
      <c r="A1114" s="108">
        <v>51453</v>
      </c>
      <c r="B1114" s="108" t="s">
        <v>1105</v>
      </c>
      <c r="C1114" s="108">
        <v>8.1999999999999993</v>
      </c>
    </row>
    <row r="1115" spans="1:3" x14ac:dyDescent="0.25">
      <c r="A1115" s="108">
        <v>51459</v>
      </c>
      <c r="B1115" s="108" t="s">
        <v>1106</v>
      </c>
      <c r="C1115" s="108">
        <v>39.64</v>
      </c>
    </row>
    <row r="1116" spans="1:3" x14ac:dyDescent="0.25">
      <c r="A1116" s="108">
        <v>51462</v>
      </c>
      <c r="B1116" s="108" t="s">
        <v>1107</v>
      </c>
      <c r="C1116" s="108">
        <v>6.45</v>
      </c>
    </row>
    <row r="1117" spans="1:3" x14ac:dyDescent="0.25">
      <c r="A1117" s="108">
        <v>51470</v>
      </c>
      <c r="B1117" s="108" t="s">
        <v>3121</v>
      </c>
      <c r="C1117" s="108">
        <v>26.5</v>
      </c>
    </row>
    <row r="1118" spans="1:3" x14ac:dyDescent="0.25">
      <c r="A1118" s="108">
        <v>51480</v>
      </c>
      <c r="B1118" s="108" t="s">
        <v>1108</v>
      </c>
      <c r="C1118" s="108">
        <v>13.3</v>
      </c>
    </row>
    <row r="1119" spans="1:3" x14ac:dyDescent="0.25">
      <c r="A1119" s="108">
        <v>51481</v>
      </c>
      <c r="B1119" s="108" t="s">
        <v>1109</v>
      </c>
      <c r="C1119" s="108">
        <v>49</v>
      </c>
    </row>
    <row r="1120" spans="1:3" x14ac:dyDescent="0.25">
      <c r="A1120" s="108">
        <v>51482</v>
      </c>
      <c r="B1120" s="108" t="s">
        <v>1110</v>
      </c>
      <c r="C1120" s="108">
        <v>51.89</v>
      </c>
    </row>
    <row r="1121" spans="1:3" ht="30" x14ac:dyDescent="0.25">
      <c r="A1121" s="108">
        <v>51483</v>
      </c>
      <c r="B1121" s="108" t="s">
        <v>1111</v>
      </c>
      <c r="C1121" s="108">
        <v>13.02</v>
      </c>
    </row>
    <row r="1122" spans="1:3" x14ac:dyDescent="0.25">
      <c r="A1122" s="108">
        <v>51484</v>
      </c>
      <c r="B1122" s="108" t="s">
        <v>1112</v>
      </c>
      <c r="C1122" s="108">
        <v>125.69</v>
      </c>
    </row>
    <row r="1123" spans="1:3" x14ac:dyDescent="0.25">
      <c r="A1123" s="108">
        <v>51486</v>
      </c>
      <c r="B1123" s="108" t="s">
        <v>1113</v>
      </c>
      <c r="C1123" s="108">
        <v>34.299999999999997</v>
      </c>
    </row>
    <row r="1124" spans="1:3" x14ac:dyDescent="0.25">
      <c r="A1124" s="108">
        <v>51488</v>
      </c>
      <c r="B1124" s="108" t="s">
        <v>1114</v>
      </c>
      <c r="C1124" s="108">
        <v>501</v>
      </c>
    </row>
    <row r="1125" spans="1:3" x14ac:dyDescent="0.25">
      <c r="A1125" s="108">
        <v>51489</v>
      </c>
      <c r="B1125" s="108" t="s">
        <v>1115</v>
      </c>
      <c r="C1125" s="108">
        <v>402</v>
      </c>
    </row>
    <row r="1126" spans="1:3" x14ac:dyDescent="0.25">
      <c r="A1126" s="108">
        <v>51491</v>
      </c>
      <c r="B1126" s="108" t="s">
        <v>1116</v>
      </c>
      <c r="C1126" s="108">
        <v>115</v>
      </c>
    </row>
    <row r="1127" spans="1:3" x14ac:dyDescent="0.25">
      <c r="A1127" s="108">
        <v>51492</v>
      </c>
      <c r="B1127" s="108" t="s">
        <v>1117</v>
      </c>
      <c r="C1127" s="108">
        <v>67.19</v>
      </c>
    </row>
    <row r="1128" spans="1:3" ht="30" x14ac:dyDescent="0.25">
      <c r="A1128" s="108">
        <v>51493</v>
      </c>
      <c r="B1128" s="108" t="s">
        <v>1118</v>
      </c>
      <c r="C1128" s="108">
        <v>10.42</v>
      </c>
    </row>
    <row r="1129" spans="1:3" x14ac:dyDescent="0.25">
      <c r="A1129" s="108">
        <v>51494</v>
      </c>
      <c r="B1129" s="108" t="s">
        <v>1119</v>
      </c>
      <c r="C1129" s="108">
        <v>28.39</v>
      </c>
    </row>
    <row r="1130" spans="1:3" x14ac:dyDescent="0.25">
      <c r="A1130" s="108">
        <v>51497</v>
      </c>
      <c r="B1130" s="108" t="s">
        <v>1120</v>
      </c>
      <c r="C1130" s="108">
        <v>12.5</v>
      </c>
    </row>
    <row r="1131" spans="1:3" x14ac:dyDescent="0.25">
      <c r="A1131" s="108">
        <v>51506</v>
      </c>
      <c r="B1131" s="108" t="s">
        <v>1121</v>
      </c>
      <c r="C1131" s="108">
        <v>556</v>
      </c>
    </row>
    <row r="1132" spans="1:3" x14ac:dyDescent="0.25">
      <c r="A1132" s="108">
        <v>51507</v>
      </c>
      <c r="B1132" s="108" t="s">
        <v>1122</v>
      </c>
      <c r="C1132" s="108">
        <v>385</v>
      </c>
    </row>
    <row r="1133" spans="1:3" x14ac:dyDescent="0.25">
      <c r="A1133" s="108">
        <v>51513</v>
      </c>
      <c r="B1133" s="108" t="s">
        <v>1123</v>
      </c>
      <c r="C1133" s="108">
        <v>13.6</v>
      </c>
    </row>
    <row r="1134" spans="1:3" x14ac:dyDescent="0.25">
      <c r="A1134" s="108">
        <v>51518</v>
      </c>
      <c r="B1134" s="108" t="s">
        <v>1124</v>
      </c>
      <c r="C1134" s="108">
        <v>40.33</v>
      </c>
    </row>
    <row r="1135" spans="1:3" x14ac:dyDescent="0.25">
      <c r="A1135" s="108">
        <v>51519</v>
      </c>
      <c r="B1135" s="108" t="s">
        <v>1125</v>
      </c>
      <c r="C1135" s="108">
        <v>44.27</v>
      </c>
    </row>
    <row r="1136" spans="1:3" x14ac:dyDescent="0.25">
      <c r="A1136" s="108">
        <v>51529</v>
      </c>
      <c r="B1136" s="108" t="s">
        <v>1126</v>
      </c>
      <c r="C1136" s="108">
        <v>93</v>
      </c>
    </row>
    <row r="1137" spans="1:3" ht="30" x14ac:dyDescent="0.25">
      <c r="A1137" s="108">
        <v>51531</v>
      </c>
      <c r="B1137" s="108" t="s">
        <v>1127</v>
      </c>
      <c r="C1137" s="108">
        <v>3.08</v>
      </c>
    </row>
    <row r="1138" spans="1:3" x14ac:dyDescent="0.25">
      <c r="A1138" s="108">
        <v>51532</v>
      </c>
      <c r="B1138" s="108" t="s">
        <v>1128</v>
      </c>
      <c r="C1138" s="108">
        <v>6.79</v>
      </c>
    </row>
    <row r="1139" spans="1:3" x14ac:dyDescent="0.25">
      <c r="A1139" s="108">
        <v>51535</v>
      </c>
      <c r="B1139" s="108" t="s">
        <v>1129</v>
      </c>
      <c r="C1139" s="108">
        <v>401</v>
      </c>
    </row>
    <row r="1140" spans="1:3" x14ac:dyDescent="0.25">
      <c r="A1140" s="108">
        <v>51538</v>
      </c>
      <c r="B1140" s="108" t="s">
        <v>1130</v>
      </c>
      <c r="C1140" s="110">
        <v>3300</v>
      </c>
    </row>
    <row r="1141" spans="1:3" x14ac:dyDescent="0.25">
      <c r="A1141" s="108">
        <v>51539</v>
      </c>
      <c r="B1141" s="108" t="s">
        <v>1131</v>
      </c>
      <c r="C1141" s="108">
        <v>10</v>
      </c>
    </row>
    <row r="1142" spans="1:3" x14ac:dyDescent="0.25">
      <c r="A1142" s="108">
        <v>5154</v>
      </c>
      <c r="B1142" s="108" t="s">
        <v>1132</v>
      </c>
      <c r="C1142" s="108">
        <v>2.4</v>
      </c>
    </row>
    <row r="1143" spans="1:3" ht="30" x14ac:dyDescent="0.25">
      <c r="A1143" s="108">
        <v>51542</v>
      </c>
      <c r="B1143" s="108" t="s">
        <v>1133</v>
      </c>
      <c r="C1143" s="108">
        <v>37.03</v>
      </c>
    </row>
    <row r="1144" spans="1:3" x14ac:dyDescent="0.25">
      <c r="A1144" s="108">
        <v>51543</v>
      </c>
      <c r="B1144" s="108" t="s">
        <v>1134</v>
      </c>
      <c r="C1144" s="108">
        <v>36</v>
      </c>
    </row>
    <row r="1145" spans="1:3" x14ac:dyDescent="0.25">
      <c r="A1145" s="108">
        <v>51544</v>
      </c>
      <c r="B1145" s="108" t="s">
        <v>1135</v>
      </c>
      <c r="C1145" s="108">
        <v>85.35</v>
      </c>
    </row>
    <row r="1146" spans="1:3" ht="30" x14ac:dyDescent="0.25">
      <c r="A1146" s="108">
        <v>51545</v>
      </c>
      <c r="B1146" s="108" t="s">
        <v>1136</v>
      </c>
      <c r="C1146" s="108">
        <v>66.3</v>
      </c>
    </row>
    <row r="1147" spans="1:3" ht="30" x14ac:dyDescent="0.25">
      <c r="A1147" s="108">
        <v>51546</v>
      </c>
      <c r="B1147" s="108" t="s">
        <v>1137</v>
      </c>
      <c r="C1147" s="108">
        <v>117.89</v>
      </c>
    </row>
    <row r="1148" spans="1:3" x14ac:dyDescent="0.25">
      <c r="A1148" s="108">
        <v>51547</v>
      </c>
      <c r="B1148" s="108" t="s">
        <v>1138</v>
      </c>
      <c r="C1148" s="108">
        <v>18.28</v>
      </c>
    </row>
    <row r="1149" spans="1:3" x14ac:dyDescent="0.25">
      <c r="A1149" s="108">
        <v>51549</v>
      </c>
      <c r="B1149" s="108" t="s">
        <v>1139</v>
      </c>
      <c r="C1149" s="108">
        <v>74</v>
      </c>
    </row>
    <row r="1150" spans="1:3" ht="30" x14ac:dyDescent="0.25">
      <c r="A1150" s="108">
        <v>51550</v>
      </c>
      <c r="B1150" s="108" t="s">
        <v>1140</v>
      </c>
      <c r="C1150" s="108">
        <v>39</v>
      </c>
    </row>
    <row r="1151" spans="1:3" x14ac:dyDescent="0.25">
      <c r="A1151" s="108">
        <v>51551</v>
      </c>
      <c r="B1151" s="108" t="s">
        <v>1141</v>
      </c>
      <c r="C1151" s="108">
        <v>81.790000000000006</v>
      </c>
    </row>
    <row r="1152" spans="1:3" x14ac:dyDescent="0.25">
      <c r="A1152" s="108">
        <v>51552</v>
      </c>
      <c r="B1152" s="108" t="s">
        <v>1142</v>
      </c>
      <c r="C1152" s="108">
        <v>4.5</v>
      </c>
    </row>
    <row r="1153" spans="1:3" x14ac:dyDescent="0.25">
      <c r="A1153" s="108">
        <v>51553</v>
      </c>
      <c r="B1153" s="108" t="s">
        <v>1143</v>
      </c>
      <c r="C1153" s="108">
        <v>6.5</v>
      </c>
    </row>
    <row r="1154" spans="1:3" x14ac:dyDescent="0.25">
      <c r="A1154" s="108">
        <v>51555</v>
      </c>
      <c r="B1154" s="108" t="s">
        <v>1144</v>
      </c>
      <c r="C1154" s="108">
        <v>3.8</v>
      </c>
    </row>
    <row r="1155" spans="1:3" x14ac:dyDescent="0.25">
      <c r="A1155" s="108">
        <v>51556</v>
      </c>
      <c r="B1155" s="108" t="s">
        <v>1145</v>
      </c>
      <c r="C1155" s="108">
        <v>2.5</v>
      </c>
    </row>
    <row r="1156" spans="1:3" x14ac:dyDescent="0.25">
      <c r="A1156" s="108">
        <v>51557</v>
      </c>
      <c r="B1156" s="108" t="s">
        <v>1146</v>
      </c>
      <c r="C1156" s="108">
        <v>33</v>
      </c>
    </row>
    <row r="1157" spans="1:3" x14ac:dyDescent="0.25">
      <c r="A1157" s="108">
        <v>51558</v>
      </c>
      <c r="B1157" s="108" t="s">
        <v>1147</v>
      </c>
      <c r="C1157" s="108">
        <v>68</v>
      </c>
    </row>
    <row r="1158" spans="1:3" x14ac:dyDescent="0.25">
      <c r="A1158" s="108">
        <v>51559</v>
      </c>
      <c r="B1158" s="108" t="s">
        <v>1148</v>
      </c>
      <c r="C1158" s="108">
        <v>285.58999999999997</v>
      </c>
    </row>
    <row r="1159" spans="1:3" x14ac:dyDescent="0.25">
      <c r="A1159" s="108">
        <v>51561</v>
      </c>
      <c r="B1159" s="108" t="s">
        <v>1149</v>
      </c>
      <c r="C1159" s="108">
        <v>393</v>
      </c>
    </row>
    <row r="1160" spans="1:3" ht="30" x14ac:dyDescent="0.25">
      <c r="A1160" s="108">
        <v>51565</v>
      </c>
      <c r="B1160" s="108" t="s">
        <v>1150</v>
      </c>
      <c r="C1160" s="108">
        <v>50.1</v>
      </c>
    </row>
    <row r="1161" spans="1:3" x14ac:dyDescent="0.25">
      <c r="A1161" s="108">
        <v>51566</v>
      </c>
      <c r="B1161" s="108" t="s">
        <v>1151</v>
      </c>
      <c r="C1161" s="108">
        <v>92.32</v>
      </c>
    </row>
    <row r="1162" spans="1:3" x14ac:dyDescent="0.25">
      <c r="A1162" s="108">
        <v>51568</v>
      </c>
      <c r="B1162" s="108" t="s">
        <v>1152</v>
      </c>
      <c r="C1162" s="108">
        <v>63.22</v>
      </c>
    </row>
    <row r="1163" spans="1:3" ht="30" x14ac:dyDescent="0.25">
      <c r="A1163" s="108">
        <v>51569</v>
      </c>
      <c r="B1163" s="108" t="s">
        <v>1153</v>
      </c>
      <c r="C1163" s="108">
        <v>738</v>
      </c>
    </row>
    <row r="1164" spans="1:3" x14ac:dyDescent="0.25">
      <c r="A1164" s="108">
        <v>51570</v>
      </c>
      <c r="B1164" s="108" t="s">
        <v>1154</v>
      </c>
      <c r="C1164" s="108">
        <v>3.35</v>
      </c>
    </row>
    <row r="1165" spans="1:3" ht="30" x14ac:dyDescent="0.25">
      <c r="A1165" s="108">
        <v>51571</v>
      </c>
      <c r="B1165" s="108" t="s">
        <v>1155</v>
      </c>
      <c r="C1165" s="108">
        <v>18.2</v>
      </c>
    </row>
    <row r="1166" spans="1:3" x14ac:dyDescent="0.25">
      <c r="A1166" s="108">
        <v>51572</v>
      </c>
      <c r="B1166" s="108" t="s">
        <v>1156</v>
      </c>
      <c r="C1166" s="108">
        <v>18</v>
      </c>
    </row>
    <row r="1167" spans="1:3" x14ac:dyDescent="0.25">
      <c r="A1167" s="108">
        <v>51574</v>
      </c>
      <c r="B1167" s="108" t="s">
        <v>1157</v>
      </c>
      <c r="C1167" s="108">
        <v>115.03</v>
      </c>
    </row>
    <row r="1168" spans="1:3" x14ac:dyDescent="0.25">
      <c r="A1168" s="108">
        <v>51575</v>
      </c>
      <c r="B1168" s="108" t="s">
        <v>1158</v>
      </c>
      <c r="C1168" s="108">
        <v>59.2</v>
      </c>
    </row>
    <row r="1169" spans="1:3" x14ac:dyDescent="0.25">
      <c r="A1169" s="108">
        <v>51576</v>
      </c>
      <c r="B1169" s="108" t="s">
        <v>1159</v>
      </c>
      <c r="C1169" s="108">
        <v>82.91</v>
      </c>
    </row>
    <row r="1170" spans="1:3" x14ac:dyDescent="0.25">
      <c r="A1170" s="108">
        <v>51577</v>
      </c>
      <c r="B1170" s="108" t="s">
        <v>1160</v>
      </c>
      <c r="C1170" s="108">
        <v>49.78</v>
      </c>
    </row>
    <row r="1171" spans="1:3" x14ac:dyDescent="0.25">
      <c r="A1171" s="108">
        <v>51579</v>
      </c>
      <c r="B1171" s="108" t="s">
        <v>1161</v>
      </c>
      <c r="C1171" s="108">
        <v>14.35</v>
      </c>
    </row>
    <row r="1172" spans="1:3" x14ac:dyDescent="0.25">
      <c r="A1172" s="108">
        <v>5158</v>
      </c>
      <c r="B1172" s="108" t="s">
        <v>1162</v>
      </c>
      <c r="C1172" s="108">
        <v>6.8</v>
      </c>
    </row>
    <row r="1173" spans="1:3" ht="30" x14ac:dyDescent="0.25">
      <c r="A1173" s="108">
        <v>51580</v>
      </c>
      <c r="B1173" s="108" t="s">
        <v>1163</v>
      </c>
      <c r="C1173" s="108">
        <v>3.25</v>
      </c>
    </row>
    <row r="1174" spans="1:3" x14ac:dyDescent="0.25">
      <c r="A1174" s="108">
        <v>51581</v>
      </c>
      <c r="B1174" s="108" t="s">
        <v>1164</v>
      </c>
      <c r="C1174" s="108">
        <v>7.31</v>
      </c>
    </row>
    <row r="1175" spans="1:3" x14ac:dyDescent="0.25">
      <c r="A1175" s="108">
        <v>51584</v>
      </c>
      <c r="B1175" s="108" t="s">
        <v>1165</v>
      </c>
      <c r="C1175" s="108">
        <v>492.33</v>
      </c>
    </row>
    <row r="1176" spans="1:3" x14ac:dyDescent="0.25">
      <c r="A1176" s="108">
        <v>51595</v>
      </c>
      <c r="B1176" s="108" t="s">
        <v>1166</v>
      </c>
      <c r="C1176" s="108">
        <v>12.8</v>
      </c>
    </row>
    <row r="1177" spans="1:3" x14ac:dyDescent="0.25">
      <c r="A1177" s="108">
        <v>51599</v>
      </c>
      <c r="B1177" s="108" t="s">
        <v>1167</v>
      </c>
      <c r="C1177" s="108">
        <v>130</v>
      </c>
    </row>
    <row r="1178" spans="1:3" x14ac:dyDescent="0.25">
      <c r="A1178" s="108">
        <v>51600</v>
      </c>
      <c r="B1178" s="108" t="s">
        <v>1168</v>
      </c>
      <c r="C1178" s="108">
        <v>150</v>
      </c>
    </row>
    <row r="1179" spans="1:3" x14ac:dyDescent="0.25">
      <c r="A1179" s="108">
        <v>51602</v>
      </c>
      <c r="B1179" s="108" t="s">
        <v>1169</v>
      </c>
      <c r="C1179" s="108">
        <v>9.65</v>
      </c>
    </row>
    <row r="1180" spans="1:3" x14ac:dyDescent="0.25">
      <c r="A1180" s="108">
        <v>51604</v>
      </c>
      <c r="B1180" s="108" t="s">
        <v>1170</v>
      </c>
      <c r="C1180" s="108">
        <v>2.2000000000000002</v>
      </c>
    </row>
    <row r="1181" spans="1:3" ht="30" x14ac:dyDescent="0.25">
      <c r="A1181" s="108">
        <v>51605</v>
      </c>
      <c r="B1181" s="108" t="s">
        <v>1171</v>
      </c>
      <c r="C1181" s="108">
        <v>92.95</v>
      </c>
    </row>
    <row r="1182" spans="1:3" ht="30" x14ac:dyDescent="0.25">
      <c r="A1182" s="108">
        <v>51607</v>
      </c>
      <c r="B1182" s="108" t="s">
        <v>1172</v>
      </c>
      <c r="C1182" s="108">
        <v>2.1</v>
      </c>
    </row>
    <row r="1183" spans="1:3" x14ac:dyDescent="0.25">
      <c r="A1183" s="108">
        <v>51608</v>
      </c>
      <c r="B1183" s="108" t="s">
        <v>1173</v>
      </c>
      <c r="C1183" s="108">
        <v>66.209999999999994</v>
      </c>
    </row>
    <row r="1184" spans="1:3" ht="30" x14ac:dyDescent="0.25">
      <c r="A1184" s="108">
        <v>51609</v>
      </c>
      <c r="B1184" s="108" t="s">
        <v>1174</v>
      </c>
      <c r="C1184" s="108">
        <v>2.2000000000000002</v>
      </c>
    </row>
    <row r="1185" spans="1:3" x14ac:dyDescent="0.25">
      <c r="A1185" s="108">
        <v>51610</v>
      </c>
      <c r="B1185" s="108" t="s">
        <v>1175</v>
      </c>
      <c r="C1185" s="108">
        <v>205</v>
      </c>
    </row>
    <row r="1186" spans="1:3" x14ac:dyDescent="0.25">
      <c r="A1186" s="108">
        <v>51611</v>
      </c>
      <c r="B1186" s="108" t="s">
        <v>1176</v>
      </c>
      <c r="C1186" s="108">
        <v>4.26</v>
      </c>
    </row>
    <row r="1187" spans="1:3" ht="30" x14ac:dyDescent="0.25">
      <c r="A1187" s="108">
        <v>51615</v>
      </c>
      <c r="B1187" s="108" t="s">
        <v>1177</v>
      </c>
      <c r="C1187" s="108">
        <v>10.61</v>
      </c>
    </row>
    <row r="1188" spans="1:3" ht="30" x14ac:dyDescent="0.25">
      <c r="A1188" s="108">
        <v>51616</v>
      </c>
      <c r="B1188" s="108" t="s">
        <v>1178</v>
      </c>
      <c r="C1188" s="108">
        <v>23.1</v>
      </c>
    </row>
    <row r="1189" spans="1:3" ht="30" x14ac:dyDescent="0.25">
      <c r="A1189" s="108">
        <v>51618</v>
      </c>
      <c r="B1189" s="108" t="s">
        <v>1179</v>
      </c>
      <c r="C1189" s="108">
        <v>85</v>
      </c>
    </row>
    <row r="1190" spans="1:3" ht="30" x14ac:dyDescent="0.25">
      <c r="A1190" s="108">
        <v>51619</v>
      </c>
      <c r="B1190" s="108" t="s">
        <v>1180</v>
      </c>
      <c r="C1190" s="108">
        <v>24.47</v>
      </c>
    </row>
    <row r="1191" spans="1:3" x14ac:dyDescent="0.25">
      <c r="A1191" s="108">
        <v>51620</v>
      </c>
      <c r="B1191" s="108" t="s">
        <v>1181</v>
      </c>
      <c r="C1191" s="108">
        <v>4.3499999999999996</v>
      </c>
    </row>
    <row r="1192" spans="1:3" x14ac:dyDescent="0.25">
      <c r="A1192" s="108">
        <v>51621</v>
      </c>
      <c r="B1192" s="108" t="s">
        <v>1182</v>
      </c>
      <c r="C1192" s="108">
        <v>510</v>
      </c>
    </row>
    <row r="1193" spans="1:3" ht="30" x14ac:dyDescent="0.25">
      <c r="A1193" s="108">
        <v>51622</v>
      </c>
      <c r="B1193" s="108" t="s">
        <v>1183</v>
      </c>
      <c r="C1193" s="108">
        <v>6.5</v>
      </c>
    </row>
    <row r="1194" spans="1:3" ht="30" x14ac:dyDescent="0.25">
      <c r="A1194" s="108">
        <v>51625</v>
      </c>
      <c r="B1194" s="108" t="s">
        <v>1184</v>
      </c>
      <c r="C1194" s="108">
        <v>2.7</v>
      </c>
    </row>
    <row r="1195" spans="1:3" ht="30" x14ac:dyDescent="0.25">
      <c r="A1195" s="108">
        <v>51626</v>
      </c>
      <c r="B1195" s="108" t="s">
        <v>1185</v>
      </c>
      <c r="C1195" s="108">
        <v>27.66</v>
      </c>
    </row>
    <row r="1196" spans="1:3" ht="30" x14ac:dyDescent="0.25">
      <c r="A1196" s="108">
        <v>51627</v>
      </c>
      <c r="B1196" s="108" t="s">
        <v>1186</v>
      </c>
      <c r="C1196" s="108">
        <v>2.1</v>
      </c>
    </row>
    <row r="1197" spans="1:3" ht="30" x14ac:dyDescent="0.25">
      <c r="A1197" s="108">
        <v>51628</v>
      </c>
      <c r="B1197" s="108" t="s">
        <v>1187</v>
      </c>
      <c r="C1197" s="108">
        <v>5.33</v>
      </c>
    </row>
    <row r="1198" spans="1:3" x14ac:dyDescent="0.25">
      <c r="A1198" s="108">
        <v>51630</v>
      </c>
      <c r="B1198" s="108" t="s">
        <v>1188</v>
      </c>
      <c r="C1198" s="108">
        <v>18</v>
      </c>
    </row>
    <row r="1199" spans="1:3" x14ac:dyDescent="0.25">
      <c r="A1199" s="108">
        <v>51631</v>
      </c>
      <c r="B1199" s="108" t="s">
        <v>1189</v>
      </c>
      <c r="C1199" s="108">
        <v>4.47</v>
      </c>
    </row>
    <row r="1200" spans="1:3" ht="30" x14ac:dyDescent="0.25">
      <c r="A1200" s="108">
        <v>51633</v>
      </c>
      <c r="B1200" s="108" t="s">
        <v>1190</v>
      </c>
      <c r="C1200" s="108">
        <v>25.28</v>
      </c>
    </row>
    <row r="1201" spans="1:3" ht="30" x14ac:dyDescent="0.25">
      <c r="A1201" s="108">
        <v>51636</v>
      </c>
      <c r="B1201" s="108" t="s">
        <v>1191</v>
      </c>
      <c r="C1201" s="108">
        <v>8.4700000000000006</v>
      </c>
    </row>
    <row r="1202" spans="1:3" x14ac:dyDescent="0.25">
      <c r="A1202" s="108">
        <v>51638</v>
      </c>
      <c r="B1202" s="108" t="s">
        <v>1192</v>
      </c>
      <c r="C1202" s="108">
        <v>69.5</v>
      </c>
    </row>
    <row r="1203" spans="1:3" x14ac:dyDescent="0.25">
      <c r="A1203" s="108">
        <v>51639</v>
      </c>
      <c r="B1203" s="108" t="s">
        <v>1193</v>
      </c>
      <c r="C1203" s="108">
        <v>92</v>
      </c>
    </row>
    <row r="1204" spans="1:3" x14ac:dyDescent="0.25">
      <c r="A1204" s="108">
        <v>51640</v>
      </c>
      <c r="B1204" s="108" t="s">
        <v>1194</v>
      </c>
      <c r="C1204" s="108">
        <v>19.100000000000001</v>
      </c>
    </row>
    <row r="1205" spans="1:3" x14ac:dyDescent="0.25">
      <c r="A1205" s="108">
        <v>51641</v>
      </c>
      <c r="B1205" s="108" t="s">
        <v>1195</v>
      </c>
      <c r="C1205" s="108">
        <v>15</v>
      </c>
    </row>
    <row r="1206" spans="1:3" ht="30" x14ac:dyDescent="0.25">
      <c r="A1206" s="108">
        <v>51642</v>
      </c>
      <c r="B1206" s="108" t="s">
        <v>1196</v>
      </c>
      <c r="C1206" s="108">
        <v>31</v>
      </c>
    </row>
    <row r="1207" spans="1:3" x14ac:dyDescent="0.25">
      <c r="A1207" s="108">
        <v>51646</v>
      </c>
      <c r="B1207" s="108" t="s">
        <v>1197</v>
      </c>
      <c r="C1207" s="108">
        <v>30.2</v>
      </c>
    </row>
    <row r="1208" spans="1:3" x14ac:dyDescent="0.25">
      <c r="A1208" s="108">
        <v>51647</v>
      </c>
      <c r="B1208" s="108" t="s">
        <v>1198</v>
      </c>
      <c r="C1208" s="108">
        <v>17.11</v>
      </c>
    </row>
    <row r="1209" spans="1:3" x14ac:dyDescent="0.25">
      <c r="A1209" s="108">
        <v>51648</v>
      </c>
      <c r="B1209" s="108" t="s">
        <v>1199</v>
      </c>
      <c r="C1209" s="108">
        <v>9.8000000000000007</v>
      </c>
    </row>
    <row r="1210" spans="1:3" x14ac:dyDescent="0.25">
      <c r="A1210" s="108">
        <v>51649</v>
      </c>
      <c r="B1210" s="108" t="s">
        <v>1200</v>
      </c>
      <c r="C1210" s="108">
        <v>8</v>
      </c>
    </row>
    <row r="1211" spans="1:3" x14ac:dyDescent="0.25">
      <c r="A1211" s="108">
        <v>5165</v>
      </c>
      <c r="B1211" s="108" t="s">
        <v>1201</v>
      </c>
      <c r="C1211" s="108">
        <v>4.9000000000000004</v>
      </c>
    </row>
    <row r="1212" spans="1:3" x14ac:dyDescent="0.25">
      <c r="A1212" s="108">
        <v>51650</v>
      </c>
      <c r="B1212" s="108" t="s">
        <v>1202</v>
      </c>
      <c r="C1212" s="108">
        <v>98.19</v>
      </c>
    </row>
    <row r="1213" spans="1:3" x14ac:dyDescent="0.25">
      <c r="A1213" s="108">
        <v>51651</v>
      </c>
      <c r="B1213" s="108" t="s">
        <v>1203</v>
      </c>
      <c r="C1213" s="108">
        <v>16.07</v>
      </c>
    </row>
    <row r="1214" spans="1:3" x14ac:dyDescent="0.25">
      <c r="A1214" s="108">
        <v>51655</v>
      </c>
      <c r="B1214" s="108" t="s">
        <v>1204</v>
      </c>
      <c r="C1214" s="110">
        <v>2900</v>
      </c>
    </row>
    <row r="1215" spans="1:3" ht="30" x14ac:dyDescent="0.25">
      <c r="A1215" s="108">
        <v>51656</v>
      </c>
      <c r="B1215" s="108" t="s">
        <v>1205</v>
      </c>
      <c r="C1215" s="108">
        <v>3.55</v>
      </c>
    </row>
    <row r="1216" spans="1:3" ht="30" x14ac:dyDescent="0.25">
      <c r="A1216" s="108">
        <v>51659</v>
      </c>
      <c r="B1216" s="108" t="s">
        <v>1206</v>
      </c>
      <c r="C1216" s="108">
        <v>90.49</v>
      </c>
    </row>
    <row r="1217" spans="1:3" x14ac:dyDescent="0.25">
      <c r="A1217" s="108">
        <v>51660</v>
      </c>
      <c r="B1217" s="108" t="s">
        <v>1207</v>
      </c>
      <c r="C1217" s="108">
        <v>55</v>
      </c>
    </row>
    <row r="1218" spans="1:3" x14ac:dyDescent="0.25">
      <c r="A1218" s="108">
        <v>51662</v>
      </c>
      <c r="B1218" s="108" t="s">
        <v>1208</v>
      </c>
      <c r="C1218" s="108">
        <v>12.11</v>
      </c>
    </row>
    <row r="1219" spans="1:3" ht="30" x14ac:dyDescent="0.25">
      <c r="A1219" s="108">
        <v>51665</v>
      </c>
      <c r="B1219" s="108" t="s">
        <v>1209</v>
      </c>
      <c r="C1219" s="108">
        <v>26.67</v>
      </c>
    </row>
    <row r="1220" spans="1:3" x14ac:dyDescent="0.25">
      <c r="A1220" s="108">
        <v>51666</v>
      </c>
      <c r="B1220" s="108" t="s">
        <v>1210</v>
      </c>
      <c r="C1220" s="108">
        <v>10.4</v>
      </c>
    </row>
    <row r="1221" spans="1:3" x14ac:dyDescent="0.25">
      <c r="A1221" s="108">
        <v>51668</v>
      </c>
      <c r="B1221" s="108" t="s">
        <v>1211</v>
      </c>
      <c r="C1221" s="108">
        <v>5.2</v>
      </c>
    </row>
    <row r="1222" spans="1:3" x14ac:dyDescent="0.25">
      <c r="A1222" s="108">
        <v>51669</v>
      </c>
      <c r="B1222" s="108" t="s">
        <v>1212</v>
      </c>
      <c r="C1222" s="108">
        <v>55.77</v>
      </c>
    </row>
    <row r="1223" spans="1:3" ht="30" x14ac:dyDescent="0.25">
      <c r="A1223" s="108">
        <v>51670</v>
      </c>
      <c r="B1223" s="108" t="s">
        <v>1213</v>
      </c>
      <c r="C1223" s="108">
        <v>103.25</v>
      </c>
    </row>
    <row r="1224" spans="1:3" ht="30" x14ac:dyDescent="0.25">
      <c r="A1224" s="108">
        <v>51673</v>
      </c>
      <c r="B1224" s="108" t="s">
        <v>1214</v>
      </c>
      <c r="C1224" s="108">
        <v>20.13</v>
      </c>
    </row>
    <row r="1225" spans="1:3" x14ac:dyDescent="0.25">
      <c r="A1225" s="108">
        <v>51674</v>
      </c>
      <c r="B1225" s="108" t="s">
        <v>1215</v>
      </c>
      <c r="C1225" s="108">
        <v>5.0599999999999996</v>
      </c>
    </row>
    <row r="1226" spans="1:3" ht="30" x14ac:dyDescent="0.25">
      <c r="A1226" s="108">
        <v>51676</v>
      </c>
      <c r="B1226" s="108" t="s">
        <v>1216</v>
      </c>
      <c r="C1226" s="108">
        <v>168</v>
      </c>
    </row>
    <row r="1227" spans="1:3" x14ac:dyDescent="0.25">
      <c r="A1227" s="108">
        <v>51681</v>
      </c>
      <c r="B1227" s="108" t="s">
        <v>1217</v>
      </c>
      <c r="C1227" s="108">
        <v>72</v>
      </c>
    </row>
    <row r="1228" spans="1:3" ht="30" x14ac:dyDescent="0.25">
      <c r="A1228" s="108">
        <v>51683</v>
      </c>
      <c r="B1228" s="108" t="s">
        <v>1218</v>
      </c>
      <c r="C1228" s="108">
        <v>6.5</v>
      </c>
    </row>
    <row r="1229" spans="1:3" x14ac:dyDescent="0.25">
      <c r="A1229" s="108">
        <v>51684</v>
      </c>
      <c r="B1229" s="108" t="s">
        <v>1219</v>
      </c>
      <c r="C1229" s="108">
        <v>1.56</v>
      </c>
    </row>
    <row r="1230" spans="1:3" ht="30" x14ac:dyDescent="0.25">
      <c r="A1230" s="108">
        <v>51685</v>
      </c>
      <c r="B1230" s="108" t="s">
        <v>1220</v>
      </c>
      <c r="C1230" s="108">
        <v>20</v>
      </c>
    </row>
    <row r="1231" spans="1:3" ht="30" x14ac:dyDescent="0.25">
      <c r="A1231" s="108">
        <v>51691</v>
      </c>
      <c r="B1231" s="108" t="s">
        <v>1221</v>
      </c>
      <c r="C1231" s="108">
        <v>20.82</v>
      </c>
    </row>
    <row r="1232" spans="1:3" x14ac:dyDescent="0.25">
      <c r="A1232" s="108">
        <v>51692</v>
      </c>
      <c r="B1232" s="108" t="s">
        <v>1222</v>
      </c>
      <c r="C1232" s="108">
        <v>20.3</v>
      </c>
    </row>
    <row r="1233" spans="1:3" ht="30" x14ac:dyDescent="0.25">
      <c r="A1233" s="108">
        <v>51696</v>
      </c>
      <c r="B1233" s="108" t="s">
        <v>1223</v>
      </c>
      <c r="C1233" s="108">
        <v>1.68</v>
      </c>
    </row>
    <row r="1234" spans="1:3" ht="30" x14ac:dyDescent="0.25">
      <c r="A1234" s="108">
        <v>51697</v>
      </c>
      <c r="B1234" s="108" t="s">
        <v>1224</v>
      </c>
      <c r="C1234" s="108">
        <v>1.8</v>
      </c>
    </row>
    <row r="1235" spans="1:3" ht="30" x14ac:dyDescent="0.25">
      <c r="A1235" s="108">
        <v>51699</v>
      </c>
      <c r="B1235" s="108" t="s">
        <v>1225</v>
      </c>
      <c r="C1235" s="108">
        <v>96.94</v>
      </c>
    </row>
    <row r="1236" spans="1:3" x14ac:dyDescent="0.25">
      <c r="A1236" s="108">
        <v>51700</v>
      </c>
      <c r="B1236" s="108" t="s">
        <v>1226</v>
      </c>
      <c r="C1236" s="108">
        <v>32.5</v>
      </c>
    </row>
    <row r="1237" spans="1:3" ht="30" x14ac:dyDescent="0.25">
      <c r="A1237" s="108">
        <v>51702</v>
      </c>
      <c r="B1237" s="108" t="s">
        <v>1227</v>
      </c>
      <c r="C1237" s="108">
        <v>25.42</v>
      </c>
    </row>
    <row r="1238" spans="1:3" x14ac:dyDescent="0.25">
      <c r="A1238" s="108">
        <v>51705</v>
      </c>
      <c r="B1238" s="108" t="s">
        <v>1228</v>
      </c>
      <c r="C1238" s="108">
        <v>15</v>
      </c>
    </row>
    <row r="1239" spans="1:3" x14ac:dyDescent="0.25">
      <c r="A1239" s="108">
        <v>51707</v>
      </c>
      <c r="B1239" s="108" t="s">
        <v>1229</v>
      </c>
      <c r="C1239" s="108">
        <v>2</v>
      </c>
    </row>
    <row r="1240" spans="1:3" x14ac:dyDescent="0.25">
      <c r="A1240" s="108">
        <v>51709</v>
      </c>
      <c r="B1240" s="108" t="s">
        <v>1230</v>
      </c>
      <c r="C1240" s="108">
        <v>7</v>
      </c>
    </row>
    <row r="1241" spans="1:3" x14ac:dyDescent="0.25">
      <c r="A1241" s="108">
        <v>51711</v>
      </c>
      <c r="B1241" s="108" t="s">
        <v>1231</v>
      </c>
      <c r="C1241" s="108">
        <v>8.41</v>
      </c>
    </row>
    <row r="1242" spans="1:3" x14ac:dyDescent="0.25">
      <c r="A1242" s="108">
        <v>51712</v>
      </c>
      <c r="B1242" s="108" t="s">
        <v>1232</v>
      </c>
      <c r="C1242" s="108">
        <v>1.52</v>
      </c>
    </row>
    <row r="1243" spans="1:3" ht="30" x14ac:dyDescent="0.25">
      <c r="A1243" s="108">
        <v>51714</v>
      </c>
      <c r="B1243" s="108" t="s">
        <v>1233</v>
      </c>
      <c r="C1243" s="108">
        <v>23</v>
      </c>
    </row>
    <row r="1244" spans="1:3" x14ac:dyDescent="0.25">
      <c r="A1244" s="108">
        <v>51715</v>
      </c>
      <c r="B1244" s="108" t="s">
        <v>1234</v>
      </c>
      <c r="C1244" s="108">
        <v>2.7</v>
      </c>
    </row>
    <row r="1245" spans="1:3" x14ac:dyDescent="0.25">
      <c r="A1245" s="108">
        <v>51717</v>
      </c>
      <c r="B1245" s="108" t="s">
        <v>1235</v>
      </c>
      <c r="C1245" s="108">
        <v>40.79</v>
      </c>
    </row>
    <row r="1246" spans="1:3" x14ac:dyDescent="0.25">
      <c r="A1246" s="108">
        <v>51718</v>
      </c>
      <c r="B1246" s="108" t="s">
        <v>1236</v>
      </c>
      <c r="C1246" s="108">
        <v>2.6</v>
      </c>
    </row>
    <row r="1247" spans="1:3" x14ac:dyDescent="0.25">
      <c r="A1247" s="108">
        <v>51720</v>
      </c>
      <c r="B1247" s="108" t="s">
        <v>1237</v>
      </c>
      <c r="C1247" s="108">
        <v>20.79</v>
      </c>
    </row>
    <row r="1248" spans="1:3" ht="30" x14ac:dyDescent="0.25">
      <c r="A1248" s="108">
        <v>51721</v>
      </c>
      <c r="B1248" s="108" t="s">
        <v>1238</v>
      </c>
      <c r="C1248" s="108">
        <v>7.01</v>
      </c>
    </row>
    <row r="1249" spans="1:3" ht="30" x14ac:dyDescent="0.25">
      <c r="A1249" s="108">
        <v>51722</v>
      </c>
      <c r="B1249" s="108" t="s">
        <v>1239</v>
      </c>
      <c r="C1249" s="108">
        <v>19</v>
      </c>
    </row>
    <row r="1250" spans="1:3" ht="30" x14ac:dyDescent="0.25">
      <c r="A1250" s="108">
        <v>51723</v>
      </c>
      <c r="B1250" s="108" t="s">
        <v>1240</v>
      </c>
      <c r="C1250" s="108">
        <v>4.5</v>
      </c>
    </row>
    <row r="1251" spans="1:3" ht="30" x14ac:dyDescent="0.25">
      <c r="A1251" s="108">
        <v>51724</v>
      </c>
      <c r="B1251" s="108" t="s">
        <v>1241</v>
      </c>
      <c r="C1251" s="108">
        <v>7.25</v>
      </c>
    </row>
    <row r="1252" spans="1:3" ht="30" x14ac:dyDescent="0.25">
      <c r="A1252" s="108">
        <v>51725</v>
      </c>
      <c r="B1252" s="108" t="s">
        <v>1242</v>
      </c>
      <c r="C1252" s="108">
        <v>9.14</v>
      </c>
    </row>
    <row r="1253" spans="1:3" ht="30" x14ac:dyDescent="0.25">
      <c r="A1253" s="108">
        <v>51726</v>
      </c>
      <c r="B1253" s="108" t="s">
        <v>1243</v>
      </c>
      <c r="C1253" s="108">
        <v>13.68</v>
      </c>
    </row>
    <row r="1254" spans="1:3" ht="30" x14ac:dyDescent="0.25">
      <c r="A1254" s="108">
        <v>51727</v>
      </c>
      <c r="B1254" s="108" t="s">
        <v>1244</v>
      </c>
      <c r="C1254" s="108">
        <v>9.15</v>
      </c>
    </row>
    <row r="1255" spans="1:3" ht="30" x14ac:dyDescent="0.25">
      <c r="A1255" s="108">
        <v>51728</v>
      </c>
      <c r="B1255" s="108" t="s">
        <v>1245</v>
      </c>
      <c r="C1255" s="108">
        <v>4.6399999999999997</v>
      </c>
    </row>
    <row r="1256" spans="1:3" x14ac:dyDescent="0.25">
      <c r="A1256" s="108">
        <v>51732</v>
      </c>
      <c r="B1256" s="108" t="s">
        <v>1246</v>
      </c>
      <c r="C1256" s="108">
        <v>161.01</v>
      </c>
    </row>
    <row r="1257" spans="1:3" ht="30" x14ac:dyDescent="0.25">
      <c r="A1257" s="108">
        <v>51736</v>
      </c>
      <c r="B1257" s="108" t="s">
        <v>1247</v>
      </c>
      <c r="C1257" s="108">
        <v>6.39</v>
      </c>
    </row>
    <row r="1258" spans="1:3" ht="30" x14ac:dyDescent="0.25">
      <c r="A1258" s="108">
        <v>51741</v>
      </c>
      <c r="B1258" s="108" t="s">
        <v>1248</v>
      </c>
      <c r="C1258" s="108">
        <v>1.64</v>
      </c>
    </row>
    <row r="1259" spans="1:3" ht="30" x14ac:dyDescent="0.25">
      <c r="A1259" s="108">
        <v>51742</v>
      </c>
      <c r="B1259" s="108" t="s">
        <v>1249</v>
      </c>
      <c r="C1259" s="108">
        <v>2.94</v>
      </c>
    </row>
    <row r="1260" spans="1:3" ht="30" x14ac:dyDescent="0.25">
      <c r="A1260" s="108">
        <v>51744</v>
      </c>
      <c r="B1260" s="108" t="s">
        <v>1250</v>
      </c>
      <c r="C1260" s="108">
        <v>2.2999999999999998</v>
      </c>
    </row>
    <row r="1261" spans="1:3" ht="30" x14ac:dyDescent="0.25">
      <c r="A1261" s="108">
        <v>51746</v>
      </c>
      <c r="B1261" s="108" t="s">
        <v>1251</v>
      </c>
      <c r="C1261" s="108">
        <v>32.19</v>
      </c>
    </row>
    <row r="1262" spans="1:3" ht="30" x14ac:dyDescent="0.25">
      <c r="A1262" s="108">
        <v>51747</v>
      </c>
      <c r="B1262" s="108" t="s">
        <v>1252</v>
      </c>
      <c r="C1262" s="108">
        <v>74.099999999999994</v>
      </c>
    </row>
    <row r="1263" spans="1:3" ht="30" x14ac:dyDescent="0.25">
      <c r="A1263" s="108">
        <v>51748</v>
      </c>
      <c r="B1263" s="108" t="s">
        <v>1253</v>
      </c>
      <c r="C1263" s="108">
        <v>71.27</v>
      </c>
    </row>
    <row r="1264" spans="1:3" ht="30" x14ac:dyDescent="0.25">
      <c r="A1264" s="108">
        <v>51749</v>
      </c>
      <c r="B1264" s="108" t="s">
        <v>1254</v>
      </c>
      <c r="C1264" s="108">
        <v>5.22</v>
      </c>
    </row>
    <row r="1265" spans="1:3" ht="30" x14ac:dyDescent="0.25">
      <c r="A1265" s="108">
        <v>51750</v>
      </c>
      <c r="B1265" s="108" t="s">
        <v>1255</v>
      </c>
      <c r="C1265" s="108">
        <v>28.87</v>
      </c>
    </row>
    <row r="1266" spans="1:3" ht="30" x14ac:dyDescent="0.25">
      <c r="A1266" s="108">
        <v>51753</v>
      </c>
      <c r="B1266" s="108" t="s">
        <v>1256</v>
      </c>
      <c r="C1266" s="108">
        <v>2</v>
      </c>
    </row>
    <row r="1267" spans="1:3" x14ac:dyDescent="0.25">
      <c r="A1267" s="108">
        <v>51754</v>
      </c>
      <c r="B1267" s="108" t="s">
        <v>1257</v>
      </c>
      <c r="C1267" s="108">
        <v>48</v>
      </c>
    </row>
    <row r="1268" spans="1:3" x14ac:dyDescent="0.25">
      <c r="A1268" s="108">
        <v>51761</v>
      </c>
      <c r="B1268" s="108" t="s">
        <v>1258</v>
      </c>
      <c r="C1268" s="108">
        <v>28</v>
      </c>
    </row>
    <row r="1269" spans="1:3" ht="30" x14ac:dyDescent="0.25">
      <c r="A1269" s="108">
        <v>51764</v>
      </c>
      <c r="B1269" s="108" t="s">
        <v>1259</v>
      </c>
      <c r="C1269" s="108">
        <v>55</v>
      </c>
    </row>
    <row r="1270" spans="1:3" ht="30" x14ac:dyDescent="0.25">
      <c r="A1270" s="108">
        <v>51773</v>
      </c>
      <c r="B1270" s="108" t="s">
        <v>1260</v>
      </c>
      <c r="C1270" s="108">
        <v>92.04</v>
      </c>
    </row>
    <row r="1271" spans="1:3" ht="30" x14ac:dyDescent="0.25">
      <c r="A1271" s="108">
        <v>51774</v>
      </c>
      <c r="B1271" s="108" t="s">
        <v>1261</v>
      </c>
      <c r="C1271" s="108">
        <v>75</v>
      </c>
    </row>
    <row r="1272" spans="1:3" ht="30" x14ac:dyDescent="0.25">
      <c r="A1272" s="108">
        <v>51778</v>
      </c>
      <c r="B1272" s="108" t="s">
        <v>1262</v>
      </c>
      <c r="C1272" s="108">
        <v>74.709999999999994</v>
      </c>
    </row>
    <row r="1273" spans="1:3" ht="30" x14ac:dyDescent="0.25">
      <c r="A1273" s="108">
        <v>51781</v>
      </c>
      <c r="B1273" s="108" t="s">
        <v>1263</v>
      </c>
      <c r="C1273" s="108">
        <v>45</v>
      </c>
    </row>
    <row r="1274" spans="1:3" x14ac:dyDescent="0.25">
      <c r="A1274" s="108">
        <v>51782</v>
      </c>
      <c r="B1274" s="108" t="s">
        <v>1264</v>
      </c>
      <c r="C1274" s="108">
        <v>17</v>
      </c>
    </row>
    <row r="1275" spans="1:3" ht="30" x14ac:dyDescent="0.25">
      <c r="A1275" s="108">
        <v>51783</v>
      </c>
      <c r="B1275" s="108" t="s">
        <v>1265</v>
      </c>
      <c r="C1275" s="108">
        <v>15</v>
      </c>
    </row>
    <row r="1276" spans="1:3" x14ac:dyDescent="0.25">
      <c r="A1276" s="108">
        <v>51786</v>
      </c>
      <c r="B1276" s="108" t="s">
        <v>1266</v>
      </c>
      <c r="C1276" s="108">
        <v>5</v>
      </c>
    </row>
    <row r="1277" spans="1:3" ht="30" x14ac:dyDescent="0.25">
      <c r="A1277" s="108">
        <v>51796</v>
      </c>
      <c r="B1277" s="108" t="s">
        <v>1267</v>
      </c>
      <c r="C1277" s="108">
        <v>10</v>
      </c>
    </row>
    <row r="1278" spans="1:3" ht="30" x14ac:dyDescent="0.25">
      <c r="A1278" s="108">
        <v>51800</v>
      </c>
      <c r="B1278" s="108" t="s">
        <v>1268</v>
      </c>
      <c r="C1278" s="108">
        <v>35</v>
      </c>
    </row>
    <row r="1279" spans="1:3" x14ac:dyDescent="0.25">
      <c r="A1279" s="108">
        <v>51801</v>
      </c>
      <c r="B1279" s="108" t="s">
        <v>1269</v>
      </c>
      <c r="C1279" s="108">
        <v>2.4</v>
      </c>
    </row>
    <row r="1280" spans="1:3" x14ac:dyDescent="0.25">
      <c r="A1280" s="108">
        <v>51803</v>
      </c>
      <c r="B1280" s="108" t="s">
        <v>1270</v>
      </c>
      <c r="C1280" s="108">
        <v>40</v>
      </c>
    </row>
    <row r="1281" spans="1:3" x14ac:dyDescent="0.25">
      <c r="A1281" s="108">
        <v>51804</v>
      </c>
      <c r="B1281" s="108" t="s">
        <v>1271</v>
      </c>
      <c r="C1281" s="108">
        <v>3.4</v>
      </c>
    </row>
    <row r="1282" spans="1:3" x14ac:dyDescent="0.25">
      <c r="A1282" s="108">
        <v>51805</v>
      </c>
      <c r="B1282" s="108" t="s">
        <v>1272</v>
      </c>
      <c r="C1282" s="108">
        <v>2.7</v>
      </c>
    </row>
    <row r="1283" spans="1:3" ht="30" x14ac:dyDescent="0.25">
      <c r="A1283" s="108">
        <v>51806</v>
      </c>
      <c r="B1283" s="108" t="s">
        <v>1273</v>
      </c>
      <c r="C1283" s="108">
        <v>98</v>
      </c>
    </row>
    <row r="1284" spans="1:3" ht="30" x14ac:dyDescent="0.25">
      <c r="A1284" s="108">
        <v>51807</v>
      </c>
      <c r="B1284" s="108" t="s">
        <v>1274</v>
      </c>
      <c r="C1284" s="108">
        <v>3.3</v>
      </c>
    </row>
    <row r="1285" spans="1:3" ht="30" x14ac:dyDescent="0.25">
      <c r="A1285" s="108">
        <v>51808</v>
      </c>
      <c r="B1285" s="108" t="s">
        <v>1275</v>
      </c>
      <c r="C1285" s="108">
        <v>171.62</v>
      </c>
    </row>
    <row r="1286" spans="1:3" x14ac:dyDescent="0.25">
      <c r="A1286" s="108">
        <v>51809</v>
      </c>
      <c r="B1286" s="108" t="s">
        <v>1276</v>
      </c>
      <c r="C1286" s="108">
        <v>191</v>
      </c>
    </row>
    <row r="1287" spans="1:3" ht="30" x14ac:dyDescent="0.25">
      <c r="A1287" s="108">
        <v>51810</v>
      </c>
      <c r="B1287" s="108" t="s">
        <v>1277</v>
      </c>
      <c r="C1287" s="108">
        <v>2.19</v>
      </c>
    </row>
    <row r="1288" spans="1:3" ht="30" x14ac:dyDescent="0.25">
      <c r="A1288" s="108">
        <v>51811</v>
      </c>
      <c r="B1288" s="108" t="s">
        <v>1278</v>
      </c>
      <c r="C1288" s="108">
        <v>2.19</v>
      </c>
    </row>
    <row r="1289" spans="1:3" ht="30" x14ac:dyDescent="0.25">
      <c r="A1289" s="108">
        <v>51812</v>
      </c>
      <c r="B1289" s="108" t="s">
        <v>1279</v>
      </c>
      <c r="C1289" s="108">
        <v>96.49</v>
      </c>
    </row>
    <row r="1290" spans="1:3" x14ac:dyDescent="0.25">
      <c r="A1290" s="108">
        <v>51815</v>
      </c>
      <c r="B1290" s="108" t="s">
        <v>1280</v>
      </c>
      <c r="C1290" s="108">
        <v>26.75</v>
      </c>
    </row>
    <row r="1291" spans="1:3" x14ac:dyDescent="0.25">
      <c r="A1291" s="108">
        <v>51816</v>
      </c>
      <c r="B1291" s="108" t="s">
        <v>1281</v>
      </c>
      <c r="C1291" s="108">
        <v>61.49</v>
      </c>
    </row>
    <row r="1292" spans="1:3" x14ac:dyDescent="0.25">
      <c r="A1292" s="108">
        <v>51817</v>
      </c>
      <c r="B1292" s="108" t="s">
        <v>1282</v>
      </c>
      <c r="C1292" s="108">
        <v>83.06</v>
      </c>
    </row>
    <row r="1293" spans="1:3" x14ac:dyDescent="0.25">
      <c r="A1293" s="108">
        <v>51818</v>
      </c>
      <c r="B1293" s="108" t="s">
        <v>1283</v>
      </c>
      <c r="C1293" s="108">
        <v>81</v>
      </c>
    </row>
    <row r="1294" spans="1:3" ht="30" x14ac:dyDescent="0.25">
      <c r="A1294" s="108">
        <v>51819</v>
      </c>
      <c r="B1294" s="108" t="s">
        <v>1284</v>
      </c>
      <c r="C1294" s="108">
        <v>66.95</v>
      </c>
    </row>
    <row r="1295" spans="1:3" x14ac:dyDescent="0.25">
      <c r="A1295" s="108">
        <v>51820</v>
      </c>
      <c r="B1295" s="108" t="s">
        <v>1285</v>
      </c>
      <c r="C1295" s="110">
        <v>1480</v>
      </c>
    </row>
    <row r="1296" spans="1:3" x14ac:dyDescent="0.25">
      <c r="A1296" s="108">
        <v>51823</v>
      </c>
      <c r="B1296" s="108" t="s">
        <v>1286</v>
      </c>
      <c r="C1296" s="109">
        <v>1757.4</v>
      </c>
    </row>
    <row r="1297" spans="1:3" x14ac:dyDescent="0.25">
      <c r="A1297" s="108">
        <v>51824</v>
      </c>
      <c r="B1297" s="108" t="s">
        <v>1287</v>
      </c>
      <c r="C1297" s="108">
        <v>25</v>
      </c>
    </row>
    <row r="1298" spans="1:3" ht="30" x14ac:dyDescent="0.25">
      <c r="A1298" s="108">
        <v>51825</v>
      </c>
      <c r="B1298" s="108" t="s">
        <v>1288</v>
      </c>
      <c r="C1298" s="108">
        <v>133.37</v>
      </c>
    </row>
    <row r="1299" spans="1:3" x14ac:dyDescent="0.25">
      <c r="A1299" s="108">
        <v>51826</v>
      </c>
      <c r="B1299" s="108" t="s">
        <v>1289</v>
      </c>
      <c r="C1299" s="108">
        <v>57.85</v>
      </c>
    </row>
    <row r="1300" spans="1:3" x14ac:dyDescent="0.25">
      <c r="A1300" s="108">
        <v>51827</v>
      </c>
      <c r="B1300" s="108" t="s">
        <v>1290</v>
      </c>
      <c r="C1300" s="108">
        <v>94.13</v>
      </c>
    </row>
    <row r="1301" spans="1:3" ht="30" x14ac:dyDescent="0.25">
      <c r="A1301" s="108">
        <v>51828</v>
      </c>
      <c r="B1301" s="108" t="s">
        <v>1291</v>
      </c>
      <c r="C1301" s="108">
        <v>97.18</v>
      </c>
    </row>
    <row r="1302" spans="1:3" x14ac:dyDescent="0.25">
      <c r="A1302" s="108">
        <v>51829</v>
      </c>
      <c r="B1302" s="108" t="s">
        <v>1292</v>
      </c>
      <c r="C1302" s="108">
        <v>29.56</v>
      </c>
    </row>
    <row r="1303" spans="1:3" x14ac:dyDescent="0.25">
      <c r="A1303" s="108">
        <v>51830</v>
      </c>
      <c r="B1303" s="108" t="s">
        <v>1293</v>
      </c>
      <c r="C1303" s="108">
        <v>17.91</v>
      </c>
    </row>
    <row r="1304" spans="1:3" ht="30" x14ac:dyDescent="0.25">
      <c r="A1304" s="108">
        <v>51831</v>
      </c>
      <c r="B1304" s="108" t="s">
        <v>16108</v>
      </c>
      <c r="C1304" s="108">
        <v>245</v>
      </c>
    </row>
    <row r="1305" spans="1:3" x14ac:dyDescent="0.25">
      <c r="A1305" s="108">
        <v>51832</v>
      </c>
      <c r="B1305" s="108" t="s">
        <v>1294</v>
      </c>
      <c r="C1305" s="108">
        <v>203</v>
      </c>
    </row>
    <row r="1306" spans="1:3" x14ac:dyDescent="0.25">
      <c r="A1306" s="108">
        <v>51833</v>
      </c>
      <c r="B1306" s="108" t="s">
        <v>1295</v>
      </c>
      <c r="C1306" s="108">
        <v>259</v>
      </c>
    </row>
    <row r="1307" spans="1:3" ht="30" x14ac:dyDescent="0.25">
      <c r="A1307" s="108">
        <v>51834</v>
      </c>
      <c r="B1307" s="108" t="s">
        <v>1296</v>
      </c>
      <c r="C1307" s="108">
        <v>535.34</v>
      </c>
    </row>
    <row r="1308" spans="1:3" ht="30" x14ac:dyDescent="0.25">
      <c r="A1308" s="108">
        <v>51835</v>
      </c>
      <c r="B1308" s="108" t="s">
        <v>1297</v>
      </c>
      <c r="C1308" s="108">
        <v>553</v>
      </c>
    </row>
    <row r="1309" spans="1:3" x14ac:dyDescent="0.25">
      <c r="A1309" s="108">
        <v>51836</v>
      </c>
      <c r="B1309" s="108" t="s">
        <v>1298</v>
      </c>
      <c r="C1309" s="108">
        <v>24.05</v>
      </c>
    </row>
    <row r="1310" spans="1:3" x14ac:dyDescent="0.25">
      <c r="A1310" s="108">
        <v>51837</v>
      </c>
      <c r="B1310" s="108" t="s">
        <v>1299</v>
      </c>
      <c r="C1310" s="108">
        <v>18.5</v>
      </c>
    </row>
    <row r="1311" spans="1:3" x14ac:dyDescent="0.25">
      <c r="A1311" s="108">
        <v>51838</v>
      </c>
      <c r="B1311" s="108" t="s">
        <v>1300</v>
      </c>
      <c r="C1311" s="108">
        <v>14.04</v>
      </c>
    </row>
    <row r="1312" spans="1:3" x14ac:dyDescent="0.25">
      <c r="A1312" s="108">
        <v>51839</v>
      </c>
      <c r="B1312" s="108" t="s">
        <v>1301</v>
      </c>
      <c r="C1312" s="108">
        <v>5.72</v>
      </c>
    </row>
    <row r="1313" spans="1:3" x14ac:dyDescent="0.25">
      <c r="A1313" s="108">
        <v>51840</v>
      </c>
      <c r="B1313" s="108" t="s">
        <v>1302</v>
      </c>
      <c r="C1313" s="108">
        <v>19.5</v>
      </c>
    </row>
    <row r="1314" spans="1:3" x14ac:dyDescent="0.25">
      <c r="A1314" s="108">
        <v>51841</v>
      </c>
      <c r="B1314" s="108" t="s">
        <v>1303</v>
      </c>
      <c r="C1314" s="108">
        <v>5.52</v>
      </c>
    </row>
    <row r="1315" spans="1:3" x14ac:dyDescent="0.25">
      <c r="A1315" s="108">
        <v>51842</v>
      </c>
      <c r="B1315" s="108" t="s">
        <v>1304</v>
      </c>
      <c r="C1315" s="108">
        <v>766.75</v>
      </c>
    </row>
    <row r="1316" spans="1:3" x14ac:dyDescent="0.25">
      <c r="A1316" s="108">
        <v>51843</v>
      </c>
      <c r="B1316" s="108" t="s">
        <v>1305</v>
      </c>
      <c r="C1316" s="108">
        <v>415</v>
      </c>
    </row>
    <row r="1317" spans="1:3" ht="30" x14ac:dyDescent="0.25">
      <c r="A1317" s="108">
        <v>51845</v>
      </c>
      <c r="B1317" s="108" t="s">
        <v>1306</v>
      </c>
      <c r="C1317" s="108">
        <v>2.48</v>
      </c>
    </row>
    <row r="1318" spans="1:3" ht="30" x14ac:dyDescent="0.25">
      <c r="A1318" s="108">
        <v>51846</v>
      </c>
      <c r="B1318" s="108" t="s">
        <v>1307</v>
      </c>
      <c r="C1318" s="108">
        <v>2.91</v>
      </c>
    </row>
    <row r="1319" spans="1:3" ht="30" x14ac:dyDescent="0.25">
      <c r="A1319" s="108">
        <v>51847</v>
      </c>
      <c r="B1319" s="108" t="s">
        <v>1308</v>
      </c>
      <c r="C1319" s="108">
        <v>1.5</v>
      </c>
    </row>
    <row r="1320" spans="1:3" x14ac:dyDescent="0.25">
      <c r="A1320" s="108">
        <v>51848</v>
      </c>
      <c r="B1320" s="108" t="s">
        <v>1309</v>
      </c>
      <c r="C1320" s="108">
        <v>4.9800000000000004</v>
      </c>
    </row>
    <row r="1321" spans="1:3" ht="30" x14ac:dyDescent="0.25">
      <c r="A1321" s="108">
        <v>51849</v>
      </c>
      <c r="B1321" s="108" t="s">
        <v>1310</v>
      </c>
      <c r="C1321" s="108">
        <v>1.8</v>
      </c>
    </row>
    <row r="1322" spans="1:3" x14ac:dyDescent="0.25">
      <c r="A1322" s="108">
        <v>51850</v>
      </c>
      <c r="B1322" s="108" t="s">
        <v>1311</v>
      </c>
      <c r="C1322" s="108">
        <v>6.8</v>
      </c>
    </row>
    <row r="1323" spans="1:3" ht="30" x14ac:dyDescent="0.25">
      <c r="A1323" s="108">
        <v>51851</v>
      </c>
      <c r="B1323" s="108" t="s">
        <v>1312</v>
      </c>
      <c r="C1323" s="108">
        <v>7.35</v>
      </c>
    </row>
    <row r="1324" spans="1:3" ht="30" x14ac:dyDescent="0.25">
      <c r="A1324" s="108">
        <v>51852</v>
      </c>
      <c r="B1324" s="108" t="s">
        <v>1313</v>
      </c>
      <c r="C1324" s="108">
        <v>5.81</v>
      </c>
    </row>
    <row r="1325" spans="1:3" ht="30" x14ac:dyDescent="0.25">
      <c r="A1325" s="108">
        <v>51853</v>
      </c>
      <c r="B1325" s="108" t="s">
        <v>1314</v>
      </c>
      <c r="C1325" s="108">
        <v>4.9800000000000004</v>
      </c>
    </row>
    <row r="1326" spans="1:3" x14ac:dyDescent="0.25">
      <c r="A1326" s="108">
        <v>51855</v>
      </c>
      <c r="B1326" s="108" t="s">
        <v>1315</v>
      </c>
      <c r="C1326" s="108">
        <v>6.6</v>
      </c>
    </row>
    <row r="1327" spans="1:3" x14ac:dyDescent="0.25">
      <c r="A1327" s="108">
        <v>51856</v>
      </c>
      <c r="B1327" s="108" t="s">
        <v>1316</v>
      </c>
      <c r="C1327" s="108">
        <v>23.77</v>
      </c>
    </row>
    <row r="1328" spans="1:3" x14ac:dyDescent="0.25">
      <c r="A1328" s="108">
        <v>51858</v>
      </c>
      <c r="B1328" s="108" t="s">
        <v>1317</v>
      </c>
      <c r="C1328" s="108">
        <v>4.13</v>
      </c>
    </row>
    <row r="1329" spans="1:3" x14ac:dyDescent="0.25">
      <c r="A1329" s="108">
        <v>51859</v>
      </c>
      <c r="B1329" s="108" t="s">
        <v>1318</v>
      </c>
      <c r="C1329" s="108">
        <v>4.13</v>
      </c>
    </row>
    <row r="1330" spans="1:3" x14ac:dyDescent="0.25">
      <c r="A1330" s="108">
        <v>51860</v>
      </c>
      <c r="B1330" s="108" t="s">
        <v>1319</v>
      </c>
      <c r="C1330" s="108">
        <v>4.13</v>
      </c>
    </row>
    <row r="1331" spans="1:3" x14ac:dyDescent="0.25">
      <c r="A1331" s="108">
        <v>51861</v>
      </c>
      <c r="B1331" s="108" t="s">
        <v>1320</v>
      </c>
      <c r="C1331" s="108">
        <v>18.98</v>
      </c>
    </row>
    <row r="1332" spans="1:3" x14ac:dyDescent="0.25">
      <c r="A1332" s="108">
        <v>51863</v>
      </c>
      <c r="B1332" s="108" t="s">
        <v>1321</v>
      </c>
      <c r="C1332" s="108">
        <v>24.76</v>
      </c>
    </row>
    <row r="1333" spans="1:3" x14ac:dyDescent="0.25">
      <c r="A1333" s="108">
        <v>51865</v>
      </c>
      <c r="B1333" s="108" t="s">
        <v>1322</v>
      </c>
      <c r="C1333" s="108">
        <v>1.9</v>
      </c>
    </row>
    <row r="1334" spans="1:3" x14ac:dyDescent="0.25">
      <c r="A1334" s="108">
        <v>51867</v>
      </c>
      <c r="B1334" s="108" t="s">
        <v>1323</v>
      </c>
      <c r="C1334" s="108">
        <v>2.48</v>
      </c>
    </row>
    <row r="1335" spans="1:3" x14ac:dyDescent="0.25">
      <c r="A1335" s="108">
        <v>51868</v>
      </c>
      <c r="B1335" s="108" t="s">
        <v>1324</v>
      </c>
      <c r="C1335" s="108">
        <v>40</v>
      </c>
    </row>
    <row r="1336" spans="1:3" x14ac:dyDescent="0.25">
      <c r="A1336" s="108">
        <v>51869</v>
      </c>
      <c r="B1336" s="108" t="s">
        <v>1325</v>
      </c>
      <c r="C1336" s="108">
        <v>20.16</v>
      </c>
    </row>
    <row r="1337" spans="1:3" x14ac:dyDescent="0.25">
      <c r="A1337" s="108">
        <v>51870</v>
      </c>
      <c r="B1337" s="108" t="s">
        <v>1326</v>
      </c>
      <c r="C1337" s="108">
        <v>1.32</v>
      </c>
    </row>
    <row r="1338" spans="1:3" x14ac:dyDescent="0.25">
      <c r="A1338" s="108">
        <v>51872</v>
      </c>
      <c r="B1338" s="108" t="s">
        <v>1327</v>
      </c>
      <c r="C1338" s="108">
        <v>7.26</v>
      </c>
    </row>
    <row r="1339" spans="1:3" x14ac:dyDescent="0.25">
      <c r="A1339" s="108">
        <v>51873</v>
      </c>
      <c r="B1339" s="108" t="s">
        <v>1328</v>
      </c>
      <c r="C1339" s="108">
        <v>26.41</v>
      </c>
    </row>
    <row r="1340" spans="1:3" x14ac:dyDescent="0.25">
      <c r="A1340" s="108">
        <v>51874</v>
      </c>
      <c r="B1340" s="108" t="s">
        <v>1329</v>
      </c>
      <c r="C1340" s="108">
        <v>6.6</v>
      </c>
    </row>
    <row r="1341" spans="1:3" x14ac:dyDescent="0.25">
      <c r="A1341" s="108">
        <v>51875</v>
      </c>
      <c r="B1341" s="108" t="s">
        <v>1330</v>
      </c>
      <c r="C1341" s="108">
        <v>3.3</v>
      </c>
    </row>
    <row r="1342" spans="1:3" x14ac:dyDescent="0.25">
      <c r="A1342" s="108">
        <v>51876</v>
      </c>
      <c r="B1342" s="108" t="s">
        <v>1331</v>
      </c>
      <c r="C1342" s="108">
        <v>16.510000000000002</v>
      </c>
    </row>
    <row r="1343" spans="1:3" x14ac:dyDescent="0.25">
      <c r="A1343" s="108">
        <v>51879</v>
      </c>
      <c r="B1343" s="108" t="s">
        <v>1332</v>
      </c>
      <c r="C1343" s="108">
        <v>4.95</v>
      </c>
    </row>
    <row r="1344" spans="1:3" x14ac:dyDescent="0.25">
      <c r="A1344" s="108">
        <v>51882</v>
      </c>
      <c r="B1344" s="108" t="s">
        <v>1333</v>
      </c>
      <c r="C1344" s="108">
        <v>4.95</v>
      </c>
    </row>
    <row r="1345" spans="1:3" x14ac:dyDescent="0.25">
      <c r="A1345" s="108">
        <v>51883</v>
      </c>
      <c r="B1345" s="108" t="s">
        <v>1334</v>
      </c>
      <c r="C1345" s="108">
        <v>13.21</v>
      </c>
    </row>
    <row r="1346" spans="1:3" x14ac:dyDescent="0.25">
      <c r="A1346" s="108">
        <v>51884</v>
      </c>
      <c r="B1346" s="108" t="s">
        <v>1335</v>
      </c>
      <c r="C1346" s="108">
        <v>17.690000000000001</v>
      </c>
    </row>
    <row r="1347" spans="1:3" x14ac:dyDescent="0.25">
      <c r="A1347" s="108">
        <v>51885</v>
      </c>
      <c r="B1347" s="108" t="s">
        <v>1336</v>
      </c>
      <c r="C1347" s="108">
        <v>8.25</v>
      </c>
    </row>
    <row r="1348" spans="1:3" x14ac:dyDescent="0.25">
      <c r="A1348" s="108">
        <v>51886</v>
      </c>
      <c r="B1348" s="108" t="s">
        <v>1337</v>
      </c>
      <c r="C1348" s="108">
        <v>21.22</v>
      </c>
    </row>
    <row r="1349" spans="1:3" x14ac:dyDescent="0.25">
      <c r="A1349" s="108">
        <v>51887</v>
      </c>
      <c r="B1349" s="108" t="s">
        <v>1338</v>
      </c>
      <c r="C1349" s="108">
        <v>17.690000000000001</v>
      </c>
    </row>
    <row r="1350" spans="1:3" x14ac:dyDescent="0.25">
      <c r="A1350" s="108">
        <v>51889</v>
      </c>
      <c r="B1350" s="108" t="s">
        <v>1339</v>
      </c>
      <c r="C1350" s="108">
        <v>18.87</v>
      </c>
    </row>
    <row r="1351" spans="1:3" x14ac:dyDescent="0.25">
      <c r="A1351" s="108">
        <v>51890</v>
      </c>
      <c r="B1351" s="108" t="s">
        <v>1340</v>
      </c>
      <c r="C1351" s="108">
        <v>5.78</v>
      </c>
    </row>
    <row r="1352" spans="1:3" x14ac:dyDescent="0.25">
      <c r="A1352" s="108">
        <v>51892</v>
      </c>
      <c r="B1352" s="108" t="s">
        <v>1341</v>
      </c>
      <c r="C1352" s="108">
        <v>4.13</v>
      </c>
    </row>
    <row r="1353" spans="1:3" x14ac:dyDescent="0.25">
      <c r="A1353" s="108">
        <v>51893</v>
      </c>
      <c r="B1353" s="108" t="s">
        <v>1342</v>
      </c>
      <c r="C1353" s="108">
        <v>4.95</v>
      </c>
    </row>
    <row r="1354" spans="1:3" x14ac:dyDescent="0.25">
      <c r="A1354" s="108">
        <v>51894</v>
      </c>
      <c r="B1354" s="108" t="s">
        <v>1343</v>
      </c>
      <c r="C1354" s="108">
        <v>4.95</v>
      </c>
    </row>
    <row r="1355" spans="1:3" x14ac:dyDescent="0.25">
      <c r="A1355" s="108">
        <v>51895</v>
      </c>
      <c r="B1355" s="108" t="s">
        <v>1344</v>
      </c>
      <c r="C1355" s="108">
        <v>8.25</v>
      </c>
    </row>
    <row r="1356" spans="1:3" x14ac:dyDescent="0.25">
      <c r="A1356" s="108">
        <v>51897</v>
      </c>
      <c r="B1356" s="108" t="s">
        <v>1345</v>
      </c>
      <c r="C1356" s="108">
        <v>126.77</v>
      </c>
    </row>
    <row r="1357" spans="1:3" x14ac:dyDescent="0.25">
      <c r="A1357" s="108">
        <v>51898</v>
      </c>
      <c r="B1357" s="108" t="s">
        <v>1346</v>
      </c>
      <c r="C1357" s="108">
        <v>8.25</v>
      </c>
    </row>
    <row r="1358" spans="1:3" x14ac:dyDescent="0.25">
      <c r="A1358" s="108">
        <v>51900</v>
      </c>
      <c r="B1358" s="108" t="s">
        <v>1347</v>
      </c>
      <c r="C1358" s="108">
        <v>82.54</v>
      </c>
    </row>
    <row r="1359" spans="1:3" x14ac:dyDescent="0.25">
      <c r="A1359" s="108">
        <v>51901</v>
      </c>
      <c r="B1359" s="108" t="s">
        <v>1348</v>
      </c>
      <c r="C1359" s="108">
        <v>8.25</v>
      </c>
    </row>
    <row r="1360" spans="1:3" x14ac:dyDescent="0.25">
      <c r="A1360" s="108">
        <v>51904</v>
      </c>
      <c r="B1360" s="108" t="s">
        <v>1349</v>
      </c>
      <c r="C1360" s="108">
        <v>33.01</v>
      </c>
    </row>
    <row r="1361" spans="1:3" x14ac:dyDescent="0.25">
      <c r="A1361" s="108">
        <v>51905</v>
      </c>
      <c r="B1361" s="108" t="s">
        <v>1350</v>
      </c>
      <c r="C1361" s="108">
        <v>115.55</v>
      </c>
    </row>
    <row r="1362" spans="1:3" x14ac:dyDescent="0.25">
      <c r="A1362" s="108">
        <v>51906</v>
      </c>
      <c r="B1362" s="108" t="s">
        <v>1351</v>
      </c>
      <c r="C1362" s="108">
        <v>8.25</v>
      </c>
    </row>
    <row r="1363" spans="1:3" x14ac:dyDescent="0.25">
      <c r="A1363" s="108">
        <v>51907</v>
      </c>
      <c r="B1363" s="108" t="s">
        <v>1352</v>
      </c>
      <c r="C1363" s="108">
        <v>125.45</v>
      </c>
    </row>
    <row r="1364" spans="1:3" x14ac:dyDescent="0.25">
      <c r="A1364" s="108">
        <v>51909</v>
      </c>
      <c r="B1364" s="108" t="s">
        <v>1353</v>
      </c>
      <c r="C1364" s="108">
        <v>8.25</v>
      </c>
    </row>
    <row r="1365" spans="1:3" x14ac:dyDescent="0.25">
      <c r="A1365" s="108">
        <v>51910</v>
      </c>
      <c r="B1365" s="108" t="s">
        <v>1354</v>
      </c>
      <c r="C1365" s="108">
        <v>24.76</v>
      </c>
    </row>
    <row r="1366" spans="1:3" x14ac:dyDescent="0.25">
      <c r="A1366" s="108">
        <v>51911</v>
      </c>
      <c r="B1366" s="108" t="s">
        <v>1355</v>
      </c>
      <c r="C1366" s="108">
        <v>8.25</v>
      </c>
    </row>
    <row r="1367" spans="1:3" x14ac:dyDescent="0.25">
      <c r="A1367" s="108">
        <v>51913</v>
      </c>
      <c r="B1367" s="108" t="s">
        <v>1356</v>
      </c>
      <c r="C1367" s="108">
        <v>6.6</v>
      </c>
    </row>
    <row r="1368" spans="1:3" x14ac:dyDescent="0.25">
      <c r="A1368" s="108">
        <v>51914</v>
      </c>
      <c r="B1368" s="108" t="s">
        <v>1357</v>
      </c>
      <c r="C1368" s="108">
        <v>71.69</v>
      </c>
    </row>
    <row r="1369" spans="1:3" x14ac:dyDescent="0.25">
      <c r="A1369" s="108">
        <v>51915</v>
      </c>
      <c r="B1369" s="108" t="s">
        <v>1358</v>
      </c>
      <c r="C1369" s="108">
        <v>8.25</v>
      </c>
    </row>
    <row r="1370" spans="1:3" x14ac:dyDescent="0.25">
      <c r="A1370" s="108">
        <v>51917</v>
      </c>
      <c r="B1370" s="108" t="s">
        <v>1359</v>
      </c>
      <c r="C1370" s="108">
        <v>11.56</v>
      </c>
    </row>
    <row r="1371" spans="1:3" x14ac:dyDescent="0.25">
      <c r="A1371" s="108">
        <v>51918</v>
      </c>
      <c r="B1371" s="108" t="s">
        <v>1360</v>
      </c>
      <c r="C1371" s="108">
        <v>1.65</v>
      </c>
    </row>
    <row r="1372" spans="1:3" x14ac:dyDescent="0.25">
      <c r="A1372" s="108">
        <v>51923</v>
      </c>
      <c r="B1372" s="108" t="s">
        <v>1361</v>
      </c>
      <c r="C1372" s="108">
        <v>33.01</v>
      </c>
    </row>
    <row r="1373" spans="1:3" x14ac:dyDescent="0.25">
      <c r="A1373" s="108">
        <v>51925</v>
      </c>
      <c r="B1373" s="108" t="s">
        <v>1362</v>
      </c>
      <c r="C1373" s="108">
        <v>41.27</v>
      </c>
    </row>
    <row r="1374" spans="1:3" x14ac:dyDescent="0.25">
      <c r="A1374" s="108">
        <v>51927</v>
      </c>
      <c r="B1374" s="108" t="s">
        <v>1363</v>
      </c>
      <c r="C1374" s="108">
        <v>5.84</v>
      </c>
    </row>
    <row r="1375" spans="1:3" x14ac:dyDescent="0.25">
      <c r="A1375" s="108">
        <v>51930</v>
      </c>
      <c r="B1375" s="108" t="s">
        <v>1364</v>
      </c>
      <c r="C1375" s="108">
        <v>700</v>
      </c>
    </row>
    <row r="1376" spans="1:3" x14ac:dyDescent="0.25">
      <c r="A1376" s="108">
        <v>51931</v>
      </c>
      <c r="B1376" s="108" t="s">
        <v>1365</v>
      </c>
      <c r="C1376" s="108">
        <v>665</v>
      </c>
    </row>
    <row r="1377" spans="1:3" x14ac:dyDescent="0.25">
      <c r="A1377" s="108">
        <v>51932</v>
      </c>
      <c r="B1377" s="108" t="s">
        <v>1366</v>
      </c>
      <c r="C1377" s="108">
        <v>818.8</v>
      </c>
    </row>
    <row r="1378" spans="1:3" ht="30" x14ac:dyDescent="0.25">
      <c r="A1378" s="108">
        <v>51934</v>
      </c>
      <c r="B1378" s="108" t="s">
        <v>1367</v>
      </c>
      <c r="C1378" s="108">
        <v>14.69</v>
      </c>
    </row>
    <row r="1379" spans="1:3" x14ac:dyDescent="0.25">
      <c r="A1379" s="108">
        <v>51935</v>
      </c>
      <c r="B1379" s="108" t="s">
        <v>1368</v>
      </c>
      <c r="C1379" s="108">
        <v>73.52</v>
      </c>
    </row>
    <row r="1380" spans="1:3" x14ac:dyDescent="0.25">
      <c r="A1380" s="108">
        <v>51936</v>
      </c>
      <c r="B1380" s="108" t="s">
        <v>1369</v>
      </c>
      <c r="C1380" s="108">
        <v>1.89</v>
      </c>
    </row>
    <row r="1381" spans="1:3" x14ac:dyDescent="0.25">
      <c r="A1381" s="108">
        <v>51937</v>
      </c>
      <c r="B1381" s="108" t="s">
        <v>1370</v>
      </c>
      <c r="C1381" s="108">
        <v>457.77</v>
      </c>
    </row>
    <row r="1382" spans="1:3" x14ac:dyDescent="0.25">
      <c r="A1382" s="108">
        <v>51938</v>
      </c>
      <c r="B1382" s="108" t="s">
        <v>1371</v>
      </c>
      <c r="C1382" s="109">
        <v>1041.6600000000001</v>
      </c>
    </row>
    <row r="1383" spans="1:3" x14ac:dyDescent="0.25">
      <c r="A1383" s="108">
        <v>51939</v>
      </c>
      <c r="B1383" s="108" t="s">
        <v>1372</v>
      </c>
      <c r="C1383" s="108">
        <v>739.83</v>
      </c>
    </row>
    <row r="1384" spans="1:3" x14ac:dyDescent="0.25">
      <c r="A1384" s="108">
        <v>51940</v>
      </c>
      <c r="B1384" s="108" t="s">
        <v>1373</v>
      </c>
      <c r="C1384" s="108">
        <v>693.96</v>
      </c>
    </row>
    <row r="1385" spans="1:3" x14ac:dyDescent="0.25">
      <c r="A1385" s="108">
        <v>51941</v>
      </c>
      <c r="B1385" s="108" t="s">
        <v>1374</v>
      </c>
      <c r="C1385" s="109">
        <v>1272.22</v>
      </c>
    </row>
    <row r="1386" spans="1:3" x14ac:dyDescent="0.25">
      <c r="A1386" s="108">
        <v>51942</v>
      </c>
      <c r="B1386" s="108" t="s">
        <v>1375</v>
      </c>
      <c r="C1386" s="108">
        <v>13.68</v>
      </c>
    </row>
    <row r="1387" spans="1:3" x14ac:dyDescent="0.25">
      <c r="A1387" s="108">
        <v>51943</v>
      </c>
      <c r="B1387" s="108" t="s">
        <v>1376</v>
      </c>
      <c r="C1387" s="108">
        <v>12.77</v>
      </c>
    </row>
    <row r="1388" spans="1:3" ht="30" x14ac:dyDescent="0.25">
      <c r="A1388" s="108">
        <v>51946</v>
      </c>
      <c r="B1388" s="108" t="s">
        <v>3053</v>
      </c>
      <c r="C1388" s="108">
        <v>20</v>
      </c>
    </row>
    <row r="1389" spans="1:3" x14ac:dyDescent="0.25">
      <c r="A1389" s="108">
        <v>51952</v>
      </c>
      <c r="B1389" s="108" t="s">
        <v>1377</v>
      </c>
      <c r="C1389" s="108">
        <v>3.5</v>
      </c>
    </row>
    <row r="1390" spans="1:3" x14ac:dyDescent="0.25">
      <c r="A1390" s="108">
        <v>51953</v>
      </c>
      <c r="B1390" s="108" t="s">
        <v>1378</v>
      </c>
      <c r="C1390" s="108">
        <v>4.5</v>
      </c>
    </row>
    <row r="1391" spans="1:3" x14ac:dyDescent="0.25">
      <c r="A1391" s="108">
        <v>51954</v>
      </c>
      <c r="B1391" s="108" t="s">
        <v>1379</v>
      </c>
      <c r="C1391" s="108">
        <v>5.8</v>
      </c>
    </row>
    <row r="1392" spans="1:3" x14ac:dyDescent="0.25">
      <c r="A1392" s="108">
        <v>51955</v>
      </c>
      <c r="B1392" s="108" t="s">
        <v>1380</v>
      </c>
      <c r="C1392" s="108">
        <v>20</v>
      </c>
    </row>
    <row r="1393" spans="1:3" x14ac:dyDescent="0.25">
      <c r="A1393" s="108">
        <v>51956</v>
      </c>
      <c r="B1393" s="108" t="s">
        <v>1381</v>
      </c>
      <c r="C1393" s="108">
        <v>18.5</v>
      </c>
    </row>
    <row r="1394" spans="1:3" x14ac:dyDescent="0.25">
      <c r="A1394" s="108">
        <v>51957</v>
      </c>
      <c r="B1394" s="108" t="s">
        <v>1382</v>
      </c>
      <c r="C1394" s="108">
        <v>20</v>
      </c>
    </row>
    <row r="1395" spans="1:3" x14ac:dyDescent="0.25">
      <c r="A1395" s="108">
        <v>51958</v>
      </c>
      <c r="B1395" s="108" t="s">
        <v>1383</v>
      </c>
      <c r="C1395" s="108">
        <v>15</v>
      </c>
    </row>
    <row r="1396" spans="1:3" x14ac:dyDescent="0.25">
      <c r="A1396" s="108">
        <v>51959</v>
      </c>
      <c r="B1396" s="108" t="s">
        <v>1384</v>
      </c>
      <c r="C1396" s="108">
        <v>300</v>
      </c>
    </row>
    <row r="1397" spans="1:3" ht="30" x14ac:dyDescent="0.25">
      <c r="A1397" s="108">
        <v>51960</v>
      </c>
      <c r="B1397" s="108" t="s">
        <v>1385</v>
      </c>
      <c r="C1397" s="108">
        <v>2.34</v>
      </c>
    </row>
    <row r="1398" spans="1:3" ht="30" x14ac:dyDescent="0.25">
      <c r="A1398" s="108">
        <v>51962</v>
      </c>
      <c r="B1398" s="108" t="s">
        <v>1386</v>
      </c>
      <c r="C1398" s="108">
        <v>41.34</v>
      </c>
    </row>
    <row r="1399" spans="1:3" ht="30" x14ac:dyDescent="0.25">
      <c r="A1399" s="108">
        <v>51963</v>
      </c>
      <c r="B1399" s="108" t="s">
        <v>1387</v>
      </c>
      <c r="C1399" s="108">
        <v>120.75</v>
      </c>
    </row>
    <row r="1400" spans="1:3" ht="30" x14ac:dyDescent="0.25">
      <c r="A1400" s="108">
        <v>51964</v>
      </c>
      <c r="B1400" s="108" t="s">
        <v>1388</v>
      </c>
      <c r="C1400" s="108">
        <v>0.28000000000000003</v>
      </c>
    </row>
    <row r="1401" spans="1:3" ht="30" x14ac:dyDescent="0.25">
      <c r="A1401" s="108">
        <v>51965</v>
      </c>
      <c r="B1401" s="108" t="s">
        <v>1389</v>
      </c>
      <c r="C1401" s="108">
        <v>0.28000000000000003</v>
      </c>
    </row>
    <row r="1402" spans="1:3" ht="45" x14ac:dyDescent="0.25">
      <c r="A1402" s="108">
        <v>51966</v>
      </c>
      <c r="B1402" s="108" t="s">
        <v>1390</v>
      </c>
      <c r="C1402" s="108">
        <v>2.2599999999999998</v>
      </c>
    </row>
    <row r="1403" spans="1:3" x14ac:dyDescent="0.25">
      <c r="A1403" s="108">
        <v>51967</v>
      </c>
      <c r="B1403" s="108" t="s">
        <v>1391</v>
      </c>
      <c r="C1403" s="108">
        <v>7.77</v>
      </c>
    </row>
    <row r="1404" spans="1:3" ht="30" x14ac:dyDescent="0.25">
      <c r="A1404" s="108">
        <v>51968</v>
      </c>
      <c r="B1404" s="108" t="s">
        <v>1392</v>
      </c>
      <c r="C1404" s="108">
        <v>6.21</v>
      </c>
    </row>
    <row r="1405" spans="1:3" x14ac:dyDescent="0.25">
      <c r="A1405" s="108">
        <v>51969</v>
      </c>
      <c r="B1405" s="108" t="s">
        <v>1393</v>
      </c>
      <c r="C1405" s="108">
        <v>29.18</v>
      </c>
    </row>
    <row r="1406" spans="1:3" ht="30" x14ac:dyDescent="0.25">
      <c r="A1406" s="108">
        <v>51970</v>
      </c>
      <c r="B1406" s="108" t="s">
        <v>1394</v>
      </c>
      <c r="C1406" s="108">
        <v>1.41</v>
      </c>
    </row>
    <row r="1407" spans="1:3" ht="30" x14ac:dyDescent="0.25">
      <c r="A1407" s="108">
        <v>51972</v>
      </c>
      <c r="B1407" s="108" t="s">
        <v>1395</v>
      </c>
      <c r="C1407" s="108">
        <v>19.09</v>
      </c>
    </row>
    <row r="1408" spans="1:3" ht="30" x14ac:dyDescent="0.25">
      <c r="A1408" s="108">
        <v>51974</v>
      </c>
      <c r="B1408" s="108" t="s">
        <v>1396</v>
      </c>
      <c r="C1408" s="108">
        <v>0.71</v>
      </c>
    </row>
    <row r="1409" spans="1:3" ht="30" x14ac:dyDescent="0.25">
      <c r="A1409" s="108">
        <v>51975</v>
      </c>
      <c r="B1409" s="108" t="s">
        <v>1397</v>
      </c>
      <c r="C1409" s="108">
        <v>0.71</v>
      </c>
    </row>
    <row r="1410" spans="1:3" x14ac:dyDescent="0.25">
      <c r="A1410" s="108">
        <v>51976</v>
      </c>
      <c r="B1410" s="108" t="s">
        <v>1398</v>
      </c>
      <c r="C1410" s="108">
        <v>0.14000000000000001</v>
      </c>
    </row>
    <row r="1411" spans="1:3" ht="30" x14ac:dyDescent="0.25">
      <c r="A1411" s="108">
        <v>51977</v>
      </c>
      <c r="B1411" s="108" t="s">
        <v>1399</v>
      </c>
      <c r="C1411" s="108">
        <v>181.86</v>
      </c>
    </row>
    <row r="1412" spans="1:3" ht="30" x14ac:dyDescent="0.25">
      <c r="A1412" s="108">
        <v>51978</v>
      </c>
      <c r="B1412" s="108" t="s">
        <v>1400</v>
      </c>
      <c r="C1412" s="108">
        <v>145.04</v>
      </c>
    </row>
    <row r="1413" spans="1:3" x14ac:dyDescent="0.25">
      <c r="A1413" s="108">
        <v>51979</v>
      </c>
      <c r="B1413" s="108" t="s">
        <v>1401</v>
      </c>
      <c r="C1413" s="108">
        <v>108.44</v>
      </c>
    </row>
    <row r="1414" spans="1:3" x14ac:dyDescent="0.25">
      <c r="A1414" s="108">
        <v>51980</v>
      </c>
      <c r="B1414" s="108" t="s">
        <v>1402</v>
      </c>
      <c r="C1414" s="108">
        <v>20.78</v>
      </c>
    </row>
    <row r="1415" spans="1:3" x14ac:dyDescent="0.25">
      <c r="A1415" s="108">
        <v>51981</v>
      </c>
      <c r="B1415" s="108" t="s">
        <v>1403</v>
      </c>
      <c r="C1415" s="108">
        <v>27.9</v>
      </c>
    </row>
    <row r="1416" spans="1:3" ht="30" x14ac:dyDescent="0.25">
      <c r="A1416" s="108">
        <v>51982</v>
      </c>
      <c r="B1416" s="108" t="s">
        <v>1404</v>
      </c>
      <c r="C1416" s="108">
        <v>22.31</v>
      </c>
    </row>
    <row r="1417" spans="1:3" ht="30" x14ac:dyDescent="0.25">
      <c r="A1417" s="108">
        <v>51983</v>
      </c>
      <c r="B1417" s="108" t="s">
        <v>1405</v>
      </c>
      <c r="C1417" s="108">
        <v>3.28</v>
      </c>
    </row>
    <row r="1418" spans="1:3" ht="30" x14ac:dyDescent="0.25">
      <c r="A1418" s="108">
        <v>51984</v>
      </c>
      <c r="B1418" s="108" t="s">
        <v>1406</v>
      </c>
      <c r="C1418" s="108">
        <v>4.07</v>
      </c>
    </row>
    <row r="1419" spans="1:3" ht="30" x14ac:dyDescent="0.25">
      <c r="A1419" s="108">
        <v>51985</v>
      </c>
      <c r="B1419" s="108" t="s">
        <v>1407</v>
      </c>
      <c r="C1419" s="108">
        <v>5.65</v>
      </c>
    </row>
    <row r="1420" spans="1:3" ht="30" x14ac:dyDescent="0.25">
      <c r="A1420" s="108">
        <v>51987</v>
      </c>
      <c r="B1420" s="108" t="s">
        <v>1408</v>
      </c>
      <c r="C1420" s="108">
        <v>1.24</v>
      </c>
    </row>
    <row r="1421" spans="1:3" x14ac:dyDescent="0.25">
      <c r="A1421" s="108">
        <v>51988</v>
      </c>
      <c r="B1421" s="108" t="s">
        <v>1409</v>
      </c>
      <c r="C1421" s="108">
        <v>0.99</v>
      </c>
    </row>
    <row r="1422" spans="1:3" ht="30" x14ac:dyDescent="0.25">
      <c r="A1422" s="108">
        <v>51991</v>
      </c>
      <c r="B1422" s="108" t="s">
        <v>1410</v>
      </c>
      <c r="C1422" s="108">
        <v>100.53</v>
      </c>
    </row>
    <row r="1423" spans="1:3" ht="30" x14ac:dyDescent="0.25">
      <c r="A1423" s="108">
        <v>51992</v>
      </c>
      <c r="B1423" s="108" t="s">
        <v>1411</v>
      </c>
      <c r="C1423" s="108">
        <v>5.65</v>
      </c>
    </row>
    <row r="1424" spans="1:3" x14ac:dyDescent="0.25">
      <c r="A1424" s="108">
        <v>51993</v>
      </c>
      <c r="B1424" s="108" t="s">
        <v>1412</v>
      </c>
      <c r="C1424" s="110">
        <v>1098</v>
      </c>
    </row>
    <row r="1425" spans="1:3" ht="30" x14ac:dyDescent="0.25">
      <c r="A1425" s="108">
        <v>51994</v>
      </c>
      <c r="B1425" s="108" t="s">
        <v>1413</v>
      </c>
      <c r="C1425" s="108">
        <v>4.24</v>
      </c>
    </row>
    <row r="1426" spans="1:3" ht="30" x14ac:dyDescent="0.25">
      <c r="A1426" s="108">
        <v>51996</v>
      </c>
      <c r="B1426" s="108" t="s">
        <v>1414</v>
      </c>
      <c r="C1426" s="108">
        <v>2.54</v>
      </c>
    </row>
    <row r="1427" spans="1:3" ht="30" x14ac:dyDescent="0.25">
      <c r="A1427" s="108">
        <v>51997</v>
      </c>
      <c r="B1427" s="108" t="s">
        <v>1415</v>
      </c>
      <c r="C1427" s="108">
        <v>1.41</v>
      </c>
    </row>
    <row r="1428" spans="1:3" ht="30" x14ac:dyDescent="0.25">
      <c r="A1428" s="108">
        <v>51998</v>
      </c>
      <c r="B1428" s="108" t="s">
        <v>1416</v>
      </c>
      <c r="C1428" s="108">
        <v>16.38</v>
      </c>
    </row>
    <row r="1429" spans="1:3" ht="30" x14ac:dyDescent="0.25">
      <c r="A1429" s="108">
        <v>51999</v>
      </c>
      <c r="B1429" s="108" t="s">
        <v>1417</v>
      </c>
      <c r="C1429" s="108">
        <v>45</v>
      </c>
    </row>
    <row r="1430" spans="1:3" x14ac:dyDescent="0.25">
      <c r="A1430" s="108">
        <v>52000</v>
      </c>
      <c r="B1430" s="108" t="s">
        <v>1418</v>
      </c>
      <c r="C1430" s="108">
        <v>85</v>
      </c>
    </row>
    <row r="1431" spans="1:3" ht="30" x14ac:dyDescent="0.25">
      <c r="A1431" s="108">
        <v>52001</v>
      </c>
      <c r="B1431" s="108" t="s">
        <v>1419</v>
      </c>
      <c r="C1431" s="108">
        <v>4.9400000000000004</v>
      </c>
    </row>
    <row r="1432" spans="1:3" x14ac:dyDescent="0.25">
      <c r="A1432" s="108">
        <v>52002</v>
      </c>
      <c r="B1432" s="108" t="s">
        <v>1420</v>
      </c>
      <c r="C1432" s="108">
        <v>50.55</v>
      </c>
    </row>
    <row r="1433" spans="1:3" x14ac:dyDescent="0.25">
      <c r="A1433" s="108">
        <v>52003</v>
      </c>
      <c r="B1433" s="108" t="s">
        <v>1421</v>
      </c>
      <c r="C1433" s="108">
        <v>50.11</v>
      </c>
    </row>
    <row r="1434" spans="1:3" x14ac:dyDescent="0.25">
      <c r="A1434" s="108">
        <v>52004</v>
      </c>
      <c r="B1434" s="108" t="s">
        <v>1422</v>
      </c>
      <c r="C1434" s="108">
        <v>1.02</v>
      </c>
    </row>
    <row r="1435" spans="1:3" ht="30" x14ac:dyDescent="0.25">
      <c r="A1435" s="108">
        <v>52005</v>
      </c>
      <c r="B1435" s="108" t="s">
        <v>1423</v>
      </c>
      <c r="C1435" s="108">
        <v>12.71</v>
      </c>
    </row>
    <row r="1436" spans="1:3" x14ac:dyDescent="0.25">
      <c r="A1436" s="108">
        <v>52006</v>
      </c>
      <c r="B1436" s="108" t="s">
        <v>1424</v>
      </c>
      <c r="C1436" s="108">
        <v>69.61</v>
      </c>
    </row>
    <row r="1437" spans="1:3" ht="30" x14ac:dyDescent="0.25">
      <c r="A1437" s="108">
        <v>52007</v>
      </c>
      <c r="B1437" s="108" t="s">
        <v>1425</v>
      </c>
      <c r="C1437" s="108">
        <v>0.57999999999999996</v>
      </c>
    </row>
    <row r="1438" spans="1:3" x14ac:dyDescent="0.25">
      <c r="A1438" s="108">
        <v>52008</v>
      </c>
      <c r="B1438" s="108" t="s">
        <v>1426</v>
      </c>
      <c r="C1438" s="108">
        <v>2.82</v>
      </c>
    </row>
    <row r="1439" spans="1:3" ht="30" x14ac:dyDescent="0.25">
      <c r="A1439" s="108">
        <v>52009</v>
      </c>
      <c r="B1439" s="108" t="s">
        <v>1427</v>
      </c>
      <c r="C1439" s="108">
        <v>0.99</v>
      </c>
    </row>
    <row r="1440" spans="1:3" x14ac:dyDescent="0.25">
      <c r="A1440" s="108">
        <v>5201</v>
      </c>
      <c r="B1440" s="108" t="s">
        <v>1428</v>
      </c>
      <c r="C1440" s="108">
        <v>10.96</v>
      </c>
    </row>
    <row r="1441" spans="1:3" ht="30" x14ac:dyDescent="0.25">
      <c r="A1441" s="108">
        <v>52010</v>
      </c>
      <c r="B1441" s="108" t="s">
        <v>1429</v>
      </c>
      <c r="C1441" s="108">
        <v>0.56000000000000005</v>
      </c>
    </row>
    <row r="1442" spans="1:3" x14ac:dyDescent="0.25">
      <c r="A1442" s="108">
        <v>52011</v>
      </c>
      <c r="B1442" s="108" t="s">
        <v>1430</v>
      </c>
      <c r="C1442" s="108">
        <v>76.95</v>
      </c>
    </row>
    <row r="1443" spans="1:3" x14ac:dyDescent="0.25">
      <c r="A1443" s="108">
        <v>52012</v>
      </c>
      <c r="B1443" s="108" t="s">
        <v>1431</v>
      </c>
      <c r="C1443" s="108">
        <v>14.12</v>
      </c>
    </row>
    <row r="1444" spans="1:3" ht="30" x14ac:dyDescent="0.25">
      <c r="A1444" s="108">
        <v>52013</v>
      </c>
      <c r="B1444" s="108" t="s">
        <v>1432</v>
      </c>
      <c r="C1444" s="108">
        <v>32.9</v>
      </c>
    </row>
    <row r="1445" spans="1:3" x14ac:dyDescent="0.25">
      <c r="A1445" s="108">
        <v>52015</v>
      </c>
      <c r="B1445" s="108" t="s">
        <v>1433</v>
      </c>
      <c r="C1445" s="108">
        <v>3.2</v>
      </c>
    </row>
    <row r="1446" spans="1:3" x14ac:dyDescent="0.25">
      <c r="A1446" s="108">
        <v>52016</v>
      </c>
      <c r="B1446" s="108" t="s">
        <v>1434</v>
      </c>
      <c r="C1446" s="108">
        <v>8.1999999999999993</v>
      </c>
    </row>
    <row r="1447" spans="1:3" x14ac:dyDescent="0.25">
      <c r="A1447" s="108">
        <v>52017</v>
      </c>
      <c r="B1447" s="108" t="s">
        <v>1435</v>
      </c>
      <c r="C1447" s="108">
        <v>1.8</v>
      </c>
    </row>
    <row r="1448" spans="1:3" x14ac:dyDescent="0.25">
      <c r="A1448" s="108">
        <v>52018</v>
      </c>
      <c r="B1448" s="108" t="s">
        <v>1436</v>
      </c>
      <c r="C1448" s="108">
        <v>13.4</v>
      </c>
    </row>
    <row r="1449" spans="1:3" x14ac:dyDescent="0.25">
      <c r="A1449" s="108">
        <v>5202</v>
      </c>
      <c r="B1449" s="108" t="s">
        <v>1437</v>
      </c>
      <c r="C1449" s="108">
        <v>12.7</v>
      </c>
    </row>
    <row r="1450" spans="1:3" ht="30" x14ac:dyDescent="0.25">
      <c r="A1450" s="108">
        <v>52020</v>
      </c>
      <c r="B1450" s="108" t="s">
        <v>1438</v>
      </c>
      <c r="C1450" s="108">
        <v>24.5</v>
      </c>
    </row>
    <row r="1451" spans="1:3" x14ac:dyDescent="0.25">
      <c r="A1451" s="108">
        <v>52021</v>
      </c>
      <c r="B1451" s="108" t="s">
        <v>1439</v>
      </c>
      <c r="C1451" s="108">
        <v>45.5</v>
      </c>
    </row>
    <row r="1452" spans="1:3" ht="30" x14ac:dyDescent="0.25">
      <c r="A1452" s="108">
        <v>52022</v>
      </c>
      <c r="B1452" s="108" t="s">
        <v>1440</v>
      </c>
      <c r="C1452" s="108">
        <v>29.4</v>
      </c>
    </row>
    <row r="1453" spans="1:3" ht="30" x14ac:dyDescent="0.25">
      <c r="A1453" s="108">
        <v>52023</v>
      </c>
      <c r="B1453" s="108" t="s">
        <v>1441</v>
      </c>
      <c r="C1453" s="108">
        <v>38.5</v>
      </c>
    </row>
    <row r="1454" spans="1:3" ht="30" x14ac:dyDescent="0.25">
      <c r="A1454" s="108">
        <v>52024</v>
      </c>
      <c r="B1454" s="108" t="s">
        <v>1442</v>
      </c>
      <c r="C1454" s="108">
        <v>45.5</v>
      </c>
    </row>
    <row r="1455" spans="1:3" ht="30" x14ac:dyDescent="0.25">
      <c r="A1455" s="108">
        <v>52025</v>
      </c>
      <c r="B1455" s="108" t="s">
        <v>1443</v>
      </c>
      <c r="C1455" s="108">
        <v>48.3</v>
      </c>
    </row>
    <row r="1456" spans="1:3" ht="30" x14ac:dyDescent="0.25">
      <c r="A1456" s="108">
        <v>52026</v>
      </c>
      <c r="B1456" s="108" t="s">
        <v>1444</v>
      </c>
      <c r="C1456" s="108">
        <v>48.3</v>
      </c>
    </row>
    <row r="1457" spans="1:3" x14ac:dyDescent="0.25">
      <c r="A1457" s="108">
        <v>52027</v>
      </c>
      <c r="B1457" s="108" t="s">
        <v>1445</v>
      </c>
      <c r="C1457" s="108">
        <v>8.4</v>
      </c>
    </row>
    <row r="1458" spans="1:3" ht="30" x14ac:dyDescent="0.25">
      <c r="A1458" s="108">
        <v>52028</v>
      </c>
      <c r="B1458" s="108" t="s">
        <v>1446</v>
      </c>
      <c r="C1458" s="108">
        <v>108.5</v>
      </c>
    </row>
    <row r="1459" spans="1:3" x14ac:dyDescent="0.25">
      <c r="A1459" s="108">
        <v>52029</v>
      </c>
      <c r="B1459" s="108" t="s">
        <v>1447</v>
      </c>
      <c r="C1459" s="108">
        <v>77</v>
      </c>
    </row>
    <row r="1460" spans="1:3" x14ac:dyDescent="0.25">
      <c r="A1460" s="108">
        <v>5203</v>
      </c>
      <c r="B1460" s="108" t="s">
        <v>1448</v>
      </c>
      <c r="C1460" s="108">
        <v>13.9</v>
      </c>
    </row>
    <row r="1461" spans="1:3" x14ac:dyDescent="0.25">
      <c r="A1461" s="108">
        <v>52030</v>
      </c>
      <c r="B1461" s="108" t="s">
        <v>1449</v>
      </c>
      <c r="C1461" s="108">
        <v>24.5</v>
      </c>
    </row>
    <row r="1462" spans="1:3" x14ac:dyDescent="0.25">
      <c r="A1462" s="108">
        <v>52031</v>
      </c>
      <c r="B1462" s="108" t="s">
        <v>1450</v>
      </c>
      <c r="C1462" s="108">
        <v>35</v>
      </c>
    </row>
    <row r="1463" spans="1:3" ht="30" x14ac:dyDescent="0.25">
      <c r="A1463" s="108">
        <v>52032</v>
      </c>
      <c r="B1463" s="108" t="s">
        <v>1451</v>
      </c>
      <c r="C1463" s="108">
        <v>30.8</v>
      </c>
    </row>
    <row r="1464" spans="1:3" x14ac:dyDescent="0.25">
      <c r="A1464" s="108">
        <v>52034</v>
      </c>
      <c r="B1464" s="108" t="s">
        <v>1452</v>
      </c>
      <c r="C1464" s="108">
        <v>45.5</v>
      </c>
    </row>
    <row r="1465" spans="1:3" ht="30" x14ac:dyDescent="0.25">
      <c r="A1465" s="108">
        <v>52036</v>
      </c>
      <c r="B1465" s="108" t="s">
        <v>1453</v>
      </c>
      <c r="C1465" s="108">
        <v>50</v>
      </c>
    </row>
    <row r="1466" spans="1:3" ht="30" x14ac:dyDescent="0.25">
      <c r="A1466" s="108">
        <v>52040</v>
      </c>
      <c r="B1466" s="108" t="s">
        <v>1454</v>
      </c>
      <c r="C1466" s="108">
        <v>20</v>
      </c>
    </row>
    <row r="1467" spans="1:3" x14ac:dyDescent="0.25">
      <c r="A1467" s="108">
        <v>52041</v>
      </c>
      <c r="B1467" s="108" t="s">
        <v>1455</v>
      </c>
      <c r="C1467" s="108">
        <v>20</v>
      </c>
    </row>
    <row r="1468" spans="1:3" ht="30" x14ac:dyDescent="0.25">
      <c r="A1468" s="108">
        <v>52042</v>
      </c>
      <c r="B1468" s="108" t="s">
        <v>1456</v>
      </c>
      <c r="C1468" s="108">
        <v>20</v>
      </c>
    </row>
    <row r="1469" spans="1:3" x14ac:dyDescent="0.25">
      <c r="A1469" s="108">
        <v>52043</v>
      </c>
      <c r="B1469" s="108" t="s">
        <v>1457</v>
      </c>
      <c r="C1469" s="108">
        <v>20</v>
      </c>
    </row>
    <row r="1470" spans="1:3" x14ac:dyDescent="0.25">
      <c r="A1470" s="108">
        <v>52044</v>
      </c>
      <c r="B1470" s="108" t="s">
        <v>1458</v>
      </c>
      <c r="C1470" s="108">
        <v>3</v>
      </c>
    </row>
    <row r="1471" spans="1:3" x14ac:dyDescent="0.25">
      <c r="A1471" s="108">
        <v>52045</v>
      </c>
      <c r="B1471" s="108" t="s">
        <v>1459</v>
      </c>
      <c r="C1471" s="108">
        <v>20</v>
      </c>
    </row>
    <row r="1472" spans="1:3" x14ac:dyDescent="0.25">
      <c r="A1472" s="108">
        <v>52046</v>
      </c>
      <c r="B1472" s="108" t="s">
        <v>1460</v>
      </c>
      <c r="C1472" s="108">
        <v>20</v>
      </c>
    </row>
    <row r="1473" spans="1:3" x14ac:dyDescent="0.25">
      <c r="A1473" s="108">
        <v>52047</v>
      </c>
      <c r="B1473" s="108" t="s">
        <v>1461</v>
      </c>
      <c r="C1473" s="108">
        <v>20</v>
      </c>
    </row>
    <row r="1474" spans="1:3" x14ac:dyDescent="0.25">
      <c r="A1474" s="108">
        <v>52048</v>
      </c>
      <c r="B1474" s="108" t="s">
        <v>1462</v>
      </c>
      <c r="C1474" s="108">
        <v>20</v>
      </c>
    </row>
    <row r="1475" spans="1:3" ht="30" x14ac:dyDescent="0.25">
      <c r="A1475" s="108">
        <v>52049</v>
      </c>
      <c r="B1475" s="108" t="s">
        <v>1463</v>
      </c>
      <c r="C1475" s="108">
        <v>20</v>
      </c>
    </row>
    <row r="1476" spans="1:3" x14ac:dyDescent="0.25">
      <c r="A1476" s="108">
        <v>52050</v>
      </c>
      <c r="B1476" s="108" t="s">
        <v>1464</v>
      </c>
      <c r="C1476" s="108">
        <v>20</v>
      </c>
    </row>
    <row r="1477" spans="1:3" x14ac:dyDescent="0.25">
      <c r="A1477" s="108">
        <v>52051</v>
      </c>
      <c r="B1477" s="108" t="s">
        <v>1465</v>
      </c>
      <c r="C1477" s="108">
        <v>20</v>
      </c>
    </row>
    <row r="1478" spans="1:3" x14ac:dyDescent="0.25">
      <c r="A1478" s="108">
        <v>52052</v>
      </c>
      <c r="B1478" s="108" t="s">
        <v>1466</v>
      </c>
      <c r="C1478" s="108">
        <v>20</v>
      </c>
    </row>
    <row r="1479" spans="1:3" ht="30" x14ac:dyDescent="0.25">
      <c r="A1479" s="108">
        <v>52053</v>
      </c>
      <c r="B1479" s="108" t="s">
        <v>1467</v>
      </c>
      <c r="C1479" s="108">
        <v>20</v>
      </c>
    </row>
    <row r="1480" spans="1:3" x14ac:dyDescent="0.25">
      <c r="A1480" s="108">
        <v>52054</v>
      </c>
      <c r="B1480" s="108" t="s">
        <v>1468</v>
      </c>
      <c r="C1480" s="108">
        <v>20</v>
      </c>
    </row>
    <row r="1481" spans="1:3" x14ac:dyDescent="0.25">
      <c r="A1481" s="108">
        <v>52055</v>
      </c>
      <c r="B1481" s="108" t="s">
        <v>1469</v>
      </c>
      <c r="C1481" s="108">
        <v>261</v>
      </c>
    </row>
    <row r="1482" spans="1:3" x14ac:dyDescent="0.25">
      <c r="A1482" s="108">
        <v>52056</v>
      </c>
      <c r="B1482" s="108" t="s">
        <v>1470</v>
      </c>
      <c r="C1482" s="108">
        <v>368</v>
      </c>
    </row>
    <row r="1483" spans="1:3" x14ac:dyDescent="0.25">
      <c r="A1483" s="108">
        <v>52057</v>
      </c>
      <c r="B1483" s="108" t="s">
        <v>1471</v>
      </c>
      <c r="C1483" s="110">
        <v>1688</v>
      </c>
    </row>
    <row r="1484" spans="1:3" ht="30" x14ac:dyDescent="0.25">
      <c r="A1484" s="108">
        <v>52058</v>
      </c>
      <c r="B1484" s="108" t="s">
        <v>1472</v>
      </c>
      <c r="C1484" s="108">
        <v>20</v>
      </c>
    </row>
    <row r="1485" spans="1:3" ht="30" x14ac:dyDescent="0.25">
      <c r="A1485" s="108">
        <v>52059</v>
      </c>
      <c r="B1485" s="108" t="s">
        <v>1473</v>
      </c>
      <c r="C1485" s="108">
        <v>926</v>
      </c>
    </row>
    <row r="1486" spans="1:3" ht="30" x14ac:dyDescent="0.25">
      <c r="A1486" s="108">
        <v>52060</v>
      </c>
      <c r="B1486" s="108" t="s">
        <v>1474</v>
      </c>
      <c r="C1486" s="108">
        <v>234.16</v>
      </c>
    </row>
    <row r="1487" spans="1:3" ht="30" x14ac:dyDescent="0.25">
      <c r="A1487" s="108">
        <v>52061</v>
      </c>
      <c r="B1487" s="108" t="s">
        <v>1475</v>
      </c>
      <c r="C1487" s="108">
        <v>181</v>
      </c>
    </row>
    <row r="1488" spans="1:3" ht="30" x14ac:dyDescent="0.25">
      <c r="A1488" s="108">
        <v>52062</v>
      </c>
      <c r="B1488" s="108" t="s">
        <v>1476</v>
      </c>
      <c r="C1488" s="108">
        <v>236</v>
      </c>
    </row>
    <row r="1489" spans="1:3" x14ac:dyDescent="0.25">
      <c r="A1489" s="108">
        <v>52064</v>
      </c>
      <c r="B1489" s="108" t="s">
        <v>1477</v>
      </c>
      <c r="C1489" s="108">
        <v>53</v>
      </c>
    </row>
    <row r="1490" spans="1:3" x14ac:dyDescent="0.25">
      <c r="A1490" s="108">
        <v>52066</v>
      </c>
      <c r="B1490" s="108" t="s">
        <v>16109</v>
      </c>
      <c r="C1490" s="110">
        <v>6900</v>
      </c>
    </row>
    <row r="1491" spans="1:3" x14ac:dyDescent="0.25">
      <c r="A1491" s="108">
        <v>52067</v>
      </c>
      <c r="B1491" s="108" t="s">
        <v>1478</v>
      </c>
      <c r="C1491" s="108">
        <v>977</v>
      </c>
    </row>
    <row r="1492" spans="1:3" x14ac:dyDescent="0.25">
      <c r="A1492" s="108">
        <v>52069</v>
      </c>
      <c r="B1492" s="108" t="s">
        <v>1479</v>
      </c>
      <c r="C1492" s="110">
        <v>1400</v>
      </c>
    </row>
    <row r="1493" spans="1:3" x14ac:dyDescent="0.25">
      <c r="A1493" s="108">
        <v>5207</v>
      </c>
      <c r="B1493" s="108" t="s">
        <v>1480</v>
      </c>
      <c r="C1493" s="108">
        <v>36.950000000000003</v>
      </c>
    </row>
    <row r="1494" spans="1:3" x14ac:dyDescent="0.25">
      <c r="A1494" s="108">
        <v>52070</v>
      </c>
      <c r="B1494" s="108" t="s">
        <v>1481</v>
      </c>
      <c r="C1494" s="110">
        <v>1600</v>
      </c>
    </row>
    <row r="1495" spans="1:3" ht="30" x14ac:dyDescent="0.25">
      <c r="A1495" s="108">
        <v>52071</v>
      </c>
      <c r="B1495" s="108" t="s">
        <v>1482</v>
      </c>
      <c r="C1495" s="108">
        <v>0.01</v>
      </c>
    </row>
    <row r="1496" spans="1:3" ht="30" x14ac:dyDescent="0.25">
      <c r="A1496" s="108">
        <v>52072</v>
      </c>
      <c r="B1496" s="108" t="s">
        <v>1483</v>
      </c>
      <c r="C1496" s="108">
        <v>0.01</v>
      </c>
    </row>
    <row r="1497" spans="1:3" x14ac:dyDescent="0.25">
      <c r="A1497" s="108">
        <v>52073</v>
      </c>
      <c r="B1497" s="108" t="s">
        <v>1484</v>
      </c>
      <c r="C1497" s="108">
        <v>8</v>
      </c>
    </row>
    <row r="1498" spans="1:3" x14ac:dyDescent="0.25">
      <c r="A1498" s="108">
        <v>52074</v>
      </c>
      <c r="B1498" s="108" t="s">
        <v>1485</v>
      </c>
      <c r="C1498" s="108">
        <v>9.4</v>
      </c>
    </row>
    <row r="1499" spans="1:3" x14ac:dyDescent="0.25">
      <c r="A1499" s="108">
        <v>52075</v>
      </c>
      <c r="B1499" s="108" t="s">
        <v>1486</v>
      </c>
      <c r="C1499" s="108">
        <v>5.7</v>
      </c>
    </row>
    <row r="1500" spans="1:3" x14ac:dyDescent="0.25">
      <c r="A1500" s="108">
        <v>52076</v>
      </c>
      <c r="B1500" s="108" t="s">
        <v>1487</v>
      </c>
      <c r="C1500" s="108">
        <v>80</v>
      </c>
    </row>
    <row r="1501" spans="1:3" x14ac:dyDescent="0.25">
      <c r="A1501" s="108">
        <v>52077</v>
      </c>
      <c r="B1501" s="108" t="s">
        <v>1488</v>
      </c>
      <c r="C1501" s="108">
        <v>95</v>
      </c>
    </row>
    <row r="1502" spans="1:3" x14ac:dyDescent="0.25">
      <c r="A1502" s="108">
        <v>52078</v>
      </c>
      <c r="B1502" s="108" t="s">
        <v>1489</v>
      </c>
      <c r="C1502" s="108">
        <v>100</v>
      </c>
    </row>
    <row r="1503" spans="1:3" ht="30" x14ac:dyDescent="0.25">
      <c r="A1503" s="108">
        <v>52079</v>
      </c>
      <c r="B1503" s="108" t="s">
        <v>1490</v>
      </c>
      <c r="C1503" s="108">
        <v>24</v>
      </c>
    </row>
    <row r="1504" spans="1:3" x14ac:dyDescent="0.25">
      <c r="A1504" s="108">
        <v>5208</v>
      </c>
      <c r="B1504" s="108" t="s">
        <v>1491</v>
      </c>
      <c r="C1504" s="108">
        <v>42.02</v>
      </c>
    </row>
    <row r="1505" spans="1:3" x14ac:dyDescent="0.25">
      <c r="A1505" s="108">
        <v>52080</v>
      </c>
      <c r="B1505" s="108" t="s">
        <v>1492</v>
      </c>
      <c r="C1505" s="108">
        <v>21</v>
      </c>
    </row>
    <row r="1506" spans="1:3" ht="30" x14ac:dyDescent="0.25">
      <c r="A1506" s="108">
        <v>52081</v>
      </c>
      <c r="B1506" s="108" t="s">
        <v>1493</v>
      </c>
      <c r="C1506" s="108">
        <v>6.43</v>
      </c>
    </row>
    <row r="1507" spans="1:3" ht="30" x14ac:dyDescent="0.25">
      <c r="A1507" s="108">
        <v>52082</v>
      </c>
      <c r="B1507" s="108" t="s">
        <v>1494</v>
      </c>
      <c r="C1507" s="108">
        <v>1</v>
      </c>
    </row>
    <row r="1508" spans="1:3" x14ac:dyDescent="0.25">
      <c r="A1508" s="108">
        <v>52083</v>
      </c>
      <c r="B1508" s="108" t="s">
        <v>1495</v>
      </c>
      <c r="C1508" s="108">
        <v>16</v>
      </c>
    </row>
    <row r="1509" spans="1:3" x14ac:dyDescent="0.25">
      <c r="A1509" s="108">
        <v>52084</v>
      </c>
      <c r="B1509" s="108" t="s">
        <v>1496</v>
      </c>
      <c r="C1509" s="108">
        <v>104.37</v>
      </c>
    </row>
    <row r="1510" spans="1:3" x14ac:dyDescent="0.25">
      <c r="A1510" s="108">
        <v>52085</v>
      </c>
      <c r="B1510" s="108" t="s">
        <v>1497</v>
      </c>
      <c r="C1510" s="108">
        <v>203</v>
      </c>
    </row>
    <row r="1511" spans="1:3" ht="30" x14ac:dyDescent="0.25">
      <c r="A1511" s="108">
        <v>52086</v>
      </c>
      <c r="B1511" s="108" t="s">
        <v>1498</v>
      </c>
      <c r="C1511" s="108">
        <v>1</v>
      </c>
    </row>
    <row r="1512" spans="1:3" x14ac:dyDescent="0.25">
      <c r="A1512" s="108">
        <v>52087</v>
      </c>
      <c r="B1512" s="108" t="s">
        <v>1499</v>
      </c>
      <c r="C1512" s="108">
        <v>361.3</v>
      </c>
    </row>
    <row r="1513" spans="1:3" x14ac:dyDescent="0.25">
      <c r="A1513" s="108">
        <v>52088</v>
      </c>
      <c r="B1513" s="108" t="s">
        <v>1500</v>
      </c>
      <c r="C1513" s="108">
        <v>429.36</v>
      </c>
    </row>
    <row r="1514" spans="1:3" x14ac:dyDescent="0.25">
      <c r="A1514" s="108">
        <v>52089</v>
      </c>
      <c r="B1514" s="108" t="s">
        <v>1501</v>
      </c>
      <c r="C1514" s="108">
        <v>34.65</v>
      </c>
    </row>
    <row r="1515" spans="1:3" x14ac:dyDescent="0.25">
      <c r="A1515" s="108">
        <v>52090</v>
      </c>
      <c r="B1515" s="108" t="s">
        <v>1502</v>
      </c>
      <c r="C1515" s="108">
        <v>61.4</v>
      </c>
    </row>
    <row r="1516" spans="1:3" x14ac:dyDescent="0.25">
      <c r="A1516" s="108">
        <v>52091</v>
      </c>
      <c r="B1516" s="108" t="s">
        <v>1503</v>
      </c>
      <c r="C1516" s="108">
        <v>203</v>
      </c>
    </row>
    <row r="1517" spans="1:3" ht="30" x14ac:dyDescent="0.25">
      <c r="A1517" s="108">
        <v>52092</v>
      </c>
      <c r="B1517" s="108" t="s">
        <v>1504</v>
      </c>
      <c r="C1517" s="108">
        <v>203</v>
      </c>
    </row>
    <row r="1518" spans="1:3" x14ac:dyDescent="0.25">
      <c r="A1518" s="108">
        <v>52093</v>
      </c>
      <c r="B1518" s="108" t="s">
        <v>1505</v>
      </c>
      <c r="C1518" s="108">
        <v>42</v>
      </c>
    </row>
    <row r="1519" spans="1:3" x14ac:dyDescent="0.25">
      <c r="A1519" s="108">
        <v>52094</v>
      </c>
      <c r="B1519" s="108" t="s">
        <v>1506</v>
      </c>
      <c r="C1519" s="108">
        <v>54</v>
      </c>
    </row>
    <row r="1520" spans="1:3" x14ac:dyDescent="0.25">
      <c r="A1520" s="108">
        <v>52095</v>
      </c>
      <c r="B1520" s="108" t="s">
        <v>1507</v>
      </c>
      <c r="C1520" s="108">
        <v>1</v>
      </c>
    </row>
    <row r="1521" spans="1:3" x14ac:dyDescent="0.25">
      <c r="A1521" s="108">
        <v>52096</v>
      </c>
      <c r="B1521" s="108" t="s">
        <v>1508</v>
      </c>
      <c r="C1521" s="108">
        <v>1</v>
      </c>
    </row>
    <row r="1522" spans="1:3" x14ac:dyDescent="0.25">
      <c r="A1522" s="108">
        <v>52097</v>
      </c>
      <c r="B1522" s="108" t="s">
        <v>1509</v>
      </c>
      <c r="C1522" s="108">
        <v>1</v>
      </c>
    </row>
    <row r="1523" spans="1:3" x14ac:dyDescent="0.25">
      <c r="A1523" s="108">
        <v>52098</v>
      </c>
      <c r="B1523" s="108" t="s">
        <v>1510</v>
      </c>
      <c r="C1523" s="108">
        <v>1</v>
      </c>
    </row>
    <row r="1524" spans="1:3" x14ac:dyDescent="0.25">
      <c r="A1524" s="108">
        <v>52099</v>
      </c>
      <c r="B1524" s="108" t="s">
        <v>1511</v>
      </c>
      <c r="C1524" s="108">
        <v>63.8</v>
      </c>
    </row>
    <row r="1525" spans="1:3" x14ac:dyDescent="0.25">
      <c r="A1525" s="108">
        <v>5210</v>
      </c>
      <c r="B1525" s="108" t="s">
        <v>1512</v>
      </c>
      <c r="C1525" s="108">
        <v>2.7</v>
      </c>
    </row>
    <row r="1526" spans="1:3" ht="30" x14ac:dyDescent="0.25">
      <c r="A1526" s="108">
        <v>52100</v>
      </c>
      <c r="B1526" s="108" t="s">
        <v>1513</v>
      </c>
      <c r="C1526" s="108">
        <v>14.88</v>
      </c>
    </row>
    <row r="1527" spans="1:3" ht="30" x14ac:dyDescent="0.25">
      <c r="A1527" s="108">
        <v>52101</v>
      </c>
      <c r="B1527" s="108" t="s">
        <v>1514</v>
      </c>
      <c r="C1527" s="108">
        <v>15.92</v>
      </c>
    </row>
    <row r="1528" spans="1:3" ht="30" x14ac:dyDescent="0.25">
      <c r="A1528" s="108">
        <v>52102</v>
      </c>
      <c r="B1528" s="108" t="s">
        <v>1515</v>
      </c>
      <c r="C1528" s="108">
        <v>38.29</v>
      </c>
    </row>
    <row r="1529" spans="1:3" ht="30" x14ac:dyDescent="0.25">
      <c r="A1529" s="108">
        <v>52103</v>
      </c>
      <c r="B1529" s="108" t="s">
        <v>1516</v>
      </c>
      <c r="C1529" s="108">
        <v>31.5</v>
      </c>
    </row>
    <row r="1530" spans="1:3" ht="30" x14ac:dyDescent="0.25">
      <c r="A1530" s="108">
        <v>52104</v>
      </c>
      <c r="B1530" s="108" t="s">
        <v>1517</v>
      </c>
      <c r="C1530" s="108">
        <v>28.4</v>
      </c>
    </row>
    <row r="1531" spans="1:3" ht="30" x14ac:dyDescent="0.25">
      <c r="A1531" s="108">
        <v>52105</v>
      </c>
      <c r="B1531" s="108" t="s">
        <v>1518</v>
      </c>
      <c r="C1531" s="108">
        <v>51.92</v>
      </c>
    </row>
    <row r="1532" spans="1:3" ht="30" x14ac:dyDescent="0.25">
      <c r="A1532" s="108">
        <v>52106</v>
      </c>
      <c r="B1532" s="108" t="s">
        <v>1519</v>
      </c>
      <c r="C1532" s="108">
        <v>17.38</v>
      </c>
    </row>
    <row r="1533" spans="1:3" ht="30" x14ac:dyDescent="0.25">
      <c r="A1533" s="108">
        <v>52107</v>
      </c>
      <c r="B1533" s="108" t="s">
        <v>1520</v>
      </c>
      <c r="C1533" s="108">
        <v>8.5299999999999994</v>
      </c>
    </row>
    <row r="1534" spans="1:3" ht="30" x14ac:dyDescent="0.25">
      <c r="A1534" s="108">
        <v>52108</v>
      </c>
      <c r="B1534" s="108" t="s">
        <v>1521</v>
      </c>
      <c r="C1534" s="108">
        <v>28.1</v>
      </c>
    </row>
    <row r="1535" spans="1:3" ht="30" x14ac:dyDescent="0.25">
      <c r="A1535" s="108">
        <v>52109</v>
      </c>
      <c r="B1535" s="108" t="s">
        <v>1522</v>
      </c>
      <c r="C1535" s="108">
        <v>14.77</v>
      </c>
    </row>
    <row r="1536" spans="1:3" x14ac:dyDescent="0.25">
      <c r="A1536" s="108">
        <v>5211</v>
      </c>
      <c r="B1536" s="108" t="s">
        <v>1523</v>
      </c>
      <c r="C1536" s="108">
        <v>2.5</v>
      </c>
    </row>
    <row r="1537" spans="1:3" x14ac:dyDescent="0.25">
      <c r="A1537" s="108">
        <v>52110</v>
      </c>
      <c r="B1537" s="108" t="s">
        <v>1524</v>
      </c>
      <c r="C1537" s="108">
        <v>17.690000000000001</v>
      </c>
    </row>
    <row r="1538" spans="1:3" ht="30" x14ac:dyDescent="0.25">
      <c r="A1538" s="108">
        <v>52111</v>
      </c>
      <c r="B1538" s="108" t="s">
        <v>1525</v>
      </c>
      <c r="C1538" s="108">
        <v>31.01</v>
      </c>
    </row>
    <row r="1539" spans="1:3" ht="30" x14ac:dyDescent="0.25">
      <c r="A1539" s="108">
        <v>52112</v>
      </c>
      <c r="B1539" s="108" t="s">
        <v>1526</v>
      </c>
      <c r="C1539" s="108">
        <v>140.36000000000001</v>
      </c>
    </row>
    <row r="1540" spans="1:3" x14ac:dyDescent="0.25">
      <c r="A1540" s="108">
        <v>52113</v>
      </c>
      <c r="B1540" s="108" t="s">
        <v>1527</v>
      </c>
      <c r="C1540" s="108">
        <v>63.36</v>
      </c>
    </row>
    <row r="1541" spans="1:3" ht="30" x14ac:dyDescent="0.25">
      <c r="A1541" s="108">
        <v>52114</v>
      </c>
      <c r="B1541" s="108" t="s">
        <v>1528</v>
      </c>
      <c r="C1541" s="108">
        <v>80.010000000000005</v>
      </c>
    </row>
    <row r="1542" spans="1:3" x14ac:dyDescent="0.25">
      <c r="A1542" s="108">
        <v>52115</v>
      </c>
      <c r="B1542" s="108" t="s">
        <v>1529</v>
      </c>
      <c r="C1542" s="108">
        <v>216.2</v>
      </c>
    </row>
    <row r="1543" spans="1:3" x14ac:dyDescent="0.25">
      <c r="A1543" s="108">
        <v>52116</v>
      </c>
      <c r="B1543" s="108" t="s">
        <v>1530</v>
      </c>
      <c r="C1543" s="108">
        <v>126.52</v>
      </c>
    </row>
    <row r="1544" spans="1:3" x14ac:dyDescent="0.25">
      <c r="A1544" s="108">
        <v>52117</v>
      </c>
      <c r="B1544" s="108" t="s">
        <v>1531</v>
      </c>
      <c r="C1544" s="108">
        <v>61.7</v>
      </c>
    </row>
    <row r="1545" spans="1:3" x14ac:dyDescent="0.25">
      <c r="A1545" s="108">
        <v>52118</v>
      </c>
      <c r="B1545" s="108" t="s">
        <v>1532</v>
      </c>
      <c r="C1545" s="108">
        <v>28.09</v>
      </c>
    </row>
    <row r="1546" spans="1:3" x14ac:dyDescent="0.25">
      <c r="A1546" s="108">
        <v>52119</v>
      </c>
      <c r="B1546" s="108" t="s">
        <v>1533</v>
      </c>
      <c r="C1546" s="108">
        <v>69.92</v>
      </c>
    </row>
    <row r="1547" spans="1:3" x14ac:dyDescent="0.25">
      <c r="A1547" s="108">
        <v>5212</v>
      </c>
      <c r="B1547" s="108" t="s">
        <v>1534</v>
      </c>
      <c r="C1547" s="108">
        <v>2.6</v>
      </c>
    </row>
    <row r="1548" spans="1:3" x14ac:dyDescent="0.25">
      <c r="A1548" s="108">
        <v>52120</v>
      </c>
      <c r="B1548" s="108" t="s">
        <v>1535</v>
      </c>
      <c r="C1548" s="108">
        <v>132.44999999999999</v>
      </c>
    </row>
    <row r="1549" spans="1:3" x14ac:dyDescent="0.25">
      <c r="A1549" s="108">
        <v>52121</v>
      </c>
      <c r="B1549" s="108" t="s">
        <v>1536</v>
      </c>
      <c r="C1549" s="108">
        <v>55.98</v>
      </c>
    </row>
    <row r="1550" spans="1:3" ht="30" x14ac:dyDescent="0.25">
      <c r="A1550" s="108">
        <v>52122</v>
      </c>
      <c r="B1550" s="108" t="s">
        <v>1537</v>
      </c>
      <c r="C1550" s="108">
        <v>7.49</v>
      </c>
    </row>
    <row r="1551" spans="1:3" x14ac:dyDescent="0.25">
      <c r="A1551" s="108">
        <v>52123</v>
      </c>
      <c r="B1551" s="108" t="s">
        <v>1538</v>
      </c>
      <c r="C1551" s="108">
        <v>184.68</v>
      </c>
    </row>
    <row r="1552" spans="1:3" ht="30" x14ac:dyDescent="0.25">
      <c r="A1552" s="108">
        <v>52124</v>
      </c>
      <c r="B1552" s="108" t="s">
        <v>1539</v>
      </c>
      <c r="C1552" s="108">
        <v>3.64</v>
      </c>
    </row>
    <row r="1553" spans="1:3" ht="30" x14ac:dyDescent="0.25">
      <c r="A1553" s="108">
        <v>52125</v>
      </c>
      <c r="B1553" s="108" t="s">
        <v>1540</v>
      </c>
      <c r="C1553" s="108">
        <v>3.12</v>
      </c>
    </row>
    <row r="1554" spans="1:3" ht="30" x14ac:dyDescent="0.25">
      <c r="A1554" s="108">
        <v>52126</v>
      </c>
      <c r="B1554" s="108" t="s">
        <v>1541</v>
      </c>
      <c r="C1554" s="108">
        <v>2.71</v>
      </c>
    </row>
    <row r="1555" spans="1:3" ht="30" x14ac:dyDescent="0.25">
      <c r="A1555" s="108">
        <v>52127</v>
      </c>
      <c r="B1555" s="108" t="s">
        <v>1542</v>
      </c>
      <c r="C1555" s="108">
        <v>6.24</v>
      </c>
    </row>
    <row r="1556" spans="1:3" x14ac:dyDescent="0.25">
      <c r="A1556" s="108">
        <v>52128</v>
      </c>
      <c r="B1556" s="108" t="s">
        <v>1543</v>
      </c>
      <c r="C1556" s="108">
        <v>129.53</v>
      </c>
    </row>
    <row r="1557" spans="1:3" x14ac:dyDescent="0.25">
      <c r="A1557" s="108">
        <v>52129</v>
      </c>
      <c r="B1557" s="108" t="s">
        <v>1544</v>
      </c>
      <c r="C1557" s="108">
        <v>60.66</v>
      </c>
    </row>
    <row r="1558" spans="1:3" ht="30" x14ac:dyDescent="0.25">
      <c r="A1558" s="108">
        <v>52130</v>
      </c>
      <c r="B1558" s="108" t="s">
        <v>1545</v>
      </c>
      <c r="C1558" s="108">
        <v>40.159999999999997</v>
      </c>
    </row>
    <row r="1559" spans="1:3" ht="30" x14ac:dyDescent="0.25">
      <c r="A1559" s="108">
        <v>52131</v>
      </c>
      <c r="B1559" s="108" t="s">
        <v>1546</v>
      </c>
      <c r="C1559" s="108">
        <v>9.57</v>
      </c>
    </row>
    <row r="1560" spans="1:3" ht="30" x14ac:dyDescent="0.25">
      <c r="A1560" s="108">
        <v>52132</v>
      </c>
      <c r="B1560" s="108" t="s">
        <v>1547</v>
      </c>
      <c r="C1560" s="108">
        <v>5.72</v>
      </c>
    </row>
    <row r="1561" spans="1:3" ht="30" x14ac:dyDescent="0.25">
      <c r="A1561" s="108">
        <v>52133</v>
      </c>
      <c r="B1561" s="108" t="s">
        <v>1548</v>
      </c>
      <c r="C1561" s="108">
        <v>91.14</v>
      </c>
    </row>
    <row r="1562" spans="1:3" ht="30" x14ac:dyDescent="0.25">
      <c r="A1562" s="108">
        <v>52134</v>
      </c>
      <c r="B1562" s="108" t="s">
        <v>1549</v>
      </c>
      <c r="C1562" s="108">
        <v>126.52</v>
      </c>
    </row>
    <row r="1563" spans="1:3" ht="30" x14ac:dyDescent="0.25">
      <c r="A1563" s="108">
        <v>52135</v>
      </c>
      <c r="B1563" s="108" t="s">
        <v>1550</v>
      </c>
      <c r="C1563" s="108">
        <v>2.29</v>
      </c>
    </row>
    <row r="1564" spans="1:3" ht="30" x14ac:dyDescent="0.25">
      <c r="A1564" s="108">
        <v>52136</v>
      </c>
      <c r="B1564" s="108" t="s">
        <v>1551</v>
      </c>
      <c r="C1564" s="108">
        <v>30.69</v>
      </c>
    </row>
    <row r="1565" spans="1:3" ht="30" x14ac:dyDescent="0.25">
      <c r="A1565" s="108">
        <v>52137</v>
      </c>
      <c r="B1565" s="108" t="s">
        <v>1552</v>
      </c>
      <c r="C1565" s="108">
        <v>11.76</v>
      </c>
    </row>
    <row r="1566" spans="1:3" x14ac:dyDescent="0.25">
      <c r="A1566" s="108">
        <v>52138</v>
      </c>
      <c r="B1566" s="108" t="s">
        <v>1553</v>
      </c>
      <c r="C1566" s="108">
        <v>23.2</v>
      </c>
    </row>
    <row r="1567" spans="1:3" x14ac:dyDescent="0.25">
      <c r="A1567" s="108">
        <v>52139</v>
      </c>
      <c r="B1567" s="108" t="s">
        <v>1554</v>
      </c>
      <c r="C1567" s="108">
        <v>34.65</v>
      </c>
    </row>
    <row r="1568" spans="1:3" x14ac:dyDescent="0.25">
      <c r="A1568" s="108">
        <v>5214</v>
      </c>
      <c r="B1568" s="108" t="s">
        <v>1555</v>
      </c>
      <c r="C1568" s="108">
        <v>1.7</v>
      </c>
    </row>
    <row r="1569" spans="1:3" x14ac:dyDescent="0.25">
      <c r="A1569" s="108">
        <v>52140</v>
      </c>
      <c r="B1569" s="108" t="s">
        <v>1556</v>
      </c>
      <c r="C1569" s="108">
        <v>104.25</v>
      </c>
    </row>
    <row r="1570" spans="1:3" ht="30" x14ac:dyDescent="0.25">
      <c r="A1570" s="108">
        <v>52141</v>
      </c>
      <c r="B1570" s="108" t="s">
        <v>1557</v>
      </c>
      <c r="C1570" s="108">
        <v>22.47</v>
      </c>
    </row>
    <row r="1571" spans="1:3" ht="30" x14ac:dyDescent="0.25">
      <c r="A1571" s="108">
        <v>52142</v>
      </c>
      <c r="B1571" s="108" t="s">
        <v>1558</v>
      </c>
      <c r="C1571" s="108">
        <v>112.37</v>
      </c>
    </row>
    <row r="1572" spans="1:3" x14ac:dyDescent="0.25">
      <c r="A1572" s="108">
        <v>52143</v>
      </c>
      <c r="B1572" s="108" t="s">
        <v>1559</v>
      </c>
      <c r="C1572" s="108">
        <v>27.88</v>
      </c>
    </row>
    <row r="1573" spans="1:3" ht="30" x14ac:dyDescent="0.25">
      <c r="A1573" s="108">
        <v>52144</v>
      </c>
      <c r="B1573" s="108" t="s">
        <v>1560</v>
      </c>
      <c r="C1573" s="108">
        <v>7.6</v>
      </c>
    </row>
    <row r="1574" spans="1:3" ht="30" x14ac:dyDescent="0.25">
      <c r="A1574" s="108">
        <v>52145</v>
      </c>
      <c r="B1574" s="108" t="s">
        <v>1561</v>
      </c>
      <c r="C1574" s="108">
        <v>31.01</v>
      </c>
    </row>
    <row r="1575" spans="1:3" ht="30" x14ac:dyDescent="0.25">
      <c r="A1575" s="108">
        <v>52146</v>
      </c>
      <c r="B1575" s="108" t="s">
        <v>1562</v>
      </c>
      <c r="C1575" s="108">
        <v>19.66</v>
      </c>
    </row>
    <row r="1576" spans="1:3" ht="30" x14ac:dyDescent="0.25">
      <c r="A1576" s="108">
        <v>52147</v>
      </c>
      <c r="B1576" s="108" t="s">
        <v>1563</v>
      </c>
      <c r="C1576" s="108">
        <v>13.11</v>
      </c>
    </row>
    <row r="1577" spans="1:3" x14ac:dyDescent="0.25">
      <c r="A1577" s="108">
        <v>52148</v>
      </c>
      <c r="B1577" s="108" t="s">
        <v>1564</v>
      </c>
      <c r="C1577" s="108">
        <v>0.62</v>
      </c>
    </row>
    <row r="1578" spans="1:3" ht="30" x14ac:dyDescent="0.25">
      <c r="A1578" s="108">
        <v>52149</v>
      </c>
      <c r="B1578" s="108" t="s">
        <v>1565</v>
      </c>
      <c r="C1578" s="108">
        <v>6.45</v>
      </c>
    </row>
    <row r="1579" spans="1:3" ht="30" x14ac:dyDescent="0.25">
      <c r="A1579" s="108">
        <v>52150</v>
      </c>
      <c r="B1579" s="108" t="s">
        <v>1566</v>
      </c>
      <c r="C1579" s="108">
        <v>16.13</v>
      </c>
    </row>
    <row r="1580" spans="1:3" x14ac:dyDescent="0.25">
      <c r="A1580" s="108">
        <v>52151</v>
      </c>
      <c r="B1580" s="108" t="s">
        <v>1567</v>
      </c>
      <c r="C1580" s="108">
        <v>10.199999999999999</v>
      </c>
    </row>
    <row r="1581" spans="1:3" ht="30" x14ac:dyDescent="0.25">
      <c r="A1581" s="108">
        <v>52152</v>
      </c>
      <c r="B1581" s="108" t="s">
        <v>1568</v>
      </c>
      <c r="C1581" s="108">
        <v>27.68</v>
      </c>
    </row>
    <row r="1582" spans="1:3" ht="30" x14ac:dyDescent="0.25">
      <c r="A1582" s="108">
        <v>52153</v>
      </c>
      <c r="B1582" s="108" t="s">
        <v>1569</v>
      </c>
      <c r="C1582" s="108">
        <v>20.39</v>
      </c>
    </row>
    <row r="1583" spans="1:3" ht="30" x14ac:dyDescent="0.25">
      <c r="A1583" s="108">
        <v>52154</v>
      </c>
      <c r="B1583" s="108" t="s">
        <v>1570</v>
      </c>
      <c r="C1583" s="108">
        <v>6.55</v>
      </c>
    </row>
    <row r="1584" spans="1:3" ht="30" x14ac:dyDescent="0.25">
      <c r="A1584" s="108">
        <v>52155</v>
      </c>
      <c r="B1584" s="108" t="s">
        <v>1571</v>
      </c>
      <c r="C1584" s="108">
        <v>76.81</v>
      </c>
    </row>
    <row r="1585" spans="1:3" ht="30" x14ac:dyDescent="0.25">
      <c r="A1585" s="108">
        <v>52156</v>
      </c>
      <c r="B1585" s="108" t="s">
        <v>1572</v>
      </c>
      <c r="C1585" s="108">
        <v>1.98</v>
      </c>
    </row>
    <row r="1586" spans="1:3" ht="30" x14ac:dyDescent="0.25">
      <c r="A1586" s="108">
        <v>52157</v>
      </c>
      <c r="B1586" s="108" t="s">
        <v>1573</v>
      </c>
      <c r="C1586" s="108">
        <v>12.17</v>
      </c>
    </row>
    <row r="1587" spans="1:3" ht="30" x14ac:dyDescent="0.25">
      <c r="A1587" s="108">
        <v>52158</v>
      </c>
      <c r="B1587" s="108" t="s">
        <v>1574</v>
      </c>
      <c r="C1587" s="108">
        <v>0.45</v>
      </c>
    </row>
    <row r="1588" spans="1:3" ht="30" x14ac:dyDescent="0.25">
      <c r="A1588" s="108">
        <v>52159</v>
      </c>
      <c r="B1588" s="108" t="s">
        <v>1575</v>
      </c>
      <c r="C1588" s="108">
        <v>0.94</v>
      </c>
    </row>
    <row r="1589" spans="1:3" x14ac:dyDescent="0.25">
      <c r="A1589" s="108">
        <v>5216</v>
      </c>
      <c r="B1589" s="108" t="s">
        <v>1576</v>
      </c>
      <c r="C1589" s="108">
        <v>13.47</v>
      </c>
    </row>
    <row r="1590" spans="1:3" ht="30" x14ac:dyDescent="0.25">
      <c r="A1590" s="108">
        <v>52160</v>
      </c>
      <c r="B1590" s="108" t="s">
        <v>1577</v>
      </c>
      <c r="C1590" s="108">
        <v>0.62</v>
      </c>
    </row>
    <row r="1591" spans="1:3" ht="30" x14ac:dyDescent="0.25">
      <c r="A1591" s="108">
        <v>52161</v>
      </c>
      <c r="B1591" s="108" t="s">
        <v>1578</v>
      </c>
      <c r="C1591" s="108">
        <v>0.45</v>
      </c>
    </row>
    <row r="1592" spans="1:3" ht="30" x14ac:dyDescent="0.25">
      <c r="A1592" s="108">
        <v>52162</v>
      </c>
      <c r="B1592" s="108" t="s">
        <v>1579</v>
      </c>
      <c r="C1592" s="108">
        <v>0.73</v>
      </c>
    </row>
    <row r="1593" spans="1:3" x14ac:dyDescent="0.25">
      <c r="A1593" s="108">
        <v>52163</v>
      </c>
      <c r="B1593" s="108" t="s">
        <v>1580</v>
      </c>
      <c r="C1593" s="108">
        <v>2.6</v>
      </c>
    </row>
    <row r="1594" spans="1:3" ht="30" x14ac:dyDescent="0.25">
      <c r="A1594" s="108">
        <v>52164</v>
      </c>
      <c r="B1594" s="108" t="s">
        <v>1581</v>
      </c>
      <c r="C1594" s="108">
        <v>0.45</v>
      </c>
    </row>
    <row r="1595" spans="1:3" x14ac:dyDescent="0.25">
      <c r="A1595" s="108">
        <v>52165</v>
      </c>
      <c r="B1595" s="108" t="s">
        <v>1582</v>
      </c>
      <c r="C1595" s="108">
        <v>0.62</v>
      </c>
    </row>
    <row r="1596" spans="1:3" ht="30" x14ac:dyDescent="0.25">
      <c r="A1596" s="108">
        <v>52166</v>
      </c>
      <c r="B1596" s="108" t="s">
        <v>1583</v>
      </c>
      <c r="C1596" s="108">
        <v>0.75</v>
      </c>
    </row>
    <row r="1597" spans="1:3" x14ac:dyDescent="0.25">
      <c r="A1597" s="108">
        <v>52167</v>
      </c>
      <c r="B1597" s="108" t="s">
        <v>1584</v>
      </c>
      <c r="C1597" s="108">
        <v>0.31</v>
      </c>
    </row>
    <row r="1598" spans="1:3" ht="30" x14ac:dyDescent="0.25">
      <c r="A1598" s="108">
        <v>52168</v>
      </c>
      <c r="B1598" s="108" t="s">
        <v>1585</v>
      </c>
      <c r="C1598" s="108">
        <v>0.62</v>
      </c>
    </row>
    <row r="1599" spans="1:3" x14ac:dyDescent="0.25">
      <c r="A1599" s="108">
        <v>52169</v>
      </c>
      <c r="B1599" s="108" t="s">
        <v>1586</v>
      </c>
      <c r="C1599" s="108">
        <v>6.14</v>
      </c>
    </row>
    <row r="1600" spans="1:3" x14ac:dyDescent="0.25">
      <c r="A1600" s="108">
        <v>5217</v>
      </c>
      <c r="B1600" s="108" t="s">
        <v>1587</v>
      </c>
      <c r="C1600" s="108">
        <v>20.8</v>
      </c>
    </row>
    <row r="1601" spans="1:3" x14ac:dyDescent="0.25">
      <c r="A1601" s="108">
        <v>52170</v>
      </c>
      <c r="B1601" s="108" t="s">
        <v>1588</v>
      </c>
      <c r="C1601" s="108">
        <v>102.8</v>
      </c>
    </row>
    <row r="1602" spans="1:3" ht="30" x14ac:dyDescent="0.25">
      <c r="A1602" s="108">
        <v>52171</v>
      </c>
      <c r="B1602" s="108" t="s">
        <v>1589</v>
      </c>
      <c r="C1602" s="108">
        <v>0.3</v>
      </c>
    </row>
    <row r="1603" spans="1:3" ht="30" x14ac:dyDescent="0.25">
      <c r="A1603" s="108">
        <v>52172</v>
      </c>
      <c r="B1603" s="108" t="s">
        <v>1590</v>
      </c>
      <c r="C1603" s="108">
        <v>21.64</v>
      </c>
    </row>
    <row r="1604" spans="1:3" ht="30" x14ac:dyDescent="0.25">
      <c r="A1604" s="108">
        <v>52173</v>
      </c>
      <c r="B1604" s="108" t="s">
        <v>1591</v>
      </c>
      <c r="C1604" s="108">
        <v>7.28</v>
      </c>
    </row>
    <row r="1605" spans="1:3" ht="30" x14ac:dyDescent="0.25">
      <c r="A1605" s="108">
        <v>52174</v>
      </c>
      <c r="B1605" s="108" t="s">
        <v>1592</v>
      </c>
      <c r="C1605" s="108">
        <v>2.08</v>
      </c>
    </row>
    <row r="1606" spans="1:3" ht="30" x14ac:dyDescent="0.25">
      <c r="A1606" s="108">
        <v>52175</v>
      </c>
      <c r="B1606" s="108" t="s">
        <v>1593</v>
      </c>
      <c r="C1606" s="108">
        <v>3.64</v>
      </c>
    </row>
    <row r="1607" spans="1:3" ht="30" x14ac:dyDescent="0.25">
      <c r="A1607" s="108">
        <v>52176</v>
      </c>
      <c r="B1607" s="108" t="s">
        <v>1594</v>
      </c>
      <c r="C1607" s="108">
        <v>1.66</v>
      </c>
    </row>
    <row r="1608" spans="1:3" ht="30" x14ac:dyDescent="0.25">
      <c r="A1608" s="108">
        <v>52177</v>
      </c>
      <c r="B1608" s="108" t="s">
        <v>1595</v>
      </c>
      <c r="C1608" s="108">
        <v>2.71</v>
      </c>
    </row>
    <row r="1609" spans="1:3" x14ac:dyDescent="0.25">
      <c r="A1609" s="108">
        <v>52178</v>
      </c>
      <c r="B1609" s="108" t="s">
        <v>1596</v>
      </c>
      <c r="C1609" s="108">
        <v>1.04</v>
      </c>
    </row>
    <row r="1610" spans="1:3" ht="30" x14ac:dyDescent="0.25">
      <c r="A1610" s="108">
        <v>52179</v>
      </c>
      <c r="B1610" s="108" t="s">
        <v>1597</v>
      </c>
      <c r="C1610" s="108">
        <v>4.37</v>
      </c>
    </row>
    <row r="1611" spans="1:3" ht="30" x14ac:dyDescent="0.25">
      <c r="A1611" s="108">
        <v>52180</v>
      </c>
      <c r="B1611" s="108" t="s">
        <v>1598</v>
      </c>
      <c r="C1611" s="108">
        <v>3.02</v>
      </c>
    </row>
    <row r="1612" spans="1:3" ht="30" x14ac:dyDescent="0.25">
      <c r="A1612" s="108">
        <v>52181</v>
      </c>
      <c r="B1612" s="108" t="s">
        <v>1599</v>
      </c>
      <c r="C1612" s="108">
        <v>0.31</v>
      </c>
    </row>
    <row r="1613" spans="1:3" ht="30" x14ac:dyDescent="0.25">
      <c r="A1613" s="108">
        <v>52182</v>
      </c>
      <c r="B1613" s="108" t="s">
        <v>1600</v>
      </c>
      <c r="C1613" s="108">
        <v>1.2</v>
      </c>
    </row>
    <row r="1614" spans="1:3" ht="30" x14ac:dyDescent="0.25">
      <c r="A1614" s="108">
        <v>52183</v>
      </c>
      <c r="B1614" s="108" t="s">
        <v>1601</v>
      </c>
      <c r="C1614" s="108">
        <v>2.71</v>
      </c>
    </row>
    <row r="1615" spans="1:3" ht="30" x14ac:dyDescent="0.25">
      <c r="A1615" s="108">
        <v>52184</v>
      </c>
      <c r="B1615" s="108" t="s">
        <v>1602</v>
      </c>
      <c r="C1615" s="108">
        <v>3.02</v>
      </c>
    </row>
    <row r="1616" spans="1:3" x14ac:dyDescent="0.25">
      <c r="A1616" s="108">
        <v>52185</v>
      </c>
      <c r="B1616" s="108" t="s">
        <v>1603</v>
      </c>
      <c r="C1616" s="108">
        <v>6.24</v>
      </c>
    </row>
    <row r="1617" spans="1:3" ht="30" x14ac:dyDescent="0.25">
      <c r="A1617" s="108">
        <v>52186</v>
      </c>
      <c r="B1617" s="108" t="s">
        <v>1604</v>
      </c>
      <c r="C1617" s="108">
        <v>1.04</v>
      </c>
    </row>
    <row r="1618" spans="1:3" ht="30" x14ac:dyDescent="0.25">
      <c r="A1618" s="108">
        <v>52188</v>
      </c>
      <c r="B1618" s="108" t="s">
        <v>1605</v>
      </c>
      <c r="C1618" s="108">
        <v>1.66</v>
      </c>
    </row>
    <row r="1619" spans="1:3" x14ac:dyDescent="0.25">
      <c r="A1619" s="108">
        <v>52189</v>
      </c>
      <c r="B1619" s="108" t="s">
        <v>1606</v>
      </c>
      <c r="C1619" s="108">
        <v>1.35</v>
      </c>
    </row>
    <row r="1620" spans="1:3" ht="30" x14ac:dyDescent="0.25">
      <c r="A1620" s="108">
        <v>52190</v>
      </c>
      <c r="B1620" s="108" t="s">
        <v>1607</v>
      </c>
      <c r="C1620" s="108">
        <v>3.02</v>
      </c>
    </row>
    <row r="1621" spans="1:3" ht="30" x14ac:dyDescent="0.25">
      <c r="A1621" s="108">
        <v>52191</v>
      </c>
      <c r="B1621" s="108" t="s">
        <v>1608</v>
      </c>
      <c r="C1621" s="108">
        <v>4.47</v>
      </c>
    </row>
    <row r="1622" spans="1:3" ht="30" x14ac:dyDescent="0.25">
      <c r="A1622" s="108">
        <v>52192</v>
      </c>
      <c r="B1622" s="108" t="s">
        <v>1609</v>
      </c>
      <c r="C1622" s="108">
        <v>11.97</v>
      </c>
    </row>
    <row r="1623" spans="1:3" ht="30" x14ac:dyDescent="0.25">
      <c r="A1623" s="108">
        <v>52193</v>
      </c>
      <c r="B1623" s="108" t="s">
        <v>1610</v>
      </c>
      <c r="C1623" s="108">
        <v>1.2</v>
      </c>
    </row>
    <row r="1624" spans="1:3" ht="30" x14ac:dyDescent="0.25">
      <c r="A1624" s="108">
        <v>52194</v>
      </c>
      <c r="B1624" s="108" t="s">
        <v>1611</v>
      </c>
      <c r="C1624" s="108">
        <v>1.25</v>
      </c>
    </row>
    <row r="1625" spans="1:3" ht="30" x14ac:dyDescent="0.25">
      <c r="A1625" s="108">
        <v>52195</v>
      </c>
      <c r="B1625" s="108" t="s">
        <v>1612</v>
      </c>
      <c r="C1625" s="108">
        <v>1.25</v>
      </c>
    </row>
    <row r="1626" spans="1:3" ht="30" x14ac:dyDescent="0.25">
      <c r="A1626" s="108">
        <v>52196</v>
      </c>
      <c r="B1626" s="108" t="s">
        <v>1613</v>
      </c>
      <c r="C1626" s="108">
        <v>2.39</v>
      </c>
    </row>
    <row r="1627" spans="1:3" ht="30" x14ac:dyDescent="0.25">
      <c r="A1627" s="108">
        <v>52197</v>
      </c>
      <c r="B1627" s="108" t="s">
        <v>1614</v>
      </c>
      <c r="C1627" s="108">
        <v>4.47</v>
      </c>
    </row>
    <row r="1628" spans="1:3" ht="30" x14ac:dyDescent="0.25">
      <c r="A1628" s="108">
        <v>52198</v>
      </c>
      <c r="B1628" s="108" t="s">
        <v>1615</v>
      </c>
      <c r="C1628" s="108">
        <v>1.35</v>
      </c>
    </row>
    <row r="1629" spans="1:3" ht="30" x14ac:dyDescent="0.25">
      <c r="A1629" s="108">
        <v>52199</v>
      </c>
      <c r="B1629" s="108" t="s">
        <v>1616</v>
      </c>
      <c r="C1629" s="108">
        <v>2.39</v>
      </c>
    </row>
    <row r="1630" spans="1:3" x14ac:dyDescent="0.25">
      <c r="A1630" s="108">
        <v>5220</v>
      </c>
      <c r="B1630" s="108" t="s">
        <v>1617</v>
      </c>
      <c r="C1630" s="108">
        <v>13.4</v>
      </c>
    </row>
    <row r="1631" spans="1:3" x14ac:dyDescent="0.25">
      <c r="A1631" s="108">
        <v>52201</v>
      </c>
      <c r="B1631" s="108" t="s">
        <v>1618</v>
      </c>
      <c r="C1631" s="108">
        <v>360</v>
      </c>
    </row>
    <row r="1632" spans="1:3" ht="30" x14ac:dyDescent="0.25">
      <c r="A1632" s="108">
        <v>52202</v>
      </c>
      <c r="B1632" s="108" t="s">
        <v>1619</v>
      </c>
      <c r="C1632" s="108">
        <v>2.2999999999999998</v>
      </c>
    </row>
    <row r="1633" spans="1:3" x14ac:dyDescent="0.25">
      <c r="A1633" s="108">
        <v>52203</v>
      </c>
      <c r="B1633" s="108" t="s">
        <v>1620</v>
      </c>
      <c r="C1633" s="108">
        <v>2.6</v>
      </c>
    </row>
    <row r="1634" spans="1:3" x14ac:dyDescent="0.25">
      <c r="A1634" s="108">
        <v>52204</v>
      </c>
      <c r="B1634" s="108" t="s">
        <v>1621</v>
      </c>
      <c r="C1634" s="108">
        <v>3</v>
      </c>
    </row>
    <row r="1635" spans="1:3" x14ac:dyDescent="0.25">
      <c r="A1635" s="108">
        <v>52205</v>
      </c>
      <c r="B1635" s="108" t="s">
        <v>1622</v>
      </c>
      <c r="C1635" s="108">
        <v>3.6</v>
      </c>
    </row>
    <row r="1636" spans="1:3" x14ac:dyDescent="0.25">
      <c r="A1636" s="108">
        <v>52206</v>
      </c>
      <c r="B1636" s="108" t="s">
        <v>1623</v>
      </c>
      <c r="C1636" s="108">
        <v>1</v>
      </c>
    </row>
    <row r="1637" spans="1:3" x14ac:dyDescent="0.25">
      <c r="A1637" s="108">
        <v>52207</v>
      </c>
      <c r="B1637" s="108" t="s">
        <v>1624</v>
      </c>
      <c r="C1637" s="108">
        <v>1</v>
      </c>
    </row>
    <row r="1638" spans="1:3" x14ac:dyDescent="0.25">
      <c r="A1638" s="108">
        <v>52208</v>
      </c>
      <c r="B1638" s="108" t="s">
        <v>1625</v>
      </c>
      <c r="C1638" s="108">
        <v>1</v>
      </c>
    </row>
    <row r="1639" spans="1:3" x14ac:dyDescent="0.25">
      <c r="A1639" s="108">
        <v>52209</v>
      </c>
      <c r="B1639" s="108" t="s">
        <v>1626</v>
      </c>
      <c r="C1639" s="108">
        <v>1</v>
      </c>
    </row>
    <row r="1640" spans="1:3" x14ac:dyDescent="0.25">
      <c r="A1640" s="108">
        <v>5221</v>
      </c>
      <c r="B1640" s="108" t="s">
        <v>1627</v>
      </c>
      <c r="C1640" s="108">
        <v>21.3</v>
      </c>
    </row>
    <row r="1641" spans="1:3" x14ac:dyDescent="0.25">
      <c r="A1641" s="108">
        <v>52210</v>
      </c>
      <c r="B1641" s="108" t="s">
        <v>1628</v>
      </c>
      <c r="C1641" s="108">
        <v>1</v>
      </c>
    </row>
    <row r="1642" spans="1:3" x14ac:dyDescent="0.25">
      <c r="A1642" s="108">
        <v>52211</v>
      </c>
      <c r="B1642" s="108" t="s">
        <v>1629</v>
      </c>
      <c r="C1642" s="108">
        <v>1</v>
      </c>
    </row>
    <row r="1643" spans="1:3" x14ac:dyDescent="0.25">
      <c r="A1643" s="108">
        <v>52212</v>
      </c>
      <c r="B1643" s="108" t="s">
        <v>1630</v>
      </c>
      <c r="C1643" s="108">
        <v>1</v>
      </c>
    </row>
    <row r="1644" spans="1:3" x14ac:dyDescent="0.25">
      <c r="A1644" s="108">
        <v>52213</v>
      </c>
      <c r="B1644" s="108" t="s">
        <v>1631</v>
      </c>
      <c r="C1644" s="108">
        <v>1</v>
      </c>
    </row>
    <row r="1645" spans="1:3" x14ac:dyDescent="0.25">
      <c r="A1645" s="108">
        <v>52214</v>
      </c>
      <c r="B1645" s="108" t="s">
        <v>1632</v>
      </c>
      <c r="C1645" s="108">
        <v>1</v>
      </c>
    </row>
    <row r="1646" spans="1:3" x14ac:dyDescent="0.25">
      <c r="A1646" s="108">
        <v>52215</v>
      </c>
      <c r="B1646" s="108" t="s">
        <v>1633</v>
      </c>
      <c r="C1646" s="108">
        <v>1</v>
      </c>
    </row>
    <row r="1647" spans="1:3" x14ac:dyDescent="0.25">
      <c r="A1647" s="108">
        <v>52216</v>
      </c>
      <c r="B1647" s="108" t="s">
        <v>1634</v>
      </c>
      <c r="C1647" s="108">
        <v>1</v>
      </c>
    </row>
    <row r="1648" spans="1:3" x14ac:dyDescent="0.25">
      <c r="A1648" s="108">
        <v>52217</v>
      </c>
      <c r="B1648" s="108" t="s">
        <v>1635</v>
      </c>
      <c r="C1648" s="108">
        <v>1</v>
      </c>
    </row>
    <row r="1649" spans="1:3" x14ac:dyDescent="0.25">
      <c r="A1649" s="108">
        <v>52218</v>
      </c>
      <c r="B1649" s="108" t="s">
        <v>1636</v>
      </c>
      <c r="C1649" s="108">
        <v>1</v>
      </c>
    </row>
    <row r="1650" spans="1:3" ht="30" x14ac:dyDescent="0.25">
      <c r="A1650" s="108">
        <v>52219</v>
      </c>
      <c r="B1650" s="108" t="s">
        <v>1637</v>
      </c>
      <c r="C1650" s="108">
        <v>1</v>
      </c>
    </row>
    <row r="1651" spans="1:3" x14ac:dyDescent="0.25">
      <c r="A1651" s="108">
        <v>5222</v>
      </c>
      <c r="B1651" s="108" t="s">
        <v>1638</v>
      </c>
      <c r="C1651" s="108">
        <v>47.9</v>
      </c>
    </row>
    <row r="1652" spans="1:3" x14ac:dyDescent="0.25">
      <c r="A1652" s="108">
        <v>52220</v>
      </c>
      <c r="B1652" s="108" t="s">
        <v>1639</v>
      </c>
      <c r="C1652" s="108">
        <v>1</v>
      </c>
    </row>
    <row r="1653" spans="1:3" x14ac:dyDescent="0.25">
      <c r="A1653" s="108">
        <v>52221</v>
      </c>
      <c r="B1653" s="108" t="s">
        <v>1640</v>
      </c>
      <c r="C1653" s="108">
        <v>1</v>
      </c>
    </row>
    <row r="1654" spans="1:3" x14ac:dyDescent="0.25">
      <c r="A1654" s="108">
        <v>52222</v>
      </c>
      <c r="B1654" s="108" t="s">
        <v>1641</v>
      </c>
      <c r="C1654" s="108">
        <v>1</v>
      </c>
    </row>
    <row r="1655" spans="1:3" x14ac:dyDescent="0.25">
      <c r="A1655" s="108">
        <v>52223</v>
      </c>
      <c r="B1655" s="108" t="s">
        <v>1642</v>
      </c>
      <c r="C1655" s="108">
        <v>1</v>
      </c>
    </row>
    <row r="1656" spans="1:3" x14ac:dyDescent="0.25">
      <c r="A1656" s="108">
        <v>52224</v>
      </c>
      <c r="B1656" s="108" t="s">
        <v>1643</v>
      </c>
      <c r="C1656" s="108">
        <v>1</v>
      </c>
    </row>
    <row r="1657" spans="1:3" x14ac:dyDescent="0.25">
      <c r="A1657" s="108">
        <v>52225</v>
      </c>
      <c r="B1657" s="108" t="s">
        <v>1644</v>
      </c>
      <c r="C1657" s="108">
        <v>1</v>
      </c>
    </row>
    <row r="1658" spans="1:3" x14ac:dyDescent="0.25">
      <c r="A1658" s="108">
        <v>52226</v>
      </c>
      <c r="B1658" s="108" t="s">
        <v>1645</v>
      </c>
      <c r="C1658" s="108">
        <v>1</v>
      </c>
    </row>
    <row r="1659" spans="1:3" x14ac:dyDescent="0.25">
      <c r="A1659" s="108">
        <v>52227</v>
      </c>
      <c r="B1659" s="108" t="s">
        <v>1646</v>
      </c>
      <c r="C1659" s="108">
        <v>1</v>
      </c>
    </row>
    <row r="1660" spans="1:3" x14ac:dyDescent="0.25">
      <c r="A1660" s="108">
        <v>52228</v>
      </c>
      <c r="B1660" s="108" t="s">
        <v>1647</v>
      </c>
      <c r="C1660" s="108">
        <v>1</v>
      </c>
    </row>
    <row r="1661" spans="1:3" x14ac:dyDescent="0.25">
      <c r="A1661" s="108">
        <v>52229</v>
      </c>
      <c r="B1661" s="108" t="s">
        <v>1648</v>
      </c>
      <c r="C1661" s="108">
        <v>1</v>
      </c>
    </row>
    <row r="1662" spans="1:3" x14ac:dyDescent="0.25">
      <c r="A1662" s="108">
        <v>5223</v>
      </c>
      <c r="B1662" s="108" t="s">
        <v>1649</v>
      </c>
      <c r="C1662" s="108">
        <v>62.24</v>
      </c>
    </row>
    <row r="1663" spans="1:3" x14ac:dyDescent="0.25">
      <c r="A1663" s="108">
        <v>52230</v>
      </c>
      <c r="B1663" s="108" t="s">
        <v>1650</v>
      </c>
      <c r="C1663" s="108">
        <v>1</v>
      </c>
    </row>
    <row r="1664" spans="1:3" x14ac:dyDescent="0.25">
      <c r="A1664" s="108">
        <v>52231</v>
      </c>
      <c r="B1664" s="108" t="s">
        <v>1651</v>
      </c>
      <c r="C1664" s="108">
        <v>1</v>
      </c>
    </row>
    <row r="1665" spans="1:3" x14ac:dyDescent="0.25">
      <c r="A1665" s="108">
        <v>52232</v>
      </c>
      <c r="B1665" s="108" t="s">
        <v>1652</v>
      </c>
      <c r="C1665" s="108">
        <v>1</v>
      </c>
    </row>
    <row r="1666" spans="1:3" x14ac:dyDescent="0.25">
      <c r="A1666" s="108">
        <v>52233</v>
      </c>
      <c r="B1666" s="108" t="s">
        <v>1653</v>
      </c>
      <c r="C1666" s="108">
        <v>1</v>
      </c>
    </row>
    <row r="1667" spans="1:3" x14ac:dyDescent="0.25">
      <c r="A1667" s="108">
        <v>52234</v>
      </c>
      <c r="B1667" s="108" t="s">
        <v>1654</v>
      </c>
      <c r="C1667" s="108">
        <v>1</v>
      </c>
    </row>
    <row r="1668" spans="1:3" x14ac:dyDescent="0.25">
      <c r="A1668" s="108">
        <v>52235</v>
      </c>
      <c r="B1668" s="108" t="s">
        <v>1655</v>
      </c>
      <c r="C1668" s="108">
        <v>1</v>
      </c>
    </row>
    <row r="1669" spans="1:3" x14ac:dyDescent="0.25">
      <c r="A1669" s="108">
        <v>52237</v>
      </c>
      <c r="B1669" s="108" t="s">
        <v>1656</v>
      </c>
      <c r="C1669" s="108">
        <v>1</v>
      </c>
    </row>
    <row r="1670" spans="1:3" x14ac:dyDescent="0.25">
      <c r="A1670" s="108">
        <v>52238</v>
      </c>
      <c r="B1670" s="108" t="s">
        <v>1657</v>
      </c>
      <c r="C1670" s="108">
        <v>1</v>
      </c>
    </row>
    <row r="1671" spans="1:3" x14ac:dyDescent="0.25">
      <c r="A1671" s="108">
        <v>52239</v>
      </c>
      <c r="B1671" s="108" t="s">
        <v>1658</v>
      </c>
      <c r="C1671" s="108">
        <v>1</v>
      </c>
    </row>
    <row r="1672" spans="1:3" x14ac:dyDescent="0.25">
      <c r="A1672" s="108">
        <v>52240</v>
      </c>
      <c r="B1672" s="108" t="s">
        <v>1659</v>
      </c>
      <c r="C1672" s="108">
        <v>1</v>
      </c>
    </row>
    <row r="1673" spans="1:3" x14ac:dyDescent="0.25">
      <c r="A1673" s="108">
        <v>52241</v>
      </c>
      <c r="B1673" s="108" t="s">
        <v>1660</v>
      </c>
      <c r="C1673" s="108">
        <v>1</v>
      </c>
    </row>
    <row r="1674" spans="1:3" x14ac:dyDescent="0.25">
      <c r="A1674" s="108">
        <v>52242</v>
      </c>
      <c r="B1674" s="108" t="s">
        <v>1661</v>
      </c>
      <c r="C1674" s="108">
        <v>1</v>
      </c>
    </row>
    <row r="1675" spans="1:3" x14ac:dyDescent="0.25">
      <c r="A1675" s="108">
        <v>52243</v>
      </c>
      <c r="B1675" s="108" t="s">
        <v>1662</v>
      </c>
      <c r="C1675" s="108">
        <v>1</v>
      </c>
    </row>
    <row r="1676" spans="1:3" x14ac:dyDescent="0.25">
      <c r="A1676" s="108">
        <v>52244</v>
      </c>
      <c r="B1676" s="108" t="s">
        <v>1663</v>
      </c>
      <c r="C1676" s="108">
        <v>1</v>
      </c>
    </row>
    <row r="1677" spans="1:3" x14ac:dyDescent="0.25">
      <c r="A1677" s="108">
        <v>52245</v>
      </c>
      <c r="B1677" s="108" t="s">
        <v>1664</v>
      </c>
      <c r="C1677" s="108">
        <v>1</v>
      </c>
    </row>
    <row r="1678" spans="1:3" x14ac:dyDescent="0.25">
      <c r="A1678" s="108">
        <v>52246</v>
      </c>
      <c r="B1678" s="108" t="s">
        <v>1665</v>
      </c>
      <c r="C1678" s="108">
        <v>1</v>
      </c>
    </row>
    <row r="1679" spans="1:3" x14ac:dyDescent="0.25">
      <c r="A1679" s="108">
        <v>52247</v>
      </c>
      <c r="B1679" s="108" t="s">
        <v>1666</v>
      </c>
      <c r="C1679" s="108">
        <v>1</v>
      </c>
    </row>
    <row r="1680" spans="1:3" x14ac:dyDescent="0.25">
      <c r="A1680" s="108">
        <v>52248</v>
      </c>
      <c r="B1680" s="108" t="s">
        <v>1667</v>
      </c>
      <c r="C1680" s="108">
        <v>1</v>
      </c>
    </row>
    <row r="1681" spans="1:3" x14ac:dyDescent="0.25">
      <c r="A1681" s="108">
        <v>52249</v>
      </c>
      <c r="B1681" s="108" t="s">
        <v>1668</v>
      </c>
      <c r="C1681" s="108">
        <v>1</v>
      </c>
    </row>
    <row r="1682" spans="1:3" x14ac:dyDescent="0.25">
      <c r="A1682" s="108">
        <v>5225</v>
      </c>
      <c r="B1682" s="108" t="s">
        <v>1669</v>
      </c>
      <c r="C1682" s="108">
        <v>17.72</v>
      </c>
    </row>
    <row r="1683" spans="1:3" x14ac:dyDescent="0.25">
      <c r="A1683" s="108">
        <v>52250</v>
      </c>
      <c r="B1683" s="108" t="s">
        <v>1670</v>
      </c>
      <c r="C1683" s="108">
        <v>1</v>
      </c>
    </row>
    <row r="1684" spans="1:3" ht="30" x14ac:dyDescent="0.25">
      <c r="A1684" s="108">
        <v>52251</v>
      </c>
      <c r="B1684" s="108" t="s">
        <v>1671</v>
      </c>
      <c r="C1684" s="108">
        <v>1</v>
      </c>
    </row>
    <row r="1685" spans="1:3" x14ac:dyDescent="0.25">
      <c r="A1685" s="108">
        <v>52252</v>
      </c>
      <c r="B1685" s="108" t="s">
        <v>1672</v>
      </c>
      <c r="C1685" s="108">
        <v>1</v>
      </c>
    </row>
    <row r="1686" spans="1:3" ht="30" x14ac:dyDescent="0.25">
      <c r="A1686" s="108">
        <v>52253</v>
      </c>
      <c r="B1686" s="108" t="s">
        <v>1673</v>
      </c>
      <c r="C1686" s="108">
        <v>1</v>
      </c>
    </row>
    <row r="1687" spans="1:3" x14ac:dyDescent="0.25">
      <c r="A1687" s="108">
        <v>52254</v>
      </c>
      <c r="B1687" s="108" t="s">
        <v>1674</v>
      </c>
      <c r="C1687" s="108">
        <v>1</v>
      </c>
    </row>
    <row r="1688" spans="1:3" x14ac:dyDescent="0.25">
      <c r="A1688" s="108">
        <v>52255</v>
      </c>
      <c r="B1688" s="108" t="s">
        <v>1675</v>
      </c>
      <c r="C1688" s="108">
        <v>1</v>
      </c>
    </row>
    <row r="1689" spans="1:3" x14ac:dyDescent="0.25">
      <c r="A1689" s="108">
        <v>52257</v>
      </c>
      <c r="B1689" s="108" t="s">
        <v>1676</v>
      </c>
      <c r="C1689" s="108">
        <v>1</v>
      </c>
    </row>
    <row r="1690" spans="1:3" x14ac:dyDescent="0.25">
      <c r="A1690" s="108">
        <v>52258</v>
      </c>
      <c r="B1690" s="108" t="s">
        <v>1677</v>
      </c>
      <c r="C1690" s="108">
        <v>1</v>
      </c>
    </row>
    <row r="1691" spans="1:3" x14ac:dyDescent="0.25">
      <c r="A1691" s="108">
        <v>52259</v>
      </c>
      <c r="B1691" s="108" t="s">
        <v>1678</v>
      </c>
      <c r="C1691" s="108">
        <v>1</v>
      </c>
    </row>
    <row r="1692" spans="1:3" x14ac:dyDescent="0.25">
      <c r="A1692" s="108">
        <v>5226</v>
      </c>
      <c r="B1692" s="108" t="s">
        <v>1679</v>
      </c>
      <c r="C1692" s="108">
        <v>14.4</v>
      </c>
    </row>
    <row r="1693" spans="1:3" x14ac:dyDescent="0.25">
      <c r="A1693" s="108">
        <v>52260</v>
      </c>
      <c r="B1693" s="108" t="s">
        <v>1680</v>
      </c>
      <c r="C1693" s="108">
        <v>1</v>
      </c>
    </row>
    <row r="1694" spans="1:3" x14ac:dyDescent="0.25">
      <c r="A1694" s="108">
        <v>52261</v>
      </c>
      <c r="B1694" s="108" t="s">
        <v>1681</v>
      </c>
      <c r="C1694" s="108">
        <v>1</v>
      </c>
    </row>
    <row r="1695" spans="1:3" x14ac:dyDescent="0.25">
      <c r="A1695" s="108">
        <v>52262</v>
      </c>
      <c r="B1695" s="108" t="s">
        <v>1682</v>
      </c>
      <c r="C1695" s="108">
        <v>1</v>
      </c>
    </row>
    <row r="1696" spans="1:3" x14ac:dyDescent="0.25">
      <c r="A1696" s="108">
        <v>52263</v>
      </c>
      <c r="B1696" s="108" t="s">
        <v>1683</v>
      </c>
      <c r="C1696" s="108">
        <v>1</v>
      </c>
    </row>
    <row r="1697" spans="1:3" x14ac:dyDescent="0.25">
      <c r="A1697" s="108">
        <v>52264</v>
      </c>
      <c r="B1697" s="108" t="s">
        <v>1684</v>
      </c>
      <c r="C1697" s="108">
        <v>1</v>
      </c>
    </row>
    <row r="1698" spans="1:3" x14ac:dyDescent="0.25">
      <c r="A1698" s="108">
        <v>52265</v>
      </c>
      <c r="B1698" s="108" t="s">
        <v>1685</v>
      </c>
      <c r="C1698" s="108">
        <v>1</v>
      </c>
    </row>
    <row r="1699" spans="1:3" x14ac:dyDescent="0.25">
      <c r="A1699" s="108">
        <v>52266</v>
      </c>
      <c r="B1699" s="108" t="s">
        <v>1686</v>
      </c>
      <c r="C1699" s="108">
        <v>1</v>
      </c>
    </row>
    <row r="1700" spans="1:3" x14ac:dyDescent="0.25">
      <c r="A1700" s="108">
        <v>52267</v>
      </c>
      <c r="B1700" s="108" t="s">
        <v>1687</v>
      </c>
      <c r="C1700" s="108">
        <v>1</v>
      </c>
    </row>
    <row r="1701" spans="1:3" x14ac:dyDescent="0.25">
      <c r="A1701" s="108">
        <v>52268</v>
      </c>
      <c r="B1701" s="108" t="s">
        <v>1688</v>
      </c>
      <c r="C1701" s="108">
        <v>1</v>
      </c>
    </row>
    <row r="1702" spans="1:3" x14ac:dyDescent="0.25">
      <c r="A1702" s="108">
        <v>52269</v>
      </c>
      <c r="B1702" s="108" t="s">
        <v>1689</v>
      </c>
      <c r="C1702" s="108">
        <v>1</v>
      </c>
    </row>
    <row r="1703" spans="1:3" x14ac:dyDescent="0.25">
      <c r="A1703" s="108">
        <v>52270</v>
      </c>
      <c r="B1703" s="108" t="s">
        <v>1690</v>
      </c>
      <c r="C1703" s="108">
        <v>1</v>
      </c>
    </row>
    <row r="1704" spans="1:3" x14ac:dyDescent="0.25">
      <c r="A1704" s="108">
        <v>52271</v>
      </c>
      <c r="B1704" s="108" t="s">
        <v>1691</v>
      </c>
      <c r="C1704" s="108">
        <v>1</v>
      </c>
    </row>
    <row r="1705" spans="1:3" x14ac:dyDescent="0.25">
      <c r="A1705" s="108">
        <v>52272</v>
      </c>
      <c r="B1705" s="108" t="s">
        <v>1692</v>
      </c>
      <c r="C1705" s="108">
        <v>1</v>
      </c>
    </row>
    <row r="1706" spans="1:3" x14ac:dyDescent="0.25">
      <c r="A1706" s="108">
        <v>52273</v>
      </c>
      <c r="B1706" s="108" t="s">
        <v>1693</v>
      </c>
      <c r="C1706" s="108">
        <v>1</v>
      </c>
    </row>
    <row r="1707" spans="1:3" x14ac:dyDescent="0.25">
      <c r="A1707" s="108">
        <v>52274</v>
      </c>
      <c r="B1707" s="108" t="s">
        <v>1694</v>
      </c>
      <c r="C1707" s="108">
        <v>1</v>
      </c>
    </row>
    <row r="1708" spans="1:3" x14ac:dyDescent="0.25">
      <c r="A1708" s="108">
        <v>52275</v>
      </c>
      <c r="B1708" s="108" t="s">
        <v>1695</v>
      </c>
      <c r="C1708" s="108">
        <v>1</v>
      </c>
    </row>
    <row r="1709" spans="1:3" x14ac:dyDescent="0.25">
      <c r="A1709" s="108">
        <v>52276</v>
      </c>
      <c r="B1709" s="108" t="s">
        <v>1696</v>
      </c>
      <c r="C1709" s="108">
        <v>1</v>
      </c>
    </row>
    <row r="1710" spans="1:3" x14ac:dyDescent="0.25">
      <c r="A1710" s="108">
        <v>52277</v>
      </c>
      <c r="B1710" s="108" t="s">
        <v>1697</v>
      </c>
      <c r="C1710" s="108">
        <v>1</v>
      </c>
    </row>
    <row r="1711" spans="1:3" x14ac:dyDescent="0.25">
      <c r="A1711" s="108">
        <v>52279</v>
      </c>
      <c r="B1711" s="108" t="s">
        <v>1698</v>
      </c>
      <c r="C1711" s="108">
        <v>1</v>
      </c>
    </row>
    <row r="1712" spans="1:3" x14ac:dyDescent="0.25">
      <c r="A1712" s="108">
        <v>5228</v>
      </c>
      <c r="B1712" s="108" t="s">
        <v>1699</v>
      </c>
      <c r="C1712" s="108">
        <v>25</v>
      </c>
    </row>
    <row r="1713" spans="1:3" x14ac:dyDescent="0.25">
      <c r="A1713" s="108">
        <v>52280</v>
      </c>
      <c r="B1713" s="108" t="s">
        <v>1700</v>
      </c>
      <c r="C1713" s="108">
        <v>1</v>
      </c>
    </row>
    <row r="1714" spans="1:3" x14ac:dyDescent="0.25">
      <c r="A1714" s="108">
        <v>52281</v>
      </c>
      <c r="B1714" s="108" t="s">
        <v>1701</v>
      </c>
      <c r="C1714" s="108">
        <v>1</v>
      </c>
    </row>
    <row r="1715" spans="1:3" x14ac:dyDescent="0.25">
      <c r="A1715" s="108">
        <v>52283</v>
      </c>
      <c r="B1715" s="108" t="s">
        <v>1702</v>
      </c>
      <c r="C1715" s="108">
        <v>1</v>
      </c>
    </row>
    <row r="1716" spans="1:3" x14ac:dyDescent="0.25">
      <c r="A1716" s="108">
        <v>52284</v>
      </c>
      <c r="B1716" s="108" t="s">
        <v>1703</v>
      </c>
      <c r="C1716" s="108">
        <v>1</v>
      </c>
    </row>
    <row r="1717" spans="1:3" x14ac:dyDescent="0.25">
      <c r="A1717" s="108">
        <v>52285</v>
      </c>
      <c r="B1717" s="108" t="s">
        <v>1704</v>
      </c>
      <c r="C1717" s="108">
        <v>1</v>
      </c>
    </row>
    <row r="1718" spans="1:3" x14ac:dyDescent="0.25">
      <c r="A1718" s="108">
        <v>52286</v>
      </c>
      <c r="B1718" s="108" t="s">
        <v>1705</v>
      </c>
      <c r="C1718" s="108">
        <v>1</v>
      </c>
    </row>
    <row r="1719" spans="1:3" x14ac:dyDescent="0.25">
      <c r="A1719" s="108">
        <v>52297</v>
      </c>
      <c r="B1719" s="108" t="s">
        <v>1706</v>
      </c>
      <c r="C1719" s="108">
        <v>1</v>
      </c>
    </row>
    <row r="1720" spans="1:3" x14ac:dyDescent="0.25">
      <c r="A1720" s="108">
        <v>52298</v>
      </c>
      <c r="B1720" s="108" t="s">
        <v>1707</v>
      </c>
      <c r="C1720" s="108">
        <v>1</v>
      </c>
    </row>
    <row r="1721" spans="1:3" x14ac:dyDescent="0.25">
      <c r="A1721" s="108">
        <v>52299</v>
      </c>
      <c r="B1721" s="108" t="s">
        <v>1708</v>
      </c>
      <c r="C1721" s="108">
        <v>1</v>
      </c>
    </row>
    <row r="1722" spans="1:3" x14ac:dyDescent="0.25">
      <c r="A1722" s="108">
        <v>52300</v>
      </c>
      <c r="B1722" s="108" t="s">
        <v>1709</v>
      </c>
      <c r="C1722" s="108">
        <v>1</v>
      </c>
    </row>
    <row r="1723" spans="1:3" x14ac:dyDescent="0.25">
      <c r="A1723" s="108">
        <v>52301</v>
      </c>
      <c r="B1723" s="108" t="s">
        <v>1710</v>
      </c>
      <c r="C1723" s="108">
        <v>1</v>
      </c>
    </row>
    <row r="1724" spans="1:3" x14ac:dyDescent="0.25">
      <c r="A1724" s="108">
        <v>52302</v>
      </c>
      <c r="B1724" s="108" t="s">
        <v>1711</v>
      </c>
      <c r="C1724" s="108">
        <v>1</v>
      </c>
    </row>
    <row r="1725" spans="1:3" x14ac:dyDescent="0.25">
      <c r="A1725" s="108">
        <v>52303</v>
      </c>
      <c r="B1725" s="108" t="s">
        <v>1712</v>
      </c>
      <c r="C1725" s="108">
        <v>1</v>
      </c>
    </row>
    <row r="1726" spans="1:3" ht="30" x14ac:dyDescent="0.25">
      <c r="A1726" s="108">
        <v>52304</v>
      </c>
      <c r="B1726" s="108" t="s">
        <v>1713</v>
      </c>
      <c r="C1726" s="108">
        <v>1</v>
      </c>
    </row>
    <row r="1727" spans="1:3" x14ac:dyDescent="0.25">
      <c r="A1727" s="108">
        <v>52305</v>
      </c>
      <c r="B1727" s="108" t="s">
        <v>1714</v>
      </c>
      <c r="C1727" s="108">
        <v>1</v>
      </c>
    </row>
    <row r="1728" spans="1:3" x14ac:dyDescent="0.25">
      <c r="A1728" s="108">
        <v>52306</v>
      </c>
      <c r="B1728" s="108" t="s">
        <v>1715</v>
      </c>
      <c r="C1728" s="108">
        <v>1</v>
      </c>
    </row>
    <row r="1729" spans="1:3" x14ac:dyDescent="0.25">
      <c r="A1729" s="108">
        <v>52307</v>
      </c>
      <c r="B1729" s="108" t="s">
        <v>1716</v>
      </c>
      <c r="C1729" s="108">
        <v>1</v>
      </c>
    </row>
    <row r="1730" spans="1:3" x14ac:dyDescent="0.25">
      <c r="A1730" s="108">
        <v>52308</v>
      </c>
      <c r="B1730" s="108" t="s">
        <v>1717</v>
      </c>
      <c r="C1730" s="108">
        <v>1</v>
      </c>
    </row>
    <row r="1731" spans="1:3" x14ac:dyDescent="0.25">
      <c r="A1731" s="108">
        <v>52309</v>
      </c>
      <c r="B1731" s="108" t="s">
        <v>1718</v>
      </c>
      <c r="C1731" s="108">
        <v>1</v>
      </c>
    </row>
    <row r="1732" spans="1:3" x14ac:dyDescent="0.25">
      <c r="A1732" s="108">
        <v>5231</v>
      </c>
      <c r="B1732" s="108" t="s">
        <v>1719</v>
      </c>
      <c r="C1732" s="108">
        <v>4.5599999999999996</v>
      </c>
    </row>
    <row r="1733" spans="1:3" x14ac:dyDescent="0.25">
      <c r="A1733" s="108">
        <v>52310</v>
      </c>
      <c r="B1733" s="108" t="s">
        <v>1720</v>
      </c>
      <c r="C1733" s="108">
        <v>1</v>
      </c>
    </row>
    <row r="1734" spans="1:3" x14ac:dyDescent="0.25">
      <c r="A1734" s="108">
        <v>52311</v>
      </c>
      <c r="B1734" s="108" t="s">
        <v>1721</v>
      </c>
      <c r="C1734" s="108">
        <v>1</v>
      </c>
    </row>
    <row r="1735" spans="1:3" x14ac:dyDescent="0.25">
      <c r="A1735" s="108">
        <v>52312</v>
      </c>
      <c r="B1735" s="108" t="s">
        <v>1722</v>
      </c>
      <c r="C1735" s="108">
        <v>1</v>
      </c>
    </row>
    <row r="1736" spans="1:3" x14ac:dyDescent="0.25">
      <c r="A1736" s="108">
        <v>52314</v>
      </c>
      <c r="B1736" s="108" t="s">
        <v>1723</v>
      </c>
      <c r="C1736" s="108">
        <v>1</v>
      </c>
    </row>
    <row r="1737" spans="1:3" x14ac:dyDescent="0.25">
      <c r="A1737" s="108">
        <v>52315</v>
      </c>
      <c r="B1737" s="108" t="s">
        <v>1724</v>
      </c>
      <c r="C1737" s="108">
        <v>1</v>
      </c>
    </row>
    <row r="1738" spans="1:3" x14ac:dyDescent="0.25">
      <c r="A1738" s="108">
        <v>52316</v>
      </c>
      <c r="B1738" s="108" t="s">
        <v>1725</v>
      </c>
      <c r="C1738" s="108">
        <v>1</v>
      </c>
    </row>
    <row r="1739" spans="1:3" x14ac:dyDescent="0.25">
      <c r="A1739" s="108">
        <v>52317</v>
      </c>
      <c r="B1739" s="108" t="s">
        <v>1726</v>
      </c>
      <c r="C1739" s="108">
        <v>1</v>
      </c>
    </row>
    <row r="1740" spans="1:3" x14ac:dyDescent="0.25">
      <c r="A1740" s="108">
        <v>52318</v>
      </c>
      <c r="B1740" s="108" t="s">
        <v>1727</v>
      </c>
      <c r="C1740" s="108">
        <v>1</v>
      </c>
    </row>
    <row r="1741" spans="1:3" x14ac:dyDescent="0.25">
      <c r="A1741" s="108">
        <v>52319</v>
      </c>
      <c r="B1741" s="108" t="s">
        <v>1728</v>
      </c>
      <c r="C1741" s="108">
        <v>1</v>
      </c>
    </row>
    <row r="1742" spans="1:3" x14ac:dyDescent="0.25">
      <c r="A1742" s="108">
        <v>5232</v>
      </c>
      <c r="B1742" s="108" t="s">
        <v>1729</v>
      </c>
      <c r="C1742" s="108">
        <v>4.7300000000000004</v>
      </c>
    </row>
    <row r="1743" spans="1:3" x14ac:dyDescent="0.25">
      <c r="A1743" s="108">
        <v>52320</v>
      </c>
      <c r="B1743" s="108" t="s">
        <v>1730</v>
      </c>
      <c r="C1743" s="108">
        <v>1</v>
      </c>
    </row>
    <row r="1744" spans="1:3" x14ac:dyDescent="0.25">
      <c r="A1744" s="108">
        <v>52321</v>
      </c>
      <c r="B1744" s="108" t="s">
        <v>1731</v>
      </c>
      <c r="C1744" s="108">
        <v>1</v>
      </c>
    </row>
    <row r="1745" spans="1:3" x14ac:dyDescent="0.25">
      <c r="A1745" s="108">
        <v>52322</v>
      </c>
      <c r="B1745" s="108" t="s">
        <v>1732</v>
      </c>
      <c r="C1745" s="108">
        <v>1</v>
      </c>
    </row>
    <row r="1746" spans="1:3" x14ac:dyDescent="0.25">
      <c r="A1746" s="108">
        <v>52323</v>
      </c>
      <c r="B1746" s="108" t="s">
        <v>1733</v>
      </c>
      <c r="C1746" s="108">
        <v>1</v>
      </c>
    </row>
    <row r="1747" spans="1:3" x14ac:dyDescent="0.25">
      <c r="A1747" s="108">
        <v>52324</v>
      </c>
      <c r="B1747" s="108" t="s">
        <v>1734</v>
      </c>
      <c r="C1747" s="108">
        <v>1</v>
      </c>
    </row>
    <row r="1748" spans="1:3" x14ac:dyDescent="0.25">
      <c r="A1748" s="108">
        <v>52325</v>
      </c>
      <c r="B1748" s="108" t="s">
        <v>1735</v>
      </c>
      <c r="C1748" s="108">
        <v>1</v>
      </c>
    </row>
    <row r="1749" spans="1:3" x14ac:dyDescent="0.25">
      <c r="A1749" s="108">
        <v>52326</v>
      </c>
      <c r="B1749" s="108" t="s">
        <v>1736</v>
      </c>
      <c r="C1749" s="108">
        <v>1</v>
      </c>
    </row>
    <row r="1750" spans="1:3" x14ac:dyDescent="0.25">
      <c r="A1750" s="108">
        <v>52327</v>
      </c>
      <c r="B1750" s="108" t="s">
        <v>1737</v>
      </c>
      <c r="C1750" s="108">
        <v>1</v>
      </c>
    </row>
    <row r="1751" spans="1:3" x14ac:dyDescent="0.25">
      <c r="A1751" s="108">
        <v>52328</v>
      </c>
      <c r="B1751" s="108" t="s">
        <v>1738</v>
      </c>
      <c r="C1751" s="108">
        <v>1</v>
      </c>
    </row>
    <row r="1752" spans="1:3" ht="30" x14ac:dyDescent="0.25">
      <c r="A1752" s="108">
        <v>52329</v>
      </c>
      <c r="B1752" s="108" t="s">
        <v>1739</v>
      </c>
      <c r="C1752" s="108">
        <v>1</v>
      </c>
    </row>
    <row r="1753" spans="1:3" x14ac:dyDescent="0.25">
      <c r="A1753" s="108">
        <v>5233</v>
      </c>
      <c r="B1753" s="108" t="s">
        <v>1740</v>
      </c>
      <c r="C1753" s="108">
        <v>4.76</v>
      </c>
    </row>
    <row r="1754" spans="1:3" x14ac:dyDescent="0.25">
      <c r="A1754" s="108">
        <v>52330</v>
      </c>
      <c r="B1754" s="108" t="s">
        <v>1741</v>
      </c>
      <c r="C1754" s="108">
        <v>1</v>
      </c>
    </row>
    <row r="1755" spans="1:3" x14ac:dyDescent="0.25">
      <c r="A1755" s="108">
        <v>52331</v>
      </c>
      <c r="B1755" s="108" t="s">
        <v>1742</v>
      </c>
      <c r="C1755" s="108">
        <v>1</v>
      </c>
    </row>
    <row r="1756" spans="1:3" x14ac:dyDescent="0.25">
      <c r="A1756" s="108">
        <v>52332</v>
      </c>
      <c r="B1756" s="108" t="s">
        <v>1743</v>
      </c>
      <c r="C1756" s="108">
        <v>1</v>
      </c>
    </row>
    <row r="1757" spans="1:3" x14ac:dyDescent="0.25">
      <c r="A1757" s="108">
        <v>52333</v>
      </c>
      <c r="B1757" s="108" t="s">
        <v>1744</v>
      </c>
      <c r="C1757" s="108">
        <v>1</v>
      </c>
    </row>
    <row r="1758" spans="1:3" x14ac:dyDescent="0.25">
      <c r="A1758" s="108">
        <v>52334</v>
      </c>
      <c r="B1758" s="108" t="s">
        <v>1745</v>
      </c>
      <c r="C1758" s="108">
        <v>1</v>
      </c>
    </row>
    <row r="1759" spans="1:3" x14ac:dyDescent="0.25">
      <c r="A1759" s="108">
        <v>52335</v>
      </c>
      <c r="B1759" s="108" t="s">
        <v>1746</v>
      </c>
      <c r="C1759" s="108">
        <v>1</v>
      </c>
    </row>
    <row r="1760" spans="1:3" x14ac:dyDescent="0.25">
      <c r="A1760" s="108">
        <v>52336</v>
      </c>
      <c r="B1760" s="108" t="s">
        <v>1747</v>
      </c>
      <c r="C1760" s="108">
        <v>1</v>
      </c>
    </row>
    <row r="1761" spans="1:3" x14ac:dyDescent="0.25">
      <c r="A1761" s="108">
        <v>52337</v>
      </c>
      <c r="B1761" s="108" t="s">
        <v>1748</v>
      </c>
      <c r="C1761" s="108">
        <v>1</v>
      </c>
    </row>
    <row r="1762" spans="1:3" x14ac:dyDescent="0.25">
      <c r="A1762" s="108">
        <v>52338</v>
      </c>
      <c r="B1762" s="108" t="s">
        <v>1749</v>
      </c>
      <c r="C1762" s="108">
        <v>1</v>
      </c>
    </row>
    <row r="1763" spans="1:3" x14ac:dyDescent="0.25">
      <c r="A1763" s="108">
        <v>52339</v>
      </c>
      <c r="B1763" s="108" t="s">
        <v>1750</v>
      </c>
      <c r="C1763" s="108">
        <v>1</v>
      </c>
    </row>
    <row r="1764" spans="1:3" x14ac:dyDescent="0.25">
      <c r="A1764" s="108">
        <v>5234</v>
      </c>
      <c r="B1764" s="108" t="s">
        <v>1751</v>
      </c>
      <c r="C1764" s="108">
        <v>4.66</v>
      </c>
    </row>
    <row r="1765" spans="1:3" x14ac:dyDescent="0.25">
      <c r="A1765" s="108">
        <v>52341</v>
      </c>
      <c r="B1765" s="108" t="s">
        <v>1752</v>
      </c>
      <c r="C1765" s="108">
        <v>1</v>
      </c>
    </row>
    <row r="1766" spans="1:3" x14ac:dyDescent="0.25">
      <c r="A1766" s="108">
        <v>52342</v>
      </c>
      <c r="B1766" s="108" t="s">
        <v>1753</v>
      </c>
      <c r="C1766" s="108">
        <v>1</v>
      </c>
    </row>
    <row r="1767" spans="1:3" x14ac:dyDescent="0.25">
      <c r="A1767" s="108">
        <v>52343</v>
      </c>
      <c r="B1767" s="108" t="s">
        <v>1754</v>
      </c>
      <c r="C1767" s="108">
        <v>1</v>
      </c>
    </row>
    <row r="1768" spans="1:3" ht="30" x14ac:dyDescent="0.25">
      <c r="A1768" s="108">
        <v>52346</v>
      </c>
      <c r="B1768" s="108" t="s">
        <v>1755</v>
      </c>
      <c r="C1768" s="108">
        <v>67.95</v>
      </c>
    </row>
    <row r="1769" spans="1:3" ht="30" x14ac:dyDescent="0.25">
      <c r="A1769" s="108">
        <v>52347</v>
      </c>
      <c r="B1769" s="108" t="s">
        <v>1756</v>
      </c>
      <c r="C1769" s="108">
        <v>156.44</v>
      </c>
    </row>
    <row r="1770" spans="1:3" ht="30" x14ac:dyDescent="0.25">
      <c r="A1770" s="108">
        <v>52348</v>
      </c>
      <c r="B1770" s="108" t="s">
        <v>1757</v>
      </c>
      <c r="C1770" s="108">
        <v>142.94</v>
      </c>
    </row>
    <row r="1771" spans="1:3" x14ac:dyDescent="0.25">
      <c r="A1771" s="108">
        <v>52349</v>
      </c>
      <c r="B1771" s="108" t="s">
        <v>1758</v>
      </c>
      <c r="C1771" s="108">
        <v>7.54</v>
      </c>
    </row>
    <row r="1772" spans="1:3" x14ac:dyDescent="0.25">
      <c r="A1772" s="108">
        <v>5235</v>
      </c>
      <c r="B1772" s="108" t="s">
        <v>1759</v>
      </c>
      <c r="C1772" s="108">
        <v>5.68</v>
      </c>
    </row>
    <row r="1773" spans="1:3" x14ac:dyDescent="0.25">
      <c r="A1773" s="108">
        <v>52350</v>
      </c>
      <c r="B1773" s="108" t="s">
        <v>1760</v>
      </c>
      <c r="C1773" s="108">
        <v>52.54</v>
      </c>
    </row>
    <row r="1774" spans="1:3" x14ac:dyDescent="0.25">
      <c r="A1774" s="108">
        <v>52351</v>
      </c>
      <c r="B1774" s="108" t="s">
        <v>1761</v>
      </c>
      <c r="C1774" s="108">
        <v>68.13</v>
      </c>
    </row>
    <row r="1775" spans="1:3" x14ac:dyDescent="0.25">
      <c r="A1775" s="108">
        <v>52352</v>
      </c>
      <c r="B1775" s="108" t="s">
        <v>1762</v>
      </c>
      <c r="C1775" s="108">
        <v>26.82</v>
      </c>
    </row>
    <row r="1776" spans="1:3" x14ac:dyDescent="0.25">
      <c r="A1776" s="108">
        <v>5236</v>
      </c>
      <c r="B1776" s="108" t="s">
        <v>1763</v>
      </c>
      <c r="C1776" s="108">
        <v>5.68</v>
      </c>
    </row>
    <row r="1777" spans="1:3" x14ac:dyDescent="0.25">
      <c r="A1777" s="108">
        <v>52360</v>
      </c>
      <c r="B1777" s="108" t="s">
        <v>3131</v>
      </c>
      <c r="C1777" s="108">
        <v>87.75</v>
      </c>
    </row>
    <row r="1778" spans="1:3" x14ac:dyDescent="0.25">
      <c r="A1778" s="108">
        <v>52361</v>
      </c>
      <c r="B1778" s="108" t="s">
        <v>1764</v>
      </c>
      <c r="C1778" s="108">
        <v>239.43</v>
      </c>
    </row>
    <row r="1779" spans="1:3" x14ac:dyDescent="0.25">
      <c r="A1779" s="108">
        <v>52362</v>
      </c>
      <c r="B1779" s="108" t="s">
        <v>1765</v>
      </c>
      <c r="C1779" s="108">
        <v>224.52</v>
      </c>
    </row>
    <row r="1780" spans="1:3" ht="30" x14ac:dyDescent="0.25">
      <c r="A1780" s="108">
        <v>52363</v>
      </c>
      <c r="B1780" s="108" t="s">
        <v>1766</v>
      </c>
      <c r="C1780" s="108">
        <v>283.94</v>
      </c>
    </row>
    <row r="1781" spans="1:3" x14ac:dyDescent="0.25">
      <c r="A1781" s="108">
        <v>52364</v>
      </c>
      <c r="B1781" s="108" t="s">
        <v>1767</v>
      </c>
      <c r="C1781" s="108">
        <v>8.35</v>
      </c>
    </row>
    <row r="1782" spans="1:3" x14ac:dyDescent="0.25">
      <c r="A1782" s="108">
        <v>52365</v>
      </c>
      <c r="B1782" s="108" t="s">
        <v>1768</v>
      </c>
      <c r="C1782" s="108">
        <v>3.08</v>
      </c>
    </row>
    <row r="1783" spans="1:3" x14ac:dyDescent="0.25">
      <c r="A1783" s="108">
        <v>52366</v>
      </c>
      <c r="B1783" s="108" t="s">
        <v>1769</v>
      </c>
      <c r="C1783" s="108">
        <v>3.4</v>
      </c>
    </row>
    <row r="1784" spans="1:3" ht="30" x14ac:dyDescent="0.25">
      <c r="A1784" s="108">
        <v>52367</v>
      </c>
      <c r="B1784" s="108" t="s">
        <v>1770</v>
      </c>
      <c r="C1784" s="108">
        <v>4.5</v>
      </c>
    </row>
    <row r="1785" spans="1:3" x14ac:dyDescent="0.25">
      <c r="A1785" s="108">
        <v>52368</v>
      </c>
      <c r="B1785" s="108" t="s">
        <v>1771</v>
      </c>
      <c r="C1785" s="108">
        <v>3.4</v>
      </c>
    </row>
    <row r="1786" spans="1:3" x14ac:dyDescent="0.25">
      <c r="A1786" s="108">
        <v>52369</v>
      </c>
      <c r="B1786" s="108" t="s">
        <v>1772</v>
      </c>
      <c r="C1786" s="108">
        <v>78.69</v>
      </c>
    </row>
    <row r="1787" spans="1:3" x14ac:dyDescent="0.25">
      <c r="A1787" s="108">
        <v>5237</v>
      </c>
      <c r="B1787" s="108" t="s">
        <v>1773</v>
      </c>
      <c r="C1787" s="108">
        <v>5.96</v>
      </c>
    </row>
    <row r="1788" spans="1:3" x14ac:dyDescent="0.25">
      <c r="A1788" s="108">
        <v>52370</v>
      </c>
      <c r="B1788" s="108" t="s">
        <v>1774</v>
      </c>
      <c r="C1788" s="108">
        <v>9.51</v>
      </c>
    </row>
    <row r="1789" spans="1:3" ht="30" x14ac:dyDescent="0.25">
      <c r="A1789" s="108">
        <v>52371</v>
      </c>
      <c r="B1789" s="108" t="s">
        <v>1775</v>
      </c>
      <c r="C1789" s="108">
        <v>8.67</v>
      </c>
    </row>
    <row r="1790" spans="1:3" x14ac:dyDescent="0.25">
      <c r="A1790" s="108">
        <v>52372</v>
      </c>
      <c r="B1790" s="108" t="s">
        <v>1776</v>
      </c>
      <c r="C1790" s="108">
        <v>29.42</v>
      </c>
    </row>
    <row r="1791" spans="1:3" x14ac:dyDescent="0.25">
      <c r="A1791" s="108">
        <v>52373</v>
      </c>
      <c r="B1791" s="108" t="s">
        <v>1777</v>
      </c>
      <c r="C1791" s="108">
        <v>35.85</v>
      </c>
    </row>
    <row r="1792" spans="1:3" x14ac:dyDescent="0.25">
      <c r="A1792" s="108">
        <v>52374</v>
      </c>
      <c r="B1792" s="108" t="s">
        <v>1778</v>
      </c>
      <c r="C1792" s="108">
        <v>1</v>
      </c>
    </row>
    <row r="1793" spans="1:3" x14ac:dyDescent="0.25">
      <c r="A1793" s="108">
        <v>52375</v>
      </c>
      <c r="B1793" s="108" t="s">
        <v>1779</v>
      </c>
      <c r="C1793" s="108">
        <v>1</v>
      </c>
    </row>
    <row r="1794" spans="1:3" x14ac:dyDescent="0.25">
      <c r="A1794" s="108">
        <v>52376</v>
      </c>
      <c r="B1794" s="108" t="s">
        <v>1780</v>
      </c>
      <c r="C1794" s="108">
        <v>1</v>
      </c>
    </row>
    <row r="1795" spans="1:3" x14ac:dyDescent="0.25">
      <c r="A1795" s="108">
        <v>52377</v>
      </c>
      <c r="B1795" s="108" t="s">
        <v>1781</v>
      </c>
      <c r="C1795" s="108">
        <v>1</v>
      </c>
    </row>
    <row r="1796" spans="1:3" x14ac:dyDescent="0.25">
      <c r="A1796" s="108">
        <v>52378</v>
      </c>
      <c r="B1796" s="108" t="s">
        <v>1782</v>
      </c>
      <c r="C1796" s="108">
        <v>1</v>
      </c>
    </row>
    <row r="1797" spans="1:3" x14ac:dyDescent="0.25">
      <c r="A1797" s="108">
        <v>52379</v>
      </c>
      <c r="B1797" s="108" t="s">
        <v>1783</v>
      </c>
      <c r="C1797" s="108">
        <v>1</v>
      </c>
    </row>
    <row r="1798" spans="1:3" x14ac:dyDescent="0.25">
      <c r="A1798" s="108">
        <v>5238</v>
      </c>
      <c r="B1798" s="108" t="s">
        <v>1784</v>
      </c>
      <c r="C1798" s="108">
        <v>6.5</v>
      </c>
    </row>
    <row r="1799" spans="1:3" ht="30" x14ac:dyDescent="0.25">
      <c r="A1799" s="108">
        <v>52380</v>
      </c>
      <c r="B1799" s="108" t="s">
        <v>1785</v>
      </c>
      <c r="C1799" s="108">
        <v>1</v>
      </c>
    </row>
    <row r="1800" spans="1:3" x14ac:dyDescent="0.25">
      <c r="A1800" s="108">
        <v>52381</v>
      </c>
      <c r="B1800" s="108" t="s">
        <v>1786</v>
      </c>
      <c r="C1800" s="108">
        <v>1</v>
      </c>
    </row>
    <row r="1801" spans="1:3" x14ac:dyDescent="0.25">
      <c r="A1801" s="108">
        <v>52382</v>
      </c>
      <c r="B1801" s="108" t="s">
        <v>1787</v>
      </c>
      <c r="C1801" s="108">
        <v>1</v>
      </c>
    </row>
    <row r="1802" spans="1:3" x14ac:dyDescent="0.25">
      <c r="A1802" s="108">
        <v>52383</v>
      </c>
      <c r="B1802" s="108" t="s">
        <v>1788</v>
      </c>
      <c r="C1802" s="108">
        <v>1</v>
      </c>
    </row>
    <row r="1803" spans="1:3" x14ac:dyDescent="0.25">
      <c r="A1803" s="108">
        <v>52384</v>
      </c>
      <c r="B1803" s="108" t="s">
        <v>1789</v>
      </c>
      <c r="C1803" s="108">
        <v>1</v>
      </c>
    </row>
    <row r="1804" spans="1:3" x14ac:dyDescent="0.25">
      <c r="A1804" s="108">
        <v>52385</v>
      </c>
      <c r="B1804" s="108" t="s">
        <v>1790</v>
      </c>
      <c r="C1804" s="108">
        <v>1</v>
      </c>
    </row>
    <row r="1805" spans="1:3" x14ac:dyDescent="0.25">
      <c r="A1805" s="108">
        <v>52386</v>
      </c>
      <c r="B1805" s="108" t="s">
        <v>1791</v>
      </c>
      <c r="C1805" s="108">
        <v>1</v>
      </c>
    </row>
    <row r="1806" spans="1:3" x14ac:dyDescent="0.25">
      <c r="A1806" s="108">
        <v>52387</v>
      </c>
      <c r="B1806" s="108" t="s">
        <v>1792</v>
      </c>
      <c r="C1806" s="108">
        <v>1</v>
      </c>
    </row>
    <row r="1807" spans="1:3" x14ac:dyDescent="0.25">
      <c r="A1807" s="108">
        <v>52388</v>
      </c>
      <c r="B1807" s="108" t="s">
        <v>1793</v>
      </c>
      <c r="C1807" s="108">
        <v>1</v>
      </c>
    </row>
    <row r="1808" spans="1:3" x14ac:dyDescent="0.25">
      <c r="A1808" s="108">
        <v>52389</v>
      </c>
      <c r="B1808" s="108" t="s">
        <v>1794</v>
      </c>
      <c r="C1808" s="108">
        <v>1</v>
      </c>
    </row>
    <row r="1809" spans="1:3" x14ac:dyDescent="0.25">
      <c r="A1809" s="108">
        <v>5239</v>
      </c>
      <c r="B1809" s="108" t="s">
        <v>1795</v>
      </c>
      <c r="C1809" s="108">
        <v>7.35</v>
      </c>
    </row>
    <row r="1810" spans="1:3" x14ac:dyDescent="0.25">
      <c r="A1810" s="108">
        <v>52390</v>
      </c>
      <c r="B1810" s="108" t="s">
        <v>1796</v>
      </c>
      <c r="C1810" s="110">
        <v>1350</v>
      </c>
    </row>
    <row r="1811" spans="1:3" ht="30" x14ac:dyDescent="0.25">
      <c r="A1811" s="108">
        <v>52391</v>
      </c>
      <c r="B1811" s="108" t="s">
        <v>1797</v>
      </c>
      <c r="C1811" s="110">
        <v>2900</v>
      </c>
    </row>
    <row r="1812" spans="1:3" ht="30" x14ac:dyDescent="0.25">
      <c r="A1812" s="108">
        <v>52392</v>
      </c>
      <c r="B1812" s="108" t="s">
        <v>1798</v>
      </c>
      <c r="C1812" s="110">
        <v>3300</v>
      </c>
    </row>
    <row r="1813" spans="1:3" x14ac:dyDescent="0.25">
      <c r="A1813" s="108">
        <v>52396</v>
      </c>
      <c r="B1813" s="108" t="s">
        <v>1799</v>
      </c>
      <c r="C1813" s="108">
        <v>150</v>
      </c>
    </row>
    <row r="1814" spans="1:3" x14ac:dyDescent="0.25">
      <c r="A1814" s="108">
        <v>52397</v>
      </c>
      <c r="B1814" s="108" t="s">
        <v>1800</v>
      </c>
      <c r="C1814" s="108">
        <v>25</v>
      </c>
    </row>
    <row r="1815" spans="1:3" x14ac:dyDescent="0.25">
      <c r="A1815" s="108">
        <v>52398</v>
      </c>
      <c r="B1815" s="108" t="s">
        <v>1801</v>
      </c>
      <c r="C1815" s="108">
        <v>220</v>
      </c>
    </row>
    <row r="1816" spans="1:3" x14ac:dyDescent="0.25">
      <c r="A1816" s="108">
        <v>52399</v>
      </c>
      <c r="B1816" s="108" t="s">
        <v>1802</v>
      </c>
      <c r="C1816" s="108">
        <v>240</v>
      </c>
    </row>
    <row r="1817" spans="1:3" x14ac:dyDescent="0.25">
      <c r="A1817" s="108">
        <v>5240</v>
      </c>
      <c r="B1817" s="108" t="s">
        <v>1803</v>
      </c>
      <c r="C1817" s="108">
        <v>9.83</v>
      </c>
    </row>
    <row r="1818" spans="1:3" x14ac:dyDescent="0.25">
      <c r="A1818" s="108">
        <v>52400</v>
      </c>
      <c r="B1818" s="108" t="s">
        <v>1804</v>
      </c>
      <c r="C1818" s="108">
        <v>350</v>
      </c>
    </row>
    <row r="1819" spans="1:3" x14ac:dyDescent="0.25">
      <c r="A1819" s="108">
        <v>52401</v>
      </c>
      <c r="B1819" s="108" t="s">
        <v>1805</v>
      </c>
      <c r="C1819" s="108">
        <v>160</v>
      </c>
    </row>
    <row r="1820" spans="1:3" x14ac:dyDescent="0.25">
      <c r="A1820" s="108">
        <v>52402</v>
      </c>
      <c r="B1820" s="108" t="s">
        <v>1806</v>
      </c>
      <c r="C1820" s="108">
        <v>180</v>
      </c>
    </row>
    <row r="1821" spans="1:3" x14ac:dyDescent="0.25">
      <c r="A1821" s="108">
        <v>52403</v>
      </c>
      <c r="B1821" s="108" t="s">
        <v>1807</v>
      </c>
      <c r="C1821" s="108">
        <v>90</v>
      </c>
    </row>
    <row r="1822" spans="1:3" x14ac:dyDescent="0.25">
      <c r="A1822" s="108">
        <v>52404</v>
      </c>
      <c r="B1822" s="108" t="s">
        <v>1808</v>
      </c>
      <c r="C1822" s="108">
        <v>40</v>
      </c>
    </row>
    <row r="1823" spans="1:3" x14ac:dyDescent="0.25">
      <c r="A1823" s="108">
        <v>52405</v>
      </c>
      <c r="B1823" s="108" t="s">
        <v>1809</v>
      </c>
      <c r="C1823" s="108">
        <v>370</v>
      </c>
    </row>
    <row r="1824" spans="1:3" x14ac:dyDescent="0.25">
      <c r="A1824" s="108">
        <v>52406</v>
      </c>
      <c r="B1824" s="108" t="s">
        <v>1810</v>
      </c>
      <c r="C1824" s="108">
        <v>130</v>
      </c>
    </row>
    <row r="1825" spans="1:3" x14ac:dyDescent="0.25">
      <c r="A1825" s="108">
        <v>52407</v>
      </c>
      <c r="B1825" s="108" t="s">
        <v>1811</v>
      </c>
      <c r="C1825" s="108">
        <v>25</v>
      </c>
    </row>
    <row r="1826" spans="1:3" x14ac:dyDescent="0.25">
      <c r="A1826" s="108">
        <v>52408</v>
      </c>
      <c r="B1826" s="108" t="s">
        <v>1812</v>
      </c>
      <c r="C1826" s="108">
        <v>20</v>
      </c>
    </row>
    <row r="1827" spans="1:3" x14ac:dyDescent="0.25">
      <c r="A1827" s="108">
        <v>52409</v>
      </c>
      <c r="B1827" s="108" t="s">
        <v>1813</v>
      </c>
      <c r="C1827" s="108">
        <v>15</v>
      </c>
    </row>
    <row r="1828" spans="1:3" x14ac:dyDescent="0.25">
      <c r="A1828" s="108">
        <v>5241</v>
      </c>
      <c r="B1828" s="108" t="s">
        <v>1814</v>
      </c>
      <c r="C1828" s="108">
        <v>3</v>
      </c>
    </row>
    <row r="1829" spans="1:3" x14ac:dyDescent="0.25">
      <c r="A1829" s="108">
        <v>52410</v>
      </c>
      <c r="B1829" s="108" t="s">
        <v>1815</v>
      </c>
      <c r="C1829" s="108">
        <v>250</v>
      </c>
    </row>
    <row r="1830" spans="1:3" x14ac:dyDescent="0.25">
      <c r="A1830" s="108">
        <v>52411</v>
      </c>
      <c r="B1830" s="108" t="s">
        <v>1816</v>
      </c>
      <c r="C1830" s="108">
        <v>150</v>
      </c>
    </row>
    <row r="1831" spans="1:3" x14ac:dyDescent="0.25">
      <c r="A1831" s="108">
        <v>52412</v>
      </c>
      <c r="B1831" s="108" t="s">
        <v>1817</v>
      </c>
      <c r="C1831" s="108">
        <v>250</v>
      </c>
    </row>
    <row r="1832" spans="1:3" x14ac:dyDescent="0.25">
      <c r="A1832" s="108">
        <v>52413</v>
      </c>
      <c r="B1832" s="108" t="s">
        <v>1818</v>
      </c>
      <c r="C1832" s="108">
        <v>180</v>
      </c>
    </row>
    <row r="1833" spans="1:3" x14ac:dyDescent="0.25">
      <c r="A1833" s="108">
        <v>52414</v>
      </c>
      <c r="B1833" s="108" t="s">
        <v>1819</v>
      </c>
      <c r="C1833" s="108">
        <v>60</v>
      </c>
    </row>
    <row r="1834" spans="1:3" x14ac:dyDescent="0.25">
      <c r="A1834" s="108">
        <v>52415</v>
      </c>
      <c r="B1834" s="108" t="s">
        <v>1820</v>
      </c>
      <c r="C1834" s="108">
        <v>65</v>
      </c>
    </row>
    <row r="1835" spans="1:3" x14ac:dyDescent="0.25">
      <c r="A1835" s="108">
        <v>52416</v>
      </c>
      <c r="B1835" s="108" t="s">
        <v>1821</v>
      </c>
      <c r="C1835" s="108">
        <v>30</v>
      </c>
    </row>
    <row r="1836" spans="1:3" x14ac:dyDescent="0.25">
      <c r="A1836" s="108">
        <v>52417</v>
      </c>
      <c r="B1836" s="108" t="s">
        <v>1822</v>
      </c>
      <c r="C1836" s="108">
        <v>35</v>
      </c>
    </row>
    <row r="1837" spans="1:3" x14ac:dyDescent="0.25">
      <c r="A1837" s="108">
        <v>52418</v>
      </c>
      <c r="B1837" s="108" t="s">
        <v>1823</v>
      </c>
      <c r="C1837" s="108">
        <v>40</v>
      </c>
    </row>
    <row r="1838" spans="1:3" x14ac:dyDescent="0.25">
      <c r="A1838" s="108">
        <v>52419</v>
      </c>
      <c r="B1838" s="108" t="s">
        <v>1824</v>
      </c>
      <c r="C1838" s="108">
        <v>75</v>
      </c>
    </row>
    <row r="1839" spans="1:3" x14ac:dyDescent="0.25">
      <c r="A1839" s="108">
        <v>52420</v>
      </c>
      <c r="B1839" s="108" t="s">
        <v>1825</v>
      </c>
      <c r="C1839" s="108">
        <v>40</v>
      </c>
    </row>
    <row r="1840" spans="1:3" x14ac:dyDescent="0.25">
      <c r="A1840" s="108">
        <v>52421</v>
      </c>
      <c r="B1840" s="108" t="s">
        <v>1826</v>
      </c>
      <c r="C1840" s="108">
        <v>25</v>
      </c>
    </row>
    <row r="1841" spans="1:3" x14ac:dyDescent="0.25">
      <c r="A1841" s="108">
        <v>52422</v>
      </c>
      <c r="B1841" s="108" t="s">
        <v>1827</v>
      </c>
      <c r="C1841" s="108">
        <v>30</v>
      </c>
    </row>
    <row r="1842" spans="1:3" x14ac:dyDescent="0.25">
      <c r="A1842" s="108">
        <v>52423</v>
      </c>
      <c r="B1842" s="108" t="s">
        <v>1828</v>
      </c>
      <c r="C1842" s="108">
        <v>10</v>
      </c>
    </row>
    <row r="1843" spans="1:3" x14ac:dyDescent="0.25">
      <c r="A1843" s="108">
        <v>52424</v>
      </c>
      <c r="B1843" s="108" t="s">
        <v>1829</v>
      </c>
      <c r="C1843" s="108">
        <v>90</v>
      </c>
    </row>
    <row r="1844" spans="1:3" x14ac:dyDescent="0.25">
      <c r="A1844" s="108">
        <v>52425</v>
      </c>
      <c r="B1844" s="108" t="s">
        <v>1830</v>
      </c>
      <c r="C1844" s="108">
        <v>140</v>
      </c>
    </row>
    <row r="1845" spans="1:3" x14ac:dyDescent="0.25">
      <c r="A1845" s="108">
        <v>52426</v>
      </c>
      <c r="B1845" s="108" t="s">
        <v>1831</v>
      </c>
      <c r="C1845" s="108">
        <v>10</v>
      </c>
    </row>
    <row r="1846" spans="1:3" x14ac:dyDescent="0.25">
      <c r="A1846" s="108">
        <v>52427</v>
      </c>
      <c r="B1846" s="108" t="s">
        <v>1832</v>
      </c>
      <c r="C1846" s="108">
        <v>15</v>
      </c>
    </row>
    <row r="1847" spans="1:3" x14ac:dyDescent="0.25">
      <c r="A1847" s="108">
        <v>52428</v>
      </c>
      <c r="B1847" s="108" t="s">
        <v>1833</v>
      </c>
      <c r="C1847" s="108">
        <v>30</v>
      </c>
    </row>
    <row r="1848" spans="1:3" x14ac:dyDescent="0.25">
      <c r="A1848" s="108">
        <v>52429</v>
      </c>
      <c r="B1848" s="108" t="s">
        <v>1834</v>
      </c>
      <c r="C1848" s="108">
        <v>25</v>
      </c>
    </row>
    <row r="1849" spans="1:3" x14ac:dyDescent="0.25">
      <c r="A1849" s="108">
        <v>52430</v>
      </c>
      <c r="B1849" s="108" t="s">
        <v>1835</v>
      </c>
      <c r="C1849" s="108">
        <v>30</v>
      </c>
    </row>
    <row r="1850" spans="1:3" x14ac:dyDescent="0.25">
      <c r="A1850" s="108">
        <v>52431</v>
      </c>
      <c r="B1850" s="108" t="s">
        <v>1836</v>
      </c>
      <c r="C1850" s="108">
        <v>75</v>
      </c>
    </row>
    <row r="1851" spans="1:3" ht="30" x14ac:dyDescent="0.25">
      <c r="A1851" s="108">
        <v>52432</v>
      </c>
      <c r="B1851" s="108" t="s">
        <v>1837</v>
      </c>
      <c r="C1851" s="108">
        <v>160</v>
      </c>
    </row>
    <row r="1852" spans="1:3" x14ac:dyDescent="0.25">
      <c r="A1852" s="108">
        <v>52433</v>
      </c>
      <c r="B1852" s="108" t="s">
        <v>1838</v>
      </c>
      <c r="C1852" s="108">
        <v>10</v>
      </c>
    </row>
    <row r="1853" spans="1:3" x14ac:dyDescent="0.25">
      <c r="A1853" s="108">
        <v>52434</v>
      </c>
      <c r="B1853" s="108" t="s">
        <v>1839</v>
      </c>
      <c r="C1853" s="108">
        <v>550</v>
      </c>
    </row>
    <row r="1854" spans="1:3" x14ac:dyDescent="0.25">
      <c r="A1854" s="108">
        <v>52435</v>
      </c>
      <c r="B1854" s="108" t="s">
        <v>1840</v>
      </c>
      <c r="C1854" s="108">
        <v>30</v>
      </c>
    </row>
    <row r="1855" spans="1:3" x14ac:dyDescent="0.25">
      <c r="A1855" s="108">
        <v>52436</v>
      </c>
      <c r="B1855" s="108" t="s">
        <v>1841</v>
      </c>
      <c r="C1855" s="108">
        <v>25</v>
      </c>
    </row>
    <row r="1856" spans="1:3" ht="30" x14ac:dyDescent="0.25">
      <c r="A1856" s="108">
        <v>52437</v>
      </c>
      <c r="B1856" s="108" t="s">
        <v>1842</v>
      </c>
      <c r="C1856" s="108">
        <v>10</v>
      </c>
    </row>
    <row r="1857" spans="1:3" x14ac:dyDescent="0.25">
      <c r="A1857" s="108">
        <v>52438</v>
      </c>
      <c r="B1857" s="108" t="s">
        <v>1843</v>
      </c>
      <c r="C1857" s="108">
        <v>15</v>
      </c>
    </row>
    <row r="1858" spans="1:3" x14ac:dyDescent="0.25">
      <c r="A1858" s="108">
        <v>52439</v>
      </c>
      <c r="B1858" s="108" t="s">
        <v>1844</v>
      </c>
      <c r="C1858" s="108">
        <v>10</v>
      </c>
    </row>
    <row r="1859" spans="1:3" x14ac:dyDescent="0.25">
      <c r="A1859" s="108">
        <v>52440</v>
      </c>
      <c r="B1859" s="108" t="s">
        <v>1845</v>
      </c>
      <c r="C1859" s="108">
        <v>10</v>
      </c>
    </row>
    <row r="1860" spans="1:3" x14ac:dyDescent="0.25">
      <c r="A1860" s="108">
        <v>52441</v>
      </c>
      <c r="B1860" s="108" t="s">
        <v>1846</v>
      </c>
      <c r="C1860" s="108">
        <v>25</v>
      </c>
    </row>
    <row r="1861" spans="1:3" x14ac:dyDescent="0.25">
      <c r="A1861" s="108">
        <v>52442</v>
      </c>
      <c r="B1861" s="108" t="s">
        <v>1847</v>
      </c>
      <c r="C1861" s="108">
        <v>15</v>
      </c>
    </row>
    <row r="1862" spans="1:3" x14ac:dyDescent="0.25">
      <c r="A1862" s="108">
        <v>52443</v>
      </c>
      <c r="B1862" s="108" t="s">
        <v>1848</v>
      </c>
      <c r="C1862" s="108">
        <v>15</v>
      </c>
    </row>
    <row r="1863" spans="1:3" x14ac:dyDescent="0.25">
      <c r="A1863" s="108">
        <v>52444</v>
      </c>
      <c r="B1863" s="108" t="s">
        <v>1849</v>
      </c>
      <c r="C1863" s="108">
        <v>10</v>
      </c>
    </row>
    <row r="1864" spans="1:3" x14ac:dyDescent="0.25">
      <c r="A1864" s="108">
        <v>52445</v>
      </c>
      <c r="B1864" s="108" t="s">
        <v>1850</v>
      </c>
      <c r="C1864" s="108">
        <v>1</v>
      </c>
    </row>
    <row r="1865" spans="1:3" x14ac:dyDescent="0.25">
      <c r="A1865" s="108">
        <v>52446</v>
      </c>
      <c r="B1865" s="108" t="s">
        <v>1851</v>
      </c>
      <c r="C1865" s="108">
        <v>1</v>
      </c>
    </row>
    <row r="1866" spans="1:3" x14ac:dyDescent="0.25">
      <c r="A1866" s="108">
        <v>52447</v>
      </c>
      <c r="B1866" s="108" t="s">
        <v>1852</v>
      </c>
      <c r="C1866" s="108">
        <v>1</v>
      </c>
    </row>
    <row r="1867" spans="1:3" x14ac:dyDescent="0.25">
      <c r="A1867" s="108">
        <v>52448</v>
      </c>
      <c r="B1867" s="108" t="s">
        <v>1853</v>
      </c>
      <c r="C1867" s="108">
        <v>1</v>
      </c>
    </row>
    <row r="1868" spans="1:3" x14ac:dyDescent="0.25">
      <c r="A1868" s="108">
        <v>52449</v>
      </c>
      <c r="B1868" s="108" t="s">
        <v>1854</v>
      </c>
      <c r="C1868" s="108">
        <v>1</v>
      </c>
    </row>
    <row r="1869" spans="1:3" x14ac:dyDescent="0.25">
      <c r="A1869" s="108">
        <v>52450</v>
      </c>
      <c r="B1869" s="108" t="s">
        <v>1855</v>
      </c>
      <c r="C1869" s="108">
        <v>1</v>
      </c>
    </row>
    <row r="1870" spans="1:3" x14ac:dyDescent="0.25">
      <c r="A1870" s="108">
        <v>52451</v>
      </c>
      <c r="B1870" s="108" t="s">
        <v>1856</v>
      </c>
      <c r="C1870" s="108">
        <v>1</v>
      </c>
    </row>
    <row r="1871" spans="1:3" x14ac:dyDescent="0.25">
      <c r="A1871" s="108">
        <v>52452</v>
      </c>
      <c r="B1871" s="108" t="s">
        <v>1857</v>
      </c>
      <c r="C1871" s="108">
        <v>1</v>
      </c>
    </row>
    <row r="1872" spans="1:3" x14ac:dyDescent="0.25">
      <c r="A1872" s="108">
        <v>52453</v>
      </c>
      <c r="B1872" s="108" t="s">
        <v>1858</v>
      </c>
      <c r="C1872" s="108">
        <v>1</v>
      </c>
    </row>
    <row r="1873" spans="1:3" x14ac:dyDescent="0.25">
      <c r="A1873" s="108">
        <v>52454</v>
      </c>
      <c r="B1873" s="108" t="s">
        <v>1859</v>
      </c>
      <c r="C1873" s="108">
        <v>1</v>
      </c>
    </row>
    <row r="1874" spans="1:3" x14ac:dyDescent="0.25">
      <c r="A1874" s="108">
        <v>52455</v>
      </c>
      <c r="B1874" s="108" t="s">
        <v>1860</v>
      </c>
      <c r="C1874" s="108">
        <v>1</v>
      </c>
    </row>
    <row r="1875" spans="1:3" x14ac:dyDescent="0.25">
      <c r="A1875" s="108">
        <v>52456</v>
      </c>
      <c r="B1875" s="108" t="s">
        <v>1861</v>
      </c>
      <c r="C1875" s="108">
        <v>1</v>
      </c>
    </row>
    <row r="1876" spans="1:3" x14ac:dyDescent="0.25">
      <c r="A1876" s="108">
        <v>52457</v>
      </c>
      <c r="B1876" s="108" t="s">
        <v>1862</v>
      </c>
      <c r="C1876" s="108">
        <v>1</v>
      </c>
    </row>
    <row r="1877" spans="1:3" x14ac:dyDescent="0.25">
      <c r="A1877" s="108">
        <v>52458</v>
      </c>
      <c r="B1877" s="108" t="s">
        <v>1863</v>
      </c>
      <c r="C1877" s="108">
        <v>1</v>
      </c>
    </row>
    <row r="1878" spans="1:3" x14ac:dyDescent="0.25">
      <c r="A1878" s="108">
        <v>52459</v>
      </c>
      <c r="B1878" s="108" t="s">
        <v>1864</v>
      </c>
      <c r="C1878" s="108">
        <v>1</v>
      </c>
    </row>
    <row r="1879" spans="1:3" x14ac:dyDescent="0.25">
      <c r="A1879" s="108">
        <v>5246</v>
      </c>
      <c r="B1879" s="108" t="s">
        <v>1865</v>
      </c>
      <c r="C1879" s="108">
        <v>21.5</v>
      </c>
    </row>
    <row r="1880" spans="1:3" x14ac:dyDescent="0.25">
      <c r="A1880" s="108">
        <v>52460</v>
      </c>
      <c r="B1880" s="108" t="s">
        <v>1866</v>
      </c>
      <c r="C1880" s="108">
        <v>1</v>
      </c>
    </row>
    <row r="1881" spans="1:3" x14ac:dyDescent="0.25">
      <c r="A1881" s="108">
        <v>52461</v>
      </c>
      <c r="B1881" s="108" t="s">
        <v>1867</v>
      </c>
      <c r="C1881" s="108">
        <v>1</v>
      </c>
    </row>
    <row r="1882" spans="1:3" x14ac:dyDescent="0.25">
      <c r="A1882" s="108">
        <v>52462</v>
      </c>
      <c r="B1882" s="108" t="s">
        <v>1868</v>
      </c>
      <c r="C1882" s="108">
        <v>1</v>
      </c>
    </row>
    <row r="1883" spans="1:3" x14ac:dyDescent="0.25">
      <c r="A1883" s="108">
        <v>52463</v>
      </c>
      <c r="B1883" s="108" t="s">
        <v>1869</v>
      </c>
      <c r="C1883" s="108">
        <v>1</v>
      </c>
    </row>
    <row r="1884" spans="1:3" x14ac:dyDescent="0.25">
      <c r="A1884" s="108">
        <v>52464</v>
      </c>
      <c r="B1884" s="108" t="s">
        <v>1870</v>
      </c>
      <c r="C1884" s="108">
        <v>1</v>
      </c>
    </row>
    <row r="1885" spans="1:3" x14ac:dyDescent="0.25">
      <c r="A1885" s="108">
        <v>52465</v>
      </c>
      <c r="B1885" s="108" t="s">
        <v>1871</v>
      </c>
      <c r="C1885" s="108">
        <v>1</v>
      </c>
    </row>
    <row r="1886" spans="1:3" x14ac:dyDescent="0.25">
      <c r="A1886" s="108">
        <v>52466</v>
      </c>
      <c r="B1886" s="108" t="s">
        <v>1872</v>
      </c>
      <c r="C1886" s="108">
        <v>1</v>
      </c>
    </row>
    <row r="1887" spans="1:3" x14ac:dyDescent="0.25">
      <c r="A1887" s="108">
        <v>52467</v>
      </c>
      <c r="B1887" s="108" t="s">
        <v>1873</v>
      </c>
      <c r="C1887" s="108">
        <v>1</v>
      </c>
    </row>
    <row r="1888" spans="1:3" x14ac:dyDescent="0.25">
      <c r="A1888" s="108">
        <v>52468</v>
      </c>
      <c r="B1888" s="108" t="s">
        <v>1874</v>
      </c>
      <c r="C1888" s="108">
        <v>1</v>
      </c>
    </row>
    <row r="1889" spans="1:3" x14ac:dyDescent="0.25">
      <c r="A1889" s="108">
        <v>52469</v>
      </c>
      <c r="B1889" s="108" t="s">
        <v>1875</v>
      </c>
      <c r="C1889" s="108">
        <v>1</v>
      </c>
    </row>
    <row r="1890" spans="1:3" x14ac:dyDescent="0.25">
      <c r="A1890" s="108">
        <v>52470</v>
      </c>
      <c r="B1890" s="108" t="s">
        <v>1876</v>
      </c>
      <c r="C1890" s="108">
        <v>1</v>
      </c>
    </row>
    <row r="1891" spans="1:3" x14ac:dyDescent="0.25">
      <c r="A1891" s="108">
        <v>52471</v>
      </c>
      <c r="B1891" s="108" t="s">
        <v>1877</v>
      </c>
      <c r="C1891" s="108">
        <v>1</v>
      </c>
    </row>
    <row r="1892" spans="1:3" x14ac:dyDescent="0.25">
      <c r="A1892" s="108">
        <v>52472</v>
      </c>
      <c r="B1892" s="108" t="s">
        <v>1878</v>
      </c>
      <c r="C1892" s="108">
        <v>1</v>
      </c>
    </row>
    <row r="1893" spans="1:3" x14ac:dyDescent="0.25">
      <c r="A1893" s="108">
        <v>52473</v>
      </c>
      <c r="B1893" s="108" t="s">
        <v>1879</v>
      </c>
      <c r="C1893" s="108">
        <v>1</v>
      </c>
    </row>
    <row r="1894" spans="1:3" x14ac:dyDescent="0.25">
      <c r="A1894" s="108">
        <v>52474</v>
      </c>
      <c r="B1894" s="108" t="s">
        <v>1880</v>
      </c>
      <c r="C1894" s="108">
        <v>1</v>
      </c>
    </row>
    <row r="1895" spans="1:3" x14ac:dyDescent="0.25">
      <c r="A1895" s="108">
        <v>52475</v>
      </c>
      <c r="B1895" s="108" t="s">
        <v>1881</v>
      </c>
      <c r="C1895" s="108">
        <v>1</v>
      </c>
    </row>
    <row r="1896" spans="1:3" x14ac:dyDescent="0.25">
      <c r="A1896" s="108">
        <v>52476</v>
      </c>
      <c r="B1896" s="108" t="s">
        <v>1882</v>
      </c>
      <c r="C1896" s="108">
        <v>43.43</v>
      </c>
    </row>
    <row r="1897" spans="1:3" x14ac:dyDescent="0.25">
      <c r="A1897" s="108">
        <v>52477</v>
      </c>
      <c r="B1897" s="108" t="s">
        <v>1883</v>
      </c>
      <c r="C1897" s="108">
        <v>1.28</v>
      </c>
    </row>
    <row r="1898" spans="1:3" x14ac:dyDescent="0.25">
      <c r="A1898" s="108">
        <v>52478</v>
      </c>
      <c r="B1898" s="108" t="s">
        <v>1884</v>
      </c>
      <c r="C1898" s="108">
        <v>3.34</v>
      </c>
    </row>
    <row r="1899" spans="1:3" x14ac:dyDescent="0.25">
      <c r="A1899" s="108">
        <v>52479</v>
      </c>
      <c r="B1899" s="108" t="s">
        <v>1885</v>
      </c>
      <c r="C1899" s="108">
        <v>8.09</v>
      </c>
    </row>
    <row r="1900" spans="1:3" x14ac:dyDescent="0.25">
      <c r="A1900" s="108">
        <v>52480</v>
      </c>
      <c r="B1900" s="108" t="s">
        <v>1886</v>
      </c>
      <c r="C1900" s="109">
        <v>2094.25</v>
      </c>
    </row>
    <row r="1901" spans="1:3" x14ac:dyDescent="0.25">
      <c r="A1901" s="108">
        <v>52481</v>
      </c>
      <c r="B1901" s="108" t="s">
        <v>1887</v>
      </c>
      <c r="C1901" s="108">
        <v>94</v>
      </c>
    </row>
    <row r="1902" spans="1:3" x14ac:dyDescent="0.25">
      <c r="A1902" s="108">
        <v>52482</v>
      </c>
      <c r="B1902" s="108" t="s">
        <v>1888</v>
      </c>
      <c r="C1902" s="108">
        <v>74</v>
      </c>
    </row>
    <row r="1903" spans="1:3" x14ac:dyDescent="0.25">
      <c r="A1903" s="108">
        <v>52483</v>
      </c>
      <c r="B1903" s="108" t="s">
        <v>1889</v>
      </c>
      <c r="C1903" s="108">
        <v>82</v>
      </c>
    </row>
    <row r="1904" spans="1:3" x14ac:dyDescent="0.25">
      <c r="A1904" s="108">
        <v>52484</v>
      </c>
      <c r="B1904" s="108" t="s">
        <v>1890</v>
      </c>
      <c r="C1904" s="108">
        <v>111.12</v>
      </c>
    </row>
    <row r="1905" spans="1:3" x14ac:dyDescent="0.25">
      <c r="A1905" s="108">
        <v>52485</v>
      </c>
      <c r="B1905" s="108" t="s">
        <v>1891</v>
      </c>
      <c r="C1905" s="108">
        <v>20.98</v>
      </c>
    </row>
    <row r="1906" spans="1:3" x14ac:dyDescent="0.25">
      <c r="A1906" s="108">
        <v>52486</v>
      </c>
      <c r="B1906" s="108" t="s">
        <v>1892</v>
      </c>
      <c r="C1906" s="108">
        <v>21.74</v>
      </c>
    </row>
    <row r="1907" spans="1:3" x14ac:dyDescent="0.25">
      <c r="A1907" s="108">
        <v>52487</v>
      </c>
      <c r="B1907" s="108" t="s">
        <v>1893</v>
      </c>
      <c r="C1907" s="108">
        <v>11.06</v>
      </c>
    </row>
    <row r="1908" spans="1:3" x14ac:dyDescent="0.25">
      <c r="A1908" s="108">
        <v>52488</v>
      </c>
      <c r="B1908" s="108" t="s">
        <v>1894</v>
      </c>
      <c r="C1908" s="108">
        <v>1.36</v>
      </c>
    </row>
    <row r="1909" spans="1:3" x14ac:dyDescent="0.25">
      <c r="A1909" s="108">
        <v>52489</v>
      </c>
      <c r="B1909" s="108" t="s">
        <v>1895</v>
      </c>
      <c r="C1909" s="108">
        <v>29.62</v>
      </c>
    </row>
    <row r="1910" spans="1:3" x14ac:dyDescent="0.25">
      <c r="A1910" s="108">
        <v>52490</v>
      </c>
      <c r="B1910" s="108" t="s">
        <v>1896</v>
      </c>
      <c r="C1910" s="108">
        <v>57.26</v>
      </c>
    </row>
    <row r="1911" spans="1:3" x14ac:dyDescent="0.25">
      <c r="A1911" s="108">
        <v>52493</v>
      </c>
      <c r="B1911" s="108" t="s">
        <v>1897</v>
      </c>
      <c r="C1911" s="108">
        <v>5.61</v>
      </c>
    </row>
    <row r="1912" spans="1:3" x14ac:dyDescent="0.25">
      <c r="A1912" s="108">
        <v>52494</v>
      </c>
      <c r="B1912" s="108" t="s">
        <v>1898</v>
      </c>
      <c r="C1912" s="108">
        <v>4.2699999999999996</v>
      </c>
    </row>
    <row r="1913" spans="1:3" x14ac:dyDescent="0.25">
      <c r="A1913" s="108">
        <v>52495</v>
      </c>
      <c r="B1913" s="108" t="s">
        <v>1899</v>
      </c>
      <c r="C1913" s="108">
        <v>7.39</v>
      </c>
    </row>
    <row r="1914" spans="1:3" x14ac:dyDescent="0.25">
      <c r="A1914" s="108">
        <v>52496</v>
      </c>
      <c r="B1914" s="108" t="s">
        <v>1900</v>
      </c>
      <c r="C1914" s="108">
        <v>7.92</v>
      </c>
    </row>
    <row r="1915" spans="1:3" x14ac:dyDescent="0.25">
      <c r="A1915" s="108">
        <v>52497</v>
      </c>
      <c r="B1915" s="108" t="s">
        <v>1901</v>
      </c>
      <c r="C1915" s="108">
        <v>2.29</v>
      </c>
    </row>
    <row r="1916" spans="1:3" x14ac:dyDescent="0.25">
      <c r="A1916" s="108">
        <v>52498</v>
      </c>
      <c r="B1916" s="108" t="s">
        <v>1902</v>
      </c>
      <c r="C1916" s="108">
        <v>3.85</v>
      </c>
    </row>
    <row r="1917" spans="1:3" x14ac:dyDescent="0.25">
      <c r="A1917" s="108">
        <v>52499</v>
      </c>
      <c r="B1917" s="108" t="s">
        <v>1903</v>
      </c>
      <c r="C1917" s="108">
        <v>105.03</v>
      </c>
    </row>
    <row r="1918" spans="1:3" x14ac:dyDescent="0.25">
      <c r="A1918" s="108">
        <v>52500</v>
      </c>
      <c r="B1918" s="108" t="s">
        <v>1904</v>
      </c>
      <c r="C1918" s="108">
        <v>150</v>
      </c>
    </row>
    <row r="1919" spans="1:3" x14ac:dyDescent="0.25">
      <c r="A1919" s="108">
        <v>52501</v>
      </c>
      <c r="B1919" s="108" t="s">
        <v>1905</v>
      </c>
      <c r="C1919" s="108">
        <v>25</v>
      </c>
    </row>
    <row r="1920" spans="1:3" x14ac:dyDescent="0.25">
      <c r="A1920" s="108">
        <v>52502</v>
      </c>
      <c r="B1920" s="108" t="s">
        <v>1906</v>
      </c>
      <c r="C1920" s="108">
        <v>180</v>
      </c>
    </row>
    <row r="1921" spans="1:3" x14ac:dyDescent="0.25">
      <c r="A1921" s="108">
        <v>52503</v>
      </c>
      <c r="B1921" s="108" t="s">
        <v>1907</v>
      </c>
      <c r="C1921" s="108">
        <v>270</v>
      </c>
    </row>
    <row r="1922" spans="1:3" x14ac:dyDescent="0.25">
      <c r="A1922" s="108">
        <v>52504</v>
      </c>
      <c r="B1922" s="108" t="s">
        <v>1908</v>
      </c>
      <c r="C1922" s="108">
        <v>120</v>
      </c>
    </row>
    <row r="1923" spans="1:3" x14ac:dyDescent="0.25">
      <c r="A1923" s="108">
        <v>52505</v>
      </c>
      <c r="B1923" s="108" t="s">
        <v>1909</v>
      </c>
      <c r="C1923" s="108">
        <v>200</v>
      </c>
    </row>
    <row r="1924" spans="1:3" x14ac:dyDescent="0.25">
      <c r="A1924" s="108">
        <v>52506</v>
      </c>
      <c r="B1924" s="108" t="s">
        <v>1910</v>
      </c>
      <c r="C1924" s="108">
        <v>150</v>
      </c>
    </row>
    <row r="1925" spans="1:3" x14ac:dyDescent="0.25">
      <c r="A1925" s="108">
        <v>52507</v>
      </c>
      <c r="B1925" s="108" t="s">
        <v>1911</v>
      </c>
      <c r="C1925" s="108">
        <v>70</v>
      </c>
    </row>
    <row r="1926" spans="1:3" x14ac:dyDescent="0.25">
      <c r="A1926" s="108">
        <v>52508</v>
      </c>
      <c r="B1926" s="108" t="s">
        <v>1912</v>
      </c>
      <c r="C1926" s="108">
        <v>30</v>
      </c>
    </row>
    <row r="1927" spans="1:3" x14ac:dyDescent="0.25">
      <c r="A1927" s="108">
        <v>52509</v>
      </c>
      <c r="B1927" s="108" t="s">
        <v>1913</v>
      </c>
      <c r="C1927" s="108">
        <v>330</v>
      </c>
    </row>
    <row r="1928" spans="1:3" x14ac:dyDescent="0.25">
      <c r="A1928" s="108">
        <v>52510</v>
      </c>
      <c r="B1928" s="108" t="s">
        <v>1914</v>
      </c>
      <c r="C1928" s="108">
        <v>120</v>
      </c>
    </row>
    <row r="1929" spans="1:3" x14ac:dyDescent="0.25">
      <c r="A1929" s="108">
        <v>52511</v>
      </c>
      <c r="B1929" s="108" t="s">
        <v>1915</v>
      </c>
      <c r="C1929" s="108">
        <v>15</v>
      </c>
    </row>
    <row r="1930" spans="1:3" x14ac:dyDescent="0.25">
      <c r="A1930" s="108">
        <v>52512</v>
      </c>
      <c r="B1930" s="108" t="s">
        <v>1916</v>
      </c>
      <c r="C1930" s="108">
        <v>10</v>
      </c>
    </row>
    <row r="1931" spans="1:3" x14ac:dyDescent="0.25">
      <c r="A1931" s="108">
        <v>52513</v>
      </c>
      <c r="B1931" s="108" t="s">
        <v>1917</v>
      </c>
      <c r="C1931" s="108">
        <v>10</v>
      </c>
    </row>
    <row r="1932" spans="1:3" x14ac:dyDescent="0.25">
      <c r="A1932" s="108">
        <v>52514</v>
      </c>
      <c r="B1932" s="108" t="s">
        <v>1918</v>
      </c>
      <c r="C1932" s="108">
        <v>200</v>
      </c>
    </row>
    <row r="1933" spans="1:3" x14ac:dyDescent="0.25">
      <c r="A1933" s="108">
        <v>52515</v>
      </c>
      <c r="B1933" s="108" t="s">
        <v>1919</v>
      </c>
      <c r="C1933" s="108">
        <v>100</v>
      </c>
    </row>
    <row r="1934" spans="1:3" x14ac:dyDescent="0.25">
      <c r="A1934" s="108">
        <v>52516</v>
      </c>
      <c r="B1934" s="108" t="s">
        <v>1920</v>
      </c>
      <c r="C1934" s="108">
        <v>180</v>
      </c>
    </row>
    <row r="1935" spans="1:3" x14ac:dyDescent="0.25">
      <c r="A1935" s="108">
        <v>52517</v>
      </c>
      <c r="B1935" s="108" t="s">
        <v>1921</v>
      </c>
      <c r="C1935" s="108">
        <v>200</v>
      </c>
    </row>
    <row r="1936" spans="1:3" x14ac:dyDescent="0.25">
      <c r="A1936" s="108">
        <v>52518</v>
      </c>
      <c r="B1936" s="108" t="s">
        <v>1922</v>
      </c>
      <c r="C1936" s="108">
        <v>60</v>
      </c>
    </row>
    <row r="1937" spans="1:3" x14ac:dyDescent="0.25">
      <c r="A1937" s="108">
        <v>52519</v>
      </c>
      <c r="B1937" s="108" t="s">
        <v>1923</v>
      </c>
      <c r="C1937" s="108">
        <v>70</v>
      </c>
    </row>
    <row r="1938" spans="1:3" x14ac:dyDescent="0.25">
      <c r="A1938" s="108">
        <v>52520</v>
      </c>
      <c r="B1938" s="108" t="s">
        <v>1924</v>
      </c>
      <c r="C1938" s="108">
        <v>35</v>
      </c>
    </row>
    <row r="1939" spans="1:3" x14ac:dyDescent="0.25">
      <c r="A1939" s="108">
        <v>52521</v>
      </c>
      <c r="B1939" s="108" t="s">
        <v>1925</v>
      </c>
      <c r="C1939" s="108">
        <v>25</v>
      </c>
    </row>
    <row r="1940" spans="1:3" x14ac:dyDescent="0.25">
      <c r="A1940" s="108">
        <v>52522</v>
      </c>
      <c r="B1940" s="108" t="s">
        <v>1926</v>
      </c>
      <c r="C1940" s="108">
        <v>40</v>
      </c>
    </row>
    <row r="1941" spans="1:3" x14ac:dyDescent="0.25">
      <c r="A1941" s="108">
        <v>52523</v>
      </c>
      <c r="B1941" s="108" t="s">
        <v>1927</v>
      </c>
      <c r="C1941" s="108">
        <v>60</v>
      </c>
    </row>
    <row r="1942" spans="1:3" x14ac:dyDescent="0.25">
      <c r="A1942" s="108">
        <v>52524</v>
      </c>
      <c r="B1942" s="108" t="s">
        <v>1928</v>
      </c>
      <c r="C1942" s="108">
        <v>25</v>
      </c>
    </row>
    <row r="1943" spans="1:3" x14ac:dyDescent="0.25">
      <c r="A1943" s="108">
        <v>52525</v>
      </c>
      <c r="B1943" s="108" t="s">
        <v>1929</v>
      </c>
      <c r="C1943" s="108">
        <v>20</v>
      </c>
    </row>
    <row r="1944" spans="1:3" x14ac:dyDescent="0.25">
      <c r="A1944" s="108">
        <v>52526</v>
      </c>
      <c r="B1944" s="108" t="s">
        <v>1930</v>
      </c>
      <c r="C1944" s="108">
        <v>15</v>
      </c>
    </row>
    <row r="1945" spans="1:3" x14ac:dyDescent="0.25">
      <c r="A1945" s="108">
        <v>52527</v>
      </c>
      <c r="B1945" s="108" t="s">
        <v>1931</v>
      </c>
      <c r="C1945" s="108">
        <v>15</v>
      </c>
    </row>
    <row r="1946" spans="1:3" x14ac:dyDescent="0.25">
      <c r="A1946" s="108">
        <v>52528</v>
      </c>
      <c r="B1946" s="108" t="s">
        <v>1932</v>
      </c>
      <c r="C1946" s="108">
        <v>70</v>
      </c>
    </row>
    <row r="1947" spans="1:3" x14ac:dyDescent="0.25">
      <c r="A1947" s="108">
        <v>52529</v>
      </c>
      <c r="B1947" s="108" t="s">
        <v>1933</v>
      </c>
      <c r="C1947" s="108">
        <v>130</v>
      </c>
    </row>
    <row r="1948" spans="1:3" x14ac:dyDescent="0.25">
      <c r="A1948" s="108">
        <v>52530</v>
      </c>
      <c r="B1948" s="108" t="s">
        <v>1934</v>
      </c>
      <c r="C1948" s="108">
        <v>10</v>
      </c>
    </row>
    <row r="1949" spans="1:3" x14ac:dyDescent="0.25">
      <c r="A1949" s="108">
        <v>52531</v>
      </c>
      <c r="B1949" s="108" t="s">
        <v>1935</v>
      </c>
      <c r="C1949" s="108">
        <v>15</v>
      </c>
    </row>
    <row r="1950" spans="1:3" x14ac:dyDescent="0.25">
      <c r="A1950" s="108">
        <v>52532</v>
      </c>
      <c r="B1950" s="108" t="s">
        <v>1936</v>
      </c>
      <c r="C1950" s="108">
        <v>30</v>
      </c>
    </row>
    <row r="1951" spans="1:3" x14ac:dyDescent="0.25">
      <c r="A1951" s="108">
        <v>52533</v>
      </c>
      <c r="B1951" s="108" t="s">
        <v>1937</v>
      </c>
      <c r="C1951" s="108">
        <v>25</v>
      </c>
    </row>
    <row r="1952" spans="1:3" x14ac:dyDescent="0.25">
      <c r="A1952" s="108">
        <v>52534</v>
      </c>
      <c r="B1952" s="108" t="s">
        <v>1938</v>
      </c>
      <c r="C1952" s="108">
        <v>40</v>
      </c>
    </row>
    <row r="1953" spans="1:3" x14ac:dyDescent="0.25">
      <c r="A1953" s="108">
        <v>52535</v>
      </c>
      <c r="B1953" s="108" t="s">
        <v>1939</v>
      </c>
      <c r="C1953" s="108">
        <v>120</v>
      </c>
    </row>
    <row r="1954" spans="1:3" x14ac:dyDescent="0.25">
      <c r="A1954" s="108">
        <v>52536</v>
      </c>
      <c r="B1954" s="108" t="s">
        <v>1940</v>
      </c>
      <c r="C1954" s="108">
        <v>60</v>
      </c>
    </row>
    <row r="1955" spans="1:3" x14ac:dyDescent="0.25">
      <c r="A1955" s="108">
        <v>52537</v>
      </c>
      <c r="B1955" s="108" t="s">
        <v>1941</v>
      </c>
      <c r="C1955" s="108">
        <v>400</v>
      </c>
    </row>
    <row r="1956" spans="1:3" x14ac:dyDescent="0.25">
      <c r="A1956" s="108">
        <v>52538</v>
      </c>
      <c r="B1956" s="108" t="s">
        <v>1942</v>
      </c>
      <c r="C1956" s="108">
        <v>10</v>
      </c>
    </row>
    <row r="1957" spans="1:3" x14ac:dyDescent="0.25">
      <c r="A1957" s="108">
        <v>52539</v>
      </c>
      <c r="B1957" s="108" t="s">
        <v>1943</v>
      </c>
      <c r="C1957" s="108">
        <v>20</v>
      </c>
    </row>
    <row r="1958" spans="1:3" x14ac:dyDescent="0.25">
      <c r="A1958" s="108">
        <v>52540</v>
      </c>
      <c r="B1958" s="108" t="s">
        <v>1944</v>
      </c>
      <c r="C1958" s="108">
        <v>15</v>
      </c>
    </row>
    <row r="1959" spans="1:3" ht="30" x14ac:dyDescent="0.25">
      <c r="A1959" s="108">
        <v>52541</v>
      </c>
      <c r="B1959" s="108" t="s">
        <v>1945</v>
      </c>
      <c r="C1959" s="108">
        <v>10</v>
      </c>
    </row>
    <row r="1960" spans="1:3" x14ac:dyDescent="0.25">
      <c r="A1960" s="108">
        <v>52542</v>
      </c>
      <c r="B1960" s="108" t="s">
        <v>1946</v>
      </c>
      <c r="C1960" s="108">
        <v>15</v>
      </c>
    </row>
    <row r="1961" spans="1:3" x14ac:dyDescent="0.25">
      <c r="A1961" s="108">
        <v>52543</v>
      </c>
      <c r="B1961" s="108" t="s">
        <v>1947</v>
      </c>
      <c r="C1961" s="108">
        <v>20</v>
      </c>
    </row>
    <row r="1962" spans="1:3" x14ac:dyDescent="0.25">
      <c r="A1962" s="108">
        <v>52544</v>
      </c>
      <c r="B1962" s="108" t="s">
        <v>1948</v>
      </c>
      <c r="C1962" s="108">
        <v>15</v>
      </c>
    </row>
    <row r="1963" spans="1:3" x14ac:dyDescent="0.25">
      <c r="A1963" s="108">
        <v>52545</v>
      </c>
      <c r="B1963" s="108" t="s">
        <v>1949</v>
      </c>
      <c r="C1963" s="108">
        <v>25</v>
      </c>
    </row>
    <row r="1964" spans="1:3" x14ac:dyDescent="0.25">
      <c r="A1964" s="108">
        <v>52546</v>
      </c>
      <c r="B1964" s="108" t="s">
        <v>1847</v>
      </c>
      <c r="C1964" s="108">
        <v>25</v>
      </c>
    </row>
    <row r="1965" spans="1:3" x14ac:dyDescent="0.25">
      <c r="A1965" s="108">
        <v>52547</v>
      </c>
      <c r="B1965" s="108" t="s">
        <v>1950</v>
      </c>
      <c r="C1965" s="108">
        <v>10</v>
      </c>
    </row>
    <row r="1966" spans="1:3" ht="30" x14ac:dyDescent="0.25">
      <c r="A1966" s="108">
        <v>52548</v>
      </c>
      <c r="B1966" s="108" t="s">
        <v>1951</v>
      </c>
      <c r="C1966" s="108">
        <v>10</v>
      </c>
    </row>
    <row r="1967" spans="1:3" x14ac:dyDescent="0.25">
      <c r="A1967" s="108">
        <v>52549</v>
      </c>
      <c r="B1967" s="108" t="s">
        <v>1952</v>
      </c>
      <c r="C1967" s="108">
        <v>150</v>
      </c>
    </row>
    <row r="1968" spans="1:3" x14ac:dyDescent="0.25">
      <c r="A1968" s="108">
        <v>52550</v>
      </c>
      <c r="B1968" s="108" t="s">
        <v>1953</v>
      </c>
      <c r="C1968" s="108">
        <v>25</v>
      </c>
    </row>
    <row r="1969" spans="1:3" x14ac:dyDescent="0.25">
      <c r="A1969" s="108">
        <v>52551</v>
      </c>
      <c r="B1969" s="108" t="s">
        <v>1954</v>
      </c>
      <c r="C1969" s="108">
        <v>150</v>
      </c>
    </row>
    <row r="1970" spans="1:3" x14ac:dyDescent="0.25">
      <c r="A1970" s="108">
        <v>52552</v>
      </c>
      <c r="B1970" s="108" t="s">
        <v>1955</v>
      </c>
      <c r="C1970" s="108">
        <v>250</v>
      </c>
    </row>
    <row r="1971" spans="1:3" x14ac:dyDescent="0.25">
      <c r="A1971" s="108">
        <v>52553</v>
      </c>
      <c r="B1971" s="108" t="s">
        <v>1956</v>
      </c>
      <c r="C1971" s="108">
        <v>100</v>
      </c>
    </row>
    <row r="1972" spans="1:3" x14ac:dyDescent="0.25">
      <c r="A1972" s="108">
        <v>52554</v>
      </c>
      <c r="B1972" s="108" t="s">
        <v>1957</v>
      </c>
      <c r="C1972" s="108">
        <v>180</v>
      </c>
    </row>
    <row r="1973" spans="1:3" x14ac:dyDescent="0.25">
      <c r="A1973" s="108">
        <v>52555</v>
      </c>
      <c r="B1973" s="108" t="s">
        <v>1958</v>
      </c>
      <c r="C1973" s="108">
        <v>130</v>
      </c>
    </row>
    <row r="1974" spans="1:3" x14ac:dyDescent="0.25">
      <c r="A1974" s="108">
        <v>52556</v>
      </c>
      <c r="B1974" s="108" t="s">
        <v>1959</v>
      </c>
      <c r="C1974" s="108">
        <v>60</v>
      </c>
    </row>
    <row r="1975" spans="1:3" x14ac:dyDescent="0.25">
      <c r="A1975" s="108">
        <v>52557</v>
      </c>
      <c r="B1975" s="108" t="s">
        <v>1960</v>
      </c>
      <c r="C1975" s="108">
        <v>30</v>
      </c>
    </row>
    <row r="1976" spans="1:3" x14ac:dyDescent="0.25">
      <c r="A1976" s="108">
        <v>52558</v>
      </c>
      <c r="B1976" s="108" t="s">
        <v>1961</v>
      </c>
      <c r="C1976" s="108">
        <v>250</v>
      </c>
    </row>
    <row r="1977" spans="1:3" x14ac:dyDescent="0.25">
      <c r="A1977" s="108">
        <v>52559</v>
      </c>
      <c r="B1977" s="108" t="s">
        <v>1962</v>
      </c>
      <c r="C1977" s="108">
        <v>100</v>
      </c>
    </row>
    <row r="1978" spans="1:3" x14ac:dyDescent="0.25">
      <c r="A1978" s="108">
        <v>5256</v>
      </c>
      <c r="B1978" s="108" t="s">
        <v>1963</v>
      </c>
      <c r="C1978" s="108">
        <v>33.6</v>
      </c>
    </row>
    <row r="1979" spans="1:3" x14ac:dyDescent="0.25">
      <c r="A1979" s="108">
        <v>52560</v>
      </c>
      <c r="B1979" s="108" t="s">
        <v>1964</v>
      </c>
      <c r="C1979" s="108">
        <v>15</v>
      </c>
    </row>
    <row r="1980" spans="1:3" x14ac:dyDescent="0.25">
      <c r="A1980" s="108">
        <v>52561</v>
      </c>
      <c r="B1980" s="108" t="s">
        <v>1965</v>
      </c>
      <c r="C1980" s="108">
        <v>10</v>
      </c>
    </row>
    <row r="1981" spans="1:3" x14ac:dyDescent="0.25">
      <c r="A1981" s="108">
        <v>52562</v>
      </c>
      <c r="B1981" s="108" t="s">
        <v>1966</v>
      </c>
      <c r="C1981" s="108">
        <v>10</v>
      </c>
    </row>
    <row r="1982" spans="1:3" x14ac:dyDescent="0.25">
      <c r="A1982" s="108">
        <v>52563</v>
      </c>
      <c r="B1982" s="108" t="s">
        <v>1967</v>
      </c>
      <c r="C1982" s="108">
        <v>180</v>
      </c>
    </row>
    <row r="1983" spans="1:3" x14ac:dyDescent="0.25">
      <c r="A1983" s="108">
        <v>52564</v>
      </c>
      <c r="B1983" s="108" t="s">
        <v>1968</v>
      </c>
      <c r="C1983" s="108">
        <v>100</v>
      </c>
    </row>
    <row r="1984" spans="1:3" x14ac:dyDescent="0.25">
      <c r="A1984" s="108">
        <v>52565</v>
      </c>
      <c r="B1984" s="108" t="s">
        <v>1969</v>
      </c>
      <c r="C1984" s="108">
        <v>180</v>
      </c>
    </row>
    <row r="1985" spans="1:3" x14ac:dyDescent="0.25">
      <c r="A1985" s="108">
        <v>52566</v>
      </c>
      <c r="B1985" s="108" t="s">
        <v>1970</v>
      </c>
      <c r="C1985" s="108">
        <v>170</v>
      </c>
    </row>
    <row r="1986" spans="1:3" x14ac:dyDescent="0.25">
      <c r="A1986" s="108">
        <v>52567</v>
      </c>
      <c r="B1986" s="108" t="s">
        <v>1971</v>
      </c>
      <c r="C1986" s="108">
        <v>60</v>
      </c>
    </row>
    <row r="1987" spans="1:3" x14ac:dyDescent="0.25">
      <c r="A1987" s="108">
        <v>52568</v>
      </c>
      <c r="B1987" s="108" t="s">
        <v>1972</v>
      </c>
      <c r="C1987" s="108">
        <v>70</v>
      </c>
    </row>
    <row r="1988" spans="1:3" x14ac:dyDescent="0.25">
      <c r="A1988" s="108">
        <v>52569</v>
      </c>
      <c r="B1988" s="108" t="s">
        <v>1973</v>
      </c>
      <c r="C1988" s="108">
        <v>35</v>
      </c>
    </row>
    <row r="1989" spans="1:3" x14ac:dyDescent="0.25">
      <c r="A1989" s="108">
        <v>5257</v>
      </c>
      <c r="B1989" s="108" t="s">
        <v>1974</v>
      </c>
      <c r="C1989" s="108">
        <v>22.91</v>
      </c>
    </row>
    <row r="1990" spans="1:3" x14ac:dyDescent="0.25">
      <c r="A1990" s="108">
        <v>52570</v>
      </c>
      <c r="B1990" s="108" t="s">
        <v>1975</v>
      </c>
      <c r="C1990" s="108">
        <v>25</v>
      </c>
    </row>
    <row r="1991" spans="1:3" x14ac:dyDescent="0.25">
      <c r="A1991" s="108">
        <v>52571</v>
      </c>
      <c r="B1991" s="108" t="s">
        <v>1976</v>
      </c>
      <c r="C1991" s="108">
        <v>40</v>
      </c>
    </row>
    <row r="1992" spans="1:3" x14ac:dyDescent="0.25">
      <c r="A1992" s="108">
        <v>52572</v>
      </c>
      <c r="B1992" s="108" t="s">
        <v>1977</v>
      </c>
      <c r="C1992" s="108">
        <v>60</v>
      </c>
    </row>
    <row r="1993" spans="1:3" x14ac:dyDescent="0.25">
      <c r="A1993" s="108">
        <v>52573</v>
      </c>
      <c r="B1993" s="108" t="s">
        <v>1978</v>
      </c>
      <c r="C1993" s="108">
        <v>25</v>
      </c>
    </row>
    <row r="1994" spans="1:3" x14ac:dyDescent="0.25">
      <c r="A1994" s="108">
        <v>52574</v>
      </c>
      <c r="B1994" s="108" t="s">
        <v>1979</v>
      </c>
      <c r="C1994" s="108">
        <v>20</v>
      </c>
    </row>
    <row r="1995" spans="1:3" x14ac:dyDescent="0.25">
      <c r="A1995" s="108">
        <v>52575</v>
      </c>
      <c r="B1995" s="108" t="s">
        <v>1980</v>
      </c>
      <c r="C1995" s="108">
        <v>15</v>
      </c>
    </row>
    <row r="1996" spans="1:3" x14ac:dyDescent="0.25">
      <c r="A1996" s="108">
        <v>52576</v>
      </c>
      <c r="B1996" s="108" t="s">
        <v>1981</v>
      </c>
      <c r="C1996" s="108">
        <v>15</v>
      </c>
    </row>
    <row r="1997" spans="1:3" x14ac:dyDescent="0.25">
      <c r="A1997" s="108">
        <v>52577</v>
      </c>
      <c r="B1997" s="108" t="s">
        <v>1982</v>
      </c>
      <c r="C1997" s="108">
        <v>60</v>
      </c>
    </row>
    <row r="1998" spans="1:3" x14ac:dyDescent="0.25">
      <c r="A1998" s="108">
        <v>52578</v>
      </c>
      <c r="B1998" s="108" t="s">
        <v>1983</v>
      </c>
      <c r="C1998" s="108">
        <v>120</v>
      </c>
    </row>
    <row r="1999" spans="1:3" x14ac:dyDescent="0.25">
      <c r="A1999" s="108">
        <v>52579</v>
      </c>
      <c r="B1999" s="108" t="s">
        <v>1984</v>
      </c>
      <c r="C1999" s="108">
        <v>10</v>
      </c>
    </row>
    <row r="2000" spans="1:3" x14ac:dyDescent="0.25">
      <c r="A2000" s="108">
        <v>52580</v>
      </c>
      <c r="B2000" s="108" t="s">
        <v>1985</v>
      </c>
      <c r="C2000" s="108">
        <v>15</v>
      </c>
    </row>
    <row r="2001" spans="1:3" x14ac:dyDescent="0.25">
      <c r="A2001" s="108">
        <v>52581</v>
      </c>
      <c r="B2001" s="108" t="s">
        <v>1986</v>
      </c>
      <c r="C2001" s="108">
        <v>30</v>
      </c>
    </row>
    <row r="2002" spans="1:3" x14ac:dyDescent="0.25">
      <c r="A2002" s="108">
        <v>52582</v>
      </c>
      <c r="B2002" s="108" t="s">
        <v>1987</v>
      </c>
      <c r="C2002" s="108">
        <v>25</v>
      </c>
    </row>
    <row r="2003" spans="1:3" x14ac:dyDescent="0.25">
      <c r="A2003" s="108">
        <v>52583</v>
      </c>
      <c r="B2003" s="108" t="s">
        <v>1988</v>
      </c>
      <c r="C2003" s="108">
        <v>40</v>
      </c>
    </row>
    <row r="2004" spans="1:3" x14ac:dyDescent="0.25">
      <c r="A2004" s="108">
        <v>52584</v>
      </c>
      <c r="B2004" s="108" t="s">
        <v>1989</v>
      </c>
      <c r="C2004" s="108">
        <v>100</v>
      </c>
    </row>
    <row r="2005" spans="1:3" x14ac:dyDescent="0.25">
      <c r="A2005" s="108">
        <v>52585</v>
      </c>
      <c r="B2005" s="108" t="s">
        <v>1990</v>
      </c>
      <c r="C2005" s="108">
        <v>60</v>
      </c>
    </row>
    <row r="2006" spans="1:3" x14ac:dyDescent="0.25">
      <c r="A2006" s="108">
        <v>52586</v>
      </c>
      <c r="B2006" s="108" t="s">
        <v>1991</v>
      </c>
      <c r="C2006" s="108">
        <v>350</v>
      </c>
    </row>
    <row r="2007" spans="1:3" x14ac:dyDescent="0.25">
      <c r="A2007" s="108">
        <v>52587</v>
      </c>
      <c r="B2007" s="108" t="s">
        <v>1992</v>
      </c>
      <c r="C2007" s="108">
        <v>10</v>
      </c>
    </row>
    <row r="2008" spans="1:3" x14ac:dyDescent="0.25">
      <c r="A2008" s="108">
        <v>52588</v>
      </c>
      <c r="B2008" s="108" t="s">
        <v>1993</v>
      </c>
      <c r="C2008" s="108">
        <v>20</v>
      </c>
    </row>
    <row r="2009" spans="1:3" x14ac:dyDescent="0.25">
      <c r="A2009" s="108">
        <v>52589</v>
      </c>
      <c r="B2009" s="108" t="s">
        <v>1994</v>
      </c>
      <c r="C2009" s="108">
        <v>15</v>
      </c>
    </row>
    <row r="2010" spans="1:3" x14ac:dyDescent="0.25">
      <c r="A2010" s="108">
        <v>5259</v>
      </c>
      <c r="B2010" s="108" t="s">
        <v>1995</v>
      </c>
      <c r="C2010" s="108">
        <v>15.8</v>
      </c>
    </row>
    <row r="2011" spans="1:3" ht="30" x14ac:dyDescent="0.25">
      <c r="A2011" s="108">
        <v>52590</v>
      </c>
      <c r="B2011" s="108" t="s">
        <v>1996</v>
      </c>
      <c r="C2011" s="108">
        <v>10</v>
      </c>
    </row>
    <row r="2012" spans="1:3" x14ac:dyDescent="0.25">
      <c r="A2012" s="108">
        <v>52591</v>
      </c>
      <c r="B2012" s="108" t="s">
        <v>1997</v>
      </c>
      <c r="C2012" s="108">
        <v>15</v>
      </c>
    </row>
    <row r="2013" spans="1:3" x14ac:dyDescent="0.25">
      <c r="A2013" s="108">
        <v>52592</v>
      </c>
      <c r="B2013" s="108" t="s">
        <v>1998</v>
      </c>
      <c r="C2013" s="108">
        <v>20</v>
      </c>
    </row>
    <row r="2014" spans="1:3" x14ac:dyDescent="0.25">
      <c r="A2014" s="108">
        <v>52593</v>
      </c>
      <c r="B2014" s="108" t="s">
        <v>1999</v>
      </c>
      <c r="C2014" s="108">
        <v>15</v>
      </c>
    </row>
    <row r="2015" spans="1:3" x14ac:dyDescent="0.25">
      <c r="A2015" s="108">
        <v>52594</v>
      </c>
      <c r="B2015" s="108" t="s">
        <v>2000</v>
      </c>
      <c r="C2015" s="108">
        <v>25</v>
      </c>
    </row>
    <row r="2016" spans="1:3" x14ac:dyDescent="0.25">
      <c r="A2016" s="108">
        <v>52595</v>
      </c>
      <c r="B2016" s="108" t="s">
        <v>2001</v>
      </c>
      <c r="C2016" s="108">
        <v>25</v>
      </c>
    </row>
    <row r="2017" spans="1:3" x14ac:dyDescent="0.25">
      <c r="A2017" s="108">
        <v>52596</v>
      </c>
      <c r="B2017" s="108" t="s">
        <v>2002</v>
      </c>
      <c r="C2017" s="108">
        <v>10</v>
      </c>
    </row>
    <row r="2018" spans="1:3" ht="30" x14ac:dyDescent="0.25">
      <c r="A2018" s="108">
        <v>52597</v>
      </c>
      <c r="B2018" s="108" t="s">
        <v>2003</v>
      </c>
      <c r="C2018" s="108">
        <v>10</v>
      </c>
    </row>
    <row r="2019" spans="1:3" x14ac:dyDescent="0.25">
      <c r="A2019" s="108">
        <v>52599</v>
      </c>
      <c r="B2019" s="108" t="s">
        <v>3132</v>
      </c>
      <c r="C2019" s="108">
        <v>1.5</v>
      </c>
    </row>
    <row r="2020" spans="1:3" x14ac:dyDescent="0.25">
      <c r="A2020" s="108">
        <v>52600</v>
      </c>
      <c r="B2020" s="108" t="s">
        <v>3133</v>
      </c>
      <c r="C2020" s="108">
        <v>1.2</v>
      </c>
    </row>
    <row r="2021" spans="1:3" x14ac:dyDescent="0.25">
      <c r="A2021" s="108">
        <v>52601</v>
      </c>
      <c r="B2021" s="108" t="s">
        <v>14239</v>
      </c>
      <c r="C2021" s="108">
        <v>1.2</v>
      </c>
    </row>
    <row r="2022" spans="1:3" x14ac:dyDescent="0.25">
      <c r="A2022" s="108">
        <v>52602</v>
      </c>
      <c r="B2022" s="108" t="s">
        <v>14240</v>
      </c>
      <c r="C2022" s="108">
        <v>1.2</v>
      </c>
    </row>
    <row r="2023" spans="1:3" ht="30" x14ac:dyDescent="0.25">
      <c r="A2023" s="108">
        <v>52603</v>
      </c>
      <c r="B2023" s="108" t="s">
        <v>14241</v>
      </c>
      <c r="C2023" s="108">
        <v>1.2</v>
      </c>
    </row>
    <row r="2024" spans="1:3" x14ac:dyDescent="0.25">
      <c r="A2024" s="108">
        <v>52604</v>
      </c>
      <c r="B2024" s="108" t="s">
        <v>14242</v>
      </c>
      <c r="C2024" s="108">
        <v>5</v>
      </c>
    </row>
    <row r="2025" spans="1:3" x14ac:dyDescent="0.25">
      <c r="A2025" s="108">
        <v>52605</v>
      </c>
      <c r="B2025" s="108" t="s">
        <v>14243</v>
      </c>
      <c r="C2025" s="108">
        <v>5</v>
      </c>
    </row>
    <row r="2026" spans="1:3" x14ac:dyDescent="0.25">
      <c r="A2026" s="108">
        <v>5263</v>
      </c>
      <c r="B2026" s="108" t="s">
        <v>2004</v>
      </c>
      <c r="C2026" s="108">
        <v>32</v>
      </c>
    </row>
    <row r="2027" spans="1:3" x14ac:dyDescent="0.25">
      <c r="A2027" s="108">
        <v>52632</v>
      </c>
      <c r="B2027" s="108" t="s">
        <v>14244</v>
      </c>
      <c r="C2027" s="108">
        <v>43</v>
      </c>
    </row>
    <row r="2028" spans="1:3" x14ac:dyDescent="0.25">
      <c r="A2028" s="108">
        <v>52639</v>
      </c>
      <c r="B2028" s="108" t="s">
        <v>14245</v>
      </c>
      <c r="C2028" s="108">
        <v>91</v>
      </c>
    </row>
    <row r="2029" spans="1:3" x14ac:dyDescent="0.25">
      <c r="A2029" s="108">
        <v>5264</v>
      </c>
      <c r="B2029" s="108" t="s">
        <v>2005</v>
      </c>
      <c r="C2029" s="108">
        <v>7.43</v>
      </c>
    </row>
    <row r="2030" spans="1:3" x14ac:dyDescent="0.25">
      <c r="A2030" s="108">
        <v>5265</v>
      </c>
      <c r="B2030" s="108" t="s">
        <v>2006</v>
      </c>
      <c r="C2030" s="108">
        <v>27.37</v>
      </c>
    </row>
    <row r="2031" spans="1:3" x14ac:dyDescent="0.25">
      <c r="A2031" s="108">
        <v>52650</v>
      </c>
      <c r="B2031" s="108" t="s">
        <v>2007</v>
      </c>
      <c r="C2031" s="108">
        <v>8</v>
      </c>
    </row>
    <row r="2032" spans="1:3" x14ac:dyDescent="0.25">
      <c r="A2032" s="108">
        <v>52651</v>
      </c>
      <c r="B2032" s="108" t="s">
        <v>3054</v>
      </c>
      <c r="C2032" s="108">
        <v>7</v>
      </c>
    </row>
    <row r="2033" spans="1:3" x14ac:dyDescent="0.25">
      <c r="A2033" s="108">
        <v>5267</v>
      </c>
      <c r="B2033" s="108" t="s">
        <v>2008</v>
      </c>
      <c r="C2033" s="108">
        <v>11.88</v>
      </c>
    </row>
    <row r="2034" spans="1:3" x14ac:dyDescent="0.25">
      <c r="A2034" s="108">
        <v>5270</v>
      </c>
      <c r="B2034" s="108" t="s">
        <v>2009</v>
      </c>
      <c r="C2034" s="108">
        <v>21.8</v>
      </c>
    </row>
    <row r="2035" spans="1:3" x14ac:dyDescent="0.25">
      <c r="A2035" s="108">
        <v>52713</v>
      </c>
      <c r="B2035" s="108" t="s">
        <v>3055</v>
      </c>
      <c r="C2035" s="108">
        <v>115</v>
      </c>
    </row>
    <row r="2036" spans="1:3" x14ac:dyDescent="0.25">
      <c r="A2036" s="108">
        <v>52714</v>
      </c>
      <c r="B2036" s="108" t="s">
        <v>3056</v>
      </c>
      <c r="C2036" s="108">
        <v>140</v>
      </c>
    </row>
    <row r="2037" spans="1:3" ht="30" x14ac:dyDescent="0.25">
      <c r="A2037" s="108">
        <v>52717</v>
      </c>
      <c r="B2037" s="108" t="s">
        <v>14246</v>
      </c>
      <c r="C2037" s="108">
        <v>37</v>
      </c>
    </row>
    <row r="2038" spans="1:3" ht="30" x14ac:dyDescent="0.25">
      <c r="A2038" s="108">
        <v>52718</v>
      </c>
      <c r="B2038" s="108" t="s">
        <v>14247</v>
      </c>
      <c r="C2038" s="108">
        <v>21</v>
      </c>
    </row>
    <row r="2039" spans="1:3" x14ac:dyDescent="0.25">
      <c r="A2039" s="108">
        <v>52719</v>
      </c>
      <c r="B2039" s="108" t="s">
        <v>14248</v>
      </c>
      <c r="C2039" s="108">
        <v>80</v>
      </c>
    </row>
    <row r="2040" spans="1:3" x14ac:dyDescent="0.25">
      <c r="A2040" s="108">
        <v>5272</v>
      </c>
      <c r="B2040" s="108" t="s">
        <v>2010</v>
      </c>
      <c r="C2040" s="108">
        <v>24.64</v>
      </c>
    </row>
    <row r="2041" spans="1:3" x14ac:dyDescent="0.25">
      <c r="A2041" s="108">
        <v>52720</v>
      </c>
      <c r="B2041" s="108" t="s">
        <v>3135</v>
      </c>
      <c r="C2041" s="108">
        <v>10.4</v>
      </c>
    </row>
    <row r="2042" spans="1:3" ht="30" x14ac:dyDescent="0.25">
      <c r="A2042" s="108">
        <v>52721</v>
      </c>
      <c r="B2042" s="108" t="s">
        <v>14249</v>
      </c>
      <c r="C2042" s="108">
        <v>15.7</v>
      </c>
    </row>
    <row r="2043" spans="1:3" x14ac:dyDescent="0.25">
      <c r="A2043" s="108">
        <v>52722</v>
      </c>
      <c r="B2043" s="108" t="s">
        <v>14250</v>
      </c>
      <c r="C2043" s="108">
        <v>724</v>
      </c>
    </row>
    <row r="2044" spans="1:3" ht="30" x14ac:dyDescent="0.25">
      <c r="A2044" s="108">
        <v>52728</v>
      </c>
      <c r="B2044" s="108" t="s">
        <v>14251</v>
      </c>
      <c r="C2044" s="108">
        <v>43.5</v>
      </c>
    </row>
    <row r="2045" spans="1:3" x14ac:dyDescent="0.25">
      <c r="A2045" s="108">
        <v>52729</v>
      </c>
      <c r="B2045" s="108" t="s">
        <v>3138</v>
      </c>
      <c r="C2045" s="108">
        <v>38</v>
      </c>
    </row>
    <row r="2046" spans="1:3" x14ac:dyDescent="0.25">
      <c r="A2046" s="108">
        <v>52742</v>
      </c>
      <c r="B2046" s="108" t="s">
        <v>3139</v>
      </c>
      <c r="C2046" s="108">
        <v>12.5</v>
      </c>
    </row>
    <row r="2047" spans="1:3" ht="30" x14ac:dyDescent="0.25">
      <c r="A2047" s="108">
        <v>52745</v>
      </c>
      <c r="B2047" s="108" t="s">
        <v>3140</v>
      </c>
      <c r="C2047" s="108">
        <v>39</v>
      </c>
    </row>
    <row r="2048" spans="1:3" x14ac:dyDescent="0.25">
      <c r="A2048" s="108">
        <v>52746</v>
      </c>
      <c r="B2048" s="108" t="s">
        <v>3141</v>
      </c>
      <c r="C2048" s="108">
        <v>175</v>
      </c>
    </row>
    <row r="2049" spans="1:3" x14ac:dyDescent="0.25">
      <c r="A2049" s="108">
        <v>52747</v>
      </c>
      <c r="B2049" s="108" t="s">
        <v>16096</v>
      </c>
      <c r="C2049" s="108">
        <v>28</v>
      </c>
    </row>
    <row r="2050" spans="1:3" x14ac:dyDescent="0.25">
      <c r="A2050" s="108">
        <v>52748</v>
      </c>
      <c r="B2050" s="108" t="s">
        <v>16110</v>
      </c>
      <c r="C2050" s="108">
        <v>11</v>
      </c>
    </row>
    <row r="2051" spans="1:3" x14ac:dyDescent="0.25">
      <c r="A2051" s="108">
        <v>52749</v>
      </c>
      <c r="B2051" s="108" t="s">
        <v>16111</v>
      </c>
      <c r="C2051" s="108">
        <v>12</v>
      </c>
    </row>
    <row r="2052" spans="1:3" x14ac:dyDescent="0.25">
      <c r="A2052" s="108">
        <v>52750</v>
      </c>
      <c r="B2052" s="108" t="s">
        <v>16112</v>
      </c>
      <c r="C2052" s="108">
        <v>13</v>
      </c>
    </row>
    <row r="2053" spans="1:3" x14ac:dyDescent="0.25">
      <c r="A2053" s="108">
        <v>5277</v>
      </c>
      <c r="B2053" s="108" t="s">
        <v>2011</v>
      </c>
      <c r="C2053" s="108">
        <v>35</v>
      </c>
    </row>
    <row r="2054" spans="1:3" ht="30" x14ac:dyDescent="0.25">
      <c r="A2054" s="108">
        <v>5279</v>
      </c>
      <c r="B2054" s="108" t="s">
        <v>2012</v>
      </c>
      <c r="C2054" s="108">
        <v>40.619999999999997</v>
      </c>
    </row>
    <row r="2055" spans="1:3" ht="30" x14ac:dyDescent="0.25">
      <c r="A2055" s="108">
        <v>52860</v>
      </c>
      <c r="B2055" s="108" t="s">
        <v>14252</v>
      </c>
      <c r="C2055" s="108">
        <v>128</v>
      </c>
    </row>
    <row r="2056" spans="1:3" ht="30" x14ac:dyDescent="0.25">
      <c r="A2056" s="108">
        <v>52913</v>
      </c>
      <c r="B2056" s="108" t="s">
        <v>16098</v>
      </c>
      <c r="C2056" s="108">
        <v>35</v>
      </c>
    </row>
    <row r="2057" spans="1:3" x14ac:dyDescent="0.25">
      <c r="A2057" s="108">
        <v>52920</v>
      </c>
      <c r="B2057" s="108" t="s">
        <v>16113</v>
      </c>
      <c r="C2057" s="108">
        <v>230.45</v>
      </c>
    </row>
    <row r="2058" spans="1:3" ht="30" x14ac:dyDescent="0.25">
      <c r="A2058" s="108">
        <v>52921</v>
      </c>
      <c r="B2058" s="108" t="s">
        <v>16114</v>
      </c>
      <c r="C2058" s="108">
        <v>382.3</v>
      </c>
    </row>
    <row r="2059" spans="1:3" x14ac:dyDescent="0.25">
      <c r="A2059" s="108">
        <v>52922</v>
      </c>
      <c r="B2059" s="108" t="s">
        <v>16115</v>
      </c>
      <c r="C2059" s="108">
        <v>624</v>
      </c>
    </row>
    <row r="2060" spans="1:3" ht="30" x14ac:dyDescent="0.25">
      <c r="A2060" s="108">
        <v>52923</v>
      </c>
      <c r="B2060" s="108" t="s">
        <v>16116</v>
      </c>
      <c r="C2060" s="110">
        <v>7310</v>
      </c>
    </row>
    <row r="2061" spans="1:3" x14ac:dyDescent="0.25">
      <c r="A2061" s="108">
        <v>52924</v>
      </c>
      <c r="B2061" s="108" t="s">
        <v>16117</v>
      </c>
      <c r="C2061" s="110">
        <v>1080</v>
      </c>
    </row>
    <row r="2062" spans="1:3" x14ac:dyDescent="0.25">
      <c r="A2062" s="108">
        <v>52925</v>
      </c>
      <c r="B2062" s="108" t="s">
        <v>16118</v>
      </c>
      <c r="C2062" s="110">
        <v>1361</v>
      </c>
    </row>
    <row r="2063" spans="1:3" x14ac:dyDescent="0.25">
      <c r="A2063" s="108">
        <v>52926</v>
      </c>
      <c r="B2063" s="108" t="s">
        <v>16119</v>
      </c>
      <c r="C2063" s="108">
        <v>202</v>
      </c>
    </row>
    <row r="2064" spans="1:3" x14ac:dyDescent="0.25">
      <c r="A2064" s="108">
        <v>52927</v>
      </c>
      <c r="B2064" s="108" t="s">
        <v>16120</v>
      </c>
      <c r="C2064" s="108">
        <v>303</v>
      </c>
    </row>
    <row r="2065" spans="1:3" x14ac:dyDescent="0.25">
      <c r="A2065" s="108">
        <v>52933</v>
      </c>
      <c r="B2065" s="108" t="s">
        <v>16121</v>
      </c>
      <c r="C2065" s="108">
        <v>25</v>
      </c>
    </row>
    <row r="2066" spans="1:3" x14ac:dyDescent="0.25">
      <c r="A2066" s="108">
        <v>52934</v>
      </c>
      <c r="B2066" s="108" t="s">
        <v>16122</v>
      </c>
      <c r="C2066" s="108">
        <v>25</v>
      </c>
    </row>
    <row r="2067" spans="1:3" x14ac:dyDescent="0.25">
      <c r="A2067" s="108">
        <v>52935</v>
      </c>
      <c r="B2067" s="108" t="s">
        <v>16123</v>
      </c>
      <c r="C2067" s="108">
        <v>25</v>
      </c>
    </row>
    <row r="2068" spans="1:3" x14ac:dyDescent="0.25">
      <c r="A2068" s="108">
        <v>52936</v>
      </c>
      <c r="B2068" s="108" t="s">
        <v>16124</v>
      </c>
      <c r="C2068" s="108">
        <v>27</v>
      </c>
    </row>
    <row r="2069" spans="1:3" x14ac:dyDescent="0.25">
      <c r="A2069" s="108">
        <v>52937</v>
      </c>
      <c r="B2069" s="108" t="s">
        <v>16125</v>
      </c>
      <c r="C2069" s="108">
        <v>27</v>
      </c>
    </row>
    <row r="2070" spans="1:3" x14ac:dyDescent="0.25">
      <c r="A2070" s="108">
        <v>52938</v>
      </c>
      <c r="B2070" s="108" t="s">
        <v>16126</v>
      </c>
      <c r="C2070" s="108">
        <v>28</v>
      </c>
    </row>
    <row r="2071" spans="1:3" x14ac:dyDescent="0.25">
      <c r="A2071" s="108">
        <v>52939</v>
      </c>
      <c r="B2071" s="108" t="s">
        <v>16127</v>
      </c>
      <c r="C2071" s="108">
        <v>28</v>
      </c>
    </row>
    <row r="2072" spans="1:3" x14ac:dyDescent="0.25">
      <c r="A2072" s="108">
        <v>52940</v>
      </c>
      <c r="B2072" s="108" t="s">
        <v>16128</v>
      </c>
      <c r="C2072" s="108">
        <v>29</v>
      </c>
    </row>
    <row r="2073" spans="1:3" x14ac:dyDescent="0.25">
      <c r="A2073" s="108">
        <v>52941</v>
      </c>
      <c r="B2073" s="108" t="s">
        <v>16129</v>
      </c>
      <c r="C2073" s="108">
        <v>29</v>
      </c>
    </row>
    <row r="2074" spans="1:3" x14ac:dyDescent="0.25">
      <c r="A2074" s="108">
        <v>52942</v>
      </c>
      <c r="B2074" s="108" t="s">
        <v>16130</v>
      </c>
      <c r="C2074" s="108">
        <v>29</v>
      </c>
    </row>
    <row r="2075" spans="1:3" x14ac:dyDescent="0.25">
      <c r="A2075" s="108">
        <v>52943</v>
      </c>
      <c r="B2075" s="108" t="s">
        <v>16131</v>
      </c>
      <c r="C2075" s="108">
        <v>28</v>
      </c>
    </row>
    <row r="2076" spans="1:3" x14ac:dyDescent="0.25">
      <c r="A2076" s="108">
        <v>52945</v>
      </c>
      <c r="B2076" s="108" t="s">
        <v>16613</v>
      </c>
      <c r="C2076" s="108">
        <v>280</v>
      </c>
    </row>
    <row r="2077" spans="1:3" x14ac:dyDescent="0.25">
      <c r="A2077" s="108">
        <v>52946</v>
      </c>
      <c r="B2077" s="108" t="s">
        <v>16614</v>
      </c>
      <c r="C2077" s="108">
        <v>412</v>
      </c>
    </row>
    <row r="2078" spans="1:3" x14ac:dyDescent="0.25">
      <c r="A2078" s="108">
        <v>52947</v>
      </c>
      <c r="B2078" s="108" t="s">
        <v>16615</v>
      </c>
      <c r="C2078" s="108">
        <v>280</v>
      </c>
    </row>
    <row r="2079" spans="1:3" x14ac:dyDescent="0.25">
      <c r="A2079" s="108">
        <v>52948</v>
      </c>
      <c r="B2079" s="108" t="s">
        <v>16616</v>
      </c>
      <c r="C2079" s="108">
        <v>140</v>
      </c>
    </row>
    <row r="2080" spans="1:3" x14ac:dyDescent="0.25">
      <c r="A2080" s="108">
        <v>52949</v>
      </c>
      <c r="B2080" s="108" t="s">
        <v>16617</v>
      </c>
      <c r="C2080" s="108">
        <v>112</v>
      </c>
    </row>
    <row r="2081" spans="1:3" x14ac:dyDescent="0.25">
      <c r="A2081" s="108">
        <v>52950</v>
      </c>
      <c r="B2081" s="108" t="s">
        <v>16618</v>
      </c>
      <c r="C2081" s="108">
        <v>115</v>
      </c>
    </row>
    <row r="2082" spans="1:3" x14ac:dyDescent="0.25">
      <c r="A2082" s="108">
        <v>52951</v>
      </c>
      <c r="B2082" s="108" t="s">
        <v>16619</v>
      </c>
      <c r="C2082" s="108">
        <v>12</v>
      </c>
    </row>
    <row r="2083" spans="1:3" x14ac:dyDescent="0.25">
      <c r="A2083" s="108">
        <v>5301</v>
      </c>
      <c r="B2083" s="108" t="s">
        <v>2013</v>
      </c>
      <c r="C2083" s="108">
        <v>291</v>
      </c>
    </row>
    <row r="2084" spans="1:3" x14ac:dyDescent="0.25">
      <c r="A2084" s="108">
        <v>5303</v>
      </c>
      <c r="B2084" s="108" t="s">
        <v>2014</v>
      </c>
      <c r="C2084" s="108">
        <v>315</v>
      </c>
    </row>
    <row r="2085" spans="1:3" x14ac:dyDescent="0.25">
      <c r="A2085" s="108">
        <v>5306</v>
      </c>
      <c r="B2085" s="108" t="s">
        <v>2015</v>
      </c>
      <c r="C2085" s="108">
        <v>115</v>
      </c>
    </row>
    <row r="2086" spans="1:3" x14ac:dyDescent="0.25">
      <c r="A2086" s="108">
        <v>5307</v>
      </c>
      <c r="B2086" s="108" t="s">
        <v>2016</v>
      </c>
      <c r="C2086" s="108">
        <v>101.66</v>
      </c>
    </row>
    <row r="2087" spans="1:3" x14ac:dyDescent="0.25">
      <c r="A2087" s="108">
        <v>5308</v>
      </c>
      <c r="B2087" s="108" t="s">
        <v>2017</v>
      </c>
      <c r="C2087" s="108">
        <v>782</v>
      </c>
    </row>
    <row r="2088" spans="1:3" x14ac:dyDescent="0.25">
      <c r="A2088" s="108">
        <v>5309</v>
      </c>
      <c r="B2088" s="108" t="s">
        <v>2018</v>
      </c>
      <c r="C2088" s="108">
        <v>180</v>
      </c>
    </row>
    <row r="2089" spans="1:3" x14ac:dyDescent="0.25">
      <c r="A2089" s="108">
        <v>5318</v>
      </c>
      <c r="B2089" s="108" t="s">
        <v>2019</v>
      </c>
      <c r="C2089" s="108">
        <v>22.99</v>
      </c>
    </row>
    <row r="2090" spans="1:3" x14ac:dyDescent="0.25">
      <c r="A2090" s="108">
        <v>5320</v>
      </c>
      <c r="B2090" s="108" t="s">
        <v>2020</v>
      </c>
      <c r="C2090" s="108">
        <v>18.75</v>
      </c>
    </row>
    <row r="2091" spans="1:3" x14ac:dyDescent="0.25">
      <c r="A2091" s="108">
        <v>5322</v>
      </c>
      <c r="B2091" s="108" t="s">
        <v>2021</v>
      </c>
      <c r="C2091" s="108">
        <v>7.2</v>
      </c>
    </row>
    <row r="2092" spans="1:3" x14ac:dyDescent="0.25">
      <c r="A2092" s="108">
        <v>5323</v>
      </c>
      <c r="B2092" s="108" t="s">
        <v>2022</v>
      </c>
      <c r="C2092" s="108">
        <v>10.92</v>
      </c>
    </row>
    <row r="2093" spans="1:3" x14ac:dyDescent="0.25">
      <c r="A2093" s="108">
        <v>5324</v>
      </c>
      <c r="B2093" s="108" t="s">
        <v>2023</v>
      </c>
      <c r="C2093" s="108">
        <v>49.5</v>
      </c>
    </row>
    <row r="2094" spans="1:3" x14ac:dyDescent="0.25">
      <c r="A2094" s="108">
        <v>5325</v>
      </c>
      <c r="B2094" s="108" t="s">
        <v>2024</v>
      </c>
      <c r="C2094" s="108">
        <v>79</v>
      </c>
    </row>
    <row r="2095" spans="1:3" x14ac:dyDescent="0.25">
      <c r="A2095" s="108">
        <v>5339</v>
      </c>
      <c r="B2095" s="108" t="s">
        <v>2025</v>
      </c>
      <c r="C2095" s="108">
        <v>3.5</v>
      </c>
    </row>
    <row r="2096" spans="1:3" x14ac:dyDescent="0.25">
      <c r="A2096" s="108">
        <v>5340</v>
      </c>
      <c r="B2096" s="108" t="s">
        <v>2026</v>
      </c>
      <c r="C2096" s="108">
        <v>2.78</v>
      </c>
    </row>
    <row r="2097" spans="1:3" x14ac:dyDescent="0.25">
      <c r="A2097" s="108">
        <v>5341</v>
      </c>
      <c r="B2097" s="108" t="s">
        <v>2027</v>
      </c>
      <c r="C2097" s="108">
        <v>2.78</v>
      </c>
    </row>
    <row r="2098" spans="1:3" x14ac:dyDescent="0.25">
      <c r="A2098" s="108">
        <v>5342</v>
      </c>
      <c r="B2098" s="108" t="s">
        <v>2028</v>
      </c>
      <c r="C2098" s="108">
        <v>2.8</v>
      </c>
    </row>
    <row r="2099" spans="1:3" x14ac:dyDescent="0.25">
      <c r="A2099" s="108">
        <v>5343</v>
      </c>
      <c r="B2099" s="108" t="s">
        <v>2029</v>
      </c>
      <c r="C2099" s="108">
        <v>2.5499999999999998</v>
      </c>
    </row>
    <row r="2100" spans="1:3" x14ac:dyDescent="0.25">
      <c r="A2100" s="108">
        <v>5344</v>
      </c>
      <c r="B2100" s="108" t="s">
        <v>2030</v>
      </c>
      <c r="C2100" s="108">
        <v>3</v>
      </c>
    </row>
    <row r="2101" spans="1:3" x14ac:dyDescent="0.25">
      <c r="A2101" s="108">
        <v>5345</v>
      </c>
      <c r="B2101" s="108" t="s">
        <v>2031</v>
      </c>
      <c r="C2101" s="108">
        <v>11.04</v>
      </c>
    </row>
    <row r="2102" spans="1:3" x14ac:dyDescent="0.25">
      <c r="A2102" s="108">
        <v>5346</v>
      </c>
      <c r="B2102" s="108" t="s">
        <v>2032</v>
      </c>
      <c r="C2102" s="108">
        <v>11</v>
      </c>
    </row>
    <row r="2103" spans="1:3" x14ac:dyDescent="0.25">
      <c r="A2103" s="108">
        <v>5347</v>
      </c>
      <c r="B2103" s="108" t="s">
        <v>2033</v>
      </c>
      <c r="C2103" s="108">
        <v>11.5</v>
      </c>
    </row>
    <row r="2104" spans="1:3" x14ac:dyDescent="0.25">
      <c r="A2104" s="108">
        <v>5348</v>
      </c>
      <c r="B2104" s="108" t="s">
        <v>2034</v>
      </c>
      <c r="C2104" s="108">
        <v>11</v>
      </c>
    </row>
    <row r="2105" spans="1:3" x14ac:dyDescent="0.25">
      <c r="A2105" s="108">
        <v>5349</v>
      </c>
      <c r="B2105" s="108" t="s">
        <v>2035</v>
      </c>
      <c r="C2105" s="108">
        <v>10.98</v>
      </c>
    </row>
    <row r="2106" spans="1:3" x14ac:dyDescent="0.25">
      <c r="A2106" s="108">
        <v>5350</v>
      </c>
      <c r="B2106" s="108" t="s">
        <v>2036</v>
      </c>
      <c r="C2106" s="108">
        <v>11</v>
      </c>
    </row>
    <row r="2107" spans="1:3" x14ac:dyDescent="0.25">
      <c r="A2107" s="108">
        <v>5351</v>
      </c>
      <c r="B2107" s="108" t="s">
        <v>2037</v>
      </c>
      <c r="C2107" s="108">
        <v>10.3</v>
      </c>
    </row>
    <row r="2108" spans="1:3" x14ac:dyDescent="0.25">
      <c r="A2108" s="108">
        <v>5352</v>
      </c>
      <c r="B2108" s="108" t="s">
        <v>2038</v>
      </c>
      <c r="C2108" s="108">
        <v>11.04</v>
      </c>
    </row>
    <row r="2109" spans="1:3" x14ac:dyDescent="0.25">
      <c r="A2109" s="108">
        <v>5353</v>
      </c>
      <c r="B2109" s="108" t="s">
        <v>2039</v>
      </c>
      <c r="C2109" s="108">
        <v>10.96</v>
      </c>
    </row>
    <row r="2110" spans="1:3" x14ac:dyDescent="0.25">
      <c r="A2110" s="108">
        <v>5354</v>
      </c>
      <c r="B2110" s="108" t="s">
        <v>2040</v>
      </c>
      <c r="C2110" s="108">
        <v>11.04</v>
      </c>
    </row>
    <row r="2111" spans="1:3" x14ac:dyDescent="0.25">
      <c r="A2111" s="108">
        <v>5355</v>
      </c>
      <c r="B2111" s="108" t="s">
        <v>2041</v>
      </c>
      <c r="C2111" s="108">
        <v>45.68</v>
      </c>
    </row>
    <row r="2112" spans="1:3" x14ac:dyDescent="0.25">
      <c r="A2112" s="108">
        <v>5356</v>
      </c>
      <c r="B2112" s="108" t="s">
        <v>2042</v>
      </c>
      <c r="C2112" s="108">
        <v>46</v>
      </c>
    </row>
    <row r="2113" spans="1:3" x14ac:dyDescent="0.25">
      <c r="A2113" s="108">
        <v>5357</v>
      </c>
      <c r="B2113" s="108" t="s">
        <v>2043</v>
      </c>
      <c r="C2113" s="108">
        <v>45.05</v>
      </c>
    </row>
    <row r="2114" spans="1:3" x14ac:dyDescent="0.25">
      <c r="A2114" s="108">
        <v>5358</v>
      </c>
      <c r="B2114" s="108" t="s">
        <v>2044</v>
      </c>
      <c r="C2114" s="108">
        <v>46.47</v>
      </c>
    </row>
    <row r="2115" spans="1:3" x14ac:dyDescent="0.25">
      <c r="A2115" s="108">
        <v>5359</v>
      </c>
      <c r="B2115" s="108" t="s">
        <v>2045</v>
      </c>
      <c r="C2115" s="108">
        <v>45.62</v>
      </c>
    </row>
    <row r="2116" spans="1:3" x14ac:dyDescent="0.25">
      <c r="A2116" s="108">
        <v>5365</v>
      </c>
      <c r="B2116" s="108" t="s">
        <v>2046</v>
      </c>
      <c r="C2116" s="108">
        <v>46.03</v>
      </c>
    </row>
    <row r="2117" spans="1:3" x14ac:dyDescent="0.25">
      <c r="A2117" s="108">
        <v>5371</v>
      </c>
      <c r="B2117" s="108" t="s">
        <v>2047</v>
      </c>
      <c r="C2117" s="108">
        <v>396</v>
      </c>
    </row>
    <row r="2118" spans="1:3" x14ac:dyDescent="0.25">
      <c r="A2118" s="108">
        <v>5374</v>
      </c>
      <c r="B2118" s="108" t="s">
        <v>2048</v>
      </c>
      <c r="C2118" s="108">
        <v>50</v>
      </c>
    </row>
    <row r="2119" spans="1:3" x14ac:dyDescent="0.25">
      <c r="A2119" s="108">
        <v>5375</v>
      </c>
      <c r="B2119" s="108" t="s">
        <v>2049</v>
      </c>
      <c r="C2119" s="108">
        <v>54.2</v>
      </c>
    </row>
    <row r="2120" spans="1:3" x14ac:dyDescent="0.25">
      <c r="A2120" s="108">
        <v>5376</v>
      </c>
      <c r="B2120" s="108" t="s">
        <v>2050</v>
      </c>
      <c r="C2120" s="108">
        <v>50</v>
      </c>
    </row>
    <row r="2121" spans="1:3" x14ac:dyDescent="0.25">
      <c r="A2121" s="108">
        <v>5377</v>
      </c>
      <c r="B2121" s="108" t="s">
        <v>2051</v>
      </c>
      <c r="C2121" s="108">
        <v>50</v>
      </c>
    </row>
    <row r="2122" spans="1:3" x14ac:dyDescent="0.25">
      <c r="A2122" s="108">
        <v>5379</v>
      </c>
      <c r="B2122" s="108" t="s">
        <v>2052</v>
      </c>
      <c r="C2122" s="108">
        <v>50</v>
      </c>
    </row>
    <row r="2123" spans="1:3" x14ac:dyDescent="0.25">
      <c r="A2123" s="108">
        <v>5380</v>
      </c>
      <c r="B2123" s="108" t="s">
        <v>2053</v>
      </c>
      <c r="C2123" s="108">
        <v>50</v>
      </c>
    </row>
    <row r="2124" spans="1:3" x14ac:dyDescent="0.25">
      <c r="A2124" s="108">
        <v>5385</v>
      </c>
      <c r="B2124" s="108" t="s">
        <v>2054</v>
      </c>
      <c r="C2124" s="108">
        <v>115</v>
      </c>
    </row>
    <row r="2125" spans="1:3" x14ac:dyDescent="0.25">
      <c r="A2125" s="108">
        <v>5390</v>
      </c>
      <c r="B2125" s="108" t="s">
        <v>2055</v>
      </c>
      <c r="C2125" s="108">
        <v>48.05</v>
      </c>
    </row>
    <row r="2126" spans="1:3" x14ac:dyDescent="0.25">
      <c r="A2126" s="108">
        <v>5421</v>
      </c>
      <c r="B2126" s="108" t="s">
        <v>2056</v>
      </c>
      <c r="C2126" s="108">
        <v>7.8</v>
      </c>
    </row>
    <row r="2127" spans="1:3" x14ac:dyDescent="0.25">
      <c r="A2127" s="108">
        <v>5430</v>
      </c>
      <c r="B2127" s="108" t="s">
        <v>2057</v>
      </c>
      <c r="C2127" s="108">
        <v>7.45</v>
      </c>
    </row>
    <row r="2128" spans="1:3" x14ac:dyDescent="0.25">
      <c r="A2128" s="108">
        <v>5433</v>
      </c>
      <c r="B2128" s="108" t="s">
        <v>2058</v>
      </c>
      <c r="C2128" s="108">
        <v>6.42</v>
      </c>
    </row>
    <row r="2129" spans="1:3" x14ac:dyDescent="0.25">
      <c r="A2129" s="108">
        <v>5458</v>
      </c>
      <c r="B2129" s="108" t="s">
        <v>2059</v>
      </c>
      <c r="C2129" s="108">
        <v>7</v>
      </c>
    </row>
    <row r="2130" spans="1:3" x14ac:dyDescent="0.25">
      <c r="A2130" s="108">
        <v>5466</v>
      </c>
      <c r="B2130" s="108" t="s">
        <v>2060</v>
      </c>
      <c r="C2130" s="108">
        <v>54.4</v>
      </c>
    </row>
    <row r="2131" spans="1:3" x14ac:dyDescent="0.25">
      <c r="A2131" s="108">
        <v>5471</v>
      </c>
      <c r="B2131" s="108" t="s">
        <v>2061</v>
      </c>
      <c r="C2131" s="108">
        <v>9.8000000000000007</v>
      </c>
    </row>
    <row r="2132" spans="1:3" x14ac:dyDescent="0.25">
      <c r="A2132" s="108">
        <v>5484</v>
      </c>
      <c r="B2132" s="108" t="s">
        <v>2062</v>
      </c>
      <c r="C2132" s="108">
        <v>3</v>
      </c>
    </row>
    <row r="2133" spans="1:3" x14ac:dyDescent="0.25">
      <c r="A2133" s="108">
        <v>5486</v>
      </c>
      <c r="B2133" s="108" t="s">
        <v>2063</v>
      </c>
      <c r="C2133" s="108">
        <v>2.5</v>
      </c>
    </row>
    <row r="2134" spans="1:3" x14ac:dyDescent="0.25">
      <c r="A2134" s="108">
        <v>5488</v>
      </c>
      <c r="B2134" s="108" t="s">
        <v>2064</v>
      </c>
      <c r="C2134" s="108">
        <v>3.9</v>
      </c>
    </row>
    <row r="2135" spans="1:3" x14ac:dyDescent="0.25">
      <c r="A2135" s="108">
        <v>5489</v>
      </c>
      <c r="B2135" s="108" t="s">
        <v>2065</v>
      </c>
      <c r="C2135" s="108">
        <v>0.8</v>
      </c>
    </row>
    <row r="2136" spans="1:3" x14ac:dyDescent="0.25">
      <c r="A2136" s="108">
        <v>5491</v>
      </c>
      <c r="B2136" s="108" t="s">
        <v>2066</v>
      </c>
      <c r="C2136" s="108">
        <v>2.4</v>
      </c>
    </row>
    <row r="2137" spans="1:3" x14ac:dyDescent="0.25">
      <c r="A2137" s="108">
        <v>5492</v>
      </c>
      <c r="B2137" s="108" t="s">
        <v>2067</v>
      </c>
      <c r="C2137" s="108">
        <v>2.2999999999999998</v>
      </c>
    </row>
    <row r="2138" spans="1:3" x14ac:dyDescent="0.25">
      <c r="A2138" s="108">
        <v>5499</v>
      </c>
      <c r="B2138" s="108" t="s">
        <v>2068</v>
      </c>
      <c r="C2138" s="108">
        <v>32</v>
      </c>
    </row>
    <row r="2139" spans="1:3" x14ac:dyDescent="0.25">
      <c r="A2139" s="108">
        <v>5511</v>
      </c>
      <c r="B2139" s="108" t="s">
        <v>2069</v>
      </c>
      <c r="C2139" s="108">
        <v>13</v>
      </c>
    </row>
    <row r="2140" spans="1:3" x14ac:dyDescent="0.25">
      <c r="A2140" s="108">
        <v>5514</v>
      </c>
      <c r="B2140" s="108" t="s">
        <v>2070</v>
      </c>
      <c r="C2140" s="108">
        <v>30</v>
      </c>
    </row>
    <row r="2141" spans="1:3" x14ac:dyDescent="0.25">
      <c r="A2141" s="108">
        <v>5523</v>
      </c>
      <c r="B2141" s="108" t="s">
        <v>2071</v>
      </c>
      <c r="C2141" s="108">
        <v>8</v>
      </c>
    </row>
    <row r="2142" spans="1:3" x14ac:dyDescent="0.25">
      <c r="A2142" s="108">
        <v>5531</v>
      </c>
      <c r="B2142" s="108" t="s">
        <v>2072</v>
      </c>
      <c r="C2142" s="108">
        <v>10.7</v>
      </c>
    </row>
    <row r="2143" spans="1:3" x14ac:dyDescent="0.25">
      <c r="A2143" s="108">
        <v>5536</v>
      </c>
      <c r="B2143" s="108" t="s">
        <v>2073</v>
      </c>
      <c r="C2143" s="108">
        <v>344</v>
      </c>
    </row>
    <row r="2144" spans="1:3" x14ac:dyDescent="0.25">
      <c r="A2144" s="108">
        <v>5548</v>
      </c>
      <c r="B2144" s="108" t="s">
        <v>2074</v>
      </c>
      <c r="C2144" s="108">
        <v>514.78</v>
      </c>
    </row>
    <row r="2145" spans="1:3" x14ac:dyDescent="0.25">
      <c r="A2145" s="108">
        <v>5550</v>
      </c>
      <c r="B2145" s="108" t="s">
        <v>2075</v>
      </c>
      <c r="C2145" s="108">
        <v>758</v>
      </c>
    </row>
    <row r="2146" spans="1:3" x14ac:dyDescent="0.25">
      <c r="A2146" s="108">
        <v>5559</v>
      </c>
      <c r="B2146" s="108" t="s">
        <v>2076</v>
      </c>
      <c r="C2146" s="108">
        <v>23</v>
      </c>
    </row>
    <row r="2147" spans="1:3" x14ac:dyDescent="0.25">
      <c r="A2147" s="108">
        <v>5561</v>
      </c>
      <c r="B2147" s="108" t="s">
        <v>2077</v>
      </c>
      <c r="C2147" s="108">
        <v>0.9</v>
      </c>
    </row>
    <row r="2148" spans="1:3" x14ac:dyDescent="0.25">
      <c r="A2148" s="108">
        <v>5562</v>
      </c>
      <c r="B2148" s="108" t="s">
        <v>2078</v>
      </c>
      <c r="C2148" s="108">
        <v>0.9</v>
      </c>
    </row>
    <row r="2149" spans="1:3" x14ac:dyDescent="0.25">
      <c r="A2149" s="108">
        <v>5563</v>
      </c>
      <c r="B2149" s="108" t="s">
        <v>2079</v>
      </c>
      <c r="C2149" s="108">
        <v>0.9</v>
      </c>
    </row>
    <row r="2150" spans="1:3" x14ac:dyDescent="0.25">
      <c r="A2150" s="108">
        <v>5566</v>
      </c>
      <c r="B2150" s="108" t="s">
        <v>2080</v>
      </c>
      <c r="C2150" s="108">
        <v>341.2</v>
      </c>
    </row>
    <row r="2151" spans="1:3" x14ac:dyDescent="0.25">
      <c r="A2151" s="108">
        <v>5570</v>
      </c>
      <c r="B2151" s="108" t="s">
        <v>2081</v>
      </c>
      <c r="C2151" s="108">
        <v>29</v>
      </c>
    </row>
    <row r="2152" spans="1:3" x14ac:dyDescent="0.25">
      <c r="A2152" s="108">
        <v>5578</v>
      </c>
      <c r="B2152" s="108" t="s">
        <v>2082</v>
      </c>
      <c r="C2152" s="108">
        <v>9.9</v>
      </c>
    </row>
    <row r="2153" spans="1:3" x14ac:dyDescent="0.25">
      <c r="A2153" s="108">
        <v>5580</v>
      </c>
      <c r="B2153" s="108" t="s">
        <v>2083</v>
      </c>
      <c r="C2153" s="108">
        <v>3.5</v>
      </c>
    </row>
    <row r="2154" spans="1:3" x14ac:dyDescent="0.25">
      <c r="A2154" s="108">
        <v>5581</v>
      </c>
      <c r="B2154" s="108" t="s">
        <v>2084</v>
      </c>
      <c r="C2154" s="108">
        <v>3.5</v>
      </c>
    </row>
    <row r="2155" spans="1:3" x14ac:dyDescent="0.25">
      <c r="A2155" s="108">
        <v>5584</v>
      </c>
      <c r="B2155" s="108" t="s">
        <v>2085</v>
      </c>
      <c r="C2155" s="108">
        <v>26</v>
      </c>
    </row>
    <row r="2156" spans="1:3" x14ac:dyDescent="0.25">
      <c r="A2156" s="108">
        <v>5594</v>
      </c>
      <c r="B2156" s="108" t="s">
        <v>2086</v>
      </c>
      <c r="C2156" s="108">
        <v>7</v>
      </c>
    </row>
    <row r="2157" spans="1:3" x14ac:dyDescent="0.25">
      <c r="A2157" s="108">
        <v>5604</v>
      </c>
      <c r="B2157" s="108" t="s">
        <v>2087</v>
      </c>
      <c r="C2157" s="108">
        <v>26</v>
      </c>
    </row>
    <row r="2158" spans="1:3" x14ac:dyDescent="0.25">
      <c r="A2158" s="108">
        <v>5605</v>
      </c>
      <c r="B2158" s="108" t="s">
        <v>2088</v>
      </c>
      <c r="C2158" s="108">
        <v>1.38</v>
      </c>
    </row>
    <row r="2159" spans="1:3" x14ac:dyDescent="0.25">
      <c r="A2159" s="108">
        <v>5607</v>
      </c>
      <c r="B2159" s="108" t="s">
        <v>2089</v>
      </c>
      <c r="C2159" s="108">
        <v>4.5</v>
      </c>
    </row>
    <row r="2160" spans="1:3" x14ac:dyDescent="0.25">
      <c r="A2160" s="108">
        <v>5642</v>
      </c>
      <c r="B2160" s="108" t="s">
        <v>2090</v>
      </c>
      <c r="C2160" s="108">
        <v>1.35</v>
      </c>
    </row>
    <row r="2161" spans="1:3" x14ac:dyDescent="0.25">
      <c r="A2161" s="108">
        <v>5646</v>
      </c>
      <c r="B2161" s="108" t="s">
        <v>2091</v>
      </c>
      <c r="C2161" s="108">
        <v>90</v>
      </c>
    </row>
    <row r="2162" spans="1:3" x14ac:dyDescent="0.25">
      <c r="A2162" s="108">
        <v>5654</v>
      </c>
      <c r="B2162" s="108" t="s">
        <v>2092</v>
      </c>
      <c r="C2162" s="108">
        <v>27.5</v>
      </c>
    </row>
    <row r="2163" spans="1:3" x14ac:dyDescent="0.25">
      <c r="A2163" s="108">
        <v>5655</v>
      </c>
      <c r="B2163" s="108" t="s">
        <v>2093</v>
      </c>
      <c r="C2163" s="108">
        <v>73.5</v>
      </c>
    </row>
    <row r="2164" spans="1:3" x14ac:dyDescent="0.25">
      <c r="A2164" s="108">
        <v>5670</v>
      </c>
      <c r="B2164" s="108" t="s">
        <v>2094</v>
      </c>
      <c r="C2164" s="108">
        <v>21</v>
      </c>
    </row>
    <row r="2165" spans="1:3" x14ac:dyDescent="0.25">
      <c r="A2165" s="108">
        <v>5671</v>
      </c>
      <c r="B2165" s="108" t="s">
        <v>2095</v>
      </c>
      <c r="C2165" s="108">
        <v>21</v>
      </c>
    </row>
    <row r="2166" spans="1:3" x14ac:dyDescent="0.25">
      <c r="A2166" s="108">
        <v>5672</v>
      </c>
      <c r="B2166" s="108" t="s">
        <v>2096</v>
      </c>
      <c r="C2166" s="108">
        <v>1.02</v>
      </c>
    </row>
    <row r="2167" spans="1:3" x14ac:dyDescent="0.25">
      <c r="A2167" s="108">
        <v>5673</v>
      </c>
      <c r="B2167" s="108" t="s">
        <v>2097</v>
      </c>
      <c r="C2167" s="108">
        <v>3.16</v>
      </c>
    </row>
    <row r="2168" spans="1:3" x14ac:dyDescent="0.25">
      <c r="A2168" s="108">
        <v>5675</v>
      </c>
      <c r="B2168" s="108" t="s">
        <v>2098</v>
      </c>
      <c r="C2168" s="108">
        <v>220</v>
      </c>
    </row>
    <row r="2169" spans="1:3" x14ac:dyDescent="0.25">
      <c r="A2169" s="108">
        <v>5677</v>
      </c>
      <c r="B2169" s="108" t="s">
        <v>2099</v>
      </c>
      <c r="C2169" s="108">
        <v>32.17</v>
      </c>
    </row>
    <row r="2170" spans="1:3" x14ac:dyDescent="0.25">
      <c r="A2170" s="108">
        <v>5679</v>
      </c>
      <c r="B2170" s="108" t="s">
        <v>2100</v>
      </c>
      <c r="C2170" s="108">
        <v>5</v>
      </c>
    </row>
    <row r="2171" spans="1:3" x14ac:dyDescent="0.25">
      <c r="A2171" s="108">
        <v>5681</v>
      </c>
      <c r="B2171" s="108" t="s">
        <v>2101</v>
      </c>
      <c r="C2171" s="108">
        <v>21.62</v>
      </c>
    </row>
    <row r="2172" spans="1:3" x14ac:dyDescent="0.25">
      <c r="A2172" s="108">
        <v>5708</v>
      </c>
      <c r="B2172" s="108" t="s">
        <v>2102</v>
      </c>
      <c r="C2172" s="108">
        <v>109.18</v>
      </c>
    </row>
    <row r="2173" spans="1:3" x14ac:dyDescent="0.25">
      <c r="A2173" s="108">
        <v>5710</v>
      </c>
      <c r="B2173" s="108" t="s">
        <v>2103</v>
      </c>
      <c r="C2173" s="108">
        <v>12</v>
      </c>
    </row>
    <row r="2174" spans="1:3" x14ac:dyDescent="0.25">
      <c r="A2174" s="108">
        <v>5711</v>
      </c>
      <c r="B2174" s="108" t="s">
        <v>2104</v>
      </c>
      <c r="C2174" s="108">
        <v>41</v>
      </c>
    </row>
    <row r="2175" spans="1:3" x14ac:dyDescent="0.25">
      <c r="A2175" s="108">
        <v>5742</v>
      </c>
      <c r="B2175" s="108" t="s">
        <v>2105</v>
      </c>
      <c r="C2175" s="108">
        <v>2</v>
      </c>
    </row>
    <row r="2176" spans="1:3" x14ac:dyDescent="0.25">
      <c r="A2176" s="108">
        <v>5767</v>
      </c>
      <c r="B2176" s="108" t="s">
        <v>2106</v>
      </c>
      <c r="C2176" s="108">
        <v>66.5</v>
      </c>
    </row>
    <row r="2177" spans="1:3" x14ac:dyDescent="0.25">
      <c r="A2177" s="108">
        <v>5768</v>
      </c>
      <c r="B2177" s="108" t="s">
        <v>2107</v>
      </c>
      <c r="C2177" s="108">
        <v>2.76</v>
      </c>
    </row>
    <row r="2178" spans="1:3" x14ac:dyDescent="0.25">
      <c r="A2178" s="108">
        <v>5778</v>
      </c>
      <c r="B2178" s="108" t="s">
        <v>2108</v>
      </c>
      <c r="C2178" s="108">
        <v>2.8</v>
      </c>
    </row>
    <row r="2179" spans="1:3" x14ac:dyDescent="0.25">
      <c r="A2179" s="108">
        <v>5779</v>
      </c>
      <c r="B2179" s="108" t="s">
        <v>2109</v>
      </c>
      <c r="C2179" s="108">
        <v>4.8499999999999996</v>
      </c>
    </row>
    <row r="2180" spans="1:3" x14ac:dyDescent="0.25">
      <c r="A2180" s="108">
        <v>5780</v>
      </c>
      <c r="B2180" s="108" t="s">
        <v>2110</v>
      </c>
      <c r="C2180" s="108">
        <v>10.92</v>
      </c>
    </row>
    <row r="2181" spans="1:3" x14ac:dyDescent="0.25">
      <c r="A2181" s="108">
        <v>5792</v>
      </c>
      <c r="B2181" s="108" t="s">
        <v>2111</v>
      </c>
      <c r="C2181" s="108">
        <v>5.54</v>
      </c>
    </row>
    <row r="2182" spans="1:3" x14ac:dyDescent="0.25">
      <c r="A2182" s="108">
        <v>5796</v>
      </c>
      <c r="B2182" s="108" t="s">
        <v>2112</v>
      </c>
      <c r="C2182" s="108">
        <v>683.9</v>
      </c>
    </row>
    <row r="2183" spans="1:3" x14ac:dyDescent="0.25">
      <c r="A2183" s="108">
        <v>5809</v>
      </c>
      <c r="B2183" s="108" t="s">
        <v>2113</v>
      </c>
      <c r="C2183" s="108">
        <v>1</v>
      </c>
    </row>
    <row r="2184" spans="1:3" x14ac:dyDescent="0.25">
      <c r="A2184" s="108">
        <v>5817</v>
      </c>
      <c r="B2184" s="108" t="s">
        <v>2114</v>
      </c>
      <c r="C2184" s="108">
        <v>683.67</v>
      </c>
    </row>
    <row r="2185" spans="1:3" x14ac:dyDescent="0.25">
      <c r="A2185" s="108">
        <v>5819</v>
      </c>
      <c r="B2185" s="108" t="s">
        <v>2115</v>
      </c>
      <c r="C2185" s="108">
        <v>946</v>
      </c>
    </row>
    <row r="2186" spans="1:3" x14ac:dyDescent="0.25">
      <c r="A2186" s="108">
        <v>5820</v>
      </c>
      <c r="B2186" s="108" t="s">
        <v>2116</v>
      </c>
      <c r="C2186" s="109">
        <v>1627.59</v>
      </c>
    </row>
    <row r="2187" spans="1:3" x14ac:dyDescent="0.25">
      <c r="A2187" s="108">
        <v>5822</v>
      </c>
      <c r="B2187" s="108" t="s">
        <v>2117</v>
      </c>
      <c r="C2187" s="108">
        <v>78.3</v>
      </c>
    </row>
    <row r="2188" spans="1:3" x14ac:dyDescent="0.25">
      <c r="A2188" s="108">
        <v>5835</v>
      </c>
      <c r="B2188" s="108" t="s">
        <v>2118</v>
      </c>
      <c r="C2188" s="108">
        <v>1.5</v>
      </c>
    </row>
    <row r="2189" spans="1:3" x14ac:dyDescent="0.25">
      <c r="A2189" s="108">
        <v>5845</v>
      </c>
      <c r="B2189" s="108" t="s">
        <v>2119</v>
      </c>
      <c r="C2189" s="108">
        <v>4.09</v>
      </c>
    </row>
    <row r="2190" spans="1:3" x14ac:dyDescent="0.25">
      <c r="A2190" s="108">
        <v>5851</v>
      </c>
      <c r="B2190" s="108" t="s">
        <v>2120</v>
      </c>
      <c r="C2190" s="108">
        <v>4</v>
      </c>
    </row>
    <row r="2191" spans="1:3" x14ac:dyDescent="0.25">
      <c r="A2191" s="108">
        <v>5855</v>
      </c>
      <c r="B2191" s="108" t="s">
        <v>2121</v>
      </c>
      <c r="C2191" s="108">
        <v>3.5</v>
      </c>
    </row>
    <row r="2192" spans="1:3" x14ac:dyDescent="0.25">
      <c r="A2192" s="108">
        <v>5901</v>
      </c>
      <c r="B2192" s="108" t="s">
        <v>2122</v>
      </c>
      <c r="C2192" s="108">
        <v>80</v>
      </c>
    </row>
    <row r="2193" spans="1:3" x14ac:dyDescent="0.25">
      <c r="A2193" s="108">
        <v>5910</v>
      </c>
      <c r="B2193" s="108" t="s">
        <v>2123</v>
      </c>
      <c r="C2193" s="108">
        <v>32.29</v>
      </c>
    </row>
    <row r="2194" spans="1:3" x14ac:dyDescent="0.25">
      <c r="A2194" s="108">
        <v>5922</v>
      </c>
      <c r="B2194" s="108" t="s">
        <v>2124</v>
      </c>
      <c r="C2194" s="108">
        <v>1.95</v>
      </c>
    </row>
    <row r="2195" spans="1:3" x14ac:dyDescent="0.25">
      <c r="A2195" s="108">
        <v>5932</v>
      </c>
      <c r="B2195" s="108" t="s">
        <v>2125</v>
      </c>
      <c r="C2195" s="108">
        <v>18.48</v>
      </c>
    </row>
    <row r="2196" spans="1:3" x14ac:dyDescent="0.25">
      <c r="A2196" s="108">
        <v>5934</v>
      </c>
      <c r="B2196" s="108" t="s">
        <v>2126</v>
      </c>
      <c r="C2196" s="108">
        <v>90</v>
      </c>
    </row>
    <row r="2197" spans="1:3" x14ac:dyDescent="0.25">
      <c r="A2197" s="108">
        <v>5942</v>
      </c>
      <c r="B2197" s="108" t="s">
        <v>2127</v>
      </c>
      <c r="C2197" s="108">
        <v>5.3</v>
      </c>
    </row>
    <row r="2198" spans="1:3" x14ac:dyDescent="0.25">
      <c r="A2198" s="108">
        <v>5947</v>
      </c>
      <c r="B2198" s="108" t="s">
        <v>2128</v>
      </c>
      <c r="C2198" s="108">
        <v>5</v>
      </c>
    </row>
    <row r="2199" spans="1:3" x14ac:dyDescent="0.25">
      <c r="A2199" s="108">
        <v>5970</v>
      </c>
      <c r="B2199" s="108" t="s">
        <v>2129</v>
      </c>
      <c r="C2199" s="108">
        <v>9.75</v>
      </c>
    </row>
    <row r="2200" spans="1:3" x14ac:dyDescent="0.25">
      <c r="A2200" s="108">
        <v>5983</v>
      </c>
      <c r="B2200" s="108" t="s">
        <v>2130</v>
      </c>
      <c r="C2200" s="108">
        <v>12</v>
      </c>
    </row>
    <row r="2201" spans="1:3" x14ac:dyDescent="0.25">
      <c r="A2201" s="108">
        <v>5991</v>
      </c>
      <c r="B2201" s="108" t="s">
        <v>2131</v>
      </c>
      <c r="C2201" s="108">
        <v>16.25</v>
      </c>
    </row>
    <row r="2202" spans="1:3" x14ac:dyDescent="0.25">
      <c r="A2202" s="108">
        <v>5993</v>
      </c>
      <c r="B2202" s="108" t="s">
        <v>2132</v>
      </c>
      <c r="C2202" s="108">
        <v>138</v>
      </c>
    </row>
    <row r="2203" spans="1:3" x14ac:dyDescent="0.25">
      <c r="A2203" s="108">
        <v>6002</v>
      </c>
      <c r="B2203" s="108" t="s">
        <v>2133</v>
      </c>
      <c r="C2203" s="108">
        <v>1</v>
      </c>
    </row>
    <row r="2204" spans="1:3" x14ac:dyDescent="0.25">
      <c r="A2204" s="108">
        <v>6003</v>
      </c>
      <c r="B2204" s="108" t="s">
        <v>2134</v>
      </c>
      <c r="C2204" s="108">
        <v>2.95</v>
      </c>
    </row>
    <row r="2205" spans="1:3" x14ac:dyDescent="0.25">
      <c r="A2205" s="108">
        <v>6015</v>
      </c>
      <c r="B2205" s="108" t="s">
        <v>2135</v>
      </c>
      <c r="C2205" s="108">
        <v>6.5</v>
      </c>
    </row>
    <row r="2206" spans="1:3" x14ac:dyDescent="0.25">
      <c r="A2206" s="108">
        <v>6037</v>
      </c>
      <c r="B2206" s="108" t="s">
        <v>2136</v>
      </c>
      <c r="C2206" s="108">
        <v>20</v>
      </c>
    </row>
    <row r="2207" spans="1:3" x14ac:dyDescent="0.25">
      <c r="A2207" s="108">
        <v>6054</v>
      </c>
      <c r="B2207" s="108" t="s">
        <v>2137</v>
      </c>
      <c r="C2207" s="108">
        <v>3</v>
      </c>
    </row>
    <row r="2208" spans="1:3" x14ac:dyDescent="0.25">
      <c r="A2208" s="108">
        <v>6069</v>
      </c>
      <c r="B2208" s="108" t="s">
        <v>2138</v>
      </c>
      <c r="C2208" s="108">
        <v>7.83</v>
      </c>
    </row>
    <row r="2209" spans="1:3" x14ac:dyDescent="0.25">
      <c r="A2209" s="108">
        <v>6077</v>
      </c>
      <c r="B2209" s="108" t="s">
        <v>2139</v>
      </c>
      <c r="C2209" s="108">
        <v>4.5999999999999996</v>
      </c>
    </row>
    <row r="2210" spans="1:3" x14ac:dyDescent="0.25">
      <c r="A2210" s="108">
        <v>6078</v>
      </c>
      <c r="B2210" s="108" t="s">
        <v>2140</v>
      </c>
      <c r="C2210" s="108">
        <v>8</v>
      </c>
    </row>
    <row r="2211" spans="1:3" x14ac:dyDescent="0.25">
      <c r="A2211" s="108">
        <v>6079</v>
      </c>
      <c r="B2211" s="108" t="s">
        <v>2141</v>
      </c>
      <c r="C2211" s="108">
        <v>9</v>
      </c>
    </row>
    <row r="2212" spans="1:3" x14ac:dyDescent="0.25">
      <c r="A2212" s="108">
        <v>6084</v>
      </c>
      <c r="B2212" s="108" t="s">
        <v>2142</v>
      </c>
      <c r="C2212" s="108">
        <v>31</v>
      </c>
    </row>
    <row r="2213" spans="1:3" x14ac:dyDescent="0.25">
      <c r="A2213" s="108">
        <v>6103</v>
      </c>
      <c r="B2213" s="108" t="s">
        <v>2143</v>
      </c>
      <c r="C2213" s="108">
        <v>9.24</v>
      </c>
    </row>
    <row r="2214" spans="1:3" x14ac:dyDescent="0.25">
      <c r="A2214" s="108">
        <v>6104</v>
      </c>
      <c r="B2214" s="108" t="s">
        <v>2144</v>
      </c>
      <c r="C2214" s="108">
        <v>15</v>
      </c>
    </row>
    <row r="2215" spans="1:3" x14ac:dyDescent="0.25">
      <c r="A2215" s="108">
        <v>6105</v>
      </c>
      <c r="B2215" s="108" t="s">
        <v>2145</v>
      </c>
      <c r="C2215" s="108">
        <v>10.4</v>
      </c>
    </row>
    <row r="2216" spans="1:3" x14ac:dyDescent="0.25">
      <c r="A2216" s="108">
        <v>6109</v>
      </c>
      <c r="B2216" s="108" t="s">
        <v>2146</v>
      </c>
      <c r="C2216" s="108">
        <v>3.25</v>
      </c>
    </row>
    <row r="2217" spans="1:3" x14ac:dyDescent="0.25">
      <c r="A2217" s="108">
        <v>6133</v>
      </c>
      <c r="B2217" s="108" t="s">
        <v>2147</v>
      </c>
      <c r="C2217" s="108">
        <v>67.3</v>
      </c>
    </row>
    <row r="2218" spans="1:3" x14ac:dyDescent="0.25">
      <c r="A2218" s="108">
        <v>6141</v>
      </c>
      <c r="B2218" s="108" t="s">
        <v>2148</v>
      </c>
      <c r="C2218" s="108">
        <v>2.7</v>
      </c>
    </row>
    <row r="2219" spans="1:3" x14ac:dyDescent="0.25">
      <c r="A2219" s="108">
        <v>6146</v>
      </c>
      <c r="B2219" s="108" t="s">
        <v>2149</v>
      </c>
      <c r="C2219" s="108">
        <v>4.95</v>
      </c>
    </row>
    <row r="2220" spans="1:3" x14ac:dyDescent="0.25">
      <c r="A2220" s="108">
        <v>6147</v>
      </c>
      <c r="B2220" s="108" t="s">
        <v>2150</v>
      </c>
      <c r="C2220" s="108">
        <v>8.5</v>
      </c>
    </row>
    <row r="2221" spans="1:3" x14ac:dyDescent="0.25">
      <c r="A2221" s="108">
        <v>6151</v>
      </c>
      <c r="B2221" s="108" t="s">
        <v>2151</v>
      </c>
      <c r="C2221" s="108">
        <v>35</v>
      </c>
    </row>
    <row r="2222" spans="1:3" x14ac:dyDescent="0.25">
      <c r="A2222" s="108">
        <v>6152</v>
      </c>
      <c r="B2222" s="108" t="s">
        <v>2152</v>
      </c>
      <c r="C2222" s="108">
        <v>35</v>
      </c>
    </row>
    <row r="2223" spans="1:3" x14ac:dyDescent="0.25">
      <c r="A2223" s="108">
        <v>6158</v>
      </c>
      <c r="B2223" s="108" t="s">
        <v>2153</v>
      </c>
      <c r="C2223" s="108">
        <v>2</v>
      </c>
    </row>
    <row r="2224" spans="1:3" x14ac:dyDescent="0.25">
      <c r="A2224" s="108">
        <v>6159</v>
      </c>
      <c r="B2224" s="108" t="s">
        <v>2154</v>
      </c>
      <c r="C2224" s="108">
        <v>10</v>
      </c>
    </row>
    <row r="2225" spans="1:3" x14ac:dyDescent="0.25">
      <c r="A2225" s="108">
        <v>6173</v>
      </c>
      <c r="B2225" s="108" t="s">
        <v>2155</v>
      </c>
      <c r="C2225" s="108">
        <v>1.7</v>
      </c>
    </row>
    <row r="2226" spans="1:3" x14ac:dyDescent="0.25">
      <c r="A2226" s="108">
        <v>6174</v>
      </c>
      <c r="B2226" s="108" t="s">
        <v>2156</v>
      </c>
      <c r="C2226" s="108">
        <v>2.8</v>
      </c>
    </row>
    <row r="2227" spans="1:3" x14ac:dyDescent="0.25">
      <c r="A2227" s="108">
        <v>6190</v>
      </c>
      <c r="B2227" s="108" t="s">
        <v>2157</v>
      </c>
      <c r="C2227" s="108">
        <v>7.5</v>
      </c>
    </row>
    <row r="2228" spans="1:3" x14ac:dyDescent="0.25">
      <c r="A2228" s="108">
        <v>6204</v>
      </c>
      <c r="B2228" s="108" t="s">
        <v>2158</v>
      </c>
      <c r="C2228" s="108">
        <v>6.5</v>
      </c>
    </row>
    <row r="2229" spans="1:3" x14ac:dyDescent="0.25">
      <c r="A2229" s="108">
        <v>6208</v>
      </c>
      <c r="B2229" s="108" t="s">
        <v>2159</v>
      </c>
      <c r="C2229" s="108">
        <v>3.25</v>
      </c>
    </row>
    <row r="2230" spans="1:3" x14ac:dyDescent="0.25">
      <c r="A2230" s="108">
        <v>6220</v>
      </c>
      <c r="B2230" s="108" t="s">
        <v>2160</v>
      </c>
      <c r="C2230" s="108">
        <v>2</v>
      </c>
    </row>
    <row r="2231" spans="1:3" x14ac:dyDescent="0.25">
      <c r="A2231" s="108">
        <v>6221</v>
      </c>
      <c r="B2231" s="108" t="s">
        <v>2161</v>
      </c>
      <c r="C2231" s="108">
        <v>7</v>
      </c>
    </row>
    <row r="2232" spans="1:3" x14ac:dyDescent="0.25">
      <c r="A2232" s="108">
        <v>6225</v>
      </c>
      <c r="B2232" s="108" t="s">
        <v>2162</v>
      </c>
      <c r="C2232" s="108">
        <v>6</v>
      </c>
    </row>
    <row r="2233" spans="1:3" x14ac:dyDescent="0.25">
      <c r="A2233" s="108">
        <v>6226</v>
      </c>
      <c r="B2233" s="108" t="s">
        <v>2163</v>
      </c>
      <c r="C2233" s="108">
        <v>65</v>
      </c>
    </row>
    <row r="2234" spans="1:3" x14ac:dyDescent="0.25">
      <c r="A2234" s="108">
        <v>6233</v>
      </c>
      <c r="B2234" s="108" t="s">
        <v>2164</v>
      </c>
      <c r="C2234" s="108">
        <v>6.3</v>
      </c>
    </row>
    <row r="2235" spans="1:3" x14ac:dyDescent="0.25">
      <c r="A2235" s="108">
        <v>6240</v>
      </c>
      <c r="B2235" s="108" t="s">
        <v>2165</v>
      </c>
      <c r="C2235" s="108">
        <v>85</v>
      </c>
    </row>
    <row r="2236" spans="1:3" x14ac:dyDescent="0.25">
      <c r="A2236" s="108">
        <v>6245</v>
      </c>
      <c r="B2236" s="108" t="s">
        <v>2166</v>
      </c>
      <c r="C2236" s="108">
        <v>506.82</v>
      </c>
    </row>
    <row r="2237" spans="1:3" x14ac:dyDescent="0.25">
      <c r="A2237" s="108">
        <v>6278</v>
      </c>
      <c r="B2237" s="108" t="s">
        <v>2167</v>
      </c>
      <c r="C2237" s="108">
        <v>74.5</v>
      </c>
    </row>
    <row r="2238" spans="1:3" x14ac:dyDescent="0.25">
      <c r="A2238" s="108">
        <v>6328</v>
      </c>
      <c r="B2238" s="108" t="s">
        <v>2168</v>
      </c>
      <c r="C2238" s="108">
        <v>19</v>
      </c>
    </row>
    <row r="2239" spans="1:3" x14ac:dyDescent="0.25">
      <c r="A2239" s="108">
        <v>6337</v>
      </c>
      <c r="B2239" s="108" t="s">
        <v>2169</v>
      </c>
      <c r="C2239" s="108">
        <v>3.5</v>
      </c>
    </row>
    <row r="2240" spans="1:3" x14ac:dyDescent="0.25">
      <c r="A2240" s="108">
        <v>6352</v>
      </c>
      <c r="B2240" s="108" t="s">
        <v>2170</v>
      </c>
      <c r="C2240" s="108">
        <v>2.6</v>
      </c>
    </row>
    <row r="2241" spans="1:3" x14ac:dyDescent="0.25">
      <c r="A2241" s="108">
        <v>6355</v>
      </c>
      <c r="B2241" s="108" t="s">
        <v>2171</v>
      </c>
      <c r="C2241" s="108">
        <v>3.5</v>
      </c>
    </row>
    <row r="2242" spans="1:3" x14ac:dyDescent="0.25">
      <c r="A2242" s="108">
        <v>6376</v>
      </c>
      <c r="B2242" s="108" t="s">
        <v>2172</v>
      </c>
      <c r="C2242" s="108">
        <v>3.9</v>
      </c>
    </row>
    <row r="2243" spans="1:3" x14ac:dyDescent="0.25">
      <c r="A2243" s="108">
        <v>6414</v>
      </c>
      <c r="B2243" s="108" t="s">
        <v>2173</v>
      </c>
      <c r="C2243" s="108">
        <v>45</v>
      </c>
    </row>
    <row r="2244" spans="1:3" x14ac:dyDescent="0.25">
      <c r="A2244" s="108">
        <v>6446</v>
      </c>
      <c r="B2244" s="108" t="s">
        <v>2174</v>
      </c>
      <c r="C2244" s="108">
        <v>34.090000000000003</v>
      </c>
    </row>
    <row r="2245" spans="1:3" x14ac:dyDescent="0.25">
      <c r="A2245" s="108">
        <v>6451</v>
      </c>
      <c r="B2245" s="108" t="s">
        <v>2175</v>
      </c>
      <c r="C2245" s="108">
        <v>1.5</v>
      </c>
    </row>
    <row r="2246" spans="1:3" x14ac:dyDescent="0.25">
      <c r="A2246" s="108">
        <v>6456</v>
      </c>
      <c r="B2246" s="108" t="s">
        <v>2176</v>
      </c>
      <c r="C2246" s="108">
        <v>3.06</v>
      </c>
    </row>
    <row r="2247" spans="1:3" x14ac:dyDescent="0.25">
      <c r="A2247" s="108">
        <v>6465</v>
      </c>
      <c r="B2247" s="108" t="s">
        <v>2177</v>
      </c>
      <c r="C2247" s="108">
        <v>12.5</v>
      </c>
    </row>
    <row r="2248" spans="1:3" x14ac:dyDescent="0.25">
      <c r="A2248" s="108">
        <v>6498</v>
      </c>
      <c r="B2248" s="108" t="s">
        <v>2178</v>
      </c>
      <c r="C2248" s="108">
        <v>22</v>
      </c>
    </row>
    <row r="2249" spans="1:3" x14ac:dyDescent="0.25">
      <c r="A2249" s="108">
        <v>6532</v>
      </c>
      <c r="B2249" s="108" t="s">
        <v>2179</v>
      </c>
      <c r="C2249" s="108">
        <v>4.01</v>
      </c>
    </row>
    <row r="2250" spans="1:3" x14ac:dyDescent="0.25">
      <c r="A2250" s="108">
        <v>6540</v>
      </c>
      <c r="B2250" s="108" t="s">
        <v>2180</v>
      </c>
      <c r="C2250" s="108">
        <v>14.75</v>
      </c>
    </row>
    <row r="2251" spans="1:3" x14ac:dyDescent="0.25">
      <c r="A2251" s="108">
        <v>6541</v>
      </c>
      <c r="B2251" s="108" t="s">
        <v>2181</v>
      </c>
      <c r="C2251" s="108">
        <v>24</v>
      </c>
    </row>
    <row r="2252" spans="1:3" x14ac:dyDescent="0.25">
      <c r="A2252" s="108">
        <v>6546</v>
      </c>
      <c r="B2252" s="108" t="s">
        <v>2182</v>
      </c>
      <c r="C2252" s="108">
        <v>16.25</v>
      </c>
    </row>
    <row r="2253" spans="1:3" x14ac:dyDescent="0.25">
      <c r="A2253" s="108">
        <v>6560</v>
      </c>
      <c r="B2253" s="108" t="s">
        <v>2183</v>
      </c>
      <c r="C2253" s="108">
        <v>147</v>
      </c>
    </row>
    <row r="2254" spans="1:3" x14ac:dyDescent="0.25">
      <c r="A2254" s="108">
        <v>6589</v>
      </c>
      <c r="B2254" s="108" t="s">
        <v>2184</v>
      </c>
      <c r="C2254" s="108">
        <v>59.52</v>
      </c>
    </row>
    <row r="2255" spans="1:3" x14ac:dyDescent="0.25">
      <c r="A2255" s="108">
        <v>6607</v>
      </c>
      <c r="B2255" s="108" t="s">
        <v>2185</v>
      </c>
      <c r="C2255" s="108">
        <v>2.6</v>
      </c>
    </row>
    <row r="2256" spans="1:3" x14ac:dyDescent="0.25">
      <c r="A2256" s="108">
        <v>6660</v>
      </c>
      <c r="B2256" s="108" t="s">
        <v>2186</v>
      </c>
      <c r="C2256" s="108">
        <v>17.55</v>
      </c>
    </row>
    <row r="2257" spans="1:3" x14ac:dyDescent="0.25">
      <c r="A2257" s="108">
        <v>6676</v>
      </c>
      <c r="B2257" s="108" t="s">
        <v>2187</v>
      </c>
      <c r="C2257" s="108">
        <v>29</v>
      </c>
    </row>
    <row r="2258" spans="1:3" x14ac:dyDescent="0.25">
      <c r="A2258" s="108">
        <v>6680</v>
      </c>
      <c r="B2258" s="108" t="s">
        <v>2188</v>
      </c>
      <c r="C2258" s="108">
        <v>147</v>
      </c>
    </row>
    <row r="2259" spans="1:3" x14ac:dyDescent="0.25">
      <c r="A2259" s="108">
        <v>6681</v>
      </c>
      <c r="B2259" s="108" t="s">
        <v>2189</v>
      </c>
      <c r="C2259" s="108">
        <v>147</v>
      </c>
    </row>
    <row r="2260" spans="1:3" x14ac:dyDescent="0.25">
      <c r="A2260" s="108">
        <v>6686</v>
      </c>
      <c r="B2260" s="108" t="s">
        <v>2190</v>
      </c>
      <c r="C2260" s="108">
        <v>1.27</v>
      </c>
    </row>
    <row r="2261" spans="1:3" x14ac:dyDescent="0.25">
      <c r="A2261" s="108">
        <v>6720</v>
      </c>
      <c r="B2261" s="108" t="s">
        <v>2191</v>
      </c>
      <c r="C2261" s="108">
        <v>7.2</v>
      </c>
    </row>
    <row r="2262" spans="1:3" x14ac:dyDescent="0.25">
      <c r="A2262" s="108">
        <v>6724</v>
      </c>
      <c r="B2262" s="108" t="s">
        <v>2192</v>
      </c>
      <c r="C2262" s="108">
        <v>1.2</v>
      </c>
    </row>
    <row r="2263" spans="1:3" x14ac:dyDescent="0.25">
      <c r="A2263" s="108">
        <v>6736</v>
      </c>
      <c r="B2263" s="108" t="s">
        <v>2193</v>
      </c>
      <c r="C2263" s="108">
        <v>15.98</v>
      </c>
    </row>
    <row r="2264" spans="1:3" x14ac:dyDescent="0.25">
      <c r="A2264" s="108">
        <v>6796</v>
      </c>
      <c r="B2264" s="108" t="s">
        <v>2194</v>
      </c>
      <c r="C2264" s="108">
        <v>1.9</v>
      </c>
    </row>
    <row r="2265" spans="1:3" x14ac:dyDescent="0.25">
      <c r="A2265" s="108">
        <v>6798</v>
      </c>
      <c r="B2265" s="108" t="s">
        <v>2195</v>
      </c>
      <c r="C2265" s="108">
        <v>16.440000000000001</v>
      </c>
    </row>
    <row r="2266" spans="1:3" x14ac:dyDescent="0.25">
      <c r="A2266" s="108">
        <v>6803</v>
      </c>
      <c r="B2266" s="108" t="s">
        <v>2196</v>
      </c>
      <c r="C2266" s="108">
        <v>4.3099999999999996</v>
      </c>
    </row>
    <row r="2267" spans="1:3" x14ac:dyDescent="0.25">
      <c r="A2267" s="108">
        <v>6805</v>
      </c>
      <c r="B2267" s="108" t="s">
        <v>2197</v>
      </c>
      <c r="C2267" s="108">
        <v>409</v>
      </c>
    </row>
    <row r="2268" spans="1:3" x14ac:dyDescent="0.25">
      <c r="A2268" s="108">
        <v>6819</v>
      </c>
      <c r="B2268" s="108" t="s">
        <v>2198</v>
      </c>
      <c r="C2268" s="108">
        <v>17.8</v>
      </c>
    </row>
    <row r="2269" spans="1:3" x14ac:dyDescent="0.25">
      <c r="A2269" s="108">
        <v>6820</v>
      </c>
      <c r="B2269" s="108" t="s">
        <v>2199</v>
      </c>
      <c r="C2269" s="108">
        <v>32</v>
      </c>
    </row>
    <row r="2270" spans="1:3" x14ac:dyDescent="0.25">
      <c r="A2270" s="108">
        <v>6821</v>
      </c>
      <c r="B2270" s="108" t="s">
        <v>2200</v>
      </c>
      <c r="C2270" s="108">
        <v>170</v>
      </c>
    </row>
    <row r="2271" spans="1:3" x14ac:dyDescent="0.25">
      <c r="A2271" s="108">
        <v>6904</v>
      </c>
      <c r="B2271" s="108" t="s">
        <v>2201</v>
      </c>
      <c r="C2271" s="108">
        <v>9.4</v>
      </c>
    </row>
    <row r="2272" spans="1:3" x14ac:dyDescent="0.25">
      <c r="A2272" s="108">
        <v>6945</v>
      </c>
      <c r="B2272" s="108" t="s">
        <v>2202</v>
      </c>
      <c r="C2272" s="108">
        <v>2.5</v>
      </c>
    </row>
    <row r="2273" spans="1:3" x14ac:dyDescent="0.25">
      <c r="A2273" s="108">
        <v>6949</v>
      </c>
      <c r="B2273" s="108" t="s">
        <v>2203</v>
      </c>
      <c r="C2273" s="108">
        <v>4.6500000000000004</v>
      </c>
    </row>
    <row r="2274" spans="1:3" x14ac:dyDescent="0.25">
      <c r="A2274" s="108">
        <v>7057</v>
      </c>
      <c r="B2274" s="108" t="s">
        <v>2204</v>
      </c>
      <c r="C2274" s="108">
        <v>11.7</v>
      </c>
    </row>
    <row r="2275" spans="1:3" x14ac:dyDescent="0.25">
      <c r="A2275" s="108">
        <v>7065</v>
      </c>
      <c r="B2275" s="108" t="s">
        <v>2205</v>
      </c>
      <c r="C2275" s="108">
        <v>12.5</v>
      </c>
    </row>
    <row r="2276" spans="1:3" x14ac:dyDescent="0.25">
      <c r="A2276" s="108">
        <v>7072</v>
      </c>
      <c r="B2276" s="108" t="s">
        <v>2206</v>
      </c>
      <c r="C2276" s="108">
        <v>16.5</v>
      </c>
    </row>
    <row r="2277" spans="1:3" ht="30" x14ac:dyDescent="0.25">
      <c r="A2277" s="108">
        <v>7088</v>
      </c>
      <c r="B2277" s="108" t="s">
        <v>2207</v>
      </c>
      <c r="C2277" s="108">
        <v>28.33</v>
      </c>
    </row>
    <row r="2278" spans="1:3" x14ac:dyDescent="0.25">
      <c r="A2278" s="108">
        <v>7098</v>
      </c>
      <c r="B2278" s="108" t="s">
        <v>2208</v>
      </c>
      <c r="C2278" s="108">
        <v>4.0999999999999996</v>
      </c>
    </row>
    <row r="2279" spans="1:3" x14ac:dyDescent="0.25">
      <c r="A2279" s="108">
        <v>7099</v>
      </c>
      <c r="B2279" s="108" t="s">
        <v>2209</v>
      </c>
      <c r="C2279" s="108">
        <v>2.1</v>
      </c>
    </row>
    <row r="2280" spans="1:3" x14ac:dyDescent="0.25">
      <c r="A2280" s="108">
        <v>7100</v>
      </c>
      <c r="B2280" s="108" t="s">
        <v>2210</v>
      </c>
      <c r="C2280" s="108">
        <v>4.7</v>
      </c>
    </row>
    <row r="2281" spans="1:3" x14ac:dyDescent="0.25">
      <c r="A2281" s="108">
        <v>7118</v>
      </c>
      <c r="B2281" s="108" t="s">
        <v>2211</v>
      </c>
      <c r="C2281" s="108">
        <v>790</v>
      </c>
    </row>
    <row r="2282" spans="1:3" x14ac:dyDescent="0.25">
      <c r="A2282" s="108">
        <v>7141</v>
      </c>
      <c r="B2282" s="108" t="s">
        <v>2212</v>
      </c>
      <c r="C2282" s="108">
        <v>14.8</v>
      </c>
    </row>
    <row r="2283" spans="1:3" ht="30" x14ac:dyDescent="0.25">
      <c r="A2283" s="108">
        <v>7380</v>
      </c>
      <c r="B2283" s="108" t="s">
        <v>2213</v>
      </c>
      <c r="C2283" s="108">
        <v>1.77</v>
      </c>
    </row>
    <row r="2284" spans="1:3" x14ac:dyDescent="0.25">
      <c r="A2284" s="108">
        <v>7409</v>
      </c>
      <c r="B2284" s="108" t="s">
        <v>2214</v>
      </c>
      <c r="C2284" s="108">
        <v>19.7</v>
      </c>
    </row>
    <row r="2285" spans="1:3" x14ac:dyDescent="0.25">
      <c r="A2285" s="108">
        <v>7421</v>
      </c>
      <c r="B2285" s="108" t="s">
        <v>2215</v>
      </c>
      <c r="C2285" s="108">
        <v>27.16</v>
      </c>
    </row>
    <row r="2286" spans="1:3" x14ac:dyDescent="0.25">
      <c r="A2286" s="108">
        <v>7429</v>
      </c>
      <c r="B2286" s="108" t="s">
        <v>2216</v>
      </c>
      <c r="C2286" s="108">
        <v>14.03</v>
      </c>
    </row>
    <row r="2287" spans="1:3" x14ac:dyDescent="0.25">
      <c r="A2287" s="108">
        <v>7430</v>
      </c>
      <c r="B2287" s="108" t="s">
        <v>2217</v>
      </c>
      <c r="C2287" s="108">
        <v>11.7</v>
      </c>
    </row>
    <row r="2288" spans="1:3" ht="30" x14ac:dyDescent="0.25">
      <c r="A2288" s="108">
        <v>7431</v>
      </c>
      <c r="B2288" s="108" t="s">
        <v>2218</v>
      </c>
      <c r="C2288" s="108">
        <v>21.6</v>
      </c>
    </row>
    <row r="2289" spans="1:3" x14ac:dyDescent="0.25">
      <c r="A2289" s="108">
        <v>7432</v>
      </c>
      <c r="B2289" s="108" t="s">
        <v>2219</v>
      </c>
      <c r="C2289" s="108">
        <v>16.100000000000001</v>
      </c>
    </row>
    <row r="2290" spans="1:3" x14ac:dyDescent="0.25">
      <c r="A2290" s="108">
        <v>7435</v>
      </c>
      <c r="B2290" s="108" t="s">
        <v>2220</v>
      </c>
      <c r="C2290" s="108">
        <v>119.7</v>
      </c>
    </row>
    <row r="2291" spans="1:3" x14ac:dyDescent="0.25">
      <c r="A2291" s="108">
        <v>7439</v>
      </c>
      <c r="B2291" s="108" t="s">
        <v>2221</v>
      </c>
      <c r="C2291" s="108">
        <v>81</v>
      </c>
    </row>
    <row r="2292" spans="1:3" x14ac:dyDescent="0.25">
      <c r="A2292" s="108">
        <v>7441</v>
      </c>
      <c r="B2292" s="108" t="s">
        <v>2222</v>
      </c>
      <c r="C2292" s="108">
        <v>26.74</v>
      </c>
    </row>
    <row r="2293" spans="1:3" x14ac:dyDescent="0.25">
      <c r="A2293" s="108">
        <v>7442</v>
      </c>
      <c r="B2293" s="108" t="s">
        <v>2223</v>
      </c>
      <c r="C2293" s="108">
        <v>15.91</v>
      </c>
    </row>
    <row r="2294" spans="1:3" x14ac:dyDescent="0.25">
      <c r="A2294" s="108">
        <v>7443</v>
      </c>
      <c r="B2294" s="108" t="s">
        <v>2224</v>
      </c>
      <c r="C2294" s="108">
        <v>17.7</v>
      </c>
    </row>
    <row r="2295" spans="1:3" x14ac:dyDescent="0.25">
      <c r="A2295" s="108">
        <v>7444</v>
      </c>
      <c r="B2295" s="108" t="s">
        <v>2225</v>
      </c>
      <c r="C2295" s="108">
        <v>14.7</v>
      </c>
    </row>
    <row r="2296" spans="1:3" x14ac:dyDescent="0.25">
      <c r="A2296" s="108">
        <v>7445</v>
      </c>
      <c r="B2296" s="108" t="s">
        <v>2226</v>
      </c>
      <c r="C2296" s="108">
        <v>5.61</v>
      </c>
    </row>
    <row r="2297" spans="1:3" x14ac:dyDescent="0.25">
      <c r="A2297" s="108">
        <v>7446</v>
      </c>
      <c r="B2297" s="108" t="s">
        <v>2227</v>
      </c>
      <c r="C2297" s="108">
        <v>20</v>
      </c>
    </row>
    <row r="2298" spans="1:3" x14ac:dyDescent="0.25">
      <c r="A2298" s="108">
        <v>7447</v>
      </c>
      <c r="B2298" s="108" t="s">
        <v>2228</v>
      </c>
      <c r="C2298" s="108">
        <v>20.5</v>
      </c>
    </row>
    <row r="2299" spans="1:3" x14ac:dyDescent="0.25">
      <c r="A2299" s="108">
        <v>7448</v>
      </c>
      <c r="B2299" s="108" t="s">
        <v>2229</v>
      </c>
      <c r="C2299" s="108">
        <v>16.36</v>
      </c>
    </row>
    <row r="2300" spans="1:3" x14ac:dyDescent="0.25">
      <c r="A2300" s="108">
        <v>7449</v>
      </c>
      <c r="B2300" s="108" t="s">
        <v>2230</v>
      </c>
      <c r="C2300" s="108">
        <v>1.5</v>
      </c>
    </row>
    <row r="2301" spans="1:3" x14ac:dyDescent="0.25">
      <c r="A2301" s="108">
        <v>7450</v>
      </c>
      <c r="B2301" s="108" t="s">
        <v>2231</v>
      </c>
      <c r="C2301" s="108">
        <v>3.65</v>
      </c>
    </row>
    <row r="2302" spans="1:3" x14ac:dyDescent="0.25">
      <c r="A2302" s="108">
        <v>7452</v>
      </c>
      <c r="B2302" s="108" t="s">
        <v>2232</v>
      </c>
      <c r="C2302" s="108">
        <v>36.840000000000003</v>
      </c>
    </row>
    <row r="2303" spans="1:3" x14ac:dyDescent="0.25">
      <c r="A2303" s="108">
        <v>7453</v>
      </c>
      <c r="B2303" s="108" t="s">
        <v>2233</v>
      </c>
      <c r="C2303" s="108">
        <v>52.28</v>
      </c>
    </row>
    <row r="2304" spans="1:3" x14ac:dyDescent="0.25">
      <c r="A2304" s="108">
        <v>7454</v>
      </c>
      <c r="B2304" s="108" t="s">
        <v>14253</v>
      </c>
      <c r="C2304" s="108">
        <v>43.5</v>
      </c>
    </row>
    <row r="2305" spans="1:3" x14ac:dyDescent="0.25">
      <c r="A2305" s="108">
        <v>7458</v>
      </c>
      <c r="B2305" s="108" t="s">
        <v>2234</v>
      </c>
      <c r="C2305" s="108">
        <v>33.15</v>
      </c>
    </row>
    <row r="2306" spans="1:3" x14ac:dyDescent="0.25">
      <c r="A2306" s="108">
        <v>7459</v>
      </c>
      <c r="B2306" s="108" t="s">
        <v>2235</v>
      </c>
      <c r="C2306" s="108">
        <v>32.68</v>
      </c>
    </row>
    <row r="2307" spans="1:3" x14ac:dyDescent="0.25">
      <c r="A2307" s="108">
        <v>7460</v>
      </c>
      <c r="B2307" s="108" t="s">
        <v>2236</v>
      </c>
      <c r="C2307" s="108">
        <v>11.62</v>
      </c>
    </row>
    <row r="2308" spans="1:3" x14ac:dyDescent="0.25">
      <c r="A2308" s="108">
        <v>7488</v>
      </c>
      <c r="B2308" s="108" t="s">
        <v>2237</v>
      </c>
      <c r="C2308" s="108">
        <v>2.17</v>
      </c>
    </row>
    <row r="2309" spans="1:3" x14ac:dyDescent="0.25">
      <c r="A2309" s="108">
        <v>7489</v>
      </c>
      <c r="B2309" s="108" t="s">
        <v>2238</v>
      </c>
      <c r="C2309" s="108">
        <v>4.24</v>
      </c>
    </row>
    <row r="2310" spans="1:3" x14ac:dyDescent="0.25">
      <c r="A2310" s="108">
        <v>7493</v>
      </c>
      <c r="B2310" s="108" t="s">
        <v>2239</v>
      </c>
      <c r="C2310" s="108">
        <v>11.5</v>
      </c>
    </row>
    <row r="2311" spans="1:3" x14ac:dyDescent="0.25">
      <c r="A2311" s="108">
        <v>7494</v>
      </c>
      <c r="B2311" s="108" t="s">
        <v>2240</v>
      </c>
      <c r="C2311" s="108">
        <v>11.5</v>
      </c>
    </row>
    <row r="2312" spans="1:3" ht="30" x14ac:dyDescent="0.25">
      <c r="A2312" s="108">
        <v>7496</v>
      </c>
      <c r="B2312" s="108" t="s">
        <v>2241</v>
      </c>
      <c r="C2312" s="108">
        <v>12.25</v>
      </c>
    </row>
    <row r="2313" spans="1:3" x14ac:dyDescent="0.25">
      <c r="A2313" s="108">
        <v>7515</v>
      </c>
      <c r="B2313" s="108" t="s">
        <v>2242</v>
      </c>
      <c r="C2313" s="108">
        <v>108</v>
      </c>
    </row>
    <row r="2314" spans="1:3" x14ac:dyDescent="0.25">
      <c r="A2314" s="108">
        <v>7518</v>
      </c>
      <c r="B2314" s="108" t="s">
        <v>2243</v>
      </c>
      <c r="C2314" s="108">
        <v>108</v>
      </c>
    </row>
    <row r="2315" spans="1:3" x14ac:dyDescent="0.25">
      <c r="A2315" s="108">
        <v>7519</v>
      </c>
      <c r="B2315" s="108" t="s">
        <v>2244</v>
      </c>
      <c r="C2315" s="108">
        <v>102.04</v>
      </c>
    </row>
    <row r="2316" spans="1:3" x14ac:dyDescent="0.25">
      <c r="A2316" s="108">
        <v>7520</v>
      </c>
      <c r="B2316" s="108" t="s">
        <v>2245</v>
      </c>
      <c r="C2316" s="108">
        <v>108</v>
      </c>
    </row>
    <row r="2317" spans="1:3" x14ac:dyDescent="0.25">
      <c r="A2317" s="108">
        <v>7527</v>
      </c>
      <c r="B2317" s="108" t="s">
        <v>2246</v>
      </c>
      <c r="C2317" s="108">
        <v>8.5</v>
      </c>
    </row>
    <row r="2318" spans="1:3" x14ac:dyDescent="0.25">
      <c r="A2318" s="108">
        <v>7528</v>
      </c>
      <c r="B2318" s="108" t="s">
        <v>2247</v>
      </c>
      <c r="C2318" s="108">
        <v>6.5</v>
      </c>
    </row>
    <row r="2319" spans="1:3" x14ac:dyDescent="0.25">
      <c r="A2319" s="108">
        <v>7531</v>
      </c>
      <c r="B2319" s="108" t="s">
        <v>2248</v>
      </c>
      <c r="C2319" s="108">
        <v>1.5</v>
      </c>
    </row>
    <row r="2320" spans="1:3" x14ac:dyDescent="0.25">
      <c r="A2320" s="108">
        <v>7534</v>
      </c>
      <c r="B2320" s="108" t="s">
        <v>2249</v>
      </c>
      <c r="C2320" s="108">
        <v>1.9</v>
      </c>
    </row>
    <row r="2321" spans="1:3" x14ac:dyDescent="0.25">
      <c r="A2321" s="108">
        <v>7536</v>
      </c>
      <c r="B2321" s="108" t="s">
        <v>2250</v>
      </c>
      <c r="C2321" s="108">
        <v>3.79</v>
      </c>
    </row>
    <row r="2322" spans="1:3" x14ac:dyDescent="0.25">
      <c r="A2322" s="108">
        <v>7537</v>
      </c>
      <c r="B2322" s="108" t="s">
        <v>2251</v>
      </c>
      <c r="C2322" s="108">
        <v>4.92</v>
      </c>
    </row>
    <row r="2323" spans="1:3" x14ac:dyDescent="0.25">
      <c r="A2323" s="108">
        <v>7538</v>
      </c>
      <c r="B2323" s="108" t="s">
        <v>2252</v>
      </c>
      <c r="C2323" s="108">
        <v>15</v>
      </c>
    </row>
    <row r="2324" spans="1:3" x14ac:dyDescent="0.25">
      <c r="A2324" s="108">
        <v>7539</v>
      </c>
      <c r="B2324" s="108" t="s">
        <v>2253</v>
      </c>
      <c r="C2324" s="108">
        <v>40.39</v>
      </c>
    </row>
    <row r="2325" spans="1:3" x14ac:dyDescent="0.25">
      <c r="A2325" s="108">
        <v>7540</v>
      </c>
      <c r="B2325" s="108" t="s">
        <v>2254</v>
      </c>
      <c r="C2325" s="108">
        <v>39.36</v>
      </c>
    </row>
    <row r="2326" spans="1:3" x14ac:dyDescent="0.25">
      <c r="A2326" s="108">
        <v>7542</v>
      </c>
      <c r="B2326" s="108" t="s">
        <v>2255</v>
      </c>
      <c r="C2326" s="108">
        <v>16.27</v>
      </c>
    </row>
    <row r="2327" spans="1:3" x14ac:dyDescent="0.25">
      <c r="A2327" s="108">
        <v>7546</v>
      </c>
      <c r="B2327" s="108" t="s">
        <v>2256</v>
      </c>
      <c r="C2327" s="108">
        <v>6.62</v>
      </c>
    </row>
    <row r="2328" spans="1:3" x14ac:dyDescent="0.25">
      <c r="A2328" s="108">
        <v>7553</v>
      </c>
      <c r="B2328" s="108" t="s">
        <v>2257</v>
      </c>
      <c r="C2328" s="108">
        <v>2.7</v>
      </c>
    </row>
    <row r="2329" spans="1:3" x14ac:dyDescent="0.25">
      <c r="A2329" s="108">
        <v>7554</v>
      </c>
      <c r="B2329" s="108" t="s">
        <v>2258</v>
      </c>
      <c r="C2329" s="108">
        <v>3</v>
      </c>
    </row>
    <row r="2330" spans="1:3" x14ac:dyDescent="0.25">
      <c r="A2330" s="108">
        <v>7555</v>
      </c>
      <c r="B2330" s="108" t="s">
        <v>2259</v>
      </c>
      <c r="C2330" s="108">
        <v>4.87</v>
      </c>
    </row>
    <row r="2331" spans="1:3" x14ac:dyDescent="0.25">
      <c r="A2331" s="108">
        <v>7556</v>
      </c>
      <c r="B2331" s="108" t="s">
        <v>2260</v>
      </c>
      <c r="C2331" s="108">
        <v>2.33</v>
      </c>
    </row>
    <row r="2332" spans="1:3" x14ac:dyDescent="0.25">
      <c r="A2332" s="108">
        <v>7558</v>
      </c>
      <c r="B2332" s="108" t="s">
        <v>2261</v>
      </c>
      <c r="C2332" s="108">
        <v>3.5</v>
      </c>
    </row>
    <row r="2333" spans="1:3" x14ac:dyDescent="0.25">
      <c r="A2333" s="108">
        <v>7559</v>
      </c>
      <c r="B2333" s="108" t="s">
        <v>2262</v>
      </c>
      <c r="C2333" s="108">
        <v>3.03</v>
      </c>
    </row>
    <row r="2334" spans="1:3" x14ac:dyDescent="0.25">
      <c r="A2334" s="108">
        <v>7561</v>
      </c>
      <c r="B2334" s="108" t="s">
        <v>2263</v>
      </c>
      <c r="C2334" s="108">
        <v>2.7</v>
      </c>
    </row>
    <row r="2335" spans="1:3" x14ac:dyDescent="0.25">
      <c r="A2335" s="108">
        <v>7562</v>
      </c>
      <c r="B2335" s="108" t="s">
        <v>2264</v>
      </c>
      <c r="C2335" s="108">
        <v>13.29</v>
      </c>
    </row>
    <row r="2336" spans="1:3" x14ac:dyDescent="0.25">
      <c r="A2336" s="108">
        <v>7563</v>
      </c>
      <c r="B2336" s="108" t="s">
        <v>2265</v>
      </c>
      <c r="C2336" s="108">
        <v>1</v>
      </c>
    </row>
    <row r="2337" spans="1:3" x14ac:dyDescent="0.25">
      <c r="A2337" s="108">
        <v>7564</v>
      </c>
      <c r="B2337" s="108" t="s">
        <v>2266</v>
      </c>
      <c r="C2337" s="108">
        <v>6.51</v>
      </c>
    </row>
    <row r="2338" spans="1:3" x14ac:dyDescent="0.25">
      <c r="A2338" s="108">
        <v>7565</v>
      </c>
      <c r="B2338" s="108" t="s">
        <v>2267</v>
      </c>
      <c r="C2338" s="108">
        <v>8.5</v>
      </c>
    </row>
    <row r="2339" spans="1:3" x14ac:dyDescent="0.25">
      <c r="A2339" s="108">
        <v>7566</v>
      </c>
      <c r="B2339" s="108" t="s">
        <v>2268</v>
      </c>
      <c r="C2339" s="108">
        <v>1.5</v>
      </c>
    </row>
    <row r="2340" spans="1:3" x14ac:dyDescent="0.25">
      <c r="A2340" s="108">
        <v>7567</v>
      </c>
      <c r="B2340" s="108" t="s">
        <v>2269</v>
      </c>
      <c r="C2340" s="108">
        <v>1.5</v>
      </c>
    </row>
    <row r="2341" spans="1:3" x14ac:dyDescent="0.25">
      <c r="A2341" s="108">
        <v>7568</v>
      </c>
      <c r="B2341" s="108" t="s">
        <v>2270</v>
      </c>
      <c r="C2341" s="108">
        <v>12.74</v>
      </c>
    </row>
    <row r="2342" spans="1:3" x14ac:dyDescent="0.25">
      <c r="A2342" s="108">
        <v>7569</v>
      </c>
      <c r="B2342" s="108" t="s">
        <v>2271</v>
      </c>
      <c r="C2342" s="108">
        <v>12</v>
      </c>
    </row>
    <row r="2343" spans="1:3" x14ac:dyDescent="0.25">
      <c r="A2343" s="108">
        <v>7572</v>
      </c>
      <c r="B2343" s="108" t="s">
        <v>2272</v>
      </c>
      <c r="C2343" s="108">
        <v>18.79</v>
      </c>
    </row>
    <row r="2344" spans="1:3" x14ac:dyDescent="0.25">
      <c r="A2344" s="108">
        <v>7573</v>
      </c>
      <c r="B2344" s="108" t="s">
        <v>2273</v>
      </c>
      <c r="C2344" s="108">
        <v>2.5</v>
      </c>
    </row>
    <row r="2345" spans="1:3" x14ac:dyDescent="0.25">
      <c r="A2345" s="108">
        <v>7576</v>
      </c>
      <c r="B2345" s="108" t="s">
        <v>2274</v>
      </c>
      <c r="C2345" s="108">
        <v>2</v>
      </c>
    </row>
    <row r="2346" spans="1:3" x14ac:dyDescent="0.25">
      <c r="A2346" s="108">
        <v>7577</v>
      </c>
      <c r="B2346" s="108" t="s">
        <v>2275</v>
      </c>
      <c r="C2346" s="108">
        <v>5.0999999999999996</v>
      </c>
    </row>
    <row r="2347" spans="1:3" x14ac:dyDescent="0.25">
      <c r="A2347" s="108">
        <v>7578</v>
      </c>
      <c r="B2347" s="108" t="s">
        <v>2276</v>
      </c>
      <c r="C2347" s="108">
        <v>18.78</v>
      </c>
    </row>
    <row r="2348" spans="1:3" x14ac:dyDescent="0.25">
      <c r="A2348" s="108">
        <v>7583</v>
      </c>
      <c r="B2348" s="108" t="s">
        <v>2277</v>
      </c>
      <c r="C2348" s="108">
        <v>25.5</v>
      </c>
    </row>
    <row r="2349" spans="1:3" x14ac:dyDescent="0.25">
      <c r="A2349" s="108">
        <v>7590</v>
      </c>
      <c r="B2349" s="108" t="s">
        <v>2278</v>
      </c>
      <c r="C2349" s="108">
        <v>23</v>
      </c>
    </row>
    <row r="2350" spans="1:3" x14ac:dyDescent="0.25">
      <c r="A2350" s="108">
        <v>7592</v>
      </c>
      <c r="B2350" s="108" t="s">
        <v>2279</v>
      </c>
      <c r="C2350" s="108">
        <v>5.5</v>
      </c>
    </row>
    <row r="2351" spans="1:3" x14ac:dyDescent="0.25">
      <c r="A2351" s="108">
        <v>7593</v>
      </c>
      <c r="B2351" s="108" t="s">
        <v>2280</v>
      </c>
      <c r="C2351" s="108">
        <v>4.95</v>
      </c>
    </row>
    <row r="2352" spans="1:3" x14ac:dyDescent="0.25">
      <c r="A2352" s="108">
        <v>7607</v>
      </c>
      <c r="B2352" s="108" t="s">
        <v>2281</v>
      </c>
      <c r="C2352" s="108">
        <v>7.2</v>
      </c>
    </row>
    <row r="2353" spans="1:3" x14ac:dyDescent="0.25">
      <c r="A2353" s="108">
        <v>7610</v>
      </c>
      <c r="B2353" s="108" t="s">
        <v>2282</v>
      </c>
      <c r="C2353" s="108">
        <v>4</v>
      </c>
    </row>
    <row r="2354" spans="1:3" x14ac:dyDescent="0.25">
      <c r="A2354" s="108">
        <v>7614</v>
      </c>
      <c r="B2354" s="108" t="s">
        <v>2283</v>
      </c>
      <c r="C2354" s="108">
        <v>11.9</v>
      </c>
    </row>
    <row r="2355" spans="1:3" x14ac:dyDescent="0.25">
      <c r="A2355" s="108">
        <v>7616</v>
      </c>
      <c r="B2355" s="108" t="s">
        <v>2284</v>
      </c>
      <c r="C2355" s="108">
        <v>3.6</v>
      </c>
    </row>
    <row r="2356" spans="1:3" x14ac:dyDescent="0.25">
      <c r="A2356" s="108">
        <v>7621</v>
      </c>
      <c r="B2356" s="108" t="s">
        <v>2285</v>
      </c>
      <c r="C2356" s="108">
        <v>169</v>
      </c>
    </row>
    <row r="2357" spans="1:3" x14ac:dyDescent="0.25">
      <c r="A2357" s="108">
        <v>7624</v>
      </c>
      <c r="B2357" s="108" t="s">
        <v>2286</v>
      </c>
      <c r="C2357" s="108">
        <v>54.45</v>
      </c>
    </row>
    <row r="2358" spans="1:3" x14ac:dyDescent="0.25">
      <c r="A2358" s="108">
        <v>7629</v>
      </c>
      <c r="B2358" s="108" t="s">
        <v>2287</v>
      </c>
      <c r="C2358" s="108">
        <v>8.8000000000000007</v>
      </c>
    </row>
    <row r="2359" spans="1:3" x14ac:dyDescent="0.25">
      <c r="A2359" s="108">
        <v>7634</v>
      </c>
      <c r="B2359" s="108" t="s">
        <v>2288</v>
      </c>
      <c r="C2359" s="108">
        <v>3.5</v>
      </c>
    </row>
    <row r="2360" spans="1:3" x14ac:dyDescent="0.25">
      <c r="A2360" s="108">
        <v>7636</v>
      </c>
      <c r="B2360" s="108" t="s">
        <v>2289</v>
      </c>
      <c r="C2360" s="108">
        <v>23</v>
      </c>
    </row>
    <row r="2361" spans="1:3" x14ac:dyDescent="0.25">
      <c r="A2361" s="108">
        <v>7642</v>
      </c>
      <c r="B2361" s="108" t="s">
        <v>2290</v>
      </c>
      <c r="C2361" s="108">
        <v>439.5</v>
      </c>
    </row>
    <row r="2362" spans="1:3" x14ac:dyDescent="0.25">
      <c r="A2362" s="108">
        <v>7645</v>
      </c>
      <c r="B2362" s="108" t="s">
        <v>2291</v>
      </c>
      <c r="C2362" s="108">
        <v>510</v>
      </c>
    </row>
    <row r="2363" spans="1:3" x14ac:dyDescent="0.25">
      <c r="A2363" s="108">
        <v>7646</v>
      </c>
      <c r="B2363" s="108" t="s">
        <v>2292</v>
      </c>
      <c r="C2363" s="108">
        <v>501.5</v>
      </c>
    </row>
    <row r="2364" spans="1:3" x14ac:dyDescent="0.25">
      <c r="A2364" s="108">
        <v>7649</v>
      </c>
      <c r="B2364" s="108" t="s">
        <v>2293</v>
      </c>
      <c r="C2364" s="108">
        <v>420</v>
      </c>
    </row>
    <row r="2365" spans="1:3" x14ac:dyDescent="0.25">
      <c r="A2365" s="108">
        <v>7651</v>
      </c>
      <c r="B2365" s="108" t="s">
        <v>2294</v>
      </c>
      <c r="C2365" s="108">
        <v>420</v>
      </c>
    </row>
    <row r="2366" spans="1:3" x14ac:dyDescent="0.25">
      <c r="A2366" s="108">
        <v>7653</v>
      </c>
      <c r="B2366" s="108" t="s">
        <v>2295</v>
      </c>
      <c r="C2366" s="108">
        <v>371</v>
      </c>
    </row>
    <row r="2367" spans="1:3" x14ac:dyDescent="0.25">
      <c r="A2367" s="108">
        <v>7657</v>
      </c>
      <c r="B2367" s="108" t="s">
        <v>2296</v>
      </c>
      <c r="C2367" s="108">
        <v>621.54</v>
      </c>
    </row>
    <row r="2368" spans="1:3" x14ac:dyDescent="0.25">
      <c r="A2368" s="108">
        <v>7659</v>
      </c>
      <c r="B2368" s="108" t="s">
        <v>2297</v>
      </c>
      <c r="C2368" s="108">
        <v>811.37</v>
      </c>
    </row>
    <row r="2369" spans="1:3" x14ac:dyDescent="0.25">
      <c r="A2369" s="108">
        <v>7665</v>
      </c>
      <c r="B2369" s="108" t="s">
        <v>2298</v>
      </c>
      <c r="C2369" s="108">
        <v>53</v>
      </c>
    </row>
    <row r="2370" spans="1:3" x14ac:dyDescent="0.25">
      <c r="A2370" s="108">
        <v>7667</v>
      </c>
      <c r="B2370" s="108" t="s">
        <v>2299</v>
      </c>
      <c r="C2370" s="108">
        <v>2.4</v>
      </c>
    </row>
    <row r="2371" spans="1:3" x14ac:dyDescent="0.25">
      <c r="A2371" s="108">
        <v>7669</v>
      </c>
      <c r="B2371" s="108" t="s">
        <v>2300</v>
      </c>
      <c r="C2371" s="108">
        <v>10.87</v>
      </c>
    </row>
    <row r="2372" spans="1:3" x14ac:dyDescent="0.25">
      <c r="A2372" s="108">
        <v>7672</v>
      </c>
      <c r="B2372" s="108" t="s">
        <v>2301</v>
      </c>
      <c r="C2372" s="108">
        <v>15.6</v>
      </c>
    </row>
    <row r="2373" spans="1:3" x14ac:dyDescent="0.25">
      <c r="A2373" s="108">
        <v>7691</v>
      </c>
      <c r="B2373" s="108" t="s">
        <v>2302</v>
      </c>
      <c r="C2373" s="108">
        <v>108.16</v>
      </c>
    </row>
    <row r="2374" spans="1:3" x14ac:dyDescent="0.25">
      <c r="A2374" s="108">
        <v>7692</v>
      </c>
      <c r="B2374" s="108" t="s">
        <v>2303</v>
      </c>
      <c r="C2374" s="108">
        <v>106.7</v>
      </c>
    </row>
    <row r="2375" spans="1:3" x14ac:dyDescent="0.25">
      <c r="A2375" s="108">
        <v>7694</v>
      </c>
      <c r="B2375" s="108" t="s">
        <v>2304</v>
      </c>
      <c r="C2375" s="108">
        <v>115</v>
      </c>
    </row>
    <row r="2376" spans="1:3" x14ac:dyDescent="0.25">
      <c r="A2376" s="108">
        <v>7695</v>
      </c>
      <c r="B2376" s="108" t="s">
        <v>2305</v>
      </c>
      <c r="C2376" s="108">
        <v>115</v>
      </c>
    </row>
    <row r="2377" spans="1:3" x14ac:dyDescent="0.25">
      <c r="A2377" s="108">
        <v>7701</v>
      </c>
      <c r="B2377" s="108" t="s">
        <v>2306</v>
      </c>
      <c r="C2377" s="108">
        <v>185</v>
      </c>
    </row>
    <row r="2378" spans="1:3" x14ac:dyDescent="0.25">
      <c r="A2378" s="108">
        <v>7727</v>
      </c>
      <c r="B2378" s="108" t="s">
        <v>2307</v>
      </c>
      <c r="C2378" s="108">
        <v>260</v>
      </c>
    </row>
    <row r="2379" spans="1:3" x14ac:dyDescent="0.25">
      <c r="A2379" s="108">
        <v>7728</v>
      </c>
      <c r="B2379" s="108" t="s">
        <v>2308</v>
      </c>
      <c r="C2379" s="108">
        <v>250</v>
      </c>
    </row>
    <row r="2380" spans="1:3" x14ac:dyDescent="0.25">
      <c r="A2380" s="108">
        <v>7729</v>
      </c>
      <c r="B2380" s="108" t="s">
        <v>2309</v>
      </c>
      <c r="C2380" s="108">
        <v>550</v>
      </c>
    </row>
    <row r="2381" spans="1:3" x14ac:dyDescent="0.25">
      <c r="A2381" s="108">
        <v>7773</v>
      </c>
      <c r="B2381" s="108" t="s">
        <v>2310</v>
      </c>
      <c r="C2381" s="108">
        <v>110</v>
      </c>
    </row>
    <row r="2382" spans="1:3" x14ac:dyDescent="0.25">
      <c r="A2382" s="108">
        <v>7812</v>
      </c>
      <c r="B2382" s="108" t="s">
        <v>2311</v>
      </c>
      <c r="C2382" s="108">
        <v>12.5</v>
      </c>
    </row>
    <row r="2383" spans="1:3" x14ac:dyDescent="0.25">
      <c r="A2383" s="108">
        <v>7813</v>
      </c>
      <c r="B2383" s="108" t="s">
        <v>2312</v>
      </c>
      <c r="C2383" s="108">
        <v>12.5</v>
      </c>
    </row>
    <row r="2384" spans="1:3" x14ac:dyDescent="0.25">
      <c r="A2384" s="108">
        <v>7854</v>
      </c>
      <c r="B2384" s="108" t="s">
        <v>2313</v>
      </c>
      <c r="C2384" s="108">
        <v>510</v>
      </c>
    </row>
    <row r="2385" spans="1:3" x14ac:dyDescent="0.25">
      <c r="A2385" s="108">
        <v>7855</v>
      </c>
      <c r="B2385" s="108" t="s">
        <v>2314</v>
      </c>
      <c r="C2385" s="108">
        <v>507</v>
      </c>
    </row>
    <row r="2386" spans="1:3" x14ac:dyDescent="0.25">
      <c r="A2386" s="108">
        <v>7856</v>
      </c>
      <c r="B2386" s="108" t="s">
        <v>2315</v>
      </c>
      <c r="C2386" s="108">
        <v>42.1</v>
      </c>
    </row>
    <row r="2387" spans="1:3" x14ac:dyDescent="0.25">
      <c r="A2387" s="108">
        <v>7857</v>
      </c>
      <c r="B2387" s="108" t="s">
        <v>2316</v>
      </c>
      <c r="C2387" s="108">
        <v>13.6</v>
      </c>
    </row>
    <row r="2388" spans="1:3" x14ac:dyDescent="0.25">
      <c r="A2388" s="108">
        <v>7880</v>
      </c>
      <c r="B2388" s="108" t="s">
        <v>2317</v>
      </c>
      <c r="C2388" s="108">
        <v>19.149999999999999</v>
      </c>
    </row>
    <row r="2389" spans="1:3" x14ac:dyDescent="0.25">
      <c r="A2389" s="108">
        <v>7881</v>
      </c>
      <c r="B2389" s="108" t="s">
        <v>2318</v>
      </c>
      <c r="C2389" s="108">
        <v>12.32</v>
      </c>
    </row>
    <row r="2390" spans="1:3" x14ac:dyDescent="0.25">
      <c r="A2390" s="108">
        <v>7882</v>
      </c>
      <c r="B2390" s="108" t="s">
        <v>2319</v>
      </c>
      <c r="C2390" s="108">
        <v>13.43</v>
      </c>
    </row>
    <row r="2391" spans="1:3" x14ac:dyDescent="0.25">
      <c r="A2391" s="108">
        <v>7883</v>
      </c>
      <c r="B2391" s="108" t="s">
        <v>2320</v>
      </c>
      <c r="C2391" s="108">
        <v>13.91</v>
      </c>
    </row>
    <row r="2392" spans="1:3" x14ac:dyDescent="0.25">
      <c r="A2392" s="108">
        <v>7895</v>
      </c>
      <c r="B2392" s="108" t="s">
        <v>2321</v>
      </c>
      <c r="C2392" s="108">
        <v>181.38</v>
      </c>
    </row>
    <row r="2393" spans="1:3" ht="30" x14ac:dyDescent="0.25">
      <c r="A2393" s="108">
        <v>7902</v>
      </c>
      <c r="B2393" s="108" t="s">
        <v>2322</v>
      </c>
      <c r="C2393" s="108">
        <v>7.8</v>
      </c>
    </row>
    <row r="2394" spans="1:3" ht="30" x14ac:dyDescent="0.25">
      <c r="A2394" s="108">
        <v>7904</v>
      </c>
      <c r="B2394" s="108" t="s">
        <v>2323</v>
      </c>
      <c r="C2394" s="108">
        <v>8.9</v>
      </c>
    </row>
    <row r="2395" spans="1:3" ht="30" x14ac:dyDescent="0.25">
      <c r="A2395" s="108">
        <v>7905</v>
      </c>
      <c r="B2395" s="108" t="s">
        <v>2324</v>
      </c>
      <c r="C2395" s="108">
        <v>9.5</v>
      </c>
    </row>
    <row r="2396" spans="1:3" x14ac:dyDescent="0.25">
      <c r="A2396" s="108">
        <v>7907</v>
      </c>
      <c r="B2396" s="108" t="s">
        <v>2325</v>
      </c>
      <c r="C2396" s="108">
        <v>2.1</v>
      </c>
    </row>
    <row r="2397" spans="1:3" x14ac:dyDescent="0.25">
      <c r="A2397" s="108">
        <v>7908</v>
      </c>
      <c r="B2397" s="108" t="s">
        <v>2326</v>
      </c>
      <c r="C2397" s="108">
        <v>2.4</v>
      </c>
    </row>
    <row r="2398" spans="1:3" x14ac:dyDescent="0.25">
      <c r="A2398" s="108">
        <v>7909</v>
      </c>
      <c r="B2398" s="108" t="s">
        <v>2327</v>
      </c>
      <c r="C2398" s="108">
        <v>2.1</v>
      </c>
    </row>
    <row r="2399" spans="1:3" x14ac:dyDescent="0.25">
      <c r="A2399" s="108">
        <v>7910</v>
      </c>
      <c r="B2399" s="108" t="s">
        <v>2328</v>
      </c>
      <c r="C2399" s="108">
        <v>26.18</v>
      </c>
    </row>
    <row r="2400" spans="1:3" x14ac:dyDescent="0.25">
      <c r="A2400" s="108">
        <v>7912</v>
      </c>
      <c r="B2400" s="108" t="s">
        <v>2329</v>
      </c>
      <c r="C2400" s="108">
        <v>9.8000000000000007</v>
      </c>
    </row>
    <row r="2401" spans="1:3" x14ac:dyDescent="0.25">
      <c r="A2401" s="108">
        <v>7913</v>
      </c>
      <c r="B2401" s="108" t="s">
        <v>2330</v>
      </c>
      <c r="C2401" s="108">
        <v>58.2</v>
      </c>
    </row>
    <row r="2402" spans="1:3" x14ac:dyDescent="0.25">
      <c r="A2402" s="108">
        <v>7914</v>
      </c>
      <c r="B2402" s="108" t="s">
        <v>2331</v>
      </c>
      <c r="C2402" s="108">
        <v>39.4</v>
      </c>
    </row>
    <row r="2403" spans="1:3" x14ac:dyDescent="0.25">
      <c r="A2403" s="108">
        <v>7915</v>
      </c>
      <c r="B2403" s="108" t="s">
        <v>2332</v>
      </c>
      <c r="C2403" s="108">
        <v>19.600000000000001</v>
      </c>
    </row>
    <row r="2404" spans="1:3" x14ac:dyDescent="0.25">
      <c r="A2404" s="108">
        <v>7916</v>
      </c>
      <c r="B2404" s="108" t="s">
        <v>2333</v>
      </c>
      <c r="C2404" s="108">
        <v>18.899999999999999</v>
      </c>
    </row>
    <row r="2405" spans="1:3" x14ac:dyDescent="0.25">
      <c r="A2405" s="108">
        <v>7917</v>
      </c>
      <c r="B2405" s="108" t="s">
        <v>2334</v>
      </c>
      <c r="C2405" s="108">
        <v>14.2</v>
      </c>
    </row>
    <row r="2406" spans="1:3" x14ac:dyDescent="0.25">
      <c r="A2406" s="108">
        <v>7918</v>
      </c>
      <c r="B2406" s="108" t="s">
        <v>2335</v>
      </c>
      <c r="C2406" s="108">
        <v>17.7</v>
      </c>
    </row>
    <row r="2407" spans="1:3" x14ac:dyDescent="0.25">
      <c r="A2407" s="108">
        <v>7919</v>
      </c>
      <c r="B2407" s="108" t="s">
        <v>2336</v>
      </c>
      <c r="C2407" s="108">
        <v>18.899999999999999</v>
      </c>
    </row>
    <row r="2408" spans="1:3" x14ac:dyDescent="0.25">
      <c r="A2408" s="108">
        <v>7920</v>
      </c>
      <c r="B2408" s="108" t="s">
        <v>2337</v>
      </c>
      <c r="C2408" s="108">
        <v>7.6</v>
      </c>
    </row>
    <row r="2409" spans="1:3" x14ac:dyDescent="0.25">
      <c r="A2409" s="108">
        <v>7921</v>
      </c>
      <c r="B2409" s="108" t="s">
        <v>2338</v>
      </c>
      <c r="C2409" s="108">
        <v>6.7</v>
      </c>
    </row>
    <row r="2410" spans="1:3" x14ac:dyDescent="0.25">
      <c r="A2410" s="108">
        <v>7923</v>
      </c>
      <c r="B2410" s="108" t="s">
        <v>2339</v>
      </c>
      <c r="C2410" s="108">
        <v>7</v>
      </c>
    </row>
    <row r="2411" spans="1:3" x14ac:dyDescent="0.25">
      <c r="A2411" s="108">
        <v>7924</v>
      </c>
      <c r="B2411" s="108" t="s">
        <v>2340</v>
      </c>
      <c r="C2411" s="108">
        <v>7.3</v>
      </c>
    </row>
    <row r="2412" spans="1:3" x14ac:dyDescent="0.25">
      <c r="A2412" s="108">
        <v>7925</v>
      </c>
      <c r="B2412" s="108" t="s">
        <v>2341</v>
      </c>
      <c r="C2412" s="108">
        <v>8.1999999999999993</v>
      </c>
    </row>
    <row r="2413" spans="1:3" x14ac:dyDescent="0.25">
      <c r="A2413" s="108">
        <v>7930</v>
      </c>
      <c r="B2413" s="108" t="s">
        <v>2342</v>
      </c>
      <c r="C2413" s="108">
        <v>3.9</v>
      </c>
    </row>
    <row r="2414" spans="1:3" x14ac:dyDescent="0.25">
      <c r="A2414" s="108">
        <v>7931</v>
      </c>
      <c r="B2414" s="108" t="s">
        <v>2343</v>
      </c>
      <c r="C2414" s="108">
        <v>4.0999999999999996</v>
      </c>
    </row>
    <row r="2415" spans="1:3" x14ac:dyDescent="0.25">
      <c r="A2415" s="108">
        <v>7932</v>
      </c>
      <c r="B2415" s="108" t="s">
        <v>2344</v>
      </c>
      <c r="C2415" s="108">
        <v>4.0999999999999996</v>
      </c>
    </row>
    <row r="2416" spans="1:3" x14ac:dyDescent="0.25">
      <c r="A2416" s="108">
        <v>7933</v>
      </c>
      <c r="B2416" s="108" t="s">
        <v>2345</v>
      </c>
      <c r="C2416" s="108">
        <v>4.0999999999999996</v>
      </c>
    </row>
    <row r="2417" spans="1:3" x14ac:dyDescent="0.25">
      <c r="A2417" s="108">
        <v>7934</v>
      </c>
      <c r="B2417" s="108" t="s">
        <v>2346</v>
      </c>
      <c r="C2417" s="108">
        <v>4.2</v>
      </c>
    </row>
    <row r="2418" spans="1:3" x14ac:dyDescent="0.25">
      <c r="A2418" s="108">
        <v>7935</v>
      </c>
      <c r="B2418" s="108" t="s">
        <v>2347</v>
      </c>
      <c r="C2418" s="108">
        <v>4.2</v>
      </c>
    </row>
    <row r="2419" spans="1:3" x14ac:dyDescent="0.25">
      <c r="A2419" s="108">
        <v>7937</v>
      </c>
      <c r="B2419" s="108" t="s">
        <v>2348</v>
      </c>
      <c r="C2419" s="108">
        <v>4.2</v>
      </c>
    </row>
    <row r="2420" spans="1:3" x14ac:dyDescent="0.25">
      <c r="A2420" s="108">
        <v>7940</v>
      </c>
      <c r="B2420" s="108" t="s">
        <v>2349</v>
      </c>
      <c r="C2420" s="108">
        <v>4.0999999999999996</v>
      </c>
    </row>
    <row r="2421" spans="1:3" x14ac:dyDescent="0.25">
      <c r="A2421" s="108">
        <v>7941</v>
      </c>
      <c r="B2421" s="108" t="s">
        <v>2350</v>
      </c>
      <c r="C2421" s="108">
        <v>4.0999999999999996</v>
      </c>
    </row>
    <row r="2422" spans="1:3" x14ac:dyDescent="0.25">
      <c r="A2422" s="108">
        <v>7942</v>
      </c>
      <c r="B2422" s="108" t="s">
        <v>2351</v>
      </c>
      <c r="C2422" s="108">
        <v>4.0999999999999996</v>
      </c>
    </row>
    <row r="2423" spans="1:3" x14ac:dyDescent="0.25">
      <c r="A2423" s="108">
        <v>7943</v>
      </c>
      <c r="B2423" s="108" t="s">
        <v>2352</v>
      </c>
      <c r="C2423" s="108">
        <v>4.0999999999999996</v>
      </c>
    </row>
    <row r="2424" spans="1:3" x14ac:dyDescent="0.25">
      <c r="A2424" s="108">
        <v>7944</v>
      </c>
      <c r="B2424" s="108" t="s">
        <v>2353</v>
      </c>
      <c r="C2424" s="108">
        <v>4.0999999999999996</v>
      </c>
    </row>
    <row r="2425" spans="1:3" x14ac:dyDescent="0.25">
      <c r="A2425" s="108">
        <v>7946</v>
      </c>
      <c r="B2425" s="108" t="s">
        <v>2354</v>
      </c>
      <c r="C2425" s="108">
        <v>4.2</v>
      </c>
    </row>
    <row r="2426" spans="1:3" x14ac:dyDescent="0.25">
      <c r="A2426" s="108">
        <v>7953</v>
      </c>
      <c r="B2426" s="108" t="s">
        <v>2355</v>
      </c>
      <c r="C2426" s="108">
        <v>4.7</v>
      </c>
    </row>
    <row r="2427" spans="1:3" x14ac:dyDescent="0.25">
      <c r="A2427" s="108">
        <v>7964</v>
      </c>
      <c r="B2427" s="108" t="s">
        <v>2356</v>
      </c>
      <c r="C2427" s="108">
        <v>51</v>
      </c>
    </row>
    <row r="2428" spans="1:3" x14ac:dyDescent="0.25">
      <c r="A2428" s="108">
        <v>7989</v>
      </c>
      <c r="B2428" s="108" t="s">
        <v>2357</v>
      </c>
      <c r="C2428" s="108">
        <v>14</v>
      </c>
    </row>
    <row r="2429" spans="1:3" x14ac:dyDescent="0.25">
      <c r="A2429" s="108">
        <v>8014</v>
      </c>
      <c r="B2429" s="108" t="s">
        <v>2358</v>
      </c>
      <c r="C2429" s="108">
        <v>27.5</v>
      </c>
    </row>
    <row r="2430" spans="1:3" x14ac:dyDescent="0.25">
      <c r="A2430" s="108">
        <v>8023</v>
      </c>
      <c r="B2430" s="108" t="s">
        <v>2359</v>
      </c>
      <c r="C2430" s="108">
        <v>365</v>
      </c>
    </row>
    <row r="2431" spans="1:3" x14ac:dyDescent="0.25">
      <c r="A2431" s="108">
        <v>8028</v>
      </c>
      <c r="B2431" s="108" t="s">
        <v>2360</v>
      </c>
      <c r="C2431" s="108">
        <v>18</v>
      </c>
    </row>
    <row r="2432" spans="1:3" ht="30" x14ac:dyDescent="0.25">
      <c r="A2432" s="108">
        <v>8053</v>
      </c>
      <c r="B2432" s="108" t="s">
        <v>2361</v>
      </c>
      <c r="C2432" s="108">
        <v>0.6</v>
      </c>
    </row>
    <row r="2433" spans="1:3" ht="30" x14ac:dyDescent="0.25">
      <c r="A2433" s="108">
        <v>8054</v>
      </c>
      <c r="B2433" s="108" t="s">
        <v>2362</v>
      </c>
      <c r="C2433" s="108">
        <v>26.95</v>
      </c>
    </row>
    <row r="2434" spans="1:3" ht="30" x14ac:dyDescent="0.25">
      <c r="A2434" s="108">
        <v>8055</v>
      </c>
      <c r="B2434" s="108" t="s">
        <v>2363</v>
      </c>
      <c r="C2434" s="108">
        <v>44.64</v>
      </c>
    </row>
    <row r="2435" spans="1:3" x14ac:dyDescent="0.25">
      <c r="A2435" s="108">
        <v>8059</v>
      </c>
      <c r="B2435" s="108" t="s">
        <v>2364</v>
      </c>
      <c r="C2435" s="108">
        <v>18</v>
      </c>
    </row>
    <row r="2436" spans="1:3" x14ac:dyDescent="0.25">
      <c r="A2436" s="108">
        <v>8068</v>
      </c>
      <c r="B2436" s="108" t="s">
        <v>2365</v>
      </c>
      <c r="C2436" s="108">
        <v>93.1</v>
      </c>
    </row>
    <row r="2437" spans="1:3" x14ac:dyDescent="0.25">
      <c r="A2437" s="108">
        <v>8069</v>
      </c>
      <c r="B2437" s="108" t="s">
        <v>2366</v>
      </c>
      <c r="C2437" s="108">
        <v>108</v>
      </c>
    </row>
    <row r="2438" spans="1:3" x14ac:dyDescent="0.25">
      <c r="A2438" s="108">
        <v>8074</v>
      </c>
      <c r="B2438" s="108" t="s">
        <v>2367</v>
      </c>
      <c r="C2438" s="108">
        <v>6.15</v>
      </c>
    </row>
    <row r="2439" spans="1:3" x14ac:dyDescent="0.25">
      <c r="A2439" s="108">
        <v>8075</v>
      </c>
      <c r="B2439" s="108" t="s">
        <v>2368</v>
      </c>
      <c r="C2439" s="108">
        <v>3.5</v>
      </c>
    </row>
    <row r="2440" spans="1:3" x14ac:dyDescent="0.25">
      <c r="A2440" s="108">
        <v>8076</v>
      </c>
      <c r="B2440" s="108" t="s">
        <v>2369</v>
      </c>
      <c r="C2440" s="108">
        <v>2.81</v>
      </c>
    </row>
    <row r="2441" spans="1:3" x14ac:dyDescent="0.25">
      <c r="A2441" s="108">
        <v>8077</v>
      </c>
      <c r="B2441" s="108" t="s">
        <v>2370</v>
      </c>
      <c r="C2441" s="108">
        <v>6.54</v>
      </c>
    </row>
    <row r="2442" spans="1:3" x14ac:dyDescent="0.25">
      <c r="A2442" s="108">
        <v>8078</v>
      </c>
      <c r="B2442" s="108" t="s">
        <v>2371</v>
      </c>
      <c r="C2442" s="108">
        <v>3.79</v>
      </c>
    </row>
    <row r="2443" spans="1:3" x14ac:dyDescent="0.25">
      <c r="A2443" s="108">
        <v>8081</v>
      </c>
      <c r="B2443" s="108" t="s">
        <v>2372</v>
      </c>
      <c r="C2443" s="108">
        <v>18</v>
      </c>
    </row>
    <row r="2444" spans="1:3" x14ac:dyDescent="0.25">
      <c r="A2444" s="108">
        <v>8082</v>
      </c>
      <c r="B2444" s="108" t="s">
        <v>2373</v>
      </c>
      <c r="C2444" s="108">
        <v>18</v>
      </c>
    </row>
    <row r="2445" spans="1:3" x14ac:dyDescent="0.25">
      <c r="A2445" s="108">
        <v>8084</v>
      </c>
      <c r="B2445" s="108" t="s">
        <v>2374</v>
      </c>
      <c r="C2445" s="108">
        <v>2.5</v>
      </c>
    </row>
    <row r="2446" spans="1:3" x14ac:dyDescent="0.25">
      <c r="A2446" s="108">
        <v>8085</v>
      </c>
      <c r="B2446" s="108" t="s">
        <v>2375</v>
      </c>
      <c r="C2446" s="108">
        <v>2.5</v>
      </c>
    </row>
    <row r="2447" spans="1:3" x14ac:dyDescent="0.25">
      <c r="A2447" s="108">
        <v>8086</v>
      </c>
      <c r="B2447" s="108" t="s">
        <v>2376</v>
      </c>
      <c r="C2447" s="108">
        <v>2.16</v>
      </c>
    </row>
    <row r="2448" spans="1:3" x14ac:dyDescent="0.25">
      <c r="A2448" s="108">
        <v>8089</v>
      </c>
      <c r="B2448" s="108" t="s">
        <v>2377</v>
      </c>
      <c r="C2448" s="108">
        <v>356.7</v>
      </c>
    </row>
    <row r="2449" spans="1:3" x14ac:dyDescent="0.25">
      <c r="A2449" s="108">
        <v>8106</v>
      </c>
      <c r="B2449" s="108" t="s">
        <v>2378</v>
      </c>
      <c r="C2449" s="108">
        <v>17.02</v>
      </c>
    </row>
    <row r="2450" spans="1:3" x14ac:dyDescent="0.25">
      <c r="A2450" s="108">
        <v>8112</v>
      </c>
      <c r="B2450" s="108" t="s">
        <v>2379</v>
      </c>
      <c r="C2450" s="108">
        <v>5.7</v>
      </c>
    </row>
    <row r="2451" spans="1:3" x14ac:dyDescent="0.25">
      <c r="A2451" s="108">
        <v>8119</v>
      </c>
      <c r="B2451" s="108" t="s">
        <v>2380</v>
      </c>
      <c r="C2451" s="108">
        <v>20.8</v>
      </c>
    </row>
    <row r="2452" spans="1:3" x14ac:dyDescent="0.25">
      <c r="A2452" s="108">
        <v>8127</v>
      </c>
      <c r="B2452" s="108" t="s">
        <v>2381</v>
      </c>
      <c r="C2452" s="108">
        <v>52</v>
      </c>
    </row>
    <row r="2453" spans="1:3" x14ac:dyDescent="0.25">
      <c r="A2453" s="108">
        <v>8128</v>
      </c>
      <c r="B2453" s="108" t="s">
        <v>2382</v>
      </c>
      <c r="C2453" s="108">
        <v>4.7</v>
      </c>
    </row>
    <row r="2454" spans="1:3" x14ac:dyDescent="0.25">
      <c r="A2454" s="108">
        <v>8132</v>
      </c>
      <c r="B2454" s="108" t="s">
        <v>2383</v>
      </c>
      <c r="C2454" s="108">
        <v>11</v>
      </c>
    </row>
    <row r="2455" spans="1:3" x14ac:dyDescent="0.25">
      <c r="A2455" s="108">
        <v>8133</v>
      </c>
      <c r="B2455" s="108" t="s">
        <v>2384</v>
      </c>
      <c r="C2455" s="108">
        <v>14.49</v>
      </c>
    </row>
    <row r="2456" spans="1:3" x14ac:dyDescent="0.25">
      <c r="A2456" s="108">
        <v>8137</v>
      </c>
      <c r="B2456" s="108" t="s">
        <v>2385</v>
      </c>
      <c r="C2456" s="108">
        <v>26</v>
      </c>
    </row>
    <row r="2457" spans="1:3" x14ac:dyDescent="0.25">
      <c r="A2457" s="108">
        <v>8139</v>
      </c>
      <c r="B2457" s="108" t="s">
        <v>2386</v>
      </c>
      <c r="C2457" s="108">
        <v>12.4</v>
      </c>
    </row>
    <row r="2458" spans="1:3" x14ac:dyDescent="0.25">
      <c r="A2458" s="108">
        <v>8141</v>
      </c>
      <c r="B2458" s="108" t="s">
        <v>2387</v>
      </c>
      <c r="C2458" s="108">
        <v>6.7</v>
      </c>
    </row>
    <row r="2459" spans="1:3" x14ac:dyDescent="0.25">
      <c r="A2459" s="108">
        <v>8145</v>
      </c>
      <c r="B2459" s="108" t="s">
        <v>2388</v>
      </c>
      <c r="C2459" s="108">
        <v>460</v>
      </c>
    </row>
    <row r="2460" spans="1:3" x14ac:dyDescent="0.25">
      <c r="A2460" s="108">
        <v>8147</v>
      </c>
      <c r="B2460" s="108" t="s">
        <v>2389</v>
      </c>
      <c r="C2460" s="108">
        <v>299</v>
      </c>
    </row>
    <row r="2461" spans="1:3" x14ac:dyDescent="0.25">
      <c r="A2461" s="108">
        <v>8150</v>
      </c>
      <c r="B2461" s="108" t="s">
        <v>2390</v>
      </c>
      <c r="C2461" s="108">
        <v>2.8</v>
      </c>
    </row>
    <row r="2462" spans="1:3" x14ac:dyDescent="0.25">
      <c r="A2462" s="108">
        <v>8151</v>
      </c>
      <c r="B2462" s="108" t="s">
        <v>2391</v>
      </c>
      <c r="C2462" s="108">
        <v>7.13</v>
      </c>
    </row>
    <row r="2463" spans="1:3" x14ac:dyDescent="0.25">
      <c r="A2463" s="108">
        <v>8154</v>
      </c>
      <c r="B2463" s="108" t="s">
        <v>2392</v>
      </c>
      <c r="C2463" s="108">
        <v>57.82</v>
      </c>
    </row>
    <row r="2464" spans="1:3" x14ac:dyDescent="0.25">
      <c r="A2464" s="108">
        <v>8155</v>
      </c>
      <c r="B2464" s="108" t="s">
        <v>2393</v>
      </c>
      <c r="C2464" s="108">
        <v>3.5</v>
      </c>
    </row>
    <row r="2465" spans="1:3" x14ac:dyDescent="0.25">
      <c r="A2465" s="108">
        <v>8159</v>
      </c>
      <c r="B2465" s="108" t="s">
        <v>2394</v>
      </c>
      <c r="C2465" s="108">
        <v>6.71</v>
      </c>
    </row>
    <row r="2466" spans="1:3" x14ac:dyDescent="0.25">
      <c r="A2466" s="108">
        <v>8162</v>
      </c>
      <c r="B2466" s="108" t="s">
        <v>2395</v>
      </c>
      <c r="C2466" s="108">
        <v>12.23</v>
      </c>
    </row>
    <row r="2467" spans="1:3" x14ac:dyDescent="0.25">
      <c r="A2467" s="108">
        <v>8163</v>
      </c>
      <c r="B2467" s="108" t="s">
        <v>2396</v>
      </c>
      <c r="C2467" s="108">
        <v>8.25</v>
      </c>
    </row>
    <row r="2468" spans="1:3" x14ac:dyDescent="0.25">
      <c r="A2468" s="108">
        <v>8166</v>
      </c>
      <c r="B2468" s="108" t="s">
        <v>2397</v>
      </c>
      <c r="C2468" s="108">
        <v>58</v>
      </c>
    </row>
    <row r="2469" spans="1:3" x14ac:dyDescent="0.25">
      <c r="A2469" s="108">
        <v>8167</v>
      </c>
      <c r="B2469" s="108" t="s">
        <v>2398</v>
      </c>
      <c r="C2469" s="108">
        <v>35.17</v>
      </c>
    </row>
    <row r="2470" spans="1:3" x14ac:dyDescent="0.25">
      <c r="A2470" s="108">
        <v>8172</v>
      </c>
      <c r="B2470" s="108" t="s">
        <v>2399</v>
      </c>
      <c r="C2470" s="108">
        <v>39.520000000000003</v>
      </c>
    </row>
    <row r="2471" spans="1:3" x14ac:dyDescent="0.25">
      <c r="A2471" s="108">
        <v>8173</v>
      </c>
      <c r="B2471" s="108" t="s">
        <v>2400</v>
      </c>
      <c r="C2471" s="108">
        <v>21.4</v>
      </c>
    </row>
    <row r="2472" spans="1:3" x14ac:dyDescent="0.25">
      <c r="A2472" s="108">
        <v>8174</v>
      </c>
      <c r="B2472" s="108" t="s">
        <v>2401</v>
      </c>
      <c r="C2472" s="108">
        <v>3.65</v>
      </c>
    </row>
    <row r="2473" spans="1:3" x14ac:dyDescent="0.25">
      <c r="A2473" s="108">
        <v>8175</v>
      </c>
      <c r="B2473" s="108" t="s">
        <v>2402</v>
      </c>
      <c r="C2473" s="108">
        <v>14.45</v>
      </c>
    </row>
    <row r="2474" spans="1:3" x14ac:dyDescent="0.25">
      <c r="A2474" s="108">
        <v>8178</v>
      </c>
      <c r="B2474" s="108" t="s">
        <v>2403</v>
      </c>
      <c r="C2474" s="108">
        <v>23.44</v>
      </c>
    </row>
    <row r="2475" spans="1:3" x14ac:dyDescent="0.25">
      <c r="A2475" s="108">
        <v>8179</v>
      </c>
      <c r="B2475" s="108" t="s">
        <v>2404</v>
      </c>
      <c r="C2475" s="108">
        <v>21.11</v>
      </c>
    </row>
    <row r="2476" spans="1:3" x14ac:dyDescent="0.25">
      <c r="A2476" s="108">
        <v>8180</v>
      </c>
      <c r="B2476" s="108" t="s">
        <v>2405</v>
      </c>
      <c r="C2476" s="108">
        <v>3.5</v>
      </c>
    </row>
    <row r="2477" spans="1:3" x14ac:dyDescent="0.25">
      <c r="A2477" s="108">
        <v>8183</v>
      </c>
      <c r="B2477" s="108" t="s">
        <v>2406</v>
      </c>
      <c r="C2477" s="108">
        <v>30.46</v>
      </c>
    </row>
    <row r="2478" spans="1:3" x14ac:dyDescent="0.25">
      <c r="A2478" s="108">
        <v>8184</v>
      </c>
      <c r="B2478" s="108" t="s">
        <v>2407</v>
      </c>
      <c r="C2478" s="108">
        <v>25.81</v>
      </c>
    </row>
    <row r="2479" spans="1:3" x14ac:dyDescent="0.25">
      <c r="A2479" s="108">
        <v>8185</v>
      </c>
      <c r="B2479" s="108" t="s">
        <v>2408</v>
      </c>
      <c r="C2479" s="108">
        <v>5.72</v>
      </c>
    </row>
    <row r="2480" spans="1:3" x14ac:dyDescent="0.25">
      <c r="A2480" s="108">
        <v>8186</v>
      </c>
      <c r="B2480" s="108" t="s">
        <v>2409</v>
      </c>
      <c r="C2480" s="108">
        <v>13.72</v>
      </c>
    </row>
    <row r="2481" spans="1:3" x14ac:dyDescent="0.25">
      <c r="A2481" s="108">
        <v>8187</v>
      </c>
      <c r="B2481" s="108" t="s">
        <v>2410</v>
      </c>
      <c r="C2481" s="108">
        <v>40.299999999999997</v>
      </c>
    </row>
    <row r="2482" spans="1:3" x14ac:dyDescent="0.25">
      <c r="A2482" s="108">
        <v>8188</v>
      </c>
      <c r="B2482" s="108" t="s">
        <v>2411</v>
      </c>
      <c r="C2482" s="108">
        <v>63.55</v>
      </c>
    </row>
    <row r="2483" spans="1:3" x14ac:dyDescent="0.25">
      <c r="A2483" s="108">
        <v>8208</v>
      </c>
      <c r="B2483" s="108" t="s">
        <v>2412</v>
      </c>
      <c r="C2483" s="108">
        <v>40</v>
      </c>
    </row>
    <row r="2484" spans="1:3" x14ac:dyDescent="0.25">
      <c r="A2484" s="108">
        <v>8212</v>
      </c>
      <c r="B2484" s="108" t="s">
        <v>2413</v>
      </c>
      <c r="C2484" s="108">
        <v>33</v>
      </c>
    </row>
    <row r="2485" spans="1:3" x14ac:dyDescent="0.25">
      <c r="A2485" s="108">
        <v>8462</v>
      </c>
      <c r="B2485" s="108" t="s">
        <v>2414</v>
      </c>
      <c r="C2485" s="108">
        <v>22</v>
      </c>
    </row>
    <row r="2486" spans="1:3" x14ac:dyDescent="0.25">
      <c r="A2486" s="108">
        <v>8472</v>
      </c>
      <c r="B2486" s="108" t="s">
        <v>2415</v>
      </c>
      <c r="C2486" s="108">
        <v>2</v>
      </c>
    </row>
    <row r="2487" spans="1:3" x14ac:dyDescent="0.25">
      <c r="A2487" s="108">
        <v>8473</v>
      </c>
      <c r="B2487" s="108" t="s">
        <v>2416</v>
      </c>
      <c r="C2487" s="108">
        <v>4.0999999999999996</v>
      </c>
    </row>
    <row r="2488" spans="1:3" x14ac:dyDescent="0.25">
      <c r="A2488" s="108">
        <v>8495</v>
      </c>
      <c r="B2488" s="108" t="s">
        <v>2417</v>
      </c>
      <c r="C2488" s="108">
        <v>659.88</v>
      </c>
    </row>
    <row r="2489" spans="1:3" x14ac:dyDescent="0.25">
      <c r="A2489" s="108">
        <v>8502</v>
      </c>
      <c r="B2489" s="108" t="s">
        <v>2418</v>
      </c>
      <c r="C2489" s="108">
        <v>24.55</v>
      </c>
    </row>
    <row r="2490" spans="1:3" x14ac:dyDescent="0.25">
      <c r="A2490" s="108">
        <v>8503</v>
      </c>
      <c r="B2490" s="108" t="s">
        <v>2419</v>
      </c>
      <c r="C2490" s="108">
        <v>42.63</v>
      </c>
    </row>
    <row r="2491" spans="1:3" x14ac:dyDescent="0.25">
      <c r="A2491" s="108">
        <v>8504</v>
      </c>
      <c r="B2491" s="108" t="s">
        <v>2420</v>
      </c>
      <c r="C2491" s="108">
        <v>45.48</v>
      </c>
    </row>
    <row r="2492" spans="1:3" x14ac:dyDescent="0.25">
      <c r="A2492" s="108">
        <v>8506</v>
      </c>
      <c r="B2492" s="108" t="s">
        <v>2421</v>
      </c>
      <c r="C2492" s="108">
        <v>18.63</v>
      </c>
    </row>
    <row r="2493" spans="1:3" x14ac:dyDescent="0.25">
      <c r="A2493" s="108">
        <v>8507</v>
      </c>
      <c r="B2493" s="108" t="s">
        <v>2422</v>
      </c>
      <c r="C2493" s="108">
        <v>24.02</v>
      </c>
    </row>
    <row r="2494" spans="1:3" x14ac:dyDescent="0.25">
      <c r="A2494" s="108">
        <v>8508</v>
      </c>
      <c r="B2494" s="108" t="s">
        <v>2423</v>
      </c>
      <c r="C2494" s="108">
        <v>28</v>
      </c>
    </row>
    <row r="2495" spans="1:3" x14ac:dyDescent="0.25">
      <c r="A2495" s="108">
        <v>8511</v>
      </c>
      <c r="B2495" s="108" t="s">
        <v>2424</v>
      </c>
      <c r="C2495" s="108">
        <v>0.01</v>
      </c>
    </row>
    <row r="2496" spans="1:3" x14ac:dyDescent="0.25">
      <c r="A2496" s="108">
        <v>8512</v>
      </c>
      <c r="B2496" s="108" t="s">
        <v>2425</v>
      </c>
      <c r="C2496" s="108">
        <v>9.67</v>
      </c>
    </row>
    <row r="2497" spans="1:3" x14ac:dyDescent="0.25">
      <c r="A2497" s="108">
        <v>8513</v>
      </c>
      <c r="B2497" s="108" t="s">
        <v>2426</v>
      </c>
      <c r="C2497" s="108">
        <v>108</v>
      </c>
    </row>
    <row r="2498" spans="1:3" x14ac:dyDescent="0.25">
      <c r="A2498" s="108">
        <v>8523</v>
      </c>
      <c r="B2498" s="108" t="s">
        <v>2427</v>
      </c>
      <c r="C2498" s="108">
        <v>45.3</v>
      </c>
    </row>
    <row r="2499" spans="1:3" x14ac:dyDescent="0.25">
      <c r="A2499" s="108">
        <v>8532</v>
      </c>
      <c r="B2499" s="108" t="s">
        <v>2428</v>
      </c>
      <c r="C2499" s="108">
        <v>37.26</v>
      </c>
    </row>
    <row r="2500" spans="1:3" x14ac:dyDescent="0.25">
      <c r="A2500" s="108">
        <v>8533</v>
      </c>
      <c r="B2500" s="108" t="s">
        <v>2429</v>
      </c>
      <c r="C2500" s="108">
        <v>2.6</v>
      </c>
    </row>
    <row r="2501" spans="1:3" x14ac:dyDescent="0.25">
      <c r="A2501" s="108">
        <v>8534</v>
      </c>
      <c r="B2501" s="108" t="s">
        <v>2430</v>
      </c>
      <c r="C2501" s="108">
        <v>6.53</v>
      </c>
    </row>
    <row r="2502" spans="1:3" x14ac:dyDescent="0.25">
      <c r="A2502" s="108">
        <v>8535</v>
      </c>
      <c r="B2502" s="108" t="s">
        <v>2431</v>
      </c>
      <c r="C2502" s="108">
        <v>5.5</v>
      </c>
    </row>
    <row r="2503" spans="1:3" ht="30" x14ac:dyDescent="0.25">
      <c r="A2503" s="108">
        <v>8536</v>
      </c>
      <c r="B2503" s="108" t="s">
        <v>2432</v>
      </c>
      <c r="C2503" s="108">
        <v>3.55</v>
      </c>
    </row>
    <row r="2504" spans="1:3" ht="30" x14ac:dyDescent="0.25">
      <c r="A2504" s="108">
        <v>8537</v>
      </c>
      <c r="B2504" s="108" t="s">
        <v>2433</v>
      </c>
      <c r="C2504" s="108">
        <v>3.21</v>
      </c>
    </row>
    <row r="2505" spans="1:3" x14ac:dyDescent="0.25">
      <c r="A2505" s="108">
        <v>8538</v>
      </c>
      <c r="B2505" s="108" t="s">
        <v>2434</v>
      </c>
      <c r="C2505" s="108">
        <v>18.940000000000001</v>
      </c>
    </row>
    <row r="2506" spans="1:3" x14ac:dyDescent="0.25">
      <c r="A2506" s="108">
        <v>8539</v>
      </c>
      <c r="B2506" s="108" t="s">
        <v>2435</v>
      </c>
      <c r="C2506" s="108">
        <v>4.99</v>
      </c>
    </row>
    <row r="2507" spans="1:3" x14ac:dyDescent="0.25">
      <c r="A2507" s="108">
        <v>8540</v>
      </c>
      <c r="B2507" s="108" t="s">
        <v>2436</v>
      </c>
      <c r="C2507" s="108">
        <v>3.37</v>
      </c>
    </row>
    <row r="2508" spans="1:3" x14ac:dyDescent="0.25">
      <c r="A2508" s="108">
        <v>8541</v>
      </c>
      <c r="B2508" s="108" t="s">
        <v>2437</v>
      </c>
      <c r="C2508" s="108">
        <v>4.3</v>
      </c>
    </row>
    <row r="2509" spans="1:3" x14ac:dyDescent="0.25">
      <c r="A2509" s="108">
        <v>8542</v>
      </c>
      <c r="B2509" s="108" t="s">
        <v>2438</v>
      </c>
      <c r="C2509" s="108">
        <v>6.9</v>
      </c>
    </row>
    <row r="2510" spans="1:3" x14ac:dyDescent="0.25">
      <c r="A2510" s="108">
        <v>8543</v>
      </c>
      <c r="B2510" s="108" t="s">
        <v>2439</v>
      </c>
      <c r="C2510" s="108">
        <v>4.5</v>
      </c>
    </row>
    <row r="2511" spans="1:3" ht="30" x14ac:dyDescent="0.25">
      <c r="A2511" s="108">
        <v>8544</v>
      </c>
      <c r="B2511" s="108" t="s">
        <v>2440</v>
      </c>
      <c r="C2511" s="108">
        <v>35.69</v>
      </c>
    </row>
    <row r="2512" spans="1:3" x14ac:dyDescent="0.25">
      <c r="A2512" s="108">
        <v>8545</v>
      </c>
      <c r="B2512" s="108" t="s">
        <v>2441</v>
      </c>
      <c r="C2512" s="108">
        <v>64.83</v>
      </c>
    </row>
    <row r="2513" spans="1:3" x14ac:dyDescent="0.25">
      <c r="A2513" s="108">
        <v>8546</v>
      </c>
      <c r="B2513" s="108" t="s">
        <v>2442</v>
      </c>
      <c r="C2513" s="108">
        <v>64.02</v>
      </c>
    </row>
    <row r="2514" spans="1:3" x14ac:dyDescent="0.25">
      <c r="A2514" s="108">
        <v>8547</v>
      </c>
      <c r="B2514" s="108" t="s">
        <v>2443</v>
      </c>
      <c r="C2514" s="108">
        <v>93.94</v>
      </c>
    </row>
    <row r="2515" spans="1:3" x14ac:dyDescent="0.25">
      <c r="A2515" s="108">
        <v>8548</v>
      </c>
      <c r="B2515" s="108" t="s">
        <v>2444</v>
      </c>
      <c r="C2515" s="108">
        <v>15</v>
      </c>
    </row>
    <row r="2516" spans="1:3" x14ac:dyDescent="0.25">
      <c r="A2516" s="108">
        <v>8549</v>
      </c>
      <c r="B2516" s="108" t="s">
        <v>2445</v>
      </c>
      <c r="C2516" s="108">
        <v>5.0599999999999996</v>
      </c>
    </row>
    <row r="2517" spans="1:3" x14ac:dyDescent="0.25">
      <c r="A2517" s="108">
        <v>8550</v>
      </c>
      <c r="B2517" s="108" t="s">
        <v>2446</v>
      </c>
      <c r="C2517" s="108">
        <v>5.34</v>
      </c>
    </row>
    <row r="2518" spans="1:3" x14ac:dyDescent="0.25">
      <c r="A2518" s="108">
        <v>8551</v>
      </c>
      <c r="B2518" s="108" t="s">
        <v>2447</v>
      </c>
      <c r="C2518" s="108">
        <v>20.010000000000002</v>
      </c>
    </row>
    <row r="2519" spans="1:3" x14ac:dyDescent="0.25">
      <c r="A2519" s="108">
        <v>8552</v>
      </c>
      <c r="B2519" s="108" t="s">
        <v>2448</v>
      </c>
      <c r="C2519" s="108">
        <v>74</v>
      </c>
    </row>
    <row r="2520" spans="1:3" x14ac:dyDescent="0.25">
      <c r="A2520" s="108">
        <v>8553</v>
      </c>
      <c r="B2520" s="108" t="s">
        <v>2449</v>
      </c>
      <c r="C2520" s="108">
        <v>18.260000000000002</v>
      </c>
    </row>
    <row r="2521" spans="1:3" x14ac:dyDescent="0.25">
      <c r="A2521" s="108">
        <v>8554</v>
      </c>
      <c r="B2521" s="108" t="s">
        <v>2450</v>
      </c>
      <c r="C2521" s="108">
        <v>3.22</v>
      </c>
    </row>
    <row r="2522" spans="1:3" x14ac:dyDescent="0.25">
      <c r="A2522" s="108">
        <v>8555</v>
      </c>
      <c r="B2522" s="108" t="s">
        <v>2451</v>
      </c>
      <c r="C2522" s="108">
        <v>10.91</v>
      </c>
    </row>
    <row r="2523" spans="1:3" x14ac:dyDescent="0.25">
      <c r="A2523" s="108">
        <v>8556</v>
      </c>
      <c r="B2523" s="108" t="s">
        <v>2452</v>
      </c>
      <c r="C2523" s="108">
        <v>12.21</v>
      </c>
    </row>
    <row r="2524" spans="1:3" x14ac:dyDescent="0.25">
      <c r="A2524" s="108">
        <v>8557</v>
      </c>
      <c r="B2524" s="108" t="s">
        <v>2453</v>
      </c>
      <c r="C2524" s="108">
        <v>11.07</v>
      </c>
    </row>
    <row r="2525" spans="1:3" x14ac:dyDescent="0.25">
      <c r="A2525" s="108">
        <v>8558</v>
      </c>
      <c r="B2525" s="108" t="s">
        <v>2454</v>
      </c>
      <c r="C2525" s="108">
        <v>6.56</v>
      </c>
    </row>
    <row r="2526" spans="1:3" x14ac:dyDescent="0.25">
      <c r="A2526" s="108">
        <v>8559</v>
      </c>
      <c r="B2526" s="108" t="s">
        <v>2455</v>
      </c>
      <c r="C2526" s="108">
        <v>7.74</v>
      </c>
    </row>
    <row r="2527" spans="1:3" x14ac:dyDescent="0.25">
      <c r="A2527" s="108">
        <v>8560</v>
      </c>
      <c r="B2527" s="108" t="s">
        <v>2456</v>
      </c>
      <c r="C2527" s="108">
        <v>25.68</v>
      </c>
    </row>
    <row r="2528" spans="1:3" x14ac:dyDescent="0.25">
      <c r="A2528" s="108">
        <v>8644</v>
      </c>
      <c r="B2528" s="108" t="s">
        <v>2457</v>
      </c>
      <c r="C2528" s="108">
        <v>24.84</v>
      </c>
    </row>
    <row r="2529" spans="1:3" x14ac:dyDescent="0.25">
      <c r="A2529" s="108">
        <v>8700</v>
      </c>
      <c r="B2529" s="108" t="s">
        <v>14254</v>
      </c>
      <c r="C2529" s="108">
        <v>87</v>
      </c>
    </row>
    <row r="2530" spans="1:3" x14ac:dyDescent="0.25">
      <c r="A2530" s="108">
        <v>8705</v>
      </c>
      <c r="B2530" s="108" t="s">
        <v>2458</v>
      </c>
      <c r="C2530" s="108">
        <v>798.17</v>
      </c>
    </row>
    <row r="2531" spans="1:3" x14ac:dyDescent="0.25">
      <c r="A2531" s="108">
        <v>8706</v>
      </c>
      <c r="B2531" s="108" t="s">
        <v>2459</v>
      </c>
      <c r="C2531" s="110">
        <v>1680</v>
      </c>
    </row>
    <row r="2532" spans="1:3" x14ac:dyDescent="0.25">
      <c r="A2532" s="108">
        <v>8709</v>
      </c>
      <c r="B2532" s="108" t="s">
        <v>2460</v>
      </c>
      <c r="C2532" s="108">
        <v>240</v>
      </c>
    </row>
    <row r="2533" spans="1:3" x14ac:dyDescent="0.25">
      <c r="A2533" s="108">
        <v>8715</v>
      </c>
      <c r="B2533" s="108" t="s">
        <v>3057</v>
      </c>
      <c r="C2533" s="108">
        <v>15</v>
      </c>
    </row>
    <row r="2534" spans="1:3" x14ac:dyDescent="0.25">
      <c r="A2534" s="108">
        <v>8724</v>
      </c>
      <c r="B2534" s="108" t="s">
        <v>2461</v>
      </c>
      <c r="C2534" s="108">
        <v>577.25</v>
      </c>
    </row>
    <row r="2535" spans="1:3" x14ac:dyDescent="0.25">
      <c r="A2535" s="108">
        <v>8729</v>
      </c>
      <c r="B2535" s="108" t="s">
        <v>2462</v>
      </c>
      <c r="C2535" s="108">
        <v>67.47</v>
      </c>
    </row>
    <row r="2536" spans="1:3" x14ac:dyDescent="0.25">
      <c r="A2536" s="108">
        <v>8730</v>
      </c>
      <c r="B2536" s="108" t="s">
        <v>2463</v>
      </c>
      <c r="C2536" s="108">
        <v>0.28000000000000003</v>
      </c>
    </row>
    <row r="2537" spans="1:3" x14ac:dyDescent="0.25">
      <c r="A2537" s="108">
        <v>8731</v>
      </c>
      <c r="B2537" s="108" t="s">
        <v>2464</v>
      </c>
      <c r="C2537" s="108">
        <v>0.5</v>
      </c>
    </row>
    <row r="2538" spans="1:3" x14ac:dyDescent="0.25">
      <c r="A2538" s="108">
        <v>8732</v>
      </c>
      <c r="B2538" s="108" t="s">
        <v>2465</v>
      </c>
      <c r="C2538" s="108">
        <v>0.13</v>
      </c>
    </row>
    <row r="2539" spans="1:3" x14ac:dyDescent="0.25">
      <c r="A2539" s="108">
        <v>8733</v>
      </c>
      <c r="B2539" s="108" t="s">
        <v>2466</v>
      </c>
      <c r="C2539" s="108">
        <v>39.82</v>
      </c>
    </row>
    <row r="2540" spans="1:3" x14ac:dyDescent="0.25">
      <c r="A2540" s="108">
        <v>8734</v>
      </c>
      <c r="B2540" s="108" t="s">
        <v>2467</v>
      </c>
      <c r="C2540" s="108">
        <v>0.56999999999999995</v>
      </c>
    </row>
    <row r="2541" spans="1:3" x14ac:dyDescent="0.25">
      <c r="A2541" s="108">
        <v>8735</v>
      </c>
      <c r="B2541" s="108" t="s">
        <v>2468</v>
      </c>
      <c r="C2541" s="108">
        <v>21.45</v>
      </c>
    </row>
    <row r="2542" spans="1:3" x14ac:dyDescent="0.25">
      <c r="A2542" s="108">
        <v>8736</v>
      </c>
      <c r="B2542" s="108" t="s">
        <v>2469</v>
      </c>
      <c r="C2542" s="108">
        <v>5.96</v>
      </c>
    </row>
    <row r="2543" spans="1:3" x14ac:dyDescent="0.25">
      <c r="A2543" s="108">
        <v>8737</v>
      </c>
      <c r="B2543" s="108" t="s">
        <v>2470</v>
      </c>
      <c r="C2543" s="108">
        <v>12.13</v>
      </c>
    </row>
    <row r="2544" spans="1:3" ht="30" x14ac:dyDescent="0.25">
      <c r="A2544" s="108">
        <v>8738</v>
      </c>
      <c r="B2544" s="108" t="s">
        <v>2471</v>
      </c>
      <c r="C2544" s="108">
        <v>1.1399999999999999</v>
      </c>
    </row>
    <row r="2545" spans="1:3" x14ac:dyDescent="0.25">
      <c r="A2545" s="108">
        <v>8739</v>
      </c>
      <c r="B2545" s="108" t="s">
        <v>2472</v>
      </c>
      <c r="C2545" s="108">
        <v>0.42</v>
      </c>
    </row>
    <row r="2546" spans="1:3" x14ac:dyDescent="0.25">
      <c r="A2546" s="108">
        <v>8740</v>
      </c>
      <c r="B2546" s="108" t="s">
        <v>2473</v>
      </c>
      <c r="C2546" s="108">
        <v>85.13</v>
      </c>
    </row>
    <row r="2547" spans="1:3" ht="30" x14ac:dyDescent="0.25">
      <c r="A2547" s="108">
        <v>8741</v>
      </c>
      <c r="B2547" s="108" t="s">
        <v>2474</v>
      </c>
      <c r="C2547" s="108">
        <v>9.68</v>
      </c>
    </row>
    <row r="2548" spans="1:3" x14ac:dyDescent="0.25">
      <c r="A2548" s="108">
        <v>8742</v>
      </c>
      <c r="B2548" s="108" t="s">
        <v>2475</v>
      </c>
      <c r="C2548" s="108">
        <v>17.22</v>
      </c>
    </row>
    <row r="2549" spans="1:3" x14ac:dyDescent="0.25">
      <c r="A2549" s="108">
        <v>8743</v>
      </c>
      <c r="B2549" s="108" t="s">
        <v>2476</v>
      </c>
      <c r="C2549" s="108">
        <v>3.54</v>
      </c>
    </row>
    <row r="2550" spans="1:3" x14ac:dyDescent="0.25">
      <c r="A2550" s="108">
        <v>8744</v>
      </c>
      <c r="B2550" s="108" t="s">
        <v>2477</v>
      </c>
      <c r="C2550" s="108">
        <v>4.0199999999999996</v>
      </c>
    </row>
    <row r="2551" spans="1:3" x14ac:dyDescent="0.25">
      <c r="A2551" s="108">
        <v>8745</v>
      </c>
      <c r="B2551" s="108" t="s">
        <v>2478</v>
      </c>
      <c r="C2551" s="108">
        <v>0.76</v>
      </c>
    </row>
    <row r="2552" spans="1:3" x14ac:dyDescent="0.25">
      <c r="A2552" s="108">
        <v>8746</v>
      </c>
      <c r="B2552" s="108" t="s">
        <v>2479</v>
      </c>
      <c r="C2552" s="108">
        <v>0.5</v>
      </c>
    </row>
    <row r="2553" spans="1:3" x14ac:dyDescent="0.25">
      <c r="A2553" s="108">
        <v>8749</v>
      </c>
      <c r="B2553" s="108" t="s">
        <v>2480</v>
      </c>
      <c r="C2553" s="108">
        <v>3.15</v>
      </c>
    </row>
    <row r="2554" spans="1:3" x14ac:dyDescent="0.25">
      <c r="A2554" s="108">
        <v>8750</v>
      </c>
      <c r="B2554" s="108" t="s">
        <v>2481</v>
      </c>
      <c r="C2554" s="108">
        <v>22.15</v>
      </c>
    </row>
    <row r="2555" spans="1:3" ht="30" x14ac:dyDescent="0.25">
      <c r="A2555" s="108">
        <v>8751</v>
      </c>
      <c r="B2555" s="108" t="s">
        <v>2482</v>
      </c>
      <c r="C2555" s="108">
        <v>0.76</v>
      </c>
    </row>
    <row r="2556" spans="1:3" x14ac:dyDescent="0.25">
      <c r="A2556" s="108">
        <v>8752</v>
      </c>
      <c r="B2556" s="108" t="s">
        <v>2483</v>
      </c>
      <c r="C2556" s="108">
        <v>114.59</v>
      </c>
    </row>
    <row r="2557" spans="1:3" x14ac:dyDescent="0.25">
      <c r="A2557" s="108">
        <v>8753</v>
      </c>
      <c r="B2557" s="108" t="s">
        <v>2484</v>
      </c>
      <c r="C2557" s="108">
        <v>2.65</v>
      </c>
    </row>
    <row r="2558" spans="1:3" x14ac:dyDescent="0.25">
      <c r="A2558" s="108">
        <v>8754</v>
      </c>
      <c r="B2558" s="108" t="s">
        <v>2485</v>
      </c>
      <c r="C2558" s="108">
        <v>0.17</v>
      </c>
    </row>
    <row r="2559" spans="1:3" x14ac:dyDescent="0.25">
      <c r="A2559" s="108">
        <v>8755</v>
      </c>
      <c r="B2559" s="108" t="s">
        <v>2486</v>
      </c>
      <c r="C2559" s="108">
        <v>1.6</v>
      </c>
    </row>
    <row r="2560" spans="1:3" x14ac:dyDescent="0.25">
      <c r="A2560" s="108">
        <v>8756</v>
      </c>
      <c r="B2560" s="108" t="s">
        <v>2487</v>
      </c>
      <c r="C2560" s="108">
        <v>10.53</v>
      </c>
    </row>
    <row r="2561" spans="1:3" x14ac:dyDescent="0.25">
      <c r="A2561" s="108">
        <v>8757</v>
      </c>
      <c r="B2561" s="108" t="s">
        <v>2488</v>
      </c>
      <c r="C2561" s="108">
        <v>4.09</v>
      </c>
    </row>
    <row r="2562" spans="1:3" x14ac:dyDescent="0.25">
      <c r="A2562" s="108">
        <v>8759</v>
      </c>
      <c r="B2562" s="108" t="s">
        <v>2489</v>
      </c>
      <c r="C2562" s="108">
        <v>0.64</v>
      </c>
    </row>
    <row r="2563" spans="1:3" x14ac:dyDescent="0.25">
      <c r="A2563" s="108">
        <v>8760</v>
      </c>
      <c r="B2563" s="108" t="s">
        <v>2490</v>
      </c>
      <c r="C2563" s="108">
        <v>0.1</v>
      </c>
    </row>
    <row r="2564" spans="1:3" ht="30" x14ac:dyDescent="0.25">
      <c r="A2564" s="108">
        <v>8761</v>
      </c>
      <c r="B2564" s="108" t="s">
        <v>2491</v>
      </c>
      <c r="C2564" s="108">
        <v>12.06</v>
      </c>
    </row>
    <row r="2565" spans="1:3" x14ac:dyDescent="0.25">
      <c r="A2565" s="108">
        <v>8762</v>
      </c>
      <c r="B2565" s="108" t="s">
        <v>2492</v>
      </c>
      <c r="C2565" s="108">
        <v>0.52</v>
      </c>
    </row>
    <row r="2566" spans="1:3" x14ac:dyDescent="0.25">
      <c r="A2566" s="108">
        <v>8763</v>
      </c>
      <c r="B2566" s="108" t="s">
        <v>2493</v>
      </c>
      <c r="C2566" s="108">
        <v>14.03</v>
      </c>
    </row>
    <row r="2567" spans="1:3" x14ac:dyDescent="0.25">
      <c r="A2567" s="108">
        <v>8764</v>
      </c>
      <c r="B2567" s="108" t="s">
        <v>2494</v>
      </c>
      <c r="C2567" s="108">
        <v>0.86</v>
      </c>
    </row>
    <row r="2568" spans="1:3" x14ac:dyDescent="0.25">
      <c r="A2568" s="108">
        <v>8765</v>
      </c>
      <c r="B2568" s="108" t="s">
        <v>2495</v>
      </c>
      <c r="C2568" s="108">
        <v>1.4</v>
      </c>
    </row>
    <row r="2569" spans="1:3" x14ac:dyDescent="0.25">
      <c r="A2569" s="108">
        <v>8767</v>
      </c>
      <c r="B2569" s="108" t="s">
        <v>2496</v>
      </c>
      <c r="C2569" s="108">
        <v>8.7899999999999991</v>
      </c>
    </row>
    <row r="2570" spans="1:3" x14ac:dyDescent="0.25">
      <c r="A2570" s="108">
        <v>8768</v>
      </c>
      <c r="B2570" s="108" t="s">
        <v>2497</v>
      </c>
      <c r="C2570" s="108">
        <v>0.1</v>
      </c>
    </row>
    <row r="2571" spans="1:3" x14ac:dyDescent="0.25">
      <c r="A2571" s="108">
        <v>8769</v>
      </c>
      <c r="B2571" s="108" t="s">
        <v>2498</v>
      </c>
      <c r="C2571" s="108">
        <v>0.1</v>
      </c>
    </row>
    <row r="2572" spans="1:3" x14ac:dyDescent="0.25">
      <c r="A2572" s="108">
        <v>8771</v>
      </c>
      <c r="B2572" s="108" t="s">
        <v>2499</v>
      </c>
      <c r="C2572" s="108">
        <v>0.11</v>
      </c>
    </row>
    <row r="2573" spans="1:3" x14ac:dyDescent="0.25">
      <c r="A2573" s="108">
        <v>8772</v>
      </c>
      <c r="B2573" s="108" t="s">
        <v>2500</v>
      </c>
      <c r="C2573" s="108">
        <v>0.1</v>
      </c>
    </row>
    <row r="2574" spans="1:3" x14ac:dyDescent="0.25">
      <c r="A2574" s="108">
        <v>8773</v>
      </c>
      <c r="B2574" s="108" t="s">
        <v>2501</v>
      </c>
      <c r="C2574" s="108">
        <v>8.4</v>
      </c>
    </row>
    <row r="2575" spans="1:3" x14ac:dyDescent="0.25">
      <c r="A2575" s="108">
        <v>8775</v>
      </c>
      <c r="B2575" s="108" t="s">
        <v>2502</v>
      </c>
      <c r="C2575" s="108">
        <v>0.11</v>
      </c>
    </row>
    <row r="2576" spans="1:3" x14ac:dyDescent="0.25">
      <c r="A2576" s="108">
        <v>8776</v>
      </c>
      <c r="B2576" s="108" t="s">
        <v>2503</v>
      </c>
      <c r="C2576" s="108">
        <v>0.11</v>
      </c>
    </row>
    <row r="2577" spans="1:3" x14ac:dyDescent="0.25">
      <c r="A2577" s="108">
        <v>8778</v>
      </c>
      <c r="B2577" s="108" t="s">
        <v>2485</v>
      </c>
      <c r="C2577" s="108">
        <v>0.18</v>
      </c>
    </row>
    <row r="2578" spans="1:3" x14ac:dyDescent="0.25">
      <c r="A2578" s="108">
        <v>8779</v>
      </c>
      <c r="B2578" s="108" t="s">
        <v>2504</v>
      </c>
      <c r="C2578" s="108">
        <v>3.4</v>
      </c>
    </row>
    <row r="2579" spans="1:3" x14ac:dyDescent="0.25">
      <c r="A2579" s="108">
        <v>8780</v>
      </c>
      <c r="B2579" s="108" t="s">
        <v>2505</v>
      </c>
      <c r="C2579" s="108">
        <v>1.2</v>
      </c>
    </row>
    <row r="2580" spans="1:3" x14ac:dyDescent="0.25">
      <c r="A2580" s="108">
        <v>8781</v>
      </c>
      <c r="B2580" s="108" t="s">
        <v>2506</v>
      </c>
      <c r="C2580" s="108">
        <v>0.5</v>
      </c>
    </row>
    <row r="2581" spans="1:3" x14ac:dyDescent="0.25">
      <c r="A2581" s="108">
        <v>8782</v>
      </c>
      <c r="B2581" s="108" t="s">
        <v>2507</v>
      </c>
      <c r="C2581" s="108">
        <v>141.38</v>
      </c>
    </row>
    <row r="2582" spans="1:3" x14ac:dyDescent="0.25">
      <c r="A2582" s="108">
        <v>8783</v>
      </c>
      <c r="B2582" s="108" t="s">
        <v>2508</v>
      </c>
      <c r="C2582" s="108">
        <v>33.270000000000003</v>
      </c>
    </row>
    <row r="2583" spans="1:3" x14ac:dyDescent="0.25">
      <c r="A2583" s="108">
        <v>8784</v>
      </c>
      <c r="B2583" s="108" t="s">
        <v>2509</v>
      </c>
      <c r="C2583" s="108">
        <v>0.1</v>
      </c>
    </row>
    <row r="2584" spans="1:3" x14ac:dyDescent="0.25">
      <c r="A2584" s="108">
        <v>8785</v>
      </c>
      <c r="B2584" s="108" t="s">
        <v>2510</v>
      </c>
      <c r="C2584" s="108">
        <v>0.8</v>
      </c>
    </row>
    <row r="2585" spans="1:3" x14ac:dyDescent="0.25">
      <c r="A2585" s="108">
        <v>8786</v>
      </c>
      <c r="B2585" s="108" t="s">
        <v>1431</v>
      </c>
      <c r="C2585" s="108">
        <v>21.39</v>
      </c>
    </row>
    <row r="2586" spans="1:3" x14ac:dyDescent="0.25">
      <c r="A2586" s="108">
        <v>8787</v>
      </c>
      <c r="B2586" s="108" t="s">
        <v>2511</v>
      </c>
      <c r="C2586" s="108">
        <v>5.37</v>
      </c>
    </row>
    <row r="2587" spans="1:3" x14ac:dyDescent="0.25">
      <c r="A2587" s="108">
        <v>8788</v>
      </c>
      <c r="B2587" s="108" t="s">
        <v>2512</v>
      </c>
      <c r="C2587" s="108">
        <v>2.4500000000000002</v>
      </c>
    </row>
    <row r="2588" spans="1:3" x14ac:dyDescent="0.25">
      <c r="A2588" s="108">
        <v>8789</v>
      </c>
      <c r="B2588" s="108" t="s">
        <v>2513</v>
      </c>
      <c r="C2588" s="108">
        <v>1.24</v>
      </c>
    </row>
    <row r="2589" spans="1:3" x14ac:dyDescent="0.25">
      <c r="A2589" s="108">
        <v>8790</v>
      </c>
      <c r="B2589" s="108" t="s">
        <v>2514</v>
      </c>
      <c r="C2589" s="108">
        <v>4.6500000000000004</v>
      </c>
    </row>
    <row r="2590" spans="1:3" x14ac:dyDescent="0.25">
      <c r="A2590" s="108">
        <v>8792</v>
      </c>
      <c r="B2590" s="108" t="s">
        <v>2515</v>
      </c>
      <c r="C2590" s="108">
        <v>15.17</v>
      </c>
    </row>
    <row r="2591" spans="1:3" x14ac:dyDescent="0.25">
      <c r="A2591" s="108">
        <v>8793</v>
      </c>
      <c r="B2591" s="108" t="s">
        <v>2516</v>
      </c>
      <c r="C2591" s="108">
        <v>0.52</v>
      </c>
    </row>
    <row r="2592" spans="1:3" x14ac:dyDescent="0.25">
      <c r="A2592" s="108">
        <v>8794</v>
      </c>
      <c r="B2592" s="108" t="s">
        <v>2517</v>
      </c>
      <c r="C2592" s="108">
        <v>66.95</v>
      </c>
    </row>
    <row r="2593" spans="1:3" ht="30" x14ac:dyDescent="0.25">
      <c r="A2593" s="108">
        <v>8795</v>
      </c>
      <c r="B2593" s="108" t="s">
        <v>2518</v>
      </c>
      <c r="C2593" s="108">
        <v>17.760000000000002</v>
      </c>
    </row>
    <row r="2594" spans="1:3" x14ac:dyDescent="0.25">
      <c r="A2594" s="108">
        <v>8796</v>
      </c>
      <c r="B2594" s="108" t="s">
        <v>2519</v>
      </c>
      <c r="C2594" s="108">
        <v>35.51</v>
      </c>
    </row>
    <row r="2595" spans="1:3" ht="30" x14ac:dyDescent="0.25">
      <c r="A2595" s="108">
        <v>8797</v>
      </c>
      <c r="B2595" s="108" t="s">
        <v>2520</v>
      </c>
      <c r="C2595" s="108">
        <v>21.39</v>
      </c>
    </row>
    <row r="2596" spans="1:3" x14ac:dyDescent="0.25">
      <c r="A2596" s="108">
        <v>8798</v>
      </c>
      <c r="B2596" s="108" t="s">
        <v>2521</v>
      </c>
      <c r="C2596" s="108">
        <v>3.98</v>
      </c>
    </row>
    <row r="2597" spans="1:3" x14ac:dyDescent="0.25">
      <c r="A2597" s="108">
        <v>8799</v>
      </c>
      <c r="B2597" s="108" t="s">
        <v>2522</v>
      </c>
      <c r="C2597" s="108">
        <v>10.18</v>
      </c>
    </row>
    <row r="2598" spans="1:3" x14ac:dyDescent="0.25">
      <c r="A2598" s="108">
        <v>8800</v>
      </c>
      <c r="B2598" s="108" t="s">
        <v>2523</v>
      </c>
      <c r="C2598" s="108">
        <v>14.18</v>
      </c>
    </row>
    <row r="2599" spans="1:3" x14ac:dyDescent="0.25">
      <c r="A2599" s="108">
        <v>8801</v>
      </c>
      <c r="B2599" s="108" t="s">
        <v>2524</v>
      </c>
      <c r="C2599" s="108">
        <v>8.06</v>
      </c>
    </row>
    <row r="2600" spans="1:3" ht="30" x14ac:dyDescent="0.25">
      <c r="A2600" s="108">
        <v>8802</v>
      </c>
      <c r="B2600" s="108" t="s">
        <v>2525</v>
      </c>
      <c r="C2600" s="108">
        <v>5.77</v>
      </c>
    </row>
    <row r="2601" spans="1:3" x14ac:dyDescent="0.25">
      <c r="A2601" s="108">
        <v>8804</v>
      </c>
      <c r="B2601" s="108" t="s">
        <v>2526</v>
      </c>
      <c r="C2601" s="108">
        <v>1.25</v>
      </c>
    </row>
    <row r="2602" spans="1:3" ht="30" x14ac:dyDescent="0.25">
      <c r="A2602" s="108">
        <v>8808</v>
      </c>
      <c r="B2602" s="108" t="s">
        <v>2527</v>
      </c>
      <c r="C2602" s="108">
        <v>161.31</v>
      </c>
    </row>
    <row r="2603" spans="1:3" x14ac:dyDescent="0.25">
      <c r="A2603" s="108">
        <v>8811</v>
      </c>
      <c r="B2603" s="108" t="s">
        <v>2528</v>
      </c>
      <c r="C2603" s="108">
        <v>0.25</v>
      </c>
    </row>
    <row r="2604" spans="1:3" x14ac:dyDescent="0.25">
      <c r="A2604" s="108">
        <v>8812</v>
      </c>
      <c r="B2604" s="108" t="s">
        <v>2529</v>
      </c>
      <c r="C2604" s="108">
        <v>1.7</v>
      </c>
    </row>
    <row r="2605" spans="1:3" x14ac:dyDescent="0.25">
      <c r="A2605" s="108">
        <v>8814</v>
      </c>
      <c r="B2605" s="108" t="s">
        <v>2530</v>
      </c>
      <c r="C2605" s="108">
        <v>0.56999999999999995</v>
      </c>
    </row>
    <row r="2606" spans="1:3" x14ac:dyDescent="0.25">
      <c r="A2606" s="108">
        <v>8815</v>
      </c>
      <c r="B2606" s="108" t="s">
        <v>2531</v>
      </c>
      <c r="C2606" s="108">
        <v>3.45</v>
      </c>
    </row>
    <row r="2607" spans="1:3" x14ac:dyDescent="0.25">
      <c r="A2607" s="108">
        <v>8817</v>
      </c>
      <c r="B2607" s="108" t="s">
        <v>2532</v>
      </c>
      <c r="C2607" s="108">
        <v>1.2</v>
      </c>
    </row>
    <row r="2608" spans="1:3" x14ac:dyDescent="0.25">
      <c r="A2608" s="108">
        <v>8818</v>
      </c>
      <c r="B2608" s="108" t="s">
        <v>2533</v>
      </c>
      <c r="C2608" s="108">
        <v>0.5</v>
      </c>
    </row>
    <row r="2609" spans="1:3" x14ac:dyDescent="0.25">
      <c r="A2609" s="108">
        <v>8819</v>
      </c>
      <c r="B2609" s="108" t="s">
        <v>2534</v>
      </c>
      <c r="C2609" s="108">
        <v>0.49</v>
      </c>
    </row>
    <row r="2610" spans="1:3" x14ac:dyDescent="0.25">
      <c r="A2610" s="108">
        <v>8820</v>
      </c>
      <c r="B2610" s="108" t="s">
        <v>2535</v>
      </c>
      <c r="C2610" s="108">
        <v>0.08</v>
      </c>
    </row>
    <row r="2611" spans="1:3" x14ac:dyDescent="0.25">
      <c r="A2611" s="108">
        <v>8822</v>
      </c>
      <c r="B2611" s="108" t="s">
        <v>2536</v>
      </c>
      <c r="C2611" s="108">
        <v>1.52</v>
      </c>
    </row>
    <row r="2612" spans="1:3" x14ac:dyDescent="0.25">
      <c r="A2612" s="108">
        <v>8823</v>
      </c>
      <c r="B2612" s="108" t="s">
        <v>2537</v>
      </c>
      <c r="C2612" s="108">
        <v>12.02</v>
      </c>
    </row>
    <row r="2613" spans="1:3" x14ac:dyDescent="0.25">
      <c r="A2613" s="108">
        <v>8824</v>
      </c>
      <c r="B2613" s="108" t="s">
        <v>2538</v>
      </c>
      <c r="C2613" s="108">
        <v>0.51</v>
      </c>
    </row>
    <row r="2614" spans="1:3" x14ac:dyDescent="0.25">
      <c r="A2614" s="108">
        <v>8825</v>
      </c>
      <c r="B2614" s="108" t="s">
        <v>2539</v>
      </c>
      <c r="C2614" s="108">
        <v>2.4700000000000002</v>
      </c>
    </row>
    <row r="2615" spans="1:3" x14ac:dyDescent="0.25">
      <c r="A2615" s="108">
        <v>8829</v>
      </c>
      <c r="B2615" s="108" t="s">
        <v>2540</v>
      </c>
      <c r="C2615" s="108">
        <v>33.9</v>
      </c>
    </row>
    <row r="2616" spans="1:3" x14ac:dyDescent="0.25">
      <c r="A2616" s="108">
        <v>8831</v>
      </c>
      <c r="B2616" s="108" t="s">
        <v>2541</v>
      </c>
      <c r="C2616" s="108">
        <v>0.09</v>
      </c>
    </row>
    <row r="2617" spans="1:3" x14ac:dyDescent="0.25">
      <c r="A2617" s="108">
        <v>8832</v>
      </c>
      <c r="B2617" s="108" t="s">
        <v>2542</v>
      </c>
      <c r="C2617" s="108">
        <v>18.03</v>
      </c>
    </row>
    <row r="2618" spans="1:3" x14ac:dyDescent="0.25">
      <c r="A2618" s="108">
        <v>8833</v>
      </c>
      <c r="B2618" s="108" t="s">
        <v>2543</v>
      </c>
      <c r="C2618" s="108">
        <v>54.76</v>
      </c>
    </row>
    <row r="2619" spans="1:3" x14ac:dyDescent="0.25">
      <c r="A2619" s="108">
        <v>8834</v>
      </c>
      <c r="B2619" s="108" t="s">
        <v>2544</v>
      </c>
      <c r="C2619" s="108">
        <v>0.25</v>
      </c>
    </row>
    <row r="2620" spans="1:3" x14ac:dyDescent="0.25">
      <c r="A2620" s="108">
        <v>8836</v>
      </c>
      <c r="B2620" s="108" t="s">
        <v>2545</v>
      </c>
      <c r="C2620" s="108">
        <v>0.5</v>
      </c>
    </row>
    <row r="2621" spans="1:3" ht="30" x14ac:dyDescent="0.25">
      <c r="A2621" s="108">
        <v>8837</v>
      </c>
      <c r="B2621" s="108" t="s">
        <v>2546</v>
      </c>
      <c r="C2621" s="108">
        <v>6.35</v>
      </c>
    </row>
    <row r="2622" spans="1:3" x14ac:dyDescent="0.25">
      <c r="A2622" s="108">
        <v>8838</v>
      </c>
      <c r="B2622" s="108" t="s">
        <v>2547</v>
      </c>
      <c r="C2622" s="108">
        <v>58.48</v>
      </c>
    </row>
    <row r="2623" spans="1:3" x14ac:dyDescent="0.25">
      <c r="A2623" s="108">
        <v>8839</v>
      </c>
      <c r="B2623" s="108" t="s">
        <v>2548</v>
      </c>
      <c r="C2623" s="108">
        <v>16.989999999999998</v>
      </c>
    </row>
    <row r="2624" spans="1:3" x14ac:dyDescent="0.25">
      <c r="A2624" s="108">
        <v>8843</v>
      </c>
      <c r="B2624" s="108" t="s">
        <v>2549</v>
      </c>
      <c r="C2624" s="108">
        <v>5.28</v>
      </c>
    </row>
    <row r="2625" spans="1:3" x14ac:dyDescent="0.25">
      <c r="A2625" s="108">
        <v>8844</v>
      </c>
      <c r="B2625" s="108" t="s">
        <v>2550</v>
      </c>
      <c r="C2625" s="108">
        <v>8.83</v>
      </c>
    </row>
    <row r="2626" spans="1:3" x14ac:dyDescent="0.25">
      <c r="A2626" s="108">
        <v>8845</v>
      </c>
      <c r="B2626" s="108" t="s">
        <v>2551</v>
      </c>
      <c r="C2626" s="108">
        <v>11.59</v>
      </c>
    </row>
    <row r="2627" spans="1:3" ht="30" x14ac:dyDescent="0.25">
      <c r="A2627" s="108">
        <v>8846</v>
      </c>
      <c r="B2627" s="108" t="s">
        <v>2552</v>
      </c>
      <c r="C2627" s="108">
        <v>0.51</v>
      </c>
    </row>
    <row r="2628" spans="1:3" x14ac:dyDescent="0.25">
      <c r="A2628" s="108">
        <v>8847</v>
      </c>
      <c r="B2628" s="108" t="s">
        <v>2553</v>
      </c>
      <c r="C2628" s="108">
        <v>68.959999999999994</v>
      </c>
    </row>
    <row r="2629" spans="1:3" x14ac:dyDescent="0.25">
      <c r="A2629" s="108">
        <v>8848</v>
      </c>
      <c r="B2629" s="108" t="s">
        <v>2554</v>
      </c>
      <c r="C2629" s="108">
        <v>22.08</v>
      </c>
    </row>
    <row r="2630" spans="1:3" x14ac:dyDescent="0.25">
      <c r="A2630" s="108">
        <v>8849</v>
      </c>
      <c r="B2630" s="108" t="s">
        <v>2555</v>
      </c>
      <c r="C2630" s="108">
        <v>1.02</v>
      </c>
    </row>
    <row r="2631" spans="1:3" x14ac:dyDescent="0.25">
      <c r="A2631" s="108">
        <v>8850</v>
      </c>
      <c r="B2631" s="108" t="s">
        <v>2556</v>
      </c>
      <c r="C2631" s="108">
        <v>51.14</v>
      </c>
    </row>
    <row r="2632" spans="1:3" x14ac:dyDescent="0.25">
      <c r="A2632" s="108">
        <v>8851</v>
      </c>
      <c r="B2632" s="108" t="s">
        <v>2557</v>
      </c>
      <c r="C2632" s="108">
        <v>0.08</v>
      </c>
    </row>
    <row r="2633" spans="1:3" x14ac:dyDescent="0.25">
      <c r="A2633" s="108">
        <v>8852</v>
      </c>
      <c r="B2633" s="108" t="s">
        <v>2558</v>
      </c>
      <c r="C2633" s="108">
        <v>1.02</v>
      </c>
    </row>
    <row r="2634" spans="1:3" x14ac:dyDescent="0.25">
      <c r="A2634" s="108">
        <v>8855</v>
      </c>
      <c r="B2634" s="108" t="s">
        <v>2559</v>
      </c>
      <c r="C2634" s="108">
        <v>7.99</v>
      </c>
    </row>
    <row r="2635" spans="1:3" x14ac:dyDescent="0.25">
      <c r="A2635" s="108">
        <v>8856</v>
      </c>
      <c r="B2635" s="108" t="s">
        <v>2560</v>
      </c>
      <c r="C2635" s="108">
        <v>2.41</v>
      </c>
    </row>
    <row r="2636" spans="1:3" x14ac:dyDescent="0.25">
      <c r="A2636" s="108">
        <v>8857</v>
      </c>
      <c r="B2636" s="108" t="s">
        <v>2561</v>
      </c>
      <c r="C2636" s="108">
        <v>0.11</v>
      </c>
    </row>
    <row r="2637" spans="1:3" x14ac:dyDescent="0.25">
      <c r="A2637" s="108">
        <v>8858</v>
      </c>
      <c r="B2637" s="108" t="s">
        <v>2562</v>
      </c>
      <c r="C2637" s="108">
        <v>12.58</v>
      </c>
    </row>
    <row r="2638" spans="1:3" x14ac:dyDescent="0.25">
      <c r="A2638" s="108">
        <v>8859</v>
      </c>
      <c r="B2638" s="108" t="s">
        <v>2563</v>
      </c>
      <c r="C2638" s="108">
        <v>12.58</v>
      </c>
    </row>
    <row r="2639" spans="1:3" x14ac:dyDescent="0.25">
      <c r="A2639" s="108">
        <v>8861</v>
      </c>
      <c r="B2639" s="108" t="s">
        <v>2564</v>
      </c>
      <c r="C2639" s="108">
        <v>6.57</v>
      </c>
    </row>
    <row r="2640" spans="1:3" x14ac:dyDescent="0.25">
      <c r="A2640" s="108">
        <v>8862</v>
      </c>
      <c r="B2640" s="108" t="s">
        <v>2565</v>
      </c>
      <c r="C2640" s="108">
        <v>0.11</v>
      </c>
    </row>
    <row r="2641" spans="1:3" ht="30" x14ac:dyDescent="0.25">
      <c r="A2641" s="108">
        <v>8863</v>
      </c>
      <c r="B2641" s="108" t="s">
        <v>2566</v>
      </c>
      <c r="C2641" s="108">
        <v>0.5</v>
      </c>
    </row>
    <row r="2642" spans="1:3" x14ac:dyDescent="0.25">
      <c r="A2642" s="108">
        <v>8864</v>
      </c>
      <c r="B2642" s="108" t="s">
        <v>2567</v>
      </c>
      <c r="C2642" s="108">
        <v>0.55000000000000004</v>
      </c>
    </row>
    <row r="2643" spans="1:3" ht="30" x14ac:dyDescent="0.25">
      <c r="A2643" s="108">
        <v>8865</v>
      </c>
      <c r="B2643" s="108" t="s">
        <v>2568</v>
      </c>
      <c r="C2643" s="108">
        <v>0.16</v>
      </c>
    </row>
    <row r="2644" spans="1:3" ht="30" x14ac:dyDescent="0.25">
      <c r="A2644" s="108">
        <v>8866</v>
      </c>
      <c r="B2644" s="108" t="s">
        <v>2569</v>
      </c>
      <c r="C2644" s="108">
        <v>81</v>
      </c>
    </row>
    <row r="2645" spans="1:3" ht="30" x14ac:dyDescent="0.25">
      <c r="A2645" s="108">
        <v>8867</v>
      </c>
      <c r="B2645" s="108" t="s">
        <v>2570</v>
      </c>
      <c r="C2645" s="108">
        <v>1.9</v>
      </c>
    </row>
    <row r="2646" spans="1:3" x14ac:dyDescent="0.25">
      <c r="A2646" s="108">
        <v>8868</v>
      </c>
      <c r="B2646" s="108" t="s">
        <v>2571</v>
      </c>
      <c r="C2646" s="108">
        <v>29.14</v>
      </c>
    </row>
    <row r="2647" spans="1:3" x14ac:dyDescent="0.25">
      <c r="A2647" s="108">
        <v>8869</v>
      </c>
      <c r="B2647" s="108" t="s">
        <v>2572</v>
      </c>
      <c r="C2647" s="108">
        <v>1.19</v>
      </c>
    </row>
    <row r="2648" spans="1:3" ht="30" x14ac:dyDescent="0.25">
      <c r="A2648" s="108">
        <v>8870</v>
      </c>
      <c r="B2648" s="108" t="s">
        <v>2573</v>
      </c>
      <c r="C2648" s="108">
        <v>4.6399999999999997</v>
      </c>
    </row>
    <row r="2649" spans="1:3" x14ac:dyDescent="0.25">
      <c r="A2649" s="108">
        <v>8871</v>
      </c>
      <c r="B2649" s="108" t="s">
        <v>2574</v>
      </c>
      <c r="C2649" s="108">
        <v>0.49</v>
      </c>
    </row>
    <row r="2650" spans="1:3" x14ac:dyDescent="0.25">
      <c r="A2650" s="108">
        <v>8872</v>
      </c>
      <c r="B2650" s="108" t="s">
        <v>2575</v>
      </c>
      <c r="C2650" s="108">
        <v>0.11</v>
      </c>
    </row>
    <row r="2651" spans="1:3" x14ac:dyDescent="0.25">
      <c r="A2651" s="108">
        <v>8873</v>
      </c>
      <c r="B2651" s="108" t="s">
        <v>2576</v>
      </c>
      <c r="C2651" s="108">
        <v>0.11</v>
      </c>
    </row>
    <row r="2652" spans="1:3" x14ac:dyDescent="0.25">
      <c r="A2652" s="108">
        <v>8874</v>
      </c>
      <c r="B2652" s="108" t="s">
        <v>2577</v>
      </c>
      <c r="C2652" s="108">
        <v>1.1200000000000001</v>
      </c>
    </row>
    <row r="2653" spans="1:3" x14ac:dyDescent="0.25">
      <c r="A2653" s="108">
        <v>8875</v>
      </c>
      <c r="B2653" s="108" t="s">
        <v>2578</v>
      </c>
      <c r="C2653" s="108">
        <v>0.38</v>
      </c>
    </row>
    <row r="2654" spans="1:3" x14ac:dyDescent="0.25">
      <c r="A2654" s="108">
        <v>8876</v>
      </c>
      <c r="B2654" s="108" t="s">
        <v>2579</v>
      </c>
      <c r="C2654" s="108">
        <v>0.56999999999999995</v>
      </c>
    </row>
    <row r="2655" spans="1:3" x14ac:dyDescent="0.25">
      <c r="A2655" s="108">
        <v>8877</v>
      </c>
      <c r="B2655" s="108" t="s">
        <v>2580</v>
      </c>
      <c r="C2655" s="108">
        <v>4.8</v>
      </c>
    </row>
    <row r="2656" spans="1:3" x14ac:dyDescent="0.25">
      <c r="A2656" s="108">
        <v>8878</v>
      </c>
      <c r="B2656" s="108" t="s">
        <v>2581</v>
      </c>
      <c r="C2656" s="108">
        <v>0.84</v>
      </c>
    </row>
    <row r="2657" spans="1:3" x14ac:dyDescent="0.25">
      <c r="A2657" s="108">
        <v>8879</v>
      </c>
      <c r="B2657" s="108" t="s">
        <v>2582</v>
      </c>
      <c r="C2657" s="108">
        <v>66.27</v>
      </c>
    </row>
    <row r="2658" spans="1:3" ht="30" x14ac:dyDescent="0.25">
      <c r="A2658" s="108">
        <v>8882</v>
      </c>
      <c r="B2658" s="108" t="s">
        <v>2583</v>
      </c>
      <c r="C2658" s="108">
        <v>32.619999999999997</v>
      </c>
    </row>
    <row r="2659" spans="1:3" x14ac:dyDescent="0.25">
      <c r="A2659" s="108">
        <v>8883</v>
      </c>
      <c r="B2659" s="108" t="s">
        <v>2584</v>
      </c>
      <c r="C2659" s="108">
        <v>17.399999999999999</v>
      </c>
    </row>
    <row r="2660" spans="1:3" x14ac:dyDescent="0.25">
      <c r="A2660" s="108">
        <v>8884</v>
      </c>
      <c r="B2660" s="108" t="s">
        <v>2585</v>
      </c>
      <c r="C2660" s="108">
        <v>8.9700000000000006</v>
      </c>
    </row>
    <row r="2661" spans="1:3" x14ac:dyDescent="0.25">
      <c r="A2661" s="108">
        <v>8885</v>
      </c>
      <c r="B2661" s="108" t="s">
        <v>2586</v>
      </c>
      <c r="C2661" s="108">
        <v>4.09</v>
      </c>
    </row>
    <row r="2662" spans="1:3" ht="30" x14ac:dyDescent="0.25">
      <c r="A2662" s="108">
        <v>8887</v>
      </c>
      <c r="B2662" s="108" t="s">
        <v>2587</v>
      </c>
      <c r="C2662" s="108">
        <v>94.45</v>
      </c>
    </row>
    <row r="2663" spans="1:3" x14ac:dyDescent="0.25">
      <c r="A2663" s="108">
        <v>8888</v>
      </c>
      <c r="B2663" s="108" t="s">
        <v>2588</v>
      </c>
      <c r="C2663" s="108">
        <v>0.11</v>
      </c>
    </row>
    <row r="2664" spans="1:3" x14ac:dyDescent="0.25">
      <c r="A2664" s="108">
        <v>8890</v>
      </c>
      <c r="B2664" s="108" t="s">
        <v>2589</v>
      </c>
      <c r="C2664" s="108">
        <v>0.11</v>
      </c>
    </row>
    <row r="2665" spans="1:3" x14ac:dyDescent="0.25">
      <c r="A2665" s="108">
        <v>8891</v>
      </c>
      <c r="B2665" s="108" t="s">
        <v>2590</v>
      </c>
      <c r="C2665" s="108">
        <v>2.82</v>
      </c>
    </row>
    <row r="2666" spans="1:3" x14ac:dyDescent="0.25">
      <c r="A2666" s="108">
        <v>8892</v>
      </c>
      <c r="B2666" s="108" t="s">
        <v>2591</v>
      </c>
      <c r="C2666" s="108">
        <v>2.12</v>
      </c>
    </row>
    <row r="2667" spans="1:3" x14ac:dyDescent="0.25">
      <c r="A2667" s="108">
        <v>8893</v>
      </c>
      <c r="B2667" s="108" t="s">
        <v>2592</v>
      </c>
      <c r="C2667" s="108">
        <v>4.7300000000000004</v>
      </c>
    </row>
    <row r="2668" spans="1:3" x14ac:dyDescent="0.25">
      <c r="A2668" s="108">
        <v>8894</v>
      </c>
      <c r="B2668" s="108" t="s">
        <v>2593</v>
      </c>
      <c r="C2668" s="108">
        <v>1.93</v>
      </c>
    </row>
    <row r="2669" spans="1:3" x14ac:dyDescent="0.25">
      <c r="A2669" s="108">
        <v>8895</v>
      </c>
      <c r="B2669" s="108" t="s">
        <v>2594</v>
      </c>
      <c r="C2669" s="108">
        <v>1.06</v>
      </c>
    </row>
    <row r="2670" spans="1:3" x14ac:dyDescent="0.25">
      <c r="A2670" s="108">
        <v>8897</v>
      </c>
      <c r="B2670" s="108" t="s">
        <v>2595</v>
      </c>
      <c r="C2670" s="108">
        <v>0.06</v>
      </c>
    </row>
    <row r="2671" spans="1:3" ht="30" x14ac:dyDescent="0.25">
      <c r="A2671" s="108">
        <v>8900</v>
      </c>
      <c r="B2671" s="108" t="s">
        <v>2596</v>
      </c>
      <c r="C2671" s="108">
        <v>18.78</v>
      </c>
    </row>
    <row r="2672" spans="1:3" x14ac:dyDescent="0.25">
      <c r="A2672" s="108">
        <v>8901</v>
      </c>
      <c r="B2672" s="108" t="s">
        <v>2597</v>
      </c>
      <c r="C2672" s="108">
        <v>1.79</v>
      </c>
    </row>
    <row r="2673" spans="1:3" x14ac:dyDescent="0.25">
      <c r="A2673" s="108">
        <v>8902</v>
      </c>
      <c r="B2673" s="108" t="s">
        <v>2598</v>
      </c>
      <c r="C2673" s="108">
        <v>0.17</v>
      </c>
    </row>
    <row r="2674" spans="1:3" x14ac:dyDescent="0.25">
      <c r="A2674" s="108">
        <v>8904</v>
      </c>
      <c r="B2674" s="108" t="s">
        <v>2599</v>
      </c>
      <c r="C2674" s="108">
        <v>0.11</v>
      </c>
    </row>
    <row r="2675" spans="1:3" x14ac:dyDescent="0.25">
      <c r="A2675" s="108">
        <v>8908</v>
      </c>
      <c r="B2675" s="108" t="s">
        <v>2600</v>
      </c>
      <c r="C2675" s="108">
        <v>0.16</v>
      </c>
    </row>
    <row r="2676" spans="1:3" x14ac:dyDescent="0.25">
      <c r="A2676" s="108">
        <v>8909</v>
      </c>
      <c r="B2676" s="108" t="s">
        <v>2601</v>
      </c>
      <c r="C2676" s="108">
        <v>22.35</v>
      </c>
    </row>
    <row r="2677" spans="1:3" ht="30" x14ac:dyDescent="0.25">
      <c r="A2677" s="108">
        <v>8911</v>
      </c>
      <c r="B2677" s="108" t="s">
        <v>2602</v>
      </c>
      <c r="C2677" s="108">
        <v>9.36</v>
      </c>
    </row>
    <row r="2678" spans="1:3" ht="30" x14ac:dyDescent="0.25">
      <c r="A2678" s="108">
        <v>8913</v>
      </c>
      <c r="B2678" s="108" t="s">
        <v>2603</v>
      </c>
      <c r="C2678" s="108">
        <v>20.9</v>
      </c>
    </row>
    <row r="2679" spans="1:3" x14ac:dyDescent="0.25">
      <c r="A2679" s="108">
        <v>8914</v>
      </c>
      <c r="B2679" s="108" t="s">
        <v>2604</v>
      </c>
      <c r="C2679" s="108">
        <v>88.77</v>
      </c>
    </row>
    <row r="2680" spans="1:3" x14ac:dyDescent="0.25">
      <c r="A2680" s="108">
        <v>8918</v>
      </c>
      <c r="B2680" s="108" t="s">
        <v>2605</v>
      </c>
      <c r="C2680" s="108">
        <v>241.54</v>
      </c>
    </row>
    <row r="2681" spans="1:3" x14ac:dyDescent="0.25">
      <c r="A2681" s="108">
        <v>8921</v>
      </c>
      <c r="B2681" s="108" t="s">
        <v>2606</v>
      </c>
      <c r="C2681" s="108">
        <v>15.01</v>
      </c>
    </row>
    <row r="2682" spans="1:3" x14ac:dyDescent="0.25">
      <c r="A2682" s="108">
        <v>8927</v>
      </c>
      <c r="B2682" s="108" t="s">
        <v>2607</v>
      </c>
      <c r="C2682" s="108">
        <v>25.9</v>
      </c>
    </row>
    <row r="2683" spans="1:3" x14ac:dyDescent="0.25">
      <c r="A2683" s="108">
        <v>8928</v>
      </c>
      <c r="B2683" s="108" t="s">
        <v>2608</v>
      </c>
      <c r="C2683" s="108">
        <v>31.2</v>
      </c>
    </row>
    <row r="2684" spans="1:3" x14ac:dyDescent="0.25">
      <c r="A2684" s="108">
        <v>8929</v>
      </c>
      <c r="B2684" s="108" t="s">
        <v>2609</v>
      </c>
      <c r="C2684" s="108">
        <v>39.1</v>
      </c>
    </row>
    <row r="2685" spans="1:3" x14ac:dyDescent="0.25">
      <c r="A2685" s="108">
        <v>8930</v>
      </c>
      <c r="B2685" s="108" t="s">
        <v>2610</v>
      </c>
      <c r="C2685" s="108">
        <v>70.7</v>
      </c>
    </row>
    <row r="2686" spans="1:3" x14ac:dyDescent="0.25">
      <c r="A2686" s="108">
        <v>8931</v>
      </c>
      <c r="B2686" s="108" t="s">
        <v>2611</v>
      </c>
      <c r="C2686" s="108">
        <v>3.08</v>
      </c>
    </row>
    <row r="2687" spans="1:3" x14ac:dyDescent="0.25">
      <c r="A2687" s="108">
        <v>8934</v>
      </c>
      <c r="B2687" s="108" t="s">
        <v>2612</v>
      </c>
      <c r="C2687" s="108">
        <v>17</v>
      </c>
    </row>
    <row r="2688" spans="1:3" x14ac:dyDescent="0.25">
      <c r="A2688" s="108">
        <v>8935</v>
      </c>
      <c r="B2688" s="108" t="s">
        <v>2613</v>
      </c>
      <c r="C2688" s="108">
        <v>42.78</v>
      </c>
    </row>
    <row r="2689" spans="1:3" x14ac:dyDescent="0.25">
      <c r="A2689" s="108">
        <v>8938</v>
      </c>
      <c r="B2689" s="108" t="s">
        <v>2614</v>
      </c>
      <c r="C2689" s="108">
        <v>13.75</v>
      </c>
    </row>
    <row r="2690" spans="1:3" x14ac:dyDescent="0.25">
      <c r="A2690" s="108">
        <v>8939</v>
      </c>
      <c r="B2690" s="108" t="s">
        <v>2615</v>
      </c>
      <c r="C2690" s="108">
        <v>14</v>
      </c>
    </row>
    <row r="2691" spans="1:3" x14ac:dyDescent="0.25">
      <c r="A2691" s="108">
        <v>8940</v>
      </c>
      <c r="B2691" s="108" t="s">
        <v>2616</v>
      </c>
      <c r="C2691" s="108">
        <v>34.659999999999997</v>
      </c>
    </row>
    <row r="2692" spans="1:3" x14ac:dyDescent="0.25">
      <c r="A2692" s="108">
        <v>8941</v>
      </c>
      <c r="B2692" s="108" t="s">
        <v>2617</v>
      </c>
      <c r="C2692" s="108">
        <v>45</v>
      </c>
    </row>
    <row r="2693" spans="1:3" ht="30" x14ac:dyDescent="0.25">
      <c r="A2693" s="108">
        <v>8967</v>
      </c>
      <c r="B2693" s="108" t="s">
        <v>2618</v>
      </c>
      <c r="C2693" s="108">
        <v>16.27</v>
      </c>
    </row>
    <row r="2694" spans="1:3" x14ac:dyDescent="0.25">
      <c r="A2694" s="108">
        <v>8968</v>
      </c>
      <c r="B2694" s="108" t="s">
        <v>2619</v>
      </c>
      <c r="C2694" s="108">
        <v>2.7</v>
      </c>
    </row>
    <row r="2695" spans="1:3" x14ac:dyDescent="0.25">
      <c r="A2695" s="108">
        <v>8974</v>
      </c>
      <c r="B2695" s="108" t="s">
        <v>2620</v>
      </c>
      <c r="C2695" s="108">
        <v>22.16</v>
      </c>
    </row>
    <row r="2696" spans="1:3" x14ac:dyDescent="0.25">
      <c r="A2696" s="108">
        <v>8975</v>
      </c>
      <c r="B2696" s="108" t="s">
        <v>2621</v>
      </c>
      <c r="C2696" s="108">
        <v>4.8</v>
      </c>
    </row>
    <row r="2697" spans="1:3" x14ac:dyDescent="0.25">
      <c r="A2697" s="108">
        <v>8977</v>
      </c>
      <c r="B2697" s="108" t="s">
        <v>2622</v>
      </c>
      <c r="C2697" s="108">
        <v>70.72</v>
      </c>
    </row>
    <row r="2698" spans="1:3" x14ac:dyDescent="0.25">
      <c r="A2698" s="108">
        <v>8978</v>
      </c>
      <c r="B2698" s="108" t="s">
        <v>2623</v>
      </c>
      <c r="C2698" s="108">
        <v>0.11</v>
      </c>
    </row>
    <row r="2699" spans="1:3" x14ac:dyDescent="0.25">
      <c r="A2699" s="108">
        <v>8979</v>
      </c>
      <c r="B2699" s="108" t="s">
        <v>2624</v>
      </c>
      <c r="C2699" s="108">
        <v>2.12</v>
      </c>
    </row>
    <row r="2700" spans="1:3" x14ac:dyDescent="0.25">
      <c r="A2700" s="108">
        <v>8983</v>
      </c>
      <c r="B2700" s="108" t="s">
        <v>2625</v>
      </c>
      <c r="C2700" s="108">
        <v>39.29</v>
      </c>
    </row>
    <row r="2701" spans="1:3" x14ac:dyDescent="0.25">
      <c r="A2701" s="108">
        <v>8990</v>
      </c>
      <c r="B2701" s="108" t="s">
        <v>2626</v>
      </c>
      <c r="C2701" s="108">
        <v>11.26</v>
      </c>
    </row>
    <row r="2702" spans="1:3" x14ac:dyDescent="0.25">
      <c r="A2702" s="108">
        <v>8991</v>
      </c>
      <c r="B2702" s="108" t="s">
        <v>2627</v>
      </c>
      <c r="C2702" s="108">
        <v>0.8</v>
      </c>
    </row>
    <row r="2703" spans="1:3" x14ac:dyDescent="0.25">
      <c r="A2703" s="108">
        <v>8992</v>
      </c>
      <c r="B2703" s="108" t="s">
        <v>2628</v>
      </c>
      <c r="C2703" s="108">
        <v>2.7</v>
      </c>
    </row>
    <row r="2704" spans="1:3" x14ac:dyDescent="0.25">
      <c r="A2704" s="108">
        <v>8993</v>
      </c>
      <c r="B2704" s="108" t="s">
        <v>2629</v>
      </c>
      <c r="C2704" s="108">
        <v>2.25</v>
      </c>
    </row>
    <row r="2705" spans="1:3" x14ac:dyDescent="0.25">
      <c r="A2705" s="108">
        <v>8995</v>
      </c>
      <c r="B2705" s="108" t="s">
        <v>2630</v>
      </c>
      <c r="C2705" s="108">
        <v>23.32</v>
      </c>
    </row>
    <row r="2706" spans="1:3" x14ac:dyDescent="0.25">
      <c r="A2706" s="108">
        <v>8996</v>
      </c>
      <c r="B2706" s="108" t="s">
        <v>2631</v>
      </c>
      <c r="C2706" s="108">
        <v>48.67</v>
      </c>
    </row>
    <row r="2707" spans="1:3" x14ac:dyDescent="0.25">
      <c r="A2707" s="108">
        <v>8997</v>
      </c>
      <c r="B2707" s="108" t="s">
        <v>2632</v>
      </c>
      <c r="C2707" s="108">
        <v>1.83</v>
      </c>
    </row>
    <row r="2708" spans="1:3" x14ac:dyDescent="0.25">
      <c r="A2708" s="108">
        <v>8998</v>
      </c>
      <c r="B2708" s="108" t="s">
        <v>2633</v>
      </c>
      <c r="C2708" s="108">
        <v>2.92</v>
      </c>
    </row>
    <row r="2709" spans="1:3" x14ac:dyDescent="0.25">
      <c r="A2709" s="108">
        <v>8999</v>
      </c>
      <c r="B2709" s="108" t="s">
        <v>2634</v>
      </c>
      <c r="C2709" s="108">
        <v>5.57</v>
      </c>
    </row>
    <row r="2710" spans="1:3" x14ac:dyDescent="0.25">
      <c r="A2710" s="108">
        <v>9000</v>
      </c>
      <c r="B2710" s="108" t="s">
        <v>2635</v>
      </c>
      <c r="C2710" s="108">
        <v>12.43</v>
      </c>
    </row>
    <row r="2711" spans="1:3" x14ac:dyDescent="0.25">
      <c r="A2711" s="108">
        <v>9001</v>
      </c>
      <c r="B2711" s="108" t="s">
        <v>2636</v>
      </c>
      <c r="C2711" s="108">
        <v>2.2000000000000002</v>
      </c>
    </row>
    <row r="2712" spans="1:3" x14ac:dyDescent="0.25">
      <c r="A2712" s="108">
        <v>9002</v>
      </c>
      <c r="B2712" s="108" t="s">
        <v>2637</v>
      </c>
      <c r="C2712" s="108">
        <v>3.69</v>
      </c>
    </row>
    <row r="2713" spans="1:3" x14ac:dyDescent="0.25">
      <c r="A2713" s="108">
        <v>9004</v>
      </c>
      <c r="B2713" s="108" t="s">
        <v>2638</v>
      </c>
      <c r="C2713" s="108">
        <v>4.55</v>
      </c>
    </row>
    <row r="2714" spans="1:3" x14ac:dyDescent="0.25">
      <c r="A2714" s="108">
        <v>9005</v>
      </c>
      <c r="B2714" s="108" t="s">
        <v>2639</v>
      </c>
      <c r="C2714" s="108">
        <v>1.88</v>
      </c>
    </row>
    <row r="2715" spans="1:3" x14ac:dyDescent="0.25">
      <c r="A2715" s="108">
        <v>9007</v>
      </c>
      <c r="B2715" s="108" t="s">
        <v>2640</v>
      </c>
      <c r="C2715" s="108">
        <v>4</v>
      </c>
    </row>
    <row r="2716" spans="1:3" x14ac:dyDescent="0.25">
      <c r="A2716" s="108">
        <v>9008</v>
      </c>
      <c r="B2716" s="108" t="s">
        <v>2641</v>
      </c>
      <c r="C2716" s="108">
        <v>4</v>
      </c>
    </row>
    <row r="2717" spans="1:3" x14ac:dyDescent="0.25">
      <c r="A2717" s="108">
        <v>9009</v>
      </c>
      <c r="B2717" s="108" t="s">
        <v>2642</v>
      </c>
      <c r="C2717" s="108">
        <v>8.9600000000000009</v>
      </c>
    </row>
    <row r="2718" spans="1:3" x14ac:dyDescent="0.25">
      <c r="A2718" s="108">
        <v>9010</v>
      </c>
      <c r="B2718" s="108" t="s">
        <v>2643</v>
      </c>
      <c r="C2718" s="108">
        <v>4.57</v>
      </c>
    </row>
    <row r="2719" spans="1:3" x14ac:dyDescent="0.25">
      <c r="A2719" s="108">
        <v>9011</v>
      </c>
      <c r="B2719" s="108" t="s">
        <v>2644</v>
      </c>
      <c r="C2719" s="108">
        <v>3.73</v>
      </c>
    </row>
    <row r="2720" spans="1:3" x14ac:dyDescent="0.25">
      <c r="A2720" s="108">
        <v>9012</v>
      </c>
      <c r="B2720" s="108" t="s">
        <v>2645</v>
      </c>
      <c r="C2720" s="108">
        <v>6.36</v>
      </c>
    </row>
    <row r="2721" spans="1:3" x14ac:dyDescent="0.25">
      <c r="A2721" s="108">
        <v>9013</v>
      </c>
      <c r="B2721" s="108" t="s">
        <v>2646</v>
      </c>
      <c r="C2721" s="108">
        <v>61.6</v>
      </c>
    </row>
    <row r="2722" spans="1:3" x14ac:dyDescent="0.25">
      <c r="A2722" s="108">
        <v>9015</v>
      </c>
      <c r="B2722" s="108" t="s">
        <v>2647</v>
      </c>
      <c r="C2722" s="108">
        <v>5.26</v>
      </c>
    </row>
    <row r="2723" spans="1:3" x14ac:dyDescent="0.25">
      <c r="A2723" s="108">
        <v>9017</v>
      </c>
      <c r="B2723" s="108" t="s">
        <v>2648</v>
      </c>
      <c r="C2723" s="108">
        <v>45</v>
      </c>
    </row>
    <row r="2724" spans="1:3" x14ac:dyDescent="0.25">
      <c r="A2724" s="108">
        <v>9018</v>
      </c>
      <c r="B2724" s="108" t="s">
        <v>2649</v>
      </c>
      <c r="C2724" s="108">
        <v>17.47</v>
      </c>
    </row>
    <row r="2725" spans="1:3" x14ac:dyDescent="0.25">
      <c r="A2725" s="108">
        <v>9019</v>
      </c>
      <c r="B2725" s="108" t="s">
        <v>2650</v>
      </c>
      <c r="C2725" s="108">
        <v>4.83</v>
      </c>
    </row>
    <row r="2726" spans="1:3" x14ac:dyDescent="0.25">
      <c r="A2726" s="108">
        <v>9020</v>
      </c>
      <c r="B2726" s="108" t="s">
        <v>2651</v>
      </c>
      <c r="C2726" s="108">
        <v>69.48</v>
      </c>
    </row>
    <row r="2727" spans="1:3" x14ac:dyDescent="0.25">
      <c r="A2727" s="108">
        <v>9021</v>
      </c>
      <c r="B2727" s="108" t="s">
        <v>2652</v>
      </c>
      <c r="C2727" s="108">
        <v>2.78</v>
      </c>
    </row>
    <row r="2728" spans="1:3" x14ac:dyDescent="0.25">
      <c r="A2728" s="108">
        <v>9022</v>
      </c>
      <c r="B2728" s="108" t="s">
        <v>2653</v>
      </c>
      <c r="C2728" s="108">
        <v>3.21</v>
      </c>
    </row>
    <row r="2729" spans="1:3" x14ac:dyDescent="0.25">
      <c r="A2729" s="108">
        <v>9024</v>
      </c>
      <c r="B2729" s="108" t="s">
        <v>2654</v>
      </c>
      <c r="C2729" s="108">
        <v>43.57</v>
      </c>
    </row>
    <row r="2730" spans="1:3" x14ac:dyDescent="0.25">
      <c r="A2730" s="108">
        <v>9025</v>
      </c>
      <c r="B2730" s="108" t="s">
        <v>2655</v>
      </c>
      <c r="C2730" s="108">
        <v>35</v>
      </c>
    </row>
    <row r="2731" spans="1:3" x14ac:dyDescent="0.25">
      <c r="A2731" s="108">
        <v>9026</v>
      </c>
      <c r="B2731" s="108" t="s">
        <v>2656</v>
      </c>
      <c r="C2731" s="108">
        <v>3.99</v>
      </c>
    </row>
    <row r="2732" spans="1:3" x14ac:dyDescent="0.25">
      <c r="A2732" s="108">
        <v>9027</v>
      </c>
      <c r="B2732" s="108" t="s">
        <v>2657</v>
      </c>
      <c r="C2732" s="108">
        <v>1.32</v>
      </c>
    </row>
    <row r="2733" spans="1:3" x14ac:dyDescent="0.25">
      <c r="A2733" s="108">
        <v>9028</v>
      </c>
      <c r="B2733" s="108" t="s">
        <v>2658</v>
      </c>
      <c r="C2733" s="108">
        <v>6.34</v>
      </c>
    </row>
    <row r="2734" spans="1:3" x14ac:dyDescent="0.25">
      <c r="A2734" s="108">
        <v>9029</v>
      </c>
      <c r="B2734" s="108" t="s">
        <v>2659</v>
      </c>
      <c r="C2734" s="108">
        <v>5.95</v>
      </c>
    </row>
    <row r="2735" spans="1:3" x14ac:dyDescent="0.25">
      <c r="A2735" s="108">
        <v>9030</v>
      </c>
      <c r="B2735" s="108" t="s">
        <v>2660</v>
      </c>
      <c r="C2735" s="108">
        <v>13.53</v>
      </c>
    </row>
    <row r="2736" spans="1:3" x14ac:dyDescent="0.25">
      <c r="A2736" s="108">
        <v>9031</v>
      </c>
      <c r="B2736" s="108" t="s">
        <v>2661</v>
      </c>
      <c r="C2736" s="108">
        <v>59.61</v>
      </c>
    </row>
    <row r="2737" spans="1:3" x14ac:dyDescent="0.25">
      <c r="A2737" s="108">
        <v>9033</v>
      </c>
      <c r="B2737" s="108" t="s">
        <v>2662</v>
      </c>
      <c r="C2737" s="108">
        <v>2</v>
      </c>
    </row>
    <row r="2738" spans="1:3" x14ac:dyDescent="0.25">
      <c r="A2738" s="108">
        <v>9034</v>
      </c>
      <c r="B2738" s="108" t="s">
        <v>2663</v>
      </c>
      <c r="C2738" s="108">
        <v>13.5</v>
      </c>
    </row>
    <row r="2739" spans="1:3" x14ac:dyDescent="0.25">
      <c r="A2739" s="108">
        <v>9036</v>
      </c>
      <c r="B2739" s="108" t="s">
        <v>2664</v>
      </c>
      <c r="C2739" s="108">
        <v>12</v>
      </c>
    </row>
    <row r="2740" spans="1:3" x14ac:dyDescent="0.25">
      <c r="A2740" s="108">
        <v>9037</v>
      </c>
      <c r="B2740" s="108" t="s">
        <v>2665</v>
      </c>
      <c r="C2740" s="108">
        <v>11.4</v>
      </c>
    </row>
    <row r="2741" spans="1:3" x14ac:dyDescent="0.25">
      <c r="A2741" s="108">
        <v>9039</v>
      </c>
      <c r="B2741" s="108" t="s">
        <v>2666</v>
      </c>
      <c r="C2741" s="108">
        <v>45</v>
      </c>
    </row>
    <row r="2742" spans="1:3" x14ac:dyDescent="0.25">
      <c r="A2742" s="108">
        <v>9041</v>
      </c>
      <c r="B2742" s="108" t="s">
        <v>2667</v>
      </c>
      <c r="C2742" s="108">
        <v>6.9</v>
      </c>
    </row>
    <row r="2743" spans="1:3" x14ac:dyDescent="0.25">
      <c r="A2743" s="108">
        <v>9043</v>
      </c>
      <c r="B2743" s="108" t="s">
        <v>2668</v>
      </c>
      <c r="C2743" s="108">
        <v>1.8</v>
      </c>
    </row>
    <row r="2744" spans="1:3" x14ac:dyDescent="0.25">
      <c r="A2744" s="108">
        <v>9044</v>
      </c>
      <c r="B2744" s="108" t="s">
        <v>2669</v>
      </c>
      <c r="C2744" s="108">
        <v>52.66</v>
      </c>
    </row>
    <row r="2745" spans="1:3" x14ac:dyDescent="0.25">
      <c r="A2745" s="108">
        <v>9045</v>
      </c>
      <c r="B2745" s="108" t="s">
        <v>2670</v>
      </c>
      <c r="C2745" s="108">
        <v>43.14</v>
      </c>
    </row>
    <row r="2746" spans="1:3" x14ac:dyDescent="0.25">
      <c r="A2746" s="108">
        <v>9046</v>
      </c>
      <c r="B2746" s="108" t="s">
        <v>2671</v>
      </c>
      <c r="C2746" s="108">
        <v>50</v>
      </c>
    </row>
    <row r="2747" spans="1:3" x14ac:dyDescent="0.25">
      <c r="A2747" s="108">
        <v>9047</v>
      </c>
      <c r="B2747" s="108" t="s">
        <v>2672</v>
      </c>
      <c r="C2747" s="108">
        <v>4.38</v>
      </c>
    </row>
    <row r="2748" spans="1:3" x14ac:dyDescent="0.25">
      <c r="A2748" s="108">
        <v>9048</v>
      </c>
      <c r="B2748" s="108" t="s">
        <v>2673</v>
      </c>
      <c r="C2748" s="108">
        <v>28</v>
      </c>
    </row>
    <row r="2749" spans="1:3" x14ac:dyDescent="0.25">
      <c r="A2749" s="108">
        <v>9050</v>
      </c>
      <c r="B2749" s="108" t="s">
        <v>2674</v>
      </c>
      <c r="C2749" s="108">
        <v>3.3</v>
      </c>
    </row>
    <row r="2750" spans="1:3" x14ac:dyDescent="0.25">
      <c r="A2750" s="108">
        <v>9051</v>
      </c>
      <c r="B2750" s="108" t="s">
        <v>2675</v>
      </c>
      <c r="C2750" s="108">
        <v>3.2</v>
      </c>
    </row>
    <row r="2751" spans="1:3" x14ac:dyDescent="0.25">
      <c r="A2751" s="108">
        <v>9052</v>
      </c>
      <c r="B2751" s="108" t="s">
        <v>2676</v>
      </c>
      <c r="C2751" s="108">
        <v>18</v>
      </c>
    </row>
    <row r="2752" spans="1:3" x14ac:dyDescent="0.25">
      <c r="A2752" s="108">
        <v>9054</v>
      </c>
      <c r="B2752" s="108" t="s">
        <v>2677</v>
      </c>
      <c r="C2752" s="108">
        <v>15.65</v>
      </c>
    </row>
    <row r="2753" spans="1:3" x14ac:dyDescent="0.25">
      <c r="A2753" s="108">
        <v>9055</v>
      </c>
      <c r="B2753" s="108" t="s">
        <v>2678</v>
      </c>
      <c r="C2753" s="108">
        <v>6.8</v>
      </c>
    </row>
    <row r="2754" spans="1:3" x14ac:dyDescent="0.25">
      <c r="A2754" s="108">
        <v>9056</v>
      </c>
      <c r="B2754" s="108" t="s">
        <v>2679</v>
      </c>
      <c r="C2754" s="108">
        <v>3.5</v>
      </c>
    </row>
    <row r="2755" spans="1:3" x14ac:dyDescent="0.25">
      <c r="A2755" s="108">
        <v>9057</v>
      </c>
      <c r="B2755" s="108" t="s">
        <v>2680</v>
      </c>
      <c r="C2755" s="108">
        <v>22.5</v>
      </c>
    </row>
    <row r="2756" spans="1:3" x14ac:dyDescent="0.25">
      <c r="A2756" s="108">
        <v>9058</v>
      </c>
      <c r="B2756" s="108" t="s">
        <v>2681</v>
      </c>
      <c r="C2756" s="108">
        <v>4.5</v>
      </c>
    </row>
    <row r="2757" spans="1:3" x14ac:dyDescent="0.25">
      <c r="A2757" s="108">
        <v>9062</v>
      </c>
      <c r="B2757" s="108" t="s">
        <v>2682</v>
      </c>
      <c r="C2757" s="108">
        <v>2.34</v>
      </c>
    </row>
    <row r="2758" spans="1:3" x14ac:dyDescent="0.25">
      <c r="A2758" s="108">
        <v>9067</v>
      </c>
      <c r="B2758" s="108" t="s">
        <v>2683</v>
      </c>
      <c r="C2758" s="108">
        <v>12.68</v>
      </c>
    </row>
    <row r="2759" spans="1:3" x14ac:dyDescent="0.25">
      <c r="A2759" s="108">
        <v>9068</v>
      </c>
      <c r="B2759" s="108" t="s">
        <v>2684</v>
      </c>
      <c r="C2759" s="108">
        <v>17.41</v>
      </c>
    </row>
    <row r="2760" spans="1:3" x14ac:dyDescent="0.25">
      <c r="A2760" s="108">
        <v>9069</v>
      </c>
      <c r="B2760" s="108" t="s">
        <v>2685</v>
      </c>
      <c r="C2760" s="108">
        <v>17.41</v>
      </c>
    </row>
    <row r="2761" spans="1:3" x14ac:dyDescent="0.25">
      <c r="A2761" s="108">
        <v>9070</v>
      </c>
      <c r="B2761" s="108" t="s">
        <v>2686</v>
      </c>
      <c r="C2761" s="108">
        <v>9.51</v>
      </c>
    </row>
    <row r="2762" spans="1:3" x14ac:dyDescent="0.25">
      <c r="A2762" s="108">
        <v>9072</v>
      </c>
      <c r="B2762" s="108" t="s">
        <v>2687</v>
      </c>
      <c r="C2762" s="108">
        <v>4.75</v>
      </c>
    </row>
    <row r="2763" spans="1:3" x14ac:dyDescent="0.25">
      <c r="A2763" s="108">
        <v>9073</v>
      </c>
      <c r="B2763" s="108" t="s">
        <v>2688</v>
      </c>
      <c r="C2763" s="108">
        <v>0.87</v>
      </c>
    </row>
    <row r="2764" spans="1:3" x14ac:dyDescent="0.25">
      <c r="A2764" s="108">
        <v>9078</v>
      </c>
      <c r="B2764" s="108" t="s">
        <v>2689</v>
      </c>
      <c r="C2764" s="108">
        <v>45.34</v>
      </c>
    </row>
    <row r="2765" spans="1:3" x14ac:dyDescent="0.25">
      <c r="A2765" s="108">
        <v>9079</v>
      </c>
      <c r="B2765" s="108" t="s">
        <v>2690</v>
      </c>
      <c r="C2765" s="108">
        <v>63.03</v>
      </c>
    </row>
    <row r="2766" spans="1:3" x14ac:dyDescent="0.25">
      <c r="A2766" s="108">
        <v>9080</v>
      </c>
      <c r="B2766" s="108" t="s">
        <v>2691</v>
      </c>
      <c r="C2766" s="108">
        <v>77.97</v>
      </c>
    </row>
    <row r="2767" spans="1:3" x14ac:dyDescent="0.25">
      <c r="A2767" s="108">
        <v>9082</v>
      </c>
      <c r="B2767" s="108" t="s">
        <v>2692</v>
      </c>
      <c r="C2767" s="108">
        <v>17.05</v>
      </c>
    </row>
    <row r="2768" spans="1:3" x14ac:dyDescent="0.25">
      <c r="A2768" s="108">
        <v>9083</v>
      </c>
      <c r="B2768" s="108" t="s">
        <v>2693</v>
      </c>
      <c r="C2768" s="108">
        <v>15.57</v>
      </c>
    </row>
    <row r="2769" spans="1:3" x14ac:dyDescent="0.25">
      <c r="A2769" s="108">
        <v>9084</v>
      </c>
      <c r="B2769" s="108" t="s">
        <v>2694</v>
      </c>
      <c r="C2769" s="108">
        <v>12.58</v>
      </c>
    </row>
    <row r="2770" spans="1:3" x14ac:dyDescent="0.25">
      <c r="A2770" s="108">
        <v>9085</v>
      </c>
      <c r="B2770" s="108" t="s">
        <v>2695</v>
      </c>
      <c r="C2770" s="108">
        <v>11.84</v>
      </c>
    </row>
    <row r="2771" spans="1:3" x14ac:dyDescent="0.25">
      <c r="A2771" s="108">
        <v>9086</v>
      </c>
      <c r="B2771" s="108" t="s">
        <v>2696</v>
      </c>
      <c r="C2771" s="108">
        <v>14.19</v>
      </c>
    </row>
    <row r="2772" spans="1:3" x14ac:dyDescent="0.25">
      <c r="A2772" s="108">
        <v>9088</v>
      </c>
      <c r="B2772" s="108" t="s">
        <v>2697</v>
      </c>
      <c r="C2772" s="108">
        <v>3.3</v>
      </c>
    </row>
    <row r="2773" spans="1:3" x14ac:dyDescent="0.25">
      <c r="A2773" s="108">
        <v>9089</v>
      </c>
      <c r="B2773" s="108" t="s">
        <v>2698</v>
      </c>
      <c r="C2773" s="108">
        <v>22.67</v>
      </c>
    </row>
    <row r="2774" spans="1:3" x14ac:dyDescent="0.25">
      <c r="A2774" s="108">
        <v>9091</v>
      </c>
      <c r="B2774" s="108" t="s">
        <v>2699</v>
      </c>
      <c r="C2774" s="108">
        <v>2.93</v>
      </c>
    </row>
    <row r="2775" spans="1:3" x14ac:dyDescent="0.25">
      <c r="A2775" s="108">
        <v>9093</v>
      </c>
      <c r="B2775" s="108" t="s">
        <v>2700</v>
      </c>
      <c r="C2775" s="108">
        <v>15.36</v>
      </c>
    </row>
    <row r="2776" spans="1:3" x14ac:dyDescent="0.25">
      <c r="A2776" s="108">
        <v>9103</v>
      </c>
      <c r="B2776" s="108" t="s">
        <v>2701</v>
      </c>
      <c r="C2776" s="108">
        <v>6.5</v>
      </c>
    </row>
    <row r="2777" spans="1:3" x14ac:dyDescent="0.25">
      <c r="A2777" s="108">
        <v>9199</v>
      </c>
      <c r="B2777" s="108" t="s">
        <v>2702</v>
      </c>
      <c r="C2777" s="108">
        <v>582</v>
      </c>
    </row>
    <row r="2778" spans="1:3" x14ac:dyDescent="0.25">
      <c r="A2778" s="108">
        <v>9207</v>
      </c>
      <c r="B2778" s="108" t="s">
        <v>2703</v>
      </c>
      <c r="C2778" s="108">
        <v>42.63</v>
      </c>
    </row>
    <row r="2779" spans="1:3" x14ac:dyDescent="0.25">
      <c r="A2779" s="108">
        <v>9208</v>
      </c>
      <c r="B2779" s="108" t="s">
        <v>2704</v>
      </c>
      <c r="C2779" s="108">
        <v>46.18</v>
      </c>
    </row>
    <row r="2780" spans="1:3" x14ac:dyDescent="0.25">
      <c r="A2780" s="108">
        <v>9209</v>
      </c>
      <c r="B2780" s="108" t="s">
        <v>2705</v>
      </c>
      <c r="C2780" s="108">
        <v>6.49</v>
      </c>
    </row>
    <row r="2781" spans="1:3" x14ac:dyDescent="0.25">
      <c r="A2781" s="108">
        <v>9210</v>
      </c>
      <c r="B2781" s="108" t="s">
        <v>2706</v>
      </c>
      <c r="C2781" s="108">
        <v>8.33</v>
      </c>
    </row>
    <row r="2782" spans="1:3" x14ac:dyDescent="0.25">
      <c r="A2782" s="108">
        <v>9211</v>
      </c>
      <c r="B2782" s="108" t="s">
        <v>2707</v>
      </c>
      <c r="C2782" s="108">
        <v>124.15</v>
      </c>
    </row>
    <row r="2783" spans="1:3" x14ac:dyDescent="0.25">
      <c r="A2783" s="108">
        <v>9212</v>
      </c>
      <c r="B2783" s="108" t="s">
        <v>2708</v>
      </c>
      <c r="C2783" s="108">
        <v>16.829999999999998</v>
      </c>
    </row>
    <row r="2784" spans="1:3" x14ac:dyDescent="0.25">
      <c r="A2784" s="108">
        <v>9213</v>
      </c>
      <c r="B2784" s="108" t="s">
        <v>2709</v>
      </c>
      <c r="C2784" s="108">
        <v>14.89</v>
      </c>
    </row>
    <row r="2785" spans="1:3" x14ac:dyDescent="0.25">
      <c r="A2785" s="108">
        <v>9214</v>
      </c>
      <c r="B2785" s="108" t="s">
        <v>2710</v>
      </c>
      <c r="C2785" s="108">
        <v>7.08</v>
      </c>
    </row>
    <row r="2786" spans="1:3" x14ac:dyDescent="0.25">
      <c r="A2786" s="108">
        <v>9215</v>
      </c>
      <c r="B2786" s="108" t="s">
        <v>2711</v>
      </c>
      <c r="C2786" s="108">
        <v>10.18</v>
      </c>
    </row>
    <row r="2787" spans="1:3" x14ac:dyDescent="0.25">
      <c r="A2787" s="108">
        <v>9216</v>
      </c>
      <c r="B2787" s="108" t="s">
        <v>2712</v>
      </c>
      <c r="C2787" s="108">
        <v>10.01</v>
      </c>
    </row>
    <row r="2788" spans="1:3" x14ac:dyDescent="0.25">
      <c r="A2788" s="108">
        <v>9217</v>
      </c>
      <c r="B2788" s="108" t="s">
        <v>2713</v>
      </c>
      <c r="C2788" s="108">
        <v>170</v>
      </c>
    </row>
    <row r="2789" spans="1:3" x14ac:dyDescent="0.25">
      <c r="A2789" s="108">
        <v>9218</v>
      </c>
      <c r="B2789" s="108" t="s">
        <v>2714</v>
      </c>
      <c r="C2789" s="108">
        <v>223.35</v>
      </c>
    </row>
    <row r="2790" spans="1:3" x14ac:dyDescent="0.25">
      <c r="A2790" s="108">
        <v>9219</v>
      </c>
      <c r="B2790" s="108" t="s">
        <v>2715</v>
      </c>
      <c r="C2790" s="108">
        <v>10</v>
      </c>
    </row>
    <row r="2791" spans="1:3" x14ac:dyDescent="0.25">
      <c r="A2791" s="108">
        <v>9220</v>
      </c>
      <c r="B2791" s="108" t="s">
        <v>2716</v>
      </c>
      <c r="C2791" s="108">
        <v>9.9499999999999993</v>
      </c>
    </row>
    <row r="2792" spans="1:3" x14ac:dyDescent="0.25">
      <c r="A2792" s="108">
        <v>9221</v>
      </c>
      <c r="B2792" s="108" t="s">
        <v>2717</v>
      </c>
      <c r="C2792" s="108">
        <v>5.25</v>
      </c>
    </row>
    <row r="2793" spans="1:3" x14ac:dyDescent="0.25">
      <c r="A2793" s="108">
        <v>9222</v>
      </c>
      <c r="B2793" s="108" t="s">
        <v>2718</v>
      </c>
      <c r="C2793" s="108">
        <v>3.62</v>
      </c>
    </row>
    <row r="2794" spans="1:3" x14ac:dyDescent="0.25">
      <c r="A2794" s="108">
        <v>9223</v>
      </c>
      <c r="B2794" s="108" t="s">
        <v>2719</v>
      </c>
      <c r="C2794" s="108">
        <v>4.97</v>
      </c>
    </row>
    <row r="2795" spans="1:3" x14ac:dyDescent="0.25">
      <c r="A2795" s="108">
        <v>9224</v>
      </c>
      <c r="B2795" s="108" t="s">
        <v>2720</v>
      </c>
      <c r="C2795" s="108">
        <v>6.9</v>
      </c>
    </row>
    <row r="2796" spans="1:3" ht="30" x14ac:dyDescent="0.25">
      <c r="A2796" s="108">
        <v>9225</v>
      </c>
      <c r="B2796" s="108" t="s">
        <v>2721</v>
      </c>
      <c r="C2796" s="108">
        <v>36.5</v>
      </c>
    </row>
    <row r="2797" spans="1:3" x14ac:dyDescent="0.25">
      <c r="A2797" s="108">
        <v>9226</v>
      </c>
      <c r="B2797" s="108" t="s">
        <v>2722</v>
      </c>
      <c r="C2797" s="108">
        <v>64.83</v>
      </c>
    </row>
    <row r="2798" spans="1:3" x14ac:dyDescent="0.25">
      <c r="A2798" s="108">
        <v>9227</v>
      </c>
      <c r="B2798" s="108" t="s">
        <v>2723</v>
      </c>
      <c r="C2798" s="108">
        <v>74.5</v>
      </c>
    </row>
    <row r="2799" spans="1:3" x14ac:dyDescent="0.25">
      <c r="A2799" s="108">
        <v>9228</v>
      </c>
      <c r="B2799" s="108" t="s">
        <v>2724</v>
      </c>
      <c r="C2799" s="108">
        <v>25.75</v>
      </c>
    </row>
    <row r="2800" spans="1:3" x14ac:dyDescent="0.25">
      <c r="A2800" s="108">
        <v>9229</v>
      </c>
      <c r="B2800" s="108" t="s">
        <v>2725</v>
      </c>
      <c r="C2800" s="108">
        <v>27.44</v>
      </c>
    </row>
    <row r="2801" spans="1:3" x14ac:dyDescent="0.25">
      <c r="A2801" s="108">
        <v>9230</v>
      </c>
      <c r="B2801" s="108" t="s">
        <v>2726</v>
      </c>
      <c r="C2801" s="108">
        <v>24.5</v>
      </c>
    </row>
    <row r="2802" spans="1:3" x14ac:dyDescent="0.25">
      <c r="A2802" s="108">
        <v>9231</v>
      </c>
      <c r="B2802" s="108" t="s">
        <v>2727</v>
      </c>
      <c r="C2802" s="108">
        <v>31.19</v>
      </c>
    </row>
    <row r="2803" spans="1:3" x14ac:dyDescent="0.25">
      <c r="A2803" s="108">
        <v>9232</v>
      </c>
      <c r="B2803" s="108" t="s">
        <v>2728</v>
      </c>
      <c r="C2803" s="108">
        <v>35</v>
      </c>
    </row>
    <row r="2804" spans="1:3" x14ac:dyDescent="0.25">
      <c r="A2804" s="108">
        <v>9233</v>
      </c>
      <c r="B2804" s="108" t="s">
        <v>2729</v>
      </c>
      <c r="C2804" s="108">
        <v>51.38</v>
      </c>
    </row>
    <row r="2805" spans="1:3" x14ac:dyDescent="0.25">
      <c r="A2805" s="108">
        <v>9235</v>
      </c>
      <c r="B2805" s="108" t="s">
        <v>2730</v>
      </c>
      <c r="C2805" s="109">
        <v>3134.71</v>
      </c>
    </row>
    <row r="2806" spans="1:3" x14ac:dyDescent="0.25">
      <c r="A2806" s="108">
        <v>9239</v>
      </c>
      <c r="B2806" s="108" t="s">
        <v>2731</v>
      </c>
      <c r="C2806" s="108">
        <v>910</v>
      </c>
    </row>
    <row r="2807" spans="1:3" x14ac:dyDescent="0.25">
      <c r="A2807" s="108">
        <v>9252</v>
      </c>
      <c r="B2807" s="108" t="s">
        <v>2732</v>
      </c>
      <c r="C2807" s="108">
        <v>24.02</v>
      </c>
    </row>
    <row r="2808" spans="1:3" x14ac:dyDescent="0.25">
      <c r="A2808" s="108">
        <v>9253</v>
      </c>
      <c r="B2808" s="108" t="s">
        <v>2733</v>
      </c>
      <c r="C2808" s="108">
        <v>22.8</v>
      </c>
    </row>
    <row r="2809" spans="1:3" x14ac:dyDescent="0.25">
      <c r="A2809" s="108">
        <v>9254</v>
      </c>
      <c r="B2809" s="108" t="s">
        <v>2734</v>
      </c>
      <c r="C2809" s="108">
        <v>5.34</v>
      </c>
    </row>
    <row r="2810" spans="1:3" ht="30" x14ac:dyDescent="0.25">
      <c r="A2810" s="108">
        <v>9257</v>
      </c>
      <c r="B2810" s="108" t="s">
        <v>2735</v>
      </c>
      <c r="C2810" s="108">
        <v>13.5</v>
      </c>
    </row>
    <row r="2811" spans="1:3" x14ac:dyDescent="0.25">
      <c r="A2811" s="108">
        <v>9258</v>
      </c>
      <c r="B2811" s="108" t="s">
        <v>2736</v>
      </c>
      <c r="C2811" s="108">
        <v>143.4</v>
      </c>
    </row>
    <row r="2812" spans="1:3" x14ac:dyDescent="0.25">
      <c r="A2812" s="108">
        <v>9259</v>
      </c>
      <c r="B2812" s="108" t="s">
        <v>2737</v>
      </c>
      <c r="C2812" s="108">
        <v>2.31</v>
      </c>
    </row>
    <row r="2813" spans="1:3" x14ac:dyDescent="0.25">
      <c r="A2813" s="108">
        <v>9260</v>
      </c>
      <c r="B2813" s="108" t="s">
        <v>2738</v>
      </c>
      <c r="C2813" s="108">
        <v>2.8</v>
      </c>
    </row>
    <row r="2814" spans="1:3" x14ac:dyDescent="0.25">
      <c r="A2814" s="108">
        <v>9262</v>
      </c>
      <c r="B2814" s="108" t="s">
        <v>2739</v>
      </c>
      <c r="C2814" s="108">
        <v>4.41</v>
      </c>
    </row>
    <row r="2815" spans="1:3" x14ac:dyDescent="0.25">
      <c r="A2815" s="108">
        <v>9264</v>
      </c>
      <c r="B2815" s="108" t="s">
        <v>2740</v>
      </c>
      <c r="C2815" s="108">
        <v>10.49</v>
      </c>
    </row>
    <row r="2816" spans="1:3" x14ac:dyDescent="0.25">
      <c r="A2816" s="108">
        <v>9267</v>
      </c>
      <c r="B2816" s="108" t="s">
        <v>2741</v>
      </c>
      <c r="C2816" s="108">
        <v>17.32</v>
      </c>
    </row>
    <row r="2817" spans="1:3" x14ac:dyDescent="0.25">
      <c r="A2817" s="108">
        <v>9268</v>
      </c>
      <c r="B2817" s="108" t="s">
        <v>2742</v>
      </c>
      <c r="C2817" s="108">
        <v>17.34</v>
      </c>
    </row>
    <row r="2818" spans="1:3" x14ac:dyDescent="0.25">
      <c r="A2818" s="108">
        <v>9273</v>
      </c>
      <c r="B2818" s="108" t="s">
        <v>2743</v>
      </c>
      <c r="C2818" s="108">
        <v>36.75</v>
      </c>
    </row>
    <row r="2819" spans="1:3" x14ac:dyDescent="0.25">
      <c r="A2819" s="108">
        <v>9274</v>
      </c>
      <c r="B2819" s="108" t="s">
        <v>2744</v>
      </c>
      <c r="C2819" s="108">
        <v>47</v>
      </c>
    </row>
    <row r="2820" spans="1:3" x14ac:dyDescent="0.25">
      <c r="A2820" s="108">
        <v>9275</v>
      </c>
      <c r="B2820" s="108" t="s">
        <v>2745</v>
      </c>
      <c r="C2820" s="108">
        <v>49</v>
      </c>
    </row>
    <row r="2821" spans="1:3" x14ac:dyDescent="0.25">
      <c r="A2821" s="108">
        <v>9277</v>
      </c>
      <c r="B2821" s="108" t="s">
        <v>2746</v>
      </c>
      <c r="C2821" s="108">
        <v>19.829999999999998</v>
      </c>
    </row>
    <row r="2822" spans="1:3" x14ac:dyDescent="0.25">
      <c r="A2822" s="108">
        <v>9278</v>
      </c>
      <c r="B2822" s="108" t="s">
        <v>2747</v>
      </c>
      <c r="C2822" s="108">
        <v>37.06</v>
      </c>
    </row>
    <row r="2823" spans="1:3" x14ac:dyDescent="0.25">
      <c r="A2823" s="108">
        <v>9279</v>
      </c>
      <c r="B2823" s="108" t="s">
        <v>2748</v>
      </c>
      <c r="C2823" s="108">
        <v>3.41</v>
      </c>
    </row>
    <row r="2824" spans="1:3" x14ac:dyDescent="0.25">
      <c r="A2824" s="108">
        <v>9281</v>
      </c>
      <c r="B2824" s="108" t="s">
        <v>2749</v>
      </c>
      <c r="C2824" s="108">
        <v>39.47</v>
      </c>
    </row>
    <row r="2825" spans="1:3" x14ac:dyDescent="0.25">
      <c r="A2825" s="108">
        <v>9282</v>
      </c>
      <c r="B2825" s="108" t="s">
        <v>2750</v>
      </c>
      <c r="C2825" s="108">
        <v>31</v>
      </c>
    </row>
    <row r="2826" spans="1:3" x14ac:dyDescent="0.25">
      <c r="A2826" s="108">
        <v>9292</v>
      </c>
      <c r="B2826" s="108" t="s">
        <v>2751</v>
      </c>
      <c r="C2826" s="108">
        <v>325</v>
      </c>
    </row>
    <row r="2827" spans="1:3" x14ac:dyDescent="0.25">
      <c r="A2827" s="108">
        <v>9293</v>
      </c>
      <c r="B2827" s="108" t="s">
        <v>2752</v>
      </c>
      <c r="C2827" s="110">
        <v>1917</v>
      </c>
    </row>
    <row r="2828" spans="1:3" x14ac:dyDescent="0.25">
      <c r="A2828" s="108">
        <v>9294</v>
      </c>
      <c r="B2828" s="108" t="s">
        <v>2753</v>
      </c>
      <c r="C2828" s="108">
        <v>36</v>
      </c>
    </row>
    <row r="2829" spans="1:3" ht="30" x14ac:dyDescent="0.25">
      <c r="A2829" s="108">
        <v>9296</v>
      </c>
      <c r="B2829" s="108" t="s">
        <v>2754</v>
      </c>
      <c r="C2829" s="108">
        <v>831.62</v>
      </c>
    </row>
    <row r="2830" spans="1:3" x14ac:dyDescent="0.25">
      <c r="A2830" s="108">
        <v>9300</v>
      </c>
      <c r="B2830" s="108" t="s">
        <v>2755</v>
      </c>
      <c r="C2830" s="108">
        <v>2.97</v>
      </c>
    </row>
    <row r="2831" spans="1:3" x14ac:dyDescent="0.25">
      <c r="A2831" s="108">
        <v>9304</v>
      </c>
      <c r="B2831" s="108" t="s">
        <v>2756</v>
      </c>
      <c r="C2831" s="108">
        <v>73.03</v>
      </c>
    </row>
    <row r="2832" spans="1:3" x14ac:dyDescent="0.25">
      <c r="A2832" s="108">
        <v>9307</v>
      </c>
      <c r="B2832" s="108" t="s">
        <v>2757</v>
      </c>
      <c r="C2832" s="108">
        <v>11.91</v>
      </c>
    </row>
    <row r="2833" spans="1:3" x14ac:dyDescent="0.25">
      <c r="A2833" s="108">
        <v>9308</v>
      </c>
      <c r="B2833" s="108" t="s">
        <v>2758</v>
      </c>
      <c r="C2833" s="108">
        <v>4.92</v>
      </c>
    </row>
    <row r="2834" spans="1:3" x14ac:dyDescent="0.25">
      <c r="A2834" s="108">
        <v>9309</v>
      </c>
      <c r="B2834" s="108" t="s">
        <v>2759</v>
      </c>
      <c r="C2834" s="108">
        <v>0.93</v>
      </c>
    </row>
    <row r="2835" spans="1:3" x14ac:dyDescent="0.25">
      <c r="A2835" s="108">
        <v>9312</v>
      </c>
      <c r="B2835" s="108" t="s">
        <v>2760</v>
      </c>
      <c r="C2835" s="108">
        <v>2.0699999999999998</v>
      </c>
    </row>
    <row r="2836" spans="1:3" x14ac:dyDescent="0.25">
      <c r="A2836" s="108">
        <v>9313</v>
      </c>
      <c r="B2836" s="108" t="s">
        <v>2761</v>
      </c>
      <c r="C2836" s="108">
        <v>2.52</v>
      </c>
    </row>
    <row r="2837" spans="1:3" x14ac:dyDescent="0.25">
      <c r="A2837" s="108">
        <v>9315</v>
      </c>
      <c r="B2837" s="108" t="s">
        <v>2762</v>
      </c>
      <c r="C2837" s="108">
        <v>3.54</v>
      </c>
    </row>
    <row r="2838" spans="1:3" x14ac:dyDescent="0.25">
      <c r="A2838" s="108">
        <v>9316</v>
      </c>
      <c r="B2838" s="108" t="s">
        <v>2763</v>
      </c>
      <c r="C2838" s="108">
        <v>7.32</v>
      </c>
    </row>
    <row r="2839" spans="1:3" x14ac:dyDescent="0.25">
      <c r="A2839" s="108">
        <v>9317</v>
      </c>
      <c r="B2839" s="108" t="s">
        <v>2764</v>
      </c>
      <c r="C2839" s="108">
        <v>43.5</v>
      </c>
    </row>
    <row r="2840" spans="1:3" x14ac:dyDescent="0.25">
      <c r="A2840" s="108">
        <v>9318</v>
      </c>
      <c r="B2840" s="108" t="s">
        <v>2765</v>
      </c>
      <c r="C2840" s="108">
        <v>103.47</v>
      </c>
    </row>
    <row r="2841" spans="1:3" x14ac:dyDescent="0.25">
      <c r="A2841" s="108">
        <v>9320</v>
      </c>
      <c r="B2841" s="108" t="s">
        <v>2766</v>
      </c>
      <c r="C2841" s="108">
        <v>695.52</v>
      </c>
    </row>
    <row r="2842" spans="1:3" x14ac:dyDescent="0.25">
      <c r="A2842" s="108">
        <v>9322</v>
      </c>
      <c r="B2842" s="108" t="s">
        <v>2767</v>
      </c>
      <c r="C2842" s="108">
        <v>315.39</v>
      </c>
    </row>
    <row r="2843" spans="1:3" x14ac:dyDescent="0.25">
      <c r="A2843" s="108">
        <v>9323</v>
      </c>
      <c r="B2843" s="108" t="s">
        <v>2768</v>
      </c>
      <c r="C2843" s="108">
        <v>25.09</v>
      </c>
    </row>
    <row r="2844" spans="1:3" x14ac:dyDescent="0.25">
      <c r="A2844" s="108">
        <v>9324</v>
      </c>
      <c r="B2844" s="108" t="s">
        <v>2769</v>
      </c>
      <c r="C2844" s="108">
        <v>15.69</v>
      </c>
    </row>
    <row r="2845" spans="1:3" x14ac:dyDescent="0.25">
      <c r="A2845" s="108">
        <v>9327</v>
      </c>
      <c r="B2845" s="108" t="s">
        <v>2770</v>
      </c>
      <c r="C2845" s="108">
        <v>72</v>
      </c>
    </row>
    <row r="2846" spans="1:3" x14ac:dyDescent="0.25">
      <c r="A2846" s="108">
        <v>9329</v>
      </c>
      <c r="B2846" s="108" t="s">
        <v>2771</v>
      </c>
      <c r="C2846" s="108">
        <v>36.15</v>
      </c>
    </row>
    <row r="2847" spans="1:3" x14ac:dyDescent="0.25">
      <c r="A2847" s="108">
        <v>9331</v>
      </c>
      <c r="B2847" s="108" t="s">
        <v>2772</v>
      </c>
      <c r="C2847" s="108">
        <v>13.17</v>
      </c>
    </row>
    <row r="2848" spans="1:3" x14ac:dyDescent="0.25">
      <c r="A2848" s="108">
        <v>9332</v>
      </c>
      <c r="B2848" s="108" t="s">
        <v>2773</v>
      </c>
      <c r="C2848" s="108">
        <v>469.68</v>
      </c>
    </row>
    <row r="2849" spans="1:3" x14ac:dyDescent="0.25">
      <c r="A2849" s="108">
        <v>9336</v>
      </c>
      <c r="B2849" s="108" t="s">
        <v>2774</v>
      </c>
      <c r="C2849" s="108">
        <v>217.44</v>
      </c>
    </row>
    <row r="2850" spans="1:3" x14ac:dyDescent="0.25">
      <c r="A2850" s="108">
        <v>9337</v>
      </c>
      <c r="B2850" s="108" t="s">
        <v>2775</v>
      </c>
      <c r="C2850" s="108">
        <v>160.11000000000001</v>
      </c>
    </row>
    <row r="2851" spans="1:3" x14ac:dyDescent="0.25">
      <c r="A2851" s="108">
        <v>9338</v>
      </c>
      <c r="B2851" s="108" t="s">
        <v>2776</v>
      </c>
      <c r="C2851" s="108">
        <v>28.83</v>
      </c>
    </row>
    <row r="2852" spans="1:3" x14ac:dyDescent="0.25">
      <c r="A2852" s="108">
        <v>9339</v>
      </c>
      <c r="B2852" s="108" t="s">
        <v>2777</v>
      </c>
      <c r="C2852" s="108">
        <v>36.15</v>
      </c>
    </row>
    <row r="2853" spans="1:3" x14ac:dyDescent="0.25">
      <c r="A2853" s="108">
        <v>9340</v>
      </c>
      <c r="B2853" s="108" t="s">
        <v>2778</v>
      </c>
      <c r="C2853" s="108">
        <v>63.63</v>
      </c>
    </row>
    <row r="2854" spans="1:3" x14ac:dyDescent="0.25">
      <c r="A2854" s="108">
        <v>9344</v>
      </c>
      <c r="B2854" s="108" t="s">
        <v>2779</v>
      </c>
      <c r="C2854" s="108">
        <v>3.54</v>
      </c>
    </row>
    <row r="2855" spans="1:3" x14ac:dyDescent="0.25">
      <c r="A2855" s="108">
        <v>9346</v>
      </c>
      <c r="B2855" s="108" t="s">
        <v>2771</v>
      </c>
      <c r="C2855" s="108">
        <v>1.38</v>
      </c>
    </row>
    <row r="2856" spans="1:3" x14ac:dyDescent="0.25">
      <c r="A2856" s="108">
        <v>9347</v>
      </c>
      <c r="B2856" s="108" t="s">
        <v>2780</v>
      </c>
      <c r="C2856" s="108">
        <v>17</v>
      </c>
    </row>
    <row r="2857" spans="1:3" x14ac:dyDescent="0.25">
      <c r="A2857" s="108">
        <v>9349</v>
      </c>
      <c r="B2857" s="108" t="s">
        <v>2781</v>
      </c>
      <c r="C2857" s="108">
        <v>78.37</v>
      </c>
    </row>
    <row r="2858" spans="1:3" ht="30" x14ac:dyDescent="0.25">
      <c r="A2858" s="108">
        <v>9351</v>
      </c>
      <c r="B2858" s="108" t="s">
        <v>2782</v>
      </c>
      <c r="C2858" s="108">
        <v>85</v>
      </c>
    </row>
    <row r="2859" spans="1:3" ht="30" x14ac:dyDescent="0.25">
      <c r="A2859" s="108">
        <v>9352</v>
      </c>
      <c r="B2859" s="108" t="s">
        <v>2783</v>
      </c>
      <c r="C2859" s="108">
        <v>221</v>
      </c>
    </row>
    <row r="2860" spans="1:3" x14ac:dyDescent="0.25">
      <c r="A2860" s="108">
        <v>9354</v>
      </c>
      <c r="B2860" s="108" t="s">
        <v>2784</v>
      </c>
      <c r="C2860" s="108">
        <v>60.95</v>
      </c>
    </row>
    <row r="2861" spans="1:3" x14ac:dyDescent="0.25">
      <c r="A2861" s="108">
        <v>9355</v>
      </c>
      <c r="B2861" s="108" t="s">
        <v>2785</v>
      </c>
      <c r="C2861" s="108">
        <v>99.26</v>
      </c>
    </row>
    <row r="2862" spans="1:3" x14ac:dyDescent="0.25">
      <c r="A2862" s="108">
        <v>9357</v>
      </c>
      <c r="B2862" s="108" t="s">
        <v>2786</v>
      </c>
      <c r="C2862" s="108">
        <v>60.53</v>
      </c>
    </row>
    <row r="2863" spans="1:3" x14ac:dyDescent="0.25">
      <c r="A2863" s="108">
        <v>9358</v>
      </c>
      <c r="B2863" s="108" t="s">
        <v>2787</v>
      </c>
      <c r="C2863" s="109">
        <v>1384.3</v>
      </c>
    </row>
    <row r="2864" spans="1:3" x14ac:dyDescent="0.25">
      <c r="A2864" s="108">
        <v>9359</v>
      </c>
      <c r="B2864" s="108" t="s">
        <v>2788</v>
      </c>
      <c r="C2864" s="109">
        <v>2391.08</v>
      </c>
    </row>
    <row r="2865" spans="1:3" x14ac:dyDescent="0.25">
      <c r="A2865" s="108">
        <v>9360</v>
      </c>
      <c r="B2865" s="108" t="s">
        <v>2789</v>
      </c>
      <c r="C2865" s="108">
        <v>12.15</v>
      </c>
    </row>
    <row r="2866" spans="1:3" x14ac:dyDescent="0.25">
      <c r="A2866" s="108">
        <v>9361</v>
      </c>
      <c r="B2866" s="108" t="s">
        <v>2790</v>
      </c>
      <c r="C2866" s="108">
        <v>10.4</v>
      </c>
    </row>
    <row r="2867" spans="1:3" x14ac:dyDescent="0.25">
      <c r="A2867" s="108">
        <v>9362</v>
      </c>
      <c r="B2867" s="108" t="s">
        <v>2791</v>
      </c>
      <c r="C2867" s="108">
        <v>9.6300000000000008</v>
      </c>
    </row>
    <row r="2868" spans="1:3" x14ac:dyDescent="0.25">
      <c r="A2868" s="108">
        <v>9363</v>
      </c>
      <c r="B2868" s="108" t="s">
        <v>2792</v>
      </c>
      <c r="C2868" s="108">
        <v>62.32</v>
      </c>
    </row>
    <row r="2869" spans="1:3" x14ac:dyDescent="0.25">
      <c r="A2869" s="108">
        <v>9364</v>
      </c>
      <c r="B2869" s="108" t="s">
        <v>2793</v>
      </c>
      <c r="C2869" s="108">
        <v>89.6</v>
      </c>
    </row>
    <row r="2870" spans="1:3" x14ac:dyDescent="0.25">
      <c r="A2870" s="108">
        <v>9365</v>
      </c>
      <c r="B2870" s="108" t="s">
        <v>2794</v>
      </c>
      <c r="C2870" s="108">
        <v>178.62</v>
      </c>
    </row>
    <row r="2871" spans="1:3" x14ac:dyDescent="0.25">
      <c r="A2871" s="108">
        <v>9366</v>
      </c>
      <c r="B2871" s="108" t="s">
        <v>2795</v>
      </c>
      <c r="C2871" s="108">
        <v>8.83</v>
      </c>
    </row>
    <row r="2872" spans="1:3" ht="30" x14ac:dyDescent="0.25">
      <c r="A2872" s="108">
        <v>9367</v>
      </c>
      <c r="B2872" s="108" t="s">
        <v>2796</v>
      </c>
      <c r="C2872" s="108">
        <v>8.83</v>
      </c>
    </row>
    <row r="2873" spans="1:3" x14ac:dyDescent="0.25">
      <c r="A2873" s="108">
        <v>9368</v>
      </c>
      <c r="B2873" s="108" t="s">
        <v>2797</v>
      </c>
      <c r="C2873" s="108">
        <v>8.64</v>
      </c>
    </row>
    <row r="2874" spans="1:3" x14ac:dyDescent="0.25">
      <c r="A2874" s="108">
        <v>9369</v>
      </c>
      <c r="B2874" s="108" t="s">
        <v>2798</v>
      </c>
      <c r="C2874" s="108">
        <v>19.11</v>
      </c>
    </row>
    <row r="2875" spans="1:3" x14ac:dyDescent="0.25">
      <c r="A2875" s="108">
        <v>9370</v>
      </c>
      <c r="B2875" s="108" t="s">
        <v>2799</v>
      </c>
      <c r="C2875" s="108">
        <v>28.51</v>
      </c>
    </row>
    <row r="2876" spans="1:3" x14ac:dyDescent="0.25">
      <c r="A2876" s="108">
        <v>9371</v>
      </c>
      <c r="B2876" s="108" t="s">
        <v>2800</v>
      </c>
      <c r="C2876" s="108">
        <v>36.799999999999997</v>
      </c>
    </row>
    <row r="2877" spans="1:3" x14ac:dyDescent="0.25">
      <c r="A2877" s="108">
        <v>9372</v>
      </c>
      <c r="B2877" s="108" t="s">
        <v>2801</v>
      </c>
      <c r="C2877" s="108">
        <v>1.5</v>
      </c>
    </row>
    <row r="2878" spans="1:3" x14ac:dyDescent="0.25">
      <c r="A2878" s="108">
        <v>9373</v>
      </c>
      <c r="B2878" s="108" t="s">
        <v>2802</v>
      </c>
      <c r="C2878" s="108">
        <v>155</v>
      </c>
    </row>
    <row r="2879" spans="1:3" x14ac:dyDescent="0.25">
      <c r="A2879" s="108">
        <v>9374</v>
      </c>
      <c r="B2879" s="108" t="s">
        <v>2803</v>
      </c>
      <c r="C2879" s="108">
        <v>118.04</v>
      </c>
    </row>
    <row r="2880" spans="1:3" x14ac:dyDescent="0.25">
      <c r="A2880" s="108">
        <v>9376</v>
      </c>
      <c r="B2880" s="108" t="s">
        <v>2804</v>
      </c>
      <c r="C2880" s="108">
        <v>8.4</v>
      </c>
    </row>
    <row r="2881" spans="1:3" x14ac:dyDescent="0.25">
      <c r="A2881" s="108">
        <v>9377</v>
      </c>
      <c r="B2881" s="108" t="s">
        <v>2805</v>
      </c>
      <c r="C2881" s="108">
        <v>10.5</v>
      </c>
    </row>
    <row r="2882" spans="1:3" x14ac:dyDescent="0.25">
      <c r="A2882" s="108">
        <v>9378</v>
      </c>
      <c r="B2882" s="108" t="s">
        <v>2806</v>
      </c>
      <c r="C2882" s="108">
        <v>12.02</v>
      </c>
    </row>
    <row r="2883" spans="1:3" x14ac:dyDescent="0.25">
      <c r="A2883" s="108">
        <v>9379</v>
      </c>
      <c r="B2883" s="108" t="s">
        <v>2807</v>
      </c>
      <c r="C2883" s="108">
        <v>25.5</v>
      </c>
    </row>
    <row r="2884" spans="1:3" x14ac:dyDescent="0.25">
      <c r="A2884" s="108">
        <v>9380</v>
      </c>
      <c r="B2884" s="108" t="s">
        <v>2808</v>
      </c>
      <c r="C2884" s="108">
        <v>50.5</v>
      </c>
    </row>
    <row r="2885" spans="1:3" x14ac:dyDescent="0.25">
      <c r="A2885" s="108">
        <v>9381</v>
      </c>
      <c r="B2885" s="108" t="s">
        <v>2809</v>
      </c>
      <c r="C2885" s="108">
        <v>59.5</v>
      </c>
    </row>
    <row r="2886" spans="1:3" x14ac:dyDescent="0.25">
      <c r="A2886" s="108">
        <v>9382</v>
      </c>
      <c r="B2886" s="108" t="s">
        <v>2810</v>
      </c>
      <c r="C2886" s="108">
        <v>2.5</v>
      </c>
    </row>
    <row r="2887" spans="1:3" x14ac:dyDescent="0.25">
      <c r="A2887" s="108">
        <v>9383</v>
      </c>
      <c r="B2887" s="108" t="s">
        <v>2811</v>
      </c>
      <c r="C2887" s="108">
        <v>2</v>
      </c>
    </row>
    <row r="2888" spans="1:3" x14ac:dyDescent="0.25">
      <c r="A2888" s="108">
        <v>9384</v>
      </c>
      <c r="B2888" s="108" t="s">
        <v>2812</v>
      </c>
      <c r="C2888" s="108">
        <v>7.92</v>
      </c>
    </row>
    <row r="2889" spans="1:3" x14ac:dyDescent="0.25">
      <c r="A2889" s="108">
        <v>9386</v>
      </c>
      <c r="B2889" s="108" t="s">
        <v>2813</v>
      </c>
      <c r="C2889" s="108">
        <v>0.75</v>
      </c>
    </row>
    <row r="2890" spans="1:3" x14ac:dyDescent="0.25">
      <c r="A2890" s="108">
        <v>9387</v>
      </c>
      <c r="B2890" s="108" t="s">
        <v>2814</v>
      </c>
      <c r="C2890" s="108">
        <v>6.5</v>
      </c>
    </row>
    <row r="2891" spans="1:3" x14ac:dyDescent="0.25">
      <c r="A2891" s="108">
        <v>9388</v>
      </c>
      <c r="B2891" s="108" t="s">
        <v>2815</v>
      </c>
      <c r="C2891" s="108">
        <v>19.7</v>
      </c>
    </row>
    <row r="2892" spans="1:3" x14ac:dyDescent="0.25">
      <c r="A2892" s="108">
        <v>9389</v>
      </c>
      <c r="B2892" s="108" t="s">
        <v>2816</v>
      </c>
      <c r="C2892" s="108">
        <v>3.2</v>
      </c>
    </row>
    <row r="2893" spans="1:3" x14ac:dyDescent="0.25">
      <c r="A2893" s="108">
        <v>9390</v>
      </c>
      <c r="B2893" s="108" t="s">
        <v>2817</v>
      </c>
      <c r="C2893" s="108">
        <v>36</v>
      </c>
    </row>
    <row r="2894" spans="1:3" x14ac:dyDescent="0.25">
      <c r="A2894" s="108">
        <v>9391</v>
      </c>
      <c r="B2894" s="108" t="s">
        <v>2818</v>
      </c>
      <c r="C2894" s="108">
        <v>17.5</v>
      </c>
    </row>
    <row r="2895" spans="1:3" x14ac:dyDescent="0.25">
      <c r="A2895" s="108">
        <v>9393</v>
      </c>
      <c r="B2895" s="108" t="s">
        <v>2819</v>
      </c>
      <c r="C2895" s="108">
        <v>11.5</v>
      </c>
    </row>
    <row r="2896" spans="1:3" x14ac:dyDescent="0.25">
      <c r="A2896" s="108">
        <v>9394</v>
      </c>
      <c r="B2896" s="108" t="s">
        <v>2820</v>
      </c>
      <c r="C2896" s="108">
        <v>5</v>
      </c>
    </row>
    <row r="2897" spans="1:3" x14ac:dyDescent="0.25">
      <c r="A2897" s="108">
        <v>9396</v>
      </c>
      <c r="B2897" s="108" t="s">
        <v>2821</v>
      </c>
      <c r="C2897" s="108">
        <v>27.36</v>
      </c>
    </row>
    <row r="2898" spans="1:3" x14ac:dyDescent="0.25">
      <c r="A2898" s="108">
        <v>9397</v>
      </c>
      <c r="B2898" s="108" t="s">
        <v>2822</v>
      </c>
      <c r="C2898" s="108">
        <v>23.84</v>
      </c>
    </row>
    <row r="2899" spans="1:3" x14ac:dyDescent="0.25">
      <c r="A2899" s="108">
        <v>9399</v>
      </c>
      <c r="B2899" s="108" t="s">
        <v>2823</v>
      </c>
      <c r="C2899" s="108">
        <v>4.5</v>
      </c>
    </row>
    <row r="2900" spans="1:3" x14ac:dyDescent="0.25">
      <c r="A2900" s="108">
        <v>9400</v>
      </c>
      <c r="B2900" s="108" t="s">
        <v>2824</v>
      </c>
      <c r="C2900" s="108">
        <v>37</v>
      </c>
    </row>
    <row r="2901" spans="1:3" x14ac:dyDescent="0.25">
      <c r="A2901" s="108">
        <v>9401</v>
      </c>
      <c r="B2901" s="108" t="s">
        <v>2825</v>
      </c>
      <c r="C2901" s="108">
        <v>6.54</v>
      </c>
    </row>
    <row r="2902" spans="1:3" x14ac:dyDescent="0.25">
      <c r="A2902" s="108">
        <v>9402</v>
      </c>
      <c r="B2902" s="108" t="s">
        <v>2826</v>
      </c>
      <c r="C2902" s="108">
        <v>4.5</v>
      </c>
    </row>
    <row r="2903" spans="1:3" x14ac:dyDescent="0.25">
      <c r="A2903" s="108">
        <v>9405</v>
      </c>
      <c r="B2903" s="108" t="s">
        <v>2827</v>
      </c>
      <c r="C2903" s="108">
        <v>2.5</v>
      </c>
    </row>
    <row r="2904" spans="1:3" x14ac:dyDescent="0.25">
      <c r="A2904" s="108">
        <v>9406</v>
      </c>
      <c r="B2904" s="108" t="s">
        <v>2828</v>
      </c>
      <c r="C2904" s="108">
        <v>5.5</v>
      </c>
    </row>
    <row r="2905" spans="1:3" x14ac:dyDescent="0.25">
      <c r="A2905" s="108">
        <v>9409</v>
      </c>
      <c r="B2905" s="108" t="s">
        <v>2829</v>
      </c>
      <c r="C2905" s="108">
        <v>2.5</v>
      </c>
    </row>
    <row r="2906" spans="1:3" x14ac:dyDescent="0.25">
      <c r="A2906" s="108">
        <v>9410</v>
      </c>
      <c r="B2906" s="108" t="s">
        <v>2830</v>
      </c>
      <c r="C2906" s="108">
        <v>22</v>
      </c>
    </row>
    <row r="2907" spans="1:3" x14ac:dyDescent="0.25">
      <c r="A2907" s="108">
        <v>9411</v>
      </c>
      <c r="B2907" s="108" t="s">
        <v>2831</v>
      </c>
      <c r="C2907" s="108">
        <v>4.5999999999999996</v>
      </c>
    </row>
    <row r="2908" spans="1:3" x14ac:dyDescent="0.25">
      <c r="A2908" s="108">
        <v>9412</v>
      </c>
      <c r="B2908" s="108" t="s">
        <v>2832</v>
      </c>
      <c r="C2908" s="108">
        <v>13.5</v>
      </c>
    </row>
    <row r="2909" spans="1:3" x14ac:dyDescent="0.25">
      <c r="A2909" s="108">
        <v>9413</v>
      </c>
      <c r="B2909" s="108" t="s">
        <v>2833</v>
      </c>
      <c r="C2909" s="108">
        <v>15.3</v>
      </c>
    </row>
    <row r="2910" spans="1:3" x14ac:dyDescent="0.25">
      <c r="A2910" s="108">
        <v>9414</v>
      </c>
      <c r="B2910" s="108" t="s">
        <v>2834</v>
      </c>
      <c r="C2910" s="108">
        <v>30</v>
      </c>
    </row>
    <row r="2911" spans="1:3" x14ac:dyDescent="0.25">
      <c r="A2911" s="108">
        <v>9415</v>
      </c>
      <c r="B2911" s="108" t="s">
        <v>2835</v>
      </c>
      <c r="C2911" s="108">
        <v>220</v>
      </c>
    </row>
    <row r="2912" spans="1:3" x14ac:dyDescent="0.25">
      <c r="A2912" s="108">
        <v>9417</v>
      </c>
      <c r="B2912" s="108" t="s">
        <v>2836</v>
      </c>
      <c r="C2912" s="108">
        <v>4.5</v>
      </c>
    </row>
    <row r="2913" spans="1:3" x14ac:dyDescent="0.25">
      <c r="A2913" s="108">
        <v>9421</v>
      </c>
      <c r="B2913" s="108" t="s">
        <v>2837</v>
      </c>
      <c r="C2913" s="108">
        <v>15.5</v>
      </c>
    </row>
    <row r="2914" spans="1:3" x14ac:dyDescent="0.25">
      <c r="A2914" s="108">
        <v>9426</v>
      </c>
      <c r="B2914" s="108" t="s">
        <v>2838</v>
      </c>
      <c r="C2914" s="108">
        <v>2.5</v>
      </c>
    </row>
    <row r="2915" spans="1:3" x14ac:dyDescent="0.25">
      <c r="A2915" s="108">
        <v>9427</v>
      </c>
      <c r="B2915" s="108" t="s">
        <v>2839</v>
      </c>
      <c r="C2915" s="108">
        <v>10</v>
      </c>
    </row>
    <row r="2916" spans="1:3" x14ac:dyDescent="0.25">
      <c r="A2916" s="108">
        <v>9428</v>
      </c>
      <c r="B2916" s="108" t="s">
        <v>2840</v>
      </c>
      <c r="C2916" s="108">
        <v>8.5</v>
      </c>
    </row>
    <row r="2917" spans="1:3" x14ac:dyDescent="0.25">
      <c r="A2917" s="108">
        <v>9430</v>
      </c>
      <c r="B2917" s="108" t="s">
        <v>2841</v>
      </c>
      <c r="C2917" s="108">
        <v>10</v>
      </c>
    </row>
    <row r="2918" spans="1:3" x14ac:dyDescent="0.25">
      <c r="A2918" s="108">
        <v>9433</v>
      </c>
      <c r="B2918" s="108" t="s">
        <v>2842</v>
      </c>
      <c r="C2918" s="108">
        <v>2.5</v>
      </c>
    </row>
    <row r="2919" spans="1:3" x14ac:dyDescent="0.25">
      <c r="A2919" s="108">
        <v>9434</v>
      </c>
      <c r="B2919" s="108" t="s">
        <v>2843</v>
      </c>
      <c r="C2919" s="108">
        <v>3.5</v>
      </c>
    </row>
    <row r="2920" spans="1:3" x14ac:dyDescent="0.25">
      <c r="A2920" s="108">
        <v>9435</v>
      </c>
      <c r="B2920" s="108" t="s">
        <v>2844</v>
      </c>
      <c r="C2920" s="108">
        <v>13.1</v>
      </c>
    </row>
    <row r="2921" spans="1:3" x14ac:dyDescent="0.25">
      <c r="A2921" s="108">
        <v>9436</v>
      </c>
      <c r="B2921" s="108" t="s">
        <v>2845</v>
      </c>
      <c r="C2921" s="108">
        <v>35</v>
      </c>
    </row>
    <row r="2922" spans="1:3" x14ac:dyDescent="0.25">
      <c r="A2922" s="108">
        <v>9438</v>
      </c>
      <c r="B2922" s="108" t="s">
        <v>2846</v>
      </c>
      <c r="C2922" s="108">
        <v>3.5</v>
      </c>
    </row>
    <row r="2923" spans="1:3" x14ac:dyDescent="0.25">
      <c r="A2923" s="108">
        <v>9439</v>
      </c>
      <c r="B2923" s="108" t="s">
        <v>2847</v>
      </c>
      <c r="C2923" s="108">
        <v>8.5</v>
      </c>
    </row>
    <row r="2924" spans="1:3" x14ac:dyDescent="0.25">
      <c r="A2924" s="108">
        <v>9440</v>
      </c>
      <c r="B2924" s="108" t="s">
        <v>2848</v>
      </c>
      <c r="C2924" s="108">
        <v>16.8</v>
      </c>
    </row>
    <row r="2925" spans="1:3" x14ac:dyDescent="0.25">
      <c r="A2925" s="108">
        <v>9445</v>
      </c>
      <c r="B2925" s="108" t="s">
        <v>2849</v>
      </c>
      <c r="C2925" s="108">
        <v>2.13</v>
      </c>
    </row>
    <row r="2926" spans="1:3" x14ac:dyDescent="0.25">
      <c r="A2926" s="108">
        <v>9448</v>
      </c>
      <c r="B2926" s="108" t="s">
        <v>2850</v>
      </c>
      <c r="C2926" s="108">
        <v>4.43</v>
      </c>
    </row>
    <row r="2927" spans="1:3" x14ac:dyDescent="0.25">
      <c r="A2927" s="108">
        <v>9449</v>
      </c>
      <c r="B2927" s="108" t="s">
        <v>2851</v>
      </c>
      <c r="C2927" s="108">
        <v>4.43</v>
      </c>
    </row>
    <row r="2928" spans="1:3" x14ac:dyDescent="0.25">
      <c r="A2928" s="108">
        <v>9450</v>
      </c>
      <c r="B2928" s="108" t="s">
        <v>2852</v>
      </c>
      <c r="C2928" s="108">
        <v>4.43</v>
      </c>
    </row>
    <row r="2929" spans="1:3" x14ac:dyDescent="0.25">
      <c r="A2929" s="108">
        <v>9451</v>
      </c>
      <c r="B2929" s="108" t="s">
        <v>2853</v>
      </c>
      <c r="C2929" s="108">
        <v>4.43</v>
      </c>
    </row>
    <row r="2930" spans="1:3" x14ac:dyDescent="0.25">
      <c r="A2930" s="108">
        <v>9459</v>
      </c>
      <c r="B2930" s="108" t="s">
        <v>2854</v>
      </c>
      <c r="C2930" s="108">
        <v>47.4</v>
      </c>
    </row>
    <row r="2931" spans="1:3" x14ac:dyDescent="0.25">
      <c r="A2931" s="108">
        <v>9460</v>
      </c>
      <c r="B2931" s="108" t="s">
        <v>2855</v>
      </c>
      <c r="C2931" s="108">
        <v>7.77</v>
      </c>
    </row>
    <row r="2932" spans="1:3" x14ac:dyDescent="0.25">
      <c r="A2932" s="108">
        <v>9462</v>
      </c>
      <c r="B2932" s="108" t="s">
        <v>2856</v>
      </c>
      <c r="C2932" s="108">
        <v>26.32</v>
      </c>
    </row>
    <row r="2933" spans="1:3" x14ac:dyDescent="0.25">
      <c r="A2933" s="108">
        <v>9463</v>
      </c>
      <c r="B2933" s="108" t="s">
        <v>2857</v>
      </c>
      <c r="C2933" s="108">
        <v>24.12</v>
      </c>
    </row>
    <row r="2934" spans="1:3" x14ac:dyDescent="0.25">
      <c r="A2934" s="108">
        <v>9465</v>
      </c>
      <c r="B2934" s="108" t="s">
        <v>2858</v>
      </c>
      <c r="C2934" s="108">
        <v>4.38</v>
      </c>
    </row>
    <row r="2935" spans="1:3" x14ac:dyDescent="0.25">
      <c r="A2935" s="108">
        <v>9467</v>
      </c>
      <c r="B2935" s="108" t="s">
        <v>2859</v>
      </c>
      <c r="C2935" s="108">
        <v>39.47</v>
      </c>
    </row>
    <row r="2936" spans="1:3" x14ac:dyDescent="0.25">
      <c r="A2936" s="108">
        <v>9470</v>
      </c>
      <c r="B2936" s="108" t="s">
        <v>2860</v>
      </c>
      <c r="C2936" s="108">
        <v>1.68</v>
      </c>
    </row>
    <row r="2937" spans="1:3" x14ac:dyDescent="0.25">
      <c r="A2937" s="108">
        <v>9471</v>
      </c>
      <c r="B2937" s="108" t="s">
        <v>2861</v>
      </c>
      <c r="C2937" s="108">
        <v>5.57</v>
      </c>
    </row>
    <row r="2938" spans="1:3" x14ac:dyDescent="0.25">
      <c r="A2938" s="108">
        <v>9472</v>
      </c>
      <c r="B2938" s="108" t="s">
        <v>2862</v>
      </c>
      <c r="C2938" s="108">
        <v>3.42</v>
      </c>
    </row>
    <row r="2939" spans="1:3" x14ac:dyDescent="0.25">
      <c r="A2939" s="108">
        <v>9473</v>
      </c>
      <c r="B2939" s="108" t="s">
        <v>2863</v>
      </c>
      <c r="C2939" s="108">
        <v>7.08</v>
      </c>
    </row>
    <row r="2940" spans="1:3" x14ac:dyDescent="0.25">
      <c r="A2940" s="108">
        <v>9476</v>
      </c>
      <c r="B2940" s="108" t="s">
        <v>2864</v>
      </c>
      <c r="C2940" s="108">
        <v>38.799999999999997</v>
      </c>
    </row>
    <row r="2941" spans="1:3" x14ac:dyDescent="0.25">
      <c r="A2941" s="108">
        <v>9477</v>
      </c>
      <c r="B2941" s="108" t="s">
        <v>2865</v>
      </c>
      <c r="C2941" s="108">
        <v>15.35</v>
      </c>
    </row>
    <row r="2942" spans="1:3" x14ac:dyDescent="0.25">
      <c r="A2942" s="108">
        <v>9478</v>
      </c>
      <c r="B2942" s="108" t="s">
        <v>2866</v>
      </c>
      <c r="C2942" s="108">
        <v>26.32</v>
      </c>
    </row>
    <row r="2943" spans="1:3" x14ac:dyDescent="0.25">
      <c r="A2943" s="108">
        <v>9480</v>
      </c>
      <c r="B2943" s="108" t="s">
        <v>2867</v>
      </c>
      <c r="C2943" s="108">
        <v>50.44</v>
      </c>
    </row>
    <row r="2944" spans="1:3" x14ac:dyDescent="0.25">
      <c r="A2944" s="108">
        <v>9482</v>
      </c>
      <c r="B2944" s="108" t="s">
        <v>2868</v>
      </c>
      <c r="C2944" s="108">
        <v>4.43</v>
      </c>
    </row>
    <row r="2945" spans="1:3" x14ac:dyDescent="0.25">
      <c r="A2945" s="108">
        <v>9483</v>
      </c>
      <c r="B2945" s="108" t="s">
        <v>2869</v>
      </c>
      <c r="C2945" s="108">
        <v>4.22</v>
      </c>
    </row>
    <row r="2946" spans="1:3" x14ac:dyDescent="0.25">
      <c r="A2946" s="108">
        <v>9484</v>
      </c>
      <c r="B2946" s="108" t="s">
        <v>2870</v>
      </c>
      <c r="C2946" s="108">
        <v>4.43</v>
      </c>
    </row>
    <row r="2947" spans="1:3" x14ac:dyDescent="0.25">
      <c r="A2947" s="108">
        <v>9485</v>
      </c>
      <c r="B2947" s="108" t="s">
        <v>2871</v>
      </c>
      <c r="C2947" s="108">
        <v>8.27</v>
      </c>
    </row>
    <row r="2948" spans="1:3" x14ac:dyDescent="0.25">
      <c r="A2948" s="108">
        <v>9486</v>
      </c>
      <c r="B2948" s="108" t="s">
        <v>2872</v>
      </c>
      <c r="C2948" s="108">
        <v>2.78</v>
      </c>
    </row>
    <row r="2949" spans="1:3" x14ac:dyDescent="0.25">
      <c r="A2949" s="108">
        <v>9487</v>
      </c>
      <c r="B2949" s="108" t="s">
        <v>2873</v>
      </c>
      <c r="C2949" s="108">
        <v>10.96</v>
      </c>
    </row>
    <row r="2950" spans="1:3" x14ac:dyDescent="0.25">
      <c r="A2950" s="108">
        <v>9488</v>
      </c>
      <c r="B2950" s="108" t="s">
        <v>2874</v>
      </c>
      <c r="C2950" s="108">
        <v>2.19</v>
      </c>
    </row>
    <row r="2951" spans="1:3" x14ac:dyDescent="0.25">
      <c r="A2951" s="108">
        <v>9489</v>
      </c>
      <c r="B2951" s="108" t="s">
        <v>2875</v>
      </c>
      <c r="C2951" s="108">
        <v>6.42</v>
      </c>
    </row>
    <row r="2952" spans="1:3" x14ac:dyDescent="0.25">
      <c r="A2952" s="108">
        <v>9490</v>
      </c>
      <c r="B2952" s="108" t="s">
        <v>2876</v>
      </c>
      <c r="C2952" s="108">
        <v>21.93</v>
      </c>
    </row>
    <row r="2953" spans="1:3" x14ac:dyDescent="0.25">
      <c r="A2953" s="108">
        <v>9492</v>
      </c>
      <c r="B2953" s="108" t="s">
        <v>2877</v>
      </c>
      <c r="C2953" s="108">
        <v>21.93</v>
      </c>
    </row>
    <row r="2954" spans="1:3" x14ac:dyDescent="0.25">
      <c r="A2954" s="108">
        <v>9493</v>
      </c>
      <c r="B2954" s="108" t="s">
        <v>2878</v>
      </c>
      <c r="C2954" s="108">
        <v>5.57</v>
      </c>
    </row>
    <row r="2955" spans="1:3" x14ac:dyDescent="0.25">
      <c r="A2955" s="108">
        <v>9494</v>
      </c>
      <c r="B2955" s="108" t="s">
        <v>2879</v>
      </c>
      <c r="C2955" s="108">
        <v>7.52</v>
      </c>
    </row>
    <row r="2956" spans="1:3" x14ac:dyDescent="0.25">
      <c r="A2956" s="108">
        <v>9495</v>
      </c>
      <c r="B2956" s="108" t="s">
        <v>2880</v>
      </c>
      <c r="C2956" s="108">
        <v>1.42</v>
      </c>
    </row>
    <row r="2957" spans="1:3" x14ac:dyDescent="0.25">
      <c r="A2957" s="108">
        <v>9496</v>
      </c>
      <c r="B2957" s="108" t="s">
        <v>2881</v>
      </c>
      <c r="C2957" s="108">
        <v>6.66</v>
      </c>
    </row>
    <row r="2958" spans="1:3" x14ac:dyDescent="0.25">
      <c r="A2958" s="108">
        <v>9523</v>
      </c>
      <c r="B2958" s="108" t="s">
        <v>2882</v>
      </c>
      <c r="C2958" s="108">
        <v>8.08</v>
      </c>
    </row>
    <row r="2959" spans="1:3" x14ac:dyDescent="0.25">
      <c r="A2959" s="108">
        <v>9546</v>
      </c>
      <c r="B2959" s="108" t="s">
        <v>2883</v>
      </c>
      <c r="C2959" s="108">
        <v>4.0999999999999996</v>
      </c>
    </row>
    <row r="2960" spans="1:3" x14ac:dyDescent="0.25">
      <c r="A2960" s="108">
        <v>9547</v>
      </c>
      <c r="B2960" s="108" t="s">
        <v>2884</v>
      </c>
      <c r="C2960" s="108">
        <v>4.0999999999999996</v>
      </c>
    </row>
    <row r="2961" spans="1:3" x14ac:dyDescent="0.25">
      <c r="A2961" s="108">
        <v>9555</v>
      </c>
      <c r="B2961" s="108" t="s">
        <v>2885</v>
      </c>
      <c r="C2961" s="108">
        <v>13.56</v>
      </c>
    </row>
    <row r="2962" spans="1:3" x14ac:dyDescent="0.25">
      <c r="A2962" s="108">
        <v>9558</v>
      </c>
      <c r="B2962" s="108" t="s">
        <v>2886</v>
      </c>
      <c r="C2962" s="108">
        <v>7</v>
      </c>
    </row>
    <row r="2963" spans="1:3" x14ac:dyDescent="0.25">
      <c r="A2963" s="108">
        <v>9560</v>
      </c>
      <c r="B2963" s="108" t="s">
        <v>2887</v>
      </c>
      <c r="C2963" s="108">
        <v>8.52</v>
      </c>
    </row>
    <row r="2964" spans="1:3" x14ac:dyDescent="0.25">
      <c r="A2964" s="108">
        <v>9561</v>
      </c>
      <c r="B2964" s="108" t="s">
        <v>2888</v>
      </c>
      <c r="C2964" s="108">
        <v>9.35</v>
      </c>
    </row>
    <row r="2965" spans="1:3" x14ac:dyDescent="0.25">
      <c r="A2965" s="108">
        <v>9562</v>
      </c>
      <c r="B2965" s="108" t="s">
        <v>2889</v>
      </c>
      <c r="C2965" s="108">
        <v>10.77</v>
      </c>
    </row>
    <row r="2966" spans="1:3" x14ac:dyDescent="0.25">
      <c r="A2966" s="108">
        <v>9570</v>
      </c>
      <c r="B2966" s="108" t="s">
        <v>2890</v>
      </c>
      <c r="C2966" s="108">
        <v>5.5</v>
      </c>
    </row>
    <row r="2967" spans="1:3" x14ac:dyDescent="0.25">
      <c r="A2967" s="108">
        <v>9574</v>
      </c>
      <c r="B2967" s="108" t="s">
        <v>2891</v>
      </c>
      <c r="C2967" s="108">
        <v>3.35</v>
      </c>
    </row>
    <row r="2968" spans="1:3" x14ac:dyDescent="0.25">
      <c r="A2968" s="108">
        <v>9575</v>
      </c>
      <c r="B2968" s="108" t="s">
        <v>2892</v>
      </c>
      <c r="C2968" s="108">
        <v>3.6</v>
      </c>
    </row>
    <row r="2969" spans="1:3" x14ac:dyDescent="0.25">
      <c r="A2969" s="108">
        <v>9578</v>
      </c>
      <c r="B2969" s="108" t="s">
        <v>2893</v>
      </c>
      <c r="C2969" s="108">
        <v>6.04</v>
      </c>
    </row>
    <row r="2970" spans="1:3" x14ac:dyDescent="0.25">
      <c r="A2970" s="108">
        <v>9579</v>
      </c>
      <c r="B2970" s="108" t="s">
        <v>2894</v>
      </c>
      <c r="C2970" s="108">
        <v>6.04</v>
      </c>
    </row>
    <row r="2971" spans="1:3" x14ac:dyDescent="0.25">
      <c r="A2971" s="108">
        <v>9580</v>
      </c>
      <c r="B2971" s="108" t="s">
        <v>2895</v>
      </c>
      <c r="C2971" s="108">
        <v>7.77</v>
      </c>
    </row>
    <row r="2972" spans="1:3" x14ac:dyDescent="0.25">
      <c r="A2972" s="108">
        <v>9582</v>
      </c>
      <c r="B2972" s="108" t="s">
        <v>2896</v>
      </c>
      <c r="C2972" s="108">
        <v>9.5</v>
      </c>
    </row>
    <row r="2973" spans="1:3" x14ac:dyDescent="0.25">
      <c r="A2973" s="108">
        <v>9583</v>
      </c>
      <c r="B2973" s="108" t="s">
        <v>2897</v>
      </c>
      <c r="C2973" s="108">
        <v>11.24</v>
      </c>
    </row>
    <row r="2974" spans="1:3" x14ac:dyDescent="0.25">
      <c r="A2974" s="108">
        <v>9584</v>
      </c>
      <c r="B2974" s="108" t="s">
        <v>2898</v>
      </c>
      <c r="C2974" s="108">
        <v>11.85</v>
      </c>
    </row>
    <row r="2975" spans="1:3" x14ac:dyDescent="0.25">
      <c r="A2975" s="108">
        <v>9585</v>
      </c>
      <c r="B2975" s="108" t="s">
        <v>2899</v>
      </c>
      <c r="C2975" s="108">
        <v>12.89</v>
      </c>
    </row>
    <row r="2976" spans="1:3" x14ac:dyDescent="0.25">
      <c r="A2976" s="108">
        <v>9587</v>
      </c>
      <c r="B2976" s="108" t="s">
        <v>2900</v>
      </c>
      <c r="C2976" s="108">
        <v>2.5</v>
      </c>
    </row>
    <row r="2977" spans="1:3" x14ac:dyDescent="0.25">
      <c r="A2977" s="108">
        <v>9591</v>
      </c>
      <c r="B2977" s="108" t="s">
        <v>2901</v>
      </c>
      <c r="C2977" s="108">
        <v>4.68</v>
      </c>
    </row>
    <row r="2978" spans="1:3" x14ac:dyDescent="0.25">
      <c r="A2978" s="108">
        <v>9597</v>
      </c>
      <c r="B2978" s="108" t="s">
        <v>2902</v>
      </c>
      <c r="C2978" s="108">
        <v>3.91</v>
      </c>
    </row>
    <row r="2979" spans="1:3" x14ac:dyDescent="0.25">
      <c r="A2979" s="108">
        <v>9601</v>
      </c>
      <c r="B2979" s="108" t="s">
        <v>2903</v>
      </c>
      <c r="C2979" s="108">
        <v>2.38</v>
      </c>
    </row>
    <row r="2980" spans="1:3" x14ac:dyDescent="0.25">
      <c r="A2980" s="108">
        <v>9602</v>
      </c>
      <c r="B2980" s="108" t="s">
        <v>2904</v>
      </c>
      <c r="C2980" s="108">
        <v>94</v>
      </c>
    </row>
    <row r="2981" spans="1:3" x14ac:dyDescent="0.25">
      <c r="A2981" s="108">
        <v>9616</v>
      </c>
      <c r="B2981" s="108" t="s">
        <v>2905</v>
      </c>
      <c r="C2981" s="108">
        <v>330</v>
      </c>
    </row>
    <row r="2982" spans="1:3" x14ac:dyDescent="0.25">
      <c r="A2982" s="108">
        <v>9628</v>
      </c>
      <c r="B2982" s="108" t="s">
        <v>2906</v>
      </c>
      <c r="C2982" s="108">
        <v>0.59</v>
      </c>
    </row>
    <row r="2983" spans="1:3" x14ac:dyDescent="0.25">
      <c r="A2983" s="108">
        <v>9631</v>
      </c>
      <c r="B2983" s="108" t="s">
        <v>2907</v>
      </c>
      <c r="C2983" s="108">
        <v>3.26</v>
      </c>
    </row>
    <row r="2984" spans="1:3" x14ac:dyDescent="0.25">
      <c r="A2984" s="108">
        <v>9664</v>
      </c>
      <c r="B2984" s="108" t="s">
        <v>2908</v>
      </c>
      <c r="C2984" s="108">
        <v>31</v>
      </c>
    </row>
    <row r="2985" spans="1:3" x14ac:dyDescent="0.25">
      <c r="A2985" s="108">
        <v>9665</v>
      </c>
      <c r="B2985" s="108" t="s">
        <v>2909</v>
      </c>
      <c r="C2985" s="108">
        <v>126</v>
      </c>
    </row>
    <row r="2986" spans="1:3" x14ac:dyDescent="0.25">
      <c r="A2986" s="108">
        <v>9679</v>
      </c>
      <c r="B2986" s="108" t="s">
        <v>2910</v>
      </c>
      <c r="C2986" s="108">
        <v>40</v>
      </c>
    </row>
    <row r="2987" spans="1:3" x14ac:dyDescent="0.25">
      <c r="A2987" s="108">
        <v>9680</v>
      </c>
      <c r="B2987" s="108" t="s">
        <v>2911</v>
      </c>
      <c r="C2987" s="108">
        <v>48.5</v>
      </c>
    </row>
    <row r="2988" spans="1:3" x14ac:dyDescent="0.25">
      <c r="A2988" s="108">
        <v>9681</v>
      </c>
      <c r="B2988" s="108" t="s">
        <v>2912</v>
      </c>
      <c r="C2988" s="108">
        <v>51</v>
      </c>
    </row>
    <row r="2989" spans="1:3" x14ac:dyDescent="0.25">
      <c r="A2989" s="108">
        <v>9682</v>
      </c>
      <c r="B2989" s="108" t="s">
        <v>2913</v>
      </c>
      <c r="C2989" s="108">
        <v>54</v>
      </c>
    </row>
    <row r="2990" spans="1:3" ht="30" x14ac:dyDescent="0.25">
      <c r="A2990" s="108">
        <v>9683</v>
      </c>
      <c r="B2990" s="108" t="s">
        <v>2914</v>
      </c>
      <c r="C2990" s="110">
        <v>1767</v>
      </c>
    </row>
    <row r="2991" spans="1:3" ht="30" x14ac:dyDescent="0.25">
      <c r="A2991" s="108">
        <v>9684</v>
      </c>
      <c r="B2991" s="108" t="s">
        <v>2915</v>
      </c>
      <c r="C2991" s="110">
        <v>1140</v>
      </c>
    </row>
    <row r="2992" spans="1:3" x14ac:dyDescent="0.25">
      <c r="A2992" s="108">
        <v>9685</v>
      </c>
      <c r="B2992" s="108" t="s">
        <v>2916</v>
      </c>
      <c r="C2992" s="110">
        <v>2071</v>
      </c>
    </row>
    <row r="2993" spans="1:3" x14ac:dyDescent="0.25">
      <c r="A2993" s="108">
        <v>9686</v>
      </c>
      <c r="B2993" s="108" t="s">
        <v>2917</v>
      </c>
      <c r="C2993" s="108">
        <v>120</v>
      </c>
    </row>
    <row r="2994" spans="1:3" x14ac:dyDescent="0.25">
      <c r="A2994" s="108">
        <v>9690</v>
      </c>
      <c r="B2994" s="108" t="s">
        <v>2918</v>
      </c>
      <c r="C2994" s="108">
        <v>43.33</v>
      </c>
    </row>
    <row r="2995" spans="1:3" x14ac:dyDescent="0.25">
      <c r="A2995" s="108">
        <v>9697</v>
      </c>
      <c r="B2995" s="108" t="s">
        <v>2919</v>
      </c>
      <c r="C2995" s="108">
        <v>9.14</v>
      </c>
    </row>
    <row r="2996" spans="1:3" x14ac:dyDescent="0.25">
      <c r="A2996" s="108">
        <v>9698</v>
      </c>
      <c r="B2996" s="108" t="s">
        <v>2920</v>
      </c>
      <c r="C2996" s="108">
        <v>12.03</v>
      </c>
    </row>
    <row r="2997" spans="1:3" x14ac:dyDescent="0.25">
      <c r="A2997" s="108">
        <v>9699</v>
      </c>
      <c r="B2997" s="108" t="s">
        <v>2921</v>
      </c>
      <c r="C2997" s="108">
        <v>13.96</v>
      </c>
    </row>
    <row r="2998" spans="1:3" x14ac:dyDescent="0.25">
      <c r="A2998" s="108">
        <v>9704</v>
      </c>
      <c r="B2998" s="108" t="s">
        <v>2922</v>
      </c>
      <c r="C2998" s="108">
        <v>2.78</v>
      </c>
    </row>
    <row r="2999" spans="1:3" x14ac:dyDescent="0.25">
      <c r="A2999" s="108">
        <v>9705</v>
      </c>
      <c r="B2999" s="108" t="s">
        <v>2923</v>
      </c>
      <c r="C2999" s="108">
        <v>3.23</v>
      </c>
    </row>
    <row r="3000" spans="1:3" x14ac:dyDescent="0.25">
      <c r="A3000" s="108">
        <v>9709</v>
      </c>
      <c r="B3000" s="108" t="s">
        <v>2924</v>
      </c>
      <c r="C3000" s="108">
        <v>3.19</v>
      </c>
    </row>
    <row r="3001" spans="1:3" x14ac:dyDescent="0.25">
      <c r="A3001" s="108">
        <v>9710</v>
      </c>
      <c r="B3001" s="108" t="s">
        <v>2925</v>
      </c>
      <c r="C3001" s="108">
        <v>3.11</v>
      </c>
    </row>
    <row r="3002" spans="1:3" x14ac:dyDescent="0.25">
      <c r="A3002" s="108">
        <v>9711</v>
      </c>
      <c r="B3002" s="108" t="s">
        <v>2926</v>
      </c>
      <c r="C3002" s="108">
        <v>4.16</v>
      </c>
    </row>
    <row r="3003" spans="1:3" x14ac:dyDescent="0.25">
      <c r="A3003" s="108">
        <v>9716</v>
      </c>
      <c r="B3003" s="108" t="s">
        <v>2927</v>
      </c>
      <c r="C3003" s="109">
        <v>1988.87</v>
      </c>
    </row>
    <row r="3004" spans="1:3" ht="30" x14ac:dyDescent="0.25">
      <c r="A3004" s="108">
        <v>9717</v>
      </c>
      <c r="B3004" s="108" t="s">
        <v>2928</v>
      </c>
      <c r="C3004" s="109">
        <v>2146.35</v>
      </c>
    </row>
    <row r="3005" spans="1:3" ht="30" x14ac:dyDescent="0.25">
      <c r="A3005" s="108">
        <v>9718</v>
      </c>
      <c r="B3005" s="108" t="s">
        <v>2929</v>
      </c>
      <c r="C3005" s="109">
        <v>3340.16</v>
      </c>
    </row>
    <row r="3006" spans="1:3" ht="30" x14ac:dyDescent="0.25">
      <c r="A3006" s="108">
        <v>9720</v>
      </c>
      <c r="B3006" s="108" t="s">
        <v>2930</v>
      </c>
      <c r="C3006" s="109">
        <v>2849.69</v>
      </c>
    </row>
    <row r="3007" spans="1:3" ht="30" x14ac:dyDescent="0.25">
      <c r="A3007" s="108">
        <v>9721</v>
      </c>
      <c r="B3007" s="108" t="s">
        <v>2931</v>
      </c>
      <c r="C3007" s="110">
        <v>1693</v>
      </c>
    </row>
    <row r="3008" spans="1:3" ht="30" x14ac:dyDescent="0.25">
      <c r="A3008" s="108">
        <v>9722</v>
      </c>
      <c r="B3008" s="108" t="s">
        <v>2932</v>
      </c>
      <c r="C3008" s="109">
        <v>2753.59</v>
      </c>
    </row>
    <row r="3009" spans="1:3" x14ac:dyDescent="0.25">
      <c r="A3009" s="108">
        <v>9723</v>
      </c>
      <c r="B3009" s="108" t="s">
        <v>2933</v>
      </c>
      <c r="C3009" s="108">
        <v>740</v>
      </c>
    </row>
    <row r="3010" spans="1:3" x14ac:dyDescent="0.25">
      <c r="A3010" s="108">
        <v>9724</v>
      </c>
      <c r="B3010" s="108" t="s">
        <v>2934</v>
      </c>
      <c r="C3010" s="110">
        <v>1345</v>
      </c>
    </row>
    <row r="3011" spans="1:3" x14ac:dyDescent="0.25">
      <c r="A3011" s="108">
        <v>9725</v>
      </c>
      <c r="B3011" s="108" t="s">
        <v>2935</v>
      </c>
      <c r="C3011" s="110">
        <v>1511</v>
      </c>
    </row>
    <row r="3012" spans="1:3" x14ac:dyDescent="0.25">
      <c r="A3012" s="108">
        <v>9726</v>
      </c>
      <c r="B3012" s="108" t="s">
        <v>2936</v>
      </c>
      <c r="C3012" s="108">
        <v>2.23</v>
      </c>
    </row>
    <row r="3013" spans="1:3" x14ac:dyDescent="0.25">
      <c r="A3013" s="108">
        <v>9735</v>
      </c>
      <c r="B3013" s="108" t="s">
        <v>2937</v>
      </c>
      <c r="C3013" s="108">
        <v>4.26</v>
      </c>
    </row>
    <row r="3014" spans="1:3" x14ac:dyDescent="0.25">
      <c r="A3014" s="108">
        <v>9736</v>
      </c>
      <c r="B3014" s="108" t="s">
        <v>2938</v>
      </c>
      <c r="C3014" s="108">
        <v>5</v>
      </c>
    </row>
    <row r="3015" spans="1:3" x14ac:dyDescent="0.25">
      <c r="A3015" s="108">
        <v>9740</v>
      </c>
      <c r="B3015" s="108" t="s">
        <v>2939</v>
      </c>
      <c r="C3015" s="108">
        <v>81</v>
      </c>
    </row>
    <row r="3016" spans="1:3" x14ac:dyDescent="0.25">
      <c r="A3016" s="108">
        <v>9745</v>
      </c>
      <c r="B3016" s="108" t="s">
        <v>2940</v>
      </c>
      <c r="C3016" s="108">
        <v>31.03</v>
      </c>
    </row>
    <row r="3017" spans="1:3" ht="30" x14ac:dyDescent="0.25">
      <c r="A3017" s="108">
        <v>9751</v>
      </c>
      <c r="B3017" s="108" t="s">
        <v>2941</v>
      </c>
      <c r="C3017" s="108">
        <v>135</v>
      </c>
    </row>
    <row r="3018" spans="1:3" ht="30" x14ac:dyDescent="0.25">
      <c r="A3018" s="108">
        <v>9755</v>
      </c>
      <c r="B3018" s="108" t="s">
        <v>2942</v>
      </c>
      <c r="C3018" s="108">
        <v>36.5</v>
      </c>
    </row>
    <row r="3019" spans="1:3" ht="30" x14ac:dyDescent="0.25">
      <c r="A3019" s="108">
        <v>9757</v>
      </c>
      <c r="B3019" s="108" t="s">
        <v>2943</v>
      </c>
      <c r="C3019" s="108">
        <v>4.5</v>
      </c>
    </row>
    <row r="3020" spans="1:3" x14ac:dyDescent="0.25">
      <c r="A3020" s="108">
        <v>9759</v>
      </c>
      <c r="B3020" s="108" t="s">
        <v>2944</v>
      </c>
      <c r="C3020" s="108">
        <v>7</v>
      </c>
    </row>
    <row r="3021" spans="1:3" ht="30" x14ac:dyDescent="0.25">
      <c r="A3021" s="108">
        <v>9760</v>
      </c>
      <c r="B3021" s="108" t="s">
        <v>2945</v>
      </c>
      <c r="C3021" s="108">
        <v>4.3499999999999996</v>
      </c>
    </row>
    <row r="3022" spans="1:3" ht="30" x14ac:dyDescent="0.25">
      <c r="A3022" s="108">
        <v>9763</v>
      </c>
      <c r="B3022" s="108" t="s">
        <v>2946</v>
      </c>
      <c r="C3022" s="108">
        <v>184.47</v>
      </c>
    </row>
    <row r="3023" spans="1:3" x14ac:dyDescent="0.25">
      <c r="A3023" s="108">
        <v>9766</v>
      </c>
      <c r="B3023" s="108" t="s">
        <v>2947</v>
      </c>
      <c r="C3023" s="110">
        <v>1400</v>
      </c>
    </row>
    <row r="3024" spans="1:3" x14ac:dyDescent="0.25">
      <c r="A3024" s="108">
        <v>9772</v>
      </c>
      <c r="B3024" s="108" t="s">
        <v>2948</v>
      </c>
      <c r="C3024" s="108">
        <v>54.21</v>
      </c>
    </row>
    <row r="3025" spans="1:3" x14ac:dyDescent="0.25">
      <c r="A3025" s="108">
        <v>9775</v>
      </c>
      <c r="B3025" s="108" t="s">
        <v>2949</v>
      </c>
      <c r="C3025" s="108">
        <v>201.55</v>
      </c>
    </row>
    <row r="3026" spans="1:3" x14ac:dyDescent="0.25">
      <c r="A3026" s="108">
        <v>9776</v>
      </c>
      <c r="B3026" s="108" t="s">
        <v>2950</v>
      </c>
      <c r="C3026" s="108">
        <v>34.11</v>
      </c>
    </row>
    <row r="3027" spans="1:3" x14ac:dyDescent="0.25">
      <c r="A3027" s="108">
        <v>9777</v>
      </c>
      <c r="B3027" s="108" t="s">
        <v>2951</v>
      </c>
      <c r="C3027" s="108">
        <v>5</v>
      </c>
    </row>
    <row r="3028" spans="1:3" x14ac:dyDescent="0.25">
      <c r="A3028" s="108">
        <v>9778</v>
      </c>
      <c r="B3028" s="108" t="s">
        <v>2952</v>
      </c>
      <c r="C3028" s="108">
        <v>6.5</v>
      </c>
    </row>
    <row r="3029" spans="1:3" x14ac:dyDescent="0.25">
      <c r="A3029" s="108">
        <v>9779</v>
      </c>
      <c r="B3029" s="108" t="s">
        <v>2953</v>
      </c>
      <c r="C3029" s="108">
        <v>7.2</v>
      </c>
    </row>
    <row r="3030" spans="1:3" x14ac:dyDescent="0.25">
      <c r="A3030" s="108">
        <v>9780</v>
      </c>
      <c r="B3030" s="108" t="s">
        <v>2954</v>
      </c>
      <c r="C3030" s="108">
        <v>7.7</v>
      </c>
    </row>
    <row r="3031" spans="1:3" x14ac:dyDescent="0.25">
      <c r="A3031" s="108">
        <v>9781</v>
      </c>
      <c r="B3031" s="108" t="s">
        <v>2955</v>
      </c>
      <c r="C3031" s="108">
        <v>9.1</v>
      </c>
    </row>
    <row r="3032" spans="1:3" x14ac:dyDescent="0.25">
      <c r="A3032" s="108">
        <v>9782</v>
      </c>
      <c r="B3032" s="108" t="s">
        <v>2956</v>
      </c>
      <c r="C3032" s="108">
        <v>5.81</v>
      </c>
    </row>
    <row r="3033" spans="1:3" x14ac:dyDescent="0.25">
      <c r="A3033" s="108">
        <v>9784</v>
      </c>
      <c r="B3033" s="108" t="s">
        <v>2957</v>
      </c>
      <c r="C3033" s="108">
        <v>7.15</v>
      </c>
    </row>
    <row r="3034" spans="1:3" x14ac:dyDescent="0.25">
      <c r="A3034" s="108">
        <v>9785</v>
      </c>
      <c r="B3034" s="108" t="s">
        <v>2958</v>
      </c>
      <c r="C3034" s="108">
        <v>7.72</v>
      </c>
    </row>
    <row r="3035" spans="1:3" x14ac:dyDescent="0.25">
      <c r="A3035" s="108">
        <v>9786</v>
      </c>
      <c r="B3035" s="108" t="s">
        <v>2959</v>
      </c>
      <c r="C3035" s="108">
        <v>6.13</v>
      </c>
    </row>
    <row r="3036" spans="1:3" x14ac:dyDescent="0.25">
      <c r="A3036" s="108">
        <v>9787</v>
      </c>
      <c r="B3036" s="108" t="s">
        <v>2960</v>
      </c>
      <c r="C3036" s="108">
        <v>4.92</v>
      </c>
    </row>
    <row r="3037" spans="1:3" x14ac:dyDescent="0.25">
      <c r="A3037" s="108">
        <v>9788</v>
      </c>
      <c r="B3037" s="108" t="s">
        <v>2961</v>
      </c>
      <c r="C3037" s="108">
        <v>5.67</v>
      </c>
    </row>
    <row r="3038" spans="1:3" x14ac:dyDescent="0.25">
      <c r="A3038" s="108">
        <v>9789</v>
      </c>
      <c r="B3038" s="108" t="s">
        <v>2962</v>
      </c>
      <c r="C3038" s="108">
        <v>6.06</v>
      </c>
    </row>
    <row r="3039" spans="1:3" x14ac:dyDescent="0.25">
      <c r="A3039" s="108">
        <v>9797</v>
      </c>
      <c r="B3039" s="108" t="s">
        <v>2963</v>
      </c>
      <c r="C3039" s="108">
        <v>25</v>
      </c>
    </row>
    <row r="3040" spans="1:3" x14ac:dyDescent="0.25">
      <c r="A3040" s="108">
        <v>9819</v>
      </c>
      <c r="B3040" s="108" t="s">
        <v>2964</v>
      </c>
      <c r="C3040" s="108">
        <v>4.5999999999999996</v>
      </c>
    </row>
    <row r="3041" spans="1:3" x14ac:dyDescent="0.25">
      <c r="A3041" s="108">
        <v>9820</v>
      </c>
      <c r="B3041" s="108" t="s">
        <v>2965</v>
      </c>
      <c r="C3041" s="108">
        <v>5.43</v>
      </c>
    </row>
    <row r="3042" spans="1:3" x14ac:dyDescent="0.25">
      <c r="A3042" s="108">
        <v>9829</v>
      </c>
      <c r="B3042" s="108" t="s">
        <v>2966</v>
      </c>
      <c r="C3042" s="108">
        <v>18.2</v>
      </c>
    </row>
    <row r="3043" spans="1:3" x14ac:dyDescent="0.25">
      <c r="A3043" s="108">
        <v>9830</v>
      </c>
      <c r="B3043" s="108" t="s">
        <v>2967</v>
      </c>
      <c r="C3043" s="108">
        <v>9.8000000000000007</v>
      </c>
    </row>
    <row r="3044" spans="1:3" x14ac:dyDescent="0.25">
      <c r="A3044" s="108">
        <v>9831</v>
      </c>
      <c r="B3044" s="108" t="s">
        <v>2968</v>
      </c>
      <c r="C3044" s="108">
        <v>7</v>
      </c>
    </row>
    <row r="3045" spans="1:3" x14ac:dyDescent="0.25">
      <c r="A3045" s="108">
        <v>9832</v>
      </c>
      <c r="B3045" s="108" t="s">
        <v>2969</v>
      </c>
      <c r="C3045" s="108">
        <v>7.5</v>
      </c>
    </row>
    <row r="3046" spans="1:3" x14ac:dyDescent="0.25">
      <c r="A3046" s="108">
        <v>9833</v>
      </c>
      <c r="B3046" s="108" t="s">
        <v>2970</v>
      </c>
      <c r="C3046" s="108">
        <v>21.69</v>
      </c>
    </row>
    <row r="3047" spans="1:3" x14ac:dyDescent="0.25">
      <c r="A3047" s="108">
        <v>9834</v>
      </c>
      <c r="B3047" s="108" t="s">
        <v>2971</v>
      </c>
      <c r="C3047" s="108">
        <v>9.31</v>
      </c>
    </row>
    <row r="3048" spans="1:3" x14ac:dyDescent="0.25">
      <c r="A3048" s="108">
        <v>9836</v>
      </c>
      <c r="B3048" s="108" t="s">
        <v>2972</v>
      </c>
      <c r="C3048" s="108">
        <v>1.5</v>
      </c>
    </row>
    <row r="3049" spans="1:3" x14ac:dyDescent="0.25">
      <c r="A3049" s="108">
        <v>9837</v>
      </c>
      <c r="B3049" s="108" t="s">
        <v>2973</v>
      </c>
      <c r="C3049" s="108">
        <v>1.2</v>
      </c>
    </row>
    <row r="3050" spans="1:3" x14ac:dyDescent="0.25">
      <c r="A3050" s="108">
        <v>9838</v>
      </c>
      <c r="B3050" s="108" t="s">
        <v>2974</v>
      </c>
      <c r="C3050" s="108">
        <v>6.53</v>
      </c>
    </row>
    <row r="3051" spans="1:3" x14ac:dyDescent="0.25">
      <c r="A3051" s="108">
        <v>9839</v>
      </c>
      <c r="B3051" s="108" t="s">
        <v>2975</v>
      </c>
      <c r="C3051" s="108">
        <v>6.52</v>
      </c>
    </row>
    <row r="3052" spans="1:3" x14ac:dyDescent="0.25">
      <c r="A3052" s="108">
        <v>9848</v>
      </c>
      <c r="B3052" s="108" t="s">
        <v>2976</v>
      </c>
      <c r="C3052" s="108">
        <v>45</v>
      </c>
    </row>
    <row r="3053" spans="1:3" x14ac:dyDescent="0.25">
      <c r="A3053" s="108">
        <v>9851</v>
      </c>
      <c r="B3053" s="108" t="s">
        <v>2977</v>
      </c>
      <c r="C3053" s="108">
        <v>85</v>
      </c>
    </row>
    <row r="3054" spans="1:3" x14ac:dyDescent="0.25">
      <c r="A3054" s="108">
        <v>9854</v>
      </c>
      <c r="B3054" s="108" t="s">
        <v>2978</v>
      </c>
      <c r="C3054" s="108">
        <v>85</v>
      </c>
    </row>
    <row r="3055" spans="1:3" x14ac:dyDescent="0.25">
      <c r="A3055" s="108">
        <v>9874</v>
      </c>
      <c r="B3055" s="108" t="s">
        <v>2979</v>
      </c>
      <c r="C3055" s="108">
        <v>28.95</v>
      </c>
    </row>
    <row r="3056" spans="1:3" x14ac:dyDescent="0.25">
      <c r="A3056" s="108">
        <v>9876</v>
      </c>
      <c r="B3056" s="108" t="s">
        <v>2980</v>
      </c>
      <c r="C3056" s="108">
        <v>1.56</v>
      </c>
    </row>
    <row r="3057" spans="1:3" ht="30" x14ac:dyDescent="0.25">
      <c r="A3057" s="108">
        <v>9877</v>
      </c>
      <c r="B3057" s="108" t="s">
        <v>2981</v>
      </c>
      <c r="C3057" s="110">
        <v>1392</v>
      </c>
    </row>
    <row r="3058" spans="1:3" ht="30" x14ac:dyDescent="0.25">
      <c r="A3058" s="108">
        <v>9878</v>
      </c>
      <c r="B3058" s="108" t="s">
        <v>2982</v>
      </c>
      <c r="C3058" s="110">
        <v>1236</v>
      </c>
    </row>
    <row r="3059" spans="1:3" x14ac:dyDescent="0.25">
      <c r="A3059" s="108">
        <v>9879</v>
      </c>
      <c r="B3059" s="108" t="s">
        <v>2983</v>
      </c>
      <c r="C3059" s="108">
        <v>747.92</v>
      </c>
    </row>
    <row r="3060" spans="1:3" x14ac:dyDescent="0.25">
      <c r="A3060" s="108">
        <v>9883</v>
      </c>
      <c r="B3060" s="108" t="s">
        <v>2984</v>
      </c>
      <c r="C3060" s="109">
        <v>1278.99</v>
      </c>
    </row>
    <row r="3061" spans="1:3" x14ac:dyDescent="0.25">
      <c r="A3061" s="108">
        <v>9888</v>
      </c>
      <c r="B3061" s="108" t="s">
        <v>2985</v>
      </c>
      <c r="C3061" s="108">
        <v>499</v>
      </c>
    </row>
    <row r="3062" spans="1:3" x14ac:dyDescent="0.25">
      <c r="A3062" s="108">
        <v>9889</v>
      </c>
      <c r="B3062" s="108" t="s">
        <v>2986</v>
      </c>
      <c r="C3062" s="108">
        <v>431.38</v>
      </c>
    </row>
    <row r="3063" spans="1:3" x14ac:dyDescent="0.25">
      <c r="A3063" s="108">
        <v>9892</v>
      </c>
      <c r="B3063" s="108" t="s">
        <v>2987</v>
      </c>
      <c r="C3063" s="108">
        <v>15.9</v>
      </c>
    </row>
    <row r="3064" spans="1:3" x14ac:dyDescent="0.25">
      <c r="A3064" s="108">
        <v>9893</v>
      </c>
      <c r="B3064" s="108" t="s">
        <v>2988</v>
      </c>
      <c r="C3064" s="108">
        <v>17.2</v>
      </c>
    </row>
    <row r="3065" spans="1:3" x14ac:dyDescent="0.25">
      <c r="A3065" s="108">
        <v>9895</v>
      </c>
      <c r="B3065" s="108" t="s">
        <v>2989</v>
      </c>
      <c r="C3065" s="108">
        <v>100.8</v>
      </c>
    </row>
    <row r="3066" spans="1:3" x14ac:dyDescent="0.25">
      <c r="A3066" s="108">
        <v>9896</v>
      </c>
      <c r="B3066" s="108" t="s">
        <v>2990</v>
      </c>
      <c r="C3066" s="108">
        <v>56.6</v>
      </c>
    </row>
    <row r="3067" spans="1:3" x14ac:dyDescent="0.25">
      <c r="A3067" s="108">
        <v>9898</v>
      </c>
      <c r="B3067" s="108" t="s">
        <v>2991</v>
      </c>
      <c r="C3067" s="108">
        <v>220</v>
      </c>
    </row>
    <row r="3068" spans="1:3" x14ac:dyDescent="0.25">
      <c r="A3068" s="108">
        <v>9900</v>
      </c>
      <c r="B3068" s="108" t="s">
        <v>2992</v>
      </c>
      <c r="C3068" s="108">
        <v>220</v>
      </c>
    </row>
    <row r="3069" spans="1:3" x14ac:dyDescent="0.25">
      <c r="A3069" s="108">
        <v>9901</v>
      </c>
      <c r="B3069" s="108" t="s">
        <v>2993</v>
      </c>
      <c r="C3069" s="108">
        <v>99</v>
      </c>
    </row>
    <row r="3070" spans="1:3" x14ac:dyDescent="0.25">
      <c r="A3070" s="108">
        <v>9908</v>
      </c>
      <c r="B3070" s="108" t="s">
        <v>2994</v>
      </c>
      <c r="C3070" s="108">
        <v>16.02</v>
      </c>
    </row>
    <row r="3071" spans="1:3" x14ac:dyDescent="0.25">
      <c r="A3071" s="108">
        <v>9912</v>
      </c>
      <c r="B3071" s="108" t="s">
        <v>2995</v>
      </c>
      <c r="C3071" s="108">
        <v>2.96</v>
      </c>
    </row>
    <row r="3072" spans="1:3" x14ac:dyDescent="0.25">
      <c r="A3072" s="108">
        <v>9913</v>
      </c>
      <c r="B3072" s="108" t="s">
        <v>2996</v>
      </c>
      <c r="C3072" s="108">
        <v>32.28</v>
      </c>
    </row>
    <row r="3073" spans="1:3" x14ac:dyDescent="0.25">
      <c r="A3073" s="108">
        <v>9914</v>
      </c>
      <c r="B3073" s="108" t="s">
        <v>2997</v>
      </c>
      <c r="C3073" s="109">
        <v>6159.36</v>
      </c>
    </row>
    <row r="3074" spans="1:3" x14ac:dyDescent="0.25">
      <c r="A3074" s="108">
        <v>9916</v>
      </c>
      <c r="B3074" s="108" t="s">
        <v>2998</v>
      </c>
      <c r="C3074" s="108">
        <v>2.9</v>
      </c>
    </row>
    <row r="3075" spans="1:3" x14ac:dyDescent="0.25">
      <c r="A3075" s="108">
        <v>9917</v>
      </c>
      <c r="B3075" s="108" t="s">
        <v>2999</v>
      </c>
      <c r="C3075" s="108">
        <v>3.4</v>
      </c>
    </row>
    <row r="3076" spans="1:3" x14ac:dyDescent="0.25">
      <c r="A3076" s="108">
        <v>9918</v>
      </c>
      <c r="B3076" s="108" t="s">
        <v>3000</v>
      </c>
      <c r="C3076" s="108">
        <v>3.7</v>
      </c>
    </row>
    <row r="3077" spans="1:3" x14ac:dyDescent="0.25">
      <c r="A3077" s="108">
        <v>9919</v>
      </c>
      <c r="B3077" s="108" t="s">
        <v>3001</v>
      </c>
      <c r="C3077" s="108">
        <v>4.17</v>
      </c>
    </row>
    <row r="3078" spans="1:3" x14ac:dyDescent="0.25">
      <c r="A3078" s="108">
        <v>9920</v>
      </c>
      <c r="B3078" s="108" t="s">
        <v>3002</v>
      </c>
      <c r="C3078" s="108">
        <v>10.3</v>
      </c>
    </row>
    <row r="3079" spans="1:3" x14ac:dyDescent="0.25">
      <c r="A3079" s="108">
        <v>9921</v>
      </c>
      <c r="B3079" s="108" t="s">
        <v>3003</v>
      </c>
      <c r="C3079" s="108">
        <v>40</v>
      </c>
    </row>
    <row r="3080" spans="1:3" x14ac:dyDescent="0.25">
      <c r="A3080" s="108">
        <v>9925</v>
      </c>
      <c r="B3080" s="108" t="s">
        <v>3004</v>
      </c>
      <c r="C3080" s="108">
        <v>8.1999999999999993</v>
      </c>
    </row>
    <row r="3081" spans="1:3" x14ac:dyDescent="0.25">
      <c r="A3081" s="108">
        <v>9927</v>
      </c>
      <c r="B3081" s="108" t="s">
        <v>3005</v>
      </c>
      <c r="C3081" s="108">
        <v>17.32</v>
      </c>
    </row>
    <row r="3082" spans="1:3" ht="30" x14ac:dyDescent="0.25">
      <c r="A3082" s="108">
        <v>9933</v>
      </c>
      <c r="B3082" s="108" t="s">
        <v>3006</v>
      </c>
      <c r="C3082" s="108">
        <v>589</v>
      </c>
    </row>
    <row r="3083" spans="1:3" ht="30" x14ac:dyDescent="0.25">
      <c r="A3083" s="108">
        <v>9934</v>
      </c>
      <c r="B3083" s="108" t="s">
        <v>3007</v>
      </c>
      <c r="C3083" s="108">
        <v>338.03</v>
      </c>
    </row>
    <row r="3084" spans="1:3" ht="30" x14ac:dyDescent="0.25">
      <c r="A3084" s="108">
        <v>9935</v>
      </c>
      <c r="B3084" s="108" t="s">
        <v>3008</v>
      </c>
      <c r="C3084" s="108">
        <v>591.64</v>
      </c>
    </row>
    <row r="3085" spans="1:3" x14ac:dyDescent="0.25">
      <c r="A3085" s="108">
        <v>9937</v>
      </c>
      <c r="B3085" s="108" t="s">
        <v>3009</v>
      </c>
      <c r="C3085" s="109">
        <v>1492.5</v>
      </c>
    </row>
    <row r="3086" spans="1:3" x14ac:dyDescent="0.25">
      <c r="A3086" s="108">
        <v>9938</v>
      </c>
      <c r="B3086" s="108" t="s">
        <v>3010</v>
      </c>
      <c r="C3086" s="108">
        <v>337.5</v>
      </c>
    </row>
    <row r="3087" spans="1:3" x14ac:dyDescent="0.25">
      <c r="A3087" s="108">
        <v>9940</v>
      </c>
      <c r="B3087" s="108" t="s">
        <v>3011</v>
      </c>
      <c r="C3087" s="108">
        <v>26.3</v>
      </c>
    </row>
    <row r="3088" spans="1:3" x14ac:dyDescent="0.25">
      <c r="A3088" s="108">
        <v>9941</v>
      </c>
      <c r="B3088" s="108" t="s">
        <v>3012</v>
      </c>
      <c r="C3088" s="108">
        <v>976.15</v>
      </c>
    </row>
    <row r="3089" spans="1:3" x14ac:dyDescent="0.25">
      <c r="A3089" s="108">
        <v>9944</v>
      </c>
      <c r="B3089" s="108" t="s">
        <v>3013</v>
      </c>
      <c r="C3089" s="108">
        <v>8.5</v>
      </c>
    </row>
    <row r="3090" spans="1:3" x14ac:dyDescent="0.25">
      <c r="A3090" s="108">
        <v>9945</v>
      </c>
      <c r="B3090" s="108" t="s">
        <v>3014</v>
      </c>
      <c r="C3090" s="108">
        <v>19</v>
      </c>
    </row>
    <row r="3091" spans="1:3" x14ac:dyDescent="0.25">
      <c r="A3091" s="108">
        <v>9946</v>
      </c>
      <c r="B3091" s="108" t="s">
        <v>3015</v>
      </c>
      <c r="C3091" s="108">
        <v>43</v>
      </c>
    </row>
    <row r="3092" spans="1:3" x14ac:dyDescent="0.25">
      <c r="A3092" s="108">
        <v>9947</v>
      </c>
      <c r="B3092" s="108" t="s">
        <v>3016</v>
      </c>
      <c r="C3092" s="108">
        <v>69</v>
      </c>
    </row>
    <row r="3093" spans="1:3" x14ac:dyDescent="0.25">
      <c r="A3093" s="108">
        <v>9948</v>
      </c>
      <c r="B3093" s="108" t="s">
        <v>3017</v>
      </c>
      <c r="C3093" s="108">
        <v>9.1</v>
      </c>
    </row>
    <row r="3094" spans="1:3" x14ac:dyDescent="0.25">
      <c r="A3094" s="108">
        <v>9956</v>
      </c>
      <c r="B3094" s="108" t="s">
        <v>3018</v>
      </c>
      <c r="C3094" s="108">
        <v>849</v>
      </c>
    </row>
    <row r="3095" spans="1:3" x14ac:dyDescent="0.25">
      <c r="A3095" s="108">
        <v>9957</v>
      </c>
      <c r="B3095" s="108" t="s">
        <v>3019</v>
      </c>
      <c r="C3095" s="108">
        <v>650</v>
      </c>
    </row>
    <row r="3096" spans="1:3" x14ac:dyDescent="0.25">
      <c r="A3096" s="108">
        <v>9958</v>
      </c>
      <c r="B3096" s="108" t="s">
        <v>3020</v>
      </c>
      <c r="C3096" s="108">
        <v>147</v>
      </c>
    </row>
    <row r="3097" spans="1:3" x14ac:dyDescent="0.25">
      <c r="A3097" s="108">
        <v>9959</v>
      </c>
      <c r="B3097" s="108" t="s">
        <v>3021</v>
      </c>
      <c r="C3097" s="108">
        <v>147</v>
      </c>
    </row>
    <row r="3098" spans="1:3" x14ac:dyDescent="0.25">
      <c r="A3098" s="108">
        <v>9960</v>
      </c>
      <c r="B3098" s="108" t="s">
        <v>3022</v>
      </c>
      <c r="C3098" s="108">
        <v>147</v>
      </c>
    </row>
    <row r="3099" spans="1:3" x14ac:dyDescent="0.25">
      <c r="A3099" s="108">
        <v>9961</v>
      </c>
      <c r="B3099" s="108" t="s">
        <v>3023</v>
      </c>
      <c r="C3099" s="108">
        <v>147</v>
      </c>
    </row>
    <row r="3100" spans="1:3" x14ac:dyDescent="0.25">
      <c r="A3100" s="108">
        <v>9963</v>
      </c>
      <c r="B3100" s="108" t="s">
        <v>3024</v>
      </c>
      <c r="C3100" s="108">
        <v>187</v>
      </c>
    </row>
    <row r="3101" spans="1:3" x14ac:dyDescent="0.25">
      <c r="A3101" s="108">
        <v>9964</v>
      </c>
      <c r="B3101" s="108" t="s">
        <v>3025</v>
      </c>
      <c r="C3101" s="108">
        <v>180</v>
      </c>
    </row>
    <row r="3102" spans="1:3" x14ac:dyDescent="0.25">
      <c r="A3102" s="108">
        <v>9965</v>
      </c>
      <c r="B3102" s="108" t="s">
        <v>3026</v>
      </c>
      <c r="C3102" s="108">
        <v>180</v>
      </c>
    </row>
    <row r="3103" spans="1:3" x14ac:dyDescent="0.25">
      <c r="A3103" s="108">
        <v>9966</v>
      </c>
      <c r="B3103" s="108" t="s">
        <v>3027</v>
      </c>
      <c r="C3103" s="108">
        <v>146.22</v>
      </c>
    </row>
    <row r="3104" spans="1:3" x14ac:dyDescent="0.25">
      <c r="A3104" s="108">
        <v>9967</v>
      </c>
      <c r="B3104" s="108" t="s">
        <v>3028</v>
      </c>
      <c r="C3104" s="108">
        <v>8.25</v>
      </c>
    </row>
    <row r="3105" spans="1:3" x14ac:dyDescent="0.25">
      <c r="A3105" s="108">
        <v>9968</v>
      </c>
      <c r="B3105" s="108" t="s">
        <v>3029</v>
      </c>
      <c r="C3105" s="108">
        <v>9.9</v>
      </c>
    </row>
    <row r="3106" spans="1:3" x14ac:dyDescent="0.25">
      <c r="A3106" s="108">
        <v>9969</v>
      </c>
      <c r="B3106" s="108" t="s">
        <v>3030</v>
      </c>
      <c r="C3106" s="108">
        <v>90.1</v>
      </c>
    </row>
    <row r="3107" spans="1:3" x14ac:dyDescent="0.25">
      <c r="A3107" s="108">
        <v>9973</v>
      </c>
      <c r="B3107" s="108" t="s">
        <v>3031</v>
      </c>
      <c r="C3107" s="108">
        <v>10</v>
      </c>
    </row>
    <row r="3108" spans="1:3" x14ac:dyDescent="0.25">
      <c r="A3108" s="108">
        <v>9974</v>
      </c>
      <c r="B3108" s="108" t="s">
        <v>3032</v>
      </c>
      <c r="C3108" s="108">
        <v>48.77</v>
      </c>
    </row>
    <row r="3109" spans="1:3" x14ac:dyDescent="0.25">
      <c r="A3109" s="108">
        <v>9975</v>
      </c>
      <c r="B3109" s="108" t="s">
        <v>3033</v>
      </c>
      <c r="C3109" s="108">
        <v>7</v>
      </c>
    </row>
    <row r="3110" spans="1:3" x14ac:dyDescent="0.25">
      <c r="A3110" s="108">
        <v>9976</v>
      </c>
      <c r="B3110" s="108" t="s">
        <v>3034</v>
      </c>
      <c r="C3110" s="108">
        <v>3.5</v>
      </c>
    </row>
    <row r="3111" spans="1:3" x14ac:dyDescent="0.25">
      <c r="A3111" s="108">
        <v>9977</v>
      </c>
      <c r="B3111" s="108" t="s">
        <v>3035</v>
      </c>
      <c r="C3111" s="108">
        <v>7.35</v>
      </c>
    </row>
    <row r="3112" spans="1:3" x14ac:dyDescent="0.25">
      <c r="A3112" s="108">
        <v>9979</v>
      </c>
      <c r="B3112" s="108" t="s">
        <v>3036</v>
      </c>
      <c r="C3112" s="108">
        <v>85</v>
      </c>
    </row>
    <row r="3113" spans="1:3" x14ac:dyDescent="0.25">
      <c r="A3113" s="108">
        <v>9980</v>
      </c>
      <c r="B3113" s="108" t="s">
        <v>3037</v>
      </c>
      <c r="C3113" s="108">
        <v>4.95</v>
      </c>
    </row>
    <row r="3114" spans="1:3" x14ac:dyDescent="0.25">
      <c r="A3114" s="108">
        <v>9981</v>
      </c>
      <c r="B3114" s="108" t="s">
        <v>3038</v>
      </c>
      <c r="C3114" s="108">
        <v>3.15</v>
      </c>
    </row>
    <row r="3115" spans="1:3" x14ac:dyDescent="0.25">
      <c r="A3115" s="108">
        <v>9982</v>
      </c>
      <c r="B3115" s="108" t="s">
        <v>3039</v>
      </c>
      <c r="C3115" s="108">
        <v>2.4500000000000002</v>
      </c>
    </row>
    <row r="3116" spans="1:3" x14ac:dyDescent="0.25">
      <c r="A3116" s="108">
        <v>9983</v>
      </c>
      <c r="B3116" s="108" t="s">
        <v>3040</v>
      </c>
      <c r="C3116" s="108">
        <v>5</v>
      </c>
    </row>
    <row r="3117" spans="1:3" x14ac:dyDescent="0.25">
      <c r="A3117" s="108">
        <v>9984</v>
      </c>
      <c r="B3117" s="108" t="s">
        <v>3041</v>
      </c>
      <c r="C3117" s="108">
        <v>8</v>
      </c>
    </row>
    <row r="3118" spans="1:3" x14ac:dyDescent="0.25">
      <c r="A3118" s="108">
        <v>9985</v>
      </c>
      <c r="B3118" s="108" t="s">
        <v>3042</v>
      </c>
      <c r="C3118" s="108">
        <v>8.25</v>
      </c>
    </row>
    <row r="3119" spans="1:3" x14ac:dyDescent="0.25">
      <c r="A3119" s="108">
        <v>9988</v>
      </c>
      <c r="B3119" s="108" t="s">
        <v>3043</v>
      </c>
      <c r="C3119" s="108">
        <v>3.5</v>
      </c>
    </row>
    <row r="3120" spans="1:3" x14ac:dyDescent="0.25">
      <c r="A3120" s="108">
        <v>9989</v>
      </c>
      <c r="B3120" s="108" t="s">
        <v>3044</v>
      </c>
      <c r="C3120" s="108">
        <v>3.5</v>
      </c>
    </row>
    <row r="3121" spans="1:3" x14ac:dyDescent="0.25">
      <c r="A3121" s="108">
        <v>9991</v>
      </c>
      <c r="B3121" s="108" t="s">
        <v>3045</v>
      </c>
      <c r="C3121" s="108">
        <v>5.5</v>
      </c>
    </row>
    <row r="3122" spans="1:3" x14ac:dyDescent="0.25">
      <c r="A3122" s="108">
        <v>9993</v>
      </c>
      <c r="B3122" s="108" t="s">
        <v>3046</v>
      </c>
      <c r="C3122" s="108">
        <v>29.25</v>
      </c>
    </row>
    <row r="3123" spans="1:3" x14ac:dyDescent="0.25">
      <c r="A3123" s="108">
        <v>9996</v>
      </c>
      <c r="B3123" s="108" t="s">
        <v>3047</v>
      </c>
      <c r="C3123" s="108">
        <v>5.78</v>
      </c>
    </row>
    <row r="3124" spans="1:3" x14ac:dyDescent="0.25">
      <c r="A3124" s="108">
        <v>9998</v>
      </c>
      <c r="B3124" s="108" t="s">
        <v>3048</v>
      </c>
      <c r="C3124" s="108">
        <v>11.56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22898-7753-4CBC-9B4F-2AD4FF45B314}">
  <sheetPr codeName="Hoja11">
    <tabColor rgb="FFFFC000"/>
  </sheetPr>
  <dimension ref="A1:I1739"/>
  <sheetViews>
    <sheetView workbookViewId="0">
      <pane ySplit="1" topLeftCell="A1650" activePane="bottomLeft" state="frozen"/>
      <selection pane="bottomLeft" activeCell="B1668" sqref="B1668"/>
    </sheetView>
  </sheetViews>
  <sheetFormatPr baseColWidth="10" defaultRowHeight="15" x14ac:dyDescent="0.25"/>
  <cols>
    <col min="1" max="1" width="17.7109375" customWidth="1"/>
    <col min="2" max="2" width="45.28515625" customWidth="1"/>
    <col min="3" max="3" width="29.5703125" customWidth="1"/>
    <col min="4" max="4" width="15.140625" customWidth="1"/>
    <col min="7" max="7" width="21.5703125" customWidth="1"/>
    <col min="8" max="8" width="21.85546875" customWidth="1"/>
    <col min="9" max="9" width="24.140625" customWidth="1"/>
  </cols>
  <sheetData>
    <row r="1" spans="1:9" x14ac:dyDescent="0.25">
      <c r="A1" t="s">
        <v>14841</v>
      </c>
      <c r="B1" t="s">
        <v>14842</v>
      </c>
      <c r="C1" t="s">
        <v>14843</v>
      </c>
      <c r="D1" t="s">
        <v>14844</v>
      </c>
      <c r="E1" t="s">
        <v>14845</v>
      </c>
      <c r="F1" t="s">
        <v>14846</v>
      </c>
      <c r="G1" t="s">
        <v>14847</v>
      </c>
      <c r="H1" t="s">
        <v>17520</v>
      </c>
      <c r="I1" t="s">
        <v>17522</v>
      </c>
    </row>
    <row r="2" spans="1:9" x14ac:dyDescent="0.25">
      <c r="A2">
        <v>10007</v>
      </c>
      <c r="B2" t="s">
        <v>28</v>
      </c>
      <c r="C2" t="s">
        <v>3059</v>
      </c>
      <c r="D2">
        <v>135</v>
      </c>
      <c r="E2">
        <v>8</v>
      </c>
      <c r="F2" t="s">
        <v>7</v>
      </c>
      <c r="G2" t="s">
        <v>3058</v>
      </c>
    </row>
    <row r="3" spans="1:9" x14ac:dyDescent="0.25">
      <c r="A3">
        <v>10009</v>
      </c>
      <c r="B3" t="s">
        <v>30</v>
      </c>
      <c r="C3" t="s">
        <v>3059</v>
      </c>
      <c r="D3">
        <v>33</v>
      </c>
      <c r="E3">
        <v>3.5</v>
      </c>
      <c r="F3" t="s">
        <v>7</v>
      </c>
      <c r="G3" t="s">
        <v>3058</v>
      </c>
    </row>
    <row r="4" spans="1:9" x14ac:dyDescent="0.25">
      <c r="A4">
        <v>10015</v>
      </c>
      <c r="B4" t="s">
        <v>36</v>
      </c>
      <c r="C4" t="s">
        <v>3059</v>
      </c>
      <c r="D4">
        <v>20</v>
      </c>
      <c r="E4">
        <v>3.3</v>
      </c>
      <c r="F4" t="s">
        <v>7</v>
      </c>
      <c r="G4" t="s">
        <v>3058</v>
      </c>
    </row>
    <row r="5" spans="1:9" x14ac:dyDescent="0.25">
      <c r="A5">
        <v>10016</v>
      </c>
      <c r="B5" t="s">
        <v>37</v>
      </c>
      <c r="C5" t="s">
        <v>3059</v>
      </c>
      <c r="D5">
        <v>152</v>
      </c>
      <c r="E5">
        <v>20.63</v>
      </c>
      <c r="F5" t="s">
        <v>7</v>
      </c>
      <c r="G5" t="s">
        <v>3058</v>
      </c>
    </row>
    <row r="6" spans="1:9" x14ac:dyDescent="0.25">
      <c r="A6">
        <v>10018</v>
      </c>
      <c r="B6" t="s">
        <v>38</v>
      </c>
      <c r="C6" t="s">
        <v>3059</v>
      </c>
      <c r="D6">
        <v>19</v>
      </c>
      <c r="E6">
        <v>33.01</v>
      </c>
      <c r="F6" t="s">
        <v>7</v>
      </c>
      <c r="G6" t="s">
        <v>3058</v>
      </c>
    </row>
    <row r="7" spans="1:9" x14ac:dyDescent="0.25">
      <c r="A7">
        <v>10019</v>
      </c>
      <c r="B7" t="s">
        <v>39</v>
      </c>
      <c r="C7" t="s">
        <v>3059</v>
      </c>
      <c r="D7">
        <v>4</v>
      </c>
      <c r="E7">
        <v>72.63</v>
      </c>
      <c r="F7" t="s">
        <v>7</v>
      </c>
      <c r="G7" t="s">
        <v>3058</v>
      </c>
    </row>
    <row r="8" spans="1:9" x14ac:dyDescent="0.25">
      <c r="A8">
        <v>10023</v>
      </c>
      <c r="B8" t="s">
        <v>41</v>
      </c>
      <c r="C8" t="s">
        <v>3059</v>
      </c>
      <c r="D8">
        <v>158</v>
      </c>
      <c r="E8">
        <v>7</v>
      </c>
      <c r="F8" t="s">
        <v>7</v>
      </c>
      <c r="G8" t="s">
        <v>3058</v>
      </c>
    </row>
    <row r="9" spans="1:9" x14ac:dyDescent="0.25">
      <c r="A9">
        <v>10025</v>
      </c>
      <c r="B9" t="s">
        <v>42</v>
      </c>
      <c r="C9" t="s">
        <v>3059</v>
      </c>
      <c r="D9">
        <v>117</v>
      </c>
      <c r="E9">
        <v>13.21</v>
      </c>
      <c r="F9" t="s">
        <v>7</v>
      </c>
      <c r="G9" t="s">
        <v>3058</v>
      </c>
    </row>
    <row r="10" spans="1:9" x14ac:dyDescent="0.25">
      <c r="A10">
        <v>10033</v>
      </c>
      <c r="B10" t="s">
        <v>49</v>
      </c>
      <c r="C10" t="s">
        <v>3059</v>
      </c>
      <c r="D10">
        <v>3</v>
      </c>
      <c r="E10">
        <v>6.75</v>
      </c>
      <c r="F10" t="s">
        <v>7</v>
      </c>
      <c r="G10" t="s">
        <v>3058</v>
      </c>
    </row>
    <row r="11" spans="1:9" x14ac:dyDescent="0.25">
      <c r="A11">
        <v>10037</v>
      </c>
      <c r="B11" t="s">
        <v>52</v>
      </c>
      <c r="C11" t="s">
        <v>3059</v>
      </c>
      <c r="D11">
        <v>5</v>
      </c>
      <c r="E11">
        <v>31</v>
      </c>
      <c r="F11" t="s">
        <v>7</v>
      </c>
      <c r="G11" t="s">
        <v>3058</v>
      </c>
    </row>
    <row r="12" spans="1:9" x14ac:dyDescent="0.25">
      <c r="A12">
        <v>10038</v>
      </c>
      <c r="B12" t="s">
        <v>53</v>
      </c>
      <c r="C12" t="s">
        <v>3059</v>
      </c>
      <c r="D12">
        <v>25</v>
      </c>
      <c r="E12">
        <v>48</v>
      </c>
      <c r="F12" t="s">
        <v>7</v>
      </c>
      <c r="G12" t="s">
        <v>3058</v>
      </c>
    </row>
    <row r="13" spans="1:9" x14ac:dyDescent="0.25">
      <c r="A13">
        <v>10042</v>
      </c>
      <c r="B13" t="s">
        <v>54</v>
      </c>
      <c r="C13" t="s">
        <v>3059</v>
      </c>
      <c r="D13">
        <v>8</v>
      </c>
      <c r="E13">
        <v>103.76</v>
      </c>
      <c r="F13" t="s">
        <v>7</v>
      </c>
      <c r="G13" t="s">
        <v>3058</v>
      </c>
    </row>
    <row r="14" spans="1:9" x14ac:dyDescent="0.25">
      <c r="A14">
        <v>10047</v>
      </c>
      <c r="B14" t="s">
        <v>57</v>
      </c>
      <c r="C14" t="s">
        <v>3059</v>
      </c>
      <c r="D14">
        <v>1</v>
      </c>
      <c r="E14">
        <v>226.67</v>
      </c>
      <c r="F14" t="s">
        <v>7</v>
      </c>
      <c r="G14" t="s">
        <v>3064</v>
      </c>
    </row>
    <row r="15" spans="1:9" x14ac:dyDescent="0.25">
      <c r="A15">
        <v>10049</v>
      </c>
      <c r="B15" t="s">
        <v>59</v>
      </c>
      <c r="C15" t="s">
        <v>3059</v>
      </c>
      <c r="D15">
        <v>30</v>
      </c>
      <c r="E15">
        <v>29.67</v>
      </c>
      <c r="F15" t="s">
        <v>3065</v>
      </c>
      <c r="G15" t="s">
        <v>3066</v>
      </c>
    </row>
    <row r="16" spans="1:9" x14ac:dyDescent="0.25">
      <c r="A16">
        <v>10050</v>
      </c>
      <c r="B16" t="s">
        <v>60</v>
      </c>
      <c r="C16" t="s">
        <v>3059</v>
      </c>
      <c r="D16">
        <v>1</v>
      </c>
      <c r="E16">
        <v>30</v>
      </c>
      <c r="F16" t="s">
        <v>3065</v>
      </c>
      <c r="G16" t="s">
        <v>3066</v>
      </c>
    </row>
    <row r="17" spans="1:7" x14ac:dyDescent="0.25">
      <c r="A17">
        <v>10051</v>
      </c>
      <c r="B17" t="s">
        <v>61</v>
      </c>
      <c r="C17" t="s">
        <v>3063</v>
      </c>
      <c r="D17">
        <v>95</v>
      </c>
      <c r="E17">
        <v>33</v>
      </c>
      <c r="F17" t="s">
        <v>7</v>
      </c>
      <c r="G17" t="s">
        <v>3066</v>
      </c>
    </row>
    <row r="18" spans="1:7" x14ac:dyDescent="0.25">
      <c r="A18">
        <v>10052</v>
      </c>
      <c r="B18" t="s">
        <v>62</v>
      </c>
      <c r="C18" t="s">
        <v>3059</v>
      </c>
      <c r="D18">
        <v>4</v>
      </c>
      <c r="E18">
        <v>34.520000000000003</v>
      </c>
      <c r="F18" t="s">
        <v>3065</v>
      </c>
      <c r="G18" t="s">
        <v>3066</v>
      </c>
    </row>
    <row r="19" spans="1:7" x14ac:dyDescent="0.25">
      <c r="A19">
        <v>10053</v>
      </c>
      <c r="B19" t="s">
        <v>63</v>
      </c>
      <c r="C19" t="s">
        <v>3059</v>
      </c>
      <c r="D19">
        <v>1</v>
      </c>
      <c r="E19">
        <v>34.630000000000003</v>
      </c>
      <c r="F19" t="s">
        <v>7</v>
      </c>
      <c r="G19" t="s">
        <v>3066</v>
      </c>
    </row>
    <row r="20" spans="1:7" x14ac:dyDescent="0.25">
      <c r="A20">
        <v>10054</v>
      </c>
      <c r="B20" t="s">
        <v>64</v>
      </c>
      <c r="C20" t="s">
        <v>3059</v>
      </c>
      <c r="D20">
        <v>17</v>
      </c>
      <c r="E20">
        <v>34.78</v>
      </c>
      <c r="F20" t="s">
        <v>3065</v>
      </c>
      <c r="G20" t="s">
        <v>3066</v>
      </c>
    </row>
    <row r="21" spans="1:7" x14ac:dyDescent="0.25">
      <c r="A21">
        <v>10055</v>
      </c>
      <c r="B21" t="s">
        <v>65</v>
      </c>
      <c r="C21" t="s">
        <v>3059</v>
      </c>
      <c r="D21">
        <v>143</v>
      </c>
      <c r="E21">
        <v>34.4</v>
      </c>
      <c r="F21" t="s">
        <v>3065</v>
      </c>
      <c r="G21" t="s">
        <v>3066</v>
      </c>
    </row>
    <row r="22" spans="1:7" x14ac:dyDescent="0.25">
      <c r="A22">
        <v>10056</v>
      </c>
      <c r="B22" t="s">
        <v>66</v>
      </c>
      <c r="C22" t="s">
        <v>3059</v>
      </c>
      <c r="D22">
        <v>3</v>
      </c>
      <c r="E22">
        <v>38.5</v>
      </c>
      <c r="F22" t="s">
        <v>3065</v>
      </c>
      <c r="G22" t="s">
        <v>3066</v>
      </c>
    </row>
    <row r="23" spans="1:7" x14ac:dyDescent="0.25">
      <c r="A23">
        <v>10057</v>
      </c>
      <c r="B23" t="s">
        <v>67</v>
      </c>
      <c r="C23" t="s">
        <v>3059</v>
      </c>
      <c r="D23">
        <v>2</v>
      </c>
      <c r="E23">
        <v>23.9</v>
      </c>
      <c r="F23" t="s">
        <v>3065</v>
      </c>
      <c r="G23" t="s">
        <v>3066</v>
      </c>
    </row>
    <row r="24" spans="1:7" x14ac:dyDescent="0.25">
      <c r="A24">
        <v>10058</v>
      </c>
      <c r="B24" t="s">
        <v>68</v>
      </c>
      <c r="C24" t="s">
        <v>3059</v>
      </c>
      <c r="D24">
        <v>1</v>
      </c>
      <c r="E24">
        <v>23.98</v>
      </c>
      <c r="F24" t="s">
        <v>3065</v>
      </c>
      <c r="G24" t="s">
        <v>3066</v>
      </c>
    </row>
    <row r="25" spans="1:7" x14ac:dyDescent="0.25">
      <c r="A25">
        <v>10060</v>
      </c>
      <c r="B25" t="s">
        <v>70</v>
      </c>
      <c r="C25" t="s">
        <v>3059</v>
      </c>
      <c r="D25">
        <v>1</v>
      </c>
      <c r="E25">
        <v>27.5</v>
      </c>
      <c r="F25" t="s">
        <v>3065</v>
      </c>
      <c r="G25" t="s">
        <v>3066</v>
      </c>
    </row>
    <row r="26" spans="1:7" x14ac:dyDescent="0.25">
      <c r="A26">
        <v>10064</v>
      </c>
      <c r="B26" t="s">
        <v>73</v>
      </c>
      <c r="C26" t="s">
        <v>3059</v>
      </c>
      <c r="D26">
        <v>3</v>
      </c>
      <c r="E26">
        <v>28</v>
      </c>
      <c r="F26" t="s">
        <v>3065</v>
      </c>
      <c r="G26" t="s">
        <v>3066</v>
      </c>
    </row>
    <row r="27" spans="1:7" x14ac:dyDescent="0.25">
      <c r="A27">
        <v>10067</v>
      </c>
      <c r="B27" t="s">
        <v>75</v>
      </c>
      <c r="C27" t="s">
        <v>3059</v>
      </c>
      <c r="D27">
        <v>1</v>
      </c>
      <c r="E27">
        <v>14.98</v>
      </c>
      <c r="F27" t="s">
        <v>3065</v>
      </c>
      <c r="G27" t="s">
        <v>3066</v>
      </c>
    </row>
    <row r="28" spans="1:7" x14ac:dyDescent="0.25">
      <c r="A28">
        <v>10069</v>
      </c>
      <c r="B28" t="s">
        <v>77</v>
      </c>
      <c r="C28" t="s">
        <v>3063</v>
      </c>
      <c r="D28">
        <v>3</v>
      </c>
      <c r="E28">
        <v>14.97</v>
      </c>
      <c r="F28" t="s">
        <v>7</v>
      </c>
      <c r="G28" t="s">
        <v>3066</v>
      </c>
    </row>
    <row r="29" spans="1:7" x14ac:dyDescent="0.25">
      <c r="A29">
        <v>10070</v>
      </c>
      <c r="B29" t="s">
        <v>78</v>
      </c>
      <c r="C29" t="s">
        <v>3059</v>
      </c>
      <c r="D29">
        <v>6</v>
      </c>
      <c r="E29">
        <v>14.97</v>
      </c>
      <c r="F29" t="s">
        <v>3065</v>
      </c>
      <c r="G29" t="s">
        <v>3066</v>
      </c>
    </row>
    <row r="30" spans="1:7" x14ac:dyDescent="0.25">
      <c r="A30">
        <v>10072</v>
      </c>
      <c r="B30" t="s">
        <v>80</v>
      </c>
      <c r="C30" t="s">
        <v>3059</v>
      </c>
      <c r="D30">
        <v>26</v>
      </c>
      <c r="E30">
        <v>18.39</v>
      </c>
      <c r="F30" t="s">
        <v>3065</v>
      </c>
      <c r="G30" t="s">
        <v>3066</v>
      </c>
    </row>
    <row r="31" spans="1:7" x14ac:dyDescent="0.25">
      <c r="A31">
        <v>10076</v>
      </c>
      <c r="B31" t="s">
        <v>84</v>
      </c>
      <c r="C31" t="s">
        <v>3059</v>
      </c>
      <c r="D31">
        <v>7</v>
      </c>
      <c r="E31">
        <v>18</v>
      </c>
      <c r="F31" t="s">
        <v>3065</v>
      </c>
      <c r="G31" t="s">
        <v>3066</v>
      </c>
    </row>
    <row r="32" spans="1:7" x14ac:dyDescent="0.25">
      <c r="A32">
        <v>10079</v>
      </c>
      <c r="B32" t="s">
        <v>87</v>
      </c>
      <c r="C32" t="s">
        <v>3063</v>
      </c>
      <c r="D32">
        <v>5</v>
      </c>
      <c r="E32">
        <v>17.5</v>
      </c>
      <c r="F32" t="s">
        <v>7</v>
      </c>
      <c r="G32" t="s">
        <v>3066</v>
      </c>
    </row>
    <row r="33" spans="1:7" x14ac:dyDescent="0.25">
      <c r="A33">
        <v>10080</v>
      </c>
      <c r="B33" t="s">
        <v>88</v>
      </c>
      <c r="C33" t="s">
        <v>3059</v>
      </c>
      <c r="D33">
        <v>1</v>
      </c>
      <c r="E33">
        <v>17.5</v>
      </c>
      <c r="F33" t="s">
        <v>3065</v>
      </c>
      <c r="G33" t="s">
        <v>3066</v>
      </c>
    </row>
    <row r="34" spans="1:7" x14ac:dyDescent="0.25">
      <c r="A34">
        <v>10083</v>
      </c>
      <c r="B34" t="s">
        <v>91</v>
      </c>
      <c r="C34" t="s">
        <v>3059</v>
      </c>
      <c r="D34">
        <v>1</v>
      </c>
      <c r="E34">
        <v>18</v>
      </c>
      <c r="F34" t="s">
        <v>3065</v>
      </c>
      <c r="G34" t="s">
        <v>3066</v>
      </c>
    </row>
    <row r="35" spans="1:7" x14ac:dyDescent="0.25">
      <c r="A35">
        <v>10084</v>
      </c>
      <c r="B35" t="s">
        <v>92</v>
      </c>
      <c r="C35" t="s">
        <v>3059</v>
      </c>
      <c r="D35">
        <v>17</v>
      </c>
      <c r="E35">
        <v>16.53</v>
      </c>
      <c r="F35" t="s">
        <v>3065</v>
      </c>
      <c r="G35" t="s">
        <v>3066</v>
      </c>
    </row>
    <row r="36" spans="1:7" x14ac:dyDescent="0.25">
      <c r="A36">
        <v>10087</v>
      </c>
      <c r="B36" t="s">
        <v>95</v>
      </c>
      <c r="C36" t="s">
        <v>3059</v>
      </c>
      <c r="D36">
        <v>9</v>
      </c>
      <c r="E36">
        <v>20</v>
      </c>
      <c r="F36" t="s">
        <v>3065</v>
      </c>
      <c r="G36" t="s">
        <v>3066</v>
      </c>
    </row>
    <row r="37" spans="1:7" x14ac:dyDescent="0.25">
      <c r="A37">
        <v>10089</v>
      </c>
      <c r="B37" t="s">
        <v>97</v>
      </c>
      <c r="C37" t="s">
        <v>3063</v>
      </c>
      <c r="D37">
        <v>8</v>
      </c>
      <c r="E37">
        <v>20</v>
      </c>
      <c r="F37" t="s">
        <v>7</v>
      </c>
      <c r="G37" t="s">
        <v>3066</v>
      </c>
    </row>
    <row r="38" spans="1:7" x14ac:dyDescent="0.25">
      <c r="A38">
        <v>10091</v>
      </c>
      <c r="B38" t="s">
        <v>99</v>
      </c>
      <c r="C38" t="s">
        <v>3059</v>
      </c>
      <c r="D38">
        <v>1</v>
      </c>
      <c r="E38">
        <v>20</v>
      </c>
      <c r="F38" t="s">
        <v>3065</v>
      </c>
      <c r="G38" t="s">
        <v>3066</v>
      </c>
    </row>
    <row r="39" spans="1:7" x14ac:dyDescent="0.25">
      <c r="A39">
        <v>10092</v>
      </c>
      <c r="B39" t="s">
        <v>100</v>
      </c>
      <c r="C39" t="s">
        <v>3059</v>
      </c>
      <c r="D39">
        <v>1</v>
      </c>
      <c r="E39">
        <v>20</v>
      </c>
      <c r="F39" t="s">
        <v>3065</v>
      </c>
      <c r="G39" t="s">
        <v>3066</v>
      </c>
    </row>
    <row r="40" spans="1:7" x14ac:dyDescent="0.25">
      <c r="A40">
        <v>10093</v>
      </c>
      <c r="B40" t="s">
        <v>101</v>
      </c>
      <c r="C40" t="s">
        <v>3059</v>
      </c>
      <c r="D40">
        <v>37</v>
      </c>
      <c r="E40">
        <v>28.25</v>
      </c>
      <c r="F40" t="s">
        <v>3065</v>
      </c>
      <c r="G40" t="s">
        <v>3066</v>
      </c>
    </row>
    <row r="41" spans="1:7" x14ac:dyDescent="0.25">
      <c r="A41">
        <v>10094</v>
      </c>
      <c r="B41" t="s">
        <v>3067</v>
      </c>
      <c r="C41" t="s">
        <v>3059</v>
      </c>
      <c r="D41">
        <v>10</v>
      </c>
      <c r="E41">
        <v>30</v>
      </c>
      <c r="F41" t="s">
        <v>3065</v>
      </c>
      <c r="G41" t="s">
        <v>3066</v>
      </c>
    </row>
    <row r="42" spans="1:7" x14ac:dyDescent="0.25">
      <c r="A42">
        <v>10095</v>
      </c>
      <c r="B42" t="s">
        <v>102</v>
      </c>
      <c r="C42" t="s">
        <v>3059</v>
      </c>
      <c r="D42">
        <v>12</v>
      </c>
      <c r="E42">
        <v>27.25</v>
      </c>
      <c r="F42" t="s">
        <v>3065</v>
      </c>
      <c r="G42" t="s">
        <v>3066</v>
      </c>
    </row>
    <row r="43" spans="1:7" x14ac:dyDescent="0.25">
      <c r="A43">
        <v>10096</v>
      </c>
      <c r="B43" t="s">
        <v>3068</v>
      </c>
      <c r="C43" t="s">
        <v>3059</v>
      </c>
      <c r="D43">
        <v>3</v>
      </c>
      <c r="E43">
        <v>30</v>
      </c>
      <c r="F43" t="s">
        <v>7</v>
      </c>
      <c r="G43" t="s">
        <v>3066</v>
      </c>
    </row>
    <row r="44" spans="1:7" x14ac:dyDescent="0.25">
      <c r="A44">
        <v>10097</v>
      </c>
      <c r="B44" t="s">
        <v>3069</v>
      </c>
      <c r="C44" t="s">
        <v>3059</v>
      </c>
      <c r="D44">
        <v>3</v>
      </c>
      <c r="E44">
        <v>30</v>
      </c>
      <c r="F44" t="s">
        <v>3065</v>
      </c>
      <c r="G44" t="s">
        <v>3066</v>
      </c>
    </row>
    <row r="45" spans="1:7" x14ac:dyDescent="0.25">
      <c r="A45">
        <v>10098</v>
      </c>
      <c r="B45" t="s">
        <v>103</v>
      </c>
      <c r="C45" t="s">
        <v>3059</v>
      </c>
      <c r="D45">
        <v>9</v>
      </c>
      <c r="E45">
        <v>28.56</v>
      </c>
      <c r="F45" t="s">
        <v>3065</v>
      </c>
      <c r="G45" t="s">
        <v>3066</v>
      </c>
    </row>
    <row r="46" spans="1:7" x14ac:dyDescent="0.25">
      <c r="A46">
        <v>10099</v>
      </c>
      <c r="B46" t="s">
        <v>104</v>
      </c>
      <c r="C46" t="s">
        <v>3059</v>
      </c>
      <c r="D46">
        <v>1</v>
      </c>
      <c r="E46">
        <v>28.49</v>
      </c>
      <c r="F46" t="s">
        <v>3065</v>
      </c>
      <c r="G46" t="s">
        <v>3066</v>
      </c>
    </row>
    <row r="47" spans="1:7" x14ac:dyDescent="0.25">
      <c r="A47">
        <v>10103</v>
      </c>
      <c r="B47" t="s">
        <v>106</v>
      </c>
      <c r="C47" t="s">
        <v>3059</v>
      </c>
      <c r="D47">
        <v>29</v>
      </c>
      <c r="E47">
        <v>17.5</v>
      </c>
      <c r="F47" t="s">
        <v>3065</v>
      </c>
      <c r="G47" t="s">
        <v>3066</v>
      </c>
    </row>
    <row r="48" spans="1:7" x14ac:dyDescent="0.25">
      <c r="A48">
        <v>10105</v>
      </c>
      <c r="B48" t="s">
        <v>108</v>
      </c>
      <c r="C48" t="s">
        <v>3059</v>
      </c>
      <c r="D48">
        <v>23</v>
      </c>
      <c r="E48">
        <v>17.5</v>
      </c>
      <c r="F48" t="s">
        <v>3065</v>
      </c>
      <c r="G48" t="s">
        <v>3066</v>
      </c>
    </row>
    <row r="49" spans="1:7" x14ac:dyDescent="0.25">
      <c r="A49">
        <v>10110</v>
      </c>
      <c r="B49" t="s">
        <v>109</v>
      </c>
      <c r="C49" t="s">
        <v>3059</v>
      </c>
      <c r="D49">
        <v>2</v>
      </c>
      <c r="E49">
        <v>33</v>
      </c>
      <c r="F49" t="s">
        <v>3065</v>
      </c>
      <c r="G49" t="s">
        <v>3066</v>
      </c>
    </row>
    <row r="50" spans="1:7" x14ac:dyDescent="0.25">
      <c r="A50">
        <v>10111</v>
      </c>
      <c r="B50" t="s">
        <v>110</v>
      </c>
      <c r="C50" t="s">
        <v>3059</v>
      </c>
      <c r="D50">
        <v>2</v>
      </c>
      <c r="E50">
        <v>25</v>
      </c>
      <c r="F50" t="s">
        <v>3065</v>
      </c>
      <c r="G50" t="s">
        <v>3066</v>
      </c>
    </row>
    <row r="51" spans="1:7" x14ac:dyDescent="0.25">
      <c r="A51">
        <v>10112</v>
      </c>
      <c r="B51" t="s">
        <v>111</v>
      </c>
      <c r="C51" t="s">
        <v>3059</v>
      </c>
      <c r="D51">
        <v>60</v>
      </c>
      <c r="E51">
        <v>25</v>
      </c>
      <c r="F51" t="s">
        <v>3065</v>
      </c>
      <c r="G51" t="s">
        <v>3066</v>
      </c>
    </row>
    <row r="52" spans="1:7" x14ac:dyDescent="0.25">
      <c r="A52">
        <v>10114</v>
      </c>
      <c r="B52" t="s">
        <v>113</v>
      </c>
      <c r="C52" t="s">
        <v>3059</v>
      </c>
      <c r="D52">
        <v>6</v>
      </c>
      <c r="E52">
        <v>25</v>
      </c>
      <c r="F52" t="s">
        <v>3065</v>
      </c>
      <c r="G52" t="s">
        <v>3066</v>
      </c>
    </row>
    <row r="53" spans="1:7" x14ac:dyDescent="0.25">
      <c r="A53">
        <v>10115</v>
      </c>
      <c r="B53" t="s">
        <v>114</v>
      </c>
      <c r="C53" t="s">
        <v>3059</v>
      </c>
      <c r="D53">
        <v>16</v>
      </c>
      <c r="E53">
        <v>25</v>
      </c>
      <c r="F53" t="s">
        <v>3065</v>
      </c>
      <c r="G53" t="s">
        <v>3066</v>
      </c>
    </row>
    <row r="54" spans="1:7" x14ac:dyDescent="0.25">
      <c r="A54">
        <v>10117</v>
      </c>
      <c r="B54" t="s">
        <v>116</v>
      </c>
      <c r="C54" t="s">
        <v>3059</v>
      </c>
      <c r="D54">
        <v>1</v>
      </c>
      <c r="E54">
        <v>25</v>
      </c>
      <c r="F54" t="s">
        <v>3065</v>
      </c>
      <c r="G54" t="s">
        <v>3066</v>
      </c>
    </row>
    <row r="55" spans="1:7" x14ac:dyDescent="0.25">
      <c r="A55">
        <v>10118</v>
      </c>
      <c r="B55" t="s">
        <v>117</v>
      </c>
      <c r="C55" t="s">
        <v>3059</v>
      </c>
      <c r="D55">
        <v>4</v>
      </c>
      <c r="E55">
        <v>18.39</v>
      </c>
      <c r="F55" t="s">
        <v>3065</v>
      </c>
      <c r="G55" t="s">
        <v>3066</v>
      </c>
    </row>
    <row r="56" spans="1:7" x14ac:dyDescent="0.25">
      <c r="A56">
        <v>10119</v>
      </c>
      <c r="B56" t="s">
        <v>118</v>
      </c>
      <c r="C56" t="s">
        <v>3059</v>
      </c>
      <c r="D56">
        <v>21</v>
      </c>
      <c r="E56">
        <v>18.39</v>
      </c>
      <c r="F56" t="s">
        <v>3065</v>
      </c>
      <c r="G56" t="s">
        <v>3066</v>
      </c>
    </row>
    <row r="57" spans="1:7" x14ac:dyDescent="0.25">
      <c r="A57">
        <v>10120</v>
      </c>
      <c r="B57" t="s">
        <v>119</v>
      </c>
      <c r="C57" t="s">
        <v>3063</v>
      </c>
      <c r="D57">
        <v>10</v>
      </c>
      <c r="E57">
        <v>18.39</v>
      </c>
      <c r="F57" t="s">
        <v>7</v>
      </c>
      <c r="G57" t="s">
        <v>3066</v>
      </c>
    </row>
    <row r="58" spans="1:7" x14ac:dyDescent="0.25">
      <c r="A58">
        <v>10121</v>
      </c>
      <c r="B58" t="s">
        <v>120</v>
      </c>
      <c r="C58" t="s">
        <v>3059</v>
      </c>
      <c r="D58">
        <v>12</v>
      </c>
      <c r="E58">
        <v>18</v>
      </c>
      <c r="F58" t="s">
        <v>3065</v>
      </c>
      <c r="G58" t="s">
        <v>3066</v>
      </c>
    </row>
    <row r="59" spans="1:7" x14ac:dyDescent="0.25">
      <c r="A59">
        <v>10122</v>
      </c>
      <c r="B59" t="s">
        <v>121</v>
      </c>
      <c r="C59" t="s">
        <v>3059</v>
      </c>
      <c r="D59">
        <v>7</v>
      </c>
      <c r="E59">
        <v>21.17</v>
      </c>
      <c r="F59" t="s">
        <v>3065</v>
      </c>
      <c r="G59" t="s">
        <v>3066</v>
      </c>
    </row>
    <row r="60" spans="1:7" x14ac:dyDescent="0.25">
      <c r="A60">
        <v>10123</v>
      </c>
      <c r="B60" t="s">
        <v>122</v>
      </c>
      <c r="C60" t="s">
        <v>3063</v>
      </c>
      <c r="D60">
        <v>9</v>
      </c>
      <c r="E60">
        <v>20</v>
      </c>
      <c r="F60" t="s">
        <v>7</v>
      </c>
      <c r="G60" t="s">
        <v>3066</v>
      </c>
    </row>
    <row r="61" spans="1:7" x14ac:dyDescent="0.25">
      <c r="A61">
        <v>10124</v>
      </c>
      <c r="B61" t="s">
        <v>123</v>
      </c>
      <c r="C61" t="s">
        <v>3059</v>
      </c>
      <c r="D61">
        <v>3</v>
      </c>
      <c r="E61">
        <v>21.17</v>
      </c>
      <c r="F61" t="s">
        <v>3065</v>
      </c>
      <c r="G61" t="s">
        <v>3066</v>
      </c>
    </row>
    <row r="62" spans="1:7" x14ac:dyDescent="0.25">
      <c r="A62">
        <v>10125</v>
      </c>
      <c r="B62" t="s">
        <v>124</v>
      </c>
      <c r="C62" t="s">
        <v>3063</v>
      </c>
      <c r="D62">
        <v>5</v>
      </c>
      <c r="E62">
        <v>21.18</v>
      </c>
      <c r="F62" t="s">
        <v>7</v>
      </c>
      <c r="G62" t="s">
        <v>3066</v>
      </c>
    </row>
    <row r="63" spans="1:7" x14ac:dyDescent="0.25">
      <c r="A63">
        <v>10126</v>
      </c>
      <c r="B63" t="s">
        <v>125</v>
      </c>
      <c r="C63" t="s">
        <v>3059</v>
      </c>
      <c r="D63">
        <v>1</v>
      </c>
      <c r="E63">
        <v>20</v>
      </c>
      <c r="F63" t="s">
        <v>3065</v>
      </c>
      <c r="G63" t="s">
        <v>3066</v>
      </c>
    </row>
    <row r="64" spans="1:7" x14ac:dyDescent="0.25">
      <c r="A64">
        <v>10127</v>
      </c>
      <c r="B64" t="s">
        <v>126</v>
      </c>
      <c r="C64" t="s">
        <v>3059</v>
      </c>
      <c r="D64">
        <v>2</v>
      </c>
      <c r="E64">
        <v>21.17</v>
      </c>
      <c r="F64" t="s">
        <v>3065</v>
      </c>
      <c r="G64" t="s">
        <v>3066</v>
      </c>
    </row>
    <row r="65" spans="1:7" x14ac:dyDescent="0.25">
      <c r="A65">
        <v>10130</v>
      </c>
      <c r="B65" t="s">
        <v>127</v>
      </c>
      <c r="C65" t="s">
        <v>3059</v>
      </c>
      <c r="D65">
        <v>86</v>
      </c>
      <c r="E65">
        <v>25</v>
      </c>
      <c r="F65" t="s">
        <v>3065</v>
      </c>
      <c r="G65" t="s">
        <v>3066</v>
      </c>
    </row>
    <row r="66" spans="1:7" x14ac:dyDescent="0.25">
      <c r="A66">
        <v>10132</v>
      </c>
      <c r="B66" t="s">
        <v>129</v>
      </c>
      <c r="C66" t="s">
        <v>3059</v>
      </c>
      <c r="D66">
        <v>3</v>
      </c>
      <c r="E66">
        <v>34.25</v>
      </c>
      <c r="F66" t="s">
        <v>7</v>
      </c>
      <c r="G66" t="s">
        <v>3066</v>
      </c>
    </row>
    <row r="67" spans="1:7" x14ac:dyDescent="0.25">
      <c r="A67">
        <v>10134</v>
      </c>
      <c r="B67" t="s">
        <v>130</v>
      </c>
      <c r="C67" t="s">
        <v>3059</v>
      </c>
      <c r="D67">
        <v>6</v>
      </c>
      <c r="E67">
        <v>33</v>
      </c>
      <c r="F67" t="s">
        <v>7</v>
      </c>
      <c r="G67" t="s">
        <v>3070</v>
      </c>
    </row>
    <row r="68" spans="1:7" x14ac:dyDescent="0.25">
      <c r="A68">
        <v>10136</v>
      </c>
      <c r="B68" t="s">
        <v>132</v>
      </c>
      <c r="C68" t="s">
        <v>3059</v>
      </c>
      <c r="D68">
        <v>6</v>
      </c>
      <c r="E68">
        <v>55.89</v>
      </c>
      <c r="F68" t="s">
        <v>7</v>
      </c>
      <c r="G68" t="s">
        <v>3071</v>
      </c>
    </row>
    <row r="69" spans="1:7" x14ac:dyDescent="0.25">
      <c r="A69">
        <v>10137</v>
      </c>
      <c r="B69" t="s">
        <v>133</v>
      </c>
      <c r="C69" t="s">
        <v>3059</v>
      </c>
      <c r="D69">
        <v>10</v>
      </c>
      <c r="E69">
        <v>31.3</v>
      </c>
      <c r="F69" t="s">
        <v>7</v>
      </c>
      <c r="G69" t="s">
        <v>3071</v>
      </c>
    </row>
    <row r="70" spans="1:7" x14ac:dyDescent="0.25">
      <c r="A70">
        <v>10138</v>
      </c>
      <c r="B70" t="s">
        <v>3072</v>
      </c>
      <c r="C70" t="s">
        <v>3059</v>
      </c>
      <c r="D70">
        <v>10</v>
      </c>
      <c r="E70">
        <v>35.5</v>
      </c>
      <c r="F70" t="s">
        <v>7</v>
      </c>
      <c r="G70" t="s">
        <v>3071</v>
      </c>
    </row>
    <row r="71" spans="1:7" x14ac:dyDescent="0.25">
      <c r="A71">
        <v>10139</v>
      </c>
      <c r="B71" t="s">
        <v>135</v>
      </c>
      <c r="C71" t="s">
        <v>3059</v>
      </c>
      <c r="D71">
        <v>9</v>
      </c>
      <c r="E71">
        <v>48.7</v>
      </c>
      <c r="F71" t="s">
        <v>7</v>
      </c>
      <c r="G71" t="s">
        <v>3071</v>
      </c>
    </row>
    <row r="72" spans="1:7" x14ac:dyDescent="0.25">
      <c r="A72">
        <v>10142</v>
      </c>
      <c r="B72" t="s">
        <v>137</v>
      </c>
      <c r="C72" t="s">
        <v>3059</v>
      </c>
      <c r="D72">
        <v>6</v>
      </c>
      <c r="E72">
        <v>69.900000000000006</v>
      </c>
      <c r="F72" t="s">
        <v>7</v>
      </c>
      <c r="G72" t="s">
        <v>3071</v>
      </c>
    </row>
    <row r="73" spans="1:7" x14ac:dyDescent="0.25">
      <c r="A73">
        <v>10143</v>
      </c>
      <c r="B73" t="s">
        <v>138</v>
      </c>
      <c r="C73" t="s">
        <v>3059</v>
      </c>
      <c r="D73">
        <v>10</v>
      </c>
      <c r="E73">
        <v>58.37</v>
      </c>
      <c r="F73" t="s">
        <v>7</v>
      </c>
      <c r="G73" t="s">
        <v>3071</v>
      </c>
    </row>
    <row r="74" spans="1:7" x14ac:dyDescent="0.25">
      <c r="A74">
        <v>10146</v>
      </c>
      <c r="B74" t="s">
        <v>140</v>
      </c>
      <c r="C74" t="s">
        <v>3059</v>
      </c>
      <c r="D74">
        <v>7</v>
      </c>
      <c r="E74">
        <v>75</v>
      </c>
      <c r="F74" t="s">
        <v>7</v>
      </c>
      <c r="G74" t="s">
        <v>3073</v>
      </c>
    </row>
    <row r="75" spans="1:7" x14ac:dyDescent="0.25">
      <c r="A75">
        <v>10149</v>
      </c>
      <c r="B75" t="s">
        <v>141</v>
      </c>
      <c r="C75" t="s">
        <v>3059</v>
      </c>
      <c r="D75">
        <v>671</v>
      </c>
      <c r="E75">
        <v>7.28</v>
      </c>
      <c r="F75" t="s">
        <v>7</v>
      </c>
      <c r="G75" t="s">
        <v>3073</v>
      </c>
    </row>
    <row r="76" spans="1:7" x14ac:dyDescent="0.25">
      <c r="A76">
        <v>10150</v>
      </c>
      <c r="B76" t="s">
        <v>142</v>
      </c>
      <c r="C76" t="s">
        <v>3059</v>
      </c>
      <c r="D76">
        <v>51</v>
      </c>
      <c r="E76">
        <v>18.600000000000001</v>
      </c>
      <c r="F76" t="s">
        <v>7</v>
      </c>
      <c r="G76" t="s">
        <v>3074</v>
      </c>
    </row>
    <row r="77" spans="1:7" x14ac:dyDescent="0.25">
      <c r="A77">
        <v>10151</v>
      </c>
      <c r="B77" t="s">
        <v>143</v>
      </c>
      <c r="C77" t="s">
        <v>3059</v>
      </c>
      <c r="D77">
        <v>54</v>
      </c>
      <c r="E77">
        <v>25.6</v>
      </c>
      <c r="F77" t="s">
        <v>7</v>
      </c>
      <c r="G77" t="s">
        <v>3074</v>
      </c>
    </row>
    <row r="78" spans="1:7" x14ac:dyDescent="0.25">
      <c r="A78">
        <v>10152</v>
      </c>
      <c r="B78" t="s">
        <v>3075</v>
      </c>
      <c r="C78" t="s">
        <v>3059</v>
      </c>
      <c r="D78">
        <v>37</v>
      </c>
      <c r="E78">
        <v>30.8</v>
      </c>
      <c r="F78" t="s">
        <v>7</v>
      </c>
      <c r="G78" t="s">
        <v>3074</v>
      </c>
    </row>
    <row r="79" spans="1:7" x14ac:dyDescent="0.25">
      <c r="A79">
        <v>10156</v>
      </c>
      <c r="B79" t="s">
        <v>148</v>
      </c>
      <c r="C79" t="s">
        <v>3059</v>
      </c>
      <c r="D79">
        <v>47</v>
      </c>
      <c r="E79">
        <v>5.8</v>
      </c>
      <c r="F79" t="s">
        <v>7</v>
      </c>
      <c r="G79" t="s">
        <v>3074</v>
      </c>
    </row>
    <row r="80" spans="1:7" x14ac:dyDescent="0.25">
      <c r="A80">
        <v>10157</v>
      </c>
      <c r="B80" t="s">
        <v>149</v>
      </c>
      <c r="C80" t="s">
        <v>3059</v>
      </c>
      <c r="D80">
        <v>3</v>
      </c>
      <c r="E80">
        <v>6.8</v>
      </c>
      <c r="F80" t="s">
        <v>7</v>
      </c>
      <c r="G80" t="s">
        <v>3074</v>
      </c>
    </row>
    <row r="81" spans="1:7" x14ac:dyDescent="0.25">
      <c r="A81">
        <v>10158</v>
      </c>
      <c r="B81" t="s">
        <v>150</v>
      </c>
      <c r="C81" t="s">
        <v>3059</v>
      </c>
      <c r="D81">
        <v>24</v>
      </c>
      <c r="E81">
        <v>8</v>
      </c>
      <c r="F81" t="s">
        <v>7</v>
      </c>
      <c r="G81" t="s">
        <v>3074</v>
      </c>
    </row>
    <row r="82" spans="1:7" x14ac:dyDescent="0.25">
      <c r="A82">
        <v>10159</v>
      </c>
      <c r="B82" t="s">
        <v>151</v>
      </c>
      <c r="C82" t="s">
        <v>3059</v>
      </c>
      <c r="D82">
        <v>18</v>
      </c>
      <c r="E82">
        <v>4.03</v>
      </c>
      <c r="F82" t="s">
        <v>7</v>
      </c>
      <c r="G82" t="s">
        <v>3074</v>
      </c>
    </row>
    <row r="83" spans="1:7" x14ac:dyDescent="0.25">
      <c r="A83">
        <v>10160</v>
      </c>
      <c r="B83" t="s">
        <v>152</v>
      </c>
      <c r="C83" t="s">
        <v>3059</v>
      </c>
      <c r="D83">
        <v>54</v>
      </c>
      <c r="E83">
        <v>4.75</v>
      </c>
      <c r="F83" t="s">
        <v>7</v>
      </c>
      <c r="G83" t="s">
        <v>3074</v>
      </c>
    </row>
    <row r="84" spans="1:7" x14ac:dyDescent="0.25">
      <c r="A84">
        <v>10161</v>
      </c>
      <c r="B84" t="s">
        <v>153</v>
      </c>
      <c r="C84" t="s">
        <v>3059</v>
      </c>
      <c r="D84">
        <v>4</v>
      </c>
      <c r="E84">
        <v>8.4</v>
      </c>
      <c r="F84" t="s">
        <v>7</v>
      </c>
      <c r="G84" t="s">
        <v>3074</v>
      </c>
    </row>
    <row r="85" spans="1:7" x14ac:dyDescent="0.25">
      <c r="A85">
        <v>10162</v>
      </c>
      <c r="B85" t="s">
        <v>154</v>
      </c>
      <c r="C85" t="s">
        <v>3059</v>
      </c>
      <c r="D85">
        <v>7</v>
      </c>
      <c r="E85">
        <v>2.94</v>
      </c>
      <c r="F85" t="s">
        <v>7</v>
      </c>
      <c r="G85" t="s">
        <v>3074</v>
      </c>
    </row>
    <row r="86" spans="1:7" x14ac:dyDescent="0.25">
      <c r="A86">
        <v>10163</v>
      </c>
      <c r="B86" t="s">
        <v>155</v>
      </c>
      <c r="C86" t="s">
        <v>3063</v>
      </c>
      <c r="D86">
        <v>36</v>
      </c>
      <c r="E86">
        <v>3.84</v>
      </c>
      <c r="F86" t="s">
        <v>7</v>
      </c>
      <c r="G86" t="s">
        <v>3074</v>
      </c>
    </row>
    <row r="87" spans="1:7" x14ac:dyDescent="0.25">
      <c r="A87">
        <v>10165</v>
      </c>
      <c r="B87" t="s">
        <v>157</v>
      </c>
      <c r="C87" t="s">
        <v>3059</v>
      </c>
      <c r="D87">
        <v>27</v>
      </c>
      <c r="E87">
        <v>5.71</v>
      </c>
      <c r="F87" t="s">
        <v>7</v>
      </c>
      <c r="G87" t="s">
        <v>3074</v>
      </c>
    </row>
    <row r="88" spans="1:7" x14ac:dyDescent="0.25">
      <c r="A88">
        <v>10167</v>
      </c>
      <c r="B88" t="s">
        <v>158</v>
      </c>
      <c r="C88" t="s">
        <v>3059</v>
      </c>
      <c r="D88">
        <v>18</v>
      </c>
      <c r="E88">
        <v>13.9</v>
      </c>
      <c r="F88" t="s">
        <v>7</v>
      </c>
      <c r="G88" t="s">
        <v>3074</v>
      </c>
    </row>
    <row r="89" spans="1:7" x14ac:dyDescent="0.25">
      <c r="A89">
        <v>10168</v>
      </c>
      <c r="B89" t="s">
        <v>159</v>
      </c>
      <c r="C89" t="s">
        <v>3059</v>
      </c>
      <c r="D89">
        <v>51</v>
      </c>
      <c r="E89">
        <v>5.21</v>
      </c>
      <c r="F89" t="s">
        <v>7</v>
      </c>
      <c r="G89" t="s">
        <v>3074</v>
      </c>
    </row>
    <row r="90" spans="1:7" x14ac:dyDescent="0.25">
      <c r="A90">
        <v>10169</v>
      </c>
      <c r="B90" t="s">
        <v>160</v>
      </c>
      <c r="C90" t="s">
        <v>3059</v>
      </c>
      <c r="D90">
        <v>1</v>
      </c>
      <c r="E90">
        <v>6.42</v>
      </c>
      <c r="F90" t="s">
        <v>7</v>
      </c>
      <c r="G90" t="s">
        <v>3074</v>
      </c>
    </row>
    <row r="91" spans="1:7" x14ac:dyDescent="0.25">
      <c r="A91">
        <v>10170</v>
      </c>
      <c r="B91" t="s">
        <v>161</v>
      </c>
      <c r="C91" t="s">
        <v>3059</v>
      </c>
      <c r="D91">
        <v>51</v>
      </c>
      <c r="E91">
        <v>12.02</v>
      </c>
      <c r="F91" t="s">
        <v>7</v>
      </c>
      <c r="G91" t="s">
        <v>3074</v>
      </c>
    </row>
    <row r="92" spans="1:7" x14ac:dyDescent="0.25">
      <c r="A92">
        <v>10172</v>
      </c>
      <c r="B92" t="s">
        <v>163</v>
      </c>
      <c r="C92" t="s">
        <v>3059</v>
      </c>
      <c r="D92">
        <v>48</v>
      </c>
      <c r="E92">
        <v>10.94</v>
      </c>
      <c r="F92" t="s">
        <v>7</v>
      </c>
      <c r="G92" t="s">
        <v>3074</v>
      </c>
    </row>
    <row r="93" spans="1:7" x14ac:dyDescent="0.25">
      <c r="A93">
        <v>10173</v>
      </c>
      <c r="B93" t="s">
        <v>164</v>
      </c>
      <c r="C93" t="s">
        <v>3059</v>
      </c>
      <c r="D93">
        <v>37</v>
      </c>
      <c r="E93">
        <v>12.3</v>
      </c>
      <c r="F93" t="s">
        <v>7</v>
      </c>
      <c r="G93" t="s">
        <v>3074</v>
      </c>
    </row>
    <row r="94" spans="1:7" x14ac:dyDescent="0.25">
      <c r="A94">
        <v>10174</v>
      </c>
      <c r="B94" t="s">
        <v>165</v>
      </c>
      <c r="C94" t="s">
        <v>3059</v>
      </c>
      <c r="D94">
        <v>54</v>
      </c>
      <c r="E94">
        <v>8.9</v>
      </c>
      <c r="F94" t="s">
        <v>7</v>
      </c>
      <c r="G94" t="s">
        <v>3074</v>
      </c>
    </row>
    <row r="95" spans="1:7" x14ac:dyDescent="0.25">
      <c r="A95">
        <v>10176</v>
      </c>
      <c r="B95" t="s">
        <v>167</v>
      </c>
      <c r="C95" t="s">
        <v>3059</v>
      </c>
      <c r="D95">
        <v>53</v>
      </c>
      <c r="E95">
        <v>11.29</v>
      </c>
      <c r="F95" t="s">
        <v>7</v>
      </c>
      <c r="G95" t="s">
        <v>3074</v>
      </c>
    </row>
    <row r="96" spans="1:7" x14ac:dyDescent="0.25">
      <c r="A96">
        <v>10177</v>
      </c>
      <c r="B96" t="s">
        <v>168</v>
      </c>
      <c r="C96" t="s">
        <v>3059</v>
      </c>
      <c r="D96">
        <v>79</v>
      </c>
      <c r="E96">
        <v>12.71</v>
      </c>
      <c r="F96" t="s">
        <v>7</v>
      </c>
      <c r="G96" t="s">
        <v>3074</v>
      </c>
    </row>
    <row r="97" spans="1:7" x14ac:dyDescent="0.25">
      <c r="A97">
        <v>10178</v>
      </c>
      <c r="B97" t="s">
        <v>169</v>
      </c>
      <c r="C97" t="s">
        <v>3059</v>
      </c>
      <c r="D97">
        <v>6</v>
      </c>
      <c r="E97">
        <v>102.69</v>
      </c>
      <c r="F97" t="s">
        <v>7</v>
      </c>
      <c r="G97" t="s">
        <v>3074</v>
      </c>
    </row>
    <row r="98" spans="1:7" x14ac:dyDescent="0.25">
      <c r="A98">
        <v>10179</v>
      </c>
      <c r="B98" t="s">
        <v>170</v>
      </c>
      <c r="C98" t="s">
        <v>3059</v>
      </c>
      <c r="D98">
        <v>8</v>
      </c>
      <c r="E98">
        <v>191.41</v>
      </c>
      <c r="F98" t="s">
        <v>7</v>
      </c>
      <c r="G98" t="s">
        <v>3074</v>
      </c>
    </row>
    <row r="99" spans="1:7" x14ac:dyDescent="0.25">
      <c r="A99">
        <v>10180</v>
      </c>
      <c r="B99" t="s">
        <v>171</v>
      </c>
      <c r="C99" t="s">
        <v>3059</v>
      </c>
      <c r="D99">
        <v>4</v>
      </c>
      <c r="E99">
        <v>9.64</v>
      </c>
      <c r="F99" t="s">
        <v>7</v>
      </c>
      <c r="G99" t="s">
        <v>3074</v>
      </c>
    </row>
    <row r="100" spans="1:7" x14ac:dyDescent="0.25">
      <c r="A100">
        <v>10182</v>
      </c>
      <c r="B100" t="s">
        <v>173</v>
      </c>
      <c r="C100" t="s">
        <v>3059</v>
      </c>
      <c r="D100">
        <v>9</v>
      </c>
      <c r="E100">
        <v>12.75</v>
      </c>
      <c r="F100" t="s">
        <v>7</v>
      </c>
      <c r="G100" t="s">
        <v>3074</v>
      </c>
    </row>
    <row r="101" spans="1:7" x14ac:dyDescent="0.25">
      <c r="A101">
        <v>10183</v>
      </c>
      <c r="B101" t="s">
        <v>174</v>
      </c>
      <c r="C101" t="s">
        <v>3059</v>
      </c>
      <c r="D101">
        <v>1</v>
      </c>
      <c r="E101">
        <v>13.62</v>
      </c>
      <c r="F101" t="s">
        <v>7</v>
      </c>
      <c r="G101" t="s">
        <v>3074</v>
      </c>
    </row>
    <row r="102" spans="1:7" x14ac:dyDescent="0.25">
      <c r="A102">
        <v>10184</v>
      </c>
      <c r="B102" t="s">
        <v>175</v>
      </c>
      <c r="C102" t="s">
        <v>3059</v>
      </c>
      <c r="D102">
        <v>24</v>
      </c>
      <c r="E102">
        <v>15.04</v>
      </c>
      <c r="F102" t="s">
        <v>7</v>
      </c>
      <c r="G102" t="s">
        <v>3074</v>
      </c>
    </row>
    <row r="103" spans="1:7" x14ac:dyDescent="0.25">
      <c r="A103">
        <v>10186</v>
      </c>
      <c r="B103" t="s">
        <v>177</v>
      </c>
      <c r="C103" t="s">
        <v>3059</v>
      </c>
      <c r="D103">
        <v>15</v>
      </c>
      <c r="E103">
        <v>7.71</v>
      </c>
      <c r="F103" t="s">
        <v>7</v>
      </c>
      <c r="G103" t="s">
        <v>3074</v>
      </c>
    </row>
    <row r="104" spans="1:7" x14ac:dyDescent="0.25">
      <c r="A104">
        <v>10188</v>
      </c>
      <c r="B104" t="s">
        <v>179</v>
      </c>
      <c r="C104" t="s">
        <v>3059</v>
      </c>
      <c r="D104">
        <v>64</v>
      </c>
      <c r="E104">
        <v>8.48</v>
      </c>
      <c r="F104" t="s">
        <v>7</v>
      </c>
      <c r="G104" t="s">
        <v>3074</v>
      </c>
    </row>
    <row r="105" spans="1:7" x14ac:dyDescent="0.25">
      <c r="A105">
        <v>10191</v>
      </c>
      <c r="B105" t="s">
        <v>181</v>
      </c>
      <c r="C105" t="s">
        <v>3059</v>
      </c>
      <c r="D105">
        <v>29</v>
      </c>
      <c r="E105">
        <v>17.829999999999998</v>
      </c>
      <c r="F105" t="s">
        <v>7</v>
      </c>
      <c r="G105" t="s">
        <v>3074</v>
      </c>
    </row>
    <row r="106" spans="1:7" x14ac:dyDescent="0.25">
      <c r="A106">
        <v>10192</v>
      </c>
      <c r="B106" t="s">
        <v>182</v>
      </c>
      <c r="C106" t="s">
        <v>3059</v>
      </c>
      <c r="D106">
        <v>33</v>
      </c>
      <c r="E106">
        <v>21.31</v>
      </c>
      <c r="F106" t="s">
        <v>7</v>
      </c>
      <c r="G106" t="s">
        <v>3074</v>
      </c>
    </row>
    <row r="107" spans="1:7" x14ac:dyDescent="0.25">
      <c r="A107">
        <v>10193</v>
      </c>
      <c r="B107" t="s">
        <v>183</v>
      </c>
      <c r="C107" t="s">
        <v>3059</v>
      </c>
      <c r="D107">
        <v>15</v>
      </c>
      <c r="E107">
        <v>8.67</v>
      </c>
      <c r="F107" t="s">
        <v>7</v>
      </c>
      <c r="G107" t="s">
        <v>3074</v>
      </c>
    </row>
    <row r="108" spans="1:7" x14ac:dyDescent="0.25">
      <c r="A108">
        <v>10194</v>
      </c>
      <c r="B108" t="s">
        <v>184</v>
      </c>
      <c r="C108" t="s">
        <v>3059</v>
      </c>
      <c r="D108">
        <v>49</v>
      </c>
      <c r="E108">
        <v>33.18</v>
      </c>
      <c r="F108" t="s">
        <v>7</v>
      </c>
      <c r="G108" t="s">
        <v>3074</v>
      </c>
    </row>
    <row r="109" spans="1:7" x14ac:dyDescent="0.25">
      <c r="A109">
        <v>10195</v>
      </c>
      <c r="B109" t="s">
        <v>185</v>
      </c>
      <c r="C109" t="s">
        <v>3059</v>
      </c>
      <c r="D109">
        <v>43</v>
      </c>
      <c r="E109">
        <v>43.73</v>
      </c>
      <c r="F109" t="s">
        <v>7</v>
      </c>
      <c r="G109" t="s">
        <v>3074</v>
      </c>
    </row>
    <row r="110" spans="1:7" x14ac:dyDescent="0.25">
      <c r="A110">
        <v>10196</v>
      </c>
      <c r="B110" t="s">
        <v>186</v>
      </c>
      <c r="C110" t="s">
        <v>3059</v>
      </c>
      <c r="D110">
        <v>56</v>
      </c>
      <c r="E110">
        <v>60.22</v>
      </c>
      <c r="F110" t="s">
        <v>7</v>
      </c>
      <c r="G110" t="s">
        <v>3074</v>
      </c>
    </row>
    <row r="111" spans="1:7" x14ac:dyDescent="0.25">
      <c r="A111">
        <v>10197</v>
      </c>
      <c r="B111" t="s">
        <v>187</v>
      </c>
      <c r="C111" t="s">
        <v>3059</v>
      </c>
      <c r="D111">
        <v>51</v>
      </c>
      <c r="E111">
        <v>70.91</v>
      </c>
      <c r="F111" t="s">
        <v>7</v>
      </c>
      <c r="G111" t="s">
        <v>3074</v>
      </c>
    </row>
    <row r="112" spans="1:7" x14ac:dyDescent="0.25">
      <c r="A112">
        <v>10198</v>
      </c>
      <c r="B112" t="s">
        <v>188</v>
      </c>
      <c r="C112" t="s">
        <v>3059</v>
      </c>
      <c r="D112">
        <v>20</v>
      </c>
      <c r="E112">
        <v>48.5</v>
      </c>
      <c r="F112" t="s">
        <v>7</v>
      </c>
      <c r="G112" t="s">
        <v>3074</v>
      </c>
    </row>
    <row r="113" spans="1:7" x14ac:dyDescent="0.25">
      <c r="A113">
        <v>10199</v>
      </c>
      <c r="B113" t="s">
        <v>189</v>
      </c>
      <c r="C113" t="s">
        <v>3059</v>
      </c>
      <c r="D113">
        <v>82</v>
      </c>
      <c r="E113">
        <v>19.2</v>
      </c>
      <c r="F113" t="s">
        <v>7</v>
      </c>
      <c r="G113" t="s">
        <v>3074</v>
      </c>
    </row>
    <row r="114" spans="1:7" x14ac:dyDescent="0.25">
      <c r="A114">
        <v>10201</v>
      </c>
      <c r="B114" t="s">
        <v>191</v>
      </c>
      <c r="C114" t="s">
        <v>3059</v>
      </c>
      <c r="D114">
        <v>219</v>
      </c>
      <c r="E114">
        <v>2.9</v>
      </c>
      <c r="F114" t="s">
        <v>7</v>
      </c>
      <c r="G114" t="s">
        <v>3074</v>
      </c>
    </row>
    <row r="115" spans="1:7" x14ac:dyDescent="0.25">
      <c r="A115">
        <v>10202</v>
      </c>
      <c r="B115" t="s">
        <v>192</v>
      </c>
      <c r="C115" t="s">
        <v>3059</v>
      </c>
      <c r="D115">
        <v>312</v>
      </c>
      <c r="E115">
        <v>2.93</v>
      </c>
      <c r="F115" t="s">
        <v>7</v>
      </c>
      <c r="G115" t="s">
        <v>3074</v>
      </c>
    </row>
    <row r="116" spans="1:7" x14ac:dyDescent="0.25">
      <c r="A116">
        <v>10203</v>
      </c>
      <c r="B116" t="s">
        <v>193</v>
      </c>
      <c r="C116" t="s">
        <v>3059</v>
      </c>
      <c r="D116">
        <v>80</v>
      </c>
      <c r="E116">
        <v>2.76</v>
      </c>
      <c r="F116" t="s">
        <v>7</v>
      </c>
      <c r="G116" t="s">
        <v>3074</v>
      </c>
    </row>
    <row r="117" spans="1:7" x14ac:dyDescent="0.25">
      <c r="A117">
        <v>10204</v>
      </c>
      <c r="B117" t="s">
        <v>194</v>
      </c>
      <c r="C117" t="s">
        <v>3059</v>
      </c>
      <c r="D117">
        <v>103</v>
      </c>
      <c r="E117">
        <v>3.64</v>
      </c>
      <c r="F117" t="s">
        <v>7</v>
      </c>
      <c r="G117" t="s">
        <v>3074</v>
      </c>
    </row>
    <row r="118" spans="1:7" x14ac:dyDescent="0.25">
      <c r="A118">
        <v>10205</v>
      </c>
      <c r="B118" t="s">
        <v>195</v>
      </c>
      <c r="C118" t="s">
        <v>3063</v>
      </c>
      <c r="D118">
        <v>99</v>
      </c>
      <c r="E118">
        <v>3.34</v>
      </c>
      <c r="F118" t="s">
        <v>7</v>
      </c>
      <c r="G118" t="s">
        <v>3074</v>
      </c>
    </row>
    <row r="119" spans="1:7" x14ac:dyDescent="0.25">
      <c r="A119">
        <v>10206</v>
      </c>
      <c r="B119" t="s">
        <v>196</v>
      </c>
      <c r="C119" t="s">
        <v>3059</v>
      </c>
      <c r="D119">
        <v>124</v>
      </c>
      <c r="E119">
        <v>4.38</v>
      </c>
      <c r="F119" t="s">
        <v>7</v>
      </c>
      <c r="G119" t="s">
        <v>3074</v>
      </c>
    </row>
    <row r="120" spans="1:7" x14ac:dyDescent="0.25">
      <c r="A120">
        <v>10207</v>
      </c>
      <c r="B120" t="s">
        <v>197</v>
      </c>
      <c r="C120" t="s">
        <v>3059</v>
      </c>
      <c r="D120">
        <v>52</v>
      </c>
      <c r="E120">
        <v>5.27</v>
      </c>
      <c r="F120" t="s">
        <v>7</v>
      </c>
      <c r="G120" t="s">
        <v>3074</v>
      </c>
    </row>
    <row r="121" spans="1:7" x14ac:dyDescent="0.25">
      <c r="A121">
        <v>10208</v>
      </c>
      <c r="B121" t="s">
        <v>198</v>
      </c>
      <c r="C121" t="s">
        <v>3059</v>
      </c>
      <c r="D121">
        <v>44</v>
      </c>
      <c r="E121">
        <v>6.02</v>
      </c>
      <c r="F121" t="s">
        <v>7</v>
      </c>
      <c r="G121" t="s">
        <v>3074</v>
      </c>
    </row>
    <row r="122" spans="1:7" x14ac:dyDescent="0.25">
      <c r="A122">
        <v>10209</v>
      </c>
      <c r="B122" t="s">
        <v>199</v>
      </c>
      <c r="C122" t="s">
        <v>3059</v>
      </c>
      <c r="D122">
        <v>24</v>
      </c>
      <c r="E122">
        <v>6.09</v>
      </c>
      <c r="F122" t="s">
        <v>7</v>
      </c>
      <c r="G122" t="s">
        <v>3074</v>
      </c>
    </row>
    <row r="123" spans="1:7" x14ac:dyDescent="0.25">
      <c r="A123">
        <v>10210</v>
      </c>
      <c r="B123" t="s">
        <v>200</v>
      </c>
      <c r="C123" t="s">
        <v>3059</v>
      </c>
      <c r="D123">
        <v>94</v>
      </c>
      <c r="E123">
        <v>6.51</v>
      </c>
      <c r="F123" t="s">
        <v>7</v>
      </c>
      <c r="G123" t="s">
        <v>3074</v>
      </c>
    </row>
    <row r="124" spans="1:7" x14ac:dyDescent="0.25">
      <c r="A124">
        <v>10211</v>
      </c>
      <c r="B124" t="s">
        <v>201</v>
      </c>
      <c r="C124" t="s">
        <v>3059</v>
      </c>
      <c r="D124">
        <v>13</v>
      </c>
      <c r="E124">
        <v>6.29</v>
      </c>
      <c r="F124" t="s">
        <v>7</v>
      </c>
      <c r="G124" t="s">
        <v>3074</v>
      </c>
    </row>
    <row r="125" spans="1:7" x14ac:dyDescent="0.25">
      <c r="A125">
        <v>10212</v>
      </c>
      <c r="B125" t="s">
        <v>202</v>
      </c>
      <c r="C125" t="s">
        <v>3059</v>
      </c>
      <c r="D125">
        <v>99</v>
      </c>
      <c r="E125">
        <v>3.08</v>
      </c>
      <c r="F125" t="s">
        <v>7</v>
      </c>
      <c r="G125" t="s">
        <v>3074</v>
      </c>
    </row>
    <row r="126" spans="1:7" x14ac:dyDescent="0.25">
      <c r="A126">
        <v>10213</v>
      </c>
      <c r="B126" t="s">
        <v>3076</v>
      </c>
      <c r="C126" t="s">
        <v>3059</v>
      </c>
      <c r="D126">
        <v>51</v>
      </c>
      <c r="E126">
        <v>15.14</v>
      </c>
      <c r="F126" t="s">
        <v>7</v>
      </c>
      <c r="G126" t="s">
        <v>3074</v>
      </c>
    </row>
    <row r="127" spans="1:7" x14ac:dyDescent="0.25">
      <c r="A127">
        <v>10214</v>
      </c>
      <c r="B127" t="s">
        <v>204</v>
      </c>
      <c r="C127" t="s">
        <v>3059</v>
      </c>
      <c r="D127">
        <v>5</v>
      </c>
      <c r="E127">
        <v>20.05</v>
      </c>
      <c r="F127" t="s">
        <v>7</v>
      </c>
      <c r="G127" t="s">
        <v>3074</v>
      </c>
    </row>
    <row r="128" spans="1:7" x14ac:dyDescent="0.25">
      <c r="A128">
        <v>10215</v>
      </c>
      <c r="B128" t="s">
        <v>205</v>
      </c>
      <c r="C128" t="s">
        <v>3059</v>
      </c>
      <c r="D128">
        <v>17</v>
      </c>
      <c r="E128">
        <v>26.32</v>
      </c>
      <c r="F128" t="s">
        <v>7</v>
      </c>
      <c r="G128" t="s">
        <v>3074</v>
      </c>
    </row>
    <row r="129" spans="1:7" x14ac:dyDescent="0.25">
      <c r="A129">
        <v>10216</v>
      </c>
      <c r="B129" t="s">
        <v>206</v>
      </c>
      <c r="C129" t="s">
        <v>3059</v>
      </c>
      <c r="D129">
        <v>11</v>
      </c>
      <c r="E129">
        <v>13.45</v>
      </c>
      <c r="F129" t="s">
        <v>7</v>
      </c>
      <c r="G129" t="s">
        <v>3074</v>
      </c>
    </row>
    <row r="130" spans="1:7" x14ac:dyDescent="0.25">
      <c r="A130">
        <v>10217</v>
      </c>
      <c r="B130" t="s">
        <v>207</v>
      </c>
      <c r="C130" t="s">
        <v>3059</v>
      </c>
      <c r="D130">
        <v>12</v>
      </c>
      <c r="E130">
        <v>16.670000000000002</v>
      </c>
      <c r="F130" t="s">
        <v>7</v>
      </c>
      <c r="G130" t="s">
        <v>3074</v>
      </c>
    </row>
    <row r="131" spans="1:7" x14ac:dyDescent="0.25">
      <c r="A131">
        <v>10218</v>
      </c>
      <c r="B131" t="s">
        <v>208</v>
      </c>
      <c r="C131" t="s">
        <v>3059</v>
      </c>
      <c r="D131">
        <v>5</v>
      </c>
      <c r="E131">
        <v>23.19</v>
      </c>
      <c r="F131" t="s">
        <v>7</v>
      </c>
      <c r="G131" t="s">
        <v>3074</v>
      </c>
    </row>
    <row r="132" spans="1:7" x14ac:dyDescent="0.25">
      <c r="A132">
        <v>10219</v>
      </c>
      <c r="B132" t="s">
        <v>209</v>
      </c>
      <c r="C132" t="s">
        <v>3059</v>
      </c>
      <c r="D132">
        <v>96</v>
      </c>
      <c r="E132">
        <v>12.02</v>
      </c>
      <c r="F132" t="s">
        <v>7</v>
      </c>
      <c r="G132" t="s">
        <v>3074</v>
      </c>
    </row>
    <row r="133" spans="1:7" x14ac:dyDescent="0.25">
      <c r="A133">
        <v>10221</v>
      </c>
      <c r="B133" t="s">
        <v>210</v>
      </c>
      <c r="C133" t="s">
        <v>3059</v>
      </c>
      <c r="D133">
        <v>26</v>
      </c>
      <c r="E133">
        <v>5.5</v>
      </c>
      <c r="F133" t="s">
        <v>7</v>
      </c>
      <c r="G133" t="s">
        <v>3074</v>
      </c>
    </row>
    <row r="134" spans="1:7" x14ac:dyDescent="0.25">
      <c r="A134">
        <v>10223</v>
      </c>
      <c r="B134" t="s">
        <v>212</v>
      </c>
      <c r="C134" t="s">
        <v>3059</v>
      </c>
      <c r="D134">
        <v>73</v>
      </c>
      <c r="E134">
        <v>6.18</v>
      </c>
      <c r="F134" t="s">
        <v>7</v>
      </c>
      <c r="G134" t="s">
        <v>3074</v>
      </c>
    </row>
    <row r="135" spans="1:7" x14ac:dyDescent="0.25">
      <c r="A135">
        <v>10224</v>
      </c>
      <c r="B135" t="s">
        <v>213</v>
      </c>
      <c r="C135" t="s">
        <v>3059</v>
      </c>
      <c r="D135">
        <v>17</v>
      </c>
      <c r="E135">
        <v>6.15</v>
      </c>
      <c r="F135" t="s">
        <v>7</v>
      </c>
      <c r="G135" t="s">
        <v>3074</v>
      </c>
    </row>
    <row r="136" spans="1:7" x14ac:dyDescent="0.25">
      <c r="A136">
        <v>10225</v>
      </c>
      <c r="B136" t="s">
        <v>214</v>
      </c>
      <c r="C136" t="s">
        <v>3059</v>
      </c>
      <c r="D136">
        <v>120</v>
      </c>
      <c r="E136">
        <v>8.68</v>
      </c>
      <c r="F136" t="s">
        <v>7</v>
      </c>
      <c r="G136" t="s">
        <v>3074</v>
      </c>
    </row>
    <row r="137" spans="1:7" x14ac:dyDescent="0.25">
      <c r="A137">
        <v>10226</v>
      </c>
      <c r="B137" t="s">
        <v>215</v>
      </c>
      <c r="C137" t="s">
        <v>3059</v>
      </c>
      <c r="D137">
        <v>12</v>
      </c>
      <c r="E137">
        <v>8.11</v>
      </c>
      <c r="F137" t="s">
        <v>7</v>
      </c>
      <c r="G137" t="s">
        <v>3074</v>
      </c>
    </row>
    <row r="138" spans="1:7" x14ac:dyDescent="0.25">
      <c r="A138">
        <v>10228</v>
      </c>
      <c r="B138" t="s">
        <v>217</v>
      </c>
      <c r="C138" t="s">
        <v>3059</v>
      </c>
      <c r="D138">
        <v>41</v>
      </c>
      <c r="E138">
        <v>4.9000000000000004</v>
      </c>
      <c r="F138" t="s">
        <v>7</v>
      </c>
      <c r="G138" t="s">
        <v>3074</v>
      </c>
    </row>
    <row r="139" spans="1:7" x14ac:dyDescent="0.25">
      <c r="A139">
        <v>10229</v>
      </c>
      <c r="B139" t="s">
        <v>218</v>
      </c>
      <c r="C139" t="s">
        <v>3059</v>
      </c>
      <c r="D139">
        <v>32</v>
      </c>
      <c r="E139">
        <v>4.37</v>
      </c>
      <c r="F139" t="s">
        <v>7</v>
      </c>
      <c r="G139" t="s">
        <v>3074</v>
      </c>
    </row>
    <row r="140" spans="1:7" x14ac:dyDescent="0.25">
      <c r="A140">
        <v>10230</v>
      </c>
      <c r="B140" t="s">
        <v>219</v>
      </c>
      <c r="C140" t="s">
        <v>3059</v>
      </c>
      <c r="D140">
        <v>25</v>
      </c>
      <c r="E140">
        <v>4.8</v>
      </c>
      <c r="F140" t="s">
        <v>7</v>
      </c>
      <c r="G140" t="s">
        <v>3074</v>
      </c>
    </row>
    <row r="141" spans="1:7" x14ac:dyDescent="0.25">
      <c r="A141">
        <v>10231</v>
      </c>
      <c r="B141" t="s">
        <v>220</v>
      </c>
      <c r="C141" t="s">
        <v>3059</v>
      </c>
      <c r="D141">
        <v>37</v>
      </c>
      <c r="E141">
        <v>4.76</v>
      </c>
      <c r="F141" t="s">
        <v>7</v>
      </c>
      <c r="G141" t="s">
        <v>3074</v>
      </c>
    </row>
    <row r="142" spans="1:7" x14ac:dyDescent="0.25">
      <c r="A142">
        <v>10232</v>
      </c>
      <c r="B142" t="s">
        <v>221</v>
      </c>
      <c r="C142" t="s">
        <v>3059</v>
      </c>
      <c r="D142">
        <v>29</v>
      </c>
      <c r="E142">
        <v>4.75</v>
      </c>
      <c r="F142" t="s">
        <v>7</v>
      </c>
      <c r="G142" t="s">
        <v>3074</v>
      </c>
    </row>
    <row r="143" spans="1:7" x14ac:dyDescent="0.25">
      <c r="A143">
        <v>10234</v>
      </c>
      <c r="B143" t="s">
        <v>223</v>
      </c>
      <c r="C143" t="s">
        <v>3059</v>
      </c>
      <c r="D143">
        <v>54</v>
      </c>
      <c r="E143">
        <v>7.63</v>
      </c>
      <c r="F143" t="s">
        <v>7</v>
      </c>
      <c r="G143" t="s">
        <v>3074</v>
      </c>
    </row>
    <row r="144" spans="1:7" x14ac:dyDescent="0.25">
      <c r="A144">
        <v>10235</v>
      </c>
      <c r="B144" t="s">
        <v>224</v>
      </c>
      <c r="C144" t="s">
        <v>3059</v>
      </c>
      <c r="D144">
        <v>36</v>
      </c>
      <c r="E144">
        <v>5.83</v>
      </c>
      <c r="F144" t="s">
        <v>7</v>
      </c>
      <c r="G144" t="s">
        <v>3074</v>
      </c>
    </row>
    <row r="145" spans="1:7" x14ac:dyDescent="0.25">
      <c r="A145">
        <v>10236</v>
      </c>
      <c r="B145" t="s">
        <v>225</v>
      </c>
      <c r="C145" t="s">
        <v>3059</v>
      </c>
      <c r="D145">
        <v>57</v>
      </c>
      <c r="E145">
        <v>56.95</v>
      </c>
      <c r="F145" t="s">
        <v>7</v>
      </c>
      <c r="G145" t="s">
        <v>3074</v>
      </c>
    </row>
    <row r="146" spans="1:7" x14ac:dyDescent="0.25">
      <c r="A146">
        <v>10237</v>
      </c>
      <c r="B146" t="s">
        <v>226</v>
      </c>
      <c r="C146" t="s">
        <v>3059</v>
      </c>
      <c r="D146">
        <v>79</v>
      </c>
      <c r="E146">
        <v>13.05</v>
      </c>
      <c r="F146" t="s">
        <v>7</v>
      </c>
      <c r="G146" t="s">
        <v>3074</v>
      </c>
    </row>
    <row r="147" spans="1:7" x14ac:dyDescent="0.25">
      <c r="A147">
        <v>10238</v>
      </c>
      <c r="B147" t="s">
        <v>227</v>
      </c>
      <c r="C147" t="s">
        <v>3059</v>
      </c>
      <c r="D147">
        <v>50</v>
      </c>
      <c r="E147">
        <v>9.93</v>
      </c>
      <c r="F147" t="s">
        <v>7</v>
      </c>
      <c r="G147" t="s">
        <v>3074</v>
      </c>
    </row>
    <row r="148" spans="1:7" x14ac:dyDescent="0.25">
      <c r="A148">
        <v>10239</v>
      </c>
      <c r="B148" t="s">
        <v>228</v>
      </c>
      <c r="C148" t="s">
        <v>3059</v>
      </c>
      <c r="D148">
        <v>31</v>
      </c>
      <c r="E148">
        <v>9</v>
      </c>
      <c r="F148" t="s">
        <v>7</v>
      </c>
      <c r="G148" t="s">
        <v>3074</v>
      </c>
    </row>
    <row r="149" spans="1:7" x14ac:dyDescent="0.25">
      <c r="A149">
        <v>10240</v>
      </c>
      <c r="B149" t="s">
        <v>229</v>
      </c>
      <c r="C149" t="s">
        <v>3059</v>
      </c>
      <c r="D149">
        <v>115</v>
      </c>
      <c r="E149">
        <v>10.33</v>
      </c>
      <c r="F149" t="s">
        <v>7</v>
      </c>
      <c r="G149" t="s">
        <v>3074</v>
      </c>
    </row>
    <row r="150" spans="1:7" x14ac:dyDescent="0.25">
      <c r="A150">
        <v>10241</v>
      </c>
      <c r="B150" t="s">
        <v>3077</v>
      </c>
      <c r="C150" t="s">
        <v>3059</v>
      </c>
      <c r="D150">
        <v>34</v>
      </c>
      <c r="E150">
        <v>14.5</v>
      </c>
      <c r="F150" t="s">
        <v>7</v>
      </c>
      <c r="G150" t="s">
        <v>3074</v>
      </c>
    </row>
    <row r="151" spans="1:7" x14ac:dyDescent="0.25">
      <c r="A151">
        <v>10242</v>
      </c>
      <c r="B151" t="s">
        <v>231</v>
      </c>
      <c r="C151" t="s">
        <v>3059</v>
      </c>
      <c r="D151">
        <v>98</v>
      </c>
      <c r="E151">
        <v>12.5</v>
      </c>
      <c r="F151" t="s">
        <v>7</v>
      </c>
      <c r="G151" t="s">
        <v>3074</v>
      </c>
    </row>
    <row r="152" spans="1:7" x14ac:dyDescent="0.25">
      <c r="A152">
        <v>10243</v>
      </c>
      <c r="B152" t="s">
        <v>232</v>
      </c>
      <c r="C152" t="s">
        <v>3059</v>
      </c>
      <c r="D152">
        <v>19</v>
      </c>
      <c r="E152">
        <v>17.88</v>
      </c>
      <c r="F152" t="s">
        <v>7</v>
      </c>
      <c r="G152" t="s">
        <v>3074</v>
      </c>
    </row>
    <row r="153" spans="1:7" x14ac:dyDescent="0.25">
      <c r="A153">
        <v>10244</v>
      </c>
      <c r="B153" t="s">
        <v>233</v>
      </c>
      <c r="C153" t="s">
        <v>3059</v>
      </c>
      <c r="D153">
        <v>107</v>
      </c>
      <c r="E153">
        <v>3.23</v>
      </c>
      <c r="F153" t="s">
        <v>7</v>
      </c>
      <c r="G153" t="s">
        <v>3074</v>
      </c>
    </row>
    <row r="154" spans="1:7" x14ac:dyDescent="0.25">
      <c r="A154">
        <v>10245</v>
      </c>
      <c r="B154" t="s">
        <v>234</v>
      </c>
      <c r="C154" t="s">
        <v>3059</v>
      </c>
      <c r="D154">
        <v>5</v>
      </c>
      <c r="E154">
        <v>6.31</v>
      </c>
      <c r="F154" t="s">
        <v>7</v>
      </c>
      <c r="G154" t="s">
        <v>3074</v>
      </c>
    </row>
    <row r="155" spans="1:7" x14ac:dyDescent="0.25">
      <c r="A155">
        <v>10246</v>
      </c>
      <c r="B155" t="s">
        <v>235</v>
      </c>
      <c r="C155" t="s">
        <v>3059</v>
      </c>
      <c r="D155">
        <v>16</v>
      </c>
      <c r="E155">
        <v>6.07</v>
      </c>
      <c r="F155" t="s">
        <v>7</v>
      </c>
      <c r="G155" t="s">
        <v>3074</v>
      </c>
    </row>
    <row r="156" spans="1:7" x14ac:dyDescent="0.25">
      <c r="A156">
        <v>10247</v>
      </c>
      <c r="B156" t="s">
        <v>236</v>
      </c>
      <c r="C156" t="s">
        <v>3059</v>
      </c>
      <c r="D156">
        <v>204</v>
      </c>
      <c r="E156">
        <v>0.34</v>
      </c>
      <c r="F156" t="s">
        <v>7</v>
      </c>
      <c r="G156" t="s">
        <v>3074</v>
      </c>
    </row>
    <row r="157" spans="1:7" x14ac:dyDescent="0.25">
      <c r="A157">
        <v>10248</v>
      </c>
      <c r="B157" t="s">
        <v>237</v>
      </c>
      <c r="C157" t="s">
        <v>3059</v>
      </c>
      <c r="D157">
        <v>135</v>
      </c>
      <c r="E157">
        <v>0.68</v>
      </c>
      <c r="F157" t="s">
        <v>7</v>
      </c>
      <c r="G157" t="s">
        <v>3074</v>
      </c>
    </row>
    <row r="158" spans="1:7" x14ac:dyDescent="0.25">
      <c r="A158">
        <v>10249</v>
      </c>
      <c r="B158" t="s">
        <v>238</v>
      </c>
      <c r="C158" t="s">
        <v>3059</v>
      </c>
      <c r="D158">
        <v>599</v>
      </c>
      <c r="E158">
        <v>0.68</v>
      </c>
      <c r="F158" t="s">
        <v>7</v>
      </c>
      <c r="G158" t="s">
        <v>3074</v>
      </c>
    </row>
    <row r="159" spans="1:7" x14ac:dyDescent="0.25">
      <c r="A159">
        <v>10250</v>
      </c>
      <c r="B159" t="s">
        <v>240</v>
      </c>
      <c r="C159" t="s">
        <v>3059</v>
      </c>
      <c r="D159">
        <v>476</v>
      </c>
      <c r="E159">
        <v>0.68</v>
      </c>
      <c r="F159" t="s">
        <v>7</v>
      </c>
      <c r="G159" t="s">
        <v>3074</v>
      </c>
    </row>
    <row r="160" spans="1:7" x14ac:dyDescent="0.25">
      <c r="A160">
        <v>10251</v>
      </c>
      <c r="B160" t="s">
        <v>241</v>
      </c>
      <c r="C160" t="s">
        <v>3059</v>
      </c>
      <c r="D160">
        <v>717</v>
      </c>
      <c r="E160">
        <v>0.68</v>
      </c>
      <c r="F160" t="s">
        <v>7</v>
      </c>
      <c r="G160" t="s">
        <v>3074</v>
      </c>
    </row>
    <row r="161" spans="1:7" x14ac:dyDescent="0.25">
      <c r="A161">
        <v>10254</v>
      </c>
      <c r="B161" t="s">
        <v>242</v>
      </c>
      <c r="C161" t="s">
        <v>3059</v>
      </c>
      <c r="D161">
        <v>79</v>
      </c>
      <c r="E161">
        <v>5.73</v>
      </c>
      <c r="F161" t="s">
        <v>7</v>
      </c>
      <c r="G161" t="s">
        <v>3074</v>
      </c>
    </row>
    <row r="162" spans="1:7" x14ac:dyDescent="0.25">
      <c r="A162">
        <v>10255</v>
      </c>
      <c r="B162" t="s">
        <v>243</v>
      </c>
      <c r="C162" t="s">
        <v>3059</v>
      </c>
      <c r="D162">
        <v>345</v>
      </c>
      <c r="E162">
        <v>2.2599999999999998</v>
      </c>
      <c r="F162" t="s">
        <v>7</v>
      </c>
      <c r="G162" t="s">
        <v>3074</v>
      </c>
    </row>
    <row r="163" spans="1:7" x14ac:dyDescent="0.25">
      <c r="A163">
        <v>10256</v>
      </c>
      <c r="B163" t="s">
        <v>244</v>
      </c>
      <c r="C163" t="s">
        <v>3059</v>
      </c>
      <c r="D163">
        <v>351</v>
      </c>
      <c r="E163">
        <v>2.5299999999999998</v>
      </c>
      <c r="F163" t="s">
        <v>7</v>
      </c>
      <c r="G163" t="s">
        <v>3074</v>
      </c>
    </row>
    <row r="164" spans="1:7" x14ac:dyDescent="0.25">
      <c r="A164">
        <v>10257</v>
      </c>
      <c r="B164" t="s">
        <v>245</v>
      </c>
      <c r="C164" t="s">
        <v>3059</v>
      </c>
      <c r="D164">
        <v>299</v>
      </c>
      <c r="E164">
        <v>2.78</v>
      </c>
      <c r="F164" t="s">
        <v>7</v>
      </c>
      <c r="G164" t="s">
        <v>3074</v>
      </c>
    </row>
    <row r="165" spans="1:7" x14ac:dyDescent="0.25">
      <c r="A165">
        <v>10258</v>
      </c>
      <c r="B165" t="s">
        <v>246</v>
      </c>
      <c r="C165" t="s">
        <v>3059</v>
      </c>
      <c r="D165">
        <v>31</v>
      </c>
      <c r="E165">
        <v>7.5</v>
      </c>
      <c r="F165" t="s">
        <v>7</v>
      </c>
      <c r="G165" t="s">
        <v>3074</v>
      </c>
    </row>
    <row r="166" spans="1:7" x14ac:dyDescent="0.25">
      <c r="A166">
        <v>10259</v>
      </c>
      <c r="B166" t="s">
        <v>3078</v>
      </c>
      <c r="C166" t="s">
        <v>3059</v>
      </c>
      <c r="D166">
        <v>21</v>
      </c>
      <c r="E166">
        <v>5.96</v>
      </c>
      <c r="F166" t="s">
        <v>7</v>
      </c>
      <c r="G166" t="s">
        <v>3074</v>
      </c>
    </row>
    <row r="167" spans="1:7" x14ac:dyDescent="0.25">
      <c r="A167">
        <v>10261</v>
      </c>
      <c r="B167" t="s">
        <v>249</v>
      </c>
      <c r="C167" t="s">
        <v>3059</v>
      </c>
      <c r="D167">
        <v>18</v>
      </c>
      <c r="E167">
        <v>12.43</v>
      </c>
      <c r="F167" t="s">
        <v>7</v>
      </c>
      <c r="G167" t="s">
        <v>3074</v>
      </c>
    </row>
    <row r="168" spans="1:7" x14ac:dyDescent="0.25">
      <c r="A168">
        <v>10262</v>
      </c>
      <c r="B168" t="s">
        <v>250</v>
      </c>
      <c r="C168" t="s">
        <v>3059</v>
      </c>
      <c r="D168">
        <v>13</v>
      </c>
      <c r="E168">
        <v>13.39</v>
      </c>
      <c r="F168" t="s">
        <v>7</v>
      </c>
      <c r="G168" t="s">
        <v>3074</v>
      </c>
    </row>
    <row r="169" spans="1:7" x14ac:dyDescent="0.25">
      <c r="A169">
        <v>10263</v>
      </c>
      <c r="B169" t="s">
        <v>251</v>
      </c>
      <c r="C169" t="s">
        <v>3059</v>
      </c>
      <c r="D169">
        <v>5</v>
      </c>
      <c r="E169">
        <v>53.79</v>
      </c>
      <c r="F169" t="s">
        <v>7</v>
      </c>
      <c r="G169" t="s">
        <v>3074</v>
      </c>
    </row>
    <row r="170" spans="1:7" x14ac:dyDescent="0.25">
      <c r="A170">
        <v>10264</v>
      </c>
      <c r="B170" t="s">
        <v>252</v>
      </c>
      <c r="C170" t="s">
        <v>3059</v>
      </c>
      <c r="D170">
        <v>10</v>
      </c>
      <c r="E170">
        <v>60.43</v>
      </c>
      <c r="F170" t="s">
        <v>7</v>
      </c>
      <c r="G170" t="s">
        <v>3074</v>
      </c>
    </row>
    <row r="171" spans="1:7" x14ac:dyDescent="0.25">
      <c r="A171">
        <v>10265</v>
      </c>
      <c r="B171" t="s">
        <v>253</v>
      </c>
      <c r="C171" t="s">
        <v>3059</v>
      </c>
      <c r="D171">
        <v>7</v>
      </c>
      <c r="E171">
        <v>63.22</v>
      </c>
      <c r="F171" t="s">
        <v>7</v>
      </c>
      <c r="G171" t="s">
        <v>3074</v>
      </c>
    </row>
    <row r="172" spans="1:7" x14ac:dyDescent="0.25">
      <c r="A172">
        <v>10266</v>
      </c>
      <c r="B172" t="s">
        <v>254</v>
      </c>
      <c r="C172" t="s">
        <v>3059</v>
      </c>
      <c r="D172">
        <v>11</v>
      </c>
      <c r="E172">
        <v>70.47</v>
      </c>
      <c r="F172" t="s">
        <v>7</v>
      </c>
      <c r="G172" t="s">
        <v>3074</v>
      </c>
    </row>
    <row r="173" spans="1:7" x14ac:dyDescent="0.25">
      <c r="A173">
        <v>10267</v>
      </c>
      <c r="B173" t="s">
        <v>255</v>
      </c>
      <c r="C173" t="s">
        <v>3059</v>
      </c>
      <c r="D173">
        <v>1</v>
      </c>
      <c r="E173">
        <v>11.45</v>
      </c>
      <c r="F173" t="s">
        <v>7</v>
      </c>
      <c r="G173" t="s">
        <v>3074</v>
      </c>
    </row>
    <row r="174" spans="1:7" x14ac:dyDescent="0.25">
      <c r="A174">
        <v>10269</v>
      </c>
      <c r="B174" t="s">
        <v>257</v>
      </c>
      <c r="C174" t="s">
        <v>3059</v>
      </c>
      <c r="D174">
        <v>110</v>
      </c>
      <c r="E174">
        <v>11.63</v>
      </c>
      <c r="F174" t="s">
        <v>7</v>
      </c>
      <c r="G174" t="s">
        <v>3074</v>
      </c>
    </row>
    <row r="175" spans="1:7" x14ac:dyDescent="0.25">
      <c r="A175">
        <v>10270</v>
      </c>
      <c r="B175" t="s">
        <v>258</v>
      </c>
      <c r="C175" t="s">
        <v>3059</v>
      </c>
      <c r="D175">
        <v>24</v>
      </c>
      <c r="E175">
        <v>12.97</v>
      </c>
      <c r="F175" t="s">
        <v>7</v>
      </c>
      <c r="G175" t="s">
        <v>3074</v>
      </c>
    </row>
    <row r="176" spans="1:7" x14ac:dyDescent="0.25">
      <c r="A176">
        <v>10271</v>
      </c>
      <c r="B176" t="s">
        <v>259</v>
      </c>
      <c r="C176" t="s">
        <v>3059</v>
      </c>
      <c r="D176">
        <v>37</v>
      </c>
      <c r="E176">
        <v>15.22</v>
      </c>
      <c r="F176" t="s">
        <v>7</v>
      </c>
      <c r="G176" t="s">
        <v>3074</v>
      </c>
    </row>
    <row r="177" spans="1:7" x14ac:dyDescent="0.25">
      <c r="A177">
        <v>10272</v>
      </c>
      <c r="B177" t="s">
        <v>260</v>
      </c>
      <c r="C177" t="s">
        <v>3059</v>
      </c>
      <c r="D177">
        <v>15</v>
      </c>
      <c r="E177">
        <v>18.88</v>
      </c>
      <c r="F177" t="s">
        <v>7</v>
      </c>
      <c r="G177" t="s">
        <v>3074</v>
      </c>
    </row>
    <row r="178" spans="1:7" x14ac:dyDescent="0.25">
      <c r="A178">
        <v>10273</v>
      </c>
      <c r="B178" t="s">
        <v>261</v>
      </c>
      <c r="C178" t="s">
        <v>3059</v>
      </c>
      <c r="D178">
        <v>19</v>
      </c>
      <c r="E178">
        <v>23.47</v>
      </c>
      <c r="F178" t="s">
        <v>7</v>
      </c>
      <c r="G178" t="s">
        <v>3074</v>
      </c>
    </row>
    <row r="179" spans="1:7" x14ac:dyDescent="0.25">
      <c r="A179">
        <v>10274</v>
      </c>
      <c r="B179" t="s">
        <v>262</v>
      </c>
      <c r="C179" t="s">
        <v>3059</v>
      </c>
      <c r="D179">
        <v>15</v>
      </c>
      <c r="E179">
        <v>26.67</v>
      </c>
      <c r="F179" t="s">
        <v>7</v>
      </c>
      <c r="G179" t="s">
        <v>3074</v>
      </c>
    </row>
    <row r="180" spans="1:7" x14ac:dyDescent="0.25">
      <c r="A180">
        <v>10275</v>
      </c>
      <c r="B180" t="s">
        <v>263</v>
      </c>
      <c r="C180" t="s">
        <v>3059</v>
      </c>
      <c r="D180">
        <v>32</v>
      </c>
      <c r="E180">
        <v>27.1</v>
      </c>
      <c r="F180" t="s">
        <v>7</v>
      </c>
      <c r="G180" t="s">
        <v>3074</v>
      </c>
    </row>
    <row r="181" spans="1:7" x14ac:dyDescent="0.25">
      <c r="A181">
        <v>10276</v>
      </c>
      <c r="B181" t="s">
        <v>264</v>
      </c>
      <c r="C181" t="s">
        <v>3059</v>
      </c>
      <c r="D181">
        <v>5</v>
      </c>
      <c r="E181">
        <v>24.22</v>
      </c>
      <c r="F181" t="s">
        <v>7</v>
      </c>
      <c r="G181" t="s">
        <v>3074</v>
      </c>
    </row>
    <row r="182" spans="1:7" x14ac:dyDescent="0.25">
      <c r="A182">
        <v>10278</v>
      </c>
      <c r="B182" t="s">
        <v>265</v>
      </c>
      <c r="C182" t="s">
        <v>3059</v>
      </c>
      <c r="D182">
        <v>39</v>
      </c>
      <c r="E182">
        <v>1.2</v>
      </c>
      <c r="F182" t="s">
        <v>7</v>
      </c>
      <c r="G182" t="s">
        <v>3074</v>
      </c>
    </row>
    <row r="183" spans="1:7" x14ac:dyDescent="0.25">
      <c r="A183">
        <v>10279</v>
      </c>
      <c r="B183" t="s">
        <v>266</v>
      </c>
      <c r="C183" t="s">
        <v>3059</v>
      </c>
      <c r="D183">
        <v>35</v>
      </c>
      <c r="E183">
        <v>12.7</v>
      </c>
      <c r="F183" t="s">
        <v>7</v>
      </c>
      <c r="G183" t="s">
        <v>3074</v>
      </c>
    </row>
    <row r="184" spans="1:7" x14ac:dyDescent="0.25">
      <c r="A184">
        <v>10280</v>
      </c>
      <c r="B184" t="s">
        <v>267</v>
      </c>
      <c r="C184" t="s">
        <v>3059</v>
      </c>
      <c r="D184">
        <v>51</v>
      </c>
      <c r="E184">
        <v>11.25</v>
      </c>
      <c r="F184" t="s">
        <v>7</v>
      </c>
      <c r="G184" t="s">
        <v>3074</v>
      </c>
    </row>
    <row r="185" spans="1:7" x14ac:dyDescent="0.25">
      <c r="A185">
        <v>10281</v>
      </c>
      <c r="B185" t="s">
        <v>268</v>
      </c>
      <c r="C185" t="s">
        <v>3059</v>
      </c>
      <c r="D185">
        <v>64</v>
      </c>
      <c r="E185">
        <v>12</v>
      </c>
      <c r="F185" t="s">
        <v>7</v>
      </c>
      <c r="G185" t="s">
        <v>3074</v>
      </c>
    </row>
    <row r="186" spans="1:7" x14ac:dyDescent="0.25">
      <c r="A186">
        <v>10282</v>
      </c>
      <c r="B186" t="s">
        <v>269</v>
      </c>
      <c r="C186" t="s">
        <v>3059</v>
      </c>
      <c r="D186">
        <v>16</v>
      </c>
      <c r="E186">
        <v>55.95</v>
      </c>
      <c r="F186" t="s">
        <v>7</v>
      </c>
      <c r="G186" t="s">
        <v>3074</v>
      </c>
    </row>
    <row r="187" spans="1:7" x14ac:dyDescent="0.25">
      <c r="A187">
        <v>10283</v>
      </c>
      <c r="B187" t="s">
        <v>270</v>
      </c>
      <c r="C187" t="s">
        <v>3059</v>
      </c>
      <c r="D187">
        <v>25</v>
      </c>
      <c r="E187">
        <v>1.94</v>
      </c>
      <c r="F187" t="s">
        <v>7</v>
      </c>
      <c r="G187" t="s">
        <v>3074</v>
      </c>
    </row>
    <row r="188" spans="1:7" x14ac:dyDescent="0.25">
      <c r="A188">
        <v>10284</v>
      </c>
      <c r="B188" t="s">
        <v>271</v>
      </c>
      <c r="C188" t="s">
        <v>3059</v>
      </c>
      <c r="D188">
        <v>90</v>
      </c>
      <c r="E188">
        <v>30.33</v>
      </c>
      <c r="F188" t="s">
        <v>7</v>
      </c>
      <c r="G188" t="s">
        <v>3074</v>
      </c>
    </row>
    <row r="189" spans="1:7" x14ac:dyDescent="0.25">
      <c r="A189">
        <v>10285</v>
      </c>
      <c r="B189" t="s">
        <v>272</v>
      </c>
      <c r="C189" t="s">
        <v>3059</v>
      </c>
      <c r="D189">
        <v>2</v>
      </c>
      <c r="E189">
        <v>2.35</v>
      </c>
      <c r="F189" t="s">
        <v>7</v>
      </c>
      <c r="G189" t="s">
        <v>3074</v>
      </c>
    </row>
    <row r="190" spans="1:7" x14ac:dyDescent="0.25">
      <c r="A190">
        <v>10286</v>
      </c>
      <c r="B190" t="s">
        <v>273</v>
      </c>
      <c r="C190" t="s">
        <v>3059</v>
      </c>
      <c r="D190">
        <v>1</v>
      </c>
      <c r="E190">
        <v>3.24</v>
      </c>
      <c r="F190" t="s">
        <v>7</v>
      </c>
      <c r="G190" t="s">
        <v>3074</v>
      </c>
    </row>
    <row r="191" spans="1:7" x14ac:dyDescent="0.25">
      <c r="A191">
        <v>10287</v>
      </c>
      <c r="B191" t="s">
        <v>274</v>
      </c>
      <c r="C191" t="s">
        <v>3059</v>
      </c>
      <c r="D191">
        <v>1</v>
      </c>
      <c r="E191">
        <v>3.7</v>
      </c>
      <c r="F191" t="s">
        <v>7</v>
      </c>
      <c r="G191" t="s">
        <v>3074</v>
      </c>
    </row>
    <row r="192" spans="1:7" x14ac:dyDescent="0.25">
      <c r="A192">
        <v>10290</v>
      </c>
      <c r="B192" t="s">
        <v>3079</v>
      </c>
      <c r="C192" t="s">
        <v>3059</v>
      </c>
      <c r="D192">
        <v>11</v>
      </c>
      <c r="E192">
        <v>10.66</v>
      </c>
      <c r="F192" t="s">
        <v>7</v>
      </c>
      <c r="G192" t="s">
        <v>3074</v>
      </c>
    </row>
    <row r="193" spans="1:7" x14ac:dyDescent="0.25">
      <c r="A193">
        <v>10291</v>
      </c>
      <c r="B193" t="s">
        <v>277</v>
      </c>
      <c r="C193" t="s">
        <v>3059</v>
      </c>
      <c r="D193">
        <v>70</v>
      </c>
      <c r="E193">
        <v>8.94</v>
      </c>
      <c r="F193" t="s">
        <v>7</v>
      </c>
      <c r="G193" t="s">
        <v>3074</v>
      </c>
    </row>
    <row r="194" spans="1:7" x14ac:dyDescent="0.25">
      <c r="A194">
        <v>10292</v>
      </c>
      <c r="B194" t="s">
        <v>278</v>
      </c>
      <c r="C194" t="s">
        <v>3059</v>
      </c>
      <c r="D194">
        <v>17</v>
      </c>
      <c r="E194">
        <v>12.81</v>
      </c>
      <c r="F194" t="s">
        <v>7</v>
      </c>
      <c r="G194" t="s">
        <v>3074</v>
      </c>
    </row>
    <row r="195" spans="1:7" x14ac:dyDescent="0.25">
      <c r="A195">
        <v>10294</v>
      </c>
      <c r="B195" t="s">
        <v>279</v>
      </c>
      <c r="C195" t="s">
        <v>3059</v>
      </c>
      <c r="D195">
        <v>106</v>
      </c>
      <c r="E195">
        <v>2.5299999999999998</v>
      </c>
      <c r="F195" t="s">
        <v>7</v>
      </c>
      <c r="G195" t="s">
        <v>3074</v>
      </c>
    </row>
    <row r="196" spans="1:7" x14ac:dyDescent="0.25">
      <c r="A196">
        <v>10296</v>
      </c>
      <c r="B196" t="s">
        <v>281</v>
      </c>
      <c r="C196" t="s">
        <v>3059</v>
      </c>
      <c r="D196">
        <v>1</v>
      </c>
      <c r="E196">
        <v>24.1</v>
      </c>
      <c r="F196" t="s">
        <v>7</v>
      </c>
      <c r="G196" t="s">
        <v>3074</v>
      </c>
    </row>
    <row r="197" spans="1:7" x14ac:dyDescent="0.25">
      <c r="A197">
        <v>10298</v>
      </c>
      <c r="B197" t="s">
        <v>283</v>
      </c>
      <c r="C197" t="s">
        <v>3059</v>
      </c>
      <c r="D197">
        <v>15</v>
      </c>
      <c r="E197">
        <v>34.090000000000003</v>
      </c>
      <c r="F197" t="s">
        <v>7</v>
      </c>
      <c r="G197" t="s">
        <v>3074</v>
      </c>
    </row>
    <row r="198" spans="1:7" x14ac:dyDescent="0.25">
      <c r="A198">
        <v>10299</v>
      </c>
      <c r="B198" t="s">
        <v>284</v>
      </c>
      <c r="C198" t="s">
        <v>3059</v>
      </c>
      <c r="D198">
        <v>26</v>
      </c>
      <c r="E198">
        <v>35.51</v>
      </c>
      <c r="F198" t="s">
        <v>7</v>
      </c>
      <c r="G198" t="s">
        <v>3074</v>
      </c>
    </row>
    <row r="199" spans="1:7" x14ac:dyDescent="0.25">
      <c r="A199">
        <v>10300</v>
      </c>
      <c r="B199" t="s">
        <v>285</v>
      </c>
      <c r="C199" t="s">
        <v>3059</v>
      </c>
      <c r="D199">
        <v>25</v>
      </c>
      <c r="E199">
        <v>38.229999999999997</v>
      </c>
      <c r="F199" t="s">
        <v>7</v>
      </c>
      <c r="G199" t="s">
        <v>3074</v>
      </c>
    </row>
    <row r="200" spans="1:7" x14ac:dyDescent="0.25">
      <c r="A200">
        <v>10301</v>
      </c>
      <c r="B200" t="s">
        <v>286</v>
      </c>
      <c r="C200" t="s">
        <v>3059</v>
      </c>
      <c r="D200">
        <v>202</v>
      </c>
      <c r="E200">
        <v>5.58</v>
      </c>
      <c r="F200" t="s">
        <v>7</v>
      </c>
      <c r="G200" t="s">
        <v>3074</v>
      </c>
    </row>
    <row r="201" spans="1:7" x14ac:dyDescent="0.25">
      <c r="A201">
        <v>10302</v>
      </c>
      <c r="B201" t="s">
        <v>3080</v>
      </c>
      <c r="C201" t="s">
        <v>3059</v>
      </c>
      <c r="D201">
        <v>34</v>
      </c>
      <c r="E201">
        <v>4.75</v>
      </c>
      <c r="F201" t="s">
        <v>7</v>
      </c>
      <c r="G201" t="s">
        <v>3074</v>
      </c>
    </row>
    <row r="202" spans="1:7" x14ac:dyDescent="0.25">
      <c r="A202">
        <v>10303</v>
      </c>
      <c r="B202" t="s">
        <v>3081</v>
      </c>
      <c r="C202" t="s">
        <v>3059</v>
      </c>
      <c r="D202">
        <v>11</v>
      </c>
      <c r="E202">
        <v>4.9000000000000004</v>
      </c>
      <c r="F202" t="s">
        <v>7</v>
      </c>
      <c r="G202" t="s">
        <v>3074</v>
      </c>
    </row>
    <row r="203" spans="1:7" x14ac:dyDescent="0.25">
      <c r="A203">
        <v>10304</v>
      </c>
      <c r="B203" t="s">
        <v>289</v>
      </c>
      <c r="C203" t="s">
        <v>3059</v>
      </c>
      <c r="D203">
        <v>27</v>
      </c>
      <c r="E203">
        <v>4.5599999999999996</v>
      </c>
      <c r="F203" t="s">
        <v>7</v>
      </c>
      <c r="G203" t="s">
        <v>3074</v>
      </c>
    </row>
    <row r="204" spans="1:7" x14ac:dyDescent="0.25">
      <c r="A204">
        <v>10305</v>
      </c>
      <c r="B204" t="s">
        <v>290</v>
      </c>
      <c r="C204" t="s">
        <v>3059</v>
      </c>
      <c r="D204">
        <v>1</v>
      </c>
      <c r="E204">
        <v>4.37</v>
      </c>
      <c r="F204" t="s">
        <v>7</v>
      </c>
      <c r="G204" t="s">
        <v>3074</v>
      </c>
    </row>
    <row r="205" spans="1:7" x14ac:dyDescent="0.25">
      <c r="A205">
        <v>10307</v>
      </c>
      <c r="B205" t="s">
        <v>3082</v>
      </c>
      <c r="C205" t="s">
        <v>3059</v>
      </c>
      <c r="D205">
        <v>21</v>
      </c>
      <c r="E205">
        <v>4.83</v>
      </c>
      <c r="F205" t="s">
        <v>7</v>
      </c>
      <c r="G205" t="s">
        <v>3074</v>
      </c>
    </row>
    <row r="206" spans="1:7" x14ac:dyDescent="0.25">
      <c r="A206">
        <v>10308</v>
      </c>
      <c r="B206" t="s">
        <v>293</v>
      </c>
      <c r="C206" t="s">
        <v>3059</v>
      </c>
      <c r="D206">
        <v>143</v>
      </c>
      <c r="E206">
        <v>5.24</v>
      </c>
      <c r="F206" t="s">
        <v>7</v>
      </c>
      <c r="G206" t="s">
        <v>3074</v>
      </c>
    </row>
    <row r="207" spans="1:7" x14ac:dyDescent="0.25">
      <c r="A207">
        <v>10309</v>
      </c>
      <c r="B207" t="s">
        <v>294</v>
      </c>
      <c r="C207" t="s">
        <v>3059</v>
      </c>
      <c r="D207">
        <v>102</v>
      </c>
      <c r="E207">
        <v>5.75</v>
      </c>
      <c r="F207" t="s">
        <v>7</v>
      </c>
      <c r="G207" t="s">
        <v>3074</v>
      </c>
    </row>
    <row r="208" spans="1:7" x14ac:dyDescent="0.25">
      <c r="A208">
        <v>10310</v>
      </c>
      <c r="B208" t="s">
        <v>295</v>
      </c>
      <c r="C208" t="s">
        <v>3059</v>
      </c>
      <c r="D208">
        <v>41</v>
      </c>
      <c r="E208">
        <v>7.07</v>
      </c>
      <c r="F208" t="s">
        <v>7</v>
      </c>
      <c r="G208" t="s">
        <v>3074</v>
      </c>
    </row>
    <row r="209" spans="1:7" x14ac:dyDescent="0.25">
      <c r="A209">
        <v>10311</v>
      </c>
      <c r="B209" t="s">
        <v>296</v>
      </c>
      <c r="C209" t="s">
        <v>3059</v>
      </c>
      <c r="D209">
        <v>12</v>
      </c>
      <c r="E209">
        <v>8.35</v>
      </c>
      <c r="F209" t="s">
        <v>7</v>
      </c>
      <c r="G209" t="s">
        <v>3074</v>
      </c>
    </row>
    <row r="210" spans="1:7" x14ac:dyDescent="0.25">
      <c r="A210">
        <v>10312</v>
      </c>
      <c r="B210" t="s">
        <v>297</v>
      </c>
      <c r="C210" t="s">
        <v>3059</v>
      </c>
      <c r="D210">
        <v>2</v>
      </c>
      <c r="E210">
        <v>5.65</v>
      </c>
      <c r="F210" t="s">
        <v>7</v>
      </c>
      <c r="G210" t="s">
        <v>3074</v>
      </c>
    </row>
    <row r="211" spans="1:7" x14ac:dyDescent="0.25">
      <c r="A211">
        <v>10316</v>
      </c>
      <c r="B211" t="s">
        <v>301</v>
      </c>
      <c r="C211" t="s">
        <v>3059</v>
      </c>
      <c r="D211">
        <v>27</v>
      </c>
      <c r="E211">
        <v>12.48</v>
      </c>
      <c r="F211" t="s">
        <v>7</v>
      </c>
      <c r="G211" t="s">
        <v>3074</v>
      </c>
    </row>
    <row r="212" spans="1:7" x14ac:dyDescent="0.25">
      <c r="A212">
        <v>10317</v>
      </c>
      <c r="B212" t="s">
        <v>302</v>
      </c>
      <c r="C212" t="s">
        <v>3059</v>
      </c>
      <c r="D212">
        <v>73</v>
      </c>
      <c r="E212">
        <v>3.62</v>
      </c>
      <c r="F212" t="s">
        <v>7</v>
      </c>
      <c r="G212" t="s">
        <v>3074</v>
      </c>
    </row>
    <row r="213" spans="1:7" x14ac:dyDescent="0.25">
      <c r="A213">
        <v>10318</v>
      </c>
      <c r="B213" t="s">
        <v>303</v>
      </c>
      <c r="C213" t="s">
        <v>3059</v>
      </c>
      <c r="D213">
        <v>2</v>
      </c>
      <c r="E213">
        <v>230.8</v>
      </c>
      <c r="F213" t="s">
        <v>7</v>
      </c>
      <c r="G213" t="s">
        <v>3074</v>
      </c>
    </row>
    <row r="214" spans="1:7" x14ac:dyDescent="0.25">
      <c r="A214">
        <v>10319</v>
      </c>
      <c r="B214" t="s">
        <v>304</v>
      </c>
      <c r="C214" t="s">
        <v>3059</v>
      </c>
      <c r="D214">
        <v>7</v>
      </c>
      <c r="E214">
        <v>252.69</v>
      </c>
      <c r="F214" t="s">
        <v>7</v>
      </c>
      <c r="G214" t="s">
        <v>3074</v>
      </c>
    </row>
    <row r="215" spans="1:7" x14ac:dyDescent="0.25">
      <c r="A215">
        <v>10320</v>
      </c>
      <c r="B215" t="s">
        <v>305</v>
      </c>
      <c r="C215" t="s">
        <v>3059</v>
      </c>
      <c r="D215">
        <v>17</v>
      </c>
      <c r="E215">
        <v>72.39</v>
      </c>
      <c r="F215" t="s">
        <v>7</v>
      </c>
      <c r="G215" t="s">
        <v>3074</v>
      </c>
    </row>
    <row r="216" spans="1:7" x14ac:dyDescent="0.25">
      <c r="A216">
        <v>10322</v>
      </c>
      <c r="B216" t="s">
        <v>307</v>
      </c>
      <c r="C216" t="s">
        <v>3059</v>
      </c>
      <c r="D216">
        <v>1</v>
      </c>
      <c r="E216">
        <v>136.19</v>
      </c>
      <c r="F216" t="s">
        <v>7</v>
      </c>
      <c r="G216" t="s">
        <v>3074</v>
      </c>
    </row>
    <row r="217" spans="1:7" x14ac:dyDescent="0.25">
      <c r="A217">
        <v>10323</v>
      </c>
      <c r="B217" t="s">
        <v>308</v>
      </c>
      <c r="C217" t="s">
        <v>3059</v>
      </c>
      <c r="D217">
        <v>10</v>
      </c>
      <c r="E217">
        <v>52.6</v>
      </c>
      <c r="F217" t="s">
        <v>7</v>
      </c>
      <c r="G217" t="s">
        <v>3074</v>
      </c>
    </row>
    <row r="218" spans="1:7" x14ac:dyDescent="0.25">
      <c r="A218">
        <v>10325</v>
      </c>
      <c r="B218" t="s">
        <v>309</v>
      </c>
      <c r="C218" t="s">
        <v>3059</v>
      </c>
      <c r="D218">
        <v>4</v>
      </c>
      <c r="E218">
        <v>249.92</v>
      </c>
      <c r="F218" t="s">
        <v>7</v>
      </c>
      <c r="G218" t="s">
        <v>3074</v>
      </c>
    </row>
    <row r="219" spans="1:7" x14ac:dyDescent="0.25">
      <c r="A219">
        <v>10326</v>
      </c>
      <c r="B219" t="s">
        <v>310</v>
      </c>
      <c r="C219" t="s">
        <v>3059</v>
      </c>
      <c r="D219">
        <v>4</v>
      </c>
      <c r="E219">
        <v>257.05</v>
      </c>
      <c r="F219" t="s">
        <v>7</v>
      </c>
      <c r="G219" t="s">
        <v>3074</v>
      </c>
    </row>
    <row r="220" spans="1:7" x14ac:dyDescent="0.25">
      <c r="A220">
        <v>10327</v>
      </c>
      <c r="B220" t="s">
        <v>311</v>
      </c>
      <c r="C220" t="s">
        <v>3059</v>
      </c>
      <c r="D220">
        <v>1</v>
      </c>
      <c r="E220">
        <v>147.99</v>
      </c>
      <c r="F220" t="s">
        <v>7</v>
      </c>
      <c r="G220" t="s">
        <v>3074</v>
      </c>
    </row>
    <row r="221" spans="1:7" x14ac:dyDescent="0.25">
      <c r="A221">
        <v>10328</v>
      </c>
      <c r="B221" t="s">
        <v>312</v>
      </c>
      <c r="C221" t="s">
        <v>3059</v>
      </c>
      <c r="D221">
        <v>21</v>
      </c>
      <c r="E221">
        <v>137.41999999999999</v>
      </c>
      <c r="F221" t="s">
        <v>7</v>
      </c>
      <c r="G221" t="s">
        <v>3074</v>
      </c>
    </row>
    <row r="222" spans="1:7" x14ac:dyDescent="0.25">
      <c r="A222">
        <v>10329</v>
      </c>
      <c r="B222" t="s">
        <v>313</v>
      </c>
      <c r="C222" t="s">
        <v>3059</v>
      </c>
      <c r="D222">
        <v>12</v>
      </c>
      <c r="E222">
        <v>629.84</v>
      </c>
      <c r="F222" t="s">
        <v>7</v>
      </c>
      <c r="G222" t="s">
        <v>3074</v>
      </c>
    </row>
    <row r="223" spans="1:7" x14ac:dyDescent="0.25">
      <c r="A223">
        <v>10330</v>
      </c>
      <c r="B223" t="s">
        <v>314</v>
      </c>
      <c r="C223" t="s">
        <v>3059</v>
      </c>
      <c r="D223">
        <v>72</v>
      </c>
      <c r="E223">
        <v>104.17</v>
      </c>
      <c r="F223" t="s">
        <v>7</v>
      </c>
      <c r="G223" t="s">
        <v>3074</v>
      </c>
    </row>
    <row r="224" spans="1:7" x14ac:dyDescent="0.25">
      <c r="A224">
        <v>10331</v>
      </c>
      <c r="B224" t="s">
        <v>315</v>
      </c>
      <c r="C224" t="s">
        <v>3059</v>
      </c>
      <c r="D224">
        <v>18</v>
      </c>
      <c r="E224">
        <v>438.01</v>
      </c>
      <c r="F224" t="s">
        <v>7</v>
      </c>
      <c r="G224" t="s">
        <v>3074</v>
      </c>
    </row>
    <row r="225" spans="1:7" x14ac:dyDescent="0.25">
      <c r="A225">
        <v>10332</v>
      </c>
      <c r="B225" t="s">
        <v>316</v>
      </c>
      <c r="C225" t="s">
        <v>3059</v>
      </c>
      <c r="D225">
        <v>21</v>
      </c>
      <c r="E225">
        <v>103.89</v>
      </c>
      <c r="F225" t="s">
        <v>7</v>
      </c>
      <c r="G225" t="s">
        <v>3074</v>
      </c>
    </row>
    <row r="226" spans="1:7" x14ac:dyDescent="0.25">
      <c r="A226">
        <v>10333</v>
      </c>
      <c r="B226" t="s">
        <v>317</v>
      </c>
      <c r="C226" t="s">
        <v>3059</v>
      </c>
      <c r="D226">
        <v>35</v>
      </c>
      <c r="E226">
        <v>132.08000000000001</v>
      </c>
      <c r="F226" t="s">
        <v>7</v>
      </c>
      <c r="G226" t="s">
        <v>3074</v>
      </c>
    </row>
    <row r="227" spans="1:7" x14ac:dyDescent="0.25">
      <c r="A227">
        <v>10334</v>
      </c>
      <c r="B227" t="s">
        <v>318</v>
      </c>
      <c r="C227" t="s">
        <v>3059</v>
      </c>
      <c r="D227">
        <v>33</v>
      </c>
      <c r="E227">
        <v>140.19</v>
      </c>
      <c r="F227" t="s">
        <v>7</v>
      </c>
      <c r="G227" t="s">
        <v>3074</v>
      </c>
    </row>
    <row r="228" spans="1:7" x14ac:dyDescent="0.25">
      <c r="A228">
        <v>10335</v>
      </c>
      <c r="B228" t="s">
        <v>319</v>
      </c>
      <c r="C228" t="s">
        <v>3059</v>
      </c>
      <c r="D228">
        <v>9</v>
      </c>
      <c r="E228">
        <v>322.57</v>
      </c>
      <c r="F228" t="s">
        <v>7</v>
      </c>
      <c r="G228" t="s">
        <v>3074</v>
      </c>
    </row>
    <row r="229" spans="1:7" x14ac:dyDescent="0.25">
      <c r="A229">
        <v>10336</v>
      </c>
      <c r="B229" t="s">
        <v>320</v>
      </c>
      <c r="C229" t="s">
        <v>3059</v>
      </c>
      <c r="D229">
        <v>4</v>
      </c>
      <c r="E229">
        <v>22</v>
      </c>
      <c r="F229" t="s">
        <v>3065</v>
      </c>
      <c r="G229" t="s">
        <v>3066</v>
      </c>
    </row>
    <row r="230" spans="1:7" x14ac:dyDescent="0.25">
      <c r="A230">
        <v>10337</v>
      </c>
      <c r="B230" t="s">
        <v>321</v>
      </c>
      <c r="C230" t="s">
        <v>3059</v>
      </c>
      <c r="D230">
        <v>55</v>
      </c>
      <c r="E230">
        <v>28</v>
      </c>
      <c r="F230" t="s">
        <v>3065</v>
      </c>
      <c r="G230" t="s">
        <v>3066</v>
      </c>
    </row>
    <row r="231" spans="1:7" x14ac:dyDescent="0.25">
      <c r="A231">
        <v>10338</v>
      </c>
      <c r="B231" t="s">
        <v>322</v>
      </c>
      <c r="C231" t="s">
        <v>3059</v>
      </c>
      <c r="D231">
        <v>36</v>
      </c>
      <c r="E231">
        <v>28</v>
      </c>
      <c r="F231" t="s">
        <v>3065</v>
      </c>
      <c r="G231" t="s">
        <v>3066</v>
      </c>
    </row>
    <row r="232" spans="1:7" x14ac:dyDescent="0.25">
      <c r="A232">
        <v>10339</v>
      </c>
      <c r="B232" t="s">
        <v>323</v>
      </c>
      <c r="C232" t="s">
        <v>3059</v>
      </c>
      <c r="D232">
        <v>33</v>
      </c>
      <c r="E232">
        <v>27.12</v>
      </c>
      <c r="F232" t="s">
        <v>3065</v>
      </c>
      <c r="G232" t="s">
        <v>3066</v>
      </c>
    </row>
    <row r="233" spans="1:7" x14ac:dyDescent="0.25">
      <c r="A233">
        <v>10349</v>
      </c>
      <c r="B233" t="s">
        <v>330</v>
      </c>
      <c r="C233" t="s">
        <v>3059</v>
      </c>
      <c r="D233">
        <v>2</v>
      </c>
      <c r="E233">
        <v>235.9</v>
      </c>
      <c r="F233" t="s">
        <v>7</v>
      </c>
      <c r="G233" t="s">
        <v>3062</v>
      </c>
    </row>
    <row r="234" spans="1:7" x14ac:dyDescent="0.25">
      <c r="A234">
        <v>10351</v>
      </c>
      <c r="B234" t="s">
        <v>331</v>
      </c>
      <c r="C234" t="s">
        <v>3059</v>
      </c>
      <c r="D234">
        <v>1</v>
      </c>
      <c r="E234">
        <v>490.08</v>
      </c>
      <c r="F234" t="s">
        <v>7</v>
      </c>
      <c r="G234" t="s">
        <v>3070</v>
      </c>
    </row>
    <row r="235" spans="1:7" x14ac:dyDescent="0.25">
      <c r="A235">
        <v>10352</v>
      </c>
      <c r="B235" t="s">
        <v>332</v>
      </c>
      <c r="C235" t="s">
        <v>3059</v>
      </c>
      <c r="D235">
        <v>230</v>
      </c>
      <c r="E235">
        <v>3.2</v>
      </c>
      <c r="F235" t="s">
        <v>7</v>
      </c>
      <c r="G235" t="s">
        <v>3070</v>
      </c>
    </row>
    <row r="236" spans="1:7" x14ac:dyDescent="0.25">
      <c r="A236">
        <v>10353</v>
      </c>
      <c r="B236" t="s">
        <v>333</v>
      </c>
      <c r="C236" t="s">
        <v>3059</v>
      </c>
      <c r="D236">
        <v>447</v>
      </c>
      <c r="E236">
        <v>1.89</v>
      </c>
      <c r="F236" t="s">
        <v>7</v>
      </c>
      <c r="G236" t="s">
        <v>3070</v>
      </c>
    </row>
    <row r="237" spans="1:7" x14ac:dyDescent="0.25">
      <c r="A237">
        <v>10355</v>
      </c>
      <c r="B237" t="s">
        <v>335</v>
      </c>
      <c r="C237" t="s">
        <v>3059</v>
      </c>
      <c r="D237">
        <v>1</v>
      </c>
      <c r="E237">
        <v>20.61</v>
      </c>
      <c r="F237" t="s">
        <v>7</v>
      </c>
      <c r="G237" t="s">
        <v>3070</v>
      </c>
    </row>
    <row r="238" spans="1:7" x14ac:dyDescent="0.25">
      <c r="A238">
        <v>10356</v>
      </c>
      <c r="B238" t="s">
        <v>336</v>
      </c>
      <c r="C238" t="s">
        <v>3059</v>
      </c>
      <c r="D238">
        <v>2250</v>
      </c>
      <c r="E238">
        <v>0.83</v>
      </c>
      <c r="F238" t="s">
        <v>7</v>
      </c>
      <c r="G238" t="s">
        <v>3070</v>
      </c>
    </row>
    <row r="239" spans="1:7" x14ac:dyDescent="0.25">
      <c r="A239">
        <v>10358</v>
      </c>
      <c r="B239" t="s">
        <v>338</v>
      </c>
      <c r="C239" t="s">
        <v>3059</v>
      </c>
      <c r="D239">
        <v>335</v>
      </c>
      <c r="E239">
        <v>22.82</v>
      </c>
      <c r="F239" t="s">
        <v>7</v>
      </c>
      <c r="G239" t="s">
        <v>3070</v>
      </c>
    </row>
    <row r="240" spans="1:7" x14ac:dyDescent="0.25">
      <c r="A240">
        <v>10359</v>
      </c>
      <c r="B240" t="s">
        <v>339</v>
      </c>
      <c r="C240" t="s">
        <v>3059</v>
      </c>
      <c r="D240">
        <v>4</v>
      </c>
      <c r="E240">
        <v>5.56</v>
      </c>
      <c r="F240" t="s">
        <v>7</v>
      </c>
      <c r="G240" t="s">
        <v>3070</v>
      </c>
    </row>
    <row r="241" spans="1:7" x14ac:dyDescent="0.25">
      <c r="A241">
        <v>10360</v>
      </c>
      <c r="B241" t="s">
        <v>340</v>
      </c>
      <c r="C241" t="s">
        <v>3059</v>
      </c>
      <c r="D241">
        <v>134</v>
      </c>
      <c r="E241">
        <v>40.9</v>
      </c>
      <c r="F241" t="s">
        <v>7</v>
      </c>
      <c r="G241" t="s">
        <v>3070</v>
      </c>
    </row>
    <row r="242" spans="1:7" x14ac:dyDescent="0.25">
      <c r="A242">
        <v>10361</v>
      </c>
      <c r="B242" t="s">
        <v>341</v>
      </c>
      <c r="C242" t="s">
        <v>3059</v>
      </c>
      <c r="D242">
        <v>237</v>
      </c>
      <c r="E242">
        <v>2.0099999999999998</v>
      </c>
      <c r="F242" t="s">
        <v>7</v>
      </c>
      <c r="G242" t="s">
        <v>3070</v>
      </c>
    </row>
    <row r="243" spans="1:7" x14ac:dyDescent="0.25">
      <c r="A243">
        <v>10363</v>
      </c>
      <c r="B243" t="s">
        <v>342</v>
      </c>
      <c r="C243" t="s">
        <v>3059</v>
      </c>
      <c r="D243">
        <v>3</v>
      </c>
      <c r="E243">
        <v>21.68</v>
      </c>
      <c r="F243" t="s">
        <v>7</v>
      </c>
      <c r="G243" t="s">
        <v>3070</v>
      </c>
    </row>
    <row r="244" spans="1:7" x14ac:dyDescent="0.25">
      <c r="A244">
        <v>10364</v>
      </c>
      <c r="B244" t="s">
        <v>343</v>
      </c>
      <c r="C244" t="s">
        <v>3059</v>
      </c>
      <c r="D244">
        <v>56</v>
      </c>
      <c r="E244">
        <v>21.68</v>
      </c>
      <c r="F244" t="s">
        <v>7</v>
      </c>
      <c r="G244" t="s">
        <v>3070</v>
      </c>
    </row>
    <row r="245" spans="1:7" x14ac:dyDescent="0.25">
      <c r="A245">
        <v>10365</v>
      </c>
      <c r="B245" t="s">
        <v>344</v>
      </c>
      <c r="C245" t="s">
        <v>3059</v>
      </c>
      <c r="D245">
        <v>1</v>
      </c>
      <c r="E245">
        <v>19.440000000000001</v>
      </c>
      <c r="F245" t="s">
        <v>7</v>
      </c>
      <c r="G245" t="s">
        <v>3070</v>
      </c>
    </row>
    <row r="246" spans="1:7" x14ac:dyDescent="0.25">
      <c r="A246">
        <v>10367</v>
      </c>
      <c r="B246" t="s">
        <v>345</v>
      </c>
      <c r="C246" t="s">
        <v>3059</v>
      </c>
      <c r="D246">
        <v>28</v>
      </c>
      <c r="E246">
        <v>232.5</v>
      </c>
      <c r="F246" t="s">
        <v>7</v>
      </c>
      <c r="G246" t="s">
        <v>3071</v>
      </c>
    </row>
    <row r="247" spans="1:7" x14ac:dyDescent="0.25">
      <c r="A247">
        <v>10371</v>
      </c>
      <c r="B247" t="s">
        <v>349</v>
      </c>
      <c r="C247" t="s">
        <v>3059</v>
      </c>
      <c r="D247">
        <v>2</v>
      </c>
      <c r="E247">
        <v>21.2</v>
      </c>
      <c r="F247" t="s">
        <v>7</v>
      </c>
      <c r="G247" t="s">
        <v>3071</v>
      </c>
    </row>
    <row r="248" spans="1:7" x14ac:dyDescent="0.25">
      <c r="A248">
        <v>10372</v>
      </c>
      <c r="B248" t="s">
        <v>350</v>
      </c>
      <c r="C248" t="s">
        <v>3063</v>
      </c>
      <c r="D248">
        <v>9</v>
      </c>
      <c r="E248">
        <v>62.47</v>
      </c>
      <c r="F248" t="s">
        <v>7</v>
      </c>
      <c r="G248" t="s">
        <v>3071</v>
      </c>
    </row>
    <row r="249" spans="1:7" x14ac:dyDescent="0.25">
      <c r="A249">
        <v>10373</v>
      </c>
      <c r="B249" t="s">
        <v>351</v>
      </c>
      <c r="C249" t="s">
        <v>3059</v>
      </c>
      <c r="D249">
        <v>15</v>
      </c>
      <c r="E249">
        <v>16.5</v>
      </c>
      <c r="F249" t="s">
        <v>7</v>
      </c>
      <c r="G249" t="s">
        <v>3071</v>
      </c>
    </row>
    <row r="250" spans="1:7" x14ac:dyDescent="0.25">
      <c r="A250">
        <v>10385</v>
      </c>
      <c r="B250" t="s">
        <v>358</v>
      </c>
      <c r="C250" t="s">
        <v>3059</v>
      </c>
      <c r="D250">
        <v>24</v>
      </c>
      <c r="E250">
        <v>3.17</v>
      </c>
      <c r="F250" t="s">
        <v>7</v>
      </c>
      <c r="G250" t="s">
        <v>3083</v>
      </c>
    </row>
    <row r="251" spans="1:7" x14ac:dyDescent="0.25">
      <c r="A251">
        <v>10396</v>
      </c>
      <c r="B251" t="s">
        <v>364</v>
      </c>
      <c r="C251" t="s">
        <v>3059</v>
      </c>
      <c r="D251">
        <v>5</v>
      </c>
      <c r="E251">
        <v>325</v>
      </c>
      <c r="F251" t="s">
        <v>7</v>
      </c>
      <c r="G251" t="s">
        <v>3062</v>
      </c>
    </row>
    <row r="252" spans="1:7" x14ac:dyDescent="0.25">
      <c r="A252">
        <v>10397</v>
      </c>
      <c r="B252" t="s">
        <v>365</v>
      </c>
      <c r="C252" t="s">
        <v>3059</v>
      </c>
      <c r="D252">
        <v>285</v>
      </c>
      <c r="E252">
        <v>22.9</v>
      </c>
      <c r="F252" t="s">
        <v>7</v>
      </c>
      <c r="G252" t="s">
        <v>3062</v>
      </c>
    </row>
    <row r="253" spans="1:7" x14ac:dyDescent="0.25">
      <c r="A253">
        <v>10399</v>
      </c>
      <c r="B253" t="s">
        <v>366</v>
      </c>
      <c r="C253" t="s">
        <v>3059</v>
      </c>
      <c r="D253">
        <v>5</v>
      </c>
      <c r="E253">
        <v>28</v>
      </c>
      <c r="F253" t="s">
        <v>7</v>
      </c>
      <c r="G253" t="s">
        <v>3073</v>
      </c>
    </row>
    <row r="254" spans="1:7" x14ac:dyDescent="0.25">
      <c r="A254">
        <v>10404</v>
      </c>
      <c r="B254" t="s">
        <v>371</v>
      </c>
      <c r="C254" t="s">
        <v>3059</v>
      </c>
      <c r="D254">
        <v>156</v>
      </c>
      <c r="E254">
        <v>2.8</v>
      </c>
      <c r="F254" t="s">
        <v>7</v>
      </c>
      <c r="G254" t="s">
        <v>3073</v>
      </c>
    </row>
    <row r="255" spans="1:7" x14ac:dyDescent="0.25">
      <c r="A255">
        <v>10405</v>
      </c>
      <c r="B255" t="s">
        <v>372</v>
      </c>
      <c r="C255" t="s">
        <v>3059</v>
      </c>
      <c r="D255">
        <v>22</v>
      </c>
      <c r="E255">
        <v>11</v>
      </c>
      <c r="F255" t="s">
        <v>7</v>
      </c>
      <c r="G255" t="s">
        <v>3073</v>
      </c>
    </row>
    <row r="256" spans="1:7" x14ac:dyDescent="0.25">
      <c r="A256">
        <v>10406</v>
      </c>
      <c r="B256" t="s">
        <v>373</v>
      </c>
      <c r="C256" t="s">
        <v>3059</v>
      </c>
      <c r="D256">
        <v>19</v>
      </c>
      <c r="E256">
        <v>6.75</v>
      </c>
      <c r="F256" t="s">
        <v>7</v>
      </c>
      <c r="G256" t="s">
        <v>3073</v>
      </c>
    </row>
    <row r="257" spans="1:7" x14ac:dyDescent="0.25">
      <c r="A257">
        <v>10407</v>
      </c>
      <c r="B257" t="s">
        <v>374</v>
      </c>
      <c r="C257" t="s">
        <v>3059</v>
      </c>
      <c r="D257">
        <v>1</v>
      </c>
      <c r="E257">
        <v>7.23</v>
      </c>
      <c r="F257" t="s">
        <v>7</v>
      </c>
      <c r="G257" t="s">
        <v>3073</v>
      </c>
    </row>
    <row r="258" spans="1:7" x14ac:dyDescent="0.25">
      <c r="A258">
        <v>10408</v>
      </c>
      <c r="B258" t="s">
        <v>375</v>
      </c>
      <c r="C258" t="s">
        <v>3059</v>
      </c>
      <c r="D258">
        <v>16</v>
      </c>
      <c r="E258">
        <v>7.5</v>
      </c>
      <c r="F258" t="s">
        <v>7</v>
      </c>
      <c r="G258" t="s">
        <v>3073</v>
      </c>
    </row>
    <row r="259" spans="1:7" x14ac:dyDescent="0.25">
      <c r="A259">
        <v>10410</v>
      </c>
      <c r="B259" t="s">
        <v>376</v>
      </c>
      <c r="C259" t="s">
        <v>3059</v>
      </c>
      <c r="D259">
        <v>5</v>
      </c>
      <c r="E259">
        <v>2088.2800000000002</v>
      </c>
      <c r="F259" t="s">
        <v>7</v>
      </c>
      <c r="G259" t="s">
        <v>3070</v>
      </c>
    </row>
    <row r="260" spans="1:7" x14ac:dyDescent="0.25">
      <c r="A260">
        <v>10411</v>
      </c>
      <c r="B260" t="s">
        <v>377</v>
      </c>
      <c r="C260" t="s">
        <v>3059</v>
      </c>
      <c r="D260">
        <v>4</v>
      </c>
      <c r="E260">
        <v>2990.53</v>
      </c>
      <c r="F260" t="s">
        <v>7</v>
      </c>
      <c r="G260" t="s">
        <v>3070</v>
      </c>
    </row>
    <row r="261" spans="1:7" x14ac:dyDescent="0.25">
      <c r="A261">
        <v>10412</v>
      </c>
      <c r="B261" t="s">
        <v>378</v>
      </c>
      <c r="C261" t="s">
        <v>3059</v>
      </c>
      <c r="D261">
        <v>11</v>
      </c>
      <c r="E261">
        <v>927.39</v>
      </c>
      <c r="F261" t="s">
        <v>7</v>
      </c>
      <c r="G261" t="s">
        <v>3070</v>
      </c>
    </row>
    <row r="262" spans="1:7" x14ac:dyDescent="0.25">
      <c r="A262">
        <v>10415</v>
      </c>
      <c r="B262" t="s">
        <v>380</v>
      </c>
      <c r="C262" t="s">
        <v>3059</v>
      </c>
      <c r="D262">
        <v>7</v>
      </c>
      <c r="E262">
        <v>417.5</v>
      </c>
      <c r="F262" t="s">
        <v>7</v>
      </c>
      <c r="G262" t="s">
        <v>3084</v>
      </c>
    </row>
    <row r="263" spans="1:7" x14ac:dyDescent="0.25">
      <c r="A263">
        <v>10416</v>
      </c>
      <c r="B263" t="s">
        <v>381</v>
      </c>
      <c r="C263" t="s">
        <v>3059</v>
      </c>
      <c r="D263">
        <v>23</v>
      </c>
      <c r="E263">
        <v>773</v>
      </c>
      <c r="F263" t="s">
        <v>7</v>
      </c>
      <c r="G263" t="s">
        <v>3084</v>
      </c>
    </row>
    <row r="264" spans="1:7" x14ac:dyDescent="0.25">
      <c r="A264">
        <v>10418</v>
      </c>
      <c r="B264" t="s">
        <v>382</v>
      </c>
      <c r="C264" t="s">
        <v>3059</v>
      </c>
      <c r="D264">
        <v>10</v>
      </c>
      <c r="E264">
        <v>1999</v>
      </c>
      <c r="F264" t="s">
        <v>7</v>
      </c>
      <c r="G264" t="s">
        <v>3084</v>
      </c>
    </row>
    <row r="265" spans="1:7" x14ac:dyDescent="0.25">
      <c r="A265">
        <v>10421</v>
      </c>
      <c r="B265" t="s">
        <v>385</v>
      </c>
      <c r="C265" t="s">
        <v>3059</v>
      </c>
      <c r="D265">
        <v>8</v>
      </c>
      <c r="E265">
        <v>778.67</v>
      </c>
      <c r="F265" t="s">
        <v>7</v>
      </c>
      <c r="G265" t="s">
        <v>3070</v>
      </c>
    </row>
    <row r="266" spans="1:7" x14ac:dyDescent="0.25">
      <c r="A266">
        <v>10422</v>
      </c>
      <c r="B266" t="s">
        <v>3086</v>
      </c>
      <c r="C266" t="s">
        <v>3059</v>
      </c>
      <c r="D266">
        <v>46</v>
      </c>
      <c r="E266">
        <v>893.3</v>
      </c>
      <c r="F266" t="s">
        <v>3085</v>
      </c>
      <c r="G266" t="s">
        <v>3070</v>
      </c>
    </row>
    <row r="267" spans="1:7" x14ac:dyDescent="0.25">
      <c r="A267">
        <v>10423</v>
      </c>
      <c r="B267" t="s">
        <v>387</v>
      </c>
      <c r="C267" t="s">
        <v>3059</v>
      </c>
      <c r="D267">
        <v>30</v>
      </c>
      <c r="E267">
        <v>895.35</v>
      </c>
      <c r="F267" t="s">
        <v>3085</v>
      </c>
      <c r="G267" t="s">
        <v>3070</v>
      </c>
    </row>
    <row r="268" spans="1:7" x14ac:dyDescent="0.25">
      <c r="A268">
        <v>10424</v>
      </c>
      <c r="B268" t="s">
        <v>388</v>
      </c>
      <c r="C268" t="s">
        <v>3059</v>
      </c>
      <c r="D268">
        <v>121</v>
      </c>
      <c r="E268">
        <v>104.05</v>
      </c>
      <c r="F268" t="s">
        <v>7</v>
      </c>
      <c r="G268" t="s">
        <v>3070</v>
      </c>
    </row>
    <row r="269" spans="1:7" x14ac:dyDescent="0.25">
      <c r="A269">
        <v>10426</v>
      </c>
      <c r="B269" t="s">
        <v>390</v>
      </c>
      <c r="C269" t="s">
        <v>3059</v>
      </c>
      <c r="D269">
        <v>3</v>
      </c>
      <c r="E269">
        <v>634.42999999999995</v>
      </c>
      <c r="F269" t="s">
        <v>7</v>
      </c>
      <c r="G269" t="s">
        <v>3070</v>
      </c>
    </row>
    <row r="270" spans="1:7" x14ac:dyDescent="0.25">
      <c r="A270">
        <v>10431</v>
      </c>
      <c r="B270" t="s">
        <v>395</v>
      </c>
      <c r="C270" t="s">
        <v>3059</v>
      </c>
      <c r="D270">
        <v>75</v>
      </c>
      <c r="E270">
        <v>1220</v>
      </c>
      <c r="F270" t="s">
        <v>7</v>
      </c>
      <c r="G270" t="s">
        <v>3087</v>
      </c>
    </row>
    <row r="271" spans="1:7" x14ac:dyDescent="0.25">
      <c r="A271">
        <v>10432</v>
      </c>
      <c r="B271" t="s">
        <v>396</v>
      </c>
      <c r="C271" t="s">
        <v>3059</v>
      </c>
      <c r="D271">
        <v>102</v>
      </c>
      <c r="E271">
        <v>1550</v>
      </c>
      <c r="F271" t="s">
        <v>7</v>
      </c>
      <c r="G271" t="s">
        <v>3087</v>
      </c>
    </row>
    <row r="272" spans="1:7" x14ac:dyDescent="0.25">
      <c r="A272">
        <v>10434</v>
      </c>
      <c r="B272" t="s">
        <v>397</v>
      </c>
      <c r="C272" t="s">
        <v>3059</v>
      </c>
      <c r="D272">
        <v>80</v>
      </c>
      <c r="E272">
        <v>1650</v>
      </c>
      <c r="F272" t="s">
        <v>7</v>
      </c>
      <c r="G272" t="s">
        <v>3087</v>
      </c>
    </row>
    <row r="273" spans="1:7" x14ac:dyDescent="0.25">
      <c r="A273">
        <v>10436</v>
      </c>
      <c r="B273" t="s">
        <v>398</v>
      </c>
      <c r="C273" t="s">
        <v>3059</v>
      </c>
      <c r="D273">
        <v>28</v>
      </c>
      <c r="E273">
        <v>200</v>
      </c>
      <c r="F273" t="s">
        <v>7</v>
      </c>
      <c r="G273" t="s">
        <v>3088</v>
      </c>
    </row>
    <row r="274" spans="1:7" x14ac:dyDescent="0.25">
      <c r="A274">
        <v>10437</v>
      </c>
      <c r="B274" t="s">
        <v>399</v>
      </c>
      <c r="C274" t="s">
        <v>3059</v>
      </c>
      <c r="D274">
        <v>134</v>
      </c>
      <c r="E274">
        <v>25</v>
      </c>
      <c r="F274" t="s">
        <v>7</v>
      </c>
      <c r="G274" t="s">
        <v>3087</v>
      </c>
    </row>
    <row r="275" spans="1:7" x14ac:dyDescent="0.25">
      <c r="A275">
        <v>10438</v>
      </c>
      <c r="B275" t="s">
        <v>400</v>
      </c>
      <c r="C275" t="s">
        <v>3059</v>
      </c>
      <c r="D275">
        <v>10</v>
      </c>
      <c r="E275">
        <v>374.78</v>
      </c>
      <c r="F275" t="s">
        <v>7</v>
      </c>
      <c r="G275" t="s">
        <v>3074</v>
      </c>
    </row>
    <row r="276" spans="1:7" x14ac:dyDescent="0.25">
      <c r="A276">
        <v>10439</v>
      </c>
      <c r="B276" t="s">
        <v>401</v>
      </c>
      <c r="C276" t="s">
        <v>3059</v>
      </c>
      <c r="D276">
        <v>4</v>
      </c>
      <c r="E276">
        <v>705.56</v>
      </c>
      <c r="F276" t="s">
        <v>7</v>
      </c>
      <c r="G276" t="s">
        <v>3074</v>
      </c>
    </row>
    <row r="277" spans="1:7" x14ac:dyDescent="0.25">
      <c r="A277">
        <v>10440</v>
      </c>
      <c r="B277" t="s">
        <v>402</v>
      </c>
      <c r="C277" t="s">
        <v>3059</v>
      </c>
      <c r="D277">
        <v>2</v>
      </c>
      <c r="E277">
        <v>180</v>
      </c>
      <c r="F277" t="s">
        <v>7</v>
      </c>
      <c r="G277" t="s">
        <v>3083</v>
      </c>
    </row>
    <row r="278" spans="1:7" x14ac:dyDescent="0.25">
      <c r="A278">
        <v>10442</v>
      </c>
      <c r="B278" t="s">
        <v>404</v>
      </c>
      <c r="C278" t="s">
        <v>3059</v>
      </c>
      <c r="D278">
        <v>1</v>
      </c>
      <c r="E278">
        <v>655.26</v>
      </c>
      <c r="F278" t="s">
        <v>7</v>
      </c>
      <c r="G278" t="s">
        <v>3074</v>
      </c>
    </row>
    <row r="279" spans="1:7" x14ac:dyDescent="0.25">
      <c r="A279">
        <v>10443</v>
      </c>
      <c r="B279" t="s">
        <v>405</v>
      </c>
      <c r="C279" t="s">
        <v>3059</v>
      </c>
      <c r="D279">
        <v>2</v>
      </c>
      <c r="E279">
        <v>213.28</v>
      </c>
      <c r="F279" t="s">
        <v>7</v>
      </c>
      <c r="G279" t="s">
        <v>3074</v>
      </c>
    </row>
    <row r="280" spans="1:7" x14ac:dyDescent="0.25">
      <c r="A280">
        <v>10446</v>
      </c>
      <c r="B280" t="s">
        <v>407</v>
      </c>
      <c r="C280" t="s">
        <v>3059</v>
      </c>
      <c r="D280">
        <v>4</v>
      </c>
      <c r="E280">
        <v>7977</v>
      </c>
      <c r="F280" t="s">
        <v>7</v>
      </c>
      <c r="G280" t="s">
        <v>3087</v>
      </c>
    </row>
    <row r="281" spans="1:7" x14ac:dyDescent="0.25">
      <c r="A281">
        <v>10449</v>
      </c>
      <c r="B281" t="s">
        <v>408</v>
      </c>
      <c r="C281" t="s">
        <v>3059</v>
      </c>
      <c r="D281">
        <v>1</v>
      </c>
      <c r="E281">
        <v>16201</v>
      </c>
      <c r="F281" t="s">
        <v>7</v>
      </c>
      <c r="G281" t="s">
        <v>3087</v>
      </c>
    </row>
    <row r="282" spans="1:7" x14ac:dyDescent="0.25">
      <c r="A282">
        <v>10451</v>
      </c>
      <c r="B282" t="s">
        <v>409</v>
      </c>
      <c r="C282" t="s">
        <v>3059</v>
      </c>
      <c r="D282">
        <v>5</v>
      </c>
      <c r="E282">
        <v>234.48</v>
      </c>
      <c r="F282" t="s">
        <v>7</v>
      </c>
      <c r="G282" t="s">
        <v>3074</v>
      </c>
    </row>
    <row r="283" spans="1:7" x14ac:dyDescent="0.25">
      <c r="A283">
        <v>10452</v>
      </c>
      <c r="B283" t="s">
        <v>410</v>
      </c>
      <c r="C283" t="s">
        <v>3059</v>
      </c>
      <c r="D283">
        <v>26</v>
      </c>
      <c r="E283">
        <v>305.98</v>
      </c>
      <c r="F283" t="s">
        <v>7</v>
      </c>
      <c r="G283" t="s">
        <v>3074</v>
      </c>
    </row>
    <row r="284" spans="1:7" x14ac:dyDescent="0.25">
      <c r="A284">
        <v>10453</v>
      </c>
      <c r="B284" t="s">
        <v>411</v>
      </c>
      <c r="C284" t="s">
        <v>3059</v>
      </c>
      <c r="D284">
        <v>3</v>
      </c>
      <c r="E284">
        <v>321.2</v>
      </c>
      <c r="F284" t="s">
        <v>7</v>
      </c>
      <c r="G284" t="s">
        <v>3074</v>
      </c>
    </row>
    <row r="285" spans="1:7" x14ac:dyDescent="0.25">
      <c r="A285">
        <v>10454</v>
      </c>
      <c r="B285" t="s">
        <v>412</v>
      </c>
      <c r="C285" t="s">
        <v>3059</v>
      </c>
      <c r="D285">
        <v>1</v>
      </c>
      <c r="E285">
        <v>487.6</v>
      </c>
      <c r="F285" t="s">
        <v>7</v>
      </c>
      <c r="G285" t="s">
        <v>3074</v>
      </c>
    </row>
    <row r="286" spans="1:7" x14ac:dyDescent="0.25">
      <c r="A286">
        <v>10455</v>
      </c>
      <c r="B286" t="s">
        <v>413</v>
      </c>
      <c r="C286" t="s">
        <v>3059</v>
      </c>
      <c r="D286">
        <v>1</v>
      </c>
      <c r="E286">
        <v>588.20000000000005</v>
      </c>
      <c r="F286" t="s">
        <v>7</v>
      </c>
      <c r="G286" t="s">
        <v>3074</v>
      </c>
    </row>
    <row r="287" spans="1:7" x14ac:dyDescent="0.25">
      <c r="A287">
        <v>10456</v>
      </c>
      <c r="B287" t="s">
        <v>414</v>
      </c>
      <c r="C287" t="s">
        <v>3059</v>
      </c>
      <c r="D287">
        <v>1</v>
      </c>
      <c r="E287">
        <v>431.7</v>
      </c>
      <c r="F287" t="s">
        <v>7</v>
      </c>
      <c r="G287" t="s">
        <v>3074</v>
      </c>
    </row>
    <row r="288" spans="1:7" x14ac:dyDescent="0.25">
      <c r="A288">
        <v>10457</v>
      </c>
      <c r="B288" t="s">
        <v>415</v>
      </c>
      <c r="C288" t="s">
        <v>3059</v>
      </c>
      <c r="D288">
        <v>1</v>
      </c>
      <c r="E288">
        <v>592.39</v>
      </c>
      <c r="F288" t="s">
        <v>7</v>
      </c>
      <c r="G288" t="s">
        <v>3074</v>
      </c>
    </row>
    <row r="289" spans="1:7" x14ac:dyDescent="0.25">
      <c r="A289">
        <v>10459</v>
      </c>
      <c r="B289" t="s">
        <v>3089</v>
      </c>
      <c r="C289" t="s">
        <v>3059</v>
      </c>
      <c r="D289">
        <v>1</v>
      </c>
      <c r="E289">
        <v>308.77</v>
      </c>
      <c r="F289" t="s">
        <v>7</v>
      </c>
      <c r="G289" t="s">
        <v>3074</v>
      </c>
    </row>
    <row r="290" spans="1:7" x14ac:dyDescent="0.25">
      <c r="A290">
        <v>10460</v>
      </c>
      <c r="B290" t="s">
        <v>418</v>
      </c>
      <c r="C290" t="s">
        <v>3059</v>
      </c>
      <c r="D290">
        <v>2</v>
      </c>
      <c r="E290">
        <v>485.51</v>
      </c>
      <c r="F290" t="s">
        <v>7</v>
      </c>
      <c r="G290" t="s">
        <v>3074</v>
      </c>
    </row>
    <row r="291" spans="1:7" x14ac:dyDescent="0.25">
      <c r="A291">
        <v>10461</v>
      </c>
      <c r="B291" t="s">
        <v>419</v>
      </c>
      <c r="C291" t="s">
        <v>3059</v>
      </c>
      <c r="D291">
        <v>1</v>
      </c>
      <c r="E291">
        <v>463.85</v>
      </c>
      <c r="F291" t="s">
        <v>7</v>
      </c>
      <c r="G291" t="s">
        <v>3074</v>
      </c>
    </row>
    <row r="292" spans="1:7" x14ac:dyDescent="0.25">
      <c r="A292">
        <v>10462</v>
      </c>
      <c r="B292" t="s">
        <v>420</v>
      </c>
      <c r="C292" t="s">
        <v>3059</v>
      </c>
      <c r="D292">
        <v>22</v>
      </c>
      <c r="E292">
        <v>58.82</v>
      </c>
      <c r="F292" t="s">
        <v>7</v>
      </c>
      <c r="G292" t="s">
        <v>3074</v>
      </c>
    </row>
    <row r="293" spans="1:7" x14ac:dyDescent="0.25">
      <c r="A293">
        <v>10463</v>
      </c>
      <c r="B293" t="s">
        <v>421</v>
      </c>
      <c r="C293" t="s">
        <v>3059</v>
      </c>
      <c r="D293">
        <v>2</v>
      </c>
      <c r="E293">
        <v>155.43</v>
      </c>
      <c r="F293" t="s">
        <v>7</v>
      </c>
      <c r="G293" t="s">
        <v>3074</v>
      </c>
    </row>
    <row r="294" spans="1:7" x14ac:dyDescent="0.25">
      <c r="A294">
        <v>10464</v>
      </c>
      <c r="B294" t="s">
        <v>422</v>
      </c>
      <c r="C294" t="s">
        <v>3063</v>
      </c>
      <c r="D294">
        <v>3</v>
      </c>
      <c r="E294">
        <v>223.89</v>
      </c>
      <c r="F294" t="s">
        <v>7</v>
      </c>
      <c r="G294" t="s">
        <v>3074</v>
      </c>
    </row>
    <row r="295" spans="1:7" x14ac:dyDescent="0.25">
      <c r="A295">
        <v>10465</v>
      </c>
      <c r="B295" t="s">
        <v>3090</v>
      </c>
      <c r="C295" t="s">
        <v>3059</v>
      </c>
      <c r="D295">
        <v>2</v>
      </c>
      <c r="E295">
        <v>257.07</v>
      </c>
      <c r="F295" t="s">
        <v>7</v>
      </c>
      <c r="G295" t="s">
        <v>3074</v>
      </c>
    </row>
    <row r="296" spans="1:7" x14ac:dyDescent="0.25">
      <c r="A296">
        <v>10466</v>
      </c>
      <c r="B296" t="s">
        <v>424</v>
      </c>
      <c r="C296" t="s">
        <v>3059</v>
      </c>
      <c r="D296">
        <v>3</v>
      </c>
      <c r="E296">
        <v>48.2</v>
      </c>
      <c r="F296" t="s">
        <v>7</v>
      </c>
      <c r="G296" t="s">
        <v>3074</v>
      </c>
    </row>
    <row r="297" spans="1:7" x14ac:dyDescent="0.25">
      <c r="A297">
        <v>10467</v>
      </c>
      <c r="B297" t="s">
        <v>425</v>
      </c>
      <c r="C297" t="s">
        <v>3059</v>
      </c>
      <c r="D297">
        <v>1</v>
      </c>
      <c r="E297">
        <v>57.63</v>
      </c>
      <c r="F297" t="s">
        <v>7</v>
      </c>
      <c r="G297" t="s">
        <v>3074</v>
      </c>
    </row>
    <row r="298" spans="1:7" x14ac:dyDescent="0.25">
      <c r="A298">
        <v>10468</v>
      </c>
      <c r="B298" t="s">
        <v>426</v>
      </c>
      <c r="C298" t="s">
        <v>3059</v>
      </c>
      <c r="D298">
        <v>11</v>
      </c>
      <c r="E298">
        <v>39.47</v>
      </c>
      <c r="F298" t="s">
        <v>7</v>
      </c>
      <c r="G298" t="s">
        <v>3074</v>
      </c>
    </row>
    <row r="299" spans="1:7" x14ac:dyDescent="0.25">
      <c r="A299">
        <v>10470</v>
      </c>
      <c r="B299" t="s">
        <v>428</v>
      </c>
      <c r="C299" t="s">
        <v>3059</v>
      </c>
      <c r="D299">
        <v>11</v>
      </c>
      <c r="E299">
        <v>39.47</v>
      </c>
      <c r="F299" t="s">
        <v>7</v>
      </c>
      <c r="G299" t="s">
        <v>3074</v>
      </c>
    </row>
    <row r="300" spans="1:7" x14ac:dyDescent="0.25">
      <c r="A300">
        <v>10471</v>
      </c>
      <c r="B300" t="s">
        <v>429</v>
      </c>
      <c r="C300" t="s">
        <v>3059</v>
      </c>
      <c r="D300">
        <v>8</v>
      </c>
      <c r="E300">
        <v>76.84</v>
      </c>
      <c r="F300" t="s">
        <v>7</v>
      </c>
      <c r="G300" t="s">
        <v>3074</v>
      </c>
    </row>
    <row r="301" spans="1:7" x14ac:dyDescent="0.25">
      <c r="A301">
        <v>10472</v>
      </c>
      <c r="B301" t="s">
        <v>3051</v>
      </c>
      <c r="C301" t="s">
        <v>3059</v>
      </c>
      <c r="D301">
        <v>51</v>
      </c>
      <c r="E301">
        <v>31.79</v>
      </c>
      <c r="F301" t="s">
        <v>7</v>
      </c>
      <c r="G301" t="s">
        <v>3074</v>
      </c>
    </row>
    <row r="302" spans="1:7" x14ac:dyDescent="0.25">
      <c r="A302">
        <v>10473</v>
      </c>
      <c r="B302" t="s">
        <v>430</v>
      </c>
      <c r="C302" t="s">
        <v>3059</v>
      </c>
      <c r="D302">
        <v>33</v>
      </c>
      <c r="E302">
        <v>17.88</v>
      </c>
      <c r="F302" t="s">
        <v>7</v>
      </c>
      <c r="G302" t="s">
        <v>3074</v>
      </c>
    </row>
    <row r="303" spans="1:7" x14ac:dyDescent="0.25">
      <c r="A303">
        <v>10474</v>
      </c>
      <c r="B303" t="s">
        <v>431</v>
      </c>
      <c r="C303" t="s">
        <v>3059</v>
      </c>
      <c r="D303">
        <v>76</v>
      </c>
      <c r="E303">
        <v>2.1</v>
      </c>
      <c r="F303" t="s">
        <v>7</v>
      </c>
      <c r="G303" t="s">
        <v>3074</v>
      </c>
    </row>
    <row r="304" spans="1:7" x14ac:dyDescent="0.25">
      <c r="A304">
        <v>10475</v>
      </c>
      <c r="B304" t="s">
        <v>3091</v>
      </c>
      <c r="C304" t="s">
        <v>3059</v>
      </c>
      <c r="D304">
        <v>24</v>
      </c>
      <c r="E304">
        <v>5.66</v>
      </c>
      <c r="F304" t="s">
        <v>7</v>
      </c>
      <c r="G304" t="s">
        <v>3074</v>
      </c>
    </row>
    <row r="305" spans="1:7" x14ac:dyDescent="0.25">
      <c r="A305">
        <v>10476</v>
      </c>
      <c r="B305" t="s">
        <v>433</v>
      </c>
      <c r="C305" t="s">
        <v>3059</v>
      </c>
      <c r="D305">
        <v>15</v>
      </c>
      <c r="E305">
        <v>19.559999999999999</v>
      </c>
      <c r="F305" t="s">
        <v>7</v>
      </c>
      <c r="G305" t="s">
        <v>3074</v>
      </c>
    </row>
    <row r="306" spans="1:7" x14ac:dyDescent="0.25">
      <c r="A306">
        <v>10477</v>
      </c>
      <c r="B306" t="s">
        <v>434</v>
      </c>
      <c r="C306" t="s">
        <v>3059</v>
      </c>
      <c r="D306">
        <v>4</v>
      </c>
      <c r="E306">
        <v>82.78</v>
      </c>
      <c r="F306" t="s">
        <v>7</v>
      </c>
      <c r="G306" t="s">
        <v>3074</v>
      </c>
    </row>
    <row r="307" spans="1:7" x14ac:dyDescent="0.25">
      <c r="A307">
        <v>10478</v>
      </c>
      <c r="B307" t="s">
        <v>435</v>
      </c>
      <c r="C307" t="s">
        <v>3059</v>
      </c>
      <c r="D307">
        <v>14</v>
      </c>
      <c r="E307">
        <v>75.239999999999995</v>
      </c>
      <c r="F307" t="s">
        <v>7</v>
      </c>
      <c r="G307" t="s">
        <v>3074</v>
      </c>
    </row>
    <row r="308" spans="1:7" x14ac:dyDescent="0.25">
      <c r="A308">
        <v>10479</v>
      </c>
      <c r="B308" t="s">
        <v>436</v>
      </c>
      <c r="C308" t="s">
        <v>3059</v>
      </c>
      <c r="D308">
        <v>6</v>
      </c>
      <c r="E308">
        <v>31.8</v>
      </c>
      <c r="F308" t="s">
        <v>7</v>
      </c>
      <c r="G308" t="s">
        <v>3074</v>
      </c>
    </row>
    <row r="309" spans="1:7" x14ac:dyDescent="0.25">
      <c r="A309">
        <v>10480</v>
      </c>
      <c r="B309" t="s">
        <v>437</v>
      </c>
      <c r="C309" t="s">
        <v>3059</v>
      </c>
      <c r="D309">
        <v>8</v>
      </c>
      <c r="E309">
        <v>10.130000000000001</v>
      </c>
      <c r="F309" t="s">
        <v>7</v>
      </c>
      <c r="G309" t="s">
        <v>3074</v>
      </c>
    </row>
    <row r="310" spans="1:7" x14ac:dyDescent="0.25">
      <c r="A310">
        <v>10481</v>
      </c>
      <c r="B310" t="s">
        <v>438</v>
      </c>
      <c r="C310" t="s">
        <v>3059</v>
      </c>
      <c r="D310">
        <v>3</v>
      </c>
      <c r="E310">
        <v>8.73</v>
      </c>
      <c r="F310" t="s">
        <v>7</v>
      </c>
      <c r="G310" t="s">
        <v>3074</v>
      </c>
    </row>
    <row r="311" spans="1:7" x14ac:dyDescent="0.25">
      <c r="A311">
        <v>10483</v>
      </c>
      <c r="B311" t="s">
        <v>440</v>
      </c>
      <c r="C311" t="s">
        <v>3059</v>
      </c>
      <c r="D311">
        <v>26</v>
      </c>
      <c r="E311">
        <v>52.67</v>
      </c>
      <c r="F311" t="s">
        <v>7</v>
      </c>
      <c r="G311" t="s">
        <v>3074</v>
      </c>
    </row>
    <row r="312" spans="1:7" x14ac:dyDescent="0.25">
      <c r="A312">
        <v>10485</v>
      </c>
      <c r="B312" t="s">
        <v>442</v>
      </c>
      <c r="C312" t="s">
        <v>3059</v>
      </c>
      <c r="D312">
        <v>33</v>
      </c>
      <c r="E312">
        <v>15.72</v>
      </c>
      <c r="F312" t="s">
        <v>7</v>
      </c>
      <c r="G312" t="s">
        <v>3074</v>
      </c>
    </row>
    <row r="313" spans="1:7" x14ac:dyDescent="0.25">
      <c r="A313">
        <v>10486</v>
      </c>
      <c r="B313" t="s">
        <v>443</v>
      </c>
      <c r="C313" t="s">
        <v>3059</v>
      </c>
      <c r="D313">
        <v>13</v>
      </c>
      <c r="E313">
        <v>6.75</v>
      </c>
      <c r="F313" t="s">
        <v>7</v>
      </c>
      <c r="G313" t="s">
        <v>3074</v>
      </c>
    </row>
    <row r="314" spans="1:7" x14ac:dyDescent="0.25">
      <c r="A314">
        <v>10487</v>
      </c>
      <c r="B314" t="s">
        <v>3092</v>
      </c>
      <c r="C314" t="s">
        <v>3059</v>
      </c>
      <c r="D314">
        <v>3</v>
      </c>
      <c r="E314">
        <v>8.25</v>
      </c>
      <c r="F314" t="s">
        <v>7</v>
      </c>
      <c r="G314" t="s">
        <v>3074</v>
      </c>
    </row>
    <row r="315" spans="1:7" x14ac:dyDescent="0.25">
      <c r="A315">
        <v>10489</v>
      </c>
      <c r="B315" t="s">
        <v>446</v>
      </c>
      <c r="C315" t="s">
        <v>3059</v>
      </c>
      <c r="D315">
        <v>19</v>
      </c>
      <c r="E315">
        <v>10.34</v>
      </c>
      <c r="F315" t="s">
        <v>7</v>
      </c>
      <c r="G315" t="s">
        <v>3074</v>
      </c>
    </row>
    <row r="316" spans="1:7" x14ac:dyDescent="0.25">
      <c r="A316">
        <v>10490</v>
      </c>
      <c r="B316" t="s">
        <v>3093</v>
      </c>
      <c r="C316" t="s">
        <v>3059</v>
      </c>
      <c r="D316">
        <v>12</v>
      </c>
      <c r="E316">
        <v>2.1</v>
      </c>
      <c r="F316" t="s">
        <v>7</v>
      </c>
      <c r="G316" t="s">
        <v>3074</v>
      </c>
    </row>
    <row r="317" spans="1:7" x14ac:dyDescent="0.25">
      <c r="A317">
        <v>10491</v>
      </c>
      <c r="B317" t="s">
        <v>3094</v>
      </c>
      <c r="C317" t="s">
        <v>3059</v>
      </c>
      <c r="D317">
        <v>28</v>
      </c>
      <c r="E317">
        <v>2.8</v>
      </c>
      <c r="F317" t="s">
        <v>7</v>
      </c>
      <c r="G317" t="s">
        <v>3074</v>
      </c>
    </row>
    <row r="318" spans="1:7" x14ac:dyDescent="0.25">
      <c r="A318">
        <v>10494</v>
      </c>
      <c r="B318" t="s">
        <v>3095</v>
      </c>
      <c r="C318" t="s">
        <v>3059</v>
      </c>
      <c r="D318">
        <v>30</v>
      </c>
      <c r="E318">
        <v>6.94</v>
      </c>
      <c r="F318" t="s">
        <v>7</v>
      </c>
      <c r="G318" t="s">
        <v>3074</v>
      </c>
    </row>
    <row r="319" spans="1:7" x14ac:dyDescent="0.25">
      <c r="A319">
        <v>10496</v>
      </c>
      <c r="B319" t="s">
        <v>453</v>
      </c>
      <c r="C319" t="s">
        <v>3059</v>
      </c>
      <c r="D319">
        <v>12</v>
      </c>
      <c r="E319">
        <v>3.5</v>
      </c>
      <c r="F319" t="s">
        <v>7</v>
      </c>
      <c r="G319" t="s">
        <v>3074</v>
      </c>
    </row>
    <row r="320" spans="1:7" x14ac:dyDescent="0.25">
      <c r="A320">
        <v>10499</v>
      </c>
      <c r="B320" t="s">
        <v>456</v>
      </c>
      <c r="C320" t="s">
        <v>3059</v>
      </c>
      <c r="D320">
        <v>28</v>
      </c>
      <c r="E320">
        <v>10.41</v>
      </c>
      <c r="F320" t="s">
        <v>7</v>
      </c>
      <c r="G320" t="s">
        <v>3074</v>
      </c>
    </row>
    <row r="321" spans="1:7" x14ac:dyDescent="0.25">
      <c r="A321">
        <v>10500</v>
      </c>
      <c r="B321" t="s">
        <v>457</v>
      </c>
      <c r="C321" t="s">
        <v>3059</v>
      </c>
      <c r="D321">
        <v>94</v>
      </c>
      <c r="E321">
        <v>11.18</v>
      </c>
      <c r="F321" t="s">
        <v>7</v>
      </c>
      <c r="G321" t="s">
        <v>3074</v>
      </c>
    </row>
    <row r="322" spans="1:7" x14ac:dyDescent="0.25">
      <c r="A322">
        <v>10501</v>
      </c>
      <c r="B322" t="s">
        <v>458</v>
      </c>
      <c r="C322" t="s">
        <v>3059</v>
      </c>
      <c r="D322">
        <v>52</v>
      </c>
      <c r="E322">
        <v>13.27</v>
      </c>
      <c r="F322" t="s">
        <v>7</v>
      </c>
      <c r="G322" t="s">
        <v>3074</v>
      </c>
    </row>
    <row r="323" spans="1:7" x14ac:dyDescent="0.25">
      <c r="A323">
        <v>10502</v>
      </c>
      <c r="B323" t="s">
        <v>459</v>
      </c>
      <c r="C323" t="s">
        <v>3059</v>
      </c>
      <c r="D323">
        <v>35</v>
      </c>
      <c r="E323">
        <v>12.57</v>
      </c>
      <c r="F323" t="s">
        <v>7</v>
      </c>
      <c r="G323" t="s">
        <v>3074</v>
      </c>
    </row>
    <row r="324" spans="1:7" x14ac:dyDescent="0.25">
      <c r="A324">
        <v>10503</v>
      </c>
      <c r="B324" t="s">
        <v>460</v>
      </c>
      <c r="C324" t="s">
        <v>3059</v>
      </c>
      <c r="D324">
        <v>7</v>
      </c>
      <c r="E324">
        <v>9.92</v>
      </c>
      <c r="F324" t="s">
        <v>7</v>
      </c>
      <c r="G324" t="s">
        <v>3074</v>
      </c>
    </row>
    <row r="325" spans="1:7" x14ac:dyDescent="0.25">
      <c r="A325">
        <v>10504</v>
      </c>
      <c r="B325" t="s">
        <v>461</v>
      </c>
      <c r="C325" t="s">
        <v>3059</v>
      </c>
      <c r="D325">
        <v>42</v>
      </c>
      <c r="E325">
        <v>34.93</v>
      </c>
      <c r="F325" t="s">
        <v>7</v>
      </c>
      <c r="G325" t="s">
        <v>3074</v>
      </c>
    </row>
    <row r="326" spans="1:7" x14ac:dyDescent="0.25">
      <c r="A326">
        <v>10505</v>
      </c>
      <c r="B326" t="s">
        <v>462</v>
      </c>
      <c r="C326" t="s">
        <v>3059</v>
      </c>
      <c r="D326">
        <v>9</v>
      </c>
      <c r="E326">
        <v>16.77</v>
      </c>
      <c r="F326" t="s">
        <v>7</v>
      </c>
      <c r="G326" t="s">
        <v>3074</v>
      </c>
    </row>
    <row r="327" spans="1:7" x14ac:dyDescent="0.25">
      <c r="A327">
        <v>10506</v>
      </c>
      <c r="B327" t="s">
        <v>463</v>
      </c>
      <c r="C327" t="s">
        <v>3059</v>
      </c>
      <c r="D327">
        <v>6</v>
      </c>
      <c r="E327">
        <v>13.17</v>
      </c>
      <c r="F327" t="s">
        <v>7</v>
      </c>
      <c r="G327" t="s">
        <v>3074</v>
      </c>
    </row>
    <row r="328" spans="1:7" x14ac:dyDescent="0.25">
      <c r="A328">
        <v>10507</v>
      </c>
      <c r="B328" t="s">
        <v>464</v>
      </c>
      <c r="C328" t="s">
        <v>3059</v>
      </c>
      <c r="D328">
        <v>1</v>
      </c>
      <c r="E328">
        <v>15.23</v>
      </c>
      <c r="F328" t="s">
        <v>7</v>
      </c>
      <c r="G328" t="s">
        <v>3074</v>
      </c>
    </row>
    <row r="329" spans="1:7" x14ac:dyDescent="0.25">
      <c r="A329">
        <v>10509</v>
      </c>
      <c r="B329" t="s">
        <v>466</v>
      </c>
      <c r="C329" t="s">
        <v>3059</v>
      </c>
      <c r="D329">
        <v>15</v>
      </c>
      <c r="E329">
        <v>257.77</v>
      </c>
      <c r="F329" t="s">
        <v>7</v>
      </c>
      <c r="G329" t="s">
        <v>3074</v>
      </c>
    </row>
    <row r="330" spans="1:7" x14ac:dyDescent="0.25">
      <c r="A330">
        <v>10510</v>
      </c>
      <c r="B330" t="s">
        <v>467</v>
      </c>
      <c r="C330" t="s">
        <v>3059</v>
      </c>
      <c r="D330">
        <v>1</v>
      </c>
      <c r="E330">
        <v>48.9</v>
      </c>
      <c r="F330" t="s">
        <v>7</v>
      </c>
      <c r="G330" t="s">
        <v>3074</v>
      </c>
    </row>
    <row r="331" spans="1:7" x14ac:dyDescent="0.25">
      <c r="A331">
        <v>10511</v>
      </c>
      <c r="B331" t="s">
        <v>468</v>
      </c>
      <c r="C331" t="s">
        <v>3059</v>
      </c>
      <c r="D331">
        <v>4</v>
      </c>
      <c r="E331">
        <v>66.17</v>
      </c>
      <c r="F331" t="s">
        <v>7</v>
      </c>
      <c r="G331" t="s">
        <v>3074</v>
      </c>
    </row>
    <row r="332" spans="1:7" x14ac:dyDescent="0.25">
      <c r="A332">
        <v>10513</v>
      </c>
      <c r="B332" t="s">
        <v>470</v>
      </c>
      <c r="C332" t="s">
        <v>3059</v>
      </c>
      <c r="D332">
        <v>1</v>
      </c>
      <c r="E332">
        <v>94.5</v>
      </c>
      <c r="F332" t="s">
        <v>7</v>
      </c>
      <c r="G332" t="s">
        <v>3074</v>
      </c>
    </row>
    <row r="333" spans="1:7" x14ac:dyDescent="0.25">
      <c r="A333">
        <v>10514</v>
      </c>
      <c r="B333" t="s">
        <v>3097</v>
      </c>
      <c r="C333" t="s">
        <v>3059</v>
      </c>
      <c r="D333">
        <v>2</v>
      </c>
      <c r="E333">
        <v>128.54</v>
      </c>
      <c r="F333" t="s">
        <v>7</v>
      </c>
      <c r="G333" t="s">
        <v>3074</v>
      </c>
    </row>
    <row r="334" spans="1:7" x14ac:dyDescent="0.25">
      <c r="A334">
        <v>10515</v>
      </c>
      <c r="B334" t="s">
        <v>472</v>
      </c>
      <c r="C334" t="s">
        <v>3059</v>
      </c>
      <c r="D334">
        <v>2</v>
      </c>
      <c r="E334">
        <v>108.28</v>
      </c>
      <c r="F334" t="s">
        <v>7</v>
      </c>
      <c r="G334" t="s">
        <v>3074</v>
      </c>
    </row>
    <row r="335" spans="1:7" x14ac:dyDescent="0.25">
      <c r="A335">
        <v>10517</v>
      </c>
      <c r="B335" t="s">
        <v>473</v>
      </c>
      <c r="C335" t="s">
        <v>3059</v>
      </c>
      <c r="D335">
        <v>1</v>
      </c>
      <c r="E335">
        <v>406.57</v>
      </c>
      <c r="F335" t="s">
        <v>7</v>
      </c>
      <c r="G335" t="s">
        <v>3074</v>
      </c>
    </row>
    <row r="336" spans="1:7" x14ac:dyDescent="0.25">
      <c r="A336">
        <v>10518</v>
      </c>
      <c r="B336" t="s">
        <v>474</v>
      </c>
      <c r="C336" t="s">
        <v>3059</v>
      </c>
      <c r="D336">
        <v>5</v>
      </c>
      <c r="E336">
        <v>81.73</v>
      </c>
      <c r="F336" t="s">
        <v>7</v>
      </c>
      <c r="G336" t="s">
        <v>3074</v>
      </c>
    </row>
    <row r="337" spans="1:7" x14ac:dyDescent="0.25">
      <c r="A337">
        <v>10519</v>
      </c>
      <c r="B337" t="s">
        <v>3098</v>
      </c>
      <c r="C337" t="s">
        <v>3063</v>
      </c>
      <c r="D337">
        <v>1</v>
      </c>
      <c r="E337">
        <v>252.18</v>
      </c>
      <c r="F337" t="s">
        <v>7</v>
      </c>
      <c r="G337" t="s">
        <v>3074</v>
      </c>
    </row>
    <row r="338" spans="1:7" x14ac:dyDescent="0.25">
      <c r="A338">
        <v>10520</v>
      </c>
      <c r="B338" t="s">
        <v>476</v>
      </c>
      <c r="C338" t="s">
        <v>3059</v>
      </c>
      <c r="D338">
        <v>9</v>
      </c>
      <c r="E338">
        <v>31.8</v>
      </c>
      <c r="F338" t="s">
        <v>7</v>
      </c>
      <c r="G338" t="s">
        <v>3074</v>
      </c>
    </row>
    <row r="339" spans="1:7" x14ac:dyDescent="0.25">
      <c r="A339">
        <v>10522</v>
      </c>
      <c r="B339" t="s">
        <v>478</v>
      </c>
      <c r="C339" t="s">
        <v>3059</v>
      </c>
      <c r="D339">
        <v>2</v>
      </c>
      <c r="E339">
        <v>11.8</v>
      </c>
      <c r="F339" t="s">
        <v>7</v>
      </c>
      <c r="G339" t="s">
        <v>3074</v>
      </c>
    </row>
    <row r="340" spans="1:7" x14ac:dyDescent="0.25">
      <c r="A340">
        <v>10524</v>
      </c>
      <c r="B340" t="s">
        <v>480</v>
      </c>
      <c r="C340" t="s">
        <v>3059</v>
      </c>
      <c r="D340">
        <v>34</v>
      </c>
      <c r="E340">
        <v>5.9</v>
      </c>
      <c r="F340" t="s">
        <v>7</v>
      </c>
      <c r="G340" t="s">
        <v>3074</v>
      </c>
    </row>
    <row r="341" spans="1:7" x14ac:dyDescent="0.25">
      <c r="A341">
        <v>10525</v>
      </c>
      <c r="B341" t="s">
        <v>481</v>
      </c>
      <c r="C341" t="s">
        <v>3059</v>
      </c>
      <c r="D341">
        <v>128</v>
      </c>
      <c r="E341">
        <v>10</v>
      </c>
      <c r="F341" t="s">
        <v>7</v>
      </c>
      <c r="G341" t="s">
        <v>3074</v>
      </c>
    </row>
    <row r="342" spans="1:7" x14ac:dyDescent="0.25">
      <c r="A342">
        <v>10526</v>
      </c>
      <c r="B342" t="s">
        <v>482</v>
      </c>
      <c r="C342" t="s">
        <v>3059</v>
      </c>
      <c r="D342">
        <v>19</v>
      </c>
      <c r="E342">
        <v>8.6999999999999993</v>
      </c>
      <c r="F342" t="s">
        <v>7</v>
      </c>
      <c r="G342" t="s">
        <v>3074</v>
      </c>
    </row>
    <row r="343" spans="1:7" x14ac:dyDescent="0.25">
      <c r="A343">
        <v>10527</v>
      </c>
      <c r="B343" t="s">
        <v>483</v>
      </c>
      <c r="C343" t="s">
        <v>3059</v>
      </c>
      <c r="D343">
        <v>2</v>
      </c>
      <c r="E343">
        <v>210.69</v>
      </c>
      <c r="F343" t="s">
        <v>7</v>
      </c>
      <c r="G343" t="s">
        <v>3074</v>
      </c>
    </row>
    <row r="344" spans="1:7" x14ac:dyDescent="0.25">
      <c r="A344">
        <v>10528</v>
      </c>
      <c r="B344" t="s">
        <v>484</v>
      </c>
      <c r="C344" t="s">
        <v>3059</v>
      </c>
      <c r="D344">
        <v>1</v>
      </c>
      <c r="E344">
        <v>240.87</v>
      </c>
      <c r="F344" t="s">
        <v>7</v>
      </c>
      <c r="G344" t="s">
        <v>3074</v>
      </c>
    </row>
    <row r="345" spans="1:7" x14ac:dyDescent="0.25">
      <c r="A345">
        <v>10529</v>
      </c>
      <c r="B345" t="s">
        <v>485</v>
      </c>
      <c r="C345" t="s">
        <v>3059</v>
      </c>
      <c r="D345">
        <v>2</v>
      </c>
      <c r="E345">
        <v>556.76</v>
      </c>
      <c r="F345" t="s">
        <v>7</v>
      </c>
      <c r="G345" t="s">
        <v>3074</v>
      </c>
    </row>
    <row r="346" spans="1:7" x14ac:dyDescent="0.25">
      <c r="A346">
        <v>10530</v>
      </c>
      <c r="B346" t="s">
        <v>486</v>
      </c>
      <c r="C346" t="s">
        <v>3059</v>
      </c>
      <c r="D346">
        <v>2</v>
      </c>
      <c r="E346">
        <v>421.24</v>
      </c>
      <c r="F346" t="s">
        <v>7</v>
      </c>
      <c r="G346" t="s">
        <v>3074</v>
      </c>
    </row>
    <row r="347" spans="1:7" x14ac:dyDescent="0.25">
      <c r="A347">
        <v>10531</v>
      </c>
      <c r="B347" t="s">
        <v>487</v>
      </c>
      <c r="C347" t="s">
        <v>3059</v>
      </c>
      <c r="D347">
        <v>47</v>
      </c>
      <c r="E347">
        <v>61</v>
      </c>
      <c r="F347" t="s">
        <v>7</v>
      </c>
      <c r="G347" t="s">
        <v>3074</v>
      </c>
    </row>
    <row r="348" spans="1:7" x14ac:dyDescent="0.25">
      <c r="A348">
        <v>10532</v>
      </c>
      <c r="B348" t="s">
        <v>488</v>
      </c>
      <c r="C348" t="s">
        <v>3059</v>
      </c>
      <c r="D348">
        <v>7</v>
      </c>
      <c r="E348">
        <v>24.03</v>
      </c>
      <c r="F348" t="s">
        <v>7</v>
      </c>
      <c r="G348" t="s">
        <v>3074</v>
      </c>
    </row>
    <row r="349" spans="1:7" x14ac:dyDescent="0.25">
      <c r="A349">
        <v>10534</v>
      </c>
      <c r="B349" t="s">
        <v>490</v>
      </c>
      <c r="C349" t="s">
        <v>3063</v>
      </c>
      <c r="D349">
        <v>5</v>
      </c>
      <c r="E349">
        <v>101.5</v>
      </c>
      <c r="F349" t="s">
        <v>7</v>
      </c>
      <c r="G349" t="s">
        <v>3074</v>
      </c>
    </row>
    <row r="350" spans="1:7" x14ac:dyDescent="0.25">
      <c r="A350">
        <v>10536</v>
      </c>
      <c r="B350" t="s">
        <v>491</v>
      </c>
      <c r="C350" t="s">
        <v>3059</v>
      </c>
      <c r="D350">
        <v>1</v>
      </c>
      <c r="E350">
        <v>219.7</v>
      </c>
      <c r="F350" t="s">
        <v>7</v>
      </c>
      <c r="G350" t="s">
        <v>3074</v>
      </c>
    </row>
    <row r="351" spans="1:7" x14ac:dyDescent="0.25">
      <c r="A351">
        <v>10537</v>
      </c>
      <c r="B351" t="s">
        <v>492</v>
      </c>
      <c r="C351" t="s">
        <v>3059</v>
      </c>
      <c r="D351">
        <v>2</v>
      </c>
      <c r="E351">
        <v>984.99</v>
      </c>
      <c r="F351" t="s">
        <v>7</v>
      </c>
      <c r="G351" t="s">
        <v>3074</v>
      </c>
    </row>
    <row r="352" spans="1:7" x14ac:dyDescent="0.25">
      <c r="A352">
        <v>10538</v>
      </c>
      <c r="B352" t="s">
        <v>493</v>
      </c>
      <c r="C352" t="s">
        <v>3059</v>
      </c>
      <c r="D352">
        <v>24</v>
      </c>
      <c r="E352">
        <v>10.39</v>
      </c>
      <c r="F352" t="s">
        <v>7</v>
      </c>
      <c r="G352" t="s">
        <v>3074</v>
      </c>
    </row>
    <row r="353" spans="1:7" x14ac:dyDescent="0.25">
      <c r="A353">
        <v>10539</v>
      </c>
      <c r="B353" t="s">
        <v>494</v>
      </c>
      <c r="C353" t="s">
        <v>3059</v>
      </c>
      <c r="D353">
        <v>48</v>
      </c>
      <c r="E353">
        <v>14.6</v>
      </c>
      <c r="F353" t="s">
        <v>7</v>
      </c>
      <c r="G353" t="s">
        <v>3074</v>
      </c>
    </row>
    <row r="354" spans="1:7" x14ac:dyDescent="0.25">
      <c r="A354">
        <v>10541</v>
      </c>
      <c r="B354" t="s">
        <v>496</v>
      </c>
      <c r="C354" t="s">
        <v>3059</v>
      </c>
      <c r="D354">
        <v>12</v>
      </c>
      <c r="E354">
        <v>20.8</v>
      </c>
      <c r="F354" t="s">
        <v>7</v>
      </c>
      <c r="G354" t="s">
        <v>3074</v>
      </c>
    </row>
    <row r="355" spans="1:7" x14ac:dyDescent="0.25">
      <c r="A355">
        <v>10542</v>
      </c>
      <c r="B355" t="s">
        <v>497</v>
      </c>
      <c r="C355" t="s">
        <v>3063</v>
      </c>
      <c r="D355">
        <v>4</v>
      </c>
      <c r="E355">
        <v>25.15</v>
      </c>
      <c r="F355" t="s">
        <v>7</v>
      </c>
      <c r="G355" t="s">
        <v>3074</v>
      </c>
    </row>
    <row r="356" spans="1:7" x14ac:dyDescent="0.25">
      <c r="A356">
        <v>10543</v>
      </c>
      <c r="B356" t="s">
        <v>498</v>
      </c>
      <c r="C356" t="s">
        <v>3059</v>
      </c>
      <c r="D356">
        <v>2</v>
      </c>
      <c r="E356">
        <v>506.46</v>
      </c>
      <c r="F356" t="s">
        <v>7</v>
      </c>
      <c r="G356" t="s">
        <v>3074</v>
      </c>
    </row>
    <row r="357" spans="1:7" x14ac:dyDescent="0.25">
      <c r="A357">
        <v>10544</v>
      </c>
      <c r="B357" t="s">
        <v>499</v>
      </c>
      <c r="C357" t="s">
        <v>3059</v>
      </c>
      <c r="D357">
        <v>20</v>
      </c>
      <c r="E357">
        <v>10</v>
      </c>
      <c r="F357" t="s">
        <v>7</v>
      </c>
      <c r="G357" t="s">
        <v>3100</v>
      </c>
    </row>
    <row r="358" spans="1:7" x14ac:dyDescent="0.25">
      <c r="A358">
        <v>10546</v>
      </c>
      <c r="B358" t="s">
        <v>501</v>
      </c>
      <c r="C358" t="s">
        <v>3059</v>
      </c>
      <c r="D358">
        <v>12</v>
      </c>
      <c r="E358">
        <v>28.57</v>
      </c>
      <c r="F358" t="s">
        <v>7</v>
      </c>
      <c r="G358" t="s">
        <v>3074</v>
      </c>
    </row>
    <row r="359" spans="1:7" x14ac:dyDescent="0.25">
      <c r="A359">
        <v>10547</v>
      </c>
      <c r="B359" t="s">
        <v>502</v>
      </c>
      <c r="C359" t="s">
        <v>3059</v>
      </c>
      <c r="D359">
        <v>26</v>
      </c>
      <c r="E359">
        <v>656</v>
      </c>
      <c r="F359" t="s">
        <v>7</v>
      </c>
      <c r="G359" t="s">
        <v>3101</v>
      </c>
    </row>
    <row r="360" spans="1:7" x14ac:dyDescent="0.25">
      <c r="A360">
        <v>10548</v>
      </c>
      <c r="B360" t="s">
        <v>503</v>
      </c>
      <c r="C360" t="s">
        <v>3059</v>
      </c>
      <c r="D360">
        <v>14</v>
      </c>
      <c r="E360">
        <v>700</v>
      </c>
      <c r="F360" t="s">
        <v>7</v>
      </c>
      <c r="G360" t="s">
        <v>3101</v>
      </c>
    </row>
    <row r="361" spans="1:7" x14ac:dyDescent="0.25">
      <c r="A361">
        <v>10549</v>
      </c>
      <c r="B361" t="s">
        <v>504</v>
      </c>
      <c r="C361" t="s">
        <v>3059</v>
      </c>
      <c r="D361">
        <v>37</v>
      </c>
      <c r="E361">
        <v>337</v>
      </c>
      <c r="F361" t="s">
        <v>7</v>
      </c>
      <c r="G361" t="s">
        <v>3101</v>
      </c>
    </row>
    <row r="362" spans="1:7" x14ac:dyDescent="0.25">
      <c r="A362">
        <v>10551</v>
      </c>
      <c r="B362" t="s">
        <v>506</v>
      </c>
      <c r="C362" t="s">
        <v>3059</v>
      </c>
      <c r="D362">
        <v>6</v>
      </c>
      <c r="E362">
        <v>302.81</v>
      </c>
      <c r="F362" t="s">
        <v>7</v>
      </c>
      <c r="G362" t="s">
        <v>3062</v>
      </c>
    </row>
    <row r="363" spans="1:7" x14ac:dyDescent="0.25">
      <c r="A363">
        <v>10552</v>
      </c>
      <c r="B363" t="s">
        <v>507</v>
      </c>
      <c r="C363" t="s">
        <v>3059</v>
      </c>
      <c r="D363">
        <v>11</v>
      </c>
      <c r="E363">
        <v>157.63</v>
      </c>
      <c r="F363" t="s">
        <v>7</v>
      </c>
      <c r="G363" t="s">
        <v>3062</v>
      </c>
    </row>
    <row r="364" spans="1:7" x14ac:dyDescent="0.25">
      <c r="A364">
        <v>10553</v>
      </c>
      <c r="B364" t="s">
        <v>508</v>
      </c>
      <c r="C364" t="s">
        <v>3059</v>
      </c>
      <c r="D364">
        <v>23</v>
      </c>
      <c r="E364">
        <v>45</v>
      </c>
      <c r="F364" t="s">
        <v>7</v>
      </c>
      <c r="G364" t="s">
        <v>3062</v>
      </c>
    </row>
    <row r="365" spans="1:7" x14ac:dyDescent="0.25">
      <c r="A365">
        <v>10554</v>
      </c>
      <c r="B365" t="s">
        <v>509</v>
      </c>
      <c r="C365" t="s">
        <v>3059</v>
      </c>
      <c r="D365">
        <v>88</v>
      </c>
      <c r="E365">
        <v>14.5</v>
      </c>
      <c r="F365" t="s">
        <v>7</v>
      </c>
      <c r="G365" t="s">
        <v>3102</v>
      </c>
    </row>
    <row r="366" spans="1:7" x14ac:dyDescent="0.25">
      <c r="A366">
        <v>10556</v>
      </c>
      <c r="B366" t="s">
        <v>511</v>
      </c>
      <c r="C366" t="s">
        <v>3059</v>
      </c>
      <c r="D366">
        <v>210</v>
      </c>
      <c r="E366">
        <v>6.53</v>
      </c>
      <c r="F366" t="s">
        <v>7</v>
      </c>
      <c r="G366" t="s">
        <v>3102</v>
      </c>
    </row>
    <row r="367" spans="1:7" x14ac:dyDescent="0.25">
      <c r="A367">
        <v>10559</v>
      </c>
      <c r="B367" t="s">
        <v>514</v>
      </c>
      <c r="C367" t="s">
        <v>3059</v>
      </c>
      <c r="D367">
        <v>35</v>
      </c>
      <c r="E367">
        <v>247.83</v>
      </c>
      <c r="F367" t="s">
        <v>7</v>
      </c>
      <c r="G367" t="s">
        <v>3070</v>
      </c>
    </row>
    <row r="368" spans="1:7" x14ac:dyDescent="0.25">
      <c r="A368">
        <v>10560</v>
      </c>
      <c r="B368" t="s">
        <v>515</v>
      </c>
      <c r="C368" t="s">
        <v>3059</v>
      </c>
      <c r="D368">
        <v>30</v>
      </c>
      <c r="E368">
        <v>318.94</v>
      </c>
      <c r="F368" t="s">
        <v>7</v>
      </c>
      <c r="G368" t="s">
        <v>3070</v>
      </c>
    </row>
    <row r="369" spans="1:7" x14ac:dyDescent="0.25">
      <c r="A369">
        <v>10561</v>
      </c>
      <c r="B369" t="s">
        <v>516</v>
      </c>
      <c r="C369" t="s">
        <v>3059</v>
      </c>
      <c r="D369">
        <v>6</v>
      </c>
      <c r="E369">
        <v>3326.27</v>
      </c>
      <c r="F369" t="s">
        <v>7</v>
      </c>
      <c r="G369" t="s">
        <v>3070</v>
      </c>
    </row>
    <row r="370" spans="1:7" x14ac:dyDescent="0.25">
      <c r="A370">
        <v>10562</v>
      </c>
      <c r="B370" t="s">
        <v>517</v>
      </c>
      <c r="C370" t="s">
        <v>3059</v>
      </c>
      <c r="D370">
        <v>8</v>
      </c>
      <c r="E370">
        <v>1039.2</v>
      </c>
      <c r="F370" t="s">
        <v>7</v>
      </c>
      <c r="G370" t="s">
        <v>3070</v>
      </c>
    </row>
    <row r="371" spans="1:7" x14ac:dyDescent="0.25">
      <c r="A371">
        <v>10563</v>
      </c>
      <c r="B371" t="s">
        <v>518</v>
      </c>
      <c r="C371" t="s">
        <v>3059</v>
      </c>
      <c r="D371">
        <v>159</v>
      </c>
      <c r="E371">
        <v>39.5</v>
      </c>
      <c r="F371" t="s">
        <v>7</v>
      </c>
      <c r="G371" t="s">
        <v>3070</v>
      </c>
    </row>
    <row r="372" spans="1:7" x14ac:dyDescent="0.25">
      <c r="A372">
        <v>10568</v>
      </c>
      <c r="B372" t="s">
        <v>522</v>
      </c>
      <c r="C372" t="s">
        <v>3059</v>
      </c>
      <c r="D372">
        <v>5</v>
      </c>
      <c r="E372">
        <v>401</v>
      </c>
      <c r="F372" t="s">
        <v>7</v>
      </c>
      <c r="G372" t="s">
        <v>3064</v>
      </c>
    </row>
    <row r="373" spans="1:7" x14ac:dyDescent="0.25">
      <c r="A373">
        <v>10573</v>
      </c>
      <c r="B373" t="s">
        <v>526</v>
      </c>
      <c r="C373" t="s">
        <v>3059</v>
      </c>
      <c r="D373">
        <v>4</v>
      </c>
      <c r="E373">
        <v>704</v>
      </c>
      <c r="F373" t="s">
        <v>7</v>
      </c>
      <c r="G373" t="s">
        <v>3064</v>
      </c>
    </row>
    <row r="374" spans="1:7" x14ac:dyDescent="0.25">
      <c r="A374">
        <v>10575</v>
      </c>
      <c r="B374" t="s">
        <v>527</v>
      </c>
      <c r="C374" t="s">
        <v>3059</v>
      </c>
      <c r="D374">
        <v>153</v>
      </c>
      <c r="E374">
        <v>8.3000000000000007</v>
      </c>
      <c r="F374" t="s">
        <v>7</v>
      </c>
      <c r="G374" t="s">
        <v>3064</v>
      </c>
    </row>
    <row r="375" spans="1:7" x14ac:dyDescent="0.25">
      <c r="A375">
        <v>10576</v>
      </c>
      <c r="B375" t="s">
        <v>528</v>
      </c>
      <c r="C375" t="s">
        <v>3059</v>
      </c>
      <c r="D375">
        <v>247</v>
      </c>
      <c r="E375">
        <v>17.09</v>
      </c>
      <c r="F375" t="s">
        <v>7</v>
      </c>
      <c r="G375" t="s">
        <v>3064</v>
      </c>
    </row>
    <row r="376" spans="1:7" x14ac:dyDescent="0.25">
      <c r="A376">
        <v>10577</v>
      </c>
      <c r="B376" t="s">
        <v>529</v>
      </c>
      <c r="C376" t="s">
        <v>3059</v>
      </c>
      <c r="D376">
        <v>40</v>
      </c>
      <c r="E376">
        <v>21</v>
      </c>
      <c r="F376" t="s">
        <v>7</v>
      </c>
      <c r="G376" t="s">
        <v>3064</v>
      </c>
    </row>
    <row r="377" spans="1:7" x14ac:dyDescent="0.25">
      <c r="A377">
        <v>10578</v>
      </c>
      <c r="B377" t="s">
        <v>530</v>
      </c>
      <c r="C377" t="s">
        <v>3059</v>
      </c>
      <c r="D377">
        <v>35</v>
      </c>
      <c r="E377">
        <v>30</v>
      </c>
      <c r="F377" t="s">
        <v>7</v>
      </c>
      <c r="G377" t="s">
        <v>3064</v>
      </c>
    </row>
    <row r="378" spans="1:7" x14ac:dyDescent="0.25">
      <c r="A378">
        <v>10579</v>
      </c>
      <c r="B378" t="s">
        <v>531</v>
      </c>
      <c r="C378" t="s">
        <v>3059</v>
      </c>
      <c r="D378">
        <v>139</v>
      </c>
      <c r="E378">
        <v>53</v>
      </c>
      <c r="F378" t="s">
        <v>7</v>
      </c>
      <c r="G378" t="s">
        <v>3064</v>
      </c>
    </row>
    <row r="379" spans="1:7" x14ac:dyDescent="0.25">
      <c r="A379">
        <v>10580</v>
      </c>
      <c r="B379" t="s">
        <v>532</v>
      </c>
      <c r="C379" t="s">
        <v>3059</v>
      </c>
      <c r="D379">
        <v>1</v>
      </c>
      <c r="E379">
        <v>322.5</v>
      </c>
      <c r="F379" t="s">
        <v>7</v>
      </c>
      <c r="G379" t="s">
        <v>3064</v>
      </c>
    </row>
    <row r="380" spans="1:7" x14ac:dyDescent="0.25">
      <c r="A380">
        <v>10584</v>
      </c>
      <c r="B380" t="s">
        <v>536</v>
      </c>
      <c r="C380" t="s">
        <v>3059</v>
      </c>
      <c r="D380">
        <v>2</v>
      </c>
      <c r="E380">
        <v>1568.33</v>
      </c>
      <c r="F380" t="s">
        <v>7</v>
      </c>
      <c r="G380" t="s">
        <v>3071</v>
      </c>
    </row>
    <row r="381" spans="1:7" x14ac:dyDescent="0.25">
      <c r="A381">
        <v>10587</v>
      </c>
      <c r="B381" t="s">
        <v>539</v>
      </c>
      <c r="C381" t="s">
        <v>3059</v>
      </c>
      <c r="D381">
        <v>38</v>
      </c>
      <c r="E381">
        <v>3.9</v>
      </c>
      <c r="F381" t="s">
        <v>7</v>
      </c>
      <c r="G381" t="s">
        <v>3071</v>
      </c>
    </row>
    <row r="382" spans="1:7" x14ac:dyDescent="0.25">
      <c r="A382">
        <v>10588</v>
      </c>
      <c r="B382" t="s">
        <v>540</v>
      </c>
      <c r="C382" t="s">
        <v>3059</v>
      </c>
      <c r="D382">
        <v>27</v>
      </c>
      <c r="E382">
        <v>5.76</v>
      </c>
      <c r="F382" t="s">
        <v>7</v>
      </c>
      <c r="G382" t="s">
        <v>3071</v>
      </c>
    </row>
    <row r="383" spans="1:7" x14ac:dyDescent="0.25">
      <c r="A383">
        <v>10590</v>
      </c>
      <c r="B383" t="s">
        <v>541</v>
      </c>
      <c r="C383" t="s">
        <v>3059</v>
      </c>
      <c r="D383">
        <v>18</v>
      </c>
      <c r="E383">
        <v>7.33</v>
      </c>
      <c r="F383" t="s">
        <v>7</v>
      </c>
      <c r="G383" t="s">
        <v>3071</v>
      </c>
    </row>
    <row r="384" spans="1:7" x14ac:dyDescent="0.25">
      <c r="A384">
        <v>10591</v>
      </c>
      <c r="B384" t="s">
        <v>542</v>
      </c>
      <c r="C384" t="s">
        <v>3059</v>
      </c>
      <c r="D384">
        <v>20</v>
      </c>
      <c r="E384">
        <v>10.210000000000001</v>
      </c>
      <c r="F384" t="s">
        <v>7</v>
      </c>
      <c r="G384" t="s">
        <v>3071</v>
      </c>
    </row>
    <row r="385" spans="1:7" x14ac:dyDescent="0.25">
      <c r="A385">
        <v>10592</v>
      </c>
      <c r="B385" t="s">
        <v>543</v>
      </c>
      <c r="C385" t="s">
        <v>3059</v>
      </c>
      <c r="D385">
        <v>13</v>
      </c>
      <c r="E385">
        <v>13.99</v>
      </c>
      <c r="F385" t="s">
        <v>7</v>
      </c>
      <c r="G385" t="s">
        <v>3071</v>
      </c>
    </row>
    <row r="386" spans="1:7" x14ac:dyDescent="0.25">
      <c r="A386">
        <v>10593</v>
      </c>
      <c r="B386" t="s">
        <v>544</v>
      </c>
      <c r="C386" t="s">
        <v>3059</v>
      </c>
      <c r="D386">
        <v>24</v>
      </c>
      <c r="E386">
        <v>2.1</v>
      </c>
      <c r="F386" t="s">
        <v>7</v>
      </c>
      <c r="G386" t="s">
        <v>3071</v>
      </c>
    </row>
    <row r="387" spans="1:7" x14ac:dyDescent="0.25">
      <c r="A387">
        <v>10594</v>
      </c>
      <c r="B387" t="s">
        <v>545</v>
      </c>
      <c r="C387" t="s">
        <v>3059</v>
      </c>
      <c r="D387">
        <v>39</v>
      </c>
      <c r="E387">
        <v>3.24</v>
      </c>
      <c r="F387" t="s">
        <v>7</v>
      </c>
      <c r="G387" t="s">
        <v>3071</v>
      </c>
    </row>
    <row r="388" spans="1:7" x14ac:dyDescent="0.25">
      <c r="A388">
        <v>10596</v>
      </c>
      <c r="B388" t="s">
        <v>546</v>
      </c>
      <c r="C388" t="s">
        <v>3059</v>
      </c>
      <c r="D388">
        <v>7</v>
      </c>
      <c r="E388">
        <v>7.87</v>
      </c>
      <c r="F388" t="s">
        <v>7</v>
      </c>
      <c r="G388" t="s">
        <v>3071</v>
      </c>
    </row>
    <row r="389" spans="1:7" x14ac:dyDescent="0.25">
      <c r="A389">
        <v>10598</v>
      </c>
      <c r="B389" t="s">
        <v>547</v>
      </c>
      <c r="C389" t="s">
        <v>3059</v>
      </c>
      <c r="D389">
        <v>4</v>
      </c>
      <c r="E389">
        <v>2.16</v>
      </c>
      <c r="F389" t="s">
        <v>7</v>
      </c>
      <c r="G389" t="s">
        <v>3071</v>
      </c>
    </row>
    <row r="390" spans="1:7" x14ac:dyDescent="0.25">
      <c r="A390">
        <v>10599</v>
      </c>
      <c r="B390" t="s">
        <v>548</v>
      </c>
      <c r="C390" t="s">
        <v>3059</v>
      </c>
      <c r="D390">
        <v>13</v>
      </c>
      <c r="E390">
        <v>35.61</v>
      </c>
      <c r="F390" t="s">
        <v>7</v>
      </c>
      <c r="G390" t="s">
        <v>3071</v>
      </c>
    </row>
    <row r="391" spans="1:7" x14ac:dyDescent="0.25">
      <c r="A391">
        <v>10600</v>
      </c>
      <c r="B391" t="s">
        <v>549</v>
      </c>
      <c r="C391" t="s">
        <v>3059</v>
      </c>
      <c r="D391">
        <v>3</v>
      </c>
      <c r="E391">
        <v>17.89</v>
      </c>
      <c r="F391" t="s">
        <v>7</v>
      </c>
      <c r="G391" t="s">
        <v>3071</v>
      </c>
    </row>
    <row r="392" spans="1:7" x14ac:dyDescent="0.25">
      <c r="A392">
        <v>10616</v>
      </c>
      <c r="B392" t="s">
        <v>562</v>
      </c>
      <c r="C392" t="s">
        <v>3059</v>
      </c>
      <c r="D392">
        <v>23</v>
      </c>
      <c r="E392">
        <v>24.16</v>
      </c>
      <c r="F392" t="s">
        <v>7</v>
      </c>
      <c r="G392" t="s">
        <v>3071</v>
      </c>
    </row>
    <row r="393" spans="1:7" x14ac:dyDescent="0.25">
      <c r="A393">
        <v>10619</v>
      </c>
      <c r="B393" t="s">
        <v>565</v>
      </c>
      <c r="C393" t="s">
        <v>3059</v>
      </c>
      <c r="D393">
        <v>10</v>
      </c>
      <c r="E393">
        <v>9</v>
      </c>
      <c r="F393" t="s">
        <v>7</v>
      </c>
      <c r="G393" t="s">
        <v>3087</v>
      </c>
    </row>
    <row r="394" spans="1:7" x14ac:dyDescent="0.25">
      <c r="A394">
        <v>10649</v>
      </c>
      <c r="B394" t="s">
        <v>594</v>
      </c>
      <c r="C394" t="s">
        <v>3059</v>
      </c>
      <c r="D394">
        <v>176</v>
      </c>
      <c r="E394">
        <v>3</v>
      </c>
      <c r="F394" t="s">
        <v>7</v>
      </c>
      <c r="G394" t="s">
        <v>3087</v>
      </c>
    </row>
    <row r="395" spans="1:7" x14ac:dyDescent="0.25">
      <c r="A395">
        <v>10654</v>
      </c>
      <c r="B395" t="s">
        <v>598</v>
      </c>
      <c r="C395" t="s">
        <v>3059</v>
      </c>
      <c r="D395">
        <v>5</v>
      </c>
      <c r="E395">
        <v>361</v>
      </c>
      <c r="F395" t="s">
        <v>7</v>
      </c>
      <c r="G395" t="s">
        <v>3087</v>
      </c>
    </row>
    <row r="396" spans="1:7" x14ac:dyDescent="0.25">
      <c r="A396">
        <v>10656</v>
      </c>
      <c r="B396" t="s">
        <v>600</v>
      </c>
      <c r="C396" t="s">
        <v>3059</v>
      </c>
      <c r="D396">
        <v>4</v>
      </c>
      <c r="E396">
        <v>572</v>
      </c>
      <c r="F396" t="s">
        <v>7</v>
      </c>
      <c r="G396" t="s">
        <v>3087</v>
      </c>
    </row>
    <row r="397" spans="1:7" x14ac:dyDescent="0.25">
      <c r="A397">
        <v>10683</v>
      </c>
      <c r="B397" t="s">
        <v>625</v>
      </c>
      <c r="C397" t="s">
        <v>3059</v>
      </c>
      <c r="D397">
        <v>10</v>
      </c>
      <c r="E397">
        <v>74</v>
      </c>
      <c r="F397" t="s">
        <v>7</v>
      </c>
      <c r="G397" t="s">
        <v>3087</v>
      </c>
    </row>
    <row r="398" spans="1:7" x14ac:dyDescent="0.25">
      <c r="A398">
        <v>10684</v>
      </c>
      <c r="B398" t="s">
        <v>626</v>
      </c>
      <c r="C398" t="s">
        <v>3059</v>
      </c>
      <c r="D398">
        <v>10</v>
      </c>
      <c r="E398">
        <v>84</v>
      </c>
      <c r="F398" t="s">
        <v>7</v>
      </c>
      <c r="G398" t="s">
        <v>3087</v>
      </c>
    </row>
    <row r="399" spans="1:7" x14ac:dyDescent="0.25">
      <c r="A399">
        <v>10692</v>
      </c>
      <c r="B399" t="s">
        <v>633</v>
      </c>
      <c r="C399" t="s">
        <v>3059</v>
      </c>
      <c r="D399">
        <v>10</v>
      </c>
      <c r="E399">
        <v>18</v>
      </c>
      <c r="F399" t="s">
        <v>7</v>
      </c>
      <c r="G399" t="s">
        <v>3087</v>
      </c>
    </row>
    <row r="400" spans="1:7" x14ac:dyDescent="0.25">
      <c r="A400">
        <v>10695</v>
      </c>
      <c r="B400" t="s">
        <v>636</v>
      </c>
      <c r="C400" t="s">
        <v>3059</v>
      </c>
      <c r="D400">
        <v>30</v>
      </c>
      <c r="E400">
        <v>8.9</v>
      </c>
      <c r="F400" t="s">
        <v>7</v>
      </c>
      <c r="G400" t="s">
        <v>3087</v>
      </c>
    </row>
    <row r="401" spans="1:7" x14ac:dyDescent="0.25">
      <c r="A401">
        <v>10705</v>
      </c>
      <c r="B401" t="s">
        <v>643</v>
      </c>
      <c r="C401" t="s">
        <v>3059</v>
      </c>
      <c r="D401">
        <v>107</v>
      </c>
      <c r="E401">
        <v>7.21</v>
      </c>
      <c r="F401" t="s">
        <v>7</v>
      </c>
      <c r="G401" t="s">
        <v>3103</v>
      </c>
    </row>
    <row r="402" spans="1:7" x14ac:dyDescent="0.25">
      <c r="A402">
        <v>10709</v>
      </c>
      <c r="B402" t="s">
        <v>646</v>
      </c>
      <c r="C402" t="s">
        <v>3059</v>
      </c>
      <c r="D402">
        <v>35</v>
      </c>
      <c r="E402">
        <v>12.85</v>
      </c>
      <c r="F402" t="s">
        <v>7</v>
      </c>
      <c r="G402" t="s">
        <v>3070</v>
      </c>
    </row>
    <row r="403" spans="1:7" x14ac:dyDescent="0.25">
      <c r="A403">
        <v>10712</v>
      </c>
      <c r="B403" t="s">
        <v>647</v>
      </c>
      <c r="C403" t="s">
        <v>3059</v>
      </c>
      <c r="D403">
        <v>8</v>
      </c>
      <c r="E403">
        <v>85.54</v>
      </c>
      <c r="F403" t="s">
        <v>7</v>
      </c>
      <c r="G403" t="s">
        <v>3070</v>
      </c>
    </row>
    <row r="404" spans="1:7" x14ac:dyDescent="0.25">
      <c r="A404">
        <v>10713</v>
      </c>
      <c r="B404" t="s">
        <v>648</v>
      </c>
      <c r="C404" t="s">
        <v>3059</v>
      </c>
      <c r="D404">
        <v>5</v>
      </c>
      <c r="E404">
        <v>8.3699999999999992</v>
      </c>
      <c r="F404" t="s">
        <v>7</v>
      </c>
      <c r="G404" t="s">
        <v>3070</v>
      </c>
    </row>
    <row r="405" spans="1:7" x14ac:dyDescent="0.25">
      <c r="A405">
        <v>10715</v>
      </c>
      <c r="B405" t="s">
        <v>650</v>
      </c>
      <c r="C405" t="s">
        <v>3059</v>
      </c>
      <c r="D405">
        <v>5</v>
      </c>
      <c r="E405">
        <v>1.41</v>
      </c>
      <c r="F405" t="s">
        <v>7</v>
      </c>
      <c r="G405" t="s">
        <v>3070</v>
      </c>
    </row>
    <row r="406" spans="1:7" x14ac:dyDescent="0.25">
      <c r="A406">
        <v>10716</v>
      </c>
      <c r="B406" t="s">
        <v>651</v>
      </c>
      <c r="C406" t="s">
        <v>3059</v>
      </c>
      <c r="D406">
        <v>5</v>
      </c>
      <c r="E406">
        <v>1.49</v>
      </c>
      <c r="F406" t="s">
        <v>7</v>
      </c>
      <c r="G406" t="s">
        <v>3070</v>
      </c>
    </row>
    <row r="407" spans="1:7" x14ac:dyDescent="0.25">
      <c r="A407">
        <v>10720</v>
      </c>
      <c r="B407" t="s">
        <v>652</v>
      </c>
      <c r="C407" t="s">
        <v>3059</v>
      </c>
      <c r="D407">
        <v>5</v>
      </c>
      <c r="E407">
        <v>1.3</v>
      </c>
      <c r="F407" t="s">
        <v>7</v>
      </c>
      <c r="G407" t="s">
        <v>3070</v>
      </c>
    </row>
    <row r="408" spans="1:7" x14ac:dyDescent="0.25">
      <c r="A408">
        <v>10721</v>
      </c>
      <c r="B408" t="s">
        <v>653</v>
      </c>
      <c r="C408" t="s">
        <v>3059</v>
      </c>
      <c r="D408">
        <v>5</v>
      </c>
      <c r="E408">
        <v>3.72</v>
      </c>
      <c r="F408" t="s">
        <v>7</v>
      </c>
      <c r="G408" t="s">
        <v>3070</v>
      </c>
    </row>
    <row r="409" spans="1:7" x14ac:dyDescent="0.25">
      <c r="A409">
        <v>10722</v>
      </c>
      <c r="B409" t="s">
        <v>654</v>
      </c>
      <c r="C409" t="s">
        <v>3059</v>
      </c>
      <c r="D409">
        <v>5</v>
      </c>
      <c r="E409">
        <v>1.49</v>
      </c>
      <c r="F409" t="s">
        <v>7</v>
      </c>
      <c r="G409" t="s">
        <v>3070</v>
      </c>
    </row>
    <row r="410" spans="1:7" x14ac:dyDescent="0.25">
      <c r="A410">
        <v>10724</v>
      </c>
      <c r="B410" t="s">
        <v>656</v>
      </c>
      <c r="C410" t="s">
        <v>3059</v>
      </c>
      <c r="D410">
        <v>10</v>
      </c>
      <c r="E410">
        <v>3.72</v>
      </c>
      <c r="F410" t="s">
        <v>7</v>
      </c>
      <c r="G410" t="s">
        <v>3070</v>
      </c>
    </row>
    <row r="411" spans="1:7" x14ac:dyDescent="0.25">
      <c r="A411">
        <v>10725</v>
      </c>
      <c r="B411" t="s">
        <v>657</v>
      </c>
      <c r="C411" t="s">
        <v>3059</v>
      </c>
      <c r="D411">
        <v>10</v>
      </c>
      <c r="E411">
        <v>0.43</v>
      </c>
      <c r="F411" t="s">
        <v>7</v>
      </c>
      <c r="G411" t="s">
        <v>3070</v>
      </c>
    </row>
    <row r="412" spans="1:7" x14ac:dyDescent="0.25">
      <c r="A412">
        <v>10726</v>
      </c>
      <c r="B412" t="s">
        <v>658</v>
      </c>
      <c r="C412" t="s">
        <v>3059</v>
      </c>
      <c r="D412">
        <v>5</v>
      </c>
      <c r="E412">
        <v>1.68</v>
      </c>
      <c r="F412" t="s">
        <v>7</v>
      </c>
      <c r="G412" t="s">
        <v>3070</v>
      </c>
    </row>
    <row r="413" spans="1:7" x14ac:dyDescent="0.25">
      <c r="A413">
        <v>10727</v>
      </c>
      <c r="B413" t="s">
        <v>659</v>
      </c>
      <c r="C413" t="s">
        <v>3059</v>
      </c>
      <c r="D413">
        <v>8</v>
      </c>
      <c r="E413">
        <v>37</v>
      </c>
      <c r="F413" t="s">
        <v>7</v>
      </c>
      <c r="G413" t="s">
        <v>3070</v>
      </c>
    </row>
    <row r="414" spans="1:7" x14ac:dyDescent="0.25">
      <c r="A414">
        <v>10728</v>
      </c>
      <c r="B414" t="s">
        <v>660</v>
      </c>
      <c r="C414" t="s">
        <v>3059</v>
      </c>
      <c r="D414">
        <v>15</v>
      </c>
      <c r="E414">
        <v>0.56000000000000005</v>
      </c>
      <c r="F414" t="s">
        <v>7</v>
      </c>
      <c r="G414" t="s">
        <v>3070</v>
      </c>
    </row>
    <row r="415" spans="1:7" x14ac:dyDescent="0.25">
      <c r="A415">
        <v>10729</v>
      </c>
      <c r="B415" t="s">
        <v>661</v>
      </c>
      <c r="C415" t="s">
        <v>3059</v>
      </c>
      <c r="D415">
        <v>15</v>
      </c>
      <c r="E415">
        <v>0.56000000000000005</v>
      </c>
      <c r="F415" t="s">
        <v>7</v>
      </c>
      <c r="G415" t="s">
        <v>3070</v>
      </c>
    </row>
    <row r="416" spans="1:7" x14ac:dyDescent="0.25">
      <c r="A416">
        <v>10730</v>
      </c>
      <c r="B416" t="s">
        <v>3104</v>
      </c>
      <c r="C416" t="s">
        <v>3059</v>
      </c>
      <c r="D416">
        <v>10</v>
      </c>
      <c r="E416">
        <v>0.74</v>
      </c>
      <c r="F416" t="s">
        <v>7</v>
      </c>
      <c r="G416" t="s">
        <v>3070</v>
      </c>
    </row>
    <row r="417" spans="1:7" x14ac:dyDescent="0.25">
      <c r="A417">
        <v>10731</v>
      </c>
      <c r="B417" t="s">
        <v>663</v>
      </c>
      <c r="C417" t="s">
        <v>3059</v>
      </c>
      <c r="D417">
        <v>10</v>
      </c>
      <c r="E417">
        <v>0.84</v>
      </c>
      <c r="F417" t="s">
        <v>7</v>
      </c>
      <c r="G417" t="s">
        <v>3070</v>
      </c>
    </row>
    <row r="418" spans="1:7" x14ac:dyDescent="0.25">
      <c r="A418">
        <v>10732</v>
      </c>
      <c r="B418" t="s">
        <v>3105</v>
      </c>
      <c r="C418" t="s">
        <v>3059</v>
      </c>
      <c r="D418">
        <v>15</v>
      </c>
      <c r="E418">
        <v>0.56000000000000005</v>
      </c>
      <c r="F418" t="s">
        <v>7</v>
      </c>
      <c r="G418" t="s">
        <v>3070</v>
      </c>
    </row>
    <row r="419" spans="1:7" x14ac:dyDescent="0.25">
      <c r="A419">
        <v>10733</v>
      </c>
      <c r="B419" t="s">
        <v>665</v>
      </c>
      <c r="C419" t="s">
        <v>3059</v>
      </c>
      <c r="D419">
        <v>10</v>
      </c>
      <c r="E419">
        <v>0.22</v>
      </c>
      <c r="F419" t="s">
        <v>7</v>
      </c>
      <c r="G419" t="s">
        <v>3070</v>
      </c>
    </row>
    <row r="420" spans="1:7" x14ac:dyDescent="0.25">
      <c r="A420">
        <v>10734</v>
      </c>
      <c r="B420" t="s">
        <v>666</v>
      </c>
      <c r="C420" t="s">
        <v>3059</v>
      </c>
      <c r="D420">
        <v>15</v>
      </c>
      <c r="E420">
        <v>7.44</v>
      </c>
      <c r="F420" t="s">
        <v>7</v>
      </c>
      <c r="G420" t="s">
        <v>3070</v>
      </c>
    </row>
    <row r="421" spans="1:7" x14ac:dyDescent="0.25">
      <c r="A421">
        <v>10735</v>
      </c>
      <c r="B421" t="s">
        <v>667</v>
      </c>
      <c r="C421" t="s">
        <v>3059</v>
      </c>
      <c r="D421">
        <v>5</v>
      </c>
      <c r="E421">
        <v>2.6</v>
      </c>
      <c r="F421" t="s">
        <v>7</v>
      </c>
      <c r="G421" t="s">
        <v>3070</v>
      </c>
    </row>
    <row r="422" spans="1:7" x14ac:dyDescent="0.25">
      <c r="A422">
        <v>10737</v>
      </c>
      <c r="B422" t="s">
        <v>669</v>
      </c>
      <c r="C422" t="s">
        <v>3059</v>
      </c>
      <c r="D422">
        <v>10</v>
      </c>
      <c r="E422">
        <v>1.21</v>
      </c>
      <c r="F422" t="s">
        <v>7</v>
      </c>
      <c r="G422" t="s">
        <v>3070</v>
      </c>
    </row>
    <row r="423" spans="1:7" x14ac:dyDescent="0.25">
      <c r="A423">
        <v>10738</v>
      </c>
      <c r="B423" t="s">
        <v>670</v>
      </c>
      <c r="C423" t="s">
        <v>3059</v>
      </c>
      <c r="D423">
        <v>10</v>
      </c>
      <c r="E423">
        <v>0.56000000000000005</v>
      </c>
      <c r="F423" t="s">
        <v>7</v>
      </c>
      <c r="G423" t="s">
        <v>3070</v>
      </c>
    </row>
    <row r="424" spans="1:7" x14ac:dyDescent="0.25">
      <c r="A424">
        <v>10739</v>
      </c>
      <c r="B424" t="s">
        <v>671</v>
      </c>
      <c r="C424" t="s">
        <v>3059</v>
      </c>
      <c r="D424">
        <v>4</v>
      </c>
      <c r="E424">
        <v>50.21</v>
      </c>
      <c r="F424" t="s">
        <v>7</v>
      </c>
      <c r="G424" t="s">
        <v>3070</v>
      </c>
    </row>
    <row r="425" spans="1:7" x14ac:dyDescent="0.25">
      <c r="A425">
        <v>10740</v>
      </c>
      <c r="B425" t="s">
        <v>672</v>
      </c>
      <c r="C425" t="s">
        <v>3059</v>
      </c>
      <c r="D425">
        <v>5</v>
      </c>
      <c r="E425">
        <v>46.49</v>
      </c>
      <c r="F425" t="s">
        <v>7</v>
      </c>
      <c r="G425" t="s">
        <v>3070</v>
      </c>
    </row>
    <row r="426" spans="1:7" x14ac:dyDescent="0.25">
      <c r="A426">
        <v>10741</v>
      </c>
      <c r="B426" t="s">
        <v>673</v>
      </c>
      <c r="C426" t="s">
        <v>3059</v>
      </c>
      <c r="D426">
        <v>1</v>
      </c>
      <c r="E426">
        <v>42.77</v>
      </c>
      <c r="F426" t="s">
        <v>7</v>
      </c>
      <c r="G426" t="s">
        <v>3070</v>
      </c>
    </row>
    <row r="427" spans="1:7" x14ac:dyDescent="0.25">
      <c r="A427">
        <v>10742</v>
      </c>
      <c r="B427" t="s">
        <v>674</v>
      </c>
      <c r="C427" t="s">
        <v>3059</v>
      </c>
      <c r="D427">
        <v>5</v>
      </c>
      <c r="E427">
        <v>79.959999999999994</v>
      </c>
      <c r="F427" t="s">
        <v>7</v>
      </c>
      <c r="G427" t="s">
        <v>3070</v>
      </c>
    </row>
    <row r="428" spans="1:7" x14ac:dyDescent="0.25">
      <c r="A428">
        <v>10743</v>
      </c>
      <c r="B428" t="s">
        <v>675</v>
      </c>
      <c r="C428" t="s">
        <v>3059</v>
      </c>
      <c r="D428">
        <v>5</v>
      </c>
      <c r="E428">
        <v>92.98</v>
      </c>
      <c r="F428" t="s">
        <v>7</v>
      </c>
      <c r="G428" t="s">
        <v>3070</v>
      </c>
    </row>
    <row r="429" spans="1:7" x14ac:dyDescent="0.25">
      <c r="A429">
        <v>10744</v>
      </c>
      <c r="B429" t="s">
        <v>3106</v>
      </c>
      <c r="C429" t="s">
        <v>3059</v>
      </c>
      <c r="D429">
        <v>10</v>
      </c>
      <c r="E429">
        <v>139.47</v>
      </c>
      <c r="F429" t="s">
        <v>7</v>
      </c>
      <c r="G429" t="s">
        <v>3070</v>
      </c>
    </row>
    <row r="430" spans="1:7" x14ac:dyDescent="0.25">
      <c r="A430">
        <v>10760</v>
      </c>
      <c r="B430" t="s">
        <v>682</v>
      </c>
      <c r="C430" t="s">
        <v>3059</v>
      </c>
      <c r="D430">
        <v>576</v>
      </c>
      <c r="E430">
        <v>27.5</v>
      </c>
      <c r="F430" t="s">
        <v>7</v>
      </c>
      <c r="G430" t="s">
        <v>3087</v>
      </c>
    </row>
    <row r="431" spans="1:7" x14ac:dyDescent="0.25">
      <c r="A431">
        <v>10761</v>
      </c>
      <c r="B431" t="s">
        <v>683</v>
      </c>
      <c r="C431" t="s">
        <v>3059</v>
      </c>
      <c r="D431">
        <v>72</v>
      </c>
      <c r="E431">
        <v>46</v>
      </c>
      <c r="F431" t="s">
        <v>7</v>
      </c>
      <c r="G431" t="s">
        <v>3087</v>
      </c>
    </row>
    <row r="432" spans="1:7" x14ac:dyDescent="0.25">
      <c r="A432">
        <v>10762</v>
      </c>
      <c r="B432" t="s">
        <v>684</v>
      </c>
      <c r="C432" t="s">
        <v>3059</v>
      </c>
      <c r="D432">
        <v>12</v>
      </c>
      <c r="E432">
        <v>123</v>
      </c>
      <c r="F432" t="s">
        <v>7</v>
      </c>
      <c r="G432" t="s">
        <v>3087</v>
      </c>
    </row>
    <row r="433" spans="1:7" x14ac:dyDescent="0.25">
      <c r="A433">
        <v>10768</v>
      </c>
      <c r="B433" t="s">
        <v>688</v>
      </c>
      <c r="C433" t="s">
        <v>3059</v>
      </c>
      <c r="D433">
        <v>11</v>
      </c>
      <c r="E433">
        <v>25</v>
      </c>
      <c r="F433" t="s">
        <v>7</v>
      </c>
      <c r="G433" t="s">
        <v>3087</v>
      </c>
    </row>
    <row r="434" spans="1:7" x14ac:dyDescent="0.25">
      <c r="A434">
        <v>10792</v>
      </c>
      <c r="B434" t="s">
        <v>712</v>
      </c>
      <c r="C434" t="s">
        <v>3059</v>
      </c>
      <c r="D434">
        <v>10</v>
      </c>
      <c r="E434">
        <v>26</v>
      </c>
      <c r="F434" t="s">
        <v>7</v>
      </c>
      <c r="G434" t="s">
        <v>3087</v>
      </c>
    </row>
    <row r="435" spans="1:7" x14ac:dyDescent="0.25">
      <c r="A435">
        <v>10834</v>
      </c>
      <c r="B435" t="s">
        <v>753</v>
      </c>
      <c r="C435" t="s">
        <v>3059</v>
      </c>
      <c r="D435">
        <v>11</v>
      </c>
      <c r="E435">
        <v>340</v>
      </c>
      <c r="F435" t="s">
        <v>7</v>
      </c>
      <c r="G435" t="s">
        <v>3064</v>
      </c>
    </row>
    <row r="436" spans="1:7" x14ac:dyDescent="0.25">
      <c r="A436">
        <v>10837</v>
      </c>
      <c r="B436" t="s">
        <v>756</v>
      </c>
      <c r="C436" t="s">
        <v>3059</v>
      </c>
      <c r="D436">
        <v>13</v>
      </c>
      <c r="E436">
        <v>739.2</v>
      </c>
      <c r="F436" t="s">
        <v>7</v>
      </c>
      <c r="G436" t="s">
        <v>3064</v>
      </c>
    </row>
    <row r="437" spans="1:7" x14ac:dyDescent="0.25">
      <c r="A437">
        <v>10838</v>
      </c>
      <c r="B437" t="s">
        <v>757</v>
      </c>
      <c r="C437" t="s">
        <v>3059</v>
      </c>
      <c r="D437">
        <v>15</v>
      </c>
      <c r="E437">
        <v>662</v>
      </c>
      <c r="F437" t="s">
        <v>7</v>
      </c>
      <c r="G437" t="s">
        <v>3064</v>
      </c>
    </row>
    <row r="438" spans="1:7" x14ac:dyDescent="0.25">
      <c r="A438">
        <v>10839</v>
      </c>
      <c r="B438" t="s">
        <v>758</v>
      </c>
      <c r="C438" t="s">
        <v>3059</v>
      </c>
      <c r="D438">
        <v>8</v>
      </c>
      <c r="E438">
        <v>645</v>
      </c>
      <c r="F438" t="s">
        <v>7</v>
      </c>
      <c r="G438" t="s">
        <v>3064</v>
      </c>
    </row>
    <row r="439" spans="1:7" x14ac:dyDescent="0.25">
      <c r="A439">
        <v>10848</v>
      </c>
      <c r="B439" t="s">
        <v>765</v>
      </c>
      <c r="C439" t="s">
        <v>3059</v>
      </c>
      <c r="D439">
        <v>2</v>
      </c>
      <c r="E439">
        <v>2565</v>
      </c>
      <c r="F439" t="s">
        <v>7</v>
      </c>
      <c r="G439" t="s">
        <v>3073</v>
      </c>
    </row>
    <row r="440" spans="1:7" x14ac:dyDescent="0.25">
      <c r="A440">
        <v>10869</v>
      </c>
      <c r="B440" t="s">
        <v>770</v>
      </c>
      <c r="C440" t="s">
        <v>3059</v>
      </c>
      <c r="D440">
        <v>2</v>
      </c>
      <c r="E440">
        <v>3431.83</v>
      </c>
      <c r="F440" t="s">
        <v>7</v>
      </c>
      <c r="G440" t="s">
        <v>3070</v>
      </c>
    </row>
    <row r="441" spans="1:7" x14ac:dyDescent="0.25">
      <c r="A441">
        <v>10870</v>
      </c>
      <c r="B441" t="s">
        <v>771</v>
      </c>
      <c r="C441" t="s">
        <v>3059</v>
      </c>
      <c r="D441">
        <v>2</v>
      </c>
      <c r="E441">
        <v>1734.15</v>
      </c>
      <c r="F441" t="s">
        <v>7</v>
      </c>
      <c r="G441" t="s">
        <v>3070</v>
      </c>
    </row>
    <row r="442" spans="1:7" x14ac:dyDescent="0.25">
      <c r="A442">
        <v>10927</v>
      </c>
      <c r="B442" t="s">
        <v>819</v>
      </c>
      <c r="C442" t="s">
        <v>3059</v>
      </c>
      <c r="D442">
        <v>1</v>
      </c>
      <c r="E442">
        <v>228.08</v>
      </c>
      <c r="F442" t="s">
        <v>7</v>
      </c>
      <c r="G442" t="s">
        <v>3074</v>
      </c>
    </row>
    <row r="443" spans="1:7" x14ac:dyDescent="0.25">
      <c r="A443">
        <v>10934</v>
      </c>
      <c r="B443" t="s">
        <v>826</v>
      </c>
      <c r="C443" t="s">
        <v>3059</v>
      </c>
      <c r="D443">
        <v>13</v>
      </c>
      <c r="E443">
        <v>82.31</v>
      </c>
      <c r="F443" t="s">
        <v>7</v>
      </c>
      <c r="G443" t="s">
        <v>3100</v>
      </c>
    </row>
    <row r="444" spans="1:7" x14ac:dyDescent="0.25">
      <c r="A444">
        <v>10935</v>
      </c>
      <c r="B444" t="s">
        <v>827</v>
      </c>
      <c r="C444" t="s">
        <v>3059</v>
      </c>
      <c r="D444">
        <v>79</v>
      </c>
      <c r="E444">
        <v>109.74</v>
      </c>
      <c r="F444" t="s">
        <v>7</v>
      </c>
      <c r="G444" t="s">
        <v>3100</v>
      </c>
    </row>
    <row r="445" spans="1:7" x14ac:dyDescent="0.25">
      <c r="A445">
        <v>10938</v>
      </c>
      <c r="B445" t="s">
        <v>829</v>
      </c>
      <c r="C445" t="s">
        <v>3059</v>
      </c>
      <c r="D445">
        <v>1</v>
      </c>
      <c r="E445">
        <v>1413.62</v>
      </c>
      <c r="F445" t="s">
        <v>7</v>
      </c>
      <c r="G445" t="s">
        <v>3084</v>
      </c>
    </row>
    <row r="446" spans="1:7" x14ac:dyDescent="0.25">
      <c r="A446">
        <v>10941</v>
      </c>
      <c r="B446" t="s">
        <v>832</v>
      </c>
      <c r="C446" t="s">
        <v>3059</v>
      </c>
      <c r="D446">
        <v>1</v>
      </c>
      <c r="E446">
        <v>2299.94</v>
      </c>
      <c r="F446" t="s">
        <v>7</v>
      </c>
      <c r="G446" t="s">
        <v>3084</v>
      </c>
    </row>
    <row r="447" spans="1:7" x14ac:dyDescent="0.25">
      <c r="A447">
        <v>10944</v>
      </c>
      <c r="B447" t="s">
        <v>834</v>
      </c>
      <c r="C447" t="s">
        <v>3059</v>
      </c>
      <c r="D447">
        <v>2</v>
      </c>
      <c r="E447">
        <v>2103.61</v>
      </c>
      <c r="F447" t="s">
        <v>7</v>
      </c>
      <c r="G447" t="s">
        <v>3084</v>
      </c>
    </row>
    <row r="448" spans="1:7" x14ac:dyDescent="0.25">
      <c r="A448">
        <v>10945</v>
      </c>
      <c r="B448" t="s">
        <v>835</v>
      </c>
      <c r="C448" t="s">
        <v>3059</v>
      </c>
      <c r="D448">
        <v>1</v>
      </c>
      <c r="E448">
        <v>2339.21</v>
      </c>
      <c r="F448" t="s">
        <v>7</v>
      </c>
      <c r="G448" t="s">
        <v>3084</v>
      </c>
    </row>
    <row r="449" spans="1:7" x14ac:dyDescent="0.25">
      <c r="A449">
        <v>10950</v>
      </c>
      <c r="B449" t="s">
        <v>840</v>
      </c>
      <c r="C449" t="s">
        <v>3059</v>
      </c>
      <c r="D449">
        <v>8</v>
      </c>
      <c r="E449">
        <v>1901.66</v>
      </c>
      <c r="F449" t="s">
        <v>7</v>
      </c>
      <c r="G449" t="s">
        <v>3084</v>
      </c>
    </row>
    <row r="450" spans="1:7" x14ac:dyDescent="0.25">
      <c r="A450">
        <v>10988</v>
      </c>
      <c r="B450" t="s">
        <v>865</v>
      </c>
      <c r="C450" t="s">
        <v>3059</v>
      </c>
      <c r="D450">
        <v>2</v>
      </c>
      <c r="E450">
        <v>1461.86</v>
      </c>
      <c r="F450" t="s">
        <v>7</v>
      </c>
      <c r="G450" t="s">
        <v>3070</v>
      </c>
    </row>
    <row r="451" spans="1:7" x14ac:dyDescent="0.25">
      <c r="A451">
        <v>10989</v>
      </c>
      <c r="B451" t="s">
        <v>866</v>
      </c>
      <c r="C451" t="s">
        <v>3059</v>
      </c>
      <c r="D451">
        <v>5</v>
      </c>
      <c r="E451">
        <v>0.5</v>
      </c>
      <c r="F451" t="s">
        <v>7</v>
      </c>
      <c r="G451" t="s">
        <v>3070</v>
      </c>
    </row>
    <row r="452" spans="1:7" x14ac:dyDescent="0.25">
      <c r="A452">
        <v>10990</v>
      </c>
      <c r="B452" t="s">
        <v>867</v>
      </c>
      <c r="C452" t="s">
        <v>3059</v>
      </c>
      <c r="D452">
        <v>5</v>
      </c>
      <c r="E452">
        <v>0.5</v>
      </c>
      <c r="F452" t="s">
        <v>7</v>
      </c>
      <c r="G452" t="s">
        <v>3070</v>
      </c>
    </row>
    <row r="453" spans="1:7" x14ac:dyDescent="0.25">
      <c r="A453">
        <v>10992</v>
      </c>
      <c r="B453" t="s">
        <v>869</v>
      </c>
      <c r="C453" t="s">
        <v>3059</v>
      </c>
      <c r="D453">
        <v>5</v>
      </c>
      <c r="E453">
        <v>0.5</v>
      </c>
      <c r="F453" t="s">
        <v>7</v>
      </c>
      <c r="G453" t="s">
        <v>3070</v>
      </c>
    </row>
    <row r="454" spans="1:7" x14ac:dyDescent="0.25">
      <c r="A454">
        <v>10995</v>
      </c>
      <c r="B454" t="s">
        <v>872</v>
      </c>
      <c r="C454" t="s">
        <v>3059</v>
      </c>
      <c r="D454">
        <v>5</v>
      </c>
      <c r="E454">
        <v>0.5</v>
      </c>
      <c r="F454" t="s">
        <v>7</v>
      </c>
      <c r="G454" t="s">
        <v>3070</v>
      </c>
    </row>
    <row r="455" spans="1:7" x14ac:dyDescent="0.25">
      <c r="A455">
        <v>10996</v>
      </c>
      <c r="B455" t="s">
        <v>873</v>
      </c>
      <c r="C455" t="s">
        <v>3059</v>
      </c>
      <c r="D455">
        <v>1</v>
      </c>
      <c r="E455">
        <v>19.25</v>
      </c>
      <c r="F455" t="s">
        <v>7</v>
      </c>
      <c r="G455" t="s">
        <v>3070</v>
      </c>
    </row>
    <row r="456" spans="1:7" x14ac:dyDescent="0.25">
      <c r="A456">
        <v>10997</v>
      </c>
      <c r="B456" t="s">
        <v>874</v>
      </c>
      <c r="C456" t="s">
        <v>3059</v>
      </c>
      <c r="D456">
        <v>6</v>
      </c>
      <c r="E456">
        <v>20.76</v>
      </c>
      <c r="F456" t="s">
        <v>7</v>
      </c>
      <c r="G456" t="s">
        <v>3070</v>
      </c>
    </row>
    <row r="457" spans="1:7" x14ac:dyDescent="0.25">
      <c r="A457">
        <v>10998</v>
      </c>
      <c r="B457" t="s">
        <v>875</v>
      </c>
      <c r="C457" t="s">
        <v>3059</v>
      </c>
      <c r="D457">
        <v>3</v>
      </c>
      <c r="E457">
        <v>32.450000000000003</v>
      </c>
      <c r="F457" t="s">
        <v>7</v>
      </c>
      <c r="G457" t="s">
        <v>3070</v>
      </c>
    </row>
    <row r="458" spans="1:7" x14ac:dyDescent="0.25">
      <c r="A458">
        <v>20000</v>
      </c>
      <c r="B458" t="s">
        <v>3107</v>
      </c>
      <c r="C458" t="s">
        <v>3059</v>
      </c>
      <c r="D458">
        <v>25</v>
      </c>
      <c r="E458">
        <v>32</v>
      </c>
      <c r="F458" t="s">
        <v>3065</v>
      </c>
      <c r="G458" t="s">
        <v>3066</v>
      </c>
    </row>
    <row r="459" spans="1:7" x14ac:dyDescent="0.25">
      <c r="A459">
        <v>20001</v>
      </c>
      <c r="B459" t="s">
        <v>877</v>
      </c>
      <c r="C459" t="s">
        <v>3063</v>
      </c>
      <c r="D459">
        <v>24</v>
      </c>
      <c r="E459">
        <v>30</v>
      </c>
      <c r="F459" t="s">
        <v>7</v>
      </c>
      <c r="G459" t="s">
        <v>3066</v>
      </c>
    </row>
    <row r="460" spans="1:7" x14ac:dyDescent="0.25">
      <c r="A460">
        <v>20002</v>
      </c>
      <c r="B460" t="s">
        <v>878</v>
      </c>
      <c r="C460" t="s">
        <v>3059</v>
      </c>
      <c r="D460">
        <v>10</v>
      </c>
      <c r="E460">
        <v>351.81</v>
      </c>
      <c r="F460" t="s">
        <v>7</v>
      </c>
      <c r="G460" t="s">
        <v>3073</v>
      </c>
    </row>
    <row r="461" spans="1:7" x14ac:dyDescent="0.25">
      <c r="A461">
        <v>20006</v>
      </c>
      <c r="B461" t="s">
        <v>881</v>
      </c>
      <c r="C461" t="s">
        <v>3059</v>
      </c>
      <c r="D461">
        <v>208</v>
      </c>
      <c r="E461">
        <v>2.44</v>
      </c>
      <c r="F461" t="s">
        <v>7</v>
      </c>
      <c r="G461" t="s">
        <v>3073</v>
      </c>
    </row>
    <row r="462" spans="1:7" x14ac:dyDescent="0.25">
      <c r="A462">
        <v>20007</v>
      </c>
      <c r="B462" t="s">
        <v>882</v>
      </c>
      <c r="C462" t="s">
        <v>3059</v>
      </c>
      <c r="D462">
        <v>234</v>
      </c>
      <c r="E462">
        <v>2.64</v>
      </c>
      <c r="F462" t="s">
        <v>7</v>
      </c>
      <c r="G462" t="s">
        <v>3073</v>
      </c>
    </row>
    <row r="463" spans="1:7" x14ac:dyDescent="0.25">
      <c r="A463">
        <v>20008</v>
      </c>
      <c r="B463" t="s">
        <v>883</v>
      </c>
      <c r="C463" t="s">
        <v>3059</v>
      </c>
      <c r="D463">
        <v>2</v>
      </c>
      <c r="E463">
        <v>121</v>
      </c>
      <c r="F463" t="s">
        <v>7</v>
      </c>
      <c r="G463" t="s">
        <v>3083</v>
      </c>
    </row>
    <row r="464" spans="1:7" x14ac:dyDescent="0.25">
      <c r="A464">
        <v>2491</v>
      </c>
      <c r="B464" t="s">
        <v>915</v>
      </c>
      <c r="C464" t="s">
        <v>3059</v>
      </c>
      <c r="D464">
        <v>41</v>
      </c>
      <c r="E464">
        <v>1385</v>
      </c>
      <c r="F464" t="s">
        <v>7</v>
      </c>
      <c r="G464" t="s">
        <v>3083</v>
      </c>
    </row>
    <row r="465" spans="1:7" x14ac:dyDescent="0.25">
      <c r="A465">
        <v>4805</v>
      </c>
      <c r="B465" t="s">
        <v>917</v>
      </c>
      <c r="C465" t="s">
        <v>3059</v>
      </c>
      <c r="D465">
        <v>5</v>
      </c>
      <c r="E465">
        <v>292</v>
      </c>
      <c r="F465" t="s">
        <v>7</v>
      </c>
      <c r="G465" t="s">
        <v>3062</v>
      </c>
    </row>
    <row r="466" spans="1:7" x14ac:dyDescent="0.25">
      <c r="A466">
        <v>4806</v>
      </c>
      <c r="B466" t="s">
        <v>918</v>
      </c>
      <c r="C466" t="s">
        <v>3059</v>
      </c>
      <c r="D466">
        <v>43</v>
      </c>
      <c r="E466">
        <v>290.2</v>
      </c>
      <c r="F466" t="s">
        <v>7</v>
      </c>
      <c r="G466" t="s">
        <v>3062</v>
      </c>
    </row>
    <row r="467" spans="1:7" x14ac:dyDescent="0.25">
      <c r="A467">
        <v>4830</v>
      </c>
      <c r="B467" t="s">
        <v>919</v>
      </c>
      <c r="C467" t="s">
        <v>3059</v>
      </c>
      <c r="D467">
        <v>118</v>
      </c>
      <c r="E467">
        <v>289.19</v>
      </c>
      <c r="F467" t="s">
        <v>7</v>
      </c>
      <c r="G467" t="s">
        <v>3062</v>
      </c>
    </row>
    <row r="468" spans="1:7" x14ac:dyDescent="0.25">
      <c r="A468">
        <v>4862</v>
      </c>
      <c r="B468" t="s">
        <v>924</v>
      </c>
      <c r="C468" t="s">
        <v>3059</v>
      </c>
      <c r="D468">
        <v>76</v>
      </c>
      <c r="E468">
        <v>5</v>
      </c>
      <c r="F468" t="s">
        <v>7</v>
      </c>
      <c r="G468" t="s">
        <v>3109</v>
      </c>
    </row>
    <row r="469" spans="1:7" x14ac:dyDescent="0.25">
      <c r="A469">
        <v>4868</v>
      </c>
      <c r="B469" t="s">
        <v>926</v>
      </c>
      <c r="C469" t="s">
        <v>3059</v>
      </c>
      <c r="D469">
        <v>109</v>
      </c>
      <c r="E469">
        <v>20</v>
      </c>
      <c r="F469" t="s">
        <v>7</v>
      </c>
      <c r="G469" t="s">
        <v>3110</v>
      </c>
    </row>
    <row r="470" spans="1:7" x14ac:dyDescent="0.25">
      <c r="A470">
        <v>4871</v>
      </c>
      <c r="B470" t="s">
        <v>927</v>
      </c>
      <c r="C470" t="s">
        <v>3059</v>
      </c>
      <c r="D470">
        <v>22</v>
      </c>
      <c r="E470">
        <v>70</v>
      </c>
      <c r="F470" t="s">
        <v>7</v>
      </c>
      <c r="G470" t="s">
        <v>3110</v>
      </c>
    </row>
    <row r="471" spans="1:7" x14ac:dyDescent="0.25">
      <c r="A471">
        <v>4874</v>
      </c>
      <c r="B471" t="s">
        <v>928</v>
      </c>
      <c r="C471" t="s">
        <v>3059</v>
      </c>
      <c r="D471">
        <v>17</v>
      </c>
      <c r="E471">
        <v>6.5</v>
      </c>
      <c r="F471" t="s">
        <v>7</v>
      </c>
      <c r="G471" t="s">
        <v>3110</v>
      </c>
    </row>
    <row r="472" spans="1:7" x14ac:dyDescent="0.25">
      <c r="A472">
        <v>4875</v>
      </c>
      <c r="B472" t="s">
        <v>929</v>
      </c>
      <c r="C472" t="s">
        <v>3059</v>
      </c>
      <c r="D472">
        <v>19</v>
      </c>
      <c r="E472">
        <v>6.5</v>
      </c>
      <c r="F472" t="s">
        <v>7</v>
      </c>
      <c r="G472" t="s">
        <v>3110</v>
      </c>
    </row>
    <row r="473" spans="1:7" x14ac:dyDescent="0.25">
      <c r="A473">
        <v>4876</v>
      </c>
      <c r="B473" t="s">
        <v>3111</v>
      </c>
      <c r="C473" t="s">
        <v>3059</v>
      </c>
      <c r="D473">
        <v>129</v>
      </c>
      <c r="E473">
        <v>15.82</v>
      </c>
      <c r="F473" t="s">
        <v>7</v>
      </c>
      <c r="G473" t="s">
        <v>3110</v>
      </c>
    </row>
    <row r="474" spans="1:7" x14ac:dyDescent="0.25">
      <c r="A474">
        <v>4877</v>
      </c>
      <c r="B474" t="s">
        <v>931</v>
      </c>
      <c r="C474" t="s">
        <v>3059</v>
      </c>
      <c r="D474">
        <v>760</v>
      </c>
      <c r="E474">
        <v>9</v>
      </c>
      <c r="F474" t="s">
        <v>7</v>
      </c>
      <c r="G474" t="s">
        <v>3110</v>
      </c>
    </row>
    <row r="475" spans="1:7" x14ac:dyDescent="0.25">
      <c r="A475">
        <v>4880</v>
      </c>
      <c r="B475" t="s">
        <v>932</v>
      </c>
      <c r="C475" t="s">
        <v>3059</v>
      </c>
      <c r="D475">
        <v>129</v>
      </c>
      <c r="E475">
        <v>94</v>
      </c>
      <c r="F475" t="s">
        <v>7</v>
      </c>
      <c r="G475" t="s">
        <v>3062</v>
      </c>
    </row>
    <row r="476" spans="1:7" x14ac:dyDescent="0.25">
      <c r="A476">
        <v>4885</v>
      </c>
      <c r="B476" t="s">
        <v>934</v>
      </c>
      <c r="C476" t="s">
        <v>3059</v>
      </c>
      <c r="D476">
        <v>97</v>
      </c>
      <c r="E476">
        <v>7</v>
      </c>
      <c r="F476" t="s">
        <v>7</v>
      </c>
      <c r="G476" t="s">
        <v>3110</v>
      </c>
    </row>
    <row r="477" spans="1:7" x14ac:dyDescent="0.25">
      <c r="A477">
        <v>4902</v>
      </c>
      <c r="B477" t="s">
        <v>3112</v>
      </c>
      <c r="C477" t="s">
        <v>3059</v>
      </c>
      <c r="D477">
        <v>6</v>
      </c>
      <c r="E477">
        <v>35</v>
      </c>
      <c r="F477" t="s">
        <v>7</v>
      </c>
      <c r="G477" t="s">
        <v>3110</v>
      </c>
    </row>
    <row r="478" spans="1:7" x14ac:dyDescent="0.25">
      <c r="A478">
        <v>4910</v>
      </c>
      <c r="B478" t="s">
        <v>939</v>
      </c>
      <c r="C478" t="s">
        <v>3059</v>
      </c>
      <c r="D478">
        <v>9</v>
      </c>
      <c r="E478">
        <v>5.69</v>
      </c>
      <c r="F478" t="s">
        <v>7</v>
      </c>
      <c r="G478" t="s">
        <v>3110</v>
      </c>
    </row>
    <row r="479" spans="1:7" x14ac:dyDescent="0.25">
      <c r="A479">
        <v>4918</v>
      </c>
      <c r="B479" t="s">
        <v>3113</v>
      </c>
      <c r="C479" t="s">
        <v>3059</v>
      </c>
      <c r="D479">
        <v>83</v>
      </c>
      <c r="E479">
        <v>1.06</v>
      </c>
      <c r="F479" t="s">
        <v>7</v>
      </c>
      <c r="G479" t="s">
        <v>3108</v>
      </c>
    </row>
    <row r="480" spans="1:7" x14ac:dyDescent="0.25">
      <c r="A480">
        <v>4941</v>
      </c>
      <c r="B480" t="s">
        <v>945</v>
      </c>
      <c r="C480" t="s">
        <v>3059</v>
      </c>
      <c r="D480">
        <v>70</v>
      </c>
      <c r="E480">
        <v>4.75</v>
      </c>
      <c r="F480" t="s">
        <v>7</v>
      </c>
      <c r="G480" t="s">
        <v>3110</v>
      </c>
    </row>
    <row r="481" spans="1:7" x14ac:dyDescent="0.25">
      <c r="A481">
        <v>4942</v>
      </c>
      <c r="B481" t="s">
        <v>946</v>
      </c>
      <c r="C481" t="s">
        <v>3059</v>
      </c>
      <c r="D481">
        <v>49</v>
      </c>
      <c r="E481">
        <v>4.75</v>
      </c>
      <c r="F481" t="s">
        <v>7</v>
      </c>
      <c r="G481" t="s">
        <v>3110</v>
      </c>
    </row>
    <row r="482" spans="1:7" x14ac:dyDescent="0.25">
      <c r="A482">
        <v>4968</v>
      </c>
      <c r="B482" t="s">
        <v>949</v>
      </c>
      <c r="C482" t="s">
        <v>3059</v>
      </c>
      <c r="D482">
        <v>50221</v>
      </c>
      <c r="E482">
        <v>1</v>
      </c>
      <c r="F482" t="s">
        <v>7</v>
      </c>
      <c r="G482" t="s">
        <v>3115</v>
      </c>
    </row>
    <row r="483" spans="1:7" x14ac:dyDescent="0.25">
      <c r="A483">
        <v>4969</v>
      </c>
      <c r="B483" t="s">
        <v>950</v>
      </c>
      <c r="C483" t="s">
        <v>3059</v>
      </c>
      <c r="D483">
        <v>14321</v>
      </c>
      <c r="E483">
        <v>1.32</v>
      </c>
      <c r="F483" t="s">
        <v>7</v>
      </c>
      <c r="G483" t="s">
        <v>3115</v>
      </c>
    </row>
    <row r="484" spans="1:7" x14ac:dyDescent="0.25">
      <c r="A484">
        <v>5013</v>
      </c>
      <c r="B484" t="s">
        <v>952</v>
      </c>
      <c r="C484" t="s">
        <v>3059</v>
      </c>
      <c r="D484">
        <v>8</v>
      </c>
      <c r="E484">
        <v>15.5</v>
      </c>
      <c r="F484" t="s">
        <v>7</v>
      </c>
      <c r="G484" t="s">
        <v>3114</v>
      </c>
    </row>
    <row r="485" spans="1:7" x14ac:dyDescent="0.25">
      <c r="A485">
        <v>5087</v>
      </c>
      <c r="B485" t="s">
        <v>955</v>
      </c>
      <c r="C485" t="s">
        <v>3059</v>
      </c>
      <c r="D485">
        <v>17</v>
      </c>
      <c r="E485">
        <v>1.9</v>
      </c>
      <c r="F485" t="s">
        <v>7</v>
      </c>
      <c r="G485" t="s">
        <v>3062</v>
      </c>
    </row>
    <row r="486" spans="1:7" x14ac:dyDescent="0.25">
      <c r="A486">
        <v>5089</v>
      </c>
      <c r="B486" t="s">
        <v>956</v>
      </c>
      <c r="C486" t="s">
        <v>3059</v>
      </c>
      <c r="D486">
        <v>2</v>
      </c>
      <c r="E486">
        <v>6</v>
      </c>
      <c r="F486" t="s">
        <v>7</v>
      </c>
      <c r="G486" t="s">
        <v>3114</v>
      </c>
    </row>
    <row r="487" spans="1:7" x14ac:dyDescent="0.25">
      <c r="A487">
        <v>5099</v>
      </c>
      <c r="B487" t="s">
        <v>3117</v>
      </c>
      <c r="C487" t="s">
        <v>3059</v>
      </c>
      <c r="D487">
        <v>720</v>
      </c>
      <c r="E487">
        <v>22.26</v>
      </c>
      <c r="F487" t="s">
        <v>7</v>
      </c>
      <c r="G487" t="s">
        <v>3114</v>
      </c>
    </row>
    <row r="488" spans="1:7" x14ac:dyDescent="0.25">
      <c r="A488">
        <v>5105</v>
      </c>
      <c r="B488" t="s">
        <v>958</v>
      </c>
      <c r="C488" t="s">
        <v>3059</v>
      </c>
      <c r="D488">
        <v>1</v>
      </c>
      <c r="E488">
        <v>40</v>
      </c>
      <c r="F488" t="s">
        <v>7</v>
      </c>
      <c r="G488" t="s">
        <v>3118</v>
      </c>
    </row>
    <row r="489" spans="1:7" x14ac:dyDescent="0.25">
      <c r="A489">
        <v>51252</v>
      </c>
      <c r="B489" t="s">
        <v>961</v>
      </c>
      <c r="C489" t="s">
        <v>3059</v>
      </c>
      <c r="D489">
        <v>18</v>
      </c>
      <c r="E489">
        <v>14.54</v>
      </c>
      <c r="F489" t="s">
        <v>7</v>
      </c>
      <c r="G489" t="s">
        <v>3103</v>
      </c>
    </row>
    <row r="490" spans="1:7" x14ac:dyDescent="0.25">
      <c r="A490">
        <v>51253</v>
      </c>
      <c r="B490" t="s">
        <v>962</v>
      </c>
      <c r="C490" t="s">
        <v>3059</v>
      </c>
      <c r="D490">
        <v>16</v>
      </c>
      <c r="E490">
        <v>15.6</v>
      </c>
      <c r="F490" t="s">
        <v>7</v>
      </c>
      <c r="G490" t="s">
        <v>3118</v>
      </c>
    </row>
    <row r="491" spans="1:7" x14ac:dyDescent="0.25">
      <c r="A491">
        <v>51255</v>
      </c>
      <c r="B491" t="s">
        <v>964</v>
      </c>
      <c r="C491" t="s">
        <v>3059</v>
      </c>
      <c r="D491">
        <v>64</v>
      </c>
      <c r="E491">
        <v>14.28</v>
      </c>
      <c r="F491" t="s">
        <v>7</v>
      </c>
      <c r="G491" t="s">
        <v>3103</v>
      </c>
    </row>
    <row r="492" spans="1:7" x14ac:dyDescent="0.25">
      <c r="A492">
        <v>51256</v>
      </c>
      <c r="B492" t="s">
        <v>965</v>
      </c>
      <c r="C492" t="s">
        <v>3059</v>
      </c>
      <c r="D492">
        <v>103</v>
      </c>
      <c r="E492">
        <v>14.63</v>
      </c>
      <c r="F492" t="s">
        <v>7</v>
      </c>
      <c r="G492" t="s">
        <v>3103</v>
      </c>
    </row>
    <row r="493" spans="1:7" x14ac:dyDescent="0.25">
      <c r="A493">
        <v>51257</v>
      </c>
      <c r="B493" t="s">
        <v>966</v>
      </c>
      <c r="C493" t="s">
        <v>3059</v>
      </c>
      <c r="D493">
        <v>30</v>
      </c>
      <c r="E493">
        <v>18.62</v>
      </c>
      <c r="F493" t="s">
        <v>7</v>
      </c>
      <c r="G493" t="s">
        <v>3103</v>
      </c>
    </row>
    <row r="494" spans="1:7" x14ac:dyDescent="0.25">
      <c r="A494">
        <v>51258</v>
      </c>
      <c r="B494" t="s">
        <v>967</v>
      </c>
      <c r="C494" t="s">
        <v>3063</v>
      </c>
      <c r="D494">
        <v>83</v>
      </c>
      <c r="E494">
        <v>19.7</v>
      </c>
      <c r="F494" t="s">
        <v>7</v>
      </c>
      <c r="G494" t="s">
        <v>3103</v>
      </c>
    </row>
    <row r="495" spans="1:7" x14ac:dyDescent="0.25">
      <c r="A495">
        <v>51259</v>
      </c>
      <c r="B495" t="s">
        <v>968</v>
      </c>
      <c r="C495" t="s">
        <v>3063</v>
      </c>
      <c r="D495">
        <v>121</v>
      </c>
      <c r="E495">
        <v>18.850000000000001</v>
      </c>
      <c r="F495" t="s">
        <v>7</v>
      </c>
      <c r="G495" t="s">
        <v>3103</v>
      </c>
    </row>
    <row r="496" spans="1:7" x14ac:dyDescent="0.25">
      <c r="A496">
        <v>51267</v>
      </c>
      <c r="B496" t="s">
        <v>970</v>
      </c>
      <c r="C496" t="s">
        <v>3063</v>
      </c>
      <c r="D496">
        <v>18</v>
      </c>
      <c r="E496">
        <v>16</v>
      </c>
      <c r="F496" t="s">
        <v>7</v>
      </c>
      <c r="G496" t="s">
        <v>3103</v>
      </c>
    </row>
    <row r="497" spans="1:7" x14ac:dyDescent="0.25">
      <c r="A497">
        <v>51270</v>
      </c>
      <c r="B497" t="s">
        <v>971</v>
      </c>
      <c r="C497" t="s">
        <v>3059</v>
      </c>
      <c r="D497">
        <v>206</v>
      </c>
      <c r="E497">
        <v>10.5</v>
      </c>
      <c r="F497" t="s">
        <v>7</v>
      </c>
      <c r="G497" t="s">
        <v>3102</v>
      </c>
    </row>
    <row r="498" spans="1:7" x14ac:dyDescent="0.25">
      <c r="A498">
        <v>51271</v>
      </c>
      <c r="B498" t="s">
        <v>972</v>
      </c>
      <c r="C498" t="s">
        <v>3059</v>
      </c>
      <c r="D498">
        <v>87</v>
      </c>
      <c r="E498">
        <v>11.5</v>
      </c>
      <c r="F498" t="s">
        <v>7</v>
      </c>
      <c r="G498" t="s">
        <v>3102</v>
      </c>
    </row>
    <row r="499" spans="1:7" x14ac:dyDescent="0.25">
      <c r="A499">
        <v>51272</v>
      </c>
      <c r="B499" t="s">
        <v>973</v>
      </c>
      <c r="C499" t="s">
        <v>3059</v>
      </c>
      <c r="D499">
        <v>564</v>
      </c>
      <c r="E499">
        <v>4.24</v>
      </c>
      <c r="F499" t="s">
        <v>7</v>
      </c>
      <c r="G499" t="s">
        <v>3102</v>
      </c>
    </row>
    <row r="500" spans="1:7" x14ac:dyDescent="0.25">
      <c r="A500">
        <v>51275</v>
      </c>
      <c r="B500" t="s">
        <v>975</v>
      </c>
      <c r="C500" t="s">
        <v>3059</v>
      </c>
      <c r="D500">
        <v>453</v>
      </c>
      <c r="E500">
        <v>12.9</v>
      </c>
      <c r="F500" t="s">
        <v>7</v>
      </c>
      <c r="G500" t="s">
        <v>3102</v>
      </c>
    </row>
    <row r="501" spans="1:7" x14ac:dyDescent="0.25">
      <c r="A501">
        <v>51276</v>
      </c>
      <c r="B501" t="s">
        <v>976</v>
      </c>
      <c r="C501" t="s">
        <v>3059</v>
      </c>
      <c r="D501">
        <v>1834</v>
      </c>
      <c r="E501">
        <v>12.38</v>
      </c>
      <c r="F501" t="s">
        <v>7</v>
      </c>
      <c r="G501" t="s">
        <v>3102</v>
      </c>
    </row>
    <row r="502" spans="1:7" x14ac:dyDescent="0.25">
      <c r="A502">
        <v>51277</v>
      </c>
      <c r="B502" t="s">
        <v>977</v>
      </c>
      <c r="C502" t="s">
        <v>3059</v>
      </c>
      <c r="D502">
        <v>581</v>
      </c>
      <c r="E502">
        <v>12.2</v>
      </c>
      <c r="F502" t="s">
        <v>7</v>
      </c>
      <c r="G502" t="s">
        <v>3102</v>
      </c>
    </row>
    <row r="503" spans="1:7" x14ac:dyDescent="0.25">
      <c r="A503">
        <v>51280</v>
      </c>
      <c r="B503" t="s">
        <v>979</v>
      </c>
      <c r="C503" t="s">
        <v>3059</v>
      </c>
      <c r="D503">
        <v>36</v>
      </c>
      <c r="E503">
        <v>12.9</v>
      </c>
      <c r="F503" t="s">
        <v>7</v>
      </c>
      <c r="G503" t="s">
        <v>3102</v>
      </c>
    </row>
    <row r="504" spans="1:7" x14ac:dyDescent="0.25">
      <c r="A504">
        <v>51283</v>
      </c>
      <c r="B504" t="s">
        <v>980</v>
      </c>
      <c r="C504" t="s">
        <v>3059</v>
      </c>
      <c r="D504">
        <v>606</v>
      </c>
      <c r="E504">
        <v>13.9</v>
      </c>
      <c r="F504" t="s">
        <v>7</v>
      </c>
      <c r="G504" t="s">
        <v>3102</v>
      </c>
    </row>
    <row r="505" spans="1:7" x14ac:dyDescent="0.25">
      <c r="A505">
        <v>51284</v>
      </c>
      <c r="B505" t="s">
        <v>981</v>
      </c>
      <c r="C505" t="s">
        <v>3059</v>
      </c>
      <c r="D505">
        <v>19</v>
      </c>
      <c r="E505">
        <v>13.07</v>
      </c>
      <c r="F505" t="s">
        <v>7</v>
      </c>
      <c r="G505" t="s">
        <v>3102</v>
      </c>
    </row>
    <row r="506" spans="1:7" x14ac:dyDescent="0.25">
      <c r="A506">
        <v>51287</v>
      </c>
      <c r="B506" t="s">
        <v>983</v>
      </c>
      <c r="C506" t="s">
        <v>3059</v>
      </c>
      <c r="D506">
        <v>152</v>
      </c>
      <c r="E506">
        <v>3.85</v>
      </c>
      <c r="F506" t="s">
        <v>7</v>
      </c>
      <c r="G506" t="s">
        <v>3102</v>
      </c>
    </row>
    <row r="507" spans="1:7" x14ac:dyDescent="0.25">
      <c r="A507">
        <v>51288</v>
      </c>
      <c r="B507" t="s">
        <v>984</v>
      </c>
      <c r="C507" t="s">
        <v>3059</v>
      </c>
      <c r="D507">
        <v>53</v>
      </c>
      <c r="E507">
        <v>2.9</v>
      </c>
      <c r="F507" t="s">
        <v>7</v>
      </c>
      <c r="G507" t="s">
        <v>3101</v>
      </c>
    </row>
    <row r="508" spans="1:7" x14ac:dyDescent="0.25">
      <c r="A508">
        <v>51295</v>
      </c>
      <c r="B508" t="s">
        <v>986</v>
      </c>
      <c r="C508" t="s">
        <v>3059</v>
      </c>
      <c r="D508">
        <v>276</v>
      </c>
      <c r="E508">
        <v>8.5</v>
      </c>
      <c r="F508" t="s">
        <v>7</v>
      </c>
      <c r="G508" t="s">
        <v>3102</v>
      </c>
    </row>
    <row r="509" spans="1:7" x14ac:dyDescent="0.25">
      <c r="A509">
        <v>51298</v>
      </c>
      <c r="B509" t="s">
        <v>987</v>
      </c>
      <c r="C509" t="s">
        <v>3059</v>
      </c>
      <c r="D509">
        <v>166</v>
      </c>
      <c r="E509">
        <v>1.48</v>
      </c>
      <c r="F509" t="s">
        <v>7</v>
      </c>
      <c r="G509" t="s">
        <v>3102</v>
      </c>
    </row>
    <row r="510" spans="1:7" x14ac:dyDescent="0.25">
      <c r="A510">
        <v>51299</v>
      </c>
      <c r="B510" t="s">
        <v>17491</v>
      </c>
      <c r="C510" t="s">
        <v>3059</v>
      </c>
      <c r="D510">
        <v>37560</v>
      </c>
      <c r="E510">
        <v>3.48</v>
      </c>
      <c r="F510" t="s">
        <v>7</v>
      </c>
      <c r="G510" t="s">
        <v>3101</v>
      </c>
    </row>
    <row r="511" spans="1:7" x14ac:dyDescent="0.25">
      <c r="A511">
        <v>51302</v>
      </c>
      <c r="B511" t="s">
        <v>990</v>
      </c>
      <c r="C511" t="s">
        <v>3063</v>
      </c>
      <c r="D511">
        <v>50</v>
      </c>
      <c r="E511">
        <v>26.6</v>
      </c>
      <c r="F511" t="s">
        <v>7</v>
      </c>
      <c r="G511" t="s">
        <v>3103</v>
      </c>
    </row>
    <row r="512" spans="1:7" x14ac:dyDescent="0.25">
      <c r="A512">
        <v>51304</v>
      </c>
      <c r="B512" t="s">
        <v>992</v>
      </c>
      <c r="C512" t="s">
        <v>3059</v>
      </c>
      <c r="D512">
        <v>41</v>
      </c>
      <c r="E512">
        <v>29.29</v>
      </c>
      <c r="F512" t="s">
        <v>7</v>
      </c>
      <c r="G512" t="s">
        <v>3103</v>
      </c>
    </row>
    <row r="513" spans="1:7" x14ac:dyDescent="0.25">
      <c r="A513">
        <v>51308</v>
      </c>
      <c r="B513" t="s">
        <v>993</v>
      </c>
      <c r="C513" t="s">
        <v>3059</v>
      </c>
      <c r="D513">
        <v>144</v>
      </c>
      <c r="E513">
        <v>10.5</v>
      </c>
      <c r="F513" t="s">
        <v>7</v>
      </c>
      <c r="G513" t="s">
        <v>3102</v>
      </c>
    </row>
    <row r="514" spans="1:7" x14ac:dyDescent="0.25">
      <c r="A514">
        <v>51312</v>
      </c>
      <c r="B514" t="s">
        <v>995</v>
      </c>
      <c r="C514" t="s">
        <v>3059</v>
      </c>
      <c r="D514">
        <v>16</v>
      </c>
      <c r="E514">
        <v>13.82</v>
      </c>
      <c r="F514" t="s">
        <v>7</v>
      </c>
      <c r="G514" t="s">
        <v>3071</v>
      </c>
    </row>
    <row r="515" spans="1:7" x14ac:dyDescent="0.25">
      <c r="A515">
        <v>51314</v>
      </c>
      <c r="B515" t="s">
        <v>997</v>
      </c>
      <c r="C515" t="s">
        <v>3059</v>
      </c>
      <c r="D515">
        <v>542</v>
      </c>
      <c r="E515">
        <v>15</v>
      </c>
      <c r="F515" t="s">
        <v>7</v>
      </c>
      <c r="G515" t="s">
        <v>3071</v>
      </c>
    </row>
    <row r="516" spans="1:7" x14ac:dyDescent="0.25">
      <c r="A516">
        <v>51316</v>
      </c>
      <c r="B516" t="s">
        <v>999</v>
      </c>
      <c r="C516" t="s">
        <v>3059</v>
      </c>
      <c r="D516">
        <v>995</v>
      </c>
      <c r="E516">
        <v>12.68</v>
      </c>
      <c r="F516" t="s">
        <v>7</v>
      </c>
      <c r="G516" t="s">
        <v>3071</v>
      </c>
    </row>
    <row r="517" spans="1:7" x14ac:dyDescent="0.25">
      <c r="A517">
        <v>51319</v>
      </c>
      <c r="B517" t="s">
        <v>1001</v>
      </c>
      <c r="C517" t="s">
        <v>3059</v>
      </c>
      <c r="D517">
        <v>946</v>
      </c>
      <c r="E517">
        <v>4.18</v>
      </c>
      <c r="F517" t="s">
        <v>7</v>
      </c>
      <c r="G517" t="s">
        <v>3071</v>
      </c>
    </row>
    <row r="518" spans="1:7" x14ac:dyDescent="0.25">
      <c r="A518">
        <v>51321</v>
      </c>
      <c r="B518" t="s">
        <v>1003</v>
      </c>
      <c r="C518" t="s">
        <v>3059</v>
      </c>
      <c r="D518">
        <v>336</v>
      </c>
      <c r="E518">
        <v>5.97</v>
      </c>
      <c r="F518" t="s">
        <v>7</v>
      </c>
      <c r="G518" t="s">
        <v>3071</v>
      </c>
    </row>
    <row r="519" spans="1:7" x14ac:dyDescent="0.25">
      <c r="A519">
        <v>51322</v>
      </c>
      <c r="B519" t="s">
        <v>16611</v>
      </c>
      <c r="C519" t="s">
        <v>3059</v>
      </c>
      <c r="D519">
        <v>647</v>
      </c>
      <c r="E519">
        <v>7.05</v>
      </c>
      <c r="F519" t="s">
        <v>7</v>
      </c>
      <c r="G519" t="s">
        <v>3071</v>
      </c>
    </row>
    <row r="520" spans="1:7" x14ac:dyDescent="0.25">
      <c r="A520">
        <v>51323</v>
      </c>
      <c r="B520" t="s">
        <v>16612</v>
      </c>
      <c r="C520" t="s">
        <v>3059</v>
      </c>
      <c r="D520">
        <v>492</v>
      </c>
      <c r="E520">
        <v>7.88</v>
      </c>
      <c r="F520" t="s">
        <v>7</v>
      </c>
      <c r="G520" t="s">
        <v>3071</v>
      </c>
    </row>
    <row r="521" spans="1:7" x14ac:dyDescent="0.25">
      <c r="A521">
        <v>51335</v>
      </c>
      <c r="B521" t="s">
        <v>1012</v>
      </c>
      <c r="C521" t="s">
        <v>3063</v>
      </c>
      <c r="D521">
        <v>30</v>
      </c>
      <c r="E521">
        <v>15.85</v>
      </c>
      <c r="F521" t="s">
        <v>7</v>
      </c>
      <c r="G521" t="s">
        <v>3103</v>
      </c>
    </row>
    <row r="522" spans="1:7" x14ac:dyDescent="0.25">
      <c r="A522">
        <v>51338</v>
      </c>
      <c r="B522" t="s">
        <v>1013</v>
      </c>
      <c r="C522" t="s">
        <v>3059</v>
      </c>
      <c r="D522">
        <v>69</v>
      </c>
      <c r="E522">
        <v>4.03</v>
      </c>
      <c r="F522" t="s">
        <v>7</v>
      </c>
      <c r="G522" t="s">
        <v>3071</v>
      </c>
    </row>
    <row r="523" spans="1:7" x14ac:dyDescent="0.25">
      <c r="A523">
        <v>51340</v>
      </c>
      <c r="B523" t="s">
        <v>1014</v>
      </c>
      <c r="C523" t="s">
        <v>3059</v>
      </c>
      <c r="D523">
        <v>13</v>
      </c>
      <c r="E523">
        <v>430</v>
      </c>
      <c r="F523" t="s">
        <v>7</v>
      </c>
      <c r="G523" t="s">
        <v>3100</v>
      </c>
    </row>
    <row r="524" spans="1:7" x14ac:dyDescent="0.25">
      <c r="A524">
        <v>51341</v>
      </c>
      <c r="B524" t="s">
        <v>1015</v>
      </c>
      <c r="C524" t="s">
        <v>3063</v>
      </c>
      <c r="D524">
        <v>44</v>
      </c>
      <c r="E524">
        <v>6</v>
      </c>
      <c r="F524" t="s">
        <v>7</v>
      </c>
      <c r="G524" t="s">
        <v>3100</v>
      </c>
    </row>
    <row r="525" spans="1:7" x14ac:dyDescent="0.25">
      <c r="A525">
        <v>51343</v>
      </c>
      <c r="B525" t="s">
        <v>1017</v>
      </c>
      <c r="C525" t="s">
        <v>3059</v>
      </c>
      <c r="D525">
        <v>16582</v>
      </c>
      <c r="E525">
        <v>7.31</v>
      </c>
      <c r="F525" t="s">
        <v>7</v>
      </c>
      <c r="G525" t="s">
        <v>3100</v>
      </c>
    </row>
    <row r="526" spans="1:7" x14ac:dyDescent="0.25">
      <c r="A526">
        <v>51344</v>
      </c>
      <c r="B526" t="s">
        <v>1018</v>
      </c>
      <c r="C526" t="s">
        <v>3059</v>
      </c>
      <c r="D526">
        <v>577</v>
      </c>
      <c r="E526">
        <v>7</v>
      </c>
      <c r="F526" t="s">
        <v>7</v>
      </c>
      <c r="G526" t="s">
        <v>3100</v>
      </c>
    </row>
    <row r="527" spans="1:7" x14ac:dyDescent="0.25">
      <c r="A527">
        <v>51346</v>
      </c>
      <c r="B527" t="s">
        <v>1019</v>
      </c>
      <c r="C527" t="s">
        <v>3059</v>
      </c>
      <c r="D527">
        <v>2</v>
      </c>
      <c r="E527">
        <v>480</v>
      </c>
      <c r="F527" t="s">
        <v>7</v>
      </c>
      <c r="G527" t="s">
        <v>3100</v>
      </c>
    </row>
    <row r="528" spans="1:7" x14ac:dyDescent="0.25">
      <c r="A528">
        <v>51347</v>
      </c>
      <c r="B528" t="s">
        <v>1020</v>
      </c>
      <c r="C528" t="s">
        <v>3063</v>
      </c>
      <c r="D528">
        <v>24</v>
      </c>
      <c r="E528">
        <v>88.5</v>
      </c>
      <c r="F528" t="s">
        <v>7</v>
      </c>
      <c r="G528" t="s">
        <v>3100</v>
      </c>
    </row>
    <row r="529" spans="1:7" x14ac:dyDescent="0.25">
      <c r="A529">
        <v>51350</v>
      </c>
      <c r="B529" t="s">
        <v>1022</v>
      </c>
      <c r="C529" t="s">
        <v>3059</v>
      </c>
      <c r="D529">
        <v>143</v>
      </c>
      <c r="E529">
        <v>9.3000000000000007</v>
      </c>
      <c r="F529" t="s">
        <v>7</v>
      </c>
      <c r="G529" t="s">
        <v>3070</v>
      </c>
    </row>
    <row r="530" spans="1:7" x14ac:dyDescent="0.25">
      <c r="A530">
        <v>51351</v>
      </c>
      <c r="B530" t="s">
        <v>1023</v>
      </c>
      <c r="C530" t="s">
        <v>3059</v>
      </c>
      <c r="D530">
        <v>16</v>
      </c>
      <c r="E530">
        <v>8.9</v>
      </c>
      <c r="F530" t="s">
        <v>7</v>
      </c>
      <c r="G530" t="s">
        <v>3070</v>
      </c>
    </row>
    <row r="531" spans="1:7" x14ac:dyDescent="0.25">
      <c r="A531">
        <v>51352</v>
      </c>
      <c r="B531" t="s">
        <v>1024</v>
      </c>
      <c r="C531" t="s">
        <v>3059</v>
      </c>
      <c r="D531">
        <v>84</v>
      </c>
      <c r="E531">
        <v>9</v>
      </c>
      <c r="F531" t="s">
        <v>7</v>
      </c>
      <c r="G531" t="s">
        <v>3070</v>
      </c>
    </row>
    <row r="532" spans="1:7" x14ac:dyDescent="0.25">
      <c r="A532">
        <v>51353</v>
      </c>
      <c r="B532" t="s">
        <v>1025</v>
      </c>
      <c r="C532" t="s">
        <v>3059</v>
      </c>
      <c r="D532">
        <v>180</v>
      </c>
      <c r="E532">
        <v>4.2</v>
      </c>
      <c r="F532" t="s">
        <v>7</v>
      </c>
      <c r="G532" t="s">
        <v>3070</v>
      </c>
    </row>
    <row r="533" spans="1:7" x14ac:dyDescent="0.25">
      <c r="A533">
        <v>51354</v>
      </c>
      <c r="B533" t="s">
        <v>1026</v>
      </c>
      <c r="C533" t="s">
        <v>3059</v>
      </c>
      <c r="D533">
        <v>24</v>
      </c>
      <c r="E533">
        <v>6.5</v>
      </c>
      <c r="F533" t="s">
        <v>7</v>
      </c>
      <c r="G533" t="s">
        <v>3070</v>
      </c>
    </row>
    <row r="534" spans="1:7" x14ac:dyDescent="0.25">
      <c r="A534">
        <v>51357</v>
      </c>
      <c r="B534" t="s">
        <v>1028</v>
      </c>
      <c r="C534" t="s">
        <v>3059</v>
      </c>
      <c r="D534">
        <v>59</v>
      </c>
      <c r="E534">
        <v>84.89</v>
      </c>
      <c r="F534" t="s">
        <v>7</v>
      </c>
      <c r="G534" t="s">
        <v>3070</v>
      </c>
    </row>
    <row r="535" spans="1:7" x14ac:dyDescent="0.25">
      <c r="A535">
        <v>51358</v>
      </c>
      <c r="B535" t="s">
        <v>1029</v>
      </c>
      <c r="C535" t="s">
        <v>3059</v>
      </c>
      <c r="D535">
        <v>115</v>
      </c>
      <c r="E535">
        <v>72.8</v>
      </c>
      <c r="F535" t="s">
        <v>7</v>
      </c>
      <c r="G535" t="s">
        <v>3070</v>
      </c>
    </row>
    <row r="536" spans="1:7" x14ac:dyDescent="0.25">
      <c r="A536">
        <v>51359</v>
      </c>
      <c r="B536" t="s">
        <v>1030</v>
      </c>
      <c r="C536" t="s">
        <v>3059</v>
      </c>
      <c r="D536">
        <v>3</v>
      </c>
      <c r="E536">
        <v>44.96</v>
      </c>
      <c r="F536" t="s">
        <v>7</v>
      </c>
      <c r="G536" t="s">
        <v>3070</v>
      </c>
    </row>
    <row r="537" spans="1:7" x14ac:dyDescent="0.25">
      <c r="A537">
        <v>51360</v>
      </c>
      <c r="B537" t="s">
        <v>1031</v>
      </c>
      <c r="C537" t="s">
        <v>3059</v>
      </c>
      <c r="D537">
        <v>11</v>
      </c>
      <c r="E537">
        <v>43.89</v>
      </c>
      <c r="F537" t="s">
        <v>7</v>
      </c>
      <c r="G537" t="s">
        <v>3070</v>
      </c>
    </row>
    <row r="538" spans="1:7" x14ac:dyDescent="0.25">
      <c r="A538">
        <v>51364</v>
      </c>
      <c r="B538" t="s">
        <v>1035</v>
      </c>
      <c r="C538" t="s">
        <v>3059</v>
      </c>
      <c r="D538">
        <v>3</v>
      </c>
      <c r="E538">
        <v>7.98</v>
      </c>
      <c r="F538" t="s">
        <v>7</v>
      </c>
      <c r="G538" t="s">
        <v>3070</v>
      </c>
    </row>
    <row r="539" spans="1:7" x14ac:dyDescent="0.25">
      <c r="A539">
        <v>51365</v>
      </c>
      <c r="B539" t="s">
        <v>1036</v>
      </c>
      <c r="C539" t="s">
        <v>3059</v>
      </c>
      <c r="D539">
        <v>124</v>
      </c>
      <c r="E539">
        <v>8.18</v>
      </c>
      <c r="F539" t="s">
        <v>7</v>
      </c>
      <c r="G539" t="s">
        <v>3070</v>
      </c>
    </row>
    <row r="540" spans="1:7" x14ac:dyDescent="0.25">
      <c r="A540">
        <v>51366</v>
      </c>
      <c r="B540" t="s">
        <v>1037</v>
      </c>
      <c r="C540" t="s">
        <v>3059</v>
      </c>
      <c r="D540">
        <v>109</v>
      </c>
      <c r="E540">
        <v>7</v>
      </c>
      <c r="F540" t="s">
        <v>7</v>
      </c>
      <c r="G540" t="s">
        <v>3070</v>
      </c>
    </row>
    <row r="541" spans="1:7" x14ac:dyDescent="0.25">
      <c r="A541">
        <v>51367</v>
      </c>
      <c r="B541" t="s">
        <v>1038</v>
      </c>
      <c r="C541" t="s">
        <v>3059</v>
      </c>
      <c r="D541">
        <v>145</v>
      </c>
      <c r="E541">
        <v>56.71</v>
      </c>
      <c r="F541" t="s">
        <v>7</v>
      </c>
      <c r="G541" t="s">
        <v>3070</v>
      </c>
    </row>
    <row r="542" spans="1:7" x14ac:dyDescent="0.25">
      <c r="A542">
        <v>51368</v>
      </c>
      <c r="B542" t="s">
        <v>1039</v>
      </c>
      <c r="C542" t="s">
        <v>3059</v>
      </c>
      <c r="D542">
        <v>8</v>
      </c>
      <c r="E542">
        <v>17</v>
      </c>
      <c r="F542" t="s">
        <v>7</v>
      </c>
      <c r="G542" t="s">
        <v>3070</v>
      </c>
    </row>
    <row r="543" spans="1:7" x14ac:dyDescent="0.25">
      <c r="A543">
        <v>51369</v>
      </c>
      <c r="B543" t="s">
        <v>1040</v>
      </c>
      <c r="C543" t="s">
        <v>3059</v>
      </c>
      <c r="D543">
        <v>203</v>
      </c>
      <c r="E543">
        <v>40.29</v>
      </c>
      <c r="F543" t="s">
        <v>7</v>
      </c>
      <c r="G543" t="s">
        <v>3070</v>
      </c>
    </row>
    <row r="544" spans="1:7" x14ac:dyDescent="0.25">
      <c r="A544">
        <v>51374</v>
      </c>
      <c r="B544" t="s">
        <v>1045</v>
      </c>
      <c r="C544" t="s">
        <v>3059</v>
      </c>
      <c r="D544">
        <v>138</v>
      </c>
      <c r="E544">
        <v>8.68</v>
      </c>
      <c r="F544" t="s">
        <v>7</v>
      </c>
      <c r="G544" t="s">
        <v>3070</v>
      </c>
    </row>
    <row r="545" spans="1:7" x14ac:dyDescent="0.25">
      <c r="A545">
        <v>51375</v>
      </c>
      <c r="B545" t="s">
        <v>1046</v>
      </c>
      <c r="C545" t="s">
        <v>3059</v>
      </c>
      <c r="D545">
        <v>55</v>
      </c>
      <c r="E545">
        <v>5.46</v>
      </c>
      <c r="F545" t="s">
        <v>7</v>
      </c>
      <c r="G545" t="s">
        <v>3070</v>
      </c>
    </row>
    <row r="546" spans="1:7" x14ac:dyDescent="0.25">
      <c r="A546">
        <v>51378</v>
      </c>
      <c r="B546" t="s">
        <v>1047</v>
      </c>
      <c r="C546" t="s">
        <v>3059</v>
      </c>
      <c r="D546">
        <v>164</v>
      </c>
      <c r="E546">
        <v>6.2</v>
      </c>
      <c r="F546" t="s">
        <v>7</v>
      </c>
      <c r="G546" t="s">
        <v>3070</v>
      </c>
    </row>
    <row r="547" spans="1:7" x14ac:dyDescent="0.25">
      <c r="A547">
        <v>51380</v>
      </c>
      <c r="B547" t="s">
        <v>16095</v>
      </c>
      <c r="C547" t="s">
        <v>3059</v>
      </c>
      <c r="D547">
        <v>10</v>
      </c>
      <c r="E547">
        <v>6</v>
      </c>
      <c r="F547" t="s">
        <v>7</v>
      </c>
      <c r="G547" t="s">
        <v>3070</v>
      </c>
    </row>
    <row r="548" spans="1:7" x14ac:dyDescent="0.25">
      <c r="A548">
        <v>51381</v>
      </c>
      <c r="B548" t="s">
        <v>1048</v>
      </c>
      <c r="C548" t="s">
        <v>3059</v>
      </c>
      <c r="D548">
        <v>85</v>
      </c>
      <c r="E548">
        <v>8.6</v>
      </c>
      <c r="F548" t="s">
        <v>7</v>
      </c>
      <c r="G548" t="s">
        <v>3070</v>
      </c>
    </row>
    <row r="549" spans="1:7" x14ac:dyDescent="0.25">
      <c r="A549">
        <v>51386</v>
      </c>
      <c r="B549" t="s">
        <v>1050</v>
      </c>
      <c r="C549" t="s">
        <v>3059</v>
      </c>
      <c r="D549">
        <v>82</v>
      </c>
      <c r="E549">
        <v>56.27</v>
      </c>
      <c r="F549" t="s">
        <v>7</v>
      </c>
      <c r="G549" t="s">
        <v>3070</v>
      </c>
    </row>
    <row r="550" spans="1:7" x14ac:dyDescent="0.25">
      <c r="A550">
        <v>51387</v>
      </c>
      <c r="B550" t="s">
        <v>1051</v>
      </c>
      <c r="C550" t="s">
        <v>3059</v>
      </c>
      <c r="D550">
        <v>131</v>
      </c>
      <c r="E550">
        <v>45.62</v>
      </c>
      <c r="F550" t="s">
        <v>7</v>
      </c>
      <c r="G550" t="s">
        <v>3070</v>
      </c>
    </row>
    <row r="551" spans="1:7" x14ac:dyDescent="0.25">
      <c r="A551">
        <v>51388</v>
      </c>
      <c r="B551" t="s">
        <v>1052</v>
      </c>
      <c r="C551" t="s">
        <v>3059</v>
      </c>
      <c r="D551">
        <v>144</v>
      </c>
      <c r="E551">
        <v>12.58</v>
      </c>
      <c r="F551" t="s">
        <v>7</v>
      </c>
      <c r="G551" t="s">
        <v>3070</v>
      </c>
    </row>
    <row r="552" spans="1:7" x14ac:dyDescent="0.25">
      <c r="A552">
        <v>51389</v>
      </c>
      <c r="B552" t="s">
        <v>1053</v>
      </c>
      <c r="C552" t="s">
        <v>3059</v>
      </c>
      <c r="D552">
        <v>157</v>
      </c>
      <c r="E552">
        <v>7.09</v>
      </c>
      <c r="F552" t="s">
        <v>7</v>
      </c>
      <c r="G552" t="s">
        <v>3070</v>
      </c>
    </row>
    <row r="553" spans="1:7" x14ac:dyDescent="0.25">
      <c r="A553">
        <v>51390</v>
      </c>
      <c r="B553" t="s">
        <v>1054</v>
      </c>
      <c r="C553" t="s">
        <v>3059</v>
      </c>
      <c r="D553">
        <v>310</v>
      </c>
      <c r="E553">
        <v>6.58</v>
      </c>
      <c r="F553" t="s">
        <v>7</v>
      </c>
      <c r="G553" t="s">
        <v>3070</v>
      </c>
    </row>
    <row r="554" spans="1:7" x14ac:dyDescent="0.25">
      <c r="A554">
        <v>51391</v>
      </c>
      <c r="B554" t="s">
        <v>1055</v>
      </c>
      <c r="C554" t="s">
        <v>3059</v>
      </c>
      <c r="D554">
        <v>2777</v>
      </c>
      <c r="E554">
        <v>6.64</v>
      </c>
      <c r="F554" t="s">
        <v>7</v>
      </c>
      <c r="G554" t="s">
        <v>3070</v>
      </c>
    </row>
    <row r="555" spans="1:7" x14ac:dyDescent="0.25">
      <c r="A555">
        <v>51392</v>
      </c>
      <c r="B555" t="s">
        <v>1056</v>
      </c>
      <c r="C555" t="s">
        <v>3059</v>
      </c>
      <c r="D555">
        <v>2499</v>
      </c>
      <c r="E555">
        <v>5.81</v>
      </c>
      <c r="F555" t="s">
        <v>7</v>
      </c>
      <c r="G555" t="s">
        <v>3070</v>
      </c>
    </row>
    <row r="556" spans="1:7" x14ac:dyDescent="0.25">
      <c r="A556">
        <v>51393</v>
      </c>
      <c r="B556" t="s">
        <v>1057</v>
      </c>
      <c r="C556" t="s">
        <v>3059</v>
      </c>
      <c r="D556">
        <v>422</v>
      </c>
      <c r="E556">
        <v>7.55</v>
      </c>
      <c r="F556" t="s">
        <v>7</v>
      </c>
      <c r="G556" t="s">
        <v>3070</v>
      </c>
    </row>
    <row r="557" spans="1:7" x14ac:dyDescent="0.25">
      <c r="A557">
        <v>51394</v>
      </c>
      <c r="B557" t="s">
        <v>1058</v>
      </c>
      <c r="C557" t="s">
        <v>3059</v>
      </c>
      <c r="D557">
        <v>95</v>
      </c>
      <c r="E557">
        <v>16.760000000000002</v>
      </c>
      <c r="F557" t="s">
        <v>7</v>
      </c>
      <c r="G557" t="s">
        <v>3070</v>
      </c>
    </row>
    <row r="558" spans="1:7" x14ac:dyDescent="0.25">
      <c r="A558">
        <v>51395</v>
      </c>
      <c r="B558" t="s">
        <v>1059</v>
      </c>
      <c r="C558" t="s">
        <v>3059</v>
      </c>
      <c r="D558">
        <v>5</v>
      </c>
      <c r="E558">
        <v>23.1</v>
      </c>
      <c r="F558" t="s">
        <v>7</v>
      </c>
      <c r="G558" t="s">
        <v>3070</v>
      </c>
    </row>
    <row r="559" spans="1:7" x14ac:dyDescent="0.25">
      <c r="A559">
        <v>51396</v>
      </c>
      <c r="B559" t="s">
        <v>1060</v>
      </c>
      <c r="C559" t="s">
        <v>3059</v>
      </c>
      <c r="D559">
        <v>198</v>
      </c>
      <c r="E559">
        <v>15.9</v>
      </c>
      <c r="F559" t="s">
        <v>7</v>
      </c>
      <c r="G559" t="s">
        <v>3070</v>
      </c>
    </row>
    <row r="560" spans="1:7" x14ac:dyDescent="0.25">
      <c r="A560">
        <v>51397</v>
      </c>
      <c r="B560" t="s">
        <v>1061</v>
      </c>
      <c r="C560" t="s">
        <v>3059</v>
      </c>
      <c r="D560">
        <v>10</v>
      </c>
      <c r="E560">
        <v>17.5</v>
      </c>
      <c r="F560" t="s">
        <v>7</v>
      </c>
      <c r="G560" t="s">
        <v>3070</v>
      </c>
    </row>
    <row r="561" spans="1:7" x14ac:dyDescent="0.25">
      <c r="A561">
        <v>51401</v>
      </c>
      <c r="B561" t="s">
        <v>1062</v>
      </c>
      <c r="C561" t="s">
        <v>3059</v>
      </c>
      <c r="D561">
        <v>28</v>
      </c>
      <c r="E561">
        <v>46.32</v>
      </c>
      <c r="F561" t="s">
        <v>7</v>
      </c>
      <c r="G561" t="s">
        <v>3070</v>
      </c>
    </row>
    <row r="562" spans="1:7" x14ac:dyDescent="0.25">
      <c r="A562">
        <v>51402</v>
      </c>
      <c r="B562" t="s">
        <v>1063</v>
      </c>
      <c r="C562" t="s">
        <v>3059</v>
      </c>
      <c r="D562">
        <v>178</v>
      </c>
      <c r="E562">
        <v>31.73</v>
      </c>
      <c r="F562" t="s">
        <v>7</v>
      </c>
      <c r="G562" t="s">
        <v>3070</v>
      </c>
    </row>
    <row r="563" spans="1:7" x14ac:dyDescent="0.25">
      <c r="A563">
        <v>51403</v>
      </c>
      <c r="B563" t="s">
        <v>1064</v>
      </c>
      <c r="C563" t="s">
        <v>3059</v>
      </c>
      <c r="D563">
        <v>5</v>
      </c>
      <c r="E563">
        <v>26.15</v>
      </c>
      <c r="F563" t="s">
        <v>7</v>
      </c>
      <c r="G563" t="s">
        <v>3070</v>
      </c>
    </row>
    <row r="564" spans="1:7" x14ac:dyDescent="0.25">
      <c r="A564">
        <v>51404</v>
      </c>
      <c r="B564" t="s">
        <v>1065</v>
      </c>
      <c r="C564" t="s">
        <v>3059</v>
      </c>
      <c r="D564">
        <v>27</v>
      </c>
      <c r="E564">
        <v>33.29</v>
      </c>
      <c r="F564" t="s">
        <v>7</v>
      </c>
      <c r="G564" t="s">
        <v>3070</v>
      </c>
    </row>
    <row r="565" spans="1:7" x14ac:dyDescent="0.25">
      <c r="A565">
        <v>51405</v>
      </c>
      <c r="B565" t="s">
        <v>1066</v>
      </c>
      <c r="C565" t="s">
        <v>3059</v>
      </c>
      <c r="D565">
        <v>10</v>
      </c>
      <c r="E565">
        <v>34.159999999999997</v>
      </c>
      <c r="F565" t="s">
        <v>7</v>
      </c>
      <c r="G565" t="s">
        <v>3070</v>
      </c>
    </row>
    <row r="566" spans="1:7" x14ac:dyDescent="0.25">
      <c r="A566">
        <v>51406</v>
      </c>
      <c r="B566" t="s">
        <v>1067</v>
      </c>
      <c r="C566" t="s">
        <v>3059</v>
      </c>
      <c r="D566">
        <v>49</v>
      </c>
      <c r="E566">
        <v>52.3</v>
      </c>
      <c r="F566" t="s">
        <v>7</v>
      </c>
      <c r="G566" t="s">
        <v>3070</v>
      </c>
    </row>
    <row r="567" spans="1:7" x14ac:dyDescent="0.25">
      <c r="A567">
        <v>51407</v>
      </c>
      <c r="B567" t="s">
        <v>1068</v>
      </c>
      <c r="C567" t="s">
        <v>3059</v>
      </c>
      <c r="D567">
        <v>54</v>
      </c>
      <c r="E567">
        <v>42.99</v>
      </c>
      <c r="F567" t="s">
        <v>7</v>
      </c>
      <c r="G567" t="s">
        <v>3070</v>
      </c>
    </row>
    <row r="568" spans="1:7" x14ac:dyDescent="0.25">
      <c r="A568">
        <v>51408</v>
      </c>
      <c r="B568" t="s">
        <v>1069</v>
      </c>
      <c r="C568" t="s">
        <v>3059</v>
      </c>
      <c r="D568">
        <v>6</v>
      </c>
      <c r="E568">
        <v>27.9</v>
      </c>
      <c r="F568" t="s">
        <v>7</v>
      </c>
      <c r="G568" t="s">
        <v>3070</v>
      </c>
    </row>
    <row r="569" spans="1:7" x14ac:dyDescent="0.25">
      <c r="A569">
        <v>51409</v>
      </c>
      <c r="B569" t="s">
        <v>1070</v>
      </c>
      <c r="C569" t="s">
        <v>3059</v>
      </c>
      <c r="D569">
        <v>9</v>
      </c>
      <c r="E569">
        <v>38.25</v>
      </c>
      <c r="F569" t="s">
        <v>7</v>
      </c>
      <c r="G569" t="s">
        <v>3070</v>
      </c>
    </row>
    <row r="570" spans="1:7" x14ac:dyDescent="0.25">
      <c r="A570">
        <v>51410</v>
      </c>
      <c r="B570" t="s">
        <v>1071</v>
      </c>
      <c r="C570" t="s">
        <v>3059</v>
      </c>
      <c r="D570">
        <v>8</v>
      </c>
      <c r="E570">
        <v>51.29</v>
      </c>
      <c r="F570" t="s">
        <v>7</v>
      </c>
      <c r="G570" t="s">
        <v>3070</v>
      </c>
    </row>
    <row r="571" spans="1:7" x14ac:dyDescent="0.25">
      <c r="A571">
        <v>51413</v>
      </c>
      <c r="B571" t="s">
        <v>1073</v>
      </c>
      <c r="C571" t="s">
        <v>3059</v>
      </c>
      <c r="D571">
        <v>30</v>
      </c>
      <c r="E571">
        <v>171.38</v>
      </c>
      <c r="F571" t="s">
        <v>7</v>
      </c>
      <c r="G571" t="s">
        <v>3070</v>
      </c>
    </row>
    <row r="572" spans="1:7" x14ac:dyDescent="0.25">
      <c r="A572">
        <v>51414</v>
      </c>
      <c r="B572" t="s">
        <v>1074</v>
      </c>
      <c r="C572" t="s">
        <v>3059</v>
      </c>
      <c r="D572">
        <v>11</v>
      </c>
      <c r="E572">
        <v>143.63</v>
      </c>
      <c r="F572" t="s">
        <v>7</v>
      </c>
      <c r="G572" t="s">
        <v>3070</v>
      </c>
    </row>
    <row r="573" spans="1:7" x14ac:dyDescent="0.25">
      <c r="A573">
        <v>51415</v>
      </c>
      <c r="B573" t="s">
        <v>1075</v>
      </c>
      <c r="C573" t="s">
        <v>3059</v>
      </c>
      <c r="D573">
        <v>8</v>
      </c>
      <c r="E573">
        <v>124.76</v>
      </c>
      <c r="F573" t="s">
        <v>7</v>
      </c>
      <c r="G573" t="s">
        <v>3070</v>
      </c>
    </row>
    <row r="574" spans="1:7" x14ac:dyDescent="0.25">
      <c r="A574">
        <v>51416</v>
      </c>
      <c r="B574" t="s">
        <v>1076</v>
      </c>
      <c r="C574" t="s">
        <v>3059</v>
      </c>
      <c r="D574">
        <v>6</v>
      </c>
      <c r="E574">
        <v>17.5</v>
      </c>
      <c r="F574" t="s">
        <v>7</v>
      </c>
      <c r="G574" t="s">
        <v>3070</v>
      </c>
    </row>
    <row r="575" spans="1:7" x14ac:dyDescent="0.25">
      <c r="A575">
        <v>51417</v>
      </c>
      <c r="B575" t="s">
        <v>1077</v>
      </c>
      <c r="C575" t="s">
        <v>3059</v>
      </c>
      <c r="D575">
        <v>102</v>
      </c>
      <c r="E575">
        <v>29.25</v>
      </c>
      <c r="F575" t="s">
        <v>7</v>
      </c>
      <c r="G575" t="s">
        <v>3070</v>
      </c>
    </row>
    <row r="576" spans="1:7" x14ac:dyDescent="0.25">
      <c r="A576">
        <v>51422</v>
      </c>
      <c r="B576" t="s">
        <v>1082</v>
      </c>
      <c r="C576" t="s">
        <v>3059</v>
      </c>
      <c r="D576">
        <v>26</v>
      </c>
      <c r="E576">
        <v>34.880000000000003</v>
      </c>
      <c r="F576" t="s">
        <v>7</v>
      </c>
      <c r="G576" t="s">
        <v>3070</v>
      </c>
    </row>
    <row r="577" spans="1:7" x14ac:dyDescent="0.25">
      <c r="A577">
        <v>51423</v>
      </c>
      <c r="B577" t="s">
        <v>1083</v>
      </c>
      <c r="C577" t="s">
        <v>3059</v>
      </c>
      <c r="D577">
        <v>49</v>
      </c>
      <c r="E577">
        <v>33.729999999999997</v>
      </c>
      <c r="F577" t="s">
        <v>7</v>
      </c>
      <c r="G577" t="s">
        <v>3070</v>
      </c>
    </row>
    <row r="578" spans="1:7" x14ac:dyDescent="0.25">
      <c r="A578">
        <v>51429</v>
      </c>
      <c r="B578" t="s">
        <v>3052</v>
      </c>
      <c r="C578" t="s">
        <v>3059</v>
      </c>
      <c r="D578">
        <v>168</v>
      </c>
      <c r="E578">
        <v>0.56999999999999995</v>
      </c>
      <c r="F578" t="s">
        <v>3119</v>
      </c>
      <c r="G578" t="s">
        <v>3070</v>
      </c>
    </row>
    <row r="579" spans="1:7" x14ac:dyDescent="0.25">
      <c r="A579">
        <v>51430</v>
      </c>
      <c r="B579" t="s">
        <v>3050</v>
      </c>
      <c r="C579" t="s">
        <v>3059</v>
      </c>
      <c r="D579">
        <v>78440</v>
      </c>
      <c r="E579">
        <v>0.64</v>
      </c>
      <c r="F579" t="s">
        <v>3119</v>
      </c>
      <c r="G579" t="s">
        <v>3070</v>
      </c>
    </row>
    <row r="580" spans="1:7" x14ac:dyDescent="0.25">
      <c r="A580">
        <v>51433</v>
      </c>
      <c r="B580" t="s">
        <v>1087</v>
      </c>
      <c r="C580" t="s">
        <v>3059</v>
      </c>
      <c r="D580">
        <v>35</v>
      </c>
      <c r="E580">
        <v>17.5</v>
      </c>
      <c r="F580" t="s">
        <v>7</v>
      </c>
      <c r="G580" t="s">
        <v>3073</v>
      </c>
    </row>
    <row r="581" spans="1:7" x14ac:dyDescent="0.25">
      <c r="A581">
        <v>51434</v>
      </c>
      <c r="B581" t="s">
        <v>1088</v>
      </c>
      <c r="C581" t="s">
        <v>3059</v>
      </c>
      <c r="D581">
        <v>106</v>
      </c>
      <c r="E581">
        <v>11.25</v>
      </c>
      <c r="F581" t="s">
        <v>7</v>
      </c>
      <c r="G581" t="s">
        <v>3110</v>
      </c>
    </row>
    <row r="582" spans="1:7" x14ac:dyDescent="0.25">
      <c r="A582">
        <v>51435</v>
      </c>
      <c r="B582" t="s">
        <v>1089</v>
      </c>
      <c r="C582" t="s">
        <v>3059</v>
      </c>
      <c r="D582">
        <v>4</v>
      </c>
      <c r="E582">
        <v>2795</v>
      </c>
      <c r="F582" t="s">
        <v>7</v>
      </c>
      <c r="G582" t="s">
        <v>3073</v>
      </c>
    </row>
    <row r="583" spans="1:7" x14ac:dyDescent="0.25">
      <c r="A583">
        <v>51439</v>
      </c>
      <c r="B583" t="s">
        <v>3120</v>
      </c>
      <c r="C583" t="s">
        <v>3059</v>
      </c>
      <c r="D583">
        <v>155</v>
      </c>
      <c r="E583">
        <v>12</v>
      </c>
      <c r="F583" t="s">
        <v>7</v>
      </c>
      <c r="G583" t="s">
        <v>3102</v>
      </c>
    </row>
    <row r="584" spans="1:7" x14ac:dyDescent="0.25">
      <c r="A584">
        <v>51440</v>
      </c>
      <c r="B584" t="s">
        <v>1094</v>
      </c>
      <c r="C584" t="s">
        <v>3059</v>
      </c>
      <c r="D584">
        <v>85</v>
      </c>
      <c r="E584">
        <v>12.71</v>
      </c>
      <c r="F584" t="s">
        <v>7</v>
      </c>
      <c r="G584" t="s">
        <v>3102</v>
      </c>
    </row>
    <row r="585" spans="1:7" x14ac:dyDescent="0.25">
      <c r="A585">
        <v>51441</v>
      </c>
      <c r="B585" t="s">
        <v>1095</v>
      </c>
      <c r="C585" t="s">
        <v>3059</v>
      </c>
      <c r="D585">
        <v>29</v>
      </c>
      <c r="E585">
        <v>12.36</v>
      </c>
      <c r="F585" t="s">
        <v>7</v>
      </c>
      <c r="G585" t="s">
        <v>3102</v>
      </c>
    </row>
    <row r="586" spans="1:7" x14ac:dyDescent="0.25">
      <c r="A586">
        <v>51443</v>
      </c>
      <c r="B586" t="s">
        <v>1097</v>
      </c>
      <c r="C586" t="s">
        <v>3059</v>
      </c>
      <c r="D586">
        <v>444</v>
      </c>
      <c r="E586">
        <v>56</v>
      </c>
      <c r="F586" t="s">
        <v>7</v>
      </c>
      <c r="G586" t="s">
        <v>3064</v>
      </c>
    </row>
    <row r="587" spans="1:7" x14ac:dyDescent="0.25">
      <c r="A587">
        <v>51448</v>
      </c>
      <c r="B587" t="s">
        <v>1102</v>
      </c>
      <c r="C587" t="s">
        <v>3059</v>
      </c>
      <c r="D587">
        <v>3</v>
      </c>
      <c r="E587">
        <v>64.2</v>
      </c>
      <c r="F587" t="s">
        <v>7</v>
      </c>
      <c r="G587" t="s">
        <v>3102</v>
      </c>
    </row>
    <row r="588" spans="1:7" x14ac:dyDescent="0.25">
      <c r="A588">
        <v>51450</v>
      </c>
      <c r="B588" t="s">
        <v>1103</v>
      </c>
      <c r="C588" t="s">
        <v>3059</v>
      </c>
      <c r="D588">
        <v>20</v>
      </c>
      <c r="E588">
        <v>7.1</v>
      </c>
      <c r="F588" t="s">
        <v>7</v>
      </c>
      <c r="G588" t="s">
        <v>3103</v>
      </c>
    </row>
    <row r="589" spans="1:7" x14ac:dyDescent="0.25">
      <c r="A589">
        <v>51459</v>
      </c>
      <c r="B589" t="s">
        <v>1106</v>
      </c>
      <c r="C589" t="s">
        <v>3059</v>
      </c>
      <c r="D589">
        <v>282</v>
      </c>
      <c r="E589">
        <v>39.64</v>
      </c>
      <c r="F589" t="s">
        <v>7</v>
      </c>
      <c r="G589" t="s">
        <v>3103</v>
      </c>
    </row>
    <row r="590" spans="1:7" x14ac:dyDescent="0.25">
      <c r="A590">
        <v>51462</v>
      </c>
      <c r="B590" t="s">
        <v>1107</v>
      </c>
      <c r="C590" t="s">
        <v>3059</v>
      </c>
      <c r="D590">
        <v>492</v>
      </c>
      <c r="E590">
        <v>6.45</v>
      </c>
      <c r="F590" t="s">
        <v>7</v>
      </c>
      <c r="G590" t="s">
        <v>3103</v>
      </c>
    </row>
    <row r="591" spans="1:7" x14ac:dyDescent="0.25">
      <c r="A591">
        <v>51470</v>
      </c>
      <c r="B591" t="s">
        <v>3121</v>
      </c>
      <c r="C591" t="s">
        <v>3059</v>
      </c>
      <c r="D591">
        <v>60</v>
      </c>
      <c r="E591">
        <v>26.5</v>
      </c>
      <c r="F591" t="s">
        <v>7</v>
      </c>
      <c r="G591" t="s">
        <v>3103</v>
      </c>
    </row>
    <row r="592" spans="1:7" x14ac:dyDescent="0.25">
      <c r="A592">
        <v>51480</v>
      </c>
      <c r="B592" t="s">
        <v>1108</v>
      </c>
      <c r="C592" t="s">
        <v>3059</v>
      </c>
      <c r="D592">
        <v>174</v>
      </c>
      <c r="E592">
        <v>13.3</v>
      </c>
      <c r="F592" t="s">
        <v>7</v>
      </c>
      <c r="G592" t="s">
        <v>3103</v>
      </c>
    </row>
    <row r="593" spans="1:7" x14ac:dyDescent="0.25">
      <c r="A593">
        <v>51483</v>
      </c>
      <c r="B593" t="s">
        <v>1111</v>
      </c>
      <c r="C593" t="s">
        <v>3059</v>
      </c>
      <c r="D593">
        <v>158</v>
      </c>
      <c r="E593">
        <v>13.02</v>
      </c>
      <c r="F593" t="s">
        <v>7</v>
      </c>
      <c r="G593" t="s">
        <v>3102</v>
      </c>
    </row>
    <row r="594" spans="1:7" x14ac:dyDescent="0.25">
      <c r="A594">
        <v>51484</v>
      </c>
      <c r="B594" t="s">
        <v>1112</v>
      </c>
      <c r="C594" t="s">
        <v>3059</v>
      </c>
      <c r="D594">
        <v>36</v>
      </c>
      <c r="E594">
        <v>125.69</v>
      </c>
      <c r="F594" t="s">
        <v>7</v>
      </c>
      <c r="G594" t="s">
        <v>3071</v>
      </c>
    </row>
    <row r="595" spans="1:7" x14ac:dyDescent="0.25">
      <c r="A595">
        <v>51488</v>
      </c>
      <c r="B595" t="s">
        <v>1114</v>
      </c>
      <c r="C595" t="s">
        <v>3059</v>
      </c>
      <c r="D595">
        <v>4</v>
      </c>
      <c r="E595">
        <v>501</v>
      </c>
      <c r="F595" t="s">
        <v>7</v>
      </c>
      <c r="G595" t="s">
        <v>3122</v>
      </c>
    </row>
    <row r="596" spans="1:7" x14ac:dyDescent="0.25">
      <c r="A596">
        <v>51492</v>
      </c>
      <c r="B596" t="s">
        <v>1117</v>
      </c>
      <c r="C596" t="s">
        <v>3059</v>
      </c>
      <c r="D596">
        <v>127</v>
      </c>
      <c r="E596">
        <v>67.19</v>
      </c>
      <c r="F596" t="s">
        <v>7</v>
      </c>
      <c r="G596" t="s">
        <v>3073</v>
      </c>
    </row>
    <row r="597" spans="1:7" x14ac:dyDescent="0.25">
      <c r="A597">
        <v>51507</v>
      </c>
      <c r="B597" t="s">
        <v>1122</v>
      </c>
      <c r="C597" t="s">
        <v>3059</v>
      </c>
      <c r="D597">
        <v>10</v>
      </c>
      <c r="E597">
        <v>385</v>
      </c>
      <c r="F597" t="s">
        <v>7</v>
      </c>
      <c r="G597" t="s">
        <v>3122</v>
      </c>
    </row>
    <row r="598" spans="1:7" x14ac:dyDescent="0.25">
      <c r="A598">
        <v>51518</v>
      </c>
      <c r="B598" t="s">
        <v>1124</v>
      </c>
      <c r="C598" t="s">
        <v>3059</v>
      </c>
      <c r="D598">
        <v>9</v>
      </c>
      <c r="E598">
        <v>40.33</v>
      </c>
      <c r="F598" t="s">
        <v>7</v>
      </c>
      <c r="G598" t="s">
        <v>3071</v>
      </c>
    </row>
    <row r="599" spans="1:7" x14ac:dyDescent="0.25">
      <c r="A599">
        <v>51519</v>
      </c>
      <c r="B599" t="s">
        <v>1125</v>
      </c>
      <c r="C599" t="s">
        <v>3059</v>
      </c>
      <c r="D599">
        <v>9</v>
      </c>
      <c r="E599">
        <v>44.27</v>
      </c>
      <c r="F599" t="s">
        <v>7</v>
      </c>
      <c r="G599" t="s">
        <v>3071</v>
      </c>
    </row>
    <row r="600" spans="1:7" x14ac:dyDescent="0.25">
      <c r="A600">
        <v>51529</v>
      </c>
      <c r="B600" t="s">
        <v>1126</v>
      </c>
      <c r="C600" t="s">
        <v>3059</v>
      </c>
      <c r="D600">
        <v>2</v>
      </c>
      <c r="E600">
        <v>93</v>
      </c>
      <c r="F600" t="s">
        <v>7</v>
      </c>
      <c r="G600" t="s">
        <v>3103</v>
      </c>
    </row>
    <row r="601" spans="1:7" x14ac:dyDescent="0.25">
      <c r="A601">
        <v>51535</v>
      </c>
      <c r="B601" t="s">
        <v>1129</v>
      </c>
      <c r="C601" t="s">
        <v>3059</v>
      </c>
      <c r="D601">
        <v>21</v>
      </c>
      <c r="E601">
        <v>401</v>
      </c>
      <c r="F601" t="s">
        <v>7</v>
      </c>
      <c r="G601" t="s">
        <v>3122</v>
      </c>
    </row>
    <row r="602" spans="1:7" x14ac:dyDescent="0.25">
      <c r="A602">
        <v>51546</v>
      </c>
      <c r="B602" t="s">
        <v>3123</v>
      </c>
      <c r="C602" t="s">
        <v>3059</v>
      </c>
      <c r="D602">
        <v>48</v>
      </c>
      <c r="E602">
        <v>117.89</v>
      </c>
      <c r="F602" t="s">
        <v>7</v>
      </c>
      <c r="G602" t="s">
        <v>3124</v>
      </c>
    </row>
    <row r="603" spans="1:7" x14ac:dyDescent="0.25">
      <c r="A603">
        <v>51549</v>
      </c>
      <c r="B603" t="s">
        <v>1139</v>
      </c>
      <c r="C603" t="s">
        <v>3059</v>
      </c>
      <c r="D603">
        <v>13</v>
      </c>
      <c r="E603">
        <v>74</v>
      </c>
      <c r="F603" t="s">
        <v>7</v>
      </c>
      <c r="G603" t="s">
        <v>3083</v>
      </c>
    </row>
    <row r="604" spans="1:7" x14ac:dyDescent="0.25">
      <c r="A604">
        <v>51566</v>
      </c>
      <c r="B604" t="s">
        <v>1151</v>
      </c>
      <c r="C604" t="s">
        <v>3059</v>
      </c>
      <c r="D604">
        <v>2</v>
      </c>
      <c r="E604">
        <v>92.32</v>
      </c>
      <c r="F604" t="s">
        <v>7</v>
      </c>
      <c r="G604" t="s">
        <v>3083</v>
      </c>
    </row>
    <row r="605" spans="1:7" x14ac:dyDescent="0.25">
      <c r="A605">
        <v>51579</v>
      </c>
      <c r="B605" t="s">
        <v>3126</v>
      </c>
      <c r="C605" t="s">
        <v>3059</v>
      </c>
      <c r="D605">
        <v>30</v>
      </c>
      <c r="E605">
        <v>14.35</v>
      </c>
      <c r="F605" t="s">
        <v>7</v>
      </c>
      <c r="G605" t="s">
        <v>3083</v>
      </c>
    </row>
    <row r="606" spans="1:7" x14ac:dyDescent="0.25">
      <c r="A606">
        <v>51580</v>
      </c>
      <c r="B606" t="s">
        <v>1163</v>
      </c>
      <c r="C606" t="s">
        <v>3059</v>
      </c>
      <c r="D606">
        <v>50</v>
      </c>
      <c r="E606">
        <v>3.25</v>
      </c>
      <c r="F606" t="s">
        <v>7</v>
      </c>
      <c r="G606" t="s">
        <v>3083</v>
      </c>
    </row>
    <row r="607" spans="1:7" x14ac:dyDescent="0.25">
      <c r="A607">
        <v>51581</v>
      </c>
      <c r="B607" t="s">
        <v>3127</v>
      </c>
      <c r="C607" t="s">
        <v>3059</v>
      </c>
      <c r="D607">
        <v>20</v>
      </c>
      <c r="E607">
        <v>7.31</v>
      </c>
      <c r="F607" t="s">
        <v>7</v>
      </c>
      <c r="G607" t="s">
        <v>3083</v>
      </c>
    </row>
    <row r="608" spans="1:7" x14ac:dyDescent="0.25">
      <c r="A608">
        <v>51584</v>
      </c>
      <c r="B608" t="s">
        <v>1165</v>
      </c>
      <c r="C608" t="s">
        <v>3059</v>
      </c>
      <c r="D608">
        <v>5</v>
      </c>
      <c r="E608">
        <v>492.33</v>
      </c>
      <c r="F608" t="s">
        <v>7</v>
      </c>
      <c r="G608" t="s">
        <v>3064</v>
      </c>
    </row>
    <row r="609" spans="1:7" x14ac:dyDescent="0.25">
      <c r="A609">
        <v>51599</v>
      </c>
      <c r="B609" t="s">
        <v>1167</v>
      </c>
      <c r="C609" t="s">
        <v>3059</v>
      </c>
      <c r="D609">
        <v>17</v>
      </c>
      <c r="E609">
        <v>130</v>
      </c>
      <c r="F609" t="s">
        <v>7</v>
      </c>
      <c r="G609" t="s">
        <v>3118</v>
      </c>
    </row>
    <row r="610" spans="1:7" x14ac:dyDescent="0.25">
      <c r="A610">
        <v>51600</v>
      </c>
      <c r="B610" t="s">
        <v>1168</v>
      </c>
      <c r="C610" t="s">
        <v>3059</v>
      </c>
      <c r="D610">
        <v>15</v>
      </c>
      <c r="E610">
        <v>150</v>
      </c>
      <c r="F610" t="s">
        <v>7</v>
      </c>
      <c r="G610" t="s">
        <v>3118</v>
      </c>
    </row>
    <row r="611" spans="1:7" x14ac:dyDescent="0.25">
      <c r="A611">
        <v>51615</v>
      </c>
      <c r="B611" t="s">
        <v>1177</v>
      </c>
      <c r="C611" t="s">
        <v>3059</v>
      </c>
      <c r="D611">
        <v>5</v>
      </c>
      <c r="E611">
        <v>10.61</v>
      </c>
      <c r="F611" t="s">
        <v>7</v>
      </c>
      <c r="G611" t="s">
        <v>3083</v>
      </c>
    </row>
    <row r="612" spans="1:7" x14ac:dyDescent="0.25">
      <c r="A612">
        <v>51621</v>
      </c>
      <c r="B612" t="s">
        <v>1182</v>
      </c>
      <c r="C612" t="s">
        <v>3059</v>
      </c>
      <c r="D612">
        <v>6</v>
      </c>
      <c r="E612">
        <v>510</v>
      </c>
      <c r="F612" t="s">
        <v>7</v>
      </c>
      <c r="G612" t="s">
        <v>3122</v>
      </c>
    </row>
    <row r="613" spans="1:7" x14ac:dyDescent="0.25">
      <c r="A613">
        <v>51626</v>
      </c>
      <c r="B613" t="s">
        <v>1185</v>
      </c>
      <c r="C613" t="s">
        <v>3059</v>
      </c>
      <c r="D613">
        <v>12</v>
      </c>
      <c r="E613">
        <v>27.66</v>
      </c>
      <c r="F613" t="s">
        <v>7</v>
      </c>
      <c r="G613" t="s">
        <v>3083</v>
      </c>
    </row>
    <row r="614" spans="1:7" x14ac:dyDescent="0.25">
      <c r="A614">
        <v>51627</v>
      </c>
      <c r="B614" t="s">
        <v>1186</v>
      </c>
      <c r="C614" t="s">
        <v>3059</v>
      </c>
      <c r="D614">
        <v>30</v>
      </c>
      <c r="E614">
        <v>2.1</v>
      </c>
      <c r="F614" t="s">
        <v>7</v>
      </c>
      <c r="G614" t="s">
        <v>3083</v>
      </c>
    </row>
    <row r="615" spans="1:7" x14ac:dyDescent="0.25">
      <c r="A615">
        <v>51631</v>
      </c>
      <c r="B615" t="s">
        <v>1189</v>
      </c>
      <c r="C615" t="s">
        <v>3059</v>
      </c>
      <c r="D615">
        <v>9</v>
      </c>
      <c r="E615">
        <v>4.47</v>
      </c>
      <c r="F615" t="s">
        <v>7</v>
      </c>
      <c r="G615" t="s">
        <v>3088</v>
      </c>
    </row>
    <row r="616" spans="1:7" x14ac:dyDescent="0.25">
      <c r="A616">
        <v>51638</v>
      </c>
      <c r="B616" t="s">
        <v>1192</v>
      </c>
      <c r="C616" t="s">
        <v>3059</v>
      </c>
      <c r="D616">
        <v>2</v>
      </c>
      <c r="E616">
        <v>69.5</v>
      </c>
      <c r="F616" t="s">
        <v>7</v>
      </c>
      <c r="G616" t="s">
        <v>3124</v>
      </c>
    </row>
    <row r="617" spans="1:7" x14ac:dyDescent="0.25">
      <c r="A617">
        <v>51639</v>
      </c>
      <c r="B617" t="s">
        <v>1193</v>
      </c>
      <c r="C617" t="s">
        <v>3059</v>
      </c>
      <c r="D617">
        <v>3</v>
      </c>
      <c r="E617">
        <v>92</v>
      </c>
      <c r="F617" t="s">
        <v>7</v>
      </c>
      <c r="G617" t="s">
        <v>3124</v>
      </c>
    </row>
    <row r="618" spans="1:7" x14ac:dyDescent="0.25">
      <c r="A618">
        <v>51640</v>
      </c>
      <c r="B618" t="s">
        <v>1194</v>
      </c>
      <c r="C618" t="s">
        <v>3059</v>
      </c>
      <c r="D618">
        <v>2</v>
      </c>
      <c r="E618">
        <v>19.100000000000001</v>
      </c>
      <c r="F618" t="s">
        <v>7</v>
      </c>
      <c r="G618" t="s">
        <v>3124</v>
      </c>
    </row>
    <row r="619" spans="1:7" x14ac:dyDescent="0.25">
      <c r="A619">
        <v>51647</v>
      </c>
      <c r="B619" t="s">
        <v>1198</v>
      </c>
      <c r="C619" t="s">
        <v>3059</v>
      </c>
      <c r="D619">
        <v>30</v>
      </c>
      <c r="E619">
        <v>17.11</v>
      </c>
      <c r="F619" t="s">
        <v>7</v>
      </c>
      <c r="G619" t="s">
        <v>3083</v>
      </c>
    </row>
    <row r="620" spans="1:7" x14ac:dyDescent="0.25">
      <c r="A620">
        <v>51649</v>
      </c>
      <c r="B620" t="s">
        <v>1200</v>
      </c>
      <c r="C620" t="s">
        <v>3059</v>
      </c>
      <c r="D620">
        <v>10</v>
      </c>
      <c r="E620">
        <v>8</v>
      </c>
      <c r="F620" t="s">
        <v>7</v>
      </c>
      <c r="G620" t="s">
        <v>3083</v>
      </c>
    </row>
    <row r="621" spans="1:7" x14ac:dyDescent="0.25">
      <c r="A621">
        <v>51668</v>
      </c>
      <c r="B621" t="s">
        <v>1211</v>
      </c>
      <c r="C621" t="s">
        <v>3059</v>
      </c>
      <c r="D621">
        <v>530</v>
      </c>
      <c r="E621">
        <v>5.2</v>
      </c>
      <c r="F621" t="s">
        <v>7</v>
      </c>
      <c r="G621" t="s">
        <v>3110</v>
      </c>
    </row>
    <row r="622" spans="1:7" x14ac:dyDescent="0.25">
      <c r="A622">
        <v>51670</v>
      </c>
      <c r="B622" t="s">
        <v>1213</v>
      </c>
      <c r="C622" t="s">
        <v>3059</v>
      </c>
      <c r="D622">
        <v>1</v>
      </c>
      <c r="E622">
        <v>103.25</v>
      </c>
      <c r="F622" t="s">
        <v>7</v>
      </c>
      <c r="G622" t="s">
        <v>3083</v>
      </c>
    </row>
    <row r="623" spans="1:7" x14ac:dyDescent="0.25">
      <c r="A623">
        <v>51673</v>
      </c>
      <c r="B623" t="s">
        <v>1214</v>
      </c>
      <c r="C623" t="s">
        <v>3059</v>
      </c>
      <c r="D623">
        <v>9</v>
      </c>
      <c r="E623">
        <v>20.13</v>
      </c>
      <c r="F623" t="s">
        <v>7</v>
      </c>
      <c r="G623" t="s">
        <v>3124</v>
      </c>
    </row>
    <row r="624" spans="1:7" x14ac:dyDescent="0.25">
      <c r="A624">
        <v>51684</v>
      </c>
      <c r="B624" t="s">
        <v>1219</v>
      </c>
      <c r="C624" t="s">
        <v>3059</v>
      </c>
      <c r="D624">
        <v>6</v>
      </c>
      <c r="E624">
        <v>1.56</v>
      </c>
      <c r="F624" t="s">
        <v>7</v>
      </c>
      <c r="G624" t="s">
        <v>3124</v>
      </c>
    </row>
    <row r="625" spans="1:7" x14ac:dyDescent="0.25">
      <c r="A625">
        <v>51707</v>
      </c>
      <c r="B625" t="s">
        <v>1229</v>
      </c>
      <c r="C625" t="s">
        <v>3059</v>
      </c>
      <c r="D625">
        <v>20</v>
      </c>
      <c r="E625">
        <v>2</v>
      </c>
      <c r="F625" t="s">
        <v>7</v>
      </c>
      <c r="G625" t="s">
        <v>3083</v>
      </c>
    </row>
    <row r="626" spans="1:7" x14ac:dyDescent="0.25">
      <c r="A626">
        <v>51711</v>
      </c>
      <c r="B626" t="s">
        <v>1231</v>
      </c>
      <c r="C626" t="s">
        <v>3059</v>
      </c>
      <c r="D626">
        <v>11</v>
      </c>
      <c r="E626">
        <v>8.41</v>
      </c>
      <c r="F626" t="s">
        <v>7</v>
      </c>
      <c r="G626" t="s">
        <v>3125</v>
      </c>
    </row>
    <row r="627" spans="1:7" x14ac:dyDescent="0.25">
      <c r="A627">
        <v>51712</v>
      </c>
      <c r="B627" t="s">
        <v>1232</v>
      </c>
      <c r="C627" t="s">
        <v>3059</v>
      </c>
      <c r="D627">
        <v>8</v>
      </c>
      <c r="E627">
        <v>1.52</v>
      </c>
      <c r="F627" t="s">
        <v>7</v>
      </c>
      <c r="G627" t="s">
        <v>3083</v>
      </c>
    </row>
    <row r="628" spans="1:7" x14ac:dyDescent="0.25">
      <c r="A628">
        <v>51715</v>
      </c>
      <c r="B628" t="s">
        <v>1234</v>
      </c>
      <c r="C628" t="s">
        <v>3059</v>
      </c>
      <c r="D628">
        <v>1</v>
      </c>
      <c r="E628">
        <v>2.7</v>
      </c>
      <c r="F628" t="s">
        <v>7</v>
      </c>
      <c r="G628" t="s">
        <v>3108</v>
      </c>
    </row>
    <row r="629" spans="1:7" x14ac:dyDescent="0.25">
      <c r="A629">
        <v>51722</v>
      </c>
      <c r="B629" t="s">
        <v>1239</v>
      </c>
      <c r="C629" t="s">
        <v>3059</v>
      </c>
      <c r="D629">
        <v>15</v>
      </c>
      <c r="E629">
        <v>19</v>
      </c>
      <c r="F629" t="s">
        <v>7</v>
      </c>
      <c r="G629" t="s">
        <v>3083</v>
      </c>
    </row>
    <row r="630" spans="1:7" x14ac:dyDescent="0.25">
      <c r="A630">
        <v>51726</v>
      </c>
      <c r="B630" t="s">
        <v>3128</v>
      </c>
      <c r="C630" t="s">
        <v>3059</v>
      </c>
      <c r="D630">
        <v>15</v>
      </c>
      <c r="E630">
        <v>13.68</v>
      </c>
      <c r="F630" t="s">
        <v>7</v>
      </c>
      <c r="G630" t="s">
        <v>3083</v>
      </c>
    </row>
    <row r="631" spans="1:7" x14ac:dyDescent="0.25">
      <c r="A631">
        <v>51741</v>
      </c>
      <c r="B631" t="s">
        <v>1248</v>
      </c>
      <c r="C631" t="s">
        <v>3059</v>
      </c>
      <c r="D631">
        <v>70</v>
      </c>
      <c r="E631">
        <v>1.64</v>
      </c>
      <c r="F631" t="s">
        <v>7</v>
      </c>
      <c r="G631" t="s">
        <v>3083</v>
      </c>
    </row>
    <row r="632" spans="1:7" x14ac:dyDescent="0.25">
      <c r="A632">
        <v>51744</v>
      </c>
      <c r="B632" t="s">
        <v>1250</v>
      </c>
      <c r="C632" t="s">
        <v>3059</v>
      </c>
      <c r="D632">
        <v>8</v>
      </c>
      <c r="E632">
        <v>2.2999999999999998</v>
      </c>
      <c r="F632" t="s">
        <v>7</v>
      </c>
      <c r="G632" t="s">
        <v>3083</v>
      </c>
    </row>
    <row r="633" spans="1:7" x14ac:dyDescent="0.25">
      <c r="A633">
        <v>51747</v>
      </c>
      <c r="B633" t="s">
        <v>1252</v>
      </c>
      <c r="C633" t="s">
        <v>3059</v>
      </c>
      <c r="D633">
        <v>6</v>
      </c>
      <c r="E633">
        <v>74.099999999999994</v>
      </c>
      <c r="F633" t="s">
        <v>7</v>
      </c>
      <c r="G633" t="s">
        <v>3083</v>
      </c>
    </row>
    <row r="634" spans="1:7" x14ac:dyDescent="0.25">
      <c r="A634">
        <v>51749</v>
      </c>
      <c r="B634" t="s">
        <v>1254</v>
      </c>
      <c r="C634" t="s">
        <v>3059</v>
      </c>
      <c r="D634">
        <v>50</v>
      </c>
      <c r="E634">
        <v>5.22</v>
      </c>
      <c r="F634" t="s">
        <v>7</v>
      </c>
      <c r="G634" t="s">
        <v>3083</v>
      </c>
    </row>
    <row r="635" spans="1:7" x14ac:dyDescent="0.25">
      <c r="A635">
        <v>51750</v>
      </c>
      <c r="B635" t="s">
        <v>1255</v>
      </c>
      <c r="C635" t="s">
        <v>3059</v>
      </c>
      <c r="D635">
        <v>50</v>
      </c>
      <c r="E635">
        <v>28.87</v>
      </c>
      <c r="F635" t="s">
        <v>7</v>
      </c>
      <c r="G635" t="s">
        <v>3083</v>
      </c>
    </row>
    <row r="636" spans="1:7" x14ac:dyDescent="0.25">
      <c r="A636">
        <v>51753</v>
      </c>
      <c r="B636" t="s">
        <v>3129</v>
      </c>
      <c r="C636" t="s">
        <v>3059</v>
      </c>
      <c r="D636">
        <v>20</v>
      </c>
      <c r="E636">
        <v>2</v>
      </c>
      <c r="F636" t="s">
        <v>7</v>
      </c>
      <c r="G636" t="s">
        <v>3083</v>
      </c>
    </row>
    <row r="637" spans="1:7" x14ac:dyDescent="0.25">
      <c r="A637">
        <v>51764</v>
      </c>
      <c r="B637" t="s">
        <v>1259</v>
      </c>
      <c r="C637" t="s">
        <v>3059</v>
      </c>
      <c r="D637">
        <v>11</v>
      </c>
      <c r="E637">
        <v>55</v>
      </c>
      <c r="F637" t="s">
        <v>7</v>
      </c>
      <c r="G637" t="s">
        <v>3083</v>
      </c>
    </row>
    <row r="638" spans="1:7" x14ac:dyDescent="0.25">
      <c r="A638">
        <v>51778</v>
      </c>
      <c r="B638" t="s">
        <v>1262</v>
      </c>
      <c r="C638" t="s">
        <v>3059</v>
      </c>
      <c r="D638">
        <v>12</v>
      </c>
      <c r="E638">
        <v>74.709999999999994</v>
      </c>
      <c r="F638" t="s">
        <v>7</v>
      </c>
      <c r="G638" t="s">
        <v>3083</v>
      </c>
    </row>
    <row r="639" spans="1:7" x14ac:dyDescent="0.25">
      <c r="A639">
        <v>51786</v>
      </c>
      <c r="B639" t="s">
        <v>1266</v>
      </c>
      <c r="C639" t="s">
        <v>3059</v>
      </c>
      <c r="D639">
        <v>220</v>
      </c>
      <c r="E639">
        <v>5</v>
      </c>
      <c r="F639" t="s">
        <v>7</v>
      </c>
      <c r="G639" t="s">
        <v>3109</v>
      </c>
    </row>
    <row r="640" spans="1:7" x14ac:dyDescent="0.25">
      <c r="A640">
        <v>51796</v>
      </c>
      <c r="B640" t="s">
        <v>1267</v>
      </c>
      <c r="C640" t="s">
        <v>3059</v>
      </c>
      <c r="D640">
        <v>1</v>
      </c>
      <c r="E640">
        <v>10</v>
      </c>
      <c r="F640" t="s">
        <v>7</v>
      </c>
      <c r="G640" t="s">
        <v>3088</v>
      </c>
    </row>
    <row r="641" spans="1:7" x14ac:dyDescent="0.25">
      <c r="A641">
        <v>51801</v>
      </c>
      <c r="B641" t="s">
        <v>1269</v>
      </c>
      <c r="C641" t="s">
        <v>3059</v>
      </c>
      <c r="D641">
        <v>2424</v>
      </c>
      <c r="E641">
        <v>2.4</v>
      </c>
      <c r="F641" t="s">
        <v>7</v>
      </c>
      <c r="G641" t="s">
        <v>3062</v>
      </c>
    </row>
    <row r="642" spans="1:7" x14ac:dyDescent="0.25">
      <c r="A642">
        <v>51803</v>
      </c>
      <c r="B642" t="s">
        <v>1270</v>
      </c>
      <c r="C642" t="s">
        <v>3059</v>
      </c>
      <c r="D642">
        <v>1</v>
      </c>
      <c r="E642">
        <v>40</v>
      </c>
      <c r="F642" t="s">
        <v>7</v>
      </c>
      <c r="G642" t="s">
        <v>3122</v>
      </c>
    </row>
    <row r="643" spans="1:7" x14ac:dyDescent="0.25">
      <c r="A643">
        <v>51805</v>
      </c>
      <c r="B643" t="s">
        <v>1272</v>
      </c>
      <c r="C643" t="s">
        <v>3059</v>
      </c>
      <c r="D643">
        <v>2387</v>
      </c>
      <c r="E643">
        <v>2.7</v>
      </c>
      <c r="F643" t="s">
        <v>7</v>
      </c>
      <c r="G643" t="s">
        <v>3062</v>
      </c>
    </row>
    <row r="644" spans="1:7" x14ac:dyDescent="0.25">
      <c r="A644">
        <v>51806</v>
      </c>
      <c r="B644" t="s">
        <v>1273</v>
      </c>
      <c r="C644" t="s">
        <v>3059</v>
      </c>
      <c r="D644">
        <v>3</v>
      </c>
      <c r="E644">
        <v>98</v>
      </c>
      <c r="F644" t="s">
        <v>7</v>
      </c>
      <c r="G644" t="s">
        <v>3083</v>
      </c>
    </row>
    <row r="645" spans="1:7" x14ac:dyDescent="0.25">
      <c r="A645">
        <v>51810</v>
      </c>
      <c r="B645" t="s">
        <v>1277</v>
      </c>
      <c r="C645" t="s">
        <v>3059</v>
      </c>
      <c r="D645">
        <v>120</v>
      </c>
      <c r="E645">
        <v>2.19</v>
      </c>
      <c r="F645" t="s">
        <v>7</v>
      </c>
      <c r="G645" t="s">
        <v>3083</v>
      </c>
    </row>
    <row r="646" spans="1:7" x14ac:dyDescent="0.25">
      <c r="A646">
        <v>51811</v>
      </c>
      <c r="B646" t="s">
        <v>1278</v>
      </c>
      <c r="C646" t="s">
        <v>3059</v>
      </c>
      <c r="D646">
        <v>120</v>
      </c>
      <c r="E646">
        <v>2.19</v>
      </c>
      <c r="F646" t="s">
        <v>7</v>
      </c>
      <c r="G646" t="s">
        <v>3083</v>
      </c>
    </row>
    <row r="647" spans="1:7" x14ac:dyDescent="0.25">
      <c r="A647">
        <v>51818</v>
      </c>
      <c r="B647" t="s">
        <v>1283</v>
      </c>
      <c r="C647" t="s">
        <v>3059</v>
      </c>
      <c r="D647">
        <v>3</v>
      </c>
      <c r="E647">
        <v>81</v>
      </c>
      <c r="F647" t="s">
        <v>7</v>
      </c>
      <c r="G647" t="s">
        <v>3083</v>
      </c>
    </row>
    <row r="648" spans="1:7" x14ac:dyDescent="0.25">
      <c r="A648">
        <v>51825</v>
      </c>
      <c r="B648" t="s">
        <v>1288</v>
      </c>
      <c r="C648" t="s">
        <v>3059</v>
      </c>
      <c r="D648">
        <v>33</v>
      </c>
      <c r="E648">
        <v>133.37</v>
      </c>
      <c r="F648" t="s">
        <v>7</v>
      </c>
      <c r="G648" t="s">
        <v>3070</v>
      </c>
    </row>
    <row r="649" spans="1:7" x14ac:dyDescent="0.25">
      <c r="A649">
        <v>51826</v>
      </c>
      <c r="B649" t="s">
        <v>1289</v>
      </c>
      <c r="C649" t="s">
        <v>3059</v>
      </c>
      <c r="D649">
        <v>167</v>
      </c>
      <c r="E649">
        <v>57.85</v>
      </c>
      <c r="F649" t="s">
        <v>7</v>
      </c>
      <c r="G649" t="s">
        <v>3070</v>
      </c>
    </row>
    <row r="650" spans="1:7" x14ac:dyDescent="0.25">
      <c r="A650">
        <v>51827</v>
      </c>
      <c r="B650" t="s">
        <v>1290</v>
      </c>
      <c r="C650" t="s">
        <v>3059</v>
      </c>
      <c r="D650">
        <v>24</v>
      </c>
      <c r="E650">
        <v>94.13</v>
      </c>
      <c r="F650" t="s">
        <v>7</v>
      </c>
      <c r="G650" t="s">
        <v>3070</v>
      </c>
    </row>
    <row r="651" spans="1:7" x14ac:dyDescent="0.25">
      <c r="A651">
        <v>51830</v>
      </c>
      <c r="B651" t="s">
        <v>1293</v>
      </c>
      <c r="C651" t="s">
        <v>3059</v>
      </c>
      <c r="D651">
        <v>80</v>
      </c>
      <c r="E651">
        <v>17.91</v>
      </c>
      <c r="F651" t="s">
        <v>7</v>
      </c>
      <c r="G651" t="s">
        <v>3070</v>
      </c>
    </row>
    <row r="652" spans="1:7" x14ac:dyDescent="0.25">
      <c r="A652">
        <v>51832</v>
      </c>
      <c r="B652" t="s">
        <v>1294</v>
      </c>
      <c r="C652" t="s">
        <v>3059</v>
      </c>
      <c r="D652">
        <v>62</v>
      </c>
      <c r="E652">
        <v>203</v>
      </c>
      <c r="F652" t="s">
        <v>7</v>
      </c>
      <c r="G652" t="s">
        <v>3070</v>
      </c>
    </row>
    <row r="653" spans="1:7" x14ac:dyDescent="0.25">
      <c r="A653">
        <v>51833</v>
      </c>
      <c r="B653" t="s">
        <v>1295</v>
      </c>
      <c r="C653" t="s">
        <v>3059</v>
      </c>
      <c r="D653">
        <v>63</v>
      </c>
      <c r="E653">
        <v>259</v>
      </c>
      <c r="F653" t="s">
        <v>7</v>
      </c>
      <c r="G653" t="s">
        <v>3070</v>
      </c>
    </row>
    <row r="654" spans="1:7" x14ac:dyDescent="0.25">
      <c r="A654">
        <v>51837</v>
      </c>
      <c r="B654" t="s">
        <v>1299</v>
      </c>
      <c r="C654" t="s">
        <v>3059</v>
      </c>
      <c r="D654">
        <v>203</v>
      </c>
      <c r="E654">
        <v>18.5</v>
      </c>
      <c r="F654" t="s">
        <v>7</v>
      </c>
      <c r="G654" t="s">
        <v>3070</v>
      </c>
    </row>
    <row r="655" spans="1:7" x14ac:dyDescent="0.25">
      <c r="A655">
        <v>51838</v>
      </c>
      <c r="B655" t="s">
        <v>1300</v>
      </c>
      <c r="C655" t="s">
        <v>3059</v>
      </c>
      <c r="D655">
        <v>609</v>
      </c>
      <c r="E655">
        <v>14.04</v>
      </c>
      <c r="F655" t="s">
        <v>7</v>
      </c>
      <c r="G655" t="s">
        <v>3070</v>
      </c>
    </row>
    <row r="656" spans="1:7" x14ac:dyDescent="0.25">
      <c r="A656">
        <v>51839</v>
      </c>
      <c r="B656" t="s">
        <v>1301</v>
      </c>
      <c r="C656" t="s">
        <v>3059</v>
      </c>
      <c r="D656">
        <v>234</v>
      </c>
      <c r="E656">
        <v>5.72</v>
      </c>
      <c r="F656" t="s">
        <v>7</v>
      </c>
      <c r="G656" t="s">
        <v>3070</v>
      </c>
    </row>
    <row r="657" spans="1:7" x14ac:dyDescent="0.25">
      <c r="A657">
        <v>51840</v>
      </c>
      <c r="B657" t="s">
        <v>1302</v>
      </c>
      <c r="C657" t="s">
        <v>3059</v>
      </c>
      <c r="D657">
        <v>72</v>
      </c>
      <c r="E657">
        <v>19.5</v>
      </c>
      <c r="F657" t="s">
        <v>7</v>
      </c>
      <c r="G657" t="s">
        <v>3070</v>
      </c>
    </row>
    <row r="658" spans="1:7" x14ac:dyDescent="0.25">
      <c r="A658">
        <v>51847</v>
      </c>
      <c r="B658" t="s">
        <v>1308</v>
      </c>
      <c r="C658" t="s">
        <v>3059</v>
      </c>
      <c r="D658">
        <v>20</v>
      </c>
      <c r="E658">
        <v>1.5</v>
      </c>
      <c r="F658" t="s">
        <v>7</v>
      </c>
      <c r="G658" t="s">
        <v>3070</v>
      </c>
    </row>
    <row r="659" spans="1:7" x14ac:dyDescent="0.25">
      <c r="A659">
        <v>51848</v>
      </c>
      <c r="B659" t="s">
        <v>1309</v>
      </c>
      <c r="C659" t="s">
        <v>3059</v>
      </c>
      <c r="D659">
        <v>20</v>
      </c>
      <c r="E659">
        <v>4.9800000000000004</v>
      </c>
      <c r="F659" t="s">
        <v>7</v>
      </c>
      <c r="G659" t="s">
        <v>3070</v>
      </c>
    </row>
    <row r="660" spans="1:7" x14ac:dyDescent="0.25">
      <c r="A660">
        <v>51849</v>
      </c>
      <c r="B660" t="s">
        <v>1310</v>
      </c>
      <c r="C660" t="s">
        <v>3059</v>
      </c>
      <c r="D660">
        <v>40</v>
      </c>
      <c r="E660">
        <v>1.8</v>
      </c>
      <c r="F660" t="s">
        <v>7</v>
      </c>
      <c r="G660" t="s">
        <v>3070</v>
      </c>
    </row>
    <row r="661" spans="1:7" x14ac:dyDescent="0.25">
      <c r="A661">
        <v>51850</v>
      </c>
      <c r="B661" t="s">
        <v>1311</v>
      </c>
      <c r="C661" t="s">
        <v>3059</v>
      </c>
      <c r="D661">
        <v>698</v>
      </c>
      <c r="E661">
        <v>6.8</v>
      </c>
      <c r="F661" t="s">
        <v>7</v>
      </c>
      <c r="G661" t="s">
        <v>3070</v>
      </c>
    </row>
    <row r="662" spans="1:7" x14ac:dyDescent="0.25">
      <c r="A662">
        <v>51851</v>
      </c>
      <c r="B662" t="s">
        <v>1312</v>
      </c>
      <c r="C662" t="s">
        <v>3059</v>
      </c>
      <c r="D662">
        <v>928</v>
      </c>
      <c r="E662">
        <v>7.35</v>
      </c>
      <c r="F662" t="s">
        <v>7</v>
      </c>
      <c r="G662" t="s">
        <v>3070</v>
      </c>
    </row>
    <row r="663" spans="1:7" x14ac:dyDescent="0.25">
      <c r="A663">
        <v>51852</v>
      </c>
      <c r="B663" t="s">
        <v>1313</v>
      </c>
      <c r="C663" t="s">
        <v>3059</v>
      </c>
      <c r="D663">
        <v>90</v>
      </c>
      <c r="E663">
        <v>5.81</v>
      </c>
      <c r="F663" t="s">
        <v>7</v>
      </c>
      <c r="G663" t="s">
        <v>3070</v>
      </c>
    </row>
    <row r="664" spans="1:7" x14ac:dyDescent="0.25">
      <c r="A664">
        <v>51853</v>
      </c>
      <c r="B664" t="s">
        <v>1314</v>
      </c>
      <c r="C664" t="s">
        <v>3059</v>
      </c>
      <c r="D664">
        <v>30</v>
      </c>
      <c r="E664">
        <v>4.9800000000000004</v>
      </c>
      <c r="F664" t="s">
        <v>7</v>
      </c>
      <c r="G664" t="s">
        <v>3070</v>
      </c>
    </row>
    <row r="665" spans="1:7" x14ac:dyDescent="0.25">
      <c r="A665">
        <v>51855</v>
      </c>
      <c r="B665" t="s">
        <v>1315</v>
      </c>
      <c r="C665" t="s">
        <v>3059</v>
      </c>
      <c r="D665">
        <v>37</v>
      </c>
      <c r="E665">
        <v>6.6</v>
      </c>
      <c r="F665" t="s">
        <v>7</v>
      </c>
      <c r="G665" t="s">
        <v>3058</v>
      </c>
    </row>
    <row r="666" spans="1:7" x14ac:dyDescent="0.25">
      <c r="A666">
        <v>51856</v>
      </c>
      <c r="B666" t="s">
        <v>1316</v>
      </c>
      <c r="C666" t="s">
        <v>3059</v>
      </c>
      <c r="D666">
        <v>62</v>
      </c>
      <c r="E666">
        <v>23.77</v>
      </c>
      <c r="F666" t="s">
        <v>7</v>
      </c>
      <c r="G666" t="s">
        <v>3058</v>
      </c>
    </row>
    <row r="667" spans="1:7" x14ac:dyDescent="0.25">
      <c r="A667">
        <v>51860</v>
      </c>
      <c r="B667" t="s">
        <v>1319</v>
      </c>
      <c r="C667" t="s">
        <v>3059</v>
      </c>
      <c r="D667">
        <v>42</v>
      </c>
      <c r="E667">
        <v>4.13</v>
      </c>
      <c r="F667" t="s">
        <v>7</v>
      </c>
      <c r="G667" t="s">
        <v>3058</v>
      </c>
    </row>
    <row r="668" spans="1:7" x14ac:dyDescent="0.25">
      <c r="A668">
        <v>51861</v>
      </c>
      <c r="B668" t="s">
        <v>1320</v>
      </c>
      <c r="C668" t="s">
        <v>3059</v>
      </c>
      <c r="D668">
        <v>38</v>
      </c>
      <c r="E668">
        <v>18.98</v>
      </c>
      <c r="F668" t="s">
        <v>7</v>
      </c>
      <c r="G668" t="s">
        <v>3058</v>
      </c>
    </row>
    <row r="669" spans="1:7" x14ac:dyDescent="0.25">
      <c r="A669">
        <v>51867</v>
      </c>
      <c r="B669" t="s">
        <v>1323</v>
      </c>
      <c r="C669" t="s">
        <v>3059</v>
      </c>
      <c r="D669">
        <v>84</v>
      </c>
      <c r="E669">
        <v>2.48</v>
      </c>
      <c r="F669" t="s">
        <v>7</v>
      </c>
      <c r="G669" t="s">
        <v>3058</v>
      </c>
    </row>
    <row r="670" spans="1:7" x14ac:dyDescent="0.25">
      <c r="A670">
        <v>51868</v>
      </c>
      <c r="B670" t="s">
        <v>1324</v>
      </c>
      <c r="C670" t="s">
        <v>3059</v>
      </c>
      <c r="D670">
        <v>23</v>
      </c>
      <c r="E670">
        <v>40</v>
      </c>
      <c r="F670" t="s">
        <v>7</v>
      </c>
      <c r="G670" t="s">
        <v>3058</v>
      </c>
    </row>
    <row r="671" spans="1:7" x14ac:dyDescent="0.25">
      <c r="A671">
        <v>51873</v>
      </c>
      <c r="B671" t="s">
        <v>1328</v>
      </c>
      <c r="C671" t="s">
        <v>3059</v>
      </c>
      <c r="D671">
        <v>44</v>
      </c>
      <c r="E671">
        <v>26.41</v>
      </c>
      <c r="F671" t="s">
        <v>7</v>
      </c>
      <c r="G671" t="s">
        <v>3058</v>
      </c>
    </row>
    <row r="672" spans="1:7" x14ac:dyDescent="0.25">
      <c r="A672">
        <v>51876</v>
      </c>
      <c r="B672" t="s">
        <v>1331</v>
      </c>
      <c r="C672" t="s">
        <v>3059</v>
      </c>
      <c r="D672">
        <v>37</v>
      </c>
      <c r="E672">
        <v>16.510000000000002</v>
      </c>
      <c r="F672" t="s">
        <v>7</v>
      </c>
      <c r="G672" t="s">
        <v>3058</v>
      </c>
    </row>
    <row r="673" spans="1:7" x14ac:dyDescent="0.25">
      <c r="A673">
        <v>51879</v>
      </c>
      <c r="B673" t="s">
        <v>1332</v>
      </c>
      <c r="C673" t="s">
        <v>3059</v>
      </c>
      <c r="D673">
        <v>10</v>
      </c>
      <c r="E673">
        <v>4.95</v>
      </c>
      <c r="F673" t="s">
        <v>7</v>
      </c>
      <c r="G673" t="s">
        <v>3058</v>
      </c>
    </row>
    <row r="674" spans="1:7" x14ac:dyDescent="0.25">
      <c r="A674">
        <v>51882</v>
      </c>
      <c r="B674" t="s">
        <v>1333</v>
      </c>
      <c r="C674" t="s">
        <v>3059</v>
      </c>
      <c r="D674">
        <v>9</v>
      </c>
      <c r="E674">
        <v>4.95</v>
      </c>
      <c r="F674" t="s">
        <v>7</v>
      </c>
      <c r="G674" t="s">
        <v>3058</v>
      </c>
    </row>
    <row r="675" spans="1:7" x14ac:dyDescent="0.25">
      <c r="A675">
        <v>51883</v>
      </c>
      <c r="B675" t="s">
        <v>1334</v>
      </c>
      <c r="C675" t="s">
        <v>3059</v>
      </c>
      <c r="D675">
        <v>58</v>
      </c>
      <c r="E675">
        <v>13.21</v>
      </c>
      <c r="F675" t="s">
        <v>7</v>
      </c>
      <c r="G675" t="s">
        <v>3058</v>
      </c>
    </row>
    <row r="676" spans="1:7" x14ac:dyDescent="0.25">
      <c r="A676">
        <v>51884</v>
      </c>
      <c r="B676" t="s">
        <v>1335</v>
      </c>
      <c r="C676" t="s">
        <v>3059</v>
      </c>
      <c r="D676">
        <v>111</v>
      </c>
      <c r="E676">
        <v>17.690000000000001</v>
      </c>
      <c r="F676" t="s">
        <v>7</v>
      </c>
      <c r="G676" t="s">
        <v>3058</v>
      </c>
    </row>
    <row r="677" spans="1:7" x14ac:dyDescent="0.25">
      <c r="A677">
        <v>51885</v>
      </c>
      <c r="B677" t="s">
        <v>1336</v>
      </c>
      <c r="C677" t="s">
        <v>3059</v>
      </c>
      <c r="D677">
        <v>36</v>
      </c>
      <c r="E677">
        <v>8.25</v>
      </c>
      <c r="F677" t="s">
        <v>7</v>
      </c>
      <c r="G677" t="s">
        <v>3058</v>
      </c>
    </row>
    <row r="678" spans="1:7" x14ac:dyDescent="0.25">
      <c r="A678">
        <v>51887</v>
      </c>
      <c r="B678" t="s">
        <v>1338</v>
      </c>
      <c r="C678" t="s">
        <v>3059</v>
      </c>
      <c r="D678">
        <v>30</v>
      </c>
      <c r="E678">
        <v>17.690000000000001</v>
      </c>
      <c r="F678" t="s">
        <v>7</v>
      </c>
      <c r="G678" t="s">
        <v>3058</v>
      </c>
    </row>
    <row r="679" spans="1:7" x14ac:dyDescent="0.25">
      <c r="A679">
        <v>51889</v>
      </c>
      <c r="B679" t="s">
        <v>1339</v>
      </c>
      <c r="C679" t="s">
        <v>3059</v>
      </c>
      <c r="D679">
        <v>40</v>
      </c>
      <c r="E679">
        <v>18.87</v>
      </c>
      <c r="F679" t="s">
        <v>7</v>
      </c>
      <c r="G679" t="s">
        <v>3058</v>
      </c>
    </row>
    <row r="680" spans="1:7" x14ac:dyDescent="0.25">
      <c r="A680">
        <v>51890</v>
      </c>
      <c r="B680" t="s">
        <v>1340</v>
      </c>
      <c r="C680" t="s">
        <v>3059</v>
      </c>
      <c r="D680">
        <v>21</v>
      </c>
      <c r="E680">
        <v>5.78</v>
      </c>
      <c r="F680" t="s">
        <v>7</v>
      </c>
      <c r="G680" t="s">
        <v>3058</v>
      </c>
    </row>
    <row r="681" spans="1:7" x14ac:dyDescent="0.25">
      <c r="A681">
        <v>51892</v>
      </c>
      <c r="B681" t="s">
        <v>1341</v>
      </c>
      <c r="C681" t="s">
        <v>3059</v>
      </c>
      <c r="D681">
        <v>47</v>
      </c>
      <c r="E681">
        <v>4.13</v>
      </c>
      <c r="F681" t="s">
        <v>7</v>
      </c>
      <c r="G681" t="s">
        <v>3058</v>
      </c>
    </row>
    <row r="682" spans="1:7" x14ac:dyDescent="0.25">
      <c r="A682">
        <v>51893</v>
      </c>
      <c r="B682" t="s">
        <v>1342</v>
      </c>
      <c r="C682" t="s">
        <v>3059</v>
      </c>
      <c r="D682">
        <v>72</v>
      </c>
      <c r="E682">
        <v>4.95</v>
      </c>
      <c r="F682" t="s">
        <v>7</v>
      </c>
      <c r="G682" t="s">
        <v>3058</v>
      </c>
    </row>
    <row r="683" spans="1:7" x14ac:dyDescent="0.25">
      <c r="A683">
        <v>51894</v>
      </c>
      <c r="B683" t="s">
        <v>1343</v>
      </c>
      <c r="C683" t="s">
        <v>3059</v>
      </c>
      <c r="D683">
        <v>33</v>
      </c>
      <c r="E683">
        <v>4.95</v>
      </c>
      <c r="F683" t="s">
        <v>7</v>
      </c>
      <c r="G683" t="s">
        <v>3058</v>
      </c>
    </row>
    <row r="684" spans="1:7" x14ac:dyDescent="0.25">
      <c r="A684">
        <v>51900</v>
      </c>
      <c r="B684" t="s">
        <v>1347</v>
      </c>
      <c r="C684" t="s">
        <v>3059</v>
      </c>
      <c r="D684">
        <v>12</v>
      </c>
      <c r="E684">
        <v>82.54</v>
      </c>
      <c r="F684" t="s">
        <v>7</v>
      </c>
      <c r="G684" t="s">
        <v>3058</v>
      </c>
    </row>
    <row r="685" spans="1:7" x14ac:dyDescent="0.25">
      <c r="A685">
        <v>51906</v>
      </c>
      <c r="B685" t="s">
        <v>1351</v>
      </c>
      <c r="C685" t="s">
        <v>3059</v>
      </c>
      <c r="D685">
        <v>14</v>
      </c>
      <c r="E685">
        <v>8.25</v>
      </c>
      <c r="F685" t="s">
        <v>7</v>
      </c>
      <c r="G685" t="s">
        <v>3058</v>
      </c>
    </row>
    <row r="686" spans="1:7" x14ac:dyDescent="0.25">
      <c r="A686">
        <v>51909</v>
      </c>
      <c r="B686" t="s">
        <v>1353</v>
      </c>
      <c r="C686" t="s">
        <v>3059</v>
      </c>
      <c r="D686">
        <v>11</v>
      </c>
      <c r="E686">
        <v>8.25</v>
      </c>
      <c r="F686" t="s">
        <v>7</v>
      </c>
      <c r="G686" t="s">
        <v>3058</v>
      </c>
    </row>
    <row r="687" spans="1:7" x14ac:dyDescent="0.25">
      <c r="A687">
        <v>51910</v>
      </c>
      <c r="B687" t="s">
        <v>1354</v>
      </c>
      <c r="C687" t="s">
        <v>3059</v>
      </c>
      <c r="D687">
        <v>2</v>
      </c>
      <c r="E687">
        <v>24.76</v>
      </c>
      <c r="F687" t="s">
        <v>7</v>
      </c>
      <c r="G687" t="s">
        <v>3058</v>
      </c>
    </row>
    <row r="688" spans="1:7" x14ac:dyDescent="0.25">
      <c r="A688">
        <v>51911</v>
      </c>
      <c r="B688" t="s">
        <v>1355</v>
      </c>
      <c r="C688" t="s">
        <v>3059</v>
      </c>
      <c r="D688">
        <v>43</v>
      </c>
      <c r="E688">
        <v>8.25</v>
      </c>
      <c r="F688" t="s">
        <v>7</v>
      </c>
      <c r="G688" t="s">
        <v>3058</v>
      </c>
    </row>
    <row r="689" spans="1:7" x14ac:dyDescent="0.25">
      <c r="A689">
        <v>51915</v>
      </c>
      <c r="B689" t="s">
        <v>1358</v>
      </c>
      <c r="C689" t="s">
        <v>3059</v>
      </c>
      <c r="D689">
        <v>9</v>
      </c>
      <c r="E689">
        <v>8.25</v>
      </c>
      <c r="F689" t="s">
        <v>7</v>
      </c>
      <c r="G689" t="s">
        <v>3058</v>
      </c>
    </row>
    <row r="690" spans="1:7" x14ac:dyDescent="0.25">
      <c r="A690">
        <v>51918</v>
      </c>
      <c r="B690" t="s">
        <v>1360</v>
      </c>
      <c r="C690" t="s">
        <v>3059</v>
      </c>
      <c r="D690">
        <v>394</v>
      </c>
      <c r="E690">
        <v>1.65</v>
      </c>
      <c r="F690" t="s">
        <v>7</v>
      </c>
      <c r="G690" t="s">
        <v>3058</v>
      </c>
    </row>
    <row r="691" spans="1:7" x14ac:dyDescent="0.25">
      <c r="A691">
        <v>51923</v>
      </c>
      <c r="B691" t="s">
        <v>1361</v>
      </c>
      <c r="C691" t="s">
        <v>3059</v>
      </c>
      <c r="D691">
        <v>20</v>
      </c>
      <c r="E691">
        <v>33.01</v>
      </c>
      <c r="F691" t="s">
        <v>7</v>
      </c>
      <c r="G691" t="s">
        <v>3058</v>
      </c>
    </row>
    <row r="692" spans="1:7" x14ac:dyDescent="0.25">
      <c r="A692">
        <v>51927</v>
      </c>
      <c r="B692" t="s">
        <v>1363</v>
      </c>
      <c r="C692" t="s">
        <v>3059</v>
      </c>
      <c r="D692">
        <v>3</v>
      </c>
      <c r="E692">
        <v>5.84</v>
      </c>
      <c r="F692" t="s">
        <v>7</v>
      </c>
      <c r="G692" t="s">
        <v>3058</v>
      </c>
    </row>
    <row r="693" spans="1:7" x14ac:dyDescent="0.25">
      <c r="A693">
        <v>51931</v>
      </c>
      <c r="B693" t="s">
        <v>1365</v>
      </c>
      <c r="C693" t="s">
        <v>3059</v>
      </c>
      <c r="D693">
        <v>5</v>
      </c>
      <c r="E693">
        <v>665</v>
      </c>
      <c r="F693" t="s">
        <v>7</v>
      </c>
      <c r="G693" t="s">
        <v>3062</v>
      </c>
    </row>
    <row r="694" spans="1:7" x14ac:dyDescent="0.25">
      <c r="A694">
        <v>51936</v>
      </c>
      <c r="B694" t="s">
        <v>1369</v>
      </c>
      <c r="C694" t="s">
        <v>3059</v>
      </c>
      <c r="D694">
        <v>2190</v>
      </c>
      <c r="E694">
        <v>1.89</v>
      </c>
      <c r="F694" t="s">
        <v>7</v>
      </c>
      <c r="G694" t="s">
        <v>3115</v>
      </c>
    </row>
    <row r="695" spans="1:7" x14ac:dyDescent="0.25">
      <c r="A695">
        <v>51937</v>
      </c>
      <c r="B695" t="s">
        <v>1370</v>
      </c>
      <c r="C695" t="s">
        <v>3059</v>
      </c>
      <c r="D695">
        <v>7</v>
      </c>
      <c r="E695">
        <v>457.77</v>
      </c>
      <c r="F695" t="s">
        <v>7</v>
      </c>
      <c r="G695" t="s">
        <v>3070</v>
      </c>
    </row>
    <row r="696" spans="1:7" x14ac:dyDescent="0.25">
      <c r="A696">
        <v>51938</v>
      </c>
      <c r="B696" t="s">
        <v>1371</v>
      </c>
      <c r="C696" t="s">
        <v>3059</v>
      </c>
      <c r="D696">
        <v>3</v>
      </c>
      <c r="E696">
        <v>1041.6600000000001</v>
      </c>
      <c r="F696" t="s">
        <v>7</v>
      </c>
      <c r="G696" t="s">
        <v>3070</v>
      </c>
    </row>
    <row r="697" spans="1:7" x14ac:dyDescent="0.25">
      <c r="A697">
        <v>51940</v>
      </c>
      <c r="B697" t="s">
        <v>1373</v>
      </c>
      <c r="C697" t="s">
        <v>3059</v>
      </c>
      <c r="D697">
        <v>4</v>
      </c>
      <c r="E697">
        <v>693.96</v>
      </c>
      <c r="F697" t="s">
        <v>7</v>
      </c>
      <c r="G697" t="s">
        <v>3070</v>
      </c>
    </row>
    <row r="698" spans="1:7" x14ac:dyDescent="0.25">
      <c r="A698">
        <v>51941</v>
      </c>
      <c r="B698" t="s">
        <v>1374</v>
      </c>
      <c r="C698" t="s">
        <v>3059</v>
      </c>
      <c r="D698">
        <v>6</v>
      </c>
      <c r="E698">
        <v>1272.22</v>
      </c>
      <c r="F698" t="s">
        <v>7</v>
      </c>
      <c r="G698" t="s">
        <v>3070</v>
      </c>
    </row>
    <row r="699" spans="1:7" x14ac:dyDescent="0.25">
      <c r="A699">
        <v>51942</v>
      </c>
      <c r="B699" t="s">
        <v>1375</v>
      </c>
      <c r="C699" t="s">
        <v>3059</v>
      </c>
      <c r="D699">
        <v>117</v>
      </c>
      <c r="E699">
        <v>13.68</v>
      </c>
      <c r="F699" t="s">
        <v>7</v>
      </c>
      <c r="G699" t="s">
        <v>3071</v>
      </c>
    </row>
    <row r="700" spans="1:7" x14ac:dyDescent="0.25">
      <c r="A700">
        <v>51946</v>
      </c>
      <c r="B700" t="s">
        <v>3053</v>
      </c>
      <c r="C700" t="s">
        <v>3059</v>
      </c>
      <c r="D700">
        <v>3</v>
      </c>
      <c r="E700">
        <v>20</v>
      </c>
      <c r="F700" t="s">
        <v>7</v>
      </c>
      <c r="G700" t="s">
        <v>3083</v>
      </c>
    </row>
    <row r="701" spans="1:7" x14ac:dyDescent="0.25">
      <c r="A701">
        <v>51952</v>
      </c>
      <c r="B701" t="s">
        <v>1377</v>
      </c>
      <c r="C701" t="s">
        <v>3059</v>
      </c>
      <c r="D701">
        <v>696</v>
      </c>
      <c r="E701">
        <v>3.5</v>
      </c>
      <c r="F701" t="s">
        <v>7</v>
      </c>
      <c r="G701" t="s">
        <v>3101</v>
      </c>
    </row>
    <row r="702" spans="1:7" x14ac:dyDescent="0.25">
      <c r="A702">
        <v>51953</v>
      </c>
      <c r="B702" t="s">
        <v>1378</v>
      </c>
      <c r="C702" t="s">
        <v>3059</v>
      </c>
      <c r="D702">
        <v>10</v>
      </c>
      <c r="E702">
        <v>4.5</v>
      </c>
      <c r="F702" t="s">
        <v>7</v>
      </c>
      <c r="G702" t="s">
        <v>3101</v>
      </c>
    </row>
    <row r="703" spans="1:7" x14ac:dyDescent="0.25">
      <c r="A703">
        <v>51956</v>
      </c>
      <c r="B703" t="s">
        <v>1381</v>
      </c>
      <c r="C703" t="s">
        <v>3059</v>
      </c>
      <c r="D703">
        <v>31</v>
      </c>
      <c r="E703">
        <v>18.5</v>
      </c>
      <c r="F703" t="s">
        <v>7</v>
      </c>
      <c r="G703" t="s">
        <v>3101</v>
      </c>
    </row>
    <row r="704" spans="1:7" x14ac:dyDescent="0.25">
      <c r="A704">
        <v>51958</v>
      </c>
      <c r="B704" t="s">
        <v>1383</v>
      </c>
      <c r="C704" t="s">
        <v>3059</v>
      </c>
      <c r="D704">
        <v>52</v>
      </c>
      <c r="E704">
        <v>15</v>
      </c>
      <c r="F704" t="s">
        <v>7</v>
      </c>
      <c r="G704" t="s">
        <v>3101</v>
      </c>
    </row>
    <row r="705" spans="1:7" x14ac:dyDescent="0.25">
      <c r="A705">
        <v>51959</v>
      </c>
      <c r="B705" t="s">
        <v>1384</v>
      </c>
      <c r="C705" t="s">
        <v>3059</v>
      </c>
      <c r="D705">
        <v>7</v>
      </c>
      <c r="E705">
        <v>300</v>
      </c>
      <c r="F705" t="s">
        <v>7</v>
      </c>
      <c r="G705" t="s">
        <v>3062</v>
      </c>
    </row>
    <row r="706" spans="1:7" x14ac:dyDescent="0.25">
      <c r="A706">
        <v>51960</v>
      </c>
      <c r="B706" t="s">
        <v>3130</v>
      </c>
      <c r="C706" t="s">
        <v>3059</v>
      </c>
      <c r="D706">
        <v>3</v>
      </c>
      <c r="E706">
        <v>2.34</v>
      </c>
      <c r="F706" t="s">
        <v>7</v>
      </c>
      <c r="G706" t="s">
        <v>3070</v>
      </c>
    </row>
    <row r="707" spans="1:7" x14ac:dyDescent="0.25">
      <c r="A707">
        <v>51962</v>
      </c>
      <c r="B707" t="s">
        <v>1386</v>
      </c>
      <c r="C707" t="s">
        <v>3059</v>
      </c>
      <c r="D707">
        <v>21</v>
      </c>
      <c r="E707">
        <v>41.34</v>
      </c>
      <c r="F707" t="s">
        <v>7</v>
      </c>
      <c r="G707" t="s">
        <v>3070</v>
      </c>
    </row>
    <row r="708" spans="1:7" x14ac:dyDescent="0.25">
      <c r="A708">
        <v>51963</v>
      </c>
      <c r="B708" t="s">
        <v>1387</v>
      </c>
      <c r="C708" t="s">
        <v>3059</v>
      </c>
      <c r="D708">
        <v>1</v>
      </c>
      <c r="E708">
        <v>120.75</v>
      </c>
      <c r="F708" t="s">
        <v>7</v>
      </c>
      <c r="G708" t="s">
        <v>3070</v>
      </c>
    </row>
    <row r="709" spans="1:7" x14ac:dyDescent="0.25">
      <c r="A709">
        <v>51966</v>
      </c>
      <c r="B709" t="s">
        <v>1390</v>
      </c>
      <c r="C709" t="s">
        <v>3059</v>
      </c>
      <c r="D709">
        <v>40</v>
      </c>
      <c r="E709">
        <v>2.2599999999999998</v>
      </c>
      <c r="F709" t="s">
        <v>7</v>
      </c>
      <c r="G709" t="s">
        <v>3070</v>
      </c>
    </row>
    <row r="710" spans="1:7" x14ac:dyDescent="0.25">
      <c r="A710">
        <v>51967</v>
      </c>
      <c r="B710" t="s">
        <v>1391</v>
      </c>
      <c r="C710" t="s">
        <v>3059</v>
      </c>
      <c r="D710">
        <v>3</v>
      </c>
      <c r="E710">
        <v>7.77</v>
      </c>
      <c r="F710" t="s">
        <v>7</v>
      </c>
      <c r="G710" t="s">
        <v>3070</v>
      </c>
    </row>
    <row r="711" spans="1:7" x14ac:dyDescent="0.25">
      <c r="A711">
        <v>51969</v>
      </c>
      <c r="B711" t="s">
        <v>1393</v>
      </c>
      <c r="C711" t="s">
        <v>3059</v>
      </c>
      <c r="D711">
        <v>3</v>
      </c>
      <c r="E711">
        <v>29.18</v>
      </c>
      <c r="F711" t="s">
        <v>7</v>
      </c>
      <c r="G711" t="s">
        <v>3070</v>
      </c>
    </row>
    <row r="712" spans="1:7" x14ac:dyDescent="0.25">
      <c r="A712">
        <v>51970</v>
      </c>
      <c r="B712" t="s">
        <v>1394</v>
      </c>
      <c r="C712" t="s">
        <v>3059</v>
      </c>
      <c r="D712">
        <v>3</v>
      </c>
      <c r="E712">
        <v>1.41</v>
      </c>
      <c r="F712" t="s">
        <v>7</v>
      </c>
      <c r="G712" t="s">
        <v>3070</v>
      </c>
    </row>
    <row r="713" spans="1:7" x14ac:dyDescent="0.25">
      <c r="A713">
        <v>51972</v>
      </c>
      <c r="B713" t="s">
        <v>1395</v>
      </c>
      <c r="C713" t="s">
        <v>3059</v>
      </c>
      <c r="D713">
        <v>8</v>
      </c>
      <c r="E713">
        <v>19.09</v>
      </c>
      <c r="F713" t="s">
        <v>7</v>
      </c>
      <c r="G713" t="s">
        <v>3070</v>
      </c>
    </row>
    <row r="714" spans="1:7" x14ac:dyDescent="0.25">
      <c r="A714">
        <v>51974</v>
      </c>
      <c r="B714" t="s">
        <v>1396</v>
      </c>
      <c r="C714" t="s">
        <v>3059</v>
      </c>
      <c r="D714">
        <v>3</v>
      </c>
      <c r="E714">
        <v>0.71</v>
      </c>
      <c r="F714" t="s">
        <v>7</v>
      </c>
      <c r="G714" t="s">
        <v>3070</v>
      </c>
    </row>
    <row r="715" spans="1:7" x14ac:dyDescent="0.25">
      <c r="A715">
        <v>51975</v>
      </c>
      <c r="B715" t="s">
        <v>1397</v>
      </c>
      <c r="C715" t="s">
        <v>3059</v>
      </c>
      <c r="D715">
        <v>3</v>
      </c>
      <c r="E715">
        <v>0.71</v>
      </c>
      <c r="F715" t="s">
        <v>7</v>
      </c>
      <c r="G715" t="s">
        <v>3070</v>
      </c>
    </row>
    <row r="716" spans="1:7" x14ac:dyDescent="0.25">
      <c r="A716">
        <v>51976</v>
      </c>
      <c r="B716" t="s">
        <v>1398</v>
      </c>
      <c r="C716" t="s">
        <v>3059</v>
      </c>
      <c r="D716">
        <v>10</v>
      </c>
      <c r="E716">
        <v>0.14000000000000001</v>
      </c>
      <c r="F716" t="s">
        <v>7</v>
      </c>
      <c r="G716" t="s">
        <v>3070</v>
      </c>
    </row>
    <row r="717" spans="1:7" x14ac:dyDescent="0.25">
      <c r="A717">
        <v>51979</v>
      </c>
      <c r="B717" t="s">
        <v>1401</v>
      </c>
      <c r="C717" t="s">
        <v>3059</v>
      </c>
      <c r="D717">
        <v>2</v>
      </c>
      <c r="E717">
        <v>108.44</v>
      </c>
      <c r="F717" t="s">
        <v>7</v>
      </c>
      <c r="G717" t="s">
        <v>3070</v>
      </c>
    </row>
    <row r="718" spans="1:7" x14ac:dyDescent="0.25">
      <c r="A718">
        <v>51982</v>
      </c>
      <c r="B718" t="s">
        <v>1404</v>
      </c>
      <c r="C718" t="s">
        <v>3059</v>
      </c>
      <c r="D718">
        <v>3</v>
      </c>
      <c r="E718">
        <v>22.31</v>
      </c>
      <c r="F718" t="s">
        <v>7</v>
      </c>
      <c r="G718" t="s">
        <v>3070</v>
      </c>
    </row>
    <row r="719" spans="1:7" x14ac:dyDescent="0.25">
      <c r="A719">
        <v>51983</v>
      </c>
      <c r="B719" t="s">
        <v>1405</v>
      </c>
      <c r="C719" t="s">
        <v>3059</v>
      </c>
      <c r="D719">
        <v>130</v>
      </c>
      <c r="E719">
        <v>3.28</v>
      </c>
      <c r="F719" t="s">
        <v>7</v>
      </c>
      <c r="G719" t="s">
        <v>3070</v>
      </c>
    </row>
    <row r="720" spans="1:7" x14ac:dyDescent="0.25">
      <c r="A720">
        <v>51987</v>
      </c>
      <c r="B720" t="s">
        <v>1408</v>
      </c>
      <c r="C720" t="s">
        <v>3059</v>
      </c>
      <c r="D720">
        <v>35</v>
      </c>
      <c r="E720">
        <v>1.24</v>
      </c>
      <c r="F720" t="s">
        <v>7</v>
      </c>
      <c r="G720" t="s">
        <v>3070</v>
      </c>
    </row>
    <row r="721" spans="1:7" x14ac:dyDescent="0.25">
      <c r="A721">
        <v>51992</v>
      </c>
      <c r="B721" t="s">
        <v>1411</v>
      </c>
      <c r="C721" t="s">
        <v>3059</v>
      </c>
      <c r="D721">
        <v>3</v>
      </c>
      <c r="E721">
        <v>5.65</v>
      </c>
      <c r="F721" t="s">
        <v>7</v>
      </c>
      <c r="G721" t="s">
        <v>3070</v>
      </c>
    </row>
    <row r="722" spans="1:7" x14ac:dyDescent="0.25">
      <c r="A722">
        <v>51994</v>
      </c>
      <c r="B722" t="s">
        <v>1413</v>
      </c>
      <c r="C722" t="s">
        <v>3059</v>
      </c>
      <c r="D722">
        <v>3</v>
      </c>
      <c r="E722">
        <v>4.24</v>
      </c>
      <c r="F722" t="s">
        <v>7</v>
      </c>
      <c r="G722" t="s">
        <v>3070</v>
      </c>
    </row>
    <row r="723" spans="1:7" x14ac:dyDescent="0.25">
      <c r="A723">
        <v>51999</v>
      </c>
      <c r="B723" t="s">
        <v>1417</v>
      </c>
      <c r="C723" t="s">
        <v>3059</v>
      </c>
      <c r="D723">
        <v>11</v>
      </c>
      <c r="E723">
        <v>45</v>
      </c>
      <c r="F723" t="s">
        <v>7</v>
      </c>
      <c r="G723" t="s">
        <v>3070</v>
      </c>
    </row>
    <row r="724" spans="1:7" x14ac:dyDescent="0.25">
      <c r="A724">
        <v>52001</v>
      </c>
      <c r="B724" t="s">
        <v>1419</v>
      </c>
      <c r="C724" t="s">
        <v>3059</v>
      </c>
      <c r="D724">
        <v>3</v>
      </c>
      <c r="E724">
        <v>4.9400000000000004</v>
      </c>
      <c r="F724" t="s">
        <v>7</v>
      </c>
      <c r="G724" t="s">
        <v>3070</v>
      </c>
    </row>
    <row r="725" spans="1:7" x14ac:dyDescent="0.25">
      <c r="A725">
        <v>52002</v>
      </c>
      <c r="B725" t="s">
        <v>1420</v>
      </c>
      <c r="C725" t="s">
        <v>3059</v>
      </c>
      <c r="D725">
        <v>3</v>
      </c>
      <c r="E725">
        <v>50.55</v>
      </c>
      <c r="F725" t="s">
        <v>7</v>
      </c>
      <c r="G725" t="s">
        <v>3070</v>
      </c>
    </row>
    <row r="726" spans="1:7" x14ac:dyDescent="0.25">
      <c r="A726">
        <v>52005</v>
      </c>
      <c r="B726" t="s">
        <v>1423</v>
      </c>
      <c r="C726" t="s">
        <v>3059</v>
      </c>
      <c r="D726">
        <v>3</v>
      </c>
      <c r="E726">
        <v>12.71</v>
      </c>
      <c r="F726" t="s">
        <v>7</v>
      </c>
      <c r="G726" t="s">
        <v>3070</v>
      </c>
    </row>
    <row r="727" spans="1:7" x14ac:dyDescent="0.25">
      <c r="A727">
        <v>52008</v>
      </c>
      <c r="B727" t="s">
        <v>1426</v>
      </c>
      <c r="C727" t="s">
        <v>3059</v>
      </c>
      <c r="D727">
        <v>3</v>
      </c>
      <c r="E727">
        <v>2.82</v>
      </c>
      <c r="F727" t="s">
        <v>7</v>
      </c>
      <c r="G727" t="s">
        <v>3070</v>
      </c>
    </row>
    <row r="728" spans="1:7" x14ac:dyDescent="0.25">
      <c r="A728">
        <v>52009</v>
      </c>
      <c r="B728" t="s">
        <v>1427</v>
      </c>
      <c r="C728" t="s">
        <v>3059</v>
      </c>
      <c r="D728">
        <v>3</v>
      </c>
      <c r="E728">
        <v>0.99</v>
      </c>
      <c r="F728" t="s">
        <v>7</v>
      </c>
      <c r="G728" t="s">
        <v>3070</v>
      </c>
    </row>
    <row r="729" spans="1:7" x14ac:dyDescent="0.25">
      <c r="A729">
        <v>5201</v>
      </c>
      <c r="B729" t="s">
        <v>1428</v>
      </c>
      <c r="C729" t="s">
        <v>3059</v>
      </c>
      <c r="D729">
        <v>231</v>
      </c>
      <c r="E729">
        <v>10.96</v>
      </c>
      <c r="F729" t="s">
        <v>7</v>
      </c>
      <c r="G729" t="s">
        <v>3103</v>
      </c>
    </row>
    <row r="730" spans="1:7" x14ac:dyDescent="0.25">
      <c r="A730">
        <v>52010</v>
      </c>
      <c r="B730" t="s">
        <v>1429</v>
      </c>
      <c r="C730" t="s">
        <v>3059</v>
      </c>
      <c r="D730">
        <v>3</v>
      </c>
      <c r="E730">
        <v>0.56000000000000005</v>
      </c>
      <c r="F730" t="s">
        <v>7</v>
      </c>
      <c r="G730" t="s">
        <v>3070</v>
      </c>
    </row>
    <row r="731" spans="1:7" x14ac:dyDescent="0.25">
      <c r="A731">
        <v>52015</v>
      </c>
      <c r="B731" t="s">
        <v>1433</v>
      </c>
      <c r="C731" t="s">
        <v>3059</v>
      </c>
      <c r="D731">
        <v>27</v>
      </c>
      <c r="E731">
        <v>3.2</v>
      </c>
      <c r="F731" t="s">
        <v>7</v>
      </c>
      <c r="G731" t="s">
        <v>3110</v>
      </c>
    </row>
    <row r="732" spans="1:7" x14ac:dyDescent="0.25">
      <c r="A732">
        <v>52017</v>
      </c>
      <c r="B732" t="s">
        <v>1435</v>
      </c>
      <c r="C732" t="s">
        <v>3059</v>
      </c>
      <c r="D732">
        <v>351</v>
      </c>
      <c r="E732">
        <v>1.8</v>
      </c>
      <c r="F732" t="s">
        <v>7</v>
      </c>
      <c r="G732" t="s">
        <v>3110</v>
      </c>
    </row>
    <row r="733" spans="1:7" x14ac:dyDescent="0.25">
      <c r="A733">
        <v>52018</v>
      </c>
      <c r="B733" t="s">
        <v>1436</v>
      </c>
      <c r="C733" t="s">
        <v>3059</v>
      </c>
      <c r="D733">
        <v>124</v>
      </c>
      <c r="E733">
        <v>13.4</v>
      </c>
      <c r="F733" t="s">
        <v>7</v>
      </c>
      <c r="G733" t="s">
        <v>3110</v>
      </c>
    </row>
    <row r="734" spans="1:7" x14ac:dyDescent="0.25">
      <c r="A734">
        <v>5202</v>
      </c>
      <c r="B734" t="s">
        <v>1437</v>
      </c>
      <c r="C734" t="s">
        <v>3059</v>
      </c>
      <c r="D734">
        <v>141</v>
      </c>
      <c r="E734">
        <v>12.7</v>
      </c>
      <c r="F734" t="s">
        <v>7</v>
      </c>
      <c r="G734" t="s">
        <v>3103</v>
      </c>
    </row>
    <row r="735" spans="1:7" x14ac:dyDescent="0.25">
      <c r="A735">
        <v>5203</v>
      </c>
      <c r="B735" t="s">
        <v>1448</v>
      </c>
      <c r="C735" t="s">
        <v>3059</v>
      </c>
      <c r="D735">
        <v>157</v>
      </c>
      <c r="E735">
        <v>13.9</v>
      </c>
      <c r="F735" t="s">
        <v>7</v>
      </c>
      <c r="G735" t="s">
        <v>3103</v>
      </c>
    </row>
    <row r="736" spans="1:7" x14ac:dyDescent="0.25">
      <c r="A736">
        <v>52056</v>
      </c>
      <c r="B736" t="s">
        <v>1470</v>
      </c>
      <c r="C736" t="s">
        <v>3059</v>
      </c>
      <c r="D736">
        <v>6</v>
      </c>
      <c r="E736">
        <v>368</v>
      </c>
      <c r="F736" t="s">
        <v>7</v>
      </c>
      <c r="G736" t="s">
        <v>3064</v>
      </c>
    </row>
    <row r="737" spans="1:7" x14ac:dyDescent="0.25">
      <c r="A737">
        <v>52057</v>
      </c>
      <c r="B737" t="s">
        <v>1471</v>
      </c>
      <c r="C737" t="s">
        <v>3059</v>
      </c>
      <c r="D737">
        <v>5</v>
      </c>
      <c r="E737">
        <v>1688</v>
      </c>
      <c r="F737" t="s">
        <v>7</v>
      </c>
      <c r="G737" t="s">
        <v>3064</v>
      </c>
    </row>
    <row r="738" spans="1:7" x14ac:dyDescent="0.25">
      <c r="A738">
        <v>52061</v>
      </c>
      <c r="B738" t="s">
        <v>1475</v>
      </c>
      <c r="C738" t="s">
        <v>3059</v>
      </c>
      <c r="D738">
        <v>1</v>
      </c>
      <c r="E738">
        <v>181</v>
      </c>
      <c r="F738" t="s">
        <v>7</v>
      </c>
      <c r="G738" t="s">
        <v>3083</v>
      </c>
    </row>
    <row r="739" spans="1:7" x14ac:dyDescent="0.25">
      <c r="A739">
        <v>52064</v>
      </c>
      <c r="B739" t="s">
        <v>1477</v>
      </c>
      <c r="C739" t="s">
        <v>3059</v>
      </c>
      <c r="D739">
        <v>7</v>
      </c>
      <c r="E739">
        <v>53</v>
      </c>
      <c r="F739" t="s">
        <v>7</v>
      </c>
      <c r="G739" t="s">
        <v>3083</v>
      </c>
    </row>
    <row r="740" spans="1:7" x14ac:dyDescent="0.25">
      <c r="A740">
        <v>52073</v>
      </c>
      <c r="B740" t="s">
        <v>1484</v>
      </c>
      <c r="C740" t="s">
        <v>3059</v>
      </c>
      <c r="D740">
        <v>10</v>
      </c>
      <c r="E740">
        <v>8</v>
      </c>
      <c r="F740" t="s">
        <v>7</v>
      </c>
      <c r="G740" t="s">
        <v>3071</v>
      </c>
    </row>
    <row r="741" spans="1:7" x14ac:dyDescent="0.25">
      <c r="A741">
        <v>52074</v>
      </c>
      <c r="B741" t="s">
        <v>1485</v>
      </c>
      <c r="C741" t="s">
        <v>3059</v>
      </c>
      <c r="D741">
        <v>9</v>
      </c>
      <c r="E741">
        <v>9.4</v>
      </c>
      <c r="F741" t="s">
        <v>7</v>
      </c>
      <c r="G741" t="s">
        <v>3071</v>
      </c>
    </row>
    <row r="742" spans="1:7" x14ac:dyDescent="0.25">
      <c r="A742">
        <v>52075</v>
      </c>
      <c r="B742" t="s">
        <v>1486</v>
      </c>
      <c r="C742" t="s">
        <v>3059</v>
      </c>
      <c r="D742">
        <v>10</v>
      </c>
      <c r="E742">
        <v>5.7</v>
      </c>
      <c r="F742" t="s">
        <v>7</v>
      </c>
      <c r="G742" t="s">
        <v>3071</v>
      </c>
    </row>
    <row r="743" spans="1:7" x14ac:dyDescent="0.25">
      <c r="A743">
        <v>52080</v>
      </c>
      <c r="B743" t="s">
        <v>1492</v>
      </c>
      <c r="C743" t="s">
        <v>3059</v>
      </c>
      <c r="D743">
        <v>18</v>
      </c>
      <c r="E743">
        <v>21</v>
      </c>
      <c r="F743" t="s">
        <v>7</v>
      </c>
      <c r="G743" t="s">
        <v>3071</v>
      </c>
    </row>
    <row r="744" spans="1:7" x14ac:dyDescent="0.25">
      <c r="A744">
        <v>52081</v>
      </c>
      <c r="B744" t="s">
        <v>1493</v>
      </c>
      <c r="C744" t="s">
        <v>3059</v>
      </c>
      <c r="D744">
        <v>71.64</v>
      </c>
      <c r="E744">
        <v>6.43</v>
      </c>
      <c r="F744" t="s">
        <v>7</v>
      </c>
      <c r="G744" t="s">
        <v>3102</v>
      </c>
    </row>
    <row r="745" spans="1:7" x14ac:dyDescent="0.25">
      <c r="A745">
        <v>52083</v>
      </c>
      <c r="B745" t="s">
        <v>1495</v>
      </c>
      <c r="C745" t="s">
        <v>3059</v>
      </c>
      <c r="D745">
        <v>601</v>
      </c>
      <c r="E745">
        <v>16</v>
      </c>
      <c r="F745" t="s">
        <v>7</v>
      </c>
      <c r="G745" t="s">
        <v>3101</v>
      </c>
    </row>
    <row r="746" spans="1:7" x14ac:dyDescent="0.25">
      <c r="A746">
        <v>52089</v>
      </c>
      <c r="B746" t="s">
        <v>1501</v>
      </c>
      <c r="C746" t="s">
        <v>3059</v>
      </c>
      <c r="D746">
        <v>10</v>
      </c>
      <c r="E746">
        <v>34.65</v>
      </c>
      <c r="F746" t="s">
        <v>7</v>
      </c>
      <c r="G746" t="s">
        <v>3070</v>
      </c>
    </row>
    <row r="747" spans="1:7" x14ac:dyDescent="0.25">
      <c r="A747">
        <v>52091</v>
      </c>
      <c r="B747" t="s">
        <v>1503</v>
      </c>
      <c r="C747" t="s">
        <v>3059</v>
      </c>
      <c r="D747">
        <v>53</v>
      </c>
      <c r="E747">
        <v>203</v>
      </c>
      <c r="F747" t="s">
        <v>7</v>
      </c>
      <c r="G747" t="s">
        <v>3071</v>
      </c>
    </row>
    <row r="748" spans="1:7" x14ac:dyDescent="0.25">
      <c r="A748">
        <v>52092</v>
      </c>
      <c r="B748" t="s">
        <v>1504</v>
      </c>
      <c r="C748" t="s">
        <v>3059</v>
      </c>
      <c r="D748">
        <v>40</v>
      </c>
      <c r="E748">
        <v>203</v>
      </c>
      <c r="F748" t="s">
        <v>7</v>
      </c>
      <c r="G748" t="s">
        <v>3071</v>
      </c>
    </row>
    <row r="749" spans="1:7" x14ac:dyDescent="0.25">
      <c r="A749">
        <v>5210</v>
      </c>
      <c r="B749" t="s">
        <v>1512</v>
      </c>
      <c r="C749" t="s">
        <v>3059</v>
      </c>
      <c r="D749">
        <v>12</v>
      </c>
      <c r="E749">
        <v>2.7</v>
      </c>
      <c r="F749" t="s">
        <v>7</v>
      </c>
      <c r="G749" t="s">
        <v>3103</v>
      </c>
    </row>
    <row r="750" spans="1:7" x14ac:dyDescent="0.25">
      <c r="A750">
        <v>52100</v>
      </c>
      <c r="B750" t="s">
        <v>1513</v>
      </c>
      <c r="C750" t="s">
        <v>3059</v>
      </c>
      <c r="D750">
        <v>14</v>
      </c>
      <c r="E750">
        <v>14.88</v>
      </c>
      <c r="F750" t="s">
        <v>7</v>
      </c>
      <c r="G750" t="s">
        <v>3070</v>
      </c>
    </row>
    <row r="751" spans="1:7" x14ac:dyDescent="0.25">
      <c r="A751">
        <v>5211</v>
      </c>
      <c r="B751" t="s">
        <v>1523</v>
      </c>
      <c r="C751" t="s">
        <v>3059</v>
      </c>
      <c r="D751">
        <v>32</v>
      </c>
      <c r="E751">
        <v>2.5</v>
      </c>
      <c r="F751" t="s">
        <v>7</v>
      </c>
      <c r="G751" t="s">
        <v>3103</v>
      </c>
    </row>
    <row r="752" spans="1:7" x14ac:dyDescent="0.25">
      <c r="A752">
        <v>5216</v>
      </c>
      <c r="B752" t="s">
        <v>1576</v>
      </c>
      <c r="C752" t="s">
        <v>3059</v>
      </c>
      <c r="D752">
        <v>53</v>
      </c>
      <c r="E752">
        <v>13.47</v>
      </c>
      <c r="F752" t="s">
        <v>7</v>
      </c>
      <c r="G752" t="s">
        <v>3103</v>
      </c>
    </row>
    <row r="753" spans="1:7" x14ac:dyDescent="0.25">
      <c r="A753">
        <v>52174</v>
      </c>
      <c r="B753" t="s">
        <v>1592</v>
      </c>
      <c r="C753" t="s">
        <v>3059</v>
      </c>
      <c r="D753">
        <v>7</v>
      </c>
      <c r="E753">
        <v>2.08</v>
      </c>
      <c r="F753" t="s">
        <v>7</v>
      </c>
      <c r="G753" t="s">
        <v>3070</v>
      </c>
    </row>
    <row r="754" spans="1:7" x14ac:dyDescent="0.25">
      <c r="A754">
        <v>52202</v>
      </c>
      <c r="B754" t="s">
        <v>1619</v>
      </c>
      <c r="C754" t="s">
        <v>3059</v>
      </c>
      <c r="D754">
        <v>68</v>
      </c>
      <c r="E754">
        <v>2.2999999999999998</v>
      </c>
      <c r="F754" t="s">
        <v>7</v>
      </c>
      <c r="G754" t="s">
        <v>3101</v>
      </c>
    </row>
    <row r="755" spans="1:7" x14ac:dyDescent="0.25">
      <c r="A755">
        <v>52203</v>
      </c>
      <c r="B755" t="s">
        <v>1620</v>
      </c>
      <c r="C755" t="s">
        <v>3059</v>
      </c>
      <c r="D755">
        <v>765</v>
      </c>
      <c r="E755">
        <v>2.6</v>
      </c>
      <c r="F755" t="s">
        <v>7</v>
      </c>
      <c r="G755" t="s">
        <v>3101</v>
      </c>
    </row>
    <row r="756" spans="1:7" x14ac:dyDescent="0.25">
      <c r="A756">
        <v>52204</v>
      </c>
      <c r="B756" t="s">
        <v>1621</v>
      </c>
      <c r="C756" t="s">
        <v>3059</v>
      </c>
      <c r="D756">
        <v>556</v>
      </c>
      <c r="E756">
        <v>3</v>
      </c>
      <c r="F756" t="s">
        <v>7</v>
      </c>
      <c r="G756" t="s">
        <v>3101</v>
      </c>
    </row>
    <row r="757" spans="1:7" x14ac:dyDescent="0.25">
      <c r="A757">
        <v>52205</v>
      </c>
      <c r="B757" t="s">
        <v>1622</v>
      </c>
      <c r="C757" t="s">
        <v>3059</v>
      </c>
      <c r="D757">
        <v>2481</v>
      </c>
      <c r="E757">
        <v>3.6</v>
      </c>
      <c r="F757" t="s">
        <v>7</v>
      </c>
      <c r="G757" t="s">
        <v>3101</v>
      </c>
    </row>
    <row r="758" spans="1:7" x14ac:dyDescent="0.25">
      <c r="A758">
        <v>52350</v>
      </c>
      <c r="B758" t="s">
        <v>1760</v>
      </c>
      <c r="C758" t="s">
        <v>3059</v>
      </c>
      <c r="D758">
        <v>2</v>
      </c>
      <c r="E758">
        <v>52.54</v>
      </c>
      <c r="F758" t="s">
        <v>7</v>
      </c>
      <c r="G758" t="s">
        <v>3083</v>
      </c>
    </row>
    <row r="759" spans="1:7" x14ac:dyDescent="0.25">
      <c r="A759">
        <v>52351</v>
      </c>
      <c r="B759" t="s">
        <v>1761</v>
      </c>
      <c r="C759" t="s">
        <v>3059</v>
      </c>
      <c r="D759">
        <v>8</v>
      </c>
      <c r="E759">
        <v>68.13</v>
      </c>
      <c r="F759" t="s">
        <v>7</v>
      </c>
      <c r="G759" t="s">
        <v>3083</v>
      </c>
    </row>
    <row r="760" spans="1:7" x14ac:dyDescent="0.25">
      <c r="A760">
        <v>52352</v>
      </c>
      <c r="B760" t="s">
        <v>1762</v>
      </c>
      <c r="C760" t="s">
        <v>3059</v>
      </c>
      <c r="D760">
        <v>5</v>
      </c>
      <c r="E760">
        <v>26.82</v>
      </c>
      <c r="F760" t="s">
        <v>7</v>
      </c>
      <c r="G760" t="s">
        <v>3083</v>
      </c>
    </row>
    <row r="761" spans="1:7" x14ac:dyDescent="0.25">
      <c r="A761">
        <v>52360</v>
      </c>
      <c r="B761" t="s">
        <v>3131</v>
      </c>
      <c r="C761" t="s">
        <v>3059</v>
      </c>
      <c r="D761">
        <v>6</v>
      </c>
      <c r="E761">
        <v>87.75</v>
      </c>
      <c r="F761" t="s">
        <v>7</v>
      </c>
      <c r="G761" t="s">
        <v>3074</v>
      </c>
    </row>
    <row r="762" spans="1:7" x14ac:dyDescent="0.25">
      <c r="A762">
        <v>52361</v>
      </c>
      <c r="B762" t="s">
        <v>1764</v>
      </c>
      <c r="C762" t="s">
        <v>3059</v>
      </c>
      <c r="D762">
        <v>6</v>
      </c>
      <c r="E762">
        <v>239.43</v>
      </c>
      <c r="F762" t="s">
        <v>7</v>
      </c>
      <c r="G762" t="s">
        <v>3074</v>
      </c>
    </row>
    <row r="763" spans="1:7" x14ac:dyDescent="0.25">
      <c r="A763">
        <v>52362</v>
      </c>
      <c r="B763" t="s">
        <v>1765</v>
      </c>
      <c r="C763" t="s">
        <v>3059</v>
      </c>
      <c r="D763">
        <v>5</v>
      </c>
      <c r="E763">
        <v>224.52</v>
      </c>
      <c r="F763" t="s">
        <v>7</v>
      </c>
      <c r="G763" t="s">
        <v>3074</v>
      </c>
    </row>
    <row r="764" spans="1:7" x14ac:dyDescent="0.25">
      <c r="A764">
        <v>52364</v>
      </c>
      <c r="B764" t="s">
        <v>1767</v>
      </c>
      <c r="C764" t="s">
        <v>3059</v>
      </c>
      <c r="D764">
        <v>39</v>
      </c>
      <c r="E764">
        <v>8.35</v>
      </c>
      <c r="F764" t="s">
        <v>7</v>
      </c>
      <c r="G764" t="s">
        <v>3074</v>
      </c>
    </row>
    <row r="765" spans="1:7" x14ac:dyDescent="0.25">
      <c r="A765">
        <v>52366</v>
      </c>
      <c r="B765" t="s">
        <v>1769</v>
      </c>
      <c r="C765" t="s">
        <v>3059</v>
      </c>
      <c r="D765">
        <v>88</v>
      </c>
      <c r="E765">
        <v>3.4</v>
      </c>
      <c r="F765" t="s">
        <v>7</v>
      </c>
      <c r="G765" t="s">
        <v>3074</v>
      </c>
    </row>
    <row r="766" spans="1:7" x14ac:dyDescent="0.25">
      <c r="A766">
        <v>52367</v>
      </c>
      <c r="B766" t="s">
        <v>1770</v>
      </c>
      <c r="C766" t="s">
        <v>3059</v>
      </c>
      <c r="D766">
        <v>16</v>
      </c>
      <c r="E766">
        <v>4.5</v>
      </c>
      <c r="F766" t="s">
        <v>7</v>
      </c>
      <c r="G766" t="s">
        <v>3074</v>
      </c>
    </row>
    <row r="767" spans="1:7" x14ac:dyDescent="0.25">
      <c r="A767">
        <v>52368</v>
      </c>
      <c r="B767" t="s">
        <v>1771</v>
      </c>
      <c r="C767" t="s">
        <v>3059</v>
      </c>
      <c r="D767">
        <v>31</v>
      </c>
      <c r="E767">
        <v>3.4</v>
      </c>
      <c r="F767" t="s">
        <v>7</v>
      </c>
      <c r="G767" t="s">
        <v>3074</v>
      </c>
    </row>
    <row r="768" spans="1:7" x14ac:dyDescent="0.25">
      <c r="A768">
        <v>52369</v>
      </c>
      <c r="B768" t="s">
        <v>1772</v>
      </c>
      <c r="C768" t="s">
        <v>3059</v>
      </c>
      <c r="D768">
        <v>12</v>
      </c>
      <c r="E768">
        <v>78.69</v>
      </c>
      <c r="F768" t="s">
        <v>7</v>
      </c>
      <c r="G768" t="s">
        <v>3074</v>
      </c>
    </row>
    <row r="769" spans="1:7" x14ac:dyDescent="0.25">
      <c r="A769">
        <v>5237</v>
      </c>
      <c r="B769" t="s">
        <v>1773</v>
      </c>
      <c r="C769" t="s">
        <v>3059</v>
      </c>
      <c r="D769">
        <v>39</v>
      </c>
      <c r="E769">
        <v>5.96</v>
      </c>
      <c r="F769" t="s">
        <v>7</v>
      </c>
      <c r="G769" t="s">
        <v>3103</v>
      </c>
    </row>
    <row r="770" spans="1:7" x14ac:dyDescent="0.25">
      <c r="A770">
        <v>5239</v>
      </c>
      <c r="B770" t="s">
        <v>1795</v>
      </c>
      <c r="C770" t="s">
        <v>3059</v>
      </c>
      <c r="D770">
        <v>3</v>
      </c>
      <c r="E770">
        <v>7.35</v>
      </c>
      <c r="F770" t="s">
        <v>7</v>
      </c>
      <c r="G770" t="s">
        <v>3103</v>
      </c>
    </row>
    <row r="771" spans="1:7" x14ac:dyDescent="0.25">
      <c r="A771">
        <v>5246</v>
      </c>
      <c r="B771" t="s">
        <v>1865</v>
      </c>
      <c r="C771" t="s">
        <v>3059</v>
      </c>
      <c r="D771">
        <v>48</v>
      </c>
      <c r="E771">
        <v>21.5</v>
      </c>
      <c r="F771" t="s">
        <v>7</v>
      </c>
      <c r="G771" t="s">
        <v>3103</v>
      </c>
    </row>
    <row r="772" spans="1:7" x14ac:dyDescent="0.25">
      <c r="A772">
        <v>52477</v>
      </c>
      <c r="B772" t="s">
        <v>1883</v>
      </c>
      <c r="C772" t="s">
        <v>3059</v>
      </c>
      <c r="D772">
        <v>152</v>
      </c>
      <c r="E772">
        <v>1.28</v>
      </c>
      <c r="F772" t="s">
        <v>7</v>
      </c>
      <c r="G772" t="s">
        <v>3074</v>
      </c>
    </row>
    <row r="773" spans="1:7" x14ac:dyDescent="0.25">
      <c r="A773">
        <v>52478</v>
      </c>
      <c r="B773" t="s">
        <v>1884</v>
      </c>
      <c r="C773" t="s">
        <v>3059</v>
      </c>
      <c r="D773">
        <v>68</v>
      </c>
      <c r="E773">
        <v>3.34</v>
      </c>
      <c r="F773" t="s">
        <v>7</v>
      </c>
      <c r="G773" t="s">
        <v>3074</v>
      </c>
    </row>
    <row r="774" spans="1:7" x14ac:dyDescent="0.25">
      <c r="A774">
        <v>52479</v>
      </c>
      <c r="B774" t="s">
        <v>1885</v>
      </c>
      <c r="C774" t="s">
        <v>3059</v>
      </c>
      <c r="D774">
        <v>48</v>
      </c>
      <c r="E774">
        <v>8.09</v>
      </c>
      <c r="F774" t="s">
        <v>7</v>
      </c>
      <c r="G774" t="s">
        <v>3074</v>
      </c>
    </row>
    <row r="775" spans="1:7" x14ac:dyDescent="0.25">
      <c r="A775">
        <v>52480</v>
      </c>
      <c r="B775" t="s">
        <v>1886</v>
      </c>
      <c r="C775" t="s">
        <v>3059</v>
      </c>
      <c r="D775">
        <v>1</v>
      </c>
      <c r="E775">
        <v>2094.25</v>
      </c>
      <c r="F775" t="s">
        <v>7</v>
      </c>
      <c r="G775" t="s">
        <v>3074</v>
      </c>
    </row>
    <row r="776" spans="1:7" x14ac:dyDescent="0.25">
      <c r="A776">
        <v>52481</v>
      </c>
      <c r="B776" t="s">
        <v>1887</v>
      </c>
      <c r="C776" t="s">
        <v>3059</v>
      </c>
      <c r="D776">
        <v>79</v>
      </c>
      <c r="E776">
        <v>94</v>
      </c>
      <c r="F776" t="s">
        <v>7</v>
      </c>
      <c r="G776" t="s">
        <v>3062</v>
      </c>
    </row>
    <row r="777" spans="1:7" x14ac:dyDescent="0.25">
      <c r="A777">
        <v>52482</v>
      </c>
      <c r="B777" t="s">
        <v>1888</v>
      </c>
      <c r="C777" t="s">
        <v>3059</v>
      </c>
      <c r="D777">
        <v>15</v>
      </c>
      <c r="E777">
        <v>74</v>
      </c>
      <c r="F777" t="s">
        <v>7</v>
      </c>
      <c r="G777" t="s">
        <v>3062</v>
      </c>
    </row>
    <row r="778" spans="1:7" x14ac:dyDescent="0.25">
      <c r="A778">
        <v>52484</v>
      </c>
      <c r="B778" t="s">
        <v>1890</v>
      </c>
      <c r="C778" t="s">
        <v>3059</v>
      </c>
      <c r="D778">
        <v>3</v>
      </c>
      <c r="E778">
        <v>111.12</v>
      </c>
      <c r="F778" t="s">
        <v>7</v>
      </c>
      <c r="G778" t="s">
        <v>3073</v>
      </c>
    </row>
    <row r="779" spans="1:7" x14ac:dyDescent="0.25">
      <c r="A779">
        <v>52485</v>
      </c>
      <c r="B779" t="s">
        <v>1891</v>
      </c>
      <c r="C779" t="s">
        <v>3059</v>
      </c>
      <c r="D779">
        <v>52</v>
      </c>
      <c r="E779">
        <v>20.98</v>
      </c>
      <c r="F779" t="s">
        <v>7</v>
      </c>
      <c r="G779" t="s">
        <v>3073</v>
      </c>
    </row>
    <row r="780" spans="1:7" x14ac:dyDescent="0.25">
      <c r="A780">
        <v>52486</v>
      </c>
      <c r="B780" t="s">
        <v>1892</v>
      </c>
      <c r="C780" t="s">
        <v>3059</v>
      </c>
      <c r="D780">
        <v>52</v>
      </c>
      <c r="E780">
        <v>21.74</v>
      </c>
      <c r="F780" t="s">
        <v>7</v>
      </c>
      <c r="G780" t="s">
        <v>3073</v>
      </c>
    </row>
    <row r="781" spans="1:7" x14ac:dyDescent="0.25">
      <c r="A781">
        <v>52487</v>
      </c>
      <c r="B781" t="s">
        <v>1893</v>
      </c>
      <c r="C781" t="s">
        <v>3059</v>
      </c>
      <c r="D781">
        <v>36</v>
      </c>
      <c r="E781">
        <v>11.06</v>
      </c>
      <c r="F781" t="s">
        <v>7</v>
      </c>
      <c r="G781" t="s">
        <v>3073</v>
      </c>
    </row>
    <row r="782" spans="1:7" x14ac:dyDescent="0.25">
      <c r="A782">
        <v>52489</v>
      </c>
      <c r="B782" t="s">
        <v>1895</v>
      </c>
      <c r="C782" t="s">
        <v>3059</v>
      </c>
      <c r="D782">
        <v>177</v>
      </c>
      <c r="E782">
        <v>29.62</v>
      </c>
      <c r="F782" t="s">
        <v>7</v>
      </c>
      <c r="G782" t="s">
        <v>3073</v>
      </c>
    </row>
    <row r="783" spans="1:7" x14ac:dyDescent="0.25">
      <c r="A783">
        <v>52490</v>
      </c>
      <c r="B783" t="s">
        <v>1896</v>
      </c>
      <c r="C783" t="s">
        <v>3059</v>
      </c>
      <c r="D783">
        <v>132</v>
      </c>
      <c r="E783">
        <v>57.26</v>
      </c>
      <c r="F783" t="s">
        <v>7</v>
      </c>
      <c r="G783" t="s">
        <v>3073</v>
      </c>
    </row>
    <row r="784" spans="1:7" x14ac:dyDescent="0.25">
      <c r="A784">
        <v>52497</v>
      </c>
      <c r="B784" t="s">
        <v>1901</v>
      </c>
      <c r="C784" t="s">
        <v>3059</v>
      </c>
      <c r="D784">
        <v>140</v>
      </c>
      <c r="E784">
        <v>2.29</v>
      </c>
      <c r="F784" t="s">
        <v>7</v>
      </c>
      <c r="G784" t="s">
        <v>3073</v>
      </c>
    </row>
    <row r="785" spans="1:7" x14ac:dyDescent="0.25">
      <c r="A785">
        <v>52498</v>
      </c>
      <c r="B785" t="s">
        <v>1902</v>
      </c>
      <c r="C785" t="s">
        <v>3059</v>
      </c>
      <c r="D785">
        <v>60</v>
      </c>
      <c r="E785">
        <v>3.85</v>
      </c>
      <c r="F785" t="s">
        <v>7</v>
      </c>
      <c r="G785" t="s">
        <v>3073</v>
      </c>
    </row>
    <row r="786" spans="1:7" x14ac:dyDescent="0.25">
      <c r="A786">
        <v>5259</v>
      </c>
      <c r="B786" t="s">
        <v>1995</v>
      </c>
      <c r="C786" t="s">
        <v>3059</v>
      </c>
      <c r="D786">
        <v>10</v>
      </c>
      <c r="E786">
        <v>15.8</v>
      </c>
      <c r="F786" t="s">
        <v>7</v>
      </c>
      <c r="G786" t="s">
        <v>3103</v>
      </c>
    </row>
    <row r="787" spans="1:7" x14ac:dyDescent="0.25">
      <c r="A787">
        <v>52599</v>
      </c>
      <c r="B787" t="s">
        <v>3132</v>
      </c>
      <c r="C787" t="s">
        <v>3059</v>
      </c>
      <c r="D787">
        <v>50</v>
      </c>
      <c r="E787">
        <v>1.5</v>
      </c>
      <c r="F787" t="s">
        <v>7</v>
      </c>
      <c r="G787" t="s">
        <v>3102</v>
      </c>
    </row>
    <row r="788" spans="1:7" x14ac:dyDescent="0.25">
      <c r="A788">
        <v>52600</v>
      </c>
      <c r="B788" t="s">
        <v>3133</v>
      </c>
      <c r="C788" t="s">
        <v>3059</v>
      </c>
      <c r="D788">
        <v>49</v>
      </c>
      <c r="E788">
        <v>1.2</v>
      </c>
      <c r="F788" t="s">
        <v>7</v>
      </c>
      <c r="G788" t="s">
        <v>3102</v>
      </c>
    </row>
    <row r="789" spans="1:7" x14ac:dyDescent="0.25">
      <c r="A789">
        <v>5265</v>
      </c>
      <c r="B789" t="s">
        <v>2006</v>
      </c>
      <c r="C789" t="s">
        <v>3059</v>
      </c>
      <c r="D789">
        <v>3</v>
      </c>
      <c r="E789">
        <v>27.37</v>
      </c>
      <c r="F789" t="s">
        <v>7</v>
      </c>
      <c r="G789" t="s">
        <v>3103</v>
      </c>
    </row>
    <row r="790" spans="1:7" x14ac:dyDescent="0.25">
      <c r="A790">
        <v>52650</v>
      </c>
      <c r="B790" t="s">
        <v>2007</v>
      </c>
      <c r="C790" t="s">
        <v>3059</v>
      </c>
      <c r="D790">
        <v>235</v>
      </c>
      <c r="E790">
        <v>8</v>
      </c>
      <c r="F790" t="s">
        <v>7</v>
      </c>
      <c r="G790" t="s">
        <v>3100</v>
      </c>
    </row>
    <row r="791" spans="1:7" x14ac:dyDescent="0.25">
      <c r="A791">
        <v>52651</v>
      </c>
      <c r="B791" t="s">
        <v>3054</v>
      </c>
      <c r="C791" t="s">
        <v>3059</v>
      </c>
      <c r="D791">
        <v>242</v>
      </c>
      <c r="E791">
        <v>7</v>
      </c>
      <c r="F791" t="s">
        <v>7</v>
      </c>
      <c r="G791" t="s">
        <v>3100</v>
      </c>
    </row>
    <row r="792" spans="1:7" x14ac:dyDescent="0.25">
      <c r="A792">
        <v>5270</v>
      </c>
      <c r="B792" t="s">
        <v>2009</v>
      </c>
      <c r="C792" t="s">
        <v>3059</v>
      </c>
      <c r="D792">
        <v>3</v>
      </c>
      <c r="E792">
        <v>21.8</v>
      </c>
      <c r="F792" t="s">
        <v>7</v>
      </c>
      <c r="G792" t="s">
        <v>3103</v>
      </c>
    </row>
    <row r="793" spans="1:7" x14ac:dyDescent="0.25">
      <c r="A793">
        <v>52713</v>
      </c>
      <c r="B793" t="s">
        <v>3055</v>
      </c>
      <c r="C793" t="s">
        <v>3059</v>
      </c>
      <c r="D793">
        <v>48</v>
      </c>
      <c r="E793">
        <v>115</v>
      </c>
      <c r="F793" t="s">
        <v>7</v>
      </c>
      <c r="G793" t="s">
        <v>3100</v>
      </c>
    </row>
    <row r="794" spans="1:7" x14ac:dyDescent="0.25">
      <c r="A794">
        <v>52714</v>
      </c>
      <c r="B794" t="s">
        <v>3056</v>
      </c>
      <c r="C794" t="s">
        <v>3059</v>
      </c>
      <c r="D794">
        <v>46</v>
      </c>
      <c r="E794">
        <v>140</v>
      </c>
      <c r="F794" t="s">
        <v>7</v>
      </c>
      <c r="G794" t="s">
        <v>3100</v>
      </c>
    </row>
    <row r="795" spans="1:7" x14ac:dyDescent="0.25">
      <c r="A795">
        <v>52720</v>
      </c>
      <c r="B795" t="s">
        <v>3135</v>
      </c>
      <c r="C795" t="s">
        <v>3059</v>
      </c>
      <c r="D795">
        <v>120</v>
      </c>
      <c r="E795">
        <v>10.4</v>
      </c>
      <c r="F795" t="s">
        <v>7</v>
      </c>
      <c r="G795" t="s">
        <v>3102</v>
      </c>
    </row>
    <row r="796" spans="1:7" x14ac:dyDescent="0.25">
      <c r="A796">
        <v>52729</v>
      </c>
      <c r="B796" t="s">
        <v>3138</v>
      </c>
      <c r="C796" t="s">
        <v>3059</v>
      </c>
      <c r="D796">
        <v>60</v>
      </c>
      <c r="E796">
        <v>38</v>
      </c>
      <c r="F796" t="s">
        <v>7</v>
      </c>
      <c r="G796" t="s">
        <v>3103</v>
      </c>
    </row>
    <row r="797" spans="1:7" x14ac:dyDescent="0.25">
      <c r="A797">
        <v>52742</v>
      </c>
      <c r="B797" t="s">
        <v>3139</v>
      </c>
      <c r="C797" t="s">
        <v>3059</v>
      </c>
      <c r="D797">
        <v>495</v>
      </c>
      <c r="E797">
        <v>12.5</v>
      </c>
      <c r="F797" t="s">
        <v>7</v>
      </c>
      <c r="G797" t="s">
        <v>3101</v>
      </c>
    </row>
    <row r="798" spans="1:7" x14ac:dyDescent="0.25">
      <c r="A798">
        <v>5277</v>
      </c>
      <c r="B798" t="s">
        <v>2011</v>
      </c>
      <c r="C798" t="s">
        <v>3059</v>
      </c>
      <c r="D798">
        <v>6</v>
      </c>
      <c r="E798">
        <v>35</v>
      </c>
      <c r="F798" t="s">
        <v>7</v>
      </c>
      <c r="G798" t="s">
        <v>3103</v>
      </c>
    </row>
    <row r="799" spans="1:7" x14ac:dyDescent="0.25">
      <c r="A799">
        <v>5279</v>
      </c>
      <c r="B799" t="s">
        <v>2012</v>
      </c>
      <c r="C799" t="s">
        <v>3059</v>
      </c>
      <c r="D799">
        <v>4</v>
      </c>
      <c r="E799">
        <v>40.619999999999997</v>
      </c>
      <c r="F799" t="s">
        <v>7</v>
      </c>
      <c r="G799" t="s">
        <v>3103</v>
      </c>
    </row>
    <row r="800" spans="1:7" x14ac:dyDescent="0.25">
      <c r="A800">
        <v>5301</v>
      </c>
      <c r="B800" t="s">
        <v>2013</v>
      </c>
      <c r="C800" t="s">
        <v>3059</v>
      </c>
      <c r="D800">
        <v>5</v>
      </c>
      <c r="E800">
        <v>291</v>
      </c>
      <c r="F800" t="s">
        <v>7</v>
      </c>
      <c r="G800" t="s">
        <v>3064</v>
      </c>
    </row>
    <row r="801" spans="1:7" x14ac:dyDescent="0.25">
      <c r="A801">
        <v>5306</v>
      </c>
      <c r="B801" t="s">
        <v>2015</v>
      </c>
      <c r="C801" t="s">
        <v>3059</v>
      </c>
      <c r="D801">
        <v>57</v>
      </c>
      <c r="E801">
        <v>115</v>
      </c>
      <c r="F801" t="s">
        <v>7</v>
      </c>
      <c r="G801" t="s">
        <v>3064</v>
      </c>
    </row>
    <row r="802" spans="1:7" x14ac:dyDescent="0.25">
      <c r="A802">
        <v>5307</v>
      </c>
      <c r="B802" t="s">
        <v>2016</v>
      </c>
      <c r="C802" t="s">
        <v>3059</v>
      </c>
      <c r="D802">
        <v>1</v>
      </c>
      <c r="E802">
        <v>101.66</v>
      </c>
      <c r="F802" t="s">
        <v>7</v>
      </c>
      <c r="G802" t="s">
        <v>3064</v>
      </c>
    </row>
    <row r="803" spans="1:7" x14ac:dyDescent="0.25">
      <c r="A803">
        <v>5308</v>
      </c>
      <c r="B803" t="s">
        <v>2017</v>
      </c>
      <c r="C803" t="s">
        <v>3059</v>
      </c>
      <c r="D803">
        <v>13</v>
      </c>
      <c r="E803">
        <v>782</v>
      </c>
      <c r="F803" t="s">
        <v>7</v>
      </c>
      <c r="G803" t="s">
        <v>3064</v>
      </c>
    </row>
    <row r="804" spans="1:7" x14ac:dyDescent="0.25">
      <c r="A804">
        <v>5318</v>
      </c>
      <c r="B804" t="s">
        <v>2019</v>
      </c>
      <c r="C804" t="s">
        <v>3059</v>
      </c>
      <c r="D804">
        <v>30</v>
      </c>
      <c r="E804">
        <v>22.99</v>
      </c>
      <c r="F804" t="s">
        <v>7</v>
      </c>
      <c r="G804" t="s">
        <v>3103</v>
      </c>
    </row>
    <row r="805" spans="1:7" x14ac:dyDescent="0.25">
      <c r="A805">
        <v>5322</v>
      </c>
      <c r="B805" t="s">
        <v>2021</v>
      </c>
      <c r="C805" t="s">
        <v>3059</v>
      </c>
      <c r="D805">
        <v>33</v>
      </c>
      <c r="E805">
        <v>7.2</v>
      </c>
      <c r="F805" t="s">
        <v>7</v>
      </c>
      <c r="G805" t="s">
        <v>3103</v>
      </c>
    </row>
    <row r="806" spans="1:7" x14ac:dyDescent="0.25">
      <c r="A806">
        <v>5324</v>
      </c>
      <c r="B806" t="s">
        <v>2023</v>
      </c>
      <c r="C806" t="s">
        <v>3059</v>
      </c>
      <c r="D806">
        <v>4</v>
      </c>
      <c r="E806">
        <v>49.5</v>
      </c>
      <c r="F806" t="s">
        <v>7</v>
      </c>
      <c r="G806" t="s">
        <v>3103</v>
      </c>
    </row>
    <row r="807" spans="1:7" x14ac:dyDescent="0.25">
      <c r="A807">
        <v>5325</v>
      </c>
      <c r="B807" t="s">
        <v>2024</v>
      </c>
      <c r="C807" t="s">
        <v>3059</v>
      </c>
      <c r="D807">
        <v>7</v>
      </c>
      <c r="E807">
        <v>79</v>
      </c>
      <c r="F807" t="s">
        <v>7</v>
      </c>
      <c r="G807" t="s">
        <v>3103</v>
      </c>
    </row>
    <row r="808" spans="1:7" x14ac:dyDescent="0.25">
      <c r="A808">
        <v>5339</v>
      </c>
      <c r="B808" t="s">
        <v>2025</v>
      </c>
      <c r="C808" t="s">
        <v>3059</v>
      </c>
      <c r="D808">
        <v>1904</v>
      </c>
      <c r="E808">
        <v>3.5</v>
      </c>
      <c r="F808" t="s">
        <v>7</v>
      </c>
      <c r="G808" t="s">
        <v>3064</v>
      </c>
    </row>
    <row r="809" spans="1:7" x14ac:dyDescent="0.25">
      <c r="A809">
        <v>5342</v>
      </c>
      <c r="B809" t="s">
        <v>2028</v>
      </c>
      <c r="C809" t="s">
        <v>3059</v>
      </c>
      <c r="D809">
        <v>5</v>
      </c>
      <c r="E809">
        <v>2.8</v>
      </c>
      <c r="F809" t="s">
        <v>7</v>
      </c>
      <c r="G809" t="s">
        <v>3064</v>
      </c>
    </row>
    <row r="810" spans="1:7" x14ac:dyDescent="0.25">
      <c r="A810">
        <v>5343</v>
      </c>
      <c r="B810" t="s">
        <v>2029</v>
      </c>
      <c r="C810" t="s">
        <v>3059</v>
      </c>
      <c r="D810">
        <v>690</v>
      </c>
      <c r="E810">
        <v>2.5499999999999998</v>
      </c>
      <c r="F810" t="s">
        <v>7</v>
      </c>
      <c r="G810" t="s">
        <v>3064</v>
      </c>
    </row>
    <row r="811" spans="1:7" x14ac:dyDescent="0.25">
      <c r="A811">
        <v>5344</v>
      </c>
      <c r="B811" t="s">
        <v>2030</v>
      </c>
      <c r="C811" t="s">
        <v>3059</v>
      </c>
      <c r="D811">
        <v>946</v>
      </c>
      <c r="E811">
        <v>3</v>
      </c>
      <c r="F811" t="s">
        <v>7</v>
      </c>
      <c r="G811" t="s">
        <v>3064</v>
      </c>
    </row>
    <row r="812" spans="1:7" x14ac:dyDescent="0.25">
      <c r="A812">
        <v>5345</v>
      </c>
      <c r="B812" t="s">
        <v>2031</v>
      </c>
      <c r="C812" t="s">
        <v>3059</v>
      </c>
      <c r="D812">
        <v>355</v>
      </c>
      <c r="E812">
        <v>11.04</v>
      </c>
      <c r="F812" t="s">
        <v>7</v>
      </c>
      <c r="G812" t="s">
        <v>3064</v>
      </c>
    </row>
    <row r="813" spans="1:7" x14ac:dyDescent="0.25">
      <c r="A813">
        <v>5346</v>
      </c>
      <c r="B813" t="s">
        <v>2032</v>
      </c>
      <c r="C813" t="s">
        <v>3059</v>
      </c>
      <c r="D813">
        <v>269</v>
      </c>
      <c r="E813">
        <v>11</v>
      </c>
      <c r="F813" t="s">
        <v>7</v>
      </c>
      <c r="G813" t="s">
        <v>3064</v>
      </c>
    </row>
    <row r="814" spans="1:7" x14ac:dyDescent="0.25">
      <c r="A814">
        <v>5347</v>
      </c>
      <c r="B814" t="s">
        <v>2033</v>
      </c>
      <c r="C814" t="s">
        <v>3059</v>
      </c>
      <c r="D814">
        <v>405</v>
      </c>
      <c r="E814">
        <v>11.5</v>
      </c>
      <c r="F814" t="s">
        <v>7</v>
      </c>
      <c r="G814" t="s">
        <v>3064</v>
      </c>
    </row>
    <row r="815" spans="1:7" x14ac:dyDescent="0.25">
      <c r="A815">
        <v>5348</v>
      </c>
      <c r="B815" t="s">
        <v>2034</v>
      </c>
      <c r="C815" t="s">
        <v>3059</v>
      </c>
      <c r="D815">
        <v>493</v>
      </c>
      <c r="E815">
        <v>11</v>
      </c>
      <c r="F815" t="s">
        <v>7</v>
      </c>
      <c r="G815" t="s">
        <v>3064</v>
      </c>
    </row>
    <row r="816" spans="1:7" x14ac:dyDescent="0.25">
      <c r="A816">
        <v>5349</v>
      </c>
      <c r="B816" t="s">
        <v>2035</v>
      </c>
      <c r="C816" t="s">
        <v>3059</v>
      </c>
      <c r="D816">
        <v>110</v>
      </c>
      <c r="E816">
        <v>10.98</v>
      </c>
      <c r="F816" t="s">
        <v>7</v>
      </c>
      <c r="G816" t="s">
        <v>3064</v>
      </c>
    </row>
    <row r="817" spans="1:7" x14ac:dyDescent="0.25">
      <c r="A817">
        <v>5350</v>
      </c>
      <c r="B817" t="s">
        <v>2036</v>
      </c>
      <c r="C817" t="s">
        <v>3059</v>
      </c>
      <c r="D817">
        <v>279</v>
      </c>
      <c r="E817">
        <v>11</v>
      </c>
      <c r="F817" t="s">
        <v>7</v>
      </c>
      <c r="G817" t="s">
        <v>3064</v>
      </c>
    </row>
    <row r="818" spans="1:7" x14ac:dyDescent="0.25">
      <c r="A818">
        <v>5351</v>
      </c>
      <c r="B818" t="s">
        <v>2037</v>
      </c>
      <c r="C818" t="s">
        <v>3059</v>
      </c>
      <c r="D818">
        <v>81</v>
      </c>
      <c r="E818">
        <v>10.3</v>
      </c>
      <c r="F818" t="s">
        <v>7</v>
      </c>
      <c r="G818" t="s">
        <v>3064</v>
      </c>
    </row>
    <row r="819" spans="1:7" x14ac:dyDescent="0.25">
      <c r="A819">
        <v>5352</v>
      </c>
      <c r="B819" t="s">
        <v>2038</v>
      </c>
      <c r="C819" t="s">
        <v>3059</v>
      </c>
      <c r="D819">
        <v>266</v>
      </c>
      <c r="E819">
        <v>11.04</v>
      </c>
      <c r="F819" t="s">
        <v>7</v>
      </c>
      <c r="G819" t="s">
        <v>3064</v>
      </c>
    </row>
    <row r="820" spans="1:7" x14ac:dyDescent="0.25">
      <c r="A820">
        <v>5353</v>
      </c>
      <c r="B820" t="s">
        <v>2039</v>
      </c>
      <c r="C820" t="s">
        <v>3059</v>
      </c>
      <c r="D820">
        <v>515</v>
      </c>
      <c r="E820">
        <v>10.96</v>
      </c>
      <c r="F820" t="s">
        <v>7</v>
      </c>
      <c r="G820" t="s">
        <v>3064</v>
      </c>
    </row>
    <row r="821" spans="1:7" x14ac:dyDescent="0.25">
      <c r="A821">
        <v>5354</v>
      </c>
      <c r="B821" t="s">
        <v>2040</v>
      </c>
      <c r="C821" t="s">
        <v>3059</v>
      </c>
      <c r="D821">
        <v>304</v>
      </c>
      <c r="E821">
        <v>11.04</v>
      </c>
      <c r="F821" t="s">
        <v>7</v>
      </c>
      <c r="G821" t="s">
        <v>3064</v>
      </c>
    </row>
    <row r="822" spans="1:7" x14ac:dyDescent="0.25">
      <c r="A822">
        <v>5355</v>
      </c>
      <c r="B822" t="s">
        <v>2041</v>
      </c>
      <c r="C822" t="s">
        <v>3059</v>
      </c>
      <c r="D822">
        <v>580</v>
      </c>
      <c r="E822">
        <v>45.68</v>
      </c>
      <c r="F822" t="s">
        <v>7</v>
      </c>
      <c r="G822" t="s">
        <v>3064</v>
      </c>
    </row>
    <row r="823" spans="1:7" x14ac:dyDescent="0.25">
      <c r="A823">
        <v>5356</v>
      </c>
      <c r="B823" t="s">
        <v>2042</v>
      </c>
      <c r="C823" t="s">
        <v>3059</v>
      </c>
      <c r="D823">
        <v>350</v>
      </c>
      <c r="E823">
        <v>46</v>
      </c>
      <c r="F823" t="s">
        <v>7</v>
      </c>
      <c r="G823" t="s">
        <v>3064</v>
      </c>
    </row>
    <row r="824" spans="1:7" x14ac:dyDescent="0.25">
      <c r="A824">
        <v>5357</v>
      </c>
      <c r="B824" t="s">
        <v>2043</v>
      </c>
      <c r="C824" t="s">
        <v>3059</v>
      </c>
      <c r="D824">
        <v>325</v>
      </c>
      <c r="E824">
        <v>45.05</v>
      </c>
      <c r="F824" t="s">
        <v>7</v>
      </c>
      <c r="G824" t="s">
        <v>3064</v>
      </c>
    </row>
    <row r="825" spans="1:7" x14ac:dyDescent="0.25">
      <c r="A825">
        <v>5358</v>
      </c>
      <c r="B825" t="s">
        <v>2044</v>
      </c>
      <c r="C825" t="s">
        <v>3059</v>
      </c>
      <c r="D825">
        <v>171</v>
      </c>
      <c r="E825">
        <v>46.47</v>
      </c>
      <c r="F825" t="s">
        <v>7</v>
      </c>
      <c r="G825" t="s">
        <v>3064</v>
      </c>
    </row>
    <row r="826" spans="1:7" x14ac:dyDescent="0.25">
      <c r="A826">
        <v>5359</v>
      </c>
      <c r="B826" t="s">
        <v>2045</v>
      </c>
      <c r="C826" t="s">
        <v>3059</v>
      </c>
      <c r="D826">
        <v>733</v>
      </c>
      <c r="E826">
        <v>45.62</v>
      </c>
      <c r="F826" t="s">
        <v>7</v>
      </c>
      <c r="G826" t="s">
        <v>3064</v>
      </c>
    </row>
    <row r="827" spans="1:7" x14ac:dyDescent="0.25">
      <c r="A827">
        <v>5365</v>
      </c>
      <c r="B827" t="s">
        <v>2046</v>
      </c>
      <c r="C827" t="s">
        <v>3059</v>
      </c>
      <c r="D827">
        <v>336</v>
      </c>
      <c r="E827">
        <v>46.03</v>
      </c>
      <c r="F827" t="s">
        <v>7</v>
      </c>
      <c r="G827" t="s">
        <v>3064</v>
      </c>
    </row>
    <row r="828" spans="1:7" x14ac:dyDescent="0.25">
      <c r="A828">
        <v>5371</v>
      </c>
      <c r="B828" t="s">
        <v>2047</v>
      </c>
      <c r="C828" t="s">
        <v>3059</v>
      </c>
      <c r="D828">
        <v>9</v>
      </c>
      <c r="E828">
        <v>396</v>
      </c>
      <c r="F828" t="s">
        <v>7</v>
      </c>
      <c r="G828" t="s">
        <v>3064</v>
      </c>
    </row>
    <row r="829" spans="1:7" x14ac:dyDescent="0.25">
      <c r="A829">
        <v>5376</v>
      </c>
      <c r="B829" t="s">
        <v>2050</v>
      </c>
      <c r="C829" t="s">
        <v>3059</v>
      </c>
      <c r="D829">
        <v>41</v>
      </c>
      <c r="E829">
        <v>50</v>
      </c>
      <c r="F829" t="s">
        <v>7</v>
      </c>
      <c r="G829" t="s">
        <v>3064</v>
      </c>
    </row>
    <row r="830" spans="1:7" x14ac:dyDescent="0.25">
      <c r="A830">
        <v>5377</v>
      </c>
      <c r="B830" t="s">
        <v>2051</v>
      </c>
      <c r="C830" t="s">
        <v>3059</v>
      </c>
      <c r="D830">
        <v>42</v>
      </c>
      <c r="E830">
        <v>50</v>
      </c>
      <c r="F830" t="s">
        <v>7</v>
      </c>
      <c r="G830" t="s">
        <v>3064</v>
      </c>
    </row>
    <row r="831" spans="1:7" x14ac:dyDescent="0.25">
      <c r="A831">
        <v>5379</v>
      </c>
      <c r="B831" t="s">
        <v>2052</v>
      </c>
      <c r="C831" t="s">
        <v>3059</v>
      </c>
      <c r="D831">
        <v>649</v>
      </c>
      <c r="E831">
        <v>50</v>
      </c>
      <c r="F831" t="s">
        <v>7</v>
      </c>
      <c r="G831" t="s">
        <v>3064</v>
      </c>
    </row>
    <row r="832" spans="1:7" x14ac:dyDescent="0.25">
      <c r="A832">
        <v>5380</v>
      </c>
      <c r="B832" t="s">
        <v>2053</v>
      </c>
      <c r="C832" t="s">
        <v>3059</v>
      </c>
      <c r="D832">
        <v>215</v>
      </c>
      <c r="E832">
        <v>50</v>
      </c>
      <c r="F832" t="s">
        <v>7</v>
      </c>
      <c r="G832" t="s">
        <v>3064</v>
      </c>
    </row>
    <row r="833" spans="1:7" x14ac:dyDescent="0.25">
      <c r="A833">
        <v>5385</v>
      </c>
      <c r="B833" t="s">
        <v>2054</v>
      </c>
      <c r="C833" t="s">
        <v>3059</v>
      </c>
      <c r="D833">
        <v>47</v>
      </c>
      <c r="E833">
        <v>115</v>
      </c>
      <c r="F833" t="s">
        <v>7</v>
      </c>
      <c r="G833" t="s">
        <v>3064</v>
      </c>
    </row>
    <row r="834" spans="1:7" x14ac:dyDescent="0.25">
      <c r="A834">
        <v>5390</v>
      </c>
      <c r="B834" t="s">
        <v>2055</v>
      </c>
      <c r="C834" t="s">
        <v>3059</v>
      </c>
      <c r="D834">
        <v>35</v>
      </c>
      <c r="E834">
        <v>48.05</v>
      </c>
      <c r="F834" t="s">
        <v>7</v>
      </c>
      <c r="G834" t="s">
        <v>3064</v>
      </c>
    </row>
    <row r="835" spans="1:7" x14ac:dyDescent="0.25">
      <c r="A835">
        <v>5421</v>
      </c>
      <c r="B835" t="s">
        <v>3195</v>
      </c>
      <c r="C835" t="s">
        <v>3059</v>
      </c>
      <c r="D835">
        <v>8</v>
      </c>
      <c r="E835">
        <v>7.8</v>
      </c>
      <c r="F835" t="s">
        <v>7</v>
      </c>
      <c r="G835" t="s">
        <v>3110</v>
      </c>
    </row>
    <row r="836" spans="1:7" x14ac:dyDescent="0.25">
      <c r="A836">
        <v>5484</v>
      </c>
      <c r="B836" t="s">
        <v>2062</v>
      </c>
      <c r="C836" t="s">
        <v>3059</v>
      </c>
      <c r="D836">
        <v>679</v>
      </c>
      <c r="E836">
        <v>3</v>
      </c>
      <c r="F836" t="s">
        <v>7</v>
      </c>
      <c r="G836" t="s">
        <v>3110</v>
      </c>
    </row>
    <row r="837" spans="1:7" x14ac:dyDescent="0.25">
      <c r="A837">
        <v>5486</v>
      </c>
      <c r="B837" t="s">
        <v>2063</v>
      </c>
      <c r="C837" t="s">
        <v>3059</v>
      </c>
      <c r="D837">
        <v>238</v>
      </c>
      <c r="E837">
        <v>2.5</v>
      </c>
      <c r="F837" t="s">
        <v>7</v>
      </c>
      <c r="G837" t="s">
        <v>3110</v>
      </c>
    </row>
    <row r="838" spans="1:7" x14ac:dyDescent="0.25">
      <c r="A838">
        <v>5489</v>
      </c>
      <c r="B838" t="s">
        <v>2065</v>
      </c>
      <c r="C838" t="s">
        <v>3059</v>
      </c>
      <c r="D838">
        <v>814</v>
      </c>
      <c r="E838">
        <v>0.8</v>
      </c>
      <c r="F838" t="s">
        <v>7</v>
      </c>
      <c r="G838" t="s">
        <v>3110</v>
      </c>
    </row>
    <row r="839" spans="1:7" x14ac:dyDescent="0.25">
      <c r="A839">
        <v>5499</v>
      </c>
      <c r="B839" t="s">
        <v>2068</v>
      </c>
      <c r="C839" t="s">
        <v>3059</v>
      </c>
      <c r="D839">
        <v>4</v>
      </c>
      <c r="E839">
        <v>32</v>
      </c>
      <c r="F839" t="s">
        <v>7</v>
      </c>
      <c r="G839" t="s">
        <v>3116</v>
      </c>
    </row>
    <row r="840" spans="1:7" x14ac:dyDescent="0.25">
      <c r="A840">
        <v>5548</v>
      </c>
      <c r="B840" t="s">
        <v>2074</v>
      </c>
      <c r="C840" t="s">
        <v>3059</v>
      </c>
      <c r="D840">
        <v>2</v>
      </c>
      <c r="E840">
        <v>514.78</v>
      </c>
      <c r="F840" t="s">
        <v>7</v>
      </c>
      <c r="G840" t="s">
        <v>3064</v>
      </c>
    </row>
    <row r="841" spans="1:7" x14ac:dyDescent="0.25">
      <c r="A841">
        <v>5550</v>
      </c>
      <c r="B841" t="s">
        <v>2075</v>
      </c>
      <c r="C841" t="s">
        <v>3059</v>
      </c>
      <c r="D841">
        <v>3</v>
      </c>
      <c r="E841">
        <v>758</v>
      </c>
      <c r="F841" t="s">
        <v>7</v>
      </c>
      <c r="G841" t="s">
        <v>3064</v>
      </c>
    </row>
    <row r="842" spans="1:7" x14ac:dyDescent="0.25">
      <c r="A842">
        <v>5559</v>
      </c>
      <c r="B842" t="s">
        <v>2076</v>
      </c>
      <c r="C842" t="s">
        <v>3059</v>
      </c>
      <c r="D842">
        <v>123</v>
      </c>
      <c r="E842">
        <v>23</v>
      </c>
      <c r="F842" t="s">
        <v>7</v>
      </c>
      <c r="G842" t="s">
        <v>3110</v>
      </c>
    </row>
    <row r="843" spans="1:7" x14ac:dyDescent="0.25">
      <c r="A843">
        <v>5561</v>
      </c>
      <c r="B843" t="s">
        <v>3196</v>
      </c>
      <c r="C843" t="s">
        <v>3059</v>
      </c>
      <c r="D843">
        <v>200</v>
      </c>
      <c r="E843">
        <v>0.9</v>
      </c>
      <c r="F843" t="s">
        <v>7</v>
      </c>
      <c r="G843" t="s">
        <v>3115</v>
      </c>
    </row>
    <row r="844" spans="1:7" x14ac:dyDescent="0.25">
      <c r="A844">
        <v>5563</v>
      </c>
      <c r="B844" t="s">
        <v>3197</v>
      </c>
      <c r="C844" t="s">
        <v>3059</v>
      </c>
      <c r="D844">
        <v>400</v>
      </c>
      <c r="E844">
        <v>0.9</v>
      </c>
      <c r="F844" t="s">
        <v>7</v>
      </c>
      <c r="G844" t="s">
        <v>3115</v>
      </c>
    </row>
    <row r="845" spans="1:7" x14ac:dyDescent="0.25">
      <c r="A845">
        <v>5570</v>
      </c>
      <c r="B845" t="s">
        <v>2081</v>
      </c>
      <c r="C845" t="s">
        <v>3059</v>
      </c>
      <c r="D845">
        <v>54</v>
      </c>
      <c r="E845">
        <v>29</v>
      </c>
      <c r="F845" t="s">
        <v>7</v>
      </c>
      <c r="G845" t="s">
        <v>3110</v>
      </c>
    </row>
    <row r="846" spans="1:7" x14ac:dyDescent="0.25">
      <c r="A846">
        <v>5584</v>
      </c>
      <c r="B846" t="s">
        <v>2085</v>
      </c>
      <c r="C846" t="s">
        <v>3059</v>
      </c>
      <c r="D846">
        <v>66</v>
      </c>
      <c r="E846">
        <v>26</v>
      </c>
      <c r="F846" t="s">
        <v>7</v>
      </c>
      <c r="G846" t="s">
        <v>3110</v>
      </c>
    </row>
    <row r="847" spans="1:7" x14ac:dyDescent="0.25">
      <c r="A847">
        <v>5594</v>
      </c>
      <c r="B847" t="s">
        <v>2086</v>
      </c>
      <c r="C847" t="s">
        <v>3059</v>
      </c>
      <c r="D847">
        <v>1</v>
      </c>
      <c r="E847">
        <v>7</v>
      </c>
      <c r="F847" t="s">
        <v>7</v>
      </c>
      <c r="G847" t="s">
        <v>3110</v>
      </c>
    </row>
    <row r="848" spans="1:7" x14ac:dyDescent="0.25">
      <c r="A848">
        <v>5607</v>
      </c>
      <c r="B848" t="s">
        <v>2089</v>
      </c>
      <c r="C848" t="s">
        <v>3059</v>
      </c>
      <c r="D848">
        <v>18</v>
      </c>
      <c r="E848">
        <v>4.5</v>
      </c>
      <c r="F848" t="s">
        <v>7</v>
      </c>
      <c r="G848" t="s">
        <v>3110</v>
      </c>
    </row>
    <row r="849" spans="1:7" x14ac:dyDescent="0.25">
      <c r="A849">
        <v>5642</v>
      </c>
      <c r="B849" t="s">
        <v>2090</v>
      </c>
      <c r="C849" t="s">
        <v>3059</v>
      </c>
      <c r="D849">
        <v>82</v>
      </c>
      <c r="E849">
        <v>1.35</v>
      </c>
      <c r="F849" t="s">
        <v>7</v>
      </c>
      <c r="G849" t="s">
        <v>3110</v>
      </c>
    </row>
    <row r="850" spans="1:7" x14ac:dyDescent="0.25">
      <c r="A850">
        <v>5654</v>
      </c>
      <c r="B850" t="s">
        <v>2092</v>
      </c>
      <c r="C850" t="s">
        <v>3059</v>
      </c>
      <c r="D850">
        <v>1</v>
      </c>
      <c r="E850">
        <v>27.5</v>
      </c>
      <c r="F850" t="s">
        <v>7</v>
      </c>
      <c r="G850" t="s">
        <v>3110</v>
      </c>
    </row>
    <row r="851" spans="1:7" x14ac:dyDescent="0.25">
      <c r="A851">
        <v>5655</v>
      </c>
      <c r="B851" t="s">
        <v>2093</v>
      </c>
      <c r="C851" t="s">
        <v>3059</v>
      </c>
      <c r="D851">
        <v>86</v>
      </c>
      <c r="E851">
        <v>73.5</v>
      </c>
      <c r="F851" t="s">
        <v>7</v>
      </c>
      <c r="G851" t="s">
        <v>3110</v>
      </c>
    </row>
    <row r="852" spans="1:7" x14ac:dyDescent="0.25">
      <c r="A852">
        <v>5672</v>
      </c>
      <c r="B852" t="s">
        <v>2096</v>
      </c>
      <c r="C852" t="s">
        <v>3059</v>
      </c>
      <c r="D852">
        <v>29</v>
      </c>
      <c r="E852">
        <v>1.02</v>
      </c>
      <c r="F852" t="s">
        <v>7</v>
      </c>
      <c r="G852" t="s">
        <v>3108</v>
      </c>
    </row>
    <row r="853" spans="1:7" x14ac:dyDescent="0.25">
      <c r="A853">
        <v>5673</v>
      </c>
      <c r="B853" t="s">
        <v>2097</v>
      </c>
      <c r="C853" t="s">
        <v>3059</v>
      </c>
      <c r="D853">
        <v>58</v>
      </c>
      <c r="E853">
        <v>3.16</v>
      </c>
      <c r="F853" t="s">
        <v>7</v>
      </c>
      <c r="G853" t="s">
        <v>3110</v>
      </c>
    </row>
    <row r="854" spans="1:7" x14ac:dyDescent="0.25">
      <c r="A854">
        <v>5677</v>
      </c>
      <c r="B854" t="s">
        <v>2099</v>
      </c>
      <c r="C854" t="s">
        <v>3059</v>
      </c>
      <c r="D854">
        <v>7</v>
      </c>
      <c r="E854">
        <v>32.17</v>
      </c>
      <c r="F854" t="s">
        <v>7</v>
      </c>
      <c r="G854" t="s">
        <v>3103</v>
      </c>
    </row>
    <row r="855" spans="1:7" x14ac:dyDescent="0.25">
      <c r="A855">
        <v>5679</v>
      </c>
      <c r="B855" t="s">
        <v>2100</v>
      </c>
      <c r="C855" t="s">
        <v>3059</v>
      </c>
      <c r="D855">
        <v>129</v>
      </c>
      <c r="E855">
        <v>5</v>
      </c>
      <c r="F855" t="s">
        <v>7</v>
      </c>
      <c r="G855" t="s">
        <v>3109</v>
      </c>
    </row>
    <row r="856" spans="1:7" x14ac:dyDescent="0.25">
      <c r="A856">
        <v>5767</v>
      </c>
      <c r="B856" t="s">
        <v>2106</v>
      </c>
      <c r="C856" t="s">
        <v>3059</v>
      </c>
      <c r="D856">
        <v>143</v>
      </c>
      <c r="E856">
        <v>66.5</v>
      </c>
      <c r="F856" t="s">
        <v>7</v>
      </c>
      <c r="G856" t="s">
        <v>3062</v>
      </c>
    </row>
    <row r="857" spans="1:7" x14ac:dyDescent="0.25">
      <c r="A857">
        <v>5768</v>
      </c>
      <c r="B857" t="s">
        <v>2107</v>
      </c>
      <c r="C857" t="s">
        <v>3059</v>
      </c>
      <c r="D857">
        <v>318</v>
      </c>
      <c r="E857">
        <v>2.76</v>
      </c>
      <c r="F857" t="s">
        <v>7</v>
      </c>
      <c r="G857" t="s">
        <v>3064</v>
      </c>
    </row>
    <row r="858" spans="1:7" x14ac:dyDescent="0.25">
      <c r="A858">
        <v>5778</v>
      </c>
      <c r="B858" t="s">
        <v>2108</v>
      </c>
      <c r="C858" t="s">
        <v>3063</v>
      </c>
      <c r="D858">
        <v>18</v>
      </c>
      <c r="E858">
        <v>2.8</v>
      </c>
      <c r="F858" t="s">
        <v>7</v>
      </c>
      <c r="G858" t="s">
        <v>3064</v>
      </c>
    </row>
    <row r="859" spans="1:7" x14ac:dyDescent="0.25">
      <c r="A859">
        <v>5779</v>
      </c>
      <c r="B859" t="s">
        <v>2109</v>
      </c>
      <c r="C859" t="s">
        <v>3059</v>
      </c>
      <c r="D859">
        <v>43</v>
      </c>
      <c r="E859">
        <v>4.8499999999999996</v>
      </c>
      <c r="F859" t="s">
        <v>7</v>
      </c>
      <c r="G859" t="s">
        <v>3108</v>
      </c>
    </row>
    <row r="860" spans="1:7" x14ac:dyDescent="0.25">
      <c r="A860">
        <v>5780</v>
      </c>
      <c r="B860" t="s">
        <v>2110</v>
      </c>
      <c r="C860" t="s">
        <v>3059</v>
      </c>
      <c r="D860">
        <v>85</v>
      </c>
      <c r="E860">
        <v>10.92</v>
      </c>
      <c r="F860" t="s">
        <v>7</v>
      </c>
      <c r="G860" t="s">
        <v>3064</v>
      </c>
    </row>
    <row r="861" spans="1:7" x14ac:dyDescent="0.25">
      <c r="A861">
        <v>5796</v>
      </c>
      <c r="B861" t="s">
        <v>2112</v>
      </c>
      <c r="C861" t="s">
        <v>3059</v>
      </c>
      <c r="D861">
        <v>15</v>
      </c>
      <c r="E861">
        <v>683.9</v>
      </c>
      <c r="F861" t="s">
        <v>7</v>
      </c>
      <c r="G861" t="s">
        <v>3073</v>
      </c>
    </row>
    <row r="862" spans="1:7" x14ac:dyDescent="0.25">
      <c r="A862">
        <v>5809</v>
      </c>
      <c r="B862" t="s">
        <v>2113</v>
      </c>
      <c r="C862" t="s">
        <v>3059</v>
      </c>
      <c r="D862">
        <v>4</v>
      </c>
      <c r="E862">
        <v>1</v>
      </c>
      <c r="F862" t="s">
        <v>7</v>
      </c>
      <c r="G862" t="s">
        <v>3108</v>
      </c>
    </row>
    <row r="863" spans="1:7" x14ac:dyDescent="0.25">
      <c r="A863">
        <v>5817</v>
      </c>
      <c r="B863" t="s">
        <v>2114</v>
      </c>
      <c r="C863" t="s">
        <v>3059</v>
      </c>
      <c r="D863">
        <v>47</v>
      </c>
      <c r="E863">
        <v>683.67</v>
      </c>
      <c r="F863" t="s">
        <v>7</v>
      </c>
      <c r="G863" t="s">
        <v>3073</v>
      </c>
    </row>
    <row r="864" spans="1:7" x14ac:dyDescent="0.25">
      <c r="A864">
        <v>5819</v>
      </c>
      <c r="B864" t="s">
        <v>2115</v>
      </c>
      <c r="C864" t="s">
        <v>3059</v>
      </c>
      <c r="D864">
        <v>20</v>
      </c>
      <c r="E864">
        <v>946</v>
      </c>
      <c r="F864" t="s">
        <v>7</v>
      </c>
      <c r="G864" t="s">
        <v>3073</v>
      </c>
    </row>
    <row r="865" spans="1:7" x14ac:dyDescent="0.25">
      <c r="A865">
        <v>5820</v>
      </c>
      <c r="B865" t="s">
        <v>2116</v>
      </c>
      <c r="C865" t="s">
        <v>3059</v>
      </c>
      <c r="D865">
        <v>3</v>
      </c>
      <c r="E865">
        <v>1627.59</v>
      </c>
      <c r="F865" t="s">
        <v>7</v>
      </c>
      <c r="G865" t="s">
        <v>3073</v>
      </c>
    </row>
    <row r="866" spans="1:7" x14ac:dyDescent="0.25">
      <c r="A866">
        <v>5822</v>
      </c>
      <c r="B866" t="s">
        <v>2117</v>
      </c>
      <c r="C866" t="s">
        <v>3059</v>
      </c>
      <c r="D866">
        <v>5</v>
      </c>
      <c r="E866">
        <v>78.3</v>
      </c>
      <c r="F866" t="s">
        <v>7</v>
      </c>
      <c r="G866" t="s">
        <v>3103</v>
      </c>
    </row>
    <row r="867" spans="1:7" x14ac:dyDescent="0.25">
      <c r="A867">
        <v>5845</v>
      </c>
      <c r="B867" t="s">
        <v>2119</v>
      </c>
      <c r="C867" t="s">
        <v>3059</v>
      </c>
      <c r="D867">
        <v>102</v>
      </c>
      <c r="E867">
        <v>4.09</v>
      </c>
      <c r="F867" t="s">
        <v>7</v>
      </c>
      <c r="G867" t="s">
        <v>3115</v>
      </c>
    </row>
    <row r="868" spans="1:7" x14ac:dyDescent="0.25">
      <c r="A868">
        <v>5855</v>
      </c>
      <c r="B868" t="s">
        <v>2121</v>
      </c>
      <c r="C868" t="s">
        <v>3059</v>
      </c>
      <c r="D868">
        <v>130</v>
      </c>
      <c r="E868">
        <v>3.5</v>
      </c>
      <c r="F868" t="s">
        <v>7</v>
      </c>
      <c r="G868" t="s">
        <v>3115</v>
      </c>
    </row>
    <row r="869" spans="1:7" x14ac:dyDescent="0.25">
      <c r="A869">
        <v>5934</v>
      </c>
      <c r="B869" t="s">
        <v>2126</v>
      </c>
      <c r="C869" t="s">
        <v>3059</v>
      </c>
      <c r="D869">
        <v>33</v>
      </c>
      <c r="E869">
        <v>90</v>
      </c>
      <c r="F869" t="s">
        <v>7</v>
      </c>
      <c r="G869" t="s">
        <v>3110</v>
      </c>
    </row>
    <row r="870" spans="1:7" x14ac:dyDescent="0.25">
      <c r="A870">
        <v>5991</v>
      </c>
      <c r="B870" t="s">
        <v>2131</v>
      </c>
      <c r="C870" t="s">
        <v>3059</v>
      </c>
      <c r="D870">
        <v>5</v>
      </c>
      <c r="E870">
        <v>16.25</v>
      </c>
      <c r="F870" t="s">
        <v>7</v>
      </c>
      <c r="G870" t="s">
        <v>3114</v>
      </c>
    </row>
    <row r="871" spans="1:7" x14ac:dyDescent="0.25">
      <c r="A871">
        <v>6015</v>
      </c>
      <c r="B871" t="s">
        <v>3198</v>
      </c>
      <c r="C871" t="s">
        <v>3059</v>
      </c>
      <c r="D871">
        <v>35</v>
      </c>
      <c r="E871">
        <v>6.5</v>
      </c>
      <c r="F871" t="s">
        <v>7</v>
      </c>
      <c r="G871" t="s">
        <v>3110</v>
      </c>
    </row>
    <row r="872" spans="1:7" x14ac:dyDescent="0.25">
      <c r="A872">
        <v>6037</v>
      </c>
      <c r="B872" t="s">
        <v>2136</v>
      </c>
      <c r="C872" t="s">
        <v>3059</v>
      </c>
      <c r="D872">
        <v>3</v>
      </c>
      <c r="E872">
        <v>20</v>
      </c>
      <c r="F872" t="s">
        <v>7</v>
      </c>
      <c r="G872" t="s">
        <v>3088</v>
      </c>
    </row>
    <row r="873" spans="1:7" x14ac:dyDescent="0.25">
      <c r="A873">
        <v>6069</v>
      </c>
      <c r="B873" t="s">
        <v>2138</v>
      </c>
      <c r="C873" t="s">
        <v>3059</v>
      </c>
      <c r="D873">
        <v>32</v>
      </c>
      <c r="E873">
        <v>7.83</v>
      </c>
      <c r="F873" t="s">
        <v>7</v>
      </c>
      <c r="G873" t="s">
        <v>3110</v>
      </c>
    </row>
    <row r="874" spans="1:7" x14ac:dyDescent="0.25">
      <c r="A874">
        <v>6078</v>
      </c>
      <c r="B874" t="s">
        <v>2140</v>
      </c>
      <c r="C874" t="s">
        <v>3059</v>
      </c>
      <c r="D874">
        <v>24</v>
      </c>
      <c r="E874">
        <v>8</v>
      </c>
      <c r="F874" t="s">
        <v>7</v>
      </c>
      <c r="G874" t="s">
        <v>3114</v>
      </c>
    </row>
    <row r="875" spans="1:7" x14ac:dyDescent="0.25">
      <c r="A875">
        <v>6079</v>
      </c>
      <c r="B875" t="s">
        <v>2141</v>
      </c>
      <c r="C875" t="s">
        <v>3059</v>
      </c>
      <c r="D875">
        <v>6</v>
      </c>
      <c r="E875">
        <v>9</v>
      </c>
      <c r="F875" t="s">
        <v>7</v>
      </c>
      <c r="G875" t="s">
        <v>3114</v>
      </c>
    </row>
    <row r="876" spans="1:7" x14ac:dyDescent="0.25">
      <c r="A876">
        <v>6103</v>
      </c>
      <c r="B876" t="s">
        <v>2143</v>
      </c>
      <c r="C876" t="s">
        <v>3059</v>
      </c>
      <c r="D876">
        <v>1</v>
      </c>
      <c r="E876">
        <v>9.24</v>
      </c>
      <c r="F876" t="s">
        <v>7</v>
      </c>
      <c r="G876" t="s">
        <v>3110</v>
      </c>
    </row>
    <row r="877" spans="1:7" x14ac:dyDescent="0.25">
      <c r="A877">
        <v>6105</v>
      </c>
      <c r="B877" t="s">
        <v>2145</v>
      </c>
      <c r="C877" t="s">
        <v>3059</v>
      </c>
      <c r="D877">
        <v>69</v>
      </c>
      <c r="E877">
        <v>10.4</v>
      </c>
      <c r="F877" t="s">
        <v>7</v>
      </c>
      <c r="G877" t="s">
        <v>3110</v>
      </c>
    </row>
    <row r="878" spans="1:7" x14ac:dyDescent="0.25">
      <c r="A878">
        <v>6151</v>
      </c>
      <c r="B878" t="s">
        <v>2151</v>
      </c>
      <c r="C878" t="s">
        <v>3059</v>
      </c>
      <c r="D878">
        <v>1</v>
      </c>
      <c r="E878">
        <v>35</v>
      </c>
      <c r="F878" t="s">
        <v>7</v>
      </c>
      <c r="G878" t="s">
        <v>3110</v>
      </c>
    </row>
    <row r="879" spans="1:7" x14ac:dyDescent="0.25">
      <c r="A879">
        <v>6152</v>
      </c>
      <c r="B879" t="s">
        <v>2152</v>
      </c>
      <c r="C879" t="s">
        <v>3059</v>
      </c>
      <c r="D879">
        <v>68</v>
      </c>
      <c r="E879">
        <v>35</v>
      </c>
      <c r="F879" t="s">
        <v>7</v>
      </c>
      <c r="G879" t="s">
        <v>3110</v>
      </c>
    </row>
    <row r="880" spans="1:7" x14ac:dyDescent="0.25">
      <c r="A880">
        <v>6159</v>
      </c>
      <c r="B880" t="s">
        <v>2154</v>
      </c>
      <c r="C880" t="s">
        <v>3059</v>
      </c>
      <c r="D880">
        <v>92</v>
      </c>
      <c r="E880">
        <v>10</v>
      </c>
      <c r="F880" t="s">
        <v>7</v>
      </c>
      <c r="G880" t="s">
        <v>3110</v>
      </c>
    </row>
    <row r="881" spans="1:7" x14ac:dyDescent="0.25">
      <c r="A881">
        <v>6204</v>
      </c>
      <c r="B881" t="s">
        <v>3199</v>
      </c>
      <c r="C881" t="s">
        <v>3059</v>
      </c>
      <c r="D881">
        <v>10</v>
      </c>
      <c r="E881">
        <v>6.5</v>
      </c>
      <c r="F881" t="s">
        <v>7</v>
      </c>
      <c r="G881" t="s">
        <v>3114</v>
      </c>
    </row>
    <row r="882" spans="1:7" x14ac:dyDescent="0.25">
      <c r="A882">
        <v>6208</v>
      </c>
      <c r="B882" t="s">
        <v>3200</v>
      </c>
      <c r="C882" t="s">
        <v>3059</v>
      </c>
      <c r="D882">
        <v>1429</v>
      </c>
      <c r="E882">
        <v>3.25</v>
      </c>
      <c r="F882" t="s">
        <v>7</v>
      </c>
      <c r="G882" t="s">
        <v>3114</v>
      </c>
    </row>
    <row r="883" spans="1:7" x14ac:dyDescent="0.25">
      <c r="A883">
        <v>6220</v>
      </c>
      <c r="B883" t="s">
        <v>2160</v>
      </c>
      <c r="C883" t="s">
        <v>3059</v>
      </c>
      <c r="D883">
        <v>3</v>
      </c>
      <c r="E883">
        <v>2</v>
      </c>
      <c r="F883" t="s">
        <v>7</v>
      </c>
      <c r="G883" t="s">
        <v>3108</v>
      </c>
    </row>
    <row r="884" spans="1:7" x14ac:dyDescent="0.25">
      <c r="A884">
        <v>6233</v>
      </c>
      <c r="B884" t="s">
        <v>2164</v>
      </c>
      <c r="C884" t="s">
        <v>3059</v>
      </c>
      <c r="D884">
        <v>15</v>
      </c>
      <c r="E884">
        <v>6.3</v>
      </c>
      <c r="F884" t="s">
        <v>7</v>
      </c>
      <c r="G884" t="s">
        <v>3110</v>
      </c>
    </row>
    <row r="885" spans="1:7" x14ac:dyDescent="0.25">
      <c r="A885">
        <v>6240</v>
      </c>
      <c r="B885" t="s">
        <v>3201</v>
      </c>
      <c r="C885" t="s">
        <v>3059</v>
      </c>
      <c r="D885">
        <v>4</v>
      </c>
      <c r="E885">
        <v>85</v>
      </c>
      <c r="F885" t="s">
        <v>7</v>
      </c>
      <c r="G885" t="s">
        <v>3114</v>
      </c>
    </row>
    <row r="886" spans="1:7" x14ac:dyDescent="0.25">
      <c r="A886">
        <v>6245</v>
      </c>
      <c r="B886" t="s">
        <v>2166</v>
      </c>
      <c r="C886" t="s">
        <v>3059</v>
      </c>
      <c r="D886">
        <v>1</v>
      </c>
      <c r="E886">
        <v>506.82</v>
      </c>
      <c r="F886" t="s">
        <v>7</v>
      </c>
      <c r="G886" t="s">
        <v>3073</v>
      </c>
    </row>
    <row r="887" spans="1:7" x14ac:dyDescent="0.25">
      <c r="A887">
        <v>6278</v>
      </c>
      <c r="B887" t="s">
        <v>2167</v>
      </c>
      <c r="C887" t="s">
        <v>3059</v>
      </c>
      <c r="D887">
        <v>34</v>
      </c>
      <c r="E887">
        <v>74.5</v>
      </c>
      <c r="F887" t="s">
        <v>7</v>
      </c>
      <c r="G887" t="s">
        <v>3110</v>
      </c>
    </row>
    <row r="888" spans="1:7" x14ac:dyDescent="0.25">
      <c r="A888">
        <v>6328</v>
      </c>
      <c r="B888" t="s">
        <v>2168</v>
      </c>
      <c r="C888" t="s">
        <v>3059</v>
      </c>
      <c r="D888">
        <v>76</v>
      </c>
      <c r="E888">
        <v>19</v>
      </c>
      <c r="F888" t="s">
        <v>7</v>
      </c>
      <c r="G888" t="s">
        <v>3202</v>
      </c>
    </row>
    <row r="889" spans="1:7" x14ac:dyDescent="0.25">
      <c r="A889">
        <v>6337</v>
      </c>
      <c r="B889" t="s">
        <v>2169</v>
      </c>
      <c r="C889" t="s">
        <v>3059</v>
      </c>
      <c r="D889">
        <v>6</v>
      </c>
      <c r="E889">
        <v>3.5</v>
      </c>
      <c r="F889" t="s">
        <v>7</v>
      </c>
      <c r="G889" t="s">
        <v>3108</v>
      </c>
    </row>
    <row r="890" spans="1:7" x14ac:dyDescent="0.25">
      <c r="A890">
        <v>6355</v>
      </c>
      <c r="B890" t="s">
        <v>2171</v>
      </c>
      <c r="C890" t="s">
        <v>3059</v>
      </c>
      <c r="D890">
        <v>42</v>
      </c>
      <c r="E890">
        <v>3.5</v>
      </c>
      <c r="F890" t="s">
        <v>7</v>
      </c>
      <c r="G890" t="s">
        <v>3110</v>
      </c>
    </row>
    <row r="891" spans="1:7" x14ac:dyDescent="0.25">
      <c r="A891">
        <v>6446</v>
      </c>
      <c r="B891" t="s">
        <v>2174</v>
      </c>
      <c r="C891" t="s">
        <v>3059</v>
      </c>
      <c r="D891">
        <v>65</v>
      </c>
      <c r="E891">
        <v>34.090000000000003</v>
      </c>
      <c r="F891" t="s">
        <v>7</v>
      </c>
      <c r="G891" t="s">
        <v>3110</v>
      </c>
    </row>
    <row r="892" spans="1:7" x14ac:dyDescent="0.25">
      <c r="A892">
        <v>6451</v>
      </c>
      <c r="B892" t="s">
        <v>2175</v>
      </c>
      <c r="C892" t="s">
        <v>3059</v>
      </c>
      <c r="D892">
        <v>118</v>
      </c>
      <c r="E892">
        <v>1.5</v>
      </c>
      <c r="F892" t="s">
        <v>7</v>
      </c>
      <c r="G892" t="s">
        <v>3110</v>
      </c>
    </row>
    <row r="893" spans="1:7" x14ac:dyDescent="0.25">
      <c r="A893">
        <v>6456</v>
      </c>
      <c r="B893" t="s">
        <v>2176</v>
      </c>
      <c r="C893" t="s">
        <v>3059</v>
      </c>
      <c r="D893">
        <v>170</v>
      </c>
      <c r="E893">
        <v>3.06</v>
      </c>
      <c r="F893" t="s">
        <v>7</v>
      </c>
      <c r="G893" t="s">
        <v>3110</v>
      </c>
    </row>
    <row r="894" spans="1:7" x14ac:dyDescent="0.25">
      <c r="A894">
        <v>6465</v>
      </c>
      <c r="B894" t="s">
        <v>2177</v>
      </c>
      <c r="C894" t="s">
        <v>3059</v>
      </c>
      <c r="D894">
        <v>44</v>
      </c>
      <c r="E894">
        <v>12.5</v>
      </c>
      <c r="F894" t="s">
        <v>7</v>
      </c>
      <c r="G894" t="s">
        <v>3110</v>
      </c>
    </row>
    <row r="895" spans="1:7" x14ac:dyDescent="0.25">
      <c r="A895">
        <v>6532</v>
      </c>
      <c r="B895" t="s">
        <v>2179</v>
      </c>
      <c r="C895" t="s">
        <v>3059</v>
      </c>
      <c r="D895">
        <v>129</v>
      </c>
      <c r="E895">
        <v>4.01</v>
      </c>
      <c r="F895" t="s">
        <v>7</v>
      </c>
      <c r="G895" t="s">
        <v>3110</v>
      </c>
    </row>
    <row r="896" spans="1:7" x14ac:dyDescent="0.25">
      <c r="A896">
        <v>6540</v>
      </c>
      <c r="B896" t="s">
        <v>2180</v>
      </c>
      <c r="C896" t="s">
        <v>3059</v>
      </c>
      <c r="D896">
        <v>4</v>
      </c>
      <c r="E896">
        <v>14.75</v>
      </c>
      <c r="F896" t="s">
        <v>7</v>
      </c>
      <c r="G896" t="s">
        <v>3118</v>
      </c>
    </row>
    <row r="897" spans="1:7" x14ac:dyDescent="0.25">
      <c r="A897">
        <v>6589</v>
      </c>
      <c r="B897" t="s">
        <v>3203</v>
      </c>
      <c r="C897" t="s">
        <v>3059</v>
      </c>
      <c r="D897">
        <v>6</v>
      </c>
      <c r="E897">
        <v>59.52</v>
      </c>
      <c r="F897" t="s">
        <v>7</v>
      </c>
      <c r="G897" t="s">
        <v>3110</v>
      </c>
    </row>
    <row r="898" spans="1:7" x14ac:dyDescent="0.25">
      <c r="A898">
        <v>6660</v>
      </c>
      <c r="B898" t="s">
        <v>3204</v>
      </c>
      <c r="C898" t="s">
        <v>3059</v>
      </c>
      <c r="D898">
        <v>7</v>
      </c>
      <c r="E898">
        <v>17.55</v>
      </c>
      <c r="F898" t="s">
        <v>7</v>
      </c>
      <c r="G898" t="s">
        <v>3114</v>
      </c>
    </row>
    <row r="899" spans="1:7" x14ac:dyDescent="0.25">
      <c r="A899">
        <v>6676</v>
      </c>
      <c r="B899" t="s">
        <v>2187</v>
      </c>
      <c r="C899" t="s">
        <v>3059</v>
      </c>
      <c r="D899">
        <v>123</v>
      </c>
      <c r="E899">
        <v>29</v>
      </c>
      <c r="F899" t="s">
        <v>7</v>
      </c>
      <c r="G899" t="s">
        <v>3110</v>
      </c>
    </row>
    <row r="900" spans="1:7" x14ac:dyDescent="0.25">
      <c r="A900">
        <v>6686</v>
      </c>
      <c r="B900" t="s">
        <v>2190</v>
      </c>
      <c r="C900" t="s">
        <v>3059</v>
      </c>
      <c r="D900">
        <v>3053</v>
      </c>
      <c r="E900">
        <v>1.27</v>
      </c>
      <c r="F900" t="s">
        <v>7</v>
      </c>
      <c r="G900" t="s">
        <v>3110</v>
      </c>
    </row>
    <row r="901" spans="1:7" x14ac:dyDescent="0.25">
      <c r="A901">
        <v>6736</v>
      </c>
      <c r="B901" t="s">
        <v>2193</v>
      </c>
      <c r="C901" t="s">
        <v>3059</v>
      </c>
      <c r="D901">
        <v>251</v>
      </c>
      <c r="E901">
        <v>15.98</v>
      </c>
      <c r="F901" t="s">
        <v>7</v>
      </c>
      <c r="G901" t="s">
        <v>3110</v>
      </c>
    </row>
    <row r="902" spans="1:7" x14ac:dyDescent="0.25">
      <c r="A902">
        <v>6796</v>
      </c>
      <c r="B902" t="s">
        <v>2194</v>
      </c>
      <c r="C902" t="s">
        <v>3059</v>
      </c>
      <c r="D902">
        <v>1251</v>
      </c>
      <c r="E902">
        <v>1.9</v>
      </c>
      <c r="F902" t="s">
        <v>7</v>
      </c>
      <c r="G902" t="s">
        <v>3110</v>
      </c>
    </row>
    <row r="903" spans="1:7" x14ac:dyDescent="0.25">
      <c r="A903">
        <v>6798</v>
      </c>
      <c r="B903" t="s">
        <v>2195</v>
      </c>
      <c r="C903" t="s">
        <v>3059</v>
      </c>
      <c r="D903">
        <v>105</v>
      </c>
      <c r="E903">
        <v>16.440000000000001</v>
      </c>
      <c r="F903" t="s">
        <v>7</v>
      </c>
      <c r="G903" t="s">
        <v>3110</v>
      </c>
    </row>
    <row r="904" spans="1:7" x14ac:dyDescent="0.25">
      <c r="A904">
        <v>6803</v>
      </c>
      <c r="B904" t="s">
        <v>2196</v>
      </c>
      <c r="C904" t="s">
        <v>3059</v>
      </c>
      <c r="D904">
        <v>13</v>
      </c>
      <c r="E904">
        <v>4.3099999999999996</v>
      </c>
      <c r="F904" t="s">
        <v>7</v>
      </c>
      <c r="G904" t="s">
        <v>3110</v>
      </c>
    </row>
    <row r="905" spans="1:7" x14ac:dyDescent="0.25">
      <c r="A905">
        <v>6805</v>
      </c>
      <c r="B905" t="s">
        <v>2197</v>
      </c>
      <c r="C905" t="s">
        <v>3059</v>
      </c>
      <c r="D905">
        <v>4</v>
      </c>
      <c r="E905">
        <v>409</v>
      </c>
      <c r="F905" t="s">
        <v>7</v>
      </c>
      <c r="G905" t="s">
        <v>3064</v>
      </c>
    </row>
    <row r="906" spans="1:7" x14ac:dyDescent="0.25">
      <c r="A906">
        <v>6819</v>
      </c>
      <c r="B906" t="s">
        <v>3205</v>
      </c>
      <c r="C906" t="s">
        <v>3059</v>
      </c>
      <c r="D906">
        <v>1</v>
      </c>
      <c r="E906">
        <v>17.8</v>
      </c>
      <c r="F906" t="s">
        <v>7</v>
      </c>
      <c r="G906" t="s">
        <v>3114</v>
      </c>
    </row>
    <row r="907" spans="1:7" x14ac:dyDescent="0.25">
      <c r="A907">
        <v>6820</v>
      </c>
      <c r="B907" t="s">
        <v>3206</v>
      </c>
      <c r="C907" t="s">
        <v>3059</v>
      </c>
      <c r="D907">
        <v>57</v>
      </c>
      <c r="E907">
        <v>32</v>
      </c>
      <c r="F907" t="s">
        <v>7</v>
      </c>
      <c r="G907" t="s">
        <v>3110</v>
      </c>
    </row>
    <row r="908" spans="1:7" x14ac:dyDescent="0.25">
      <c r="A908">
        <v>6821</v>
      </c>
      <c r="B908" t="s">
        <v>2200</v>
      </c>
      <c r="C908" t="s">
        <v>3059</v>
      </c>
      <c r="D908">
        <v>18</v>
      </c>
      <c r="E908">
        <v>170</v>
      </c>
      <c r="F908" t="s">
        <v>7</v>
      </c>
      <c r="G908" t="s">
        <v>3110</v>
      </c>
    </row>
    <row r="909" spans="1:7" x14ac:dyDescent="0.25">
      <c r="A909">
        <v>6945</v>
      </c>
      <c r="B909" t="s">
        <v>2202</v>
      </c>
      <c r="C909" t="s">
        <v>3059</v>
      </c>
      <c r="D909">
        <v>218</v>
      </c>
      <c r="E909">
        <v>2.5</v>
      </c>
      <c r="F909" t="s">
        <v>7</v>
      </c>
      <c r="G909" t="s">
        <v>3110</v>
      </c>
    </row>
    <row r="910" spans="1:7" x14ac:dyDescent="0.25">
      <c r="A910">
        <v>6949</v>
      </c>
      <c r="B910" t="s">
        <v>2203</v>
      </c>
      <c r="C910" t="s">
        <v>3059</v>
      </c>
      <c r="D910">
        <v>16</v>
      </c>
      <c r="E910">
        <v>4.6500000000000004</v>
      </c>
      <c r="F910" t="s">
        <v>7</v>
      </c>
      <c r="G910" t="s">
        <v>3110</v>
      </c>
    </row>
    <row r="911" spans="1:7" x14ac:dyDescent="0.25">
      <c r="A911">
        <v>7098</v>
      </c>
      <c r="B911" t="s">
        <v>2208</v>
      </c>
      <c r="C911" t="s">
        <v>3059</v>
      </c>
      <c r="D911">
        <v>192</v>
      </c>
      <c r="E911">
        <v>4.0999999999999996</v>
      </c>
      <c r="F911" t="s">
        <v>7</v>
      </c>
      <c r="G911" t="s">
        <v>3110</v>
      </c>
    </row>
    <row r="912" spans="1:7" x14ac:dyDescent="0.25">
      <c r="A912">
        <v>7118</v>
      </c>
      <c r="B912" t="s">
        <v>2211</v>
      </c>
      <c r="C912" t="s">
        <v>3059</v>
      </c>
      <c r="D912">
        <v>29</v>
      </c>
      <c r="E912">
        <v>790</v>
      </c>
      <c r="F912" t="s">
        <v>7</v>
      </c>
      <c r="G912" t="s">
        <v>3073</v>
      </c>
    </row>
    <row r="913" spans="1:7" x14ac:dyDescent="0.25">
      <c r="A913">
        <v>7421</v>
      </c>
      <c r="B913" t="s">
        <v>2215</v>
      </c>
      <c r="C913" t="s">
        <v>3059</v>
      </c>
      <c r="D913">
        <v>58</v>
      </c>
      <c r="E913">
        <v>27.16</v>
      </c>
      <c r="F913" t="s">
        <v>7</v>
      </c>
      <c r="G913" t="s">
        <v>3103</v>
      </c>
    </row>
    <row r="914" spans="1:7" x14ac:dyDescent="0.25">
      <c r="A914">
        <v>7429</v>
      </c>
      <c r="B914" t="s">
        <v>2216</v>
      </c>
      <c r="C914" t="s">
        <v>3059</v>
      </c>
      <c r="D914">
        <v>27</v>
      </c>
      <c r="E914">
        <v>14.03</v>
      </c>
      <c r="F914" t="s">
        <v>7</v>
      </c>
      <c r="G914" t="s">
        <v>3103</v>
      </c>
    </row>
    <row r="915" spans="1:7" x14ac:dyDescent="0.25">
      <c r="A915">
        <v>7430</v>
      </c>
      <c r="B915" t="s">
        <v>2217</v>
      </c>
      <c r="C915" t="s">
        <v>3063</v>
      </c>
      <c r="D915">
        <v>30</v>
      </c>
      <c r="E915">
        <v>11.7</v>
      </c>
      <c r="F915" t="s">
        <v>7</v>
      </c>
      <c r="G915" t="s">
        <v>3103</v>
      </c>
    </row>
    <row r="916" spans="1:7" x14ac:dyDescent="0.25">
      <c r="A916">
        <v>7431</v>
      </c>
      <c r="B916" t="s">
        <v>2218</v>
      </c>
      <c r="C916" t="s">
        <v>3059</v>
      </c>
      <c r="D916">
        <v>4</v>
      </c>
      <c r="E916">
        <v>21.6</v>
      </c>
      <c r="F916" t="s">
        <v>7</v>
      </c>
      <c r="G916" t="s">
        <v>3103</v>
      </c>
    </row>
    <row r="917" spans="1:7" x14ac:dyDescent="0.25">
      <c r="A917">
        <v>7432</v>
      </c>
      <c r="B917" t="s">
        <v>2219</v>
      </c>
      <c r="C917" t="s">
        <v>3059</v>
      </c>
      <c r="D917">
        <v>8</v>
      </c>
      <c r="E917">
        <v>16.100000000000001</v>
      </c>
      <c r="F917" t="s">
        <v>7</v>
      </c>
      <c r="G917" t="s">
        <v>3103</v>
      </c>
    </row>
    <row r="918" spans="1:7" x14ac:dyDescent="0.25">
      <c r="A918">
        <v>7441</v>
      </c>
      <c r="B918" t="s">
        <v>2222</v>
      </c>
      <c r="C918" t="s">
        <v>3063</v>
      </c>
      <c r="D918">
        <v>6</v>
      </c>
      <c r="E918">
        <v>26.74</v>
      </c>
      <c r="F918" t="s">
        <v>7</v>
      </c>
      <c r="G918" t="s">
        <v>3103</v>
      </c>
    </row>
    <row r="919" spans="1:7" x14ac:dyDescent="0.25">
      <c r="A919">
        <v>7442</v>
      </c>
      <c r="B919" t="s">
        <v>2223</v>
      </c>
      <c r="C919" t="s">
        <v>3059</v>
      </c>
      <c r="D919">
        <v>9</v>
      </c>
      <c r="E919">
        <v>15.91</v>
      </c>
      <c r="F919" t="s">
        <v>7</v>
      </c>
      <c r="G919" t="s">
        <v>3103</v>
      </c>
    </row>
    <row r="920" spans="1:7" x14ac:dyDescent="0.25">
      <c r="A920">
        <v>7450</v>
      </c>
      <c r="B920" t="s">
        <v>2231</v>
      </c>
      <c r="C920" t="s">
        <v>3059</v>
      </c>
      <c r="D920">
        <v>396</v>
      </c>
      <c r="E920">
        <v>3.65</v>
      </c>
      <c r="F920" t="s">
        <v>7</v>
      </c>
      <c r="G920" t="s">
        <v>3103</v>
      </c>
    </row>
    <row r="921" spans="1:7" x14ac:dyDescent="0.25">
      <c r="A921">
        <v>7458</v>
      </c>
      <c r="B921" t="s">
        <v>2234</v>
      </c>
      <c r="C921" t="s">
        <v>3059</v>
      </c>
      <c r="D921">
        <v>1</v>
      </c>
      <c r="E921">
        <v>33.15</v>
      </c>
      <c r="F921" t="s">
        <v>7</v>
      </c>
      <c r="G921" t="s">
        <v>3103</v>
      </c>
    </row>
    <row r="922" spans="1:7" x14ac:dyDescent="0.25">
      <c r="A922">
        <v>7460</v>
      </c>
      <c r="B922" t="s">
        <v>2236</v>
      </c>
      <c r="C922" t="s">
        <v>3059</v>
      </c>
      <c r="D922">
        <v>44</v>
      </c>
      <c r="E922">
        <v>11.62</v>
      </c>
      <c r="F922" t="s">
        <v>7</v>
      </c>
      <c r="G922" t="s">
        <v>3103</v>
      </c>
    </row>
    <row r="923" spans="1:7" x14ac:dyDescent="0.25">
      <c r="A923">
        <v>7488</v>
      </c>
      <c r="B923" t="s">
        <v>2237</v>
      </c>
      <c r="C923" t="s">
        <v>3059</v>
      </c>
      <c r="D923">
        <v>25</v>
      </c>
      <c r="E923">
        <v>2.17</v>
      </c>
      <c r="F923" t="s">
        <v>7</v>
      </c>
      <c r="G923" t="s">
        <v>3102</v>
      </c>
    </row>
    <row r="924" spans="1:7" x14ac:dyDescent="0.25">
      <c r="A924">
        <v>7493</v>
      </c>
      <c r="B924" t="s">
        <v>2239</v>
      </c>
      <c r="C924" t="s">
        <v>3059</v>
      </c>
      <c r="D924">
        <v>887</v>
      </c>
      <c r="E924">
        <v>11.5</v>
      </c>
      <c r="F924" t="s">
        <v>7</v>
      </c>
      <c r="G924" t="s">
        <v>3102</v>
      </c>
    </row>
    <row r="925" spans="1:7" x14ac:dyDescent="0.25">
      <c r="A925">
        <v>7494</v>
      </c>
      <c r="B925" t="s">
        <v>2240</v>
      </c>
      <c r="C925" t="s">
        <v>3059</v>
      </c>
      <c r="D925">
        <v>1185</v>
      </c>
      <c r="E925">
        <v>11.5</v>
      </c>
      <c r="F925" t="s">
        <v>7</v>
      </c>
      <c r="G925" t="s">
        <v>3102</v>
      </c>
    </row>
    <row r="926" spans="1:7" x14ac:dyDescent="0.25">
      <c r="A926">
        <v>7496</v>
      </c>
      <c r="B926" t="s">
        <v>2241</v>
      </c>
      <c r="C926" t="s">
        <v>3059</v>
      </c>
      <c r="D926">
        <v>181</v>
      </c>
      <c r="E926">
        <v>12.25</v>
      </c>
      <c r="F926" t="s">
        <v>7</v>
      </c>
      <c r="G926" t="s">
        <v>3102</v>
      </c>
    </row>
    <row r="927" spans="1:7" x14ac:dyDescent="0.25">
      <c r="A927">
        <v>7515</v>
      </c>
      <c r="B927" t="s">
        <v>2242</v>
      </c>
      <c r="C927" t="s">
        <v>3059</v>
      </c>
      <c r="D927">
        <v>39</v>
      </c>
      <c r="E927">
        <v>108</v>
      </c>
      <c r="F927" t="s">
        <v>7</v>
      </c>
      <c r="G927" t="s">
        <v>3064</v>
      </c>
    </row>
    <row r="928" spans="1:7" x14ac:dyDescent="0.25">
      <c r="A928">
        <v>7518</v>
      </c>
      <c r="B928" t="s">
        <v>2243</v>
      </c>
      <c r="C928" t="s">
        <v>3059</v>
      </c>
      <c r="D928">
        <v>42</v>
      </c>
      <c r="E928">
        <v>108</v>
      </c>
      <c r="F928" t="s">
        <v>7</v>
      </c>
      <c r="G928" t="s">
        <v>3064</v>
      </c>
    </row>
    <row r="929" spans="1:7" x14ac:dyDescent="0.25">
      <c r="A929">
        <v>7519</v>
      </c>
      <c r="B929" t="s">
        <v>2244</v>
      </c>
      <c r="C929" t="s">
        <v>3059</v>
      </c>
      <c r="D929">
        <v>2</v>
      </c>
      <c r="E929">
        <v>102.04</v>
      </c>
      <c r="F929" t="s">
        <v>7</v>
      </c>
      <c r="G929" t="s">
        <v>3064</v>
      </c>
    </row>
    <row r="930" spans="1:7" x14ac:dyDescent="0.25">
      <c r="A930">
        <v>7520</v>
      </c>
      <c r="B930" t="s">
        <v>2245</v>
      </c>
      <c r="C930" t="s">
        <v>3059</v>
      </c>
      <c r="D930">
        <v>2</v>
      </c>
      <c r="E930">
        <v>108</v>
      </c>
      <c r="F930" t="s">
        <v>7</v>
      </c>
      <c r="G930" t="s">
        <v>3064</v>
      </c>
    </row>
    <row r="931" spans="1:7" x14ac:dyDescent="0.25">
      <c r="A931">
        <v>7527</v>
      </c>
      <c r="B931" t="s">
        <v>2246</v>
      </c>
      <c r="C931" t="s">
        <v>3059</v>
      </c>
      <c r="D931">
        <v>45</v>
      </c>
      <c r="E931">
        <v>8.5</v>
      </c>
      <c r="F931" t="s">
        <v>7</v>
      </c>
      <c r="G931" t="s">
        <v>3110</v>
      </c>
    </row>
    <row r="932" spans="1:7" x14ac:dyDescent="0.25">
      <c r="A932">
        <v>7528</v>
      </c>
      <c r="B932" t="s">
        <v>2247</v>
      </c>
      <c r="C932" t="s">
        <v>3059</v>
      </c>
      <c r="D932">
        <v>11</v>
      </c>
      <c r="E932">
        <v>6.5</v>
      </c>
      <c r="F932" t="s">
        <v>7</v>
      </c>
      <c r="G932" t="s">
        <v>3110</v>
      </c>
    </row>
    <row r="933" spans="1:7" x14ac:dyDescent="0.25">
      <c r="A933">
        <v>7531</v>
      </c>
      <c r="B933" t="s">
        <v>2248</v>
      </c>
      <c r="C933" t="s">
        <v>3059</v>
      </c>
      <c r="D933">
        <v>82</v>
      </c>
      <c r="E933">
        <v>1.5</v>
      </c>
      <c r="F933" t="s">
        <v>7</v>
      </c>
      <c r="G933" t="s">
        <v>3110</v>
      </c>
    </row>
    <row r="934" spans="1:7" x14ac:dyDescent="0.25">
      <c r="A934">
        <v>7534</v>
      </c>
      <c r="B934" t="s">
        <v>2249</v>
      </c>
      <c r="C934" t="s">
        <v>3059</v>
      </c>
      <c r="D934">
        <v>6</v>
      </c>
      <c r="E934">
        <v>1.9</v>
      </c>
      <c r="F934" t="s">
        <v>7</v>
      </c>
      <c r="G934" t="s">
        <v>3110</v>
      </c>
    </row>
    <row r="935" spans="1:7" x14ac:dyDescent="0.25">
      <c r="A935">
        <v>7536</v>
      </c>
      <c r="B935" t="s">
        <v>2250</v>
      </c>
      <c r="C935" t="s">
        <v>3059</v>
      </c>
      <c r="D935">
        <v>21</v>
      </c>
      <c r="E935">
        <v>3.79</v>
      </c>
      <c r="F935" t="s">
        <v>7</v>
      </c>
      <c r="G935" t="s">
        <v>3110</v>
      </c>
    </row>
    <row r="936" spans="1:7" x14ac:dyDescent="0.25">
      <c r="A936">
        <v>7537</v>
      </c>
      <c r="B936" t="s">
        <v>2251</v>
      </c>
      <c r="C936" t="s">
        <v>3059</v>
      </c>
      <c r="D936">
        <v>9</v>
      </c>
      <c r="E936">
        <v>4.92</v>
      </c>
      <c r="F936" t="s">
        <v>7</v>
      </c>
      <c r="G936" t="s">
        <v>3110</v>
      </c>
    </row>
    <row r="937" spans="1:7" x14ac:dyDescent="0.25">
      <c r="A937">
        <v>7539</v>
      </c>
      <c r="B937" t="s">
        <v>2253</v>
      </c>
      <c r="C937" t="s">
        <v>3059</v>
      </c>
      <c r="D937">
        <v>5</v>
      </c>
      <c r="E937">
        <v>40.39</v>
      </c>
      <c r="F937" t="s">
        <v>7</v>
      </c>
      <c r="G937" t="s">
        <v>3110</v>
      </c>
    </row>
    <row r="938" spans="1:7" x14ac:dyDescent="0.25">
      <c r="A938">
        <v>7542</v>
      </c>
      <c r="B938" t="s">
        <v>2255</v>
      </c>
      <c r="C938" t="s">
        <v>3059</v>
      </c>
      <c r="D938">
        <v>94</v>
      </c>
      <c r="E938">
        <v>16.27</v>
      </c>
      <c r="F938" t="s">
        <v>7</v>
      </c>
      <c r="G938" t="s">
        <v>3110</v>
      </c>
    </row>
    <row r="939" spans="1:7" x14ac:dyDescent="0.25">
      <c r="A939">
        <v>7553</v>
      </c>
      <c r="B939" t="s">
        <v>2257</v>
      </c>
      <c r="C939" t="s">
        <v>3059</v>
      </c>
      <c r="D939">
        <v>2</v>
      </c>
      <c r="E939">
        <v>2.7</v>
      </c>
      <c r="F939" t="s">
        <v>7</v>
      </c>
      <c r="G939" t="s">
        <v>3110</v>
      </c>
    </row>
    <row r="940" spans="1:7" x14ac:dyDescent="0.25">
      <c r="A940">
        <v>7555</v>
      </c>
      <c r="B940" t="s">
        <v>2259</v>
      </c>
      <c r="C940" t="s">
        <v>3059</v>
      </c>
      <c r="D940">
        <v>21</v>
      </c>
      <c r="E940">
        <v>4.87</v>
      </c>
      <c r="F940" t="s">
        <v>7</v>
      </c>
      <c r="G940" t="s">
        <v>3110</v>
      </c>
    </row>
    <row r="941" spans="1:7" x14ac:dyDescent="0.25">
      <c r="A941">
        <v>7558</v>
      </c>
      <c r="B941" t="s">
        <v>2261</v>
      </c>
      <c r="C941" t="s">
        <v>3059</v>
      </c>
      <c r="D941">
        <v>112</v>
      </c>
      <c r="E941">
        <v>3.5</v>
      </c>
      <c r="F941" t="s">
        <v>7</v>
      </c>
      <c r="G941" t="s">
        <v>3110</v>
      </c>
    </row>
    <row r="942" spans="1:7" x14ac:dyDescent="0.25">
      <c r="A942">
        <v>7559</v>
      </c>
      <c r="B942" t="s">
        <v>2262</v>
      </c>
      <c r="C942" t="s">
        <v>3059</v>
      </c>
      <c r="D942">
        <v>523</v>
      </c>
      <c r="E942">
        <v>3.03</v>
      </c>
      <c r="F942" t="s">
        <v>7</v>
      </c>
      <c r="G942" t="s">
        <v>3110</v>
      </c>
    </row>
    <row r="943" spans="1:7" x14ac:dyDescent="0.25">
      <c r="A943">
        <v>7562</v>
      </c>
      <c r="B943" t="s">
        <v>2264</v>
      </c>
      <c r="C943" t="s">
        <v>3059</v>
      </c>
      <c r="D943">
        <v>406</v>
      </c>
      <c r="E943">
        <v>13.29</v>
      </c>
      <c r="F943" t="s">
        <v>7</v>
      </c>
      <c r="G943" t="s">
        <v>3110</v>
      </c>
    </row>
    <row r="944" spans="1:7" x14ac:dyDescent="0.25">
      <c r="A944">
        <v>7563</v>
      </c>
      <c r="B944" t="s">
        <v>2265</v>
      </c>
      <c r="C944" t="s">
        <v>3059</v>
      </c>
      <c r="D944">
        <v>91</v>
      </c>
      <c r="E944">
        <v>1</v>
      </c>
      <c r="F944" t="s">
        <v>7</v>
      </c>
      <c r="G944" t="s">
        <v>3110</v>
      </c>
    </row>
    <row r="945" spans="1:7" x14ac:dyDescent="0.25">
      <c r="A945">
        <v>7564</v>
      </c>
      <c r="B945" t="s">
        <v>2266</v>
      </c>
      <c r="C945" t="s">
        <v>3059</v>
      </c>
      <c r="D945">
        <v>203</v>
      </c>
      <c r="E945">
        <v>6.51</v>
      </c>
      <c r="F945" t="s">
        <v>7</v>
      </c>
      <c r="G945" t="s">
        <v>3110</v>
      </c>
    </row>
    <row r="946" spans="1:7" x14ac:dyDescent="0.25">
      <c r="A946">
        <v>7565</v>
      </c>
      <c r="B946" t="s">
        <v>2267</v>
      </c>
      <c r="C946" t="s">
        <v>3059</v>
      </c>
      <c r="D946">
        <v>272</v>
      </c>
      <c r="E946">
        <v>8.5</v>
      </c>
      <c r="F946" t="s">
        <v>7</v>
      </c>
      <c r="G946" t="s">
        <v>3110</v>
      </c>
    </row>
    <row r="947" spans="1:7" x14ac:dyDescent="0.25">
      <c r="A947">
        <v>7566</v>
      </c>
      <c r="B947" t="s">
        <v>2268</v>
      </c>
      <c r="C947" t="s">
        <v>3059</v>
      </c>
      <c r="D947">
        <v>192</v>
      </c>
      <c r="E947">
        <v>1.5</v>
      </c>
      <c r="F947" t="s">
        <v>7</v>
      </c>
      <c r="G947" t="s">
        <v>3110</v>
      </c>
    </row>
    <row r="948" spans="1:7" x14ac:dyDescent="0.25">
      <c r="A948">
        <v>7567</v>
      </c>
      <c r="B948" t="s">
        <v>2269</v>
      </c>
      <c r="C948" t="s">
        <v>3059</v>
      </c>
      <c r="D948">
        <v>3013</v>
      </c>
      <c r="E948">
        <v>1.5</v>
      </c>
      <c r="F948" t="s">
        <v>7</v>
      </c>
      <c r="G948" t="s">
        <v>3110</v>
      </c>
    </row>
    <row r="949" spans="1:7" x14ac:dyDescent="0.25">
      <c r="A949">
        <v>7568</v>
      </c>
      <c r="B949" t="s">
        <v>2270</v>
      </c>
      <c r="C949" t="s">
        <v>3059</v>
      </c>
      <c r="D949">
        <v>1</v>
      </c>
      <c r="E949">
        <v>12.74</v>
      </c>
      <c r="F949" t="s">
        <v>7</v>
      </c>
      <c r="G949" t="s">
        <v>3110</v>
      </c>
    </row>
    <row r="950" spans="1:7" x14ac:dyDescent="0.25">
      <c r="A950">
        <v>7569</v>
      </c>
      <c r="B950" t="s">
        <v>2271</v>
      </c>
      <c r="C950" t="s">
        <v>3059</v>
      </c>
      <c r="D950">
        <v>9</v>
      </c>
      <c r="E950">
        <v>12</v>
      </c>
      <c r="F950" t="s">
        <v>7</v>
      </c>
      <c r="G950" t="s">
        <v>3110</v>
      </c>
    </row>
    <row r="951" spans="1:7" x14ac:dyDescent="0.25">
      <c r="A951">
        <v>7572</v>
      </c>
      <c r="B951" t="s">
        <v>2272</v>
      </c>
      <c r="C951" t="s">
        <v>3059</v>
      </c>
      <c r="D951">
        <v>14</v>
      </c>
      <c r="E951">
        <v>18.79</v>
      </c>
      <c r="F951" t="s">
        <v>7</v>
      </c>
      <c r="G951" t="s">
        <v>3110</v>
      </c>
    </row>
    <row r="952" spans="1:7" x14ac:dyDescent="0.25">
      <c r="A952">
        <v>7578</v>
      </c>
      <c r="B952" t="s">
        <v>2276</v>
      </c>
      <c r="C952" t="s">
        <v>3059</v>
      </c>
      <c r="D952">
        <v>254</v>
      </c>
      <c r="E952">
        <v>18.78</v>
      </c>
      <c r="F952" t="s">
        <v>7</v>
      </c>
      <c r="G952" t="s">
        <v>3110</v>
      </c>
    </row>
    <row r="953" spans="1:7" x14ac:dyDescent="0.25">
      <c r="A953">
        <v>7583</v>
      </c>
      <c r="B953" t="s">
        <v>2277</v>
      </c>
      <c r="C953" t="s">
        <v>3059</v>
      </c>
      <c r="D953">
        <v>1</v>
      </c>
      <c r="E953">
        <v>25.5</v>
      </c>
      <c r="F953" t="s">
        <v>7</v>
      </c>
      <c r="G953" t="s">
        <v>3110</v>
      </c>
    </row>
    <row r="954" spans="1:7" x14ac:dyDescent="0.25">
      <c r="A954">
        <v>7590</v>
      </c>
      <c r="B954" t="s">
        <v>2278</v>
      </c>
      <c r="C954" t="s">
        <v>3059</v>
      </c>
      <c r="D954">
        <v>158</v>
      </c>
      <c r="E954">
        <v>23</v>
      </c>
      <c r="F954" t="s">
        <v>7</v>
      </c>
      <c r="G954" t="s">
        <v>3110</v>
      </c>
    </row>
    <row r="955" spans="1:7" x14ac:dyDescent="0.25">
      <c r="A955">
        <v>7592</v>
      </c>
      <c r="B955" t="s">
        <v>2279</v>
      </c>
      <c r="C955" t="s">
        <v>3059</v>
      </c>
      <c r="D955">
        <v>82</v>
      </c>
      <c r="E955">
        <v>5.5</v>
      </c>
      <c r="F955" t="s">
        <v>7</v>
      </c>
      <c r="G955" t="s">
        <v>3110</v>
      </c>
    </row>
    <row r="956" spans="1:7" x14ac:dyDescent="0.25">
      <c r="A956">
        <v>7593</v>
      </c>
      <c r="B956" t="s">
        <v>2280</v>
      </c>
      <c r="C956" t="s">
        <v>3059</v>
      </c>
      <c r="D956">
        <v>503</v>
      </c>
      <c r="E956">
        <v>4.95</v>
      </c>
      <c r="F956" t="s">
        <v>7</v>
      </c>
      <c r="G956" t="s">
        <v>3110</v>
      </c>
    </row>
    <row r="957" spans="1:7" x14ac:dyDescent="0.25">
      <c r="A957">
        <v>7607</v>
      </c>
      <c r="B957" t="s">
        <v>2281</v>
      </c>
      <c r="C957" t="s">
        <v>3059</v>
      </c>
      <c r="D957">
        <v>9</v>
      </c>
      <c r="E957">
        <v>7.2</v>
      </c>
      <c r="F957" t="s">
        <v>7</v>
      </c>
      <c r="G957" t="s">
        <v>3103</v>
      </c>
    </row>
    <row r="958" spans="1:7" x14ac:dyDescent="0.25">
      <c r="A958">
        <v>7610</v>
      </c>
      <c r="B958" t="s">
        <v>2282</v>
      </c>
      <c r="C958" t="s">
        <v>3059</v>
      </c>
      <c r="D958">
        <v>4</v>
      </c>
      <c r="E958">
        <v>4</v>
      </c>
      <c r="F958" t="s">
        <v>7</v>
      </c>
      <c r="G958" t="s">
        <v>3114</v>
      </c>
    </row>
    <row r="959" spans="1:7" x14ac:dyDescent="0.25">
      <c r="A959">
        <v>7624</v>
      </c>
      <c r="B959" t="s">
        <v>2286</v>
      </c>
      <c r="C959" t="s">
        <v>3059</v>
      </c>
      <c r="D959">
        <v>126</v>
      </c>
      <c r="E959">
        <v>54.45</v>
      </c>
      <c r="F959" t="s">
        <v>7</v>
      </c>
      <c r="G959" t="s">
        <v>3114</v>
      </c>
    </row>
    <row r="960" spans="1:7" x14ac:dyDescent="0.25">
      <c r="A960">
        <v>7634</v>
      </c>
      <c r="B960" t="s">
        <v>2288</v>
      </c>
      <c r="C960" t="s">
        <v>3059</v>
      </c>
      <c r="D960">
        <v>244</v>
      </c>
      <c r="E960">
        <v>3.5</v>
      </c>
      <c r="F960" t="s">
        <v>7</v>
      </c>
      <c r="G960" t="s">
        <v>3103</v>
      </c>
    </row>
    <row r="961" spans="1:7" x14ac:dyDescent="0.25">
      <c r="A961">
        <v>7636</v>
      </c>
      <c r="B961" t="s">
        <v>2289</v>
      </c>
      <c r="C961" t="s">
        <v>3059</v>
      </c>
      <c r="D961">
        <v>803</v>
      </c>
      <c r="E961">
        <v>23</v>
      </c>
      <c r="F961" t="s">
        <v>7</v>
      </c>
      <c r="G961" t="s">
        <v>3062</v>
      </c>
    </row>
    <row r="962" spans="1:7" x14ac:dyDescent="0.25">
      <c r="A962">
        <v>7642</v>
      </c>
      <c r="B962" t="s">
        <v>2290</v>
      </c>
      <c r="C962" t="s">
        <v>3059</v>
      </c>
      <c r="D962">
        <v>1</v>
      </c>
      <c r="E962">
        <v>439.5</v>
      </c>
      <c r="F962" t="s">
        <v>7</v>
      </c>
      <c r="G962" t="s">
        <v>3064</v>
      </c>
    </row>
    <row r="963" spans="1:7" x14ac:dyDescent="0.25">
      <c r="A963">
        <v>7645</v>
      </c>
      <c r="B963" t="s">
        <v>2291</v>
      </c>
      <c r="C963" t="s">
        <v>3059</v>
      </c>
      <c r="D963">
        <v>6</v>
      </c>
      <c r="E963">
        <v>510</v>
      </c>
      <c r="F963" t="s">
        <v>7</v>
      </c>
      <c r="G963" t="s">
        <v>3064</v>
      </c>
    </row>
    <row r="964" spans="1:7" x14ac:dyDescent="0.25">
      <c r="A964">
        <v>7646</v>
      </c>
      <c r="B964" t="s">
        <v>3207</v>
      </c>
      <c r="C964" t="s">
        <v>3059</v>
      </c>
      <c r="D964">
        <v>8</v>
      </c>
      <c r="E964">
        <v>501.5</v>
      </c>
      <c r="F964" t="s">
        <v>7</v>
      </c>
      <c r="G964" t="s">
        <v>3064</v>
      </c>
    </row>
    <row r="965" spans="1:7" x14ac:dyDescent="0.25">
      <c r="A965">
        <v>7649</v>
      </c>
      <c r="B965" t="s">
        <v>2293</v>
      </c>
      <c r="C965" t="s">
        <v>3059</v>
      </c>
      <c r="D965">
        <v>3</v>
      </c>
      <c r="E965">
        <v>420</v>
      </c>
      <c r="F965" t="s">
        <v>7</v>
      </c>
      <c r="G965" t="s">
        <v>3064</v>
      </c>
    </row>
    <row r="966" spans="1:7" x14ac:dyDescent="0.25">
      <c r="A966">
        <v>7653</v>
      </c>
      <c r="B966" t="s">
        <v>2295</v>
      </c>
      <c r="C966" t="s">
        <v>3059</v>
      </c>
      <c r="D966">
        <v>16</v>
      </c>
      <c r="E966">
        <v>371</v>
      </c>
      <c r="F966" t="s">
        <v>7</v>
      </c>
      <c r="G966" t="s">
        <v>3064</v>
      </c>
    </row>
    <row r="967" spans="1:7" x14ac:dyDescent="0.25">
      <c r="A967">
        <v>7659</v>
      </c>
      <c r="B967" t="s">
        <v>2297</v>
      </c>
      <c r="C967" t="s">
        <v>3059</v>
      </c>
      <c r="D967">
        <v>21</v>
      </c>
      <c r="E967">
        <v>811.37</v>
      </c>
      <c r="F967" t="s">
        <v>7</v>
      </c>
      <c r="G967" t="s">
        <v>3064</v>
      </c>
    </row>
    <row r="968" spans="1:7" x14ac:dyDescent="0.25">
      <c r="A968">
        <v>7672</v>
      </c>
      <c r="B968" t="s">
        <v>2301</v>
      </c>
      <c r="C968" t="s">
        <v>3059</v>
      </c>
      <c r="D968">
        <v>32</v>
      </c>
      <c r="E968">
        <v>15.6</v>
      </c>
      <c r="F968" t="s">
        <v>7</v>
      </c>
      <c r="G968" t="s">
        <v>3103</v>
      </c>
    </row>
    <row r="969" spans="1:7" x14ac:dyDescent="0.25">
      <c r="A969">
        <v>7691</v>
      </c>
      <c r="B969" t="s">
        <v>2302</v>
      </c>
      <c r="C969" t="s">
        <v>3059</v>
      </c>
      <c r="D969">
        <v>3</v>
      </c>
      <c r="E969">
        <v>108.16</v>
      </c>
      <c r="F969" t="s">
        <v>7</v>
      </c>
      <c r="G969" t="s">
        <v>3064</v>
      </c>
    </row>
    <row r="970" spans="1:7" x14ac:dyDescent="0.25">
      <c r="A970">
        <v>7692</v>
      </c>
      <c r="B970" t="s">
        <v>2303</v>
      </c>
      <c r="C970" t="s">
        <v>3059</v>
      </c>
      <c r="D970">
        <v>3</v>
      </c>
      <c r="E970">
        <v>106.7</v>
      </c>
      <c r="F970" t="s">
        <v>7</v>
      </c>
      <c r="G970" t="s">
        <v>3064</v>
      </c>
    </row>
    <row r="971" spans="1:7" x14ac:dyDescent="0.25">
      <c r="A971">
        <v>7694</v>
      </c>
      <c r="B971" t="s">
        <v>2304</v>
      </c>
      <c r="C971" t="s">
        <v>3059</v>
      </c>
      <c r="D971">
        <v>1</v>
      </c>
      <c r="E971">
        <v>115</v>
      </c>
      <c r="F971" t="s">
        <v>7</v>
      </c>
      <c r="G971" t="s">
        <v>3064</v>
      </c>
    </row>
    <row r="972" spans="1:7" x14ac:dyDescent="0.25">
      <c r="A972">
        <v>7695</v>
      </c>
      <c r="B972" t="s">
        <v>2305</v>
      </c>
      <c r="C972" t="s">
        <v>3063</v>
      </c>
      <c r="D972">
        <v>9</v>
      </c>
      <c r="E972">
        <v>115</v>
      </c>
      <c r="F972" t="s">
        <v>7</v>
      </c>
      <c r="G972" t="s">
        <v>3064</v>
      </c>
    </row>
    <row r="973" spans="1:7" x14ac:dyDescent="0.25">
      <c r="A973">
        <v>7701</v>
      </c>
      <c r="B973" t="s">
        <v>2306</v>
      </c>
      <c r="C973" t="s">
        <v>3059</v>
      </c>
      <c r="D973">
        <v>10</v>
      </c>
      <c r="E973">
        <v>185</v>
      </c>
      <c r="F973" t="s">
        <v>7</v>
      </c>
      <c r="G973" t="s">
        <v>3064</v>
      </c>
    </row>
    <row r="974" spans="1:7" x14ac:dyDescent="0.25">
      <c r="A974">
        <v>7728</v>
      </c>
      <c r="B974" t="s">
        <v>2308</v>
      </c>
      <c r="C974" t="s">
        <v>3063</v>
      </c>
      <c r="D974">
        <v>2</v>
      </c>
      <c r="E974">
        <v>250</v>
      </c>
      <c r="F974" t="s">
        <v>7</v>
      </c>
      <c r="G974" t="s">
        <v>3064</v>
      </c>
    </row>
    <row r="975" spans="1:7" x14ac:dyDescent="0.25">
      <c r="A975">
        <v>7729</v>
      </c>
      <c r="B975" t="s">
        <v>2309</v>
      </c>
      <c r="C975" t="s">
        <v>3059</v>
      </c>
      <c r="D975">
        <v>23</v>
      </c>
      <c r="E975">
        <v>550</v>
      </c>
      <c r="F975" t="s">
        <v>7</v>
      </c>
      <c r="G975" t="s">
        <v>3064</v>
      </c>
    </row>
    <row r="976" spans="1:7" x14ac:dyDescent="0.25">
      <c r="A976">
        <v>7854</v>
      </c>
      <c r="B976" t="s">
        <v>2313</v>
      </c>
      <c r="C976" t="s">
        <v>3059</v>
      </c>
      <c r="D976">
        <v>9</v>
      </c>
      <c r="E976">
        <v>510</v>
      </c>
      <c r="F976" t="s">
        <v>7</v>
      </c>
      <c r="G976" t="s">
        <v>3064</v>
      </c>
    </row>
    <row r="977" spans="1:7" x14ac:dyDescent="0.25">
      <c r="A977">
        <v>7855</v>
      </c>
      <c r="B977" t="s">
        <v>2314</v>
      </c>
      <c r="C977" t="s">
        <v>3059</v>
      </c>
      <c r="D977">
        <v>9</v>
      </c>
      <c r="E977">
        <v>507</v>
      </c>
      <c r="F977" t="s">
        <v>7</v>
      </c>
      <c r="G977" t="s">
        <v>3064</v>
      </c>
    </row>
    <row r="978" spans="1:7" x14ac:dyDescent="0.25">
      <c r="A978">
        <v>7856</v>
      </c>
      <c r="B978" t="s">
        <v>2315</v>
      </c>
      <c r="C978" t="s">
        <v>3059</v>
      </c>
      <c r="D978">
        <v>1</v>
      </c>
      <c r="E978">
        <v>42.1</v>
      </c>
      <c r="F978" t="s">
        <v>7</v>
      </c>
      <c r="G978" t="s">
        <v>3103</v>
      </c>
    </row>
    <row r="979" spans="1:7" x14ac:dyDescent="0.25">
      <c r="A979">
        <v>7857</v>
      </c>
      <c r="B979" t="s">
        <v>2316</v>
      </c>
      <c r="C979" t="s">
        <v>3059</v>
      </c>
      <c r="D979">
        <v>15</v>
      </c>
      <c r="E979">
        <v>13.6</v>
      </c>
      <c r="F979" t="s">
        <v>7</v>
      </c>
      <c r="G979" t="s">
        <v>3103</v>
      </c>
    </row>
    <row r="980" spans="1:7" x14ac:dyDescent="0.25">
      <c r="A980">
        <v>7881</v>
      </c>
      <c r="B980" t="s">
        <v>2318</v>
      </c>
      <c r="C980" t="s">
        <v>3059</v>
      </c>
      <c r="D980">
        <v>149</v>
      </c>
      <c r="E980">
        <v>12.32</v>
      </c>
      <c r="F980" t="s">
        <v>7</v>
      </c>
      <c r="G980" t="s">
        <v>3101</v>
      </c>
    </row>
    <row r="981" spans="1:7" x14ac:dyDescent="0.25">
      <c r="A981">
        <v>7883</v>
      </c>
      <c r="B981" t="s">
        <v>2320</v>
      </c>
      <c r="C981" t="s">
        <v>3059</v>
      </c>
      <c r="D981">
        <v>20</v>
      </c>
      <c r="E981">
        <v>13.91</v>
      </c>
      <c r="F981" t="s">
        <v>7</v>
      </c>
      <c r="G981" t="s">
        <v>3101</v>
      </c>
    </row>
    <row r="982" spans="1:7" x14ac:dyDescent="0.25">
      <c r="A982">
        <v>7895</v>
      </c>
      <c r="B982" t="s">
        <v>2321</v>
      </c>
      <c r="C982" t="s">
        <v>3059</v>
      </c>
      <c r="D982">
        <v>237</v>
      </c>
      <c r="E982">
        <v>181.38</v>
      </c>
      <c r="F982" t="s">
        <v>7</v>
      </c>
      <c r="G982" t="s">
        <v>3101</v>
      </c>
    </row>
    <row r="983" spans="1:7" x14ac:dyDescent="0.25">
      <c r="A983">
        <v>7902</v>
      </c>
      <c r="B983" t="s">
        <v>2322</v>
      </c>
      <c r="C983" t="s">
        <v>3059</v>
      </c>
      <c r="D983">
        <v>50</v>
      </c>
      <c r="E983">
        <v>7.8</v>
      </c>
      <c r="F983" t="s">
        <v>7</v>
      </c>
      <c r="G983" t="s">
        <v>3103</v>
      </c>
    </row>
    <row r="984" spans="1:7" x14ac:dyDescent="0.25">
      <c r="A984">
        <v>7904</v>
      </c>
      <c r="B984" t="s">
        <v>2323</v>
      </c>
      <c r="C984" t="s">
        <v>3059</v>
      </c>
      <c r="D984">
        <v>85</v>
      </c>
      <c r="E984">
        <v>8.9</v>
      </c>
      <c r="F984" t="s">
        <v>7</v>
      </c>
      <c r="G984" t="s">
        <v>3103</v>
      </c>
    </row>
    <row r="985" spans="1:7" x14ac:dyDescent="0.25">
      <c r="A985">
        <v>7905</v>
      </c>
      <c r="B985" t="s">
        <v>3208</v>
      </c>
      <c r="C985" t="s">
        <v>3059</v>
      </c>
      <c r="D985">
        <v>88</v>
      </c>
      <c r="E985">
        <v>9.5</v>
      </c>
      <c r="F985" t="s">
        <v>7</v>
      </c>
      <c r="G985" t="s">
        <v>3103</v>
      </c>
    </row>
    <row r="986" spans="1:7" x14ac:dyDescent="0.25">
      <c r="A986">
        <v>7907</v>
      </c>
      <c r="B986" t="s">
        <v>2325</v>
      </c>
      <c r="C986" t="s">
        <v>3059</v>
      </c>
      <c r="D986">
        <v>21</v>
      </c>
      <c r="E986">
        <v>2.1</v>
      </c>
      <c r="F986" t="s">
        <v>7</v>
      </c>
      <c r="G986" t="s">
        <v>3103</v>
      </c>
    </row>
    <row r="987" spans="1:7" x14ac:dyDescent="0.25">
      <c r="A987">
        <v>7908</v>
      </c>
      <c r="B987" t="s">
        <v>2326</v>
      </c>
      <c r="C987" t="s">
        <v>3059</v>
      </c>
      <c r="D987">
        <v>18</v>
      </c>
      <c r="E987">
        <v>2.4</v>
      </c>
      <c r="F987" t="s">
        <v>7</v>
      </c>
      <c r="G987" t="s">
        <v>3103</v>
      </c>
    </row>
    <row r="988" spans="1:7" x14ac:dyDescent="0.25">
      <c r="A988">
        <v>7909</v>
      </c>
      <c r="B988" t="s">
        <v>2327</v>
      </c>
      <c r="C988" t="s">
        <v>3059</v>
      </c>
      <c r="D988">
        <v>41</v>
      </c>
      <c r="E988">
        <v>2.1</v>
      </c>
      <c r="F988" t="s">
        <v>7</v>
      </c>
      <c r="G988" t="s">
        <v>3103</v>
      </c>
    </row>
    <row r="989" spans="1:7" x14ac:dyDescent="0.25">
      <c r="A989">
        <v>7913</v>
      </c>
      <c r="B989" t="s">
        <v>2330</v>
      </c>
      <c r="C989" t="s">
        <v>3059</v>
      </c>
      <c r="D989">
        <v>12</v>
      </c>
      <c r="E989">
        <v>58.2</v>
      </c>
      <c r="F989" t="s">
        <v>7</v>
      </c>
      <c r="G989" t="s">
        <v>3103</v>
      </c>
    </row>
    <row r="990" spans="1:7" x14ac:dyDescent="0.25">
      <c r="A990">
        <v>7914</v>
      </c>
      <c r="B990" t="s">
        <v>2331</v>
      </c>
      <c r="C990" t="s">
        <v>3059</v>
      </c>
      <c r="D990">
        <v>12</v>
      </c>
      <c r="E990">
        <v>39.4</v>
      </c>
      <c r="F990" t="s">
        <v>7</v>
      </c>
      <c r="G990" t="s">
        <v>3103</v>
      </c>
    </row>
    <row r="991" spans="1:7" x14ac:dyDescent="0.25">
      <c r="A991">
        <v>7915</v>
      </c>
      <c r="B991" t="s">
        <v>2332</v>
      </c>
      <c r="C991" t="s">
        <v>3059</v>
      </c>
      <c r="D991">
        <v>22</v>
      </c>
      <c r="E991">
        <v>19.600000000000001</v>
      </c>
      <c r="F991" t="s">
        <v>7</v>
      </c>
      <c r="G991" t="s">
        <v>3103</v>
      </c>
    </row>
    <row r="992" spans="1:7" x14ac:dyDescent="0.25">
      <c r="A992">
        <v>7916</v>
      </c>
      <c r="B992" t="s">
        <v>2333</v>
      </c>
      <c r="C992" t="s">
        <v>3059</v>
      </c>
      <c r="D992">
        <v>16</v>
      </c>
      <c r="E992">
        <v>18.899999999999999</v>
      </c>
      <c r="F992" t="s">
        <v>7</v>
      </c>
      <c r="G992" t="s">
        <v>3103</v>
      </c>
    </row>
    <row r="993" spans="1:7" x14ac:dyDescent="0.25">
      <c r="A993">
        <v>7917</v>
      </c>
      <c r="B993" t="s">
        <v>2334</v>
      </c>
      <c r="C993" t="s">
        <v>3059</v>
      </c>
      <c r="D993">
        <v>138</v>
      </c>
      <c r="E993">
        <v>14.2</v>
      </c>
      <c r="F993" t="s">
        <v>7</v>
      </c>
      <c r="G993" t="s">
        <v>3103</v>
      </c>
    </row>
    <row r="994" spans="1:7" x14ac:dyDescent="0.25">
      <c r="A994">
        <v>7918</v>
      </c>
      <c r="B994" t="s">
        <v>2335</v>
      </c>
      <c r="C994" t="s">
        <v>3059</v>
      </c>
      <c r="D994">
        <v>72</v>
      </c>
      <c r="E994">
        <v>17.7</v>
      </c>
      <c r="F994" t="s">
        <v>7</v>
      </c>
      <c r="G994" t="s">
        <v>3103</v>
      </c>
    </row>
    <row r="995" spans="1:7" x14ac:dyDescent="0.25">
      <c r="A995">
        <v>7919</v>
      </c>
      <c r="B995" t="s">
        <v>2336</v>
      </c>
      <c r="C995" t="s">
        <v>3059</v>
      </c>
      <c r="D995">
        <v>104</v>
      </c>
      <c r="E995">
        <v>18.899999999999999</v>
      </c>
      <c r="F995" t="s">
        <v>7</v>
      </c>
      <c r="G995" t="s">
        <v>3103</v>
      </c>
    </row>
    <row r="996" spans="1:7" x14ac:dyDescent="0.25">
      <c r="A996">
        <v>7920</v>
      </c>
      <c r="B996" t="s">
        <v>2337</v>
      </c>
      <c r="C996" t="s">
        <v>3059</v>
      </c>
      <c r="D996">
        <v>50</v>
      </c>
      <c r="E996">
        <v>7.6</v>
      </c>
      <c r="F996" t="s">
        <v>7</v>
      </c>
      <c r="G996" t="s">
        <v>3103</v>
      </c>
    </row>
    <row r="997" spans="1:7" x14ac:dyDescent="0.25">
      <c r="A997">
        <v>7921</v>
      </c>
      <c r="B997" t="s">
        <v>2338</v>
      </c>
      <c r="C997" t="s">
        <v>3059</v>
      </c>
      <c r="D997">
        <v>53</v>
      </c>
      <c r="E997">
        <v>6.7</v>
      </c>
      <c r="F997" t="s">
        <v>7</v>
      </c>
      <c r="G997" t="s">
        <v>3103</v>
      </c>
    </row>
    <row r="998" spans="1:7" x14ac:dyDescent="0.25">
      <c r="A998">
        <v>7923</v>
      </c>
      <c r="B998" t="s">
        <v>2339</v>
      </c>
      <c r="C998" t="s">
        <v>3059</v>
      </c>
      <c r="D998">
        <v>1</v>
      </c>
      <c r="E998">
        <v>7</v>
      </c>
      <c r="F998" t="s">
        <v>7</v>
      </c>
      <c r="G998" t="s">
        <v>3103</v>
      </c>
    </row>
    <row r="999" spans="1:7" x14ac:dyDescent="0.25">
      <c r="A999">
        <v>7931</v>
      </c>
      <c r="B999" t="s">
        <v>2343</v>
      </c>
      <c r="C999" t="s">
        <v>3059</v>
      </c>
      <c r="D999">
        <v>36</v>
      </c>
      <c r="E999">
        <v>4.0999999999999996</v>
      </c>
      <c r="F999" t="s">
        <v>7</v>
      </c>
      <c r="G999" t="s">
        <v>3103</v>
      </c>
    </row>
    <row r="1000" spans="1:7" x14ac:dyDescent="0.25">
      <c r="A1000">
        <v>7932</v>
      </c>
      <c r="B1000" t="s">
        <v>2344</v>
      </c>
      <c r="C1000" t="s">
        <v>3059</v>
      </c>
      <c r="D1000">
        <v>1</v>
      </c>
      <c r="E1000">
        <v>4.0999999999999996</v>
      </c>
      <c r="F1000" t="s">
        <v>7</v>
      </c>
      <c r="G1000" t="s">
        <v>3103</v>
      </c>
    </row>
    <row r="1001" spans="1:7" x14ac:dyDescent="0.25">
      <c r="A1001">
        <v>7935</v>
      </c>
      <c r="B1001" t="s">
        <v>2347</v>
      </c>
      <c r="C1001" t="s">
        <v>3059</v>
      </c>
      <c r="D1001">
        <v>35</v>
      </c>
      <c r="E1001">
        <v>4.2</v>
      </c>
      <c r="F1001" t="s">
        <v>7</v>
      </c>
      <c r="G1001" t="s">
        <v>3103</v>
      </c>
    </row>
    <row r="1002" spans="1:7" x14ac:dyDescent="0.25">
      <c r="A1002">
        <v>7942</v>
      </c>
      <c r="B1002" t="s">
        <v>2351</v>
      </c>
      <c r="C1002" t="s">
        <v>3059</v>
      </c>
      <c r="D1002">
        <v>84</v>
      </c>
      <c r="E1002">
        <v>4.0999999999999996</v>
      </c>
      <c r="F1002" t="s">
        <v>7</v>
      </c>
      <c r="G1002" t="s">
        <v>3103</v>
      </c>
    </row>
    <row r="1003" spans="1:7" x14ac:dyDescent="0.25">
      <c r="A1003">
        <v>7943</v>
      </c>
      <c r="B1003" t="s">
        <v>2352</v>
      </c>
      <c r="C1003" t="s">
        <v>3059</v>
      </c>
      <c r="D1003">
        <v>1</v>
      </c>
      <c r="E1003">
        <v>4.0999999999999996</v>
      </c>
      <c r="F1003" t="s">
        <v>7</v>
      </c>
      <c r="G1003" t="s">
        <v>3103</v>
      </c>
    </row>
    <row r="1004" spans="1:7" x14ac:dyDescent="0.25">
      <c r="A1004">
        <v>7944</v>
      </c>
      <c r="B1004" t="s">
        <v>2353</v>
      </c>
      <c r="C1004" t="s">
        <v>3059</v>
      </c>
      <c r="D1004">
        <v>13</v>
      </c>
      <c r="E1004">
        <v>4.0999999999999996</v>
      </c>
      <c r="F1004" t="s">
        <v>7</v>
      </c>
      <c r="G1004" t="s">
        <v>3103</v>
      </c>
    </row>
    <row r="1005" spans="1:7" x14ac:dyDescent="0.25">
      <c r="A1005">
        <v>7946</v>
      </c>
      <c r="B1005" t="s">
        <v>2354</v>
      </c>
      <c r="C1005" t="s">
        <v>3059</v>
      </c>
      <c r="D1005">
        <v>96</v>
      </c>
      <c r="E1005">
        <v>4.2</v>
      </c>
      <c r="F1005" t="s">
        <v>7</v>
      </c>
      <c r="G1005" t="s">
        <v>3103</v>
      </c>
    </row>
    <row r="1006" spans="1:7" x14ac:dyDescent="0.25">
      <c r="A1006">
        <v>7964</v>
      </c>
      <c r="B1006" t="s">
        <v>2356</v>
      </c>
      <c r="C1006" t="s">
        <v>3059</v>
      </c>
      <c r="D1006">
        <v>729</v>
      </c>
      <c r="E1006">
        <v>51</v>
      </c>
      <c r="F1006" t="s">
        <v>7</v>
      </c>
      <c r="G1006" t="s">
        <v>3064</v>
      </c>
    </row>
    <row r="1007" spans="1:7" x14ac:dyDescent="0.25">
      <c r="A1007">
        <v>7989</v>
      </c>
      <c r="B1007" t="s">
        <v>2357</v>
      </c>
      <c r="C1007" t="s">
        <v>3059</v>
      </c>
      <c r="D1007">
        <v>40</v>
      </c>
      <c r="E1007">
        <v>14</v>
      </c>
      <c r="F1007" t="s">
        <v>7</v>
      </c>
      <c r="G1007" t="s">
        <v>3114</v>
      </c>
    </row>
    <row r="1008" spans="1:7" x14ac:dyDescent="0.25">
      <c r="A1008">
        <v>8023</v>
      </c>
      <c r="B1008" t="s">
        <v>2359</v>
      </c>
      <c r="C1008" t="s">
        <v>3059</v>
      </c>
      <c r="D1008">
        <v>10</v>
      </c>
      <c r="E1008">
        <v>365</v>
      </c>
      <c r="F1008" t="s">
        <v>7</v>
      </c>
      <c r="G1008" t="s">
        <v>3062</v>
      </c>
    </row>
    <row r="1009" spans="1:7" x14ac:dyDescent="0.25">
      <c r="A1009">
        <v>8053</v>
      </c>
      <c r="B1009" t="s">
        <v>2361</v>
      </c>
      <c r="C1009" t="s">
        <v>3059</v>
      </c>
      <c r="D1009">
        <v>150</v>
      </c>
      <c r="E1009">
        <v>0.6</v>
      </c>
      <c r="F1009" t="s">
        <v>3061</v>
      </c>
      <c r="G1009" t="s">
        <v>3102</v>
      </c>
    </row>
    <row r="1010" spans="1:7" x14ac:dyDescent="0.25">
      <c r="A1010">
        <v>8054</v>
      </c>
      <c r="B1010" t="s">
        <v>2362</v>
      </c>
      <c r="C1010" t="s">
        <v>3059</v>
      </c>
      <c r="D1010">
        <v>12</v>
      </c>
      <c r="E1010">
        <v>26.95</v>
      </c>
      <c r="F1010" t="s">
        <v>7</v>
      </c>
      <c r="G1010" t="s">
        <v>3102</v>
      </c>
    </row>
    <row r="1011" spans="1:7" x14ac:dyDescent="0.25">
      <c r="A1011">
        <v>8055</v>
      </c>
      <c r="B1011" t="s">
        <v>2363</v>
      </c>
      <c r="C1011" t="s">
        <v>3059</v>
      </c>
      <c r="D1011">
        <v>21</v>
      </c>
      <c r="E1011">
        <v>44.64</v>
      </c>
      <c r="F1011" t="s">
        <v>7</v>
      </c>
      <c r="G1011" t="s">
        <v>3102</v>
      </c>
    </row>
    <row r="1012" spans="1:7" x14ac:dyDescent="0.25">
      <c r="A1012">
        <v>8069</v>
      </c>
      <c r="B1012" t="s">
        <v>2366</v>
      </c>
      <c r="C1012" t="s">
        <v>3059</v>
      </c>
      <c r="D1012">
        <v>2</v>
      </c>
      <c r="E1012">
        <v>108</v>
      </c>
      <c r="F1012" t="s">
        <v>7</v>
      </c>
      <c r="G1012" t="s">
        <v>3064</v>
      </c>
    </row>
    <row r="1013" spans="1:7" x14ac:dyDescent="0.25">
      <c r="A1013">
        <v>8074</v>
      </c>
      <c r="B1013" t="s">
        <v>2367</v>
      </c>
      <c r="C1013" t="s">
        <v>3059</v>
      </c>
      <c r="D1013">
        <v>12</v>
      </c>
      <c r="E1013">
        <v>6.15</v>
      </c>
      <c r="F1013" t="s">
        <v>7</v>
      </c>
      <c r="G1013" t="s">
        <v>3110</v>
      </c>
    </row>
    <row r="1014" spans="1:7" x14ac:dyDescent="0.25">
      <c r="A1014">
        <v>8075</v>
      </c>
      <c r="B1014" t="s">
        <v>2368</v>
      </c>
      <c r="C1014" t="s">
        <v>3059</v>
      </c>
      <c r="D1014">
        <v>66</v>
      </c>
      <c r="E1014">
        <v>3.5</v>
      </c>
      <c r="F1014" t="s">
        <v>7</v>
      </c>
      <c r="G1014" t="s">
        <v>3110</v>
      </c>
    </row>
    <row r="1015" spans="1:7" x14ac:dyDescent="0.25">
      <c r="A1015">
        <v>8076</v>
      </c>
      <c r="B1015" t="s">
        <v>2369</v>
      </c>
      <c r="C1015" t="s">
        <v>3059</v>
      </c>
      <c r="D1015">
        <v>70</v>
      </c>
      <c r="E1015">
        <v>2.81</v>
      </c>
      <c r="F1015" t="s">
        <v>7</v>
      </c>
      <c r="G1015" t="s">
        <v>3110</v>
      </c>
    </row>
    <row r="1016" spans="1:7" x14ac:dyDescent="0.25">
      <c r="A1016">
        <v>8077</v>
      </c>
      <c r="B1016" t="s">
        <v>2370</v>
      </c>
      <c r="C1016" t="s">
        <v>3059</v>
      </c>
      <c r="D1016">
        <v>15</v>
      </c>
      <c r="E1016">
        <v>6.54</v>
      </c>
      <c r="F1016" t="s">
        <v>7</v>
      </c>
      <c r="G1016" t="s">
        <v>3110</v>
      </c>
    </row>
    <row r="1017" spans="1:7" x14ac:dyDescent="0.25">
      <c r="A1017">
        <v>8078</v>
      </c>
      <c r="B1017" t="s">
        <v>2371</v>
      </c>
      <c r="C1017" t="s">
        <v>3059</v>
      </c>
      <c r="D1017">
        <v>47</v>
      </c>
      <c r="E1017">
        <v>3.79</v>
      </c>
      <c r="F1017" t="s">
        <v>7</v>
      </c>
      <c r="G1017" t="s">
        <v>3110</v>
      </c>
    </row>
    <row r="1018" spans="1:7" x14ac:dyDescent="0.25">
      <c r="A1018">
        <v>8081</v>
      </c>
      <c r="B1018" t="s">
        <v>2372</v>
      </c>
      <c r="C1018" t="s">
        <v>3059</v>
      </c>
      <c r="D1018">
        <v>41</v>
      </c>
      <c r="E1018">
        <v>18</v>
      </c>
      <c r="F1018" t="s">
        <v>7</v>
      </c>
      <c r="G1018" t="s">
        <v>3110</v>
      </c>
    </row>
    <row r="1019" spans="1:7" x14ac:dyDescent="0.25">
      <c r="A1019">
        <v>8089</v>
      </c>
      <c r="B1019" t="s">
        <v>2377</v>
      </c>
      <c r="C1019" t="s">
        <v>3059</v>
      </c>
      <c r="D1019">
        <v>9</v>
      </c>
      <c r="E1019">
        <v>356.7</v>
      </c>
      <c r="F1019" t="s">
        <v>7</v>
      </c>
      <c r="G1019" t="s">
        <v>3073</v>
      </c>
    </row>
    <row r="1020" spans="1:7" x14ac:dyDescent="0.25">
      <c r="A1020">
        <v>8119</v>
      </c>
      <c r="B1020" t="s">
        <v>2380</v>
      </c>
      <c r="C1020" t="s">
        <v>3059</v>
      </c>
      <c r="D1020">
        <v>33</v>
      </c>
      <c r="E1020">
        <v>20.8</v>
      </c>
      <c r="F1020" t="s">
        <v>7</v>
      </c>
      <c r="G1020" t="s">
        <v>3103</v>
      </c>
    </row>
    <row r="1021" spans="1:7" x14ac:dyDescent="0.25">
      <c r="A1021">
        <v>8127</v>
      </c>
      <c r="B1021" t="s">
        <v>2381</v>
      </c>
      <c r="C1021" t="s">
        <v>3059</v>
      </c>
      <c r="D1021">
        <v>15</v>
      </c>
      <c r="E1021">
        <v>52</v>
      </c>
      <c r="F1021" t="s">
        <v>7</v>
      </c>
      <c r="G1021" t="s">
        <v>3103</v>
      </c>
    </row>
    <row r="1022" spans="1:7" x14ac:dyDescent="0.25">
      <c r="A1022">
        <v>8132</v>
      </c>
      <c r="B1022" t="s">
        <v>2383</v>
      </c>
      <c r="C1022" t="s">
        <v>3059</v>
      </c>
      <c r="D1022">
        <v>56</v>
      </c>
      <c r="E1022">
        <v>11</v>
      </c>
      <c r="F1022" t="s">
        <v>7</v>
      </c>
      <c r="G1022" t="s">
        <v>3103</v>
      </c>
    </row>
    <row r="1023" spans="1:7" x14ac:dyDescent="0.25">
      <c r="A1023">
        <v>8137</v>
      </c>
      <c r="B1023" t="s">
        <v>2385</v>
      </c>
      <c r="C1023" t="s">
        <v>3059</v>
      </c>
      <c r="D1023">
        <v>2</v>
      </c>
      <c r="E1023">
        <v>26</v>
      </c>
      <c r="F1023" t="s">
        <v>7</v>
      </c>
      <c r="G1023" t="s">
        <v>3103</v>
      </c>
    </row>
    <row r="1024" spans="1:7" x14ac:dyDescent="0.25">
      <c r="A1024">
        <v>8141</v>
      </c>
      <c r="B1024" t="s">
        <v>2387</v>
      </c>
      <c r="C1024" t="s">
        <v>3059</v>
      </c>
      <c r="D1024">
        <v>2</v>
      </c>
      <c r="E1024">
        <v>6.7</v>
      </c>
      <c r="F1024" t="s">
        <v>7</v>
      </c>
      <c r="G1024" t="s">
        <v>3103</v>
      </c>
    </row>
    <row r="1025" spans="1:7" x14ac:dyDescent="0.25">
      <c r="A1025">
        <v>8150</v>
      </c>
      <c r="B1025" t="s">
        <v>2390</v>
      </c>
      <c r="C1025" t="s">
        <v>3059</v>
      </c>
      <c r="D1025">
        <v>73</v>
      </c>
      <c r="E1025">
        <v>2.8</v>
      </c>
      <c r="F1025" t="s">
        <v>7</v>
      </c>
      <c r="G1025" t="s">
        <v>3110</v>
      </c>
    </row>
    <row r="1026" spans="1:7" x14ac:dyDescent="0.25">
      <c r="A1026">
        <v>8154</v>
      </c>
      <c r="B1026" t="s">
        <v>2392</v>
      </c>
      <c r="C1026" t="s">
        <v>3059</v>
      </c>
      <c r="D1026">
        <v>105</v>
      </c>
      <c r="E1026">
        <v>57.82</v>
      </c>
      <c r="F1026" t="s">
        <v>7</v>
      </c>
      <c r="G1026" t="s">
        <v>3073</v>
      </c>
    </row>
    <row r="1027" spans="1:7" x14ac:dyDescent="0.25">
      <c r="A1027">
        <v>8159</v>
      </c>
      <c r="B1027" t="s">
        <v>2394</v>
      </c>
      <c r="C1027" t="s">
        <v>3059</v>
      </c>
      <c r="D1027">
        <v>95</v>
      </c>
      <c r="E1027">
        <v>6.71</v>
      </c>
      <c r="F1027" t="s">
        <v>7</v>
      </c>
      <c r="G1027" t="s">
        <v>3073</v>
      </c>
    </row>
    <row r="1028" spans="1:7" x14ac:dyDescent="0.25">
      <c r="A1028">
        <v>8163</v>
      </c>
      <c r="B1028" t="s">
        <v>2396</v>
      </c>
      <c r="C1028" t="s">
        <v>3059</v>
      </c>
      <c r="D1028">
        <v>54</v>
      </c>
      <c r="E1028">
        <v>8.25</v>
      </c>
      <c r="F1028" t="s">
        <v>7</v>
      </c>
      <c r="G1028" t="s">
        <v>3073</v>
      </c>
    </row>
    <row r="1029" spans="1:7" x14ac:dyDescent="0.25">
      <c r="A1029">
        <v>8166</v>
      </c>
      <c r="B1029" t="s">
        <v>2397</v>
      </c>
      <c r="C1029" t="s">
        <v>3059</v>
      </c>
      <c r="D1029">
        <v>74</v>
      </c>
      <c r="E1029">
        <v>58</v>
      </c>
      <c r="F1029" t="s">
        <v>7</v>
      </c>
      <c r="G1029" t="s">
        <v>3073</v>
      </c>
    </row>
    <row r="1030" spans="1:7" x14ac:dyDescent="0.25">
      <c r="A1030">
        <v>8167</v>
      </c>
      <c r="B1030" t="s">
        <v>2398</v>
      </c>
      <c r="C1030" t="s">
        <v>3059</v>
      </c>
      <c r="D1030">
        <v>44</v>
      </c>
      <c r="E1030">
        <v>35.17</v>
      </c>
      <c r="F1030" t="s">
        <v>7</v>
      </c>
      <c r="G1030" t="s">
        <v>3073</v>
      </c>
    </row>
    <row r="1031" spans="1:7" x14ac:dyDescent="0.25">
      <c r="A1031">
        <v>8172</v>
      </c>
      <c r="B1031" t="s">
        <v>2399</v>
      </c>
      <c r="C1031" t="s">
        <v>3059</v>
      </c>
      <c r="D1031">
        <v>22</v>
      </c>
      <c r="E1031">
        <v>39.520000000000003</v>
      </c>
      <c r="F1031" t="s">
        <v>7</v>
      </c>
      <c r="G1031" t="s">
        <v>3073</v>
      </c>
    </row>
    <row r="1032" spans="1:7" x14ac:dyDescent="0.25">
      <c r="A1032">
        <v>8174</v>
      </c>
      <c r="B1032" t="s">
        <v>2401</v>
      </c>
      <c r="C1032" t="s">
        <v>3059</v>
      </c>
      <c r="D1032">
        <v>1242</v>
      </c>
      <c r="E1032">
        <v>3.65</v>
      </c>
      <c r="F1032" t="s">
        <v>7</v>
      </c>
      <c r="G1032" t="s">
        <v>3073</v>
      </c>
    </row>
    <row r="1033" spans="1:7" x14ac:dyDescent="0.25">
      <c r="A1033">
        <v>8178</v>
      </c>
      <c r="B1033" t="s">
        <v>2403</v>
      </c>
      <c r="C1033" t="s">
        <v>3059</v>
      </c>
      <c r="D1033">
        <v>18</v>
      </c>
      <c r="E1033">
        <v>23.44</v>
      </c>
      <c r="F1033" t="s">
        <v>7</v>
      </c>
      <c r="G1033" t="s">
        <v>3073</v>
      </c>
    </row>
    <row r="1034" spans="1:7" x14ac:dyDescent="0.25">
      <c r="A1034">
        <v>8179</v>
      </c>
      <c r="B1034" t="s">
        <v>2404</v>
      </c>
      <c r="C1034" t="s">
        <v>3059</v>
      </c>
      <c r="D1034">
        <v>29</v>
      </c>
      <c r="E1034">
        <v>21.11</v>
      </c>
      <c r="F1034" t="s">
        <v>7</v>
      </c>
      <c r="G1034" t="s">
        <v>3073</v>
      </c>
    </row>
    <row r="1035" spans="1:7" x14ac:dyDescent="0.25">
      <c r="A1035">
        <v>8180</v>
      </c>
      <c r="B1035" t="s">
        <v>2405</v>
      </c>
      <c r="C1035" t="s">
        <v>3059</v>
      </c>
      <c r="D1035">
        <v>80</v>
      </c>
      <c r="E1035">
        <v>3.5</v>
      </c>
      <c r="F1035" t="s">
        <v>7</v>
      </c>
      <c r="G1035" t="s">
        <v>3073</v>
      </c>
    </row>
    <row r="1036" spans="1:7" x14ac:dyDescent="0.25">
      <c r="A1036">
        <v>8183</v>
      </c>
      <c r="B1036" t="s">
        <v>2406</v>
      </c>
      <c r="C1036" t="s">
        <v>3059</v>
      </c>
      <c r="D1036">
        <v>38</v>
      </c>
      <c r="E1036">
        <v>30.46</v>
      </c>
      <c r="F1036" t="s">
        <v>7</v>
      </c>
      <c r="G1036" t="s">
        <v>3073</v>
      </c>
    </row>
    <row r="1037" spans="1:7" x14ac:dyDescent="0.25">
      <c r="A1037">
        <v>8184</v>
      </c>
      <c r="B1037" t="s">
        <v>2407</v>
      </c>
      <c r="C1037" t="s">
        <v>3059</v>
      </c>
      <c r="D1037">
        <v>167</v>
      </c>
      <c r="E1037">
        <v>25.81</v>
      </c>
      <c r="F1037" t="s">
        <v>7</v>
      </c>
      <c r="G1037" t="s">
        <v>3073</v>
      </c>
    </row>
    <row r="1038" spans="1:7" x14ac:dyDescent="0.25">
      <c r="A1038">
        <v>8185</v>
      </c>
      <c r="B1038" t="s">
        <v>2408</v>
      </c>
      <c r="C1038" t="s">
        <v>3059</v>
      </c>
      <c r="D1038">
        <v>107</v>
      </c>
      <c r="E1038">
        <v>5.72</v>
      </c>
      <c r="F1038" t="s">
        <v>7</v>
      </c>
      <c r="G1038" t="s">
        <v>3073</v>
      </c>
    </row>
    <row r="1039" spans="1:7" x14ac:dyDescent="0.25">
      <c r="A1039">
        <v>8186</v>
      </c>
      <c r="B1039" t="s">
        <v>2409</v>
      </c>
      <c r="C1039" t="s">
        <v>3059</v>
      </c>
      <c r="D1039">
        <v>102</v>
      </c>
      <c r="E1039">
        <v>13.72</v>
      </c>
      <c r="F1039" t="s">
        <v>7</v>
      </c>
      <c r="G1039" t="s">
        <v>3073</v>
      </c>
    </row>
    <row r="1040" spans="1:7" x14ac:dyDescent="0.25">
      <c r="A1040">
        <v>8208</v>
      </c>
      <c r="B1040" t="s">
        <v>2412</v>
      </c>
      <c r="C1040" t="s">
        <v>3059</v>
      </c>
      <c r="D1040">
        <v>18</v>
      </c>
      <c r="E1040">
        <v>40</v>
      </c>
      <c r="F1040" t="s">
        <v>7</v>
      </c>
      <c r="G1040" t="s">
        <v>3210</v>
      </c>
    </row>
    <row r="1041" spans="1:7" x14ac:dyDescent="0.25">
      <c r="A1041">
        <v>8462</v>
      </c>
      <c r="B1041" t="s">
        <v>2414</v>
      </c>
      <c r="C1041" t="s">
        <v>3059</v>
      </c>
      <c r="D1041">
        <v>1</v>
      </c>
      <c r="E1041">
        <v>22</v>
      </c>
      <c r="F1041" t="s">
        <v>7</v>
      </c>
      <c r="G1041" t="s">
        <v>3115</v>
      </c>
    </row>
    <row r="1042" spans="1:7" x14ac:dyDescent="0.25">
      <c r="A1042">
        <v>8472</v>
      </c>
      <c r="B1042" t="s">
        <v>2415</v>
      </c>
      <c r="C1042" t="s">
        <v>3059</v>
      </c>
      <c r="D1042">
        <v>91</v>
      </c>
      <c r="E1042">
        <v>2</v>
      </c>
      <c r="F1042" t="s">
        <v>7</v>
      </c>
      <c r="G1042" t="s">
        <v>3101</v>
      </c>
    </row>
    <row r="1043" spans="1:7" x14ac:dyDescent="0.25">
      <c r="A1043">
        <v>8495</v>
      </c>
      <c r="B1043" t="s">
        <v>2417</v>
      </c>
      <c r="C1043" t="s">
        <v>3059</v>
      </c>
      <c r="D1043">
        <v>1</v>
      </c>
      <c r="E1043">
        <v>659.88</v>
      </c>
      <c r="F1043" t="s">
        <v>7</v>
      </c>
      <c r="G1043" t="s">
        <v>3103</v>
      </c>
    </row>
    <row r="1044" spans="1:7" x14ac:dyDescent="0.25">
      <c r="A1044">
        <v>8502</v>
      </c>
      <c r="B1044" t="s">
        <v>2418</v>
      </c>
      <c r="C1044" t="s">
        <v>3059</v>
      </c>
      <c r="D1044">
        <v>233</v>
      </c>
      <c r="E1044">
        <v>24.55</v>
      </c>
      <c r="F1044" t="s">
        <v>7</v>
      </c>
      <c r="G1044" t="s">
        <v>3073</v>
      </c>
    </row>
    <row r="1045" spans="1:7" x14ac:dyDescent="0.25">
      <c r="A1045">
        <v>8503</v>
      </c>
      <c r="B1045" t="s">
        <v>2419</v>
      </c>
      <c r="C1045" t="s">
        <v>3059</v>
      </c>
      <c r="D1045">
        <v>517</v>
      </c>
      <c r="E1045">
        <v>42.63</v>
      </c>
      <c r="F1045" t="s">
        <v>7</v>
      </c>
      <c r="G1045" t="s">
        <v>3073</v>
      </c>
    </row>
    <row r="1046" spans="1:7" x14ac:dyDescent="0.25">
      <c r="A1046">
        <v>8504</v>
      </c>
      <c r="B1046" t="s">
        <v>2420</v>
      </c>
      <c r="C1046" t="s">
        <v>3059</v>
      </c>
      <c r="D1046">
        <v>170</v>
      </c>
      <c r="E1046">
        <v>45.48</v>
      </c>
      <c r="F1046" t="s">
        <v>7</v>
      </c>
      <c r="G1046" t="s">
        <v>3073</v>
      </c>
    </row>
    <row r="1047" spans="1:7" x14ac:dyDescent="0.25">
      <c r="A1047">
        <v>8506</v>
      </c>
      <c r="B1047" t="s">
        <v>2421</v>
      </c>
      <c r="C1047" t="s">
        <v>3059</v>
      </c>
      <c r="D1047">
        <v>1</v>
      </c>
      <c r="E1047">
        <v>18.63</v>
      </c>
      <c r="F1047" t="s">
        <v>7</v>
      </c>
      <c r="G1047" t="s">
        <v>3073</v>
      </c>
    </row>
    <row r="1048" spans="1:7" x14ac:dyDescent="0.25">
      <c r="A1048">
        <v>8507</v>
      </c>
      <c r="B1048" t="s">
        <v>2422</v>
      </c>
      <c r="C1048" t="s">
        <v>3059</v>
      </c>
      <c r="D1048">
        <v>1</v>
      </c>
      <c r="E1048">
        <v>24.02</v>
      </c>
      <c r="F1048" t="s">
        <v>7</v>
      </c>
      <c r="G1048" t="s">
        <v>3073</v>
      </c>
    </row>
    <row r="1049" spans="1:7" x14ac:dyDescent="0.25">
      <c r="A1049">
        <v>8512</v>
      </c>
      <c r="B1049" t="s">
        <v>2425</v>
      </c>
      <c r="C1049" t="s">
        <v>3059</v>
      </c>
      <c r="D1049">
        <v>1163</v>
      </c>
      <c r="E1049">
        <v>9.67</v>
      </c>
      <c r="F1049" t="s">
        <v>7</v>
      </c>
      <c r="G1049" t="s">
        <v>3073</v>
      </c>
    </row>
    <row r="1050" spans="1:7" x14ac:dyDescent="0.25">
      <c r="A1050">
        <v>8513</v>
      </c>
      <c r="B1050" t="s">
        <v>2426</v>
      </c>
      <c r="C1050" t="s">
        <v>3059</v>
      </c>
      <c r="D1050">
        <v>12</v>
      </c>
      <c r="E1050">
        <v>108</v>
      </c>
      <c r="F1050" t="s">
        <v>7</v>
      </c>
      <c r="G1050" t="s">
        <v>3064</v>
      </c>
    </row>
    <row r="1051" spans="1:7" x14ac:dyDescent="0.25">
      <c r="A1051">
        <v>8523</v>
      </c>
      <c r="B1051" t="s">
        <v>2427</v>
      </c>
      <c r="C1051" t="s">
        <v>3059</v>
      </c>
      <c r="D1051">
        <v>473</v>
      </c>
      <c r="E1051">
        <v>45.3</v>
      </c>
      <c r="F1051" t="s">
        <v>7</v>
      </c>
      <c r="G1051" t="s">
        <v>3064</v>
      </c>
    </row>
    <row r="1052" spans="1:7" x14ac:dyDescent="0.25">
      <c r="A1052">
        <v>8532</v>
      </c>
      <c r="B1052" t="s">
        <v>2428</v>
      </c>
      <c r="C1052" t="s">
        <v>3059</v>
      </c>
      <c r="D1052">
        <v>147</v>
      </c>
      <c r="E1052">
        <v>37.26</v>
      </c>
      <c r="F1052" t="s">
        <v>7</v>
      </c>
      <c r="G1052" t="s">
        <v>3064</v>
      </c>
    </row>
    <row r="1053" spans="1:7" x14ac:dyDescent="0.25">
      <c r="A1053">
        <v>8533</v>
      </c>
      <c r="B1053" t="s">
        <v>2429</v>
      </c>
      <c r="C1053" t="s">
        <v>3059</v>
      </c>
      <c r="D1053">
        <v>191</v>
      </c>
      <c r="E1053">
        <v>2.6</v>
      </c>
      <c r="F1053" t="s">
        <v>7</v>
      </c>
      <c r="G1053" t="s">
        <v>3073</v>
      </c>
    </row>
    <row r="1054" spans="1:7" x14ac:dyDescent="0.25">
      <c r="A1054">
        <v>8534</v>
      </c>
      <c r="B1054" t="s">
        <v>2430</v>
      </c>
      <c r="C1054" t="s">
        <v>3059</v>
      </c>
      <c r="D1054">
        <v>170</v>
      </c>
      <c r="E1054">
        <v>6.53</v>
      </c>
      <c r="F1054" t="s">
        <v>7</v>
      </c>
      <c r="G1054" t="s">
        <v>3073</v>
      </c>
    </row>
    <row r="1055" spans="1:7" x14ac:dyDescent="0.25">
      <c r="A1055">
        <v>8536</v>
      </c>
      <c r="B1055" t="s">
        <v>2432</v>
      </c>
      <c r="C1055" t="s">
        <v>3059</v>
      </c>
      <c r="D1055">
        <v>84</v>
      </c>
      <c r="E1055">
        <v>3.55</v>
      </c>
      <c r="F1055" t="s">
        <v>7</v>
      </c>
      <c r="G1055" t="s">
        <v>3073</v>
      </c>
    </row>
    <row r="1056" spans="1:7" x14ac:dyDescent="0.25">
      <c r="A1056">
        <v>8537</v>
      </c>
      <c r="B1056" t="s">
        <v>2433</v>
      </c>
      <c r="C1056" t="s">
        <v>3059</v>
      </c>
      <c r="D1056">
        <v>268</v>
      </c>
      <c r="E1056">
        <v>3.21</v>
      </c>
      <c r="F1056" t="s">
        <v>7</v>
      </c>
      <c r="G1056" t="s">
        <v>3073</v>
      </c>
    </row>
    <row r="1057" spans="1:7" x14ac:dyDescent="0.25">
      <c r="A1057">
        <v>8538</v>
      </c>
      <c r="B1057" t="s">
        <v>2434</v>
      </c>
      <c r="C1057" t="s">
        <v>3059</v>
      </c>
      <c r="D1057">
        <v>101</v>
      </c>
      <c r="E1057">
        <v>18.940000000000001</v>
      </c>
      <c r="F1057" t="s">
        <v>7</v>
      </c>
      <c r="G1057" t="s">
        <v>3073</v>
      </c>
    </row>
    <row r="1058" spans="1:7" x14ac:dyDescent="0.25">
      <c r="A1058">
        <v>8539</v>
      </c>
      <c r="B1058" t="s">
        <v>2435</v>
      </c>
      <c r="C1058" t="s">
        <v>3059</v>
      </c>
      <c r="D1058">
        <v>1112</v>
      </c>
      <c r="E1058">
        <v>4.99</v>
      </c>
      <c r="F1058" t="s">
        <v>7</v>
      </c>
      <c r="G1058" t="s">
        <v>3073</v>
      </c>
    </row>
    <row r="1059" spans="1:7" x14ac:dyDescent="0.25">
      <c r="A1059">
        <v>8541</v>
      </c>
      <c r="B1059" t="s">
        <v>2437</v>
      </c>
      <c r="C1059" t="s">
        <v>3059</v>
      </c>
      <c r="D1059">
        <v>711</v>
      </c>
      <c r="E1059">
        <v>4.3</v>
      </c>
      <c r="F1059" t="s">
        <v>7</v>
      </c>
      <c r="G1059" t="s">
        <v>3073</v>
      </c>
    </row>
    <row r="1060" spans="1:7" x14ac:dyDescent="0.25">
      <c r="A1060">
        <v>8542</v>
      </c>
      <c r="B1060" t="s">
        <v>2438</v>
      </c>
      <c r="C1060" t="s">
        <v>3059</v>
      </c>
      <c r="D1060">
        <v>308</v>
      </c>
      <c r="E1060">
        <v>6.9</v>
      </c>
      <c r="F1060" t="s">
        <v>7</v>
      </c>
      <c r="G1060" t="s">
        <v>3073</v>
      </c>
    </row>
    <row r="1061" spans="1:7" x14ac:dyDescent="0.25">
      <c r="A1061">
        <v>8543</v>
      </c>
      <c r="B1061" t="s">
        <v>2439</v>
      </c>
      <c r="C1061" t="s">
        <v>3059</v>
      </c>
      <c r="D1061">
        <v>249</v>
      </c>
      <c r="E1061">
        <v>4.5</v>
      </c>
      <c r="F1061" t="s">
        <v>7</v>
      </c>
      <c r="G1061" t="s">
        <v>3073</v>
      </c>
    </row>
    <row r="1062" spans="1:7" x14ac:dyDescent="0.25">
      <c r="A1062">
        <v>8544</v>
      </c>
      <c r="B1062" t="s">
        <v>3211</v>
      </c>
      <c r="C1062" t="s">
        <v>3059</v>
      </c>
      <c r="D1062">
        <v>265</v>
      </c>
      <c r="E1062">
        <v>35.69</v>
      </c>
      <c r="F1062" t="s">
        <v>7</v>
      </c>
      <c r="G1062" t="s">
        <v>3073</v>
      </c>
    </row>
    <row r="1063" spans="1:7" x14ac:dyDescent="0.25">
      <c r="A1063">
        <v>8546</v>
      </c>
      <c r="B1063" t="s">
        <v>2442</v>
      </c>
      <c r="C1063" t="s">
        <v>3059</v>
      </c>
      <c r="D1063">
        <v>33</v>
      </c>
      <c r="E1063">
        <v>64.02</v>
      </c>
      <c r="F1063" t="s">
        <v>7</v>
      </c>
      <c r="G1063" t="s">
        <v>3073</v>
      </c>
    </row>
    <row r="1064" spans="1:7" x14ac:dyDescent="0.25">
      <c r="A1064">
        <v>8547</v>
      </c>
      <c r="B1064" t="s">
        <v>2443</v>
      </c>
      <c r="C1064" t="s">
        <v>3059</v>
      </c>
      <c r="D1064">
        <v>96</v>
      </c>
      <c r="E1064">
        <v>93.94</v>
      </c>
      <c r="F1064" t="s">
        <v>7</v>
      </c>
      <c r="G1064" t="s">
        <v>3073</v>
      </c>
    </row>
    <row r="1065" spans="1:7" x14ac:dyDescent="0.25">
      <c r="A1065">
        <v>8548</v>
      </c>
      <c r="B1065" t="s">
        <v>2444</v>
      </c>
      <c r="C1065" t="s">
        <v>3059</v>
      </c>
      <c r="D1065">
        <v>279</v>
      </c>
      <c r="E1065">
        <v>15</v>
      </c>
      <c r="F1065" t="s">
        <v>7</v>
      </c>
      <c r="G1065" t="s">
        <v>3073</v>
      </c>
    </row>
    <row r="1066" spans="1:7" x14ac:dyDescent="0.25">
      <c r="A1066">
        <v>8549</v>
      </c>
      <c r="B1066" t="s">
        <v>2445</v>
      </c>
      <c r="C1066" t="s">
        <v>3059</v>
      </c>
      <c r="D1066">
        <v>624</v>
      </c>
      <c r="E1066">
        <v>5.0599999999999996</v>
      </c>
      <c r="F1066" t="s">
        <v>7</v>
      </c>
      <c r="G1066" t="s">
        <v>3073</v>
      </c>
    </row>
    <row r="1067" spans="1:7" x14ac:dyDescent="0.25">
      <c r="A1067">
        <v>8550</v>
      </c>
      <c r="B1067" t="s">
        <v>2446</v>
      </c>
      <c r="C1067" t="s">
        <v>3059</v>
      </c>
      <c r="D1067">
        <v>192</v>
      </c>
      <c r="E1067">
        <v>5.34</v>
      </c>
      <c r="F1067" t="s">
        <v>7</v>
      </c>
      <c r="G1067" t="s">
        <v>3073</v>
      </c>
    </row>
    <row r="1068" spans="1:7" x14ac:dyDescent="0.25">
      <c r="A1068">
        <v>8551</v>
      </c>
      <c r="B1068" t="s">
        <v>2447</v>
      </c>
      <c r="C1068" t="s">
        <v>3059</v>
      </c>
      <c r="D1068">
        <v>110</v>
      </c>
      <c r="E1068">
        <v>20.010000000000002</v>
      </c>
      <c r="F1068" t="s">
        <v>7</v>
      </c>
      <c r="G1068" t="s">
        <v>3073</v>
      </c>
    </row>
    <row r="1069" spans="1:7" x14ac:dyDescent="0.25">
      <c r="A1069">
        <v>8552</v>
      </c>
      <c r="B1069" t="s">
        <v>2448</v>
      </c>
      <c r="C1069" t="s">
        <v>3059</v>
      </c>
      <c r="D1069">
        <v>266</v>
      </c>
      <c r="E1069">
        <v>74</v>
      </c>
      <c r="F1069" t="s">
        <v>7</v>
      </c>
      <c r="G1069" t="s">
        <v>3073</v>
      </c>
    </row>
    <row r="1070" spans="1:7" x14ac:dyDescent="0.25">
      <c r="A1070">
        <v>8553</v>
      </c>
      <c r="B1070" t="s">
        <v>2449</v>
      </c>
      <c r="C1070" t="s">
        <v>3059</v>
      </c>
      <c r="D1070">
        <v>179</v>
      </c>
      <c r="E1070">
        <v>18.260000000000002</v>
      </c>
      <c r="F1070" t="s">
        <v>7</v>
      </c>
      <c r="G1070" t="s">
        <v>3073</v>
      </c>
    </row>
    <row r="1071" spans="1:7" x14ac:dyDescent="0.25">
      <c r="A1071">
        <v>8554</v>
      </c>
      <c r="B1071" t="s">
        <v>2450</v>
      </c>
      <c r="C1071" t="s">
        <v>3059</v>
      </c>
      <c r="D1071">
        <v>423</v>
      </c>
      <c r="E1071">
        <v>3.22</v>
      </c>
      <c r="F1071" t="s">
        <v>7</v>
      </c>
      <c r="G1071" t="s">
        <v>3073</v>
      </c>
    </row>
    <row r="1072" spans="1:7" x14ac:dyDescent="0.25">
      <c r="A1072">
        <v>8555</v>
      </c>
      <c r="B1072" t="s">
        <v>3212</v>
      </c>
      <c r="C1072" t="s">
        <v>3059</v>
      </c>
      <c r="D1072">
        <v>53</v>
      </c>
      <c r="E1072">
        <v>10.91</v>
      </c>
      <c r="F1072" t="s">
        <v>7</v>
      </c>
      <c r="G1072" t="s">
        <v>3073</v>
      </c>
    </row>
    <row r="1073" spans="1:7" x14ac:dyDescent="0.25">
      <c r="A1073">
        <v>8556</v>
      </c>
      <c r="B1073" t="s">
        <v>3213</v>
      </c>
      <c r="C1073" t="s">
        <v>3059</v>
      </c>
      <c r="D1073">
        <v>363</v>
      </c>
      <c r="E1073">
        <v>12.21</v>
      </c>
      <c r="F1073" t="s">
        <v>7</v>
      </c>
      <c r="G1073" t="s">
        <v>3073</v>
      </c>
    </row>
    <row r="1074" spans="1:7" x14ac:dyDescent="0.25">
      <c r="A1074">
        <v>8557</v>
      </c>
      <c r="B1074" t="s">
        <v>2453</v>
      </c>
      <c r="C1074" t="s">
        <v>3059</v>
      </c>
      <c r="D1074">
        <v>29</v>
      </c>
      <c r="E1074">
        <v>11.07</v>
      </c>
      <c r="F1074" t="s">
        <v>7</v>
      </c>
      <c r="G1074" t="s">
        <v>3073</v>
      </c>
    </row>
    <row r="1075" spans="1:7" x14ac:dyDescent="0.25">
      <c r="A1075">
        <v>8559</v>
      </c>
      <c r="B1075" t="s">
        <v>2455</v>
      </c>
      <c r="C1075" t="s">
        <v>3059</v>
      </c>
      <c r="D1075">
        <v>150</v>
      </c>
      <c r="E1075">
        <v>7.74</v>
      </c>
      <c r="F1075" t="s">
        <v>7</v>
      </c>
      <c r="G1075" t="s">
        <v>3073</v>
      </c>
    </row>
    <row r="1076" spans="1:7" x14ac:dyDescent="0.25">
      <c r="A1076">
        <v>8644</v>
      </c>
      <c r="B1076" t="s">
        <v>2457</v>
      </c>
      <c r="C1076" t="s">
        <v>3059</v>
      </c>
      <c r="D1076">
        <v>311</v>
      </c>
      <c r="E1076">
        <v>24.84</v>
      </c>
      <c r="F1076" t="s">
        <v>7</v>
      </c>
      <c r="G1076" t="s">
        <v>3073</v>
      </c>
    </row>
    <row r="1077" spans="1:7" x14ac:dyDescent="0.25">
      <c r="A1077">
        <v>8706</v>
      </c>
      <c r="B1077" t="s">
        <v>2459</v>
      </c>
      <c r="C1077" t="s">
        <v>3059</v>
      </c>
      <c r="D1077">
        <v>1</v>
      </c>
      <c r="E1077">
        <v>1680</v>
      </c>
      <c r="F1077" t="s">
        <v>7</v>
      </c>
      <c r="G1077" t="s">
        <v>3064</v>
      </c>
    </row>
    <row r="1078" spans="1:7" x14ac:dyDescent="0.25">
      <c r="A1078">
        <v>8715</v>
      </c>
      <c r="B1078" t="s">
        <v>3057</v>
      </c>
      <c r="C1078" t="s">
        <v>3059</v>
      </c>
      <c r="D1078">
        <v>1443</v>
      </c>
      <c r="E1078">
        <v>15</v>
      </c>
      <c r="F1078" t="s">
        <v>7</v>
      </c>
      <c r="G1078" t="s">
        <v>3100</v>
      </c>
    </row>
    <row r="1079" spans="1:7" x14ac:dyDescent="0.25">
      <c r="A1079">
        <v>8724</v>
      </c>
      <c r="B1079" t="s">
        <v>2461</v>
      </c>
      <c r="C1079" t="s">
        <v>3059</v>
      </c>
      <c r="D1079">
        <v>5</v>
      </c>
      <c r="E1079">
        <v>577.25</v>
      </c>
      <c r="F1079" t="s">
        <v>7</v>
      </c>
      <c r="G1079" t="s">
        <v>3070</v>
      </c>
    </row>
    <row r="1080" spans="1:7" x14ac:dyDescent="0.25">
      <c r="A1080">
        <v>8730</v>
      </c>
      <c r="B1080" t="s">
        <v>2463</v>
      </c>
      <c r="C1080" t="s">
        <v>3059</v>
      </c>
      <c r="D1080">
        <v>16</v>
      </c>
      <c r="E1080">
        <v>0.28000000000000003</v>
      </c>
      <c r="F1080" t="s">
        <v>7</v>
      </c>
      <c r="G1080" t="s">
        <v>3070</v>
      </c>
    </row>
    <row r="1081" spans="1:7" x14ac:dyDescent="0.25">
      <c r="A1081">
        <v>8731</v>
      </c>
      <c r="B1081" t="s">
        <v>2464</v>
      </c>
      <c r="C1081" t="s">
        <v>3059</v>
      </c>
      <c r="D1081">
        <v>30</v>
      </c>
      <c r="E1081">
        <v>0.5</v>
      </c>
      <c r="F1081" t="s">
        <v>7</v>
      </c>
      <c r="G1081" t="s">
        <v>3070</v>
      </c>
    </row>
    <row r="1082" spans="1:7" x14ac:dyDescent="0.25">
      <c r="A1082">
        <v>8732</v>
      </c>
      <c r="B1082" t="s">
        <v>2465</v>
      </c>
      <c r="C1082" t="s">
        <v>3059</v>
      </c>
      <c r="D1082">
        <v>31</v>
      </c>
      <c r="E1082">
        <v>0.13</v>
      </c>
      <c r="F1082" t="s">
        <v>7</v>
      </c>
      <c r="G1082" t="s">
        <v>3070</v>
      </c>
    </row>
    <row r="1083" spans="1:7" x14ac:dyDescent="0.25">
      <c r="A1083">
        <v>8734</v>
      </c>
      <c r="B1083" t="s">
        <v>2467</v>
      </c>
      <c r="C1083" t="s">
        <v>3059</v>
      </c>
      <c r="D1083">
        <v>24</v>
      </c>
      <c r="E1083">
        <v>0.56999999999999995</v>
      </c>
      <c r="F1083" t="s">
        <v>7</v>
      </c>
      <c r="G1083" t="s">
        <v>3070</v>
      </c>
    </row>
    <row r="1084" spans="1:7" x14ac:dyDescent="0.25">
      <c r="A1084">
        <v>8735</v>
      </c>
      <c r="B1084" t="s">
        <v>2468</v>
      </c>
      <c r="C1084" t="s">
        <v>3059</v>
      </c>
      <c r="D1084">
        <v>2</v>
      </c>
      <c r="E1084">
        <v>21.45</v>
      </c>
      <c r="F1084" t="s">
        <v>7</v>
      </c>
      <c r="G1084" t="s">
        <v>3070</v>
      </c>
    </row>
    <row r="1085" spans="1:7" x14ac:dyDescent="0.25">
      <c r="A1085">
        <v>8736</v>
      </c>
      <c r="B1085" t="s">
        <v>3214</v>
      </c>
      <c r="C1085" t="s">
        <v>3059</v>
      </c>
      <c r="D1085">
        <v>3</v>
      </c>
      <c r="E1085">
        <v>5.96</v>
      </c>
      <c r="F1085" t="s">
        <v>7</v>
      </c>
      <c r="G1085" t="s">
        <v>3070</v>
      </c>
    </row>
    <row r="1086" spans="1:7" x14ac:dyDescent="0.25">
      <c r="A1086">
        <v>8737</v>
      </c>
      <c r="B1086" t="s">
        <v>2470</v>
      </c>
      <c r="C1086" t="s">
        <v>3059</v>
      </c>
      <c r="D1086">
        <v>11</v>
      </c>
      <c r="E1086">
        <v>12.13</v>
      </c>
      <c r="F1086" t="s">
        <v>7</v>
      </c>
      <c r="G1086" t="s">
        <v>3070</v>
      </c>
    </row>
    <row r="1087" spans="1:7" x14ac:dyDescent="0.25">
      <c r="A1087">
        <v>8741</v>
      </c>
      <c r="B1087" t="s">
        <v>2474</v>
      </c>
      <c r="C1087" t="s">
        <v>3059</v>
      </c>
      <c r="D1087">
        <v>23</v>
      </c>
      <c r="E1087">
        <v>9.68</v>
      </c>
      <c r="F1087" t="s">
        <v>7</v>
      </c>
      <c r="G1087" t="s">
        <v>3070</v>
      </c>
    </row>
    <row r="1088" spans="1:7" x14ac:dyDescent="0.25">
      <c r="A1088">
        <v>8742</v>
      </c>
      <c r="B1088" t="s">
        <v>2475</v>
      </c>
      <c r="C1088" t="s">
        <v>3059</v>
      </c>
      <c r="D1088">
        <v>4</v>
      </c>
      <c r="E1088">
        <v>17.22</v>
      </c>
      <c r="F1088" t="s">
        <v>7</v>
      </c>
      <c r="G1088" t="s">
        <v>3070</v>
      </c>
    </row>
    <row r="1089" spans="1:7" x14ac:dyDescent="0.25">
      <c r="A1089">
        <v>8743</v>
      </c>
      <c r="B1089" t="s">
        <v>2476</v>
      </c>
      <c r="C1089" t="s">
        <v>3059</v>
      </c>
      <c r="D1089">
        <v>32</v>
      </c>
      <c r="E1089">
        <v>3.54</v>
      </c>
      <c r="F1089" t="s">
        <v>7</v>
      </c>
      <c r="G1089" t="s">
        <v>3070</v>
      </c>
    </row>
    <row r="1090" spans="1:7" x14ac:dyDescent="0.25">
      <c r="A1090">
        <v>8744</v>
      </c>
      <c r="B1090" t="s">
        <v>2477</v>
      </c>
      <c r="C1090" t="s">
        <v>3059</v>
      </c>
      <c r="D1090">
        <v>4</v>
      </c>
      <c r="E1090">
        <v>4.0199999999999996</v>
      </c>
      <c r="F1090" t="s">
        <v>7</v>
      </c>
      <c r="G1090" t="s">
        <v>3070</v>
      </c>
    </row>
    <row r="1091" spans="1:7" x14ac:dyDescent="0.25">
      <c r="A1091">
        <v>8746</v>
      </c>
      <c r="B1091" t="s">
        <v>3215</v>
      </c>
      <c r="C1091" t="s">
        <v>3059</v>
      </c>
      <c r="D1091">
        <v>26</v>
      </c>
      <c r="E1091">
        <v>0.5</v>
      </c>
      <c r="F1091" t="s">
        <v>7</v>
      </c>
      <c r="G1091" t="s">
        <v>3070</v>
      </c>
    </row>
    <row r="1092" spans="1:7" x14ac:dyDescent="0.25">
      <c r="A1092">
        <v>8750</v>
      </c>
      <c r="B1092" t="s">
        <v>2481</v>
      </c>
      <c r="C1092" t="s">
        <v>3059</v>
      </c>
      <c r="D1092">
        <v>23</v>
      </c>
      <c r="E1092">
        <v>22.15</v>
      </c>
      <c r="F1092" t="s">
        <v>7</v>
      </c>
      <c r="G1092" t="s">
        <v>3070</v>
      </c>
    </row>
    <row r="1093" spans="1:7" x14ac:dyDescent="0.25">
      <c r="A1093">
        <v>8751</v>
      </c>
      <c r="B1093" t="s">
        <v>2482</v>
      </c>
      <c r="C1093" t="s">
        <v>3059</v>
      </c>
      <c r="D1093">
        <v>17</v>
      </c>
      <c r="E1093">
        <v>0.76</v>
      </c>
      <c r="F1093" t="s">
        <v>7</v>
      </c>
      <c r="G1093" t="s">
        <v>3070</v>
      </c>
    </row>
    <row r="1094" spans="1:7" x14ac:dyDescent="0.25">
      <c r="A1094">
        <v>8754</v>
      </c>
      <c r="B1094" t="s">
        <v>2485</v>
      </c>
      <c r="C1094" t="s">
        <v>3059</v>
      </c>
      <c r="D1094">
        <v>20</v>
      </c>
      <c r="E1094">
        <v>0.17</v>
      </c>
      <c r="F1094" t="s">
        <v>7</v>
      </c>
      <c r="G1094" t="s">
        <v>3070</v>
      </c>
    </row>
    <row r="1095" spans="1:7" x14ac:dyDescent="0.25">
      <c r="A1095">
        <v>8759</v>
      </c>
      <c r="B1095" t="s">
        <v>2489</v>
      </c>
      <c r="C1095" t="s">
        <v>3059</v>
      </c>
      <c r="D1095">
        <v>30</v>
      </c>
      <c r="E1095">
        <v>0.64</v>
      </c>
      <c r="F1095" t="s">
        <v>7</v>
      </c>
      <c r="G1095" t="s">
        <v>3070</v>
      </c>
    </row>
    <row r="1096" spans="1:7" x14ac:dyDescent="0.25">
      <c r="A1096">
        <v>8761</v>
      </c>
      <c r="B1096" t="s">
        <v>2491</v>
      </c>
      <c r="C1096" t="s">
        <v>3059</v>
      </c>
      <c r="D1096">
        <v>10</v>
      </c>
      <c r="E1096">
        <v>12.06</v>
      </c>
      <c r="F1096" t="s">
        <v>7</v>
      </c>
      <c r="G1096" t="s">
        <v>3070</v>
      </c>
    </row>
    <row r="1097" spans="1:7" x14ac:dyDescent="0.25">
      <c r="A1097">
        <v>8775</v>
      </c>
      <c r="B1097" t="s">
        <v>2502</v>
      </c>
      <c r="C1097" t="s">
        <v>3059</v>
      </c>
      <c r="D1097">
        <v>30</v>
      </c>
      <c r="E1097">
        <v>0.11</v>
      </c>
      <c r="F1097" t="s">
        <v>7</v>
      </c>
      <c r="G1097" t="s">
        <v>3070</v>
      </c>
    </row>
    <row r="1098" spans="1:7" x14ac:dyDescent="0.25">
      <c r="A1098">
        <v>8776</v>
      </c>
      <c r="B1098" t="s">
        <v>3216</v>
      </c>
      <c r="C1098" t="s">
        <v>3059</v>
      </c>
      <c r="D1098">
        <v>20</v>
      </c>
      <c r="E1098">
        <v>0.11</v>
      </c>
      <c r="F1098" t="s">
        <v>7</v>
      </c>
      <c r="G1098" t="s">
        <v>3070</v>
      </c>
    </row>
    <row r="1099" spans="1:7" x14ac:dyDescent="0.25">
      <c r="A1099">
        <v>8778</v>
      </c>
      <c r="B1099" t="s">
        <v>3217</v>
      </c>
      <c r="C1099" t="s">
        <v>3059</v>
      </c>
      <c r="D1099">
        <v>31</v>
      </c>
      <c r="E1099">
        <v>0.18</v>
      </c>
      <c r="F1099" t="s">
        <v>7</v>
      </c>
      <c r="G1099" t="s">
        <v>3070</v>
      </c>
    </row>
    <row r="1100" spans="1:7" x14ac:dyDescent="0.25">
      <c r="A1100">
        <v>8781</v>
      </c>
      <c r="B1100" t="s">
        <v>2506</v>
      </c>
      <c r="C1100" t="s">
        <v>3059</v>
      </c>
      <c r="D1100">
        <v>20</v>
      </c>
      <c r="E1100">
        <v>0.5</v>
      </c>
      <c r="F1100" t="s">
        <v>7</v>
      </c>
      <c r="G1100" t="s">
        <v>3070</v>
      </c>
    </row>
    <row r="1101" spans="1:7" x14ac:dyDescent="0.25">
      <c r="A1101">
        <v>8783</v>
      </c>
      <c r="B1101" t="s">
        <v>3218</v>
      </c>
      <c r="C1101" t="s">
        <v>3059</v>
      </c>
      <c r="D1101">
        <v>2</v>
      </c>
      <c r="E1101">
        <v>33.270000000000003</v>
      </c>
      <c r="F1101" t="s">
        <v>7</v>
      </c>
      <c r="G1101" t="s">
        <v>3070</v>
      </c>
    </row>
    <row r="1102" spans="1:7" x14ac:dyDescent="0.25">
      <c r="A1102">
        <v>8789</v>
      </c>
      <c r="B1102" t="s">
        <v>2513</v>
      </c>
      <c r="C1102" t="s">
        <v>3059</v>
      </c>
      <c r="D1102">
        <v>30</v>
      </c>
      <c r="E1102">
        <v>1.24</v>
      </c>
      <c r="F1102" t="s">
        <v>7</v>
      </c>
      <c r="G1102" t="s">
        <v>3070</v>
      </c>
    </row>
    <row r="1103" spans="1:7" x14ac:dyDescent="0.25">
      <c r="A1103">
        <v>8793</v>
      </c>
      <c r="B1103" t="s">
        <v>2516</v>
      </c>
      <c r="C1103" t="s">
        <v>3059</v>
      </c>
      <c r="D1103">
        <v>30</v>
      </c>
      <c r="E1103">
        <v>0.52</v>
      </c>
      <c r="F1103" t="s">
        <v>7</v>
      </c>
      <c r="G1103" t="s">
        <v>3070</v>
      </c>
    </row>
    <row r="1104" spans="1:7" x14ac:dyDescent="0.25">
      <c r="A1104">
        <v>8795</v>
      </c>
      <c r="B1104" t="s">
        <v>2518</v>
      </c>
      <c r="C1104" t="s">
        <v>3059</v>
      </c>
      <c r="D1104">
        <v>2</v>
      </c>
      <c r="E1104">
        <v>17.760000000000002</v>
      </c>
      <c r="F1104" t="s">
        <v>7</v>
      </c>
      <c r="G1104" t="s">
        <v>3070</v>
      </c>
    </row>
    <row r="1105" spans="1:7" x14ac:dyDescent="0.25">
      <c r="A1105">
        <v>8798</v>
      </c>
      <c r="B1105" t="s">
        <v>2521</v>
      </c>
      <c r="C1105" t="s">
        <v>3059</v>
      </c>
      <c r="D1105">
        <v>19</v>
      </c>
      <c r="E1105">
        <v>3.98</v>
      </c>
      <c r="F1105" t="s">
        <v>7</v>
      </c>
      <c r="G1105" t="s">
        <v>3070</v>
      </c>
    </row>
    <row r="1106" spans="1:7" x14ac:dyDescent="0.25">
      <c r="A1106">
        <v>8801</v>
      </c>
      <c r="B1106" t="s">
        <v>2524</v>
      </c>
      <c r="C1106" t="s">
        <v>3059</v>
      </c>
      <c r="D1106">
        <v>23</v>
      </c>
      <c r="E1106">
        <v>8.06</v>
      </c>
      <c r="F1106" t="s">
        <v>7</v>
      </c>
      <c r="G1106" t="s">
        <v>3070</v>
      </c>
    </row>
    <row r="1107" spans="1:7" x14ac:dyDescent="0.25">
      <c r="A1107">
        <v>8808</v>
      </c>
      <c r="B1107" t="s">
        <v>2527</v>
      </c>
      <c r="C1107" t="s">
        <v>3059</v>
      </c>
      <c r="D1107">
        <v>17</v>
      </c>
      <c r="E1107">
        <v>161.31</v>
      </c>
      <c r="F1107" t="s">
        <v>7</v>
      </c>
      <c r="G1107" t="s">
        <v>3070</v>
      </c>
    </row>
    <row r="1108" spans="1:7" x14ac:dyDescent="0.25">
      <c r="A1108">
        <v>8812</v>
      </c>
      <c r="B1108" t="s">
        <v>2529</v>
      </c>
      <c r="C1108" t="s">
        <v>3059</v>
      </c>
      <c r="D1108">
        <v>30</v>
      </c>
      <c r="E1108">
        <v>1.7</v>
      </c>
      <c r="F1108" t="s">
        <v>7</v>
      </c>
      <c r="G1108" t="s">
        <v>3070</v>
      </c>
    </row>
    <row r="1109" spans="1:7" x14ac:dyDescent="0.25">
      <c r="A1109">
        <v>8814</v>
      </c>
      <c r="B1109" t="s">
        <v>2530</v>
      </c>
      <c r="C1109" t="s">
        <v>3059</v>
      </c>
      <c r="D1109">
        <v>30</v>
      </c>
      <c r="E1109">
        <v>0.56999999999999995</v>
      </c>
      <c r="F1109" t="s">
        <v>7</v>
      </c>
      <c r="G1109" t="s">
        <v>3070</v>
      </c>
    </row>
    <row r="1110" spans="1:7" x14ac:dyDescent="0.25">
      <c r="A1110">
        <v>8815</v>
      </c>
      <c r="B1110" t="s">
        <v>2531</v>
      </c>
      <c r="C1110" t="s">
        <v>3059</v>
      </c>
      <c r="D1110">
        <v>117</v>
      </c>
      <c r="E1110">
        <v>3.45</v>
      </c>
      <c r="F1110" t="s">
        <v>7</v>
      </c>
      <c r="G1110" t="s">
        <v>3070</v>
      </c>
    </row>
    <row r="1111" spans="1:7" x14ac:dyDescent="0.25">
      <c r="A1111">
        <v>8817</v>
      </c>
      <c r="B1111" t="s">
        <v>2532</v>
      </c>
      <c r="C1111" t="s">
        <v>3059</v>
      </c>
      <c r="D1111">
        <v>20</v>
      </c>
      <c r="E1111">
        <v>1.2</v>
      </c>
      <c r="F1111" t="s">
        <v>7</v>
      </c>
      <c r="G1111" t="s">
        <v>3070</v>
      </c>
    </row>
    <row r="1112" spans="1:7" x14ac:dyDescent="0.25">
      <c r="A1112">
        <v>8818</v>
      </c>
      <c r="B1112" t="s">
        <v>2533</v>
      </c>
      <c r="C1112" t="s">
        <v>3059</v>
      </c>
      <c r="D1112">
        <v>47</v>
      </c>
      <c r="E1112">
        <v>0.5</v>
      </c>
      <c r="F1112" t="s">
        <v>7</v>
      </c>
      <c r="G1112" t="s">
        <v>3070</v>
      </c>
    </row>
    <row r="1113" spans="1:7" x14ac:dyDescent="0.25">
      <c r="A1113">
        <v>8824</v>
      </c>
      <c r="B1113" t="s">
        <v>2538</v>
      </c>
      <c r="C1113" t="s">
        <v>3059</v>
      </c>
      <c r="D1113">
        <v>10</v>
      </c>
      <c r="E1113">
        <v>0.51</v>
      </c>
      <c r="F1113" t="s">
        <v>7</v>
      </c>
      <c r="G1113" t="s">
        <v>3070</v>
      </c>
    </row>
    <row r="1114" spans="1:7" x14ac:dyDescent="0.25">
      <c r="A1114">
        <v>8829</v>
      </c>
      <c r="B1114" t="s">
        <v>2540</v>
      </c>
      <c r="C1114" t="s">
        <v>3059</v>
      </c>
      <c r="D1114">
        <v>7</v>
      </c>
      <c r="E1114">
        <v>33.9</v>
      </c>
      <c r="F1114" t="s">
        <v>7</v>
      </c>
      <c r="G1114" t="s">
        <v>3070</v>
      </c>
    </row>
    <row r="1115" spans="1:7" x14ac:dyDescent="0.25">
      <c r="A1115">
        <v>8832</v>
      </c>
      <c r="B1115" t="s">
        <v>2542</v>
      </c>
      <c r="C1115" t="s">
        <v>3059</v>
      </c>
      <c r="D1115">
        <v>2</v>
      </c>
      <c r="E1115">
        <v>18.03</v>
      </c>
      <c r="F1115" t="s">
        <v>7</v>
      </c>
      <c r="G1115" t="s">
        <v>3070</v>
      </c>
    </row>
    <row r="1116" spans="1:7" x14ac:dyDescent="0.25">
      <c r="A1116">
        <v>8833</v>
      </c>
      <c r="B1116" t="s">
        <v>2543</v>
      </c>
      <c r="C1116" t="s">
        <v>3059</v>
      </c>
      <c r="D1116">
        <v>5</v>
      </c>
      <c r="E1116">
        <v>54.76</v>
      </c>
      <c r="F1116" t="s">
        <v>7</v>
      </c>
      <c r="G1116" t="s">
        <v>3070</v>
      </c>
    </row>
    <row r="1117" spans="1:7" x14ac:dyDescent="0.25">
      <c r="A1117">
        <v>8836</v>
      </c>
      <c r="B1117" t="s">
        <v>2545</v>
      </c>
      <c r="C1117" t="s">
        <v>3059</v>
      </c>
      <c r="D1117">
        <v>3</v>
      </c>
      <c r="E1117">
        <v>0.5</v>
      </c>
      <c r="F1117" t="s">
        <v>7</v>
      </c>
      <c r="G1117" t="s">
        <v>3070</v>
      </c>
    </row>
    <row r="1118" spans="1:7" x14ac:dyDescent="0.25">
      <c r="A1118">
        <v>8839</v>
      </c>
      <c r="B1118" t="s">
        <v>2548</v>
      </c>
      <c r="C1118" t="s">
        <v>3059</v>
      </c>
      <c r="D1118">
        <v>6</v>
      </c>
      <c r="E1118">
        <v>16.989999999999998</v>
      </c>
      <c r="F1118" t="s">
        <v>7</v>
      </c>
      <c r="G1118" t="s">
        <v>3070</v>
      </c>
    </row>
    <row r="1119" spans="1:7" x14ac:dyDescent="0.25">
      <c r="A1119">
        <v>8844</v>
      </c>
      <c r="B1119" t="s">
        <v>2550</v>
      </c>
      <c r="C1119" t="s">
        <v>3059</v>
      </c>
      <c r="D1119">
        <v>3</v>
      </c>
      <c r="E1119">
        <v>8.83</v>
      </c>
      <c r="F1119" t="s">
        <v>7</v>
      </c>
      <c r="G1119" t="s">
        <v>3070</v>
      </c>
    </row>
    <row r="1120" spans="1:7" x14ac:dyDescent="0.25">
      <c r="A1120">
        <v>8846</v>
      </c>
      <c r="B1120" t="s">
        <v>2552</v>
      </c>
      <c r="C1120" t="s">
        <v>3059</v>
      </c>
      <c r="D1120">
        <v>3</v>
      </c>
      <c r="E1120">
        <v>0.51</v>
      </c>
      <c r="F1120" t="s">
        <v>7</v>
      </c>
      <c r="G1120" t="s">
        <v>3070</v>
      </c>
    </row>
    <row r="1121" spans="1:7" x14ac:dyDescent="0.25">
      <c r="A1121">
        <v>8847</v>
      </c>
      <c r="B1121" t="s">
        <v>2553</v>
      </c>
      <c r="C1121" t="s">
        <v>3059</v>
      </c>
      <c r="D1121">
        <v>2</v>
      </c>
      <c r="E1121">
        <v>68.959999999999994</v>
      </c>
      <c r="F1121" t="s">
        <v>7</v>
      </c>
      <c r="G1121" t="s">
        <v>3070</v>
      </c>
    </row>
    <row r="1122" spans="1:7" x14ac:dyDescent="0.25">
      <c r="A1122">
        <v>8855</v>
      </c>
      <c r="B1122" t="s">
        <v>2559</v>
      </c>
      <c r="C1122" t="s">
        <v>3059</v>
      </c>
      <c r="D1122">
        <v>3</v>
      </c>
      <c r="E1122">
        <v>7.99</v>
      </c>
      <c r="F1122" t="s">
        <v>7</v>
      </c>
      <c r="G1122" t="s">
        <v>3070</v>
      </c>
    </row>
    <row r="1123" spans="1:7" x14ac:dyDescent="0.25">
      <c r="A1123">
        <v>8856</v>
      </c>
      <c r="B1123" t="s">
        <v>2560</v>
      </c>
      <c r="C1123" t="s">
        <v>3059</v>
      </c>
      <c r="D1123">
        <v>3</v>
      </c>
      <c r="E1123">
        <v>2.41</v>
      </c>
      <c r="F1123" t="s">
        <v>7</v>
      </c>
      <c r="G1123" t="s">
        <v>3070</v>
      </c>
    </row>
    <row r="1124" spans="1:7" x14ac:dyDescent="0.25">
      <c r="A1124">
        <v>8857</v>
      </c>
      <c r="B1124" t="s">
        <v>3219</v>
      </c>
      <c r="C1124" t="s">
        <v>3059</v>
      </c>
      <c r="D1124">
        <v>10</v>
      </c>
      <c r="E1124">
        <v>0.11</v>
      </c>
      <c r="F1124" t="s">
        <v>7</v>
      </c>
      <c r="G1124" t="s">
        <v>3070</v>
      </c>
    </row>
    <row r="1125" spans="1:7" x14ac:dyDescent="0.25">
      <c r="A1125">
        <v>8858</v>
      </c>
      <c r="B1125" t="s">
        <v>2562</v>
      </c>
      <c r="C1125" t="s">
        <v>3059</v>
      </c>
      <c r="D1125">
        <v>10</v>
      </c>
      <c r="E1125">
        <v>12.58</v>
      </c>
      <c r="F1125" t="s">
        <v>7</v>
      </c>
      <c r="G1125" t="s">
        <v>3070</v>
      </c>
    </row>
    <row r="1126" spans="1:7" x14ac:dyDescent="0.25">
      <c r="A1126">
        <v>8862</v>
      </c>
      <c r="B1126" t="s">
        <v>2565</v>
      </c>
      <c r="C1126" t="s">
        <v>3059</v>
      </c>
      <c r="D1126">
        <v>10</v>
      </c>
      <c r="E1126">
        <v>0.11</v>
      </c>
      <c r="F1126" t="s">
        <v>7</v>
      </c>
      <c r="G1126" t="s">
        <v>3070</v>
      </c>
    </row>
    <row r="1127" spans="1:7" x14ac:dyDescent="0.25">
      <c r="A1127">
        <v>8863</v>
      </c>
      <c r="B1127" t="s">
        <v>2566</v>
      </c>
      <c r="C1127" t="s">
        <v>3059</v>
      </c>
      <c r="D1127">
        <v>3</v>
      </c>
      <c r="E1127">
        <v>0.5</v>
      </c>
      <c r="F1127" t="s">
        <v>7</v>
      </c>
      <c r="G1127" t="s">
        <v>3070</v>
      </c>
    </row>
    <row r="1128" spans="1:7" x14ac:dyDescent="0.25">
      <c r="A1128">
        <v>8865</v>
      </c>
      <c r="B1128" t="s">
        <v>2568</v>
      </c>
      <c r="C1128" t="s">
        <v>3059</v>
      </c>
      <c r="D1128">
        <v>3</v>
      </c>
      <c r="E1128">
        <v>0.16</v>
      </c>
      <c r="F1128" t="s">
        <v>7</v>
      </c>
      <c r="G1128" t="s">
        <v>3070</v>
      </c>
    </row>
    <row r="1129" spans="1:7" x14ac:dyDescent="0.25">
      <c r="A1129">
        <v>8867</v>
      </c>
      <c r="B1129" t="s">
        <v>2570</v>
      </c>
      <c r="C1129" t="s">
        <v>3059</v>
      </c>
      <c r="D1129">
        <v>3</v>
      </c>
      <c r="E1129">
        <v>1.9</v>
      </c>
      <c r="F1129" t="s">
        <v>7</v>
      </c>
      <c r="G1129" t="s">
        <v>3070</v>
      </c>
    </row>
    <row r="1130" spans="1:7" x14ac:dyDescent="0.25">
      <c r="A1130">
        <v>8872</v>
      </c>
      <c r="B1130" t="s">
        <v>2575</v>
      </c>
      <c r="C1130" t="s">
        <v>3059</v>
      </c>
      <c r="D1130">
        <v>10</v>
      </c>
      <c r="E1130">
        <v>0.11</v>
      </c>
      <c r="F1130" t="s">
        <v>7</v>
      </c>
      <c r="G1130" t="s">
        <v>3070</v>
      </c>
    </row>
    <row r="1131" spans="1:7" x14ac:dyDescent="0.25">
      <c r="A1131">
        <v>8873</v>
      </c>
      <c r="B1131" t="s">
        <v>2576</v>
      </c>
      <c r="C1131" t="s">
        <v>3059</v>
      </c>
      <c r="D1131">
        <v>10</v>
      </c>
      <c r="E1131">
        <v>0.11</v>
      </c>
      <c r="F1131" t="s">
        <v>7</v>
      </c>
      <c r="G1131" t="s">
        <v>3070</v>
      </c>
    </row>
    <row r="1132" spans="1:7" x14ac:dyDescent="0.25">
      <c r="A1132">
        <v>8874</v>
      </c>
      <c r="B1132" t="s">
        <v>2577</v>
      </c>
      <c r="C1132" t="s">
        <v>3059</v>
      </c>
      <c r="D1132">
        <v>10</v>
      </c>
      <c r="E1132">
        <v>1.1200000000000001</v>
      </c>
      <c r="F1132" t="s">
        <v>7</v>
      </c>
      <c r="G1132" t="s">
        <v>3070</v>
      </c>
    </row>
    <row r="1133" spans="1:7" x14ac:dyDescent="0.25">
      <c r="A1133">
        <v>8875</v>
      </c>
      <c r="B1133" t="s">
        <v>2578</v>
      </c>
      <c r="C1133" t="s">
        <v>3059</v>
      </c>
      <c r="D1133">
        <v>3</v>
      </c>
      <c r="E1133">
        <v>0.38</v>
      </c>
      <c r="F1133" t="s">
        <v>7</v>
      </c>
      <c r="G1133" t="s">
        <v>3070</v>
      </c>
    </row>
    <row r="1134" spans="1:7" x14ac:dyDescent="0.25">
      <c r="A1134">
        <v>8876</v>
      </c>
      <c r="B1134" t="s">
        <v>2579</v>
      </c>
      <c r="C1134" t="s">
        <v>3059</v>
      </c>
      <c r="D1134">
        <v>107</v>
      </c>
      <c r="E1134">
        <v>0.56999999999999995</v>
      </c>
      <c r="F1134" t="s">
        <v>7</v>
      </c>
      <c r="G1134" t="s">
        <v>3070</v>
      </c>
    </row>
    <row r="1135" spans="1:7" x14ac:dyDescent="0.25">
      <c r="A1135">
        <v>8882</v>
      </c>
      <c r="B1135" t="s">
        <v>2583</v>
      </c>
      <c r="C1135" t="s">
        <v>3059</v>
      </c>
      <c r="D1135">
        <v>13</v>
      </c>
      <c r="E1135">
        <v>32.619999999999997</v>
      </c>
      <c r="F1135" t="s">
        <v>7</v>
      </c>
      <c r="G1135" t="s">
        <v>3070</v>
      </c>
    </row>
    <row r="1136" spans="1:7" x14ac:dyDescent="0.25">
      <c r="A1136">
        <v>8887</v>
      </c>
      <c r="B1136" t="s">
        <v>2587</v>
      </c>
      <c r="C1136" t="s">
        <v>3059</v>
      </c>
      <c r="D1136">
        <v>9</v>
      </c>
      <c r="E1136">
        <v>94.45</v>
      </c>
      <c r="F1136" t="s">
        <v>7</v>
      </c>
      <c r="G1136" t="s">
        <v>3070</v>
      </c>
    </row>
    <row r="1137" spans="1:7" x14ac:dyDescent="0.25">
      <c r="A1137">
        <v>8888</v>
      </c>
      <c r="B1137" t="s">
        <v>2588</v>
      </c>
      <c r="C1137" t="s">
        <v>3059</v>
      </c>
      <c r="D1137">
        <v>10</v>
      </c>
      <c r="E1137">
        <v>0.11</v>
      </c>
      <c r="F1137" t="s">
        <v>7</v>
      </c>
      <c r="G1137" t="s">
        <v>3070</v>
      </c>
    </row>
    <row r="1138" spans="1:7" x14ac:dyDescent="0.25">
      <c r="A1138">
        <v>8890</v>
      </c>
      <c r="B1138" t="s">
        <v>2589</v>
      </c>
      <c r="C1138" t="s">
        <v>3059</v>
      </c>
      <c r="D1138">
        <v>10</v>
      </c>
      <c r="E1138">
        <v>0.11</v>
      </c>
      <c r="F1138" t="s">
        <v>7</v>
      </c>
      <c r="G1138" t="s">
        <v>3070</v>
      </c>
    </row>
    <row r="1139" spans="1:7" x14ac:dyDescent="0.25">
      <c r="A1139">
        <v>8901</v>
      </c>
      <c r="B1139" t="s">
        <v>2597</v>
      </c>
      <c r="C1139" t="s">
        <v>3059</v>
      </c>
      <c r="D1139">
        <v>10</v>
      </c>
      <c r="E1139">
        <v>1.79</v>
      </c>
      <c r="F1139" t="s">
        <v>7</v>
      </c>
      <c r="G1139" t="s">
        <v>3070</v>
      </c>
    </row>
    <row r="1140" spans="1:7" x14ac:dyDescent="0.25">
      <c r="A1140">
        <v>8902</v>
      </c>
      <c r="B1140" t="s">
        <v>2598</v>
      </c>
      <c r="C1140" t="s">
        <v>3059</v>
      </c>
      <c r="D1140">
        <v>10</v>
      </c>
      <c r="E1140">
        <v>0.17</v>
      </c>
      <c r="F1140" t="s">
        <v>7</v>
      </c>
      <c r="G1140" t="s">
        <v>3070</v>
      </c>
    </row>
    <row r="1141" spans="1:7" x14ac:dyDescent="0.25">
      <c r="A1141">
        <v>8904</v>
      </c>
      <c r="B1141" t="s">
        <v>2599</v>
      </c>
      <c r="C1141" t="s">
        <v>3059</v>
      </c>
      <c r="D1141">
        <v>10</v>
      </c>
      <c r="E1141">
        <v>0.11</v>
      </c>
      <c r="F1141" t="s">
        <v>7</v>
      </c>
      <c r="G1141" t="s">
        <v>3070</v>
      </c>
    </row>
    <row r="1142" spans="1:7" x14ac:dyDescent="0.25">
      <c r="A1142">
        <v>8914</v>
      </c>
      <c r="B1142" t="s">
        <v>2604</v>
      </c>
      <c r="C1142" t="s">
        <v>3059</v>
      </c>
      <c r="D1142">
        <v>1</v>
      </c>
      <c r="E1142">
        <v>88.77</v>
      </c>
      <c r="F1142" t="s">
        <v>7</v>
      </c>
      <c r="G1142" t="s">
        <v>3070</v>
      </c>
    </row>
    <row r="1143" spans="1:7" x14ac:dyDescent="0.25">
      <c r="A1143">
        <v>8921</v>
      </c>
      <c r="B1143" t="s">
        <v>2606</v>
      </c>
      <c r="C1143" t="s">
        <v>3059</v>
      </c>
      <c r="D1143">
        <v>590</v>
      </c>
      <c r="E1143">
        <v>15.01</v>
      </c>
      <c r="F1143" t="s">
        <v>7</v>
      </c>
      <c r="G1143" t="s">
        <v>3071</v>
      </c>
    </row>
    <row r="1144" spans="1:7" x14ac:dyDescent="0.25">
      <c r="A1144">
        <v>8927</v>
      </c>
      <c r="B1144" t="s">
        <v>2607</v>
      </c>
      <c r="C1144" t="s">
        <v>3059</v>
      </c>
      <c r="D1144">
        <v>44</v>
      </c>
      <c r="E1144">
        <v>25.9</v>
      </c>
      <c r="F1144" t="s">
        <v>7</v>
      </c>
      <c r="G1144" t="s">
        <v>3071</v>
      </c>
    </row>
    <row r="1145" spans="1:7" x14ac:dyDescent="0.25">
      <c r="A1145">
        <v>8928</v>
      </c>
      <c r="B1145" t="s">
        <v>2608</v>
      </c>
      <c r="C1145" t="s">
        <v>3059</v>
      </c>
      <c r="D1145">
        <v>54</v>
      </c>
      <c r="E1145">
        <v>31.2</v>
      </c>
      <c r="F1145" t="s">
        <v>7</v>
      </c>
      <c r="G1145" t="s">
        <v>3071</v>
      </c>
    </row>
    <row r="1146" spans="1:7" x14ac:dyDescent="0.25">
      <c r="A1146">
        <v>8929</v>
      </c>
      <c r="B1146" t="s">
        <v>2609</v>
      </c>
      <c r="C1146" t="s">
        <v>3059</v>
      </c>
      <c r="D1146">
        <v>8</v>
      </c>
      <c r="E1146">
        <v>39.1</v>
      </c>
      <c r="F1146" t="s">
        <v>7</v>
      </c>
      <c r="G1146" t="s">
        <v>3071</v>
      </c>
    </row>
    <row r="1147" spans="1:7" x14ac:dyDescent="0.25">
      <c r="A1147">
        <v>8930</v>
      </c>
      <c r="B1147" t="s">
        <v>2610</v>
      </c>
      <c r="C1147" t="s">
        <v>3059</v>
      </c>
      <c r="D1147">
        <v>33</v>
      </c>
      <c r="E1147">
        <v>70.7</v>
      </c>
      <c r="F1147" t="s">
        <v>7</v>
      </c>
      <c r="G1147" t="s">
        <v>3071</v>
      </c>
    </row>
    <row r="1148" spans="1:7" x14ac:dyDescent="0.25">
      <c r="A1148">
        <v>8931</v>
      </c>
      <c r="B1148" t="s">
        <v>2611</v>
      </c>
      <c r="C1148" t="s">
        <v>3059</v>
      </c>
      <c r="D1148">
        <v>715</v>
      </c>
      <c r="E1148">
        <v>3.08</v>
      </c>
      <c r="F1148" t="s">
        <v>7</v>
      </c>
      <c r="G1148" t="s">
        <v>3071</v>
      </c>
    </row>
    <row r="1149" spans="1:7" x14ac:dyDescent="0.25">
      <c r="A1149">
        <v>8938</v>
      </c>
      <c r="B1149" t="s">
        <v>2614</v>
      </c>
      <c r="C1149" t="s">
        <v>3059</v>
      </c>
      <c r="D1149">
        <v>627</v>
      </c>
      <c r="E1149">
        <v>13.75</v>
      </c>
      <c r="F1149" t="s">
        <v>7</v>
      </c>
      <c r="G1149" t="s">
        <v>3071</v>
      </c>
    </row>
    <row r="1150" spans="1:7" x14ac:dyDescent="0.25">
      <c r="A1150">
        <v>8939</v>
      </c>
      <c r="B1150" t="s">
        <v>2615</v>
      </c>
      <c r="C1150" t="s">
        <v>3059</v>
      </c>
      <c r="D1150">
        <v>276</v>
      </c>
      <c r="E1150">
        <v>14</v>
      </c>
      <c r="F1150" t="s">
        <v>7</v>
      </c>
      <c r="G1150" t="s">
        <v>3071</v>
      </c>
    </row>
    <row r="1151" spans="1:7" x14ac:dyDescent="0.25">
      <c r="A1151">
        <v>8967</v>
      </c>
      <c r="B1151" t="s">
        <v>2618</v>
      </c>
      <c r="C1151" t="s">
        <v>3059</v>
      </c>
      <c r="D1151">
        <v>63</v>
      </c>
      <c r="E1151">
        <v>16.27</v>
      </c>
      <c r="F1151" t="s">
        <v>7</v>
      </c>
      <c r="G1151" t="s">
        <v>3071</v>
      </c>
    </row>
    <row r="1152" spans="1:7" x14ac:dyDescent="0.25">
      <c r="A1152">
        <v>8975</v>
      </c>
      <c r="B1152" t="s">
        <v>2621</v>
      </c>
      <c r="C1152" t="s">
        <v>3059</v>
      </c>
      <c r="D1152">
        <v>2</v>
      </c>
      <c r="E1152">
        <v>4.8</v>
      </c>
      <c r="F1152" t="s">
        <v>7</v>
      </c>
      <c r="G1152" t="s">
        <v>3070</v>
      </c>
    </row>
    <row r="1153" spans="1:7" x14ac:dyDescent="0.25">
      <c r="A1153">
        <v>8977</v>
      </c>
      <c r="B1153" t="s">
        <v>2622</v>
      </c>
      <c r="C1153" t="s">
        <v>3059</v>
      </c>
      <c r="D1153">
        <v>3</v>
      </c>
      <c r="E1153">
        <v>70.72</v>
      </c>
      <c r="F1153" t="s">
        <v>7</v>
      </c>
      <c r="G1153" t="s">
        <v>3070</v>
      </c>
    </row>
    <row r="1154" spans="1:7" x14ac:dyDescent="0.25">
      <c r="A1154">
        <v>8978</v>
      </c>
      <c r="B1154" t="s">
        <v>2623</v>
      </c>
      <c r="C1154" t="s">
        <v>3059</v>
      </c>
      <c r="D1154">
        <v>10</v>
      </c>
      <c r="E1154">
        <v>0.11</v>
      </c>
      <c r="F1154" t="s">
        <v>7</v>
      </c>
      <c r="G1154" t="s">
        <v>3070</v>
      </c>
    </row>
    <row r="1155" spans="1:7" x14ac:dyDescent="0.25">
      <c r="A1155">
        <v>8991</v>
      </c>
      <c r="B1155" t="s">
        <v>2627</v>
      </c>
      <c r="C1155" t="s">
        <v>3059</v>
      </c>
      <c r="D1155">
        <v>53</v>
      </c>
      <c r="E1155">
        <v>0.8</v>
      </c>
      <c r="F1155" t="s">
        <v>7</v>
      </c>
      <c r="G1155" t="s">
        <v>3110</v>
      </c>
    </row>
    <row r="1156" spans="1:7" x14ac:dyDescent="0.25">
      <c r="A1156">
        <v>8993</v>
      </c>
      <c r="B1156" t="s">
        <v>2629</v>
      </c>
      <c r="C1156" t="s">
        <v>3059</v>
      </c>
      <c r="D1156">
        <v>255</v>
      </c>
      <c r="E1156">
        <v>2.25</v>
      </c>
      <c r="F1156" t="s">
        <v>7</v>
      </c>
      <c r="G1156" t="s">
        <v>3110</v>
      </c>
    </row>
    <row r="1157" spans="1:7" x14ac:dyDescent="0.25">
      <c r="A1157">
        <v>8996</v>
      </c>
      <c r="B1157" t="s">
        <v>2631</v>
      </c>
      <c r="C1157" t="s">
        <v>3059</v>
      </c>
      <c r="D1157">
        <v>15</v>
      </c>
      <c r="E1157">
        <v>48.67</v>
      </c>
      <c r="F1157" t="s">
        <v>7</v>
      </c>
      <c r="G1157" t="s">
        <v>3110</v>
      </c>
    </row>
    <row r="1158" spans="1:7" x14ac:dyDescent="0.25">
      <c r="A1158">
        <v>8997</v>
      </c>
      <c r="B1158" t="s">
        <v>2632</v>
      </c>
      <c r="C1158" t="s">
        <v>3059</v>
      </c>
      <c r="D1158">
        <v>38</v>
      </c>
      <c r="E1158">
        <v>1.83</v>
      </c>
      <c r="F1158" t="s">
        <v>7</v>
      </c>
      <c r="G1158" t="s">
        <v>3110</v>
      </c>
    </row>
    <row r="1159" spans="1:7" x14ac:dyDescent="0.25">
      <c r="A1159">
        <v>8998</v>
      </c>
      <c r="B1159" t="s">
        <v>2633</v>
      </c>
      <c r="C1159" t="s">
        <v>3059</v>
      </c>
      <c r="D1159">
        <v>90</v>
      </c>
      <c r="E1159">
        <v>2.92</v>
      </c>
      <c r="F1159" t="s">
        <v>7</v>
      </c>
      <c r="G1159" t="s">
        <v>3110</v>
      </c>
    </row>
    <row r="1160" spans="1:7" x14ac:dyDescent="0.25">
      <c r="A1160">
        <v>8999</v>
      </c>
      <c r="B1160" t="s">
        <v>2634</v>
      </c>
      <c r="C1160" t="s">
        <v>3059</v>
      </c>
      <c r="D1160">
        <v>11</v>
      </c>
      <c r="E1160">
        <v>5.57</v>
      </c>
      <c r="F1160" t="s">
        <v>7</v>
      </c>
      <c r="G1160" t="s">
        <v>3110</v>
      </c>
    </row>
    <row r="1161" spans="1:7" x14ac:dyDescent="0.25">
      <c r="A1161">
        <v>9001</v>
      </c>
      <c r="B1161" t="s">
        <v>2636</v>
      </c>
      <c r="C1161" t="s">
        <v>3059</v>
      </c>
      <c r="D1161">
        <v>16</v>
      </c>
      <c r="E1161">
        <v>2.2000000000000002</v>
      </c>
      <c r="F1161" t="s">
        <v>7</v>
      </c>
      <c r="G1161" t="s">
        <v>3110</v>
      </c>
    </row>
    <row r="1162" spans="1:7" x14ac:dyDescent="0.25">
      <c r="A1162">
        <v>9002</v>
      </c>
      <c r="B1162" t="s">
        <v>2637</v>
      </c>
      <c r="C1162" t="s">
        <v>3059</v>
      </c>
      <c r="D1162">
        <v>10</v>
      </c>
      <c r="E1162">
        <v>3.69</v>
      </c>
      <c r="F1162" t="s">
        <v>7</v>
      </c>
      <c r="G1162" t="s">
        <v>3110</v>
      </c>
    </row>
    <row r="1163" spans="1:7" x14ac:dyDescent="0.25">
      <c r="A1163">
        <v>9007</v>
      </c>
      <c r="B1163" t="s">
        <v>2640</v>
      </c>
      <c r="C1163" t="s">
        <v>3059</v>
      </c>
      <c r="D1163">
        <v>1</v>
      </c>
      <c r="E1163">
        <v>4</v>
      </c>
      <c r="F1163" t="s">
        <v>7</v>
      </c>
      <c r="G1163" t="s">
        <v>3110</v>
      </c>
    </row>
    <row r="1164" spans="1:7" x14ac:dyDescent="0.25">
      <c r="A1164">
        <v>9009</v>
      </c>
      <c r="B1164" t="s">
        <v>2642</v>
      </c>
      <c r="C1164" t="s">
        <v>3059</v>
      </c>
      <c r="D1164">
        <v>50</v>
      </c>
      <c r="E1164">
        <v>8.9600000000000009</v>
      </c>
      <c r="F1164" t="s">
        <v>7</v>
      </c>
      <c r="G1164" t="s">
        <v>3110</v>
      </c>
    </row>
    <row r="1165" spans="1:7" x14ac:dyDescent="0.25">
      <c r="A1165">
        <v>9010</v>
      </c>
      <c r="B1165" t="s">
        <v>2643</v>
      </c>
      <c r="C1165" t="s">
        <v>3059</v>
      </c>
      <c r="D1165">
        <v>10</v>
      </c>
      <c r="E1165">
        <v>4.57</v>
      </c>
      <c r="F1165" t="s">
        <v>7</v>
      </c>
      <c r="G1165" t="s">
        <v>3110</v>
      </c>
    </row>
    <row r="1166" spans="1:7" x14ac:dyDescent="0.25">
      <c r="A1166">
        <v>9015</v>
      </c>
      <c r="B1166" t="s">
        <v>2647</v>
      </c>
      <c r="C1166" t="s">
        <v>3059</v>
      </c>
      <c r="D1166">
        <v>10</v>
      </c>
      <c r="E1166">
        <v>5.26</v>
      </c>
      <c r="F1166" t="s">
        <v>7</v>
      </c>
      <c r="G1166" t="s">
        <v>3110</v>
      </c>
    </row>
    <row r="1167" spans="1:7" x14ac:dyDescent="0.25">
      <c r="A1167">
        <v>9018</v>
      </c>
      <c r="B1167" t="s">
        <v>2649</v>
      </c>
      <c r="C1167" t="s">
        <v>3059</v>
      </c>
      <c r="D1167">
        <v>1</v>
      </c>
      <c r="E1167">
        <v>17.47</v>
      </c>
      <c r="F1167" t="s">
        <v>7</v>
      </c>
      <c r="G1167" t="s">
        <v>3110</v>
      </c>
    </row>
    <row r="1168" spans="1:7" x14ac:dyDescent="0.25">
      <c r="A1168">
        <v>9021</v>
      </c>
      <c r="B1168" t="s">
        <v>2652</v>
      </c>
      <c r="C1168" t="s">
        <v>3059</v>
      </c>
      <c r="D1168">
        <v>29</v>
      </c>
      <c r="E1168">
        <v>2.78</v>
      </c>
      <c r="F1168" t="s">
        <v>7</v>
      </c>
      <c r="G1168" t="s">
        <v>3110</v>
      </c>
    </row>
    <row r="1169" spans="1:7" x14ac:dyDescent="0.25">
      <c r="A1169">
        <v>9024</v>
      </c>
      <c r="B1169" t="s">
        <v>2654</v>
      </c>
      <c r="C1169" t="s">
        <v>3059</v>
      </c>
      <c r="D1169">
        <v>10</v>
      </c>
      <c r="E1169">
        <v>43.57</v>
      </c>
      <c r="F1169" t="s">
        <v>7</v>
      </c>
      <c r="G1169" t="s">
        <v>3110</v>
      </c>
    </row>
    <row r="1170" spans="1:7" x14ac:dyDescent="0.25">
      <c r="A1170">
        <v>9025</v>
      </c>
      <c r="B1170" t="s">
        <v>2655</v>
      </c>
      <c r="C1170" t="s">
        <v>3059</v>
      </c>
      <c r="D1170">
        <v>4</v>
      </c>
      <c r="E1170">
        <v>35</v>
      </c>
      <c r="F1170" t="s">
        <v>7</v>
      </c>
      <c r="G1170" t="s">
        <v>3110</v>
      </c>
    </row>
    <row r="1171" spans="1:7" x14ac:dyDescent="0.25">
      <c r="A1171">
        <v>9027</v>
      </c>
      <c r="B1171" t="s">
        <v>2657</v>
      </c>
      <c r="C1171" t="s">
        <v>3059</v>
      </c>
      <c r="D1171">
        <v>4</v>
      </c>
      <c r="E1171">
        <v>1.32</v>
      </c>
      <c r="F1171" t="s">
        <v>7</v>
      </c>
      <c r="G1171" t="s">
        <v>3110</v>
      </c>
    </row>
    <row r="1172" spans="1:7" x14ac:dyDescent="0.25">
      <c r="A1172">
        <v>9028</v>
      </c>
      <c r="B1172" t="s">
        <v>2658</v>
      </c>
      <c r="C1172" t="s">
        <v>3059</v>
      </c>
      <c r="D1172">
        <v>20</v>
      </c>
      <c r="E1172">
        <v>6.34</v>
      </c>
      <c r="F1172" t="s">
        <v>7</v>
      </c>
      <c r="G1172" t="s">
        <v>3110</v>
      </c>
    </row>
    <row r="1173" spans="1:7" x14ac:dyDescent="0.25">
      <c r="A1173">
        <v>9029</v>
      </c>
      <c r="B1173" t="s">
        <v>2659</v>
      </c>
      <c r="C1173" t="s">
        <v>3059</v>
      </c>
      <c r="D1173">
        <v>90</v>
      </c>
      <c r="E1173">
        <v>5.95</v>
      </c>
      <c r="F1173" t="s">
        <v>7</v>
      </c>
      <c r="G1173" t="s">
        <v>3110</v>
      </c>
    </row>
    <row r="1174" spans="1:7" x14ac:dyDescent="0.25">
      <c r="A1174">
        <v>9039</v>
      </c>
      <c r="B1174" t="s">
        <v>2666</v>
      </c>
      <c r="C1174" t="s">
        <v>3059</v>
      </c>
      <c r="D1174">
        <v>3</v>
      </c>
      <c r="E1174">
        <v>45</v>
      </c>
      <c r="F1174" t="s">
        <v>7</v>
      </c>
      <c r="G1174" t="s">
        <v>3110</v>
      </c>
    </row>
    <row r="1175" spans="1:7" x14ac:dyDescent="0.25">
      <c r="A1175">
        <v>9045</v>
      </c>
      <c r="B1175" t="s">
        <v>2670</v>
      </c>
      <c r="C1175" t="s">
        <v>3059</v>
      </c>
      <c r="D1175">
        <v>23</v>
      </c>
      <c r="E1175">
        <v>43.14</v>
      </c>
      <c r="F1175" t="s">
        <v>7</v>
      </c>
      <c r="G1175" t="s">
        <v>3110</v>
      </c>
    </row>
    <row r="1176" spans="1:7" x14ac:dyDescent="0.25">
      <c r="A1176">
        <v>9051</v>
      </c>
      <c r="B1176" t="s">
        <v>2675</v>
      </c>
      <c r="C1176" t="s">
        <v>3059</v>
      </c>
      <c r="D1176">
        <v>5</v>
      </c>
      <c r="E1176">
        <v>3.2</v>
      </c>
      <c r="F1176" t="s">
        <v>7</v>
      </c>
      <c r="G1176" t="s">
        <v>3110</v>
      </c>
    </row>
    <row r="1177" spans="1:7" x14ac:dyDescent="0.25">
      <c r="A1177">
        <v>9067</v>
      </c>
      <c r="B1177" t="s">
        <v>2683</v>
      </c>
      <c r="C1177" t="s">
        <v>3059</v>
      </c>
      <c r="D1177">
        <v>1</v>
      </c>
      <c r="E1177">
        <v>12.68</v>
      </c>
      <c r="F1177" t="s">
        <v>7</v>
      </c>
      <c r="G1177" t="s">
        <v>3110</v>
      </c>
    </row>
    <row r="1178" spans="1:7" x14ac:dyDescent="0.25">
      <c r="A1178">
        <v>9079</v>
      </c>
      <c r="B1178" t="s">
        <v>2690</v>
      </c>
      <c r="C1178" t="s">
        <v>3059</v>
      </c>
      <c r="D1178">
        <v>1</v>
      </c>
      <c r="E1178">
        <v>63.03</v>
      </c>
      <c r="F1178" t="s">
        <v>7</v>
      </c>
      <c r="G1178" t="s">
        <v>3110</v>
      </c>
    </row>
    <row r="1179" spans="1:7" x14ac:dyDescent="0.25">
      <c r="A1179">
        <v>9080</v>
      </c>
      <c r="B1179" t="s">
        <v>2691</v>
      </c>
      <c r="C1179" t="s">
        <v>3059</v>
      </c>
      <c r="D1179">
        <v>16</v>
      </c>
      <c r="E1179">
        <v>77.97</v>
      </c>
      <c r="F1179" t="s">
        <v>7</v>
      </c>
      <c r="G1179" t="s">
        <v>3110</v>
      </c>
    </row>
    <row r="1180" spans="1:7" x14ac:dyDescent="0.25">
      <c r="A1180">
        <v>9083</v>
      </c>
      <c r="B1180" t="s">
        <v>2693</v>
      </c>
      <c r="C1180" t="s">
        <v>3059</v>
      </c>
      <c r="D1180">
        <v>22</v>
      </c>
      <c r="E1180">
        <v>15.57</v>
      </c>
      <c r="F1180" t="s">
        <v>7</v>
      </c>
      <c r="G1180" t="s">
        <v>3110</v>
      </c>
    </row>
    <row r="1181" spans="1:7" x14ac:dyDescent="0.25">
      <c r="A1181">
        <v>9084</v>
      </c>
      <c r="B1181" t="s">
        <v>2694</v>
      </c>
      <c r="C1181" t="s">
        <v>3059</v>
      </c>
      <c r="D1181">
        <v>5</v>
      </c>
      <c r="E1181">
        <v>12.58</v>
      </c>
      <c r="F1181" t="s">
        <v>7</v>
      </c>
      <c r="G1181" t="s">
        <v>3110</v>
      </c>
    </row>
    <row r="1182" spans="1:7" x14ac:dyDescent="0.25">
      <c r="A1182">
        <v>9093</v>
      </c>
      <c r="B1182" t="s">
        <v>2700</v>
      </c>
      <c r="C1182" t="s">
        <v>3059</v>
      </c>
      <c r="D1182">
        <v>5</v>
      </c>
      <c r="E1182">
        <v>15.36</v>
      </c>
      <c r="F1182" t="s">
        <v>7</v>
      </c>
      <c r="G1182" t="s">
        <v>3110</v>
      </c>
    </row>
    <row r="1183" spans="1:7" x14ac:dyDescent="0.25">
      <c r="A1183">
        <v>9199</v>
      </c>
      <c r="B1183" t="s">
        <v>2702</v>
      </c>
      <c r="C1183" t="s">
        <v>3059</v>
      </c>
      <c r="D1183">
        <v>25</v>
      </c>
      <c r="E1183">
        <v>582</v>
      </c>
      <c r="F1183" t="s">
        <v>7</v>
      </c>
      <c r="G1183" t="s">
        <v>3073</v>
      </c>
    </row>
    <row r="1184" spans="1:7" x14ac:dyDescent="0.25">
      <c r="A1184">
        <v>9207</v>
      </c>
      <c r="B1184" t="s">
        <v>2703</v>
      </c>
      <c r="C1184" t="s">
        <v>3059</v>
      </c>
      <c r="D1184">
        <v>31</v>
      </c>
      <c r="E1184">
        <v>42.63</v>
      </c>
      <c r="F1184" t="s">
        <v>7</v>
      </c>
      <c r="G1184" t="s">
        <v>3073</v>
      </c>
    </row>
    <row r="1185" spans="1:7" x14ac:dyDescent="0.25">
      <c r="A1185">
        <v>9208</v>
      </c>
      <c r="B1185" t="s">
        <v>2704</v>
      </c>
      <c r="C1185" t="s">
        <v>3059</v>
      </c>
      <c r="D1185">
        <v>3</v>
      </c>
      <c r="E1185">
        <v>46.18</v>
      </c>
      <c r="F1185" t="s">
        <v>7</v>
      </c>
      <c r="G1185" t="s">
        <v>3073</v>
      </c>
    </row>
    <row r="1186" spans="1:7" x14ac:dyDescent="0.25">
      <c r="A1186">
        <v>9211</v>
      </c>
      <c r="B1186" t="s">
        <v>2707</v>
      </c>
      <c r="C1186" t="s">
        <v>3059</v>
      </c>
      <c r="D1186">
        <v>110</v>
      </c>
      <c r="E1186">
        <v>124.15</v>
      </c>
      <c r="F1186" t="s">
        <v>7</v>
      </c>
      <c r="G1186" t="s">
        <v>3073</v>
      </c>
    </row>
    <row r="1187" spans="1:7" x14ac:dyDescent="0.25">
      <c r="A1187">
        <v>9212</v>
      </c>
      <c r="B1187" t="s">
        <v>2708</v>
      </c>
      <c r="C1187" t="s">
        <v>3059</v>
      </c>
      <c r="D1187">
        <v>2</v>
      </c>
      <c r="E1187">
        <v>16.829999999999998</v>
      </c>
      <c r="F1187" t="s">
        <v>7</v>
      </c>
      <c r="G1187" t="s">
        <v>3073</v>
      </c>
    </row>
    <row r="1188" spans="1:7" x14ac:dyDescent="0.25">
      <c r="A1188">
        <v>9214</v>
      </c>
      <c r="B1188" t="s">
        <v>2710</v>
      </c>
      <c r="C1188" t="s">
        <v>3059</v>
      </c>
      <c r="D1188">
        <v>45</v>
      </c>
      <c r="E1188">
        <v>7.08</v>
      </c>
      <c r="F1188" t="s">
        <v>7</v>
      </c>
      <c r="G1188" t="s">
        <v>3073</v>
      </c>
    </row>
    <row r="1189" spans="1:7" x14ac:dyDescent="0.25">
      <c r="A1189">
        <v>9215</v>
      </c>
      <c r="B1189" t="s">
        <v>2711</v>
      </c>
      <c r="C1189" t="s">
        <v>3059</v>
      </c>
      <c r="D1189">
        <v>4</v>
      </c>
      <c r="E1189">
        <v>10.18</v>
      </c>
      <c r="F1189" t="s">
        <v>7</v>
      </c>
      <c r="G1189" t="s">
        <v>3073</v>
      </c>
    </row>
    <row r="1190" spans="1:7" x14ac:dyDescent="0.25">
      <c r="A1190">
        <v>9216</v>
      </c>
      <c r="B1190" t="s">
        <v>2712</v>
      </c>
      <c r="C1190" t="s">
        <v>3059</v>
      </c>
      <c r="D1190">
        <v>16</v>
      </c>
      <c r="E1190">
        <v>10.01</v>
      </c>
      <c r="F1190" t="s">
        <v>7</v>
      </c>
      <c r="G1190" t="s">
        <v>3073</v>
      </c>
    </row>
    <row r="1191" spans="1:7" x14ac:dyDescent="0.25">
      <c r="A1191">
        <v>9217</v>
      </c>
      <c r="B1191" t="s">
        <v>2713</v>
      </c>
      <c r="C1191" t="s">
        <v>3059</v>
      </c>
      <c r="D1191">
        <v>17</v>
      </c>
      <c r="E1191">
        <v>170</v>
      </c>
      <c r="F1191" t="s">
        <v>7</v>
      </c>
      <c r="G1191" t="s">
        <v>3073</v>
      </c>
    </row>
    <row r="1192" spans="1:7" x14ac:dyDescent="0.25">
      <c r="A1192">
        <v>9218</v>
      </c>
      <c r="B1192" t="s">
        <v>2714</v>
      </c>
      <c r="C1192" t="s">
        <v>3059</v>
      </c>
      <c r="D1192">
        <v>26</v>
      </c>
      <c r="E1192">
        <v>223.35</v>
      </c>
      <c r="F1192" t="s">
        <v>7</v>
      </c>
      <c r="G1192" t="s">
        <v>3073</v>
      </c>
    </row>
    <row r="1193" spans="1:7" x14ac:dyDescent="0.25">
      <c r="A1193">
        <v>9222</v>
      </c>
      <c r="B1193" t="s">
        <v>2718</v>
      </c>
      <c r="C1193" t="s">
        <v>3059</v>
      </c>
      <c r="D1193">
        <v>96</v>
      </c>
      <c r="E1193">
        <v>3.62</v>
      </c>
      <c r="F1193" t="s">
        <v>7</v>
      </c>
      <c r="G1193" t="s">
        <v>3073</v>
      </c>
    </row>
    <row r="1194" spans="1:7" x14ac:dyDescent="0.25">
      <c r="A1194">
        <v>9223</v>
      </c>
      <c r="B1194" t="s">
        <v>2719</v>
      </c>
      <c r="C1194" t="s">
        <v>3059</v>
      </c>
      <c r="D1194">
        <v>115</v>
      </c>
      <c r="E1194">
        <v>4.97</v>
      </c>
      <c r="F1194" t="s">
        <v>7</v>
      </c>
      <c r="G1194" t="s">
        <v>3073</v>
      </c>
    </row>
    <row r="1195" spans="1:7" x14ac:dyDescent="0.25">
      <c r="A1195">
        <v>9224</v>
      </c>
      <c r="B1195" t="s">
        <v>2720</v>
      </c>
      <c r="C1195" t="s">
        <v>3059</v>
      </c>
      <c r="D1195">
        <v>295</v>
      </c>
      <c r="E1195">
        <v>6.9</v>
      </c>
      <c r="F1195" t="s">
        <v>7</v>
      </c>
      <c r="G1195" t="s">
        <v>3073</v>
      </c>
    </row>
    <row r="1196" spans="1:7" x14ac:dyDescent="0.25">
      <c r="A1196">
        <v>9227</v>
      </c>
      <c r="B1196" t="s">
        <v>2723</v>
      </c>
      <c r="C1196" t="s">
        <v>3059</v>
      </c>
      <c r="D1196">
        <v>52</v>
      </c>
      <c r="E1196">
        <v>74.5</v>
      </c>
      <c r="F1196" t="s">
        <v>7</v>
      </c>
      <c r="G1196" t="s">
        <v>3073</v>
      </c>
    </row>
    <row r="1197" spans="1:7" x14ac:dyDescent="0.25">
      <c r="A1197">
        <v>9229</v>
      </c>
      <c r="B1197" t="s">
        <v>2725</v>
      </c>
      <c r="C1197" t="s">
        <v>3059</v>
      </c>
      <c r="D1197">
        <v>17</v>
      </c>
      <c r="E1197">
        <v>27.44</v>
      </c>
      <c r="F1197" t="s">
        <v>7</v>
      </c>
      <c r="G1197" t="s">
        <v>3073</v>
      </c>
    </row>
    <row r="1198" spans="1:7" x14ac:dyDescent="0.25">
      <c r="A1198">
        <v>9230</v>
      </c>
      <c r="B1198" t="s">
        <v>2726</v>
      </c>
      <c r="C1198" t="s">
        <v>3059</v>
      </c>
      <c r="D1198">
        <v>65</v>
      </c>
      <c r="E1198">
        <v>24.5</v>
      </c>
      <c r="F1198" t="s">
        <v>7</v>
      </c>
      <c r="G1198" t="s">
        <v>3073</v>
      </c>
    </row>
    <row r="1199" spans="1:7" x14ac:dyDescent="0.25">
      <c r="A1199">
        <v>9231</v>
      </c>
      <c r="B1199" t="s">
        <v>2727</v>
      </c>
      <c r="C1199" t="s">
        <v>3059</v>
      </c>
      <c r="D1199">
        <v>4</v>
      </c>
      <c r="E1199">
        <v>31.19</v>
      </c>
      <c r="F1199" t="s">
        <v>7</v>
      </c>
      <c r="G1199" t="s">
        <v>3073</v>
      </c>
    </row>
    <row r="1200" spans="1:7" x14ac:dyDescent="0.25">
      <c r="A1200">
        <v>9232</v>
      </c>
      <c r="B1200" t="s">
        <v>2728</v>
      </c>
      <c r="C1200" t="s">
        <v>3059</v>
      </c>
      <c r="D1200">
        <v>1</v>
      </c>
      <c r="E1200">
        <v>35</v>
      </c>
      <c r="F1200" t="s">
        <v>7</v>
      </c>
      <c r="G1200" t="s">
        <v>3073</v>
      </c>
    </row>
    <row r="1201" spans="1:7" x14ac:dyDescent="0.25">
      <c r="A1201">
        <v>9233</v>
      </c>
      <c r="B1201" t="s">
        <v>2729</v>
      </c>
      <c r="C1201" t="s">
        <v>3059</v>
      </c>
      <c r="D1201">
        <v>81</v>
      </c>
      <c r="E1201">
        <v>51.38</v>
      </c>
      <c r="F1201" t="s">
        <v>7</v>
      </c>
      <c r="G1201" t="s">
        <v>3073</v>
      </c>
    </row>
    <row r="1202" spans="1:7" x14ac:dyDescent="0.25">
      <c r="A1202">
        <v>9235</v>
      </c>
      <c r="B1202" t="s">
        <v>2730</v>
      </c>
      <c r="C1202" t="s">
        <v>3059</v>
      </c>
      <c r="D1202">
        <v>4</v>
      </c>
      <c r="E1202">
        <v>3134.71</v>
      </c>
      <c r="F1202" t="s">
        <v>7</v>
      </c>
      <c r="G1202" t="s">
        <v>3073</v>
      </c>
    </row>
    <row r="1203" spans="1:7" x14ac:dyDescent="0.25">
      <c r="A1203">
        <v>9239</v>
      </c>
      <c r="B1203" t="s">
        <v>2731</v>
      </c>
      <c r="C1203" t="s">
        <v>3059</v>
      </c>
      <c r="D1203">
        <v>1</v>
      </c>
      <c r="E1203">
        <v>910</v>
      </c>
      <c r="F1203" t="s">
        <v>7</v>
      </c>
      <c r="G1203" t="s">
        <v>3073</v>
      </c>
    </row>
    <row r="1204" spans="1:7" x14ac:dyDescent="0.25">
      <c r="A1204">
        <v>9252</v>
      </c>
      <c r="B1204" t="s">
        <v>2732</v>
      </c>
      <c r="C1204" t="s">
        <v>3059</v>
      </c>
      <c r="D1204">
        <v>33</v>
      </c>
      <c r="E1204">
        <v>24.02</v>
      </c>
      <c r="F1204" t="s">
        <v>7</v>
      </c>
      <c r="G1204" t="s">
        <v>3062</v>
      </c>
    </row>
    <row r="1205" spans="1:7" x14ac:dyDescent="0.25">
      <c r="A1205">
        <v>9253</v>
      </c>
      <c r="B1205" t="s">
        <v>2733</v>
      </c>
      <c r="C1205" t="s">
        <v>3059</v>
      </c>
      <c r="D1205">
        <v>19</v>
      </c>
      <c r="E1205">
        <v>22.8</v>
      </c>
      <c r="F1205" t="s">
        <v>7</v>
      </c>
      <c r="G1205" t="s">
        <v>3062</v>
      </c>
    </row>
    <row r="1206" spans="1:7" x14ac:dyDescent="0.25">
      <c r="A1206">
        <v>9254</v>
      </c>
      <c r="B1206" t="s">
        <v>3220</v>
      </c>
      <c r="C1206" t="s">
        <v>3059</v>
      </c>
      <c r="D1206">
        <v>44</v>
      </c>
      <c r="E1206">
        <v>5.34</v>
      </c>
      <c r="F1206" t="s">
        <v>7</v>
      </c>
      <c r="G1206" t="s">
        <v>3110</v>
      </c>
    </row>
    <row r="1207" spans="1:7" x14ac:dyDescent="0.25">
      <c r="A1207">
        <v>9258</v>
      </c>
      <c r="B1207" t="s">
        <v>2736</v>
      </c>
      <c r="C1207" t="s">
        <v>3059</v>
      </c>
      <c r="D1207">
        <v>2</v>
      </c>
      <c r="E1207">
        <v>143.4</v>
      </c>
      <c r="F1207" t="s">
        <v>7</v>
      </c>
      <c r="G1207" t="s">
        <v>3071</v>
      </c>
    </row>
    <row r="1208" spans="1:7" x14ac:dyDescent="0.25">
      <c r="A1208">
        <v>9259</v>
      </c>
      <c r="B1208" t="s">
        <v>2737</v>
      </c>
      <c r="C1208" t="s">
        <v>3059</v>
      </c>
      <c r="D1208">
        <v>170</v>
      </c>
      <c r="E1208">
        <v>2.31</v>
      </c>
      <c r="F1208" t="s">
        <v>7</v>
      </c>
      <c r="G1208" t="s">
        <v>3071</v>
      </c>
    </row>
    <row r="1209" spans="1:7" x14ac:dyDescent="0.25">
      <c r="A1209">
        <v>9260</v>
      </c>
      <c r="B1209" t="s">
        <v>2738</v>
      </c>
      <c r="C1209" t="s">
        <v>3059</v>
      </c>
      <c r="D1209">
        <v>156</v>
      </c>
      <c r="E1209">
        <v>2.8</v>
      </c>
      <c r="F1209" t="s">
        <v>7</v>
      </c>
      <c r="G1209" t="s">
        <v>3071</v>
      </c>
    </row>
    <row r="1210" spans="1:7" x14ac:dyDescent="0.25">
      <c r="A1210">
        <v>9262</v>
      </c>
      <c r="B1210" t="s">
        <v>2739</v>
      </c>
      <c r="C1210" t="s">
        <v>3059</v>
      </c>
      <c r="D1210">
        <v>292</v>
      </c>
      <c r="E1210">
        <v>4.41</v>
      </c>
      <c r="F1210" t="s">
        <v>7</v>
      </c>
      <c r="G1210" t="s">
        <v>3071</v>
      </c>
    </row>
    <row r="1211" spans="1:7" x14ac:dyDescent="0.25">
      <c r="A1211">
        <v>9264</v>
      </c>
      <c r="B1211" t="s">
        <v>2740</v>
      </c>
      <c r="C1211" t="s">
        <v>3059</v>
      </c>
      <c r="D1211">
        <v>19</v>
      </c>
      <c r="E1211">
        <v>10.49</v>
      </c>
      <c r="F1211" t="s">
        <v>7</v>
      </c>
      <c r="G1211" t="s">
        <v>3071</v>
      </c>
    </row>
    <row r="1212" spans="1:7" x14ac:dyDescent="0.25">
      <c r="A1212">
        <v>9267</v>
      </c>
      <c r="B1212" t="s">
        <v>2741</v>
      </c>
      <c r="C1212" t="s">
        <v>3059</v>
      </c>
      <c r="D1212">
        <v>515</v>
      </c>
      <c r="E1212">
        <v>17.32</v>
      </c>
      <c r="F1212" t="s">
        <v>7</v>
      </c>
      <c r="G1212" t="s">
        <v>3071</v>
      </c>
    </row>
    <row r="1213" spans="1:7" x14ac:dyDescent="0.25">
      <c r="A1213">
        <v>9268</v>
      </c>
      <c r="B1213" t="s">
        <v>2742</v>
      </c>
      <c r="C1213" t="s">
        <v>3059</v>
      </c>
      <c r="D1213">
        <v>11</v>
      </c>
      <c r="E1213">
        <v>17.34</v>
      </c>
      <c r="F1213" t="s">
        <v>7</v>
      </c>
      <c r="G1213" t="s">
        <v>3071</v>
      </c>
    </row>
    <row r="1214" spans="1:7" x14ac:dyDescent="0.25">
      <c r="A1214">
        <v>9273</v>
      </c>
      <c r="B1214" t="s">
        <v>2743</v>
      </c>
      <c r="C1214" t="s">
        <v>3059</v>
      </c>
      <c r="D1214">
        <v>46</v>
      </c>
      <c r="E1214">
        <v>36.75</v>
      </c>
      <c r="F1214" t="s">
        <v>7</v>
      </c>
      <c r="G1214" t="s">
        <v>3071</v>
      </c>
    </row>
    <row r="1215" spans="1:7" x14ac:dyDescent="0.25">
      <c r="A1215">
        <v>9275</v>
      </c>
      <c r="B1215" t="s">
        <v>2745</v>
      </c>
      <c r="C1215" t="s">
        <v>3059</v>
      </c>
      <c r="D1215">
        <v>1</v>
      </c>
      <c r="E1215">
        <v>49</v>
      </c>
      <c r="F1215" t="s">
        <v>7</v>
      </c>
      <c r="G1215" t="s">
        <v>3071</v>
      </c>
    </row>
    <row r="1216" spans="1:7" x14ac:dyDescent="0.25">
      <c r="A1216">
        <v>9281</v>
      </c>
      <c r="B1216" t="s">
        <v>2749</v>
      </c>
      <c r="C1216" t="s">
        <v>3059</v>
      </c>
      <c r="D1216">
        <v>33</v>
      </c>
      <c r="E1216">
        <v>39.47</v>
      </c>
      <c r="F1216" t="s">
        <v>7</v>
      </c>
      <c r="G1216" t="s">
        <v>3071</v>
      </c>
    </row>
    <row r="1217" spans="1:7" x14ac:dyDescent="0.25">
      <c r="A1217">
        <v>9282</v>
      </c>
      <c r="B1217" t="s">
        <v>2750</v>
      </c>
      <c r="C1217" t="s">
        <v>3059</v>
      </c>
      <c r="D1217">
        <v>20</v>
      </c>
      <c r="E1217">
        <v>31</v>
      </c>
      <c r="F1217" t="s">
        <v>7</v>
      </c>
      <c r="G1217" t="s">
        <v>3071</v>
      </c>
    </row>
    <row r="1218" spans="1:7" x14ac:dyDescent="0.25">
      <c r="A1218">
        <v>9292</v>
      </c>
      <c r="B1218" t="s">
        <v>2751</v>
      </c>
      <c r="C1218" t="s">
        <v>3059</v>
      </c>
      <c r="D1218">
        <v>4</v>
      </c>
      <c r="E1218">
        <v>325</v>
      </c>
      <c r="F1218" t="s">
        <v>7</v>
      </c>
      <c r="G1218" t="s">
        <v>3073</v>
      </c>
    </row>
    <row r="1219" spans="1:7" x14ac:dyDescent="0.25">
      <c r="A1219">
        <v>9329</v>
      </c>
      <c r="B1219" t="s">
        <v>2771</v>
      </c>
      <c r="C1219" t="s">
        <v>3059</v>
      </c>
      <c r="D1219">
        <v>20</v>
      </c>
      <c r="E1219">
        <v>36.15</v>
      </c>
      <c r="F1219" t="s">
        <v>7</v>
      </c>
      <c r="G1219" t="s">
        <v>3070</v>
      </c>
    </row>
    <row r="1220" spans="1:7" x14ac:dyDescent="0.25">
      <c r="A1220">
        <v>9352</v>
      </c>
      <c r="B1220" t="s">
        <v>3221</v>
      </c>
      <c r="C1220" t="s">
        <v>3059</v>
      </c>
      <c r="D1220">
        <v>46</v>
      </c>
      <c r="E1220">
        <v>221</v>
      </c>
      <c r="F1220" t="s">
        <v>7</v>
      </c>
      <c r="G1220" t="s">
        <v>3070</v>
      </c>
    </row>
    <row r="1221" spans="1:7" x14ac:dyDescent="0.25">
      <c r="A1221">
        <v>9354</v>
      </c>
      <c r="B1221" t="s">
        <v>2784</v>
      </c>
      <c r="C1221" t="s">
        <v>3059</v>
      </c>
      <c r="D1221">
        <v>6</v>
      </c>
      <c r="E1221">
        <v>60.95</v>
      </c>
      <c r="F1221" t="s">
        <v>7</v>
      </c>
      <c r="G1221" t="s">
        <v>3101</v>
      </c>
    </row>
    <row r="1222" spans="1:7" x14ac:dyDescent="0.25">
      <c r="A1222">
        <v>9355</v>
      </c>
      <c r="B1222" t="s">
        <v>2785</v>
      </c>
      <c r="C1222" t="s">
        <v>3059</v>
      </c>
      <c r="D1222">
        <v>3</v>
      </c>
      <c r="E1222">
        <v>99.26</v>
      </c>
      <c r="F1222" t="s">
        <v>7</v>
      </c>
      <c r="G1222" t="s">
        <v>3070</v>
      </c>
    </row>
    <row r="1223" spans="1:7" x14ac:dyDescent="0.25">
      <c r="A1223">
        <v>9362</v>
      </c>
      <c r="B1223" t="s">
        <v>2791</v>
      </c>
      <c r="C1223" t="s">
        <v>3059</v>
      </c>
      <c r="D1223">
        <v>75</v>
      </c>
      <c r="E1223">
        <v>9.6300000000000008</v>
      </c>
      <c r="F1223" t="s">
        <v>7</v>
      </c>
      <c r="G1223" t="s">
        <v>3073</v>
      </c>
    </row>
    <row r="1224" spans="1:7" x14ac:dyDescent="0.25">
      <c r="A1224">
        <v>9363</v>
      </c>
      <c r="B1224" t="s">
        <v>2792</v>
      </c>
      <c r="C1224" t="s">
        <v>3059</v>
      </c>
      <c r="D1224">
        <v>10</v>
      </c>
      <c r="E1224">
        <v>62.32</v>
      </c>
      <c r="F1224" t="s">
        <v>7</v>
      </c>
      <c r="G1224" t="s">
        <v>3073</v>
      </c>
    </row>
    <row r="1225" spans="1:7" x14ac:dyDescent="0.25">
      <c r="A1225">
        <v>9366</v>
      </c>
      <c r="B1225" t="s">
        <v>2795</v>
      </c>
      <c r="C1225" t="s">
        <v>3059</v>
      </c>
      <c r="D1225">
        <v>73</v>
      </c>
      <c r="E1225">
        <v>8.83</v>
      </c>
      <c r="F1225" t="s">
        <v>7</v>
      </c>
      <c r="G1225" t="s">
        <v>3073</v>
      </c>
    </row>
    <row r="1226" spans="1:7" x14ac:dyDescent="0.25">
      <c r="A1226">
        <v>9367</v>
      </c>
      <c r="B1226" t="s">
        <v>2796</v>
      </c>
      <c r="C1226" t="s">
        <v>3059</v>
      </c>
      <c r="D1226">
        <v>285</v>
      </c>
      <c r="E1226">
        <v>8.83</v>
      </c>
      <c r="F1226" t="s">
        <v>7</v>
      </c>
      <c r="G1226" t="s">
        <v>3073</v>
      </c>
    </row>
    <row r="1227" spans="1:7" x14ac:dyDescent="0.25">
      <c r="A1227">
        <v>9368</v>
      </c>
      <c r="B1227" t="s">
        <v>2797</v>
      </c>
      <c r="C1227" t="s">
        <v>3059</v>
      </c>
      <c r="D1227">
        <v>150</v>
      </c>
      <c r="E1227">
        <v>8.64</v>
      </c>
      <c r="F1227" t="s">
        <v>7</v>
      </c>
      <c r="G1227" t="s">
        <v>3073</v>
      </c>
    </row>
    <row r="1228" spans="1:7" x14ac:dyDescent="0.25">
      <c r="A1228">
        <v>9369</v>
      </c>
      <c r="B1228" t="s">
        <v>2798</v>
      </c>
      <c r="C1228" t="s">
        <v>3059</v>
      </c>
      <c r="D1228">
        <v>59</v>
      </c>
      <c r="E1228">
        <v>19.11</v>
      </c>
      <c r="F1228" t="s">
        <v>7</v>
      </c>
      <c r="G1228" t="s">
        <v>3073</v>
      </c>
    </row>
    <row r="1229" spans="1:7" x14ac:dyDescent="0.25">
      <c r="A1229">
        <v>9370</v>
      </c>
      <c r="B1229" t="s">
        <v>2799</v>
      </c>
      <c r="C1229" t="s">
        <v>3059</v>
      </c>
      <c r="D1229">
        <v>41</v>
      </c>
      <c r="E1229">
        <v>28.51</v>
      </c>
      <c r="F1229" t="s">
        <v>7</v>
      </c>
      <c r="G1229" t="s">
        <v>3073</v>
      </c>
    </row>
    <row r="1230" spans="1:7" x14ac:dyDescent="0.25">
      <c r="A1230">
        <v>9371</v>
      </c>
      <c r="B1230" t="s">
        <v>2800</v>
      </c>
      <c r="C1230" t="s">
        <v>3059</v>
      </c>
      <c r="D1230">
        <v>45</v>
      </c>
      <c r="E1230">
        <v>36.799999999999997</v>
      </c>
      <c r="F1230" t="s">
        <v>7</v>
      </c>
      <c r="G1230" t="s">
        <v>3073</v>
      </c>
    </row>
    <row r="1231" spans="1:7" x14ac:dyDescent="0.25">
      <c r="A1231">
        <v>9372</v>
      </c>
      <c r="B1231" t="s">
        <v>2801</v>
      </c>
      <c r="C1231" t="s">
        <v>3059</v>
      </c>
      <c r="D1231">
        <v>109</v>
      </c>
      <c r="E1231">
        <v>1.5</v>
      </c>
      <c r="F1231" t="s">
        <v>7</v>
      </c>
      <c r="G1231" t="s">
        <v>3073</v>
      </c>
    </row>
    <row r="1232" spans="1:7" x14ac:dyDescent="0.25">
      <c r="A1232">
        <v>9373</v>
      </c>
      <c r="B1232" t="s">
        <v>2802</v>
      </c>
      <c r="C1232" t="s">
        <v>3059</v>
      </c>
      <c r="D1232">
        <v>7</v>
      </c>
      <c r="E1232">
        <v>155</v>
      </c>
      <c r="F1232" t="s">
        <v>7</v>
      </c>
      <c r="G1232" t="s">
        <v>3073</v>
      </c>
    </row>
    <row r="1233" spans="1:7" x14ac:dyDescent="0.25">
      <c r="A1233">
        <v>9374</v>
      </c>
      <c r="B1233" t="s">
        <v>2803</v>
      </c>
      <c r="C1233" t="s">
        <v>3059</v>
      </c>
      <c r="D1233">
        <v>11</v>
      </c>
      <c r="E1233">
        <v>118.04</v>
      </c>
      <c r="F1233" t="s">
        <v>7</v>
      </c>
      <c r="G1233" t="s">
        <v>3073</v>
      </c>
    </row>
    <row r="1234" spans="1:7" x14ac:dyDescent="0.25">
      <c r="A1234">
        <v>9376</v>
      </c>
      <c r="B1234" t="s">
        <v>2804</v>
      </c>
      <c r="C1234" t="s">
        <v>3059</v>
      </c>
      <c r="D1234">
        <v>1</v>
      </c>
      <c r="E1234">
        <v>8.4</v>
      </c>
      <c r="F1234" t="s">
        <v>7</v>
      </c>
      <c r="G1234" t="s">
        <v>3073</v>
      </c>
    </row>
    <row r="1235" spans="1:7" x14ac:dyDescent="0.25">
      <c r="A1235">
        <v>9377</v>
      </c>
      <c r="B1235" t="s">
        <v>2805</v>
      </c>
      <c r="C1235" t="s">
        <v>3059</v>
      </c>
      <c r="D1235">
        <v>15</v>
      </c>
      <c r="E1235">
        <v>10.5</v>
      </c>
      <c r="F1235" t="s">
        <v>7</v>
      </c>
      <c r="G1235" t="s">
        <v>3073</v>
      </c>
    </row>
    <row r="1236" spans="1:7" x14ac:dyDescent="0.25">
      <c r="A1236">
        <v>9379</v>
      </c>
      <c r="B1236" t="s">
        <v>2807</v>
      </c>
      <c r="C1236" t="s">
        <v>3059</v>
      </c>
      <c r="D1236">
        <v>85</v>
      </c>
      <c r="E1236">
        <v>25.5</v>
      </c>
      <c r="F1236" t="s">
        <v>7</v>
      </c>
      <c r="G1236" t="s">
        <v>3073</v>
      </c>
    </row>
    <row r="1237" spans="1:7" x14ac:dyDescent="0.25">
      <c r="A1237">
        <v>9381</v>
      </c>
      <c r="B1237" t="s">
        <v>2809</v>
      </c>
      <c r="C1237" t="s">
        <v>3059</v>
      </c>
      <c r="D1237">
        <v>92</v>
      </c>
      <c r="E1237">
        <v>59.5</v>
      </c>
      <c r="F1237" t="s">
        <v>7</v>
      </c>
      <c r="G1237" t="s">
        <v>3073</v>
      </c>
    </row>
    <row r="1238" spans="1:7" x14ac:dyDescent="0.25">
      <c r="A1238">
        <v>9383</v>
      </c>
      <c r="B1238" t="s">
        <v>2811</v>
      </c>
      <c r="C1238" t="s">
        <v>3059</v>
      </c>
      <c r="D1238">
        <v>99</v>
      </c>
      <c r="E1238">
        <v>2</v>
      </c>
      <c r="F1238" t="s">
        <v>7</v>
      </c>
      <c r="G1238" t="s">
        <v>3073</v>
      </c>
    </row>
    <row r="1239" spans="1:7" x14ac:dyDescent="0.25">
      <c r="A1239">
        <v>9384</v>
      </c>
      <c r="B1239" t="s">
        <v>2812</v>
      </c>
      <c r="C1239" t="s">
        <v>3059</v>
      </c>
      <c r="D1239">
        <v>486</v>
      </c>
      <c r="E1239">
        <v>7.92</v>
      </c>
      <c r="F1239" t="s">
        <v>7</v>
      </c>
      <c r="G1239" t="s">
        <v>3073</v>
      </c>
    </row>
    <row r="1240" spans="1:7" x14ac:dyDescent="0.25">
      <c r="A1240">
        <v>9387</v>
      </c>
      <c r="B1240" t="s">
        <v>2814</v>
      </c>
      <c r="C1240" t="s">
        <v>3059</v>
      </c>
      <c r="D1240">
        <v>260</v>
      </c>
      <c r="E1240">
        <v>6.5</v>
      </c>
      <c r="F1240" t="s">
        <v>7</v>
      </c>
      <c r="G1240" t="s">
        <v>3073</v>
      </c>
    </row>
    <row r="1241" spans="1:7" x14ac:dyDescent="0.25">
      <c r="A1241">
        <v>9388</v>
      </c>
      <c r="B1241" t="s">
        <v>2815</v>
      </c>
      <c r="C1241" t="s">
        <v>3059</v>
      </c>
      <c r="D1241">
        <v>123</v>
      </c>
      <c r="E1241">
        <v>19.7</v>
      </c>
      <c r="F1241" t="s">
        <v>7</v>
      </c>
      <c r="G1241" t="s">
        <v>3073</v>
      </c>
    </row>
    <row r="1242" spans="1:7" x14ac:dyDescent="0.25">
      <c r="A1242">
        <v>9389</v>
      </c>
      <c r="B1242" t="s">
        <v>2816</v>
      </c>
      <c r="C1242" t="s">
        <v>3059</v>
      </c>
      <c r="D1242">
        <v>34</v>
      </c>
      <c r="E1242">
        <v>3.2</v>
      </c>
      <c r="F1242" t="s">
        <v>7</v>
      </c>
      <c r="G1242" t="s">
        <v>3073</v>
      </c>
    </row>
    <row r="1243" spans="1:7" x14ac:dyDescent="0.25">
      <c r="A1243">
        <v>9390</v>
      </c>
      <c r="B1243" t="s">
        <v>2817</v>
      </c>
      <c r="C1243" t="s">
        <v>3059</v>
      </c>
      <c r="D1243">
        <v>93</v>
      </c>
      <c r="E1243">
        <v>36</v>
      </c>
      <c r="F1243" t="s">
        <v>7</v>
      </c>
      <c r="G1243" t="s">
        <v>3073</v>
      </c>
    </row>
    <row r="1244" spans="1:7" x14ac:dyDescent="0.25">
      <c r="A1244">
        <v>9391</v>
      </c>
      <c r="B1244" t="s">
        <v>2818</v>
      </c>
      <c r="C1244" t="s">
        <v>3059</v>
      </c>
      <c r="D1244">
        <v>100</v>
      </c>
      <c r="E1244">
        <v>17.5</v>
      </c>
      <c r="F1244" t="s">
        <v>7</v>
      </c>
      <c r="G1244" t="s">
        <v>3073</v>
      </c>
    </row>
    <row r="1245" spans="1:7" x14ac:dyDescent="0.25">
      <c r="A1245">
        <v>9393</v>
      </c>
      <c r="B1245" t="s">
        <v>2819</v>
      </c>
      <c r="C1245" t="s">
        <v>3059</v>
      </c>
      <c r="D1245">
        <v>137</v>
      </c>
      <c r="E1245">
        <v>11.5</v>
      </c>
      <c r="F1245" t="s">
        <v>7</v>
      </c>
      <c r="G1245" t="s">
        <v>3073</v>
      </c>
    </row>
    <row r="1246" spans="1:7" x14ac:dyDescent="0.25">
      <c r="A1246">
        <v>9394</v>
      </c>
      <c r="B1246" t="s">
        <v>2820</v>
      </c>
      <c r="C1246" t="s">
        <v>3059</v>
      </c>
      <c r="D1246">
        <v>444</v>
      </c>
      <c r="E1246">
        <v>5</v>
      </c>
      <c r="F1246" t="s">
        <v>7</v>
      </c>
      <c r="G1246" t="s">
        <v>3073</v>
      </c>
    </row>
    <row r="1247" spans="1:7" x14ac:dyDescent="0.25">
      <c r="A1247">
        <v>9401</v>
      </c>
      <c r="B1247" t="s">
        <v>2825</v>
      </c>
      <c r="C1247" t="s">
        <v>3059</v>
      </c>
      <c r="D1247">
        <v>29</v>
      </c>
      <c r="E1247">
        <v>6.54</v>
      </c>
      <c r="F1247" t="s">
        <v>7</v>
      </c>
      <c r="G1247" t="s">
        <v>3110</v>
      </c>
    </row>
    <row r="1248" spans="1:7" x14ac:dyDescent="0.25">
      <c r="A1248">
        <v>9402</v>
      </c>
      <c r="B1248" t="s">
        <v>2826</v>
      </c>
      <c r="C1248" t="s">
        <v>3059</v>
      </c>
      <c r="D1248">
        <v>90</v>
      </c>
      <c r="E1248">
        <v>4.5</v>
      </c>
      <c r="F1248" t="s">
        <v>7</v>
      </c>
      <c r="G1248" t="s">
        <v>3108</v>
      </c>
    </row>
    <row r="1249" spans="1:7" x14ac:dyDescent="0.25">
      <c r="A1249">
        <v>9411</v>
      </c>
      <c r="B1249" t="s">
        <v>2831</v>
      </c>
      <c r="C1249" t="s">
        <v>3059</v>
      </c>
      <c r="D1249">
        <v>92</v>
      </c>
      <c r="E1249">
        <v>4.5999999999999996</v>
      </c>
      <c r="F1249" t="s">
        <v>7</v>
      </c>
      <c r="G1249" t="s">
        <v>3110</v>
      </c>
    </row>
    <row r="1250" spans="1:7" x14ac:dyDescent="0.25">
      <c r="A1250">
        <v>9412</v>
      </c>
      <c r="B1250" t="s">
        <v>2832</v>
      </c>
      <c r="C1250" t="s">
        <v>3059</v>
      </c>
      <c r="D1250">
        <v>42</v>
      </c>
      <c r="E1250">
        <v>13.5</v>
      </c>
      <c r="F1250" t="s">
        <v>7</v>
      </c>
      <c r="G1250" t="s">
        <v>3110</v>
      </c>
    </row>
    <row r="1251" spans="1:7" x14ac:dyDescent="0.25">
      <c r="A1251">
        <v>9413</v>
      </c>
      <c r="B1251" t="s">
        <v>2833</v>
      </c>
      <c r="C1251" t="s">
        <v>3059</v>
      </c>
      <c r="D1251">
        <v>15</v>
      </c>
      <c r="E1251">
        <v>15.3</v>
      </c>
      <c r="F1251" t="s">
        <v>7</v>
      </c>
      <c r="G1251" t="s">
        <v>3110</v>
      </c>
    </row>
    <row r="1252" spans="1:7" x14ac:dyDescent="0.25">
      <c r="A1252">
        <v>9414</v>
      </c>
      <c r="B1252" t="s">
        <v>2834</v>
      </c>
      <c r="C1252" t="s">
        <v>3059</v>
      </c>
      <c r="D1252">
        <v>53</v>
      </c>
      <c r="E1252">
        <v>30</v>
      </c>
      <c r="F1252" t="s">
        <v>7</v>
      </c>
      <c r="G1252" t="s">
        <v>3110</v>
      </c>
    </row>
    <row r="1253" spans="1:7" x14ac:dyDescent="0.25">
      <c r="A1253">
        <v>9421</v>
      </c>
      <c r="B1253" t="s">
        <v>2837</v>
      </c>
      <c r="C1253" t="s">
        <v>3059</v>
      </c>
      <c r="D1253">
        <v>1</v>
      </c>
      <c r="E1253">
        <v>15.5</v>
      </c>
      <c r="F1253" t="s">
        <v>7</v>
      </c>
      <c r="G1253" t="s">
        <v>3110</v>
      </c>
    </row>
    <row r="1254" spans="1:7" x14ac:dyDescent="0.25">
      <c r="A1254">
        <v>9428</v>
      </c>
      <c r="B1254" t="s">
        <v>2840</v>
      </c>
      <c r="C1254" t="s">
        <v>3059</v>
      </c>
      <c r="D1254">
        <v>2</v>
      </c>
      <c r="E1254">
        <v>8.5</v>
      </c>
      <c r="F1254" t="s">
        <v>7</v>
      </c>
      <c r="G1254" t="s">
        <v>3110</v>
      </c>
    </row>
    <row r="1255" spans="1:7" x14ac:dyDescent="0.25">
      <c r="A1255">
        <v>9436</v>
      </c>
      <c r="B1255" t="s">
        <v>2845</v>
      </c>
      <c r="C1255" t="s">
        <v>3059</v>
      </c>
      <c r="D1255">
        <v>1</v>
      </c>
      <c r="E1255">
        <v>35</v>
      </c>
      <c r="F1255" t="s">
        <v>7</v>
      </c>
      <c r="G1255" t="s">
        <v>3110</v>
      </c>
    </row>
    <row r="1256" spans="1:7" x14ac:dyDescent="0.25">
      <c r="A1256">
        <v>9448</v>
      </c>
      <c r="B1256" t="s">
        <v>2850</v>
      </c>
      <c r="C1256" t="s">
        <v>3059</v>
      </c>
      <c r="D1256">
        <v>10</v>
      </c>
      <c r="E1256">
        <v>4.43</v>
      </c>
      <c r="F1256" t="s">
        <v>7</v>
      </c>
      <c r="G1256" t="s">
        <v>3070</v>
      </c>
    </row>
    <row r="1257" spans="1:7" x14ac:dyDescent="0.25">
      <c r="A1257">
        <v>9449</v>
      </c>
      <c r="B1257" t="s">
        <v>2851</v>
      </c>
      <c r="C1257" t="s">
        <v>3059</v>
      </c>
      <c r="D1257">
        <v>7</v>
      </c>
      <c r="E1257">
        <v>4.43</v>
      </c>
      <c r="F1257" t="s">
        <v>7</v>
      </c>
      <c r="G1257" t="s">
        <v>3070</v>
      </c>
    </row>
    <row r="1258" spans="1:7" x14ac:dyDescent="0.25">
      <c r="A1258">
        <v>9451</v>
      </c>
      <c r="B1258" t="s">
        <v>2853</v>
      </c>
      <c r="C1258" t="s">
        <v>3059</v>
      </c>
      <c r="D1258">
        <v>5</v>
      </c>
      <c r="E1258">
        <v>4.43</v>
      </c>
      <c r="F1258" t="s">
        <v>7</v>
      </c>
      <c r="G1258" t="s">
        <v>3070</v>
      </c>
    </row>
    <row r="1259" spans="1:7" x14ac:dyDescent="0.25">
      <c r="A1259">
        <v>9470</v>
      </c>
      <c r="B1259" t="s">
        <v>3222</v>
      </c>
      <c r="C1259" t="s">
        <v>3059</v>
      </c>
      <c r="D1259">
        <v>5</v>
      </c>
      <c r="E1259">
        <v>1.68</v>
      </c>
      <c r="F1259" t="s">
        <v>7</v>
      </c>
      <c r="G1259" t="s">
        <v>3070</v>
      </c>
    </row>
    <row r="1260" spans="1:7" x14ac:dyDescent="0.25">
      <c r="A1260">
        <v>9471</v>
      </c>
      <c r="B1260" t="s">
        <v>2861</v>
      </c>
      <c r="C1260" t="s">
        <v>3059</v>
      </c>
      <c r="D1260">
        <v>5</v>
      </c>
      <c r="E1260">
        <v>5.57</v>
      </c>
      <c r="F1260" t="s">
        <v>7</v>
      </c>
      <c r="G1260" t="s">
        <v>3070</v>
      </c>
    </row>
    <row r="1261" spans="1:7" x14ac:dyDescent="0.25">
      <c r="A1261">
        <v>9473</v>
      </c>
      <c r="B1261" t="s">
        <v>2863</v>
      </c>
      <c r="C1261" t="s">
        <v>3059</v>
      </c>
      <c r="D1261">
        <v>5</v>
      </c>
      <c r="E1261">
        <v>7.08</v>
      </c>
      <c r="F1261" t="s">
        <v>7</v>
      </c>
      <c r="G1261" t="s">
        <v>3070</v>
      </c>
    </row>
    <row r="1262" spans="1:7" x14ac:dyDescent="0.25">
      <c r="A1262">
        <v>9478</v>
      </c>
      <c r="B1262" t="s">
        <v>2866</v>
      </c>
      <c r="C1262" t="s">
        <v>3059</v>
      </c>
      <c r="D1262">
        <v>5</v>
      </c>
      <c r="E1262">
        <v>26.32</v>
      </c>
      <c r="F1262" t="s">
        <v>7</v>
      </c>
      <c r="G1262" t="s">
        <v>3070</v>
      </c>
    </row>
    <row r="1263" spans="1:7" x14ac:dyDescent="0.25">
      <c r="A1263">
        <v>9482</v>
      </c>
      <c r="B1263" t="s">
        <v>2868</v>
      </c>
      <c r="C1263" t="s">
        <v>3059</v>
      </c>
      <c r="D1263">
        <v>8</v>
      </c>
      <c r="E1263">
        <v>4.43</v>
      </c>
      <c r="F1263" t="s">
        <v>7</v>
      </c>
      <c r="G1263" t="s">
        <v>3070</v>
      </c>
    </row>
    <row r="1264" spans="1:7" x14ac:dyDescent="0.25">
      <c r="A1264">
        <v>9483</v>
      </c>
      <c r="B1264" t="s">
        <v>2869</v>
      </c>
      <c r="C1264" t="s">
        <v>3059</v>
      </c>
      <c r="D1264">
        <v>10</v>
      </c>
      <c r="E1264">
        <v>4.22</v>
      </c>
      <c r="F1264" t="s">
        <v>7</v>
      </c>
      <c r="G1264" t="s">
        <v>3070</v>
      </c>
    </row>
    <row r="1265" spans="1:7" x14ac:dyDescent="0.25">
      <c r="A1265">
        <v>9484</v>
      </c>
      <c r="B1265" t="s">
        <v>2870</v>
      </c>
      <c r="C1265" t="s">
        <v>3059</v>
      </c>
      <c r="D1265">
        <v>5</v>
      </c>
      <c r="E1265">
        <v>4.43</v>
      </c>
      <c r="F1265" t="s">
        <v>7</v>
      </c>
      <c r="G1265" t="s">
        <v>3070</v>
      </c>
    </row>
    <row r="1266" spans="1:7" x14ac:dyDescent="0.25">
      <c r="A1266">
        <v>9492</v>
      </c>
      <c r="B1266" t="s">
        <v>2877</v>
      </c>
      <c r="C1266" t="s">
        <v>3059</v>
      </c>
      <c r="D1266">
        <v>4</v>
      </c>
      <c r="E1266">
        <v>21.93</v>
      </c>
      <c r="F1266" t="s">
        <v>7</v>
      </c>
      <c r="G1266" t="s">
        <v>3070</v>
      </c>
    </row>
    <row r="1267" spans="1:7" x14ac:dyDescent="0.25">
      <c r="A1267">
        <v>9496</v>
      </c>
      <c r="B1267" t="s">
        <v>2881</v>
      </c>
      <c r="C1267" t="s">
        <v>3059</v>
      </c>
      <c r="D1267">
        <v>5</v>
      </c>
      <c r="E1267">
        <v>6.66</v>
      </c>
      <c r="F1267" t="s">
        <v>7</v>
      </c>
      <c r="G1267" t="s">
        <v>3070</v>
      </c>
    </row>
    <row r="1268" spans="1:7" x14ac:dyDescent="0.25">
      <c r="A1268">
        <v>9523</v>
      </c>
      <c r="B1268" t="s">
        <v>2882</v>
      </c>
      <c r="C1268" t="s">
        <v>3059</v>
      </c>
      <c r="D1268">
        <v>45</v>
      </c>
      <c r="E1268">
        <v>8.08</v>
      </c>
      <c r="F1268" t="s">
        <v>7</v>
      </c>
      <c r="G1268" t="s">
        <v>3101</v>
      </c>
    </row>
    <row r="1269" spans="1:7" x14ac:dyDescent="0.25">
      <c r="A1269">
        <v>9546</v>
      </c>
      <c r="B1269" t="s">
        <v>2883</v>
      </c>
      <c r="C1269" t="s">
        <v>3059</v>
      </c>
      <c r="D1269">
        <v>11</v>
      </c>
      <c r="E1269">
        <v>4.0999999999999996</v>
      </c>
      <c r="F1269" t="s">
        <v>7</v>
      </c>
      <c r="G1269" t="s">
        <v>3101</v>
      </c>
    </row>
    <row r="1270" spans="1:7" x14ac:dyDescent="0.25">
      <c r="A1270">
        <v>9547</v>
      </c>
      <c r="B1270" t="s">
        <v>2884</v>
      </c>
      <c r="C1270" t="s">
        <v>3059</v>
      </c>
      <c r="D1270">
        <v>8</v>
      </c>
      <c r="E1270">
        <v>4.0999999999999996</v>
      </c>
      <c r="F1270" t="s">
        <v>7</v>
      </c>
      <c r="G1270" t="s">
        <v>3101</v>
      </c>
    </row>
    <row r="1271" spans="1:7" x14ac:dyDescent="0.25">
      <c r="A1271">
        <v>9558</v>
      </c>
      <c r="B1271" t="s">
        <v>3223</v>
      </c>
      <c r="C1271" t="s">
        <v>3059</v>
      </c>
      <c r="D1271">
        <v>60</v>
      </c>
      <c r="E1271">
        <v>7</v>
      </c>
      <c r="F1271" t="s">
        <v>7</v>
      </c>
      <c r="G1271" t="s">
        <v>3101</v>
      </c>
    </row>
    <row r="1272" spans="1:7" x14ac:dyDescent="0.25">
      <c r="A1272">
        <v>9560</v>
      </c>
      <c r="B1272" t="s">
        <v>3224</v>
      </c>
      <c r="C1272" t="s">
        <v>3059</v>
      </c>
      <c r="D1272">
        <v>67</v>
      </c>
      <c r="E1272">
        <v>8.52</v>
      </c>
      <c r="F1272" t="s">
        <v>7</v>
      </c>
      <c r="G1272" t="s">
        <v>3101</v>
      </c>
    </row>
    <row r="1273" spans="1:7" x14ac:dyDescent="0.25">
      <c r="A1273">
        <v>9561</v>
      </c>
      <c r="B1273" t="s">
        <v>3225</v>
      </c>
      <c r="C1273" t="s">
        <v>3059</v>
      </c>
      <c r="D1273">
        <v>38</v>
      </c>
      <c r="E1273">
        <v>9.35</v>
      </c>
      <c r="F1273" t="s">
        <v>7</v>
      </c>
      <c r="G1273" t="s">
        <v>3101</v>
      </c>
    </row>
    <row r="1274" spans="1:7" x14ac:dyDescent="0.25">
      <c r="A1274">
        <v>9562</v>
      </c>
      <c r="B1274" t="s">
        <v>3226</v>
      </c>
      <c r="C1274" t="s">
        <v>3059</v>
      </c>
      <c r="D1274">
        <v>22</v>
      </c>
      <c r="E1274">
        <v>10.77</v>
      </c>
      <c r="F1274" t="s">
        <v>7</v>
      </c>
      <c r="G1274" t="s">
        <v>3101</v>
      </c>
    </row>
    <row r="1275" spans="1:7" x14ac:dyDescent="0.25">
      <c r="A1275">
        <v>9570</v>
      </c>
      <c r="B1275" t="s">
        <v>3227</v>
      </c>
      <c r="C1275" t="s">
        <v>3059</v>
      </c>
      <c r="D1275">
        <v>13</v>
      </c>
      <c r="E1275">
        <v>5.5</v>
      </c>
      <c r="F1275" t="s">
        <v>7</v>
      </c>
      <c r="G1275" t="s">
        <v>3101</v>
      </c>
    </row>
    <row r="1276" spans="1:7" x14ac:dyDescent="0.25">
      <c r="A1276">
        <v>9575</v>
      </c>
      <c r="B1276" t="s">
        <v>2892</v>
      </c>
      <c r="C1276" t="s">
        <v>3059</v>
      </c>
      <c r="D1276">
        <v>33</v>
      </c>
      <c r="E1276">
        <v>3.6</v>
      </c>
      <c r="F1276" t="s">
        <v>7</v>
      </c>
      <c r="G1276" t="s">
        <v>3101</v>
      </c>
    </row>
    <row r="1277" spans="1:7" x14ac:dyDescent="0.25">
      <c r="A1277">
        <v>9578</v>
      </c>
      <c r="B1277" t="s">
        <v>2893</v>
      </c>
      <c r="C1277" t="s">
        <v>3059</v>
      </c>
      <c r="D1277">
        <v>47</v>
      </c>
      <c r="E1277">
        <v>6.04</v>
      </c>
      <c r="F1277" t="s">
        <v>7</v>
      </c>
      <c r="G1277" t="s">
        <v>3101</v>
      </c>
    </row>
    <row r="1278" spans="1:7" x14ac:dyDescent="0.25">
      <c r="A1278">
        <v>9579</v>
      </c>
      <c r="B1278" t="s">
        <v>2894</v>
      </c>
      <c r="C1278" t="s">
        <v>3059</v>
      </c>
      <c r="D1278">
        <v>153</v>
      </c>
      <c r="E1278">
        <v>6.04</v>
      </c>
      <c r="F1278" t="s">
        <v>7</v>
      </c>
      <c r="G1278" t="s">
        <v>3101</v>
      </c>
    </row>
    <row r="1279" spans="1:7" x14ac:dyDescent="0.25">
      <c r="A1279">
        <v>9580</v>
      </c>
      <c r="B1279" t="s">
        <v>2895</v>
      </c>
      <c r="C1279" t="s">
        <v>3059</v>
      </c>
      <c r="D1279">
        <v>156</v>
      </c>
      <c r="E1279">
        <v>7.77</v>
      </c>
      <c r="F1279" t="s">
        <v>7</v>
      </c>
      <c r="G1279" t="s">
        <v>3101</v>
      </c>
    </row>
    <row r="1280" spans="1:7" x14ac:dyDescent="0.25">
      <c r="A1280">
        <v>9582</v>
      </c>
      <c r="B1280" t="s">
        <v>2896</v>
      </c>
      <c r="C1280" t="s">
        <v>3059</v>
      </c>
      <c r="D1280">
        <v>87</v>
      </c>
      <c r="E1280">
        <v>9.5</v>
      </c>
      <c r="F1280" t="s">
        <v>7</v>
      </c>
      <c r="G1280" t="s">
        <v>3101</v>
      </c>
    </row>
    <row r="1281" spans="1:7" x14ac:dyDescent="0.25">
      <c r="A1281">
        <v>9583</v>
      </c>
      <c r="B1281" t="s">
        <v>2897</v>
      </c>
      <c r="C1281" t="s">
        <v>3059</v>
      </c>
      <c r="D1281">
        <v>93</v>
      </c>
      <c r="E1281">
        <v>11.24</v>
      </c>
      <c r="F1281" t="s">
        <v>7</v>
      </c>
      <c r="G1281" t="s">
        <v>3101</v>
      </c>
    </row>
    <row r="1282" spans="1:7" x14ac:dyDescent="0.25">
      <c r="A1282">
        <v>9584</v>
      </c>
      <c r="B1282" t="s">
        <v>2898</v>
      </c>
      <c r="C1282" t="s">
        <v>3059</v>
      </c>
      <c r="D1282">
        <v>98</v>
      </c>
      <c r="E1282">
        <v>11.85</v>
      </c>
      <c r="F1282" t="s">
        <v>7</v>
      </c>
      <c r="G1282" t="s">
        <v>3101</v>
      </c>
    </row>
    <row r="1283" spans="1:7" x14ac:dyDescent="0.25">
      <c r="A1283">
        <v>9585</v>
      </c>
      <c r="B1283" t="s">
        <v>2899</v>
      </c>
      <c r="C1283" t="s">
        <v>3059</v>
      </c>
      <c r="D1283">
        <v>3</v>
      </c>
      <c r="E1283">
        <v>12.89</v>
      </c>
      <c r="F1283" t="s">
        <v>7</v>
      </c>
      <c r="G1283" t="s">
        <v>3101</v>
      </c>
    </row>
    <row r="1284" spans="1:7" x14ac:dyDescent="0.25">
      <c r="A1284">
        <v>9597</v>
      </c>
      <c r="B1284" t="s">
        <v>3228</v>
      </c>
      <c r="C1284" t="s">
        <v>3059</v>
      </c>
      <c r="D1284">
        <v>243</v>
      </c>
      <c r="E1284">
        <v>3.91</v>
      </c>
      <c r="F1284" t="s">
        <v>7</v>
      </c>
      <c r="G1284" t="s">
        <v>3101</v>
      </c>
    </row>
    <row r="1285" spans="1:7" x14ac:dyDescent="0.25">
      <c r="A1285">
        <v>9628</v>
      </c>
      <c r="B1285" t="s">
        <v>2906</v>
      </c>
      <c r="C1285" t="s">
        <v>3059</v>
      </c>
      <c r="D1285">
        <v>500</v>
      </c>
      <c r="E1285">
        <v>0.59</v>
      </c>
      <c r="F1285" t="s">
        <v>3061</v>
      </c>
      <c r="G1285" t="s">
        <v>3101</v>
      </c>
    </row>
    <row r="1286" spans="1:7" x14ac:dyDescent="0.25">
      <c r="A1286">
        <v>9631</v>
      </c>
      <c r="B1286" t="s">
        <v>2907</v>
      </c>
      <c r="C1286" t="s">
        <v>3059</v>
      </c>
      <c r="D1286">
        <v>500</v>
      </c>
      <c r="E1286">
        <v>3.26</v>
      </c>
      <c r="F1286" t="s">
        <v>7</v>
      </c>
      <c r="G1286" t="s">
        <v>3101</v>
      </c>
    </row>
    <row r="1287" spans="1:7" x14ac:dyDescent="0.25">
      <c r="A1287">
        <v>9679</v>
      </c>
      <c r="B1287" t="s">
        <v>2910</v>
      </c>
      <c r="C1287" t="s">
        <v>3059</v>
      </c>
      <c r="D1287">
        <v>49</v>
      </c>
      <c r="E1287">
        <v>40</v>
      </c>
      <c r="F1287" t="s">
        <v>7</v>
      </c>
      <c r="G1287" t="s">
        <v>3071</v>
      </c>
    </row>
    <row r="1288" spans="1:7" x14ac:dyDescent="0.25">
      <c r="A1288">
        <v>9681</v>
      </c>
      <c r="B1288" t="s">
        <v>2912</v>
      </c>
      <c r="C1288" t="s">
        <v>3059</v>
      </c>
      <c r="D1288">
        <v>3</v>
      </c>
      <c r="E1288">
        <v>51</v>
      </c>
      <c r="F1288" t="s">
        <v>7</v>
      </c>
      <c r="G1288" t="s">
        <v>3071</v>
      </c>
    </row>
    <row r="1289" spans="1:7" x14ac:dyDescent="0.25">
      <c r="A1289">
        <v>9682</v>
      </c>
      <c r="B1289" t="s">
        <v>2913</v>
      </c>
      <c r="C1289" t="s">
        <v>3059</v>
      </c>
      <c r="D1289">
        <v>3</v>
      </c>
      <c r="E1289">
        <v>54</v>
      </c>
      <c r="F1289" t="s">
        <v>7</v>
      </c>
      <c r="G1289" t="s">
        <v>3071</v>
      </c>
    </row>
    <row r="1290" spans="1:7" x14ac:dyDescent="0.25">
      <c r="A1290">
        <v>9683</v>
      </c>
      <c r="B1290" t="s">
        <v>2914</v>
      </c>
      <c r="C1290" t="s">
        <v>3059</v>
      </c>
      <c r="D1290">
        <v>17</v>
      </c>
      <c r="E1290">
        <v>1767</v>
      </c>
      <c r="F1290" t="s">
        <v>7</v>
      </c>
      <c r="G1290" t="s">
        <v>3083</v>
      </c>
    </row>
    <row r="1291" spans="1:7" x14ac:dyDescent="0.25">
      <c r="A1291">
        <v>9684</v>
      </c>
      <c r="B1291" t="s">
        <v>2915</v>
      </c>
      <c r="C1291" t="s">
        <v>3059</v>
      </c>
      <c r="D1291">
        <v>3</v>
      </c>
      <c r="E1291">
        <v>1140</v>
      </c>
      <c r="F1291" t="s">
        <v>7</v>
      </c>
      <c r="G1291" t="s">
        <v>3083</v>
      </c>
    </row>
    <row r="1292" spans="1:7" x14ac:dyDescent="0.25">
      <c r="A1292">
        <v>9690</v>
      </c>
      <c r="B1292" t="s">
        <v>2918</v>
      </c>
      <c r="C1292" t="s">
        <v>3059</v>
      </c>
      <c r="D1292">
        <v>52</v>
      </c>
      <c r="E1292">
        <v>43.33</v>
      </c>
      <c r="F1292" t="s">
        <v>7</v>
      </c>
      <c r="G1292" t="s">
        <v>3101</v>
      </c>
    </row>
    <row r="1293" spans="1:7" x14ac:dyDescent="0.25">
      <c r="A1293">
        <v>9697</v>
      </c>
      <c r="B1293" t="s">
        <v>2919</v>
      </c>
      <c r="C1293" t="s">
        <v>3059</v>
      </c>
      <c r="D1293">
        <v>49</v>
      </c>
      <c r="E1293">
        <v>9.14</v>
      </c>
      <c r="F1293" t="s">
        <v>7</v>
      </c>
      <c r="G1293" t="s">
        <v>3101</v>
      </c>
    </row>
    <row r="1294" spans="1:7" x14ac:dyDescent="0.25">
      <c r="A1294">
        <v>9698</v>
      </c>
      <c r="B1294" t="s">
        <v>2920</v>
      </c>
      <c r="C1294" t="s">
        <v>3059</v>
      </c>
      <c r="D1294">
        <v>19</v>
      </c>
      <c r="E1294">
        <v>12.03</v>
      </c>
      <c r="F1294" t="s">
        <v>7</v>
      </c>
      <c r="G1294" t="s">
        <v>3101</v>
      </c>
    </row>
    <row r="1295" spans="1:7" x14ac:dyDescent="0.25">
      <c r="A1295">
        <v>9699</v>
      </c>
      <c r="B1295" t="s">
        <v>2921</v>
      </c>
      <c r="C1295" t="s">
        <v>3059</v>
      </c>
      <c r="D1295">
        <v>73</v>
      </c>
      <c r="E1295">
        <v>13.96</v>
      </c>
      <c r="F1295" t="s">
        <v>7</v>
      </c>
      <c r="G1295" t="s">
        <v>3101</v>
      </c>
    </row>
    <row r="1296" spans="1:7" x14ac:dyDescent="0.25">
      <c r="A1296">
        <v>9705</v>
      </c>
      <c r="B1296" t="s">
        <v>2923</v>
      </c>
      <c r="C1296" t="s">
        <v>3059</v>
      </c>
      <c r="D1296">
        <v>44</v>
      </c>
      <c r="E1296">
        <v>3.23</v>
      </c>
      <c r="F1296" t="s">
        <v>7</v>
      </c>
      <c r="G1296" t="s">
        <v>3101</v>
      </c>
    </row>
    <row r="1297" spans="1:7" x14ac:dyDescent="0.25">
      <c r="A1297">
        <v>9709</v>
      </c>
      <c r="B1297" t="s">
        <v>2924</v>
      </c>
      <c r="C1297" t="s">
        <v>3059</v>
      </c>
      <c r="D1297">
        <v>58</v>
      </c>
      <c r="E1297">
        <v>3.19</v>
      </c>
      <c r="F1297" t="s">
        <v>7</v>
      </c>
      <c r="G1297" t="s">
        <v>3101</v>
      </c>
    </row>
    <row r="1298" spans="1:7" x14ac:dyDescent="0.25">
      <c r="A1298">
        <v>9710</v>
      </c>
      <c r="B1298" t="s">
        <v>2925</v>
      </c>
      <c r="C1298" t="s">
        <v>3059</v>
      </c>
      <c r="D1298">
        <v>114</v>
      </c>
      <c r="E1298">
        <v>3.11</v>
      </c>
      <c r="F1298" t="s">
        <v>7</v>
      </c>
      <c r="G1298" t="s">
        <v>3101</v>
      </c>
    </row>
    <row r="1299" spans="1:7" x14ac:dyDescent="0.25">
      <c r="A1299">
        <v>9726</v>
      </c>
      <c r="B1299" t="s">
        <v>2936</v>
      </c>
      <c r="C1299" t="s">
        <v>3059</v>
      </c>
      <c r="D1299">
        <v>5</v>
      </c>
      <c r="E1299">
        <v>2.23</v>
      </c>
      <c r="F1299" t="s">
        <v>7</v>
      </c>
      <c r="G1299" t="s">
        <v>3071</v>
      </c>
    </row>
    <row r="1300" spans="1:7" x14ac:dyDescent="0.25">
      <c r="A1300">
        <v>9736</v>
      </c>
      <c r="B1300" t="s">
        <v>2938</v>
      </c>
      <c r="C1300" t="s">
        <v>3059</v>
      </c>
      <c r="D1300">
        <v>427</v>
      </c>
      <c r="E1300">
        <v>5</v>
      </c>
      <c r="F1300" t="s">
        <v>7</v>
      </c>
      <c r="G1300" t="s">
        <v>3070</v>
      </c>
    </row>
    <row r="1301" spans="1:7" x14ac:dyDescent="0.25">
      <c r="A1301">
        <v>9740</v>
      </c>
      <c r="B1301" t="s">
        <v>2939</v>
      </c>
      <c r="C1301" t="s">
        <v>3059</v>
      </c>
      <c r="D1301">
        <v>5</v>
      </c>
      <c r="E1301">
        <v>81</v>
      </c>
      <c r="F1301" t="s">
        <v>7</v>
      </c>
      <c r="G1301" t="s">
        <v>3083</v>
      </c>
    </row>
    <row r="1302" spans="1:7" x14ac:dyDescent="0.25">
      <c r="A1302">
        <v>9751</v>
      </c>
      <c r="B1302" t="s">
        <v>2941</v>
      </c>
      <c r="C1302" t="s">
        <v>3059</v>
      </c>
      <c r="D1302">
        <v>3</v>
      </c>
      <c r="E1302">
        <v>135</v>
      </c>
      <c r="F1302" t="s">
        <v>7</v>
      </c>
      <c r="G1302" t="s">
        <v>3083</v>
      </c>
    </row>
    <row r="1303" spans="1:7" x14ac:dyDescent="0.25">
      <c r="A1303">
        <v>9772</v>
      </c>
      <c r="B1303" t="s">
        <v>2948</v>
      </c>
      <c r="C1303" t="s">
        <v>3059</v>
      </c>
      <c r="D1303">
        <v>12</v>
      </c>
      <c r="E1303">
        <v>54.21</v>
      </c>
      <c r="F1303" t="s">
        <v>7</v>
      </c>
      <c r="G1303" t="s">
        <v>3073</v>
      </c>
    </row>
    <row r="1304" spans="1:7" x14ac:dyDescent="0.25">
      <c r="A1304">
        <v>9775</v>
      </c>
      <c r="B1304" t="s">
        <v>2949</v>
      </c>
      <c r="C1304" t="s">
        <v>3059</v>
      </c>
      <c r="D1304">
        <v>6</v>
      </c>
      <c r="E1304">
        <v>201.55</v>
      </c>
      <c r="F1304" t="s">
        <v>7</v>
      </c>
      <c r="G1304" t="s">
        <v>3103</v>
      </c>
    </row>
    <row r="1305" spans="1:7" x14ac:dyDescent="0.25">
      <c r="A1305">
        <v>9777</v>
      </c>
      <c r="B1305" t="s">
        <v>2951</v>
      </c>
      <c r="C1305" t="s">
        <v>3059</v>
      </c>
      <c r="D1305">
        <v>6</v>
      </c>
      <c r="E1305">
        <v>5</v>
      </c>
      <c r="F1305" t="s">
        <v>7</v>
      </c>
      <c r="G1305" t="s">
        <v>3103</v>
      </c>
    </row>
    <row r="1306" spans="1:7" x14ac:dyDescent="0.25">
      <c r="A1306">
        <v>9778</v>
      </c>
      <c r="B1306" t="s">
        <v>2952</v>
      </c>
      <c r="C1306" t="s">
        <v>3059</v>
      </c>
      <c r="D1306">
        <v>138</v>
      </c>
      <c r="E1306">
        <v>6.5</v>
      </c>
      <c r="F1306" t="s">
        <v>7</v>
      </c>
      <c r="G1306" t="s">
        <v>3103</v>
      </c>
    </row>
    <row r="1307" spans="1:7" x14ac:dyDescent="0.25">
      <c r="A1307">
        <v>9779</v>
      </c>
      <c r="B1307" t="s">
        <v>2953</v>
      </c>
      <c r="C1307" t="s">
        <v>3059</v>
      </c>
      <c r="D1307">
        <v>90</v>
      </c>
      <c r="E1307">
        <v>7.2</v>
      </c>
      <c r="F1307" t="s">
        <v>7</v>
      </c>
      <c r="G1307" t="s">
        <v>3103</v>
      </c>
    </row>
    <row r="1308" spans="1:7" x14ac:dyDescent="0.25">
      <c r="A1308">
        <v>9780</v>
      </c>
      <c r="B1308" t="s">
        <v>2954</v>
      </c>
      <c r="C1308" t="s">
        <v>3059</v>
      </c>
      <c r="D1308">
        <v>220</v>
      </c>
      <c r="E1308">
        <v>7.7</v>
      </c>
      <c r="F1308" t="s">
        <v>7</v>
      </c>
      <c r="G1308" t="s">
        <v>3103</v>
      </c>
    </row>
    <row r="1309" spans="1:7" x14ac:dyDescent="0.25">
      <c r="A1309">
        <v>9781</v>
      </c>
      <c r="B1309" t="s">
        <v>2955</v>
      </c>
      <c r="C1309" t="s">
        <v>3059</v>
      </c>
      <c r="D1309">
        <v>78</v>
      </c>
      <c r="E1309">
        <v>9.1</v>
      </c>
      <c r="F1309" t="s">
        <v>7</v>
      </c>
      <c r="G1309" t="s">
        <v>3103</v>
      </c>
    </row>
    <row r="1310" spans="1:7" x14ac:dyDescent="0.25">
      <c r="A1310">
        <v>9782</v>
      </c>
      <c r="B1310" t="s">
        <v>2956</v>
      </c>
      <c r="C1310" t="s">
        <v>3059</v>
      </c>
      <c r="D1310">
        <v>240</v>
      </c>
      <c r="E1310">
        <v>5.81</v>
      </c>
      <c r="F1310" t="s">
        <v>7</v>
      </c>
      <c r="G1310" t="s">
        <v>3103</v>
      </c>
    </row>
    <row r="1311" spans="1:7" x14ac:dyDescent="0.25">
      <c r="A1311">
        <v>9784</v>
      </c>
      <c r="B1311" t="s">
        <v>2957</v>
      </c>
      <c r="C1311" t="s">
        <v>3059</v>
      </c>
      <c r="D1311">
        <v>13</v>
      </c>
      <c r="E1311">
        <v>7.15</v>
      </c>
      <c r="F1311" t="s">
        <v>7</v>
      </c>
      <c r="G1311" t="s">
        <v>3103</v>
      </c>
    </row>
    <row r="1312" spans="1:7" x14ac:dyDescent="0.25">
      <c r="A1312">
        <v>9785</v>
      </c>
      <c r="B1312" t="s">
        <v>2958</v>
      </c>
      <c r="C1312" t="s">
        <v>3059</v>
      </c>
      <c r="D1312">
        <v>12</v>
      </c>
      <c r="E1312">
        <v>7.72</v>
      </c>
      <c r="F1312" t="s">
        <v>7</v>
      </c>
      <c r="G1312" t="s">
        <v>3103</v>
      </c>
    </row>
    <row r="1313" spans="1:7" x14ac:dyDescent="0.25">
      <c r="A1313">
        <v>9786</v>
      </c>
      <c r="B1313" t="s">
        <v>2959</v>
      </c>
      <c r="C1313" t="s">
        <v>3059</v>
      </c>
      <c r="D1313">
        <v>91</v>
      </c>
      <c r="E1313">
        <v>6.13</v>
      </c>
      <c r="F1313" t="s">
        <v>7</v>
      </c>
      <c r="G1313" t="s">
        <v>3103</v>
      </c>
    </row>
    <row r="1314" spans="1:7" x14ac:dyDescent="0.25">
      <c r="A1314">
        <v>9787</v>
      </c>
      <c r="B1314" t="s">
        <v>2960</v>
      </c>
      <c r="C1314" t="s">
        <v>3059</v>
      </c>
      <c r="D1314">
        <v>797</v>
      </c>
      <c r="E1314">
        <v>4.92</v>
      </c>
      <c r="F1314" t="s">
        <v>7</v>
      </c>
      <c r="G1314" t="s">
        <v>3103</v>
      </c>
    </row>
    <row r="1315" spans="1:7" x14ac:dyDescent="0.25">
      <c r="A1315">
        <v>9788</v>
      </c>
      <c r="B1315" t="s">
        <v>2961</v>
      </c>
      <c r="C1315" t="s">
        <v>3059</v>
      </c>
      <c r="D1315">
        <v>572</v>
      </c>
      <c r="E1315">
        <v>5.67</v>
      </c>
      <c r="F1315" t="s">
        <v>7</v>
      </c>
      <c r="G1315" t="s">
        <v>3103</v>
      </c>
    </row>
    <row r="1316" spans="1:7" x14ac:dyDescent="0.25">
      <c r="A1316">
        <v>9789</v>
      </c>
      <c r="B1316" t="s">
        <v>2962</v>
      </c>
      <c r="C1316" t="s">
        <v>3059</v>
      </c>
      <c r="D1316">
        <v>245</v>
      </c>
      <c r="E1316">
        <v>6.06</v>
      </c>
      <c r="F1316" t="s">
        <v>7</v>
      </c>
      <c r="G1316" t="s">
        <v>3103</v>
      </c>
    </row>
    <row r="1317" spans="1:7" x14ac:dyDescent="0.25">
      <c r="A1317">
        <v>9819</v>
      </c>
      <c r="B1317" t="s">
        <v>2964</v>
      </c>
      <c r="C1317" t="s">
        <v>3059</v>
      </c>
      <c r="D1317">
        <v>38</v>
      </c>
      <c r="E1317">
        <v>4.5999999999999996</v>
      </c>
      <c r="F1317" t="s">
        <v>7</v>
      </c>
      <c r="G1317" t="s">
        <v>3110</v>
      </c>
    </row>
    <row r="1318" spans="1:7" x14ac:dyDescent="0.25">
      <c r="A1318">
        <v>9820</v>
      </c>
      <c r="B1318" t="s">
        <v>2965</v>
      </c>
      <c r="C1318" t="s">
        <v>3059</v>
      </c>
      <c r="D1318">
        <v>360</v>
      </c>
      <c r="E1318">
        <v>5.43</v>
      </c>
      <c r="F1318" t="s">
        <v>7</v>
      </c>
      <c r="G1318" t="s">
        <v>3103</v>
      </c>
    </row>
    <row r="1319" spans="1:7" x14ac:dyDescent="0.25">
      <c r="A1319">
        <v>9830</v>
      </c>
      <c r="B1319" t="s">
        <v>2967</v>
      </c>
      <c r="C1319" t="s">
        <v>3059</v>
      </c>
      <c r="D1319">
        <v>353</v>
      </c>
      <c r="E1319">
        <v>9.8000000000000007</v>
      </c>
      <c r="F1319" t="s">
        <v>7</v>
      </c>
      <c r="G1319" t="s">
        <v>3073</v>
      </c>
    </row>
    <row r="1320" spans="1:7" x14ac:dyDescent="0.25">
      <c r="A1320">
        <v>9831</v>
      </c>
      <c r="B1320" t="s">
        <v>2968</v>
      </c>
      <c r="C1320" t="s">
        <v>3059</v>
      </c>
      <c r="D1320">
        <v>71</v>
      </c>
      <c r="E1320">
        <v>7</v>
      </c>
      <c r="F1320" t="s">
        <v>7</v>
      </c>
      <c r="G1320" t="s">
        <v>3073</v>
      </c>
    </row>
    <row r="1321" spans="1:7" x14ac:dyDescent="0.25">
      <c r="A1321">
        <v>9832</v>
      </c>
      <c r="B1321" t="s">
        <v>2969</v>
      </c>
      <c r="C1321" t="s">
        <v>3059</v>
      </c>
      <c r="D1321">
        <v>95</v>
      </c>
      <c r="E1321">
        <v>7.5</v>
      </c>
      <c r="F1321" t="s">
        <v>7</v>
      </c>
      <c r="G1321" t="s">
        <v>3073</v>
      </c>
    </row>
    <row r="1322" spans="1:7" x14ac:dyDescent="0.25">
      <c r="A1322">
        <v>9833</v>
      </c>
      <c r="B1322" t="s">
        <v>2970</v>
      </c>
      <c r="C1322" t="s">
        <v>3059</v>
      </c>
      <c r="D1322">
        <v>4</v>
      </c>
      <c r="E1322">
        <v>21.69</v>
      </c>
      <c r="F1322" t="s">
        <v>7</v>
      </c>
      <c r="G1322" t="s">
        <v>3073</v>
      </c>
    </row>
    <row r="1323" spans="1:7" x14ac:dyDescent="0.25">
      <c r="A1323">
        <v>9834</v>
      </c>
      <c r="B1323" t="s">
        <v>2971</v>
      </c>
      <c r="C1323" t="s">
        <v>3059</v>
      </c>
      <c r="D1323">
        <v>9</v>
      </c>
      <c r="E1323">
        <v>9.31</v>
      </c>
      <c r="F1323" t="s">
        <v>7</v>
      </c>
      <c r="G1323" t="s">
        <v>3073</v>
      </c>
    </row>
    <row r="1324" spans="1:7" x14ac:dyDescent="0.25">
      <c r="A1324">
        <v>9836</v>
      </c>
      <c r="B1324" t="s">
        <v>2972</v>
      </c>
      <c r="C1324" t="s">
        <v>3059</v>
      </c>
      <c r="D1324">
        <v>7</v>
      </c>
      <c r="E1324">
        <v>1.5</v>
      </c>
      <c r="F1324" t="s">
        <v>7</v>
      </c>
      <c r="G1324" t="s">
        <v>3073</v>
      </c>
    </row>
    <row r="1325" spans="1:7" x14ac:dyDescent="0.25">
      <c r="A1325">
        <v>9837</v>
      </c>
      <c r="B1325" t="s">
        <v>2973</v>
      </c>
      <c r="C1325" t="s">
        <v>3059</v>
      </c>
      <c r="D1325">
        <v>121</v>
      </c>
      <c r="E1325">
        <v>1.2</v>
      </c>
      <c r="F1325" t="s">
        <v>7</v>
      </c>
      <c r="G1325" t="s">
        <v>3073</v>
      </c>
    </row>
    <row r="1326" spans="1:7" x14ac:dyDescent="0.25">
      <c r="A1326">
        <v>9838</v>
      </c>
      <c r="B1326" t="s">
        <v>2974</v>
      </c>
      <c r="C1326" t="s">
        <v>3059</v>
      </c>
      <c r="D1326">
        <v>2107</v>
      </c>
      <c r="E1326">
        <v>6.53</v>
      </c>
      <c r="F1326" t="s">
        <v>7</v>
      </c>
      <c r="G1326" t="s">
        <v>3073</v>
      </c>
    </row>
    <row r="1327" spans="1:7" x14ac:dyDescent="0.25">
      <c r="A1327">
        <v>9839</v>
      </c>
      <c r="B1327" t="s">
        <v>2975</v>
      </c>
      <c r="C1327" t="s">
        <v>3059</v>
      </c>
      <c r="D1327">
        <v>1815</v>
      </c>
      <c r="E1327">
        <v>6.52</v>
      </c>
      <c r="F1327" t="s">
        <v>7</v>
      </c>
      <c r="G1327" t="s">
        <v>3073</v>
      </c>
    </row>
    <row r="1328" spans="1:7" x14ac:dyDescent="0.25">
      <c r="A1328">
        <v>9879</v>
      </c>
      <c r="B1328" t="s">
        <v>2983</v>
      </c>
      <c r="C1328" t="s">
        <v>3059</v>
      </c>
      <c r="D1328">
        <v>1</v>
      </c>
      <c r="E1328">
        <v>747.92</v>
      </c>
      <c r="F1328" t="s">
        <v>7</v>
      </c>
      <c r="G1328" t="s">
        <v>3084</v>
      </c>
    </row>
    <row r="1329" spans="1:7" x14ac:dyDescent="0.25">
      <c r="A1329">
        <v>9883</v>
      </c>
      <c r="B1329" t="s">
        <v>2984</v>
      </c>
      <c r="C1329" t="s">
        <v>3059</v>
      </c>
      <c r="D1329">
        <v>20</v>
      </c>
      <c r="E1329">
        <v>1278.99</v>
      </c>
      <c r="F1329" t="s">
        <v>7</v>
      </c>
      <c r="G1329" t="s">
        <v>3084</v>
      </c>
    </row>
    <row r="1330" spans="1:7" x14ac:dyDescent="0.25">
      <c r="A1330">
        <v>9889</v>
      </c>
      <c r="B1330" t="s">
        <v>2986</v>
      </c>
      <c r="C1330" t="s">
        <v>3059</v>
      </c>
      <c r="D1330">
        <v>3</v>
      </c>
      <c r="E1330">
        <v>431.38</v>
      </c>
      <c r="F1330" t="s">
        <v>7</v>
      </c>
      <c r="G1330" t="s">
        <v>3070</v>
      </c>
    </row>
    <row r="1331" spans="1:7" x14ac:dyDescent="0.25">
      <c r="A1331">
        <v>9895</v>
      </c>
      <c r="B1331" t="s">
        <v>2989</v>
      </c>
      <c r="C1331" t="s">
        <v>3059</v>
      </c>
      <c r="D1331">
        <v>3</v>
      </c>
      <c r="E1331">
        <v>100.8</v>
      </c>
      <c r="F1331" t="s">
        <v>7</v>
      </c>
      <c r="G1331" t="s">
        <v>3103</v>
      </c>
    </row>
    <row r="1332" spans="1:7" x14ac:dyDescent="0.25">
      <c r="A1332">
        <v>9896</v>
      </c>
      <c r="B1332" t="s">
        <v>2990</v>
      </c>
      <c r="C1332" t="s">
        <v>3059</v>
      </c>
      <c r="D1332">
        <v>1</v>
      </c>
      <c r="E1332">
        <v>56.6</v>
      </c>
      <c r="F1332" t="s">
        <v>7</v>
      </c>
      <c r="G1332" t="s">
        <v>3103</v>
      </c>
    </row>
    <row r="1333" spans="1:7" x14ac:dyDescent="0.25">
      <c r="A1333">
        <v>9898</v>
      </c>
      <c r="B1333" t="s">
        <v>2991</v>
      </c>
      <c r="C1333" t="s">
        <v>3059</v>
      </c>
      <c r="D1333">
        <v>7</v>
      </c>
      <c r="E1333">
        <v>220</v>
      </c>
      <c r="F1333" t="s">
        <v>7</v>
      </c>
      <c r="G1333" t="s">
        <v>3103</v>
      </c>
    </row>
    <row r="1334" spans="1:7" x14ac:dyDescent="0.25">
      <c r="A1334">
        <v>9900</v>
      </c>
      <c r="B1334" t="s">
        <v>2992</v>
      </c>
      <c r="C1334" t="s">
        <v>3059</v>
      </c>
      <c r="D1334">
        <v>2</v>
      </c>
      <c r="E1334">
        <v>220</v>
      </c>
      <c r="F1334" t="s">
        <v>7</v>
      </c>
      <c r="G1334" t="s">
        <v>3103</v>
      </c>
    </row>
    <row r="1335" spans="1:7" x14ac:dyDescent="0.25">
      <c r="A1335">
        <v>9908</v>
      </c>
      <c r="B1335" t="s">
        <v>2994</v>
      </c>
      <c r="C1335" t="s">
        <v>3059</v>
      </c>
      <c r="D1335">
        <v>30</v>
      </c>
      <c r="E1335">
        <v>16.02</v>
      </c>
      <c r="F1335" t="s">
        <v>7</v>
      </c>
      <c r="G1335" t="s">
        <v>3103</v>
      </c>
    </row>
    <row r="1336" spans="1:7" x14ac:dyDescent="0.25">
      <c r="A1336">
        <v>9912</v>
      </c>
      <c r="B1336" t="s">
        <v>2995</v>
      </c>
      <c r="C1336" t="s">
        <v>3059</v>
      </c>
      <c r="D1336">
        <v>77</v>
      </c>
      <c r="E1336">
        <v>2.96</v>
      </c>
      <c r="F1336" t="s">
        <v>7</v>
      </c>
      <c r="G1336" t="s">
        <v>3102</v>
      </c>
    </row>
    <row r="1337" spans="1:7" x14ac:dyDescent="0.25">
      <c r="A1337">
        <v>9913</v>
      </c>
      <c r="B1337" t="s">
        <v>2996</v>
      </c>
      <c r="C1337" t="s">
        <v>3059</v>
      </c>
      <c r="D1337">
        <v>2</v>
      </c>
      <c r="E1337">
        <v>32.28</v>
      </c>
      <c r="F1337" t="s">
        <v>7</v>
      </c>
      <c r="G1337" t="s">
        <v>3102</v>
      </c>
    </row>
    <row r="1338" spans="1:7" x14ac:dyDescent="0.25">
      <c r="A1338">
        <v>9917</v>
      </c>
      <c r="B1338" t="s">
        <v>2999</v>
      </c>
      <c r="C1338" t="s">
        <v>3059</v>
      </c>
      <c r="D1338">
        <v>278</v>
      </c>
      <c r="E1338">
        <v>3.4</v>
      </c>
      <c r="F1338" t="s">
        <v>7</v>
      </c>
      <c r="G1338" t="s">
        <v>3101</v>
      </c>
    </row>
    <row r="1339" spans="1:7" x14ac:dyDescent="0.25">
      <c r="A1339">
        <v>9918</v>
      </c>
      <c r="B1339" t="s">
        <v>3000</v>
      </c>
      <c r="C1339" t="s">
        <v>3059</v>
      </c>
      <c r="D1339">
        <v>272</v>
      </c>
      <c r="E1339">
        <v>3.7</v>
      </c>
      <c r="F1339" t="s">
        <v>7</v>
      </c>
      <c r="G1339" t="s">
        <v>3101</v>
      </c>
    </row>
    <row r="1340" spans="1:7" x14ac:dyDescent="0.25">
      <c r="A1340">
        <v>9919</v>
      </c>
      <c r="B1340" t="s">
        <v>3001</v>
      </c>
      <c r="C1340" t="s">
        <v>3059</v>
      </c>
      <c r="D1340">
        <v>111</v>
      </c>
      <c r="E1340">
        <v>4.17</v>
      </c>
      <c r="F1340" t="s">
        <v>7</v>
      </c>
      <c r="G1340" t="s">
        <v>3101</v>
      </c>
    </row>
    <row r="1341" spans="1:7" x14ac:dyDescent="0.25">
      <c r="A1341">
        <v>9920</v>
      </c>
      <c r="B1341" t="s">
        <v>3002</v>
      </c>
      <c r="C1341" t="s">
        <v>3059</v>
      </c>
      <c r="D1341">
        <v>4</v>
      </c>
      <c r="E1341">
        <v>10.3</v>
      </c>
      <c r="F1341" t="s">
        <v>7</v>
      </c>
      <c r="G1341" t="s">
        <v>3101</v>
      </c>
    </row>
    <row r="1342" spans="1:7" x14ac:dyDescent="0.25">
      <c r="A1342">
        <v>9921</v>
      </c>
      <c r="B1342" t="s">
        <v>3003</v>
      </c>
      <c r="C1342" t="s">
        <v>3059</v>
      </c>
      <c r="D1342">
        <v>787</v>
      </c>
      <c r="E1342">
        <v>40</v>
      </c>
      <c r="F1342" t="s">
        <v>7</v>
      </c>
      <c r="G1342" t="s">
        <v>3101</v>
      </c>
    </row>
    <row r="1343" spans="1:7" x14ac:dyDescent="0.25">
      <c r="A1343">
        <v>9927</v>
      </c>
      <c r="B1343" t="s">
        <v>3005</v>
      </c>
      <c r="C1343" t="s">
        <v>3059</v>
      </c>
      <c r="D1343">
        <v>2</v>
      </c>
      <c r="E1343">
        <v>17.32</v>
      </c>
      <c r="F1343" t="s">
        <v>7</v>
      </c>
      <c r="G1343" t="s">
        <v>3101</v>
      </c>
    </row>
    <row r="1344" spans="1:7" x14ac:dyDescent="0.25">
      <c r="A1344">
        <v>9933</v>
      </c>
      <c r="B1344" t="s">
        <v>3006</v>
      </c>
      <c r="C1344" t="s">
        <v>3059</v>
      </c>
      <c r="D1344">
        <v>1</v>
      </c>
      <c r="E1344">
        <v>589</v>
      </c>
      <c r="F1344" t="s">
        <v>7</v>
      </c>
      <c r="G1344" t="s">
        <v>3070</v>
      </c>
    </row>
    <row r="1345" spans="1:7" x14ac:dyDescent="0.25">
      <c r="A1345">
        <v>9937</v>
      </c>
      <c r="B1345" t="s">
        <v>3009</v>
      </c>
      <c r="C1345" t="s">
        <v>3059</v>
      </c>
      <c r="D1345">
        <v>10</v>
      </c>
      <c r="E1345">
        <v>1492.5</v>
      </c>
      <c r="F1345" t="s">
        <v>7</v>
      </c>
      <c r="G1345" t="s">
        <v>3070</v>
      </c>
    </row>
    <row r="1346" spans="1:7" x14ac:dyDescent="0.25">
      <c r="A1346">
        <v>9938</v>
      </c>
      <c r="B1346" t="s">
        <v>3010</v>
      </c>
      <c r="C1346" t="s">
        <v>3059</v>
      </c>
      <c r="D1346">
        <v>17</v>
      </c>
      <c r="E1346">
        <v>337.5</v>
      </c>
      <c r="F1346" t="s">
        <v>7</v>
      </c>
      <c r="G1346" t="s">
        <v>3070</v>
      </c>
    </row>
    <row r="1347" spans="1:7" x14ac:dyDescent="0.25">
      <c r="A1347">
        <v>9945</v>
      </c>
      <c r="B1347" t="s">
        <v>3014</v>
      </c>
      <c r="C1347" t="s">
        <v>3059</v>
      </c>
      <c r="D1347">
        <v>19</v>
      </c>
      <c r="E1347">
        <v>19</v>
      </c>
      <c r="F1347" t="s">
        <v>7</v>
      </c>
      <c r="G1347" t="s">
        <v>3071</v>
      </c>
    </row>
    <row r="1348" spans="1:7" x14ac:dyDescent="0.25">
      <c r="A1348">
        <v>9946</v>
      </c>
      <c r="B1348" t="s">
        <v>3015</v>
      </c>
      <c r="C1348" t="s">
        <v>3059</v>
      </c>
      <c r="D1348">
        <v>7</v>
      </c>
      <c r="E1348">
        <v>43</v>
      </c>
      <c r="F1348" t="s">
        <v>7</v>
      </c>
      <c r="G1348" t="s">
        <v>3071</v>
      </c>
    </row>
    <row r="1349" spans="1:7" x14ac:dyDescent="0.25">
      <c r="A1349">
        <v>9956</v>
      </c>
      <c r="B1349" t="s">
        <v>3018</v>
      </c>
      <c r="C1349" t="s">
        <v>3059</v>
      </c>
      <c r="D1349">
        <v>3</v>
      </c>
      <c r="E1349">
        <v>849</v>
      </c>
      <c r="F1349" t="s">
        <v>7</v>
      </c>
      <c r="G1349" t="s">
        <v>3062</v>
      </c>
    </row>
    <row r="1350" spans="1:7" x14ac:dyDescent="0.25">
      <c r="A1350">
        <v>9957</v>
      </c>
      <c r="B1350" t="s">
        <v>3019</v>
      </c>
      <c r="C1350" t="s">
        <v>3059</v>
      </c>
      <c r="D1350">
        <v>4</v>
      </c>
      <c r="E1350">
        <v>650</v>
      </c>
      <c r="F1350" t="s">
        <v>7</v>
      </c>
      <c r="G1350" t="s">
        <v>3062</v>
      </c>
    </row>
    <row r="1351" spans="1:7" x14ac:dyDescent="0.25">
      <c r="A1351">
        <v>9958</v>
      </c>
      <c r="B1351" t="s">
        <v>3020</v>
      </c>
      <c r="C1351" t="s">
        <v>3059</v>
      </c>
      <c r="D1351">
        <v>23</v>
      </c>
      <c r="E1351">
        <v>147</v>
      </c>
      <c r="F1351" t="s">
        <v>7</v>
      </c>
      <c r="G1351" t="s">
        <v>3064</v>
      </c>
    </row>
    <row r="1352" spans="1:7" x14ac:dyDescent="0.25">
      <c r="A1352">
        <v>9959</v>
      </c>
      <c r="B1352" t="s">
        <v>3021</v>
      </c>
      <c r="C1352" t="s">
        <v>3059</v>
      </c>
      <c r="D1352">
        <v>15</v>
      </c>
      <c r="E1352">
        <v>147</v>
      </c>
      <c r="F1352" t="s">
        <v>7</v>
      </c>
      <c r="G1352" t="s">
        <v>3064</v>
      </c>
    </row>
    <row r="1353" spans="1:7" x14ac:dyDescent="0.25">
      <c r="A1353">
        <v>9960</v>
      </c>
      <c r="B1353" t="s">
        <v>3022</v>
      </c>
      <c r="C1353" t="s">
        <v>3059</v>
      </c>
      <c r="D1353">
        <v>32</v>
      </c>
      <c r="E1353">
        <v>147</v>
      </c>
      <c r="F1353" t="s">
        <v>7</v>
      </c>
      <c r="G1353" t="s">
        <v>3064</v>
      </c>
    </row>
    <row r="1354" spans="1:7" x14ac:dyDescent="0.25">
      <c r="A1354">
        <v>9961</v>
      </c>
      <c r="B1354" t="s">
        <v>3023</v>
      </c>
      <c r="C1354" t="s">
        <v>3059</v>
      </c>
      <c r="D1354">
        <v>27</v>
      </c>
      <c r="E1354">
        <v>147</v>
      </c>
      <c r="F1354" t="s">
        <v>7</v>
      </c>
      <c r="G1354" t="s">
        <v>3064</v>
      </c>
    </row>
    <row r="1355" spans="1:7" x14ac:dyDescent="0.25">
      <c r="A1355">
        <v>9964</v>
      </c>
      <c r="B1355" t="s">
        <v>3025</v>
      </c>
      <c r="C1355" t="s">
        <v>3059</v>
      </c>
      <c r="D1355">
        <v>12</v>
      </c>
      <c r="E1355">
        <v>180</v>
      </c>
      <c r="F1355" t="s">
        <v>7</v>
      </c>
      <c r="G1355" t="s">
        <v>3064</v>
      </c>
    </row>
    <row r="1356" spans="1:7" x14ac:dyDescent="0.25">
      <c r="A1356">
        <v>9965</v>
      </c>
      <c r="B1356" t="s">
        <v>3026</v>
      </c>
      <c r="C1356" t="s">
        <v>3059</v>
      </c>
      <c r="D1356">
        <v>17</v>
      </c>
      <c r="E1356">
        <v>180</v>
      </c>
      <c r="F1356" t="s">
        <v>7</v>
      </c>
      <c r="G1356" t="s">
        <v>3064</v>
      </c>
    </row>
    <row r="1357" spans="1:7" x14ac:dyDescent="0.25">
      <c r="A1357">
        <v>9966</v>
      </c>
      <c r="B1357" t="s">
        <v>3027</v>
      </c>
      <c r="C1357" t="s">
        <v>3059</v>
      </c>
      <c r="D1357">
        <v>36</v>
      </c>
      <c r="E1357">
        <v>146.22</v>
      </c>
      <c r="F1357" t="s">
        <v>7</v>
      </c>
      <c r="G1357" t="s">
        <v>3064</v>
      </c>
    </row>
    <row r="1358" spans="1:7" x14ac:dyDescent="0.25">
      <c r="A1358">
        <v>9967</v>
      </c>
      <c r="B1358" t="s">
        <v>3028</v>
      </c>
      <c r="C1358" t="s">
        <v>3059</v>
      </c>
      <c r="D1358">
        <v>100</v>
      </c>
      <c r="E1358">
        <v>8.25</v>
      </c>
      <c r="F1358" t="s">
        <v>7</v>
      </c>
      <c r="G1358" t="s">
        <v>3058</v>
      </c>
    </row>
    <row r="1359" spans="1:7" x14ac:dyDescent="0.25">
      <c r="A1359">
        <v>9968</v>
      </c>
      <c r="B1359" t="s">
        <v>3029</v>
      </c>
      <c r="C1359" t="s">
        <v>3059</v>
      </c>
      <c r="D1359">
        <v>53</v>
      </c>
      <c r="E1359">
        <v>9.9</v>
      </c>
      <c r="F1359" t="s">
        <v>7</v>
      </c>
      <c r="G1359" t="s">
        <v>3058</v>
      </c>
    </row>
    <row r="1360" spans="1:7" x14ac:dyDescent="0.25">
      <c r="A1360">
        <v>9969</v>
      </c>
      <c r="B1360" t="s">
        <v>3030</v>
      </c>
      <c r="C1360" t="s">
        <v>3059</v>
      </c>
      <c r="D1360">
        <v>2</v>
      </c>
      <c r="E1360">
        <v>90.1</v>
      </c>
      <c r="F1360" t="s">
        <v>7</v>
      </c>
      <c r="G1360" t="s">
        <v>3058</v>
      </c>
    </row>
    <row r="1361" spans="1:7" x14ac:dyDescent="0.25">
      <c r="A1361">
        <v>9974</v>
      </c>
      <c r="B1361" t="s">
        <v>3032</v>
      </c>
      <c r="C1361" t="s">
        <v>3059</v>
      </c>
      <c r="D1361">
        <v>197</v>
      </c>
      <c r="E1361">
        <v>48.77</v>
      </c>
      <c r="F1361" t="s">
        <v>7</v>
      </c>
      <c r="G1361" t="s">
        <v>3058</v>
      </c>
    </row>
    <row r="1362" spans="1:7" x14ac:dyDescent="0.25">
      <c r="A1362">
        <v>9975</v>
      </c>
      <c r="B1362" t="s">
        <v>3033</v>
      </c>
      <c r="C1362" t="s">
        <v>3059</v>
      </c>
      <c r="D1362">
        <v>144</v>
      </c>
      <c r="E1362">
        <v>7</v>
      </c>
      <c r="F1362" t="s">
        <v>7</v>
      </c>
      <c r="G1362" t="s">
        <v>3058</v>
      </c>
    </row>
    <row r="1363" spans="1:7" x14ac:dyDescent="0.25">
      <c r="A1363">
        <v>9976</v>
      </c>
      <c r="B1363" t="s">
        <v>3034</v>
      </c>
      <c r="C1363" t="s">
        <v>3059</v>
      </c>
      <c r="D1363">
        <v>47</v>
      </c>
      <c r="E1363">
        <v>3.5</v>
      </c>
      <c r="F1363" t="s">
        <v>7</v>
      </c>
      <c r="G1363" t="s">
        <v>3058</v>
      </c>
    </row>
    <row r="1364" spans="1:7" x14ac:dyDescent="0.25">
      <c r="A1364">
        <v>9977</v>
      </c>
      <c r="B1364" t="s">
        <v>3035</v>
      </c>
      <c r="C1364" t="s">
        <v>3059</v>
      </c>
      <c r="D1364">
        <v>40</v>
      </c>
      <c r="E1364">
        <v>7.35</v>
      </c>
      <c r="F1364" t="s">
        <v>7</v>
      </c>
      <c r="G1364" t="s">
        <v>3058</v>
      </c>
    </row>
    <row r="1365" spans="1:7" x14ac:dyDescent="0.25">
      <c r="A1365">
        <v>9979</v>
      </c>
      <c r="B1365" t="s">
        <v>3036</v>
      </c>
      <c r="C1365" t="s">
        <v>3059</v>
      </c>
      <c r="D1365">
        <v>159</v>
      </c>
      <c r="E1365">
        <v>85</v>
      </c>
      <c r="F1365" t="s">
        <v>7</v>
      </c>
      <c r="G1365" t="s">
        <v>3058</v>
      </c>
    </row>
    <row r="1366" spans="1:7" x14ac:dyDescent="0.25">
      <c r="A1366">
        <v>9982</v>
      </c>
      <c r="B1366" t="s">
        <v>3039</v>
      </c>
      <c r="C1366" t="s">
        <v>3059</v>
      </c>
      <c r="D1366">
        <v>154</v>
      </c>
      <c r="E1366">
        <v>2.4500000000000002</v>
      </c>
      <c r="F1366" t="s">
        <v>7</v>
      </c>
      <c r="G1366" t="s">
        <v>3058</v>
      </c>
    </row>
    <row r="1367" spans="1:7" x14ac:dyDescent="0.25">
      <c r="A1367">
        <v>9984</v>
      </c>
      <c r="B1367" t="s">
        <v>3041</v>
      </c>
      <c r="C1367" t="s">
        <v>3059</v>
      </c>
      <c r="D1367">
        <v>48</v>
      </c>
      <c r="E1367">
        <v>8</v>
      </c>
      <c r="F1367" t="s">
        <v>7</v>
      </c>
      <c r="G1367" t="s">
        <v>3058</v>
      </c>
    </row>
    <row r="1368" spans="1:7" x14ac:dyDescent="0.25">
      <c r="A1368">
        <v>9991</v>
      </c>
      <c r="B1368" t="s">
        <v>3045</v>
      </c>
      <c r="C1368" t="s">
        <v>3059</v>
      </c>
      <c r="D1368">
        <v>90</v>
      </c>
      <c r="E1368">
        <v>5.5</v>
      </c>
      <c r="F1368" t="s">
        <v>7</v>
      </c>
      <c r="G1368" t="s">
        <v>3058</v>
      </c>
    </row>
    <row r="1369" spans="1:7" x14ac:dyDescent="0.25">
      <c r="A1369">
        <v>9993</v>
      </c>
      <c r="B1369" t="s">
        <v>3046</v>
      </c>
      <c r="C1369" t="s">
        <v>3059</v>
      </c>
      <c r="D1369">
        <v>88</v>
      </c>
      <c r="E1369">
        <v>29.25</v>
      </c>
      <c r="F1369" t="s">
        <v>7</v>
      </c>
      <c r="G1369" t="s">
        <v>3058</v>
      </c>
    </row>
    <row r="1370" spans="1:7" x14ac:dyDescent="0.25">
      <c r="A1370">
        <v>10448</v>
      </c>
      <c r="B1370" t="s">
        <v>16092</v>
      </c>
      <c r="C1370" t="s">
        <v>3059</v>
      </c>
      <c r="D1370">
        <v>1</v>
      </c>
      <c r="F1370" t="s">
        <v>7</v>
      </c>
      <c r="G1370" t="s">
        <v>3087</v>
      </c>
    </row>
    <row r="1371" spans="1:7" x14ac:dyDescent="0.25">
      <c r="A1371">
        <v>52642</v>
      </c>
      <c r="B1371" t="s">
        <v>3134</v>
      </c>
      <c r="C1371" t="s">
        <v>3059</v>
      </c>
      <c r="D1371">
        <v>1</v>
      </c>
      <c r="F1371" t="s">
        <v>7</v>
      </c>
      <c r="G1371" t="s">
        <v>3087</v>
      </c>
    </row>
    <row r="1372" spans="1:7" x14ac:dyDescent="0.25">
      <c r="A1372">
        <v>52724</v>
      </c>
      <c r="B1372" t="s">
        <v>3136</v>
      </c>
      <c r="C1372" t="s">
        <v>3059</v>
      </c>
      <c r="D1372">
        <v>20</v>
      </c>
      <c r="F1372" t="s">
        <v>7</v>
      </c>
      <c r="G1372" t="s">
        <v>3102</v>
      </c>
    </row>
    <row r="1373" spans="1:7" x14ac:dyDescent="0.25">
      <c r="A1373">
        <v>52725</v>
      </c>
      <c r="B1373" t="s">
        <v>3137</v>
      </c>
      <c r="C1373" t="s">
        <v>3059</v>
      </c>
      <c r="D1373">
        <v>9</v>
      </c>
      <c r="F1373" t="s">
        <v>7</v>
      </c>
      <c r="G1373" t="s">
        <v>3102</v>
      </c>
    </row>
    <row r="1374" spans="1:7" x14ac:dyDescent="0.25">
      <c r="A1374">
        <v>52745</v>
      </c>
      <c r="B1374" t="s">
        <v>3140</v>
      </c>
      <c r="C1374" t="s">
        <v>3059</v>
      </c>
      <c r="D1374">
        <v>6</v>
      </c>
      <c r="E1374">
        <v>39</v>
      </c>
      <c r="F1374" t="s">
        <v>7</v>
      </c>
      <c r="G1374" t="s">
        <v>3083</v>
      </c>
    </row>
    <row r="1375" spans="1:7" x14ac:dyDescent="0.25">
      <c r="A1375">
        <v>52746</v>
      </c>
      <c r="B1375" t="s">
        <v>3141</v>
      </c>
      <c r="C1375" t="s">
        <v>3059</v>
      </c>
      <c r="D1375">
        <v>7</v>
      </c>
      <c r="E1375">
        <v>175</v>
      </c>
      <c r="F1375" t="s">
        <v>7</v>
      </c>
      <c r="G1375" t="s">
        <v>3083</v>
      </c>
    </row>
    <row r="1376" spans="1:7" x14ac:dyDescent="0.25">
      <c r="A1376">
        <v>52762</v>
      </c>
      <c r="B1376" t="s">
        <v>3142</v>
      </c>
      <c r="C1376" t="s">
        <v>3059</v>
      </c>
      <c r="D1376">
        <v>6</v>
      </c>
      <c r="F1376" t="s">
        <v>7</v>
      </c>
      <c r="G1376" t="s">
        <v>3087</v>
      </c>
    </row>
    <row r="1377" spans="1:7" x14ac:dyDescent="0.25">
      <c r="A1377">
        <v>52763</v>
      </c>
      <c r="B1377" t="s">
        <v>3143</v>
      </c>
      <c r="C1377" t="s">
        <v>3059</v>
      </c>
      <c r="D1377">
        <v>6</v>
      </c>
      <c r="F1377" t="s">
        <v>7</v>
      </c>
      <c r="G1377" t="s">
        <v>3087</v>
      </c>
    </row>
    <row r="1378" spans="1:7" x14ac:dyDescent="0.25">
      <c r="A1378">
        <v>52764</v>
      </c>
      <c r="B1378" t="s">
        <v>3144</v>
      </c>
      <c r="C1378" t="s">
        <v>3059</v>
      </c>
      <c r="D1378">
        <v>6</v>
      </c>
      <c r="F1378" t="s">
        <v>7</v>
      </c>
      <c r="G1378" t="s">
        <v>3087</v>
      </c>
    </row>
    <row r="1379" spans="1:7" x14ac:dyDescent="0.25">
      <c r="A1379">
        <v>52783</v>
      </c>
      <c r="B1379" t="s">
        <v>3145</v>
      </c>
      <c r="C1379" t="s">
        <v>3059</v>
      </c>
      <c r="D1379">
        <v>9</v>
      </c>
      <c r="F1379" t="s">
        <v>7</v>
      </c>
      <c r="G1379" t="s">
        <v>3087</v>
      </c>
    </row>
    <row r="1380" spans="1:7" x14ac:dyDescent="0.25">
      <c r="A1380">
        <v>52784</v>
      </c>
      <c r="B1380" t="s">
        <v>3146</v>
      </c>
      <c r="C1380" t="s">
        <v>3059</v>
      </c>
      <c r="D1380">
        <v>6</v>
      </c>
      <c r="F1380" t="s">
        <v>7</v>
      </c>
      <c r="G1380" t="s">
        <v>3087</v>
      </c>
    </row>
    <row r="1381" spans="1:7" x14ac:dyDescent="0.25">
      <c r="A1381">
        <v>52785</v>
      </c>
      <c r="B1381" t="s">
        <v>3147</v>
      </c>
      <c r="C1381" t="s">
        <v>3059</v>
      </c>
      <c r="D1381">
        <v>6</v>
      </c>
      <c r="F1381" t="s">
        <v>7</v>
      </c>
      <c r="G1381" t="s">
        <v>3087</v>
      </c>
    </row>
    <row r="1382" spans="1:7" x14ac:dyDescent="0.25">
      <c r="A1382">
        <v>52786</v>
      </c>
      <c r="B1382" t="s">
        <v>3148</v>
      </c>
      <c r="C1382" t="s">
        <v>3059</v>
      </c>
      <c r="D1382">
        <v>5</v>
      </c>
      <c r="F1382" t="s">
        <v>7</v>
      </c>
      <c r="G1382" t="s">
        <v>3087</v>
      </c>
    </row>
    <row r="1383" spans="1:7" x14ac:dyDescent="0.25">
      <c r="A1383">
        <v>52787</v>
      </c>
      <c r="B1383" t="s">
        <v>3149</v>
      </c>
      <c r="C1383" t="s">
        <v>3059</v>
      </c>
      <c r="D1383">
        <v>6</v>
      </c>
      <c r="F1383" t="s">
        <v>7</v>
      </c>
      <c r="G1383" t="s">
        <v>3087</v>
      </c>
    </row>
    <row r="1384" spans="1:7" x14ac:dyDescent="0.25">
      <c r="A1384">
        <v>52788</v>
      </c>
      <c r="B1384" t="s">
        <v>3150</v>
      </c>
      <c r="C1384" t="s">
        <v>3059</v>
      </c>
      <c r="D1384">
        <v>3</v>
      </c>
      <c r="F1384" t="s">
        <v>7</v>
      </c>
      <c r="G1384" t="s">
        <v>3087</v>
      </c>
    </row>
    <row r="1385" spans="1:7" x14ac:dyDescent="0.25">
      <c r="A1385">
        <v>52789</v>
      </c>
      <c r="B1385" t="s">
        <v>3151</v>
      </c>
      <c r="C1385" t="s">
        <v>3059</v>
      </c>
      <c r="D1385">
        <v>12</v>
      </c>
      <c r="F1385" t="s">
        <v>7</v>
      </c>
      <c r="G1385" t="s">
        <v>3087</v>
      </c>
    </row>
    <row r="1386" spans="1:7" x14ac:dyDescent="0.25">
      <c r="A1386">
        <v>52790</v>
      </c>
      <c r="B1386" t="s">
        <v>3152</v>
      </c>
      <c r="C1386" t="s">
        <v>3059</v>
      </c>
      <c r="D1386">
        <v>13</v>
      </c>
      <c r="F1386" t="s">
        <v>7</v>
      </c>
      <c r="G1386" t="s">
        <v>3087</v>
      </c>
    </row>
    <row r="1387" spans="1:7" x14ac:dyDescent="0.25">
      <c r="A1387">
        <v>52791</v>
      </c>
      <c r="B1387" t="s">
        <v>3153</v>
      </c>
      <c r="C1387" t="s">
        <v>3059</v>
      </c>
      <c r="D1387">
        <v>8</v>
      </c>
      <c r="F1387" t="s">
        <v>7</v>
      </c>
      <c r="G1387" t="s">
        <v>3087</v>
      </c>
    </row>
    <row r="1388" spans="1:7" x14ac:dyDescent="0.25">
      <c r="A1388">
        <v>52792</v>
      </c>
      <c r="B1388" t="s">
        <v>3154</v>
      </c>
      <c r="C1388" t="s">
        <v>3059</v>
      </c>
      <c r="D1388">
        <v>4</v>
      </c>
      <c r="F1388" t="s">
        <v>7</v>
      </c>
      <c r="G1388" t="s">
        <v>3087</v>
      </c>
    </row>
    <row r="1389" spans="1:7" x14ac:dyDescent="0.25">
      <c r="A1389">
        <v>52793</v>
      </c>
      <c r="B1389" t="s">
        <v>3155</v>
      </c>
      <c r="C1389" t="s">
        <v>3059</v>
      </c>
      <c r="D1389">
        <v>5</v>
      </c>
      <c r="F1389" t="s">
        <v>7</v>
      </c>
      <c r="G1389" t="s">
        <v>3087</v>
      </c>
    </row>
    <row r="1390" spans="1:7" x14ac:dyDescent="0.25">
      <c r="A1390">
        <v>52794</v>
      </c>
      <c r="B1390" t="s">
        <v>3156</v>
      </c>
      <c r="C1390" t="s">
        <v>3059</v>
      </c>
      <c r="D1390">
        <v>8</v>
      </c>
      <c r="F1390" t="s">
        <v>7</v>
      </c>
      <c r="G1390" t="s">
        <v>3087</v>
      </c>
    </row>
    <row r="1391" spans="1:7" x14ac:dyDescent="0.25">
      <c r="A1391">
        <v>52795</v>
      </c>
      <c r="B1391" t="s">
        <v>3157</v>
      </c>
      <c r="C1391" t="s">
        <v>3059</v>
      </c>
      <c r="D1391">
        <v>5</v>
      </c>
      <c r="F1391" t="s">
        <v>7</v>
      </c>
      <c r="G1391" t="s">
        <v>3087</v>
      </c>
    </row>
    <row r="1392" spans="1:7" x14ac:dyDescent="0.25">
      <c r="A1392">
        <v>52796</v>
      </c>
      <c r="B1392" t="s">
        <v>3158</v>
      </c>
      <c r="C1392" t="s">
        <v>3059</v>
      </c>
      <c r="D1392">
        <v>5</v>
      </c>
      <c r="F1392" t="s">
        <v>7</v>
      </c>
      <c r="G1392" t="s">
        <v>3087</v>
      </c>
    </row>
    <row r="1393" spans="1:7" x14ac:dyDescent="0.25">
      <c r="A1393">
        <v>52797</v>
      </c>
      <c r="B1393" t="s">
        <v>3159</v>
      </c>
      <c r="C1393" t="s">
        <v>3059</v>
      </c>
      <c r="D1393">
        <v>10</v>
      </c>
      <c r="F1393" t="s">
        <v>7</v>
      </c>
      <c r="G1393" t="s">
        <v>3087</v>
      </c>
    </row>
    <row r="1394" spans="1:7" x14ac:dyDescent="0.25">
      <c r="A1394">
        <v>52798</v>
      </c>
      <c r="B1394" t="s">
        <v>3160</v>
      </c>
      <c r="C1394" t="s">
        <v>3059</v>
      </c>
      <c r="D1394">
        <v>1</v>
      </c>
      <c r="F1394" t="s">
        <v>7</v>
      </c>
      <c r="G1394" t="s">
        <v>3087</v>
      </c>
    </row>
    <row r="1395" spans="1:7" x14ac:dyDescent="0.25">
      <c r="A1395">
        <v>52799</v>
      </c>
      <c r="B1395" t="s">
        <v>3161</v>
      </c>
      <c r="C1395" t="s">
        <v>3059</v>
      </c>
      <c r="D1395">
        <v>1</v>
      </c>
      <c r="F1395" t="s">
        <v>7</v>
      </c>
      <c r="G1395" t="s">
        <v>3087</v>
      </c>
    </row>
    <row r="1396" spans="1:7" x14ac:dyDescent="0.25">
      <c r="A1396">
        <v>52800</v>
      </c>
      <c r="B1396" t="s">
        <v>3162</v>
      </c>
      <c r="C1396" t="s">
        <v>3059</v>
      </c>
      <c r="D1396">
        <v>3</v>
      </c>
      <c r="F1396" t="s">
        <v>7</v>
      </c>
      <c r="G1396" t="s">
        <v>3087</v>
      </c>
    </row>
    <row r="1397" spans="1:7" x14ac:dyDescent="0.25">
      <c r="A1397">
        <v>52801</v>
      </c>
      <c r="B1397" t="s">
        <v>3163</v>
      </c>
      <c r="C1397" t="s">
        <v>3059</v>
      </c>
      <c r="D1397">
        <v>13</v>
      </c>
      <c r="F1397" t="s">
        <v>7</v>
      </c>
      <c r="G1397" t="s">
        <v>3087</v>
      </c>
    </row>
    <row r="1398" spans="1:7" x14ac:dyDescent="0.25">
      <c r="A1398">
        <v>52802</v>
      </c>
      <c r="B1398" t="s">
        <v>3164</v>
      </c>
      <c r="C1398" t="s">
        <v>3059</v>
      </c>
      <c r="D1398">
        <v>3</v>
      </c>
      <c r="F1398" t="s">
        <v>7</v>
      </c>
      <c r="G1398" t="s">
        <v>3087</v>
      </c>
    </row>
    <row r="1399" spans="1:7" x14ac:dyDescent="0.25">
      <c r="A1399">
        <v>52803</v>
      </c>
      <c r="B1399" t="s">
        <v>3165</v>
      </c>
      <c r="C1399" t="s">
        <v>3059</v>
      </c>
      <c r="D1399">
        <v>5</v>
      </c>
      <c r="F1399" t="s">
        <v>7</v>
      </c>
      <c r="G1399" t="s">
        <v>3087</v>
      </c>
    </row>
    <row r="1400" spans="1:7" x14ac:dyDescent="0.25">
      <c r="A1400">
        <v>52804</v>
      </c>
      <c r="B1400" t="s">
        <v>3166</v>
      </c>
      <c r="C1400" t="s">
        <v>3059</v>
      </c>
      <c r="D1400">
        <v>6</v>
      </c>
      <c r="F1400" t="s">
        <v>7</v>
      </c>
      <c r="G1400" t="s">
        <v>3087</v>
      </c>
    </row>
    <row r="1401" spans="1:7" x14ac:dyDescent="0.25">
      <c r="A1401">
        <v>52805</v>
      </c>
      <c r="B1401" t="s">
        <v>3167</v>
      </c>
      <c r="C1401" t="s">
        <v>3059</v>
      </c>
      <c r="D1401">
        <v>11</v>
      </c>
      <c r="F1401" t="s">
        <v>7</v>
      </c>
      <c r="G1401" t="s">
        <v>3087</v>
      </c>
    </row>
    <row r="1402" spans="1:7" x14ac:dyDescent="0.25">
      <c r="A1402">
        <v>52806</v>
      </c>
      <c r="B1402" t="s">
        <v>3168</v>
      </c>
      <c r="C1402" t="s">
        <v>3059</v>
      </c>
      <c r="D1402">
        <v>9</v>
      </c>
      <c r="F1402" t="s">
        <v>7</v>
      </c>
      <c r="G1402" t="s">
        <v>3087</v>
      </c>
    </row>
    <row r="1403" spans="1:7" x14ac:dyDescent="0.25">
      <c r="A1403">
        <v>52807</v>
      </c>
      <c r="B1403" t="s">
        <v>3169</v>
      </c>
      <c r="C1403" t="s">
        <v>3059</v>
      </c>
      <c r="D1403">
        <v>9</v>
      </c>
      <c r="F1403" t="s">
        <v>7</v>
      </c>
      <c r="G1403" t="s">
        <v>3087</v>
      </c>
    </row>
    <row r="1404" spans="1:7" x14ac:dyDescent="0.25">
      <c r="A1404">
        <v>52808</v>
      </c>
      <c r="B1404" t="s">
        <v>3170</v>
      </c>
      <c r="C1404" t="s">
        <v>3059</v>
      </c>
      <c r="D1404">
        <v>6</v>
      </c>
      <c r="F1404" t="s">
        <v>7</v>
      </c>
      <c r="G1404" t="s">
        <v>3087</v>
      </c>
    </row>
    <row r="1405" spans="1:7" x14ac:dyDescent="0.25">
      <c r="A1405">
        <v>52809</v>
      </c>
      <c r="B1405" t="s">
        <v>3171</v>
      </c>
      <c r="C1405" t="s">
        <v>3059</v>
      </c>
      <c r="D1405">
        <v>12</v>
      </c>
      <c r="F1405" t="s">
        <v>7</v>
      </c>
      <c r="G1405" t="s">
        <v>3087</v>
      </c>
    </row>
    <row r="1406" spans="1:7" x14ac:dyDescent="0.25">
      <c r="A1406">
        <v>52810</v>
      </c>
      <c r="B1406" t="s">
        <v>3172</v>
      </c>
      <c r="C1406" t="s">
        <v>3059</v>
      </c>
      <c r="D1406">
        <v>3</v>
      </c>
      <c r="F1406" t="s">
        <v>7</v>
      </c>
      <c r="G1406" t="s">
        <v>3087</v>
      </c>
    </row>
    <row r="1407" spans="1:7" x14ac:dyDescent="0.25">
      <c r="A1407">
        <v>52811</v>
      </c>
      <c r="B1407" t="s">
        <v>3173</v>
      </c>
      <c r="C1407" t="s">
        <v>3059</v>
      </c>
      <c r="D1407">
        <v>2</v>
      </c>
      <c r="F1407" t="s">
        <v>7</v>
      </c>
      <c r="G1407" t="s">
        <v>3087</v>
      </c>
    </row>
    <row r="1408" spans="1:7" x14ac:dyDescent="0.25">
      <c r="A1408">
        <v>52812</v>
      </c>
      <c r="B1408" t="s">
        <v>3174</v>
      </c>
      <c r="C1408" t="s">
        <v>3059</v>
      </c>
      <c r="D1408">
        <v>3</v>
      </c>
      <c r="F1408" t="s">
        <v>7</v>
      </c>
      <c r="G1408" t="s">
        <v>3087</v>
      </c>
    </row>
    <row r="1409" spans="1:7" x14ac:dyDescent="0.25">
      <c r="A1409">
        <v>52813</v>
      </c>
      <c r="B1409" t="s">
        <v>3175</v>
      </c>
      <c r="C1409" t="s">
        <v>3059</v>
      </c>
      <c r="D1409">
        <v>6</v>
      </c>
      <c r="F1409" t="s">
        <v>7</v>
      </c>
      <c r="G1409" t="s">
        <v>3087</v>
      </c>
    </row>
    <row r="1410" spans="1:7" x14ac:dyDescent="0.25">
      <c r="A1410">
        <v>52814</v>
      </c>
      <c r="B1410" t="s">
        <v>3176</v>
      </c>
      <c r="C1410" t="s">
        <v>3059</v>
      </c>
      <c r="D1410">
        <v>6</v>
      </c>
      <c r="F1410" t="s">
        <v>7</v>
      </c>
      <c r="G1410" t="s">
        <v>3087</v>
      </c>
    </row>
    <row r="1411" spans="1:7" x14ac:dyDescent="0.25">
      <c r="A1411">
        <v>52815</v>
      </c>
      <c r="B1411" t="s">
        <v>3177</v>
      </c>
      <c r="C1411" t="s">
        <v>3059</v>
      </c>
      <c r="D1411">
        <v>6</v>
      </c>
      <c r="F1411" t="s">
        <v>7</v>
      </c>
      <c r="G1411" t="s">
        <v>3087</v>
      </c>
    </row>
    <row r="1412" spans="1:7" x14ac:dyDescent="0.25">
      <c r="A1412">
        <v>52816</v>
      </c>
      <c r="B1412" t="s">
        <v>3178</v>
      </c>
      <c r="C1412" t="s">
        <v>3059</v>
      </c>
      <c r="D1412">
        <v>6</v>
      </c>
      <c r="F1412" t="s">
        <v>7</v>
      </c>
      <c r="G1412" t="s">
        <v>3087</v>
      </c>
    </row>
    <row r="1413" spans="1:7" x14ac:dyDescent="0.25">
      <c r="A1413">
        <v>52817</v>
      </c>
      <c r="B1413" t="s">
        <v>3179</v>
      </c>
      <c r="C1413" t="s">
        <v>3059</v>
      </c>
      <c r="D1413">
        <v>2</v>
      </c>
      <c r="F1413" t="s">
        <v>7</v>
      </c>
      <c r="G1413" t="s">
        <v>3087</v>
      </c>
    </row>
    <row r="1414" spans="1:7" x14ac:dyDescent="0.25">
      <c r="A1414">
        <v>52818</v>
      </c>
      <c r="B1414" t="s">
        <v>3180</v>
      </c>
      <c r="C1414" t="s">
        <v>3059</v>
      </c>
      <c r="D1414">
        <v>6</v>
      </c>
      <c r="F1414" t="s">
        <v>7</v>
      </c>
      <c r="G1414" t="s">
        <v>3087</v>
      </c>
    </row>
    <row r="1415" spans="1:7" x14ac:dyDescent="0.25">
      <c r="A1415">
        <v>52819</v>
      </c>
      <c r="B1415" t="s">
        <v>3181</v>
      </c>
      <c r="C1415" t="s">
        <v>3059</v>
      </c>
      <c r="D1415">
        <v>3</v>
      </c>
      <c r="F1415" t="s">
        <v>7</v>
      </c>
      <c r="G1415" t="s">
        <v>3087</v>
      </c>
    </row>
    <row r="1416" spans="1:7" x14ac:dyDescent="0.25">
      <c r="A1416">
        <v>52820</v>
      </c>
      <c r="B1416" t="s">
        <v>3182</v>
      </c>
      <c r="C1416" t="s">
        <v>3059</v>
      </c>
      <c r="D1416">
        <v>3</v>
      </c>
      <c r="F1416" t="s">
        <v>7</v>
      </c>
      <c r="G1416" t="s">
        <v>3087</v>
      </c>
    </row>
    <row r="1417" spans="1:7" x14ac:dyDescent="0.25">
      <c r="A1417">
        <v>52845</v>
      </c>
      <c r="B1417" t="s">
        <v>3183</v>
      </c>
      <c r="C1417" t="s">
        <v>3059</v>
      </c>
      <c r="D1417">
        <v>20</v>
      </c>
      <c r="F1417" t="s">
        <v>7</v>
      </c>
      <c r="G1417" t="s">
        <v>3087</v>
      </c>
    </row>
    <row r="1418" spans="1:7" x14ac:dyDescent="0.25">
      <c r="A1418">
        <v>52846</v>
      </c>
      <c r="B1418" t="s">
        <v>3184</v>
      </c>
      <c r="C1418" t="s">
        <v>3059</v>
      </c>
      <c r="D1418">
        <v>7</v>
      </c>
      <c r="F1418" t="s">
        <v>7</v>
      </c>
      <c r="G1418" t="s">
        <v>3087</v>
      </c>
    </row>
    <row r="1419" spans="1:7" x14ac:dyDescent="0.25">
      <c r="A1419">
        <v>52848</v>
      </c>
      <c r="B1419" t="s">
        <v>3185</v>
      </c>
      <c r="C1419" t="s">
        <v>3059</v>
      </c>
      <c r="D1419">
        <v>2</v>
      </c>
      <c r="F1419" t="s">
        <v>7</v>
      </c>
      <c r="G1419" t="s">
        <v>3087</v>
      </c>
    </row>
    <row r="1420" spans="1:7" x14ac:dyDescent="0.25">
      <c r="A1420">
        <v>52849</v>
      </c>
      <c r="B1420" t="s">
        <v>3186</v>
      </c>
      <c r="C1420" t="s">
        <v>3059</v>
      </c>
      <c r="D1420">
        <v>1</v>
      </c>
      <c r="F1420" t="s">
        <v>7</v>
      </c>
      <c r="G1420" t="s">
        <v>3087</v>
      </c>
    </row>
    <row r="1421" spans="1:7" x14ac:dyDescent="0.25">
      <c r="A1421">
        <v>52850</v>
      </c>
      <c r="B1421" t="s">
        <v>3187</v>
      </c>
      <c r="C1421" t="s">
        <v>3059</v>
      </c>
      <c r="D1421">
        <v>4</v>
      </c>
      <c r="F1421" t="s">
        <v>7</v>
      </c>
      <c r="G1421" t="s">
        <v>3087</v>
      </c>
    </row>
    <row r="1422" spans="1:7" x14ac:dyDescent="0.25">
      <c r="A1422">
        <v>52851</v>
      </c>
      <c r="B1422" t="s">
        <v>3188</v>
      </c>
      <c r="C1422" t="s">
        <v>3059</v>
      </c>
      <c r="D1422">
        <v>12</v>
      </c>
      <c r="F1422" t="s">
        <v>7</v>
      </c>
      <c r="G1422" t="s">
        <v>3087</v>
      </c>
    </row>
    <row r="1423" spans="1:7" x14ac:dyDescent="0.25">
      <c r="A1423">
        <v>52852</v>
      </c>
      <c r="B1423" t="s">
        <v>3189</v>
      </c>
      <c r="C1423" t="s">
        <v>3059</v>
      </c>
      <c r="D1423">
        <v>12</v>
      </c>
      <c r="F1423" t="s">
        <v>7</v>
      </c>
      <c r="G1423" t="s">
        <v>3087</v>
      </c>
    </row>
    <row r="1424" spans="1:7" x14ac:dyDescent="0.25">
      <c r="A1424">
        <v>52853</v>
      </c>
      <c r="B1424" t="s">
        <v>3190</v>
      </c>
      <c r="C1424" t="s">
        <v>3059</v>
      </c>
      <c r="D1424">
        <v>1</v>
      </c>
      <c r="F1424" t="s">
        <v>7</v>
      </c>
      <c r="G1424" t="s">
        <v>3087</v>
      </c>
    </row>
    <row r="1425" spans="1:7" x14ac:dyDescent="0.25">
      <c r="A1425">
        <v>52854</v>
      </c>
      <c r="B1425" t="s">
        <v>3191</v>
      </c>
      <c r="C1425" t="s">
        <v>3059</v>
      </c>
      <c r="D1425">
        <v>12</v>
      </c>
      <c r="F1425" t="s">
        <v>7</v>
      </c>
      <c r="G1425" t="s">
        <v>3087</v>
      </c>
    </row>
    <row r="1426" spans="1:7" x14ac:dyDescent="0.25">
      <c r="A1426">
        <v>52855</v>
      </c>
      <c r="B1426" t="s">
        <v>3192</v>
      </c>
      <c r="C1426" t="s">
        <v>3059</v>
      </c>
      <c r="D1426">
        <v>4</v>
      </c>
      <c r="F1426" t="s">
        <v>7</v>
      </c>
      <c r="G1426" t="s">
        <v>3087</v>
      </c>
    </row>
    <row r="1427" spans="1:7" x14ac:dyDescent="0.25">
      <c r="A1427">
        <v>52856</v>
      </c>
      <c r="B1427" t="s">
        <v>3193</v>
      </c>
      <c r="C1427" t="s">
        <v>3059</v>
      </c>
      <c r="D1427">
        <v>6</v>
      </c>
      <c r="F1427" t="s">
        <v>7</v>
      </c>
      <c r="G1427" t="s">
        <v>3087</v>
      </c>
    </row>
    <row r="1428" spans="1:7" x14ac:dyDescent="0.25">
      <c r="A1428">
        <v>52858</v>
      </c>
      <c r="B1428" t="s">
        <v>3194</v>
      </c>
      <c r="C1428" t="s">
        <v>3059</v>
      </c>
      <c r="D1428">
        <v>1</v>
      </c>
      <c r="F1428" t="s">
        <v>7</v>
      </c>
      <c r="G1428" t="s">
        <v>3087</v>
      </c>
    </row>
    <row r="1429" spans="1:7" x14ac:dyDescent="0.25">
      <c r="A1429">
        <v>10155</v>
      </c>
      <c r="B1429" t="s">
        <v>147</v>
      </c>
      <c r="C1429" t="s">
        <v>3059</v>
      </c>
      <c r="D1429">
        <v>8</v>
      </c>
      <c r="E1429">
        <v>6.4</v>
      </c>
      <c r="F1429" t="s">
        <v>7</v>
      </c>
      <c r="G1429" t="s">
        <v>3074</v>
      </c>
    </row>
    <row r="1430" spans="1:7" x14ac:dyDescent="0.25">
      <c r="A1430">
        <v>10185</v>
      </c>
      <c r="B1430" t="s">
        <v>176</v>
      </c>
      <c r="C1430" t="s">
        <v>3059</v>
      </c>
      <c r="D1430">
        <v>12</v>
      </c>
      <c r="E1430">
        <v>8.0299999999999994</v>
      </c>
      <c r="F1430" t="s">
        <v>7</v>
      </c>
      <c r="G1430" t="s">
        <v>3074</v>
      </c>
    </row>
    <row r="1431" spans="1:7" x14ac:dyDescent="0.25">
      <c r="A1431">
        <v>10368</v>
      </c>
      <c r="B1431" t="s">
        <v>346</v>
      </c>
      <c r="C1431" t="s">
        <v>3059</v>
      </c>
      <c r="D1431">
        <v>24</v>
      </c>
      <c r="E1431">
        <v>18.690000000000001</v>
      </c>
      <c r="F1431" t="s">
        <v>7</v>
      </c>
      <c r="G1431" t="s">
        <v>3071</v>
      </c>
    </row>
    <row r="1432" spans="1:7" x14ac:dyDescent="0.25">
      <c r="A1432">
        <v>10376</v>
      </c>
      <c r="B1432" t="s">
        <v>352</v>
      </c>
      <c r="C1432" t="s">
        <v>3059</v>
      </c>
      <c r="D1432">
        <v>9</v>
      </c>
      <c r="E1432">
        <v>29</v>
      </c>
      <c r="F1432" t="s">
        <v>3065</v>
      </c>
      <c r="G1432" t="s">
        <v>3066</v>
      </c>
    </row>
    <row r="1433" spans="1:7" x14ac:dyDescent="0.25">
      <c r="A1433">
        <v>10444</v>
      </c>
      <c r="B1433" t="s">
        <v>406</v>
      </c>
      <c r="C1433" t="s">
        <v>3059</v>
      </c>
      <c r="D1433">
        <v>3</v>
      </c>
      <c r="E1433">
        <v>23309</v>
      </c>
      <c r="F1433" t="s">
        <v>7</v>
      </c>
      <c r="G1433" t="s">
        <v>3087</v>
      </c>
    </row>
    <row r="1434" spans="1:7" x14ac:dyDescent="0.25">
      <c r="A1434">
        <v>10492</v>
      </c>
      <c r="B1434" t="s">
        <v>16093</v>
      </c>
      <c r="C1434" t="s">
        <v>3059</v>
      </c>
      <c r="D1434">
        <v>14</v>
      </c>
      <c r="E1434">
        <v>6.17</v>
      </c>
      <c r="F1434" t="s">
        <v>7</v>
      </c>
      <c r="G1434" t="s">
        <v>3074</v>
      </c>
    </row>
    <row r="1435" spans="1:7" x14ac:dyDescent="0.25">
      <c r="A1435">
        <v>10603</v>
      </c>
      <c r="B1435" t="s">
        <v>552</v>
      </c>
      <c r="C1435" t="s">
        <v>3059</v>
      </c>
      <c r="D1435">
        <v>7</v>
      </c>
      <c r="E1435">
        <v>278</v>
      </c>
      <c r="F1435" t="s">
        <v>7</v>
      </c>
      <c r="G1435" t="s">
        <v>3087</v>
      </c>
    </row>
    <row r="1436" spans="1:7" x14ac:dyDescent="0.25">
      <c r="A1436">
        <v>10604</v>
      </c>
      <c r="B1436" t="s">
        <v>553</v>
      </c>
      <c r="C1436" t="s">
        <v>3059</v>
      </c>
      <c r="D1436">
        <v>6</v>
      </c>
      <c r="E1436">
        <v>271</v>
      </c>
      <c r="F1436" t="s">
        <v>7</v>
      </c>
      <c r="G1436" t="s">
        <v>3087</v>
      </c>
    </row>
    <row r="1437" spans="1:7" x14ac:dyDescent="0.25">
      <c r="A1437">
        <v>10605</v>
      </c>
      <c r="B1437" t="s">
        <v>554</v>
      </c>
      <c r="C1437" t="s">
        <v>3059</v>
      </c>
      <c r="D1437">
        <v>10</v>
      </c>
      <c r="E1437">
        <v>307</v>
      </c>
      <c r="F1437" t="s">
        <v>7</v>
      </c>
      <c r="G1437" t="s">
        <v>3087</v>
      </c>
    </row>
    <row r="1438" spans="1:7" x14ac:dyDescent="0.25">
      <c r="A1438">
        <v>10606</v>
      </c>
      <c r="B1438" t="s">
        <v>555</v>
      </c>
      <c r="C1438" t="s">
        <v>3059</v>
      </c>
      <c r="D1438">
        <v>8</v>
      </c>
      <c r="E1438">
        <v>302</v>
      </c>
      <c r="F1438" t="s">
        <v>7</v>
      </c>
      <c r="G1438" t="s">
        <v>3087</v>
      </c>
    </row>
    <row r="1439" spans="1:7" x14ac:dyDescent="0.25">
      <c r="A1439">
        <v>10607</v>
      </c>
      <c r="B1439" t="s">
        <v>556</v>
      </c>
      <c r="C1439" t="s">
        <v>3059</v>
      </c>
      <c r="D1439">
        <v>30</v>
      </c>
      <c r="E1439">
        <v>66</v>
      </c>
      <c r="F1439" t="s">
        <v>7</v>
      </c>
      <c r="G1439" t="s">
        <v>3087</v>
      </c>
    </row>
    <row r="1440" spans="1:7" x14ac:dyDescent="0.25">
      <c r="A1440">
        <v>10609</v>
      </c>
      <c r="B1440" t="s">
        <v>558</v>
      </c>
      <c r="C1440" t="s">
        <v>3059</v>
      </c>
      <c r="D1440">
        <v>20</v>
      </c>
      <c r="E1440">
        <v>11</v>
      </c>
      <c r="F1440" t="s">
        <v>7</v>
      </c>
      <c r="G1440" t="s">
        <v>3087</v>
      </c>
    </row>
    <row r="1441" spans="1:7" x14ac:dyDescent="0.25">
      <c r="A1441">
        <v>10610</v>
      </c>
      <c r="B1441" t="s">
        <v>559</v>
      </c>
      <c r="C1441" t="s">
        <v>3059</v>
      </c>
      <c r="D1441">
        <v>15</v>
      </c>
      <c r="E1441">
        <v>173</v>
      </c>
      <c r="F1441" t="s">
        <v>7</v>
      </c>
      <c r="G1441" t="s">
        <v>3087</v>
      </c>
    </row>
    <row r="1442" spans="1:7" x14ac:dyDescent="0.25">
      <c r="A1442">
        <v>10612</v>
      </c>
      <c r="B1442" t="s">
        <v>560</v>
      </c>
      <c r="C1442" t="s">
        <v>3059</v>
      </c>
      <c r="D1442">
        <v>10</v>
      </c>
      <c r="E1442">
        <v>30</v>
      </c>
      <c r="F1442" t="s">
        <v>7</v>
      </c>
      <c r="G1442" t="s">
        <v>3087</v>
      </c>
    </row>
    <row r="1443" spans="1:7" x14ac:dyDescent="0.25">
      <c r="A1443">
        <v>10624</v>
      </c>
      <c r="B1443" t="s">
        <v>570</v>
      </c>
      <c r="C1443" t="s">
        <v>3059</v>
      </c>
      <c r="D1443">
        <v>12</v>
      </c>
      <c r="E1443">
        <v>22</v>
      </c>
      <c r="F1443" t="s">
        <v>7</v>
      </c>
      <c r="G1443" t="s">
        <v>3087</v>
      </c>
    </row>
    <row r="1444" spans="1:7" x14ac:dyDescent="0.25">
      <c r="A1444">
        <v>10626</v>
      </c>
      <c r="B1444" t="s">
        <v>571</v>
      </c>
      <c r="C1444" t="s">
        <v>3059</v>
      </c>
      <c r="D1444">
        <v>5</v>
      </c>
      <c r="E1444">
        <v>39</v>
      </c>
      <c r="F1444" t="s">
        <v>7</v>
      </c>
      <c r="G1444" t="s">
        <v>3087</v>
      </c>
    </row>
    <row r="1445" spans="1:7" x14ac:dyDescent="0.25">
      <c r="A1445">
        <v>10627</v>
      </c>
      <c r="B1445" t="s">
        <v>572</v>
      </c>
      <c r="C1445" t="s">
        <v>3059</v>
      </c>
      <c r="D1445">
        <v>5</v>
      </c>
      <c r="E1445">
        <v>38</v>
      </c>
      <c r="F1445" t="s">
        <v>7</v>
      </c>
      <c r="G1445" t="s">
        <v>3087</v>
      </c>
    </row>
    <row r="1446" spans="1:7" x14ac:dyDescent="0.25">
      <c r="A1446">
        <v>10636</v>
      </c>
      <c r="B1446" t="s">
        <v>581</v>
      </c>
      <c r="C1446" t="s">
        <v>3059</v>
      </c>
      <c r="D1446">
        <v>5</v>
      </c>
      <c r="E1446">
        <v>240</v>
      </c>
      <c r="F1446" t="s">
        <v>7</v>
      </c>
      <c r="G1446" t="s">
        <v>3087</v>
      </c>
    </row>
    <row r="1447" spans="1:7" x14ac:dyDescent="0.25">
      <c r="A1447">
        <v>10638</v>
      </c>
      <c r="B1447" t="s">
        <v>583</v>
      </c>
      <c r="C1447" t="s">
        <v>3059</v>
      </c>
      <c r="D1447">
        <v>5</v>
      </c>
      <c r="E1447">
        <v>41</v>
      </c>
      <c r="F1447" t="s">
        <v>7</v>
      </c>
      <c r="G1447" t="s">
        <v>3087</v>
      </c>
    </row>
    <row r="1448" spans="1:7" x14ac:dyDescent="0.25">
      <c r="A1448">
        <v>10639</v>
      </c>
      <c r="B1448" t="s">
        <v>584</v>
      </c>
      <c r="C1448" t="s">
        <v>3059</v>
      </c>
      <c r="D1448">
        <v>5</v>
      </c>
      <c r="E1448">
        <v>132</v>
      </c>
      <c r="F1448" t="s">
        <v>7</v>
      </c>
      <c r="G1448" t="s">
        <v>3087</v>
      </c>
    </row>
    <row r="1449" spans="1:7" x14ac:dyDescent="0.25">
      <c r="A1449">
        <v>10644</v>
      </c>
      <c r="B1449" t="s">
        <v>589</v>
      </c>
      <c r="C1449" t="s">
        <v>3059</v>
      </c>
      <c r="D1449">
        <v>5</v>
      </c>
      <c r="E1449">
        <v>57</v>
      </c>
      <c r="F1449" t="s">
        <v>7</v>
      </c>
      <c r="G1449" t="s">
        <v>3087</v>
      </c>
    </row>
    <row r="1450" spans="1:7" x14ac:dyDescent="0.25">
      <c r="A1450">
        <v>10667</v>
      </c>
      <c r="B1450" t="s">
        <v>609</v>
      </c>
      <c r="C1450" t="s">
        <v>3059</v>
      </c>
      <c r="D1450">
        <v>10</v>
      </c>
      <c r="E1450">
        <v>147</v>
      </c>
      <c r="F1450" t="s">
        <v>7</v>
      </c>
      <c r="G1450" t="s">
        <v>3087</v>
      </c>
    </row>
    <row r="1451" spans="1:7" x14ac:dyDescent="0.25">
      <c r="A1451">
        <v>10668</v>
      </c>
      <c r="B1451" t="s">
        <v>610</v>
      </c>
      <c r="C1451" t="s">
        <v>3059</v>
      </c>
      <c r="D1451">
        <v>17</v>
      </c>
      <c r="E1451">
        <v>28</v>
      </c>
      <c r="F1451" t="s">
        <v>7</v>
      </c>
      <c r="G1451" t="s">
        <v>3087</v>
      </c>
    </row>
    <row r="1452" spans="1:7" x14ac:dyDescent="0.25">
      <c r="A1452">
        <v>10693</v>
      </c>
      <c r="B1452" t="s">
        <v>634</v>
      </c>
      <c r="C1452" t="s">
        <v>3059</v>
      </c>
      <c r="D1452">
        <v>20</v>
      </c>
      <c r="E1452">
        <v>12</v>
      </c>
      <c r="F1452" t="s">
        <v>7</v>
      </c>
      <c r="G1452" t="s">
        <v>3087</v>
      </c>
    </row>
    <row r="1453" spans="1:7" x14ac:dyDescent="0.25">
      <c r="A1453">
        <v>10694</v>
      </c>
      <c r="B1453" t="s">
        <v>635</v>
      </c>
      <c r="C1453" t="s">
        <v>3059</v>
      </c>
      <c r="D1453">
        <v>12</v>
      </c>
      <c r="E1453">
        <v>12</v>
      </c>
      <c r="F1453" t="s">
        <v>7</v>
      </c>
      <c r="G1453" t="s">
        <v>3087</v>
      </c>
    </row>
    <row r="1454" spans="1:7" x14ac:dyDescent="0.25">
      <c r="A1454">
        <v>10769</v>
      </c>
      <c r="B1454" t="s">
        <v>689</v>
      </c>
      <c r="C1454" t="s">
        <v>3059</v>
      </c>
      <c r="D1454">
        <v>30</v>
      </c>
      <c r="E1454">
        <v>5</v>
      </c>
      <c r="F1454" t="s">
        <v>7</v>
      </c>
      <c r="G1454" t="s">
        <v>3087</v>
      </c>
    </row>
    <row r="1455" spans="1:7" x14ac:dyDescent="0.25">
      <c r="A1455">
        <v>10770</v>
      </c>
      <c r="B1455" t="s">
        <v>690</v>
      </c>
      <c r="C1455" t="s">
        <v>3059</v>
      </c>
      <c r="D1455">
        <v>25</v>
      </c>
      <c r="E1455">
        <v>5</v>
      </c>
      <c r="F1455" t="s">
        <v>7</v>
      </c>
      <c r="G1455" t="s">
        <v>3087</v>
      </c>
    </row>
    <row r="1456" spans="1:7" x14ac:dyDescent="0.25">
      <c r="A1456">
        <v>10774</v>
      </c>
      <c r="B1456" t="s">
        <v>694</v>
      </c>
      <c r="C1456" t="s">
        <v>3059</v>
      </c>
      <c r="D1456">
        <v>12</v>
      </c>
      <c r="E1456">
        <v>10</v>
      </c>
      <c r="F1456" t="s">
        <v>7</v>
      </c>
      <c r="G1456" t="s">
        <v>3087</v>
      </c>
    </row>
    <row r="1457" spans="1:7" x14ac:dyDescent="0.25">
      <c r="A1457">
        <v>10777</v>
      </c>
      <c r="B1457" t="s">
        <v>697</v>
      </c>
      <c r="C1457" t="s">
        <v>3059</v>
      </c>
      <c r="D1457">
        <v>12</v>
      </c>
      <c r="E1457">
        <v>13</v>
      </c>
      <c r="F1457" t="s">
        <v>7</v>
      </c>
      <c r="G1457" t="s">
        <v>3087</v>
      </c>
    </row>
    <row r="1458" spans="1:7" x14ac:dyDescent="0.25">
      <c r="A1458">
        <v>10778</v>
      </c>
      <c r="B1458" t="s">
        <v>698</v>
      </c>
      <c r="C1458" t="s">
        <v>3059</v>
      </c>
      <c r="D1458">
        <v>14</v>
      </c>
      <c r="E1458">
        <v>14</v>
      </c>
      <c r="F1458" t="s">
        <v>7</v>
      </c>
      <c r="G1458" t="s">
        <v>3087</v>
      </c>
    </row>
    <row r="1459" spans="1:7" x14ac:dyDescent="0.25">
      <c r="A1459">
        <v>10779</v>
      </c>
      <c r="B1459" t="s">
        <v>699</v>
      </c>
      <c r="C1459" t="s">
        <v>3059</v>
      </c>
      <c r="D1459">
        <v>10</v>
      </c>
      <c r="E1459">
        <v>14</v>
      </c>
      <c r="F1459" t="s">
        <v>7</v>
      </c>
      <c r="G1459" t="s">
        <v>3087</v>
      </c>
    </row>
    <row r="1460" spans="1:7" x14ac:dyDescent="0.25">
      <c r="A1460">
        <v>10781</v>
      </c>
      <c r="B1460" t="s">
        <v>701</v>
      </c>
      <c r="C1460" t="s">
        <v>3059</v>
      </c>
      <c r="D1460">
        <v>13</v>
      </c>
      <c r="E1460">
        <v>15</v>
      </c>
      <c r="F1460" t="s">
        <v>7</v>
      </c>
      <c r="G1460" t="s">
        <v>3087</v>
      </c>
    </row>
    <row r="1461" spans="1:7" x14ac:dyDescent="0.25">
      <c r="A1461">
        <v>10782</v>
      </c>
      <c r="B1461" t="s">
        <v>702</v>
      </c>
      <c r="C1461" t="s">
        <v>3059</v>
      </c>
      <c r="D1461">
        <v>10</v>
      </c>
      <c r="E1461">
        <v>16</v>
      </c>
      <c r="F1461" t="s">
        <v>7</v>
      </c>
      <c r="G1461" t="s">
        <v>3087</v>
      </c>
    </row>
    <row r="1462" spans="1:7" x14ac:dyDescent="0.25">
      <c r="A1462">
        <v>10783</v>
      </c>
      <c r="B1462" t="s">
        <v>703</v>
      </c>
      <c r="C1462" t="s">
        <v>3059</v>
      </c>
      <c r="D1462">
        <v>13</v>
      </c>
      <c r="E1462">
        <v>17</v>
      </c>
      <c r="F1462" t="s">
        <v>7</v>
      </c>
      <c r="G1462" t="s">
        <v>3087</v>
      </c>
    </row>
    <row r="1463" spans="1:7" x14ac:dyDescent="0.25">
      <c r="A1463">
        <v>10784</v>
      </c>
      <c r="B1463" t="s">
        <v>704</v>
      </c>
      <c r="C1463" t="s">
        <v>3059</v>
      </c>
      <c r="D1463">
        <v>10</v>
      </c>
      <c r="E1463">
        <v>17</v>
      </c>
      <c r="F1463" t="s">
        <v>7</v>
      </c>
      <c r="G1463" t="s">
        <v>3087</v>
      </c>
    </row>
    <row r="1464" spans="1:7" x14ac:dyDescent="0.25">
      <c r="A1464">
        <v>10793</v>
      </c>
      <c r="B1464" t="s">
        <v>713</v>
      </c>
      <c r="C1464" t="s">
        <v>3059</v>
      </c>
      <c r="D1464">
        <v>14</v>
      </c>
      <c r="E1464">
        <v>26</v>
      </c>
      <c r="F1464" t="s">
        <v>7</v>
      </c>
      <c r="G1464" t="s">
        <v>3087</v>
      </c>
    </row>
    <row r="1465" spans="1:7" x14ac:dyDescent="0.25">
      <c r="A1465">
        <v>10795</v>
      </c>
      <c r="B1465" t="s">
        <v>715</v>
      </c>
      <c r="C1465" t="s">
        <v>3059</v>
      </c>
      <c r="D1465">
        <v>10</v>
      </c>
      <c r="E1465">
        <v>34</v>
      </c>
      <c r="F1465" t="s">
        <v>7</v>
      </c>
      <c r="G1465" t="s">
        <v>3087</v>
      </c>
    </row>
    <row r="1466" spans="1:7" x14ac:dyDescent="0.25">
      <c r="A1466">
        <v>10797</v>
      </c>
      <c r="B1466" t="s">
        <v>717</v>
      </c>
      <c r="C1466" t="s">
        <v>3059</v>
      </c>
      <c r="D1466">
        <v>10</v>
      </c>
      <c r="E1466">
        <v>45</v>
      </c>
      <c r="F1466" t="s">
        <v>7</v>
      </c>
      <c r="G1466" t="s">
        <v>3087</v>
      </c>
    </row>
    <row r="1467" spans="1:7" x14ac:dyDescent="0.25">
      <c r="A1467">
        <v>10803</v>
      </c>
      <c r="B1467" t="s">
        <v>723</v>
      </c>
      <c r="C1467" t="s">
        <v>3059</v>
      </c>
      <c r="D1467">
        <v>16</v>
      </c>
      <c r="E1467">
        <v>93</v>
      </c>
      <c r="F1467" t="s">
        <v>7</v>
      </c>
      <c r="G1467" t="s">
        <v>3087</v>
      </c>
    </row>
    <row r="1468" spans="1:7" x14ac:dyDescent="0.25">
      <c r="A1468">
        <v>10806</v>
      </c>
      <c r="B1468" t="s">
        <v>726</v>
      </c>
      <c r="C1468" t="s">
        <v>3059</v>
      </c>
      <c r="D1468">
        <v>31</v>
      </c>
      <c r="E1468">
        <v>90</v>
      </c>
      <c r="F1468" t="s">
        <v>7</v>
      </c>
      <c r="G1468" t="s">
        <v>3087</v>
      </c>
    </row>
    <row r="1469" spans="1:7" x14ac:dyDescent="0.25">
      <c r="A1469">
        <v>10812</v>
      </c>
      <c r="B1469" t="s">
        <v>731</v>
      </c>
      <c r="C1469" t="s">
        <v>3059</v>
      </c>
      <c r="D1469">
        <v>5</v>
      </c>
      <c r="E1469">
        <v>114</v>
      </c>
      <c r="F1469" t="s">
        <v>7</v>
      </c>
      <c r="G1469" t="s">
        <v>3087</v>
      </c>
    </row>
    <row r="1470" spans="1:7" x14ac:dyDescent="0.25">
      <c r="A1470">
        <v>10814</v>
      </c>
      <c r="B1470" t="s">
        <v>733</v>
      </c>
      <c r="C1470" t="s">
        <v>3059</v>
      </c>
      <c r="D1470">
        <v>5</v>
      </c>
      <c r="E1470">
        <v>129</v>
      </c>
      <c r="F1470" t="s">
        <v>7</v>
      </c>
      <c r="G1470" t="s">
        <v>3087</v>
      </c>
    </row>
    <row r="1471" spans="1:7" x14ac:dyDescent="0.25">
      <c r="A1471">
        <v>10817</v>
      </c>
      <c r="B1471" t="s">
        <v>736</v>
      </c>
      <c r="C1471" t="s">
        <v>3059</v>
      </c>
      <c r="D1471">
        <v>5</v>
      </c>
      <c r="E1471">
        <v>181</v>
      </c>
      <c r="F1471" t="s">
        <v>7</v>
      </c>
      <c r="G1471" t="s">
        <v>3087</v>
      </c>
    </row>
    <row r="1472" spans="1:7" x14ac:dyDescent="0.25">
      <c r="A1472">
        <v>10819</v>
      </c>
      <c r="B1472" t="s">
        <v>738</v>
      </c>
      <c r="C1472" t="s">
        <v>3059</v>
      </c>
      <c r="D1472">
        <v>5</v>
      </c>
      <c r="E1472">
        <v>201</v>
      </c>
      <c r="F1472" t="s">
        <v>7</v>
      </c>
      <c r="G1472" t="s">
        <v>3087</v>
      </c>
    </row>
    <row r="1473" spans="1:7" x14ac:dyDescent="0.25">
      <c r="A1473">
        <v>10821</v>
      </c>
      <c r="B1473" t="s">
        <v>740</v>
      </c>
      <c r="C1473" t="s">
        <v>3059</v>
      </c>
      <c r="D1473">
        <v>2</v>
      </c>
      <c r="E1473">
        <v>241</v>
      </c>
      <c r="F1473" t="s">
        <v>7</v>
      </c>
      <c r="G1473" t="s">
        <v>3087</v>
      </c>
    </row>
    <row r="1474" spans="1:7" x14ac:dyDescent="0.25">
      <c r="A1474">
        <v>10822</v>
      </c>
      <c r="B1474" t="s">
        <v>741</v>
      </c>
      <c r="C1474" t="s">
        <v>3059</v>
      </c>
      <c r="D1474">
        <v>13</v>
      </c>
      <c r="E1474">
        <v>271</v>
      </c>
      <c r="F1474" t="s">
        <v>7</v>
      </c>
      <c r="G1474" t="s">
        <v>3087</v>
      </c>
    </row>
    <row r="1475" spans="1:7" x14ac:dyDescent="0.25">
      <c r="A1475">
        <v>10823</v>
      </c>
      <c r="B1475" t="s">
        <v>742</v>
      </c>
      <c r="C1475" t="s">
        <v>3059</v>
      </c>
      <c r="D1475">
        <v>4</v>
      </c>
      <c r="E1475">
        <v>322</v>
      </c>
      <c r="F1475" t="s">
        <v>7</v>
      </c>
      <c r="G1475" t="s">
        <v>3087</v>
      </c>
    </row>
    <row r="1476" spans="1:7" x14ac:dyDescent="0.25">
      <c r="A1476">
        <v>10825</v>
      </c>
      <c r="B1476" t="s">
        <v>744</v>
      </c>
      <c r="C1476" t="s">
        <v>3059</v>
      </c>
      <c r="D1476">
        <v>6</v>
      </c>
      <c r="E1476">
        <v>396</v>
      </c>
      <c r="F1476" t="s">
        <v>7</v>
      </c>
      <c r="G1476" t="s">
        <v>3087</v>
      </c>
    </row>
    <row r="1477" spans="1:7" x14ac:dyDescent="0.25">
      <c r="A1477">
        <v>10827</v>
      </c>
      <c r="B1477" t="s">
        <v>746</v>
      </c>
      <c r="C1477" t="s">
        <v>3059</v>
      </c>
      <c r="D1477">
        <v>3</v>
      </c>
      <c r="E1477">
        <v>571</v>
      </c>
      <c r="F1477" t="s">
        <v>7</v>
      </c>
      <c r="G1477" t="s">
        <v>3087</v>
      </c>
    </row>
    <row r="1478" spans="1:7" x14ac:dyDescent="0.25">
      <c r="A1478">
        <v>10831</v>
      </c>
      <c r="B1478" t="s">
        <v>750</v>
      </c>
      <c r="C1478" t="s">
        <v>3059</v>
      </c>
      <c r="D1478">
        <v>3</v>
      </c>
      <c r="E1478">
        <v>233.8</v>
      </c>
      <c r="F1478" t="s">
        <v>7</v>
      </c>
      <c r="G1478" t="s">
        <v>3087</v>
      </c>
    </row>
    <row r="1479" spans="1:7" x14ac:dyDescent="0.25">
      <c r="A1479">
        <v>10862</v>
      </c>
      <c r="B1479" t="s">
        <v>768</v>
      </c>
      <c r="C1479" t="s">
        <v>3059</v>
      </c>
      <c r="D1479">
        <v>56</v>
      </c>
      <c r="E1479">
        <v>14</v>
      </c>
      <c r="F1479" t="s">
        <v>7</v>
      </c>
      <c r="G1479" t="s">
        <v>3087</v>
      </c>
    </row>
    <row r="1480" spans="1:7" x14ac:dyDescent="0.25">
      <c r="A1480">
        <v>10863</v>
      </c>
      <c r="B1480" t="s">
        <v>16608</v>
      </c>
      <c r="C1480" t="s">
        <v>3059</v>
      </c>
      <c r="D1480">
        <v>5</v>
      </c>
      <c r="E1480">
        <v>30</v>
      </c>
      <c r="F1480" t="s">
        <v>7</v>
      </c>
      <c r="G1480" t="s">
        <v>3087</v>
      </c>
    </row>
    <row r="1481" spans="1:7" x14ac:dyDescent="0.25">
      <c r="A1481">
        <v>10867</v>
      </c>
      <c r="B1481" t="s">
        <v>769</v>
      </c>
      <c r="C1481" t="s">
        <v>3059</v>
      </c>
      <c r="D1481">
        <v>30</v>
      </c>
      <c r="E1481">
        <v>14</v>
      </c>
      <c r="F1481" t="s">
        <v>7</v>
      </c>
      <c r="G1481" t="s">
        <v>3087</v>
      </c>
    </row>
    <row r="1482" spans="1:7" x14ac:dyDescent="0.25">
      <c r="A1482">
        <v>10878</v>
      </c>
      <c r="B1482" t="s">
        <v>776</v>
      </c>
      <c r="C1482" t="s">
        <v>3059</v>
      </c>
      <c r="D1482">
        <v>54</v>
      </c>
      <c r="E1482">
        <v>65</v>
      </c>
      <c r="F1482" t="s">
        <v>7</v>
      </c>
      <c r="G1482" t="s">
        <v>3087</v>
      </c>
    </row>
    <row r="1483" spans="1:7" x14ac:dyDescent="0.25">
      <c r="A1483">
        <v>10885</v>
      </c>
      <c r="B1483" t="s">
        <v>782</v>
      </c>
      <c r="C1483" t="s">
        <v>3059</v>
      </c>
      <c r="D1483">
        <v>7</v>
      </c>
      <c r="E1483">
        <v>374</v>
      </c>
      <c r="F1483" t="s">
        <v>7</v>
      </c>
      <c r="G1483" t="s">
        <v>3087</v>
      </c>
    </row>
    <row r="1484" spans="1:7" x14ac:dyDescent="0.25">
      <c r="A1484">
        <v>10886</v>
      </c>
      <c r="B1484" t="s">
        <v>783</v>
      </c>
      <c r="C1484" t="s">
        <v>3059</v>
      </c>
      <c r="D1484">
        <v>12</v>
      </c>
      <c r="E1484">
        <v>94.3</v>
      </c>
      <c r="F1484" t="s">
        <v>7</v>
      </c>
      <c r="G1484" t="s">
        <v>3087</v>
      </c>
    </row>
    <row r="1485" spans="1:7" x14ac:dyDescent="0.25">
      <c r="A1485">
        <v>10888</v>
      </c>
      <c r="B1485" t="s">
        <v>785</v>
      </c>
      <c r="C1485" t="s">
        <v>3059</v>
      </c>
      <c r="D1485">
        <v>13</v>
      </c>
      <c r="E1485">
        <v>20</v>
      </c>
      <c r="F1485" t="s">
        <v>7</v>
      </c>
      <c r="G1485" t="s">
        <v>3087</v>
      </c>
    </row>
    <row r="1486" spans="1:7" x14ac:dyDescent="0.25">
      <c r="A1486">
        <v>10895</v>
      </c>
      <c r="B1486" t="s">
        <v>791</v>
      </c>
      <c r="C1486" t="s">
        <v>3059</v>
      </c>
      <c r="D1486">
        <v>5</v>
      </c>
      <c r="E1486">
        <v>32</v>
      </c>
      <c r="F1486" t="s">
        <v>7</v>
      </c>
      <c r="G1486" t="s">
        <v>3087</v>
      </c>
    </row>
    <row r="1487" spans="1:7" x14ac:dyDescent="0.25">
      <c r="A1487">
        <v>10901</v>
      </c>
      <c r="B1487" t="s">
        <v>797</v>
      </c>
      <c r="C1487" t="s">
        <v>3059</v>
      </c>
      <c r="D1487">
        <v>30</v>
      </c>
      <c r="E1487">
        <v>28</v>
      </c>
      <c r="F1487" t="s">
        <v>7</v>
      </c>
      <c r="G1487" t="s">
        <v>3087</v>
      </c>
    </row>
    <row r="1488" spans="1:7" x14ac:dyDescent="0.25">
      <c r="A1488">
        <v>10910</v>
      </c>
      <c r="B1488" t="s">
        <v>805</v>
      </c>
      <c r="C1488" t="s">
        <v>3059</v>
      </c>
      <c r="D1488">
        <v>7</v>
      </c>
      <c r="E1488">
        <v>204</v>
      </c>
      <c r="F1488" t="s">
        <v>7</v>
      </c>
      <c r="G1488" t="s">
        <v>3087</v>
      </c>
    </row>
    <row r="1489" spans="1:7" x14ac:dyDescent="0.25">
      <c r="A1489">
        <v>10911</v>
      </c>
      <c r="B1489" t="s">
        <v>806</v>
      </c>
      <c r="C1489" t="s">
        <v>3059</v>
      </c>
      <c r="D1489">
        <v>7</v>
      </c>
      <c r="E1489">
        <v>648</v>
      </c>
      <c r="F1489" t="s">
        <v>7</v>
      </c>
      <c r="G1489" t="s">
        <v>3087</v>
      </c>
    </row>
    <row r="1490" spans="1:7" x14ac:dyDescent="0.25">
      <c r="A1490">
        <v>10914</v>
      </c>
      <c r="B1490" t="s">
        <v>808</v>
      </c>
      <c r="C1490" t="s">
        <v>3059</v>
      </c>
      <c r="D1490">
        <v>2</v>
      </c>
      <c r="E1490">
        <v>316</v>
      </c>
      <c r="F1490" t="s">
        <v>7</v>
      </c>
      <c r="G1490" t="s">
        <v>3087</v>
      </c>
    </row>
    <row r="1491" spans="1:7" x14ac:dyDescent="0.25">
      <c r="A1491">
        <v>10916</v>
      </c>
      <c r="B1491" t="s">
        <v>809</v>
      </c>
      <c r="C1491" t="s">
        <v>3059</v>
      </c>
      <c r="D1491">
        <v>12</v>
      </c>
      <c r="E1491">
        <v>346</v>
      </c>
      <c r="F1491" t="s">
        <v>7</v>
      </c>
      <c r="G1491" t="s">
        <v>3087</v>
      </c>
    </row>
    <row r="1492" spans="1:7" x14ac:dyDescent="0.25">
      <c r="A1492">
        <v>10918</v>
      </c>
      <c r="B1492" t="s">
        <v>811</v>
      </c>
      <c r="C1492" t="s">
        <v>3059</v>
      </c>
      <c r="D1492">
        <v>13</v>
      </c>
      <c r="E1492">
        <v>41</v>
      </c>
      <c r="F1492" t="s">
        <v>7</v>
      </c>
      <c r="G1492" t="s">
        <v>3087</v>
      </c>
    </row>
    <row r="1493" spans="1:7" x14ac:dyDescent="0.25">
      <c r="A1493">
        <v>10919</v>
      </c>
      <c r="B1493" t="s">
        <v>812</v>
      </c>
      <c r="C1493" t="s">
        <v>3059</v>
      </c>
      <c r="D1493">
        <v>2</v>
      </c>
      <c r="E1493">
        <v>95</v>
      </c>
      <c r="F1493" t="s">
        <v>7</v>
      </c>
      <c r="G1493" t="s">
        <v>3087</v>
      </c>
    </row>
    <row r="1494" spans="1:7" x14ac:dyDescent="0.25">
      <c r="A1494">
        <v>10921</v>
      </c>
      <c r="B1494" t="s">
        <v>813</v>
      </c>
      <c r="C1494" t="s">
        <v>3059</v>
      </c>
      <c r="D1494">
        <v>3</v>
      </c>
      <c r="E1494">
        <v>56</v>
      </c>
      <c r="F1494" t="s">
        <v>7</v>
      </c>
      <c r="G1494" t="s">
        <v>3087</v>
      </c>
    </row>
    <row r="1495" spans="1:7" x14ac:dyDescent="0.25">
      <c r="A1495">
        <v>10924</v>
      </c>
      <c r="B1495" t="s">
        <v>816</v>
      </c>
      <c r="C1495" t="s">
        <v>3059</v>
      </c>
      <c r="D1495">
        <v>17</v>
      </c>
      <c r="E1495">
        <v>73</v>
      </c>
      <c r="F1495" t="s">
        <v>7</v>
      </c>
      <c r="G1495" t="s">
        <v>3087</v>
      </c>
    </row>
    <row r="1496" spans="1:7" x14ac:dyDescent="0.25">
      <c r="A1496">
        <v>10925</v>
      </c>
      <c r="B1496" t="s">
        <v>817</v>
      </c>
      <c r="C1496" t="s">
        <v>3059</v>
      </c>
      <c r="D1496">
        <v>5</v>
      </c>
      <c r="E1496">
        <v>177</v>
      </c>
      <c r="F1496" t="s">
        <v>7</v>
      </c>
      <c r="G1496" t="s">
        <v>3087</v>
      </c>
    </row>
    <row r="1497" spans="1:7" x14ac:dyDescent="0.25">
      <c r="A1497">
        <v>10926</v>
      </c>
      <c r="B1497" t="s">
        <v>818</v>
      </c>
      <c r="C1497" t="s">
        <v>3059</v>
      </c>
      <c r="D1497">
        <v>23</v>
      </c>
      <c r="E1497">
        <v>13</v>
      </c>
      <c r="F1497" t="s">
        <v>7</v>
      </c>
      <c r="G1497" t="s">
        <v>3087</v>
      </c>
    </row>
    <row r="1498" spans="1:7" x14ac:dyDescent="0.25">
      <c r="A1498">
        <v>10928</v>
      </c>
      <c r="B1498" t="s">
        <v>820</v>
      </c>
      <c r="C1498" t="s">
        <v>3059</v>
      </c>
      <c r="D1498">
        <v>40</v>
      </c>
      <c r="E1498">
        <v>5</v>
      </c>
      <c r="F1498" t="s">
        <v>7</v>
      </c>
      <c r="G1498" t="s">
        <v>3087</v>
      </c>
    </row>
    <row r="1499" spans="1:7" x14ac:dyDescent="0.25">
      <c r="A1499">
        <v>10929</v>
      </c>
      <c r="B1499" t="s">
        <v>821</v>
      </c>
      <c r="C1499" t="s">
        <v>3059</v>
      </c>
      <c r="D1499">
        <v>10</v>
      </c>
      <c r="E1499">
        <v>40</v>
      </c>
      <c r="F1499" t="s">
        <v>7</v>
      </c>
      <c r="G1499" t="s">
        <v>3087</v>
      </c>
    </row>
    <row r="1500" spans="1:7" x14ac:dyDescent="0.25">
      <c r="A1500">
        <v>10931</v>
      </c>
      <c r="B1500" t="s">
        <v>823</v>
      </c>
      <c r="C1500" t="s">
        <v>3059</v>
      </c>
      <c r="D1500">
        <v>2</v>
      </c>
      <c r="E1500">
        <v>413</v>
      </c>
      <c r="F1500" t="s">
        <v>7</v>
      </c>
      <c r="G1500" t="s">
        <v>3087</v>
      </c>
    </row>
    <row r="1501" spans="1:7" x14ac:dyDescent="0.25">
      <c r="A1501">
        <v>10932</v>
      </c>
      <c r="B1501" t="s">
        <v>824</v>
      </c>
      <c r="C1501" t="s">
        <v>3059</v>
      </c>
      <c r="D1501">
        <v>10</v>
      </c>
      <c r="E1501">
        <v>33</v>
      </c>
      <c r="F1501" t="s">
        <v>7</v>
      </c>
      <c r="G1501" t="s">
        <v>3087</v>
      </c>
    </row>
    <row r="1502" spans="1:7" x14ac:dyDescent="0.25">
      <c r="A1502">
        <v>10956</v>
      </c>
      <c r="B1502" t="s">
        <v>844</v>
      </c>
      <c r="C1502" t="s">
        <v>3059</v>
      </c>
      <c r="D1502">
        <v>10</v>
      </c>
      <c r="E1502">
        <v>158</v>
      </c>
      <c r="F1502" t="s">
        <v>7</v>
      </c>
      <c r="G1502" t="s">
        <v>3087</v>
      </c>
    </row>
    <row r="1503" spans="1:7" x14ac:dyDescent="0.25">
      <c r="A1503">
        <v>10961</v>
      </c>
      <c r="B1503" t="s">
        <v>849</v>
      </c>
      <c r="C1503" t="s">
        <v>3059</v>
      </c>
      <c r="D1503">
        <v>2</v>
      </c>
      <c r="E1503">
        <v>130</v>
      </c>
      <c r="F1503" t="s">
        <v>7</v>
      </c>
      <c r="G1503" t="s">
        <v>3087</v>
      </c>
    </row>
    <row r="1504" spans="1:7" x14ac:dyDescent="0.25">
      <c r="A1504">
        <v>10962</v>
      </c>
      <c r="B1504" t="s">
        <v>850</v>
      </c>
      <c r="C1504" t="s">
        <v>3059</v>
      </c>
      <c r="D1504">
        <v>22</v>
      </c>
      <c r="E1504">
        <v>49</v>
      </c>
      <c r="F1504" t="s">
        <v>7</v>
      </c>
      <c r="G1504" t="s">
        <v>3087</v>
      </c>
    </row>
    <row r="1505" spans="1:7" x14ac:dyDescent="0.25">
      <c r="A1505">
        <v>10968</v>
      </c>
      <c r="B1505" t="s">
        <v>855</v>
      </c>
      <c r="C1505" t="s">
        <v>3059</v>
      </c>
      <c r="D1505">
        <v>2</v>
      </c>
      <c r="E1505">
        <v>254</v>
      </c>
      <c r="F1505" t="s">
        <v>7</v>
      </c>
      <c r="G1505" t="s">
        <v>3087</v>
      </c>
    </row>
    <row r="1506" spans="1:7" x14ac:dyDescent="0.25">
      <c r="A1506">
        <v>20004</v>
      </c>
      <c r="B1506" t="s">
        <v>16387</v>
      </c>
      <c r="C1506" t="s">
        <v>3059</v>
      </c>
      <c r="D1506">
        <v>5</v>
      </c>
      <c r="E1506">
        <v>70.92</v>
      </c>
      <c r="F1506" t="s">
        <v>7</v>
      </c>
      <c r="G1506" t="s">
        <v>3073</v>
      </c>
    </row>
    <row r="1507" spans="1:7" x14ac:dyDescent="0.25">
      <c r="A1507">
        <v>20013</v>
      </c>
      <c r="B1507" t="s">
        <v>885</v>
      </c>
      <c r="C1507" t="s">
        <v>3059</v>
      </c>
      <c r="D1507">
        <v>9</v>
      </c>
      <c r="E1507">
        <v>34</v>
      </c>
      <c r="F1507" t="s">
        <v>7</v>
      </c>
      <c r="G1507" t="s">
        <v>3087</v>
      </c>
    </row>
    <row r="1508" spans="1:7" x14ac:dyDescent="0.25">
      <c r="A1508">
        <v>20015</v>
      </c>
      <c r="B1508" t="s">
        <v>886</v>
      </c>
      <c r="C1508" t="s">
        <v>3059</v>
      </c>
      <c r="D1508">
        <v>11</v>
      </c>
      <c r="E1508">
        <v>210</v>
      </c>
      <c r="F1508" t="s">
        <v>7</v>
      </c>
      <c r="G1508" t="s">
        <v>3087</v>
      </c>
    </row>
    <row r="1509" spans="1:7" x14ac:dyDescent="0.25">
      <c r="A1509">
        <v>20018</v>
      </c>
      <c r="B1509" t="s">
        <v>889</v>
      </c>
      <c r="C1509" t="s">
        <v>3059</v>
      </c>
      <c r="D1509">
        <v>30</v>
      </c>
      <c r="E1509">
        <v>4</v>
      </c>
      <c r="F1509" t="s">
        <v>7</v>
      </c>
      <c r="G1509" t="s">
        <v>3087</v>
      </c>
    </row>
    <row r="1510" spans="1:7" x14ac:dyDescent="0.25">
      <c r="A1510">
        <v>20019</v>
      </c>
      <c r="B1510" t="s">
        <v>890</v>
      </c>
      <c r="C1510" t="s">
        <v>3059</v>
      </c>
      <c r="D1510">
        <v>5</v>
      </c>
      <c r="E1510">
        <v>565</v>
      </c>
      <c r="F1510" t="s">
        <v>7</v>
      </c>
      <c r="G1510" t="s">
        <v>3087</v>
      </c>
    </row>
    <row r="1511" spans="1:7" x14ac:dyDescent="0.25">
      <c r="A1511">
        <v>20027</v>
      </c>
      <c r="B1511" t="s">
        <v>897</v>
      </c>
      <c r="C1511" t="s">
        <v>3059</v>
      </c>
      <c r="D1511">
        <v>30</v>
      </c>
      <c r="E1511">
        <v>79</v>
      </c>
      <c r="F1511" t="s">
        <v>7</v>
      </c>
      <c r="G1511" t="s">
        <v>3087</v>
      </c>
    </row>
    <row r="1512" spans="1:7" x14ac:dyDescent="0.25">
      <c r="A1512">
        <v>20029</v>
      </c>
      <c r="B1512" t="s">
        <v>898</v>
      </c>
      <c r="C1512" t="s">
        <v>3059</v>
      </c>
      <c r="D1512">
        <v>5</v>
      </c>
      <c r="E1512">
        <v>171</v>
      </c>
      <c r="F1512" t="s">
        <v>7</v>
      </c>
      <c r="G1512" t="s">
        <v>3087</v>
      </c>
    </row>
    <row r="1513" spans="1:7" x14ac:dyDescent="0.25">
      <c r="A1513">
        <v>20038</v>
      </c>
      <c r="B1513" t="s">
        <v>906</v>
      </c>
      <c r="C1513" t="s">
        <v>3059</v>
      </c>
      <c r="D1513">
        <v>5</v>
      </c>
      <c r="E1513">
        <v>143</v>
      </c>
      <c r="F1513" t="s">
        <v>7</v>
      </c>
      <c r="G1513" t="s">
        <v>3087</v>
      </c>
    </row>
    <row r="1514" spans="1:7" x14ac:dyDescent="0.25">
      <c r="A1514">
        <v>2490</v>
      </c>
      <c r="B1514" t="s">
        <v>914</v>
      </c>
      <c r="C1514" t="s">
        <v>3059</v>
      </c>
      <c r="D1514">
        <v>80</v>
      </c>
      <c r="E1514">
        <v>823</v>
      </c>
      <c r="F1514" t="s">
        <v>7</v>
      </c>
      <c r="G1514" t="s">
        <v>3083</v>
      </c>
    </row>
    <row r="1515" spans="1:7" x14ac:dyDescent="0.25">
      <c r="A1515">
        <v>51373</v>
      </c>
      <c r="B1515" t="s">
        <v>1044</v>
      </c>
      <c r="C1515" t="s">
        <v>3059</v>
      </c>
      <c r="D1515">
        <v>74</v>
      </c>
      <c r="E1515">
        <v>4.2</v>
      </c>
      <c r="F1515" t="s">
        <v>7</v>
      </c>
      <c r="G1515" t="s">
        <v>3070</v>
      </c>
    </row>
    <row r="1516" spans="1:7" x14ac:dyDescent="0.25">
      <c r="A1516">
        <v>51399</v>
      </c>
      <c r="B1516" t="s">
        <v>16106</v>
      </c>
      <c r="C1516" t="s">
        <v>3059</v>
      </c>
      <c r="D1516">
        <v>11</v>
      </c>
      <c r="E1516">
        <v>34.92</v>
      </c>
      <c r="F1516" t="s">
        <v>7</v>
      </c>
      <c r="G1516" t="s">
        <v>3070</v>
      </c>
    </row>
    <row r="1517" spans="1:7" x14ac:dyDescent="0.25">
      <c r="A1517">
        <v>51532</v>
      </c>
      <c r="B1517" t="s">
        <v>1128</v>
      </c>
      <c r="C1517" t="s">
        <v>3059</v>
      </c>
      <c r="D1517">
        <v>144</v>
      </c>
      <c r="E1517">
        <v>6.79</v>
      </c>
      <c r="F1517" t="s">
        <v>7</v>
      </c>
      <c r="G1517" t="s">
        <v>3102</v>
      </c>
    </row>
    <row r="1518" spans="1:7" x14ac:dyDescent="0.25">
      <c r="A1518">
        <v>51829</v>
      </c>
      <c r="B1518" t="s">
        <v>1292</v>
      </c>
      <c r="C1518" t="s">
        <v>3059</v>
      </c>
      <c r="D1518">
        <v>14</v>
      </c>
      <c r="E1518">
        <v>29.56</v>
      </c>
      <c r="F1518" t="s">
        <v>7</v>
      </c>
      <c r="G1518" t="s">
        <v>3070</v>
      </c>
    </row>
    <row r="1519" spans="1:7" x14ac:dyDescent="0.25">
      <c r="A1519">
        <v>52042</v>
      </c>
      <c r="B1519" t="s">
        <v>1456</v>
      </c>
      <c r="C1519" t="s">
        <v>3059</v>
      </c>
      <c r="D1519">
        <v>4</v>
      </c>
      <c r="E1519">
        <v>20</v>
      </c>
      <c r="F1519" t="s">
        <v>7</v>
      </c>
      <c r="G1519" t="s">
        <v>3087</v>
      </c>
    </row>
    <row r="1520" spans="1:7" x14ac:dyDescent="0.25">
      <c r="A1520">
        <v>52048</v>
      </c>
      <c r="B1520" t="s">
        <v>1462</v>
      </c>
      <c r="C1520" t="s">
        <v>3059</v>
      </c>
      <c r="D1520">
        <v>6</v>
      </c>
      <c r="E1520">
        <v>20</v>
      </c>
      <c r="F1520" t="s">
        <v>7</v>
      </c>
      <c r="G1520" t="s">
        <v>3087</v>
      </c>
    </row>
    <row r="1521" spans="1:7" x14ac:dyDescent="0.25">
      <c r="A1521">
        <v>52050</v>
      </c>
      <c r="B1521" t="s">
        <v>1464</v>
      </c>
      <c r="C1521" t="s">
        <v>3059</v>
      </c>
      <c r="D1521">
        <v>3</v>
      </c>
      <c r="E1521">
        <v>20</v>
      </c>
      <c r="F1521" t="s">
        <v>7</v>
      </c>
      <c r="G1521" t="s">
        <v>3087</v>
      </c>
    </row>
    <row r="1522" spans="1:7" x14ac:dyDescent="0.25">
      <c r="A1522">
        <v>52052</v>
      </c>
      <c r="B1522" t="s">
        <v>17492</v>
      </c>
      <c r="C1522" t="s">
        <v>3059</v>
      </c>
      <c r="D1522">
        <v>3</v>
      </c>
      <c r="E1522">
        <v>20</v>
      </c>
      <c r="F1522" t="s">
        <v>7</v>
      </c>
      <c r="G1522" t="s">
        <v>3087</v>
      </c>
    </row>
    <row r="1523" spans="1:7" x14ac:dyDescent="0.25">
      <c r="A1523">
        <v>52090</v>
      </c>
      <c r="B1523" t="s">
        <v>1502</v>
      </c>
      <c r="C1523" t="s">
        <v>3059</v>
      </c>
      <c r="D1523">
        <v>7</v>
      </c>
      <c r="E1523">
        <v>61.4</v>
      </c>
      <c r="F1523" t="s">
        <v>7</v>
      </c>
      <c r="G1523" t="s">
        <v>3070</v>
      </c>
    </row>
    <row r="1524" spans="1:7" x14ac:dyDescent="0.25">
      <c r="A1524">
        <v>52099</v>
      </c>
      <c r="B1524" t="s">
        <v>1511</v>
      </c>
      <c r="C1524" t="s">
        <v>3059</v>
      </c>
      <c r="D1524">
        <v>10</v>
      </c>
      <c r="E1524">
        <v>63.8</v>
      </c>
      <c r="F1524" t="s">
        <v>7</v>
      </c>
      <c r="G1524" t="s">
        <v>3070</v>
      </c>
    </row>
    <row r="1525" spans="1:7" x14ac:dyDescent="0.25">
      <c r="A1525">
        <v>52207</v>
      </c>
      <c r="B1525" t="s">
        <v>1624</v>
      </c>
      <c r="C1525" t="s">
        <v>3059</v>
      </c>
      <c r="D1525">
        <v>1</v>
      </c>
      <c r="E1525">
        <v>1</v>
      </c>
      <c r="F1525" t="s">
        <v>7</v>
      </c>
      <c r="G1525" t="s">
        <v>3087</v>
      </c>
    </row>
    <row r="1526" spans="1:7" x14ac:dyDescent="0.25">
      <c r="A1526">
        <v>52208</v>
      </c>
      <c r="B1526" t="s">
        <v>1625</v>
      </c>
      <c r="C1526" t="s">
        <v>3059</v>
      </c>
      <c r="D1526">
        <v>9</v>
      </c>
      <c r="E1526">
        <v>1</v>
      </c>
      <c r="F1526" t="s">
        <v>7</v>
      </c>
      <c r="G1526" t="s">
        <v>3087</v>
      </c>
    </row>
    <row r="1527" spans="1:7" x14ac:dyDescent="0.25">
      <c r="A1527">
        <v>52209</v>
      </c>
      <c r="B1527" t="s">
        <v>1626</v>
      </c>
      <c r="C1527" t="s">
        <v>3059</v>
      </c>
      <c r="D1527">
        <v>1</v>
      </c>
      <c r="E1527">
        <v>1</v>
      </c>
      <c r="F1527" t="s">
        <v>7</v>
      </c>
      <c r="G1527" t="s">
        <v>3087</v>
      </c>
    </row>
    <row r="1528" spans="1:7" x14ac:dyDescent="0.25">
      <c r="A1528">
        <v>52212</v>
      </c>
      <c r="B1528" t="s">
        <v>1630</v>
      </c>
      <c r="C1528" t="s">
        <v>3059</v>
      </c>
      <c r="D1528">
        <v>5</v>
      </c>
      <c r="E1528">
        <v>1</v>
      </c>
      <c r="F1528" t="s">
        <v>7</v>
      </c>
      <c r="G1528" t="s">
        <v>3087</v>
      </c>
    </row>
    <row r="1529" spans="1:7" x14ac:dyDescent="0.25">
      <c r="A1529">
        <v>52213</v>
      </c>
      <c r="B1529" t="s">
        <v>1631</v>
      </c>
      <c r="C1529" t="s">
        <v>3059</v>
      </c>
      <c r="D1529">
        <v>14</v>
      </c>
      <c r="E1529">
        <v>1</v>
      </c>
      <c r="F1529" t="s">
        <v>7</v>
      </c>
      <c r="G1529" t="s">
        <v>3087</v>
      </c>
    </row>
    <row r="1530" spans="1:7" x14ac:dyDescent="0.25">
      <c r="A1530">
        <v>52215</v>
      </c>
      <c r="B1530" t="s">
        <v>1633</v>
      </c>
      <c r="C1530" t="s">
        <v>3059</v>
      </c>
      <c r="D1530">
        <v>1</v>
      </c>
      <c r="E1530">
        <v>1</v>
      </c>
      <c r="F1530" t="s">
        <v>7</v>
      </c>
      <c r="G1530" t="s">
        <v>3087</v>
      </c>
    </row>
    <row r="1531" spans="1:7" x14ac:dyDescent="0.25">
      <c r="A1531">
        <v>52216</v>
      </c>
      <c r="B1531" t="s">
        <v>1634</v>
      </c>
      <c r="C1531" t="s">
        <v>3059</v>
      </c>
      <c r="D1531">
        <v>1</v>
      </c>
      <c r="E1531">
        <v>1</v>
      </c>
      <c r="F1531" t="s">
        <v>7</v>
      </c>
      <c r="G1531" t="s">
        <v>3087</v>
      </c>
    </row>
    <row r="1532" spans="1:7" x14ac:dyDescent="0.25">
      <c r="A1532">
        <v>52217</v>
      </c>
      <c r="B1532" t="s">
        <v>1635</v>
      </c>
      <c r="C1532" t="s">
        <v>3059</v>
      </c>
      <c r="D1532">
        <v>1</v>
      </c>
      <c r="E1532">
        <v>1</v>
      </c>
      <c r="F1532" t="s">
        <v>7</v>
      </c>
      <c r="G1532" t="s">
        <v>3087</v>
      </c>
    </row>
    <row r="1533" spans="1:7" x14ac:dyDescent="0.25">
      <c r="A1533">
        <v>52218</v>
      </c>
      <c r="B1533" t="s">
        <v>1636</v>
      </c>
      <c r="C1533" t="s">
        <v>3059</v>
      </c>
      <c r="D1533">
        <v>1</v>
      </c>
      <c r="E1533">
        <v>1</v>
      </c>
      <c r="F1533" t="s">
        <v>7</v>
      </c>
      <c r="G1533" t="s">
        <v>3087</v>
      </c>
    </row>
    <row r="1534" spans="1:7" x14ac:dyDescent="0.25">
      <c r="A1534">
        <v>52220</v>
      </c>
      <c r="B1534" t="s">
        <v>1639</v>
      </c>
      <c r="C1534" t="s">
        <v>3059</v>
      </c>
      <c r="D1534">
        <v>10</v>
      </c>
      <c r="E1534">
        <v>1</v>
      </c>
      <c r="F1534" t="s">
        <v>7</v>
      </c>
      <c r="G1534" t="s">
        <v>3087</v>
      </c>
    </row>
    <row r="1535" spans="1:7" x14ac:dyDescent="0.25">
      <c r="A1535">
        <v>52222</v>
      </c>
      <c r="B1535" t="s">
        <v>1641</v>
      </c>
      <c r="C1535" t="s">
        <v>3059</v>
      </c>
      <c r="D1535">
        <v>2</v>
      </c>
      <c r="E1535">
        <v>1</v>
      </c>
      <c r="F1535" t="s">
        <v>7</v>
      </c>
      <c r="G1535" t="s">
        <v>3087</v>
      </c>
    </row>
    <row r="1536" spans="1:7" x14ac:dyDescent="0.25">
      <c r="A1536">
        <v>52241</v>
      </c>
      <c r="B1536" t="s">
        <v>1660</v>
      </c>
      <c r="C1536" t="s">
        <v>3059</v>
      </c>
      <c r="D1536">
        <v>3</v>
      </c>
      <c r="E1536">
        <v>1</v>
      </c>
      <c r="F1536" t="s">
        <v>7</v>
      </c>
      <c r="G1536" t="s">
        <v>3087</v>
      </c>
    </row>
    <row r="1537" spans="1:7" x14ac:dyDescent="0.25">
      <c r="A1537">
        <v>52245</v>
      </c>
      <c r="B1537" t="s">
        <v>1664</v>
      </c>
      <c r="C1537" t="s">
        <v>3059</v>
      </c>
      <c r="D1537">
        <v>2</v>
      </c>
      <c r="E1537">
        <v>1</v>
      </c>
      <c r="F1537" t="s">
        <v>7</v>
      </c>
      <c r="G1537" t="s">
        <v>3087</v>
      </c>
    </row>
    <row r="1538" spans="1:7" x14ac:dyDescent="0.25">
      <c r="A1538">
        <v>52254</v>
      </c>
      <c r="B1538" t="s">
        <v>1674</v>
      </c>
      <c r="C1538" t="s">
        <v>3059</v>
      </c>
      <c r="D1538">
        <v>3</v>
      </c>
      <c r="E1538">
        <v>1</v>
      </c>
      <c r="F1538" t="s">
        <v>7</v>
      </c>
      <c r="G1538" t="s">
        <v>3087</v>
      </c>
    </row>
    <row r="1539" spans="1:7" x14ac:dyDescent="0.25">
      <c r="A1539">
        <v>52260</v>
      </c>
      <c r="B1539" t="s">
        <v>1680</v>
      </c>
      <c r="C1539" t="s">
        <v>3059</v>
      </c>
      <c r="D1539">
        <v>7</v>
      </c>
      <c r="E1539">
        <v>1</v>
      </c>
      <c r="F1539" t="s">
        <v>7</v>
      </c>
      <c r="G1539" t="s">
        <v>3087</v>
      </c>
    </row>
    <row r="1540" spans="1:7" x14ac:dyDescent="0.25">
      <c r="A1540">
        <v>52262</v>
      </c>
      <c r="B1540" t="s">
        <v>1682</v>
      </c>
      <c r="C1540" t="s">
        <v>3059</v>
      </c>
      <c r="D1540">
        <v>5</v>
      </c>
      <c r="E1540">
        <v>1</v>
      </c>
      <c r="F1540" t="s">
        <v>7</v>
      </c>
      <c r="G1540" t="s">
        <v>3087</v>
      </c>
    </row>
    <row r="1541" spans="1:7" x14ac:dyDescent="0.25">
      <c r="A1541">
        <v>52281</v>
      </c>
      <c r="B1541" t="s">
        <v>16885</v>
      </c>
      <c r="C1541" t="s">
        <v>3059</v>
      </c>
      <c r="D1541">
        <v>2</v>
      </c>
      <c r="E1541">
        <v>1</v>
      </c>
      <c r="F1541" t="s">
        <v>7</v>
      </c>
      <c r="G1541" t="s">
        <v>3087</v>
      </c>
    </row>
    <row r="1542" spans="1:7" x14ac:dyDescent="0.25">
      <c r="A1542">
        <v>52298</v>
      </c>
      <c r="B1542" t="s">
        <v>1707</v>
      </c>
      <c r="C1542" t="s">
        <v>3059</v>
      </c>
      <c r="D1542">
        <v>3</v>
      </c>
      <c r="E1542">
        <v>1</v>
      </c>
      <c r="F1542" t="s">
        <v>7</v>
      </c>
      <c r="G1542" t="s">
        <v>3087</v>
      </c>
    </row>
    <row r="1543" spans="1:7" x14ac:dyDescent="0.25">
      <c r="A1543">
        <v>52304</v>
      </c>
      <c r="B1543" t="s">
        <v>16886</v>
      </c>
      <c r="C1543" t="s">
        <v>3059</v>
      </c>
      <c r="D1543">
        <v>3</v>
      </c>
      <c r="E1543">
        <v>1</v>
      </c>
      <c r="F1543" t="s">
        <v>7</v>
      </c>
      <c r="G1543" t="s">
        <v>3087</v>
      </c>
    </row>
    <row r="1544" spans="1:7" x14ac:dyDescent="0.25">
      <c r="A1544">
        <v>52312</v>
      </c>
      <c r="B1544" t="s">
        <v>1722</v>
      </c>
      <c r="C1544" t="s">
        <v>3059</v>
      </c>
      <c r="D1544">
        <v>8</v>
      </c>
      <c r="E1544">
        <v>1</v>
      </c>
      <c r="F1544" t="s">
        <v>7</v>
      </c>
      <c r="G1544" t="s">
        <v>3087</v>
      </c>
    </row>
    <row r="1545" spans="1:7" x14ac:dyDescent="0.25">
      <c r="A1545">
        <v>52317</v>
      </c>
      <c r="B1545" t="s">
        <v>1726</v>
      </c>
      <c r="C1545" t="s">
        <v>3059</v>
      </c>
      <c r="D1545">
        <v>2</v>
      </c>
      <c r="E1545">
        <v>1</v>
      </c>
      <c r="F1545" t="s">
        <v>7</v>
      </c>
      <c r="G1545" t="s">
        <v>3087</v>
      </c>
    </row>
    <row r="1546" spans="1:7" x14ac:dyDescent="0.25">
      <c r="A1546">
        <v>52319</v>
      </c>
      <c r="B1546" t="s">
        <v>1728</v>
      </c>
      <c r="C1546" t="s">
        <v>3059</v>
      </c>
      <c r="D1546">
        <v>6</v>
      </c>
      <c r="E1546">
        <v>1</v>
      </c>
      <c r="F1546" t="s">
        <v>7</v>
      </c>
      <c r="G1546" t="s">
        <v>3087</v>
      </c>
    </row>
    <row r="1547" spans="1:7" x14ac:dyDescent="0.25">
      <c r="A1547">
        <v>52322</v>
      </c>
      <c r="B1547" t="s">
        <v>1732</v>
      </c>
      <c r="C1547" t="s">
        <v>3059</v>
      </c>
      <c r="D1547">
        <v>1</v>
      </c>
      <c r="E1547">
        <v>1</v>
      </c>
      <c r="F1547" t="s">
        <v>7</v>
      </c>
      <c r="G1547" t="s">
        <v>3087</v>
      </c>
    </row>
    <row r="1548" spans="1:7" x14ac:dyDescent="0.25">
      <c r="A1548">
        <v>52323</v>
      </c>
      <c r="B1548" t="s">
        <v>1733</v>
      </c>
      <c r="C1548" t="s">
        <v>3059</v>
      </c>
      <c r="D1548">
        <v>4</v>
      </c>
      <c r="E1548">
        <v>1</v>
      </c>
      <c r="F1548" t="s">
        <v>7</v>
      </c>
      <c r="G1548" t="s">
        <v>3087</v>
      </c>
    </row>
    <row r="1549" spans="1:7" x14ac:dyDescent="0.25">
      <c r="A1549">
        <v>52324</v>
      </c>
      <c r="B1549" t="s">
        <v>1734</v>
      </c>
      <c r="C1549" t="s">
        <v>3059</v>
      </c>
      <c r="D1549">
        <v>5</v>
      </c>
      <c r="E1549">
        <v>1</v>
      </c>
      <c r="F1549" t="s">
        <v>7</v>
      </c>
      <c r="G1549" t="s">
        <v>3087</v>
      </c>
    </row>
    <row r="1550" spans="1:7" x14ac:dyDescent="0.25">
      <c r="A1550">
        <v>52330</v>
      </c>
      <c r="B1550" t="s">
        <v>1741</v>
      </c>
      <c r="C1550" t="s">
        <v>3059</v>
      </c>
      <c r="D1550">
        <v>1</v>
      </c>
      <c r="E1550">
        <v>1</v>
      </c>
      <c r="F1550" t="s">
        <v>7</v>
      </c>
      <c r="G1550" t="s">
        <v>3087</v>
      </c>
    </row>
    <row r="1551" spans="1:7" x14ac:dyDescent="0.25">
      <c r="A1551">
        <v>52341</v>
      </c>
      <c r="B1551" t="s">
        <v>1752</v>
      </c>
      <c r="C1551" t="s">
        <v>3059</v>
      </c>
      <c r="D1551">
        <v>3</v>
      </c>
      <c r="E1551">
        <v>1</v>
      </c>
      <c r="F1551" t="s">
        <v>7</v>
      </c>
      <c r="G1551" t="s">
        <v>3087</v>
      </c>
    </row>
    <row r="1552" spans="1:7" x14ac:dyDescent="0.25">
      <c r="A1552">
        <v>52370</v>
      </c>
      <c r="B1552" t="s">
        <v>1774</v>
      </c>
      <c r="C1552" t="s">
        <v>3059</v>
      </c>
      <c r="D1552">
        <v>12</v>
      </c>
      <c r="E1552">
        <v>9.51</v>
      </c>
      <c r="F1552" t="s">
        <v>7</v>
      </c>
      <c r="G1552" t="s">
        <v>3074</v>
      </c>
    </row>
    <row r="1553" spans="1:7" x14ac:dyDescent="0.25">
      <c r="A1553">
        <v>52371</v>
      </c>
      <c r="B1553" t="s">
        <v>1775</v>
      </c>
      <c r="C1553" t="s">
        <v>3059</v>
      </c>
      <c r="D1553">
        <v>12</v>
      </c>
      <c r="E1553">
        <v>8.67</v>
      </c>
      <c r="F1553" t="s">
        <v>7</v>
      </c>
      <c r="G1553" t="s">
        <v>3074</v>
      </c>
    </row>
    <row r="1554" spans="1:7" x14ac:dyDescent="0.25">
      <c r="A1554">
        <v>52372</v>
      </c>
      <c r="B1554" t="s">
        <v>1776</v>
      </c>
      <c r="C1554" t="s">
        <v>3059</v>
      </c>
      <c r="D1554">
        <v>5</v>
      </c>
      <c r="E1554">
        <v>29.42</v>
      </c>
      <c r="F1554" t="s">
        <v>7</v>
      </c>
      <c r="G1554" t="s">
        <v>3074</v>
      </c>
    </row>
    <row r="1555" spans="1:7" x14ac:dyDescent="0.25">
      <c r="A1555">
        <v>52374</v>
      </c>
      <c r="B1555" t="s">
        <v>1778</v>
      </c>
      <c r="C1555" t="s">
        <v>3059</v>
      </c>
      <c r="D1555">
        <v>14</v>
      </c>
      <c r="E1555">
        <v>1</v>
      </c>
      <c r="F1555" t="s">
        <v>7</v>
      </c>
      <c r="G1555" t="s">
        <v>3087</v>
      </c>
    </row>
    <row r="1556" spans="1:7" x14ac:dyDescent="0.25">
      <c r="A1556">
        <v>52375</v>
      </c>
      <c r="B1556" t="s">
        <v>1779</v>
      </c>
      <c r="C1556" t="s">
        <v>3059</v>
      </c>
      <c r="D1556">
        <v>3</v>
      </c>
      <c r="E1556">
        <v>1</v>
      </c>
      <c r="F1556" t="s">
        <v>7</v>
      </c>
      <c r="G1556" t="s">
        <v>3087</v>
      </c>
    </row>
    <row r="1557" spans="1:7" x14ac:dyDescent="0.25">
      <c r="A1557">
        <v>52376</v>
      </c>
      <c r="B1557" t="s">
        <v>1780</v>
      </c>
      <c r="C1557" t="s">
        <v>3059</v>
      </c>
      <c r="D1557">
        <v>2</v>
      </c>
      <c r="E1557">
        <v>1</v>
      </c>
      <c r="F1557" t="s">
        <v>7</v>
      </c>
      <c r="G1557" t="s">
        <v>3087</v>
      </c>
    </row>
    <row r="1558" spans="1:7" x14ac:dyDescent="0.25">
      <c r="A1558">
        <v>52378</v>
      </c>
      <c r="B1558" t="s">
        <v>1782</v>
      </c>
      <c r="C1558" t="s">
        <v>3059</v>
      </c>
      <c r="D1558">
        <v>11</v>
      </c>
      <c r="E1558">
        <v>1</v>
      </c>
      <c r="F1558" t="s">
        <v>7</v>
      </c>
      <c r="G1558" t="s">
        <v>3087</v>
      </c>
    </row>
    <row r="1559" spans="1:7" x14ac:dyDescent="0.25">
      <c r="A1559">
        <v>52379</v>
      </c>
      <c r="B1559" t="s">
        <v>1783</v>
      </c>
      <c r="C1559" t="s">
        <v>3059</v>
      </c>
      <c r="D1559">
        <v>2</v>
      </c>
      <c r="E1559">
        <v>1</v>
      </c>
      <c r="F1559" t="s">
        <v>7</v>
      </c>
      <c r="G1559" t="s">
        <v>3087</v>
      </c>
    </row>
    <row r="1560" spans="1:7" x14ac:dyDescent="0.25">
      <c r="A1560">
        <v>52380</v>
      </c>
      <c r="B1560" t="s">
        <v>1785</v>
      </c>
      <c r="C1560" t="s">
        <v>3059</v>
      </c>
      <c r="D1560">
        <v>4</v>
      </c>
      <c r="E1560">
        <v>1</v>
      </c>
      <c r="F1560" t="s">
        <v>7</v>
      </c>
      <c r="G1560" t="s">
        <v>3087</v>
      </c>
    </row>
    <row r="1561" spans="1:7" x14ac:dyDescent="0.25">
      <c r="A1561">
        <v>52386</v>
      </c>
      <c r="B1561" t="s">
        <v>1791</v>
      </c>
      <c r="C1561" t="s">
        <v>3059</v>
      </c>
      <c r="D1561">
        <v>1</v>
      </c>
      <c r="E1561">
        <v>1</v>
      </c>
      <c r="F1561" t="s">
        <v>7</v>
      </c>
      <c r="G1561" t="s">
        <v>3087</v>
      </c>
    </row>
    <row r="1562" spans="1:7" x14ac:dyDescent="0.25">
      <c r="A1562">
        <v>52451</v>
      </c>
      <c r="B1562" t="s">
        <v>1856</v>
      </c>
      <c r="C1562" t="s">
        <v>3059</v>
      </c>
      <c r="D1562">
        <v>8</v>
      </c>
      <c r="E1562">
        <v>1</v>
      </c>
      <c r="F1562" t="s">
        <v>7</v>
      </c>
      <c r="G1562" t="s">
        <v>3087</v>
      </c>
    </row>
    <row r="1563" spans="1:7" x14ac:dyDescent="0.25">
      <c r="A1563">
        <v>52453</v>
      </c>
      <c r="B1563" t="s">
        <v>1858</v>
      </c>
      <c r="C1563" t="s">
        <v>3059</v>
      </c>
      <c r="D1563">
        <v>1</v>
      </c>
      <c r="E1563">
        <v>1</v>
      </c>
      <c r="F1563" t="s">
        <v>7</v>
      </c>
      <c r="G1563" t="s">
        <v>3087</v>
      </c>
    </row>
    <row r="1564" spans="1:7" x14ac:dyDescent="0.25">
      <c r="A1564">
        <v>52454</v>
      </c>
      <c r="B1564" t="s">
        <v>1859</v>
      </c>
      <c r="C1564" t="s">
        <v>3059</v>
      </c>
      <c r="D1564">
        <v>5</v>
      </c>
      <c r="E1564">
        <v>1</v>
      </c>
      <c r="F1564" t="s">
        <v>7</v>
      </c>
      <c r="G1564" t="s">
        <v>3087</v>
      </c>
    </row>
    <row r="1565" spans="1:7" x14ac:dyDescent="0.25">
      <c r="A1565">
        <v>52455</v>
      </c>
      <c r="B1565" t="s">
        <v>1860</v>
      </c>
      <c r="C1565" t="s">
        <v>3059</v>
      </c>
      <c r="D1565">
        <v>8</v>
      </c>
      <c r="E1565">
        <v>1</v>
      </c>
      <c r="F1565" t="s">
        <v>7</v>
      </c>
      <c r="G1565" t="s">
        <v>3087</v>
      </c>
    </row>
    <row r="1566" spans="1:7" x14ac:dyDescent="0.25">
      <c r="A1566">
        <v>52456</v>
      </c>
      <c r="B1566" t="s">
        <v>1861</v>
      </c>
      <c r="C1566" t="s">
        <v>3059</v>
      </c>
      <c r="D1566">
        <v>27</v>
      </c>
      <c r="E1566">
        <v>1</v>
      </c>
      <c r="F1566" t="s">
        <v>7</v>
      </c>
      <c r="G1566" t="s">
        <v>3087</v>
      </c>
    </row>
    <row r="1567" spans="1:7" x14ac:dyDescent="0.25">
      <c r="A1567">
        <v>52466</v>
      </c>
      <c r="B1567" t="s">
        <v>1872</v>
      </c>
      <c r="C1567" t="s">
        <v>3059</v>
      </c>
      <c r="D1567">
        <v>7</v>
      </c>
      <c r="E1567">
        <v>1</v>
      </c>
      <c r="F1567" t="s">
        <v>7</v>
      </c>
      <c r="G1567" t="s">
        <v>3087</v>
      </c>
    </row>
    <row r="1568" spans="1:7" x14ac:dyDescent="0.25">
      <c r="A1568">
        <v>52469</v>
      </c>
      <c r="B1568" t="s">
        <v>1875</v>
      </c>
      <c r="C1568" t="s">
        <v>3059</v>
      </c>
      <c r="D1568">
        <v>1</v>
      </c>
      <c r="E1568">
        <v>1</v>
      </c>
      <c r="F1568" t="s">
        <v>7</v>
      </c>
      <c r="G1568" t="s">
        <v>3087</v>
      </c>
    </row>
    <row r="1569" spans="1:7" x14ac:dyDescent="0.25">
      <c r="A1569">
        <v>52471</v>
      </c>
      <c r="B1569" t="s">
        <v>1877</v>
      </c>
      <c r="C1569" t="s">
        <v>3059</v>
      </c>
      <c r="D1569">
        <v>4</v>
      </c>
      <c r="E1569">
        <v>1</v>
      </c>
      <c r="F1569" t="s">
        <v>7</v>
      </c>
      <c r="G1569" t="s">
        <v>3087</v>
      </c>
    </row>
    <row r="1570" spans="1:7" x14ac:dyDescent="0.25">
      <c r="A1570">
        <v>52474</v>
      </c>
      <c r="B1570" t="s">
        <v>1880</v>
      </c>
      <c r="C1570" t="s">
        <v>3059</v>
      </c>
      <c r="D1570">
        <v>2</v>
      </c>
      <c r="E1570">
        <v>1</v>
      </c>
      <c r="F1570" t="s">
        <v>7</v>
      </c>
      <c r="G1570" t="s">
        <v>3087</v>
      </c>
    </row>
    <row r="1571" spans="1:7" x14ac:dyDescent="0.25">
      <c r="A1571">
        <v>52475</v>
      </c>
      <c r="B1571" t="s">
        <v>1881</v>
      </c>
      <c r="C1571" t="s">
        <v>3059</v>
      </c>
      <c r="D1571">
        <v>1</v>
      </c>
      <c r="E1571">
        <v>1</v>
      </c>
      <c r="F1571" t="s">
        <v>7</v>
      </c>
      <c r="G1571" t="s">
        <v>3087</v>
      </c>
    </row>
    <row r="1572" spans="1:7" x14ac:dyDescent="0.25">
      <c r="A1572">
        <v>5257</v>
      </c>
      <c r="B1572" t="s">
        <v>1974</v>
      </c>
      <c r="C1572" t="s">
        <v>3059</v>
      </c>
      <c r="D1572">
        <v>185</v>
      </c>
      <c r="E1572">
        <v>22.91</v>
      </c>
      <c r="F1572" t="s">
        <v>7</v>
      </c>
      <c r="G1572" t="s">
        <v>3073</v>
      </c>
    </row>
    <row r="1573" spans="1:7" x14ac:dyDescent="0.25">
      <c r="A1573">
        <v>7443</v>
      </c>
      <c r="B1573" t="s">
        <v>2224</v>
      </c>
      <c r="C1573" t="s">
        <v>3059</v>
      </c>
      <c r="D1573">
        <v>12</v>
      </c>
      <c r="E1573">
        <v>17.7</v>
      </c>
      <c r="F1573" t="s">
        <v>7</v>
      </c>
      <c r="G1573" t="s">
        <v>3103</v>
      </c>
    </row>
    <row r="1574" spans="1:7" x14ac:dyDescent="0.25">
      <c r="A1574">
        <v>7453</v>
      </c>
      <c r="B1574" t="s">
        <v>2233</v>
      </c>
      <c r="C1574" t="s">
        <v>3059</v>
      </c>
      <c r="D1574">
        <v>12</v>
      </c>
      <c r="E1574">
        <v>52.28</v>
      </c>
      <c r="F1574" t="s">
        <v>7</v>
      </c>
      <c r="G1574" t="s">
        <v>3103</v>
      </c>
    </row>
    <row r="1575" spans="1:7" x14ac:dyDescent="0.25">
      <c r="A1575">
        <v>7459</v>
      </c>
      <c r="B1575" t="s">
        <v>2235</v>
      </c>
      <c r="C1575" t="s">
        <v>3059</v>
      </c>
      <c r="D1575">
        <v>12</v>
      </c>
      <c r="E1575">
        <v>32.68</v>
      </c>
      <c r="F1575" t="s">
        <v>7</v>
      </c>
      <c r="G1575" t="s">
        <v>3103</v>
      </c>
    </row>
    <row r="1576" spans="1:7" x14ac:dyDescent="0.25">
      <c r="A1576">
        <v>7665</v>
      </c>
      <c r="B1576" t="s">
        <v>2298</v>
      </c>
      <c r="C1576" t="s">
        <v>3059</v>
      </c>
      <c r="D1576">
        <v>12</v>
      </c>
      <c r="E1576">
        <v>53</v>
      </c>
      <c r="F1576" t="s">
        <v>7</v>
      </c>
      <c r="G1576" t="s">
        <v>3103</v>
      </c>
    </row>
    <row r="1577" spans="1:7" x14ac:dyDescent="0.25">
      <c r="A1577">
        <v>7924</v>
      </c>
      <c r="B1577" t="s">
        <v>2340</v>
      </c>
      <c r="C1577" t="s">
        <v>3059</v>
      </c>
      <c r="D1577">
        <v>12</v>
      </c>
      <c r="E1577">
        <v>7.3</v>
      </c>
      <c r="F1577" t="s">
        <v>7</v>
      </c>
      <c r="G1577" t="s">
        <v>3103</v>
      </c>
    </row>
    <row r="1578" spans="1:7" x14ac:dyDescent="0.25">
      <c r="A1578">
        <v>7941</v>
      </c>
      <c r="B1578" t="s">
        <v>2350</v>
      </c>
      <c r="C1578" t="s">
        <v>3059</v>
      </c>
      <c r="D1578">
        <v>24</v>
      </c>
      <c r="E1578">
        <v>4.0999999999999996</v>
      </c>
      <c r="F1578" t="s">
        <v>7</v>
      </c>
      <c r="G1578" t="s">
        <v>3103</v>
      </c>
    </row>
    <row r="1579" spans="1:7" x14ac:dyDescent="0.25">
      <c r="A1579">
        <v>8733</v>
      </c>
      <c r="B1579" t="s">
        <v>2466</v>
      </c>
      <c r="C1579" t="s">
        <v>3059</v>
      </c>
      <c r="D1579">
        <v>2</v>
      </c>
      <c r="E1579">
        <v>39.82</v>
      </c>
      <c r="F1579" t="s">
        <v>7</v>
      </c>
      <c r="G1579" t="s">
        <v>3070</v>
      </c>
    </row>
    <row r="1580" spans="1:7" x14ac:dyDescent="0.25">
      <c r="A1580">
        <v>8740</v>
      </c>
      <c r="B1580" t="s">
        <v>2473</v>
      </c>
      <c r="C1580" t="s">
        <v>3059</v>
      </c>
      <c r="D1580">
        <v>3</v>
      </c>
      <c r="E1580">
        <v>85.13</v>
      </c>
      <c r="F1580" t="s">
        <v>7</v>
      </c>
      <c r="G1580" t="s">
        <v>3070</v>
      </c>
    </row>
    <row r="1581" spans="1:7" x14ac:dyDescent="0.25">
      <c r="A1581">
        <v>8799</v>
      </c>
      <c r="B1581" t="s">
        <v>2522</v>
      </c>
      <c r="C1581" t="s">
        <v>3059</v>
      </c>
      <c r="D1581">
        <v>10</v>
      </c>
      <c r="E1581">
        <v>10.18</v>
      </c>
      <c r="F1581" t="s">
        <v>7</v>
      </c>
      <c r="G1581" t="s">
        <v>3070</v>
      </c>
    </row>
    <row r="1582" spans="1:7" x14ac:dyDescent="0.25">
      <c r="A1582">
        <v>8913</v>
      </c>
      <c r="B1582" t="s">
        <v>2603</v>
      </c>
      <c r="C1582" t="s">
        <v>3059</v>
      </c>
      <c r="D1582">
        <v>7</v>
      </c>
      <c r="E1582">
        <v>20.9</v>
      </c>
      <c r="F1582" t="s">
        <v>7</v>
      </c>
      <c r="G1582" t="s">
        <v>3070</v>
      </c>
    </row>
    <row r="1583" spans="1:7" x14ac:dyDescent="0.25">
      <c r="A1583">
        <v>8941</v>
      </c>
      <c r="B1583" t="s">
        <v>2617</v>
      </c>
      <c r="C1583" t="s">
        <v>3059</v>
      </c>
      <c r="D1583">
        <v>24</v>
      </c>
      <c r="E1583">
        <v>45</v>
      </c>
      <c r="F1583" t="s">
        <v>7</v>
      </c>
      <c r="G1583" t="s">
        <v>3071</v>
      </c>
    </row>
    <row r="1584" spans="1:7" x14ac:dyDescent="0.25">
      <c r="A1584">
        <v>9277</v>
      </c>
      <c r="B1584" t="s">
        <v>2746</v>
      </c>
      <c r="C1584" t="s">
        <v>3059</v>
      </c>
      <c r="D1584">
        <v>12</v>
      </c>
      <c r="E1584">
        <v>19.829999999999998</v>
      </c>
      <c r="F1584" t="s">
        <v>7</v>
      </c>
      <c r="G1584" t="s">
        <v>3071</v>
      </c>
    </row>
    <row r="1585" spans="1:7" x14ac:dyDescent="0.25">
      <c r="A1585">
        <v>9294</v>
      </c>
      <c r="B1585" t="s">
        <v>2753</v>
      </c>
      <c r="C1585" t="s">
        <v>3059</v>
      </c>
      <c r="D1585">
        <v>6</v>
      </c>
      <c r="E1585">
        <v>36</v>
      </c>
      <c r="F1585" t="s">
        <v>7</v>
      </c>
      <c r="G1585" t="s">
        <v>3071</v>
      </c>
    </row>
    <row r="1586" spans="1:7" x14ac:dyDescent="0.25">
      <c r="A1586">
        <v>9347</v>
      </c>
      <c r="B1586" t="s">
        <v>2780</v>
      </c>
      <c r="C1586" t="s">
        <v>3059</v>
      </c>
      <c r="D1586">
        <v>227</v>
      </c>
      <c r="E1586">
        <v>17</v>
      </c>
      <c r="F1586" t="s">
        <v>7</v>
      </c>
      <c r="G1586" t="s">
        <v>3101</v>
      </c>
    </row>
    <row r="1587" spans="1:7" x14ac:dyDescent="0.25">
      <c r="A1587">
        <v>9711</v>
      </c>
      <c r="B1587" t="s">
        <v>2926</v>
      </c>
      <c r="C1587" t="s">
        <v>3059</v>
      </c>
      <c r="D1587">
        <v>12</v>
      </c>
      <c r="E1587">
        <v>4.16</v>
      </c>
      <c r="F1587" t="s">
        <v>7</v>
      </c>
      <c r="G1587" t="s">
        <v>3101</v>
      </c>
    </row>
    <row r="1588" spans="1:7" x14ac:dyDescent="0.25">
      <c r="A1588">
        <v>9925</v>
      </c>
      <c r="B1588" t="s">
        <v>3004</v>
      </c>
      <c r="C1588" t="s">
        <v>3059</v>
      </c>
      <c r="D1588">
        <v>50</v>
      </c>
      <c r="E1588">
        <v>8.1999999999999993</v>
      </c>
      <c r="F1588" t="s">
        <v>7</v>
      </c>
      <c r="G1588" t="s">
        <v>3101</v>
      </c>
    </row>
    <row r="1589" spans="1:7" x14ac:dyDescent="0.25">
      <c r="A1589">
        <v>52747</v>
      </c>
      <c r="B1589" t="s">
        <v>16096</v>
      </c>
      <c r="C1589" t="s">
        <v>3059</v>
      </c>
      <c r="D1589">
        <v>97</v>
      </c>
      <c r="E1589">
        <v>28</v>
      </c>
      <c r="F1589" t="s">
        <v>7</v>
      </c>
      <c r="G1589" t="s">
        <v>3062</v>
      </c>
    </row>
    <row r="1590" spans="1:7" x14ac:dyDescent="0.25">
      <c r="A1590">
        <v>52748</v>
      </c>
      <c r="B1590" t="s">
        <v>16110</v>
      </c>
      <c r="C1590" t="s">
        <v>3059</v>
      </c>
      <c r="D1590">
        <v>75</v>
      </c>
      <c r="E1590">
        <v>11</v>
      </c>
      <c r="F1590" t="s">
        <v>7</v>
      </c>
      <c r="G1590" t="s">
        <v>3101</v>
      </c>
    </row>
    <row r="1591" spans="1:7" x14ac:dyDescent="0.25">
      <c r="A1591">
        <v>52749</v>
      </c>
      <c r="B1591" t="s">
        <v>16111</v>
      </c>
      <c r="C1591" t="s">
        <v>3059</v>
      </c>
      <c r="D1591">
        <v>100</v>
      </c>
      <c r="E1591">
        <v>12</v>
      </c>
      <c r="F1591" t="s">
        <v>7</v>
      </c>
      <c r="G1591" t="s">
        <v>3101</v>
      </c>
    </row>
    <row r="1592" spans="1:7" x14ac:dyDescent="0.25">
      <c r="A1592">
        <v>52750</v>
      </c>
      <c r="B1592" t="s">
        <v>16112</v>
      </c>
      <c r="C1592" t="s">
        <v>3059</v>
      </c>
      <c r="D1592">
        <v>100</v>
      </c>
      <c r="E1592">
        <v>13</v>
      </c>
      <c r="F1592" t="s">
        <v>7</v>
      </c>
      <c r="G1592" t="s">
        <v>3101</v>
      </c>
    </row>
    <row r="1593" spans="1:7" x14ac:dyDescent="0.25">
      <c r="A1593">
        <v>52913</v>
      </c>
      <c r="B1593" t="s">
        <v>16098</v>
      </c>
      <c r="C1593" t="s">
        <v>3059</v>
      </c>
      <c r="D1593">
        <v>294</v>
      </c>
      <c r="E1593">
        <v>35</v>
      </c>
      <c r="F1593" t="s">
        <v>7</v>
      </c>
      <c r="G1593" t="s">
        <v>3103</v>
      </c>
    </row>
    <row r="1594" spans="1:7" x14ac:dyDescent="0.25">
      <c r="A1594">
        <v>52920</v>
      </c>
      <c r="B1594" t="s">
        <v>16113</v>
      </c>
      <c r="C1594" t="s">
        <v>3059</v>
      </c>
      <c r="D1594">
        <v>24</v>
      </c>
      <c r="E1594">
        <v>230.45</v>
      </c>
      <c r="F1594" t="s">
        <v>7</v>
      </c>
      <c r="G1594" t="s">
        <v>3073</v>
      </c>
    </row>
    <row r="1595" spans="1:7" x14ac:dyDescent="0.25">
      <c r="A1595">
        <v>52921</v>
      </c>
      <c r="B1595" t="s">
        <v>17497</v>
      </c>
      <c r="C1595" t="s">
        <v>3059</v>
      </c>
      <c r="D1595">
        <v>15</v>
      </c>
      <c r="E1595">
        <v>382.3</v>
      </c>
      <c r="F1595" t="s">
        <v>7</v>
      </c>
      <c r="G1595" t="s">
        <v>3073</v>
      </c>
    </row>
    <row r="1596" spans="1:7" x14ac:dyDescent="0.25">
      <c r="A1596">
        <v>52922</v>
      </c>
      <c r="B1596" t="s">
        <v>16115</v>
      </c>
      <c r="C1596" t="s">
        <v>3059</v>
      </c>
      <c r="D1596">
        <v>17</v>
      </c>
      <c r="E1596">
        <v>624</v>
      </c>
      <c r="F1596" t="s">
        <v>7</v>
      </c>
      <c r="G1596" t="s">
        <v>3073</v>
      </c>
    </row>
    <row r="1597" spans="1:7" x14ac:dyDescent="0.25">
      <c r="A1597">
        <v>52924</v>
      </c>
      <c r="B1597" t="s">
        <v>16117</v>
      </c>
      <c r="C1597" t="s">
        <v>3059</v>
      </c>
      <c r="D1597">
        <v>9</v>
      </c>
      <c r="E1597">
        <v>1080</v>
      </c>
      <c r="F1597" t="s">
        <v>7</v>
      </c>
      <c r="G1597" t="s">
        <v>3073</v>
      </c>
    </row>
    <row r="1598" spans="1:7" x14ac:dyDescent="0.25">
      <c r="A1598">
        <v>52925</v>
      </c>
      <c r="B1598" t="s">
        <v>16118</v>
      </c>
      <c r="C1598" t="s">
        <v>3059</v>
      </c>
      <c r="D1598">
        <v>1</v>
      </c>
      <c r="E1598">
        <v>1361</v>
      </c>
      <c r="F1598" t="s">
        <v>7</v>
      </c>
      <c r="G1598" t="s">
        <v>3073</v>
      </c>
    </row>
    <row r="1599" spans="1:7" x14ac:dyDescent="0.25">
      <c r="A1599">
        <v>52926</v>
      </c>
      <c r="B1599" t="s">
        <v>16119</v>
      </c>
      <c r="C1599" t="s">
        <v>3059</v>
      </c>
      <c r="D1599">
        <v>4</v>
      </c>
      <c r="E1599">
        <v>202</v>
      </c>
      <c r="F1599" t="s">
        <v>7</v>
      </c>
      <c r="G1599" t="s">
        <v>3073</v>
      </c>
    </row>
    <row r="1600" spans="1:7" x14ac:dyDescent="0.25">
      <c r="A1600">
        <v>52927</v>
      </c>
      <c r="B1600" t="s">
        <v>16120</v>
      </c>
      <c r="C1600" t="s">
        <v>3059</v>
      </c>
      <c r="D1600">
        <v>5</v>
      </c>
      <c r="E1600">
        <v>303</v>
      </c>
      <c r="F1600" t="s">
        <v>7</v>
      </c>
      <c r="G1600" t="s">
        <v>3073</v>
      </c>
    </row>
    <row r="1601" spans="1:7" x14ac:dyDescent="0.25">
      <c r="A1601">
        <v>52933</v>
      </c>
      <c r="B1601" t="s">
        <v>16121</v>
      </c>
      <c r="C1601" t="s">
        <v>3059</v>
      </c>
      <c r="D1601">
        <v>6</v>
      </c>
      <c r="E1601">
        <v>25</v>
      </c>
      <c r="F1601" t="s">
        <v>7</v>
      </c>
      <c r="G1601" t="s">
        <v>3066</v>
      </c>
    </row>
    <row r="1602" spans="1:7" x14ac:dyDescent="0.25">
      <c r="A1602">
        <v>52934</v>
      </c>
      <c r="B1602" t="s">
        <v>16122</v>
      </c>
      <c r="C1602" t="s">
        <v>3059</v>
      </c>
      <c r="D1602">
        <v>6</v>
      </c>
      <c r="E1602">
        <v>25</v>
      </c>
      <c r="F1602" t="s">
        <v>7</v>
      </c>
      <c r="G1602" t="s">
        <v>3066</v>
      </c>
    </row>
    <row r="1603" spans="1:7" x14ac:dyDescent="0.25">
      <c r="A1603">
        <v>52935</v>
      </c>
      <c r="B1603" t="s">
        <v>16123</v>
      </c>
      <c r="C1603" t="s">
        <v>3059</v>
      </c>
      <c r="D1603">
        <v>3</v>
      </c>
      <c r="E1603">
        <v>25</v>
      </c>
      <c r="F1603" t="s">
        <v>7</v>
      </c>
      <c r="G1603" t="s">
        <v>3066</v>
      </c>
    </row>
    <row r="1604" spans="1:7" x14ac:dyDescent="0.25">
      <c r="A1604">
        <v>52936</v>
      </c>
      <c r="B1604" t="s">
        <v>16124</v>
      </c>
      <c r="C1604" t="s">
        <v>3059</v>
      </c>
      <c r="D1604">
        <v>6</v>
      </c>
      <c r="E1604">
        <v>27</v>
      </c>
      <c r="F1604" t="s">
        <v>7</v>
      </c>
      <c r="G1604" t="s">
        <v>3066</v>
      </c>
    </row>
    <row r="1605" spans="1:7" x14ac:dyDescent="0.25">
      <c r="A1605">
        <v>52937</v>
      </c>
      <c r="B1605" t="s">
        <v>16125</v>
      </c>
      <c r="C1605" t="s">
        <v>3059</v>
      </c>
      <c r="D1605">
        <v>16</v>
      </c>
      <c r="E1605">
        <v>27</v>
      </c>
      <c r="F1605" t="s">
        <v>7</v>
      </c>
      <c r="G1605" t="s">
        <v>3066</v>
      </c>
    </row>
    <row r="1606" spans="1:7" x14ac:dyDescent="0.25">
      <c r="A1606">
        <v>52938</v>
      </c>
      <c r="B1606" t="s">
        <v>16126</v>
      </c>
      <c r="C1606" t="s">
        <v>3059</v>
      </c>
      <c r="D1606">
        <v>7</v>
      </c>
      <c r="E1606">
        <v>28</v>
      </c>
      <c r="F1606" t="s">
        <v>7</v>
      </c>
      <c r="G1606" t="s">
        <v>3066</v>
      </c>
    </row>
    <row r="1607" spans="1:7" x14ac:dyDescent="0.25">
      <c r="A1607">
        <v>52939</v>
      </c>
      <c r="B1607" t="s">
        <v>16127</v>
      </c>
      <c r="C1607" t="s">
        <v>3059</v>
      </c>
      <c r="D1607">
        <v>12</v>
      </c>
      <c r="E1607">
        <v>28</v>
      </c>
      <c r="F1607" t="s">
        <v>7</v>
      </c>
      <c r="G1607" t="s">
        <v>3066</v>
      </c>
    </row>
    <row r="1608" spans="1:7" x14ac:dyDescent="0.25">
      <c r="A1608">
        <v>52940</v>
      </c>
      <c r="B1608" t="s">
        <v>16128</v>
      </c>
      <c r="C1608" t="s">
        <v>3059</v>
      </c>
      <c r="D1608">
        <v>10</v>
      </c>
      <c r="E1608">
        <v>29</v>
      </c>
      <c r="F1608" t="s">
        <v>7</v>
      </c>
      <c r="G1608" t="s">
        <v>3066</v>
      </c>
    </row>
    <row r="1609" spans="1:7" x14ac:dyDescent="0.25">
      <c r="A1609">
        <v>52941</v>
      </c>
      <c r="B1609" t="s">
        <v>16129</v>
      </c>
      <c r="C1609" t="s">
        <v>3059</v>
      </c>
      <c r="D1609">
        <v>15</v>
      </c>
      <c r="E1609">
        <v>29</v>
      </c>
      <c r="F1609" t="s">
        <v>7</v>
      </c>
      <c r="G1609" t="s">
        <v>3066</v>
      </c>
    </row>
    <row r="1610" spans="1:7" x14ac:dyDescent="0.25">
      <c r="A1610">
        <v>52942</v>
      </c>
      <c r="B1610" t="s">
        <v>16130</v>
      </c>
      <c r="C1610" t="s">
        <v>3059</v>
      </c>
      <c r="D1610">
        <v>3</v>
      </c>
      <c r="E1610">
        <v>29</v>
      </c>
      <c r="F1610" t="s">
        <v>7</v>
      </c>
      <c r="G1610" t="s">
        <v>3066</v>
      </c>
    </row>
    <row r="1611" spans="1:7" x14ac:dyDescent="0.25">
      <c r="A1611">
        <v>52943</v>
      </c>
      <c r="B1611" t="s">
        <v>16131</v>
      </c>
      <c r="C1611" t="s">
        <v>3059</v>
      </c>
      <c r="D1611">
        <v>16</v>
      </c>
      <c r="E1611">
        <v>28</v>
      </c>
      <c r="F1611" t="s">
        <v>7</v>
      </c>
      <c r="G1611" t="s">
        <v>3066</v>
      </c>
    </row>
    <row r="1612" spans="1:7" x14ac:dyDescent="0.25">
      <c r="A1612">
        <v>52841</v>
      </c>
      <c r="B1612" t="s">
        <v>16097</v>
      </c>
      <c r="C1612" t="s">
        <v>3059</v>
      </c>
      <c r="D1612">
        <v>5</v>
      </c>
      <c r="F1612" t="s">
        <v>7</v>
      </c>
      <c r="G1612" t="s">
        <v>3073</v>
      </c>
    </row>
    <row r="1613" spans="1:7" x14ac:dyDescent="0.25">
      <c r="A1613">
        <v>51383</v>
      </c>
      <c r="B1613" t="s">
        <v>16102</v>
      </c>
      <c r="C1613" t="s">
        <v>3059</v>
      </c>
      <c r="D1613">
        <v>296</v>
      </c>
      <c r="E1613">
        <v>5.35</v>
      </c>
      <c r="F1613" t="s">
        <v>7</v>
      </c>
      <c r="G1613" t="s">
        <v>3070</v>
      </c>
    </row>
    <row r="1614" spans="1:7" x14ac:dyDescent="0.25">
      <c r="A1614">
        <v>5374</v>
      </c>
      <c r="B1614" t="s">
        <v>2048</v>
      </c>
      <c r="C1614" t="s">
        <v>3059</v>
      </c>
      <c r="D1614">
        <v>101</v>
      </c>
      <c r="E1614">
        <v>50</v>
      </c>
      <c r="F1614" t="s">
        <v>7</v>
      </c>
      <c r="G1614" t="s">
        <v>3064</v>
      </c>
    </row>
    <row r="1615" spans="1:7" x14ac:dyDescent="0.25">
      <c r="A1615">
        <v>5375</v>
      </c>
      <c r="B1615" t="s">
        <v>2049</v>
      </c>
      <c r="C1615" t="s">
        <v>3059</v>
      </c>
      <c r="D1615">
        <v>23</v>
      </c>
      <c r="E1615">
        <v>54.2</v>
      </c>
      <c r="F1615" t="s">
        <v>7</v>
      </c>
      <c r="G1615" t="s">
        <v>3064</v>
      </c>
    </row>
    <row r="1616" spans="1:7" x14ac:dyDescent="0.25">
      <c r="A1616">
        <v>10849</v>
      </c>
      <c r="B1616" t="s">
        <v>16620</v>
      </c>
      <c r="C1616" t="s">
        <v>3059</v>
      </c>
      <c r="D1616">
        <v>1</v>
      </c>
      <c r="F1616" t="s">
        <v>7</v>
      </c>
      <c r="G1616" t="s">
        <v>3087</v>
      </c>
    </row>
    <row r="1617" spans="1:7" x14ac:dyDescent="0.25">
      <c r="A1617">
        <v>20048</v>
      </c>
      <c r="B1617" t="s">
        <v>16621</v>
      </c>
      <c r="C1617" t="s">
        <v>3059</v>
      </c>
      <c r="D1617">
        <v>1</v>
      </c>
      <c r="F1617" t="s">
        <v>7</v>
      </c>
      <c r="G1617" t="s">
        <v>3087</v>
      </c>
    </row>
    <row r="1618" spans="1:7" x14ac:dyDescent="0.25">
      <c r="A1618">
        <v>52344</v>
      </c>
      <c r="B1618" t="s">
        <v>16623</v>
      </c>
      <c r="C1618" t="s">
        <v>3059</v>
      </c>
      <c r="D1618">
        <v>1</v>
      </c>
      <c r="F1618" t="s">
        <v>7</v>
      </c>
      <c r="G1618" t="s">
        <v>3087</v>
      </c>
    </row>
    <row r="1619" spans="1:7" x14ac:dyDescent="0.25">
      <c r="A1619">
        <v>20014</v>
      </c>
      <c r="B1619" t="s">
        <v>16882</v>
      </c>
      <c r="C1619" t="s">
        <v>3059</v>
      </c>
      <c r="D1619">
        <v>12</v>
      </c>
      <c r="F1619" t="s">
        <v>7</v>
      </c>
      <c r="G1619" t="s">
        <v>3087</v>
      </c>
    </row>
    <row r="1620" spans="1:7" x14ac:dyDescent="0.25">
      <c r="A1620">
        <v>51362</v>
      </c>
      <c r="B1620" t="s">
        <v>1033</v>
      </c>
      <c r="C1620" t="s">
        <v>3059</v>
      </c>
      <c r="D1620">
        <v>15</v>
      </c>
      <c r="E1620">
        <v>8.57</v>
      </c>
      <c r="F1620" t="s">
        <v>7</v>
      </c>
      <c r="G1620" t="s">
        <v>3070</v>
      </c>
    </row>
    <row r="1621" spans="1:7" x14ac:dyDescent="0.25">
      <c r="A1621">
        <v>51431</v>
      </c>
      <c r="B1621" t="s">
        <v>16883</v>
      </c>
      <c r="C1621" t="s">
        <v>3059</v>
      </c>
      <c r="D1621">
        <v>1480</v>
      </c>
      <c r="F1621" t="s">
        <v>3119</v>
      </c>
      <c r="G1621" t="s">
        <v>3070</v>
      </c>
    </row>
    <row r="1622" spans="1:7" x14ac:dyDescent="0.25">
      <c r="A1622">
        <v>52038</v>
      </c>
      <c r="B1622" t="s">
        <v>16884</v>
      </c>
      <c r="C1622" t="s">
        <v>3059</v>
      </c>
      <c r="D1622">
        <v>13</v>
      </c>
      <c r="F1622" t="s">
        <v>7</v>
      </c>
      <c r="G1622" t="s">
        <v>3087</v>
      </c>
    </row>
    <row r="1623" spans="1:7" x14ac:dyDescent="0.25">
      <c r="A1623">
        <v>52902</v>
      </c>
      <c r="B1623" t="s">
        <v>16887</v>
      </c>
      <c r="C1623" t="s">
        <v>3059</v>
      </c>
      <c r="D1623">
        <v>27</v>
      </c>
      <c r="F1623" t="s">
        <v>7</v>
      </c>
      <c r="G1623" t="s">
        <v>3070</v>
      </c>
    </row>
    <row r="1624" spans="1:7" x14ac:dyDescent="0.25">
      <c r="A1624">
        <v>10637</v>
      </c>
      <c r="B1624" t="s">
        <v>582</v>
      </c>
      <c r="C1624" t="s">
        <v>3059</v>
      </c>
      <c r="D1624">
        <v>5</v>
      </c>
      <c r="E1624">
        <v>58</v>
      </c>
      <c r="F1624" t="s">
        <v>7</v>
      </c>
      <c r="G1624" t="s">
        <v>3087</v>
      </c>
    </row>
    <row r="1625" spans="1:7" x14ac:dyDescent="0.25">
      <c r="A1625">
        <v>10657</v>
      </c>
      <c r="B1625" t="s">
        <v>601</v>
      </c>
      <c r="C1625" t="s">
        <v>3059</v>
      </c>
      <c r="D1625">
        <v>1</v>
      </c>
      <c r="E1625">
        <v>529</v>
      </c>
      <c r="F1625" t="s">
        <v>7</v>
      </c>
      <c r="G1625" t="s">
        <v>3087</v>
      </c>
    </row>
    <row r="1626" spans="1:7" x14ac:dyDescent="0.25">
      <c r="A1626">
        <v>10658</v>
      </c>
      <c r="B1626" t="s">
        <v>17488</v>
      </c>
      <c r="C1626" t="s">
        <v>3059</v>
      </c>
      <c r="D1626">
        <v>1</v>
      </c>
      <c r="F1626" t="s">
        <v>7</v>
      </c>
      <c r="G1626" t="s">
        <v>3087</v>
      </c>
    </row>
    <row r="1627" spans="1:7" x14ac:dyDescent="0.25">
      <c r="A1627">
        <v>10672</v>
      </c>
      <c r="B1627" t="s">
        <v>614</v>
      </c>
      <c r="C1627" t="s">
        <v>3059</v>
      </c>
      <c r="D1627">
        <v>1</v>
      </c>
      <c r="E1627">
        <v>16</v>
      </c>
      <c r="F1627" t="s">
        <v>7</v>
      </c>
      <c r="G1627" t="s">
        <v>3087</v>
      </c>
    </row>
    <row r="1628" spans="1:7" x14ac:dyDescent="0.25">
      <c r="A1628">
        <v>10691</v>
      </c>
      <c r="B1628" t="s">
        <v>632</v>
      </c>
      <c r="C1628" t="s">
        <v>3059</v>
      </c>
      <c r="D1628">
        <v>1</v>
      </c>
      <c r="E1628">
        <v>51</v>
      </c>
      <c r="F1628" t="s">
        <v>7</v>
      </c>
      <c r="G1628" t="s">
        <v>3087</v>
      </c>
    </row>
    <row r="1629" spans="1:7" x14ac:dyDescent="0.25">
      <c r="A1629">
        <v>10776</v>
      </c>
      <c r="B1629" t="s">
        <v>696</v>
      </c>
      <c r="C1629" t="s">
        <v>3059</v>
      </c>
      <c r="D1629">
        <v>3</v>
      </c>
      <c r="E1629">
        <v>13</v>
      </c>
      <c r="F1629" t="s">
        <v>7</v>
      </c>
      <c r="G1629" t="s">
        <v>3087</v>
      </c>
    </row>
    <row r="1630" spans="1:7" x14ac:dyDescent="0.25">
      <c r="A1630">
        <v>10801</v>
      </c>
      <c r="B1630" t="s">
        <v>721</v>
      </c>
      <c r="C1630" t="s">
        <v>3059</v>
      </c>
      <c r="D1630">
        <v>10</v>
      </c>
      <c r="E1630">
        <v>66</v>
      </c>
      <c r="F1630" t="s">
        <v>7</v>
      </c>
      <c r="G1630" t="s">
        <v>3087</v>
      </c>
    </row>
    <row r="1631" spans="1:7" x14ac:dyDescent="0.25">
      <c r="A1631">
        <v>10807</v>
      </c>
      <c r="B1631" t="s">
        <v>17489</v>
      </c>
      <c r="C1631" t="s">
        <v>3059</v>
      </c>
      <c r="D1631">
        <v>5</v>
      </c>
      <c r="F1631" t="s">
        <v>7</v>
      </c>
      <c r="G1631" t="s">
        <v>3087</v>
      </c>
    </row>
    <row r="1632" spans="1:7" x14ac:dyDescent="0.25">
      <c r="A1632">
        <v>10815</v>
      </c>
      <c r="B1632" t="s">
        <v>734</v>
      </c>
      <c r="C1632" t="s">
        <v>3059</v>
      </c>
      <c r="D1632">
        <v>11</v>
      </c>
      <c r="E1632">
        <v>133</v>
      </c>
      <c r="F1632" t="s">
        <v>7</v>
      </c>
      <c r="G1632" t="s">
        <v>3087</v>
      </c>
    </row>
    <row r="1633" spans="1:7" x14ac:dyDescent="0.25">
      <c r="A1633">
        <v>10832</v>
      </c>
      <c r="B1633" t="s">
        <v>751</v>
      </c>
      <c r="C1633" t="s">
        <v>3059</v>
      </c>
      <c r="D1633">
        <v>14</v>
      </c>
      <c r="E1633">
        <v>53</v>
      </c>
      <c r="F1633" t="s">
        <v>7</v>
      </c>
      <c r="G1633" t="s">
        <v>3087</v>
      </c>
    </row>
    <row r="1634" spans="1:7" x14ac:dyDescent="0.25">
      <c r="A1634">
        <v>20028</v>
      </c>
      <c r="B1634" t="s">
        <v>17490</v>
      </c>
      <c r="C1634" t="s">
        <v>3059</v>
      </c>
      <c r="D1634">
        <v>3</v>
      </c>
      <c r="F1634" t="s">
        <v>7</v>
      </c>
      <c r="G1634" t="s">
        <v>3087</v>
      </c>
    </row>
    <row r="1635" spans="1:7" x14ac:dyDescent="0.25">
      <c r="A1635">
        <v>52755</v>
      </c>
      <c r="B1635" t="s">
        <v>17493</v>
      </c>
      <c r="C1635" t="s">
        <v>3059</v>
      </c>
      <c r="D1635">
        <v>3</v>
      </c>
      <c r="F1635" t="s">
        <v>7</v>
      </c>
      <c r="G1635" t="s">
        <v>3087</v>
      </c>
    </row>
    <row r="1636" spans="1:7" x14ac:dyDescent="0.25">
      <c r="A1636">
        <v>52758</v>
      </c>
      <c r="B1636" t="s">
        <v>17494</v>
      </c>
      <c r="C1636" t="s">
        <v>3059</v>
      </c>
      <c r="D1636">
        <v>6</v>
      </c>
      <c r="F1636" t="s">
        <v>7</v>
      </c>
      <c r="G1636" t="s">
        <v>3087</v>
      </c>
    </row>
    <row r="1637" spans="1:7" x14ac:dyDescent="0.25">
      <c r="A1637">
        <v>52779</v>
      </c>
      <c r="B1637" t="s">
        <v>17495</v>
      </c>
      <c r="C1637" t="s">
        <v>3059</v>
      </c>
      <c r="D1637">
        <v>7</v>
      </c>
      <c r="F1637" t="s">
        <v>7</v>
      </c>
      <c r="G1637" t="s">
        <v>3087</v>
      </c>
    </row>
    <row r="1638" spans="1:7" x14ac:dyDescent="0.25">
      <c r="A1638">
        <v>52901</v>
      </c>
      <c r="B1638" t="s">
        <v>17496</v>
      </c>
      <c r="C1638" t="s">
        <v>3059</v>
      </c>
      <c r="D1638">
        <v>55</v>
      </c>
      <c r="F1638" t="s">
        <v>7</v>
      </c>
      <c r="G1638" t="s">
        <v>3070</v>
      </c>
    </row>
    <row r="1639" spans="1:7" x14ac:dyDescent="0.25">
      <c r="A1639">
        <v>52980</v>
      </c>
      <c r="B1639" t="s">
        <v>17498</v>
      </c>
      <c r="C1639" t="s">
        <v>3059</v>
      </c>
      <c r="D1639">
        <v>4</v>
      </c>
      <c r="F1639" t="s">
        <v>7</v>
      </c>
      <c r="G1639" t="s">
        <v>3087</v>
      </c>
    </row>
    <row r="1640" spans="1:7" x14ac:dyDescent="0.25">
      <c r="A1640">
        <v>52981</v>
      </c>
      <c r="B1640" t="s">
        <v>17499</v>
      </c>
      <c r="C1640" t="s">
        <v>3059</v>
      </c>
      <c r="D1640">
        <v>6</v>
      </c>
      <c r="F1640" t="s">
        <v>7</v>
      </c>
      <c r="G1640" t="s">
        <v>3087</v>
      </c>
    </row>
    <row r="1641" spans="1:7" x14ac:dyDescent="0.25">
      <c r="A1641">
        <v>52982</v>
      </c>
      <c r="B1641" t="s">
        <v>17500</v>
      </c>
      <c r="C1641" t="s">
        <v>3059</v>
      </c>
      <c r="D1641">
        <v>1</v>
      </c>
      <c r="F1641" t="s">
        <v>7</v>
      </c>
      <c r="G1641" t="s">
        <v>3087</v>
      </c>
    </row>
    <row r="1642" spans="1:7" x14ac:dyDescent="0.25">
      <c r="A1642">
        <v>52984</v>
      </c>
      <c r="B1642" t="s">
        <v>17501</v>
      </c>
      <c r="C1642" t="s">
        <v>3059</v>
      </c>
      <c r="D1642">
        <v>1</v>
      </c>
      <c r="F1642" t="s">
        <v>7</v>
      </c>
      <c r="G1642" t="s">
        <v>3087</v>
      </c>
    </row>
    <row r="1643" spans="1:7" x14ac:dyDescent="0.25">
      <c r="A1643">
        <v>52986</v>
      </c>
      <c r="B1643" t="s">
        <v>17502</v>
      </c>
      <c r="C1643" t="s">
        <v>3059</v>
      </c>
      <c r="D1643">
        <v>5</v>
      </c>
      <c r="F1643" t="s">
        <v>7</v>
      </c>
      <c r="G1643" t="s">
        <v>3087</v>
      </c>
    </row>
    <row r="1644" spans="1:7" x14ac:dyDescent="0.25">
      <c r="A1644">
        <v>52987</v>
      </c>
      <c r="B1644" t="s">
        <v>17503</v>
      </c>
      <c r="C1644" t="s">
        <v>3059</v>
      </c>
      <c r="D1644">
        <v>2</v>
      </c>
      <c r="F1644" t="s">
        <v>7</v>
      </c>
      <c r="G1644" t="s">
        <v>3087</v>
      </c>
    </row>
    <row r="1645" spans="1:7" x14ac:dyDescent="0.25">
      <c r="A1645">
        <v>52988</v>
      </c>
      <c r="B1645" t="s">
        <v>17504</v>
      </c>
      <c r="C1645" t="s">
        <v>3059</v>
      </c>
      <c r="D1645">
        <v>4</v>
      </c>
      <c r="F1645" t="s">
        <v>7</v>
      </c>
      <c r="G1645" t="s">
        <v>3087</v>
      </c>
    </row>
    <row r="1646" spans="1:7" x14ac:dyDescent="0.25">
      <c r="A1646">
        <v>52989</v>
      </c>
      <c r="B1646" t="s">
        <v>17505</v>
      </c>
      <c r="C1646" t="s">
        <v>3059</v>
      </c>
      <c r="D1646">
        <v>4</v>
      </c>
      <c r="F1646" t="s">
        <v>7</v>
      </c>
      <c r="G1646" t="s">
        <v>3087</v>
      </c>
    </row>
    <row r="1647" spans="1:7" x14ac:dyDescent="0.25">
      <c r="A1647">
        <v>52990</v>
      </c>
      <c r="B1647" t="s">
        <v>17506</v>
      </c>
      <c r="C1647" t="s">
        <v>3059</v>
      </c>
      <c r="D1647">
        <v>4</v>
      </c>
      <c r="F1647" t="s">
        <v>7</v>
      </c>
      <c r="G1647" t="s">
        <v>3087</v>
      </c>
    </row>
    <row r="1648" spans="1:7" x14ac:dyDescent="0.25">
      <c r="A1648">
        <v>52991</v>
      </c>
      <c r="B1648" t="s">
        <v>17507</v>
      </c>
      <c r="C1648" t="s">
        <v>3059</v>
      </c>
      <c r="D1648">
        <v>1</v>
      </c>
      <c r="F1648" t="s">
        <v>7</v>
      </c>
      <c r="G1648" t="s">
        <v>3087</v>
      </c>
    </row>
    <row r="1649" spans="1:9" x14ac:dyDescent="0.25">
      <c r="A1649">
        <v>52992</v>
      </c>
      <c r="B1649" t="s">
        <v>17508</v>
      </c>
      <c r="C1649" t="s">
        <v>3059</v>
      </c>
      <c r="D1649">
        <v>10</v>
      </c>
      <c r="F1649" t="s">
        <v>7</v>
      </c>
      <c r="G1649" t="s">
        <v>3087</v>
      </c>
    </row>
    <row r="1650" spans="1:9" x14ac:dyDescent="0.25">
      <c r="A1650">
        <v>52993</v>
      </c>
      <c r="B1650" t="s">
        <v>17509</v>
      </c>
      <c r="C1650" t="s">
        <v>3059</v>
      </c>
      <c r="D1650">
        <v>5</v>
      </c>
      <c r="F1650" t="s">
        <v>7</v>
      </c>
      <c r="G1650" t="s">
        <v>3087</v>
      </c>
    </row>
    <row r="1651" spans="1:9" x14ac:dyDescent="0.25">
      <c r="A1651">
        <v>52994</v>
      </c>
      <c r="B1651" t="s">
        <v>17510</v>
      </c>
      <c r="C1651" t="s">
        <v>3059</v>
      </c>
      <c r="D1651">
        <v>2</v>
      </c>
      <c r="F1651" t="s">
        <v>7</v>
      </c>
      <c r="G1651" t="s">
        <v>3087</v>
      </c>
    </row>
    <row r="1652" spans="1:9" x14ac:dyDescent="0.25">
      <c r="A1652">
        <v>52995</v>
      </c>
      <c r="B1652" t="s">
        <v>17511</v>
      </c>
      <c r="C1652" t="s">
        <v>3059</v>
      </c>
      <c r="D1652">
        <v>1</v>
      </c>
      <c r="F1652" t="s">
        <v>7</v>
      </c>
      <c r="G1652" t="s">
        <v>3087</v>
      </c>
    </row>
    <row r="1653" spans="1:9" x14ac:dyDescent="0.25">
      <c r="A1653">
        <v>8155</v>
      </c>
      <c r="B1653" t="s">
        <v>17512</v>
      </c>
      <c r="C1653" t="s">
        <v>3059</v>
      </c>
      <c r="D1653">
        <v>31</v>
      </c>
      <c r="E1653">
        <v>3.5</v>
      </c>
      <c r="F1653" t="s">
        <v>7</v>
      </c>
      <c r="G1653" t="s">
        <v>3073</v>
      </c>
    </row>
    <row r="1654" spans="1:9" x14ac:dyDescent="0.25">
      <c r="A1654">
        <v>10189</v>
      </c>
      <c r="B1654" t="s">
        <v>180</v>
      </c>
      <c r="C1654" t="s">
        <v>3059</v>
      </c>
      <c r="D1654">
        <v>26</v>
      </c>
      <c r="F1654" t="s">
        <v>7</v>
      </c>
      <c r="G1654" t="s">
        <v>3074</v>
      </c>
      <c r="H1654" t="s">
        <v>17514</v>
      </c>
      <c r="I1654">
        <v>6</v>
      </c>
    </row>
    <row r="1655" spans="1:9" x14ac:dyDescent="0.25">
      <c r="A1655">
        <v>10370</v>
      </c>
      <c r="B1655" t="s">
        <v>348</v>
      </c>
      <c r="C1655" t="s">
        <v>3059</v>
      </c>
      <c r="D1655">
        <v>9</v>
      </c>
      <c r="F1655" t="s">
        <v>7</v>
      </c>
      <c r="G1655" t="s">
        <v>3071</v>
      </c>
      <c r="H1655" t="s">
        <v>17514</v>
      </c>
      <c r="I1655">
        <v>10</v>
      </c>
    </row>
    <row r="1656" spans="1:9" x14ac:dyDescent="0.25">
      <c r="A1656">
        <v>10395</v>
      </c>
      <c r="B1656" t="s">
        <v>363</v>
      </c>
      <c r="C1656" t="s">
        <v>3059</v>
      </c>
      <c r="D1656">
        <v>1</v>
      </c>
      <c r="F1656" t="s">
        <v>7</v>
      </c>
      <c r="G1656" t="s">
        <v>3062</v>
      </c>
      <c r="H1656" t="s">
        <v>17514</v>
      </c>
      <c r="I1656">
        <v>2</v>
      </c>
    </row>
    <row r="1657" spans="1:9" x14ac:dyDescent="0.25">
      <c r="A1657">
        <v>10400</v>
      </c>
      <c r="B1657" t="s">
        <v>367</v>
      </c>
      <c r="C1657" t="s">
        <v>3059</v>
      </c>
      <c r="D1657">
        <v>49</v>
      </c>
      <c r="F1657" t="s">
        <v>7</v>
      </c>
      <c r="G1657" t="s">
        <v>3073</v>
      </c>
      <c r="H1657" t="s">
        <v>17514</v>
      </c>
      <c r="I1657">
        <v>150</v>
      </c>
    </row>
    <row r="1658" spans="1:9" x14ac:dyDescent="0.25">
      <c r="A1658">
        <v>10401</v>
      </c>
      <c r="B1658" t="s">
        <v>368</v>
      </c>
      <c r="C1658" t="s">
        <v>3059</v>
      </c>
      <c r="D1658">
        <v>60</v>
      </c>
      <c r="F1658" t="s">
        <v>7</v>
      </c>
      <c r="G1658" t="s">
        <v>3073</v>
      </c>
      <c r="H1658" t="s">
        <v>17514</v>
      </c>
      <c r="I1658">
        <v>150</v>
      </c>
    </row>
    <row r="1659" spans="1:9" x14ac:dyDescent="0.25">
      <c r="A1659">
        <v>10402</v>
      </c>
      <c r="B1659" t="s">
        <v>369</v>
      </c>
      <c r="C1659" t="s">
        <v>3059</v>
      </c>
      <c r="D1659">
        <v>46</v>
      </c>
      <c r="F1659" t="s">
        <v>7</v>
      </c>
      <c r="G1659" t="s">
        <v>3073</v>
      </c>
      <c r="H1659" t="s">
        <v>17514</v>
      </c>
      <c r="I1659">
        <v>150</v>
      </c>
    </row>
    <row r="1660" spans="1:9" x14ac:dyDescent="0.25">
      <c r="A1660">
        <v>10403</v>
      </c>
      <c r="B1660" t="s">
        <v>370</v>
      </c>
      <c r="C1660" t="s">
        <v>3059</v>
      </c>
      <c r="D1660">
        <v>18</v>
      </c>
      <c r="F1660" t="s">
        <v>7</v>
      </c>
      <c r="G1660" t="s">
        <v>3073</v>
      </c>
      <c r="H1660" t="s">
        <v>17514</v>
      </c>
      <c r="I1660">
        <v>30</v>
      </c>
    </row>
    <row r="1661" spans="1:9" x14ac:dyDescent="0.25">
      <c r="A1661">
        <v>10420</v>
      </c>
      <c r="B1661" t="s">
        <v>384</v>
      </c>
      <c r="C1661" t="s">
        <v>3059</v>
      </c>
      <c r="D1661">
        <v>3</v>
      </c>
      <c r="F1661" t="s">
        <v>7</v>
      </c>
      <c r="G1661" t="s">
        <v>3070</v>
      </c>
      <c r="H1661" t="s">
        <v>17514</v>
      </c>
      <c r="I1661">
        <v>5</v>
      </c>
    </row>
    <row r="1662" spans="1:9" x14ac:dyDescent="0.25">
      <c r="A1662">
        <v>10557</v>
      </c>
      <c r="B1662" t="s">
        <v>512</v>
      </c>
      <c r="C1662" t="s">
        <v>3059</v>
      </c>
      <c r="D1662">
        <v>1</v>
      </c>
      <c r="F1662" t="s">
        <v>7</v>
      </c>
      <c r="G1662" t="s">
        <v>3070</v>
      </c>
      <c r="H1662" t="s">
        <v>17514</v>
      </c>
      <c r="I1662">
        <v>2</v>
      </c>
    </row>
    <row r="1663" spans="1:9" x14ac:dyDescent="0.25">
      <c r="A1663">
        <v>20005</v>
      </c>
      <c r="B1663" t="s">
        <v>880</v>
      </c>
      <c r="C1663" t="s">
        <v>3059</v>
      </c>
      <c r="D1663">
        <v>22</v>
      </c>
      <c r="F1663" t="s">
        <v>7</v>
      </c>
      <c r="G1663" t="s">
        <v>3073</v>
      </c>
      <c r="H1663" t="s">
        <v>17514</v>
      </c>
      <c r="I1663">
        <v>50</v>
      </c>
    </row>
    <row r="1664" spans="1:9" x14ac:dyDescent="0.25">
      <c r="A1664">
        <v>51313</v>
      </c>
      <c r="B1664" t="s">
        <v>996</v>
      </c>
      <c r="C1664" t="s">
        <v>3059</v>
      </c>
      <c r="D1664">
        <v>587</v>
      </c>
      <c r="F1664" t="s">
        <v>7</v>
      </c>
      <c r="G1664" t="s">
        <v>3071</v>
      </c>
      <c r="H1664" t="s">
        <v>17514</v>
      </c>
      <c r="I1664">
        <v>1380</v>
      </c>
    </row>
    <row r="1665" spans="1:9" x14ac:dyDescent="0.25">
      <c r="A1665">
        <v>51318</v>
      </c>
      <c r="B1665" t="s">
        <v>16622</v>
      </c>
      <c r="C1665" t="s">
        <v>3059</v>
      </c>
      <c r="D1665">
        <v>34</v>
      </c>
      <c r="F1665" t="s">
        <v>7</v>
      </c>
      <c r="G1665" t="s">
        <v>3071</v>
      </c>
      <c r="H1665" t="s">
        <v>17514</v>
      </c>
      <c r="I1665">
        <v>576</v>
      </c>
    </row>
    <row r="1666" spans="1:9" x14ac:dyDescent="0.25">
      <c r="A1666">
        <v>51320</v>
      </c>
      <c r="B1666" t="s">
        <v>1002</v>
      </c>
      <c r="C1666" t="s">
        <v>3059</v>
      </c>
      <c r="D1666">
        <v>613</v>
      </c>
      <c r="F1666" t="s">
        <v>7</v>
      </c>
      <c r="G1666" t="s">
        <v>3071</v>
      </c>
      <c r="H1666" t="s">
        <v>17514</v>
      </c>
      <c r="I1666">
        <v>228</v>
      </c>
    </row>
    <row r="1667" spans="1:9" x14ac:dyDescent="0.25">
      <c r="A1667">
        <v>51324</v>
      </c>
      <c r="B1667" t="s">
        <v>1004</v>
      </c>
      <c r="C1667" t="s">
        <v>3059</v>
      </c>
      <c r="D1667">
        <v>211</v>
      </c>
      <c r="F1667" t="s">
        <v>7</v>
      </c>
      <c r="G1667" t="s">
        <v>3071</v>
      </c>
      <c r="H1667" t="s">
        <v>17514</v>
      </c>
      <c r="I1667">
        <v>480</v>
      </c>
    </row>
    <row r="1668" spans="1:9" x14ac:dyDescent="0.25">
      <c r="A1668">
        <v>51325</v>
      </c>
      <c r="B1668" t="s">
        <v>1005</v>
      </c>
      <c r="C1668" t="s">
        <v>3059</v>
      </c>
      <c r="D1668">
        <v>26</v>
      </c>
      <c r="F1668" t="s">
        <v>7</v>
      </c>
      <c r="G1668" t="s">
        <v>3071</v>
      </c>
      <c r="H1668" t="s">
        <v>17514</v>
      </c>
      <c r="I1668">
        <v>480</v>
      </c>
    </row>
    <row r="1669" spans="1:9" x14ac:dyDescent="0.25">
      <c r="A1669">
        <v>51326</v>
      </c>
      <c r="B1669" t="s">
        <v>1006</v>
      </c>
      <c r="C1669" t="s">
        <v>3059</v>
      </c>
      <c r="D1669">
        <v>108</v>
      </c>
      <c r="F1669" t="s">
        <v>7</v>
      </c>
      <c r="G1669" t="s">
        <v>3071</v>
      </c>
      <c r="H1669" t="s">
        <v>17514</v>
      </c>
      <c r="I1669">
        <v>240</v>
      </c>
    </row>
    <row r="1670" spans="1:9" x14ac:dyDescent="0.25">
      <c r="A1670">
        <v>51327</v>
      </c>
      <c r="B1670" t="s">
        <v>1007</v>
      </c>
      <c r="C1670" t="s">
        <v>3059</v>
      </c>
      <c r="D1670">
        <v>12</v>
      </c>
      <c r="F1670" t="s">
        <v>7</v>
      </c>
      <c r="G1670" t="s">
        <v>3071</v>
      </c>
      <c r="H1670" t="s">
        <v>17514</v>
      </c>
      <c r="I1670">
        <v>120</v>
      </c>
    </row>
    <row r="1671" spans="1:9" x14ac:dyDescent="0.25">
      <c r="A1671">
        <v>51328</v>
      </c>
      <c r="B1671" t="s">
        <v>1008</v>
      </c>
      <c r="C1671" t="s">
        <v>3059</v>
      </c>
      <c r="D1671">
        <v>152</v>
      </c>
      <c r="F1671" t="s">
        <v>7</v>
      </c>
      <c r="G1671" t="s">
        <v>3071</v>
      </c>
      <c r="H1671" t="s">
        <v>17514</v>
      </c>
      <c r="I1671">
        <v>120</v>
      </c>
    </row>
    <row r="1672" spans="1:9" x14ac:dyDescent="0.25">
      <c r="A1672">
        <v>51377</v>
      </c>
      <c r="B1672" t="s">
        <v>16094</v>
      </c>
      <c r="C1672" t="s">
        <v>3059</v>
      </c>
      <c r="D1672">
        <v>54</v>
      </c>
      <c r="F1672" t="s">
        <v>7</v>
      </c>
      <c r="G1672" t="s">
        <v>3070</v>
      </c>
      <c r="H1672" t="s">
        <v>17514</v>
      </c>
      <c r="I1672">
        <v>20</v>
      </c>
    </row>
    <row r="1673" spans="1:9" x14ac:dyDescent="0.25">
      <c r="A1673">
        <v>51482</v>
      </c>
      <c r="B1673" t="s">
        <v>1110</v>
      </c>
      <c r="C1673" t="s">
        <v>3059</v>
      </c>
      <c r="D1673">
        <v>48</v>
      </c>
      <c r="F1673" t="s">
        <v>7</v>
      </c>
      <c r="G1673" t="s">
        <v>3071</v>
      </c>
      <c r="H1673" t="s">
        <v>17514</v>
      </c>
      <c r="I1673">
        <v>20</v>
      </c>
    </row>
    <row r="1674" spans="1:9" x14ac:dyDescent="0.25">
      <c r="A1674">
        <v>51835</v>
      </c>
      <c r="B1674" t="s">
        <v>1297</v>
      </c>
      <c r="C1674" t="s">
        <v>3059</v>
      </c>
      <c r="D1674">
        <v>10</v>
      </c>
      <c r="F1674" t="s">
        <v>7</v>
      </c>
      <c r="G1674" t="s">
        <v>3070</v>
      </c>
      <c r="H1674" t="s">
        <v>17514</v>
      </c>
      <c r="I1674">
        <v>76</v>
      </c>
    </row>
    <row r="1675" spans="1:9" x14ac:dyDescent="0.25">
      <c r="A1675">
        <v>5207</v>
      </c>
      <c r="B1675" t="s">
        <v>1480</v>
      </c>
      <c r="C1675" t="s">
        <v>3059</v>
      </c>
      <c r="D1675">
        <v>9</v>
      </c>
      <c r="F1675" t="s">
        <v>7</v>
      </c>
      <c r="G1675" t="s">
        <v>3103</v>
      </c>
      <c r="H1675" t="s">
        <v>17514</v>
      </c>
      <c r="I1675">
        <v>14</v>
      </c>
    </row>
    <row r="1676" spans="1:9" x14ac:dyDescent="0.25">
      <c r="A1676">
        <v>5208</v>
      </c>
      <c r="B1676" t="s">
        <v>1491</v>
      </c>
      <c r="C1676" t="s">
        <v>3059</v>
      </c>
      <c r="D1676">
        <v>12</v>
      </c>
      <c r="F1676" t="s">
        <v>7</v>
      </c>
      <c r="G1676" t="s">
        <v>3103</v>
      </c>
      <c r="H1676" t="s">
        <v>17514</v>
      </c>
      <c r="I1676">
        <v>100</v>
      </c>
    </row>
    <row r="1677" spans="1:9" x14ac:dyDescent="0.25">
      <c r="A1677">
        <v>52093</v>
      </c>
      <c r="B1677" t="s">
        <v>1505</v>
      </c>
      <c r="C1677" t="s">
        <v>3059</v>
      </c>
      <c r="D1677">
        <v>13</v>
      </c>
      <c r="F1677" t="s">
        <v>7</v>
      </c>
      <c r="G1677" t="s">
        <v>3071</v>
      </c>
      <c r="H1677" t="s">
        <v>17514</v>
      </c>
      <c r="I1677">
        <v>5</v>
      </c>
    </row>
    <row r="1678" spans="1:9" x14ac:dyDescent="0.25">
      <c r="A1678">
        <v>52094</v>
      </c>
      <c r="B1678" t="s">
        <v>1506</v>
      </c>
      <c r="C1678" t="s">
        <v>3059</v>
      </c>
      <c r="D1678">
        <v>10</v>
      </c>
      <c r="F1678" t="s">
        <v>7</v>
      </c>
      <c r="G1678" t="s">
        <v>3071</v>
      </c>
      <c r="H1678" t="s">
        <v>17514</v>
      </c>
      <c r="I1678">
        <v>5</v>
      </c>
    </row>
    <row r="1679" spans="1:9" x14ac:dyDescent="0.25">
      <c r="A1679">
        <v>52494</v>
      </c>
      <c r="B1679" t="s">
        <v>1898</v>
      </c>
      <c r="C1679" t="s">
        <v>3059</v>
      </c>
      <c r="D1679">
        <v>18</v>
      </c>
      <c r="F1679" t="s">
        <v>7</v>
      </c>
      <c r="G1679" t="s">
        <v>3073</v>
      </c>
      <c r="H1679" t="s">
        <v>17514</v>
      </c>
      <c r="I1679">
        <v>40</v>
      </c>
    </row>
    <row r="1680" spans="1:9" x14ac:dyDescent="0.25">
      <c r="A1680">
        <v>52495</v>
      </c>
      <c r="B1680" t="s">
        <v>1899</v>
      </c>
      <c r="C1680" t="s">
        <v>3059</v>
      </c>
      <c r="D1680">
        <v>22</v>
      </c>
      <c r="F1680" t="s">
        <v>7</v>
      </c>
      <c r="G1680" t="s">
        <v>3073</v>
      </c>
      <c r="H1680" t="s">
        <v>17514</v>
      </c>
      <c r="I1680">
        <v>40</v>
      </c>
    </row>
    <row r="1681" spans="1:9" x14ac:dyDescent="0.25">
      <c r="A1681">
        <v>52496</v>
      </c>
      <c r="B1681" t="s">
        <v>1900</v>
      </c>
      <c r="C1681" t="s">
        <v>3059</v>
      </c>
      <c r="D1681">
        <v>10</v>
      </c>
      <c r="F1681" t="s">
        <v>7</v>
      </c>
      <c r="G1681" t="s">
        <v>3073</v>
      </c>
      <c r="H1681" t="s">
        <v>17514</v>
      </c>
      <c r="I1681">
        <v>40</v>
      </c>
    </row>
    <row r="1682" spans="1:9" x14ac:dyDescent="0.25">
      <c r="A1682">
        <v>7452</v>
      </c>
      <c r="B1682" t="s">
        <v>2232</v>
      </c>
      <c r="C1682" t="s">
        <v>3059</v>
      </c>
      <c r="D1682">
        <v>4</v>
      </c>
      <c r="F1682" t="s">
        <v>7</v>
      </c>
      <c r="G1682" t="s">
        <v>3103</v>
      </c>
      <c r="H1682" t="s">
        <v>17514</v>
      </c>
      <c r="I1682">
        <v>90</v>
      </c>
    </row>
    <row r="1683" spans="1:9" x14ac:dyDescent="0.25">
      <c r="A1683">
        <v>7880</v>
      </c>
      <c r="B1683" t="s">
        <v>2317</v>
      </c>
      <c r="C1683" t="s">
        <v>3059</v>
      </c>
      <c r="D1683">
        <v>29</v>
      </c>
      <c r="F1683" t="s">
        <v>7</v>
      </c>
      <c r="G1683" t="s">
        <v>3062</v>
      </c>
      <c r="H1683" t="s">
        <v>17514</v>
      </c>
      <c r="I1683">
        <v>50</v>
      </c>
    </row>
    <row r="1684" spans="1:9" x14ac:dyDescent="0.25">
      <c r="A1684">
        <v>8147</v>
      </c>
      <c r="B1684" t="s">
        <v>3209</v>
      </c>
      <c r="C1684" t="s">
        <v>3059</v>
      </c>
      <c r="D1684">
        <v>20</v>
      </c>
      <c r="F1684" t="s">
        <v>7</v>
      </c>
      <c r="G1684" t="s">
        <v>3062</v>
      </c>
      <c r="H1684" t="s">
        <v>17514</v>
      </c>
      <c r="I1684">
        <v>6</v>
      </c>
    </row>
    <row r="1685" spans="1:9" x14ac:dyDescent="0.25">
      <c r="A1685">
        <v>8151</v>
      </c>
      <c r="B1685" t="s">
        <v>2391</v>
      </c>
      <c r="C1685" t="s">
        <v>3059</v>
      </c>
      <c r="D1685">
        <v>20</v>
      </c>
      <c r="F1685" t="s">
        <v>7</v>
      </c>
      <c r="G1685" t="s">
        <v>3073</v>
      </c>
      <c r="H1685" t="s">
        <v>17514</v>
      </c>
      <c r="I1685">
        <v>40</v>
      </c>
    </row>
    <row r="1686" spans="1:9" x14ac:dyDescent="0.25">
      <c r="A1686">
        <v>8162</v>
      </c>
      <c r="B1686" t="s">
        <v>2395</v>
      </c>
      <c r="C1686" t="s">
        <v>3059</v>
      </c>
      <c r="D1686">
        <v>15</v>
      </c>
      <c r="F1686" t="s">
        <v>7</v>
      </c>
      <c r="G1686" t="s">
        <v>3073</v>
      </c>
      <c r="H1686" t="s">
        <v>17514</v>
      </c>
      <c r="I1686">
        <v>100</v>
      </c>
    </row>
    <row r="1687" spans="1:9" x14ac:dyDescent="0.25">
      <c r="A1687">
        <v>8173</v>
      </c>
      <c r="B1687" t="s">
        <v>2400</v>
      </c>
      <c r="C1687" t="s">
        <v>3059</v>
      </c>
      <c r="D1687">
        <v>81</v>
      </c>
      <c r="F1687" t="s">
        <v>7</v>
      </c>
      <c r="G1687" t="s">
        <v>3073</v>
      </c>
      <c r="H1687" t="s">
        <v>17514</v>
      </c>
      <c r="I1687">
        <v>100</v>
      </c>
    </row>
    <row r="1688" spans="1:9" x14ac:dyDescent="0.25">
      <c r="A1688">
        <v>8187</v>
      </c>
      <c r="B1688" t="s">
        <v>2410</v>
      </c>
      <c r="C1688" t="s">
        <v>3059</v>
      </c>
      <c r="D1688">
        <v>29</v>
      </c>
      <c r="F1688" t="s">
        <v>7</v>
      </c>
      <c r="G1688" t="s">
        <v>3073</v>
      </c>
      <c r="H1688" t="s">
        <v>17514</v>
      </c>
      <c r="I1688">
        <v>250</v>
      </c>
    </row>
    <row r="1689" spans="1:9" x14ac:dyDescent="0.25">
      <c r="A1689">
        <v>8560</v>
      </c>
      <c r="B1689" t="s">
        <v>2456</v>
      </c>
      <c r="C1689" t="s">
        <v>3059</v>
      </c>
      <c r="D1689">
        <v>22</v>
      </c>
      <c r="F1689" t="s">
        <v>7</v>
      </c>
      <c r="G1689" t="s">
        <v>3073</v>
      </c>
      <c r="H1689" t="s">
        <v>17514</v>
      </c>
      <c r="I1689">
        <v>40</v>
      </c>
    </row>
    <row r="1690" spans="1:9" x14ac:dyDescent="0.25">
      <c r="A1690">
        <v>8918</v>
      </c>
      <c r="B1690" t="s">
        <v>2605</v>
      </c>
      <c r="C1690" t="s">
        <v>3059</v>
      </c>
      <c r="D1690">
        <v>20</v>
      </c>
      <c r="F1690" t="s">
        <v>3085</v>
      </c>
      <c r="G1690" t="s">
        <v>3071</v>
      </c>
      <c r="H1690" t="s">
        <v>17514</v>
      </c>
      <c r="I1690">
        <v>4</v>
      </c>
    </row>
    <row r="1691" spans="1:9" x14ac:dyDescent="0.25">
      <c r="A1691">
        <v>8940</v>
      </c>
      <c r="B1691" t="s">
        <v>2616</v>
      </c>
      <c r="C1691" t="s">
        <v>3059</v>
      </c>
      <c r="D1691">
        <v>1</v>
      </c>
      <c r="F1691" t="s">
        <v>7</v>
      </c>
      <c r="G1691" t="s">
        <v>3071</v>
      </c>
      <c r="H1691" t="s">
        <v>17514</v>
      </c>
      <c r="I1691">
        <v>90</v>
      </c>
    </row>
    <row r="1692" spans="1:9" x14ac:dyDescent="0.25">
      <c r="A1692">
        <v>8968</v>
      </c>
      <c r="B1692" t="s">
        <v>2619</v>
      </c>
      <c r="C1692" t="s">
        <v>3059</v>
      </c>
      <c r="D1692">
        <v>60</v>
      </c>
      <c r="F1692" t="s">
        <v>7</v>
      </c>
      <c r="G1692" t="s">
        <v>3070</v>
      </c>
      <c r="H1692" t="s">
        <v>17514</v>
      </c>
      <c r="I1692">
        <v>100</v>
      </c>
    </row>
    <row r="1693" spans="1:9" x14ac:dyDescent="0.25">
      <c r="A1693">
        <v>8983</v>
      </c>
      <c r="B1693" t="s">
        <v>2625</v>
      </c>
      <c r="C1693" t="s">
        <v>3059</v>
      </c>
      <c r="D1693">
        <v>49</v>
      </c>
      <c r="F1693" t="s">
        <v>7</v>
      </c>
      <c r="G1693" t="s">
        <v>3071</v>
      </c>
      <c r="H1693" t="s">
        <v>17514</v>
      </c>
      <c r="I1693">
        <v>24</v>
      </c>
    </row>
    <row r="1694" spans="1:9" x14ac:dyDescent="0.25">
      <c r="A1694">
        <v>9209</v>
      </c>
      <c r="B1694" t="s">
        <v>2705</v>
      </c>
      <c r="C1694" t="s">
        <v>3059</v>
      </c>
      <c r="D1694">
        <v>23</v>
      </c>
      <c r="F1694" t="s">
        <v>7</v>
      </c>
      <c r="G1694" t="s">
        <v>3073</v>
      </c>
      <c r="H1694" t="s">
        <v>17514</v>
      </c>
      <c r="I1694">
        <v>40</v>
      </c>
    </row>
    <row r="1695" spans="1:9" x14ac:dyDescent="0.25">
      <c r="A1695">
        <v>9213</v>
      </c>
      <c r="B1695" t="s">
        <v>2709</v>
      </c>
      <c r="C1695" t="s">
        <v>3059</v>
      </c>
      <c r="D1695">
        <v>29</v>
      </c>
      <c r="F1695" t="s">
        <v>7</v>
      </c>
      <c r="G1695" t="s">
        <v>3073</v>
      </c>
      <c r="H1695" t="s">
        <v>17514</v>
      </c>
      <c r="I1695">
        <v>114</v>
      </c>
    </row>
    <row r="1696" spans="1:9" x14ac:dyDescent="0.25">
      <c r="A1696">
        <v>9219</v>
      </c>
      <c r="B1696" t="s">
        <v>2715</v>
      </c>
      <c r="C1696" t="s">
        <v>3059</v>
      </c>
      <c r="D1696">
        <v>22</v>
      </c>
      <c r="F1696" t="s">
        <v>7</v>
      </c>
      <c r="G1696" t="s">
        <v>3073</v>
      </c>
      <c r="H1696" t="s">
        <v>17514</v>
      </c>
      <c r="I1696">
        <v>185</v>
      </c>
    </row>
    <row r="1697" spans="1:9" x14ac:dyDescent="0.25">
      <c r="A1697">
        <v>9220</v>
      </c>
      <c r="B1697" t="s">
        <v>2716</v>
      </c>
      <c r="C1697" t="s">
        <v>3059</v>
      </c>
      <c r="D1697">
        <v>141</v>
      </c>
      <c r="F1697" t="s">
        <v>7</v>
      </c>
      <c r="G1697" t="s">
        <v>3073</v>
      </c>
      <c r="H1697" t="s">
        <v>17514</v>
      </c>
      <c r="I1697">
        <v>200</v>
      </c>
    </row>
    <row r="1698" spans="1:9" x14ac:dyDescent="0.25">
      <c r="A1698">
        <v>9221</v>
      </c>
      <c r="B1698" t="s">
        <v>2717</v>
      </c>
      <c r="C1698" t="s">
        <v>3059</v>
      </c>
      <c r="D1698">
        <v>47</v>
      </c>
      <c r="F1698" t="s">
        <v>7</v>
      </c>
      <c r="G1698" t="s">
        <v>3073</v>
      </c>
      <c r="H1698" t="s">
        <v>17514</v>
      </c>
      <c r="I1698">
        <v>30</v>
      </c>
    </row>
    <row r="1699" spans="1:9" x14ac:dyDescent="0.25">
      <c r="A1699">
        <v>9228</v>
      </c>
      <c r="B1699" t="s">
        <v>2724</v>
      </c>
      <c r="C1699" t="s">
        <v>3059</v>
      </c>
      <c r="D1699">
        <v>18</v>
      </c>
      <c r="F1699" t="s">
        <v>7</v>
      </c>
      <c r="G1699" t="s">
        <v>3073</v>
      </c>
      <c r="H1699" t="s">
        <v>17514</v>
      </c>
      <c r="I1699">
        <v>40</v>
      </c>
    </row>
    <row r="1700" spans="1:9" x14ac:dyDescent="0.25">
      <c r="A1700">
        <v>9304</v>
      </c>
      <c r="B1700" t="s">
        <v>2756</v>
      </c>
      <c r="C1700" t="s">
        <v>3059</v>
      </c>
      <c r="D1700">
        <v>1</v>
      </c>
      <c r="F1700" t="s">
        <v>7</v>
      </c>
      <c r="G1700" t="s">
        <v>3070</v>
      </c>
      <c r="H1700" t="s">
        <v>17514</v>
      </c>
      <c r="I1700">
        <v>5</v>
      </c>
    </row>
    <row r="1701" spans="1:9" x14ac:dyDescent="0.25">
      <c r="A1701">
        <v>9361</v>
      </c>
      <c r="B1701" t="s">
        <v>2790</v>
      </c>
      <c r="C1701" t="s">
        <v>3059</v>
      </c>
      <c r="D1701">
        <v>18</v>
      </c>
      <c r="F1701" t="s">
        <v>7</v>
      </c>
      <c r="G1701" t="s">
        <v>3073</v>
      </c>
      <c r="H1701" t="s">
        <v>17514</v>
      </c>
      <c r="I1701">
        <v>20</v>
      </c>
    </row>
    <row r="1702" spans="1:9" x14ac:dyDescent="0.25">
      <c r="A1702">
        <v>9396</v>
      </c>
      <c r="B1702" t="s">
        <v>2821</v>
      </c>
      <c r="C1702" t="s">
        <v>3059</v>
      </c>
      <c r="D1702">
        <v>7</v>
      </c>
      <c r="F1702" t="s">
        <v>7</v>
      </c>
      <c r="G1702" t="s">
        <v>3073</v>
      </c>
      <c r="H1702" t="s">
        <v>17514</v>
      </c>
      <c r="I1702">
        <v>100</v>
      </c>
    </row>
    <row r="1703" spans="1:9" x14ac:dyDescent="0.25">
      <c r="A1703">
        <v>9397</v>
      </c>
      <c r="B1703" t="s">
        <v>2822</v>
      </c>
      <c r="C1703" t="s">
        <v>3059</v>
      </c>
      <c r="D1703">
        <v>37</v>
      </c>
      <c r="F1703" t="s">
        <v>7</v>
      </c>
      <c r="G1703" t="s">
        <v>3073</v>
      </c>
      <c r="H1703" t="s">
        <v>17514</v>
      </c>
      <c r="I1703">
        <v>100</v>
      </c>
    </row>
    <row r="1704" spans="1:9" x14ac:dyDescent="0.25">
      <c r="A1704">
        <v>9399</v>
      </c>
      <c r="B1704" t="s">
        <v>2823</v>
      </c>
      <c r="C1704" t="s">
        <v>3059</v>
      </c>
      <c r="D1704">
        <v>31</v>
      </c>
      <c r="F1704" t="s">
        <v>7</v>
      </c>
      <c r="G1704" t="s">
        <v>3073</v>
      </c>
      <c r="H1704" t="s">
        <v>17514</v>
      </c>
      <c r="I1704">
        <v>100</v>
      </c>
    </row>
    <row r="1705" spans="1:9" x14ac:dyDescent="0.25">
      <c r="A1705">
        <v>9874</v>
      </c>
      <c r="B1705" t="s">
        <v>2979</v>
      </c>
      <c r="C1705" t="s">
        <v>3059</v>
      </c>
      <c r="D1705">
        <v>77</v>
      </c>
      <c r="F1705" t="s">
        <v>7</v>
      </c>
      <c r="G1705" t="s">
        <v>3071</v>
      </c>
      <c r="H1705" t="s">
        <v>17514</v>
      </c>
      <c r="I1705">
        <v>42</v>
      </c>
    </row>
    <row r="1706" spans="1:9" x14ac:dyDescent="0.25">
      <c r="A1706">
        <v>10153</v>
      </c>
      <c r="B1706" t="s">
        <v>145</v>
      </c>
      <c r="C1706" t="s">
        <v>3059</v>
      </c>
      <c r="D1706">
        <v>15</v>
      </c>
      <c r="F1706" t="s">
        <v>7</v>
      </c>
      <c r="G1706" t="s">
        <v>3074</v>
      </c>
      <c r="H1706" t="s">
        <v>17518</v>
      </c>
      <c r="I1706">
        <v>24</v>
      </c>
    </row>
    <row r="1707" spans="1:9" x14ac:dyDescent="0.25">
      <c r="A1707">
        <v>10175</v>
      </c>
      <c r="B1707" t="s">
        <v>166</v>
      </c>
      <c r="C1707" t="s">
        <v>3059</v>
      </c>
      <c r="D1707">
        <v>12</v>
      </c>
      <c r="F1707" t="s">
        <v>7</v>
      </c>
      <c r="G1707" t="s">
        <v>3074</v>
      </c>
      <c r="H1707" t="s">
        <v>17518</v>
      </c>
      <c r="I1707">
        <v>24</v>
      </c>
    </row>
    <row r="1708" spans="1:9" x14ac:dyDescent="0.25">
      <c r="A1708">
        <v>10181</v>
      </c>
      <c r="B1708" t="s">
        <v>172</v>
      </c>
      <c r="C1708" t="s">
        <v>3059</v>
      </c>
      <c r="D1708">
        <v>4</v>
      </c>
      <c r="F1708" t="s">
        <v>7</v>
      </c>
      <c r="G1708" t="s">
        <v>3074</v>
      </c>
      <c r="H1708" t="s">
        <v>17518</v>
      </c>
      <c r="I1708">
        <v>6</v>
      </c>
    </row>
    <row r="1709" spans="1:9" x14ac:dyDescent="0.25">
      <c r="A1709">
        <v>10187</v>
      </c>
      <c r="B1709" t="s">
        <v>178</v>
      </c>
      <c r="C1709" t="s">
        <v>3059</v>
      </c>
      <c r="D1709">
        <v>54</v>
      </c>
      <c r="F1709" t="s">
        <v>7</v>
      </c>
      <c r="G1709" t="s">
        <v>3074</v>
      </c>
      <c r="H1709" t="s">
        <v>17518</v>
      </c>
      <c r="I1709">
        <v>2</v>
      </c>
    </row>
    <row r="1710" spans="1:9" x14ac:dyDescent="0.25">
      <c r="A1710">
        <v>10306</v>
      </c>
      <c r="B1710" t="s">
        <v>291</v>
      </c>
      <c r="C1710" t="s">
        <v>3059</v>
      </c>
      <c r="D1710">
        <v>30</v>
      </c>
      <c r="F1710" t="s">
        <v>7</v>
      </c>
      <c r="G1710" t="s">
        <v>3074</v>
      </c>
      <c r="H1710" t="s">
        <v>17518</v>
      </c>
      <c r="I1710">
        <v>24</v>
      </c>
    </row>
    <row r="1711" spans="1:9" x14ac:dyDescent="0.25">
      <c r="A1711">
        <v>10313</v>
      </c>
      <c r="B1711" t="s">
        <v>298</v>
      </c>
      <c r="C1711" t="s">
        <v>3059</v>
      </c>
      <c r="D1711">
        <v>36</v>
      </c>
      <c r="F1711" t="s">
        <v>7</v>
      </c>
      <c r="G1711" t="s">
        <v>3074</v>
      </c>
      <c r="H1711" t="s">
        <v>17518</v>
      </c>
      <c r="I1711">
        <v>12</v>
      </c>
    </row>
    <row r="1712" spans="1:9" x14ac:dyDescent="0.25">
      <c r="A1712">
        <v>10493</v>
      </c>
      <c r="B1712" t="s">
        <v>450</v>
      </c>
      <c r="C1712" t="s">
        <v>3059</v>
      </c>
      <c r="D1712">
        <v>19</v>
      </c>
      <c r="F1712" t="s">
        <v>7</v>
      </c>
      <c r="G1712" t="s">
        <v>3074</v>
      </c>
      <c r="H1712" t="s">
        <v>17518</v>
      </c>
      <c r="I1712">
        <v>12</v>
      </c>
    </row>
    <row r="1713" spans="1:9" x14ac:dyDescent="0.25">
      <c r="A1713">
        <v>10495</v>
      </c>
      <c r="B1713" t="s">
        <v>3096</v>
      </c>
      <c r="C1713" t="s">
        <v>3059</v>
      </c>
      <c r="D1713">
        <v>2</v>
      </c>
      <c r="F1713" t="s">
        <v>7</v>
      </c>
      <c r="G1713" t="s">
        <v>3074</v>
      </c>
      <c r="H1713" t="s">
        <v>17518</v>
      </c>
      <c r="I1713">
        <v>10</v>
      </c>
    </row>
    <row r="1714" spans="1:9" x14ac:dyDescent="0.25">
      <c r="A1714">
        <v>52365</v>
      </c>
      <c r="B1714" t="s">
        <v>1768</v>
      </c>
      <c r="C1714" t="s">
        <v>3059</v>
      </c>
      <c r="D1714">
        <v>16</v>
      </c>
      <c r="F1714" t="s">
        <v>7</v>
      </c>
      <c r="G1714" t="s">
        <v>3074</v>
      </c>
      <c r="H1714" t="s">
        <v>17518</v>
      </c>
      <c r="I1714">
        <v>24</v>
      </c>
    </row>
    <row r="1715" spans="1:9" x14ac:dyDescent="0.25">
      <c r="A1715">
        <v>8188</v>
      </c>
      <c r="B1715" t="s">
        <v>2411</v>
      </c>
      <c r="C1715" t="s">
        <v>3059</v>
      </c>
      <c r="D1715">
        <v>29</v>
      </c>
      <c r="F1715" t="s">
        <v>7</v>
      </c>
      <c r="G1715" t="s">
        <v>3073</v>
      </c>
      <c r="H1715" t="s">
        <v>17518</v>
      </c>
      <c r="I1715">
        <v>5</v>
      </c>
    </row>
    <row r="1716" spans="1:9" x14ac:dyDescent="0.25">
      <c r="A1716">
        <v>9916</v>
      </c>
      <c r="B1716" t="s">
        <v>2998</v>
      </c>
      <c r="C1716" t="s">
        <v>3059</v>
      </c>
      <c r="D1716">
        <v>56</v>
      </c>
      <c r="F1716" t="s">
        <v>7</v>
      </c>
      <c r="G1716" t="s">
        <v>3101</v>
      </c>
      <c r="H1716" t="s">
        <v>17518</v>
      </c>
      <c r="I1716">
        <v>60</v>
      </c>
    </row>
    <row r="1717" spans="1:9" x14ac:dyDescent="0.25">
      <c r="A1717">
        <v>10233</v>
      </c>
      <c r="B1717" t="s">
        <v>222</v>
      </c>
      <c r="C1717" t="s">
        <v>3059</v>
      </c>
      <c r="D1717">
        <v>36</v>
      </c>
      <c r="F1717" t="s">
        <v>7</v>
      </c>
      <c r="G1717" t="s">
        <v>3074</v>
      </c>
      <c r="H1717" t="s">
        <v>17519</v>
      </c>
      <c r="I1717">
        <v>12</v>
      </c>
    </row>
    <row r="1718" spans="1:9" x14ac:dyDescent="0.25">
      <c r="A1718">
        <v>5340</v>
      </c>
      <c r="B1718" t="s">
        <v>2026</v>
      </c>
      <c r="C1718" t="s">
        <v>3059</v>
      </c>
      <c r="D1718">
        <v>2</v>
      </c>
      <c r="F1718" t="s">
        <v>7</v>
      </c>
      <c r="G1718" t="s">
        <v>3064</v>
      </c>
      <c r="H1718" t="s">
        <v>17519</v>
      </c>
      <c r="I1718">
        <v>140</v>
      </c>
    </row>
    <row r="1719" spans="1:9" x14ac:dyDescent="0.25">
      <c r="A1719">
        <v>5341</v>
      </c>
      <c r="B1719" t="s">
        <v>2027</v>
      </c>
      <c r="C1719" t="s">
        <v>3059</v>
      </c>
      <c r="D1719">
        <v>1</v>
      </c>
      <c r="F1719" t="s">
        <v>7</v>
      </c>
      <c r="G1719" t="s">
        <v>3064</v>
      </c>
      <c r="H1719" t="s">
        <v>17519</v>
      </c>
      <c r="I1719">
        <v>24</v>
      </c>
    </row>
    <row r="1720" spans="1:9" x14ac:dyDescent="0.25">
      <c r="A1720">
        <v>10362</v>
      </c>
      <c r="B1720" t="s">
        <v>16099</v>
      </c>
      <c r="C1720" t="s">
        <v>3059</v>
      </c>
      <c r="D1720">
        <v>30</v>
      </c>
      <c r="F1720" t="s">
        <v>7</v>
      </c>
      <c r="G1720" t="s">
        <v>3070</v>
      </c>
    </row>
    <row r="1721" spans="1:9" x14ac:dyDescent="0.25">
      <c r="A1721">
        <v>10419</v>
      </c>
      <c r="B1721" t="s">
        <v>383</v>
      </c>
      <c r="C1721" t="s">
        <v>3059</v>
      </c>
      <c r="D1721">
        <v>5</v>
      </c>
      <c r="F1721" t="s">
        <v>7</v>
      </c>
      <c r="G1721" t="s">
        <v>3070</v>
      </c>
    </row>
    <row r="1722" spans="1:9" x14ac:dyDescent="0.25">
      <c r="A1722">
        <v>10745</v>
      </c>
      <c r="B1722" t="s">
        <v>16100</v>
      </c>
      <c r="C1722" t="s">
        <v>3059</v>
      </c>
      <c r="D1722">
        <v>7</v>
      </c>
      <c r="F1722" t="s">
        <v>7</v>
      </c>
      <c r="G1722" t="s">
        <v>3070</v>
      </c>
    </row>
    <row r="1723" spans="1:9" x14ac:dyDescent="0.25">
      <c r="A1723">
        <v>51356</v>
      </c>
      <c r="B1723" t="s">
        <v>17523</v>
      </c>
      <c r="C1723" t="s">
        <v>3059</v>
      </c>
      <c r="D1723">
        <v>10</v>
      </c>
      <c r="F1723" t="s">
        <v>7</v>
      </c>
      <c r="G1723" t="s">
        <v>3070</v>
      </c>
    </row>
    <row r="1724" spans="1:9" x14ac:dyDescent="0.25">
      <c r="A1724">
        <v>51376</v>
      </c>
      <c r="B1724" t="s">
        <v>16101</v>
      </c>
      <c r="C1724" t="s">
        <v>3059</v>
      </c>
      <c r="D1724">
        <v>50</v>
      </c>
      <c r="F1724" t="s">
        <v>7</v>
      </c>
      <c r="G1724" t="s">
        <v>3070</v>
      </c>
      <c r="H1724" t="s">
        <v>17514</v>
      </c>
      <c r="I1724">
        <v>30</v>
      </c>
    </row>
    <row r="1725" spans="1:9" x14ac:dyDescent="0.25">
      <c r="A1725">
        <v>51384</v>
      </c>
      <c r="B1725" t="s">
        <v>16103</v>
      </c>
      <c r="C1725" t="s">
        <v>3059</v>
      </c>
      <c r="D1725">
        <v>100</v>
      </c>
      <c r="F1725" t="s">
        <v>7</v>
      </c>
      <c r="G1725" t="s">
        <v>3070</v>
      </c>
    </row>
    <row r="1726" spans="1:9" x14ac:dyDescent="0.25">
      <c r="A1726">
        <v>51400</v>
      </c>
      <c r="B1726" t="s">
        <v>17524</v>
      </c>
      <c r="C1726" t="s">
        <v>3059</v>
      </c>
      <c r="D1726">
        <v>10</v>
      </c>
      <c r="F1726" t="s">
        <v>7</v>
      </c>
      <c r="G1726" t="s">
        <v>3070</v>
      </c>
    </row>
    <row r="1727" spans="1:9" x14ac:dyDescent="0.25">
      <c r="A1727">
        <v>51828</v>
      </c>
      <c r="B1727" t="s">
        <v>1291</v>
      </c>
      <c r="C1727" t="s">
        <v>3059</v>
      </c>
      <c r="D1727">
        <v>10</v>
      </c>
      <c r="F1727" t="s">
        <v>7</v>
      </c>
      <c r="G1727" t="s">
        <v>3070</v>
      </c>
    </row>
    <row r="1728" spans="1:9" x14ac:dyDescent="0.25">
      <c r="A1728">
        <v>51831</v>
      </c>
      <c r="B1728" t="s">
        <v>16108</v>
      </c>
      <c r="C1728" t="s">
        <v>3059</v>
      </c>
      <c r="D1728">
        <v>9</v>
      </c>
      <c r="F1728" t="s">
        <v>7</v>
      </c>
      <c r="G1728" t="s">
        <v>3070</v>
      </c>
      <c r="H1728" t="s">
        <v>17514</v>
      </c>
      <c r="I1728">
        <v>2</v>
      </c>
    </row>
    <row r="1729" spans="1:9" x14ac:dyDescent="0.25">
      <c r="A1729">
        <v>51995</v>
      </c>
      <c r="B1729" t="s">
        <v>17525</v>
      </c>
      <c r="C1729" t="s">
        <v>3059</v>
      </c>
      <c r="D1729">
        <v>76</v>
      </c>
      <c r="F1729" t="s">
        <v>7</v>
      </c>
      <c r="G1729" t="s">
        <v>3070</v>
      </c>
    </row>
    <row r="1730" spans="1:9" x14ac:dyDescent="0.25">
      <c r="A1730">
        <v>52884</v>
      </c>
      <c r="B1730" t="s">
        <v>17526</v>
      </c>
      <c r="C1730" t="s">
        <v>3059</v>
      </c>
      <c r="D1730">
        <v>10</v>
      </c>
      <c r="F1730" t="s">
        <v>7</v>
      </c>
      <c r="G1730" t="s">
        <v>3070</v>
      </c>
    </row>
    <row r="1731" spans="1:9" x14ac:dyDescent="0.25">
      <c r="A1731">
        <v>52891</v>
      </c>
      <c r="B1731" t="s">
        <v>17527</v>
      </c>
      <c r="C1731" t="s">
        <v>3059</v>
      </c>
      <c r="D1731">
        <v>5</v>
      </c>
      <c r="F1731" t="s">
        <v>7</v>
      </c>
      <c r="G1731" t="s">
        <v>3070</v>
      </c>
    </row>
    <row r="1732" spans="1:9" x14ac:dyDescent="0.25">
      <c r="A1732">
        <v>52893</v>
      </c>
      <c r="B1732" t="s">
        <v>17528</v>
      </c>
      <c r="C1732" t="s">
        <v>3059</v>
      </c>
      <c r="D1732">
        <v>3</v>
      </c>
      <c r="F1732" t="s">
        <v>7</v>
      </c>
      <c r="G1732" t="s">
        <v>3070</v>
      </c>
    </row>
    <row r="1733" spans="1:9" x14ac:dyDescent="0.25">
      <c r="A1733">
        <v>52899</v>
      </c>
      <c r="B1733" t="s">
        <v>17529</v>
      </c>
      <c r="C1733" t="s">
        <v>3059</v>
      </c>
      <c r="D1733">
        <v>100</v>
      </c>
      <c r="F1733" t="s">
        <v>7</v>
      </c>
      <c r="G1733" t="s">
        <v>3070</v>
      </c>
    </row>
    <row r="1734" spans="1:9" x14ac:dyDescent="0.25">
      <c r="A1734">
        <v>52900</v>
      </c>
      <c r="B1734" t="s">
        <v>17530</v>
      </c>
      <c r="C1734" t="s">
        <v>3059</v>
      </c>
      <c r="D1734">
        <v>120</v>
      </c>
      <c r="F1734" t="s">
        <v>7</v>
      </c>
      <c r="G1734" t="s">
        <v>3070</v>
      </c>
    </row>
    <row r="1735" spans="1:9" x14ac:dyDescent="0.25">
      <c r="A1735">
        <v>52945</v>
      </c>
      <c r="B1735" t="s">
        <v>16613</v>
      </c>
      <c r="C1735" t="s">
        <v>3059</v>
      </c>
      <c r="D1735">
        <v>29</v>
      </c>
      <c r="F1735" t="s">
        <v>7</v>
      </c>
      <c r="G1735" t="s">
        <v>3062</v>
      </c>
      <c r="H1735" t="s">
        <v>17514</v>
      </c>
      <c r="I1735">
        <v>29</v>
      </c>
    </row>
    <row r="1736" spans="1:9" x14ac:dyDescent="0.25">
      <c r="A1736">
        <v>52949</v>
      </c>
      <c r="B1736" t="s">
        <v>16617</v>
      </c>
      <c r="C1736" t="s">
        <v>3059</v>
      </c>
      <c r="D1736">
        <v>12</v>
      </c>
      <c r="F1736" t="s">
        <v>7</v>
      </c>
      <c r="G1736" t="s">
        <v>3062</v>
      </c>
    </row>
    <row r="1737" spans="1:9" x14ac:dyDescent="0.25">
      <c r="A1737">
        <v>52950</v>
      </c>
      <c r="B1737" t="s">
        <v>16618</v>
      </c>
      <c r="C1737" t="s">
        <v>3059</v>
      </c>
      <c r="D1737">
        <v>12</v>
      </c>
      <c r="F1737" t="s">
        <v>7</v>
      </c>
      <c r="G1737" t="s">
        <v>3062</v>
      </c>
    </row>
    <row r="1738" spans="1:9" x14ac:dyDescent="0.25">
      <c r="A1738">
        <v>52951</v>
      </c>
      <c r="B1738" t="s">
        <v>16619</v>
      </c>
      <c r="C1738" t="s">
        <v>3059</v>
      </c>
      <c r="D1738">
        <v>21</v>
      </c>
      <c r="F1738" t="s">
        <v>7</v>
      </c>
      <c r="G1738" t="s">
        <v>3062</v>
      </c>
    </row>
    <row r="1739" spans="1:9" x14ac:dyDescent="0.25">
      <c r="A1739">
        <v>8175</v>
      </c>
      <c r="B1739" t="s">
        <v>2402</v>
      </c>
      <c r="C1739" t="s">
        <v>3059</v>
      </c>
      <c r="D1739">
        <v>52</v>
      </c>
      <c r="F1739" t="s">
        <v>7</v>
      </c>
      <c r="G1739" t="s">
        <v>3073</v>
      </c>
      <c r="H1739" t="s">
        <v>17514</v>
      </c>
      <c r="I1739">
        <v>156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0134E-249F-4BD0-9DB8-137DC7C53206}">
  <sheetPr codeName="Hoja7"/>
  <dimension ref="A1:G3847"/>
  <sheetViews>
    <sheetView workbookViewId="0">
      <selection activeCell="A2" sqref="A2:G1659"/>
    </sheetView>
  </sheetViews>
  <sheetFormatPr baseColWidth="10" defaultRowHeight="15" x14ac:dyDescent="0.25"/>
  <cols>
    <col min="2" max="2" width="36.140625" customWidth="1"/>
    <col min="3" max="3" width="17.140625" customWidth="1"/>
    <col min="4" max="4" width="26.7109375" customWidth="1"/>
    <col min="7" max="7" width="18.42578125" customWidth="1"/>
  </cols>
  <sheetData>
    <row r="1" spans="1:7" x14ac:dyDescent="0.25">
      <c r="A1" s="100" t="s">
        <v>0</v>
      </c>
      <c r="B1" s="101" t="s">
        <v>1</v>
      </c>
      <c r="C1" s="101" t="s">
        <v>2</v>
      </c>
      <c r="D1" s="101" t="s">
        <v>3</v>
      </c>
      <c r="E1" s="101" t="s">
        <v>4</v>
      </c>
      <c r="F1" s="101" t="s">
        <v>5</v>
      </c>
      <c r="G1" s="101" t="s">
        <v>6</v>
      </c>
    </row>
    <row r="2" spans="1:7" x14ac:dyDescent="0.25">
      <c r="A2">
        <v>10007</v>
      </c>
      <c r="B2" t="s">
        <v>28</v>
      </c>
      <c r="C2">
        <v>47</v>
      </c>
      <c r="D2" t="s">
        <v>3059</v>
      </c>
      <c r="E2">
        <v>135</v>
      </c>
      <c r="F2" t="s">
        <v>7</v>
      </c>
      <c r="G2" t="s">
        <v>3058</v>
      </c>
    </row>
    <row r="3" spans="1:7" x14ac:dyDescent="0.25">
      <c r="A3">
        <v>10009</v>
      </c>
      <c r="B3" t="s">
        <v>30</v>
      </c>
      <c r="C3">
        <v>47</v>
      </c>
      <c r="D3" t="s">
        <v>3059</v>
      </c>
      <c r="E3">
        <v>33</v>
      </c>
      <c r="F3" t="s">
        <v>7</v>
      </c>
      <c r="G3" t="s">
        <v>3058</v>
      </c>
    </row>
    <row r="4" spans="1:7" x14ac:dyDescent="0.25">
      <c r="A4">
        <v>10015</v>
      </c>
      <c r="B4" t="s">
        <v>36</v>
      </c>
      <c r="C4">
        <v>47</v>
      </c>
      <c r="D4" t="s">
        <v>3059</v>
      </c>
      <c r="E4">
        <v>20</v>
      </c>
      <c r="F4" t="s">
        <v>7</v>
      </c>
      <c r="G4" t="s">
        <v>3058</v>
      </c>
    </row>
    <row r="5" spans="1:7" x14ac:dyDescent="0.25">
      <c r="A5">
        <v>10016</v>
      </c>
      <c r="B5" t="s">
        <v>37</v>
      </c>
      <c r="C5">
        <v>47</v>
      </c>
      <c r="D5" t="s">
        <v>3059</v>
      </c>
      <c r="E5">
        <v>152</v>
      </c>
      <c r="F5" t="s">
        <v>7</v>
      </c>
      <c r="G5" t="s">
        <v>3058</v>
      </c>
    </row>
    <row r="6" spans="1:7" x14ac:dyDescent="0.25">
      <c r="A6">
        <v>10018</v>
      </c>
      <c r="B6" t="s">
        <v>38</v>
      </c>
      <c r="C6">
        <v>47</v>
      </c>
      <c r="D6" t="s">
        <v>3059</v>
      </c>
      <c r="E6">
        <v>19</v>
      </c>
      <c r="F6" t="s">
        <v>7</v>
      </c>
      <c r="G6" t="s">
        <v>3058</v>
      </c>
    </row>
    <row r="7" spans="1:7" x14ac:dyDescent="0.25">
      <c r="A7">
        <v>10023</v>
      </c>
      <c r="B7" t="s">
        <v>41</v>
      </c>
      <c r="C7">
        <v>47</v>
      </c>
      <c r="D7" t="s">
        <v>3059</v>
      </c>
      <c r="E7">
        <v>158</v>
      </c>
      <c r="F7" t="s">
        <v>7</v>
      </c>
      <c r="G7" t="s">
        <v>3058</v>
      </c>
    </row>
    <row r="8" spans="1:7" x14ac:dyDescent="0.25">
      <c r="A8">
        <v>10025</v>
      </c>
      <c r="B8" t="s">
        <v>42</v>
      </c>
      <c r="C8">
        <v>47</v>
      </c>
      <c r="D8" t="s">
        <v>3059</v>
      </c>
      <c r="E8">
        <v>117</v>
      </c>
      <c r="F8" t="s">
        <v>7</v>
      </c>
      <c r="G8" t="s">
        <v>3058</v>
      </c>
    </row>
    <row r="9" spans="1:7" x14ac:dyDescent="0.25">
      <c r="A9">
        <v>10033</v>
      </c>
      <c r="B9" t="s">
        <v>49</v>
      </c>
      <c r="C9">
        <v>47</v>
      </c>
      <c r="D9" t="s">
        <v>3059</v>
      </c>
      <c r="E9">
        <v>3</v>
      </c>
      <c r="F9" t="s">
        <v>7</v>
      </c>
      <c r="G9" t="s">
        <v>3058</v>
      </c>
    </row>
    <row r="10" spans="1:7" x14ac:dyDescent="0.25">
      <c r="A10">
        <v>10037</v>
      </c>
      <c r="B10" t="s">
        <v>52</v>
      </c>
      <c r="C10">
        <v>47</v>
      </c>
      <c r="D10" t="s">
        <v>3059</v>
      </c>
      <c r="E10">
        <v>5</v>
      </c>
      <c r="F10" t="s">
        <v>7</v>
      </c>
      <c r="G10" t="s">
        <v>3058</v>
      </c>
    </row>
    <row r="11" spans="1:7" x14ac:dyDescent="0.25">
      <c r="A11">
        <v>10038</v>
      </c>
      <c r="B11" t="s">
        <v>53</v>
      </c>
      <c r="C11">
        <v>47</v>
      </c>
      <c r="D11" t="s">
        <v>3059</v>
      </c>
      <c r="E11">
        <v>25</v>
      </c>
      <c r="F11" t="s">
        <v>7</v>
      </c>
      <c r="G11" t="s">
        <v>3058</v>
      </c>
    </row>
    <row r="12" spans="1:7" x14ac:dyDescent="0.25">
      <c r="A12">
        <v>10042</v>
      </c>
      <c r="B12" t="s">
        <v>54</v>
      </c>
      <c r="C12">
        <v>47</v>
      </c>
      <c r="D12" t="s">
        <v>3059</v>
      </c>
      <c r="E12">
        <v>8</v>
      </c>
      <c r="F12" t="s">
        <v>7</v>
      </c>
      <c r="G12" t="s">
        <v>3058</v>
      </c>
    </row>
    <row r="13" spans="1:7" x14ac:dyDescent="0.25">
      <c r="A13">
        <v>10047</v>
      </c>
      <c r="B13" t="s">
        <v>57</v>
      </c>
      <c r="C13">
        <v>47</v>
      </c>
      <c r="D13" t="s">
        <v>3059</v>
      </c>
      <c r="E13">
        <v>1</v>
      </c>
      <c r="F13" t="s">
        <v>7</v>
      </c>
      <c r="G13" t="s">
        <v>3064</v>
      </c>
    </row>
    <row r="14" spans="1:7" x14ac:dyDescent="0.25">
      <c r="A14">
        <v>10049</v>
      </c>
      <c r="B14" t="s">
        <v>59</v>
      </c>
      <c r="C14">
        <v>47</v>
      </c>
      <c r="D14" t="s">
        <v>3059</v>
      </c>
      <c r="E14">
        <v>30</v>
      </c>
      <c r="F14" t="s">
        <v>3065</v>
      </c>
      <c r="G14" t="s">
        <v>3066</v>
      </c>
    </row>
    <row r="15" spans="1:7" x14ac:dyDescent="0.25">
      <c r="A15">
        <v>10050</v>
      </c>
      <c r="B15" t="s">
        <v>60</v>
      </c>
      <c r="C15">
        <v>47</v>
      </c>
      <c r="D15" t="s">
        <v>3059</v>
      </c>
      <c r="E15">
        <v>1</v>
      </c>
      <c r="F15" t="s">
        <v>3065</v>
      </c>
      <c r="G15" t="s">
        <v>3066</v>
      </c>
    </row>
    <row r="16" spans="1:7" x14ac:dyDescent="0.25">
      <c r="A16">
        <v>10052</v>
      </c>
      <c r="B16" t="s">
        <v>62</v>
      </c>
      <c r="C16">
        <v>47</v>
      </c>
      <c r="D16" t="s">
        <v>3059</v>
      </c>
      <c r="E16">
        <v>4</v>
      </c>
      <c r="F16" t="s">
        <v>3065</v>
      </c>
      <c r="G16" t="s">
        <v>3066</v>
      </c>
    </row>
    <row r="17" spans="1:7" x14ac:dyDescent="0.25">
      <c r="A17">
        <v>10054</v>
      </c>
      <c r="B17" t="s">
        <v>64</v>
      </c>
      <c r="C17">
        <v>47</v>
      </c>
      <c r="D17" t="s">
        <v>3059</v>
      </c>
      <c r="E17">
        <v>17</v>
      </c>
      <c r="F17" t="s">
        <v>3065</v>
      </c>
      <c r="G17" t="s">
        <v>3066</v>
      </c>
    </row>
    <row r="18" spans="1:7" x14ac:dyDescent="0.25">
      <c r="A18">
        <v>10055</v>
      </c>
      <c r="B18" t="s">
        <v>65</v>
      </c>
      <c r="C18">
        <v>47</v>
      </c>
      <c r="D18" t="s">
        <v>3059</v>
      </c>
      <c r="E18">
        <v>143</v>
      </c>
      <c r="F18" t="s">
        <v>3065</v>
      </c>
      <c r="G18" t="s">
        <v>3066</v>
      </c>
    </row>
    <row r="19" spans="1:7" x14ac:dyDescent="0.25">
      <c r="A19">
        <v>10056</v>
      </c>
      <c r="B19" t="s">
        <v>66</v>
      </c>
      <c r="C19">
        <v>47</v>
      </c>
      <c r="D19" t="s">
        <v>3059</v>
      </c>
      <c r="E19">
        <v>3</v>
      </c>
      <c r="F19" t="s">
        <v>3065</v>
      </c>
      <c r="G19" t="s">
        <v>3066</v>
      </c>
    </row>
    <row r="20" spans="1:7" x14ac:dyDescent="0.25">
      <c r="A20">
        <v>10057</v>
      </c>
      <c r="B20" t="s">
        <v>67</v>
      </c>
      <c r="C20">
        <v>47</v>
      </c>
      <c r="D20" t="s">
        <v>3059</v>
      </c>
      <c r="E20">
        <v>2</v>
      </c>
      <c r="F20" t="s">
        <v>3065</v>
      </c>
      <c r="G20" t="s">
        <v>3066</v>
      </c>
    </row>
    <row r="21" spans="1:7" x14ac:dyDescent="0.25">
      <c r="A21">
        <v>10058</v>
      </c>
      <c r="B21" t="s">
        <v>68</v>
      </c>
      <c r="C21">
        <v>47</v>
      </c>
      <c r="D21" t="s">
        <v>3059</v>
      </c>
      <c r="E21">
        <v>1</v>
      </c>
      <c r="F21" t="s">
        <v>3065</v>
      </c>
      <c r="G21" t="s">
        <v>3066</v>
      </c>
    </row>
    <row r="22" spans="1:7" x14ac:dyDescent="0.25">
      <c r="A22">
        <v>10060</v>
      </c>
      <c r="B22" t="s">
        <v>70</v>
      </c>
      <c r="C22">
        <v>47</v>
      </c>
      <c r="D22" t="s">
        <v>3059</v>
      </c>
      <c r="E22">
        <v>1</v>
      </c>
      <c r="F22" t="s">
        <v>3065</v>
      </c>
      <c r="G22" t="s">
        <v>3066</v>
      </c>
    </row>
    <row r="23" spans="1:7" x14ac:dyDescent="0.25">
      <c r="A23">
        <v>10064</v>
      </c>
      <c r="B23" t="s">
        <v>73</v>
      </c>
      <c r="C23">
        <v>47</v>
      </c>
      <c r="D23" t="s">
        <v>3059</v>
      </c>
      <c r="E23">
        <v>3</v>
      </c>
      <c r="F23" t="s">
        <v>3065</v>
      </c>
      <c r="G23" t="s">
        <v>3066</v>
      </c>
    </row>
    <row r="24" spans="1:7" x14ac:dyDescent="0.25">
      <c r="A24">
        <v>10067</v>
      </c>
      <c r="B24" t="s">
        <v>75</v>
      </c>
      <c r="C24">
        <v>47</v>
      </c>
      <c r="D24" t="s">
        <v>3059</v>
      </c>
      <c r="E24">
        <v>1</v>
      </c>
      <c r="F24" t="s">
        <v>3065</v>
      </c>
      <c r="G24" t="s">
        <v>3066</v>
      </c>
    </row>
    <row r="25" spans="1:7" x14ac:dyDescent="0.25">
      <c r="A25">
        <v>10070</v>
      </c>
      <c r="B25" t="s">
        <v>78</v>
      </c>
      <c r="C25">
        <v>47</v>
      </c>
      <c r="D25" t="s">
        <v>3059</v>
      </c>
      <c r="E25">
        <v>6</v>
      </c>
      <c r="F25" t="s">
        <v>3065</v>
      </c>
      <c r="G25" t="s">
        <v>3066</v>
      </c>
    </row>
    <row r="26" spans="1:7" x14ac:dyDescent="0.25">
      <c r="A26">
        <v>10072</v>
      </c>
      <c r="B26" t="s">
        <v>80</v>
      </c>
      <c r="C26">
        <v>47</v>
      </c>
      <c r="D26" t="s">
        <v>3059</v>
      </c>
      <c r="E26">
        <v>26</v>
      </c>
      <c r="F26" t="s">
        <v>3065</v>
      </c>
      <c r="G26" t="s">
        <v>3066</v>
      </c>
    </row>
    <row r="27" spans="1:7" x14ac:dyDescent="0.25">
      <c r="A27">
        <v>10076</v>
      </c>
      <c r="B27" t="s">
        <v>84</v>
      </c>
      <c r="C27">
        <v>47</v>
      </c>
      <c r="D27" t="s">
        <v>3059</v>
      </c>
      <c r="E27">
        <v>7</v>
      </c>
      <c r="F27" t="s">
        <v>3065</v>
      </c>
      <c r="G27" t="s">
        <v>3066</v>
      </c>
    </row>
    <row r="28" spans="1:7" x14ac:dyDescent="0.25">
      <c r="A28">
        <v>10080</v>
      </c>
      <c r="B28" t="s">
        <v>88</v>
      </c>
      <c r="C28">
        <v>47</v>
      </c>
      <c r="D28" t="s">
        <v>3059</v>
      </c>
      <c r="E28">
        <v>1</v>
      </c>
      <c r="F28" t="s">
        <v>3065</v>
      </c>
      <c r="G28" t="s">
        <v>3066</v>
      </c>
    </row>
    <row r="29" spans="1:7" x14ac:dyDescent="0.25">
      <c r="A29">
        <v>10083</v>
      </c>
      <c r="B29" t="s">
        <v>91</v>
      </c>
      <c r="C29">
        <v>47</v>
      </c>
      <c r="D29" t="s">
        <v>3059</v>
      </c>
      <c r="E29">
        <v>1</v>
      </c>
      <c r="F29" t="s">
        <v>3065</v>
      </c>
      <c r="G29" t="s">
        <v>3066</v>
      </c>
    </row>
    <row r="30" spans="1:7" x14ac:dyDescent="0.25">
      <c r="A30">
        <v>10084</v>
      </c>
      <c r="B30" t="s">
        <v>92</v>
      </c>
      <c r="C30">
        <v>47</v>
      </c>
      <c r="D30" t="s">
        <v>3059</v>
      </c>
      <c r="E30">
        <v>17</v>
      </c>
      <c r="F30" t="s">
        <v>3065</v>
      </c>
      <c r="G30" t="s">
        <v>3066</v>
      </c>
    </row>
    <row r="31" spans="1:7" x14ac:dyDescent="0.25">
      <c r="A31">
        <v>10087</v>
      </c>
      <c r="B31" t="s">
        <v>95</v>
      </c>
      <c r="C31">
        <v>47</v>
      </c>
      <c r="D31" t="s">
        <v>3059</v>
      </c>
      <c r="E31">
        <v>9</v>
      </c>
      <c r="F31" t="s">
        <v>3065</v>
      </c>
      <c r="G31" t="s">
        <v>3066</v>
      </c>
    </row>
    <row r="32" spans="1:7" x14ac:dyDescent="0.25">
      <c r="A32">
        <v>10091</v>
      </c>
      <c r="B32" t="s">
        <v>99</v>
      </c>
      <c r="C32">
        <v>47</v>
      </c>
      <c r="D32" t="s">
        <v>3059</v>
      </c>
      <c r="E32">
        <v>1</v>
      </c>
      <c r="F32" t="s">
        <v>3065</v>
      </c>
      <c r="G32" t="s">
        <v>3066</v>
      </c>
    </row>
    <row r="33" spans="1:7" x14ac:dyDescent="0.25">
      <c r="A33">
        <v>10092</v>
      </c>
      <c r="B33" t="s">
        <v>100</v>
      </c>
      <c r="C33">
        <v>47</v>
      </c>
      <c r="D33" t="s">
        <v>3059</v>
      </c>
      <c r="E33">
        <v>1</v>
      </c>
      <c r="F33" t="s">
        <v>3065</v>
      </c>
      <c r="G33" t="s">
        <v>3066</v>
      </c>
    </row>
    <row r="34" spans="1:7" x14ac:dyDescent="0.25">
      <c r="A34">
        <v>10093</v>
      </c>
      <c r="B34" t="s">
        <v>101</v>
      </c>
      <c r="C34">
        <v>47</v>
      </c>
      <c r="D34" t="s">
        <v>3059</v>
      </c>
      <c r="E34">
        <v>37</v>
      </c>
      <c r="F34" t="s">
        <v>3065</v>
      </c>
      <c r="G34" t="s">
        <v>3066</v>
      </c>
    </row>
    <row r="35" spans="1:7" x14ac:dyDescent="0.25">
      <c r="A35">
        <v>10094</v>
      </c>
      <c r="B35" t="s">
        <v>3067</v>
      </c>
      <c r="C35">
        <v>47</v>
      </c>
      <c r="D35" t="s">
        <v>3059</v>
      </c>
      <c r="E35">
        <v>10</v>
      </c>
      <c r="F35" t="s">
        <v>3065</v>
      </c>
      <c r="G35" t="s">
        <v>3066</v>
      </c>
    </row>
    <row r="36" spans="1:7" x14ac:dyDescent="0.25">
      <c r="A36">
        <v>10095</v>
      </c>
      <c r="B36" t="s">
        <v>102</v>
      </c>
      <c r="C36">
        <v>47</v>
      </c>
      <c r="D36" t="s">
        <v>3059</v>
      </c>
      <c r="E36">
        <v>12</v>
      </c>
      <c r="F36" t="s">
        <v>3065</v>
      </c>
      <c r="G36" t="s">
        <v>3066</v>
      </c>
    </row>
    <row r="37" spans="1:7" x14ac:dyDescent="0.25">
      <c r="A37">
        <v>10097</v>
      </c>
      <c r="B37" t="s">
        <v>3069</v>
      </c>
      <c r="C37">
        <v>47</v>
      </c>
      <c r="D37" t="s">
        <v>3059</v>
      </c>
      <c r="E37">
        <v>3</v>
      </c>
      <c r="F37" t="s">
        <v>3065</v>
      </c>
      <c r="G37" t="s">
        <v>3066</v>
      </c>
    </row>
    <row r="38" spans="1:7" x14ac:dyDescent="0.25">
      <c r="A38">
        <v>10098</v>
      </c>
      <c r="B38" t="s">
        <v>103</v>
      </c>
      <c r="C38">
        <v>47</v>
      </c>
      <c r="D38" t="s">
        <v>3059</v>
      </c>
      <c r="E38">
        <v>9</v>
      </c>
      <c r="F38" t="s">
        <v>3065</v>
      </c>
      <c r="G38" t="s">
        <v>3066</v>
      </c>
    </row>
    <row r="39" spans="1:7" x14ac:dyDescent="0.25">
      <c r="A39">
        <v>10103</v>
      </c>
      <c r="B39" t="s">
        <v>106</v>
      </c>
      <c r="C39">
        <v>47</v>
      </c>
      <c r="D39" t="s">
        <v>3059</v>
      </c>
      <c r="E39">
        <v>29</v>
      </c>
      <c r="F39" t="s">
        <v>3065</v>
      </c>
      <c r="G39" t="s">
        <v>3066</v>
      </c>
    </row>
    <row r="40" spans="1:7" x14ac:dyDescent="0.25">
      <c r="A40">
        <v>10105</v>
      </c>
      <c r="B40" t="s">
        <v>108</v>
      </c>
      <c r="C40">
        <v>47</v>
      </c>
      <c r="D40" t="s">
        <v>3059</v>
      </c>
      <c r="E40">
        <v>23</v>
      </c>
      <c r="F40" t="s">
        <v>3065</v>
      </c>
      <c r="G40" t="s">
        <v>3066</v>
      </c>
    </row>
    <row r="41" spans="1:7" x14ac:dyDescent="0.25">
      <c r="A41">
        <v>10110</v>
      </c>
      <c r="B41" t="s">
        <v>109</v>
      </c>
      <c r="C41">
        <v>47</v>
      </c>
      <c r="D41" t="s">
        <v>3059</v>
      </c>
      <c r="E41">
        <v>2</v>
      </c>
      <c r="F41" t="s">
        <v>3065</v>
      </c>
      <c r="G41" t="s">
        <v>3066</v>
      </c>
    </row>
    <row r="42" spans="1:7" x14ac:dyDescent="0.25">
      <c r="A42">
        <v>10111</v>
      </c>
      <c r="B42" t="s">
        <v>110</v>
      </c>
      <c r="C42">
        <v>47</v>
      </c>
      <c r="D42" t="s">
        <v>3059</v>
      </c>
      <c r="E42">
        <v>2</v>
      </c>
      <c r="F42" t="s">
        <v>3065</v>
      </c>
      <c r="G42" t="s">
        <v>3066</v>
      </c>
    </row>
    <row r="43" spans="1:7" x14ac:dyDescent="0.25">
      <c r="A43">
        <v>10112</v>
      </c>
      <c r="B43" t="s">
        <v>111</v>
      </c>
      <c r="C43">
        <v>47</v>
      </c>
      <c r="D43" t="s">
        <v>3059</v>
      </c>
      <c r="E43">
        <v>60</v>
      </c>
      <c r="F43" t="s">
        <v>3065</v>
      </c>
      <c r="G43" t="s">
        <v>3066</v>
      </c>
    </row>
    <row r="44" spans="1:7" x14ac:dyDescent="0.25">
      <c r="A44">
        <v>10114</v>
      </c>
      <c r="B44" t="s">
        <v>113</v>
      </c>
      <c r="C44">
        <v>47</v>
      </c>
      <c r="D44" t="s">
        <v>3059</v>
      </c>
      <c r="E44">
        <v>6</v>
      </c>
      <c r="F44" t="s">
        <v>3065</v>
      </c>
      <c r="G44" t="s">
        <v>3066</v>
      </c>
    </row>
    <row r="45" spans="1:7" x14ac:dyDescent="0.25">
      <c r="A45">
        <v>10115</v>
      </c>
      <c r="B45" t="s">
        <v>114</v>
      </c>
      <c r="C45">
        <v>47</v>
      </c>
      <c r="D45" t="s">
        <v>3059</v>
      </c>
      <c r="E45">
        <v>16</v>
      </c>
      <c r="F45" t="s">
        <v>3065</v>
      </c>
      <c r="G45" t="s">
        <v>3066</v>
      </c>
    </row>
    <row r="46" spans="1:7" x14ac:dyDescent="0.25">
      <c r="A46">
        <v>10117</v>
      </c>
      <c r="B46" t="s">
        <v>116</v>
      </c>
      <c r="C46">
        <v>47</v>
      </c>
      <c r="D46" t="s">
        <v>3059</v>
      </c>
      <c r="E46">
        <v>1</v>
      </c>
      <c r="F46" t="s">
        <v>3065</v>
      </c>
      <c r="G46" t="s">
        <v>3066</v>
      </c>
    </row>
    <row r="47" spans="1:7" x14ac:dyDescent="0.25">
      <c r="A47">
        <v>10118</v>
      </c>
      <c r="B47" t="s">
        <v>117</v>
      </c>
      <c r="C47">
        <v>47</v>
      </c>
      <c r="D47" t="s">
        <v>3059</v>
      </c>
      <c r="E47">
        <v>4</v>
      </c>
      <c r="F47" t="s">
        <v>3065</v>
      </c>
      <c r="G47" t="s">
        <v>3066</v>
      </c>
    </row>
    <row r="48" spans="1:7" x14ac:dyDescent="0.25">
      <c r="A48">
        <v>10119</v>
      </c>
      <c r="B48" t="s">
        <v>118</v>
      </c>
      <c r="C48">
        <v>47</v>
      </c>
      <c r="D48" t="s">
        <v>3059</v>
      </c>
      <c r="E48">
        <v>21</v>
      </c>
      <c r="F48" t="s">
        <v>3065</v>
      </c>
      <c r="G48" t="s">
        <v>3066</v>
      </c>
    </row>
    <row r="49" spans="1:7" x14ac:dyDescent="0.25">
      <c r="A49">
        <v>10121</v>
      </c>
      <c r="B49" t="s">
        <v>120</v>
      </c>
      <c r="C49">
        <v>47</v>
      </c>
      <c r="D49" t="s">
        <v>3059</v>
      </c>
      <c r="E49">
        <v>12</v>
      </c>
      <c r="F49" t="s">
        <v>3065</v>
      </c>
      <c r="G49" t="s">
        <v>3066</v>
      </c>
    </row>
    <row r="50" spans="1:7" x14ac:dyDescent="0.25">
      <c r="A50">
        <v>10122</v>
      </c>
      <c r="B50" t="s">
        <v>121</v>
      </c>
      <c r="C50">
        <v>47</v>
      </c>
      <c r="D50" t="s">
        <v>3059</v>
      </c>
      <c r="E50">
        <v>7</v>
      </c>
      <c r="F50" t="s">
        <v>3065</v>
      </c>
      <c r="G50" t="s">
        <v>3066</v>
      </c>
    </row>
    <row r="51" spans="1:7" x14ac:dyDescent="0.25">
      <c r="A51">
        <v>10124</v>
      </c>
      <c r="B51" t="s">
        <v>123</v>
      </c>
      <c r="C51">
        <v>47</v>
      </c>
      <c r="D51" t="s">
        <v>3059</v>
      </c>
      <c r="E51">
        <v>3</v>
      </c>
      <c r="F51" t="s">
        <v>3065</v>
      </c>
      <c r="G51" t="s">
        <v>3066</v>
      </c>
    </row>
    <row r="52" spans="1:7" x14ac:dyDescent="0.25">
      <c r="A52">
        <v>10126</v>
      </c>
      <c r="B52" t="s">
        <v>125</v>
      </c>
      <c r="C52">
        <v>47</v>
      </c>
      <c r="D52" t="s">
        <v>3059</v>
      </c>
      <c r="E52">
        <v>1</v>
      </c>
      <c r="F52" t="s">
        <v>3065</v>
      </c>
      <c r="G52" t="s">
        <v>3066</v>
      </c>
    </row>
    <row r="53" spans="1:7" x14ac:dyDescent="0.25">
      <c r="A53">
        <v>10127</v>
      </c>
      <c r="B53" t="s">
        <v>126</v>
      </c>
      <c r="C53">
        <v>47</v>
      </c>
      <c r="D53" t="s">
        <v>3059</v>
      </c>
      <c r="E53">
        <v>2</v>
      </c>
      <c r="F53" t="s">
        <v>3065</v>
      </c>
      <c r="G53" t="s">
        <v>3066</v>
      </c>
    </row>
    <row r="54" spans="1:7" x14ac:dyDescent="0.25">
      <c r="A54">
        <v>10130</v>
      </c>
      <c r="B54" t="s">
        <v>127</v>
      </c>
      <c r="C54">
        <v>47</v>
      </c>
      <c r="D54" t="s">
        <v>3059</v>
      </c>
      <c r="E54">
        <v>86</v>
      </c>
      <c r="F54" t="s">
        <v>3065</v>
      </c>
      <c r="G54" t="s">
        <v>3066</v>
      </c>
    </row>
    <row r="55" spans="1:7" x14ac:dyDescent="0.25">
      <c r="A55">
        <v>10134</v>
      </c>
      <c r="B55" t="s">
        <v>130</v>
      </c>
      <c r="C55">
        <v>47</v>
      </c>
      <c r="D55" t="s">
        <v>3059</v>
      </c>
      <c r="E55">
        <v>6</v>
      </c>
      <c r="F55" t="s">
        <v>7</v>
      </c>
      <c r="G55" t="s">
        <v>3070</v>
      </c>
    </row>
    <row r="56" spans="1:7" x14ac:dyDescent="0.25">
      <c r="A56">
        <v>10136</v>
      </c>
      <c r="B56" t="s">
        <v>132</v>
      </c>
      <c r="C56">
        <v>47</v>
      </c>
      <c r="D56" t="s">
        <v>3059</v>
      </c>
      <c r="E56">
        <v>6</v>
      </c>
      <c r="F56" t="s">
        <v>7</v>
      </c>
      <c r="G56" t="s">
        <v>3071</v>
      </c>
    </row>
    <row r="57" spans="1:7" x14ac:dyDescent="0.25">
      <c r="A57">
        <v>10137</v>
      </c>
      <c r="B57" t="s">
        <v>133</v>
      </c>
      <c r="C57">
        <v>47</v>
      </c>
      <c r="D57" t="s">
        <v>3059</v>
      </c>
      <c r="E57">
        <v>10</v>
      </c>
      <c r="F57" t="s">
        <v>7</v>
      </c>
      <c r="G57" t="s">
        <v>3071</v>
      </c>
    </row>
    <row r="58" spans="1:7" x14ac:dyDescent="0.25">
      <c r="A58">
        <v>10138</v>
      </c>
      <c r="B58" t="s">
        <v>3072</v>
      </c>
      <c r="C58">
        <v>47</v>
      </c>
      <c r="D58" t="s">
        <v>3059</v>
      </c>
      <c r="E58">
        <v>10</v>
      </c>
      <c r="F58" t="s">
        <v>7</v>
      </c>
      <c r="G58" t="s">
        <v>3071</v>
      </c>
    </row>
    <row r="59" spans="1:7" x14ac:dyDescent="0.25">
      <c r="A59">
        <v>10139</v>
      </c>
      <c r="B59" t="s">
        <v>135</v>
      </c>
      <c r="C59">
        <v>47</v>
      </c>
      <c r="D59" t="s">
        <v>3059</v>
      </c>
      <c r="E59">
        <v>9</v>
      </c>
      <c r="F59" t="s">
        <v>7</v>
      </c>
      <c r="G59" t="s">
        <v>3071</v>
      </c>
    </row>
    <row r="60" spans="1:7" x14ac:dyDescent="0.25">
      <c r="A60">
        <v>10142</v>
      </c>
      <c r="B60" t="s">
        <v>137</v>
      </c>
      <c r="C60">
        <v>47</v>
      </c>
      <c r="D60" t="s">
        <v>3059</v>
      </c>
      <c r="E60">
        <v>6</v>
      </c>
      <c r="F60" t="s">
        <v>7</v>
      </c>
      <c r="G60" t="s">
        <v>3071</v>
      </c>
    </row>
    <row r="61" spans="1:7" x14ac:dyDescent="0.25">
      <c r="A61">
        <v>10143</v>
      </c>
      <c r="B61" t="s">
        <v>138</v>
      </c>
      <c r="C61">
        <v>47</v>
      </c>
      <c r="D61" t="s">
        <v>3059</v>
      </c>
      <c r="E61">
        <v>10</v>
      </c>
      <c r="F61" t="s">
        <v>7</v>
      </c>
      <c r="G61" t="s">
        <v>3071</v>
      </c>
    </row>
    <row r="62" spans="1:7" x14ac:dyDescent="0.25">
      <c r="A62">
        <v>10146</v>
      </c>
      <c r="B62" t="s">
        <v>140</v>
      </c>
      <c r="C62">
        <v>47</v>
      </c>
      <c r="D62" t="s">
        <v>3059</v>
      </c>
      <c r="E62">
        <v>7</v>
      </c>
      <c r="F62" t="s">
        <v>7</v>
      </c>
      <c r="G62" t="s">
        <v>3073</v>
      </c>
    </row>
    <row r="63" spans="1:7" x14ac:dyDescent="0.25">
      <c r="A63">
        <v>10149</v>
      </c>
      <c r="B63" t="s">
        <v>141</v>
      </c>
      <c r="C63">
        <v>47</v>
      </c>
      <c r="D63" t="s">
        <v>3059</v>
      </c>
      <c r="E63">
        <v>671</v>
      </c>
      <c r="F63" t="s">
        <v>7</v>
      </c>
      <c r="G63" t="s">
        <v>3073</v>
      </c>
    </row>
    <row r="64" spans="1:7" x14ac:dyDescent="0.25">
      <c r="A64">
        <v>10150</v>
      </c>
      <c r="B64" t="s">
        <v>142</v>
      </c>
      <c r="C64">
        <v>47</v>
      </c>
      <c r="D64" t="s">
        <v>3059</v>
      </c>
      <c r="E64">
        <v>51</v>
      </c>
      <c r="F64" t="s">
        <v>7</v>
      </c>
      <c r="G64" t="s">
        <v>3074</v>
      </c>
    </row>
    <row r="65" spans="1:7" x14ac:dyDescent="0.25">
      <c r="A65">
        <v>10151</v>
      </c>
      <c r="B65" t="s">
        <v>143</v>
      </c>
      <c r="C65">
        <v>47</v>
      </c>
      <c r="D65" t="s">
        <v>3059</v>
      </c>
      <c r="E65">
        <v>54</v>
      </c>
      <c r="F65" t="s">
        <v>7</v>
      </c>
      <c r="G65" t="s">
        <v>3074</v>
      </c>
    </row>
    <row r="66" spans="1:7" x14ac:dyDescent="0.25">
      <c r="A66">
        <v>10152</v>
      </c>
      <c r="B66" t="s">
        <v>3075</v>
      </c>
      <c r="C66">
        <v>47</v>
      </c>
      <c r="D66" t="s">
        <v>3059</v>
      </c>
      <c r="E66">
        <v>37</v>
      </c>
      <c r="F66" t="s">
        <v>7</v>
      </c>
      <c r="G66" t="s">
        <v>3074</v>
      </c>
    </row>
    <row r="67" spans="1:7" x14ac:dyDescent="0.25">
      <c r="A67">
        <v>10153</v>
      </c>
      <c r="B67" t="s">
        <v>145</v>
      </c>
      <c r="C67">
        <v>47</v>
      </c>
      <c r="D67" t="s">
        <v>3059</v>
      </c>
      <c r="E67">
        <v>15</v>
      </c>
      <c r="F67" t="s">
        <v>7</v>
      </c>
      <c r="G67" t="s">
        <v>3074</v>
      </c>
    </row>
    <row r="68" spans="1:7" x14ac:dyDescent="0.25">
      <c r="A68">
        <v>10155</v>
      </c>
      <c r="B68" t="s">
        <v>147</v>
      </c>
      <c r="C68">
        <v>47</v>
      </c>
      <c r="D68" t="s">
        <v>3059</v>
      </c>
      <c r="E68">
        <v>8</v>
      </c>
      <c r="F68" t="s">
        <v>7</v>
      </c>
      <c r="G68" t="s">
        <v>3074</v>
      </c>
    </row>
    <row r="69" spans="1:7" x14ac:dyDescent="0.25">
      <c r="A69">
        <v>10159</v>
      </c>
      <c r="B69" t="s">
        <v>151</v>
      </c>
      <c r="C69">
        <v>47</v>
      </c>
      <c r="D69" t="s">
        <v>3059</v>
      </c>
      <c r="E69">
        <v>18</v>
      </c>
      <c r="F69" t="s">
        <v>7</v>
      </c>
      <c r="G69" t="s">
        <v>3074</v>
      </c>
    </row>
    <row r="70" spans="1:7" x14ac:dyDescent="0.25">
      <c r="A70">
        <v>10160</v>
      </c>
      <c r="B70" t="s">
        <v>152</v>
      </c>
      <c r="C70">
        <v>47</v>
      </c>
      <c r="D70" t="s">
        <v>3059</v>
      </c>
      <c r="E70">
        <v>54</v>
      </c>
      <c r="F70" t="s">
        <v>7</v>
      </c>
      <c r="G70" t="s">
        <v>3074</v>
      </c>
    </row>
    <row r="71" spans="1:7" x14ac:dyDescent="0.25">
      <c r="A71">
        <v>10161</v>
      </c>
      <c r="B71" t="s">
        <v>153</v>
      </c>
      <c r="C71">
        <v>47</v>
      </c>
      <c r="D71" t="s">
        <v>3059</v>
      </c>
      <c r="E71">
        <v>4</v>
      </c>
      <c r="F71" t="s">
        <v>7</v>
      </c>
      <c r="G71" t="s">
        <v>3074</v>
      </c>
    </row>
    <row r="72" spans="1:7" x14ac:dyDescent="0.25">
      <c r="A72">
        <v>10162</v>
      </c>
      <c r="B72" t="s">
        <v>154</v>
      </c>
      <c r="C72">
        <v>47</v>
      </c>
      <c r="D72" t="s">
        <v>3059</v>
      </c>
      <c r="E72">
        <v>7</v>
      </c>
      <c r="F72" t="s">
        <v>7</v>
      </c>
      <c r="G72" t="s">
        <v>3074</v>
      </c>
    </row>
    <row r="73" spans="1:7" x14ac:dyDescent="0.25">
      <c r="A73">
        <v>10165</v>
      </c>
      <c r="B73" t="s">
        <v>157</v>
      </c>
      <c r="C73">
        <v>47</v>
      </c>
      <c r="D73" t="s">
        <v>3059</v>
      </c>
      <c r="E73">
        <v>27</v>
      </c>
      <c r="F73" t="s">
        <v>7</v>
      </c>
      <c r="G73" t="s">
        <v>3074</v>
      </c>
    </row>
    <row r="74" spans="1:7" x14ac:dyDescent="0.25">
      <c r="A74">
        <v>10167</v>
      </c>
      <c r="B74" t="s">
        <v>158</v>
      </c>
      <c r="C74">
        <v>47</v>
      </c>
      <c r="D74" t="s">
        <v>3059</v>
      </c>
      <c r="E74">
        <v>18</v>
      </c>
      <c r="F74" t="s">
        <v>7</v>
      </c>
      <c r="G74" t="s">
        <v>3074</v>
      </c>
    </row>
    <row r="75" spans="1:7" x14ac:dyDescent="0.25">
      <c r="A75">
        <v>10168</v>
      </c>
      <c r="B75" t="s">
        <v>159</v>
      </c>
      <c r="C75">
        <v>47</v>
      </c>
      <c r="D75" t="s">
        <v>3059</v>
      </c>
      <c r="E75">
        <v>51</v>
      </c>
      <c r="F75" t="s">
        <v>7</v>
      </c>
      <c r="G75" t="s">
        <v>3074</v>
      </c>
    </row>
    <row r="76" spans="1:7" x14ac:dyDescent="0.25">
      <c r="A76">
        <v>10169</v>
      </c>
      <c r="B76" t="s">
        <v>160</v>
      </c>
      <c r="C76">
        <v>47</v>
      </c>
      <c r="D76" t="s">
        <v>3059</v>
      </c>
      <c r="E76">
        <v>1</v>
      </c>
      <c r="F76" t="s">
        <v>7</v>
      </c>
      <c r="G76" t="s">
        <v>3074</v>
      </c>
    </row>
    <row r="77" spans="1:7" x14ac:dyDescent="0.25">
      <c r="A77">
        <v>10170</v>
      </c>
      <c r="B77" t="s">
        <v>161</v>
      </c>
      <c r="C77">
        <v>47</v>
      </c>
      <c r="D77" t="s">
        <v>3059</v>
      </c>
      <c r="E77">
        <v>51</v>
      </c>
      <c r="F77" t="s">
        <v>7</v>
      </c>
      <c r="G77" t="s">
        <v>3074</v>
      </c>
    </row>
    <row r="78" spans="1:7" x14ac:dyDescent="0.25">
      <c r="A78">
        <v>10172</v>
      </c>
      <c r="B78" t="s">
        <v>163</v>
      </c>
      <c r="C78">
        <v>47</v>
      </c>
      <c r="D78" t="s">
        <v>3059</v>
      </c>
      <c r="E78">
        <v>48</v>
      </c>
      <c r="F78" t="s">
        <v>7</v>
      </c>
      <c r="G78" t="s">
        <v>3074</v>
      </c>
    </row>
    <row r="79" spans="1:7" x14ac:dyDescent="0.25">
      <c r="A79">
        <v>10173</v>
      </c>
      <c r="B79" t="s">
        <v>164</v>
      </c>
      <c r="C79">
        <v>47</v>
      </c>
      <c r="D79" t="s">
        <v>3059</v>
      </c>
      <c r="E79">
        <v>37</v>
      </c>
      <c r="F79" t="s">
        <v>7</v>
      </c>
      <c r="G79" t="s">
        <v>3074</v>
      </c>
    </row>
    <row r="80" spans="1:7" x14ac:dyDescent="0.25">
      <c r="A80">
        <v>10174</v>
      </c>
      <c r="B80" t="s">
        <v>165</v>
      </c>
      <c r="C80">
        <v>47</v>
      </c>
      <c r="D80" t="s">
        <v>3059</v>
      </c>
      <c r="E80">
        <v>54</v>
      </c>
      <c r="F80" t="s">
        <v>7</v>
      </c>
      <c r="G80" t="s">
        <v>3074</v>
      </c>
    </row>
    <row r="81" spans="1:7" x14ac:dyDescent="0.25">
      <c r="A81">
        <v>10175</v>
      </c>
      <c r="B81" t="s">
        <v>166</v>
      </c>
      <c r="C81">
        <v>47</v>
      </c>
      <c r="D81" t="s">
        <v>3059</v>
      </c>
      <c r="E81">
        <v>12</v>
      </c>
      <c r="F81" t="s">
        <v>7</v>
      </c>
      <c r="G81" t="s">
        <v>3074</v>
      </c>
    </row>
    <row r="82" spans="1:7" x14ac:dyDescent="0.25">
      <c r="A82">
        <v>10176</v>
      </c>
      <c r="B82" t="s">
        <v>167</v>
      </c>
      <c r="C82">
        <v>47</v>
      </c>
      <c r="D82" t="s">
        <v>3059</v>
      </c>
      <c r="E82">
        <v>53</v>
      </c>
      <c r="F82" t="s">
        <v>7</v>
      </c>
      <c r="G82" t="s">
        <v>3074</v>
      </c>
    </row>
    <row r="83" spans="1:7" x14ac:dyDescent="0.25">
      <c r="A83">
        <v>10177</v>
      </c>
      <c r="B83" t="s">
        <v>168</v>
      </c>
      <c r="C83">
        <v>47</v>
      </c>
      <c r="D83" t="s">
        <v>3059</v>
      </c>
      <c r="E83">
        <v>79</v>
      </c>
      <c r="F83" t="s">
        <v>7</v>
      </c>
      <c r="G83" t="s">
        <v>3074</v>
      </c>
    </row>
    <row r="84" spans="1:7" x14ac:dyDescent="0.25">
      <c r="A84">
        <v>10178</v>
      </c>
      <c r="B84" t="s">
        <v>169</v>
      </c>
      <c r="C84">
        <v>47</v>
      </c>
      <c r="D84" t="s">
        <v>3059</v>
      </c>
      <c r="E84">
        <v>6</v>
      </c>
      <c r="F84" t="s">
        <v>7</v>
      </c>
      <c r="G84" t="s">
        <v>3074</v>
      </c>
    </row>
    <row r="85" spans="1:7" x14ac:dyDescent="0.25">
      <c r="A85">
        <v>10179</v>
      </c>
      <c r="B85" t="s">
        <v>170</v>
      </c>
      <c r="C85">
        <v>47</v>
      </c>
      <c r="D85" t="s">
        <v>3059</v>
      </c>
      <c r="E85">
        <v>8</v>
      </c>
      <c r="F85" t="s">
        <v>7</v>
      </c>
      <c r="G85" t="s">
        <v>3074</v>
      </c>
    </row>
    <row r="86" spans="1:7" x14ac:dyDescent="0.25">
      <c r="A86">
        <v>10180</v>
      </c>
      <c r="B86" t="s">
        <v>171</v>
      </c>
      <c r="C86">
        <v>47</v>
      </c>
      <c r="D86" t="s">
        <v>3059</v>
      </c>
      <c r="E86">
        <v>4</v>
      </c>
      <c r="F86" t="s">
        <v>7</v>
      </c>
      <c r="G86" t="s">
        <v>3074</v>
      </c>
    </row>
    <row r="87" spans="1:7" x14ac:dyDescent="0.25">
      <c r="A87">
        <v>10181</v>
      </c>
      <c r="B87" t="s">
        <v>172</v>
      </c>
      <c r="C87">
        <v>47</v>
      </c>
      <c r="D87" t="s">
        <v>3059</v>
      </c>
      <c r="E87">
        <v>4</v>
      </c>
      <c r="F87" t="s">
        <v>7</v>
      </c>
      <c r="G87" t="s">
        <v>3074</v>
      </c>
    </row>
    <row r="88" spans="1:7" x14ac:dyDescent="0.25">
      <c r="A88">
        <v>10182</v>
      </c>
      <c r="B88" t="s">
        <v>173</v>
      </c>
      <c r="C88">
        <v>47</v>
      </c>
      <c r="D88" t="s">
        <v>3059</v>
      </c>
      <c r="E88">
        <v>9</v>
      </c>
      <c r="F88" t="s">
        <v>7</v>
      </c>
      <c r="G88" t="s">
        <v>3074</v>
      </c>
    </row>
    <row r="89" spans="1:7" x14ac:dyDescent="0.25">
      <c r="A89">
        <v>10183</v>
      </c>
      <c r="B89" t="s">
        <v>174</v>
      </c>
      <c r="C89">
        <v>47</v>
      </c>
      <c r="D89" t="s">
        <v>3059</v>
      </c>
      <c r="E89">
        <v>1</v>
      </c>
      <c r="F89" t="s">
        <v>7</v>
      </c>
      <c r="G89" t="s">
        <v>3074</v>
      </c>
    </row>
    <row r="90" spans="1:7" x14ac:dyDescent="0.25">
      <c r="A90">
        <v>10184</v>
      </c>
      <c r="B90" t="s">
        <v>175</v>
      </c>
      <c r="C90">
        <v>47</v>
      </c>
      <c r="D90" t="s">
        <v>3059</v>
      </c>
      <c r="E90">
        <v>24</v>
      </c>
      <c r="F90" t="s">
        <v>7</v>
      </c>
      <c r="G90" t="s">
        <v>3074</v>
      </c>
    </row>
    <row r="91" spans="1:7" x14ac:dyDescent="0.25">
      <c r="A91">
        <v>10187</v>
      </c>
      <c r="B91" t="s">
        <v>178</v>
      </c>
      <c r="C91">
        <v>47</v>
      </c>
      <c r="D91" t="s">
        <v>3059</v>
      </c>
      <c r="E91">
        <v>54</v>
      </c>
      <c r="F91" t="s">
        <v>7</v>
      </c>
      <c r="G91" t="s">
        <v>3074</v>
      </c>
    </row>
    <row r="92" spans="1:7" x14ac:dyDescent="0.25">
      <c r="A92">
        <v>10188</v>
      </c>
      <c r="B92" t="s">
        <v>179</v>
      </c>
      <c r="C92">
        <v>47</v>
      </c>
      <c r="D92" t="s">
        <v>3059</v>
      </c>
      <c r="E92">
        <v>64</v>
      </c>
      <c r="F92" t="s">
        <v>7</v>
      </c>
      <c r="G92" t="s">
        <v>3074</v>
      </c>
    </row>
    <row r="93" spans="1:7" x14ac:dyDescent="0.25">
      <c r="A93">
        <v>10189</v>
      </c>
      <c r="B93" t="s">
        <v>180</v>
      </c>
      <c r="C93">
        <v>47</v>
      </c>
      <c r="D93" t="s">
        <v>3059</v>
      </c>
      <c r="E93">
        <v>26</v>
      </c>
      <c r="F93" t="s">
        <v>7</v>
      </c>
      <c r="G93" t="s">
        <v>3074</v>
      </c>
    </row>
    <row r="94" spans="1:7" x14ac:dyDescent="0.25">
      <c r="A94">
        <v>10191</v>
      </c>
      <c r="B94" t="s">
        <v>181</v>
      </c>
      <c r="C94">
        <v>47</v>
      </c>
      <c r="D94" t="s">
        <v>3059</v>
      </c>
      <c r="E94">
        <v>29</v>
      </c>
      <c r="F94" t="s">
        <v>7</v>
      </c>
      <c r="G94" t="s">
        <v>3074</v>
      </c>
    </row>
    <row r="95" spans="1:7" x14ac:dyDescent="0.25">
      <c r="A95">
        <v>10192</v>
      </c>
      <c r="B95" t="s">
        <v>182</v>
      </c>
      <c r="C95">
        <v>47</v>
      </c>
      <c r="D95" t="s">
        <v>3059</v>
      </c>
      <c r="E95">
        <v>33</v>
      </c>
      <c r="F95" t="s">
        <v>7</v>
      </c>
      <c r="G95" t="s">
        <v>3074</v>
      </c>
    </row>
    <row r="96" spans="1:7" x14ac:dyDescent="0.25">
      <c r="A96">
        <v>10193</v>
      </c>
      <c r="B96" t="s">
        <v>183</v>
      </c>
      <c r="C96">
        <v>47</v>
      </c>
      <c r="D96" t="s">
        <v>3059</v>
      </c>
      <c r="E96">
        <v>15</v>
      </c>
      <c r="F96" t="s">
        <v>7</v>
      </c>
      <c r="G96" t="s">
        <v>3074</v>
      </c>
    </row>
    <row r="97" spans="1:7" x14ac:dyDescent="0.25">
      <c r="A97">
        <v>10194</v>
      </c>
      <c r="B97" t="s">
        <v>184</v>
      </c>
      <c r="C97">
        <v>47</v>
      </c>
      <c r="D97" t="s">
        <v>3059</v>
      </c>
      <c r="E97">
        <v>49</v>
      </c>
      <c r="F97" t="s">
        <v>7</v>
      </c>
      <c r="G97" t="s">
        <v>3074</v>
      </c>
    </row>
    <row r="98" spans="1:7" x14ac:dyDescent="0.25">
      <c r="A98">
        <v>10195</v>
      </c>
      <c r="B98" t="s">
        <v>185</v>
      </c>
      <c r="C98">
        <v>47</v>
      </c>
      <c r="D98" t="s">
        <v>3059</v>
      </c>
      <c r="E98">
        <v>43</v>
      </c>
      <c r="F98" t="s">
        <v>7</v>
      </c>
      <c r="G98" t="s">
        <v>3074</v>
      </c>
    </row>
    <row r="99" spans="1:7" x14ac:dyDescent="0.25">
      <c r="A99">
        <v>10196</v>
      </c>
      <c r="B99" t="s">
        <v>186</v>
      </c>
      <c r="C99">
        <v>47</v>
      </c>
      <c r="D99" t="s">
        <v>3059</v>
      </c>
      <c r="E99">
        <v>56</v>
      </c>
      <c r="F99" t="s">
        <v>7</v>
      </c>
      <c r="G99" t="s">
        <v>3074</v>
      </c>
    </row>
    <row r="100" spans="1:7" x14ac:dyDescent="0.25">
      <c r="A100">
        <v>10197</v>
      </c>
      <c r="B100" t="s">
        <v>187</v>
      </c>
      <c r="C100">
        <v>47</v>
      </c>
      <c r="D100" t="s">
        <v>3059</v>
      </c>
      <c r="E100">
        <v>51</v>
      </c>
      <c r="F100" t="s">
        <v>7</v>
      </c>
      <c r="G100" t="s">
        <v>3074</v>
      </c>
    </row>
    <row r="101" spans="1:7" x14ac:dyDescent="0.25">
      <c r="A101">
        <v>10198</v>
      </c>
      <c r="B101" t="s">
        <v>188</v>
      </c>
      <c r="C101">
        <v>47</v>
      </c>
      <c r="D101" t="s">
        <v>3059</v>
      </c>
      <c r="E101">
        <v>20</v>
      </c>
      <c r="F101" t="s">
        <v>7</v>
      </c>
      <c r="G101" t="s">
        <v>3074</v>
      </c>
    </row>
    <row r="102" spans="1:7" x14ac:dyDescent="0.25">
      <c r="A102">
        <v>10199</v>
      </c>
      <c r="B102" t="s">
        <v>189</v>
      </c>
      <c r="C102">
        <v>47</v>
      </c>
      <c r="D102" t="s">
        <v>3059</v>
      </c>
      <c r="E102">
        <v>82</v>
      </c>
      <c r="F102" t="s">
        <v>7</v>
      </c>
      <c r="G102" t="s">
        <v>3074</v>
      </c>
    </row>
    <row r="103" spans="1:7" x14ac:dyDescent="0.25">
      <c r="A103">
        <v>10201</v>
      </c>
      <c r="B103" t="s">
        <v>191</v>
      </c>
      <c r="C103">
        <v>47</v>
      </c>
      <c r="D103" t="s">
        <v>3059</v>
      </c>
      <c r="E103">
        <v>219</v>
      </c>
      <c r="F103" t="s">
        <v>7</v>
      </c>
      <c r="G103" t="s">
        <v>3074</v>
      </c>
    </row>
    <row r="104" spans="1:7" x14ac:dyDescent="0.25">
      <c r="A104">
        <v>10202</v>
      </c>
      <c r="B104" t="s">
        <v>192</v>
      </c>
      <c r="C104">
        <v>47</v>
      </c>
      <c r="D104" t="s">
        <v>3059</v>
      </c>
      <c r="E104">
        <v>312</v>
      </c>
      <c r="F104" t="s">
        <v>7</v>
      </c>
      <c r="G104" t="s">
        <v>3074</v>
      </c>
    </row>
    <row r="105" spans="1:7" x14ac:dyDescent="0.25">
      <c r="A105">
        <v>10203</v>
      </c>
      <c r="B105" t="s">
        <v>193</v>
      </c>
      <c r="C105">
        <v>47</v>
      </c>
      <c r="D105" t="s">
        <v>3059</v>
      </c>
      <c r="E105">
        <v>80</v>
      </c>
      <c r="F105" t="s">
        <v>7</v>
      </c>
      <c r="G105" t="s">
        <v>3074</v>
      </c>
    </row>
    <row r="106" spans="1:7" x14ac:dyDescent="0.25">
      <c r="A106">
        <v>10204</v>
      </c>
      <c r="B106" t="s">
        <v>194</v>
      </c>
      <c r="C106">
        <v>47</v>
      </c>
      <c r="D106" t="s">
        <v>3059</v>
      </c>
      <c r="E106">
        <v>103</v>
      </c>
      <c r="F106" t="s">
        <v>7</v>
      </c>
      <c r="G106" t="s">
        <v>3074</v>
      </c>
    </row>
    <row r="107" spans="1:7" x14ac:dyDescent="0.25">
      <c r="A107">
        <v>10206</v>
      </c>
      <c r="B107" t="s">
        <v>196</v>
      </c>
      <c r="C107">
        <v>47</v>
      </c>
      <c r="D107" t="s">
        <v>3059</v>
      </c>
      <c r="E107">
        <v>124</v>
      </c>
      <c r="F107" t="s">
        <v>7</v>
      </c>
      <c r="G107" t="s">
        <v>3074</v>
      </c>
    </row>
    <row r="108" spans="1:7" x14ac:dyDescent="0.25">
      <c r="A108">
        <v>10207</v>
      </c>
      <c r="B108" t="s">
        <v>197</v>
      </c>
      <c r="C108">
        <v>47</v>
      </c>
      <c r="D108" t="s">
        <v>3059</v>
      </c>
      <c r="E108">
        <v>52</v>
      </c>
      <c r="F108" t="s">
        <v>7</v>
      </c>
      <c r="G108" t="s">
        <v>3074</v>
      </c>
    </row>
    <row r="109" spans="1:7" x14ac:dyDescent="0.25">
      <c r="A109">
        <v>10208</v>
      </c>
      <c r="B109" t="s">
        <v>198</v>
      </c>
      <c r="C109">
        <v>47</v>
      </c>
      <c r="D109" t="s">
        <v>3059</v>
      </c>
      <c r="E109">
        <v>44</v>
      </c>
      <c r="F109" t="s">
        <v>7</v>
      </c>
      <c r="G109" t="s">
        <v>3074</v>
      </c>
    </row>
    <row r="110" spans="1:7" x14ac:dyDescent="0.25">
      <c r="A110">
        <v>10209</v>
      </c>
      <c r="B110" t="s">
        <v>199</v>
      </c>
      <c r="C110">
        <v>47</v>
      </c>
      <c r="D110" t="s">
        <v>3059</v>
      </c>
      <c r="E110">
        <v>24</v>
      </c>
      <c r="F110" t="s">
        <v>7</v>
      </c>
      <c r="G110" t="s">
        <v>3074</v>
      </c>
    </row>
    <row r="111" spans="1:7" x14ac:dyDescent="0.25">
      <c r="A111">
        <v>10210</v>
      </c>
      <c r="B111" t="s">
        <v>200</v>
      </c>
      <c r="C111">
        <v>47</v>
      </c>
      <c r="D111" t="s">
        <v>3059</v>
      </c>
      <c r="E111">
        <v>94</v>
      </c>
      <c r="F111" t="s">
        <v>7</v>
      </c>
      <c r="G111" t="s">
        <v>3074</v>
      </c>
    </row>
    <row r="112" spans="1:7" x14ac:dyDescent="0.25">
      <c r="A112">
        <v>10211</v>
      </c>
      <c r="B112" t="s">
        <v>201</v>
      </c>
      <c r="C112">
        <v>47</v>
      </c>
      <c r="D112" t="s">
        <v>3059</v>
      </c>
      <c r="E112">
        <v>13</v>
      </c>
      <c r="F112" t="s">
        <v>7</v>
      </c>
      <c r="G112" t="s">
        <v>3074</v>
      </c>
    </row>
    <row r="113" spans="1:7" x14ac:dyDescent="0.25">
      <c r="A113">
        <v>10212</v>
      </c>
      <c r="B113" t="s">
        <v>202</v>
      </c>
      <c r="C113">
        <v>47</v>
      </c>
      <c r="D113" t="s">
        <v>3059</v>
      </c>
      <c r="E113">
        <v>99</v>
      </c>
      <c r="F113" t="s">
        <v>7</v>
      </c>
      <c r="G113" t="s">
        <v>3074</v>
      </c>
    </row>
    <row r="114" spans="1:7" x14ac:dyDescent="0.25">
      <c r="A114">
        <v>10213</v>
      </c>
      <c r="B114" t="s">
        <v>3076</v>
      </c>
      <c r="C114">
        <v>47</v>
      </c>
      <c r="D114" t="s">
        <v>3059</v>
      </c>
      <c r="E114">
        <v>51</v>
      </c>
      <c r="F114" t="s">
        <v>7</v>
      </c>
      <c r="G114" t="s">
        <v>3074</v>
      </c>
    </row>
    <row r="115" spans="1:7" x14ac:dyDescent="0.25">
      <c r="A115">
        <v>10214</v>
      </c>
      <c r="B115" t="s">
        <v>204</v>
      </c>
      <c r="C115">
        <v>47</v>
      </c>
      <c r="D115" t="s">
        <v>3059</v>
      </c>
      <c r="E115">
        <v>5</v>
      </c>
      <c r="F115" t="s">
        <v>7</v>
      </c>
      <c r="G115" t="s">
        <v>3074</v>
      </c>
    </row>
    <row r="116" spans="1:7" x14ac:dyDescent="0.25">
      <c r="A116">
        <v>10215</v>
      </c>
      <c r="B116" t="s">
        <v>205</v>
      </c>
      <c r="C116">
        <v>47</v>
      </c>
      <c r="D116" t="s">
        <v>3059</v>
      </c>
      <c r="E116">
        <v>17</v>
      </c>
      <c r="F116" t="s">
        <v>7</v>
      </c>
      <c r="G116" t="s">
        <v>3074</v>
      </c>
    </row>
    <row r="117" spans="1:7" x14ac:dyDescent="0.25">
      <c r="A117">
        <v>10216</v>
      </c>
      <c r="B117" t="s">
        <v>206</v>
      </c>
      <c r="C117">
        <v>47</v>
      </c>
      <c r="D117" t="s">
        <v>3059</v>
      </c>
      <c r="E117">
        <v>11</v>
      </c>
      <c r="F117" t="s">
        <v>7</v>
      </c>
      <c r="G117" t="s">
        <v>3074</v>
      </c>
    </row>
    <row r="118" spans="1:7" x14ac:dyDescent="0.25">
      <c r="A118">
        <v>10217</v>
      </c>
      <c r="B118" t="s">
        <v>207</v>
      </c>
      <c r="C118">
        <v>47</v>
      </c>
      <c r="D118" t="s">
        <v>3059</v>
      </c>
      <c r="E118">
        <v>12</v>
      </c>
      <c r="F118" t="s">
        <v>7</v>
      </c>
      <c r="G118" t="s">
        <v>3074</v>
      </c>
    </row>
    <row r="119" spans="1:7" x14ac:dyDescent="0.25">
      <c r="A119">
        <v>10218</v>
      </c>
      <c r="B119" t="s">
        <v>208</v>
      </c>
      <c r="C119">
        <v>47</v>
      </c>
      <c r="D119" t="s">
        <v>3059</v>
      </c>
      <c r="E119">
        <v>5</v>
      </c>
      <c r="F119" t="s">
        <v>7</v>
      </c>
      <c r="G119" t="s">
        <v>3074</v>
      </c>
    </row>
    <row r="120" spans="1:7" x14ac:dyDescent="0.25">
      <c r="A120">
        <v>10219</v>
      </c>
      <c r="B120" t="s">
        <v>209</v>
      </c>
      <c r="C120">
        <v>47</v>
      </c>
      <c r="D120" t="s">
        <v>3059</v>
      </c>
      <c r="E120">
        <v>96</v>
      </c>
      <c r="F120" t="s">
        <v>7</v>
      </c>
      <c r="G120" t="s">
        <v>3074</v>
      </c>
    </row>
    <row r="121" spans="1:7" x14ac:dyDescent="0.25">
      <c r="A121">
        <v>10221</v>
      </c>
      <c r="B121" t="s">
        <v>210</v>
      </c>
      <c r="C121">
        <v>47</v>
      </c>
      <c r="D121" t="s">
        <v>3059</v>
      </c>
      <c r="E121">
        <v>26</v>
      </c>
      <c r="F121" t="s">
        <v>7</v>
      </c>
      <c r="G121" t="s">
        <v>3074</v>
      </c>
    </row>
    <row r="122" spans="1:7" x14ac:dyDescent="0.25">
      <c r="A122">
        <v>10223</v>
      </c>
      <c r="B122" t="s">
        <v>212</v>
      </c>
      <c r="C122">
        <v>47</v>
      </c>
      <c r="D122" t="s">
        <v>3059</v>
      </c>
      <c r="E122">
        <v>73</v>
      </c>
      <c r="F122" t="s">
        <v>7</v>
      </c>
      <c r="G122" t="s">
        <v>3074</v>
      </c>
    </row>
    <row r="123" spans="1:7" x14ac:dyDescent="0.25">
      <c r="A123">
        <v>10224</v>
      </c>
      <c r="B123" t="s">
        <v>213</v>
      </c>
      <c r="C123">
        <v>47</v>
      </c>
      <c r="D123" t="s">
        <v>3059</v>
      </c>
      <c r="E123">
        <v>17</v>
      </c>
      <c r="F123" t="s">
        <v>7</v>
      </c>
      <c r="G123" t="s">
        <v>3074</v>
      </c>
    </row>
    <row r="124" spans="1:7" x14ac:dyDescent="0.25">
      <c r="A124">
        <v>10225</v>
      </c>
      <c r="B124" t="s">
        <v>214</v>
      </c>
      <c r="C124">
        <v>47</v>
      </c>
      <c r="D124" t="s">
        <v>3059</v>
      </c>
      <c r="E124">
        <v>120</v>
      </c>
      <c r="F124" t="s">
        <v>7</v>
      </c>
      <c r="G124" t="s">
        <v>3074</v>
      </c>
    </row>
    <row r="125" spans="1:7" x14ac:dyDescent="0.25">
      <c r="A125">
        <v>10226</v>
      </c>
      <c r="B125" t="s">
        <v>215</v>
      </c>
      <c r="C125">
        <v>47</v>
      </c>
      <c r="D125" t="s">
        <v>3059</v>
      </c>
      <c r="E125">
        <v>12</v>
      </c>
      <c r="F125" t="s">
        <v>7</v>
      </c>
      <c r="G125" t="s">
        <v>3074</v>
      </c>
    </row>
    <row r="126" spans="1:7" x14ac:dyDescent="0.25">
      <c r="A126">
        <v>10228</v>
      </c>
      <c r="B126" t="s">
        <v>217</v>
      </c>
      <c r="C126">
        <v>47</v>
      </c>
      <c r="D126" t="s">
        <v>3059</v>
      </c>
      <c r="E126">
        <v>41</v>
      </c>
      <c r="F126" t="s">
        <v>7</v>
      </c>
      <c r="G126" t="s">
        <v>3074</v>
      </c>
    </row>
    <row r="127" spans="1:7" x14ac:dyDescent="0.25">
      <c r="A127">
        <v>10229</v>
      </c>
      <c r="B127" t="s">
        <v>218</v>
      </c>
      <c r="C127">
        <v>47</v>
      </c>
      <c r="D127" t="s">
        <v>3059</v>
      </c>
      <c r="E127">
        <v>32</v>
      </c>
      <c r="F127" t="s">
        <v>7</v>
      </c>
      <c r="G127" t="s">
        <v>3074</v>
      </c>
    </row>
    <row r="128" spans="1:7" x14ac:dyDescent="0.25">
      <c r="A128">
        <v>10230</v>
      </c>
      <c r="B128" t="s">
        <v>219</v>
      </c>
      <c r="C128">
        <v>47</v>
      </c>
      <c r="D128" t="s">
        <v>3059</v>
      </c>
      <c r="E128">
        <v>25</v>
      </c>
      <c r="F128" t="s">
        <v>7</v>
      </c>
      <c r="G128" t="s">
        <v>3074</v>
      </c>
    </row>
    <row r="129" spans="1:7" x14ac:dyDescent="0.25">
      <c r="A129">
        <v>10231</v>
      </c>
      <c r="B129" t="s">
        <v>220</v>
      </c>
      <c r="C129">
        <v>47</v>
      </c>
      <c r="D129" t="s">
        <v>3059</v>
      </c>
      <c r="E129">
        <v>37</v>
      </c>
      <c r="F129" t="s">
        <v>7</v>
      </c>
      <c r="G129" t="s">
        <v>3074</v>
      </c>
    </row>
    <row r="130" spans="1:7" x14ac:dyDescent="0.25">
      <c r="A130">
        <v>10232</v>
      </c>
      <c r="B130" t="s">
        <v>221</v>
      </c>
      <c r="C130">
        <v>47</v>
      </c>
      <c r="D130" t="s">
        <v>3059</v>
      </c>
      <c r="E130">
        <v>29</v>
      </c>
      <c r="F130" t="s">
        <v>7</v>
      </c>
      <c r="G130" t="s">
        <v>3074</v>
      </c>
    </row>
    <row r="131" spans="1:7" x14ac:dyDescent="0.25">
      <c r="A131">
        <v>10233</v>
      </c>
      <c r="B131" t="s">
        <v>222</v>
      </c>
      <c r="C131">
        <v>47</v>
      </c>
      <c r="D131" t="s">
        <v>3059</v>
      </c>
      <c r="E131">
        <v>36</v>
      </c>
      <c r="F131" t="s">
        <v>7</v>
      </c>
      <c r="G131" t="s">
        <v>3074</v>
      </c>
    </row>
    <row r="132" spans="1:7" x14ac:dyDescent="0.25">
      <c r="A132">
        <v>10234</v>
      </c>
      <c r="B132" t="s">
        <v>223</v>
      </c>
      <c r="C132">
        <v>47</v>
      </c>
      <c r="D132" t="s">
        <v>3059</v>
      </c>
      <c r="E132">
        <v>54</v>
      </c>
      <c r="F132" t="s">
        <v>7</v>
      </c>
      <c r="G132" t="s">
        <v>3074</v>
      </c>
    </row>
    <row r="133" spans="1:7" x14ac:dyDescent="0.25">
      <c r="A133">
        <v>10235</v>
      </c>
      <c r="B133" t="s">
        <v>224</v>
      </c>
      <c r="C133">
        <v>47</v>
      </c>
      <c r="D133" t="s">
        <v>3059</v>
      </c>
      <c r="E133">
        <v>36</v>
      </c>
      <c r="F133" t="s">
        <v>7</v>
      </c>
      <c r="G133" t="s">
        <v>3074</v>
      </c>
    </row>
    <row r="134" spans="1:7" x14ac:dyDescent="0.25">
      <c r="A134">
        <v>10236</v>
      </c>
      <c r="B134" t="s">
        <v>225</v>
      </c>
      <c r="C134">
        <v>47</v>
      </c>
      <c r="D134" t="s">
        <v>3059</v>
      </c>
      <c r="E134">
        <v>57</v>
      </c>
      <c r="F134" t="s">
        <v>7</v>
      </c>
      <c r="G134" t="s">
        <v>3074</v>
      </c>
    </row>
    <row r="135" spans="1:7" x14ac:dyDescent="0.25">
      <c r="A135">
        <v>10237</v>
      </c>
      <c r="B135" t="s">
        <v>226</v>
      </c>
      <c r="C135">
        <v>47</v>
      </c>
      <c r="D135" t="s">
        <v>3059</v>
      </c>
      <c r="E135">
        <v>79</v>
      </c>
      <c r="F135" t="s">
        <v>7</v>
      </c>
      <c r="G135" t="s">
        <v>3074</v>
      </c>
    </row>
    <row r="136" spans="1:7" x14ac:dyDescent="0.25">
      <c r="A136">
        <v>10238</v>
      </c>
      <c r="B136" t="s">
        <v>227</v>
      </c>
      <c r="C136">
        <v>47</v>
      </c>
      <c r="D136" t="s">
        <v>3059</v>
      </c>
      <c r="E136">
        <v>50</v>
      </c>
      <c r="F136" t="s">
        <v>7</v>
      </c>
      <c r="G136" t="s">
        <v>3074</v>
      </c>
    </row>
    <row r="137" spans="1:7" x14ac:dyDescent="0.25">
      <c r="A137">
        <v>10239</v>
      </c>
      <c r="B137" t="s">
        <v>228</v>
      </c>
      <c r="C137">
        <v>47</v>
      </c>
      <c r="D137" t="s">
        <v>3059</v>
      </c>
      <c r="E137">
        <v>31</v>
      </c>
      <c r="F137" t="s">
        <v>7</v>
      </c>
      <c r="G137" t="s">
        <v>3074</v>
      </c>
    </row>
    <row r="138" spans="1:7" x14ac:dyDescent="0.25">
      <c r="A138">
        <v>10240</v>
      </c>
      <c r="B138" t="s">
        <v>229</v>
      </c>
      <c r="C138">
        <v>47</v>
      </c>
      <c r="D138" t="s">
        <v>3059</v>
      </c>
      <c r="E138">
        <v>115</v>
      </c>
      <c r="F138" t="s">
        <v>7</v>
      </c>
      <c r="G138" t="s">
        <v>3074</v>
      </c>
    </row>
    <row r="139" spans="1:7" x14ac:dyDescent="0.25">
      <c r="A139">
        <v>10241</v>
      </c>
      <c r="B139" t="s">
        <v>3077</v>
      </c>
      <c r="C139">
        <v>47</v>
      </c>
      <c r="D139" t="s">
        <v>3059</v>
      </c>
      <c r="E139">
        <v>34</v>
      </c>
      <c r="F139" t="s">
        <v>7</v>
      </c>
      <c r="G139" t="s">
        <v>3074</v>
      </c>
    </row>
    <row r="140" spans="1:7" x14ac:dyDescent="0.25">
      <c r="A140">
        <v>10242</v>
      </c>
      <c r="B140" t="s">
        <v>231</v>
      </c>
      <c r="C140">
        <v>47</v>
      </c>
      <c r="D140" t="s">
        <v>3059</v>
      </c>
      <c r="E140">
        <v>98</v>
      </c>
      <c r="F140" t="s">
        <v>7</v>
      </c>
      <c r="G140" t="s">
        <v>3074</v>
      </c>
    </row>
    <row r="141" spans="1:7" x14ac:dyDescent="0.25">
      <c r="A141">
        <v>10243</v>
      </c>
      <c r="B141" t="s">
        <v>232</v>
      </c>
      <c r="C141">
        <v>47</v>
      </c>
      <c r="D141" t="s">
        <v>3059</v>
      </c>
      <c r="E141">
        <v>19</v>
      </c>
      <c r="F141" t="s">
        <v>7</v>
      </c>
      <c r="G141" t="s">
        <v>3074</v>
      </c>
    </row>
    <row r="142" spans="1:7" x14ac:dyDescent="0.25">
      <c r="A142">
        <v>10244</v>
      </c>
      <c r="B142" t="s">
        <v>233</v>
      </c>
      <c r="C142">
        <v>47</v>
      </c>
      <c r="D142" t="s">
        <v>3059</v>
      </c>
      <c r="E142">
        <v>107</v>
      </c>
      <c r="F142" t="s">
        <v>7</v>
      </c>
      <c r="G142" t="s">
        <v>3074</v>
      </c>
    </row>
    <row r="143" spans="1:7" x14ac:dyDescent="0.25">
      <c r="A143">
        <v>10245</v>
      </c>
      <c r="B143" t="s">
        <v>234</v>
      </c>
      <c r="C143">
        <v>47</v>
      </c>
      <c r="D143" t="s">
        <v>3059</v>
      </c>
      <c r="E143">
        <v>5</v>
      </c>
      <c r="F143" t="s">
        <v>7</v>
      </c>
      <c r="G143" t="s">
        <v>3074</v>
      </c>
    </row>
    <row r="144" spans="1:7" x14ac:dyDescent="0.25">
      <c r="A144">
        <v>10246</v>
      </c>
      <c r="B144" t="s">
        <v>235</v>
      </c>
      <c r="C144">
        <v>47</v>
      </c>
      <c r="D144" t="s">
        <v>3059</v>
      </c>
      <c r="E144">
        <v>16</v>
      </c>
      <c r="F144" t="s">
        <v>7</v>
      </c>
      <c r="G144" t="s">
        <v>3074</v>
      </c>
    </row>
    <row r="145" spans="1:7" x14ac:dyDescent="0.25">
      <c r="A145">
        <v>10247</v>
      </c>
      <c r="B145" t="s">
        <v>236</v>
      </c>
      <c r="C145">
        <v>47</v>
      </c>
      <c r="D145" t="s">
        <v>3059</v>
      </c>
      <c r="E145">
        <v>204</v>
      </c>
      <c r="F145" t="s">
        <v>7</v>
      </c>
      <c r="G145" t="s">
        <v>3074</v>
      </c>
    </row>
    <row r="146" spans="1:7" x14ac:dyDescent="0.25">
      <c r="A146">
        <v>10248</v>
      </c>
      <c r="B146" t="s">
        <v>237</v>
      </c>
      <c r="C146">
        <v>47</v>
      </c>
      <c r="D146" t="s">
        <v>3059</v>
      </c>
      <c r="E146">
        <v>135</v>
      </c>
      <c r="F146" t="s">
        <v>7</v>
      </c>
      <c r="G146" t="s">
        <v>3074</v>
      </c>
    </row>
    <row r="147" spans="1:7" x14ac:dyDescent="0.25">
      <c r="A147">
        <v>10249</v>
      </c>
      <c r="B147" t="s">
        <v>238</v>
      </c>
      <c r="C147">
        <v>47</v>
      </c>
      <c r="D147" t="s">
        <v>3059</v>
      </c>
      <c r="E147">
        <v>599</v>
      </c>
      <c r="F147" t="s">
        <v>7</v>
      </c>
      <c r="G147" t="s">
        <v>3074</v>
      </c>
    </row>
    <row r="148" spans="1:7" x14ac:dyDescent="0.25">
      <c r="A148">
        <v>10250</v>
      </c>
      <c r="B148" t="s">
        <v>240</v>
      </c>
      <c r="C148">
        <v>47</v>
      </c>
      <c r="D148" t="s">
        <v>3059</v>
      </c>
      <c r="E148">
        <v>476</v>
      </c>
      <c r="F148" t="s">
        <v>7</v>
      </c>
      <c r="G148" t="s">
        <v>3074</v>
      </c>
    </row>
    <row r="149" spans="1:7" x14ac:dyDescent="0.25">
      <c r="A149">
        <v>10251</v>
      </c>
      <c r="B149" t="s">
        <v>241</v>
      </c>
      <c r="C149">
        <v>47</v>
      </c>
      <c r="D149" t="s">
        <v>3059</v>
      </c>
      <c r="E149">
        <v>717</v>
      </c>
      <c r="F149" t="s">
        <v>7</v>
      </c>
      <c r="G149" t="s">
        <v>3074</v>
      </c>
    </row>
    <row r="150" spans="1:7" x14ac:dyDescent="0.25">
      <c r="A150">
        <v>10254</v>
      </c>
      <c r="B150" t="s">
        <v>242</v>
      </c>
      <c r="C150">
        <v>47</v>
      </c>
      <c r="D150" t="s">
        <v>3059</v>
      </c>
      <c r="E150">
        <v>79</v>
      </c>
      <c r="F150" t="s">
        <v>7</v>
      </c>
      <c r="G150" t="s">
        <v>3074</v>
      </c>
    </row>
    <row r="151" spans="1:7" x14ac:dyDescent="0.25">
      <c r="A151">
        <v>10255</v>
      </c>
      <c r="B151" t="s">
        <v>243</v>
      </c>
      <c r="C151">
        <v>47</v>
      </c>
      <c r="D151" t="s">
        <v>3059</v>
      </c>
      <c r="E151">
        <v>345</v>
      </c>
      <c r="F151" t="s">
        <v>7</v>
      </c>
      <c r="G151" t="s">
        <v>3074</v>
      </c>
    </row>
    <row r="152" spans="1:7" x14ac:dyDescent="0.25">
      <c r="A152">
        <v>10256</v>
      </c>
      <c r="B152" t="s">
        <v>244</v>
      </c>
      <c r="C152">
        <v>47</v>
      </c>
      <c r="D152" t="s">
        <v>3059</v>
      </c>
      <c r="E152">
        <v>351</v>
      </c>
      <c r="F152" t="s">
        <v>7</v>
      </c>
      <c r="G152" t="s">
        <v>3074</v>
      </c>
    </row>
    <row r="153" spans="1:7" x14ac:dyDescent="0.25">
      <c r="A153">
        <v>10257</v>
      </c>
      <c r="B153" t="s">
        <v>245</v>
      </c>
      <c r="C153">
        <v>47</v>
      </c>
      <c r="D153" t="s">
        <v>3059</v>
      </c>
      <c r="E153">
        <v>299</v>
      </c>
      <c r="F153" t="s">
        <v>7</v>
      </c>
      <c r="G153" t="s">
        <v>3074</v>
      </c>
    </row>
    <row r="154" spans="1:7" x14ac:dyDescent="0.25">
      <c r="A154">
        <v>10258</v>
      </c>
      <c r="B154" t="s">
        <v>246</v>
      </c>
      <c r="C154">
        <v>47</v>
      </c>
      <c r="D154" t="s">
        <v>3059</v>
      </c>
      <c r="E154">
        <v>31</v>
      </c>
      <c r="F154" t="s">
        <v>7</v>
      </c>
      <c r="G154" t="s">
        <v>3074</v>
      </c>
    </row>
    <row r="155" spans="1:7" x14ac:dyDescent="0.25">
      <c r="A155">
        <v>10259</v>
      </c>
      <c r="B155" t="s">
        <v>3078</v>
      </c>
      <c r="C155">
        <v>47</v>
      </c>
      <c r="D155" t="s">
        <v>3059</v>
      </c>
      <c r="E155">
        <v>21</v>
      </c>
      <c r="F155" t="s">
        <v>7</v>
      </c>
      <c r="G155" t="s">
        <v>3074</v>
      </c>
    </row>
    <row r="156" spans="1:7" x14ac:dyDescent="0.25">
      <c r="A156">
        <v>10261</v>
      </c>
      <c r="B156" t="s">
        <v>249</v>
      </c>
      <c r="C156">
        <v>47</v>
      </c>
      <c r="D156" t="s">
        <v>3059</v>
      </c>
      <c r="E156">
        <v>18</v>
      </c>
      <c r="F156" t="s">
        <v>7</v>
      </c>
      <c r="G156" t="s">
        <v>3074</v>
      </c>
    </row>
    <row r="157" spans="1:7" x14ac:dyDescent="0.25">
      <c r="A157">
        <v>10262</v>
      </c>
      <c r="B157" t="s">
        <v>250</v>
      </c>
      <c r="C157">
        <v>47</v>
      </c>
      <c r="D157" t="s">
        <v>3059</v>
      </c>
      <c r="E157">
        <v>13</v>
      </c>
      <c r="F157" t="s">
        <v>7</v>
      </c>
      <c r="G157" t="s">
        <v>3074</v>
      </c>
    </row>
    <row r="158" spans="1:7" x14ac:dyDescent="0.25">
      <c r="A158">
        <v>10263</v>
      </c>
      <c r="B158" t="s">
        <v>251</v>
      </c>
      <c r="C158">
        <v>47</v>
      </c>
      <c r="D158" t="s">
        <v>3059</v>
      </c>
      <c r="E158">
        <v>5</v>
      </c>
      <c r="F158" t="s">
        <v>7</v>
      </c>
      <c r="G158" t="s">
        <v>3074</v>
      </c>
    </row>
    <row r="159" spans="1:7" x14ac:dyDescent="0.25">
      <c r="A159">
        <v>10264</v>
      </c>
      <c r="B159" t="s">
        <v>252</v>
      </c>
      <c r="C159">
        <v>47</v>
      </c>
      <c r="D159" t="s">
        <v>3059</v>
      </c>
      <c r="E159">
        <v>10</v>
      </c>
      <c r="F159" t="s">
        <v>7</v>
      </c>
      <c r="G159" t="s">
        <v>3074</v>
      </c>
    </row>
    <row r="160" spans="1:7" x14ac:dyDescent="0.25">
      <c r="A160">
        <v>10265</v>
      </c>
      <c r="B160" t="s">
        <v>253</v>
      </c>
      <c r="C160">
        <v>47</v>
      </c>
      <c r="D160" t="s">
        <v>3059</v>
      </c>
      <c r="E160">
        <v>7</v>
      </c>
      <c r="F160" t="s">
        <v>7</v>
      </c>
      <c r="G160" t="s">
        <v>3074</v>
      </c>
    </row>
    <row r="161" spans="1:7" x14ac:dyDescent="0.25">
      <c r="A161">
        <v>10266</v>
      </c>
      <c r="B161" t="s">
        <v>254</v>
      </c>
      <c r="C161">
        <v>47</v>
      </c>
      <c r="D161" t="s">
        <v>3059</v>
      </c>
      <c r="E161">
        <v>11</v>
      </c>
      <c r="F161" t="s">
        <v>7</v>
      </c>
      <c r="G161" t="s">
        <v>3074</v>
      </c>
    </row>
    <row r="162" spans="1:7" x14ac:dyDescent="0.25">
      <c r="A162">
        <v>10267</v>
      </c>
      <c r="B162" t="s">
        <v>255</v>
      </c>
      <c r="C162">
        <v>47</v>
      </c>
      <c r="D162" t="s">
        <v>3059</v>
      </c>
      <c r="E162">
        <v>1</v>
      </c>
      <c r="F162" t="s">
        <v>7</v>
      </c>
      <c r="G162" t="s">
        <v>3074</v>
      </c>
    </row>
    <row r="163" spans="1:7" x14ac:dyDescent="0.25">
      <c r="A163">
        <v>10269</v>
      </c>
      <c r="B163" t="s">
        <v>257</v>
      </c>
      <c r="C163">
        <v>47</v>
      </c>
      <c r="D163" t="s">
        <v>3059</v>
      </c>
      <c r="E163">
        <v>110</v>
      </c>
      <c r="F163" t="s">
        <v>7</v>
      </c>
      <c r="G163" t="s">
        <v>3074</v>
      </c>
    </row>
    <row r="164" spans="1:7" x14ac:dyDescent="0.25">
      <c r="A164">
        <v>10270</v>
      </c>
      <c r="B164" t="s">
        <v>258</v>
      </c>
      <c r="C164">
        <v>47</v>
      </c>
      <c r="D164" t="s">
        <v>3059</v>
      </c>
      <c r="E164">
        <v>24</v>
      </c>
      <c r="F164" t="s">
        <v>7</v>
      </c>
      <c r="G164" t="s">
        <v>3074</v>
      </c>
    </row>
    <row r="165" spans="1:7" x14ac:dyDescent="0.25">
      <c r="A165">
        <v>10271</v>
      </c>
      <c r="B165" t="s">
        <v>259</v>
      </c>
      <c r="C165">
        <v>47</v>
      </c>
      <c r="D165" t="s">
        <v>3059</v>
      </c>
      <c r="E165">
        <v>37</v>
      </c>
      <c r="F165" t="s">
        <v>7</v>
      </c>
      <c r="G165" t="s">
        <v>3074</v>
      </c>
    </row>
    <row r="166" spans="1:7" x14ac:dyDescent="0.25">
      <c r="A166">
        <v>10272</v>
      </c>
      <c r="B166" t="s">
        <v>260</v>
      </c>
      <c r="C166">
        <v>47</v>
      </c>
      <c r="D166" t="s">
        <v>3059</v>
      </c>
      <c r="E166">
        <v>15</v>
      </c>
      <c r="F166" t="s">
        <v>7</v>
      </c>
      <c r="G166" t="s">
        <v>3074</v>
      </c>
    </row>
    <row r="167" spans="1:7" x14ac:dyDescent="0.25">
      <c r="A167">
        <v>10273</v>
      </c>
      <c r="B167" t="s">
        <v>261</v>
      </c>
      <c r="C167">
        <v>47</v>
      </c>
      <c r="D167" t="s">
        <v>3059</v>
      </c>
      <c r="E167">
        <v>19</v>
      </c>
      <c r="F167" t="s">
        <v>7</v>
      </c>
      <c r="G167" t="s">
        <v>3074</v>
      </c>
    </row>
    <row r="168" spans="1:7" x14ac:dyDescent="0.25">
      <c r="A168">
        <v>10274</v>
      </c>
      <c r="B168" t="s">
        <v>262</v>
      </c>
      <c r="C168">
        <v>47</v>
      </c>
      <c r="D168" t="s">
        <v>3059</v>
      </c>
      <c r="E168">
        <v>15</v>
      </c>
      <c r="F168" t="s">
        <v>7</v>
      </c>
      <c r="G168" t="s">
        <v>3074</v>
      </c>
    </row>
    <row r="169" spans="1:7" x14ac:dyDescent="0.25">
      <c r="A169">
        <v>10275</v>
      </c>
      <c r="B169" t="s">
        <v>263</v>
      </c>
      <c r="C169">
        <v>47</v>
      </c>
      <c r="D169" t="s">
        <v>3059</v>
      </c>
      <c r="E169">
        <v>32</v>
      </c>
      <c r="F169" t="s">
        <v>7</v>
      </c>
      <c r="G169" t="s">
        <v>3074</v>
      </c>
    </row>
    <row r="170" spans="1:7" x14ac:dyDescent="0.25">
      <c r="A170">
        <v>10276</v>
      </c>
      <c r="B170" t="s">
        <v>264</v>
      </c>
      <c r="C170">
        <v>47</v>
      </c>
      <c r="D170" t="s">
        <v>3059</v>
      </c>
      <c r="E170">
        <v>5</v>
      </c>
      <c r="F170" t="s">
        <v>7</v>
      </c>
      <c r="G170" t="s">
        <v>3074</v>
      </c>
    </row>
    <row r="171" spans="1:7" x14ac:dyDescent="0.25">
      <c r="A171">
        <v>10278</v>
      </c>
      <c r="B171" t="s">
        <v>265</v>
      </c>
      <c r="C171">
        <v>47</v>
      </c>
      <c r="D171" t="s">
        <v>3059</v>
      </c>
      <c r="E171">
        <v>39</v>
      </c>
      <c r="F171" t="s">
        <v>7</v>
      </c>
      <c r="G171" t="s">
        <v>3074</v>
      </c>
    </row>
    <row r="172" spans="1:7" x14ac:dyDescent="0.25">
      <c r="A172">
        <v>10279</v>
      </c>
      <c r="B172" t="s">
        <v>266</v>
      </c>
      <c r="C172">
        <v>47</v>
      </c>
      <c r="D172" t="s">
        <v>3059</v>
      </c>
      <c r="E172">
        <v>35</v>
      </c>
      <c r="F172" t="s">
        <v>7</v>
      </c>
      <c r="G172" t="s">
        <v>3074</v>
      </c>
    </row>
    <row r="173" spans="1:7" x14ac:dyDescent="0.25">
      <c r="A173">
        <v>10280</v>
      </c>
      <c r="B173" t="s">
        <v>267</v>
      </c>
      <c r="C173">
        <v>47</v>
      </c>
      <c r="D173" t="s">
        <v>3059</v>
      </c>
      <c r="E173">
        <v>51</v>
      </c>
      <c r="F173" t="s">
        <v>7</v>
      </c>
      <c r="G173" t="s">
        <v>3074</v>
      </c>
    </row>
    <row r="174" spans="1:7" x14ac:dyDescent="0.25">
      <c r="A174">
        <v>10281</v>
      </c>
      <c r="B174" t="s">
        <v>268</v>
      </c>
      <c r="C174">
        <v>47</v>
      </c>
      <c r="D174" t="s">
        <v>3059</v>
      </c>
      <c r="E174">
        <v>64</v>
      </c>
      <c r="F174" t="s">
        <v>7</v>
      </c>
      <c r="G174" t="s">
        <v>3074</v>
      </c>
    </row>
    <row r="175" spans="1:7" x14ac:dyDescent="0.25">
      <c r="A175">
        <v>10282</v>
      </c>
      <c r="B175" t="s">
        <v>269</v>
      </c>
      <c r="C175">
        <v>47</v>
      </c>
      <c r="D175" t="s">
        <v>3059</v>
      </c>
      <c r="E175">
        <v>16</v>
      </c>
      <c r="F175" t="s">
        <v>7</v>
      </c>
      <c r="G175" t="s">
        <v>3074</v>
      </c>
    </row>
    <row r="176" spans="1:7" x14ac:dyDescent="0.25">
      <c r="A176">
        <v>10283</v>
      </c>
      <c r="B176" t="s">
        <v>270</v>
      </c>
      <c r="C176">
        <v>47</v>
      </c>
      <c r="D176" t="s">
        <v>3059</v>
      </c>
      <c r="E176">
        <v>25</v>
      </c>
      <c r="F176" t="s">
        <v>7</v>
      </c>
      <c r="G176" t="s">
        <v>3074</v>
      </c>
    </row>
    <row r="177" spans="1:7" x14ac:dyDescent="0.25">
      <c r="A177">
        <v>10284</v>
      </c>
      <c r="B177" t="s">
        <v>271</v>
      </c>
      <c r="C177">
        <v>47</v>
      </c>
      <c r="D177" t="s">
        <v>3059</v>
      </c>
      <c r="E177">
        <v>90</v>
      </c>
      <c r="F177" t="s">
        <v>7</v>
      </c>
      <c r="G177" t="s">
        <v>3074</v>
      </c>
    </row>
    <row r="178" spans="1:7" x14ac:dyDescent="0.25">
      <c r="A178">
        <v>10286</v>
      </c>
      <c r="B178" t="s">
        <v>273</v>
      </c>
      <c r="C178">
        <v>47</v>
      </c>
      <c r="D178" t="s">
        <v>3059</v>
      </c>
      <c r="E178">
        <v>1</v>
      </c>
      <c r="F178" t="s">
        <v>7</v>
      </c>
      <c r="G178" t="s">
        <v>3074</v>
      </c>
    </row>
    <row r="179" spans="1:7" x14ac:dyDescent="0.25">
      <c r="A179">
        <v>10287</v>
      </c>
      <c r="B179" t="s">
        <v>274</v>
      </c>
      <c r="C179">
        <v>47</v>
      </c>
      <c r="D179" t="s">
        <v>3059</v>
      </c>
      <c r="E179">
        <v>1</v>
      </c>
      <c r="F179" t="s">
        <v>7</v>
      </c>
      <c r="G179" t="s">
        <v>3074</v>
      </c>
    </row>
    <row r="180" spans="1:7" x14ac:dyDescent="0.25">
      <c r="A180">
        <v>10290</v>
      </c>
      <c r="B180" t="s">
        <v>3079</v>
      </c>
      <c r="C180">
        <v>47</v>
      </c>
      <c r="D180" t="s">
        <v>3059</v>
      </c>
      <c r="E180">
        <v>11</v>
      </c>
      <c r="F180" t="s">
        <v>7</v>
      </c>
      <c r="G180" t="s">
        <v>3074</v>
      </c>
    </row>
    <row r="181" spans="1:7" x14ac:dyDescent="0.25">
      <c r="A181">
        <v>10291</v>
      </c>
      <c r="B181" t="s">
        <v>277</v>
      </c>
      <c r="C181">
        <v>47</v>
      </c>
      <c r="D181" t="s">
        <v>3059</v>
      </c>
      <c r="E181">
        <v>70</v>
      </c>
      <c r="F181" t="s">
        <v>7</v>
      </c>
      <c r="G181" t="s">
        <v>3074</v>
      </c>
    </row>
    <row r="182" spans="1:7" x14ac:dyDescent="0.25">
      <c r="A182">
        <v>10292</v>
      </c>
      <c r="B182" t="s">
        <v>278</v>
      </c>
      <c r="C182">
        <v>47</v>
      </c>
      <c r="D182" t="s">
        <v>3059</v>
      </c>
      <c r="E182">
        <v>17</v>
      </c>
      <c r="F182" t="s">
        <v>7</v>
      </c>
      <c r="G182" t="s">
        <v>3074</v>
      </c>
    </row>
    <row r="183" spans="1:7" x14ac:dyDescent="0.25">
      <c r="A183">
        <v>10294</v>
      </c>
      <c r="B183" t="s">
        <v>279</v>
      </c>
      <c r="C183">
        <v>47</v>
      </c>
      <c r="D183" t="s">
        <v>3059</v>
      </c>
      <c r="E183">
        <v>106</v>
      </c>
      <c r="F183" t="s">
        <v>7</v>
      </c>
      <c r="G183" t="s">
        <v>3074</v>
      </c>
    </row>
    <row r="184" spans="1:7" x14ac:dyDescent="0.25">
      <c r="A184">
        <v>10296</v>
      </c>
      <c r="B184" t="s">
        <v>281</v>
      </c>
      <c r="C184">
        <v>47</v>
      </c>
      <c r="D184" t="s">
        <v>3059</v>
      </c>
      <c r="E184">
        <v>1</v>
      </c>
      <c r="F184" t="s">
        <v>7</v>
      </c>
      <c r="G184" t="s">
        <v>3074</v>
      </c>
    </row>
    <row r="185" spans="1:7" x14ac:dyDescent="0.25">
      <c r="A185">
        <v>10299</v>
      </c>
      <c r="B185" t="s">
        <v>284</v>
      </c>
      <c r="C185">
        <v>47</v>
      </c>
      <c r="D185" t="s">
        <v>3059</v>
      </c>
      <c r="E185">
        <v>26</v>
      </c>
      <c r="F185" t="s">
        <v>7</v>
      </c>
      <c r="G185" t="s">
        <v>3074</v>
      </c>
    </row>
    <row r="186" spans="1:7" x14ac:dyDescent="0.25">
      <c r="A186">
        <v>10300</v>
      </c>
      <c r="B186" t="s">
        <v>285</v>
      </c>
      <c r="C186">
        <v>47</v>
      </c>
      <c r="D186" t="s">
        <v>3059</v>
      </c>
      <c r="E186">
        <v>25</v>
      </c>
      <c r="F186" t="s">
        <v>7</v>
      </c>
      <c r="G186" t="s">
        <v>3074</v>
      </c>
    </row>
    <row r="187" spans="1:7" x14ac:dyDescent="0.25">
      <c r="A187">
        <v>10301</v>
      </c>
      <c r="B187" t="s">
        <v>286</v>
      </c>
      <c r="C187">
        <v>47</v>
      </c>
      <c r="D187" t="s">
        <v>3059</v>
      </c>
      <c r="E187">
        <v>202</v>
      </c>
      <c r="F187" t="s">
        <v>7</v>
      </c>
      <c r="G187" t="s">
        <v>3074</v>
      </c>
    </row>
    <row r="188" spans="1:7" x14ac:dyDescent="0.25">
      <c r="A188">
        <v>10302</v>
      </c>
      <c r="B188" t="s">
        <v>3080</v>
      </c>
      <c r="C188">
        <v>47</v>
      </c>
      <c r="D188" t="s">
        <v>3059</v>
      </c>
      <c r="E188">
        <v>34</v>
      </c>
      <c r="F188" t="s">
        <v>7</v>
      </c>
      <c r="G188" t="s">
        <v>3074</v>
      </c>
    </row>
    <row r="189" spans="1:7" x14ac:dyDescent="0.25">
      <c r="A189">
        <v>10303</v>
      </c>
      <c r="B189" t="s">
        <v>3081</v>
      </c>
      <c r="C189">
        <v>47</v>
      </c>
      <c r="D189" t="s">
        <v>3059</v>
      </c>
      <c r="E189">
        <v>11</v>
      </c>
      <c r="F189" t="s">
        <v>7</v>
      </c>
      <c r="G189" t="s">
        <v>3074</v>
      </c>
    </row>
    <row r="190" spans="1:7" x14ac:dyDescent="0.25">
      <c r="A190">
        <v>10304</v>
      </c>
      <c r="B190" t="s">
        <v>289</v>
      </c>
      <c r="C190">
        <v>47</v>
      </c>
      <c r="D190" t="s">
        <v>3059</v>
      </c>
      <c r="E190">
        <v>27</v>
      </c>
      <c r="F190" t="s">
        <v>7</v>
      </c>
      <c r="G190" t="s">
        <v>3074</v>
      </c>
    </row>
    <row r="191" spans="1:7" x14ac:dyDescent="0.25">
      <c r="A191">
        <v>10305</v>
      </c>
      <c r="B191" t="s">
        <v>290</v>
      </c>
      <c r="C191">
        <v>47</v>
      </c>
      <c r="D191" t="s">
        <v>3059</v>
      </c>
      <c r="E191">
        <v>1</v>
      </c>
      <c r="F191" t="s">
        <v>7</v>
      </c>
      <c r="G191" t="s">
        <v>3074</v>
      </c>
    </row>
    <row r="192" spans="1:7" x14ac:dyDescent="0.25">
      <c r="A192">
        <v>10306</v>
      </c>
      <c r="B192" t="s">
        <v>291</v>
      </c>
      <c r="C192">
        <v>47</v>
      </c>
      <c r="D192" t="s">
        <v>3059</v>
      </c>
      <c r="E192">
        <v>30</v>
      </c>
      <c r="F192" t="s">
        <v>7</v>
      </c>
      <c r="G192" t="s">
        <v>3074</v>
      </c>
    </row>
    <row r="193" spans="1:7" x14ac:dyDescent="0.25">
      <c r="A193">
        <v>10307</v>
      </c>
      <c r="B193" t="s">
        <v>3082</v>
      </c>
      <c r="C193">
        <v>47</v>
      </c>
      <c r="D193" t="s">
        <v>3059</v>
      </c>
      <c r="E193">
        <v>21</v>
      </c>
      <c r="F193" t="s">
        <v>7</v>
      </c>
      <c r="G193" t="s">
        <v>3074</v>
      </c>
    </row>
    <row r="194" spans="1:7" x14ac:dyDescent="0.25">
      <c r="A194">
        <v>10308</v>
      </c>
      <c r="B194" t="s">
        <v>293</v>
      </c>
      <c r="C194">
        <v>47</v>
      </c>
      <c r="D194" t="s">
        <v>3059</v>
      </c>
      <c r="E194">
        <v>143</v>
      </c>
      <c r="F194" t="s">
        <v>7</v>
      </c>
      <c r="G194" t="s">
        <v>3074</v>
      </c>
    </row>
    <row r="195" spans="1:7" x14ac:dyDescent="0.25">
      <c r="A195">
        <v>10309</v>
      </c>
      <c r="B195" t="s">
        <v>294</v>
      </c>
      <c r="C195">
        <v>47</v>
      </c>
      <c r="D195" t="s">
        <v>3059</v>
      </c>
      <c r="E195">
        <v>102</v>
      </c>
      <c r="F195" t="s">
        <v>7</v>
      </c>
      <c r="G195" t="s">
        <v>3074</v>
      </c>
    </row>
    <row r="196" spans="1:7" x14ac:dyDescent="0.25">
      <c r="A196">
        <v>10310</v>
      </c>
      <c r="B196" t="s">
        <v>295</v>
      </c>
      <c r="C196">
        <v>47</v>
      </c>
      <c r="D196" t="s">
        <v>3059</v>
      </c>
      <c r="E196">
        <v>41</v>
      </c>
      <c r="F196" t="s">
        <v>7</v>
      </c>
      <c r="G196" t="s">
        <v>3074</v>
      </c>
    </row>
    <row r="197" spans="1:7" x14ac:dyDescent="0.25">
      <c r="A197">
        <v>10311</v>
      </c>
      <c r="B197" t="s">
        <v>296</v>
      </c>
      <c r="C197">
        <v>47</v>
      </c>
      <c r="D197" t="s">
        <v>3059</v>
      </c>
      <c r="E197">
        <v>12</v>
      </c>
      <c r="F197" t="s">
        <v>7</v>
      </c>
      <c r="G197" t="s">
        <v>3074</v>
      </c>
    </row>
    <row r="198" spans="1:7" x14ac:dyDescent="0.25">
      <c r="A198">
        <v>10312</v>
      </c>
      <c r="B198" t="s">
        <v>297</v>
      </c>
      <c r="C198">
        <v>47</v>
      </c>
      <c r="D198" t="s">
        <v>3059</v>
      </c>
      <c r="E198">
        <v>2</v>
      </c>
      <c r="F198" t="s">
        <v>7</v>
      </c>
      <c r="G198" t="s">
        <v>3074</v>
      </c>
    </row>
    <row r="199" spans="1:7" x14ac:dyDescent="0.25">
      <c r="A199">
        <v>10313</v>
      </c>
      <c r="B199" t="s">
        <v>298</v>
      </c>
      <c r="C199">
        <v>47</v>
      </c>
      <c r="D199" t="s">
        <v>3059</v>
      </c>
      <c r="E199">
        <v>36</v>
      </c>
      <c r="F199" t="s">
        <v>7</v>
      </c>
      <c r="G199" t="s">
        <v>3074</v>
      </c>
    </row>
    <row r="200" spans="1:7" x14ac:dyDescent="0.25">
      <c r="A200">
        <v>10316</v>
      </c>
      <c r="B200" t="s">
        <v>301</v>
      </c>
      <c r="C200">
        <v>47</v>
      </c>
      <c r="D200" t="s">
        <v>3059</v>
      </c>
      <c r="E200">
        <v>27</v>
      </c>
      <c r="F200" t="s">
        <v>7</v>
      </c>
      <c r="G200" t="s">
        <v>3074</v>
      </c>
    </row>
    <row r="201" spans="1:7" x14ac:dyDescent="0.25">
      <c r="A201">
        <v>10317</v>
      </c>
      <c r="B201" t="s">
        <v>302</v>
      </c>
      <c r="C201">
        <v>47</v>
      </c>
      <c r="D201" t="s">
        <v>3059</v>
      </c>
      <c r="E201">
        <v>73</v>
      </c>
      <c r="F201" t="s">
        <v>7</v>
      </c>
      <c r="G201" t="s">
        <v>3074</v>
      </c>
    </row>
    <row r="202" spans="1:7" x14ac:dyDescent="0.25">
      <c r="A202">
        <v>10318</v>
      </c>
      <c r="B202" t="s">
        <v>303</v>
      </c>
      <c r="C202">
        <v>47</v>
      </c>
      <c r="D202" t="s">
        <v>3059</v>
      </c>
      <c r="E202">
        <v>2</v>
      </c>
      <c r="F202" t="s">
        <v>7</v>
      </c>
      <c r="G202" t="s">
        <v>3074</v>
      </c>
    </row>
    <row r="203" spans="1:7" x14ac:dyDescent="0.25">
      <c r="A203">
        <v>10319</v>
      </c>
      <c r="B203" t="s">
        <v>304</v>
      </c>
      <c r="C203">
        <v>47</v>
      </c>
      <c r="D203" t="s">
        <v>3059</v>
      </c>
      <c r="E203">
        <v>7</v>
      </c>
      <c r="F203" t="s">
        <v>7</v>
      </c>
      <c r="G203" t="s">
        <v>3074</v>
      </c>
    </row>
    <row r="204" spans="1:7" x14ac:dyDescent="0.25">
      <c r="A204">
        <v>10320</v>
      </c>
      <c r="B204" t="s">
        <v>305</v>
      </c>
      <c r="C204">
        <v>47</v>
      </c>
      <c r="D204" t="s">
        <v>3059</v>
      </c>
      <c r="E204">
        <v>17</v>
      </c>
      <c r="F204" t="s">
        <v>7</v>
      </c>
      <c r="G204" t="s">
        <v>3074</v>
      </c>
    </row>
    <row r="205" spans="1:7" x14ac:dyDescent="0.25">
      <c r="A205">
        <v>10322</v>
      </c>
      <c r="B205" t="s">
        <v>307</v>
      </c>
      <c r="C205">
        <v>47</v>
      </c>
      <c r="D205" t="s">
        <v>3059</v>
      </c>
      <c r="E205">
        <v>1</v>
      </c>
      <c r="F205" t="s">
        <v>7</v>
      </c>
      <c r="G205" t="s">
        <v>3074</v>
      </c>
    </row>
    <row r="206" spans="1:7" x14ac:dyDescent="0.25">
      <c r="A206">
        <v>10323</v>
      </c>
      <c r="B206" t="s">
        <v>308</v>
      </c>
      <c r="C206">
        <v>47</v>
      </c>
      <c r="D206" t="s">
        <v>3059</v>
      </c>
      <c r="E206">
        <v>10</v>
      </c>
      <c r="F206" t="s">
        <v>7</v>
      </c>
      <c r="G206" t="s">
        <v>3074</v>
      </c>
    </row>
    <row r="207" spans="1:7" x14ac:dyDescent="0.25">
      <c r="A207">
        <v>10325</v>
      </c>
      <c r="B207" t="s">
        <v>309</v>
      </c>
      <c r="C207">
        <v>47</v>
      </c>
      <c r="D207" t="s">
        <v>3059</v>
      </c>
      <c r="E207">
        <v>4</v>
      </c>
      <c r="F207" t="s">
        <v>7</v>
      </c>
      <c r="G207" t="s">
        <v>3074</v>
      </c>
    </row>
    <row r="208" spans="1:7" x14ac:dyDescent="0.25">
      <c r="A208">
        <v>10326</v>
      </c>
      <c r="B208" t="s">
        <v>310</v>
      </c>
      <c r="C208">
        <v>47</v>
      </c>
      <c r="D208" t="s">
        <v>3059</v>
      </c>
      <c r="E208">
        <v>4</v>
      </c>
      <c r="F208" t="s">
        <v>7</v>
      </c>
      <c r="G208" t="s">
        <v>3074</v>
      </c>
    </row>
    <row r="209" spans="1:7" x14ac:dyDescent="0.25">
      <c r="A209">
        <v>10327</v>
      </c>
      <c r="B209" t="s">
        <v>311</v>
      </c>
      <c r="C209">
        <v>47</v>
      </c>
      <c r="D209" t="s">
        <v>3059</v>
      </c>
      <c r="E209">
        <v>1</v>
      </c>
      <c r="F209" t="s">
        <v>7</v>
      </c>
      <c r="G209" t="s">
        <v>3074</v>
      </c>
    </row>
    <row r="210" spans="1:7" x14ac:dyDescent="0.25">
      <c r="A210">
        <v>10328</v>
      </c>
      <c r="B210" t="s">
        <v>312</v>
      </c>
      <c r="C210">
        <v>47</v>
      </c>
      <c r="D210" t="s">
        <v>3059</v>
      </c>
      <c r="E210">
        <v>21</v>
      </c>
      <c r="F210" t="s">
        <v>7</v>
      </c>
      <c r="G210" t="s">
        <v>3074</v>
      </c>
    </row>
    <row r="211" spans="1:7" x14ac:dyDescent="0.25">
      <c r="A211">
        <v>10329</v>
      </c>
      <c r="B211" t="s">
        <v>313</v>
      </c>
      <c r="C211">
        <v>47</v>
      </c>
      <c r="D211" t="s">
        <v>3059</v>
      </c>
      <c r="E211">
        <v>12</v>
      </c>
      <c r="F211" t="s">
        <v>7</v>
      </c>
      <c r="G211" t="s">
        <v>3074</v>
      </c>
    </row>
    <row r="212" spans="1:7" x14ac:dyDescent="0.25">
      <c r="A212">
        <v>10330</v>
      </c>
      <c r="B212" t="s">
        <v>314</v>
      </c>
      <c r="C212">
        <v>47</v>
      </c>
      <c r="D212" t="s">
        <v>3059</v>
      </c>
      <c r="E212">
        <v>72</v>
      </c>
      <c r="F212" t="s">
        <v>7</v>
      </c>
      <c r="G212" t="s">
        <v>3074</v>
      </c>
    </row>
    <row r="213" spans="1:7" x14ac:dyDescent="0.25">
      <c r="A213">
        <v>10331</v>
      </c>
      <c r="B213" t="s">
        <v>315</v>
      </c>
      <c r="C213">
        <v>47</v>
      </c>
      <c r="D213" t="s">
        <v>3059</v>
      </c>
      <c r="E213">
        <v>18</v>
      </c>
      <c r="F213" t="s">
        <v>7</v>
      </c>
      <c r="G213" t="s">
        <v>3074</v>
      </c>
    </row>
    <row r="214" spans="1:7" x14ac:dyDescent="0.25">
      <c r="A214">
        <v>10332</v>
      </c>
      <c r="B214" t="s">
        <v>316</v>
      </c>
      <c r="C214">
        <v>47</v>
      </c>
      <c r="D214" t="s">
        <v>3059</v>
      </c>
      <c r="E214">
        <v>21</v>
      </c>
      <c r="F214" t="s">
        <v>7</v>
      </c>
      <c r="G214" t="s">
        <v>3074</v>
      </c>
    </row>
    <row r="215" spans="1:7" x14ac:dyDescent="0.25">
      <c r="A215">
        <v>10333</v>
      </c>
      <c r="B215" t="s">
        <v>317</v>
      </c>
      <c r="C215">
        <v>47</v>
      </c>
      <c r="D215" t="s">
        <v>3059</v>
      </c>
      <c r="E215">
        <v>35</v>
      </c>
      <c r="F215" t="s">
        <v>7</v>
      </c>
      <c r="G215" t="s">
        <v>3074</v>
      </c>
    </row>
    <row r="216" spans="1:7" x14ac:dyDescent="0.25">
      <c r="A216">
        <v>10334</v>
      </c>
      <c r="B216" t="s">
        <v>318</v>
      </c>
      <c r="C216">
        <v>47</v>
      </c>
      <c r="D216" t="s">
        <v>3059</v>
      </c>
      <c r="E216">
        <v>33</v>
      </c>
      <c r="F216" t="s">
        <v>7</v>
      </c>
      <c r="G216" t="s">
        <v>3074</v>
      </c>
    </row>
    <row r="217" spans="1:7" x14ac:dyDescent="0.25">
      <c r="A217">
        <v>10335</v>
      </c>
      <c r="B217" t="s">
        <v>319</v>
      </c>
      <c r="C217">
        <v>47</v>
      </c>
      <c r="D217" t="s">
        <v>3059</v>
      </c>
      <c r="E217">
        <v>9</v>
      </c>
      <c r="F217" t="s">
        <v>7</v>
      </c>
      <c r="G217" t="s">
        <v>3074</v>
      </c>
    </row>
    <row r="218" spans="1:7" x14ac:dyDescent="0.25">
      <c r="A218">
        <v>10336</v>
      </c>
      <c r="B218" t="s">
        <v>320</v>
      </c>
      <c r="C218">
        <v>47</v>
      </c>
      <c r="D218" t="s">
        <v>3059</v>
      </c>
      <c r="E218">
        <v>4</v>
      </c>
      <c r="F218" t="s">
        <v>3065</v>
      </c>
      <c r="G218" t="s">
        <v>3066</v>
      </c>
    </row>
    <row r="219" spans="1:7" x14ac:dyDescent="0.25">
      <c r="A219">
        <v>10337</v>
      </c>
      <c r="B219" t="s">
        <v>321</v>
      </c>
      <c r="C219">
        <v>47</v>
      </c>
      <c r="D219" t="s">
        <v>3059</v>
      </c>
      <c r="E219">
        <v>55</v>
      </c>
      <c r="F219" t="s">
        <v>3065</v>
      </c>
      <c r="G219" t="s">
        <v>3066</v>
      </c>
    </row>
    <row r="220" spans="1:7" x14ac:dyDescent="0.25">
      <c r="A220">
        <v>10338</v>
      </c>
      <c r="B220" t="s">
        <v>322</v>
      </c>
      <c r="C220">
        <v>47</v>
      </c>
      <c r="D220" t="s">
        <v>3059</v>
      </c>
      <c r="E220">
        <v>36</v>
      </c>
      <c r="F220" t="s">
        <v>3065</v>
      </c>
      <c r="G220" t="s">
        <v>3066</v>
      </c>
    </row>
    <row r="221" spans="1:7" x14ac:dyDescent="0.25">
      <c r="A221">
        <v>10339</v>
      </c>
      <c r="B221" t="s">
        <v>323</v>
      </c>
      <c r="C221">
        <v>47</v>
      </c>
      <c r="D221" t="s">
        <v>3059</v>
      </c>
      <c r="E221">
        <v>33</v>
      </c>
      <c r="F221" t="s">
        <v>3065</v>
      </c>
      <c r="G221" t="s">
        <v>3066</v>
      </c>
    </row>
    <row r="222" spans="1:7" x14ac:dyDescent="0.25">
      <c r="A222">
        <v>10349</v>
      </c>
      <c r="B222" t="s">
        <v>330</v>
      </c>
      <c r="C222">
        <v>47</v>
      </c>
      <c r="D222" t="s">
        <v>3059</v>
      </c>
      <c r="E222">
        <v>2</v>
      </c>
      <c r="F222" t="s">
        <v>7</v>
      </c>
      <c r="G222" t="s">
        <v>3062</v>
      </c>
    </row>
    <row r="223" spans="1:7" x14ac:dyDescent="0.25">
      <c r="A223">
        <v>10351</v>
      </c>
      <c r="B223" t="s">
        <v>331</v>
      </c>
      <c r="C223">
        <v>47</v>
      </c>
      <c r="D223" t="s">
        <v>3059</v>
      </c>
      <c r="E223">
        <v>1</v>
      </c>
      <c r="F223" t="s">
        <v>7</v>
      </c>
      <c r="G223" t="s">
        <v>3070</v>
      </c>
    </row>
    <row r="224" spans="1:7" x14ac:dyDescent="0.25">
      <c r="A224">
        <v>10352</v>
      </c>
      <c r="B224" t="s">
        <v>332</v>
      </c>
      <c r="C224">
        <v>47</v>
      </c>
      <c r="D224" t="s">
        <v>3059</v>
      </c>
      <c r="E224">
        <v>230</v>
      </c>
      <c r="F224" t="s">
        <v>7</v>
      </c>
      <c r="G224" t="s">
        <v>3070</v>
      </c>
    </row>
    <row r="225" spans="1:7" x14ac:dyDescent="0.25">
      <c r="A225">
        <v>10353</v>
      </c>
      <c r="B225" t="s">
        <v>333</v>
      </c>
      <c r="C225">
        <v>47</v>
      </c>
      <c r="D225" t="s">
        <v>3059</v>
      </c>
      <c r="E225">
        <v>447</v>
      </c>
      <c r="F225" t="s">
        <v>7</v>
      </c>
      <c r="G225" t="s">
        <v>3070</v>
      </c>
    </row>
    <row r="226" spans="1:7" x14ac:dyDescent="0.25">
      <c r="A226">
        <v>10355</v>
      </c>
      <c r="B226" t="s">
        <v>335</v>
      </c>
      <c r="C226">
        <v>47</v>
      </c>
      <c r="D226" t="s">
        <v>3059</v>
      </c>
      <c r="E226">
        <v>1</v>
      </c>
      <c r="F226" t="s">
        <v>7</v>
      </c>
      <c r="G226" t="s">
        <v>3070</v>
      </c>
    </row>
    <row r="227" spans="1:7" x14ac:dyDescent="0.25">
      <c r="A227">
        <v>10356</v>
      </c>
      <c r="B227" t="s">
        <v>336</v>
      </c>
      <c r="C227">
        <v>47</v>
      </c>
      <c r="D227" t="s">
        <v>3059</v>
      </c>
      <c r="E227">
        <v>2250</v>
      </c>
      <c r="F227" t="s">
        <v>7</v>
      </c>
      <c r="G227" t="s">
        <v>3070</v>
      </c>
    </row>
    <row r="228" spans="1:7" x14ac:dyDescent="0.25">
      <c r="A228">
        <v>10358</v>
      </c>
      <c r="B228" t="s">
        <v>338</v>
      </c>
      <c r="C228">
        <v>47</v>
      </c>
      <c r="D228" t="s">
        <v>3059</v>
      </c>
      <c r="E228">
        <v>335</v>
      </c>
      <c r="F228" t="s">
        <v>7</v>
      </c>
      <c r="G228" t="s">
        <v>3070</v>
      </c>
    </row>
    <row r="229" spans="1:7" x14ac:dyDescent="0.25">
      <c r="A229">
        <v>10359</v>
      </c>
      <c r="B229" t="s">
        <v>339</v>
      </c>
      <c r="C229">
        <v>47</v>
      </c>
      <c r="D229" t="s">
        <v>3059</v>
      </c>
      <c r="E229">
        <v>4</v>
      </c>
      <c r="F229" t="s">
        <v>7</v>
      </c>
      <c r="G229" t="s">
        <v>3070</v>
      </c>
    </row>
    <row r="230" spans="1:7" x14ac:dyDescent="0.25">
      <c r="A230">
        <v>10360</v>
      </c>
      <c r="B230" t="s">
        <v>340</v>
      </c>
      <c r="C230">
        <v>47</v>
      </c>
      <c r="D230" t="s">
        <v>3059</v>
      </c>
      <c r="E230">
        <v>134</v>
      </c>
      <c r="F230" t="s">
        <v>7</v>
      </c>
      <c r="G230" t="s">
        <v>3070</v>
      </c>
    </row>
    <row r="231" spans="1:7" x14ac:dyDescent="0.25">
      <c r="A231">
        <v>10361</v>
      </c>
      <c r="B231" t="s">
        <v>341</v>
      </c>
      <c r="C231">
        <v>47</v>
      </c>
      <c r="D231" t="s">
        <v>3059</v>
      </c>
      <c r="E231">
        <v>237</v>
      </c>
      <c r="F231" t="s">
        <v>7</v>
      </c>
      <c r="G231" t="s">
        <v>3070</v>
      </c>
    </row>
    <row r="232" spans="1:7" x14ac:dyDescent="0.25">
      <c r="A232">
        <v>10362</v>
      </c>
      <c r="B232" t="s">
        <v>16099</v>
      </c>
      <c r="C232">
        <v>47</v>
      </c>
      <c r="D232" t="s">
        <v>3059</v>
      </c>
      <c r="E232">
        <v>30</v>
      </c>
      <c r="F232" t="s">
        <v>7</v>
      </c>
      <c r="G232" t="s">
        <v>3070</v>
      </c>
    </row>
    <row r="233" spans="1:7" x14ac:dyDescent="0.25">
      <c r="A233">
        <v>10363</v>
      </c>
      <c r="B233" t="s">
        <v>342</v>
      </c>
      <c r="C233">
        <v>47</v>
      </c>
      <c r="D233" t="s">
        <v>3059</v>
      </c>
      <c r="E233">
        <v>3</v>
      </c>
      <c r="F233" t="s">
        <v>7</v>
      </c>
      <c r="G233" t="s">
        <v>3070</v>
      </c>
    </row>
    <row r="234" spans="1:7" x14ac:dyDescent="0.25">
      <c r="A234">
        <v>10364</v>
      </c>
      <c r="B234" t="s">
        <v>343</v>
      </c>
      <c r="C234">
        <v>47</v>
      </c>
      <c r="D234" t="s">
        <v>3059</v>
      </c>
      <c r="E234">
        <v>56</v>
      </c>
      <c r="F234" t="s">
        <v>7</v>
      </c>
      <c r="G234" t="s">
        <v>3070</v>
      </c>
    </row>
    <row r="235" spans="1:7" x14ac:dyDescent="0.25">
      <c r="A235">
        <v>10365</v>
      </c>
      <c r="B235" t="s">
        <v>344</v>
      </c>
      <c r="C235">
        <v>47</v>
      </c>
      <c r="D235" t="s">
        <v>3059</v>
      </c>
      <c r="E235">
        <v>1</v>
      </c>
      <c r="F235" t="s">
        <v>7</v>
      </c>
      <c r="G235" t="s">
        <v>3070</v>
      </c>
    </row>
    <row r="236" spans="1:7" x14ac:dyDescent="0.25">
      <c r="A236">
        <v>10367</v>
      </c>
      <c r="B236" t="s">
        <v>345</v>
      </c>
      <c r="C236">
        <v>47</v>
      </c>
      <c r="D236" t="s">
        <v>3059</v>
      </c>
      <c r="E236">
        <v>28</v>
      </c>
      <c r="F236" t="s">
        <v>7</v>
      </c>
      <c r="G236" t="s">
        <v>3071</v>
      </c>
    </row>
    <row r="237" spans="1:7" x14ac:dyDescent="0.25">
      <c r="A237">
        <v>10368</v>
      </c>
      <c r="B237" t="s">
        <v>346</v>
      </c>
      <c r="C237">
        <v>47</v>
      </c>
      <c r="D237" t="s">
        <v>3059</v>
      </c>
      <c r="E237">
        <v>24</v>
      </c>
      <c r="F237" t="s">
        <v>7</v>
      </c>
      <c r="G237" t="s">
        <v>3071</v>
      </c>
    </row>
    <row r="238" spans="1:7" x14ac:dyDescent="0.25">
      <c r="A238">
        <v>10370</v>
      </c>
      <c r="B238" t="s">
        <v>348</v>
      </c>
      <c r="C238">
        <v>47</v>
      </c>
      <c r="D238" t="s">
        <v>3059</v>
      </c>
      <c r="E238">
        <v>9</v>
      </c>
      <c r="F238" t="s">
        <v>7</v>
      </c>
      <c r="G238" t="s">
        <v>3071</v>
      </c>
    </row>
    <row r="239" spans="1:7" x14ac:dyDescent="0.25">
      <c r="A239">
        <v>10371</v>
      </c>
      <c r="B239" t="s">
        <v>349</v>
      </c>
      <c r="C239">
        <v>47</v>
      </c>
      <c r="D239" t="s">
        <v>3059</v>
      </c>
      <c r="E239">
        <v>2</v>
      </c>
      <c r="F239" t="s">
        <v>7</v>
      </c>
      <c r="G239" t="s">
        <v>3071</v>
      </c>
    </row>
    <row r="240" spans="1:7" x14ac:dyDescent="0.25">
      <c r="A240">
        <v>10373</v>
      </c>
      <c r="B240" t="s">
        <v>351</v>
      </c>
      <c r="C240">
        <v>47</v>
      </c>
      <c r="D240" t="s">
        <v>3059</v>
      </c>
      <c r="E240">
        <v>15</v>
      </c>
      <c r="F240" t="s">
        <v>7</v>
      </c>
      <c r="G240" t="s">
        <v>3071</v>
      </c>
    </row>
    <row r="241" spans="1:7" x14ac:dyDescent="0.25">
      <c r="A241">
        <v>10376</v>
      </c>
      <c r="B241" t="s">
        <v>352</v>
      </c>
      <c r="C241">
        <v>47</v>
      </c>
      <c r="D241" t="s">
        <v>3059</v>
      </c>
      <c r="E241">
        <v>9</v>
      </c>
      <c r="F241" t="s">
        <v>3065</v>
      </c>
      <c r="G241" t="s">
        <v>3066</v>
      </c>
    </row>
    <row r="242" spans="1:7" x14ac:dyDescent="0.25">
      <c r="A242">
        <v>10385</v>
      </c>
      <c r="B242" t="s">
        <v>358</v>
      </c>
      <c r="C242">
        <v>47</v>
      </c>
      <c r="D242" t="s">
        <v>3059</v>
      </c>
      <c r="E242">
        <v>24</v>
      </c>
      <c r="F242" t="s">
        <v>7</v>
      </c>
      <c r="G242" t="s">
        <v>3083</v>
      </c>
    </row>
    <row r="243" spans="1:7" x14ac:dyDescent="0.25">
      <c r="A243">
        <v>10395</v>
      </c>
      <c r="B243" t="s">
        <v>363</v>
      </c>
      <c r="C243">
        <v>47</v>
      </c>
      <c r="D243" t="s">
        <v>3059</v>
      </c>
      <c r="E243">
        <v>1</v>
      </c>
      <c r="F243" t="s">
        <v>7</v>
      </c>
      <c r="G243" t="s">
        <v>3062</v>
      </c>
    </row>
    <row r="244" spans="1:7" x14ac:dyDescent="0.25">
      <c r="A244">
        <v>10397</v>
      </c>
      <c r="B244" t="s">
        <v>365</v>
      </c>
      <c r="C244">
        <v>47</v>
      </c>
      <c r="D244" t="s">
        <v>3059</v>
      </c>
      <c r="E244">
        <v>285</v>
      </c>
      <c r="F244" t="s">
        <v>7</v>
      </c>
      <c r="G244" t="s">
        <v>3062</v>
      </c>
    </row>
    <row r="245" spans="1:7" x14ac:dyDescent="0.25">
      <c r="A245">
        <v>10399</v>
      </c>
      <c r="B245" t="s">
        <v>366</v>
      </c>
      <c r="C245">
        <v>47</v>
      </c>
      <c r="D245" t="s">
        <v>3059</v>
      </c>
      <c r="E245">
        <v>5</v>
      </c>
      <c r="F245" t="s">
        <v>7</v>
      </c>
      <c r="G245" t="s">
        <v>3073</v>
      </c>
    </row>
    <row r="246" spans="1:7" x14ac:dyDescent="0.25">
      <c r="A246">
        <v>10400</v>
      </c>
      <c r="B246" t="s">
        <v>367</v>
      </c>
      <c r="C246">
        <v>47</v>
      </c>
      <c r="D246" t="s">
        <v>3059</v>
      </c>
      <c r="E246">
        <v>49</v>
      </c>
      <c r="F246" t="s">
        <v>7</v>
      </c>
      <c r="G246" t="s">
        <v>3073</v>
      </c>
    </row>
    <row r="247" spans="1:7" x14ac:dyDescent="0.25">
      <c r="A247">
        <v>10401</v>
      </c>
      <c r="B247" t="s">
        <v>368</v>
      </c>
      <c r="C247">
        <v>47</v>
      </c>
      <c r="D247" t="s">
        <v>3059</v>
      </c>
      <c r="E247">
        <v>60</v>
      </c>
      <c r="F247" t="s">
        <v>7</v>
      </c>
      <c r="G247" t="s">
        <v>3073</v>
      </c>
    </row>
    <row r="248" spans="1:7" x14ac:dyDescent="0.25">
      <c r="A248">
        <v>10402</v>
      </c>
      <c r="B248" t="s">
        <v>369</v>
      </c>
      <c r="C248">
        <v>47</v>
      </c>
      <c r="D248" t="s">
        <v>3059</v>
      </c>
      <c r="E248">
        <v>46</v>
      </c>
      <c r="F248" t="s">
        <v>7</v>
      </c>
      <c r="G248" t="s">
        <v>3073</v>
      </c>
    </row>
    <row r="249" spans="1:7" x14ac:dyDescent="0.25">
      <c r="A249">
        <v>10403</v>
      </c>
      <c r="B249" t="s">
        <v>370</v>
      </c>
      <c r="C249">
        <v>47</v>
      </c>
      <c r="D249" t="s">
        <v>3059</v>
      </c>
      <c r="E249">
        <v>18</v>
      </c>
      <c r="F249" t="s">
        <v>7</v>
      </c>
      <c r="G249" t="s">
        <v>3073</v>
      </c>
    </row>
    <row r="250" spans="1:7" x14ac:dyDescent="0.25">
      <c r="A250">
        <v>10404</v>
      </c>
      <c r="B250" t="s">
        <v>371</v>
      </c>
      <c r="C250">
        <v>47</v>
      </c>
      <c r="D250" t="s">
        <v>3059</v>
      </c>
      <c r="E250">
        <v>156</v>
      </c>
      <c r="F250" t="s">
        <v>7</v>
      </c>
      <c r="G250" t="s">
        <v>3073</v>
      </c>
    </row>
    <row r="251" spans="1:7" x14ac:dyDescent="0.25">
      <c r="A251">
        <v>10405</v>
      </c>
      <c r="B251" t="s">
        <v>372</v>
      </c>
      <c r="C251">
        <v>47</v>
      </c>
      <c r="D251" t="s">
        <v>3059</v>
      </c>
      <c r="E251">
        <v>22</v>
      </c>
      <c r="F251" t="s">
        <v>7</v>
      </c>
      <c r="G251" t="s">
        <v>3073</v>
      </c>
    </row>
    <row r="252" spans="1:7" x14ac:dyDescent="0.25">
      <c r="A252">
        <v>10406</v>
      </c>
      <c r="B252" t="s">
        <v>373</v>
      </c>
      <c r="C252">
        <v>47</v>
      </c>
      <c r="D252" t="s">
        <v>3059</v>
      </c>
      <c r="E252">
        <v>19</v>
      </c>
      <c r="F252" t="s">
        <v>7</v>
      </c>
      <c r="G252" t="s">
        <v>3073</v>
      </c>
    </row>
    <row r="253" spans="1:7" x14ac:dyDescent="0.25">
      <c r="A253">
        <v>10407</v>
      </c>
      <c r="B253" t="s">
        <v>374</v>
      </c>
      <c r="C253">
        <v>47</v>
      </c>
      <c r="D253" t="s">
        <v>3059</v>
      </c>
      <c r="E253">
        <v>1</v>
      </c>
      <c r="F253" t="s">
        <v>7</v>
      </c>
      <c r="G253" t="s">
        <v>3073</v>
      </c>
    </row>
    <row r="254" spans="1:7" x14ac:dyDescent="0.25">
      <c r="A254">
        <v>10408</v>
      </c>
      <c r="B254" t="s">
        <v>375</v>
      </c>
      <c r="C254">
        <v>47</v>
      </c>
      <c r="D254" t="s">
        <v>3059</v>
      </c>
      <c r="E254">
        <v>16</v>
      </c>
      <c r="F254" t="s">
        <v>7</v>
      </c>
      <c r="G254" t="s">
        <v>3073</v>
      </c>
    </row>
    <row r="255" spans="1:7" x14ac:dyDescent="0.25">
      <c r="A255">
        <v>10410</v>
      </c>
      <c r="B255" t="s">
        <v>376</v>
      </c>
      <c r="C255">
        <v>47</v>
      </c>
      <c r="D255" t="s">
        <v>3059</v>
      </c>
      <c r="E255">
        <v>5</v>
      </c>
      <c r="F255" t="s">
        <v>7</v>
      </c>
      <c r="G255" t="s">
        <v>3070</v>
      </c>
    </row>
    <row r="256" spans="1:7" x14ac:dyDescent="0.25">
      <c r="A256">
        <v>10411</v>
      </c>
      <c r="B256" t="s">
        <v>377</v>
      </c>
      <c r="C256">
        <v>47</v>
      </c>
      <c r="D256" t="s">
        <v>3059</v>
      </c>
      <c r="E256">
        <v>4</v>
      </c>
      <c r="F256" t="s">
        <v>7</v>
      </c>
      <c r="G256" t="s">
        <v>3070</v>
      </c>
    </row>
    <row r="257" spans="1:7" x14ac:dyDescent="0.25">
      <c r="A257">
        <v>10412</v>
      </c>
      <c r="B257" t="s">
        <v>378</v>
      </c>
      <c r="C257">
        <v>47</v>
      </c>
      <c r="D257" t="s">
        <v>3059</v>
      </c>
      <c r="E257">
        <v>11</v>
      </c>
      <c r="F257" t="s">
        <v>7</v>
      </c>
      <c r="G257" t="s">
        <v>3070</v>
      </c>
    </row>
    <row r="258" spans="1:7" x14ac:dyDescent="0.25">
      <c r="A258">
        <v>10415</v>
      </c>
      <c r="B258" t="s">
        <v>380</v>
      </c>
      <c r="C258">
        <v>47</v>
      </c>
      <c r="D258" t="s">
        <v>3059</v>
      </c>
      <c r="E258">
        <v>7</v>
      </c>
      <c r="F258" t="s">
        <v>7</v>
      </c>
      <c r="G258" t="s">
        <v>3084</v>
      </c>
    </row>
    <row r="259" spans="1:7" x14ac:dyDescent="0.25">
      <c r="A259">
        <v>10416</v>
      </c>
      <c r="B259" t="s">
        <v>381</v>
      </c>
      <c r="C259">
        <v>47</v>
      </c>
      <c r="D259" t="s">
        <v>3059</v>
      </c>
      <c r="E259">
        <v>23</v>
      </c>
      <c r="F259" t="s">
        <v>7</v>
      </c>
      <c r="G259" t="s">
        <v>3084</v>
      </c>
    </row>
    <row r="260" spans="1:7" x14ac:dyDescent="0.25">
      <c r="A260">
        <v>10418</v>
      </c>
      <c r="B260" t="s">
        <v>382</v>
      </c>
      <c r="C260">
        <v>47</v>
      </c>
      <c r="D260" t="s">
        <v>3059</v>
      </c>
      <c r="E260">
        <v>10</v>
      </c>
      <c r="F260" t="s">
        <v>7</v>
      </c>
      <c r="G260" t="s">
        <v>3084</v>
      </c>
    </row>
    <row r="261" spans="1:7" x14ac:dyDescent="0.25">
      <c r="A261">
        <v>10419</v>
      </c>
      <c r="B261" t="s">
        <v>383</v>
      </c>
      <c r="C261">
        <v>47</v>
      </c>
      <c r="D261" t="s">
        <v>3059</v>
      </c>
      <c r="E261">
        <v>5</v>
      </c>
      <c r="F261" t="s">
        <v>7</v>
      </c>
      <c r="G261" t="s">
        <v>3070</v>
      </c>
    </row>
    <row r="262" spans="1:7" x14ac:dyDescent="0.25">
      <c r="A262">
        <v>10420</v>
      </c>
      <c r="B262" t="s">
        <v>384</v>
      </c>
      <c r="C262">
        <v>47</v>
      </c>
      <c r="D262" t="s">
        <v>3059</v>
      </c>
      <c r="E262">
        <v>3</v>
      </c>
      <c r="F262" t="s">
        <v>7</v>
      </c>
      <c r="G262" t="s">
        <v>3070</v>
      </c>
    </row>
    <row r="263" spans="1:7" x14ac:dyDescent="0.25">
      <c r="A263">
        <v>10422</v>
      </c>
      <c r="B263" t="s">
        <v>3086</v>
      </c>
      <c r="C263">
        <v>47</v>
      </c>
      <c r="D263" t="s">
        <v>3059</v>
      </c>
      <c r="E263">
        <v>46</v>
      </c>
      <c r="F263" t="s">
        <v>3085</v>
      </c>
      <c r="G263" t="s">
        <v>3070</v>
      </c>
    </row>
    <row r="264" spans="1:7" x14ac:dyDescent="0.25">
      <c r="A264">
        <v>10423</v>
      </c>
      <c r="B264" t="s">
        <v>387</v>
      </c>
      <c r="C264">
        <v>47</v>
      </c>
      <c r="D264" t="s">
        <v>3059</v>
      </c>
      <c r="E264">
        <v>30</v>
      </c>
      <c r="F264" t="s">
        <v>3085</v>
      </c>
      <c r="G264" t="s">
        <v>3070</v>
      </c>
    </row>
    <row r="265" spans="1:7" x14ac:dyDescent="0.25">
      <c r="A265">
        <v>10424</v>
      </c>
      <c r="B265" t="s">
        <v>388</v>
      </c>
      <c r="C265">
        <v>47</v>
      </c>
      <c r="D265" t="s">
        <v>3059</v>
      </c>
      <c r="E265">
        <v>121</v>
      </c>
      <c r="F265" t="s">
        <v>7</v>
      </c>
      <c r="G265" t="s">
        <v>3070</v>
      </c>
    </row>
    <row r="266" spans="1:7" x14ac:dyDescent="0.25">
      <c r="A266">
        <v>10431</v>
      </c>
      <c r="B266" t="s">
        <v>395</v>
      </c>
      <c r="C266">
        <v>47</v>
      </c>
      <c r="D266" t="s">
        <v>3059</v>
      </c>
      <c r="E266">
        <v>75</v>
      </c>
      <c r="F266" t="s">
        <v>7</v>
      </c>
      <c r="G266" t="s">
        <v>3087</v>
      </c>
    </row>
    <row r="267" spans="1:7" x14ac:dyDescent="0.25">
      <c r="A267">
        <v>10432</v>
      </c>
      <c r="B267" t="s">
        <v>396</v>
      </c>
      <c r="C267">
        <v>47</v>
      </c>
      <c r="D267" t="s">
        <v>3059</v>
      </c>
      <c r="E267">
        <v>102</v>
      </c>
      <c r="F267" t="s">
        <v>7</v>
      </c>
      <c r="G267" t="s">
        <v>3087</v>
      </c>
    </row>
    <row r="268" spans="1:7" x14ac:dyDescent="0.25">
      <c r="A268">
        <v>10434</v>
      </c>
      <c r="B268" t="s">
        <v>397</v>
      </c>
      <c r="C268">
        <v>47</v>
      </c>
      <c r="D268" t="s">
        <v>3059</v>
      </c>
      <c r="E268">
        <v>80</v>
      </c>
      <c r="F268" t="s">
        <v>7</v>
      </c>
      <c r="G268" t="s">
        <v>3087</v>
      </c>
    </row>
    <row r="269" spans="1:7" x14ac:dyDescent="0.25">
      <c r="A269">
        <v>10436</v>
      </c>
      <c r="B269" t="s">
        <v>398</v>
      </c>
      <c r="C269">
        <v>47</v>
      </c>
      <c r="D269" t="s">
        <v>3059</v>
      </c>
      <c r="E269">
        <v>28</v>
      </c>
      <c r="F269" t="s">
        <v>7</v>
      </c>
      <c r="G269" t="s">
        <v>3088</v>
      </c>
    </row>
    <row r="270" spans="1:7" x14ac:dyDescent="0.25">
      <c r="A270">
        <v>10437</v>
      </c>
      <c r="B270" t="s">
        <v>399</v>
      </c>
      <c r="C270">
        <v>47</v>
      </c>
      <c r="D270" t="s">
        <v>3059</v>
      </c>
      <c r="E270">
        <v>134</v>
      </c>
      <c r="F270" t="s">
        <v>7</v>
      </c>
      <c r="G270" t="s">
        <v>3087</v>
      </c>
    </row>
    <row r="271" spans="1:7" x14ac:dyDescent="0.25">
      <c r="A271">
        <v>10438</v>
      </c>
      <c r="B271" t="s">
        <v>400</v>
      </c>
      <c r="C271">
        <v>47</v>
      </c>
      <c r="D271" t="s">
        <v>3059</v>
      </c>
      <c r="E271">
        <v>10</v>
      </c>
      <c r="F271" t="s">
        <v>7</v>
      </c>
      <c r="G271" t="s">
        <v>3074</v>
      </c>
    </row>
    <row r="272" spans="1:7" x14ac:dyDescent="0.25">
      <c r="A272">
        <v>10439</v>
      </c>
      <c r="B272" t="s">
        <v>401</v>
      </c>
      <c r="C272">
        <v>47</v>
      </c>
      <c r="D272" t="s">
        <v>3059</v>
      </c>
      <c r="E272">
        <v>4</v>
      </c>
      <c r="F272" t="s">
        <v>7</v>
      </c>
      <c r="G272" t="s">
        <v>3074</v>
      </c>
    </row>
    <row r="273" spans="1:7" x14ac:dyDescent="0.25">
      <c r="A273">
        <v>10440</v>
      </c>
      <c r="B273" t="s">
        <v>402</v>
      </c>
      <c r="C273">
        <v>47</v>
      </c>
      <c r="D273" t="s">
        <v>3059</v>
      </c>
      <c r="E273">
        <v>2</v>
      </c>
      <c r="F273" t="s">
        <v>7</v>
      </c>
      <c r="G273" t="s">
        <v>3083</v>
      </c>
    </row>
    <row r="274" spans="1:7" x14ac:dyDescent="0.25">
      <c r="A274">
        <v>10442</v>
      </c>
      <c r="B274" t="s">
        <v>404</v>
      </c>
      <c r="C274">
        <v>47</v>
      </c>
      <c r="D274" t="s">
        <v>3059</v>
      </c>
      <c r="E274">
        <v>1</v>
      </c>
      <c r="F274" t="s">
        <v>7</v>
      </c>
      <c r="G274" t="s">
        <v>3074</v>
      </c>
    </row>
    <row r="275" spans="1:7" x14ac:dyDescent="0.25">
      <c r="A275">
        <v>10443</v>
      </c>
      <c r="B275" t="s">
        <v>405</v>
      </c>
      <c r="C275">
        <v>47</v>
      </c>
      <c r="D275" t="s">
        <v>3059</v>
      </c>
      <c r="E275">
        <v>2</v>
      </c>
      <c r="F275" t="s">
        <v>7</v>
      </c>
      <c r="G275" t="s">
        <v>3074</v>
      </c>
    </row>
    <row r="276" spans="1:7" x14ac:dyDescent="0.25">
      <c r="A276">
        <v>10444</v>
      </c>
      <c r="B276" t="s">
        <v>406</v>
      </c>
      <c r="C276">
        <v>47</v>
      </c>
      <c r="D276" t="s">
        <v>3059</v>
      </c>
      <c r="E276">
        <v>3</v>
      </c>
      <c r="F276" t="s">
        <v>7</v>
      </c>
      <c r="G276" t="s">
        <v>3087</v>
      </c>
    </row>
    <row r="277" spans="1:7" x14ac:dyDescent="0.25">
      <c r="A277">
        <v>10448</v>
      </c>
      <c r="B277" t="s">
        <v>16092</v>
      </c>
      <c r="C277">
        <v>47</v>
      </c>
      <c r="D277" t="s">
        <v>3059</v>
      </c>
      <c r="E277">
        <v>1</v>
      </c>
      <c r="F277" t="s">
        <v>7</v>
      </c>
      <c r="G277" t="s">
        <v>3087</v>
      </c>
    </row>
    <row r="278" spans="1:7" x14ac:dyDescent="0.25">
      <c r="A278">
        <v>10449</v>
      </c>
      <c r="B278" t="s">
        <v>408</v>
      </c>
      <c r="C278">
        <v>47</v>
      </c>
      <c r="D278" t="s">
        <v>3059</v>
      </c>
      <c r="E278">
        <v>1</v>
      </c>
      <c r="F278" t="s">
        <v>7</v>
      </c>
      <c r="G278" t="s">
        <v>3087</v>
      </c>
    </row>
    <row r="279" spans="1:7" x14ac:dyDescent="0.25">
      <c r="A279">
        <v>10451</v>
      </c>
      <c r="B279" t="s">
        <v>409</v>
      </c>
      <c r="C279">
        <v>47</v>
      </c>
      <c r="D279" t="s">
        <v>3059</v>
      </c>
      <c r="E279">
        <v>5</v>
      </c>
      <c r="F279" t="s">
        <v>7</v>
      </c>
      <c r="G279" t="s">
        <v>3074</v>
      </c>
    </row>
    <row r="280" spans="1:7" x14ac:dyDescent="0.25">
      <c r="A280">
        <v>10452</v>
      </c>
      <c r="B280" t="s">
        <v>410</v>
      </c>
      <c r="C280">
        <v>47</v>
      </c>
      <c r="D280" t="s">
        <v>3059</v>
      </c>
      <c r="E280">
        <v>26</v>
      </c>
      <c r="F280" t="s">
        <v>7</v>
      </c>
      <c r="G280" t="s">
        <v>3074</v>
      </c>
    </row>
    <row r="281" spans="1:7" x14ac:dyDescent="0.25">
      <c r="A281">
        <v>10453</v>
      </c>
      <c r="B281" t="s">
        <v>411</v>
      </c>
      <c r="C281">
        <v>47</v>
      </c>
      <c r="D281" t="s">
        <v>3059</v>
      </c>
      <c r="E281">
        <v>3</v>
      </c>
      <c r="F281" t="s">
        <v>7</v>
      </c>
      <c r="G281" t="s">
        <v>3074</v>
      </c>
    </row>
    <row r="282" spans="1:7" x14ac:dyDescent="0.25">
      <c r="A282">
        <v>10454</v>
      </c>
      <c r="B282" t="s">
        <v>412</v>
      </c>
      <c r="C282">
        <v>47</v>
      </c>
      <c r="D282" t="s">
        <v>3059</v>
      </c>
      <c r="E282">
        <v>1</v>
      </c>
      <c r="F282" t="s">
        <v>7</v>
      </c>
      <c r="G282" t="s">
        <v>3074</v>
      </c>
    </row>
    <row r="283" spans="1:7" x14ac:dyDescent="0.25">
      <c r="A283">
        <v>10455</v>
      </c>
      <c r="B283" t="s">
        <v>413</v>
      </c>
      <c r="C283">
        <v>47</v>
      </c>
      <c r="D283" t="s">
        <v>3059</v>
      </c>
      <c r="E283">
        <v>1</v>
      </c>
      <c r="F283" t="s">
        <v>7</v>
      </c>
      <c r="G283" t="s">
        <v>3074</v>
      </c>
    </row>
    <row r="284" spans="1:7" x14ac:dyDescent="0.25">
      <c r="A284">
        <v>10456</v>
      </c>
      <c r="B284" t="s">
        <v>414</v>
      </c>
      <c r="C284">
        <v>47</v>
      </c>
      <c r="D284" t="s">
        <v>3059</v>
      </c>
      <c r="E284">
        <v>1</v>
      </c>
      <c r="F284" t="s">
        <v>7</v>
      </c>
      <c r="G284" t="s">
        <v>3074</v>
      </c>
    </row>
    <row r="285" spans="1:7" x14ac:dyDescent="0.25">
      <c r="A285">
        <v>10457</v>
      </c>
      <c r="B285" t="s">
        <v>415</v>
      </c>
      <c r="C285">
        <v>47</v>
      </c>
      <c r="D285" t="s">
        <v>3059</v>
      </c>
      <c r="E285">
        <v>1</v>
      </c>
      <c r="F285" t="s">
        <v>7</v>
      </c>
      <c r="G285" t="s">
        <v>3074</v>
      </c>
    </row>
    <row r="286" spans="1:7" x14ac:dyDescent="0.25">
      <c r="A286">
        <v>10459</v>
      </c>
      <c r="B286" t="s">
        <v>3089</v>
      </c>
      <c r="C286">
        <v>47</v>
      </c>
      <c r="D286" t="s">
        <v>3059</v>
      </c>
      <c r="E286">
        <v>1</v>
      </c>
      <c r="F286" t="s">
        <v>7</v>
      </c>
      <c r="G286" t="s">
        <v>3074</v>
      </c>
    </row>
    <row r="287" spans="1:7" x14ac:dyDescent="0.25">
      <c r="A287">
        <v>10460</v>
      </c>
      <c r="B287" t="s">
        <v>418</v>
      </c>
      <c r="C287">
        <v>47</v>
      </c>
      <c r="D287" t="s">
        <v>3059</v>
      </c>
      <c r="E287">
        <v>2</v>
      </c>
      <c r="F287" t="s">
        <v>7</v>
      </c>
      <c r="G287" t="s">
        <v>3074</v>
      </c>
    </row>
    <row r="288" spans="1:7" x14ac:dyDescent="0.25">
      <c r="A288">
        <v>10461</v>
      </c>
      <c r="B288" t="s">
        <v>419</v>
      </c>
      <c r="C288">
        <v>47</v>
      </c>
      <c r="D288" t="s">
        <v>3059</v>
      </c>
      <c r="E288">
        <v>1</v>
      </c>
      <c r="F288" t="s">
        <v>7</v>
      </c>
      <c r="G288" t="s">
        <v>3074</v>
      </c>
    </row>
    <row r="289" spans="1:7" x14ac:dyDescent="0.25">
      <c r="A289">
        <v>10462</v>
      </c>
      <c r="B289" t="s">
        <v>420</v>
      </c>
      <c r="C289">
        <v>47</v>
      </c>
      <c r="D289" t="s">
        <v>3059</v>
      </c>
      <c r="E289">
        <v>22</v>
      </c>
      <c r="F289" t="s">
        <v>7</v>
      </c>
      <c r="G289" t="s">
        <v>3074</v>
      </c>
    </row>
    <row r="290" spans="1:7" x14ac:dyDescent="0.25">
      <c r="A290">
        <v>10463</v>
      </c>
      <c r="B290" t="s">
        <v>421</v>
      </c>
      <c r="C290">
        <v>47</v>
      </c>
      <c r="D290" t="s">
        <v>3059</v>
      </c>
      <c r="E290">
        <v>2</v>
      </c>
      <c r="F290" t="s">
        <v>7</v>
      </c>
      <c r="G290" t="s">
        <v>3074</v>
      </c>
    </row>
    <row r="291" spans="1:7" x14ac:dyDescent="0.25">
      <c r="A291">
        <v>10465</v>
      </c>
      <c r="B291" t="s">
        <v>3090</v>
      </c>
      <c r="C291">
        <v>47</v>
      </c>
      <c r="D291" t="s">
        <v>3059</v>
      </c>
      <c r="E291">
        <v>2</v>
      </c>
      <c r="F291" t="s">
        <v>7</v>
      </c>
      <c r="G291" t="s">
        <v>3074</v>
      </c>
    </row>
    <row r="292" spans="1:7" x14ac:dyDescent="0.25">
      <c r="A292">
        <v>10466</v>
      </c>
      <c r="B292" t="s">
        <v>424</v>
      </c>
      <c r="C292">
        <v>47</v>
      </c>
      <c r="D292" t="s">
        <v>3059</v>
      </c>
      <c r="E292">
        <v>3</v>
      </c>
      <c r="F292" t="s">
        <v>7</v>
      </c>
      <c r="G292" t="s">
        <v>3074</v>
      </c>
    </row>
    <row r="293" spans="1:7" x14ac:dyDescent="0.25">
      <c r="A293">
        <v>10468</v>
      </c>
      <c r="B293" t="s">
        <v>426</v>
      </c>
      <c r="C293">
        <v>47</v>
      </c>
      <c r="D293" t="s">
        <v>3059</v>
      </c>
      <c r="E293">
        <v>11</v>
      </c>
      <c r="F293" t="s">
        <v>7</v>
      </c>
      <c r="G293" t="s">
        <v>3074</v>
      </c>
    </row>
    <row r="294" spans="1:7" x14ac:dyDescent="0.25">
      <c r="A294">
        <v>10470</v>
      </c>
      <c r="B294" t="s">
        <v>428</v>
      </c>
      <c r="C294">
        <v>47</v>
      </c>
      <c r="D294" t="s">
        <v>3059</v>
      </c>
      <c r="E294">
        <v>11</v>
      </c>
      <c r="F294" t="s">
        <v>7</v>
      </c>
      <c r="G294" t="s">
        <v>3074</v>
      </c>
    </row>
    <row r="295" spans="1:7" x14ac:dyDescent="0.25">
      <c r="A295">
        <v>10471</v>
      </c>
      <c r="B295" t="s">
        <v>429</v>
      </c>
      <c r="C295">
        <v>47</v>
      </c>
      <c r="D295" t="s">
        <v>3059</v>
      </c>
      <c r="E295">
        <v>8</v>
      </c>
      <c r="F295" t="s">
        <v>7</v>
      </c>
      <c r="G295" t="s">
        <v>3074</v>
      </c>
    </row>
    <row r="296" spans="1:7" x14ac:dyDescent="0.25">
      <c r="A296">
        <v>10472</v>
      </c>
      <c r="B296" t="s">
        <v>3051</v>
      </c>
      <c r="C296">
        <v>47</v>
      </c>
      <c r="D296" t="s">
        <v>3059</v>
      </c>
      <c r="E296">
        <v>51</v>
      </c>
      <c r="F296" t="s">
        <v>7</v>
      </c>
      <c r="G296" t="s">
        <v>3074</v>
      </c>
    </row>
    <row r="297" spans="1:7" x14ac:dyDescent="0.25">
      <c r="A297">
        <v>10473</v>
      </c>
      <c r="B297" t="s">
        <v>430</v>
      </c>
      <c r="C297">
        <v>47</v>
      </c>
      <c r="D297" t="s">
        <v>3059</v>
      </c>
      <c r="E297">
        <v>33</v>
      </c>
      <c r="F297" t="s">
        <v>7</v>
      </c>
      <c r="G297" t="s">
        <v>3074</v>
      </c>
    </row>
    <row r="298" spans="1:7" x14ac:dyDescent="0.25">
      <c r="A298">
        <v>10474</v>
      </c>
      <c r="B298" t="s">
        <v>431</v>
      </c>
      <c r="C298">
        <v>47</v>
      </c>
      <c r="D298" t="s">
        <v>3059</v>
      </c>
      <c r="E298">
        <v>76</v>
      </c>
      <c r="F298" t="s">
        <v>7</v>
      </c>
      <c r="G298" t="s">
        <v>3074</v>
      </c>
    </row>
    <row r="299" spans="1:7" x14ac:dyDescent="0.25">
      <c r="A299">
        <v>10475</v>
      </c>
      <c r="B299" t="s">
        <v>3091</v>
      </c>
      <c r="C299">
        <v>47</v>
      </c>
      <c r="D299" t="s">
        <v>3059</v>
      </c>
      <c r="E299">
        <v>24</v>
      </c>
      <c r="F299" t="s">
        <v>7</v>
      </c>
      <c r="G299" t="s">
        <v>3074</v>
      </c>
    </row>
    <row r="300" spans="1:7" x14ac:dyDescent="0.25">
      <c r="A300">
        <v>10476</v>
      </c>
      <c r="B300" t="s">
        <v>433</v>
      </c>
      <c r="C300">
        <v>47</v>
      </c>
      <c r="D300" t="s">
        <v>3059</v>
      </c>
      <c r="E300">
        <v>15</v>
      </c>
      <c r="F300" t="s">
        <v>7</v>
      </c>
      <c r="G300" t="s">
        <v>3074</v>
      </c>
    </row>
    <row r="301" spans="1:7" x14ac:dyDescent="0.25">
      <c r="A301">
        <v>10477</v>
      </c>
      <c r="B301" t="s">
        <v>434</v>
      </c>
      <c r="C301">
        <v>47</v>
      </c>
      <c r="D301" t="s">
        <v>3059</v>
      </c>
      <c r="E301">
        <v>4</v>
      </c>
      <c r="F301" t="s">
        <v>7</v>
      </c>
      <c r="G301" t="s">
        <v>3074</v>
      </c>
    </row>
    <row r="302" spans="1:7" x14ac:dyDescent="0.25">
      <c r="A302">
        <v>10478</v>
      </c>
      <c r="B302" t="s">
        <v>435</v>
      </c>
      <c r="C302">
        <v>47</v>
      </c>
      <c r="D302" t="s">
        <v>3059</v>
      </c>
      <c r="E302">
        <v>14</v>
      </c>
      <c r="F302" t="s">
        <v>7</v>
      </c>
      <c r="G302" t="s">
        <v>3074</v>
      </c>
    </row>
    <row r="303" spans="1:7" x14ac:dyDescent="0.25">
      <c r="A303">
        <v>10479</v>
      </c>
      <c r="B303" t="s">
        <v>436</v>
      </c>
      <c r="C303">
        <v>47</v>
      </c>
      <c r="D303" t="s">
        <v>3059</v>
      </c>
      <c r="E303">
        <v>6</v>
      </c>
      <c r="F303" t="s">
        <v>7</v>
      </c>
      <c r="G303" t="s">
        <v>3074</v>
      </c>
    </row>
    <row r="304" spans="1:7" x14ac:dyDescent="0.25">
      <c r="A304">
        <v>10480</v>
      </c>
      <c r="B304" t="s">
        <v>437</v>
      </c>
      <c r="C304">
        <v>47</v>
      </c>
      <c r="D304" t="s">
        <v>3059</v>
      </c>
      <c r="E304">
        <v>8</v>
      </c>
      <c r="F304" t="s">
        <v>7</v>
      </c>
      <c r="G304" t="s">
        <v>3074</v>
      </c>
    </row>
    <row r="305" spans="1:7" x14ac:dyDescent="0.25">
      <c r="A305">
        <v>10483</v>
      </c>
      <c r="B305" t="s">
        <v>440</v>
      </c>
      <c r="C305">
        <v>47</v>
      </c>
      <c r="D305" t="s">
        <v>3059</v>
      </c>
      <c r="E305">
        <v>26</v>
      </c>
      <c r="F305" t="s">
        <v>7</v>
      </c>
      <c r="G305" t="s">
        <v>3074</v>
      </c>
    </row>
    <row r="306" spans="1:7" x14ac:dyDescent="0.25">
      <c r="A306">
        <v>10485</v>
      </c>
      <c r="B306" t="s">
        <v>442</v>
      </c>
      <c r="C306">
        <v>47</v>
      </c>
      <c r="D306" t="s">
        <v>3059</v>
      </c>
      <c r="E306">
        <v>33</v>
      </c>
      <c r="F306" t="s">
        <v>7</v>
      </c>
      <c r="G306" t="s">
        <v>3074</v>
      </c>
    </row>
    <row r="307" spans="1:7" x14ac:dyDescent="0.25">
      <c r="A307">
        <v>10486</v>
      </c>
      <c r="B307" t="s">
        <v>443</v>
      </c>
      <c r="C307">
        <v>47</v>
      </c>
      <c r="D307" t="s">
        <v>3059</v>
      </c>
      <c r="E307">
        <v>13</v>
      </c>
      <c r="F307" t="s">
        <v>7</v>
      </c>
      <c r="G307" t="s">
        <v>3074</v>
      </c>
    </row>
    <row r="308" spans="1:7" x14ac:dyDescent="0.25">
      <c r="A308">
        <v>10487</v>
      </c>
      <c r="B308" t="s">
        <v>3092</v>
      </c>
      <c r="C308">
        <v>47</v>
      </c>
      <c r="D308" t="s">
        <v>3059</v>
      </c>
      <c r="E308">
        <v>3</v>
      </c>
      <c r="F308" t="s">
        <v>7</v>
      </c>
      <c r="G308" t="s">
        <v>3074</v>
      </c>
    </row>
    <row r="309" spans="1:7" x14ac:dyDescent="0.25">
      <c r="A309">
        <v>10489</v>
      </c>
      <c r="B309" t="s">
        <v>446</v>
      </c>
      <c r="C309">
        <v>47</v>
      </c>
      <c r="D309" t="s">
        <v>3059</v>
      </c>
      <c r="E309">
        <v>19</v>
      </c>
      <c r="F309" t="s">
        <v>7</v>
      </c>
      <c r="G309" t="s">
        <v>3074</v>
      </c>
    </row>
    <row r="310" spans="1:7" x14ac:dyDescent="0.25">
      <c r="A310">
        <v>10490</v>
      </c>
      <c r="B310" t="s">
        <v>3093</v>
      </c>
      <c r="C310">
        <v>47</v>
      </c>
      <c r="D310" t="s">
        <v>3059</v>
      </c>
      <c r="E310">
        <v>12</v>
      </c>
      <c r="F310" t="s">
        <v>7</v>
      </c>
      <c r="G310" t="s">
        <v>3074</v>
      </c>
    </row>
    <row r="311" spans="1:7" x14ac:dyDescent="0.25">
      <c r="A311">
        <v>10491</v>
      </c>
      <c r="B311" t="s">
        <v>3094</v>
      </c>
      <c r="C311">
        <v>47</v>
      </c>
      <c r="D311" t="s">
        <v>3059</v>
      </c>
      <c r="E311">
        <v>28</v>
      </c>
      <c r="F311" t="s">
        <v>7</v>
      </c>
      <c r="G311" t="s">
        <v>3074</v>
      </c>
    </row>
    <row r="312" spans="1:7" x14ac:dyDescent="0.25">
      <c r="A312">
        <v>10492</v>
      </c>
      <c r="B312" t="s">
        <v>16093</v>
      </c>
      <c r="C312">
        <v>47</v>
      </c>
      <c r="D312" t="s">
        <v>3059</v>
      </c>
      <c r="E312">
        <v>14</v>
      </c>
      <c r="F312" t="s">
        <v>7</v>
      </c>
      <c r="G312" t="s">
        <v>3074</v>
      </c>
    </row>
    <row r="313" spans="1:7" x14ac:dyDescent="0.25">
      <c r="A313">
        <v>10493</v>
      </c>
      <c r="B313" t="s">
        <v>450</v>
      </c>
      <c r="C313">
        <v>47</v>
      </c>
      <c r="D313" t="s">
        <v>3059</v>
      </c>
      <c r="E313">
        <v>19</v>
      </c>
      <c r="F313" t="s">
        <v>7</v>
      </c>
      <c r="G313" t="s">
        <v>3074</v>
      </c>
    </row>
    <row r="314" spans="1:7" x14ac:dyDescent="0.25">
      <c r="A314">
        <v>10494</v>
      </c>
      <c r="B314" t="s">
        <v>3095</v>
      </c>
      <c r="C314">
        <v>47</v>
      </c>
      <c r="D314" t="s">
        <v>3059</v>
      </c>
      <c r="E314">
        <v>30</v>
      </c>
      <c r="F314" t="s">
        <v>7</v>
      </c>
      <c r="G314" t="s">
        <v>3074</v>
      </c>
    </row>
    <row r="315" spans="1:7" x14ac:dyDescent="0.25">
      <c r="A315">
        <v>10495</v>
      </c>
      <c r="B315" t="s">
        <v>3096</v>
      </c>
      <c r="C315">
        <v>47</v>
      </c>
      <c r="D315" t="s">
        <v>3059</v>
      </c>
      <c r="E315">
        <v>2</v>
      </c>
      <c r="F315" t="s">
        <v>7</v>
      </c>
      <c r="G315" t="s">
        <v>3074</v>
      </c>
    </row>
    <row r="316" spans="1:7" x14ac:dyDescent="0.25">
      <c r="A316">
        <v>10496</v>
      </c>
      <c r="B316" t="s">
        <v>453</v>
      </c>
      <c r="C316">
        <v>47</v>
      </c>
      <c r="D316" t="s">
        <v>3059</v>
      </c>
      <c r="E316">
        <v>12</v>
      </c>
      <c r="F316" t="s">
        <v>7</v>
      </c>
      <c r="G316" t="s">
        <v>3074</v>
      </c>
    </row>
    <row r="317" spans="1:7" x14ac:dyDescent="0.25">
      <c r="A317">
        <v>10499</v>
      </c>
      <c r="B317" t="s">
        <v>456</v>
      </c>
      <c r="C317">
        <v>47</v>
      </c>
      <c r="D317" t="s">
        <v>3059</v>
      </c>
      <c r="E317">
        <v>28</v>
      </c>
      <c r="F317" t="s">
        <v>7</v>
      </c>
      <c r="G317" t="s">
        <v>3074</v>
      </c>
    </row>
    <row r="318" spans="1:7" x14ac:dyDescent="0.25">
      <c r="A318">
        <v>10500</v>
      </c>
      <c r="B318" t="s">
        <v>457</v>
      </c>
      <c r="C318">
        <v>47</v>
      </c>
      <c r="D318" t="s">
        <v>3059</v>
      </c>
      <c r="E318">
        <v>94</v>
      </c>
      <c r="F318" t="s">
        <v>7</v>
      </c>
      <c r="G318" t="s">
        <v>3074</v>
      </c>
    </row>
    <row r="319" spans="1:7" x14ac:dyDescent="0.25">
      <c r="A319">
        <v>10501</v>
      </c>
      <c r="B319" t="s">
        <v>458</v>
      </c>
      <c r="C319">
        <v>47</v>
      </c>
      <c r="D319" t="s">
        <v>3059</v>
      </c>
      <c r="E319">
        <v>52</v>
      </c>
      <c r="F319" t="s">
        <v>7</v>
      </c>
      <c r="G319" t="s">
        <v>3074</v>
      </c>
    </row>
    <row r="320" spans="1:7" x14ac:dyDescent="0.25">
      <c r="A320">
        <v>10502</v>
      </c>
      <c r="B320" t="s">
        <v>459</v>
      </c>
      <c r="C320">
        <v>47</v>
      </c>
      <c r="D320" t="s">
        <v>3059</v>
      </c>
      <c r="E320">
        <v>35</v>
      </c>
      <c r="F320" t="s">
        <v>7</v>
      </c>
      <c r="G320" t="s">
        <v>3074</v>
      </c>
    </row>
    <row r="321" spans="1:7" x14ac:dyDescent="0.25">
      <c r="A321">
        <v>10503</v>
      </c>
      <c r="B321" t="s">
        <v>460</v>
      </c>
      <c r="C321">
        <v>47</v>
      </c>
      <c r="D321" t="s">
        <v>3059</v>
      </c>
      <c r="E321">
        <v>7</v>
      </c>
      <c r="F321" t="s">
        <v>7</v>
      </c>
      <c r="G321" t="s">
        <v>3074</v>
      </c>
    </row>
    <row r="322" spans="1:7" x14ac:dyDescent="0.25">
      <c r="A322">
        <v>10504</v>
      </c>
      <c r="B322" t="s">
        <v>461</v>
      </c>
      <c r="C322">
        <v>47</v>
      </c>
      <c r="D322" t="s">
        <v>3059</v>
      </c>
      <c r="E322">
        <v>42</v>
      </c>
      <c r="F322" t="s">
        <v>7</v>
      </c>
      <c r="G322" t="s">
        <v>3074</v>
      </c>
    </row>
    <row r="323" spans="1:7" x14ac:dyDescent="0.25">
      <c r="A323">
        <v>10505</v>
      </c>
      <c r="B323" t="s">
        <v>462</v>
      </c>
      <c r="C323">
        <v>47</v>
      </c>
      <c r="D323" t="s">
        <v>3059</v>
      </c>
      <c r="E323">
        <v>9</v>
      </c>
      <c r="F323" t="s">
        <v>7</v>
      </c>
      <c r="G323" t="s">
        <v>3074</v>
      </c>
    </row>
    <row r="324" spans="1:7" x14ac:dyDescent="0.25">
      <c r="A324">
        <v>10506</v>
      </c>
      <c r="B324" t="s">
        <v>463</v>
      </c>
      <c r="C324">
        <v>47</v>
      </c>
      <c r="D324" t="s">
        <v>3059</v>
      </c>
      <c r="E324">
        <v>6</v>
      </c>
      <c r="F324" t="s">
        <v>7</v>
      </c>
      <c r="G324" t="s">
        <v>3074</v>
      </c>
    </row>
    <row r="325" spans="1:7" x14ac:dyDescent="0.25">
      <c r="A325">
        <v>10507</v>
      </c>
      <c r="B325" t="s">
        <v>464</v>
      </c>
      <c r="C325">
        <v>47</v>
      </c>
      <c r="D325" t="s">
        <v>3059</v>
      </c>
      <c r="E325">
        <v>1</v>
      </c>
      <c r="F325" t="s">
        <v>7</v>
      </c>
      <c r="G325" t="s">
        <v>3074</v>
      </c>
    </row>
    <row r="326" spans="1:7" x14ac:dyDescent="0.25">
      <c r="A326">
        <v>10509</v>
      </c>
      <c r="B326" t="s">
        <v>466</v>
      </c>
      <c r="C326">
        <v>47</v>
      </c>
      <c r="D326" t="s">
        <v>3059</v>
      </c>
      <c r="E326">
        <v>15</v>
      </c>
      <c r="F326" t="s">
        <v>7</v>
      </c>
      <c r="G326" t="s">
        <v>3074</v>
      </c>
    </row>
    <row r="327" spans="1:7" x14ac:dyDescent="0.25">
      <c r="A327">
        <v>10510</v>
      </c>
      <c r="B327" t="s">
        <v>467</v>
      </c>
      <c r="C327">
        <v>47</v>
      </c>
      <c r="D327" t="s">
        <v>3059</v>
      </c>
      <c r="E327">
        <v>1</v>
      </c>
      <c r="F327" t="s">
        <v>7</v>
      </c>
      <c r="G327" t="s">
        <v>3074</v>
      </c>
    </row>
    <row r="328" spans="1:7" x14ac:dyDescent="0.25">
      <c r="A328">
        <v>10511</v>
      </c>
      <c r="B328" t="s">
        <v>468</v>
      </c>
      <c r="C328">
        <v>47</v>
      </c>
      <c r="D328" t="s">
        <v>3059</v>
      </c>
      <c r="E328">
        <v>4</v>
      </c>
      <c r="F328" t="s">
        <v>7</v>
      </c>
      <c r="G328" t="s">
        <v>3074</v>
      </c>
    </row>
    <row r="329" spans="1:7" x14ac:dyDescent="0.25">
      <c r="A329">
        <v>10513</v>
      </c>
      <c r="B329" t="s">
        <v>470</v>
      </c>
      <c r="C329">
        <v>47</v>
      </c>
      <c r="D329" t="s">
        <v>3059</v>
      </c>
      <c r="E329">
        <v>1</v>
      </c>
      <c r="F329" t="s">
        <v>7</v>
      </c>
      <c r="G329" t="s">
        <v>3074</v>
      </c>
    </row>
    <row r="330" spans="1:7" x14ac:dyDescent="0.25">
      <c r="A330">
        <v>10514</v>
      </c>
      <c r="B330" t="s">
        <v>3097</v>
      </c>
      <c r="C330">
        <v>47</v>
      </c>
      <c r="D330" t="s">
        <v>3059</v>
      </c>
      <c r="E330">
        <v>2</v>
      </c>
      <c r="F330" t="s">
        <v>7</v>
      </c>
      <c r="G330" t="s">
        <v>3074</v>
      </c>
    </row>
    <row r="331" spans="1:7" x14ac:dyDescent="0.25">
      <c r="A331">
        <v>10515</v>
      </c>
      <c r="B331" t="s">
        <v>472</v>
      </c>
      <c r="C331">
        <v>47</v>
      </c>
      <c r="D331" t="s">
        <v>3059</v>
      </c>
      <c r="E331">
        <v>2</v>
      </c>
      <c r="F331" t="s">
        <v>7</v>
      </c>
      <c r="G331" t="s">
        <v>3074</v>
      </c>
    </row>
    <row r="332" spans="1:7" x14ac:dyDescent="0.25">
      <c r="A332">
        <v>10517</v>
      </c>
      <c r="B332" t="s">
        <v>473</v>
      </c>
      <c r="C332">
        <v>47</v>
      </c>
      <c r="D332" t="s">
        <v>3059</v>
      </c>
      <c r="E332">
        <v>1</v>
      </c>
      <c r="F332" t="s">
        <v>7</v>
      </c>
      <c r="G332" t="s">
        <v>3074</v>
      </c>
    </row>
    <row r="333" spans="1:7" x14ac:dyDescent="0.25">
      <c r="A333">
        <v>10518</v>
      </c>
      <c r="B333" t="s">
        <v>474</v>
      </c>
      <c r="C333">
        <v>47</v>
      </c>
      <c r="D333" t="s">
        <v>3059</v>
      </c>
      <c r="E333">
        <v>5</v>
      </c>
      <c r="F333" t="s">
        <v>7</v>
      </c>
      <c r="G333" t="s">
        <v>3074</v>
      </c>
    </row>
    <row r="334" spans="1:7" x14ac:dyDescent="0.25">
      <c r="A334">
        <v>10520</v>
      </c>
      <c r="B334" t="s">
        <v>476</v>
      </c>
      <c r="C334">
        <v>47</v>
      </c>
      <c r="D334" t="s">
        <v>3059</v>
      </c>
      <c r="E334">
        <v>9</v>
      </c>
      <c r="F334" t="s">
        <v>7</v>
      </c>
      <c r="G334" t="s">
        <v>3074</v>
      </c>
    </row>
    <row r="335" spans="1:7" x14ac:dyDescent="0.25">
      <c r="A335">
        <v>10522</v>
      </c>
      <c r="B335" t="s">
        <v>478</v>
      </c>
      <c r="C335">
        <v>47</v>
      </c>
      <c r="D335" t="s">
        <v>3059</v>
      </c>
      <c r="E335">
        <v>2</v>
      </c>
      <c r="F335" t="s">
        <v>7</v>
      </c>
      <c r="G335" t="s">
        <v>3074</v>
      </c>
    </row>
    <row r="336" spans="1:7" x14ac:dyDescent="0.25">
      <c r="A336">
        <v>10524</v>
      </c>
      <c r="B336" t="s">
        <v>480</v>
      </c>
      <c r="C336">
        <v>47</v>
      </c>
      <c r="D336" t="s">
        <v>3059</v>
      </c>
      <c r="E336">
        <v>34</v>
      </c>
      <c r="F336" t="s">
        <v>7</v>
      </c>
      <c r="G336" t="s">
        <v>3074</v>
      </c>
    </row>
    <row r="337" spans="1:7" x14ac:dyDescent="0.25">
      <c r="A337">
        <v>10525</v>
      </c>
      <c r="B337" t="s">
        <v>481</v>
      </c>
      <c r="C337">
        <v>47</v>
      </c>
      <c r="D337" t="s">
        <v>3059</v>
      </c>
      <c r="E337">
        <v>128</v>
      </c>
      <c r="F337" t="s">
        <v>7</v>
      </c>
      <c r="G337" t="s">
        <v>3074</v>
      </c>
    </row>
    <row r="338" spans="1:7" x14ac:dyDescent="0.25">
      <c r="A338">
        <v>10526</v>
      </c>
      <c r="B338" t="s">
        <v>482</v>
      </c>
      <c r="C338">
        <v>47</v>
      </c>
      <c r="D338" t="s">
        <v>3059</v>
      </c>
      <c r="E338">
        <v>19</v>
      </c>
      <c r="F338" t="s">
        <v>7</v>
      </c>
      <c r="G338" t="s">
        <v>3074</v>
      </c>
    </row>
    <row r="339" spans="1:7" x14ac:dyDescent="0.25">
      <c r="A339">
        <v>10527</v>
      </c>
      <c r="B339" t="s">
        <v>483</v>
      </c>
      <c r="C339">
        <v>47</v>
      </c>
      <c r="D339" t="s">
        <v>3059</v>
      </c>
      <c r="E339">
        <v>2</v>
      </c>
      <c r="F339" t="s">
        <v>7</v>
      </c>
      <c r="G339" t="s">
        <v>3074</v>
      </c>
    </row>
    <row r="340" spans="1:7" x14ac:dyDescent="0.25">
      <c r="A340">
        <v>10528</v>
      </c>
      <c r="B340" t="s">
        <v>484</v>
      </c>
      <c r="C340">
        <v>47</v>
      </c>
      <c r="D340" t="s">
        <v>3059</v>
      </c>
      <c r="E340">
        <v>1</v>
      </c>
      <c r="F340" t="s">
        <v>7</v>
      </c>
      <c r="G340" t="s">
        <v>3074</v>
      </c>
    </row>
    <row r="341" spans="1:7" x14ac:dyDescent="0.25">
      <c r="A341">
        <v>10529</v>
      </c>
      <c r="B341" t="s">
        <v>485</v>
      </c>
      <c r="C341">
        <v>47</v>
      </c>
      <c r="D341" t="s">
        <v>3059</v>
      </c>
      <c r="E341">
        <v>2</v>
      </c>
      <c r="F341" t="s">
        <v>7</v>
      </c>
      <c r="G341" t="s">
        <v>3074</v>
      </c>
    </row>
    <row r="342" spans="1:7" x14ac:dyDescent="0.25">
      <c r="A342">
        <v>10530</v>
      </c>
      <c r="B342" t="s">
        <v>486</v>
      </c>
      <c r="C342">
        <v>47</v>
      </c>
      <c r="D342" t="s">
        <v>3059</v>
      </c>
      <c r="E342">
        <v>2</v>
      </c>
      <c r="F342" t="s">
        <v>7</v>
      </c>
      <c r="G342" t="s">
        <v>3074</v>
      </c>
    </row>
    <row r="343" spans="1:7" x14ac:dyDescent="0.25">
      <c r="A343">
        <v>10531</v>
      </c>
      <c r="B343" t="s">
        <v>487</v>
      </c>
      <c r="C343">
        <v>47</v>
      </c>
      <c r="D343" t="s">
        <v>3059</v>
      </c>
      <c r="E343">
        <v>47</v>
      </c>
      <c r="F343" t="s">
        <v>7</v>
      </c>
      <c r="G343" t="s">
        <v>3074</v>
      </c>
    </row>
    <row r="344" spans="1:7" x14ac:dyDescent="0.25">
      <c r="A344">
        <v>10532</v>
      </c>
      <c r="B344" t="s">
        <v>488</v>
      </c>
      <c r="C344">
        <v>47</v>
      </c>
      <c r="D344" t="s">
        <v>3059</v>
      </c>
      <c r="E344">
        <v>7</v>
      </c>
      <c r="F344" t="s">
        <v>7</v>
      </c>
      <c r="G344" t="s">
        <v>3074</v>
      </c>
    </row>
    <row r="345" spans="1:7" x14ac:dyDescent="0.25">
      <c r="A345">
        <v>10537</v>
      </c>
      <c r="B345" t="s">
        <v>492</v>
      </c>
      <c r="C345">
        <v>47</v>
      </c>
      <c r="D345" t="s">
        <v>3059</v>
      </c>
      <c r="E345">
        <v>2</v>
      </c>
      <c r="F345" t="s">
        <v>7</v>
      </c>
      <c r="G345" t="s">
        <v>3074</v>
      </c>
    </row>
    <row r="346" spans="1:7" x14ac:dyDescent="0.25">
      <c r="A346">
        <v>10538</v>
      </c>
      <c r="B346" t="s">
        <v>493</v>
      </c>
      <c r="C346">
        <v>47</v>
      </c>
      <c r="D346" t="s">
        <v>3059</v>
      </c>
      <c r="E346">
        <v>24</v>
      </c>
      <c r="F346" t="s">
        <v>7</v>
      </c>
      <c r="G346" t="s">
        <v>3074</v>
      </c>
    </row>
    <row r="347" spans="1:7" x14ac:dyDescent="0.25">
      <c r="A347">
        <v>10539</v>
      </c>
      <c r="B347" t="s">
        <v>494</v>
      </c>
      <c r="C347">
        <v>47</v>
      </c>
      <c r="D347" t="s">
        <v>3059</v>
      </c>
      <c r="E347">
        <v>48</v>
      </c>
      <c r="F347" t="s">
        <v>7</v>
      </c>
      <c r="G347" t="s">
        <v>3074</v>
      </c>
    </row>
    <row r="348" spans="1:7" x14ac:dyDescent="0.25">
      <c r="A348">
        <v>10541</v>
      </c>
      <c r="B348" t="s">
        <v>496</v>
      </c>
      <c r="C348">
        <v>47</v>
      </c>
      <c r="D348" t="s">
        <v>3059</v>
      </c>
      <c r="E348">
        <v>12</v>
      </c>
      <c r="F348" t="s">
        <v>7</v>
      </c>
      <c r="G348" t="s">
        <v>3074</v>
      </c>
    </row>
    <row r="349" spans="1:7" x14ac:dyDescent="0.25">
      <c r="A349">
        <v>10543</v>
      </c>
      <c r="B349" t="s">
        <v>498</v>
      </c>
      <c r="C349">
        <v>47</v>
      </c>
      <c r="D349" t="s">
        <v>3059</v>
      </c>
      <c r="E349">
        <v>2</v>
      </c>
      <c r="F349" t="s">
        <v>7</v>
      </c>
      <c r="G349" t="s">
        <v>3074</v>
      </c>
    </row>
    <row r="350" spans="1:7" x14ac:dyDescent="0.25">
      <c r="A350">
        <v>10544</v>
      </c>
      <c r="B350" t="s">
        <v>499</v>
      </c>
      <c r="C350">
        <v>47</v>
      </c>
      <c r="D350" t="s">
        <v>3059</v>
      </c>
      <c r="E350">
        <v>20</v>
      </c>
      <c r="F350" t="s">
        <v>7</v>
      </c>
      <c r="G350" t="s">
        <v>3100</v>
      </c>
    </row>
    <row r="351" spans="1:7" x14ac:dyDescent="0.25">
      <c r="A351">
        <v>10546</v>
      </c>
      <c r="B351" t="s">
        <v>501</v>
      </c>
      <c r="C351">
        <v>47</v>
      </c>
      <c r="D351" t="s">
        <v>3059</v>
      </c>
      <c r="E351">
        <v>12</v>
      </c>
      <c r="F351" t="s">
        <v>7</v>
      </c>
      <c r="G351" t="s">
        <v>3074</v>
      </c>
    </row>
    <row r="352" spans="1:7" x14ac:dyDescent="0.25">
      <c r="A352">
        <v>10547</v>
      </c>
      <c r="B352" t="s">
        <v>502</v>
      </c>
      <c r="C352">
        <v>47</v>
      </c>
      <c r="D352" t="s">
        <v>3059</v>
      </c>
      <c r="E352">
        <v>26</v>
      </c>
      <c r="F352" t="s">
        <v>7</v>
      </c>
      <c r="G352" t="s">
        <v>3101</v>
      </c>
    </row>
    <row r="353" spans="1:7" x14ac:dyDescent="0.25">
      <c r="A353">
        <v>10548</v>
      </c>
      <c r="B353" t="s">
        <v>503</v>
      </c>
      <c r="C353">
        <v>47</v>
      </c>
      <c r="D353" t="s">
        <v>3059</v>
      </c>
      <c r="E353">
        <v>14</v>
      </c>
      <c r="F353" t="s">
        <v>7</v>
      </c>
      <c r="G353" t="s">
        <v>3101</v>
      </c>
    </row>
    <row r="354" spans="1:7" x14ac:dyDescent="0.25">
      <c r="A354">
        <v>10549</v>
      </c>
      <c r="B354" t="s">
        <v>504</v>
      </c>
      <c r="C354">
        <v>47</v>
      </c>
      <c r="D354" t="s">
        <v>3059</v>
      </c>
      <c r="E354">
        <v>37</v>
      </c>
      <c r="F354" t="s">
        <v>7</v>
      </c>
      <c r="G354" t="s">
        <v>3101</v>
      </c>
    </row>
    <row r="355" spans="1:7" x14ac:dyDescent="0.25">
      <c r="A355">
        <v>10551</v>
      </c>
      <c r="B355" t="s">
        <v>506</v>
      </c>
      <c r="C355">
        <v>47</v>
      </c>
      <c r="D355" t="s">
        <v>3059</v>
      </c>
      <c r="E355">
        <v>6</v>
      </c>
      <c r="F355" t="s">
        <v>7</v>
      </c>
      <c r="G355" t="s">
        <v>3062</v>
      </c>
    </row>
    <row r="356" spans="1:7" x14ac:dyDescent="0.25">
      <c r="A356">
        <v>10552</v>
      </c>
      <c r="B356" t="s">
        <v>507</v>
      </c>
      <c r="C356">
        <v>47</v>
      </c>
      <c r="D356" t="s">
        <v>3059</v>
      </c>
      <c r="E356">
        <v>11</v>
      </c>
      <c r="F356" t="s">
        <v>7</v>
      </c>
      <c r="G356" t="s">
        <v>3062</v>
      </c>
    </row>
    <row r="357" spans="1:7" x14ac:dyDescent="0.25">
      <c r="A357">
        <v>10553</v>
      </c>
      <c r="B357" t="s">
        <v>508</v>
      </c>
      <c r="C357">
        <v>47</v>
      </c>
      <c r="D357" t="s">
        <v>3059</v>
      </c>
      <c r="E357">
        <v>23</v>
      </c>
      <c r="F357" t="s">
        <v>7</v>
      </c>
      <c r="G357" t="s">
        <v>3062</v>
      </c>
    </row>
    <row r="358" spans="1:7" x14ac:dyDescent="0.25">
      <c r="A358">
        <v>10554</v>
      </c>
      <c r="B358" t="s">
        <v>509</v>
      </c>
      <c r="C358">
        <v>47</v>
      </c>
      <c r="D358" t="s">
        <v>3059</v>
      </c>
      <c r="E358">
        <v>88</v>
      </c>
      <c r="F358" t="s">
        <v>7</v>
      </c>
      <c r="G358" t="s">
        <v>3102</v>
      </c>
    </row>
    <row r="359" spans="1:7" x14ac:dyDescent="0.25">
      <c r="A359">
        <v>10556</v>
      </c>
      <c r="B359" t="s">
        <v>511</v>
      </c>
      <c r="C359">
        <v>47</v>
      </c>
      <c r="D359" t="s">
        <v>3059</v>
      </c>
      <c r="E359">
        <v>210</v>
      </c>
      <c r="F359" t="s">
        <v>7</v>
      </c>
      <c r="G359" t="s">
        <v>3102</v>
      </c>
    </row>
    <row r="360" spans="1:7" x14ac:dyDescent="0.25">
      <c r="A360">
        <v>10557</v>
      </c>
      <c r="B360" t="s">
        <v>512</v>
      </c>
      <c r="C360">
        <v>47</v>
      </c>
      <c r="D360" t="s">
        <v>3059</v>
      </c>
      <c r="E360">
        <v>1</v>
      </c>
      <c r="F360" t="s">
        <v>7</v>
      </c>
      <c r="G360" t="s">
        <v>3070</v>
      </c>
    </row>
    <row r="361" spans="1:7" x14ac:dyDescent="0.25">
      <c r="A361">
        <v>10559</v>
      </c>
      <c r="B361" t="s">
        <v>514</v>
      </c>
      <c r="C361">
        <v>47</v>
      </c>
      <c r="D361" t="s">
        <v>3059</v>
      </c>
      <c r="E361">
        <v>35</v>
      </c>
      <c r="F361" t="s">
        <v>7</v>
      </c>
      <c r="G361" t="s">
        <v>3070</v>
      </c>
    </row>
    <row r="362" spans="1:7" x14ac:dyDescent="0.25">
      <c r="A362">
        <v>10560</v>
      </c>
      <c r="B362" t="s">
        <v>515</v>
      </c>
      <c r="C362">
        <v>47</v>
      </c>
      <c r="D362" t="s">
        <v>3059</v>
      </c>
      <c r="E362">
        <v>30</v>
      </c>
      <c r="F362" t="s">
        <v>7</v>
      </c>
      <c r="G362" t="s">
        <v>3070</v>
      </c>
    </row>
    <row r="363" spans="1:7" x14ac:dyDescent="0.25">
      <c r="A363">
        <v>10561</v>
      </c>
      <c r="B363" t="s">
        <v>516</v>
      </c>
      <c r="C363">
        <v>47</v>
      </c>
      <c r="D363" t="s">
        <v>3059</v>
      </c>
      <c r="E363">
        <v>6</v>
      </c>
      <c r="F363" t="s">
        <v>7</v>
      </c>
      <c r="G363" t="s">
        <v>3070</v>
      </c>
    </row>
    <row r="364" spans="1:7" x14ac:dyDescent="0.25">
      <c r="A364">
        <v>10562</v>
      </c>
      <c r="B364" t="s">
        <v>517</v>
      </c>
      <c r="C364">
        <v>47</v>
      </c>
      <c r="D364" t="s">
        <v>3059</v>
      </c>
      <c r="E364">
        <v>8</v>
      </c>
      <c r="F364" t="s">
        <v>7</v>
      </c>
      <c r="G364" t="s">
        <v>3070</v>
      </c>
    </row>
    <row r="365" spans="1:7" x14ac:dyDescent="0.25">
      <c r="A365">
        <v>10563</v>
      </c>
      <c r="B365" t="s">
        <v>518</v>
      </c>
      <c r="C365">
        <v>47</v>
      </c>
      <c r="D365" t="s">
        <v>3059</v>
      </c>
      <c r="E365">
        <v>159</v>
      </c>
      <c r="F365" t="s">
        <v>7</v>
      </c>
      <c r="G365" t="s">
        <v>3070</v>
      </c>
    </row>
    <row r="366" spans="1:7" x14ac:dyDescent="0.25">
      <c r="A366">
        <v>10568</v>
      </c>
      <c r="B366" t="s">
        <v>522</v>
      </c>
      <c r="C366">
        <v>47</v>
      </c>
      <c r="D366" t="s">
        <v>3059</v>
      </c>
      <c r="E366">
        <v>5</v>
      </c>
      <c r="F366" t="s">
        <v>7</v>
      </c>
      <c r="G366" t="s">
        <v>3064</v>
      </c>
    </row>
    <row r="367" spans="1:7" x14ac:dyDescent="0.25">
      <c r="A367">
        <v>10573</v>
      </c>
      <c r="B367" t="s">
        <v>526</v>
      </c>
      <c r="C367">
        <v>47</v>
      </c>
      <c r="D367" t="s">
        <v>3059</v>
      </c>
      <c r="E367">
        <v>4</v>
      </c>
      <c r="F367" t="s">
        <v>7</v>
      </c>
      <c r="G367" t="s">
        <v>3064</v>
      </c>
    </row>
    <row r="368" spans="1:7" x14ac:dyDescent="0.25">
      <c r="A368">
        <v>10575</v>
      </c>
      <c r="B368" t="s">
        <v>527</v>
      </c>
      <c r="C368">
        <v>47</v>
      </c>
      <c r="D368" t="s">
        <v>3059</v>
      </c>
      <c r="E368">
        <v>153</v>
      </c>
      <c r="F368" t="s">
        <v>7</v>
      </c>
      <c r="G368" t="s">
        <v>3064</v>
      </c>
    </row>
    <row r="369" spans="1:7" x14ac:dyDescent="0.25">
      <c r="A369">
        <v>10576</v>
      </c>
      <c r="B369" t="s">
        <v>528</v>
      </c>
      <c r="C369">
        <v>47</v>
      </c>
      <c r="D369" t="s">
        <v>3059</v>
      </c>
      <c r="E369">
        <v>247</v>
      </c>
      <c r="F369" t="s">
        <v>7</v>
      </c>
      <c r="G369" t="s">
        <v>3064</v>
      </c>
    </row>
    <row r="370" spans="1:7" x14ac:dyDescent="0.25">
      <c r="A370">
        <v>10577</v>
      </c>
      <c r="B370" t="s">
        <v>529</v>
      </c>
      <c r="C370">
        <v>47</v>
      </c>
      <c r="D370" t="s">
        <v>3059</v>
      </c>
      <c r="E370">
        <v>40</v>
      </c>
      <c r="F370" t="s">
        <v>7</v>
      </c>
      <c r="G370" t="s">
        <v>3064</v>
      </c>
    </row>
    <row r="371" spans="1:7" x14ac:dyDescent="0.25">
      <c r="A371">
        <v>10578</v>
      </c>
      <c r="B371" t="s">
        <v>530</v>
      </c>
      <c r="C371">
        <v>47</v>
      </c>
      <c r="D371" t="s">
        <v>3059</v>
      </c>
      <c r="E371">
        <v>35</v>
      </c>
      <c r="F371" t="s">
        <v>7</v>
      </c>
      <c r="G371" t="s">
        <v>3064</v>
      </c>
    </row>
    <row r="372" spans="1:7" x14ac:dyDescent="0.25">
      <c r="A372">
        <v>10579</v>
      </c>
      <c r="B372" t="s">
        <v>531</v>
      </c>
      <c r="C372">
        <v>47</v>
      </c>
      <c r="D372" t="s">
        <v>3059</v>
      </c>
      <c r="E372">
        <v>139</v>
      </c>
      <c r="F372" t="s">
        <v>7</v>
      </c>
      <c r="G372" t="s">
        <v>3064</v>
      </c>
    </row>
    <row r="373" spans="1:7" x14ac:dyDescent="0.25">
      <c r="A373">
        <v>10580</v>
      </c>
      <c r="B373" t="s">
        <v>532</v>
      </c>
      <c r="C373">
        <v>47</v>
      </c>
      <c r="D373" t="s">
        <v>3059</v>
      </c>
      <c r="E373">
        <v>1</v>
      </c>
      <c r="F373" t="s">
        <v>7</v>
      </c>
      <c r="G373" t="s">
        <v>3064</v>
      </c>
    </row>
    <row r="374" spans="1:7" x14ac:dyDescent="0.25">
      <c r="A374">
        <v>10584</v>
      </c>
      <c r="B374" t="s">
        <v>536</v>
      </c>
      <c r="C374">
        <v>47</v>
      </c>
      <c r="D374" t="s">
        <v>3059</v>
      </c>
      <c r="E374">
        <v>2</v>
      </c>
      <c r="F374" t="s">
        <v>7</v>
      </c>
      <c r="G374" t="s">
        <v>3071</v>
      </c>
    </row>
    <row r="375" spans="1:7" x14ac:dyDescent="0.25">
      <c r="A375">
        <v>10587</v>
      </c>
      <c r="B375" t="s">
        <v>539</v>
      </c>
      <c r="C375">
        <v>47</v>
      </c>
      <c r="D375" t="s">
        <v>3059</v>
      </c>
      <c r="E375">
        <v>38</v>
      </c>
      <c r="F375" t="s">
        <v>7</v>
      </c>
      <c r="G375" t="s">
        <v>3071</v>
      </c>
    </row>
    <row r="376" spans="1:7" x14ac:dyDescent="0.25">
      <c r="A376">
        <v>10588</v>
      </c>
      <c r="B376" t="s">
        <v>540</v>
      </c>
      <c r="C376">
        <v>47</v>
      </c>
      <c r="D376" t="s">
        <v>3059</v>
      </c>
      <c r="E376">
        <v>27</v>
      </c>
      <c r="F376" t="s">
        <v>7</v>
      </c>
      <c r="G376" t="s">
        <v>3071</v>
      </c>
    </row>
    <row r="377" spans="1:7" x14ac:dyDescent="0.25">
      <c r="A377">
        <v>10590</v>
      </c>
      <c r="B377" t="s">
        <v>541</v>
      </c>
      <c r="C377">
        <v>47</v>
      </c>
      <c r="D377" t="s">
        <v>3059</v>
      </c>
      <c r="E377">
        <v>18</v>
      </c>
      <c r="F377" t="s">
        <v>7</v>
      </c>
      <c r="G377" t="s">
        <v>3071</v>
      </c>
    </row>
    <row r="378" spans="1:7" x14ac:dyDescent="0.25">
      <c r="A378">
        <v>10591</v>
      </c>
      <c r="B378" t="s">
        <v>542</v>
      </c>
      <c r="C378">
        <v>47</v>
      </c>
      <c r="D378" t="s">
        <v>3059</v>
      </c>
      <c r="E378">
        <v>20</v>
      </c>
      <c r="F378" t="s">
        <v>7</v>
      </c>
      <c r="G378" t="s">
        <v>3071</v>
      </c>
    </row>
    <row r="379" spans="1:7" x14ac:dyDescent="0.25">
      <c r="A379">
        <v>10592</v>
      </c>
      <c r="B379" t="s">
        <v>543</v>
      </c>
      <c r="C379">
        <v>47</v>
      </c>
      <c r="D379" t="s">
        <v>3059</v>
      </c>
      <c r="E379">
        <v>13</v>
      </c>
      <c r="F379" t="s">
        <v>7</v>
      </c>
      <c r="G379" t="s">
        <v>3071</v>
      </c>
    </row>
    <row r="380" spans="1:7" x14ac:dyDescent="0.25">
      <c r="A380">
        <v>10593</v>
      </c>
      <c r="B380" t="s">
        <v>544</v>
      </c>
      <c r="C380">
        <v>47</v>
      </c>
      <c r="D380" t="s">
        <v>3059</v>
      </c>
      <c r="E380">
        <v>24</v>
      </c>
      <c r="F380" t="s">
        <v>7</v>
      </c>
      <c r="G380" t="s">
        <v>3071</v>
      </c>
    </row>
    <row r="381" spans="1:7" x14ac:dyDescent="0.25">
      <c r="A381">
        <v>10594</v>
      </c>
      <c r="B381" t="s">
        <v>545</v>
      </c>
      <c r="C381">
        <v>47</v>
      </c>
      <c r="D381" t="s">
        <v>3059</v>
      </c>
      <c r="E381">
        <v>39</v>
      </c>
      <c r="F381" t="s">
        <v>7</v>
      </c>
      <c r="G381" t="s">
        <v>3071</v>
      </c>
    </row>
    <row r="382" spans="1:7" x14ac:dyDescent="0.25">
      <c r="A382">
        <v>10596</v>
      </c>
      <c r="B382" t="s">
        <v>546</v>
      </c>
      <c r="C382">
        <v>47</v>
      </c>
      <c r="D382" t="s">
        <v>3059</v>
      </c>
      <c r="E382">
        <v>7</v>
      </c>
      <c r="F382" t="s">
        <v>7</v>
      </c>
      <c r="G382" t="s">
        <v>3071</v>
      </c>
    </row>
    <row r="383" spans="1:7" x14ac:dyDescent="0.25">
      <c r="A383">
        <v>10598</v>
      </c>
      <c r="B383" t="s">
        <v>547</v>
      </c>
      <c r="C383">
        <v>47</v>
      </c>
      <c r="D383" t="s">
        <v>3059</v>
      </c>
      <c r="E383">
        <v>4</v>
      </c>
      <c r="F383" t="s">
        <v>7</v>
      </c>
      <c r="G383" t="s">
        <v>3071</v>
      </c>
    </row>
    <row r="384" spans="1:7" x14ac:dyDescent="0.25">
      <c r="A384">
        <v>10599</v>
      </c>
      <c r="B384" t="s">
        <v>548</v>
      </c>
      <c r="C384">
        <v>47</v>
      </c>
      <c r="D384" t="s">
        <v>3059</v>
      </c>
      <c r="E384">
        <v>13</v>
      </c>
      <c r="F384" t="s">
        <v>7</v>
      </c>
      <c r="G384" t="s">
        <v>3071</v>
      </c>
    </row>
    <row r="385" spans="1:7" x14ac:dyDescent="0.25">
      <c r="A385">
        <v>10600</v>
      </c>
      <c r="B385" t="s">
        <v>549</v>
      </c>
      <c r="C385">
        <v>47</v>
      </c>
      <c r="D385" t="s">
        <v>3059</v>
      </c>
      <c r="E385">
        <v>3</v>
      </c>
      <c r="F385" t="s">
        <v>7</v>
      </c>
      <c r="G385" t="s">
        <v>3071</v>
      </c>
    </row>
    <row r="386" spans="1:7" x14ac:dyDescent="0.25">
      <c r="A386">
        <v>10603</v>
      </c>
      <c r="B386" t="s">
        <v>552</v>
      </c>
      <c r="C386">
        <v>47</v>
      </c>
      <c r="D386" t="s">
        <v>3059</v>
      </c>
      <c r="E386">
        <v>7</v>
      </c>
      <c r="F386" t="s">
        <v>7</v>
      </c>
      <c r="G386" t="s">
        <v>3087</v>
      </c>
    </row>
    <row r="387" spans="1:7" x14ac:dyDescent="0.25">
      <c r="A387">
        <v>10604</v>
      </c>
      <c r="B387" t="s">
        <v>553</v>
      </c>
      <c r="C387">
        <v>47</v>
      </c>
      <c r="D387" t="s">
        <v>3059</v>
      </c>
      <c r="E387">
        <v>6</v>
      </c>
      <c r="F387" t="s">
        <v>7</v>
      </c>
      <c r="G387" t="s">
        <v>3087</v>
      </c>
    </row>
    <row r="388" spans="1:7" x14ac:dyDescent="0.25">
      <c r="A388">
        <v>10605</v>
      </c>
      <c r="B388" t="s">
        <v>554</v>
      </c>
      <c r="C388">
        <v>47</v>
      </c>
      <c r="D388" t="s">
        <v>3059</v>
      </c>
      <c r="E388">
        <v>10</v>
      </c>
      <c r="F388" t="s">
        <v>7</v>
      </c>
      <c r="G388" t="s">
        <v>3087</v>
      </c>
    </row>
    <row r="389" spans="1:7" x14ac:dyDescent="0.25">
      <c r="A389">
        <v>10606</v>
      </c>
      <c r="B389" t="s">
        <v>555</v>
      </c>
      <c r="C389">
        <v>47</v>
      </c>
      <c r="D389" t="s">
        <v>3059</v>
      </c>
      <c r="E389">
        <v>8</v>
      </c>
      <c r="F389" t="s">
        <v>7</v>
      </c>
      <c r="G389" t="s">
        <v>3087</v>
      </c>
    </row>
    <row r="390" spans="1:7" x14ac:dyDescent="0.25">
      <c r="A390">
        <v>10607</v>
      </c>
      <c r="B390" t="s">
        <v>556</v>
      </c>
      <c r="C390">
        <v>47</v>
      </c>
      <c r="D390" t="s">
        <v>3059</v>
      </c>
      <c r="E390">
        <v>30</v>
      </c>
      <c r="F390" t="s">
        <v>7</v>
      </c>
      <c r="G390" t="s">
        <v>3087</v>
      </c>
    </row>
    <row r="391" spans="1:7" x14ac:dyDescent="0.25">
      <c r="A391">
        <v>10609</v>
      </c>
      <c r="B391" t="s">
        <v>558</v>
      </c>
      <c r="C391">
        <v>47</v>
      </c>
      <c r="D391" t="s">
        <v>3059</v>
      </c>
      <c r="E391">
        <v>20</v>
      </c>
      <c r="F391" t="s">
        <v>7</v>
      </c>
      <c r="G391" t="s">
        <v>3087</v>
      </c>
    </row>
    <row r="392" spans="1:7" x14ac:dyDescent="0.25">
      <c r="A392">
        <v>10610</v>
      </c>
      <c r="B392" t="s">
        <v>559</v>
      </c>
      <c r="C392">
        <v>47</v>
      </c>
      <c r="D392" t="s">
        <v>3059</v>
      </c>
      <c r="E392">
        <v>15</v>
      </c>
      <c r="F392" t="s">
        <v>7</v>
      </c>
      <c r="G392" t="s">
        <v>3087</v>
      </c>
    </row>
    <row r="393" spans="1:7" x14ac:dyDescent="0.25">
      <c r="A393">
        <v>10612</v>
      </c>
      <c r="B393" t="s">
        <v>560</v>
      </c>
      <c r="C393">
        <v>47</v>
      </c>
      <c r="D393" t="s">
        <v>3059</v>
      </c>
      <c r="E393">
        <v>10</v>
      </c>
      <c r="F393" t="s">
        <v>7</v>
      </c>
      <c r="G393" t="s">
        <v>3087</v>
      </c>
    </row>
    <row r="394" spans="1:7" x14ac:dyDescent="0.25">
      <c r="A394">
        <v>10616</v>
      </c>
      <c r="B394" t="s">
        <v>562</v>
      </c>
      <c r="C394">
        <v>47</v>
      </c>
      <c r="D394" t="s">
        <v>3059</v>
      </c>
      <c r="E394">
        <v>23</v>
      </c>
      <c r="F394" t="s">
        <v>7</v>
      </c>
      <c r="G394" t="s">
        <v>3071</v>
      </c>
    </row>
    <row r="395" spans="1:7" x14ac:dyDescent="0.25">
      <c r="A395">
        <v>10619</v>
      </c>
      <c r="B395" t="s">
        <v>565</v>
      </c>
      <c r="C395">
        <v>47</v>
      </c>
      <c r="D395" t="s">
        <v>3059</v>
      </c>
      <c r="E395">
        <v>10</v>
      </c>
      <c r="F395" t="s">
        <v>7</v>
      </c>
      <c r="G395" t="s">
        <v>3087</v>
      </c>
    </row>
    <row r="396" spans="1:7" x14ac:dyDescent="0.25">
      <c r="A396">
        <v>10624</v>
      </c>
      <c r="B396" t="s">
        <v>570</v>
      </c>
      <c r="C396">
        <v>47</v>
      </c>
      <c r="D396" t="s">
        <v>3059</v>
      </c>
      <c r="E396">
        <v>12</v>
      </c>
      <c r="F396" t="s">
        <v>7</v>
      </c>
      <c r="G396" t="s">
        <v>3087</v>
      </c>
    </row>
    <row r="397" spans="1:7" x14ac:dyDescent="0.25">
      <c r="A397">
        <v>10626</v>
      </c>
      <c r="B397" t="s">
        <v>571</v>
      </c>
      <c r="C397">
        <v>47</v>
      </c>
      <c r="D397" t="s">
        <v>3059</v>
      </c>
      <c r="E397">
        <v>5</v>
      </c>
      <c r="F397" t="s">
        <v>7</v>
      </c>
      <c r="G397" t="s">
        <v>3087</v>
      </c>
    </row>
    <row r="398" spans="1:7" x14ac:dyDescent="0.25">
      <c r="A398">
        <v>10627</v>
      </c>
      <c r="B398" t="s">
        <v>572</v>
      </c>
      <c r="C398">
        <v>47</v>
      </c>
      <c r="D398" t="s">
        <v>3059</v>
      </c>
      <c r="E398">
        <v>5</v>
      </c>
      <c r="F398" t="s">
        <v>7</v>
      </c>
      <c r="G398" t="s">
        <v>3087</v>
      </c>
    </row>
    <row r="399" spans="1:7" x14ac:dyDescent="0.25">
      <c r="A399">
        <v>10636</v>
      </c>
      <c r="B399" t="s">
        <v>581</v>
      </c>
      <c r="C399">
        <v>47</v>
      </c>
      <c r="D399" t="s">
        <v>3059</v>
      </c>
      <c r="E399">
        <v>5</v>
      </c>
      <c r="F399" t="s">
        <v>7</v>
      </c>
      <c r="G399" t="s">
        <v>3087</v>
      </c>
    </row>
    <row r="400" spans="1:7" x14ac:dyDescent="0.25">
      <c r="A400">
        <v>10637</v>
      </c>
      <c r="B400" t="s">
        <v>582</v>
      </c>
      <c r="C400">
        <v>47</v>
      </c>
      <c r="D400" t="s">
        <v>3059</v>
      </c>
      <c r="E400">
        <v>5</v>
      </c>
      <c r="F400" t="s">
        <v>7</v>
      </c>
      <c r="G400" t="s">
        <v>3087</v>
      </c>
    </row>
    <row r="401" spans="1:7" x14ac:dyDescent="0.25">
      <c r="A401">
        <v>10638</v>
      </c>
      <c r="B401" t="s">
        <v>583</v>
      </c>
      <c r="C401">
        <v>47</v>
      </c>
      <c r="D401" t="s">
        <v>3059</v>
      </c>
      <c r="E401">
        <v>5</v>
      </c>
      <c r="F401" t="s">
        <v>7</v>
      </c>
      <c r="G401" t="s">
        <v>3087</v>
      </c>
    </row>
    <row r="402" spans="1:7" x14ac:dyDescent="0.25">
      <c r="A402">
        <v>10639</v>
      </c>
      <c r="B402" t="s">
        <v>584</v>
      </c>
      <c r="C402">
        <v>47</v>
      </c>
      <c r="D402" t="s">
        <v>3059</v>
      </c>
      <c r="E402">
        <v>5</v>
      </c>
      <c r="F402" t="s">
        <v>7</v>
      </c>
      <c r="G402" t="s">
        <v>3087</v>
      </c>
    </row>
    <row r="403" spans="1:7" x14ac:dyDescent="0.25">
      <c r="A403">
        <v>10644</v>
      </c>
      <c r="B403" t="s">
        <v>589</v>
      </c>
      <c r="C403">
        <v>47</v>
      </c>
      <c r="D403" t="s">
        <v>3059</v>
      </c>
      <c r="E403">
        <v>5</v>
      </c>
      <c r="F403" t="s">
        <v>7</v>
      </c>
      <c r="G403" t="s">
        <v>3087</v>
      </c>
    </row>
    <row r="404" spans="1:7" x14ac:dyDescent="0.25">
      <c r="A404">
        <v>10649</v>
      </c>
      <c r="B404" t="s">
        <v>594</v>
      </c>
      <c r="C404">
        <v>47</v>
      </c>
      <c r="D404" t="s">
        <v>3059</v>
      </c>
      <c r="E404">
        <v>176</v>
      </c>
      <c r="F404" t="s">
        <v>7</v>
      </c>
      <c r="G404" t="s">
        <v>3087</v>
      </c>
    </row>
    <row r="405" spans="1:7" x14ac:dyDescent="0.25">
      <c r="A405">
        <v>10654</v>
      </c>
      <c r="B405" t="s">
        <v>598</v>
      </c>
      <c r="C405">
        <v>47</v>
      </c>
      <c r="D405" t="s">
        <v>3059</v>
      </c>
      <c r="E405">
        <v>5</v>
      </c>
      <c r="F405" t="s">
        <v>7</v>
      </c>
      <c r="G405" t="s">
        <v>3087</v>
      </c>
    </row>
    <row r="406" spans="1:7" x14ac:dyDescent="0.25">
      <c r="A406">
        <v>10656</v>
      </c>
      <c r="B406" t="s">
        <v>600</v>
      </c>
      <c r="C406">
        <v>47</v>
      </c>
      <c r="D406" t="s">
        <v>3059</v>
      </c>
      <c r="E406">
        <v>4</v>
      </c>
      <c r="F406" t="s">
        <v>7</v>
      </c>
      <c r="G406" t="s">
        <v>3087</v>
      </c>
    </row>
    <row r="407" spans="1:7" x14ac:dyDescent="0.25">
      <c r="A407">
        <v>10657</v>
      </c>
      <c r="B407" t="s">
        <v>601</v>
      </c>
      <c r="C407">
        <v>47</v>
      </c>
      <c r="D407" t="s">
        <v>3059</v>
      </c>
      <c r="E407">
        <v>1</v>
      </c>
      <c r="F407" t="s">
        <v>7</v>
      </c>
      <c r="G407" t="s">
        <v>3087</v>
      </c>
    </row>
    <row r="408" spans="1:7" x14ac:dyDescent="0.25">
      <c r="A408">
        <v>10658</v>
      </c>
      <c r="B408" t="s">
        <v>17488</v>
      </c>
      <c r="C408">
        <v>47</v>
      </c>
      <c r="D408" t="s">
        <v>3059</v>
      </c>
      <c r="E408">
        <v>1</v>
      </c>
      <c r="F408" t="s">
        <v>7</v>
      </c>
      <c r="G408" t="s">
        <v>3087</v>
      </c>
    </row>
    <row r="409" spans="1:7" x14ac:dyDescent="0.25">
      <c r="A409">
        <v>10667</v>
      </c>
      <c r="B409" t="s">
        <v>609</v>
      </c>
      <c r="C409">
        <v>47</v>
      </c>
      <c r="D409" t="s">
        <v>3059</v>
      </c>
      <c r="E409">
        <v>10</v>
      </c>
      <c r="F409" t="s">
        <v>7</v>
      </c>
      <c r="G409" t="s">
        <v>3087</v>
      </c>
    </row>
    <row r="410" spans="1:7" x14ac:dyDescent="0.25">
      <c r="A410">
        <v>10668</v>
      </c>
      <c r="B410" t="s">
        <v>610</v>
      </c>
      <c r="C410">
        <v>47</v>
      </c>
      <c r="D410" t="s">
        <v>3059</v>
      </c>
      <c r="E410">
        <v>17</v>
      </c>
      <c r="F410" t="s">
        <v>7</v>
      </c>
      <c r="G410" t="s">
        <v>3087</v>
      </c>
    </row>
    <row r="411" spans="1:7" x14ac:dyDescent="0.25">
      <c r="A411">
        <v>10672</v>
      </c>
      <c r="B411" t="s">
        <v>614</v>
      </c>
      <c r="C411">
        <v>47</v>
      </c>
      <c r="D411" t="s">
        <v>3059</v>
      </c>
      <c r="E411">
        <v>1</v>
      </c>
      <c r="F411" t="s">
        <v>7</v>
      </c>
      <c r="G411" t="s">
        <v>3087</v>
      </c>
    </row>
    <row r="412" spans="1:7" x14ac:dyDescent="0.25">
      <c r="A412">
        <v>10683</v>
      </c>
      <c r="B412" t="s">
        <v>625</v>
      </c>
      <c r="C412">
        <v>47</v>
      </c>
      <c r="D412" t="s">
        <v>3059</v>
      </c>
      <c r="E412">
        <v>10</v>
      </c>
      <c r="F412" t="s">
        <v>7</v>
      </c>
      <c r="G412" t="s">
        <v>3087</v>
      </c>
    </row>
    <row r="413" spans="1:7" x14ac:dyDescent="0.25">
      <c r="A413">
        <v>10684</v>
      </c>
      <c r="B413" t="s">
        <v>626</v>
      </c>
      <c r="C413">
        <v>47</v>
      </c>
      <c r="D413" t="s">
        <v>3059</v>
      </c>
      <c r="E413">
        <v>10</v>
      </c>
      <c r="F413" t="s">
        <v>7</v>
      </c>
      <c r="G413" t="s">
        <v>3087</v>
      </c>
    </row>
    <row r="414" spans="1:7" x14ac:dyDescent="0.25">
      <c r="A414">
        <v>10691</v>
      </c>
      <c r="B414" t="s">
        <v>632</v>
      </c>
      <c r="C414">
        <v>47</v>
      </c>
      <c r="D414" t="s">
        <v>3059</v>
      </c>
      <c r="E414">
        <v>1</v>
      </c>
      <c r="F414" t="s">
        <v>7</v>
      </c>
      <c r="G414" t="s">
        <v>3087</v>
      </c>
    </row>
    <row r="415" spans="1:7" x14ac:dyDescent="0.25">
      <c r="A415">
        <v>10692</v>
      </c>
      <c r="B415" t="s">
        <v>633</v>
      </c>
      <c r="C415">
        <v>47</v>
      </c>
      <c r="D415" t="s">
        <v>3059</v>
      </c>
      <c r="E415">
        <v>10</v>
      </c>
      <c r="F415" t="s">
        <v>7</v>
      </c>
      <c r="G415" t="s">
        <v>3087</v>
      </c>
    </row>
    <row r="416" spans="1:7" x14ac:dyDescent="0.25">
      <c r="A416">
        <v>10693</v>
      </c>
      <c r="B416" t="s">
        <v>634</v>
      </c>
      <c r="C416">
        <v>47</v>
      </c>
      <c r="D416" t="s">
        <v>3059</v>
      </c>
      <c r="E416">
        <v>20</v>
      </c>
      <c r="F416" t="s">
        <v>7</v>
      </c>
      <c r="G416" t="s">
        <v>3087</v>
      </c>
    </row>
    <row r="417" spans="1:7" x14ac:dyDescent="0.25">
      <c r="A417">
        <v>10694</v>
      </c>
      <c r="B417" t="s">
        <v>635</v>
      </c>
      <c r="C417">
        <v>47</v>
      </c>
      <c r="D417" t="s">
        <v>3059</v>
      </c>
      <c r="E417">
        <v>12</v>
      </c>
      <c r="F417" t="s">
        <v>7</v>
      </c>
      <c r="G417" t="s">
        <v>3087</v>
      </c>
    </row>
    <row r="418" spans="1:7" x14ac:dyDescent="0.25">
      <c r="A418">
        <v>10705</v>
      </c>
      <c r="B418" t="s">
        <v>643</v>
      </c>
      <c r="C418">
        <v>47</v>
      </c>
      <c r="D418" t="s">
        <v>3059</v>
      </c>
      <c r="E418">
        <v>107</v>
      </c>
      <c r="F418" t="s">
        <v>7</v>
      </c>
      <c r="G418" t="s">
        <v>3103</v>
      </c>
    </row>
    <row r="419" spans="1:7" x14ac:dyDescent="0.25">
      <c r="A419">
        <v>10709</v>
      </c>
      <c r="B419" t="s">
        <v>646</v>
      </c>
      <c r="C419">
        <v>47</v>
      </c>
      <c r="D419" t="s">
        <v>3059</v>
      </c>
      <c r="E419">
        <v>35</v>
      </c>
      <c r="F419" t="s">
        <v>7</v>
      </c>
      <c r="G419" t="s">
        <v>3070</v>
      </c>
    </row>
    <row r="420" spans="1:7" x14ac:dyDescent="0.25">
      <c r="A420">
        <v>10712</v>
      </c>
      <c r="B420" t="s">
        <v>647</v>
      </c>
      <c r="C420">
        <v>47</v>
      </c>
      <c r="D420" t="s">
        <v>3059</v>
      </c>
      <c r="E420">
        <v>8</v>
      </c>
      <c r="F420" t="s">
        <v>7</v>
      </c>
      <c r="G420" t="s">
        <v>3070</v>
      </c>
    </row>
    <row r="421" spans="1:7" x14ac:dyDescent="0.25">
      <c r="A421">
        <v>10713</v>
      </c>
      <c r="B421" t="s">
        <v>648</v>
      </c>
      <c r="C421">
        <v>47</v>
      </c>
      <c r="D421" t="s">
        <v>3059</v>
      </c>
      <c r="E421">
        <v>5</v>
      </c>
      <c r="F421" t="s">
        <v>7</v>
      </c>
      <c r="G421" t="s">
        <v>3070</v>
      </c>
    </row>
    <row r="422" spans="1:7" x14ac:dyDescent="0.25">
      <c r="A422">
        <v>10715</v>
      </c>
      <c r="B422" t="s">
        <v>650</v>
      </c>
      <c r="C422">
        <v>47</v>
      </c>
      <c r="D422" t="s">
        <v>3059</v>
      </c>
      <c r="E422">
        <v>5</v>
      </c>
      <c r="F422" t="s">
        <v>7</v>
      </c>
      <c r="G422" t="s">
        <v>3070</v>
      </c>
    </row>
    <row r="423" spans="1:7" x14ac:dyDescent="0.25">
      <c r="A423">
        <v>10716</v>
      </c>
      <c r="B423" t="s">
        <v>651</v>
      </c>
      <c r="C423">
        <v>47</v>
      </c>
      <c r="D423" t="s">
        <v>3059</v>
      </c>
      <c r="E423">
        <v>5</v>
      </c>
      <c r="F423" t="s">
        <v>7</v>
      </c>
      <c r="G423" t="s">
        <v>3070</v>
      </c>
    </row>
    <row r="424" spans="1:7" x14ac:dyDescent="0.25">
      <c r="A424">
        <v>10720</v>
      </c>
      <c r="B424" t="s">
        <v>652</v>
      </c>
      <c r="C424">
        <v>47</v>
      </c>
      <c r="D424" t="s">
        <v>3059</v>
      </c>
      <c r="E424">
        <v>5</v>
      </c>
      <c r="F424" t="s">
        <v>7</v>
      </c>
      <c r="G424" t="s">
        <v>3070</v>
      </c>
    </row>
    <row r="425" spans="1:7" x14ac:dyDescent="0.25">
      <c r="A425">
        <v>10721</v>
      </c>
      <c r="B425" t="s">
        <v>653</v>
      </c>
      <c r="C425">
        <v>47</v>
      </c>
      <c r="D425" t="s">
        <v>3059</v>
      </c>
      <c r="E425">
        <v>5</v>
      </c>
      <c r="F425" t="s">
        <v>7</v>
      </c>
      <c r="G425" t="s">
        <v>3070</v>
      </c>
    </row>
    <row r="426" spans="1:7" x14ac:dyDescent="0.25">
      <c r="A426">
        <v>10722</v>
      </c>
      <c r="B426" t="s">
        <v>654</v>
      </c>
      <c r="C426">
        <v>47</v>
      </c>
      <c r="D426" t="s">
        <v>3059</v>
      </c>
      <c r="E426">
        <v>5</v>
      </c>
      <c r="F426" t="s">
        <v>7</v>
      </c>
      <c r="G426" t="s">
        <v>3070</v>
      </c>
    </row>
    <row r="427" spans="1:7" x14ac:dyDescent="0.25">
      <c r="A427">
        <v>10724</v>
      </c>
      <c r="B427" t="s">
        <v>656</v>
      </c>
      <c r="C427">
        <v>47</v>
      </c>
      <c r="D427" t="s">
        <v>3059</v>
      </c>
      <c r="E427">
        <v>10</v>
      </c>
      <c r="F427" t="s">
        <v>7</v>
      </c>
      <c r="G427" t="s">
        <v>3070</v>
      </c>
    </row>
    <row r="428" spans="1:7" x14ac:dyDescent="0.25">
      <c r="A428">
        <v>10725</v>
      </c>
      <c r="B428" t="s">
        <v>657</v>
      </c>
      <c r="C428">
        <v>47</v>
      </c>
      <c r="D428" t="s">
        <v>3059</v>
      </c>
      <c r="E428">
        <v>10</v>
      </c>
      <c r="F428" t="s">
        <v>7</v>
      </c>
      <c r="G428" t="s">
        <v>3070</v>
      </c>
    </row>
    <row r="429" spans="1:7" x14ac:dyDescent="0.25">
      <c r="A429">
        <v>10726</v>
      </c>
      <c r="B429" t="s">
        <v>658</v>
      </c>
      <c r="C429">
        <v>47</v>
      </c>
      <c r="D429" t="s">
        <v>3059</v>
      </c>
      <c r="E429">
        <v>5</v>
      </c>
      <c r="F429" t="s">
        <v>7</v>
      </c>
      <c r="G429" t="s">
        <v>3070</v>
      </c>
    </row>
    <row r="430" spans="1:7" x14ac:dyDescent="0.25">
      <c r="A430">
        <v>10727</v>
      </c>
      <c r="B430" t="s">
        <v>659</v>
      </c>
      <c r="C430">
        <v>47</v>
      </c>
      <c r="D430" t="s">
        <v>3059</v>
      </c>
      <c r="E430">
        <v>8</v>
      </c>
      <c r="F430" t="s">
        <v>7</v>
      </c>
      <c r="G430" t="s">
        <v>3070</v>
      </c>
    </row>
    <row r="431" spans="1:7" x14ac:dyDescent="0.25">
      <c r="A431">
        <v>10728</v>
      </c>
      <c r="B431" t="s">
        <v>660</v>
      </c>
      <c r="C431">
        <v>47</v>
      </c>
      <c r="D431" t="s">
        <v>3059</v>
      </c>
      <c r="E431">
        <v>15</v>
      </c>
      <c r="F431" t="s">
        <v>7</v>
      </c>
      <c r="G431" t="s">
        <v>3070</v>
      </c>
    </row>
    <row r="432" spans="1:7" x14ac:dyDescent="0.25">
      <c r="A432">
        <v>10729</v>
      </c>
      <c r="B432" t="s">
        <v>661</v>
      </c>
      <c r="C432">
        <v>47</v>
      </c>
      <c r="D432" t="s">
        <v>3059</v>
      </c>
      <c r="E432">
        <v>15</v>
      </c>
      <c r="F432" t="s">
        <v>7</v>
      </c>
      <c r="G432" t="s">
        <v>3070</v>
      </c>
    </row>
    <row r="433" spans="1:7" x14ac:dyDescent="0.25">
      <c r="A433">
        <v>10730</v>
      </c>
      <c r="B433" t="s">
        <v>3104</v>
      </c>
      <c r="C433">
        <v>47</v>
      </c>
      <c r="D433" t="s">
        <v>3059</v>
      </c>
      <c r="E433">
        <v>10</v>
      </c>
      <c r="F433" t="s">
        <v>7</v>
      </c>
      <c r="G433" t="s">
        <v>3070</v>
      </c>
    </row>
    <row r="434" spans="1:7" x14ac:dyDescent="0.25">
      <c r="A434">
        <v>10731</v>
      </c>
      <c r="B434" t="s">
        <v>663</v>
      </c>
      <c r="C434">
        <v>47</v>
      </c>
      <c r="D434" t="s">
        <v>3059</v>
      </c>
      <c r="E434">
        <v>10</v>
      </c>
      <c r="F434" t="s">
        <v>7</v>
      </c>
      <c r="G434" t="s">
        <v>3070</v>
      </c>
    </row>
    <row r="435" spans="1:7" x14ac:dyDescent="0.25">
      <c r="A435">
        <v>10732</v>
      </c>
      <c r="B435" t="s">
        <v>3105</v>
      </c>
      <c r="C435">
        <v>47</v>
      </c>
      <c r="D435" t="s">
        <v>3059</v>
      </c>
      <c r="E435">
        <v>15</v>
      </c>
      <c r="F435" t="s">
        <v>7</v>
      </c>
      <c r="G435" t="s">
        <v>3070</v>
      </c>
    </row>
    <row r="436" spans="1:7" x14ac:dyDescent="0.25">
      <c r="A436">
        <v>10733</v>
      </c>
      <c r="B436" t="s">
        <v>665</v>
      </c>
      <c r="C436">
        <v>47</v>
      </c>
      <c r="D436" t="s">
        <v>3059</v>
      </c>
      <c r="E436">
        <v>10</v>
      </c>
      <c r="F436" t="s">
        <v>7</v>
      </c>
      <c r="G436" t="s">
        <v>3070</v>
      </c>
    </row>
    <row r="437" spans="1:7" x14ac:dyDescent="0.25">
      <c r="A437">
        <v>10734</v>
      </c>
      <c r="B437" t="s">
        <v>666</v>
      </c>
      <c r="C437">
        <v>47</v>
      </c>
      <c r="D437" t="s">
        <v>3059</v>
      </c>
      <c r="E437">
        <v>15</v>
      </c>
      <c r="F437" t="s">
        <v>7</v>
      </c>
      <c r="G437" t="s">
        <v>3070</v>
      </c>
    </row>
    <row r="438" spans="1:7" x14ac:dyDescent="0.25">
      <c r="A438">
        <v>10735</v>
      </c>
      <c r="B438" t="s">
        <v>667</v>
      </c>
      <c r="C438">
        <v>47</v>
      </c>
      <c r="D438" t="s">
        <v>3059</v>
      </c>
      <c r="E438">
        <v>5</v>
      </c>
      <c r="F438" t="s">
        <v>7</v>
      </c>
      <c r="G438" t="s">
        <v>3070</v>
      </c>
    </row>
    <row r="439" spans="1:7" x14ac:dyDescent="0.25">
      <c r="A439">
        <v>10737</v>
      </c>
      <c r="B439" t="s">
        <v>669</v>
      </c>
      <c r="C439">
        <v>47</v>
      </c>
      <c r="D439" t="s">
        <v>3059</v>
      </c>
      <c r="E439">
        <v>10</v>
      </c>
      <c r="F439" t="s">
        <v>7</v>
      </c>
      <c r="G439" t="s">
        <v>3070</v>
      </c>
    </row>
    <row r="440" spans="1:7" x14ac:dyDescent="0.25">
      <c r="A440">
        <v>10738</v>
      </c>
      <c r="B440" t="s">
        <v>670</v>
      </c>
      <c r="C440">
        <v>47</v>
      </c>
      <c r="D440" t="s">
        <v>3059</v>
      </c>
      <c r="E440">
        <v>10</v>
      </c>
      <c r="F440" t="s">
        <v>7</v>
      </c>
      <c r="G440" t="s">
        <v>3070</v>
      </c>
    </row>
    <row r="441" spans="1:7" x14ac:dyDescent="0.25">
      <c r="A441">
        <v>10739</v>
      </c>
      <c r="B441" t="s">
        <v>671</v>
      </c>
      <c r="C441">
        <v>47</v>
      </c>
      <c r="D441" t="s">
        <v>3059</v>
      </c>
      <c r="E441">
        <v>4</v>
      </c>
      <c r="F441" t="s">
        <v>7</v>
      </c>
      <c r="G441" t="s">
        <v>3070</v>
      </c>
    </row>
    <row r="442" spans="1:7" x14ac:dyDescent="0.25">
      <c r="A442">
        <v>10740</v>
      </c>
      <c r="B442" t="s">
        <v>672</v>
      </c>
      <c r="C442">
        <v>47</v>
      </c>
      <c r="D442" t="s">
        <v>3059</v>
      </c>
      <c r="E442">
        <v>5</v>
      </c>
      <c r="F442" t="s">
        <v>7</v>
      </c>
      <c r="G442" t="s">
        <v>3070</v>
      </c>
    </row>
    <row r="443" spans="1:7" x14ac:dyDescent="0.25">
      <c r="A443">
        <v>10741</v>
      </c>
      <c r="B443" t="s">
        <v>673</v>
      </c>
      <c r="C443">
        <v>47</v>
      </c>
      <c r="D443" t="s">
        <v>3059</v>
      </c>
      <c r="E443">
        <v>1</v>
      </c>
      <c r="F443" t="s">
        <v>7</v>
      </c>
      <c r="G443" t="s">
        <v>3070</v>
      </c>
    </row>
    <row r="444" spans="1:7" x14ac:dyDescent="0.25">
      <c r="A444">
        <v>10742</v>
      </c>
      <c r="B444" t="s">
        <v>674</v>
      </c>
      <c r="C444">
        <v>47</v>
      </c>
      <c r="D444" t="s">
        <v>3059</v>
      </c>
      <c r="E444">
        <v>5</v>
      </c>
      <c r="F444" t="s">
        <v>7</v>
      </c>
      <c r="G444" t="s">
        <v>3070</v>
      </c>
    </row>
    <row r="445" spans="1:7" x14ac:dyDescent="0.25">
      <c r="A445">
        <v>10743</v>
      </c>
      <c r="B445" t="s">
        <v>675</v>
      </c>
      <c r="C445">
        <v>47</v>
      </c>
      <c r="D445" t="s">
        <v>3059</v>
      </c>
      <c r="E445">
        <v>5</v>
      </c>
      <c r="F445" t="s">
        <v>7</v>
      </c>
      <c r="G445" t="s">
        <v>3070</v>
      </c>
    </row>
    <row r="446" spans="1:7" x14ac:dyDescent="0.25">
      <c r="A446">
        <v>10744</v>
      </c>
      <c r="B446" t="s">
        <v>3106</v>
      </c>
      <c r="C446">
        <v>47</v>
      </c>
      <c r="D446" t="s">
        <v>3059</v>
      </c>
      <c r="E446">
        <v>10</v>
      </c>
      <c r="F446" t="s">
        <v>7</v>
      </c>
      <c r="G446" t="s">
        <v>3070</v>
      </c>
    </row>
    <row r="447" spans="1:7" x14ac:dyDescent="0.25">
      <c r="A447">
        <v>10745</v>
      </c>
      <c r="B447" t="s">
        <v>16100</v>
      </c>
      <c r="C447">
        <v>47</v>
      </c>
      <c r="D447" t="s">
        <v>3059</v>
      </c>
      <c r="E447">
        <v>7</v>
      </c>
      <c r="F447" t="s">
        <v>7</v>
      </c>
      <c r="G447" t="s">
        <v>3070</v>
      </c>
    </row>
    <row r="448" spans="1:7" x14ac:dyDescent="0.25">
      <c r="A448">
        <v>10760</v>
      </c>
      <c r="B448" t="s">
        <v>682</v>
      </c>
      <c r="C448">
        <v>47</v>
      </c>
      <c r="D448" t="s">
        <v>3059</v>
      </c>
      <c r="E448">
        <v>576</v>
      </c>
      <c r="F448" t="s">
        <v>7</v>
      </c>
      <c r="G448" t="s">
        <v>3087</v>
      </c>
    </row>
    <row r="449" spans="1:7" x14ac:dyDescent="0.25">
      <c r="A449">
        <v>10761</v>
      </c>
      <c r="B449" t="s">
        <v>683</v>
      </c>
      <c r="C449">
        <v>47</v>
      </c>
      <c r="D449" t="s">
        <v>3059</v>
      </c>
      <c r="E449">
        <v>72</v>
      </c>
      <c r="F449" t="s">
        <v>7</v>
      </c>
      <c r="G449" t="s">
        <v>3087</v>
      </c>
    </row>
    <row r="450" spans="1:7" x14ac:dyDescent="0.25">
      <c r="A450">
        <v>10762</v>
      </c>
      <c r="B450" t="s">
        <v>684</v>
      </c>
      <c r="C450">
        <v>47</v>
      </c>
      <c r="D450" t="s">
        <v>3059</v>
      </c>
      <c r="E450">
        <v>12</v>
      </c>
      <c r="F450" t="s">
        <v>7</v>
      </c>
      <c r="G450" t="s">
        <v>3087</v>
      </c>
    </row>
    <row r="451" spans="1:7" x14ac:dyDescent="0.25">
      <c r="A451">
        <v>10768</v>
      </c>
      <c r="B451" t="s">
        <v>688</v>
      </c>
      <c r="C451">
        <v>47</v>
      </c>
      <c r="D451" t="s">
        <v>3059</v>
      </c>
      <c r="E451">
        <v>11</v>
      </c>
      <c r="F451" t="s">
        <v>7</v>
      </c>
      <c r="G451" t="s">
        <v>3087</v>
      </c>
    </row>
    <row r="452" spans="1:7" x14ac:dyDescent="0.25">
      <c r="A452">
        <v>10769</v>
      </c>
      <c r="B452" t="s">
        <v>689</v>
      </c>
      <c r="C452">
        <v>47</v>
      </c>
      <c r="D452" t="s">
        <v>3059</v>
      </c>
      <c r="E452">
        <v>30</v>
      </c>
      <c r="F452" t="s">
        <v>7</v>
      </c>
      <c r="G452" t="s">
        <v>3087</v>
      </c>
    </row>
    <row r="453" spans="1:7" x14ac:dyDescent="0.25">
      <c r="A453">
        <v>10770</v>
      </c>
      <c r="B453" t="s">
        <v>690</v>
      </c>
      <c r="C453">
        <v>47</v>
      </c>
      <c r="D453" t="s">
        <v>3059</v>
      </c>
      <c r="E453">
        <v>25</v>
      </c>
      <c r="F453" t="s">
        <v>7</v>
      </c>
      <c r="G453" t="s">
        <v>3087</v>
      </c>
    </row>
    <row r="454" spans="1:7" x14ac:dyDescent="0.25">
      <c r="A454">
        <v>10774</v>
      </c>
      <c r="B454" t="s">
        <v>694</v>
      </c>
      <c r="C454">
        <v>47</v>
      </c>
      <c r="D454" t="s">
        <v>3059</v>
      </c>
      <c r="E454">
        <v>12</v>
      </c>
      <c r="F454" t="s">
        <v>7</v>
      </c>
      <c r="G454" t="s">
        <v>3087</v>
      </c>
    </row>
    <row r="455" spans="1:7" x14ac:dyDescent="0.25">
      <c r="A455">
        <v>10776</v>
      </c>
      <c r="B455" t="s">
        <v>696</v>
      </c>
      <c r="C455">
        <v>47</v>
      </c>
      <c r="D455" t="s">
        <v>3059</v>
      </c>
      <c r="E455">
        <v>3</v>
      </c>
      <c r="F455" t="s">
        <v>7</v>
      </c>
      <c r="G455" t="s">
        <v>3087</v>
      </c>
    </row>
    <row r="456" spans="1:7" x14ac:dyDescent="0.25">
      <c r="A456">
        <v>10777</v>
      </c>
      <c r="B456" t="s">
        <v>697</v>
      </c>
      <c r="C456">
        <v>47</v>
      </c>
      <c r="D456" t="s">
        <v>3059</v>
      </c>
      <c r="E456">
        <v>12</v>
      </c>
      <c r="F456" t="s">
        <v>7</v>
      </c>
      <c r="G456" t="s">
        <v>3087</v>
      </c>
    </row>
    <row r="457" spans="1:7" x14ac:dyDescent="0.25">
      <c r="A457">
        <v>10778</v>
      </c>
      <c r="B457" t="s">
        <v>698</v>
      </c>
      <c r="C457">
        <v>47</v>
      </c>
      <c r="D457" t="s">
        <v>3059</v>
      </c>
      <c r="E457">
        <v>14</v>
      </c>
      <c r="F457" t="s">
        <v>7</v>
      </c>
      <c r="G457" t="s">
        <v>3087</v>
      </c>
    </row>
    <row r="458" spans="1:7" x14ac:dyDescent="0.25">
      <c r="A458">
        <v>10779</v>
      </c>
      <c r="B458" t="s">
        <v>699</v>
      </c>
      <c r="C458">
        <v>47</v>
      </c>
      <c r="D458" t="s">
        <v>3059</v>
      </c>
      <c r="E458">
        <v>10</v>
      </c>
      <c r="F458" t="s">
        <v>7</v>
      </c>
      <c r="G458" t="s">
        <v>3087</v>
      </c>
    </row>
    <row r="459" spans="1:7" x14ac:dyDescent="0.25">
      <c r="A459">
        <v>10781</v>
      </c>
      <c r="B459" t="s">
        <v>701</v>
      </c>
      <c r="C459">
        <v>47</v>
      </c>
      <c r="D459" t="s">
        <v>3059</v>
      </c>
      <c r="E459">
        <v>13</v>
      </c>
      <c r="F459" t="s">
        <v>7</v>
      </c>
      <c r="G459" t="s">
        <v>3087</v>
      </c>
    </row>
    <row r="460" spans="1:7" x14ac:dyDescent="0.25">
      <c r="A460">
        <v>10782</v>
      </c>
      <c r="B460" t="s">
        <v>702</v>
      </c>
      <c r="C460">
        <v>47</v>
      </c>
      <c r="D460" t="s">
        <v>3059</v>
      </c>
      <c r="E460">
        <v>10</v>
      </c>
      <c r="F460" t="s">
        <v>7</v>
      </c>
      <c r="G460" t="s">
        <v>3087</v>
      </c>
    </row>
    <row r="461" spans="1:7" x14ac:dyDescent="0.25">
      <c r="A461">
        <v>10783</v>
      </c>
      <c r="B461" t="s">
        <v>703</v>
      </c>
      <c r="C461">
        <v>47</v>
      </c>
      <c r="D461" t="s">
        <v>3059</v>
      </c>
      <c r="E461">
        <v>13</v>
      </c>
      <c r="F461" t="s">
        <v>7</v>
      </c>
      <c r="G461" t="s">
        <v>3087</v>
      </c>
    </row>
    <row r="462" spans="1:7" x14ac:dyDescent="0.25">
      <c r="A462">
        <v>10784</v>
      </c>
      <c r="B462" t="s">
        <v>704</v>
      </c>
      <c r="C462">
        <v>47</v>
      </c>
      <c r="D462" t="s">
        <v>3059</v>
      </c>
      <c r="E462">
        <v>10</v>
      </c>
      <c r="F462" t="s">
        <v>7</v>
      </c>
      <c r="G462" t="s">
        <v>3087</v>
      </c>
    </row>
    <row r="463" spans="1:7" x14ac:dyDescent="0.25">
      <c r="A463">
        <v>10792</v>
      </c>
      <c r="B463" t="s">
        <v>712</v>
      </c>
      <c r="C463">
        <v>47</v>
      </c>
      <c r="D463" t="s">
        <v>3059</v>
      </c>
      <c r="E463">
        <v>10</v>
      </c>
      <c r="F463" t="s">
        <v>7</v>
      </c>
      <c r="G463" t="s">
        <v>3087</v>
      </c>
    </row>
    <row r="464" spans="1:7" x14ac:dyDescent="0.25">
      <c r="A464">
        <v>10793</v>
      </c>
      <c r="B464" t="s">
        <v>713</v>
      </c>
      <c r="C464">
        <v>47</v>
      </c>
      <c r="D464" t="s">
        <v>3059</v>
      </c>
      <c r="E464">
        <v>14</v>
      </c>
      <c r="F464" t="s">
        <v>7</v>
      </c>
      <c r="G464" t="s">
        <v>3087</v>
      </c>
    </row>
    <row r="465" spans="1:7" x14ac:dyDescent="0.25">
      <c r="A465">
        <v>10795</v>
      </c>
      <c r="B465" t="s">
        <v>715</v>
      </c>
      <c r="C465">
        <v>47</v>
      </c>
      <c r="D465" t="s">
        <v>3059</v>
      </c>
      <c r="E465">
        <v>10</v>
      </c>
      <c r="F465" t="s">
        <v>7</v>
      </c>
      <c r="G465" t="s">
        <v>3087</v>
      </c>
    </row>
    <row r="466" spans="1:7" x14ac:dyDescent="0.25">
      <c r="A466">
        <v>10797</v>
      </c>
      <c r="B466" t="s">
        <v>717</v>
      </c>
      <c r="C466">
        <v>47</v>
      </c>
      <c r="D466" t="s">
        <v>3059</v>
      </c>
      <c r="E466">
        <v>10</v>
      </c>
      <c r="F466" t="s">
        <v>7</v>
      </c>
      <c r="G466" t="s">
        <v>3087</v>
      </c>
    </row>
    <row r="467" spans="1:7" x14ac:dyDescent="0.25">
      <c r="A467">
        <v>10801</v>
      </c>
      <c r="B467" t="s">
        <v>721</v>
      </c>
      <c r="C467">
        <v>47</v>
      </c>
      <c r="D467" t="s">
        <v>3059</v>
      </c>
      <c r="E467">
        <v>10</v>
      </c>
      <c r="F467" t="s">
        <v>7</v>
      </c>
      <c r="G467" t="s">
        <v>3087</v>
      </c>
    </row>
    <row r="468" spans="1:7" x14ac:dyDescent="0.25">
      <c r="A468">
        <v>10803</v>
      </c>
      <c r="B468" t="s">
        <v>723</v>
      </c>
      <c r="C468">
        <v>47</v>
      </c>
      <c r="D468" t="s">
        <v>3059</v>
      </c>
      <c r="E468">
        <v>16</v>
      </c>
      <c r="F468" t="s">
        <v>7</v>
      </c>
      <c r="G468" t="s">
        <v>3087</v>
      </c>
    </row>
    <row r="469" spans="1:7" x14ac:dyDescent="0.25">
      <c r="A469">
        <v>10806</v>
      </c>
      <c r="B469" t="s">
        <v>726</v>
      </c>
      <c r="C469">
        <v>47</v>
      </c>
      <c r="D469" t="s">
        <v>3059</v>
      </c>
      <c r="E469">
        <v>31</v>
      </c>
      <c r="F469" t="s">
        <v>7</v>
      </c>
      <c r="G469" t="s">
        <v>3087</v>
      </c>
    </row>
    <row r="470" spans="1:7" x14ac:dyDescent="0.25">
      <c r="A470">
        <v>10807</v>
      </c>
      <c r="B470" t="s">
        <v>17489</v>
      </c>
      <c r="C470">
        <v>47</v>
      </c>
      <c r="D470" t="s">
        <v>3059</v>
      </c>
      <c r="E470">
        <v>5</v>
      </c>
      <c r="F470" t="s">
        <v>7</v>
      </c>
      <c r="G470" t="s">
        <v>3087</v>
      </c>
    </row>
    <row r="471" spans="1:7" x14ac:dyDescent="0.25">
      <c r="A471">
        <v>10812</v>
      </c>
      <c r="B471" t="s">
        <v>731</v>
      </c>
      <c r="C471">
        <v>47</v>
      </c>
      <c r="D471" t="s">
        <v>3059</v>
      </c>
      <c r="E471">
        <v>5</v>
      </c>
      <c r="F471" t="s">
        <v>7</v>
      </c>
      <c r="G471" t="s">
        <v>3087</v>
      </c>
    </row>
    <row r="472" spans="1:7" x14ac:dyDescent="0.25">
      <c r="A472">
        <v>10814</v>
      </c>
      <c r="B472" t="s">
        <v>733</v>
      </c>
      <c r="C472">
        <v>47</v>
      </c>
      <c r="D472" t="s">
        <v>3059</v>
      </c>
      <c r="E472">
        <v>5</v>
      </c>
      <c r="F472" t="s">
        <v>7</v>
      </c>
      <c r="G472" t="s">
        <v>3087</v>
      </c>
    </row>
    <row r="473" spans="1:7" x14ac:dyDescent="0.25">
      <c r="A473">
        <v>10815</v>
      </c>
      <c r="B473" t="s">
        <v>734</v>
      </c>
      <c r="C473">
        <v>47</v>
      </c>
      <c r="D473" t="s">
        <v>3059</v>
      </c>
      <c r="E473">
        <v>11</v>
      </c>
      <c r="F473" t="s">
        <v>7</v>
      </c>
      <c r="G473" t="s">
        <v>3087</v>
      </c>
    </row>
    <row r="474" spans="1:7" x14ac:dyDescent="0.25">
      <c r="A474">
        <v>10817</v>
      </c>
      <c r="B474" t="s">
        <v>736</v>
      </c>
      <c r="C474">
        <v>47</v>
      </c>
      <c r="D474" t="s">
        <v>3059</v>
      </c>
      <c r="E474">
        <v>5</v>
      </c>
      <c r="F474" t="s">
        <v>7</v>
      </c>
      <c r="G474" t="s">
        <v>3087</v>
      </c>
    </row>
    <row r="475" spans="1:7" x14ac:dyDescent="0.25">
      <c r="A475">
        <v>10819</v>
      </c>
      <c r="B475" t="s">
        <v>738</v>
      </c>
      <c r="C475">
        <v>47</v>
      </c>
      <c r="D475" t="s">
        <v>3059</v>
      </c>
      <c r="E475">
        <v>5</v>
      </c>
      <c r="F475" t="s">
        <v>7</v>
      </c>
      <c r="G475" t="s">
        <v>3087</v>
      </c>
    </row>
    <row r="476" spans="1:7" x14ac:dyDescent="0.25">
      <c r="A476">
        <v>10821</v>
      </c>
      <c r="B476" t="s">
        <v>740</v>
      </c>
      <c r="C476">
        <v>47</v>
      </c>
      <c r="D476" t="s">
        <v>3059</v>
      </c>
      <c r="E476">
        <v>2</v>
      </c>
      <c r="F476" t="s">
        <v>7</v>
      </c>
      <c r="G476" t="s">
        <v>3087</v>
      </c>
    </row>
    <row r="477" spans="1:7" x14ac:dyDescent="0.25">
      <c r="A477">
        <v>10822</v>
      </c>
      <c r="B477" t="s">
        <v>741</v>
      </c>
      <c r="C477">
        <v>47</v>
      </c>
      <c r="D477" t="s">
        <v>3059</v>
      </c>
      <c r="E477">
        <v>13</v>
      </c>
      <c r="F477" t="s">
        <v>7</v>
      </c>
      <c r="G477" t="s">
        <v>3087</v>
      </c>
    </row>
    <row r="478" spans="1:7" x14ac:dyDescent="0.25">
      <c r="A478">
        <v>10823</v>
      </c>
      <c r="B478" t="s">
        <v>742</v>
      </c>
      <c r="C478">
        <v>47</v>
      </c>
      <c r="D478" t="s">
        <v>3059</v>
      </c>
      <c r="E478">
        <v>4</v>
      </c>
      <c r="F478" t="s">
        <v>7</v>
      </c>
      <c r="G478" t="s">
        <v>3087</v>
      </c>
    </row>
    <row r="479" spans="1:7" x14ac:dyDescent="0.25">
      <c r="A479">
        <v>10825</v>
      </c>
      <c r="B479" t="s">
        <v>744</v>
      </c>
      <c r="C479">
        <v>47</v>
      </c>
      <c r="D479" t="s">
        <v>3059</v>
      </c>
      <c r="E479">
        <v>6</v>
      </c>
      <c r="F479" t="s">
        <v>7</v>
      </c>
      <c r="G479" t="s">
        <v>3087</v>
      </c>
    </row>
    <row r="480" spans="1:7" x14ac:dyDescent="0.25">
      <c r="A480">
        <v>10827</v>
      </c>
      <c r="B480" t="s">
        <v>746</v>
      </c>
      <c r="C480">
        <v>47</v>
      </c>
      <c r="D480" t="s">
        <v>3059</v>
      </c>
      <c r="E480">
        <v>3</v>
      </c>
      <c r="F480" t="s">
        <v>7</v>
      </c>
      <c r="G480" t="s">
        <v>3087</v>
      </c>
    </row>
    <row r="481" spans="1:7" x14ac:dyDescent="0.25">
      <c r="A481">
        <v>10831</v>
      </c>
      <c r="B481" t="s">
        <v>750</v>
      </c>
      <c r="C481">
        <v>47</v>
      </c>
      <c r="D481" t="s">
        <v>3059</v>
      </c>
      <c r="E481">
        <v>3</v>
      </c>
      <c r="F481" t="s">
        <v>7</v>
      </c>
      <c r="G481" t="s">
        <v>3087</v>
      </c>
    </row>
    <row r="482" spans="1:7" x14ac:dyDescent="0.25">
      <c r="A482">
        <v>10832</v>
      </c>
      <c r="B482" t="s">
        <v>751</v>
      </c>
      <c r="C482">
        <v>47</v>
      </c>
      <c r="D482" t="s">
        <v>3059</v>
      </c>
      <c r="E482">
        <v>14</v>
      </c>
      <c r="F482" t="s">
        <v>7</v>
      </c>
      <c r="G482" t="s">
        <v>3087</v>
      </c>
    </row>
    <row r="483" spans="1:7" x14ac:dyDescent="0.25">
      <c r="A483">
        <v>10834</v>
      </c>
      <c r="B483" t="s">
        <v>753</v>
      </c>
      <c r="C483">
        <v>47</v>
      </c>
      <c r="D483" t="s">
        <v>3059</v>
      </c>
      <c r="E483">
        <v>11</v>
      </c>
      <c r="F483" t="s">
        <v>7</v>
      </c>
      <c r="G483" t="s">
        <v>3064</v>
      </c>
    </row>
    <row r="484" spans="1:7" x14ac:dyDescent="0.25">
      <c r="A484">
        <v>10837</v>
      </c>
      <c r="B484" t="s">
        <v>756</v>
      </c>
      <c r="C484">
        <v>47</v>
      </c>
      <c r="D484" t="s">
        <v>3059</v>
      </c>
      <c r="E484">
        <v>13</v>
      </c>
      <c r="F484" t="s">
        <v>7</v>
      </c>
      <c r="G484" t="s">
        <v>3064</v>
      </c>
    </row>
    <row r="485" spans="1:7" x14ac:dyDescent="0.25">
      <c r="A485">
        <v>10838</v>
      </c>
      <c r="B485" t="s">
        <v>757</v>
      </c>
      <c r="C485">
        <v>47</v>
      </c>
      <c r="D485" t="s">
        <v>3059</v>
      </c>
      <c r="E485">
        <v>15</v>
      </c>
      <c r="F485" t="s">
        <v>7</v>
      </c>
      <c r="G485" t="s">
        <v>3064</v>
      </c>
    </row>
    <row r="486" spans="1:7" x14ac:dyDescent="0.25">
      <c r="A486">
        <v>10839</v>
      </c>
      <c r="B486" t="s">
        <v>758</v>
      </c>
      <c r="C486">
        <v>47</v>
      </c>
      <c r="D486" t="s">
        <v>3059</v>
      </c>
      <c r="E486">
        <v>8</v>
      </c>
      <c r="F486" t="s">
        <v>7</v>
      </c>
      <c r="G486" t="s">
        <v>3064</v>
      </c>
    </row>
    <row r="487" spans="1:7" x14ac:dyDescent="0.25">
      <c r="A487">
        <v>10862</v>
      </c>
      <c r="B487" t="s">
        <v>768</v>
      </c>
      <c r="C487">
        <v>47</v>
      </c>
      <c r="D487" t="s">
        <v>3059</v>
      </c>
      <c r="E487">
        <v>56</v>
      </c>
      <c r="F487" t="s">
        <v>7</v>
      </c>
      <c r="G487" t="s">
        <v>3087</v>
      </c>
    </row>
    <row r="488" spans="1:7" x14ac:dyDescent="0.25">
      <c r="A488">
        <v>10863</v>
      </c>
      <c r="B488" t="s">
        <v>16608</v>
      </c>
      <c r="C488">
        <v>47</v>
      </c>
      <c r="D488" t="s">
        <v>3059</v>
      </c>
      <c r="E488">
        <v>5</v>
      </c>
      <c r="F488" t="s">
        <v>7</v>
      </c>
      <c r="G488" t="s">
        <v>3087</v>
      </c>
    </row>
    <row r="489" spans="1:7" x14ac:dyDescent="0.25">
      <c r="A489">
        <v>10867</v>
      </c>
      <c r="B489" t="s">
        <v>769</v>
      </c>
      <c r="C489">
        <v>47</v>
      </c>
      <c r="D489" t="s">
        <v>3059</v>
      </c>
      <c r="E489">
        <v>30</v>
      </c>
      <c r="F489" t="s">
        <v>7</v>
      </c>
      <c r="G489" t="s">
        <v>3087</v>
      </c>
    </row>
    <row r="490" spans="1:7" x14ac:dyDescent="0.25">
      <c r="A490">
        <v>10869</v>
      </c>
      <c r="B490" t="s">
        <v>770</v>
      </c>
      <c r="C490">
        <v>47</v>
      </c>
      <c r="D490" t="s">
        <v>3059</v>
      </c>
      <c r="E490">
        <v>2</v>
      </c>
      <c r="F490" t="s">
        <v>7</v>
      </c>
      <c r="G490" t="s">
        <v>3070</v>
      </c>
    </row>
    <row r="491" spans="1:7" x14ac:dyDescent="0.25">
      <c r="A491">
        <v>10870</v>
      </c>
      <c r="B491" t="s">
        <v>771</v>
      </c>
      <c r="C491">
        <v>47</v>
      </c>
      <c r="D491" t="s">
        <v>3059</v>
      </c>
      <c r="E491">
        <v>2</v>
      </c>
      <c r="F491" t="s">
        <v>7</v>
      </c>
      <c r="G491" t="s">
        <v>3070</v>
      </c>
    </row>
    <row r="492" spans="1:7" x14ac:dyDescent="0.25">
      <c r="A492">
        <v>10878</v>
      </c>
      <c r="B492" t="s">
        <v>776</v>
      </c>
      <c r="C492">
        <v>47</v>
      </c>
      <c r="D492" t="s">
        <v>3059</v>
      </c>
      <c r="E492">
        <v>54</v>
      </c>
      <c r="F492" t="s">
        <v>7</v>
      </c>
      <c r="G492" t="s">
        <v>3087</v>
      </c>
    </row>
    <row r="493" spans="1:7" x14ac:dyDescent="0.25">
      <c r="A493">
        <v>10885</v>
      </c>
      <c r="B493" t="s">
        <v>782</v>
      </c>
      <c r="C493">
        <v>47</v>
      </c>
      <c r="D493" t="s">
        <v>3059</v>
      </c>
      <c r="E493">
        <v>7</v>
      </c>
      <c r="F493" t="s">
        <v>7</v>
      </c>
      <c r="G493" t="s">
        <v>3087</v>
      </c>
    </row>
    <row r="494" spans="1:7" x14ac:dyDescent="0.25">
      <c r="A494">
        <v>10886</v>
      </c>
      <c r="B494" t="s">
        <v>783</v>
      </c>
      <c r="C494">
        <v>47</v>
      </c>
      <c r="D494" t="s">
        <v>3059</v>
      </c>
      <c r="E494">
        <v>12</v>
      </c>
      <c r="F494" t="s">
        <v>7</v>
      </c>
      <c r="G494" t="s">
        <v>3087</v>
      </c>
    </row>
    <row r="495" spans="1:7" x14ac:dyDescent="0.25">
      <c r="A495">
        <v>10888</v>
      </c>
      <c r="B495" t="s">
        <v>785</v>
      </c>
      <c r="C495">
        <v>47</v>
      </c>
      <c r="D495" t="s">
        <v>3059</v>
      </c>
      <c r="E495">
        <v>13</v>
      </c>
      <c r="F495" t="s">
        <v>7</v>
      </c>
      <c r="G495" t="s">
        <v>3087</v>
      </c>
    </row>
    <row r="496" spans="1:7" x14ac:dyDescent="0.25">
      <c r="A496">
        <v>10895</v>
      </c>
      <c r="B496" t="s">
        <v>791</v>
      </c>
      <c r="C496">
        <v>47</v>
      </c>
      <c r="D496" t="s">
        <v>3059</v>
      </c>
      <c r="E496">
        <v>5</v>
      </c>
      <c r="F496" t="s">
        <v>7</v>
      </c>
      <c r="G496" t="s">
        <v>3087</v>
      </c>
    </row>
    <row r="497" spans="1:7" x14ac:dyDescent="0.25">
      <c r="A497">
        <v>10901</v>
      </c>
      <c r="B497" t="s">
        <v>797</v>
      </c>
      <c r="C497">
        <v>47</v>
      </c>
      <c r="D497" t="s">
        <v>3059</v>
      </c>
      <c r="E497">
        <v>30</v>
      </c>
      <c r="F497" t="s">
        <v>7</v>
      </c>
      <c r="G497" t="s">
        <v>3087</v>
      </c>
    </row>
    <row r="498" spans="1:7" x14ac:dyDescent="0.25">
      <c r="A498">
        <v>10910</v>
      </c>
      <c r="B498" t="s">
        <v>805</v>
      </c>
      <c r="C498">
        <v>47</v>
      </c>
      <c r="D498" t="s">
        <v>3059</v>
      </c>
      <c r="E498">
        <v>7</v>
      </c>
      <c r="F498" t="s">
        <v>7</v>
      </c>
      <c r="G498" t="s">
        <v>3087</v>
      </c>
    </row>
    <row r="499" spans="1:7" x14ac:dyDescent="0.25">
      <c r="A499">
        <v>10911</v>
      </c>
      <c r="B499" t="s">
        <v>806</v>
      </c>
      <c r="C499">
        <v>47</v>
      </c>
      <c r="D499" t="s">
        <v>3059</v>
      </c>
      <c r="E499">
        <v>7</v>
      </c>
      <c r="F499" t="s">
        <v>7</v>
      </c>
      <c r="G499" t="s">
        <v>3087</v>
      </c>
    </row>
    <row r="500" spans="1:7" x14ac:dyDescent="0.25">
      <c r="A500">
        <v>10914</v>
      </c>
      <c r="B500" t="s">
        <v>808</v>
      </c>
      <c r="C500">
        <v>47</v>
      </c>
      <c r="D500" t="s">
        <v>3059</v>
      </c>
      <c r="E500">
        <v>2</v>
      </c>
      <c r="F500" t="s">
        <v>7</v>
      </c>
      <c r="G500" t="s">
        <v>3087</v>
      </c>
    </row>
    <row r="501" spans="1:7" x14ac:dyDescent="0.25">
      <c r="A501">
        <v>10916</v>
      </c>
      <c r="B501" t="s">
        <v>809</v>
      </c>
      <c r="C501">
        <v>47</v>
      </c>
      <c r="D501" t="s">
        <v>3059</v>
      </c>
      <c r="E501">
        <v>12</v>
      </c>
      <c r="F501" t="s">
        <v>7</v>
      </c>
      <c r="G501" t="s">
        <v>3087</v>
      </c>
    </row>
    <row r="502" spans="1:7" x14ac:dyDescent="0.25">
      <c r="A502">
        <v>10918</v>
      </c>
      <c r="B502" t="s">
        <v>811</v>
      </c>
      <c r="C502">
        <v>47</v>
      </c>
      <c r="D502" t="s">
        <v>3059</v>
      </c>
      <c r="E502">
        <v>13</v>
      </c>
      <c r="F502" t="s">
        <v>7</v>
      </c>
      <c r="G502" t="s">
        <v>3087</v>
      </c>
    </row>
    <row r="503" spans="1:7" x14ac:dyDescent="0.25">
      <c r="A503">
        <v>10919</v>
      </c>
      <c r="B503" t="s">
        <v>812</v>
      </c>
      <c r="C503">
        <v>47</v>
      </c>
      <c r="D503" t="s">
        <v>3059</v>
      </c>
      <c r="E503">
        <v>2</v>
      </c>
      <c r="F503" t="s">
        <v>7</v>
      </c>
      <c r="G503" t="s">
        <v>3087</v>
      </c>
    </row>
    <row r="504" spans="1:7" x14ac:dyDescent="0.25">
      <c r="A504">
        <v>10921</v>
      </c>
      <c r="B504" t="s">
        <v>813</v>
      </c>
      <c r="C504">
        <v>47</v>
      </c>
      <c r="D504" t="s">
        <v>3059</v>
      </c>
      <c r="E504">
        <v>3</v>
      </c>
      <c r="F504" t="s">
        <v>7</v>
      </c>
      <c r="G504" t="s">
        <v>3087</v>
      </c>
    </row>
    <row r="505" spans="1:7" x14ac:dyDescent="0.25">
      <c r="A505">
        <v>10924</v>
      </c>
      <c r="B505" t="s">
        <v>816</v>
      </c>
      <c r="C505">
        <v>47</v>
      </c>
      <c r="D505" t="s">
        <v>3059</v>
      </c>
      <c r="E505">
        <v>17</v>
      </c>
      <c r="F505" t="s">
        <v>7</v>
      </c>
      <c r="G505" t="s">
        <v>3087</v>
      </c>
    </row>
    <row r="506" spans="1:7" x14ac:dyDescent="0.25">
      <c r="A506">
        <v>10925</v>
      </c>
      <c r="B506" t="s">
        <v>817</v>
      </c>
      <c r="C506">
        <v>47</v>
      </c>
      <c r="D506" t="s">
        <v>3059</v>
      </c>
      <c r="E506">
        <v>5</v>
      </c>
      <c r="F506" t="s">
        <v>7</v>
      </c>
      <c r="G506" t="s">
        <v>3087</v>
      </c>
    </row>
    <row r="507" spans="1:7" x14ac:dyDescent="0.25">
      <c r="A507">
        <v>10926</v>
      </c>
      <c r="B507" t="s">
        <v>818</v>
      </c>
      <c r="C507">
        <v>47</v>
      </c>
      <c r="D507" t="s">
        <v>3059</v>
      </c>
      <c r="E507">
        <v>23</v>
      </c>
      <c r="F507" t="s">
        <v>7</v>
      </c>
      <c r="G507" t="s">
        <v>3087</v>
      </c>
    </row>
    <row r="508" spans="1:7" x14ac:dyDescent="0.25">
      <c r="A508">
        <v>10927</v>
      </c>
      <c r="B508" t="s">
        <v>819</v>
      </c>
      <c r="C508">
        <v>47</v>
      </c>
      <c r="D508" t="s">
        <v>3059</v>
      </c>
      <c r="E508">
        <v>1</v>
      </c>
      <c r="F508" t="s">
        <v>7</v>
      </c>
      <c r="G508" t="s">
        <v>3074</v>
      </c>
    </row>
    <row r="509" spans="1:7" x14ac:dyDescent="0.25">
      <c r="A509">
        <v>10928</v>
      </c>
      <c r="B509" t="s">
        <v>820</v>
      </c>
      <c r="C509">
        <v>47</v>
      </c>
      <c r="D509" t="s">
        <v>3059</v>
      </c>
      <c r="E509">
        <v>40</v>
      </c>
      <c r="F509" t="s">
        <v>7</v>
      </c>
      <c r="G509" t="s">
        <v>3087</v>
      </c>
    </row>
    <row r="510" spans="1:7" x14ac:dyDescent="0.25">
      <c r="A510">
        <v>10929</v>
      </c>
      <c r="B510" t="s">
        <v>821</v>
      </c>
      <c r="C510">
        <v>47</v>
      </c>
      <c r="D510" t="s">
        <v>3059</v>
      </c>
      <c r="E510">
        <v>10</v>
      </c>
      <c r="F510" t="s">
        <v>7</v>
      </c>
      <c r="G510" t="s">
        <v>3087</v>
      </c>
    </row>
    <row r="511" spans="1:7" x14ac:dyDescent="0.25">
      <c r="A511">
        <v>10931</v>
      </c>
      <c r="B511" t="s">
        <v>823</v>
      </c>
      <c r="C511">
        <v>47</v>
      </c>
      <c r="D511" t="s">
        <v>3059</v>
      </c>
      <c r="E511">
        <v>2</v>
      </c>
      <c r="F511" t="s">
        <v>7</v>
      </c>
      <c r="G511" t="s">
        <v>3087</v>
      </c>
    </row>
    <row r="512" spans="1:7" x14ac:dyDescent="0.25">
      <c r="A512">
        <v>10932</v>
      </c>
      <c r="B512" t="s">
        <v>824</v>
      </c>
      <c r="C512">
        <v>47</v>
      </c>
      <c r="D512" t="s">
        <v>3059</v>
      </c>
      <c r="E512">
        <v>10</v>
      </c>
      <c r="F512" t="s">
        <v>7</v>
      </c>
      <c r="G512" t="s">
        <v>3087</v>
      </c>
    </row>
    <row r="513" spans="1:7" x14ac:dyDescent="0.25">
      <c r="A513">
        <v>10934</v>
      </c>
      <c r="B513" t="s">
        <v>826</v>
      </c>
      <c r="C513">
        <v>47</v>
      </c>
      <c r="D513" t="s">
        <v>3059</v>
      </c>
      <c r="E513">
        <v>13</v>
      </c>
      <c r="F513" t="s">
        <v>7</v>
      </c>
      <c r="G513" t="s">
        <v>3100</v>
      </c>
    </row>
    <row r="514" spans="1:7" x14ac:dyDescent="0.25">
      <c r="A514">
        <v>10935</v>
      </c>
      <c r="B514" t="s">
        <v>827</v>
      </c>
      <c r="C514">
        <v>47</v>
      </c>
      <c r="D514" t="s">
        <v>3059</v>
      </c>
      <c r="E514">
        <v>79</v>
      </c>
      <c r="F514" t="s">
        <v>7</v>
      </c>
      <c r="G514" t="s">
        <v>3100</v>
      </c>
    </row>
    <row r="515" spans="1:7" x14ac:dyDescent="0.25">
      <c r="A515">
        <v>10938</v>
      </c>
      <c r="B515" t="s">
        <v>829</v>
      </c>
      <c r="C515">
        <v>47</v>
      </c>
      <c r="D515" t="s">
        <v>3059</v>
      </c>
      <c r="E515">
        <v>1</v>
      </c>
      <c r="F515" t="s">
        <v>7</v>
      </c>
      <c r="G515" t="s">
        <v>3084</v>
      </c>
    </row>
    <row r="516" spans="1:7" x14ac:dyDescent="0.25">
      <c r="A516">
        <v>10941</v>
      </c>
      <c r="B516" t="s">
        <v>832</v>
      </c>
      <c r="C516">
        <v>47</v>
      </c>
      <c r="D516" t="s">
        <v>3059</v>
      </c>
      <c r="E516">
        <v>1</v>
      </c>
      <c r="F516" t="s">
        <v>7</v>
      </c>
      <c r="G516" t="s">
        <v>3084</v>
      </c>
    </row>
    <row r="517" spans="1:7" x14ac:dyDescent="0.25">
      <c r="A517">
        <v>10944</v>
      </c>
      <c r="B517" t="s">
        <v>834</v>
      </c>
      <c r="C517">
        <v>47</v>
      </c>
      <c r="D517" t="s">
        <v>3059</v>
      </c>
      <c r="E517">
        <v>2</v>
      </c>
      <c r="F517" t="s">
        <v>7</v>
      </c>
      <c r="G517" t="s">
        <v>3084</v>
      </c>
    </row>
    <row r="518" spans="1:7" x14ac:dyDescent="0.25">
      <c r="A518">
        <v>10945</v>
      </c>
      <c r="B518" t="s">
        <v>835</v>
      </c>
      <c r="C518">
        <v>47</v>
      </c>
      <c r="D518" t="s">
        <v>3059</v>
      </c>
      <c r="E518">
        <v>1</v>
      </c>
      <c r="F518" t="s">
        <v>7</v>
      </c>
      <c r="G518" t="s">
        <v>3084</v>
      </c>
    </row>
    <row r="519" spans="1:7" x14ac:dyDescent="0.25">
      <c r="A519">
        <v>10950</v>
      </c>
      <c r="B519" t="s">
        <v>840</v>
      </c>
      <c r="C519">
        <v>47</v>
      </c>
      <c r="D519" t="s">
        <v>3059</v>
      </c>
      <c r="E519">
        <v>8</v>
      </c>
      <c r="F519" t="s">
        <v>7</v>
      </c>
      <c r="G519" t="s">
        <v>3084</v>
      </c>
    </row>
    <row r="520" spans="1:7" x14ac:dyDescent="0.25">
      <c r="A520">
        <v>10956</v>
      </c>
      <c r="B520" t="s">
        <v>844</v>
      </c>
      <c r="C520">
        <v>47</v>
      </c>
      <c r="D520" t="s">
        <v>3059</v>
      </c>
      <c r="E520">
        <v>10</v>
      </c>
      <c r="F520" t="s">
        <v>7</v>
      </c>
      <c r="G520" t="s">
        <v>3087</v>
      </c>
    </row>
    <row r="521" spans="1:7" x14ac:dyDescent="0.25">
      <c r="A521">
        <v>10961</v>
      </c>
      <c r="B521" t="s">
        <v>849</v>
      </c>
      <c r="C521">
        <v>47</v>
      </c>
      <c r="D521" t="s">
        <v>3059</v>
      </c>
      <c r="E521">
        <v>2</v>
      </c>
      <c r="F521" t="s">
        <v>7</v>
      </c>
      <c r="G521" t="s">
        <v>3087</v>
      </c>
    </row>
    <row r="522" spans="1:7" x14ac:dyDescent="0.25">
      <c r="A522">
        <v>10962</v>
      </c>
      <c r="B522" t="s">
        <v>850</v>
      </c>
      <c r="C522">
        <v>47</v>
      </c>
      <c r="D522" t="s">
        <v>3059</v>
      </c>
      <c r="E522">
        <v>22</v>
      </c>
      <c r="F522" t="s">
        <v>7</v>
      </c>
      <c r="G522" t="s">
        <v>3087</v>
      </c>
    </row>
    <row r="523" spans="1:7" x14ac:dyDescent="0.25">
      <c r="A523">
        <v>10968</v>
      </c>
      <c r="B523" t="s">
        <v>855</v>
      </c>
      <c r="C523">
        <v>47</v>
      </c>
      <c r="D523" t="s">
        <v>3059</v>
      </c>
      <c r="E523">
        <v>2</v>
      </c>
      <c r="F523" t="s">
        <v>7</v>
      </c>
      <c r="G523" t="s">
        <v>3087</v>
      </c>
    </row>
    <row r="524" spans="1:7" x14ac:dyDescent="0.25">
      <c r="A524">
        <v>10988</v>
      </c>
      <c r="B524" t="s">
        <v>865</v>
      </c>
      <c r="C524">
        <v>47</v>
      </c>
      <c r="D524" t="s">
        <v>3059</v>
      </c>
      <c r="E524">
        <v>2</v>
      </c>
      <c r="F524" t="s">
        <v>7</v>
      </c>
      <c r="G524" t="s">
        <v>3070</v>
      </c>
    </row>
    <row r="525" spans="1:7" x14ac:dyDescent="0.25">
      <c r="A525">
        <v>10989</v>
      </c>
      <c r="B525" t="s">
        <v>866</v>
      </c>
      <c r="C525">
        <v>47</v>
      </c>
      <c r="D525" t="s">
        <v>3059</v>
      </c>
      <c r="E525">
        <v>5</v>
      </c>
      <c r="F525" t="s">
        <v>7</v>
      </c>
      <c r="G525" t="s">
        <v>3070</v>
      </c>
    </row>
    <row r="526" spans="1:7" x14ac:dyDescent="0.25">
      <c r="A526">
        <v>10990</v>
      </c>
      <c r="B526" t="s">
        <v>867</v>
      </c>
      <c r="C526">
        <v>47</v>
      </c>
      <c r="D526" t="s">
        <v>3059</v>
      </c>
      <c r="E526">
        <v>5</v>
      </c>
      <c r="F526" t="s">
        <v>7</v>
      </c>
      <c r="G526" t="s">
        <v>3070</v>
      </c>
    </row>
    <row r="527" spans="1:7" x14ac:dyDescent="0.25">
      <c r="A527">
        <v>10992</v>
      </c>
      <c r="B527" t="s">
        <v>869</v>
      </c>
      <c r="C527">
        <v>47</v>
      </c>
      <c r="D527" t="s">
        <v>3059</v>
      </c>
      <c r="E527">
        <v>5</v>
      </c>
      <c r="F527" t="s">
        <v>7</v>
      </c>
      <c r="G527" t="s">
        <v>3070</v>
      </c>
    </row>
    <row r="528" spans="1:7" x14ac:dyDescent="0.25">
      <c r="A528">
        <v>10995</v>
      </c>
      <c r="B528" t="s">
        <v>872</v>
      </c>
      <c r="C528">
        <v>47</v>
      </c>
      <c r="D528" t="s">
        <v>3059</v>
      </c>
      <c r="E528">
        <v>5</v>
      </c>
      <c r="F528" t="s">
        <v>7</v>
      </c>
      <c r="G528" t="s">
        <v>3070</v>
      </c>
    </row>
    <row r="529" spans="1:7" x14ac:dyDescent="0.25">
      <c r="A529">
        <v>10996</v>
      </c>
      <c r="B529" t="s">
        <v>873</v>
      </c>
      <c r="C529">
        <v>47</v>
      </c>
      <c r="D529" t="s">
        <v>3059</v>
      </c>
      <c r="E529">
        <v>1</v>
      </c>
      <c r="F529" t="s">
        <v>7</v>
      </c>
      <c r="G529" t="s">
        <v>3070</v>
      </c>
    </row>
    <row r="530" spans="1:7" x14ac:dyDescent="0.25">
      <c r="A530">
        <v>10997</v>
      </c>
      <c r="B530" t="s">
        <v>874</v>
      </c>
      <c r="C530">
        <v>47</v>
      </c>
      <c r="D530" t="s">
        <v>3059</v>
      </c>
      <c r="E530">
        <v>6</v>
      </c>
      <c r="F530" t="s">
        <v>7</v>
      </c>
      <c r="G530" t="s">
        <v>3070</v>
      </c>
    </row>
    <row r="531" spans="1:7" x14ac:dyDescent="0.25">
      <c r="A531">
        <v>10998</v>
      </c>
      <c r="B531" t="s">
        <v>875</v>
      </c>
      <c r="C531">
        <v>47</v>
      </c>
      <c r="D531" t="s">
        <v>3059</v>
      </c>
      <c r="E531">
        <v>3</v>
      </c>
      <c r="F531" t="s">
        <v>7</v>
      </c>
      <c r="G531" t="s">
        <v>3070</v>
      </c>
    </row>
    <row r="532" spans="1:7" x14ac:dyDescent="0.25">
      <c r="A532">
        <v>20000</v>
      </c>
      <c r="B532" t="s">
        <v>3107</v>
      </c>
      <c r="C532">
        <v>47</v>
      </c>
      <c r="D532" t="s">
        <v>3059</v>
      </c>
      <c r="E532">
        <v>25</v>
      </c>
      <c r="F532" t="s">
        <v>3065</v>
      </c>
      <c r="G532" t="s">
        <v>3066</v>
      </c>
    </row>
    <row r="533" spans="1:7" x14ac:dyDescent="0.25">
      <c r="A533">
        <v>20002</v>
      </c>
      <c r="B533" t="s">
        <v>878</v>
      </c>
      <c r="C533">
        <v>47</v>
      </c>
      <c r="D533" t="s">
        <v>3059</v>
      </c>
      <c r="E533">
        <v>10</v>
      </c>
      <c r="F533" t="s">
        <v>7</v>
      </c>
      <c r="G533" t="s">
        <v>3073</v>
      </c>
    </row>
    <row r="534" spans="1:7" x14ac:dyDescent="0.25">
      <c r="A534">
        <v>20004</v>
      </c>
      <c r="B534" t="s">
        <v>16387</v>
      </c>
      <c r="C534">
        <v>47</v>
      </c>
      <c r="D534" t="s">
        <v>3059</v>
      </c>
      <c r="E534">
        <v>5</v>
      </c>
      <c r="F534" t="s">
        <v>7</v>
      </c>
      <c r="G534" t="s">
        <v>3073</v>
      </c>
    </row>
    <row r="535" spans="1:7" x14ac:dyDescent="0.25">
      <c r="A535">
        <v>20005</v>
      </c>
      <c r="B535" t="s">
        <v>880</v>
      </c>
      <c r="C535">
        <v>47</v>
      </c>
      <c r="D535" t="s">
        <v>3059</v>
      </c>
      <c r="E535">
        <v>22</v>
      </c>
      <c r="F535" t="s">
        <v>7</v>
      </c>
      <c r="G535" t="s">
        <v>3073</v>
      </c>
    </row>
    <row r="536" spans="1:7" x14ac:dyDescent="0.25">
      <c r="A536">
        <v>20006</v>
      </c>
      <c r="B536" t="s">
        <v>881</v>
      </c>
      <c r="C536">
        <v>47</v>
      </c>
      <c r="D536" t="s">
        <v>3059</v>
      </c>
      <c r="E536">
        <v>208</v>
      </c>
      <c r="F536" t="s">
        <v>7</v>
      </c>
      <c r="G536" t="s">
        <v>3073</v>
      </c>
    </row>
    <row r="537" spans="1:7" x14ac:dyDescent="0.25">
      <c r="A537">
        <v>20007</v>
      </c>
      <c r="B537" t="s">
        <v>882</v>
      </c>
      <c r="C537">
        <v>47</v>
      </c>
      <c r="D537" t="s">
        <v>3059</v>
      </c>
      <c r="E537">
        <v>234</v>
      </c>
      <c r="F537" t="s">
        <v>7</v>
      </c>
      <c r="G537" t="s">
        <v>3073</v>
      </c>
    </row>
    <row r="538" spans="1:7" x14ac:dyDescent="0.25">
      <c r="A538">
        <v>20008</v>
      </c>
      <c r="B538" t="s">
        <v>883</v>
      </c>
      <c r="C538">
        <v>47</v>
      </c>
      <c r="D538" t="s">
        <v>3059</v>
      </c>
      <c r="E538">
        <v>2</v>
      </c>
      <c r="F538" t="s">
        <v>7</v>
      </c>
      <c r="G538" t="s">
        <v>3083</v>
      </c>
    </row>
    <row r="539" spans="1:7" x14ac:dyDescent="0.25">
      <c r="A539">
        <v>20013</v>
      </c>
      <c r="B539" t="s">
        <v>885</v>
      </c>
      <c r="C539">
        <v>47</v>
      </c>
      <c r="D539" t="s">
        <v>3059</v>
      </c>
      <c r="E539">
        <v>9</v>
      </c>
      <c r="F539" t="s">
        <v>7</v>
      </c>
      <c r="G539" t="s">
        <v>3087</v>
      </c>
    </row>
    <row r="540" spans="1:7" x14ac:dyDescent="0.25">
      <c r="A540">
        <v>20014</v>
      </c>
      <c r="B540" t="s">
        <v>16882</v>
      </c>
      <c r="C540">
        <v>47</v>
      </c>
      <c r="D540" t="s">
        <v>3059</v>
      </c>
      <c r="E540">
        <v>12</v>
      </c>
      <c r="F540" t="s">
        <v>7</v>
      </c>
      <c r="G540" t="s">
        <v>3087</v>
      </c>
    </row>
    <row r="541" spans="1:7" x14ac:dyDescent="0.25">
      <c r="A541">
        <v>20015</v>
      </c>
      <c r="B541" t="s">
        <v>886</v>
      </c>
      <c r="C541">
        <v>47</v>
      </c>
      <c r="D541" t="s">
        <v>3059</v>
      </c>
      <c r="E541">
        <v>11</v>
      </c>
      <c r="F541" t="s">
        <v>7</v>
      </c>
      <c r="G541" t="s">
        <v>3087</v>
      </c>
    </row>
    <row r="542" spans="1:7" x14ac:dyDescent="0.25">
      <c r="A542">
        <v>20018</v>
      </c>
      <c r="B542" t="s">
        <v>889</v>
      </c>
      <c r="C542">
        <v>47</v>
      </c>
      <c r="D542" t="s">
        <v>3059</v>
      </c>
      <c r="E542">
        <v>30</v>
      </c>
      <c r="F542" t="s">
        <v>7</v>
      </c>
      <c r="G542" t="s">
        <v>3087</v>
      </c>
    </row>
    <row r="543" spans="1:7" x14ac:dyDescent="0.25">
      <c r="A543">
        <v>20019</v>
      </c>
      <c r="B543" t="s">
        <v>890</v>
      </c>
      <c r="C543">
        <v>47</v>
      </c>
      <c r="D543" t="s">
        <v>3059</v>
      </c>
      <c r="E543">
        <v>5</v>
      </c>
      <c r="F543" t="s">
        <v>7</v>
      </c>
      <c r="G543" t="s">
        <v>3087</v>
      </c>
    </row>
    <row r="544" spans="1:7" x14ac:dyDescent="0.25">
      <c r="A544">
        <v>20027</v>
      </c>
      <c r="B544" t="s">
        <v>897</v>
      </c>
      <c r="C544">
        <v>47</v>
      </c>
      <c r="D544" t="s">
        <v>3059</v>
      </c>
      <c r="E544">
        <v>30</v>
      </c>
      <c r="F544" t="s">
        <v>7</v>
      </c>
      <c r="G544" t="s">
        <v>3087</v>
      </c>
    </row>
    <row r="545" spans="1:7" x14ac:dyDescent="0.25">
      <c r="A545">
        <v>20028</v>
      </c>
      <c r="B545" t="s">
        <v>17490</v>
      </c>
      <c r="C545">
        <v>47</v>
      </c>
      <c r="D545" t="s">
        <v>3059</v>
      </c>
      <c r="E545">
        <v>3</v>
      </c>
      <c r="F545" t="s">
        <v>7</v>
      </c>
      <c r="G545" t="s">
        <v>3087</v>
      </c>
    </row>
    <row r="546" spans="1:7" x14ac:dyDescent="0.25">
      <c r="A546">
        <v>20029</v>
      </c>
      <c r="B546" t="s">
        <v>898</v>
      </c>
      <c r="C546">
        <v>47</v>
      </c>
      <c r="D546" t="s">
        <v>3059</v>
      </c>
      <c r="E546">
        <v>5</v>
      </c>
      <c r="F546" t="s">
        <v>7</v>
      </c>
      <c r="G546" t="s">
        <v>3087</v>
      </c>
    </row>
    <row r="547" spans="1:7" x14ac:dyDescent="0.25">
      <c r="A547">
        <v>20038</v>
      </c>
      <c r="B547" t="s">
        <v>906</v>
      </c>
      <c r="C547">
        <v>47</v>
      </c>
      <c r="D547" t="s">
        <v>3059</v>
      </c>
      <c r="E547">
        <v>5</v>
      </c>
      <c r="F547" t="s">
        <v>7</v>
      </c>
      <c r="G547" t="s">
        <v>3087</v>
      </c>
    </row>
    <row r="548" spans="1:7" x14ac:dyDescent="0.25">
      <c r="A548">
        <v>2490</v>
      </c>
      <c r="B548" t="s">
        <v>914</v>
      </c>
      <c r="C548">
        <v>47</v>
      </c>
      <c r="D548" t="s">
        <v>3059</v>
      </c>
      <c r="E548">
        <v>80</v>
      </c>
      <c r="F548" t="s">
        <v>7</v>
      </c>
      <c r="G548" t="s">
        <v>3083</v>
      </c>
    </row>
    <row r="549" spans="1:7" x14ac:dyDescent="0.25">
      <c r="A549">
        <v>2491</v>
      </c>
      <c r="B549" t="s">
        <v>915</v>
      </c>
      <c r="C549">
        <v>47</v>
      </c>
      <c r="D549" t="s">
        <v>3059</v>
      </c>
      <c r="E549">
        <v>41</v>
      </c>
      <c r="F549" t="s">
        <v>7</v>
      </c>
      <c r="G549" t="s">
        <v>3083</v>
      </c>
    </row>
    <row r="550" spans="1:7" x14ac:dyDescent="0.25">
      <c r="A550">
        <v>4806</v>
      </c>
      <c r="B550" t="s">
        <v>918</v>
      </c>
      <c r="C550">
        <v>47</v>
      </c>
      <c r="D550" t="s">
        <v>3059</v>
      </c>
      <c r="E550">
        <v>43</v>
      </c>
      <c r="F550" t="s">
        <v>7</v>
      </c>
      <c r="G550" t="s">
        <v>3062</v>
      </c>
    </row>
    <row r="551" spans="1:7" x14ac:dyDescent="0.25">
      <c r="A551">
        <v>4830</v>
      </c>
      <c r="B551" t="s">
        <v>919</v>
      </c>
      <c r="C551">
        <v>47</v>
      </c>
      <c r="D551" t="s">
        <v>3059</v>
      </c>
      <c r="E551">
        <v>118</v>
      </c>
      <c r="F551" t="s">
        <v>7</v>
      </c>
      <c r="G551" t="s">
        <v>3062</v>
      </c>
    </row>
    <row r="552" spans="1:7" x14ac:dyDescent="0.25">
      <c r="A552">
        <v>4862</v>
      </c>
      <c r="B552" t="s">
        <v>924</v>
      </c>
      <c r="C552">
        <v>47</v>
      </c>
      <c r="D552" t="s">
        <v>3059</v>
      </c>
      <c r="E552">
        <v>76</v>
      </c>
      <c r="F552" t="s">
        <v>7</v>
      </c>
      <c r="G552" t="s">
        <v>3109</v>
      </c>
    </row>
    <row r="553" spans="1:7" x14ac:dyDescent="0.25">
      <c r="A553">
        <v>4868</v>
      </c>
      <c r="B553" t="s">
        <v>926</v>
      </c>
      <c r="C553">
        <v>47</v>
      </c>
      <c r="D553" t="s">
        <v>3059</v>
      </c>
      <c r="E553">
        <v>109</v>
      </c>
      <c r="F553" t="s">
        <v>7</v>
      </c>
      <c r="G553" t="s">
        <v>3110</v>
      </c>
    </row>
    <row r="554" spans="1:7" x14ac:dyDescent="0.25">
      <c r="A554">
        <v>4871</v>
      </c>
      <c r="B554" t="s">
        <v>927</v>
      </c>
      <c r="C554">
        <v>47</v>
      </c>
      <c r="D554" t="s">
        <v>3059</v>
      </c>
      <c r="E554">
        <v>22</v>
      </c>
      <c r="F554" t="s">
        <v>7</v>
      </c>
      <c r="G554" t="s">
        <v>3110</v>
      </c>
    </row>
    <row r="555" spans="1:7" x14ac:dyDescent="0.25">
      <c r="A555">
        <v>4874</v>
      </c>
      <c r="B555" t="s">
        <v>928</v>
      </c>
      <c r="C555">
        <v>47</v>
      </c>
      <c r="D555" t="s">
        <v>3059</v>
      </c>
      <c r="E555">
        <v>17</v>
      </c>
      <c r="F555" t="s">
        <v>7</v>
      </c>
      <c r="G555" t="s">
        <v>3110</v>
      </c>
    </row>
    <row r="556" spans="1:7" x14ac:dyDescent="0.25">
      <c r="A556">
        <v>4875</v>
      </c>
      <c r="B556" t="s">
        <v>929</v>
      </c>
      <c r="C556">
        <v>47</v>
      </c>
      <c r="D556" t="s">
        <v>3059</v>
      </c>
      <c r="E556">
        <v>19</v>
      </c>
      <c r="F556" t="s">
        <v>7</v>
      </c>
      <c r="G556" t="s">
        <v>3110</v>
      </c>
    </row>
    <row r="557" spans="1:7" x14ac:dyDescent="0.25">
      <c r="A557">
        <v>4876</v>
      </c>
      <c r="B557" t="s">
        <v>3111</v>
      </c>
      <c r="C557">
        <v>47</v>
      </c>
      <c r="D557" t="s">
        <v>3059</v>
      </c>
      <c r="E557">
        <v>129</v>
      </c>
      <c r="F557" t="s">
        <v>7</v>
      </c>
      <c r="G557" t="s">
        <v>3110</v>
      </c>
    </row>
    <row r="558" spans="1:7" x14ac:dyDescent="0.25">
      <c r="A558">
        <v>4877</v>
      </c>
      <c r="B558" t="s">
        <v>931</v>
      </c>
      <c r="C558">
        <v>47</v>
      </c>
      <c r="D558" t="s">
        <v>3059</v>
      </c>
      <c r="E558">
        <v>760</v>
      </c>
      <c r="F558" t="s">
        <v>7</v>
      </c>
      <c r="G558" t="s">
        <v>3110</v>
      </c>
    </row>
    <row r="559" spans="1:7" x14ac:dyDescent="0.25">
      <c r="A559">
        <v>4880</v>
      </c>
      <c r="B559" t="s">
        <v>932</v>
      </c>
      <c r="C559">
        <v>47</v>
      </c>
      <c r="D559" t="s">
        <v>3059</v>
      </c>
      <c r="E559">
        <v>129</v>
      </c>
      <c r="F559" t="s">
        <v>7</v>
      </c>
      <c r="G559" t="s">
        <v>3062</v>
      </c>
    </row>
    <row r="560" spans="1:7" x14ac:dyDescent="0.25">
      <c r="A560">
        <v>4885</v>
      </c>
      <c r="B560" t="s">
        <v>934</v>
      </c>
      <c r="C560">
        <v>47</v>
      </c>
      <c r="D560" t="s">
        <v>3059</v>
      </c>
      <c r="E560">
        <v>97</v>
      </c>
      <c r="F560" t="s">
        <v>7</v>
      </c>
      <c r="G560" t="s">
        <v>3110</v>
      </c>
    </row>
    <row r="561" spans="1:7" x14ac:dyDescent="0.25">
      <c r="A561">
        <v>4902</v>
      </c>
      <c r="B561" t="s">
        <v>3112</v>
      </c>
      <c r="C561">
        <v>47</v>
      </c>
      <c r="D561" t="s">
        <v>3059</v>
      </c>
      <c r="E561">
        <v>6</v>
      </c>
      <c r="F561" t="s">
        <v>7</v>
      </c>
      <c r="G561" t="s">
        <v>3110</v>
      </c>
    </row>
    <row r="562" spans="1:7" x14ac:dyDescent="0.25">
      <c r="A562">
        <v>4910</v>
      </c>
      <c r="B562" t="s">
        <v>939</v>
      </c>
      <c r="C562">
        <v>47</v>
      </c>
      <c r="D562" t="s">
        <v>3059</v>
      </c>
      <c r="E562">
        <v>9</v>
      </c>
      <c r="F562" t="s">
        <v>7</v>
      </c>
      <c r="G562" t="s">
        <v>3110</v>
      </c>
    </row>
    <row r="563" spans="1:7" x14ac:dyDescent="0.25">
      <c r="A563">
        <v>4918</v>
      </c>
      <c r="B563" t="s">
        <v>3113</v>
      </c>
      <c r="C563">
        <v>47</v>
      </c>
      <c r="D563" t="s">
        <v>3059</v>
      </c>
      <c r="E563">
        <v>83</v>
      </c>
      <c r="F563" t="s">
        <v>7</v>
      </c>
      <c r="G563" t="s">
        <v>3108</v>
      </c>
    </row>
    <row r="564" spans="1:7" x14ac:dyDescent="0.25">
      <c r="A564">
        <v>4941</v>
      </c>
      <c r="B564" t="s">
        <v>945</v>
      </c>
      <c r="C564">
        <v>47</v>
      </c>
      <c r="D564" t="s">
        <v>3059</v>
      </c>
      <c r="E564">
        <v>70</v>
      </c>
      <c r="F564" t="s">
        <v>7</v>
      </c>
      <c r="G564" t="s">
        <v>3110</v>
      </c>
    </row>
    <row r="565" spans="1:7" x14ac:dyDescent="0.25">
      <c r="A565">
        <v>4942</v>
      </c>
      <c r="B565" t="s">
        <v>946</v>
      </c>
      <c r="C565">
        <v>47</v>
      </c>
      <c r="D565" t="s">
        <v>3059</v>
      </c>
      <c r="E565">
        <v>49</v>
      </c>
      <c r="F565" t="s">
        <v>7</v>
      </c>
      <c r="G565" t="s">
        <v>3110</v>
      </c>
    </row>
    <row r="566" spans="1:7" x14ac:dyDescent="0.25">
      <c r="A566">
        <v>4968</v>
      </c>
      <c r="B566" t="s">
        <v>949</v>
      </c>
      <c r="C566">
        <v>47</v>
      </c>
      <c r="D566" t="s">
        <v>3059</v>
      </c>
      <c r="E566">
        <v>50221</v>
      </c>
      <c r="F566" t="s">
        <v>7</v>
      </c>
      <c r="G566" t="s">
        <v>3115</v>
      </c>
    </row>
    <row r="567" spans="1:7" x14ac:dyDescent="0.25">
      <c r="A567">
        <v>4969</v>
      </c>
      <c r="B567" t="s">
        <v>950</v>
      </c>
      <c r="C567">
        <v>47</v>
      </c>
      <c r="D567" t="s">
        <v>3059</v>
      </c>
      <c r="E567">
        <v>14321</v>
      </c>
      <c r="F567" t="s">
        <v>7</v>
      </c>
      <c r="G567" t="s">
        <v>3115</v>
      </c>
    </row>
    <row r="568" spans="1:7" x14ac:dyDescent="0.25">
      <c r="A568">
        <v>5013</v>
      </c>
      <c r="B568" t="s">
        <v>952</v>
      </c>
      <c r="C568">
        <v>47</v>
      </c>
      <c r="D568" t="s">
        <v>3059</v>
      </c>
      <c r="E568">
        <v>8</v>
      </c>
      <c r="F568" t="s">
        <v>7</v>
      </c>
      <c r="G568" t="s">
        <v>3114</v>
      </c>
    </row>
    <row r="569" spans="1:7" x14ac:dyDescent="0.25">
      <c r="A569">
        <v>5087</v>
      </c>
      <c r="B569" t="s">
        <v>955</v>
      </c>
      <c r="C569">
        <v>47</v>
      </c>
      <c r="D569" t="s">
        <v>3059</v>
      </c>
      <c r="E569">
        <v>17</v>
      </c>
      <c r="F569" t="s">
        <v>7</v>
      </c>
      <c r="G569" t="s">
        <v>3062</v>
      </c>
    </row>
    <row r="570" spans="1:7" x14ac:dyDescent="0.25">
      <c r="A570">
        <v>5089</v>
      </c>
      <c r="B570" t="s">
        <v>956</v>
      </c>
      <c r="C570">
        <v>47</v>
      </c>
      <c r="D570" t="s">
        <v>3059</v>
      </c>
      <c r="E570">
        <v>2</v>
      </c>
      <c r="F570" t="s">
        <v>7</v>
      </c>
      <c r="G570" t="s">
        <v>3114</v>
      </c>
    </row>
    <row r="571" spans="1:7" x14ac:dyDescent="0.25">
      <c r="A571">
        <v>5099</v>
      </c>
      <c r="B571" t="s">
        <v>3117</v>
      </c>
      <c r="C571">
        <v>47</v>
      </c>
      <c r="D571" t="s">
        <v>3059</v>
      </c>
      <c r="E571">
        <v>720</v>
      </c>
      <c r="F571" t="s">
        <v>7</v>
      </c>
      <c r="G571" t="s">
        <v>3114</v>
      </c>
    </row>
    <row r="572" spans="1:7" x14ac:dyDescent="0.25">
      <c r="A572">
        <v>5105</v>
      </c>
      <c r="B572" t="s">
        <v>958</v>
      </c>
      <c r="C572">
        <v>47</v>
      </c>
      <c r="D572" t="s">
        <v>3059</v>
      </c>
      <c r="E572">
        <v>1</v>
      </c>
      <c r="F572" t="s">
        <v>7</v>
      </c>
      <c r="G572" t="s">
        <v>3118</v>
      </c>
    </row>
    <row r="573" spans="1:7" x14ac:dyDescent="0.25">
      <c r="A573">
        <v>51252</v>
      </c>
      <c r="B573" t="s">
        <v>961</v>
      </c>
      <c r="C573">
        <v>47</v>
      </c>
      <c r="D573" t="s">
        <v>3059</v>
      </c>
      <c r="E573">
        <v>18</v>
      </c>
      <c r="F573" t="s">
        <v>7</v>
      </c>
      <c r="G573" t="s">
        <v>3103</v>
      </c>
    </row>
    <row r="574" spans="1:7" x14ac:dyDescent="0.25">
      <c r="A574">
        <v>51255</v>
      </c>
      <c r="B574" t="s">
        <v>964</v>
      </c>
      <c r="C574">
        <v>47</v>
      </c>
      <c r="D574" t="s">
        <v>3059</v>
      </c>
      <c r="E574">
        <v>64</v>
      </c>
      <c r="F574" t="s">
        <v>7</v>
      </c>
      <c r="G574" t="s">
        <v>3103</v>
      </c>
    </row>
    <row r="575" spans="1:7" x14ac:dyDescent="0.25">
      <c r="A575">
        <v>51256</v>
      </c>
      <c r="B575" t="s">
        <v>965</v>
      </c>
      <c r="C575">
        <v>47</v>
      </c>
      <c r="D575" t="s">
        <v>3059</v>
      </c>
      <c r="E575">
        <v>103</v>
      </c>
      <c r="F575" t="s">
        <v>7</v>
      </c>
      <c r="G575" t="s">
        <v>3103</v>
      </c>
    </row>
    <row r="576" spans="1:7" x14ac:dyDescent="0.25">
      <c r="A576">
        <v>51257</v>
      </c>
      <c r="B576" t="s">
        <v>966</v>
      </c>
      <c r="C576">
        <v>47</v>
      </c>
      <c r="D576" t="s">
        <v>3059</v>
      </c>
      <c r="E576">
        <v>30</v>
      </c>
      <c r="F576" t="s">
        <v>7</v>
      </c>
      <c r="G576" t="s">
        <v>3103</v>
      </c>
    </row>
    <row r="577" spans="1:7" x14ac:dyDescent="0.25">
      <c r="A577">
        <v>51270</v>
      </c>
      <c r="B577" t="s">
        <v>971</v>
      </c>
      <c r="C577">
        <v>47</v>
      </c>
      <c r="D577" t="s">
        <v>3059</v>
      </c>
      <c r="E577">
        <v>206</v>
      </c>
      <c r="F577" t="s">
        <v>7</v>
      </c>
      <c r="G577" t="s">
        <v>3102</v>
      </c>
    </row>
    <row r="578" spans="1:7" x14ac:dyDescent="0.25">
      <c r="A578">
        <v>51271</v>
      </c>
      <c r="B578" t="s">
        <v>972</v>
      </c>
      <c r="C578">
        <v>47</v>
      </c>
      <c r="D578" t="s">
        <v>3059</v>
      </c>
      <c r="E578">
        <v>87</v>
      </c>
      <c r="F578" t="s">
        <v>7</v>
      </c>
      <c r="G578" t="s">
        <v>3102</v>
      </c>
    </row>
    <row r="579" spans="1:7" x14ac:dyDescent="0.25">
      <c r="A579">
        <v>51272</v>
      </c>
      <c r="B579" t="s">
        <v>973</v>
      </c>
      <c r="C579">
        <v>47</v>
      </c>
      <c r="D579" t="s">
        <v>3059</v>
      </c>
      <c r="E579">
        <v>564</v>
      </c>
      <c r="F579" t="s">
        <v>7</v>
      </c>
      <c r="G579" t="s">
        <v>3102</v>
      </c>
    </row>
    <row r="580" spans="1:7" x14ac:dyDescent="0.25">
      <c r="A580">
        <v>51275</v>
      </c>
      <c r="B580" t="s">
        <v>975</v>
      </c>
      <c r="C580">
        <v>47</v>
      </c>
      <c r="D580" t="s">
        <v>3059</v>
      </c>
      <c r="E580">
        <v>453</v>
      </c>
      <c r="F580" t="s">
        <v>7</v>
      </c>
      <c r="G580" t="s">
        <v>3102</v>
      </c>
    </row>
    <row r="581" spans="1:7" x14ac:dyDescent="0.25">
      <c r="A581">
        <v>51276</v>
      </c>
      <c r="B581" t="s">
        <v>976</v>
      </c>
      <c r="C581">
        <v>47</v>
      </c>
      <c r="D581" t="s">
        <v>3059</v>
      </c>
      <c r="E581">
        <v>1834</v>
      </c>
      <c r="F581" t="s">
        <v>7</v>
      </c>
      <c r="G581" t="s">
        <v>3102</v>
      </c>
    </row>
    <row r="582" spans="1:7" x14ac:dyDescent="0.25">
      <c r="A582">
        <v>51277</v>
      </c>
      <c r="B582" t="s">
        <v>977</v>
      </c>
      <c r="C582">
        <v>47</v>
      </c>
      <c r="D582" t="s">
        <v>3059</v>
      </c>
      <c r="E582">
        <v>581</v>
      </c>
      <c r="F582" t="s">
        <v>7</v>
      </c>
      <c r="G582" t="s">
        <v>3102</v>
      </c>
    </row>
    <row r="583" spans="1:7" x14ac:dyDescent="0.25">
      <c r="A583">
        <v>51280</v>
      </c>
      <c r="B583" t="s">
        <v>979</v>
      </c>
      <c r="C583">
        <v>47</v>
      </c>
      <c r="D583" t="s">
        <v>3059</v>
      </c>
      <c r="E583">
        <v>36</v>
      </c>
      <c r="F583" t="s">
        <v>7</v>
      </c>
      <c r="G583" t="s">
        <v>3102</v>
      </c>
    </row>
    <row r="584" spans="1:7" x14ac:dyDescent="0.25">
      <c r="A584">
        <v>51283</v>
      </c>
      <c r="B584" t="s">
        <v>980</v>
      </c>
      <c r="C584">
        <v>47</v>
      </c>
      <c r="D584" t="s">
        <v>3059</v>
      </c>
      <c r="E584">
        <v>606</v>
      </c>
      <c r="F584" t="s">
        <v>7</v>
      </c>
      <c r="G584" t="s">
        <v>3102</v>
      </c>
    </row>
    <row r="585" spans="1:7" x14ac:dyDescent="0.25">
      <c r="A585">
        <v>51284</v>
      </c>
      <c r="B585" t="s">
        <v>981</v>
      </c>
      <c r="C585">
        <v>47</v>
      </c>
      <c r="D585" t="s">
        <v>3059</v>
      </c>
      <c r="E585">
        <v>19</v>
      </c>
      <c r="F585" t="s">
        <v>7</v>
      </c>
      <c r="G585" t="s">
        <v>3102</v>
      </c>
    </row>
    <row r="586" spans="1:7" x14ac:dyDescent="0.25">
      <c r="A586">
        <v>51287</v>
      </c>
      <c r="B586" t="s">
        <v>983</v>
      </c>
      <c r="C586">
        <v>47</v>
      </c>
      <c r="D586" t="s">
        <v>3059</v>
      </c>
      <c r="E586">
        <v>152</v>
      </c>
      <c r="F586" t="s">
        <v>7</v>
      </c>
      <c r="G586" t="s">
        <v>3102</v>
      </c>
    </row>
    <row r="587" spans="1:7" x14ac:dyDescent="0.25">
      <c r="A587">
        <v>51288</v>
      </c>
      <c r="B587" t="s">
        <v>984</v>
      </c>
      <c r="C587">
        <v>47</v>
      </c>
      <c r="D587" t="s">
        <v>3059</v>
      </c>
      <c r="E587">
        <v>53</v>
      </c>
      <c r="F587" t="s">
        <v>7</v>
      </c>
      <c r="G587" t="s">
        <v>3101</v>
      </c>
    </row>
    <row r="588" spans="1:7" x14ac:dyDescent="0.25">
      <c r="A588">
        <v>51295</v>
      </c>
      <c r="B588" t="s">
        <v>986</v>
      </c>
      <c r="C588">
        <v>47</v>
      </c>
      <c r="D588" t="s">
        <v>3059</v>
      </c>
      <c r="E588">
        <v>276</v>
      </c>
      <c r="F588" t="s">
        <v>7</v>
      </c>
      <c r="G588" t="s">
        <v>3102</v>
      </c>
    </row>
    <row r="589" spans="1:7" x14ac:dyDescent="0.25">
      <c r="A589">
        <v>51298</v>
      </c>
      <c r="B589" t="s">
        <v>987</v>
      </c>
      <c r="C589">
        <v>47</v>
      </c>
      <c r="D589" t="s">
        <v>3059</v>
      </c>
      <c r="E589">
        <v>166</v>
      </c>
      <c r="F589" t="s">
        <v>7</v>
      </c>
      <c r="G589" t="s">
        <v>3102</v>
      </c>
    </row>
    <row r="590" spans="1:7" x14ac:dyDescent="0.25">
      <c r="A590">
        <v>51299</v>
      </c>
      <c r="B590" t="s">
        <v>17491</v>
      </c>
      <c r="C590">
        <v>47</v>
      </c>
      <c r="D590" t="s">
        <v>3059</v>
      </c>
      <c r="E590">
        <v>37560</v>
      </c>
      <c r="F590" t="s">
        <v>7</v>
      </c>
      <c r="G590" t="s">
        <v>3101</v>
      </c>
    </row>
    <row r="591" spans="1:7" x14ac:dyDescent="0.25">
      <c r="A591">
        <v>51304</v>
      </c>
      <c r="B591" t="s">
        <v>992</v>
      </c>
      <c r="C591">
        <v>47</v>
      </c>
      <c r="D591" t="s">
        <v>3059</v>
      </c>
      <c r="E591">
        <v>41</v>
      </c>
      <c r="F591" t="s">
        <v>7</v>
      </c>
      <c r="G591" t="s">
        <v>3103</v>
      </c>
    </row>
    <row r="592" spans="1:7" x14ac:dyDescent="0.25">
      <c r="A592">
        <v>51308</v>
      </c>
      <c r="B592" t="s">
        <v>993</v>
      </c>
      <c r="C592">
        <v>47</v>
      </c>
      <c r="D592" t="s">
        <v>3059</v>
      </c>
      <c r="E592">
        <v>144</v>
      </c>
      <c r="F592" t="s">
        <v>7</v>
      </c>
      <c r="G592" t="s">
        <v>3102</v>
      </c>
    </row>
    <row r="593" spans="1:7" x14ac:dyDescent="0.25">
      <c r="A593">
        <v>51312</v>
      </c>
      <c r="B593" t="s">
        <v>995</v>
      </c>
      <c r="C593">
        <v>47</v>
      </c>
      <c r="D593" t="s">
        <v>3059</v>
      </c>
      <c r="E593">
        <v>16</v>
      </c>
      <c r="F593" t="s">
        <v>7</v>
      </c>
      <c r="G593" t="s">
        <v>3071</v>
      </c>
    </row>
    <row r="594" spans="1:7" x14ac:dyDescent="0.25">
      <c r="A594">
        <v>51313</v>
      </c>
      <c r="B594" t="s">
        <v>996</v>
      </c>
      <c r="C594">
        <v>47</v>
      </c>
      <c r="D594" t="s">
        <v>3059</v>
      </c>
      <c r="E594">
        <v>587</v>
      </c>
      <c r="F594" t="s">
        <v>7</v>
      </c>
      <c r="G594" t="s">
        <v>3071</v>
      </c>
    </row>
    <row r="595" spans="1:7" x14ac:dyDescent="0.25">
      <c r="A595">
        <v>51314</v>
      </c>
      <c r="B595" t="s">
        <v>997</v>
      </c>
      <c r="C595">
        <v>47</v>
      </c>
      <c r="D595" t="s">
        <v>3059</v>
      </c>
      <c r="E595">
        <v>542</v>
      </c>
      <c r="F595" t="s">
        <v>7</v>
      </c>
      <c r="G595" t="s">
        <v>3071</v>
      </c>
    </row>
    <row r="596" spans="1:7" x14ac:dyDescent="0.25">
      <c r="A596">
        <v>51316</v>
      </c>
      <c r="B596" t="s">
        <v>999</v>
      </c>
      <c r="C596">
        <v>47</v>
      </c>
      <c r="D596" t="s">
        <v>3059</v>
      </c>
      <c r="E596">
        <v>995</v>
      </c>
      <c r="F596" t="s">
        <v>7</v>
      </c>
      <c r="G596" t="s">
        <v>3071</v>
      </c>
    </row>
    <row r="597" spans="1:7" x14ac:dyDescent="0.25">
      <c r="A597">
        <v>51318</v>
      </c>
      <c r="B597" t="s">
        <v>16622</v>
      </c>
      <c r="C597">
        <v>47</v>
      </c>
      <c r="D597" t="s">
        <v>3059</v>
      </c>
      <c r="E597">
        <v>34</v>
      </c>
      <c r="F597" t="s">
        <v>7</v>
      </c>
      <c r="G597" t="s">
        <v>3071</v>
      </c>
    </row>
    <row r="598" spans="1:7" x14ac:dyDescent="0.25">
      <c r="A598">
        <v>51319</v>
      </c>
      <c r="B598" t="s">
        <v>1001</v>
      </c>
      <c r="C598">
        <v>47</v>
      </c>
      <c r="D598" t="s">
        <v>3059</v>
      </c>
      <c r="E598">
        <v>946</v>
      </c>
      <c r="F598" t="s">
        <v>7</v>
      </c>
      <c r="G598" t="s">
        <v>3071</v>
      </c>
    </row>
    <row r="599" spans="1:7" x14ac:dyDescent="0.25">
      <c r="A599">
        <v>51320</v>
      </c>
      <c r="B599" t="s">
        <v>1002</v>
      </c>
      <c r="C599">
        <v>47</v>
      </c>
      <c r="D599" t="s">
        <v>3059</v>
      </c>
      <c r="E599">
        <v>613</v>
      </c>
      <c r="F599" t="s">
        <v>7</v>
      </c>
      <c r="G599" t="s">
        <v>3071</v>
      </c>
    </row>
    <row r="600" spans="1:7" x14ac:dyDescent="0.25">
      <c r="A600">
        <v>51321</v>
      </c>
      <c r="B600" t="s">
        <v>1003</v>
      </c>
      <c r="C600">
        <v>47</v>
      </c>
      <c r="D600" t="s">
        <v>3059</v>
      </c>
      <c r="E600">
        <v>336</v>
      </c>
      <c r="F600" t="s">
        <v>7</v>
      </c>
      <c r="G600" t="s">
        <v>3071</v>
      </c>
    </row>
    <row r="601" spans="1:7" x14ac:dyDescent="0.25">
      <c r="A601">
        <v>51322</v>
      </c>
      <c r="B601" t="s">
        <v>16611</v>
      </c>
      <c r="C601">
        <v>47</v>
      </c>
      <c r="D601" t="s">
        <v>3059</v>
      </c>
      <c r="E601">
        <v>647</v>
      </c>
      <c r="F601" t="s">
        <v>7</v>
      </c>
      <c r="G601" t="s">
        <v>3071</v>
      </c>
    </row>
    <row r="602" spans="1:7" x14ac:dyDescent="0.25">
      <c r="A602">
        <v>51323</v>
      </c>
      <c r="B602" t="s">
        <v>16612</v>
      </c>
      <c r="C602">
        <v>47</v>
      </c>
      <c r="D602" t="s">
        <v>3059</v>
      </c>
      <c r="E602">
        <v>492</v>
      </c>
      <c r="F602" t="s">
        <v>7</v>
      </c>
      <c r="G602" t="s">
        <v>3071</v>
      </c>
    </row>
    <row r="603" spans="1:7" x14ac:dyDescent="0.25">
      <c r="A603">
        <v>51324</v>
      </c>
      <c r="B603" t="s">
        <v>1004</v>
      </c>
      <c r="C603">
        <v>47</v>
      </c>
      <c r="D603" t="s">
        <v>3059</v>
      </c>
      <c r="E603">
        <v>211</v>
      </c>
      <c r="F603" t="s">
        <v>7</v>
      </c>
      <c r="G603" t="s">
        <v>3071</v>
      </c>
    </row>
    <row r="604" spans="1:7" x14ac:dyDescent="0.25">
      <c r="A604">
        <v>51325</v>
      </c>
      <c r="B604" t="s">
        <v>1005</v>
      </c>
      <c r="C604">
        <v>47</v>
      </c>
      <c r="D604" t="s">
        <v>3059</v>
      </c>
      <c r="E604">
        <v>26</v>
      </c>
      <c r="F604" t="s">
        <v>7</v>
      </c>
      <c r="G604" t="s">
        <v>3071</v>
      </c>
    </row>
    <row r="605" spans="1:7" x14ac:dyDescent="0.25">
      <c r="A605">
        <v>51326</v>
      </c>
      <c r="B605" t="s">
        <v>1006</v>
      </c>
      <c r="C605">
        <v>47</v>
      </c>
      <c r="D605" t="s">
        <v>3059</v>
      </c>
      <c r="E605">
        <v>108</v>
      </c>
      <c r="F605" t="s">
        <v>7</v>
      </c>
      <c r="G605" t="s">
        <v>3071</v>
      </c>
    </row>
    <row r="606" spans="1:7" x14ac:dyDescent="0.25">
      <c r="A606">
        <v>51327</v>
      </c>
      <c r="B606" t="s">
        <v>1007</v>
      </c>
      <c r="C606">
        <v>47</v>
      </c>
      <c r="D606" t="s">
        <v>3059</v>
      </c>
      <c r="E606">
        <v>12</v>
      </c>
      <c r="F606" t="s">
        <v>7</v>
      </c>
      <c r="G606" t="s">
        <v>3071</v>
      </c>
    </row>
    <row r="607" spans="1:7" x14ac:dyDescent="0.25">
      <c r="A607">
        <v>51328</v>
      </c>
      <c r="B607" t="s">
        <v>1008</v>
      </c>
      <c r="C607">
        <v>47</v>
      </c>
      <c r="D607" t="s">
        <v>3059</v>
      </c>
      <c r="E607">
        <v>152</v>
      </c>
      <c r="F607" t="s">
        <v>7</v>
      </c>
      <c r="G607" t="s">
        <v>3071</v>
      </c>
    </row>
    <row r="608" spans="1:7" x14ac:dyDescent="0.25">
      <c r="A608">
        <v>51338</v>
      </c>
      <c r="B608" t="s">
        <v>1013</v>
      </c>
      <c r="C608">
        <v>47</v>
      </c>
      <c r="D608" t="s">
        <v>3059</v>
      </c>
      <c r="E608">
        <v>69</v>
      </c>
      <c r="F608" t="s">
        <v>7</v>
      </c>
      <c r="G608" t="s">
        <v>3071</v>
      </c>
    </row>
    <row r="609" spans="1:7" x14ac:dyDescent="0.25">
      <c r="A609">
        <v>51340</v>
      </c>
      <c r="B609" t="s">
        <v>1014</v>
      </c>
      <c r="C609">
        <v>47</v>
      </c>
      <c r="D609" t="s">
        <v>3059</v>
      </c>
      <c r="E609">
        <v>13</v>
      </c>
      <c r="F609" t="s">
        <v>7</v>
      </c>
      <c r="G609" t="s">
        <v>3100</v>
      </c>
    </row>
    <row r="610" spans="1:7" x14ac:dyDescent="0.25">
      <c r="A610">
        <v>51343</v>
      </c>
      <c r="B610" t="s">
        <v>1017</v>
      </c>
      <c r="C610">
        <v>47</v>
      </c>
      <c r="D610" t="s">
        <v>3059</v>
      </c>
      <c r="E610">
        <v>16582</v>
      </c>
      <c r="F610" t="s">
        <v>7</v>
      </c>
      <c r="G610" t="s">
        <v>3100</v>
      </c>
    </row>
    <row r="611" spans="1:7" x14ac:dyDescent="0.25">
      <c r="A611">
        <v>51344</v>
      </c>
      <c r="B611" t="s">
        <v>1018</v>
      </c>
      <c r="C611">
        <v>47</v>
      </c>
      <c r="D611" t="s">
        <v>3059</v>
      </c>
      <c r="E611">
        <v>577</v>
      </c>
      <c r="F611" t="s">
        <v>7</v>
      </c>
      <c r="G611" t="s">
        <v>3100</v>
      </c>
    </row>
    <row r="612" spans="1:7" x14ac:dyDescent="0.25">
      <c r="A612">
        <v>51346</v>
      </c>
      <c r="B612" t="s">
        <v>1019</v>
      </c>
      <c r="C612">
        <v>47</v>
      </c>
      <c r="D612" t="s">
        <v>3059</v>
      </c>
      <c r="E612">
        <v>2</v>
      </c>
      <c r="F612" t="s">
        <v>7</v>
      </c>
      <c r="G612" t="s">
        <v>3100</v>
      </c>
    </row>
    <row r="613" spans="1:7" x14ac:dyDescent="0.25">
      <c r="A613">
        <v>51350</v>
      </c>
      <c r="B613" t="s">
        <v>1022</v>
      </c>
      <c r="C613">
        <v>47</v>
      </c>
      <c r="D613" t="s">
        <v>3059</v>
      </c>
      <c r="E613">
        <v>143</v>
      </c>
      <c r="F613" t="s">
        <v>7</v>
      </c>
      <c r="G613" t="s">
        <v>3070</v>
      </c>
    </row>
    <row r="614" spans="1:7" x14ac:dyDescent="0.25">
      <c r="A614">
        <v>51351</v>
      </c>
      <c r="B614" t="s">
        <v>1023</v>
      </c>
      <c r="C614">
        <v>47</v>
      </c>
      <c r="D614" t="s">
        <v>3059</v>
      </c>
      <c r="E614">
        <v>16</v>
      </c>
      <c r="F614" t="s">
        <v>7</v>
      </c>
      <c r="G614" t="s">
        <v>3070</v>
      </c>
    </row>
    <row r="615" spans="1:7" x14ac:dyDescent="0.25">
      <c r="A615">
        <v>51352</v>
      </c>
      <c r="B615" t="s">
        <v>1024</v>
      </c>
      <c r="C615">
        <v>47</v>
      </c>
      <c r="D615" t="s">
        <v>3059</v>
      </c>
      <c r="E615">
        <v>84</v>
      </c>
      <c r="F615" t="s">
        <v>7</v>
      </c>
      <c r="G615" t="s">
        <v>3070</v>
      </c>
    </row>
    <row r="616" spans="1:7" x14ac:dyDescent="0.25">
      <c r="A616">
        <v>51353</v>
      </c>
      <c r="B616" t="s">
        <v>1025</v>
      </c>
      <c r="C616">
        <v>47</v>
      </c>
      <c r="D616" t="s">
        <v>3059</v>
      </c>
      <c r="E616">
        <v>180</v>
      </c>
      <c r="F616" t="s">
        <v>7</v>
      </c>
      <c r="G616" t="s">
        <v>3070</v>
      </c>
    </row>
    <row r="617" spans="1:7" x14ac:dyDescent="0.25">
      <c r="A617">
        <v>51354</v>
      </c>
      <c r="B617" t="s">
        <v>1026</v>
      </c>
      <c r="C617">
        <v>47</v>
      </c>
      <c r="D617" t="s">
        <v>3059</v>
      </c>
      <c r="E617">
        <v>24</v>
      </c>
      <c r="F617" t="s">
        <v>7</v>
      </c>
      <c r="G617" t="s">
        <v>3070</v>
      </c>
    </row>
    <row r="618" spans="1:7" x14ac:dyDescent="0.25">
      <c r="A618">
        <v>51356</v>
      </c>
      <c r="B618" t="s">
        <v>17523</v>
      </c>
      <c r="C618">
        <v>47</v>
      </c>
      <c r="D618" t="s">
        <v>3059</v>
      </c>
      <c r="E618">
        <v>10</v>
      </c>
      <c r="F618" t="s">
        <v>7</v>
      </c>
      <c r="G618" t="s">
        <v>3070</v>
      </c>
    </row>
    <row r="619" spans="1:7" x14ac:dyDescent="0.25">
      <c r="A619">
        <v>51357</v>
      </c>
      <c r="B619" t="s">
        <v>1028</v>
      </c>
      <c r="C619">
        <v>47</v>
      </c>
      <c r="D619" t="s">
        <v>3059</v>
      </c>
      <c r="E619">
        <v>59</v>
      </c>
      <c r="F619" t="s">
        <v>7</v>
      </c>
      <c r="G619" t="s">
        <v>3070</v>
      </c>
    </row>
    <row r="620" spans="1:7" x14ac:dyDescent="0.25">
      <c r="A620">
        <v>51358</v>
      </c>
      <c r="B620" t="s">
        <v>1029</v>
      </c>
      <c r="C620">
        <v>47</v>
      </c>
      <c r="D620" t="s">
        <v>3059</v>
      </c>
      <c r="E620">
        <v>115</v>
      </c>
      <c r="F620" t="s">
        <v>7</v>
      </c>
      <c r="G620" t="s">
        <v>3070</v>
      </c>
    </row>
    <row r="621" spans="1:7" x14ac:dyDescent="0.25">
      <c r="A621">
        <v>51359</v>
      </c>
      <c r="B621" t="s">
        <v>1030</v>
      </c>
      <c r="C621">
        <v>47</v>
      </c>
      <c r="D621" t="s">
        <v>3059</v>
      </c>
      <c r="E621">
        <v>3</v>
      </c>
      <c r="F621" t="s">
        <v>7</v>
      </c>
      <c r="G621" t="s">
        <v>3070</v>
      </c>
    </row>
    <row r="622" spans="1:7" x14ac:dyDescent="0.25">
      <c r="A622">
        <v>51360</v>
      </c>
      <c r="B622" t="s">
        <v>1031</v>
      </c>
      <c r="C622">
        <v>47</v>
      </c>
      <c r="D622" t="s">
        <v>3059</v>
      </c>
      <c r="E622">
        <v>11</v>
      </c>
      <c r="F622" t="s">
        <v>7</v>
      </c>
      <c r="G622" t="s">
        <v>3070</v>
      </c>
    </row>
    <row r="623" spans="1:7" x14ac:dyDescent="0.25">
      <c r="A623">
        <v>51364</v>
      </c>
      <c r="B623" t="s">
        <v>1035</v>
      </c>
      <c r="C623">
        <v>47</v>
      </c>
      <c r="D623" t="s">
        <v>3059</v>
      </c>
      <c r="E623">
        <v>3</v>
      </c>
      <c r="F623" t="s">
        <v>7</v>
      </c>
      <c r="G623" t="s">
        <v>3070</v>
      </c>
    </row>
    <row r="624" spans="1:7" x14ac:dyDescent="0.25">
      <c r="A624">
        <v>51365</v>
      </c>
      <c r="B624" t="s">
        <v>1036</v>
      </c>
      <c r="C624">
        <v>47</v>
      </c>
      <c r="D624" t="s">
        <v>3059</v>
      </c>
      <c r="E624">
        <v>124</v>
      </c>
      <c r="F624" t="s">
        <v>7</v>
      </c>
      <c r="G624" t="s">
        <v>3070</v>
      </c>
    </row>
    <row r="625" spans="1:7" x14ac:dyDescent="0.25">
      <c r="A625">
        <v>51366</v>
      </c>
      <c r="B625" t="s">
        <v>1037</v>
      </c>
      <c r="C625">
        <v>47</v>
      </c>
      <c r="D625" t="s">
        <v>3059</v>
      </c>
      <c r="E625">
        <v>109</v>
      </c>
      <c r="F625" t="s">
        <v>7</v>
      </c>
      <c r="G625" t="s">
        <v>3070</v>
      </c>
    </row>
    <row r="626" spans="1:7" x14ac:dyDescent="0.25">
      <c r="A626">
        <v>51367</v>
      </c>
      <c r="B626" t="s">
        <v>1038</v>
      </c>
      <c r="C626">
        <v>47</v>
      </c>
      <c r="D626" t="s">
        <v>3059</v>
      </c>
      <c r="E626">
        <v>145</v>
      </c>
      <c r="F626" t="s">
        <v>7</v>
      </c>
      <c r="G626" t="s">
        <v>3070</v>
      </c>
    </row>
    <row r="627" spans="1:7" x14ac:dyDescent="0.25">
      <c r="A627">
        <v>51368</v>
      </c>
      <c r="B627" t="s">
        <v>1039</v>
      </c>
      <c r="C627">
        <v>47</v>
      </c>
      <c r="D627" t="s">
        <v>3059</v>
      </c>
      <c r="E627">
        <v>8</v>
      </c>
      <c r="F627" t="s">
        <v>7</v>
      </c>
      <c r="G627" t="s">
        <v>3070</v>
      </c>
    </row>
    <row r="628" spans="1:7" x14ac:dyDescent="0.25">
      <c r="A628">
        <v>51369</v>
      </c>
      <c r="B628" t="s">
        <v>1040</v>
      </c>
      <c r="C628">
        <v>47</v>
      </c>
      <c r="D628" t="s">
        <v>3059</v>
      </c>
      <c r="E628">
        <v>203</v>
      </c>
      <c r="F628" t="s">
        <v>7</v>
      </c>
      <c r="G628" t="s">
        <v>3070</v>
      </c>
    </row>
    <row r="629" spans="1:7" x14ac:dyDescent="0.25">
      <c r="A629">
        <v>51373</v>
      </c>
      <c r="B629" t="s">
        <v>1044</v>
      </c>
      <c r="C629">
        <v>47</v>
      </c>
      <c r="D629" t="s">
        <v>3059</v>
      </c>
      <c r="E629">
        <v>74</v>
      </c>
      <c r="F629" t="s">
        <v>7</v>
      </c>
      <c r="G629" t="s">
        <v>3070</v>
      </c>
    </row>
    <row r="630" spans="1:7" x14ac:dyDescent="0.25">
      <c r="A630">
        <v>51374</v>
      </c>
      <c r="B630" t="s">
        <v>1045</v>
      </c>
      <c r="C630">
        <v>47</v>
      </c>
      <c r="D630" t="s">
        <v>3059</v>
      </c>
      <c r="E630">
        <v>138</v>
      </c>
      <c r="F630" t="s">
        <v>7</v>
      </c>
      <c r="G630" t="s">
        <v>3070</v>
      </c>
    </row>
    <row r="631" spans="1:7" x14ac:dyDescent="0.25">
      <c r="A631">
        <v>51375</v>
      </c>
      <c r="B631" t="s">
        <v>1046</v>
      </c>
      <c r="C631">
        <v>47</v>
      </c>
      <c r="D631" t="s">
        <v>3059</v>
      </c>
      <c r="E631">
        <v>55</v>
      </c>
      <c r="F631" t="s">
        <v>7</v>
      </c>
      <c r="G631" t="s">
        <v>3070</v>
      </c>
    </row>
    <row r="632" spans="1:7" x14ac:dyDescent="0.25">
      <c r="A632">
        <v>51376</v>
      </c>
      <c r="B632" t="s">
        <v>16101</v>
      </c>
      <c r="C632">
        <v>47</v>
      </c>
      <c r="D632" t="s">
        <v>3059</v>
      </c>
      <c r="E632">
        <v>50</v>
      </c>
      <c r="F632" t="s">
        <v>7</v>
      </c>
      <c r="G632" t="s">
        <v>3070</v>
      </c>
    </row>
    <row r="633" spans="1:7" x14ac:dyDescent="0.25">
      <c r="A633">
        <v>51377</v>
      </c>
      <c r="B633" t="s">
        <v>16094</v>
      </c>
      <c r="C633">
        <v>47</v>
      </c>
      <c r="D633" t="s">
        <v>3059</v>
      </c>
      <c r="E633">
        <v>54</v>
      </c>
      <c r="F633" t="s">
        <v>7</v>
      </c>
      <c r="G633" t="s">
        <v>3070</v>
      </c>
    </row>
    <row r="634" spans="1:7" x14ac:dyDescent="0.25">
      <c r="A634">
        <v>51378</v>
      </c>
      <c r="B634" t="s">
        <v>1047</v>
      </c>
      <c r="C634">
        <v>47</v>
      </c>
      <c r="D634" t="s">
        <v>3059</v>
      </c>
      <c r="E634">
        <v>164</v>
      </c>
      <c r="F634" t="s">
        <v>7</v>
      </c>
      <c r="G634" t="s">
        <v>3070</v>
      </c>
    </row>
    <row r="635" spans="1:7" x14ac:dyDescent="0.25">
      <c r="A635">
        <v>51380</v>
      </c>
      <c r="B635" t="s">
        <v>16095</v>
      </c>
      <c r="C635">
        <v>47</v>
      </c>
      <c r="D635" t="s">
        <v>3059</v>
      </c>
      <c r="E635">
        <v>10</v>
      </c>
      <c r="F635" t="s">
        <v>7</v>
      </c>
      <c r="G635" t="s">
        <v>3070</v>
      </c>
    </row>
    <row r="636" spans="1:7" x14ac:dyDescent="0.25">
      <c r="A636">
        <v>51381</v>
      </c>
      <c r="B636" t="s">
        <v>1048</v>
      </c>
      <c r="C636">
        <v>47</v>
      </c>
      <c r="D636" t="s">
        <v>3059</v>
      </c>
      <c r="E636">
        <v>85</v>
      </c>
      <c r="F636" t="s">
        <v>7</v>
      </c>
      <c r="G636" t="s">
        <v>3070</v>
      </c>
    </row>
    <row r="637" spans="1:7" x14ac:dyDescent="0.25">
      <c r="A637">
        <v>51383</v>
      </c>
      <c r="B637" t="s">
        <v>16102</v>
      </c>
      <c r="C637">
        <v>47</v>
      </c>
      <c r="D637" t="s">
        <v>3059</v>
      </c>
      <c r="E637">
        <v>296</v>
      </c>
      <c r="F637" t="s">
        <v>7</v>
      </c>
      <c r="G637" t="s">
        <v>3070</v>
      </c>
    </row>
    <row r="638" spans="1:7" x14ac:dyDescent="0.25">
      <c r="A638">
        <v>51384</v>
      </c>
      <c r="B638" t="s">
        <v>16103</v>
      </c>
      <c r="C638">
        <v>47</v>
      </c>
      <c r="D638" t="s">
        <v>3059</v>
      </c>
      <c r="E638">
        <v>100</v>
      </c>
      <c r="F638" t="s">
        <v>7</v>
      </c>
      <c r="G638" t="s">
        <v>3070</v>
      </c>
    </row>
    <row r="639" spans="1:7" x14ac:dyDescent="0.25">
      <c r="A639">
        <v>51386</v>
      </c>
      <c r="B639" t="s">
        <v>1050</v>
      </c>
      <c r="C639">
        <v>47</v>
      </c>
      <c r="D639" t="s">
        <v>3059</v>
      </c>
      <c r="E639">
        <v>82</v>
      </c>
      <c r="F639" t="s">
        <v>7</v>
      </c>
      <c r="G639" t="s">
        <v>3070</v>
      </c>
    </row>
    <row r="640" spans="1:7" x14ac:dyDescent="0.25">
      <c r="A640">
        <v>51387</v>
      </c>
      <c r="B640" t="s">
        <v>1051</v>
      </c>
      <c r="C640">
        <v>47</v>
      </c>
      <c r="D640" t="s">
        <v>3059</v>
      </c>
      <c r="E640">
        <v>131</v>
      </c>
      <c r="F640" t="s">
        <v>7</v>
      </c>
      <c r="G640" t="s">
        <v>3070</v>
      </c>
    </row>
    <row r="641" spans="1:7" x14ac:dyDescent="0.25">
      <c r="A641">
        <v>51388</v>
      </c>
      <c r="B641" t="s">
        <v>1052</v>
      </c>
      <c r="C641">
        <v>47</v>
      </c>
      <c r="D641" t="s">
        <v>3059</v>
      </c>
      <c r="E641">
        <v>144</v>
      </c>
      <c r="F641" t="s">
        <v>7</v>
      </c>
      <c r="G641" t="s">
        <v>3070</v>
      </c>
    </row>
    <row r="642" spans="1:7" x14ac:dyDescent="0.25">
      <c r="A642">
        <v>51389</v>
      </c>
      <c r="B642" t="s">
        <v>1053</v>
      </c>
      <c r="C642">
        <v>47</v>
      </c>
      <c r="D642" t="s">
        <v>3059</v>
      </c>
      <c r="E642">
        <v>157</v>
      </c>
      <c r="F642" t="s">
        <v>7</v>
      </c>
      <c r="G642" t="s">
        <v>3070</v>
      </c>
    </row>
    <row r="643" spans="1:7" x14ac:dyDescent="0.25">
      <c r="A643">
        <v>51390</v>
      </c>
      <c r="B643" t="s">
        <v>1054</v>
      </c>
      <c r="C643">
        <v>47</v>
      </c>
      <c r="D643" t="s">
        <v>3059</v>
      </c>
      <c r="E643">
        <v>310</v>
      </c>
      <c r="F643" t="s">
        <v>7</v>
      </c>
      <c r="G643" t="s">
        <v>3070</v>
      </c>
    </row>
    <row r="644" spans="1:7" x14ac:dyDescent="0.25">
      <c r="A644">
        <v>51391</v>
      </c>
      <c r="B644" t="s">
        <v>1055</v>
      </c>
      <c r="C644">
        <v>47</v>
      </c>
      <c r="D644" t="s">
        <v>3059</v>
      </c>
      <c r="E644">
        <v>2777</v>
      </c>
      <c r="F644" t="s">
        <v>7</v>
      </c>
      <c r="G644" t="s">
        <v>3070</v>
      </c>
    </row>
    <row r="645" spans="1:7" x14ac:dyDescent="0.25">
      <c r="A645">
        <v>51392</v>
      </c>
      <c r="B645" t="s">
        <v>1056</v>
      </c>
      <c r="C645">
        <v>47</v>
      </c>
      <c r="D645" t="s">
        <v>3059</v>
      </c>
      <c r="E645">
        <v>2499</v>
      </c>
      <c r="F645" t="s">
        <v>7</v>
      </c>
      <c r="G645" t="s">
        <v>3070</v>
      </c>
    </row>
    <row r="646" spans="1:7" x14ac:dyDescent="0.25">
      <c r="A646">
        <v>51393</v>
      </c>
      <c r="B646" t="s">
        <v>1057</v>
      </c>
      <c r="C646">
        <v>47</v>
      </c>
      <c r="D646" t="s">
        <v>3059</v>
      </c>
      <c r="E646">
        <v>422</v>
      </c>
      <c r="F646" t="s">
        <v>7</v>
      </c>
      <c r="G646" t="s">
        <v>3070</v>
      </c>
    </row>
    <row r="647" spans="1:7" x14ac:dyDescent="0.25">
      <c r="A647">
        <v>51394</v>
      </c>
      <c r="B647" t="s">
        <v>1058</v>
      </c>
      <c r="C647">
        <v>47</v>
      </c>
      <c r="D647" t="s">
        <v>3059</v>
      </c>
      <c r="E647">
        <v>95</v>
      </c>
      <c r="F647" t="s">
        <v>7</v>
      </c>
      <c r="G647" t="s">
        <v>3070</v>
      </c>
    </row>
    <row r="648" spans="1:7" x14ac:dyDescent="0.25">
      <c r="A648">
        <v>51395</v>
      </c>
      <c r="B648" t="s">
        <v>1059</v>
      </c>
      <c r="C648">
        <v>47</v>
      </c>
      <c r="D648" t="s">
        <v>3059</v>
      </c>
      <c r="E648">
        <v>5</v>
      </c>
      <c r="F648" t="s">
        <v>7</v>
      </c>
      <c r="G648" t="s">
        <v>3070</v>
      </c>
    </row>
    <row r="649" spans="1:7" x14ac:dyDescent="0.25">
      <c r="A649">
        <v>51396</v>
      </c>
      <c r="B649" t="s">
        <v>1060</v>
      </c>
      <c r="C649">
        <v>47</v>
      </c>
      <c r="D649" t="s">
        <v>3059</v>
      </c>
      <c r="E649">
        <v>198</v>
      </c>
      <c r="F649" t="s">
        <v>7</v>
      </c>
      <c r="G649" t="s">
        <v>3070</v>
      </c>
    </row>
    <row r="650" spans="1:7" x14ac:dyDescent="0.25">
      <c r="A650">
        <v>51397</v>
      </c>
      <c r="B650" t="s">
        <v>1061</v>
      </c>
      <c r="C650">
        <v>47</v>
      </c>
      <c r="D650" t="s">
        <v>3059</v>
      </c>
      <c r="E650">
        <v>10</v>
      </c>
      <c r="F650" t="s">
        <v>7</v>
      </c>
      <c r="G650" t="s">
        <v>3070</v>
      </c>
    </row>
    <row r="651" spans="1:7" x14ac:dyDescent="0.25">
      <c r="A651">
        <v>51399</v>
      </c>
      <c r="B651" t="s">
        <v>16106</v>
      </c>
      <c r="C651">
        <v>47</v>
      </c>
      <c r="D651" t="s">
        <v>3059</v>
      </c>
      <c r="E651">
        <v>11</v>
      </c>
      <c r="F651" t="s">
        <v>7</v>
      </c>
      <c r="G651" t="s">
        <v>3070</v>
      </c>
    </row>
    <row r="652" spans="1:7" x14ac:dyDescent="0.25">
      <c r="A652">
        <v>51400</v>
      </c>
      <c r="B652" t="s">
        <v>17524</v>
      </c>
      <c r="C652">
        <v>47</v>
      </c>
      <c r="D652" t="s">
        <v>3059</v>
      </c>
      <c r="E652">
        <v>10</v>
      </c>
      <c r="F652" t="s">
        <v>7</v>
      </c>
      <c r="G652" t="s">
        <v>3070</v>
      </c>
    </row>
    <row r="653" spans="1:7" x14ac:dyDescent="0.25">
      <c r="A653">
        <v>51401</v>
      </c>
      <c r="B653" t="s">
        <v>1062</v>
      </c>
      <c r="C653">
        <v>47</v>
      </c>
      <c r="D653" t="s">
        <v>3059</v>
      </c>
      <c r="E653">
        <v>28</v>
      </c>
      <c r="F653" t="s">
        <v>7</v>
      </c>
      <c r="G653" t="s">
        <v>3070</v>
      </c>
    </row>
    <row r="654" spans="1:7" x14ac:dyDescent="0.25">
      <c r="A654">
        <v>51402</v>
      </c>
      <c r="B654" t="s">
        <v>1063</v>
      </c>
      <c r="C654">
        <v>47</v>
      </c>
      <c r="D654" t="s">
        <v>3059</v>
      </c>
      <c r="E654">
        <v>178</v>
      </c>
      <c r="F654" t="s">
        <v>7</v>
      </c>
      <c r="G654" t="s">
        <v>3070</v>
      </c>
    </row>
    <row r="655" spans="1:7" x14ac:dyDescent="0.25">
      <c r="A655">
        <v>51403</v>
      </c>
      <c r="B655" t="s">
        <v>1064</v>
      </c>
      <c r="C655">
        <v>47</v>
      </c>
      <c r="D655" t="s">
        <v>3059</v>
      </c>
      <c r="E655">
        <v>5</v>
      </c>
      <c r="F655" t="s">
        <v>7</v>
      </c>
      <c r="G655" t="s">
        <v>3070</v>
      </c>
    </row>
    <row r="656" spans="1:7" x14ac:dyDescent="0.25">
      <c r="A656">
        <v>51404</v>
      </c>
      <c r="B656" t="s">
        <v>1065</v>
      </c>
      <c r="C656">
        <v>47</v>
      </c>
      <c r="D656" t="s">
        <v>3059</v>
      </c>
      <c r="E656">
        <v>27</v>
      </c>
      <c r="F656" t="s">
        <v>7</v>
      </c>
      <c r="G656" t="s">
        <v>3070</v>
      </c>
    </row>
    <row r="657" spans="1:7" x14ac:dyDescent="0.25">
      <c r="A657">
        <v>51405</v>
      </c>
      <c r="B657" t="s">
        <v>1066</v>
      </c>
      <c r="C657">
        <v>47</v>
      </c>
      <c r="D657" t="s">
        <v>3059</v>
      </c>
      <c r="E657">
        <v>10</v>
      </c>
      <c r="F657" t="s">
        <v>7</v>
      </c>
      <c r="G657" t="s">
        <v>3070</v>
      </c>
    </row>
    <row r="658" spans="1:7" x14ac:dyDescent="0.25">
      <c r="A658">
        <v>51406</v>
      </c>
      <c r="B658" t="s">
        <v>1067</v>
      </c>
      <c r="C658">
        <v>47</v>
      </c>
      <c r="D658" t="s">
        <v>3059</v>
      </c>
      <c r="E658">
        <v>49</v>
      </c>
      <c r="F658" t="s">
        <v>7</v>
      </c>
      <c r="G658" t="s">
        <v>3070</v>
      </c>
    </row>
    <row r="659" spans="1:7" x14ac:dyDescent="0.25">
      <c r="A659">
        <v>51407</v>
      </c>
      <c r="B659" t="s">
        <v>1068</v>
      </c>
      <c r="C659">
        <v>47</v>
      </c>
      <c r="D659" t="s">
        <v>3059</v>
      </c>
      <c r="E659">
        <v>54</v>
      </c>
      <c r="F659" t="s">
        <v>7</v>
      </c>
      <c r="G659" t="s">
        <v>3070</v>
      </c>
    </row>
    <row r="660" spans="1:7" x14ac:dyDescent="0.25">
      <c r="A660">
        <v>51408</v>
      </c>
      <c r="B660" t="s">
        <v>1069</v>
      </c>
      <c r="C660">
        <v>47</v>
      </c>
      <c r="D660" t="s">
        <v>3059</v>
      </c>
      <c r="E660">
        <v>6</v>
      </c>
      <c r="F660" t="s">
        <v>7</v>
      </c>
      <c r="G660" t="s">
        <v>3070</v>
      </c>
    </row>
    <row r="661" spans="1:7" x14ac:dyDescent="0.25">
      <c r="A661">
        <v>51409</v>
      </c>
      <c r="B661" t="s">
        <v>1070</v>
      </c>
      <c r="C661">
        <v>47</v>
      </c>
      <c r="D661" t="s">
        <v>3059</v>
      </c>
      <c r="E661">
        <v>9</v>
      </c>
      <c r="F661" t="s">
        <v>7</v>
      </c>
      <c r="G661" t="s">
        <v>3070</v>
      </c>
    </row>
    <row r="662" spans="1:7" x14ac:dyDescent="0.25">
      <c r="A662">
        <v>51410</v>
      </c>
      <c r="B662" t="s">
        <v>1071</v>
      </c>
      <c r="C662">
        <v>47</v>
      </c>
      <c r="D662" t="s">
        <v>3059</v>
      </c>
      <c r="E662">
        <v>8</v>
      </c>
      <c r="F662" t="s">
        <v>7</v>
      </c>
      <c r="G662" t="s">
        <v>3070</v>
      </c>
    </row>
    <row r="663" spans="1:7" x14ac:dyDescent="0.25">
      <c r="A663">
        <v>51413</v>
      </c>
      <c r="B663" t="s">
        <v>1073</v>
      </c>
      <c r="C663">
        <v>47</v>
      </c>
      <c r="D663" t="s">
        <v>3059</v>
      </c>
      <c r="E663">
        <v>30</v>
      </c>
      <c r="F663" t="s">
        <v>7</v>
      </c>
      <c r="G663" t="s">
        <v>3070</v>
      </c>
    </row>
    <row r="664" spans="1:7" x14ac:dyDescent="0.25">
      <c r="A664">
        <v>51415</v>
      </c>
      <c r="B664" t="s">
        <v>1075</v>
      </c>
      <c r="C664">
        <v>47</v>
      </c>
      <c r="D664" t="s">
        <v>3059</v>
      </c>
      <c r="E664">
        <v>8</v>
      </c>
      <c r="F664" t="s">
        <v>7</v>
      </c>
      <c r="G664" t="s">
        <v>3070</v>
      </c>
    </row>
    <row r="665" spans="1:7" x14ac:dyDescent="0.25">
      <c r="A665">
        <v>51416</v>
      </c>
      <c r="B665" t="s">
        <v>1076</v>
      </c>
      <c r="C665">
        <v>47</v>
      </c>
      <c r="D665" t="s">
        <v>3059</v>
      </c>
      <c r="E665">
        <v>6</v>
      </c>
      <c r="F665" t="s">
        <v>7</v>
      </c>
      <c r="G665" t="s">
        <v>3070</v>
      </c>
    </row>
    <row r="666" spans="1:7" x14ac:dyDescent="0.25">
      <c r="A666">
        <v>51417</v>
      </c>
      <c r="B666" t="s">
        <v>1077</v>
      </c>
      <c r="C666">
        <v>47</v>
      </c>
      <c r="D666" t="s">
        <v>3059</v>
      </c>
      <c r="E666">
        <v>102</v>
      </c>
      <c r="F666" t="s">
        <v>7</v>
      </c>
      <c r="G666" t="s">
        <v>3070</v>
      </c>
    </row>
    <row r="667" spans="1:7" x14ac:dyDescent="0.25">
      <c r="A667">
        <v>51422</v>
      </c>
      <c r="B667" t="s">
        <v>1082</v>
      </c>
      <c r="C667">
        <v>47</v>
      </c>
      <c r="D667" t="s">
        <v>3059</v>
      </c>
      <c r="E667">
        <v>26</v>
      </c>
      <c r="F667" t="s">
        <v>7</v>
      </c>
      <c r="G667" t="s">
        <v>3070</v>
      </c>
    </row>
    <row r="668" spans="1:7" x14ac:dyDescent="0.25">
      <c r="A668">
        <v>51423</v>
      </c>
      <c r="B668" t="s">
        <v>1083</v>
      </c>
      <c r="C668">
        <v>47</v>
      </c>
      <c r="D668" t="s">
        <v>3059</v>
      </c>
      <c r="E668">
        <v>49</v>
      </c>
      <c r="F668" t="s">
        <v>7</v>
      </c>
      <c r="G668" t="s">
        <v>3070</v>
      </c>
    </row>
    <row r="669" spans="1:7" x14ac:dyDescent="0.25">
      <c r="A669">
        <v>51429</v>
      </c>
      <c r="B669" t="s">
        <v>3052</v>
      </c>
      <c r="C669">
        <v>47</v>
      </c>
      <c r="D669" t="s">
        <v>3059</v>
      </c>
      <c r="E669">
        <v>168</v>
      </c>
      <c r="F669" t="s">
        <v>3119</v>
      </c>
      <c r="G669" t="s">
        <v>3070</v>
      </c>
    </row>
    <row r="670" spans="1:7" x14ac:dyDescent="0.25">
      <c r="A670">
        <v>51430</v>
      </c>
      <c r="B670" t="s">
        <v>3050</v>
      </c>
      <c r="C670">
        <v>47</v>
      </c>
      <c r="D670" t="s">
        <v>3059</v>
      </c>
      <c r="E670">
        <v>78440</v>
      </c>
      <c r="F670" t="s">
        <v>3119</v>
      </c>
      <c r="G670" t="s">
        <v>3070</v>
      </c>
    </row>
    <row r="671" spans="1:7" x14ac:dyDescent="0.25">
      <c r="A671">
        <v>51433</v>
      </c>
      <c r="B671" t="s">
        <v>1087</v>
      </c>
      <c r="C671">
        <v>47</v>
      </c>
      <c r="D671" t="s">
        <v>3059</v>
      </c>
      <c r="E671">
        <v>35</v>
      </c>
      <c r="F671" t="s">
        <v>7</v>
      </c>
      <c r="G671" t="s">
        <v>3073</v>
      </c>
    </row>
    <row r="672" spans="1:7" x14ac:dyDescent="0.25">
      <c r="A672">
        <v>51434</v>
      </c>
      <c r="B672" t="s">
        <v>1088</v>
      </c>
      <c r="C672">
        <v>47</v>
      </c>
      <c r="D672" t="s">
        <v>3059</v>
      </c>
      <c r="E672">
        <v>106</v>
      </c>
      <c r="F672" t="s">
        <v>7</v>
      </c>
      <c r="G672" t="s">
        <v>3110</v>
      </c>
    </row>
    <row r="673" spans="1:7" x14ac:dyDescent="0.25">
      <c r="A673">
        <v>51435</v>
      </c>
      <c r="B673" t="s">
        <v>1089</v>
      </c>
      <c r="C673">
        <v>47</v>
      </c>
      <c r="D673" t="s">
        <v>3059</v>
      </c>
      <c r="E673">
        <v>4</v>
      </c>
      <c r="F673" t="s">
        <v>7</v>
      </c>
      <c r="G673" t="s">
        <v>3073</v>
      </c>
    </row>
    <row r="674" spans="1:7" x14ac:dyDescent="0.25">
      <c r="A674">
        <v>51439</v>
      </c>
      <c r="B674" t="s">
        <v>3120</v>
      </c>
      <c r="C674">
        <v>47</v>
      </c>
      <c r="D674" t="s">
        <v>3059</v>
      </c>
      <c r="E674">
        <v>155</v>
      </c>
      <c r="F674" t="s">
        <v>7</v>
      </c>
      <c r="G674" t="s">
        <v>3102</v>
      </c>
    </row>
    <row r="675" spans="1:7" x14ac:dyDescent="0.25">
      <c r="A675">
        <v>51440</v>
      </c>
      <c r="B675" t="s">
        <v>1094</v>
      </c>
      <c r="C675">
        <v>47</v>
      </c>
      <c r="D675" t="s">
        <v>3059</v>
      </c>
      <c r="E675">
        <v>85</v>
      </c>
      <c r="F675" t="s">
        <v>7</v>
      </c>
      <c r="G675" t="s">
        <v>3102</v>
      </c>
    </row>
    <row r="676" spans="1:7" x14ac:dyDescent="0.25">
      <c r="A676">
        <v>51441</v>
      </c>
      <c r="B676" t="s">
        <v>1095</v>
      </c>
      <c r="C676">
        <v>47</v>
      </c>
      <c r="D676" t="s">
        <v>3059</v>
      </c>
      <c r="E676">
        <v>29</v>
      </c>
      <c r="F676" t="s">
        <v>7</v>
      </c>
      <c r="G676" t="s">
        <v>3102</v>
      </c>
    </row>
    <row r="677" spans="1:7" x14ac:dyDescent="0.25">
      <c r="A677">
        <v>51443</v>
      </c>
      <c r="B677" t="s">
        <v>1097</v>
      </c>
      <c r="C677">
        <v>47</v>
      </c>
      <c r="D677" t="s">
        <v>3059</v>
      </c>
      <c r="E677">
        <v>444</v>
      </c>
      <c r="F677" t="s">
        <v>7</v>
      </c>
      <c r="G677" t="s">
        <v>3064</v>
      </c>
    </row>
    <row r="678" spans="1:7" x14ac:dyDescent="0.25">
      <c r="A678">
        <v>51450</v>
      </c>
      <c r="B678" t="s">
        <v>1103</v>
      </c>
      <c r="C678">
        <v>47</v>
      </c>
      <c r="D678" t="s">
        <v>3059</v>
      </c>
      <c r="E678">
        <v>20</v>
      </c>
      <c r="F678" t="s">
        <v>7</v>
      </c>
      <c r="G678" t="s">
        <v>3103</v>
      </c>
    </row>
    <row r="679" spans="1:7" x14ac:dyDescent="0.25">
      <c r="A679">
        <v>51459</v>
      </c>
      <c r="B679" t="s">
        <v>1106</v>
      </c>
      <c r="C679">
        <v>47</v>
      </c>
      <c r="D679" t="s">
        <v>3059</v>
      </c>
      <c r="E679">
        <v>282</v>
      </c>
      <c r="F679" t="s">
        <v>7</v>
      </c>
      <c r="G679" t="s">
        <v>3103</v>
      </c>
    </row>
    <row r="680" spans="1:7" x14ac:dyDescent="0.25">
      <c r="A680">
        <v>51462</v>
      </c>
      <c r="B680" t="s">
        <v>1107</v>
      </c>
      <c r="C680">
        <v>47</v>
      </c>
      <c r="D680" t="s">
        <v>3059</v>
      </c>
      <c r="E680">
        <v>492</v>
      </c>
      <c r="F680" t="s">
        <v>7</v>
      </c>
      <c r="G680" t="s">
        <v>3103</v>
      </c>
    </row>
    <row r="681" spans="1:7" x14ac:dyDescent="0.25">
      <c r="A681">
        <v>51470</v>
      </c>
      <c r="B681" t="s">
        <v>3121</v>
      </c>
      <c r="C681">
        <v>47</v>
      </c>
      <c r="D681" t="s">
        <v>3059</v>
      </c>
      <c r="E681">
        <v>60</v>
      </c>
      <c r="F681" t="s">
        <v>7</v>
      </c>
      <c r="G681" t="s">
        <v>3103</v>
      </c>
    </row>
    <row r="682" spans="1:7" x14ac:dyDescent="0.25">
      <c r="A682">
        <v>51480</v>
      </c>
      <c r="B682" t="s">
        <v>1108</v>
      </c>
      <c r="C682">
        <v>47</v>
      </c>
      <c r="D682" t="s">
        <v>3059</v>
      </c>
      <c r="E682">
        <v>174</v>
      </c>
      <c r="F682" t="s">
        <v>7</v>
      </c>
      <c r="G682" t="s">
        <v>3103</v>
      </c>
    </row>
    <row r="683" spans="1:7" x14ac:dyDescent="0.25">
      <c r="A683">
        <v>51482</v>
      </c>
      <c r="B683" t="s">
        <v>1110</v>
      </c>
      <c r="C683">
        <v>47</v>
      </c>
      <c r="D683" t="s">
        <v>3059</v>
      </c>
      <c r="E683">
        <v>48</v>
      </c>
      <c r="F683" t="s">
        <v>7</v>
      </c>
      <c r="G683" t="s">
        <v>3071</v>
      </c>
    </row>
    <row r="684" spans="1:7" x14ac:dyDescent="0.25">
      <c r="A684">
        <v>51483</v>
      </c>
      <c r="B684" t="s">
        <v>1111</v>
      </c>
      <c r="C684">
        <v>47</v>
      </c>
      <c r="D684" t="s">
        <v>3059</v>
      </c>
      <c r="E684">
        <v>158</v>
      </c>
      <c r="F684" t="s">
        <v>7</v>
      </c>
      <c r="G684" t="s">
        <v>3102</v>
      </c>
    </row>
    <row r="685" spans="1:7" x14ac:dyDescent="0.25">
      <c r="A685">
        <v>51484</v>
      </c>
      <c r="B685" t="s">
        <v>1112</v>
      </c>
      <c r="C685">
        <v>47</v>
      </c>
      <c r="D685" t="s">
        <v>3059</v>
      </c>
      <c r="E685">
        <v>36</v>
      </c>
      <c r="F685" t="s">
        <v>7</v>
      </c>
      <c r="G685" t="s">
        <v>3071</v>
      </c>
    </row>
    <row r="686" spans="1:7" x14ac:dyDescent="0.25">
      <c r="A686">
        <v>51488</v>
      </c>
      <c r="B686" t="s">
        <v>1114</v>
      </c>
      <c r="C686">
        <v>47</v>
      </c>
      <c r="D686" t="s">
        <v>3059</v>
      </c>
      <c r="E686">
        <v>4</v>
      </c>
      <c r="F686" t="s">
        <v>7</v>
      </c>
      <c r="G686" t="s">
        <v>3122</v>
      </c>
    </row>
    <row r="687" spans="1:7" x14ac:dyDescent="0.25">
      <c r="A687">
        <v>51492</v>
      </c>
      <c r="B687" t="s">
        <v>1117</v>
      </c>
      <c r="C687">
        <v>47</v>
      </c>
      <c r="D687" t="s">
        <v>3059</v>
      </c>
      <c r="E687">
        <v>127</v>
      </c>
      <c r="F687" t="s">
        <v>7</v>
      </c>
      <c r="G687" t="s">
        <v>3073</v>
      </c>
    </row>
    <row r="688" spans="1:7" x14ac:dyDescent="0.25">
      <c r="A688">
        <v>51507</v>
      </c>
      <c r="B688" t="s">
        <v>1122</v>
      </c>
      <c r="C688">
        <v>47</v>
      </c>
      <c r="D688" t="s">
        <v>3059</v>
      </c>
      <c r="E688">
        <v>10</v>
      </c>
      <c r="F688" t="s">
        <v>7</v>
      </c>
      <c r="G688" t="s">
        <v>3122</v>
      </c>
    </row>
    <row r="689" spans="1:7" x14ac:dyDescent="0.25">
      <c r="A689">
        <v>51518</v>
      </c>
      <c r="B689" t="s">
        <v>1124</v>
      </c>
      <c r="C689">
        <v>47</v>
      </c>
      <c r="D689" t="s">
        <v>3059</v>
      </c>
      <c r="E689">
        <v>9</v>
      </c>
      <c r="F689" t="s">
        <v>7</v>
      </c>
      <c r="G689" t="s">
        <v>3071</v>
      </c>
    </row>
    <row r="690" spans="1:7" x14ac:dyDescent="0.25">
      <c r="A690">
        <v>51519</v>
      </c>
      <c r="B690" t="s">
        <v>1125</v>
      </c>
      <c r="C690">
        <v>47</v>
      </c>
      <c r="D690" t="s">
        <v>3059</v>
      </c>
      <c r="E690">
        <v>9</v>
      </c>
      <c r="F690" t="s">
        <v>7</v>
      </c>
      <c r="G690" t="s">
        <v>3071</v>
      </c>
    </row>
    <row r="691" spans="1:7" x14ac:dyDescent="0.25">
      <c r="A691">
        <v>51529</v>
      </c>
      <c r="B691" t="s">
        <v>1126</v>
      </c>
      <c r="C691">
        <v>47</v>
      </c>
      <c r="D691" t="s">
        <v>3059</v>
      </c>
      <c r="E691">
        <v>2</v>
      </c>
      <c r="F691" t="s">
        <v>7</v>
      </c>
      <c r="G691" t="s">
        <v>3103</v>
      </c>
    </row>
    <row r="692" spans="1:7" x14ac:dyDescent="0.25">
      <c r="A692">
        <v>51532</v>
      </c>
      <c r="B692" t="s">
        <v>1128</v>
      </c>
      <c r="C692">
        <v>47</v>
      </c>
      <c r="D692" t="s">
        <v>3059</v>
      </c>
      <c r="E692">
        <v>144</v>
      </c>
      <c r="F692" t="s">
        <v>7</v>
      </c>
      <c r="G692" t="s">
        <v>3102</v>
      </c>
    </row>
    <row r="693" spans="1:7" x14ac:dyDescent="0.25">
      <c r="A693">
        <v>51535</v>
      </c>
      <c r="B693" t="s">
        <v>1129</v>
      </c>
      <c r="C693">
        <v>47</v>
      </c>
      <c r="D693" t="s">
        <v>3059</v>
      </c>
      <c r="E693">
        <v>21</v>
      </c>
      <c r="F693" t="s">
        <v>7</v>
      </c>
      <c r="G693" t="s">
        <v>3122</v>
      </c>
    </row>
    <row r="694" spans="1:7" x14ac:dyDescent="0.25">
      <c r="A694">
        <v>51546</v>
      </c>
      <c r="B694" t="s">
        <v>3123</v>
      </c>
      <c r="C694">
        <v>47</v>
      </c>
      <c r="D694" t="s">
        <v>3059</v>
      </c>
      <c r="E694">
        <v>48</v>
      </c>
      <c r="F694" t="s">
        <v>7</v>
      </c>
      <c r="G694" t="s">
        <v>3124</v>
      </c>
    </row>
    <row r="695" spans="1:7" x14ac:dyDescent="0.25">
      <c r="A695">
        <v>51549</v>
      </c>
      <c r="B695" t="s">
        <v>1139</v>
      </c>
      <c r="C695">
        <v>47</v>
      </c>
      <c r="D695" t="s">
        <v>3059</v>
      </c>
      <c r="E695">
        <v>13</v>
      </c>
      <c r="F695" t="s">
        <v>7</v>
      </c>
      <c r="G695" t="s">
        <v>3083</v>
      </c>
    </row>
    <row r="696" spans="1:7" x14ac:dyDescent="0.25">
      <c r="A696">
        <v>51566</v>
      </c>
      <c r="B696" t="s">
        <v>1151</v>
      </c>
      <c r="C696">
        <v>47</v>
      </c>
      <c r="D696" t="s">
        <v>3059</v>
      </c>
      <c r="E696">
        <v>2</v>
      </c>
      <c r="F696" t="s">
        <v>7</v>
      </c>
      <c r="G696" t="s">
        <v>3083</v>
      </c>
    </row>
    <row r="697" spans="1:7" x14ac:dyDescent="0.25">
      <c r="A697">
        <v>51579</v>
      </c>
      <c r="B697" t="s">
        <v>3126</v>
      </c>
      <c r="C697">
        <v>47</v>
      </c>
      <c r="D697" t="s">
        <v>3059</v>
      </c>
      <c r="E697">
        <v>30</v>
      </c>
      <c r="F697" t="s">
        <v>7</v>
      </c>
      <c r="G697" t="s">
        <v>3083</v>
      </c>
    </row>
    <row r="698" spans="1:7" x14ac:dyDescent="0.25">
      <c r="A698">
        <v>51580</v>
      </c>
      <c r="B698" t="s">
        <v>1163</v>
      </c>
      <c r="C698">
        <v>47</v>
      </c>
      <c r="D698" t="s">
        <v>3059</v>
      </c>
      <c r="E698">
        <v>50</v>
      </c>
      <c r="F698" t="s">
        <v>7</v>
      </c>
      <c r="G698" t="s">
        <v>3083</v>
      </c>
    </row>
    <row r="699" spans="1:7" x14ac:dyDescent="0.25">
      <c r="A699">
        <v>51581</v>
      </c>
      <c r="B699" t="s">
        <v>3127</v>
      </c>
      <c r="C699">
        <v>47</v>
      </c>
      <c r="D699" t="s">
        <v>3059</v>
      </c>
      <c r="E699">
        <v>20</v>
      </c>
      <c r="F699" t="s">
        <v>7</v>
      </c>
      <c r="G699" t="s">
        <v>3083</v>
      </c>
    </row>
    <row r="700" spans="1:7" x14ac:dyDescent="0.25">
      <c r="A700">
        <v>51584</v>
      </c>
      <c r="B700" t="s">
        <v>1165</v>
      </c>
      <c r="C700">
        <v>47</v>
      </c>
      <c r="D700" t="s">
        <v>3059</v>
      </c>
      <c r="E700">
        <v>5</v>
      </c>
      <c r="F700" t="s">
        <v>7</v>
      </c>
      <c r="G700" t="s">
        <v>3064</v>
      </c>
    </row>
    <row r="701" spans="1:7" x14ac:dyDescent="0.25">
      <c r="A701">
        <v>51599</v>
      </c>
      <c r="B701" t="s">
        <v>1167</v>
      </c>
      <c r="C701">
        <v>47</v>
      </c>
      <c r="D701" t="s">
        <v>3059</v>
      </c>
      <c r="E701">
        <v>17</v>
      </c>
      <c r="F701" t="s">
        <v>7</v>
      </c>
      <c r="G701" t="s">
        <v>3118</v>
      </c>
    </row>
    <row r="702" spans="1:7" x14ac:dyDescent="0.25">
      <c r="A702">
        <v>51600</v>
      </c>
      <c r="B702" t="s">
        <v>1168</v>
      </c>
      <c r="C702">
        <v>47</v>
      </c>
      <c r="D702" t="s">
        <v>3059</v>
      </c>
      <c r="E702">
        <v>15</v>
      </c>
      <c r="F702" t="s">
        <v>7</v>
      </c>
      <c r="G702" t="s">
        <v>3118</v>
      </c>
    </row>
    <row r="703" spans="1:7" x14ac:dyDescent="0.25">
      <c r="A703">
        <v>51615</v>
      </c>
      <c r="B703" t="s">
        <v>1177</v>
      </c>
      <c r="C703">
        <v>47</v>
      </c>
      <c r="D703" t="s">
        <v>3059</v>
      </c>
      <c r="E703">
        <v>5</v>
      </c>
      <c r="F703" t="s">
        <v>7</v>
      </c>
      <c r="G703" t="s">
        <v>3083</v>
      </c>
    </row>
    <row r="704" spans="1:7" x14ac:dyDescent="0.25">
      <c r="A704">
        <v>51621</v>
      </c>
      <c r="B704" t="s">
        <v>1182</v>
      </c>
      <c r="C704">
        <v>47</v>
      </c>
      <c r="D704" t="s">
        <v>3059</v>
      </c>
      <c r="E704">
        <v>6</v>
      </c>
      <c r="F704" t="s">
        <v>7</v>
      </c>
      <c r="G704" t="s">
        <v>3122</v>
      </c>
    </row>
    <row r="705" spans="1:7" x14ac:dyDescent="0.25">
      <c r="A705">
        <v>51626</v>
      </c>
      <c r="B705" t="s">
        <v>1185</v>
      </c>
      <c r="C705">
        <v>47</v>
      </c>
      <c r="D705" t="s">
        <v>3059</v>
      </c>
      <c r="E705">
        <v>12</v>
      </c>
      <c r="F705" t="s">
        <v>7</v>
      </c>
      <c r="G705" t="s">
        <v>3083</v>
      </c>
    </row>
    <row r="706" spans="1:7" x14ac:dyDescent="0.25">
      <c r="A706">
        <v>51627</v>
      </c>
      <c r="B706" t="s">
        <v>1186</v>
      </c>
      <c r="C706">
        <v>47</v>
      </c>
      <c r="D706" t="s">
        <v>3059</v>
      </c>
      <c r="E706">
        <v>30</v>
      </c>
      <c r="F706" t="s">
        <v>7</v>
      </c>
      <c r="G706" t="s">
        <v>3083</v>
      </c>
    </row>
    <row r="707" spans="1:7" x14ac:dyDescent="0.25">
      <c r="A707">
        <v>51631</v>
      </c>
      <c r="B707" t="s">
        <v>1189</v>
      </c>
      <c r="C707">
        <v>47</v>
      </c>
      <c r="D707" t="s">
        <v>3059</v>
      </c>
      <c r="E707">
        <v>9</v>
      </c>
      <c r="F707" t="s">
        <v>7</v>
      </c>
      <c r="G707" t="s">
        <v>3088</v>
      </c>
    </row>
    <row r="708" spans="1:7" x14ac:dyDescent="0.25">
      <c r="A708">
        <v>51638</v>
      </c>
      <c r="B708" t="s">
        <v>1192</v>
      </c>
      <c r="C708">
        <v>47</v>
      </c>
      <c r="D708" t="s">
        <v>3059</v>
      </c>
      <c r="E708">
        <v>2</v>
      </c>
      <c r="F708" t="s">
        <v>7</v>
      </c>
      <c r="G708" t="s">
        <v>3124</v>
      </c>
    </row>
    <row r="709" spans="1:7" x14ac:dyDescent="0.25">
      <c r="A709">
        <v>51639</v>
      </c>
      <c r="B709" t="s">
        <v>1193</v>
      </c>
      <c r="C709">
        <v>47</v>
      </c>
      <c r="D709" t="s">
        <v>3059</v>
      </c>
      <c r="E709">
        <v>3</v>
      </c>
      <c r="F709" t="s">
        <v>7</v>
      </c>
      <c r="G709" t="s">
        <v>3124</v>
      </c>
    </row>
    <row r="710" spans="1:7" x14ac:dyDescent="0.25">
      <c r="A710">
        <v>51640</v>
      </c>
      <c r="B710" t="s">
        <v>1194</v>
      </c>
      <c r="C710">
        <v>47</v>
      </c>
      <c r="D710" t="s">
        <v>3059</v>
      </c>
      <c r="E710">
        <v>2</v>
      </c>
      <c r="F710" t="s">
        <v>7</v>
      </c>
      <c r="G710" t="s">
        <v>3124</v>
      </c>
    </row>
    <row r="711" spans="1:7" x14ac:dyDescent="0.25">
      <c r="A711">
        <v>51647</v>
      </c>
      <c r="B711" t="s">
        <v>1198</v>
      </c>
      <c r="C711">
        <v>47</v>
      </c>
      <c r="D711" t="s">
        <v>3059</v>
      </c>
      <c r="E711">
        <v>30</v>
      </c>
      <c r="F711" t="s">
        <v>7</v>
      </c>
      <c r="G711" t="s">
        <v>3083</v>
      </c>
    </row>
    <row r="712" spans="1:7" x14ac:dyDescent="0.25">
      <c r="A712">
        <v>51649</v>
      </c>
      <c r="B712" t="s">
        <v>1200</v>
      </c>
      <c r="C712">
        <v>47</v>
      </c>
      <c r="D712" t="s">
        <v>3059</v>
      </c>
      <c r="E712">
        <v>10</v>
      </c>
      <c r="F712" t="s">
        <v>7</v>
      </c>
      <c r="G712" t="s">
        <v>3083</v>
      </c>
    </row>
    <row r="713" spans="1:7" x14ac:dyDescent="0.25">
      <c r="A713">
        <v>51668</v>
      </c>
      <c r="B713" t="s">
        <v>1211</v>
      </c>
      <c r="C713">
        <v>47</v>
      </c>
      <c r="D713" t="s">
        <v>3059</v>
      </c>
      <c r="E713">
        <v>530</v>
      </c>
      <c r="F713" t="s">
        <v>7</v>
      </c>
      <c r="G713" t="s">
        <v>3110</v>
      </c>
    </row>
    <row r="714" spans="1:7" x14ac:dyDescent="0.25">
      <c r="A714">
        <v>51670</v>
      </c>
      <c r="B714" t="s">
        <v>1213</v>
      </c>
      <c r="C714">
        <v>47</v>
      </c>
      <c r="D714" t="s">
        <v>3059</v>
      </c>
      <c r="E714">
        <v>1</v>
      </c>
      <c r="F714" t="s">
        <v>7</v>
      </c>
      <c r="G714" t="s">
        <v>3083</v>
      </c>
    </row>
    <row r="715" spans="1:7" x14ac:dyDescent="0.25">
      <c r="A715">
        <v>51673</v>
      </c>
      <c r="B715" t="s">
        <v>1214</v>
      </c>
      <c r="C715">
        <v>47</v>
      </c>
      <c r="D715" t="s">
        <v>3059</v>
      </c>
      <c r="E715">
        <v>9</v>
      </c>
      <c r="F715" t="s">
        <v>7</v>
      </c>
      <c r="G715" t="s">
        <v>3124</v>
      </c>
    </row>
    <row r="716" spans="1:7" x14ac:dyDescent="0.25">
      <c r="A716">
        <v>51684</v>
      </c>
      <c r="B716" t="s">
        <v>1219</v>
      </c>
      <c r="C716">
        <v>47</v>
      </c>
      <c r="D716" t="s">
        <v>3059</v>
      </c>
      <c r="E716">
        <v>6</v>
      </c>
      <c r="F716" t="s">
        <v>7</v>
      </c>
      <c r="G716" t="s">
        <v>3124</v>
      </c>
    </row>
    <row r="717" spans="1:7" x14ac:dyDescent="0.25">
      <c r="A717">
        <v>51707</v>
      </c>
      <c r="B717" t="s">
        <v>1229</v>
      </c>
      <c r="C717">
        <v>47</v>
      </c>
      <c r="D717" t="s">
        <v>3059</v>
      </c>
      <c r="E717">
        <v>20</v>
      </c>
      <c r="F717" t="s">
        <v>7</v>
      </c>
      <c r="G717" t="s">
        <v>3083</v>
      </c>
    </row>
    <row r="718" spans="1:7" x14ac:dyDescent="0.25">
      <c r="A718">
        <v>51711</v>
      </c>
      <c r="B718" t="s">
        <v>1231</v>
      </c>
      <c r="C718">
        <v>47</v>
      </c>
      <c r="D718" t="s">
        <v>3059</v>
      </c>
      <c r="E718">
        <v>11</v>
      </c>
      <c r="F718" t="s">
        <v>7</v>
      </c>
      <c r="G718" t="s">
        <v>3125</v>
      </c>
    </row>
    <row r="719" spans="1:7" x14ac:dyDescent="0.25">
      <c r="A719">
        <v>51712</v>
      </c>
      <c r="B719" t="s">
        <v>1232</v>
      </c>
      <c r="C719">
        <v>47</v>
      </c>
      <c r="D719" t="s">
        <v>3059</v>
      </c>
      <c r="E719">
        <v>8</v>
      </c>
      <c r="F719" t="s">
        <v>7</v>
      </c>
      <c r="G719" t="s">
        <v>3083</v>
      </c>
    </row>
    <row r="720" spans="1:7" x14ac:dyDescent="0.25">
      <c r="A720">
        <v>51715</v>
      </c>
      <c r="B720" t="s">
        <v>1234</v>
      </c>
      <c r="C720">
        <v>47</v>
      </c>
      <c r="D720" t="s">
        <v>3059</v>
      </c>
      <c r="E720">
        <v>1</v>
      </c>
      <c r="F720" t="s">
        <v>7</v>
      </c>
      <c r="G720" t="s">
        <v>3108</v>
      </c>
    </row>
    <row r="721" spans="1:7" x14ac:dyDescent="0.25">
      <c r="A721">
        <v>51722</v>
      </c>
      <c r="B721" t="s">
        <v>1239</v>
      </c>
      <c r="C721">
        <v>47</v>
      </c>
      <c r="D721" t="s">
        <v>3059</v>
      </c>
      <c r="E721">
        <v>15</v>
      </c>
      <c r="F721" t="s">
        <v>7</v>
      </c>
      <c r="G721" t="s">
        <v>3083</v>
      </c>
    </row>
    <row r="722" spans="1:7" x14ac:dyDescent="0.25">
      <c r="A722">
        <v>51726</v>
      </c>
      <c r="B722" t="s">
        <v>3128</v>
      </c>
      <c r="C722">
        <v>47</v>
      </c>
      <c r="D722" t="s">
        <v>3059</v>
      </c>
      <c r="E722">
        <v>15</v>
      </c>
      <c r="F722" t="s">
        <v>7</v>
      </c>
      <c r="G722" t="s">
        <v>3083</v>
      </c>
    </row>
    <row r="723" spans="1:7" x14ac:dyDescent="0.25">
      <c r="A723">
        <v>51741</v>
      </c>
      <c r="B723" t="s">
        <v>1248</v>
      </c>
      <c r="C723">
        <v>47</v>
      </c>
      <c r="D723" t="s">
        <v>3059</v>
      </c>
      <c r="E723">
        <v>70</v>
      </c>
      <c r="F723" t="s">
        <v>7</v>
      </c>
      <c r="G723" t="s">
        <v>3083</v>
      </c>
    </row>
    <row r="724" spans="1:7" x14ac:dyDescent="0.25">
      <c r="A724">
        <v>51744</v>
      </c>
      <c r="B724" t="s">
        <v>1250</v>
      </c>
      <c r="C724">
        <v>47</v>
      </c>
      <c r="D724" t="s">
        <v>3059</v>
      </c>
      <c r="E724">
        <v>8</v>
      </c>
      <c r="F724" t="s">
        <v>7</v>
      </c>
      <c r="G724" t="s">
        <v>3083</v>
      </c>
    </row>
    <row r="725" spans="1:7" x14ac:dyDescent="0.25">
      <c r="A725">
        <v>51747</v>
      </c>
      <c r="B725" t="s">
        <v>1252</v>
      </c>
      <c r="C725">
        <v>47</v>
      </c>
      <c r="D725" t="s">
        <v>3059</v>
      </c>
      <c r="E725">
        <v>6</v>
      </c>
      <c r="F725" t="s">
        <v>7</v>
      </c>
      <c r="G725" t="s">
        <v>3083</v>
      </c>
    </row>
    <row r="726" spans="1:7" x14ac:dyDescent="0.25">
      <c r="A726">
        <v>51749</v>
      </c>
      <c r="B726" t="s">
        <v>1254</v>
      </c>
      <c r="C726">
        <v>47</v>
      </c>
      <c r="D726" t="s">
        <v>3059</v>
      </c>
      <c r="E726">
        <v>50</v>
      </c>
      <c r="F726" t="s">
        <v>7</v>
      </c>
      <c r="G726" t="s">
        <v>3083</v>
      </c>
    </row>
    <row r="727" spans="1:7" x14ac:dyDescent="0.25">
      <c r="A727">
        <v>51750</v>
      </c>
      <c r="B727" t="s">
        <v>1255</v>
      </c>
      <c r="C727">
        <v>47</v>
      </c>
      <c r="D727" t="s">
        <v>3059</v>
      </c>
      <c r="E727">
        <v>50</v>
      </c>
      <c r="F727" t="s">
        <v>7</v>
      </c>
      <c r="G727" t="s">
        <v>3083</v>
      </c>
    </row>
    <row r="728" spans="1:7" x14ac:dyDescent="0.25">
      <c r="A728">
        <v>51753</v>
      </c>
      <c r="B728" t="s">
        <v>3129</v>
      </c>
      <c r="C728">
        <v>47</v>
      </c>
      <c r="D728" t="s">
        <v>3059</v>
      </c>
      <c r="E728">
        <v>20</v>
      </c>
      <c r="F728" t="s">
        <v>7</v>
      </c>
      <c r="G728" t="s">
        <v>3083</v>
      </c>
    </row>
    <row r="729" spans="1:7" x14ac:dyDescent="0.25">
      <c r="A729">
        <v>51764</v>
      </c>
      <c r="B729" t="s">
        <v>1259</v>
      </c>
      <c r="C729">
        <v>47</v>
      </c>
      <c r="D729" t="s">
        <v>3059</v>
      </c>
      <c r="E729">
        <v>11</v>
      </c>
      <c r="F729" t="s">
        <v>7</v>
      </c>
      <c r="G729" t="s">
        <v>3083</v>
      </c>
    </row>
    <row r="730" spans="1:7" x14ac:dyDescent="0.25">
      <c r="A730">
        <v>51778</v>
      </c>
      <c r="B730" t="s">
        <v>1262</v>
      </c>
      <c r="C730">
        <v>47</v>
      </c>
      <c r="D730" t="s">
        <v>3059</v>
      </c>
      <c r="E730">
        <v>12</v>
      </c>
      <c r="F730" t="s">
        <v>7</v>
      </c>
      <c r="G730" t="s">
        <v>3083</v>
      </c>
    </row>
    <row r="731" spans="1:7" x14ac:dyDescent="0.25">
      <c r="A731">
        <v>51786</v>
      </c>
      <c r="B731" t="s">
        <v>1266</v>
      </c>
      <c r="C731">
        <v>47</v>
      </c>
      <c r="D731" t="s">
        <v>3059</v>
      </c>
      <c r="E731">
        <v>220</v>
      </c>
      <c r="F731" t="s">
        <v>7</v>
      </c>
      <c r="G731" t="s">
        <v>3109</v>
      </c>
    </row>
    <row r="732" spans="1:7" x14ac:dyDescent="0.25">
      <c r="A732">
        <v>51796</v>
      </c>
      <c r="B732" t="s">
        <v>1267</v>
      </c>
      <c r="C732">
        <v>47</v>
      </c>
      <c r="D732" t="s">
        <v>3059</v>
      </c>
      <c r="E732">
        <v>1</v>
      </c>
      <c r="F732" t="s">
        <v>7</v>
      </c>
      <c r="G732" t="s">
        <v>3088</v>
      </c>
    </row>
    <row r="733" spans="1:7" x14ac:dyDescent="0.25">
      <c r="A733">
        <v>51801</v>
      </c>
      <c r="B733" t="s">
        <v>1269</v>
      </c>
      <c r="C733">
        <v>47</v>
      </c>
      <c r="D733" t="s">
        <v>3059</v>
      </c>
      <c r="E733">
        <v>2424</v>
      </c>
      <c r="F733" t="s">
        <v>7</v>
      </c>
      <c r="G733" t="s">
        <v>3062</v>
      </c>
    </row>
    <row r="734" spans="1:7" x14ac:dyDescent="0.25">
      <c r="A734">
        <v>51803</v>
      </c>
      <c r="B734" t="s">
        <v>1270</v>
      </c>
      <c r="C734">
        <v>47</v>
      </c>
      <c r="D734" t="s">
        <v>3059</v>
      </c>
      <c r="E734">
        <v>1</v>
      </c>
      <c r="F734" t="s">
        <v>7</v>
      </c>
      <c r="G734" t="s">
        <v>3122</v>
      </c>
    </row>
    <row r="735" spans="1:7" x14ac:dyDescent="0.25">
      <c r="A735">
        <v>51805</v>
      </c>
      <c r="B735" t="s">
        <v>1272</v>
      </c>
      <c r="C735">
        <v>47</v>
      </c>
      <c r="D735" t="s">
        <v>3059</v>
      </c>
      <c r="E735">
        <v>2387</v>
      </c>
      <c r="F735" t="s">
        <v>7</v>
      </c>
      <c r="G735" t="s">
        <v>3062</v>
      </c>
    </row>
    <row r="736" spans="1:7" x14ac:dyDescent="0.25">
      <c r="A736">
        <v>51806</v>
      </c>
      <c r="B736" t="s">
        <v>1273</v>
      </c>
      <c r="C736">
        <v>47</v>
      </c>
      <c r="D736" t="s">
        <v>3059</v>
      </c>
      <c r="E736">
        <v>3</v>
      </c>
      <c r="F736" t="s">
        <v>7</v>
      </c>
      <c r="G736" t="s">
        <v>3083</v>
      </c>
    </row>
    <row r="737" spans="1:7" x14ac:dyDescent="0.25">
      <c r="A737">
        <v>51810</v>
      </c>
      <c r="B737" t="s">
        <v>1277</v>
      </c>
      <c r="C737">
        <v>47</v>
      </c>
      <c r="D737" t="s">
        <v>3059</v>
      </c>
      <c r="E737">
        <v>120</v>
      </c>
      <c r="F737" t="s">
        <v>7</v>
      </c>
      <c r="G737" t="s">
        <v>3083</v>
      </c>
    </row>
    <row r="738" spans="1:7" x14ac:dyDescent="0.25">
      <c r="A738">
        <v>51811</v>
      </c>
      <c r="B738" t="s">
        <v>1278</v>
      </c>
      <c r="C738">
        <v>47</v>
      </c>
      <c r="D738" t="s">
        <v>3059</v>
      </c>
      <c r="E738">
        <v>120</v>
      </c>
      <c r="F738" t="s">
        <v>7</v>
      </c>
      <c r="G738" t="s">
        <v>3083</v>
      </c>
    </row>
    <row r="739" spans="1:7" x14ac:dyDescent="0.25">
      <c r="A739">
        <v>51818</v>
      </c>
      <c r="B739" t="s">
        <v>1283</v>
      </c>
      <c r="C739">
        <v>47</v>
      </c>
      <c r="D739" t="s">
        <v>3059</v>
      </c>
      <c r="E739">
        <v>3</v>
      </c>
      <c r="F739" t="s">
        <v>7</v>
      </c>
      <c r="G739" t="s">
        <v>3083</v>
      </c>
    </row>
    <row r="740" spans="1:7" x14ac:dyDescent="0.25">
      <c r="A740">
        <v>51825</v>
      </c>
      <c r="B740" t="s">
        <v>1288</v>
      </c>
      <c r="C740">
        <v>47</v>
      </c>
      <c r="D740" t="s">
        <v>3059</v>
      </c>
      <c r="E740">
        <v>33</v>
      </c>
      <c r="F740" t="s">
        <v>7</v>
      </c>
      <c r="G740" t="s">
        <v>3070</v>
      </c>
    </row>
    <row r="741" spans="1:7" x14ac:dyDescent="0.25">
      <c r="A741">
        <v>51826</v>
      </c>
      <c r="B741" t="s">
        <v>1289</v>
      </c>
      <c r="C741">
        <v>47</v>
      </c>
      <c r="D741" t="s">
        <v>3059</v>
      </c>
      <c r="E741">
        <v>167</v>
      </c>
      <c r="F741" t="s">
        <v>7</v>
      </c>
      <c r="G741" t="s">
        <v>3070</v>
      </c>
    </row>
    <row r="742" spans="1:7" x14ac:dyDescent="0.25">
      <c r="A742">
        <v>51827</v>
      </c>
      <c r="B742" t="s">
        <v>1290</v>
      </c>
      <c r="C742">
        <v>47</v>
      </c>
      <c r="D742" t="s">
        <v>3059</v>
      </c>
      <c r="E742">
        <v>24</v>
      </c>
      <c r="F742" t="s">
        <v>7</v>
      </c>
      <c r="G742" t="s">
        <v>3070</v>
      </c>
    </row>
    <row r="743" spans="1:7" x14ac:dyDescent="0.25">
      <c r="A743">
        <v>51828</v>
      </c>
      <c r="B743" t="s">
        <v>1291</v>
      </c>
      <c r="C743">
        <v>47</v>
      </c>
      <c r="D743" t="s">
        <v>3059</v>
      </c>
      <c r="E743">
        <v>10</v>
      </c>
      <c r="F743" t="s">
        <v>7</v>
      </c>
      <c r="G743" t="s">
        <v>3070</v>
      </c>
    </row>
    <row r="744" spans="1:7" x14ac:dyDescent="0.25">
      <c r="A744">
        <v>51829</v>
      </c>
      <c r="B744" t="s">
        <v>1292</v>
      </c>
      <c r="C744">
        <v>47</v>
      </c>
      <c r="D744" t="s">
        <v>3059</v>
      </c>
      <c r="E744">
        <v>14</v>
      </c>
      <c r="F744" t="s">
        <v>7</v>
      </c>
      <c r="G744" t="s">
        <v>3070</v>
      </c>
    </row>
    <row r="745" spans="1:7" x14ac:dyDescent="0.25">
      <c r="A745">
        <v>51830</v>
      </c>
      <c r="B745" t="s">
        <v>1293</v>
      </c>
      <c r="C745">
        <v>47</v>
      </c>
      <c r="D745" t="s">
        <v>3059</v>
      </c>
      <c r="E745">
        <v>80</v>
      </c>
      <c r="F745" t="s">
        <v>7</v>
      </c>
      <c r="G745" t="s">
        <v>3070</v>
      </c>
    </row>
    <row r="746" spans="1:7" x14ac:dyDescent="0.25">
      <c r="A746">
        <v>51831</v>
      </c>
      <c r="B746" t="s">
        <v>16108</v>
      </c>
      <c r="C746">
        <v>47</v>
      </c>
      <c r="D746" t="s">
        <v>3059</v>
      </c>
      <c r="E746">
        <v>9</v>
      </c>
      <c r="F746" t="s">
        <v>7</v>
      </c>
      <c r="G746" t="s">
        <v>3070</v>
      </c>
    </row>
    <row r="747" spans="1:7" x14ac:dyDescent="0.25">
      <c r="A747">
        <v>51832</v>
      </c>
      <c r="B747" t="s">
        <v>1294</v>
      </c>
      <c r="C747">
        <v>47</v>
      </c>
      <c r="D747" t="s">
        <v>3059</v>
      </c>
      <c r="E747">
        <v>62</v>
      </c>
      <c r="F747" t="s">
        <v>7</v>
      </c>
      <c r="G747" t="s">
        <v>3070</v>
      </c>
    </row>
    <row r="748" spans="1:7" x14ac:dyDescent="0.25">
      <c r="A748">
        <v>51833</v>
      </c>
      <c r="B748" t="s">
        <v>1295</v>
      </c>
      <c r="C748">
        <v>47</v>
      </c>
      <c r="D748" t="s">
        <v>3059</v>
      </c>
      <c r="E748">
        <v>63</v>
      </c>
      <c r="F748" t="s">
        <v>7</v>
      </c>
      <c r="G748" t="s">
        <v>3070</v>
      </c>
    </row>
    <row r="749" spans="1:7" x14ac:dyDescent="0.25">
      <c r="A749">
        <v>51835</v>
      </c>
      <c r="B749" t="s">
        <v>1297</v>
      </c>
      <c r="C749">
        <v>47</v>
      </c>
      <c r="D749" t="s">
        <v>3059</v>
      </c>
      <c r="E749">
        <v>10</v>
      </c>
      <c r="F749" t="s">
        <v>7</v>
      </c>
      <c r="G749" t="s">
        <v>3070</v>
      </c>
    </row>
    <row r="750" spans="1:7" x14ac:dyDescent="0.25">
      <c r="A750">
        <v>51837</v>
      </c>
      <c r="B750" t="s">
        <v>1299</v>
      </c>
      <c r="C750">
        <v>47</v>
      </c>
      <c r="D750" t="s">
        <v>3059</v>
      </c>
      <c r="E750">
        <v>203</v>
      </c>
      <c r="F750" t="s">
        <v>7</v>
      </c>
      <c r="G750" t="s">
        <v>3070</v>
      </c>
    </row>
    <row r="751" spans="1:7" x14ac:dyDescent="0.25">
      <c r="A751">
        <v>51838</v>
      </c>
      <c r="B751" t="s">
        <v>1300</v>
      </c>
      <c r="C751">
        <v>47</v>
      </c>
      <c r="D751" t="s">
        <v>3059</v>
      </c>
      <c r="E751">
        <v>609</v>
      </c>
      <c r="F751" t="s">
        <v>7</v>
      </c>
      <c r="G751" t="s">
        <v>3070</v>
      </c>
    </row>
    <row r="752" spans="1:7" x14ac:dyDescent="0.25">
      <c r="A752">
        <v>51839</v>
      </c>
      <c r="B752" t="s">
        <v>1301</v>
      </c>
      <c r="C752">
        <v>47</v>
      </c>
      <c r="D752" t="s">
        <v>3059</v>
      </c>
      <c r="E752">
        <v>234</v>
      </c>
      <c r="F752" t="s">
        <v>7</v>
      </c>
      <c r="G752" t="s">
        <v>3070</v>
      </c>
    </row>
    <row r="753" spans="1:7" x14ac:dyDescent="0.25">
      <c r="A753">
        <v>51840</v>
      </c>
      <c r="B753" t="s">
        <v>1302</v>
      </c>
      <c r="C753">
        <v>47</v>
      </c>
      <c r="D753" t="s">
        <v>3059</v>
      </c>
      <c r="E753">
        <v>72</v>
      </c>
      <c r="F753" t="s">
        <v>7</v>
      </c>
      <c r="G753" t="s">
        <v>3070</v>
      </c>
    </row>
    <row r="754" spans="1:7" x14ac:dyDescent="0.25">
      <c r="A754">
        <v>51847</v>
      </c>
      <c r="B754" t="s">
        <v>1308</v>
      </c>
      <c r="C754">
        <v>47</v>
      </c>
      <c r="D754" t="s">
        <v>3059</v>
      </c>
      <c r="E754">
        <v>20</v>
      </c>
      <c r="F754" t="s">
        <v>7</v>
      </c>
      <c r="G754" t="s">
        <v>3070</v>
      </c>
    </row>
    <row r="755" spans="1:7" x14ac:dyDescent="0.25">
      <c r="A755">
        <v>51848</v>
      </c>
      <c r="B755" t="s">
        <v>1309</v>
      </c>
      <c r="C755">
        <v>47</v>
      </c>
      <c r="D755" t="s">
        <v>3059</v>
      </c>
      <c r="E755">
        <v>20</v>
      </c>
      <c r="F755" t="s">
        <v>7</v>
      </c>
      <c r="G755" t="s">
        <v>3070</v>
      </c>
    </row>
    <row r="756" spans="1:7" x14ac:dyDescent="0.25">
      <c r="A756">
        <v>51849</v>
      </c>
      <c r="B756" t="s">
        <v>1310</v>
      </c>
      <c r="C756">
        <v>47</v>
      </c>
      <c r="D756" t="s">
        <v>3059</v>
      </c>
      <c r="E756">
        <v>40</v>
      </c>
      <c r="F756" t="s">
        <v>7</v>
      </c>
      <c r="G756" t="s">
        <v>3070</v>
      </c>
    </row>
    <row r="757" spans="1:7" x14ac:dyDescent="0.25">
      <c r="A757">
        <v>51850</v>
      </c>
      <c r="B757" t="s">
        <v>1311</v>
      </c>
      <c r="C757">
        <v>47</v>
      </c>
      <c r="D757" t="s">
        <v>3059</v>
      </c>
      <c r="E757">
        <v>698</v>
      </c>
      <c r="F757" t="s">
        <v>7</v>
      </c>
      <c r="G757" t="s">
        <v>3070</v>
      </c>
    </row>
    <row r="758" spans="1:7" x14ac:dyDescent="0.25">
      <c r="A758">
        <v>51851</v>
      </c>
      <c r="B758" t="s">
        <v>1312</v>
      </c>
      <c r="C758">
        <v>47</v>
      </c>
      <c r="D758" t="s">
        <v>3059</v>
      </c>
      <c r="E758">
        <v>928</v>
      </c>
      <c r="F758" t="s">
        <v>7</v>
      </c>
      <c r="G758" t="s">
        <v>3070</v>
      </c>
    </row>
    <row r="759" spans="1:7" x14ac:dyDescent="0.25">
      <c r="A759">
        <v>51852</v>
      </c>
      <c r="B759" t="s">
        <v>1313</v>
      </c>
      <c r="C759">
        <v>47</v>
      </c>
      <c r="D759" t="s">
        <v>3059</v>
      </c>
      <c r="E759">
        <v>90</v>
      </c>
      <c r="F759" t="s">
        <v>7</v>
      </c>
      <c r="G759" t="s">
        <v>3070</v>
      </c>
    </row>
    <row r="760" spans="1:7" x14ac:dyDescent="0.25">
      <c r="A760">
        <v>51853</v>
      </c>
      <c r="B760" t="s">
        <v>1314</v>
      </c>
      <c r="C760">
        <v>47</v>
      </c>
      <c r="D760" t="s">
        <v>3059</v>
      </c>
      <c r="E760">
        <v>30</v>
      </c>
      <c r="F760" t="s">
        <v>7</v>
      </c>
      <c r="G760" t="s">
        <v>3070</v>
      </c>
    </row>
    <row r="761" spans="1:7" x14ac:dyDescent="0.25">
      <c r="A761">
        <v>51855</v>
      </c>
      <c r="B761" t="s">
        <v>1315</v>
      </c>
      <c r="C761">
        <v>47</v>
      </c>
      <c r="D761" t="s">
        <v>3059</v>
      </c>
      <c r="E761">
        <v>37</v>
      </c>
      <c r="F761" t="s">
        <v>7</v>
      </c>
      <c r="G761" t="s">
        <v>3058</v>
      </c>
    </row>
    <row r="762" spans="1:7" x14ac:dyDescent="0.25">
      <c r="A762">
        <v>51856</v>
      </c>
      <c r="B762" t="s">
        <v>1316</v>
      </c>
      <c r="C762">
        <v>47</v>
      </c>
      <c r="D762" t="s">
        <v>3059</v>
      </c>
      <c r="E762">
        <v>62</v>
      </c>
      <c r="F762" t="s">
        <v>7</v>
      </c>
      <c r="G762" t="s">
        <v>3058</v>
      </c>
    </row>
    <row r="763" spans="1:7" x14ac:dyDescent="0.25">
      <c r="A763">
        <v>51860</v>
      </c>
      <c r="B763" t="s">
        <v>1319</v>
      </c>
      <c r="C763">
        <v>47</v>
      </c>
      <c r="D763" t="s">
        <v>3059</v>
      </c>
      <c r="E763">
        <v>42</v>
      </c>
      <c r="F763" t="s">
        <v>7</v>
      </c>
      <c r="G763" t="s">
        <v>3058</v>
      </c>
    </row>
    <row r="764" spans="1:7" x14ac:dyDescent="0.25">
      <c r="A764">
        <v>51861</v>
      </c>
      <c r="B764" t="s">
        <v>1320</v>
      </c>
      <c r="C764">
        <v>47</v>
      </c>
      <c r="D764" t="s">
        <v>3059</v>
      </c>
      <c r="E764">
        <v>38</v>
      </c>
      <c r="F764" t="s">
        <v>7</v>
      </c>
      <c r="G764" t="s">
        <v>3058</v>
      </c>
    </row>
    <row r="765" spans="1:7" x14ac:dyDescent="0.25">
      <c r="A765">
        <v>51867</v>
      </c>
      <c r="B765" t="s">
        <v>1323</v>
      </c>
      <c r="C765">
        <v>47</v>
      </c>
      <c r="D765" t="s">
        <v>3059</v>
      </c>
      <c r="E765">
        <v>84</v>
      </c>
      <c r="F765" t="s">
        <v>7</v>
      </c>
      <c r="G765" t="s">
        <v>3058</v>
      </c>
    </row>
    <row r="766" spans="1:7" x14ac:dyDescent="0.25">
      <c r="A766">
        <v>51868</v>
      </c>
      <c r="B766" t="s">
        <v>1324</v>
      </c>
      <c r="C766">
        <v>47</v>
      </c>
      <c r="D766" t="s">
        <v>3059</v>
      </c>
      <c r="E766">
        <v>23</v>
      </c>
      <c r="F766" t="s">
        <v>7</v>
      </c>
      <c r="G766" t="s">
        <v>3058</v>
      </c>
    </row>
    <row r="767" spans="1:7" x14ac:dyDescent="0.25">
      <c r="A767">
        <v>51873</v>
      </c>
      <c r="B767" t="s">
        <v>1328</v>
      </c>
      <c r="C767">
        <v>47</v>
      </c>
      <c r="D767" t="s">
        <v>3059</v>
      </c>
      <c r="E767">
        <v>44</v>
      </c>
      <c r="F767" t="s">
        <v>7</v>
      </c>
      <c r="G767" t="s">
        <v>3058</v>
      </c>
    </row>
    <row r="768" spans="1:7" x14ac:dyDescent="0.25">
      <c r="A768">
        <v>51876</v>
      </c>
      <c r="B768" t="s">
        <v>1331</v>
      </c>
      <c r="C768">
        <v>47</v>
      </c>
      <c r="D768" t="s">
        <v>3059</v>
      </c>
      <c r="E768">
        <v>37</v>
      </c>
      <c r="F768" t="s">
        <v>7</v>
      </c>
      <c r="G768" t="s">
        <v>3058</v>
      </c>
    </row>
    <row r="769" spans="1:7" x14ac:dyDescent="0.25">
      <c r="A769">
        <v>51879</v>
      </c>
      <c r="B769" t="s">
        <v>1332</v>
      </c>
      <c r="C769">
        <v>47</v>
      </c>
      <c r="D769" t="s">
        <v>3059</v>
      </c>
      <c r="E769">
        <v>10</v>
      </c>
      <c r="F769" t="s">
        <v>7</v>
      </c>
      <c r="G769" t="s">
        <v>3058</v>
      </c>
    </row>
    <row r="770" spans="1:7" x14ac:dyDescent="0.25">
      <c r="A770">
        <v>51882</v>
      </c>
      <c r="B770" t="s">
        <v>1333</v>
      </c>
      <c r="C770">
        <v>47</v>
      </c>
      <c r="D770" t="s">
        <v>3059</v>
      </c>
      <c r="E770">
        <v>9</v>
      </c>
      <c r="F770" t="s">
        <v>7</v>
      </c>
      <c r="G770" t="s">
        <v>3058</v>
      </c>
    </row>
    <row r="771" spans="1:7" x14ac:dyDescent="0.25">
      <c r="A771">
        <v>51883</v>
      </c>
      <c r="B771" t="s">
        <v>1334</v>
      </c>
      <c r="C771">
        <v>47</v>
      </c>
      <c r="D771" t="s">
        <v>3059</v>
      </c>
      <c r="E771">
        <v>58</v>
      </c>
      <c r="F771" t="s">
        <v>7</v>
      </c>
      <c r="G771" t="s">
        <v>3058</v>
      </c>
    </row>
    <row r="772" spans="1:7" x14ac:dyDescent="0.25">
      <c r="A772">
        <v>51884</v>
      </c>
      <c r="B772" t="s">
        <v>1335</v>
      </c>
      <c r="C772">
        <v>47</v>
      </c>
      <c r="D772" t="s">
        <v>3059</v>
      </c>
      <c r="E772">
        <v>111</v>
      </c>
      <c r="F772" t="s">
        <v>7</v>
      </c>
      <c r="G772" t="s">
        <v>3058</v>
      </c>
    </row>
    <row r="773" spans="1:7" x14ac:dyDescent="0.25">
      <c r="A773">
        <v>51885</v>
      </c>
      <c r="B773" t="s">
        <v>1336</v>
      </c>
      <c r="C773">
        <v>47</v>
      </c>
      <c r="D773" t="s">
        <v>3059</v>
      </c>
      <c r="E773">
        <v>36</v>
      </c>
      <c r="F773" t="s">
        <v>7</v>
      </c>
      <c r="G773" t="s">
        <v>3058</v>
      </c>
    </row>
    <row r="774" spans="1:7" x14ac:dyDescent="0.25">
      <c r="A774">
        <v>51887</v>
      </c>
      <c r="B774" t="s">
        <v>1338</v>
      </c>
      <c r="C774">
        <v>47</v>
      </c>
      <c r="D774" t="s">
        <v>3059</v>
      </c>
      <c r="E774">
        <v>30</v>
      </c>
      <c r="F774" t="s">
        <v>7</v>
      </c>
      <c r="G774" t="s">
        <v>3058</v>
      </c>
    </row>
    <row r="775" spans="1:7" x14ac:dyDescent="0.25">
      <c r="A775">
        <v>51889</v>
      </c>
      <c r="B775" t="s">
        <v>1339</v>
      </c>
      <c r="C775">
        <v>47</v>
      </c>
      <c r="D775" t="s">
        <v>3059</v>
      </c>
      <c r="E775">
        <v>40</v>
      </c>
      <c r="F775" t="s">
        <v>7</v>
      </c>
      <c r="G775" t="s">
        <v>3058</v>
      </c>
    </row>
    <row r="776" spans="1:7" x14ac:dyDescent="0.25">
      <c r="A776">
        <v>51890</v>
      </c>
      <c r="B776" t="s">
        <v>1340</v>
      </c>
      <c r="C776">
        <v>47</v>
      </c>
      <c r="D776" t="s">
        <v>3059</v>
      </c>
      <c r="E776">
        <v>21</v>
      </c>
      <c r="F776" t="s">
        <v>7</v>
      </c>
      <c r="G776" t="s">
        <v>3058</v>
      </c>
    </row>
    <row r="777" spans="1:7" x14ac:dyDescent="0.25">
      <c r="A777">
        <v>51892</v>
      </c>
      <c r="B777" t="s">
        <v>1341</v>
      </c>
      <c r="C777">
        <v>47</v>
      </c>
      <c r="D777" t="s">
        <v>3059</v>
      </c>
      <c r="E777">
        <v>47</v>
      </c>
      <c r="F777" t="s">
        <v>7</v>
      </c>
      <c r="G777" t="s">
        <v>3058</v>
      </c>
    </row>
    <row r="778" spans="1:7" x14ac:dyDescent="0.25">
      <c r="A778">
        <v>51893</v>
      </c>
      <c r="B778" t="s">
        <v>1342</v>
      </c>
      <c r="C778">
        <v>47</v>
      </c>
      <c r="D778" t="s">
        <v>3059</v>
      </c>
      <c r="E778">
        <v>72</v>
      </c>
      <c r="F778" t="s">
        <v>7</v>
      </c>
      <c r="G778" t="s">
        <v>3058</v>
      </c>
    </row>
    <row r="779" spans="1:7" x14ac:dyDescent="0.25">
      <c r="A779">
        <v>51894</v>
      </c>
      <c r="B779" t="s">
        <v>1343</v>
      </c>
      <c r="C779">
        <v>47</v>
      </c>
      <c r="D779" t="s">
        <v>3059</v>
      </c>
      <c r="E779">
        <v>33</v>
      </c>
      <c r="F779" t="s">
        <v>7</v>
      </c>
      <c r="G779" t="s">
        <v>3058</v>
      </c>
    </row>
    <row r="780" spans="1:7" x14ac:dyDescent="0.25">
      <c r="A780">
        <v>51900</v>
      </c>
      <c r="B780" t="s">
        <v>1347</v>
      </c>
      <c r="C780">
        <v>47</v>
      </c>
      <c r="D780" t="s">
        <v>3059</v>
      </c>
      <c r="E780">
        <v>12</v>
      </c>
      <c r="F780" t="s">
        <v>7</v>
      </c>
      <c r="G780" t="s">
        <v>3058</v>
      </c>
    </row>
    <row r="781" spans="1:7" x14ac:dyDescent="0.25">
      <c r="A781">
        <v>51906</v>
      </c>
      <c r="B781" t="s">
        <v>1351</v>
      </c>
      <c r="C781">
        <v>47</v>
      </c>
      <c r="D781" t="s">
        <v>3059</v>
      </c>
      <c r="E781">
        <v>14</v>
      </c>
      <c r="F781" t="s">
        <v>7</v>
      </c>
      <c r="G781" t="s">
        <v>3058</v>
      </c>
    </row>
    <row r="782" spans="1:7" x14ac:dyDescent="0.25">
      <c r="A782">
        <v>51909</v>
      </c>
      <c r="B782" t="s">
        <v>1353</v>
      </c>
      <c r="C782">
        <v>47</v>
      </c>
      <c r="D782" t="s">
        <v>3059</v>
      </c>
      <c r="E782">
        <v>11</v>
      </c>
      <c r="F782" t="s">
        <v>7</v>
      </c>
      <c r="G782" t="s">
        <v>3058</v>
      </c>
    </row>
    <row r="783" spans="1:7" x14ac:dyDescent="0.25">
      <c r="A783">
        <v>51910</v>
      </c>
      <c r="B783" t="s">
        <v>1354</v>
      </c>
      <c r="C783">
        <v>47</v>
      </c>
      <c r="D783" t="s">
        <v>3059</v>
      </c>
      <c r="E783">
        <v>2</v>
      </c>
      <c r="F783" t="s">
        <v>7</v>
      </c>
      <c r="G783" t="s">
        <v>3058</v>
      </c>
    </row>
    <row r="784" spans="1:7" x14ac:dyDescent="0.25">
      <c r="A784">
        <v>51911</v>
      </c>
      <c r="B784" t="s">
        <v>1355</v>
      </c>
      <c r="C784">
        <v>47</v>
      </c>
      <c r="D784" t="s">
        <v>3059</v>
      </c>
      <c r="E784">
        <v>43</v>
      </c>
      <c r="F784" t="s">
        <v>7</v>
      </c>
      <c r="G784" t="s">
        <v>3058</v>
      </c>
    </row>
    <row r="785" spans="1:7" x14ac:dyDescent="0.25">
      <c r="A785">
        <v>51915</v>
      </c>
      <c r="B785" t="s">
        <v>1358</v>
      </c>
      <c r="C785">
        <v>47</v>
      </c>
      <c r="D785" t="s">
        <v>3059</v>
      </c>
      <c r="E785">
        <v>9</v>
      </c>
      <c r="F785" t="s">
        <v>7</v>
      </c>
      <c r="G785" t="s">
        <v>3058</v>
      </c>
    </row>
    <row r="786" spans="1:7" x14ac:dyDescent="0.25">
      <c r="A786">
        <v>51918</v>
      </c>
      <c r="B786" t="s">
        <v>1360</v>
      </c>
      <c r="C786">
        <v>47</v>
      </c>
      <c r="D786" t="s">
        <v>3059</v>
      </c>
      <c r="E786">
        <v>394</v>
      </c>
      <c r="F786" t="s">
        <v>7</v>
      </c>
      <c r="G786" t="s">
        <v>3058</v>
      </c>
    </row>
    <row r="787" spans="1:7" x14ac:dyDescent="0.25">
      <c r="A787">
        <v>51923</v>
      </c>
      <c r="B787" t="s">
        <v>1361</v>
      </c>
      <c r="C787">
        <v>47</v>
      </c>
      <c r="D787" t="s">
        <v>3059</v>
      </c>
      <c r="E787">
        <v>20</v>
      </c>
      <c r="F787" t="s">
        <v>7</v>
      </c>
      <c r="G787" t="s">
        <v>3058</v>
      </c>
    </row>
    <row r="788" spans="1:7" x14ac:dyDescent="0.25">
      <c r="A788">
        <v>51927</v>
      </c>
      <c r="B788" t="s">
        <v>1363</v>
      </c>
      <c r="C788">
        <v>47</v>
      </c>
      <c r="D788" t="s">
        <v>3059</v>
      </c>
      <c r="E788">
        <v>3</v>
      </c>
      <c r="F788" t="s">
        <v>7</v>
      </c>
      <c r="G788" t="s">
        <v>3058</v>
      </c>
    </row>
    <row r="789" spans="1:7" x14ac:dyDescent="0.25">
      <c r="A789">
        <v>51931</v>
      </c>
      <c r="B789" t="s">
        <v>1365</v>
      </c>
      <c r="C789">
        <v>47</v>
      </c>
      <c r="D789" t="s">
        <v>3059</v>
      </c>
      <c r="E789">
        <v>5</v>
      </c>
      <c r="F789" t="s">
        <v>7</v>
      </c>
      <c r="G789" t="s">
        <v>3062</v>
      </c>
    </row>
    <row r="790" spans="1:7" x14ac:dyDescent="0.25">
      <c r="A790">
        <v>51936</v>
      </c>
      <c r="B790" t="s">
        <v>1369</v>
      </c>
      <c r="C790">
        <v>47</v>
      </c>
      <c r="D790" t="s">
        <v>3059</v>
      </c>
      <c r="E790">
        <v>2190</v>
      </c>
      <c r="F790" t="s">
        <v>7</v>
      </c>
      <c r="G790" t="s">
        <v>3115</v>
      </c>
    </row>
    <row r="791" spans="1:7" x14ac:dyDescent="0.25">
      <c r="A791">
        <v>51937</v>
      </c>
      <c r="B791" t="s">
        <v>1370</v>
      </c>
      <c r="C791">
        <v>47</v>
      </c>
      <c r="D791" t="s">
        <v>3059</v>
      </c>
      <c r="E791">
        <v>7</v>
      </c>
      <c r="F791" t="s">
        <v>7</v>
      </c>
      <c r="G791" t="s">
        <v>3070</v>
      </c>
    </row>
    <row r="792" spans="1:7" x14ac:dyDescent="0.25">
      <c r="A792">
        <v>51938</v>
      </c>
      <c r="B792" t="s">
        <v>1371</v>
      </c>
      <c r="C792">
        <v>47</v>
      </c>
      <c r="D792" t="s">
        <v>3059</v>
      </c>
      <c r="E792">
        <v>3</v>
      </c>
      <c r="F792" t="s">
        <v>7</v>
      </c>
      <c r="G792" t="s">
        <v>3070</v>
      </c>
    </row>
    <row r="793" spans="1:7" x14ac:dyDescent="0.25">
      <c r="A793">
        <v>51940</v>
      </c>
      <c r="B793" t="s">
        <v>1373</v>
      </c>
      <c r="C793">
        <v>47</v>
      </c>
      <c r="D793" t="s">
        <v>3059</v>
      </c>
      <c r="E793">
        <v>4</v>
      </c>
      <c r="F793" t="s">
        <v>7</v>
      </c>
      <c r="G793" t="s">
        <v>3070</v>
      </c>
    </row>
    <row r="794" spans="1:7" x14ac:dyDescent="0.25">
      <c r="A794">
        <v>51941</v>
      </c>
      <c r="B794" t="s">
        <v>1374</v>
      </c>
      <c r="C794">
        <v>47</v>
      </c>
      <c r="D794" t="s">
        <v>3059</v>
      </c>
      <c r="E794">
        <v>6</v>
      </c>
      <c r="F794" t="s">
        <v>7</v>
      </c>
      <c r="G794" t="s">
        <v>3070</v>
      </c>
    </row>
    <row r="795" spans="1:7" x14ac:dyDescent="0.25">
      <c r="A795">
        <v>51942</v>
      </c>
      <c r="B795" t="s">
        <v>1375</v>
      </c>
      <c r="C795">
        <v>47</v>
      </c>
      <c r="D795" t="s">
        <v>3059</v>
      </c>
      <c r="E795">
        <v>117</v>
      </c>
      <c r="F795" t="s">
        <v>7</v>
      </c>
      <c r="G795" t="s">
        <v>3071</v>
      </c>
    </row>
    <row r="796" spans="1:7" x14ac:dyDescent="0.25">
      <c r="A796">
        <v>51946</v>
      </c>
      <c r="B796" t="s">
        <v>3053</v>
      </c>
      <c r="C796">
        <v>47</v>
      </c>
      <c r="D796" t="s">
        <v>3059</v>
      </c>
      <c r="E796">
        <v>3</v>
      </c>
      <c r="F796" t="s">
        <v>7</v>
      </c>
      <c r="G796" t="s">
        <v>3083</v>
      </c>
    </row>
    <row r="797" spans="1:7" x14ac:dyDescent="0.25">
      <c r="A797">
        <v>51952</v>
      </c>
      <c r="B797" t="s">
        <v>1377</v>
      </c>
      <c r="C797">
        <v>47</v>
      </c>
      <c r="D797" t="s">
        <v>3059</v>
      </c>
      <c r="E797">
        <v>696</v>
      </c>
      <c r="F797" t="s">
        <v>7</v>
      </c>
      <c r="G797" t="s">
        <v>3101</v>
      </c>
    </row>
    <row r="798" spans="1:7" x14ac:dyDescent="0.25">
      <c r="A798">
        <v>51953</v>
      </c>
      <c r="B798" t="s">
        <v>1378</v>
      </c>
      <c r="C798">
        <v>47</v>
      </c>
      <c r="D798" t="s">
        <v>3059</v>
      </c>
      <c r="E798">
        <v>10</v>
      </c>
      <c r="F798" t="s">
        <v>7</v>
      </c>
      <c r="G798" t="s">
        <v>3101</v>
      </c>
    </row>
    <row r="799" spans="1:7" x14ac:dyDescent="0.25">
      <c r="A799">
        <v>51956</v>
      </c>
      <c r="B799" t="s">
        <v>1381</v>
      </c>
      <c r="C799">
        <v>47</v>
      </c>
      <c r="D799" t="s">
        <v>3059</v>
      </c>
      <c r="E799">
        <v>31</v>
      </c>
      <c r="F799" t="s">
        <v>7</v>
      </c>
      <c r="G799" t="s">
        <v>3101</v>
      </c>
    </row>
    <row r="800" spans="1:7" x14ac:dyDescent="0.25">
      <c r="A800">
        <v>51958</v>
      </c>
      <c r="B800" t="s">
        <v>1383</v>
      </c>
      <c r="C800">
        <v>47</v>
      </c>
      <c r="D800" t="s">
        <v>3059</v>
      </c>
      <c r="E800">
        <v>52</v>
      </c>
      <c r="F800" t="s">
        <v>7</v>
      </c>
      <c r="G800" t="s">
        <v>3101</v>
      </c>
    </row>
    <row r="801" spans="1:7" x14ac:dyDescent="0.25">
      <c r="A801">
        <v>51959</v>
      </c>
      <c r="B801" t="s">
        <v>1384</v>
      </c>
      <c r="C801">
        <v>47</v>
      </c>
      <c r="D801" t="s">
        <v>3059</v>
      </c>
      <c r="E801">
        <v>7</v>
      </c>
      <c r="F801" t="s">
        <v>7</v>
      </c>
      <c r="G801" t="s">
        <v>3062</v>
      </c>
    </row>
    <row r="802" spans="1:7" x14ac:dyDescent="0.25">
      <c r="A802">
        <v>51960</v>
      </c>
      <c r="B802" t="s">
        <v>3130</v>
      </c>
      <c r="C802">
        <v>47</v>
      </c>
      <c r="D802" t="s">
        <v>3059</v>
      </c>
      <c r="E802">
        <v>3</v>
      </c>
      <c r="F802" t="s">
        <v>7</v>
      </c>
      <c r="G802" t="s">
        <v>3070</v>
      </c>
    </row>
    <row r="803" spans="1:7" x14ac:dyDescent="0.25">
      <c r="A803">
        <v>51962</v>
      </c>
      <c r="B803" t="s">
        <v>1386</v>
      </c>
      <c r="C803">
        <v>47</v>
      </c>
      <c r="D803" t="s">
        <v>3059</v>
      </c>
      <c r="E803">
        <v>21</v>
      </c>
      <c r="F803" t="s">
        <v>7</v>
      </c>
      <c r="G803" t="s">
        <v>3070</v>
      </c>
    </row>
    <row r="804" spans="1:7" x14ac:dyDescent="0.25">
      <c r="A804">
        <v>51963</v>
      </c>
      <c r="B804" t="s">
        <v>1387</v>
      </c>
      <c r="C804">
        <v>47</v>
      </c>
      <c r="D804" t="s">
        <v>3059</v>
      </c>
      <c r="E804">
        <v>1</v>
      </c>
      <c r="F804" t="s">
        <v>7</v>
      </c>
      <c r="G804" t="s">
        <v>3070</v>
      </c>
    </row>
    <row r="805" spans="1:7" x14ac:dyDescent="0.25">
      <c r="A805">
        <v>51966</v>
      </c>
      <c r="B805" t="s">
        <v>1390</v>
      </c>
      <c r="C805">
        <v>47</v>
      </c>
      <c r="D805" t="s">
        <v>3059</v>
      </c>
      <c r="E805">
        <v>40</v>
      </c>
      <c r="F805" t="s">
        <v>7</v>
      </c>
      <c r="G805" t="s">
        <v>3070</v>
      </c>
    </row>
    <row r="806" spans="1:7" x14ac:dyDescent="0.25">
      <c r="A806">
        <v>51967</v>
      </c>
      <c r="B806" t="s">
        <v>1391</v>
      </c>
      <c r="C806">
        <v>47</v>
      </c>
      <c r="D806" t="s">
        <v>3059</v>
      </c>
      <c r="E806">
        <v>3</v>
      </c>
      <c r="F806" t="s">
        <v>7</v>
      </c>
      <c r="G806" t="s">
        <v>3070</v>
      </c>
    </row>
    <row r="807" spans="1:7" x14ac:dyDescent="0.25">
      <c r="A807">
        <v>51969</v>
      </c>
      <c r="B807" t="s">
        <v>1393</v>
      </c>
      <c r="C807">
        <v>47</v>
      </c>
      <c r="D807" t="s">
        <v>3059</v>
      </c>
      <c r="E807">
        <v>3</v>
      </c>
      <c r="F807" t="s">
        <v>7</v>
      </c>
      <c r="G807" t="s">
        <v>3070</v>
      </c>
    </row>
    <row r="808" spans="1:7" x14ac:dyDescent="0.25">
      <c r="A808">
        <v>51970</v>
      </c>
      <c r="B808" t="s">
        <v>1394</v>
      </c>
      <c r="C808">
        <v>47</v>
      </c>
      <c r="D808" t="s">
        <v>3059</v>
      </c>
      <c r="E808">
        <v>3</v>
      </c>
      <c r="F808" t="s">
        <v>7</v>
      </c>
      <c r="G808" t="s">
        <v>3070</v>
      </c>
    </row>
    <row r="809" spans="1:7" x14ac:dyDescent="0.25">
      <c r="A809">
        <v>51972</v>
      </c>
      <c r="B809" t="s">
        <v>1395</v>
      </c>
      <c r="C809">
        <v>47</v>
      </c>
      <c r="D809" t="s">
        <v>3059</v>
      </c>
      <c r="E809">
        <v>8</v>
      </c>
      <c r="F809" t="s">
        <v>7</v>
      </c>
      <c r="G809" t="s">
        <v>3070</v>
      </c>
    </row>
    <row r="810" spans="1:7" x14ac:dyDescent="0.25">
      <c r="A810">
        <v>51974</v>
      </c>
      <c r="B810" t="s">
        <v>1396</v>
      </c>
      <c r="C810">
        <v>47</v>
      </c>
      <c r="D810" t="s">
        <v>3059</v>
      </c>
      <c r="E810">
        <v>3</v>
      </c>
      <c r="F810" t="s">
        <v>7</v>
      </c>
      <c r="G810" t="s">
        <v>3070</v>
      </c>
    </row>
    <row r="811" spans="1:7" x14ac:dyDescent="0.25">
      <c r="A811">
        <v>51975</v>
      </c>
      <c r="B811" t="s">
        <v>1397</v>
      </c>
      <c r="C811">
        <v>47</v>
      </c>
      <c r="D811" t="s">
        <v>3059</v>
      </c>
      <c r="E811">
        <v>3</v>
      </c>
      <c r="F811" t="s">
        <v>7</v>
      </c>
      <c r="G811" t="s">
        <v>3070</v>
      </c>
    </row>
    <row r="812" spans="1:7" x14ac:dyDescent="0.25">
      <c r="A812">
        <v>51976</v>
      </c>
      <c r="B812" t="s">
        <v>1398</v>
      </c>
      <c r="C812">
        <v>47</v>
      </c>
      <c r="D812" t="s">
        <v>3059</v>
      </c>
      <c r="E812">
        <v>10</v>
      </c>
      <c r="F812" t="s">
        <v>7</v>
      </c>
      <c r="G812" t="s">
        <v>3070</v>
      </c>
    </row>
    <row r="813" spans="1:7" x14ac:dyDescent="0.25">
      <c r="A813">
        <v>51979</v>
      </c>
      <c r="B813" t="s">
        <v>1401</v>
      </c>
      <c r="C813">
        <v>47</v>
      </c>
      <c r="D813" t="s">
        <v>3059</v>
      </c>
      <c r="E813">
        <v>2</v>
      </c>
      <c r="F813" t="s">
        <v>7</v>
      </c>
      <c r="G813" t="s">
        <v>3070</v>
      </c>
    </row>
    <row r="814" spans="1:7" x14ac:dyDescent="0.25">
      <c r="A814">
        <v>51982</v>
      </c>
      <c r="B814" t="s">
        <v>1404</v>
      </c>
      <c r="C814">
        <v>47</v>
      </c>
      <c r="D814" t="s">
        <v>3059</v>
      </c>
      <c r="E814">
        <v>3</v>
      </c>
      <c r="F814" t="s">
        <v>7</v>
      </c>
      <c r="G814" t="s">
        <v>3070</v>
      </c>
    </row>
    <row r="815" spans="1:7" x14ac:dyDescent="0.25">
      <c r="A815">
        <v>51983</v>
      </c>
      <c r="B815" t="s">
        <v>1405</v>
      </c>
      <c r="C815">
        <v>47</v>
      </c>
      <c r="D815" t="s">
        <v>3059</v>
      </c>
      <c r="E815">
        <v>130</v>
      </c>
      <c r="F815" t="s">
        <v>7</v>
      </c>
      <c r="G815" t="s">
        <v>3070</v>
      </c>
    </row>
    <row r="816" spans="1:7" x14ac:dyDescent="0.25">
      <c r="A816">
        <v>51987</v>
      </c>
      <c r="B816" t="s">
        <v>1408</v>
      </c>
      <c r="C816">
        <v>47</v>
      </c>
      <c r="D816" t="s">
        <v>3059</v>
      </c>
      <c r="E816">
        <v>35</v>
      </c>
      <c r="F816" t="s">
        <v>7</v>
      </c>
      <c r="G816" t="s">
        <v>3070</v>
      </c>
    </row>
    <row r="817" spans="1:7" x14ac:dyDescent="0.25">
      <c r="A817">
        <v>51992</v>
      </c>
      <c r="B817" t="s">
        <v>1411</v>
      </c>
      <c r="C817">
        <v>47</v>
      </c>
      <c r="D817" t="s">
        <v>3059</v>
      </c>
      <c r="E817">
        <v>3</v>
      </c>
      <c r="F817" t="s">
        <v>7</v>
      </c>
      <c r="G817" t="s">
        <v>3070</v>
      </c>
    </row>
    <row r="818" spans="1:7" x14ac:dyDescent="0.25">
      <c r="A818">
        <v>51994</v>
      </c>
      <c r="B818" t="s">
        <v>1413</v>
      </c>
      <c r="C818">
        <v>47</v>
      </c>
      <c r="D818" t="s">
        <v>3059</v>
      </c>
      <c r="E818">
        <v>3</v>
      </c>
      <c r="F818" t="s">
        <v>7</v>
      </c>
      <c r="G818" t="s">
        <v>3070</v>
      </c>
    </row>
    <row r="819" spans="1:7" x14ac:dyDescent="0.25">
      <c r="A819">
        <v>51995</v>
      </c>
      <c r="B819" t="s">
        <v>17525</v>
      </c>
      <c r="C819">
        <v>47</v>
      </c>
      <c r="D819" t="s">
        <v>3059</v>
      </c>
      <c r="E819">
        <v>76</v>
      </c>
      <c r="F819" t="s">
        <v>7</v>
      </c>
      <c r="G819" t="s">
        <v>3070</v>
      </c>
    </row>
    <row r="820" spans="1:7" x14ac:dyDescent="0.25">
      <c r="A820">
        <v>51999</v>
      </c>
      <c r="B820" t="s">
        <v>1417</v>
      </c>
      <c r="C820">
        <v>47</v>
      </c>
      <c r="D820" t="s">
        <v>3059</v>
      </c>
      <c r="E820">
        <v>11</v>
      </c>
      <c r="F820" t="s">
        <v>7</v>
      </c>
      <c r="G820" t="s">
        <v>3070</v>
      </c>
    </row>
    <row r="821" spans="1:7" x14ac:dyDescent="0.25">
      <c r="A821">
        <v>52001</v>
      </c>
      <c r="B821" t="s">
        <v>1419</v>
      </c>
      <c r="C821">
        <v>47</v>
      </c>
      <c r="D821" t="s">
        <v>3059</v>
      </c>
      <c r="E821">
        <v>3</v>
      </c>
      <c r="F821" t="s">
        <v>7</v>
      </c>
      <c r="G821" t="s">
        <v>3070</v>
      </c>
    </row>
    <row r="822" spans="1:7" x14ac:dyDescent="0.25">
      <c r="A822">
        <v>52002</v>
      </c>
      <c r="B822" t="s">
        <v>1420</v>
      </c>
      <c r="C822">
        <v>47</v>
      </c>
      <c r="D822" t="s">
        <v>3059</v>
      </c>
      <c r="E822">
        <v>3</v>
      </c>
      <c r="F822" t="s">
        <v>7</v>
      </c>
      <c r="G822" t="s">
        <v>3070</v>
      </c>
    </row>
    <row r="823" spans="1:7" x14ac:dyDescent="0.25">
      <c r="A823">
        <v>52005</v>
      </c>
      <c r="B823" t="s">
        <v>1423</v>
      </c>
      <c r="C823">
        <v>47</v>
      </c>
      <c r="D823" t="s">
        <v>3059</v>
      </c>
      <c r="E823">
        <v>3</v>
      </c>
      <c r="F823" t="s">
        <v>7</v>
      </c>
      <c r="G823" t="s">
        <v>3070</v>
      </c>
    </row>
    <row r="824" spans="1:7" x14ac:dyDescent="0.25">
      <c r="A824">
        <v>52008</v>
      </c>
      <c r="B824" t="s">
        <v>1426</v>
      </c>
      <c r="C824">
        <v>47</v>
      </c>
      <c r="D824" t="s">
        <v>3059</v>
      </c>
      <c r="E824">
        <v>3</v>
      </c>
      <c r="F824" t="s">
        <v>7</v>
      </c>
      <c r="G824" t="s">
        <v>3070</v>
      </c>
    </row>
    <row r="825" spans="1:7" x14ac:dyDescent="0.25">
      <c r="A825">
        <v>52009</v>
      </c>
      <c r="B825" t="s">
        <v>1427</v>
      </c>
      <c r="C825">
        <v>47</v>
      </c>
      <c r="D825" t="s">
        <v>3059</v>
      </c>
      <c r="E825">
        <v>3</v>
      </c>
      <c r="F825" t="s">
        <v>7</v>
      </c>
      <c r="G825" t="s">
        <v>3070</v>
      </c>
    </row>
    <row r="826" spans="1:7" x14ac:dyDescent="0.25">
      <c r="A826">
        <v>5201</v>
      </c>
      <c r="B826" t="s">
        <v>1428</v>
      </c>
      <c r="C826">
        <v>47</v>
      </c>
      <c r="D826" t="s">
        <v>3059</v>
      </c>
      <c r="E826">
        <v>231</v>
      </c>
      <c r="F826" t="s">
        <v>7</v>
      </c>
      <c r="G826" t="s">
        <v>3103</v>
      </c>
    </row>
    <row r="827" spans="1:7" x14ac:dyDescent="0.25">
      <c r="A827">
        <v>52010</v>
      </c>
      <c r="B827" t="s">
        <v>1429</v>
      </c>
      <c r="C827">
        <v>47</v>
      </c>
      <c r="D827" t="s">
        <v>3059</v>
      </c>
      <c r="E827">
        <v>3</v>
      </c>
      <c r="F827" t="s">
        <v>7</v>
      </c>
      <c r="G827" t="s">
        <v>3070</v>
      </c>
    </row>
    <row r="828" spans="1:7" x14ac:dyDescent="0.25">
      <c r="A828">
        <v>52015</v>
      </c>
      <c r="B828" t="s">
        <v>1433</v>
      </c>
      <c r="C828">
        <v>47</v>
      </c>
      <c r="D828" t="s">
        <v>3059</v>
      </c>
      <c r="E828">
        <v>27</v>
      </c>
      <c r="F828" t="s">
        <v>7</v>
      </c>
      <c r="G828" t="s">
        <v>3110</v>
      </c>
    </row>
    <row r="829" spans="1:7" x14ac:dyDescent="0.25">
      <c r="A829">
        <v>52017</v>
      </c>
      <c r="B829" t="s">
        <v>1435</v>
      </c>
      <c r="C829">
        <v>47</v>
      </c>
      <c r="D829" t="s">
        <v>3059</v>
      </c>
      <c r="E829">
        <v>351</v>
      </c>
      <c r="F829" t="s">
        <v>7</v>
      </c>
      <c r="G829" t="s">
        <v>3110</v>
      </c>
    </row>
    <row r="830" spans="1:7" x14ac:dyDescent="0.25">
      <c r="A830">
        <v>52018</v>
      </c>
      <c r="B830" t="s">
        <v>1436</v>
      </c>
      <c r="C830">
        <v>47</v>
      </c>
      <c r="D830" t="s">
        <v>3059</v>
      </c>
      <c r="E830">
        <v>124</v>
      </c>
      <c r="F830" t="s">
        <v>7</v>
      </c>
      <c r="G830" t="s">
        <v>3110</v>
      </c>
    </row>
    <row r="831" spans="1:7" x14ac:dyDescent="0.25">
      <c r="A831">
        <v>5202</v>
      </c>
      <c r="B831" t="s">
        <v>1437</v>
      </c>
      <c r="C831">
        <v>47</v>
      </c>
      <c r="D831" t="s">
        <v>3059</v>
      </c>
      <c r="E831">
        <v>141</v>
      </c>
      <c r="F831" t="s">
        <v>7</v>
      </c>
      <c r="G831" t="s">
        <v>3103</v>
      </c>
    </row>
    <row r="832" spans="1:7" x14ac:dyDescent="0.25">
      <c r="A832">
        <v>5203</v>
      </c>
      <c r="B832" t="s">
        <v>1448</v>
      </c>
      <c r="C832">
        <v>47</v>
      </c>
      <c r="D832" t="s">
        <v>3059</v>
      </c>
      <c r="E832">
        <v>157</v>
      </c>
      <c r="F832" t="s">
        <v>7</v>
      </c>
      <c r="G832" t="s">
        <v>3103</v>
      </c>
    </row>
    <row r="833" spans="1:7" x14ac:dyDescent="0.25">
      <c r="A833">
        <v>52038</v>
      </c>
      <c r="B833" t="s">
        <v>16884</v>
      </c>
      <c r="C833">
        <v>47</v>
      </c>
      <c r="D833" t="s">
        <v>3059</v>
      </c>
      <c r="E833">
        <v>13</v>
      </c>
      <c r="F833" t="s">
        <v>7</v>
      </c>
      <c r="G833" t="s">
        <v>3087</v>
      </c>
    </row>
    <row r="834" spans="1:7" x14ac:dyDescent="0.25">
      <c r="A834">
        <v>52042</v>
      </c>
      <c r="B834" t="s">
        <v>1456</v>
      </c>
      <c r="C834">
        <v>47</v>
      </c>
      <c r="D834" t="s">
        <v>3059</v>
      </c>
      <c r="E834">
        <v>4</v>
      </c>
      <c r="F834" t="s">
        <v>7</v>
      </c>
      <c r="G834" t="s">
        <v>3087</v>
      </c>
    </row>
    <row r="835" spans="1:7" x14ac:dyDescent="0.25">
      <c r="A835">
        <v>52048</v>
      </c>
      <c r="B835" t="s">
        <v>1462</v>
      </c>
      <c r="C835">
        <v>47</v>
      </c>
      <c r="D835" t="s">
        <v>3059</v>
      </c>
      <c r="E835">
        <v>6</v>
      </c>
      <c r="F835" t="s">
        <v>7</v>
      </c>
      <c r="G835" t="s">
        <v>3087</v>
      </c>
    </row>
    <row r="836" spans="1:7" x14ac:dyDescent="0.25">
      <c r="A836">
        <v>52050</v>
      </c>
      <c r="B836" t="s">
        <v>1464</v>
      </c>
      <c r="C836">
        <v>47</v>
      </c>
      <c r="D836" t="s">
        <v>3059</v>
      </c>
      <c r="E836">
        <v>3</v>
      </c>
      <c r="F836" t="s">
        <v>7</v>
      </c>
      <c r="G836" t="s">
        <v>3087</v>
      </c>
    </row>
    <row r="837" spans="1:7" x14ac:dyDescent="0.25">
      <c r="A837">
        <v>52052</v>
      </c>
      <c r="B837" t="s">
        <v>17492</v>
      </c>
      <c r="C837">
        <v>47</v>
      </c>
      <c r="D837" t="s">
        <v>3059</v>
      </c>
      <c r="E837">
        <v>3</v>
      </c>
      <c r="F837" t="s">
        <v>7</v>
      </c>
      <c r="G837" t="s">
        <v>3087</v>
      </c>
    </row>
    <row r="838" spans="1:7" x14ac:dyDescent="0.25">
      <c r="A838">
        <v>52056</v>
      </c>
      <c r="B838" t="s">
        <v>1470</v>
      </c>
      <c r="C838">
        <v>47</v>
      </c>
      <c r="D838" t="s">
        <v>3059</v>
      </c>
      <c r="E838">
        <v>6</v>
      </c>
      <c r="F838" t="s">
        <v>7</v>
      </c>
      <c r="G838" t="s">
        <v>3064</v>
      </c>
    </row>
    <row r="839" spans="1:7" x14ac:dyDescent="0.25">
      <c r="A839">
        <v>52057</v>
      </c>
      <c r="B839" t="s">
        <v>1471</v>
      </c>
      <c r="C839">
        <v>47</v>
      </c>
      <c r="D839" t="s">
        <v>3059</v>
      </c>
      <c r="E839">
        <v>5</v>
      </c>
      <c r="F839" t="s">
        <v>7</v>
      </c>
      <c r="G839" t="s">
        <v>3064</v>
      </c>
    </row>
    <row r="840" spans="1:7" x14ac:dyDescent="0.25">
      <c r="A840">
        <v>52061</v>
      </c>
      <c r="B840" t="s">
        <v>1475</v>
      </c>
      <c r="C840">
        <v>47</v>
      </c>
      <c r="D840" t="s">
        <v>3059</v>
      </c>
      <c r="E840">
        <v>1</v>
      </c>
      <c r="F840" t="s">
        <v>7</v>
      </c>
      <c r="G840" t="s">
        <v>3083</v>
      </c>
    </row>
    <row r="841" spans="1:7" x14ac:dyDescent="0.25">
      <c r="A841">
        <v>52064</v>
      </c>
      <c r="B841" t="s">
        <v>1477</v>
      </c>
      <c r="C841">
        <v>47</v>
      </c>
      <c r="D841" t="s">
        <v>3059</v>
      </c>
      <c r="E841">
        <v>7</v>
      </c>
      <c r="F841" t="s">
        <v>7</v>
      </c>
      <c r="G841" t="s">
        <v>3083</v>
      </c>
    </row>
    <row r="842" spans="1:7" x14ac:dyDescent="0.25">
      <c r="A842">
        <v>5207</v>
      </c>
      <c r="B842" t="s">
        <v>1480</v>
      </c>
      <c r="C842">
        <v>47</v>
      </c>
      <c r="D842" t="s">
        <v>3059</v>
      </c>
      <c r="E842">
        <v>9</v>
      </c>
      <c r="F842" t="s">
        <v>7</v>
      </c>
      <c r="G842" t="s">
        <v>3103</v>
      </c>
    </row>
    <row r="843" spans="1:7" x14ac:dyDescent="0.25">
      <c r="A843">
        <v>52073</v>
      </c>
      <c r="B843" t="s">
        <v>1484</v>
      </c>
      <c r="C843">
        <v>47</v>
      </c>
      <c r="D843" t="s">
        <v>3059</v>
      </c>
      <c r="E843">
        <v>10</v>
      </c>
      <c r="F843" t="s">
        <v>7</v>
      </c>
      <c r="G843" t="s">
        <v>3071</v>
      </c>
    </row>
    <row r="844" spans="1:7" x14ac:dyDescent="0.25">
      <c r="A844">
        <v>52074</v>
      </c>
      <c r="B844" t="s">
        <v>1485</v>
      </c>
      <c r="C844">
        <v>47</v>
      </c>
      <c r="D844" t="s">
        <v>3059</v>
      </c>
      <c r="E844">
        <v>9</v>
      </c>
      <c r="F844" t="s">
        <v>7</v>
      </c>
      <c r="G844" t="s">
        <v>3071</v>
      </c>
    </row>
    <row r="845" spans="1:7" x14ac:dyDescent="0.25">
      <c r="A845">
        <v>52075</v>
      </c>
      <c r="B845" t="s">
        <v>1486</v>
      </c>
      <c r="C845">
        <v>47</v>
      </c>
      <c r="D845" t="s">
        <v>3059</v>
      </c>
      <c r="E845">
        <v>10</v>
      </c>
      <c r="F845" t="s">
        <v>7</v>
      </c>
      <c r="G845" t="s">
        <v>3071</v>
      </c>
    </row>
    <row r="846" spans="1:7" x14ac:dyDescent="0.25">
      <c r="A846">
        <v>5208</v>
      </c>
      <c r="B846" t="s">
        <v>1491</v>
      </c>
      <c r="C846">
        <v>47</v>
      </c>
      <c r="D846" t="s">
        <v>3059</v>
      </c>
      <c r="E846">
        <v>12</v>
      </c>
      <c r="F846" t="s">
        <v>7</v>
      </c>
      <c r="G846" t="s">
        <v>3103</v>
      </c>
    </row>
    <row r="847" spans="1:7" x14ac:dyDescent="0.25">
      <c r="A847">
        <v>52080</v>
      </c>
      <c r="B847" t="s">
        <v>1492</v>
      </c>
      <c r="C847">
        <v>47</v>
      </c>
      <c r="D847" t="s">
        <v>3059</v>
      </c>
      <c r="E847">
        <v>18</v>
      </c>
      <c r="F847" t="s">
        <v>7</v>
      </c>
      <c r="G847" t="s">
        <v>3071</v>
      </c>
    </row>
    <row r="848" spans="1:7" x14ac:dyDescent="0.25">
      <c r="A848">
        <v>52083</v>
      </c>
      <c r="B848" t="s">
        <v>1495</v>
      </c>
      <c r="C848">
        <v>47</v>
      </c>
      <c r="D848" t="s">
        <v>3059</v>
      </c>
      <c r="E848">
        <v>601</v>
      </c>
      <c r="F848" t="s">
        <v>7</v>
      </c>
      <c r="G848" t="s">
        <v>3101</v>
      </c>
    </row>
    <row r="849" spans="1:7" x14ac:dyDescent="0.25">
      <c r="A849">
        <v>52089</v>
      </c>
      <c r="B849" t="s">
        <v>1501</v>
      </c>
      <c r="C849">
        <v>47</v>
      </c>
      <c r="D849" t="s">
        <v>3059</v>
      </c>
      <c r="E849">
        <v>10</v>
      </c>
      <c r="F849" t="s">
        <v>7</v>
      </c>
      <c r="G849" t="s">
        <v>3070</v>
      </c>
    </row>
    <row r="850" spans="1:7" x14ac:dyDescent="0.25">
      <c r="A850">
        <v>52090</v>
      </c>
      <c r="B850" t="s">
        <v>1502</v>
      </c>
      <c r="C850">
        <v>47</v>
      </c>
      <c r="D850" t="s">
        <v>3059</v>
      </c>
      <c r="E850">
        <v>7</v>
      </c>
      <c r="F850" t="s">
        <v>7</v>
      </c>
      <c r="G850" t="s">
        <v>3070</v>
      </c>
    </row>
    <row r="851" spans="1:7" x14ac:dyDescent="0.25">
      <c r="A851">
        <v>52091</v>
      </c>
      <c r="B851" t="s">
        <v>1503</v>
      </c>
      <c r="C851">
        <v>47</v>
      </c>
      <c r="D851" t="s">
        <v>3059</v>
      </c>
      <c r="E851">
        <v>53</v>
      </c>
      <c r="F851" t="s">
        <v>7</v>
      </c>
      <c r="G851" t="s">
        <v>3071</v>
      </c>
    </row>
    <row r="852" spans="1:7" x14ac:dyDescent="0.25">
      <c r="A852">
        <v>52092</v>
      </c>
      <c r="B852" t="s">
        <v>1504</v>
      </c>
      <c r="C852">
        <v>47</v>
      </c>
      <c r="D852" t="s">
        <v>3059</v>
      </c>
      <c r="E852">
        <v>40</v>
      </c>
      <c r="F852" t="s">
        <v>7</v>
      </c>
      <c r="G852" t="s">
        <v>3071</v>
      </c>
    </row>
    <row r="853" spans="1:7" x14ac:dyDescent="0.25">
      <c r="A853">
        <v>52093</v>
      </c>
      <c r="B853" t="s">
        <v>1505</v>
      </c>
      <c r="C853">
        <v>47</v>
      </c>
      <c r="D853" t="s">
        <v>3059</v>
      </c>
      <c r="E853">
        <v>13</v>
      </c>
      <c r="F853" t="s">
        <v>7</v>
      </c>
      <c r="G853" t="s">
        <v>3071</v>
      </c>
    </row>
    <row r="854" spans="1:7" x14ac:dyDescent="0.25">
      <c r="A854">
        <v>52094</v>
      </c>
      <c r="B854" t="s">
        <v>1506</v>
      </c>
      <c r="C854">
        <v>47</v>
      </c>
      <c r="D854" t="s">
        <v>3059</v>
      </c>
      <c r="E854">
        <v>10</v>
      </c>
      <c r="F854" t="s">
        <v>7</v>
      </c>
      <c r="G854" t="s">
        <v>3071</v>
      </c>
    </row>
    <row r="855" spans="1:7" x14ac:dyDescent="0.25">
      <c r="A855">
        <v>52099</v>
      </c>
      <c r="B855" t="s">
        <v>1511</v>
      </c>
      <c r="C855">
        <v>47</v>
      </c>
      <c r="D855" t="s">
        <v>3059</v>
      </c>
      <c r="E855">
        <v>10</v>
      </c>
      <c r="F855" t="s">
        <v>7</v>
      </c>
      <c r="G855" t="s">
        <v>3070</v>
      </c>
    </row>
    <row r="856" spans="1:7" x14ac:dyDescent="0.25">
      <c r="A856">
        <v>5210</v>
      </c>
      <c r="B856" t="s">
        <v>1512</v>
      </c>
      <c r="C856">
        <v>47</v>
      </c>
      <c r="D856" t="s">
        <v>3059</v>
      </c>
      <c r="E856">
        <v>12</v>
      </c>
      <c r="F856" t="s">
        <v>7</v>
      </c>
      <c r="G856" t="s">
        <v>3103</v>
      </c>
    </row>
    <row r="857" spans="1:7" x14ac:dyDescent="0.25">
      <c r="A857">
        <v>52100</v>
      </c>
      <c r="B857" t="s">
        <v>1513</v>
      </c>
      <c r="C857">
        <v>47</v>
      </c>
      <c r="D857" t="s">
        <v>3059</v>
      </c>
      <c r="E857">
        <v>14</v>
      </c>
      <c r="F857" t="s">
        <v>7</v>
      </c>
      <c r="G857" t="s">
        <v>3070</v>
      </c>
    </row>
    <row r="858" spans="1:7" x14ac:dyDescent="0.25">
      <c r="A858">
        <v>5211</v>
      </c>
      <c r="B858" t="s">
        <v>1523</v>
      </c>
      <c r="C858">
        <v>47</v>
      </c>
      <c r="D858" t="s">
        <v>3059</v>
      </c>
      <c r="E858">
        <v>32</v>
      </c>
      <c r="F858" t="s">
        <v>7</v>
      </c>
      <c r="G858" t="s">
        <v>3103</v>
      </c>
    </row>
    <row r="859" spans="1:7" x14ac:dyDescent="0.25">
      <c r="A859">
        <v>5216</v>
      </c>
      <c r="B859" t="s">
        <v>1576</v>
      </c>
      <c r="C859">
        <v>47</v>
      </c>
      <c r="D859" t="s">
        <v>3059</v>
      </c>
      <c r="E859">
        <v>53</v>
      </c>
      <c r="F859" t="s">
        <v>7</v>
      </c>
      <c r="G859" t="s">
        <v>3103</v>
      </c>
    </row>
    <row r="860" spans="1:7" x14ac:dyDescent="0.25">
      <c r="A860">
        <v>52174</v>
      </c>
      <c r="B860" t="s">
        <v>1592</v>
      </c>
      <c r="C860">
        <v>47</v>
      </c>
      <c r="D860" t="s">
        <v>3059</v>
      </c>
      <c r="E860">
        <v>7</v>
      </c>
      <c r="F860" t="s">
        <v>7</v>
      </c>
      <c r="G860" t="s">
        <v>3070</v>
      </c>
    </row>
    <row r="861" spans="1:7" x14ac:dyDescent="0.25">
      <c r="A861">
        <v>52202</v>
      </c>
      <c r="B861" t="s">
        <v>1619</v>
      </c>
      <c r="C861">
        <v>47</v>
      </c>
      <c r="D861" t="s">
        <v>3059</v>
      </c>
      <c r="E861">
        <v>68</v>
      </c>
      <c r="F861" t="s">
        <v>7</v>
      </c>
      <c r="G861" t="s">
        <v>3101</v>
      </c>
    </row>
    <row r="862" spans="1:7" x14ac:dyDescent="0.25">
      <c r="A862">
        <v>52203</v>
      </c>
      <c r="B862" t="s">
        <v>1620</v>
      </c>
      <c r="C862">
        <v>47</v>
      </c>
      <c r="D862" t="s">
        <v>3059</v>
      </c>
      <c r="E862">
        <v>765</v>
      </c>
      <c r="F862" t="s">
        <v>7</v>
      </c>
      <c r="G862" t="s">
        <v>3101</v>
      </c>
    </row>
    <row r="863" spans="1:7" x14ac:dyDescent="0.25">
      <c r="A863">
        <v>52204</v>
      </c>
      <c r="B863" t="s">
        <v>1621</v>
      </c>
      <c r="C863">
        <v>47</v>
      </c>
      <c r="D863" t="s">
        <v>3059</v>
      </c>
      <c r="E863">
        <v>556</v>
      </c>
      <c r="F863" t="s">
        <v>7</v>
      </c>
      <c r="G863" t="s">
        <v>3101</v>
      </c>
    </row>
    <row r="864" spans="1:7" x14ac:dyDescent="0.25">
      <c r="A864">
        <v>52205</v>
      </c>
      <c r="B864" t="s">
        <v>1622</v>
      </c>
      <c r="C864">
        <v>47</v>
      </c>
      <c r="D864" t="s">
        <v>3059</v>
      </c>
      <c r="E864">
        <v>2481</v>
      </c>
      <c r="F864" t="s">
        <v>7</v>
      </c>
      <c r="G864" t="s">
        <v>3101</v>
      </c>
    </row>
    <row r="865" spans="1:7" x14ac:dyDescent="0.25">
      <c r="A865">
        <v>52207</v>
      </c>
      <c r="B865" t="s">
        <v>1624</v>
      </c>
      <c r="C865">
        <v>47</v>
      </c>
      <c r="D865" t="s">
        <v>3059</v>
      </c>
      <c r="E865">
        <v>1</v>
      </c>
      <c r="F865" t="s">
        <v>7</v>
      </c>
      <c r="G865" t="s">
        <v>3087</v>
      </c>
    </row>
    <row r="866" spans="1:7" x14ac:dyDescent="0.25">
      <c r="A866">
        <v>52208</v>
      </c>
      <c r="B866" t="s">
        <v>1625</v>
      </c>
      <c r="C866">
        <v>47</v>
      </c>
      <c r="D866" t="s">
        <v>3059</v>
      </c>
      <c r="E866">
        <v>9</v>
      </c>
      <c r="F866" t="s">
        <v>7</v>
      </c>
      <c r="G866" t="s">
        <v>3087</v>
      </c>
    </row>
    <row r="867" spans="1:7" x14ac:dyDescent="0.25">
      <c r="A867">
        <v>52209</v>
      </c>
      <c r="B867" t="s">
        <v>1626</v>
      </c>
      <c r="C867">
        <v>47</v>
      </c>
      <c r="D867" t="s">
        <v>3059</v>
      </c>
      <c r="E867">
        <v>1</v>
      </c>
      <c r="F867" t="s">
        <v>7</v>
      </c>
      <c r="G867" t="s">
        <v>3087</v>
      </c>
    </row>
    <row r="868" spans="1:7" x14ac:dyDescent="0.25">
      <c r="A868">
        <v>52212</v>
      </c>
      <c r="B868" t="s">
        <v>1630</v>
      </c>
      <c r="C868">
        <v>47</v>
      </c>
      <c r="D868" t="s">
        <v>3059</v>
      </c>
      <c r="E868">
        <v>5</v>
      </c>
      <c r="F868" t="s">
        <v>7</v>
      </c>
      <c r="G868" t="s">
        <v>3087</v>
      </c>
    </row>
    <row r="869" spans="1:7" x14ac:dyDescent="0.25">
      <c r="A869">
        <v>52213</v>
      </c>
      <c r="B869" t="s">
        <v>1631</v>
      </c>
      <c r="C869">
        <v>47</v>
      </c>
      <c r="D869" t="s">
        <v>3059</v>
      </c>
      <c r="E869">
        <v>14</v>
      </c>
      <c r="F869" t="s">
        <v>7</v>
      </c>
      <c r="G869" t="s">
        <v>3087</v>
      </c>
    </row>
    <row r="870" spans="1:7" x14ac:dyDescent="0.25">
      <c r="A870">
        <v>52215</v>
      </c>
      <c r="B870" t="s">
        <v>1633</v>
      </c>
      <c r="C870">
        <v>47</v>
      </c>
      <c r="D870" t="s">
        <v>3059</v>
      </c>
      <c r="E870">
        <v>1</v>
      </c>
      <c r="F870" t="s">
        <v>7</v>
      </c>
      <c r="G870" t="s">
        <v>3087</v>
      </c>
    </row>
    <row r="871" spans="1:7" x14ac:dyDescent="0.25">
      <c r="A871">
        <v>52216</v>
      </c>
      <c r="B871" t="s">
        <v>1634</v>
      </c>
      <c r="C871">
        <v>47</v>
      </c>
      <c r="D871" t="s">
        <v>3059</v>
      </c>
      <c r="E871">
        <v>1</v>
      </c>
      <c r="F871" t="s">
        <v>7</v>
      </c>
      <c r="G871" t="s">
        <v>3087</v>
      </c>
    </row>
    <row r="872" spans="1:7" x14ac:dyDescent="0.25">
      <c r="A872">
        <v>52217</v>
      </c>
      <c r="B872" t="s">
        <v>1635</v>
      </c>
      <c r="C872">
        <v>47</v>
      </c>
      <c r="D872" t="s">
        <v>3059</v>
      </c>
      <c r="E872">
        <v>1</v>
      </c>
      <c r="F872" t="s">
        <v>7</v>
      </c>
      <c r="G872" t="s">
        <v>3087</v>
      </c>
    </row>
    <row r="873" spans="1:7" x14ac:dyDescent="0.25">
      <c r="A873">
        <v>52218</v>
      </c>
      <c r="B873" t="s">
        <v>1636</v>
      </c>
      <c r="C873">
        <v>47</v>
      </c>
      <c r="D873" t="s">
        <v>3059</v>
      </c>
      <c r="E873">
        <v>1</v>
      </c>
      <c r="F873" t="s">
        <v>7</v>
      </c>
      <c r="G873" t="s">
        <v>3087</v>
      </c>
    </row>
    <row r="874" spans="1:7" x14ac:dyDescent="0.25">
      <c r="A874">
        <v>52220</v>
      </c>
      <c r="B874" t="s">
        <v>1639</v>
      </c>
      <c r="C874">
        <v>47</v>
      </c>
      <c r="D874" t="s">
        <v>3059</v>
      </c>
      <c r="E874">
        <v>10</v>
      </c>
      <c r="F874" t="s">
        <v>7</v>
      </c>
      <c r="G874" t="s">
        <v>3087</v>
      </c>
    </row>
    <row r="875" spans="1:7" x14ac:dyDescent="0.25">
      <c r="A875">
        <v>52222</v>
      </c>
      <c r="B875" t="s">
        <v>1641</v>
      </c>
      <c r="C875">
        <v>47</v>
      </c>
      <c r="D875" t="s">
        <v>3059</v>
      </c>
      <c r="E875">
        <v>2</v>
      </c>
      <c r="F875" t="s">
        <v>7</v>
      </c>
      <c r="G875" t="s">
        <v>3087</v>
      </c>
    </row>
    <row r="876" spans="1:7" x14ac:dyDescent="0.25">
      <c r="A876">
        <v>52241</v>
      </c>
      <c r="B876" t="s">
        <v>1660</v>
      </c>
      <c r="C876">
        <v>47</v>
      </c>
      <c r="D876" t="s">
        <v>3059</v>
      </c>
      <c r="E876">
        <v>3</v>
      </c>
      <c r="F876" t="s">
        <v>7</v>
      </c>
      <c r="G876" t="s">
        <v>3087</v>
      </c>
    </row>
    <row r="877" spans="1:7" x14ac:dyDescent="0.25">
      <c r="A877">
        <v>52245</v>
      </c>
      <c r="B877" t="s">
        <v>1664</v>
      </c>
      <c r="C877">
        <v>47</v>
      </c>
      <c r="D877" t="s">
        <v>3059</v>
      </c>
      <c r="E877">
        <v>2</v>
      </c>
      <c r="F877" t="s">
        <v>7</v>
      </c>
      <c r="G877" t="s">
        <v>3087</v>
      </c>
    </row>
    <row r="878" spans="1:7" x14ac:dyDescent="0.25">
      <c r="A878">
        <v>52254</v>
      </c>
      <c r="B878" t="s">
        <v>1674</v>
      </c>
      <c r="C878">
        <v>47</v>
      </c>
      <c r="D878" t="s">
        <v>3059</v>
      </c>
      <c r="E878">
        <v>3</v>
      </c>
      <c r="F878" t="s">
        <v>7</v>
      </c>
      <c r="G878" t="s">
        <v>3087</v>
      </c>
    </row>
    <row r="879" spans="1:7" x14ac:dyDescent="0.25">
      <c r="A879">
        <v>52260</v>
      </c>
      <c r="B879" t="s">
        <v>1680</v>
      </c>
      <c r="C879">
        <v>47</v>
      </c>
      <c r="D879" t="s">
        <v>3059</v>
      </c>
      <c r="E879">
        <v>7</v>
      </c>
      <c r="F879" t="s">
        <v>7</v>
      </c>
      <c r="G879" t="s">
        <v>3087</v>
      </c>
    </row>
    <row r="880" spans="1:7" x14ac:dyDescent="0.25">
      <c r="A880">
        <v>52262</v>
      </c>
      <c r="B880" t="s">
        <v>1682</v>
      </c>
      <c r="C880">
        <v>47</v>
      </c>
      <c r="D880" t="s">
        <v>3059</v>
      </c>
      <c r="E880">
        <v>5</v>
      </c>
      <c r="F880" t="s">
        <v>7</v>
      </c>
      <c r="G880" t="s">
        <v>3087</v>
      </c>
    </row>
    <row r="881" spans="1:7" x14ac:dyDescent="0.25">
      <c r="A881">
        <v>52281</v>
      </c>
      <c r="B881" t="s">
        <v>16885</v>
      </c>
      <c r="C881">
        <v>47</v>
      </c>
      <c r="D881" t="s">
        <v>3059</v>
      </c>
      <c r="E881">
        <v>2</v>
      </c>
      <c r="F881" t="s">
        <v>7</v>
      </c>
      <c r="G881" t="s">
        <v>3087</v>
      </c>
    </row>
    <row r="882" spans="1:7" x14ac:dyDescent="0.25">
      <c r="A882">
        <v>52298</v>
      </c>
      <c r="B882" t="s">
        <v>1707</v>
      </c>
      <c r="C882">
        <v>47</v>
      </c>
      <c r="D882" t="s">
        <v>3059</v>
      </c>
      <c r="E882">
        <v>3</v>
      </c>
      <c r="F882" t="s">
        <v>7</v>
      </c>
      <c r="G882" t="s">
        <v>3087</v>
      </c>
    </row>
    <row r="883" spans="1:7" x14ac:dyDescent="0.25">
      <c r="A883">
        <v>52304</v>
      </c>
      <c r="B883" t="s">
        <v>16886</v>
      </c>
      <c r="C883">
        <v>47</v>
      </c>
      <c r="D883" t="s">
        <v>3059</v>
      </c>
      <c r="E883">
        <v>3</v>
      </c>
      <c r="F883" t="s">
        <v>7</v>
      </c>
      <c r="G883" t="s">
        <v>3087</v>
      </c>
    </row>
    <row r="884" spans="1:7" x14ac:dyDescent="0.25">
      <c r="A884">
        <v>52312</v>
      </c>
      <c r="B884" t="s">
        <v>1722</v>
      </c>
      <c r="C884">
        <v>47</v>
      </c>
      <c r="D884" t="s">
        <v>3059</v>
      </c>
      <c r="E884">
        <v>8</v>
      </c>
      <c r="F884" t="s">
        <v>7</v>
      </c>
      <c r="G884" t="s">
        <v>3087</v>
      </c>
    </row>
    <row r="885" spans="1:7" x14ac:dyDescent="0.25">
      <c r="A885">
        <v>52317</v>
      </c>
      <c r="B885" t="s">
        <v>1726</v>
      </c>
      <c r="C885">
        <v>47</v>
      </c>
      <c r="D885" t="s">
        <v>3059</v>
      </c>
      <c r="E885">
        <v>2</v>
      </c>
      <c r="F885" t="s">
        <v>7</v>
      </c>
      <c r="G885" t="s">
        <v>3087</v>
      </c>
    </row>
    <row r="886" spans="1:7" x14ac:dyDescent="0.25">
      <c r="A886">
        <v>52319</v>
      </c>
      <c r="B886" t="s">
        <v>1728</v>
      </c>
      <c r="C886">
        <v>47</v>
      </c>
      <c r="D886" t="s">
        <v>3059</v>
      </c>
      <c r="E886">
        <v>6</v>
      </c>
      <c r="F886" t="s">
        <v>7</v>
      </c>
      <c r="G886" t="s">
        <v>3087</v>
      </c>
    </row>
    <row r="887" spans="1:7" x14ac:dyDescent="0.25">
      <c r="A887">
        <v>52322</v>
      </c>
      <c r="B887" t="s">
        <v>1732</v>
      </c>
      <c r="C887">
        <v>47</v>
      </c>
      <c r="D887" t="s">
        <v>3059</v>
      </c>
      <c r="E887">
        <v>1</v>
      </c>
      <c r="F887" t="s">
        <v>7</v>
      </c>
      <c r="G887" t="s">
        <v>3087</v>
      </c>
    </row>
    <row r="888" spans="1:7" x14ac:dyDescent="0.25">
      <c r="A888">
        <v>52323</v>
      </c>
      <c r="B888" t="s">
        <v>1733</v>
      </c>
      <c r="C888">
        <v>47</v>
      </c>
      <c r="D888" t="s">
        <v>3059</v>
      </c>
      <c r="E888">
        <v>4</v>
      </c>
      <c r="F888" t="s">
        <v>7</v>
      </c>
      <c r="G888" t="s">
        <v>3087</v>
      </c>
    </row>
    <row r="889" spans="1:7" x14ac:dyDescent="0.25">
      <c r="A889">
        <v>52324</v>
      </c>
      <c r="B889" t="s">
        <v>1734</v>
      </c>
      <c r="C889">
        <v>47</v>
      </c>
      <c r="D889" t="s">
        <v>3059</v>
      </c>
      <c r="E889">
        <v>5</v>
      </c>
      <c r="F889" t="s">
        <v>7</v>
      </c>
      <c r="G889" t="s">
        <v>3087</v>
      </c>
    </row>
    <row r="890" spans="1:7" x14ac:dyDescent="0.25">
      <c r="A890">
        <v>52330</v>
      </c>
      <c r="B890" t="s">
        <v>1741</v>
      </c>
      <c r="C890">
        <v>47</v>
      </c>
      <c r="D890" t="s">
        <v>3059</v>
      </c>
      <c r="E890">
        <v>1</v>
      </c>
      <c r="F890" t="s">
        <v>7</v>
      </c>
      <c r="G890" t="s">
        <v>3087</v>
      </c>
    </row>
    <row r="891" spans="1:7" x14ac:dyDescent="0.25">
      <c r="A891">
        <v>52341</v>
      </c>
      <c r="B891" t="s">
        <v>1752</v>
      </c>
      <c r="C891">
        <v>47</v>
      </c>
      <c r="D891" t="s">
        <v>3059</v>
      </c>
      <c r="E891">
        <v>3</v>
      </c>
      <c r="F891" t="s">
        <v>7</v>
      </c>
      <c r="G891" t="s">
        <v>3087</v>
      </c>
    </row>
    <row r="892" spans="1:7" x14ac:dyDescent="0.25">
      <c r="A892">
        <v>52344</v>
      </c>
      <c r="B892" t="s">
        <v>16623</v>
      </c>
      <c r="C892">
        <v>47</v>
      </c>
      <c r="D892" t="s">
        <v>3059</v>
      </c>
      <c r="E892">
        <v>1</v>
      </c>
      <c r="F892" t="s">
        <v>7</v>
      </c>
      <c r="G892" t="s">
        <v>3087</v>
      </c>
    </row>
    <row r="893" spans="1:7" x14ac:dyDescent="0.25">
      <c r="A893">
        <v>52350</v>
      </c>
      <c r="B893" t="s">
        <v>1760</v>
      </c>
      <c r="C893">
        <v>47</v>
      </c>
      <c r="D893" t="s">
        <v>3059</v>
      </c>
      <c r="E893">
        <v>2</v>
      </c>
      <c r="F893" t="s">
        <v>7</v>
      </c>
      <c r="G893" t="s">
        <v>3083</v>
      </c>
    </row>
    <row r="894" spans="1:7" x14ac:dyDescent="0.25">
      <c r="A894">
        <v>52351</v>
      </c>
      <c r="B894" t="s">
        <v>1761</v>
      </c>
      <c r="C894">
        <v>47</v>
      </c>
      <c r="D894" t="s">
        <v>3059</v>
      </c>
      <c r="E894">
        <v>8</v>
      </c>
      <c r="F894" t="s">
        <v>7</v>
      </c>
      <c r="G894" t="s">
        <v>3083</v>
      </c>
    </row>
    <row r="895" spans="1:7" x14ac:dyDescent="0.25">
      <c r="A895">
        <v>52352</v>
      </c>
      <c r="B895" t="s">
        <v>1762</v>
      </c>
      <c r="C895">
        <v>47</v>
      </c>
      <c r="D895" t="s">
        <v>3059</v>
      </c>
      <c r="E895">
        <v>5</v>
      </c>
      <c r="F895" t="s">
        <v>7</v>
      </c>
      <c r="G895" t="s">
        <v>3083</v>
      </c>
    </row>
    <row r="896" spans="1:7" x14ac:dyDescent="0.25">
      <c r="A896">
        <v>52360</v>
      </c>
      <c r="B896" t="s">
        <v>3131</v>
      </c>
      <c r="C896">
        <v>47</v>
      </c>
      <c r="D896" t="s">
        <v>3059</v>
      </c>
      <c r="E896">
        <v>6</v>
      </c>
      <c r="F896" t="s">
        <v>7</v>
      </c>
      <c r="G896" t="s">
        <v>3074</v>
      </c>
    </row>
    <row r="897" spans="1:7" x14ac:dyDescent="0.25">
      <c r="A897">
        <v>52361</v>
      </c>
      <c r="B897" t="s">
        <v>1764</v>
      </c>
      <c r="C897">
        <v>47</v>
      </c>
      <c r="D897" t="s">
        <v>3059</v>
      </c>
      <c r="E897">
        <v>6</v>
      </c>
      <c r="F897" t="s">
        <v>7</v>
      </c>
      <c r="G897" t="s">
        <v>3074</v>
      </c>
    </row>
    <row r="898" spans="1:7" x14ac:dyDescent="0.25">
      <c r="A898">
        <v>52362</v>
      </c>
      <c r="B898" t="s">
        <v>1765</v>
      </c>
      <c r="C898">
        <v>47</v>
      </c>
      <c r="D898" t="s">
        <v>3059</v>
      </c>
      <c r="E898">
        <v>5</v>
      </c>
      <c r="F898" t="s">
        <v>7</v>
      </c>
      <c r="G898" t="s">
        <v>3074</v>
      </c>
    </row>
    <row r="899" spans="1:7" x14ac:dyDescent="0.25">
      <c r="A899">
        <v>52364</v>
      </c>
      <c r="B899" t="s">
        <v>1767</v>
      </c>
      <c r="C899">
        <v>47</v>
      </c>
      <c r="D899" t="s">
        <v>3059</v>
      </c>
      <c r="E899">
        <v>39</v>
      </c>
      <c r="F899" t="s">
        <v>7</v>
      </c>
      <c r="G899" t="s">
        <v>3074</v>
      </c>
    </row>
    <row r="900" spans="1:7" x14ac:dyDescent="0.25">
      <c r="A900">
        <v>52365</v>
      </c>
      <c r="B900" t="s">
        <v>1768</v>
      </c>
      <c r="C900">
        <v>47</v>
      </c>
      <c r="D900" t="s">
        <v>3059</v>
      </c>
      <c r="E900">
        <v>16</v>
      </c>
      <c r="F900" t="s">
        <v>7</v>
      </c>
      <c r="G900" t="s">
        <v>3074</v>
      </c>
    </row>
    <row r="901" spans="1:7" x14ac:dyDescent="0.25">
      <c r="A901">
        <v>52366</v>
      </c>
      <c r="B901" t="s">
        <v>1769</v>
      </c>
      <c r="C901">
        <v>47</v>
      </c>
      <c r="D901" t="s">
        <v>3059</v>
      </c>
      <c r="E901">
        <v>88</v>
      </c>
      <c r="F901" t="s">
        <v>7</v>
      </c>
      <c r="G901" t="s">
        <v>3074</v>
      </c>
    </row>
    <row r="902" spans="1:7" x14ac:dyDescent="0.25">
      <c r="A902">
        <v>52367</v>
      </c>
      <c r="B902" t="s">
        <v>1770</v>
      </c>
      <c r="C902">
        <v>47</v>
      </c>
      <c r="D902" t="s">
        <v>3059</v>
      </c>
      <c r="E902">
        <v>16</v>
      </c>
      <c r="F902" t="s">
        <v>7</v>
      </c>
      <c r="G902" t="s">
        <v>3074</v>
      </c>
    </row>
    <row r="903" spans="1:7" x14ac:dyDescent="0.25">
      <c r="A903">
        <v>52368</v>
      </c>
      <c r="B903" t="s">
        <v>1771</v>
      </c>
      <c r="C903">
        <v>47</v>
      </c>
      <c r="D903" t="s">
        <v>3059</v>
      </c>
      <c r="E903">
        <v>31</v>
      </c>
      <c r="F903" t="s">
        <v>7</v>
      </c>
      <c r="G903" t="s">
        <v>3074</v>
      </c>
    </row>
    <row r="904" spans="1:7" x14ac:dyDescent="0.25">
      <c r="A904">
        <v>52369</v>
      </c>
      <c r="B904" t="s">
        <v>1772</v>
      </c>
      <c r="C904">
        <v>47</v>
      </c>
      <c r="D904" t="s">
        <v>3059</v>
      </c>
      <c r="E904">
        <v>12</v>
      </c>
      <c r="F904" t="s">
        <v>7</v>
      </c>
      <c r="G904" t="s">
        <v>3074</v>
      </c>
    </row>
    <row r="905" spans="1:7" x14ac:dyDescent="0.25">
      <c r="A905">
        <v>5237</v>
      </c>
      <c r="B905" t="s">
        <v>1773</v>
      </c>
      <c r="C905">
        <v>47</v>
      </c>
      <c r="D905" t="s">
        <v>3059</v>
      </c>
      <c r="E905">
        <v>39</v>
      </c>
      <c r="F905" t="s">
        <v>7</v>
      </c>
      <c r="G905" t="s">
        <v>3103</v>
      </c>
    </row>
    <row r="906" spans="1:7" x14ac:dyDescent="0.25">
      <c r="A906">
        <v>52370</v>
      </c>
      <c r="B906" t="s">
        <v>1774</v>
      </c>
      <c r="C906">
        <v>47</v>
      </c>
      <c r="D906" t="s">
        <v>3059</v>
      </c>
      <c r="E906">
        <v>12</v>
      </c>
      <c r="F906" t="s">
        <v>7</v>
      </c>
      <c r="G906" t="s">
        <v>3074</v>
      </c>
    </row>
    <row r="907" spans="1:7" x14ac:dyDescent="0.25">
      <c r="A907">
        <v>52371</v>
      </c>
      <c r="B907" t="s">
        <v>1775</v>
      </c>
      <c r="C907">
        <v>47</v>
      </c>
      <c r="D907" t="s">
        <v>3059</v>
      </c>
      <c r="E907">
        <v>12</v>
      </c>
      <c r="F907" t="s">
        <v>7</v>
      </c>
      <c r="G907" t="s">
        <v>3074</v>
      </c>
    </row>
    <row r="908" spans="1:7" x14ac:dyDescent="0.25">
      <c r="A908">
        <v>52372</v>
      </c>
      <c r="B908" t="s">
        <v>1776</v>
      </c>
      <c r="C908">
        <v>47</v>
      </c>
      <c r="D908" t="s">
        <v>3059</v>
      </c>
      <c r="E908">
        <v>5</v>
      </c>
      <c r="F908" t="s">
        <v>7</v>
      </c>
      <c r="G908" t="s">
        <v>3074</v>
      </c>
    </row>
    <row r="909" spans="1:7" x14ac:dyDescent="0.25">
      <c r="A909">
        <v>52374</v>
      </c>
      <c r="B909" t="s">
        <v>1778</v>
      </c>
      <c r="C909">
        <v>47</v>
      </c>
      <c r="D909" t="s">
        <v>3059</v>
      </c>
      <c r="E909">
        <v>14</v>
      </c>
      <c r="F909" t="s">
        <v>7</v>
      </c>
      <c r="G909" t="s">
        <v>3087</v>
      </c>
    </row>
    <row r="910" spans="1:7" x14ac:dyDescent="0.25">
      <c r="A910">
        <v>52375</v>
      </c>
      <c r="B910" t="s">
        <v>1779</v>
      </c>
      <c r="C910">
        <v>47</v>
      </c>
      <c r="D910" t="s">
        <v>3059</v>
      </c>
      <c r="E910">
        <v>3</v>
      </c>
      <c r="F910" t="s">
        <v>7</v>
      </c>
      <c r="G910" t="s">
        <v>3087</v>
      </c>
    </row>
    <row r="911" spans="1:7" x14ac:dyDescent="0.25">
      <c r="A911">
        <v>52376</v>
      </c>
      <c r="B911" t="s">
        <v>1780</v>
      </c>
      <c r="C911">
        <v>47</v>
      </c>
      <c r="D911" t="s">
        <v>3059</v>
      </c>
      <c r="E911">
        <v>2</v>
      </c>
      <c r="F911" t="s">
        <v>7</v>
      </c>
      <c r="G911" t="s">
        <v>3087</v>
      </c>
    </row>
    <row r="912" spans="1:7" x14ac:dyDescent="0.25">
      <c r="A912">
        <v>52378</v>
      </c>
      <c r="B912" t="s">
        <v>1782</v>
      </c>
      <c r="C912">
        <v>47</v>
      </c>
      <c r="D912" t="s">
        <v>3059</v>
      </c>
      <c r="E912">
        <v>11</v>
      </c>
      <c r="F912" t="s">
        <v>7</v>
      </c>
      <c r="G912" t="s">
        <v>3087</v>
      </c>
    </row>
    <row r="913" spans="1:7" x14ac:dyDescent="0.25">
      <c r="A913">
        <v>52379</v>
      </c>
      <c r="B913" t="s">
        <v>1783</v>
      </c>
      <c r="C913">
        <v>47</v>
      </c>
      <c r="D913" t="s">
        <v>3059</v>
      </c>
      <c r="E913">
        <v>2</v>
      </c>
      <c r="F913" t="s">
        <v>7</v>
      </c>
      <c r="G913" t="s">
        <v>3087</v>
      </c>
    </row>
    <row r="914" spans="1:7" x14ac:dyDescent="0.25">
      <c r="A914">
        <v>52380</v>
      </c>
      <c r="B914" t="s">
        <v>1785</v>
      </c>
      <c r="C914">
        <v>47</v>
      </c>
      <c r="D914" t="s">
        <v>3059</v>
      </c>
      <c r="E914">
        <v>4</v>
      </c>
      <c r="F914" t="s">
        <v>7</v>
      </c>
      <c r="G914" t="s">
        <v>3087</v>
      </c>
    </row>
    <row r="915" spans="1:7" x14ac:dyDescent="0.25">
      <c r="A915">
        <v>52386</v>
      </c>
      <c r="B915" t="s">
        <v>1791</v>
      </c>
      <c r="C915">
        <v>47</v>
      </c>
      <c r="D915" t="s">
        <v>3059</v>
      </c>
      <c r="E915">
        <v>1</v>
      </c>
      <c r="F915" t="s">
        <v>7</v>
      </c>
      <c r="G915" t="s">
        <v>3087</v>
      </c>
    </row>
    <row r="916" spans="1:7" x14ac:dyDescent="0.25">
      <c r="A916">
        <v>5239</v>
      </c>
      <c r="B916" t="s">
        <v>1795</v>
      </c>
      <c r="C916">
        <v>47</v>
      </c>
      <c r="D916" t="s">
        <v>3059</v>
      </c>
      <c r="E916">
        <v>3</v>
      </c>
      <c r="F916" t="s">
        <v>7</v>
      </c>
      <c r="G916" t="s">
        <v>3103</v>
      </c>
    </row>
    <row r="917" spans="1:7" x14ac:dyDescent="0.25">
      <c r="A917">
        <v>52451</v>
      </c>
      <c r="B917" t="s">
        <v>1856</v>
      </c>
      <c r="C917">
        <v>47</v>
      </c>
      <c r="D917" t="s">
        <v>3059</v>
      </c>
      <c r="E917">
        <v>8</v>
      </c>
      <c r="F917" t="s">
        <v>7</v>
      </c>
      <c r="G917" t="s">
        <v>3087</v>
      </c>
    </row>
    <row r="918" spans="1:7" x14ac:dyDescent="0.25">
      <c r="A918">
        <v>52453</v>
      </c>
      <c r="B918" t="s">
        <v>1858</v>
      </c>
      <c r="C918">
        <v>47</v>
      </c>
      <c r="D918" t="s">
        <v>3059</v>
      </c>
      <c r="E918">
        <v>1</v>
      </c>
      <c r="F918" t="s">
        <v>7</v>
      </c>
      <c r="G918" t="s">
        <v>3087</v>
      </c>
    </row>
    <row r="919" spans="1:7" x14ac:dyDescent="0.25">
      <c r="A919">
        <v>52454</v>
      </c>
      <c r="B919" t="s">
        <v>1859</v>
      </c>
      <c r="C919">
        <v>47</v>
      </c>
      <c r="D919" t="s">
        <v>3059</v>
      </c>
      <c r="E919">
        <v>5</v>
      </c>
      <c r="F919" t="s">
        <v>7</v>
      </c>
      <c r="G919" t="s">
        <v>3087</v>
      </c>
    </row>
    <row r="920" spans="1:7" x14ac:dyDescent="0.25">
      <c r="A920">
        <v>52455</v>
      </c>
      <c r="B920" t="s">
        <v>1860</v>
      </c>
      <c r="C920">
        <v>47</v>
      </c>
      <c r="D920" t="s">
        <v>3059</v>
      </c>
      <c r="E920">
        <v>8</v>
      </c>
      <c r="F920" t="s">
        <v>7</v>
      </c>
      <c r="G920" t="s">
        <v>3087</v>
      </c>
    </row>
    <row r="921" spans="1:7" x14ac:dyDescent="0.25">
      <c r="A921">
        <v>52456</v>
      </c>
      <c r="B921" t="s">
        <v>1861</v>
      </c>
      <c r="C921">
        <v>47</v>
      </c>
      <c r="D921" t="s">
        <v>3059</v>
      </c>
      <c r="E921">
        <v>27</v>
      </c>
      <c r="F921" t="s">
        <v>7</v>
      </c>
      <c r="G921" t="s">
        <v>3087</v>
      </c>
    </row>
    <row r="922" spans="1:7" x14ac:dyDescent="0.25">
      <c r="A922">
        <v>52466</v>
      </c>
      <c r="B922" t="s">
        <v>1872</v>
      </c>
      <c r="C922">
        <v>47</v>
      </c>
      <c r="D922" t="s">
        <v>3059</v>
      </c>
      <c r="E922">
        <v>7</v>
      </c>
      <c r="F922" t="s">
        <v>7</v>
      </c>
      <c r="G922" t="s">
        <v>3087</v>
      </c>
    </row>
    <row r="923" spans="1:7" x14ac:dyDescent="0.25">
      <c r="A923">
        <v>52469</v>
      </c>
      <c r="B923" t="s">
        <v>1875</v>
      </c>
      <c r="C923">
        <v>47</v>
      </c>
      <c r="D923" t="s">
        <v>3059</v>
      </c>
      <c r="E923">
        <v>1</v>
      </c>
      <c r="F923" t="s">
        <v>7</v>
      </c>
      <c r="G923" t="s">
        <v>3087</v>
      </c>
    </row>
    <row r="924" spans="1:7" x14ac:dyDescent="0.25">
      <c r="A924">
        <v>52471</v>
      </c>
      <c r="B924" t="s">
        <v>1877</v>
      </c>
      <c r="C924">
        <v>47</v>
      </c>
      <c r="D924" t="s">
        <v>3059</v>
      </c>
      <c r="E924">
        <v>4</v>
      </c>
      <c r="F924" t="s">
        <v>7</v>
      </c>
      <c r="G924" t="s">
        <v>3087</v>
      </c>
    </row>
    <row r="925" spans="1:7" x14ac:dyDescent="0.25">
      <c r="A925">
        <v>52474</v>
      </c>
      <c r="B925" t="s">
        <v>1880</v>
      </c>
      <c r="C925">
        <v>47</v>
      </c>
      <c r="D925" t="s">
        <v>3059</v>
      </c>
      <c r="E925">
        <v>2</v>
      </c>
      <c r="F925" t="s">
        <v>7</v>
      </c>
      <c r="G925" t="s">
        <v>3087</v>
      </c>
    </row>
    <row r="926" spans="1:7" x14ac:dyDescent="0.25">
      <c r="A926">
        <v>52475</v>
      </c>
      <c r="B926" t="s">
        <v>1881</v>
      </c>
      <c r="C926">
        <v>47</v>
      </c>
      <c r="D926" t="s">
        <v>3059</v>
      </c>
      <c r="E926">
        <v>1</v>
      </c>
      <c r="F926" t="s">
        <v>7</v>
      </c>
      <c r="G926" t="s">
        <v>3087</v>
      </c>
    </row>
    <row r="927" spans="1:7" x14ac:dyDescent="0.25">
      <c r="A927">
        <v>52477</v>
      </c>
      <c r="B927" t="s">
        <v>1883</v>
      </c>
      <c r="C927">
        <v>47</v>
      </c>
      <c r="D927" t="s">
        <v>3059</v>
      </c>
      <c r="E927">
        <v>152</v>
      </c>
      <c r="F927" t="s">
        <v>7</v>
      </c>
      <c r="G927" t="s">
        <v>3074</v>
      </c>
    </row>
    <row r="928" spans="1:7" x14ac:dyDescent="0.25">
      <c r="A928">
        <v>52478</v>
      </c>
      <c r="B928" t="s">
        <v>1884</v>
      </c>
      <c r="C928">
        <v>47</v>
      </c>
      <c r="D928" t="s">
        <v>3059</v>
      </c>
      <c r="E928">
        <v>68</v>
      </c>
      <c r="F928" t="s">
        <v>7</v>
      </c>
      <c r="G928" t="s">
        <v>3074</v>
      </c>
    </row>
    <row r="929" spans="1:7" x14ac:dyDescent="0.25">
      <c r="A929">
        <v>52479</v>
      </c>
      <c r="B929" t="s">
        <v>1885</v>
      </c>
      <c r="C929">
        <v>47</v>
      </c>
      <c r="D929" t="s">
        <v>3059</v>
      </c>
      <c r="E929">
        <v>48</v>
      </c>
      <c r="F929" t="s">
        <v>7</v>
      </c>
      <c r="G929" t="s">
        <v>3074</v>
      </c>
    </row>
    <row r="930" spans="1:7" x14ac:dyDescent="0.25">
      <c r="A930">
        <v>52480</v>
      </c>
      <c r="B930" t="s">
        <v>1886</v>
      </c>
      <c r="C930">
        <v>47</v>
      </c>
      <c r="D930" t="s">
        <v>3059</v>
      </c>
      <c r="E930">
        <v>1</v>
      </c>
      <c r="F930" t="s">
        <v>7</v>
      </c>
      <c r="G930" t="s">
        <v>3074</v>
      </c>
    </row>
    <row r="931" spans="1:7" x14ac:dyDescent="0.25">
      <c r="A931">
        <v>52481</v>
      </c>
      <c r="B931" t="s">
        <v>1887</v>
      </c>
      <c r="C931">
        <v>47</v>
      </c>
      <c r="D931" t="s">
        <v>3059</v>
      </c>
      <c r="E931">
        <v>79</v>
      </c>
      <c r="F931" t="s">
        <v>7</v>
      </c>
      <c r="G931" t="s">
        <v>3062</v>
      </c>
    </row>
    <row r="932" spans="1:7" x14ac:dyDescent="0.25">
      <c r="A932">
        <v>52482</v>
      </c>
      <c r="B932" t="s">
        <v>1888</v>
      </c>
      <c r="C932">
        <v>47</v>
      </c>
      <c r="D932" t="s">
        <v>3059</v>
      </c>
      <c r="E932">
        <v>15</v>
      </c>
      <c r="F932" t="s">
        <v>7</v>
      </c>
      <c r="G932" t="s">
        <v>3062</v>
      </c>
    </row>
    <row r="933" spans="1:7" x14ac:dyDescent="0.25">
      <c r="A933">
        <v>52484</v>
      </c>
      <c r="B933" t="s">
        <v>1890</v>
      </c>
      <c r="C933">
        <v>47</v>
      </c>
      <c r="D933" t="s">
        <v>3059</v>
      </c>
      <c r="E933">
        <v>3</v>
      </c>
      <c r="F933" t="s">
        <v>7</v>
      </c>
      <c r="G933" t="s">
        <v>3073</v>
      </c>
    </row>
    <row r="934" spans="1:7" x14ac:dyDescent="0.25">
      <c r="A934">
        <v>52485</v>
      </c>
      <c r="B934" t="s">
        <v>1891</v>
      </c>
      <c r="C934">
        <v>47</v>
      </c>
      <c r="D934" t="s">
        <v>3059</v>
      </c>
      <c r="E934">
        <v>52</v>
      </c>
      <c r="F934" t="s">
        <v>7</v>
      </c>
      <c r="G934" t="s">
        <v>3073</v>
      </c>
    </row>
    <row r="935" spans="1:7" x14ac:dyDescent="0.25">
      <c r="A935">
        <v>52486</v>
      </c>
      <c r="B935" t="s">
        <v>1892</v>
      </c>
      <c r="C935">
        <v>47</v>
      </c>
      <c r="D935" t="s">
        <v>3059</v>
      </c>
      <c r="E935">
        <v>52</v>
      </c>
      <c r="F935" t="s">
        <v>7</v>
      </c>
      <c r="G935" t="s">
        <v>3073</v>
      </c>
    </row>
    <row r="936" spans="1:7" x14ac:dyDescent="0.25">
      <c r="A936">
        <v>52487</v>
      </c>
      <c r="B936" t="s">
        <v>1893</v>
      </c>
      <c r="C936">
        <v>47</v>
      </c>
      <c r="D936" t="s">
        <v>3059</v>
      </c>
      <c r="E936">
        <v>36</v>
      </c>
      <c r="F936" t="s">
        <v>7</v>
      </c>
      <c r="G936" t="s">
        <v>3073</v>
      </c>
    </row>
    <row r="937" spans="1:7" x14ac:dyDescent="0.25">
      <c r="A937">
        <v>52489</v>
      </c>
      <c r="B937" t="s">
        <v>1895</v>
      </c>
      <c r="C937">
        <v>47</v>
      </c>
      <c r="D937" t="s">
        <v>3059</v>
      </c>
      <c r="E937">
        <v>177</v>
      </c>
      <c r="F937" t="s">
        <v>7</v>
      </c>
      <c r="G937" t="s">
        <v>3073</v>
      </c>
    </row>
    <row r="938" spans="1:7" x14ac:dyDescent="0.25">
      <c r="A938">
        <v>52490</v>
      </c>
      <c r="B938" t="s">
        <v>1896</v>
      </c>
      <c r="C938">
        <v>47</v>
      </c>
      <c r="D938" t="s">
        <v>3059</v>
      </c>
      <c r="E938">
        <v>132</v>
      </c>
      <c r="F938" t="s">
        <v>7</v>
      </c>
      <c r="G938" t="s">
        <v>3073</v>
      </c>
    </row>
    <row r="939" spans="1:7" x14ac:dyDescent="0.25">
      <c r="A939">
        <v>52494</v>
      </c>
      <c r="B939" t="s">
        <v>1898</v>
      </c>
      <c r="C939">
        <v>47</v>
      </c>
      <c r="D939" t="s">
        <v>3059</v>
      </c>
      <c r="E939">
        <v>18</v>
      </c>
      <c r="F939" t="s">
        <v>7</v>
      </c>
      <c r="G939" t="s">
        <v>3073</v>
      </c>
    </row>
    <row r="940" spans="1:7" x14ac:dyDescent="0.25">
      <c r="A940">
        <v>52495</v>
      </c>
      <c r="B940" t="s">
        <v>1899</v>
      </c>
      <c r="C940">
        <v>47</v>
      </c>
      <c r="D940" t="s">
        <v>3059</v>
      </c>
      <c r="E940">
        <v>22</v>
      </c>
      <c r="F940" t="s">
        <v>7</v>
      </c>
      <c r="G940" t="s">
        <v>3073</v>
      </c>
    </row>
    <row r="941" spans="1:7" x14ac:dyDescent="0.25">
      <c r="A941">
        <v>52496</v>
      </c>
      <c r="B941" t="s">
        <v>1900</v>
      </c>
      <c r="C941">
        <v>47</v>
      </c>
      <c r="D941" t="s">
        <v>3059</v>
      </c>
      <c r="E941">
        <v>10</v>
      </c>
      <c r="F941" t="s">
        <v>7</v>
      </c>
      <c r="G941" t="s">
        <v>3073</v>
      </c>
    </row>
    <row r="942" spans="1:7" x14ac:dyDescent="0.25">
      <c r="A942">
        <v>52497</v>
      </c>
      <c r="B942" t="s">
        <v>1901</v>
      </c>
      <c r="C942">
        <v>47</v>
      </c>
      <c r="D942" t="s">
        <v>3059</v>
      </c>
      <c r="E942">
        <v>140</v>
      </c>
      <c r="F942" t="s">
        <v>7</v>
      </c>
      <c r="G942" t="s">
        <v>3073</v>
      </c>
    </row>
    <row r="943" spans="1:7" x14ac:dyDescent="0.25">
      <c r="A943">
        <v>52498</v>
      </c>
      <c r="B943" t="s">
        <v>1902</v>
      </c>
      <c r="C943">
        <v>47</v>
      </c>
      <c r="D943" t="s">
        <v>3059</v>
      </c>
      <c r="E943">
        <v>60</v>
      </c>
      <c r="F943" t="s">
        <v>7</v>
      </c>
      <c r="G943" t="s">
        <v>3073</v>
      </c>
    </row>
    <row r="944" spans="1:7" x14ac:dyDescent="0.25">
      <c r="A944">
        <v>5259</v>
      </c>
      <c r="B944" t="s">
        <v>1995</v>
      </c>
      <c r="C944">
        <v>47</v>
      </c>
      <c r="D944" t="s">
        <v>3059</v>
      </c>
      <c r="E944">
        <v>10</v>
      </c>
      <c r="F944" t="s">
        <v>7</v>
      </c>
      <c r="G944" t="s">
        <v>3103</v>
      </c>
    </row>
    <row r="945" spans="1:7" x14ac:dyDescent="0.25">
      <c r="A945">
        <v>52599</v>
      </c>
      <c r="B945" t="s">
        <v>3132</v>
      </c>
      <c r="C945">
        <v>47</v>
      </c>
      <c r="D945" t="s">
        <v>3059</v>
      </c>
      <c r="E945">
        <v>50</v>
      </c>
      <c r="F945" t="s">
        <v>7</v>
      </c>
      <c r="G945" t="s">
        <v>3102</v>
      </c>
    </row>
    <row r="946" spans="1:7" x14ac:dyDescent="0.25">
      <c r="A946">
        <v>52600</v>
      </c>
      <c r="B946" t="s">
        <v>3133</v>
      </c>
      <c r="C946">
        <v>47</v>
      </c>
      <c r="D946" t="s">
        <v>3059</v>
      </c>
      <c r="E946">
        <v>49</v>
      </c>
      <c r="F946" t="s">
        <v>7</v>
      </c>
      <c r="G946" t="s">
        <v>3102</v>
      </c>
    </row>
    <row r="947" spans="1:7" x14ac:dyDescent="0.25">
      <c r="A947">
        <v>5265</v>
      </c>
      <c r="B947" t="s">
        <v>2006</v>
      </c>
      <c r="C947">
        <v>47</v>
      </c>
      <c r="D947" t="s">
        <v>3059</v>
      </c>
      <c r="E947">
        <v>3</v>
      </c>
      <c r="F947" t="s">
        <v>7</v>
      </c>
      <c r="G947" t="s">
        <v>3103</v>
      </c>
    </row>
    <row r="948" spans="1:7" x14ac:dyDescent="0.25">
      <c r="A948">
        <v>52650</v>
      </c>
      <c r="B948" t="s">
        <v>2007</v>
      </c>
      <c r="C948">
        <v>47</v>
      </c>
      <c r="D948" t="s">
        <v>3059</v>
      </c>
      <c r="E948">
        <v>235</v>
      </c>
      <c r="F948" t="s">
        <v>7</v>
      </c>
      <c r="G948" t="s">
        <v>3100</v>
      </c>
    </row>
    <row r="949" spans="1:7" x14ac:dyDescent="0.25">
      <c r="A949">
        <v>52651</v>
      </c>
      <c r="B949" t="s">
        <v>3054</v>
      </c>
      <c r="C949">
        <v>47</v>
      </c>
      <c r="D949" t="s">
        <v>3059</v>
      </c>
      <c r="E949">
        <v>242</v>
      </c>
      <c r="F949" t="s">
        <v>7</v>
      </c>
      <c r="G949" t="s">
        <v>3100</v>
      </c>
    </row>
    <row r="950" spans="1:7" x14ac:dyDescent="0.25">
      <c r="A950">
        <v>5270</v>
      </c>
      <c r="B950" t="s">
        <v>2009</v>
      </c>
      <c r="C950">
        <v>47</v>
      </c>
      <c r="D950" t="s">
        <v>3059</v>
      </c>
      <c r="E950">
        <v>3</v>
      </c>
      <c r="F950" t="s">
        <v>7</v>
      </c>
      <c r="G950" t="s">
        <v>3103</v>
      </c>
    </row>
    <row r="951" spans="1:7" x14ac:dyDescent="0.25">
      <c r="A951">
        <v>52713</v>
      </c>
      <c r="B951" t="s">
        <v>3055</v>
      </c>
      <c r="C951">
        <v>47</v>
      </c>
      <c r="D951" t="s">
        <v>3059</v>
      </c>
      <c r="E951">
        <v>48</v>
      </c>
      <c r="F951" t="s">
        <v>7</v>
      </c>
      <c r="G951" t="s">
        <v>3100</v>
      </c>
    </row>
    <row r="952" spans="1:7" x14ac:dyDescent="0.25">
      <c r="A952">
        <v>52714</v>
      </c>
      <c r="B952" t="s">
        <v>3056</v>
      </c>
      <c r="C952">
        <v>47</v>
      </c>
      <c r="D952" t="s">
        <v>3059</v>
      </c>
      <c r="E952">
        <v>46</v>
      </c>
      <c r="F952" t="s">
        <v>7</v>
      </c>
      <c r="G952" t="s">
        <v>3100</v>
      </c>
    </row>
    <row r="953" spans="1:7" x14ac:dyDescent="0.25">
      <c r="A953">
        <v>52720</v>
      </c>
      <c r="B953" t="s">
        <v>3135</v>
      </c>
      <c r="C953">
        <v>47</v>
      </c>
      <c r="D953" t="s">
        <v>3059</v>
      </c>
      <c r="E953">
        <v>120</v>
      </c>
      <c r="F953" t="s">
        <v>7</v>
      </c>
      <c r="G953" t="s">
        <v>3102</v>
      </c>
    </row>
    <row r="954" spans="1:7" x14ac:dyDescent="0.25">
      <c r="A954">
        <v>52724</v>
      </c>
      <c r="B954" t="s">
        <v>3136</v>
      </c>
      <c r="C954">
        <v>47</v>
      </c>
      <c r="D954" t="s">
        <v>3059</v>
      </c>
      <c r="E954">
        <v>20</v>
      </c>
      <c r="F954" t="s">
        <v>7</v>
      </c>
      <c r="G954" t="s">
        <v>3102</v>
      </c>
    </row>
    <row r="955" spans="1:7" x14ac:dyDescent="0.25">
      <c r="A955">
        <v>52725</v>
      </c>
      <c r="B955" t="s">
        <v>3137</v>
      </c>
      <c r="C955">
        <v>47</v>
      </c>
      <c r="D955" t="s">
        <v>3059</v>
      </c>
      <c r="E955">
        <v>9</v>
      </c>
      <c r="F955" t="s">
        <v>7</v>
      </c>
      <c r="G955" t="s">
        <v>3102</v>
      </c>
    </row>
    <row r="956" spans="1:7" x14ac:dyDescent="0.25">
      <c r="A956">
        <v>52729</v>
      </c>
      <c r="B956" t="s">
        <v>3138</v>
      </c>
      <c r="C956">
        <v>47</v>
      </c>
      <c r="D956" t="s">
        <v>3059</v>
      </c>
      <c r="E956">
        <v>60</v>
      </c>
      <c r="F956" t="s">
        <v>7</v>
      </c>
      <c r="G956" t="s">
        <v>3103</v>
      </c>
    </row>
    <row r="957" spans="1:7" x14ac:dyDescent="0.25">
      <c r="A957">
        <v>52742</v>
      </c>
      <c r="B957" t="s">
        <v>3139</v>
      </c>
      <c r="C957">
        <v>47</v>
      </c>
      <c r="D957" t="s">
        <v>3059</v>
      </c>
      <c r="E957">
        <v>495</v>
      </c>
      <c r="F957" t="s">
        <v>7</v>
      </c>
      <c r="G957" t="s">
        <v>3101</v>
      </c>
    </row>
    <row r="958" spans="1:7" x14ac:dyDescent="0.25">
      <c r="A958">
        <v>52745</v>
      </c>
      <c r="B958" t="s">
        <v>3140</v>
      </c>
      <c r="C958">
        <v>47</v>
      </c>
      <c r="D958" t="s">
        <v>3059</v>
      </c>
      <c r="E958">
        <v>6</v>
      </c>
      <c r="F958" t="s">
        <v>7</v>
      </c>
      <c r="G958" t="s">
        <v>3083</v>
      </c>
    </row>
    <row r="959" spans="1:7" x14ac:dyDescent="0.25">
      <c r="A959">
        <v>52746</v>
      </c>
      <c r="B959" t="s">
        <v>3141</v>
      </c>
      <c r="C959">
        <v>47</v>
      </c>
      <c r="D959" t="s">
        <v>3059</v>
      </c>
      <c r="E959">
        <v>7</v>
      </c>
      <c r="F959" t="s">
        <v>7</v>
      </c>
      <c r="G959" t="s">
        <v>3083</v>
      </c>
    </row>
    <row r="960" spans="1:7" x14ac:dyDescent="0.25">
      <c r="A960">
        <v>52747</v>
      </c>
      <c r="B960" t="s">
        <v>16096</v>
      </c>
      <c r="C960">
        <v>47</v>
      </c>
      <c r="D960" t="s">
        <v>3059</v>
      </c>
      <c r="E960">
        <v>97</v>
      </c>
      <c r="F960" t="s">
        <v>7</v>
      </c>
      <c r="G960" t="s">
        <v>3062</v>
      </c>
    </row>
    <row r="961" spans="1:7" x14ac:dyDescent="0.25">
      <c r="A961">
        <v>52748</v>
      </c>
      <c r="B961" t="s">
        <v>16110</v>
      </c>
      <c r="C961">
        <v>47</v>
      </c>
      <c r="D961" t="s">
        <v>3059</v>
      </c>
      <c r="E961">
        <v>75</v>
      </c>
      <c r="F961" t="s">
        <v>7</v>
      </c>
      <c r="G961" t="s">
        <v>3101</v>
      </c>
    </row>
    <row r="962" spans="1:7" x14ac:dyDescent="0.25">
      <c r="A962">
        <v>52749</v>
      </c>
      <c r="B962" t="s">
        <v>16111</v>
      </c>
      <c r="C962">
        <v>47</v>
      </c>
      <c r="D962" t="s">
        <v>3059</v>
      </c>
      <c r="E962">
        <v>100</v>
      </c>
      <c r="F962" t="s">
        <v>7</v>
      </c>
      <c r="G962" t="s">
        <v>3101</v>
      </c>
    </row>
    <row r="963" spans="1:7" x14ac:dyDescent="0.25">
      <c r="A963">
        <v>52755</v>
      </c>
      <c r="B963" t="s">
        <v>17493</v>
      </c>
      <c r="C963">
        <v>47</v>
      </c>
      <c r="D963" t="s">
        <v>3059</v>
      </c>
      <c r="E963">
        <v>3</v>
      </c>
      <c r="F963" t="s">
        <v>7</v>
      </c>
      <c r="G963" t="s">
        <v>3087</v>
      </c>
    </row>
    <row r="964" spans="1:7" x14ac:dyDescent="0.25">
      <c r="A964">
        <v>52758</v>
      </c>
      <c r="B964" t="s">
        <v>17494</v>
      </c>
      <c r="C964">
        <v>47</v>
      </c>
      <c r="D964" t="s">
        <v>3059</v>
      </c>
      <c r="E964">
        <v>6</v>
      </c>
      <c r="F964" t="s">
        <v>7</v>
      </c>
      <c r="G964" t="s">
        <v>3087</v>
      </c>
    </row>
    <row r="965" spans="1:7" x14ac:dyDescent="0.25">
      <c r="A965">
        <v>52762</v>
      </c>
      <c r="B965" t="s">
        <v>3142</v>
      </c>
      <c r="C965">
        <v>47</v>
      </c>
      <c r="D965" t="s">
        <v>3059</v>
      </c>
      <c r="E965">
        <v>6</v>
      </c>
      <c r="F965" t="s">
        <v>7</v>
      </c>
      <c r="G965" t="s">
        <v>3087</v>
      </c>
    </row>
    <row r="966" spans="1:7" x14ac:dyDescent="0.25">
      <c r="A966">
        <v>52763</v>
      </c>
      <c r="B966" t="s">
        <v>3143</v>
      </c>
      <c r="C966">
        <v>47</v>
      </c>
      <c r="D966" t="s">
        <v>3059</v>
      </c>
      <c r="E966">
        <v>6</v>
      </c>
      <c r="F966" t="s">
        <v>7</v>
      </c>
      <c r="G966" t="s">
        <v>3087</v>
      </c>
    </row>
    <row r="967" spans="1:7" x14ac:dyDescent="0.25">
      <c r="A967">
        <v>52764</v>
      </c>
      <c r="B967" t="s">
        <v>3144</v>
      </c>
      <c r="C967">
        <v>47</v>
      </c>
      <c r="D967" t="s">
        <v>3059</v>
      </c>
      <c r="E967">
        <v>6</v>
      </c>
      <c r="F967" t="s">
        <v>7</v>
      </c>
      <c r="G967" t="s">
        <v>3087</v>
      </c>
    </row>
    <row r="968" spans="1:7" x14ac:dyDescent="0.25">
      <c r="A968">
        <v>5277</v>
      </c>
      <c r="B968" t="s">
        <v>2011</v>
      </c>
      <c r="C968">
        <v>47</v>
      </c>
      <c r="D968" t="s">
        <v>3059</v>
      </c>
      <c r="E968">
        <v>6</v>
      </c>
      <c r="F968" t="s">
        <v>7</v>
      </c>
      <c r="G968" t="s">
        <v>3103</v>
      </c>
    </row>
    <row r="969" spans="1:7" x14ac:dyDescent="0.25">
      <c r="A969">
        <v>52779</v>
      </c>
      <c r="B969" t="s">
        <v>17495</v>
      </c>
      <c r="C969">
        <v>47</v>
      </c>
      <c r="D969" t="s">
        <v>3059</v>
      </c>
      <c r="E969">
        <v>7</v>
      </c>
      <c r="F969" t="s">
        <v>7</v>
      </c>
      <c r="G969" t="s">
        <v>3087</v>
      </c>
    </row>
    <row r="970" spans="1:7" x14ac:dyDescent="0.25">
      <c r="A970">
        <v>52783</v>
      </c>
      <c r="B970" t="s">
        <v>3145</v>
      </c>
      <c r="C970">
        <v>47</v>
      </c>
      <c r="D970" t="s">
        <v>3059</v>
      </c>
      <c r="E970">
        <v>9</v>
      </c>
      <c r="F970" t="s">
        <v>7</v>
      </c>
      <c r="G970" t="s">
        <v>3087</v>
      </c>
    </row>
    <row r="971" spans="1:7" x14ac:dyDescent="0.25">
      <c r="A971">
        <v>52784</v>
      </c>
      <c r="B971" t="s">
        <v>3146</v>
      </c>
      <c r="C971">
        <v>47</v>
      </c>
      <c r="D971" t="s">
        <v>3059</v>
      </c>
      <c r="E971">
        <v>6</v>
      </c>
      <c r="F971" t="s">
        <v>7</v>
      </c>
      <c r="G971" t="s">
        <v>3087</v>
      </c>
    </row>
    <row r="972" spans="1:7" x14ac:dyDescent="0.25">
      <c r="A972">
        <v>52785</v>
      </c>
      <c r="B972" t="s">
        <v>3147</v>
      </c>
      <c r="C972">
        <v>47</v>
      </c>
      <c r="D972" t="s">
        <v>3059</v>
      </c>
      <c r="E972">
        <v>6</v>
      </c>
      <c r="F972" t="s">
        <v>7</v>
      </c>
      <c r="G972" t="s">
        <v>3087</v>
      </c>
    </row>
    <row r="973" spans="1:7" x14ac:dyDescent="0.25">
      <c r="A973">
        <v>52786</v>
      </c>
      <c r="B973" t="s">
        <v>3148</v>
      </c>
      <c r="C973">
        <v>47</v>
      </c>
      <c r="D973" t="s">
        <v>3059</v>
      </c>
      <c r="E973">
        <v>5</v>
      </c>
      <c r="F973" t="s">
        <v>7</v>
      </c>
      <c r="G973" t="s">
        <v>3087</v>
      </c>
    </row>
    <row r="974" spans="1:7" x14ac:dyDescent="0.25">
      <c r="A974">
        <v>52787</v>
      </c>
      <c r="B974" t="s">
        <v>3149</v>
      </c>
      <c r="C974">
        <v>47</v>
      </c>
      <c r="D974" t="s">
        <v>3059</v>
      </c>
      <c r="E974">
        <v>6</v>
      </c>
      <c r="F974" t="s">
        <v>7</v>
      </c>
      <c r="G974" t="s">
        <v>3087</v>
      </c>
    </row>
    <row r="975" spans="1:7" x14ac:dyDescent="0.25">
      <c r="A975">
        <v>52788</v>
      </c>
      <c r="B975" t="s">
        <v>3150</v>
      </c>
      <c r="C975">
        <v>47</v>
      </c>
      <c r="D975" t="s">
        <v>3059</v>
      </c>
      <c r="E975">
        <v>3</v>
      </c>
      <c r="F975" t="s">
        <v>7</v>
      </c>
      <c r="G975" t="s">
        <v>3087</v>
      </c>
    </row>
    <row r="976" spans="1:7" x14ac:dyDescent="0.25">
      <c r="A976">
        <v>52789</v>
      </c>
      <c r="B976" t="s">
        <v>3151</v>
      </c>
      <c r="C976">
        <v>47</v>
      </c>
      <c r="D976" t="s">
        <v>3059</v>
      </c>
      <c r="E976">
        <v>12</v>
      </c>
      <c r="F976" t="s">
        <v>7</v>
      </c>
      <c r="G976" t="s">
        <v>3087</v>
      </c>
    </row>
    <row r="977" spans="1:7" x14ac:dyDescent="0.25">
      <c r="A977">
        <v>5279</v>
      </c>
      <c r="B977" t="s">
        <v>2012</v>
      </c>
      <c r="C977">
        <v>47</v>
      </c>
      <c r="D977" t="s">
        <v>3059</v>
      </c>
      <c r="E977">
        <v>4</v>
      </c>
      <c r="F977" t="s">
        <v>7</v>
      </c>
      <c r="G977" t="s">
        <v>3103</v>
      </c>
    </row>
    <row r="978" spans="1:7" x14ac:dyDescent="0.25">
      <c r="A978">
        <v>52790</v>
      </c>
      <c r="B978" t="s">
        <v>3152</v>
      </c>
      <c r="C978">
        <v>47</v>
      </c>
      <c r="D978" t="s">
        <v>3059</v>
      </c>
      <c r="E978">
        <v>13</v>
      </c>
      <c r="F978" t="s">
        <v>7</v>
      </c>
      <c r="G978" t="s">
        <v>3087</v>
      </c>
    </row>
    <row r="979" spans="1:7" x14ac:dyDescent="0.25">
      <c r="A979">
        <v>52791</v>
      </c>
      <c r="B979" t="s">
        <v>3153</v>
      </c>
      <c r="C979">
        <v>47</v>
      </c>
      <c r="D979" t="s">
        <v>3059</v>
      </c>
      <c r="E979">
        <v>8</v>
      </c>
      <c r="F979" t="s">
        <v>7</v>
      </c>
      <c r="G979" t="s">
        <v>3087</v>
      </c>
    </row>
    <row r="980" spans="1:7" x14ac:dyDescent="0.25">
      <c r="A980">
        <v>52792</v>
      </c>
      <c r="B980" t="s">
        <v>3154</v>
      </c>
      <c r="C980">
        <v>47</v>
      </c>
      <c r="D980" t="s">
        <v>3059</v>
      </c>
      <c r="E980">
        <v>4</v>
      </c>
      <c r="F980" t="s">
        <v>7</v>
      </c>
      <c r="G980" t="s">
        <v>3087</v>
      </c>
    </row>
    <row r="981" spans="1:7" x14ac:dyDescent="0.25">
      <c r="A981">
        <v>52793</v>
      </c>
      <c r="B981" t="s">
        <v>3155</v>
      </c>
      <c r="C981">
        <v>47</v>
      </c>
      <c r="D981" t="s">
        <v>3059</v>
      </c>
      <c r="E981">
        <v>5</v>
      </c>
      <c r="F981" t="s">
        <v>7</v>
      </c>
      <c r="G981" t="s">
        <v>3087</v>
      </c>
    </row>
    <row r="982" spans="1:7" x14ac:dyDescent="0.25">
      <c r="A982">
        <v>52794</v>
      </c>
      <c r="B982" t="s">
        <v>3156</v>
      </c>
      <c r="C982">
        <v>47</v>
      </c>
      <c r="D982" t="s">
        <v>3059</v>
      </c>
      <c r="E982">
        <v>8</v>
      </c>
      <c r="F982" t="s">
        <v>7</v>
      </c>
      <c r="G982" t="s">
        <v>3087</v>
      </c>
    </row>
    <row r="983" spans="1:7" x14ac:dyDescent="0.25">
      <c r="A983">
        <v>52795</v>
      </c>
      <c r="B983" t="s">
        <v>3157</v>
      </c>
      <c r="C983">
        <v>47</v>
      </c>
      <c r="D983" t="s">
        <v>3059</v>
      </c>
      <c r="E983">
        <v>5</v>
      </c>
      <c r="F983" t="s">
        <v>7</v>
      </c>
      <c r="G983" t="s">
        <v>3087</v>
      </c>
    </row>
    <row r="984" spans="1:7" x14ac:dyDescent="0.25">
      <c r="A984">
        <v>52796</v>
      </c>
      <c r="B984" t="s">
        <v>3158</v>
      </c>
      <c r="C984">
        <v>47</v>
      </c>
      <c r="D984" t="s">
        <v>3059</v>
      </c>
      <c r="E984">
        <v>5</v>
      </c>
      <c r="F984" t="s">
        <v>7</v>
      </c>
      <c r="G984" t="s">
        <v>3087</v>
      </c>
    </row>
    <row r="985" spans="1:7" x14ac:dyDescent="0.25">
      <c r="A985">
        <v>52797</v>
      </c>
      <c r="B985" t="s">
        <v>3159</v>
      </c>
      <c r="C985">
        <v>47</v>
      </c>
      <c r="D985" t="s">
        <v>3059</v>
      </c>
      <c r="E985">
        <v>10</v>
      </c>
      <c r="F985" t="s">
        <v>7</v>
      </c>
      <c r="G985" t="s">
        <v>3087</v>
      </c>
    </row>
    <row r="986" spans="1:7" x14ac:dyDescent="0.25">
      <c r="A986">
        <v>52798</v>
      </c>
      <c r="B986" t="s">
        <v>3160</v>
      </c>
      <c r="C986">
        <v>47</v>
      </c>
      <c r="D986" t="s">
        <v>3059</v>
      </c>
      <c r="E986">
        <v>1</v>
      </c>
      <c r="F986" t="s">
        <v>7</v>
      </c>
      <c r="G986" t="s">
        <v>3087</v>
      </c>
    </row>
    <row r="987" spans="1:7" x14ac:dyDescent="0.25">
      <c r="A987">
        <v>52799</v>
      </c>
      <c r="B987" t="s">
        <v>3161</v>
      </c>
      <c r="C987">
        <v>47</v>
      </c>
      <c r="D987" t="s">
        <v>3059</v>
      </c>
      <c r="E987">
        <v>1</v>
      </c>
      <c r="F987" t="s">
        <v>7</v>
      </c>
      <c r="G987" t="s">
        <v>3087</v>
      </c>
    </row>
    <row r="988" spans="1:7" x14ac:dyDescent="0.25">
      <c r="A988">
        <v>52800</v>
      </c>
      <c r="B988" t="s">
        <v>3162</v>
      </c>
      <c r="C988">
        <v>47</v>
      </c>
      <c r="D988" t="s">
        <v>3059</v>
      </c>
      <c r="E988">
        <v>3</v>
      </c>
      <c r="F988" t="s">
        <v>7</v>
      </c>
      <c r="G988" t="s">
        <v>3087</v>
      </c>
    </row>
    <row r="989" spans="1:7" x14ac:dyDescent="0.25">
      <c r="A989">
        <v>52801</v>
      </c>
      <c r="B989" t="s">
        <v>3163</v>
      </c>
      <c r="C989">
        <v>47</v>
      </c>
      <c r="D989" t="s">
        <v>3059</v>
      </c>
      <c r="E989">
        <v>13</v>
      </c>
      <c r="F989" t="s">
        <v>7</v>
      </c>
      <c r="G989" t="s">
        <v>3087</v>
      </c>
    </row>
    <row r="990" spans="1:7" x14ac:dyDescent="0.25">
      <c r="A990">
        <v>52802</v>
      </c>
      <c r="B990" t="s">
        <v>3164</v>
      </c>
      <c r="C990">
        <v>47</v>
      </c>
      <c r="D990" t="s">
        <v>3059</v>
      </c>
      <c r="E990">
        <v>3</v>
      </c>
      <c r="F990" t="s">
        <v>7</v>
      </c>
      <c r="G990" t="s">
        <v>3087</v>
      </c>
    </row>
    <row r="991" spans="1:7" x14ac:dyDescent="0.25">
      <c r="A991">
        <v>52803</v>
      </c>
      <c r="B991" t="s">
        <v>3165</v>
      </c>
      <c r="C991">
        <v>47</v>
      </c>
      <c r="D991" t="s">
        <v>3059</v>
      </c>
      <c r="E991">
        <v>5</v>
      </c>
      <c r="F991" t="s">
        <v>7</v>
      </c>
      <c r="G991" t="s">
        <v>3087</v>
      </c>
    </row>
    <row r="992" spans="1:7" x14ac:dyDescent="0.25">
      <c r="A992">
        <v>52804</v>
      </c>
      <c r="B992" t="s">
        <v>3166</v>
      </c>
      <c r="C992">
        <v>47</v>
      </c>
      <c r="D992" t="s">
        <v>3059</v>
      </c>
      <c r="E992">
        <v>6</v>
      </c>
      <c r="F992" t="s">
        <v>7</v>
      </c>
      <c r="G992" t="s">
        <v>3087</v>
      </c>
    </row>
    <row r="993" spans="1:7" x14ac:dyDescent="0.25">
      <c r="A993">
        <v>52805</v>
      </c>
      <c r="B993" t="s">
        <v>3167</v>
      </c>
      <c r="C993">
        <v>47</v>
      </c>
      <c r="D993" t="s">
        <v>3059</v>
      </c>
      <c r="E993">
        <v>11</v>
      </c>
      <c r="F993" t="s">
        <v>7</v>
      </c>
      <c r="G993" t="s">
        <v>3087</v>
      </c>
    </row>
    <row r="994" spans="1:7" x14ac:dyDescent="0.25">
      <c r="A994">
        <v>52806</v>
      </c>
      <c r="B994" t="s">
        <v>3168</v>
      </c>
      <c r="C994">
        <v>47</v>
      </c>
      <c r="D994" t="s">
        <v>3059</v>
      </c>
      <c r="E994">
        <v>9</v>
      </c>
      <c r="F994" t="s">
        <v>7</v>
      </c>
      <c r="G994" t="s">
        <v>3087</v>
      </c>
    </row>
    <row r="995" spans="1:7" x14ac:dyDescent="0.25">
      <c r="A995">
        <v>52807</v>
      </c>
      <c r="B995" t="s">
        <v>3169</v>
      </c>
      <c r="C995">
        <v>47</v>
      </c>
      <c r="D995" t="s">
        <v>3059</v>
      </c>
      <c r="E995">
        <v>9</v>
      </c>
      <c r="F995" t="s">
        <v>7</v>
      </c>
      <c r="G995" t="s">
        <v>3087</v>
      </c>
    </row>
    <row r="996" spans="1:7" x14ac:dyDescent="0.25">
      <c r="A996">
        <v>52808</v>
      </c>
      <c r="B996" t="s">
        <v>3170</v>
      </c>
      <c r="C996">
        <v>47</v>
      </c>
      <c r="D996" t="s">
        <v>3059</v>
      </c>
      <c r="E996">
        <v>6</v>
      </c>
      <c r="F996" t="s">
        <v>7</v>
      </c>
      <c r="G996" t="s">
        <v>3087</v>
      </c>
    </row>
    <row r="997" spans="1:7" x14ac:dyDescent="0.25">
      <c r="A997">
        <v>52809</v>
      </c>
      <c r="B997" t="s">
        <v>3171</v>
      </c>
      <c r="C997">
        <v>47</v>
      </c>
      <c r="D997" t="s">
        <v>3059</v>
      </c>
      <c r="E997">
        <v>12</v>
      </c>
      <c r="F997" t="s">
        <v>7</v>
      </c>
      <c r="G997" t="s">
        <v>3087</v>
      </c>
    </row>
    <row r="998" spans="1:7" x14ac:dyDescent="0.25">
      <c r="A998">
        <v>52810</v>
      </c>
      <c r="B998" t="s">
        <v>3172</v>
      </c>
      <c r="C998">
        <v>47</v>
      </c>
      <c r="D998" t="s">
        <v>3059</v>
      </c>
      <c r="E998">
        <v>3</v>
      </c>
      <c r="F998" t="s">
        <v>7</v>
      </c>
      <c r="G998" t="s">
        <v>3087</v>
      </c>
    </row>
    <row r="999" spans="1:7" x14ac:dyDescent="0.25">
      <c r="A999">
        <v>52811</v>
      </c>
      <c r="B999" t="s">
        <v>3173</v>
      </c>
      <c r="C999">
        <v>47</v>
      </c>
      <c r="D999" t="s">
        <v>3059</v>
      </c>
      <c r="E999">
        <v>2</v>
      </c>
      <c r="F999" t="s">
        <v>7</v>
      </c>
      <c r="G999" t="s">
        <v>3087</v>
      </c>
    </row>
    <row r="1000" spans="1:7" x14ac:dyDescent="0.25">
      <c r="A1000">
        <v>52812</v>
      </c>
      <c r="B1000" t="s">
        <v>3174</v>
      </c>
      <c r="C1000">
        <v>47</v>
      </c>
      <c r="D1000" t="s">
        <v>3059</v>
      </c>
      <c r="E1000">
        <v>3</v>
      </c>
      <c r="F1000" t="s">
        <v>7</v>
      </c>
      <c r="G1000" t="s">
        <v>3087</v>
      </c>
    </row>
    <row r="1001" spans="1:7" x14ac:dyDescent="0.25">
      <c r="A1001">
        <v>52813</v>
      </c>
      <c r="B1001" t="s">
        <v>3175</v>
      </c>
      <c r="C1001">
        <v>47</v>
      </c>
      <c r="D1001" t="s">
        <v>3059</v>
      </c>
      <c r="E1001">
        <v>6</v>
      </c>
      <c r="F1001" t="s">
        <v>7</v>
      </c>
      <c r="G1001" t="s">
        <v>3087</v>
      </c>
    </row>
    <row r="1002" spans="1:7" x14ac:dyDescent="0.25">
      <c r="A1002">
        <v>52814</v>
      </c>
      <c r="B1002" t="s">
        <v>3176</v>
      </c>
      <c r="C1002">
        <v>47</v>
      </c>
      <c r="D1002" t="s">
        <v>3059</v>
      </c>
      <c r="E1002">
        <v>6</v>
      </c>
      <c r="F1002" t="s">
        <v>7</v>
      </c>
      <c r="G1002" t="s">
        <v>3087</v>
      </c>
    </row>
    <row r="1003" spans="1:7" x14ac:dyDescent="0.25">
      <c r="A1003">
        <v>52815</v>
      </c>
      <c r="B1003" t="s">
        <v>3177</v>
      </c>
      <c r="C1003">
        <v>47</v>
      </c>
      <c r="D1003" t="s">
        <v>3059</v>
      </c>
      <c r="E1003">
        <v>6</v>
      </c>
      <c r="F1003" t="s">
        <v>7</v>
      </c>
      <c r="G1003" t="s">
        <v>3087</v>
      </c>
    </row>
    <row r="1004" spans="1:7" x14ac:dyDescent="0.25">
      <c r="A1004">
        <v>52816</v>
      </c>
      <c r="B1004" t="s">
        <v>3178</v>
      </c>
      <c r="C1004">
        <v>47</v>
      </c>
      <c r="D1004" t="s">
        <v>3059</v>
      </c>
      <c r="E1004">
        <v>6</v>
      </c>
      <c r="F1004" t="s">
        <v>7</v>
      </c>
      <c r="G1004" t="s">
        <v>3087</v>
      </c>
    </row>
    <row r="1005" spans="1:7" x14ac:dyDescent="0.25">
      <c r="A1005">
        <v>52817</v>
      </c>
      <c r="B1005" t="s">
        <v>3179</v>
      </c>
      <c r="C1005">
        <v>47</v>
      </c>
      <c r="D1005" t="s">
        <v>3059</v>
      </c>
      <c r="E1005">
        <v>2</v>
      </c>
      <c r="F1005" t="s">
        <v>7</v>
      </c>
      <c r="G1005" t="s">
        <v>3087</v>
      </c>
    </row>
    <row r="1006" spans="1:7" x14ac:dyDescent="0.25">
      <c r="A1006">
        <v>52818</v>
      </c>
      <c r="B1006" t="s">
        <v>3180</v>
      </c>
      <c r="C1006">
        <v>47</v>
      </c>
      <c r="D1006" t="s">
        <v>3059</v>
      </c>
      <c r="E1006">
        <v>6</v>
      </c>
      <c r="F1006" t="s">
        <v>7</v>
      </c>
      <c r="G1006" t="s">
        <v>3087</v>
      </c>
    </row>
    <row r="1007" spans="1:7" x14ac:dyDescent="0.25">
      <c r="A1007">
        <v>52819</v>
      </c>
      <c r="B1007" t="s">
        <v>3181</v>
      </c>
      <c r="C1007">
        <v>47</v>
      </c>
      <c r="D1007" t="s">
        <v>3059</v>
      </c>
      <c r="E1007">
        <v>3</v>
      </c>
      <c r="F1007" t="s">
        <v>7</v>
      </c>
      <c r="G1007" t="s">
        <v>3087</v>
      </c>
    </row>
    <row r="1008" spans="1:7" x14ac:dyDescent="0.25">
      <c r="A1008">
        <v>52820</v>
      </c>
      <c r="B1008" t="s">
        <v>3182</v>
      </c>
      <c r="C1008">
        <v>47</v>
      </c>
      <c r="D1008" t="s">
        <v>3059</v>
      </c>
      <c r="E1008">
        <v>3</v>
      </c>
      <c r="F1008" t="s">
        <v>7</v>
      </c>
      <c r="G1008" t="s">
        <v>3087</v>
      </c>
    </row>
    <row r="1009" spans="1:7" x14ac:dyDescent="0.25">
      <c r="A1009">
        <v>52841</v>
      </c>
      <c r="B1009" t="s">
        <v>16097</v>
      </c>
      <c r="C1009">
        <v>47</v>
      </c>
      <c r="D1009" t="s">
        <v>3059</v>
      </c>
      <c r="E1009">
        <v>5</v>
      </c>
      <c r="F1009" t="s">
        <v>7</v>
      </c>
      <c r="G1009" t="s">
        <v>3073</v>
      </c>
    </row>
    <row r="1010" spans="1:7" x14ac:dyDescent="0.25">
      <c r="A1010">
        <v>52845</v>
      </c>
      <c r="B1010" t="s">
        <v>3183</v>
      </c>
      <c r="C1010">
        <v>47</v>
      </c>
      <c r="D1010" t="s">
        <v>3059</v>
      </c>
      <c r="E1010">
        <v>20</v>
      </c>
      <c r="F1010" t="s">
        <v>7</v>
      </c>
      <c r="G1010" t="s">
        <v>3087</v>
      </c>
    </row>
    <row r="1011" spans="1:7" x14ac:dyDescent="0.25">
      <c r="A1011">
        <v>52846</v>
      </c>
      <c r="B1011" t="s">
        <v>3184</v>
      </c>
      <c r="C1011">
        <v>47</v>
      </c>
      <c r="D1011" t="s">
        <v>3059</v>
      </c>
      <c r="E1011">
        <v>7</v>
      </c>
      <c r="F1011" t="s">
        <v>7</v>
      </c>
      <c r="G1011" t="s">
        <v>3087</v>
      </c>
    </row>
    <row r="1012" spans="1:7" x14ac:dyDescent="0.25">
      <c r="A1012">
        <v>52848</v>
      </c>
      <c r="B1012" t="s">
        <v>3185</v>
      </c>
      <c r="C1012">
        <v>47</v>
      </c>
      <c r="D1012" t="s">
        <v>3059</v>
      </c>
      <c r="E1012">
        <v>2</v>
      </c>
      <c r="F1012" t="s">
        <v>7</v>
      </c>
      <c r="G1012" t="s">
        <v>3087</v>
      </c>
    </row>
    <row r="1013" spans="1:7" x14ac:dyDescent="0.25">
      <c r="A1013">
        <v>52849</v>
      </c>
      <c r="B1013" t="s">
        <v>3186</v>
      </c>
      <c r="C1013">
        <v>47</v>
      </c>
      <c r="D1013" t="s">
        <v>3059</v>
      </c>
      <c r="E1013">
        <v>1</v>
      </c>
      <c r="F1013" t="s">
        <v>7</v>
      </c>
      <c r="G1013" t="s">
        <v>3087</v>
      </c>
    </row>
    <row r="1014" spans="1:7" x14ac:dyDescent="0.25">
      <c r="A1014">
        <v>52850</v>
      </c>
      <c r="B1014" t="s">
        <v>3187</v>
      </c>
      <c r="C1014">
        <v>47</v>
      </c>
      <c r="D1014" t="s">
        <v>3059</v>
      </c>
      <c r="E1014">
        <v>4</v>
      </c>
      <c r="F1014" t="s">
        <v>7</v>
      </c>
      <c r="G1014" t="s">
        <v>3087</v>
      </c>
    </row>
    <row r="1015" spans="1:7" x14ac:dyDescent="0.25">
      <c r="A1015">
        <v>52851</v>
      </c>
      <c r="B1015" t="s">
        <v>3188</v>
      </c>
      <c r="C1015">
        <v>47</v>
      </c>
      <c r="D1015" t="s">
        <v>3059</v>
      </c>
      <c r="E1015">
        <v>12</v>
      </c>
      <c r="F1015" t="s">
        <v>7</v>
      </c>
      <c r="G1015" t="s">
        <v>3087</v>
      </c>
    </row>
    <row r="1016" spans="1:7" x14ac:dyDescent="0.25">
      <c r="A1016">
        <v>52852</v>
      </c>
      <c r="B1016" t="s">
        <v>3189</v>
      </c>
      <c r="C1016">
        <v>47</v>
      </c>
      <c r="D1016" t="s">
        <v>3059</v>
      </c>
      <c r="E1016">
        <v>12</v>
      </c>
      <c r="F1016" t="s">
        <v>7</v>
      </c>
      <c r="G1016" t="s">
        <v>3087</v>
      </c>
    </row>
    <row r="1017" spans="1:7" x14ac:dyDescent="0.25">
      <c r="A1017">
        <v>52853</v>
      </c>
      <c r="B1017" t="s">
        <v>3190</v>
      </c>
      <c r="C1017">
        <v>47</v>
      </c>
      <c r="D1017" t="s">
        <v>3059</v>
      </c>
      <c r="E1017">
        <v>1</v>
      </c>
      <c r="F1017" t="s">
        <v>7</v>
      </c>
      <c r="G1017" t="s">
        <v>3087</v>
      </c>
    </row>
    <row r="1018" spans="1:7" x14ac:dyDescent="0.25">
      <c r="A1018">
        <v>52854</v>
      </c>
      <c r="B1018" t="s">
        <v>3191</v>
      </c>
      <c r="C1018">
        <v>47</v>
      </c>
      <c r="D1018" t="s">
        <v>3059</v>
      </c>
      <c r="E1018">
        <v>12</v>
      </c>
      <c r="F1018" t="s">
        <v>7</v>
      </c>
      <c r="G1018" t="s">
        <v>3087</v>
      </c>
    </row>
    <row r="1019" spans="1:7" x14ac:dyDescent="0.25">
      <c r="A1019">
        <v>52855</v>
      </c>
      <c r="B1019" t="s">
        <v>3192</v>
      </c>
      <c r="C1019">
        <v>47</v>
      </c>
      <c r="D1019" t="s">
        <v>3059</v>
      </c>
      <c r="E1019">
        <v>4</v>
      </c>
      <c r="F1019" t="s">
        <v>7</v>
      </c>
      <c r="G1019" t="s">
        <v>3087</v>
      </c>
    </row>
    <row r="1020" spans="1:7" x14ac:dyDescent="0.25">
      <c r="A1020">
        <v>52856</v>
      </c>
      <c r="B1020" t="s">
        <v>3193</v>
      </c>
      <c r="C1020">
        <v>47</v>
      </c>
      <c r="D1020" t="s">
        <v>3059</v>
      </c>
      <c r="E1020">
        <v>6</v>
      </c>
      <c r="F1020" t="s">
        <v>7</v>
      </c>
      <c r="G1020" t="s">
        <v>3087</v>
      </c>
    </row>
    <row r="1021" spans="1:7" x14ac:dyDescent="0.25">
      <c r="A1021">
        <v>52858</v>
      </c>
      <c r="B1021" t="s">
        <v>3194</v>
      </c>
      <c r="C1021">
        <v>47</v>
      </c>
      <c r="D1021" t="s">
        <v>3059</v>
      </c>
      <c r="E1021">
        <v>1</v>
      </c>
      <c r="F1021" t="s">
        <v>7</v>
      </c>
      <c r="G1021" t="s">
        <v>3087</v>
      </c>
    </row>
    <row r="1022" spans="1:7" x14ac:dyDescent="0.25">
      <c r="A1022">
        <v>52884</v>
      </c>
      <c r="B1022" t="s">
        <v>17526</v>
      </c>
      <c r="C1022">
        <v>47</v>
      </c>
      <c r="D1022" t="s">
        <v>3059</v>
      </c>
      <c r="E1022">
        <v>10</v>
      </c>
      <c r="F1022" t="s">
        <v>7</v>
      </c>
      <c r="G1022" t="s">
        <v>3070</v>
      </c>
    </row>
    <row r="1023" spans="1:7" x14ac:dyDescent="0.25">
      <c r="A1023">
        <v>52891</v>
      </c>
      <c r="B1023" t="s">
        <v>17527</v>
      </c>
      <c r="C1023">
        <v>47</v>
      </c>
      <c r="D1023" t="s">
        <v>3059</v>
      </c>
      <c r="E1023">
        <v>5</v>
      </c>
      <c r="F1023" t="s">
        <v>7</v>
      </c>
      <c r="G1023" t="s">
        <v>3070</v>
      </c>
    </row>
    <row r="1024" spans="1:7" x14ac:dyDescent="0.25">
      <c r="A1024">
        <v>52893</v>
      </c>
      <c r="B1024" t="s">
        <v>17528</v>
      </c>
      <c r="C1024">
        <v>47</v>
      </c>
      <c r="D1024" t="s">
        <v>3059</v>
      </c>
      <c r="E1024">
        <v>3</v>
      </c>
      <c r="F1024" t="s">
        <v>7</v>
      </c>
      <c r="G1024" t="s">
        <v>3070</v>
      </c>
    </row>
    <row r="1025" spans="1:7" x14ac:dyDescent="0.25">
      <c r="A1025">
        <v>52899</v>
      </c>
      <c r="B1025" t="s">
        <v>17529</v>
      </c>
      <c r="C1025">
        <v>47</v>
      </c>
      <c r="D1025" t="s">
        <v>3059</v>
      </c>
      <c r="E1025">
        <v>100</v>
      </c>
      <c r="F1025" t="s">
        <v>7</v>
      </c>
      <c r="G1025" t="s">
        <v>3070</v>
      </c>
    </row>
    <row r="1026" spans="1:7" x14ac:dyDescent="0.25">
      <c r="A1026">
        <v>52900</v>
      </c>
      <c r="B1026" t="s">
        <v>17530</v>
      </c>
      <c r="C1026">
        <v>47</v>
      </c>
      <c r="D1026" t="s">
        <v>3059</v>
      </c>
      <c r="E1026">
        <v>120</v>
      </c>
      <c r="F1026" t="s">
        <v>7</v>
      </c>
      <c r="G1026" t="s">
        <v>3070</v>
      </c>
    </row>
    <row r="1027" spans="1:7" x14ac:dyDescent="0.25">
      <c r="A1027">
        <v>52901</v>
      </c>
      <c r="B1027" t="s">
        <v>17496</v>
      </c>
      <c r="C1027">
        <v>47</v>
      </c>
      <c r="D1027" t="s">
        <v>3059</v>
      </c>
      <c r="E1027">
        <v>55</v>
      </c>
      <c r="F1027" t="s">
        <v>7</v>
      </c>
      <c r="G1027" t="s">
        <v>3070</v>
      </c>
    </row>
    <row r="1028" spans="1:7" x14ac:dyDescent="0.25">
      <c r="A1028">
        <v>52902</v>
      </c>
      <c r="B1028" t="s">
        <v>16887</v>
      </c>
      <c r="C1028">
        <v>47</v>
      </c>
      <c r="D1028" t="s">
        <v>3059</v>
      </c>
      <c r="E1028">
        <v>27</v>
      </c>
      <c r="F1028" t="s">
        <v>7</v>
      </c>
      <c r="G1028" t="s">
        <v>3070</v>
      </c>
    </row>
    <row r="1029" spans="1:7" x14ac:dyDescent="0.25">
      <c r="A1029">
        <v>52913</v>
      </c>
      <c r="B1029" t="s">
        <v>16098</v>
      </c>
      <c r="C1029">
        <v>47</v>
      </c>
      <c r="D1029" t="s">
        <v>3059</v>
      </c>
      <c r="E1029">
        <v>294</v>
      </c>
      <c r="F1029" t="s">
        <v>7</v>
      </c>
      <c r="G1029" t="s">
        <v>3103</v>
      </c>
    </row>
    <row r="1030" spans="1:7" x14ac:dyDescent="0.25">
      <c r="A1030">
        <v>52920</v>
      </c>
      <c r="B1030" t="s">
        <v>16113</v>
      </c>
      <c r="C1030">
        <v>47</v>
      </c>
      <c r="D1030" t="s">
        <v>3059</v>
      </c>
      <c r="E1030">
        <v>24</v>
      </c>
      <c r="F1030" t="s">
        <v>7</v>
      </c>
      <c r="G1030" t="s">
        <v>3073</v>
      </c>
    </row>
    <row r="1031" spans="1:7" x14ac:dyDescent="0.25">
      <c r="A1031">
        <v>52921</v>
      </c>
      <c r="B1031" t="s">
        <v>17497</v>
      </c>
      <c r="C1031">
        <v>47</v>
      </c>
      <c r="D1031" t="s">
        <v>3059</v>
      </c>
      <c r="E1031">
        <v>15</v>
      </c>
      <c r="F1031" t="s">
        <v>7</v>
      </c>
      <c r="G1031" t="s">
        <v>3073</v>
      </c>
    </row>
    <row r="1032" spans="1:7" x14ac:dyDescent="0.25">
      <c r="A1032">
        <v>52922</v>
      </c>
      <c r="B1032" t="s">
        <v>16115</v>
      </c>
      <c r="C1032">
        <v>47</v>
      </c>
      <c r="D1032" t="s">
        <v>3059</v>
      </c>
      <c r="E1032">
        <v>17</v>
      </c>
      <c r="F1032" t="s">
        <v>7</v>
      </c>
      <c r="G1032" t="s">
        <v>3073</v>
      </c>
    </row>
    <row r="1033" spans="1:7" x14ac:dyDescent="0.25">
      <c r="A1033">
        <v>52924</v>
      </c>
      <c r="B1033" t="s">
        <v>16117</v>
      </c>
      <c r="C1033">
        <v>47</v>
      </c>
      <c r="D1033" t="s">
        <v>3059</v>
      </c>
      <c r="E1033">
        <v>9</v>
      </c>
      <c r="F1033" t="s">
        <v>7</v>
      </c>
      <c r="G1033" t="s">
        <v>3073</v>
      </c>
    </row>
    <row r="1034" spans="1:7" x14ac:dyDescent="0.25">
      <c r="A1034">
        <v>52925</v>
      </c>
      <c r="B1034" t="s">
        <v>16118</v>
      </c>
      <c r="C1034">
        <v>47</v>
      </c>
      <c r="D1034" t="s">
        <v>3059</v>
      </c>
      <c r="E1034">
        <v>1</v>
      </c>
      <c r="F1034" t="s">
        <v>7</v>
      </c>
      <c r="G1034" t="s">
        <v>3073</v>
      </c>
    </row>
    <row r="1035" spans="1:7" x14ac:dyDescent="0.25">
      <c r="A1035">
        <v>52926</v>
      </c>
      <c r="B1035" t="s">
        <v>16119</v>
      </c>
      <c r="C1035">
        <v>47</v>
      </c>
      <c r="D1035" t="s">
        <v>3059</v>
      </c>
      <c r="E1035">
        <v>4</v>
      </c>
      <c r="F1035" t="s">
        <v>7</v>
      </c>
      <c r="G1035" t="s">
        <v>3073</v>
      </c>
    </row>
    <row r="1036" spans="1:7" x14ac:dyDescent="0.25">
      <c r="A1036">
        <v>52927</v>
      </c>
      <c r="B1036" t="s">
        <v>16120</v>
      </c>
      <c r="C1036">
        <v>47</v>
      </c>
      <c r="D1036" t="s">
        <v>3059</v>
      </c>
      <c r="E1036">
        <v>5</v>
      </c>
      <c r="F1036" t="s">
        <v>7</v>
      </c>
      <c r="G1036" t="s">
        <v>3073</v>
      </c>
    </row>
    <row r="1037" spans="1:7" x14ac:dyDescent="0.25">
      <c r="A1037">
        <v>52933</v>
      </c>
      <c r="B1037" t="s">
        <v>16121</v>
      </c>
      <c r="C1037">
        <v>47</v>
      </c>
      <c r="D1037" t="s">
        <v>3059</v>
      </c>
      <c r="E1037">
        <v>6</v>
      </c>
      <c r="F1037" t="s">
        <v>7</v>
      </c>
      <c r="G1037" t="s">
        <v>3066</v>
      </c>
    </row>
    <row r="1038" spans="1:7" x14ac:dyDescent="0.25">
      <c r="A1038">
        <v>52934</v>
      </c>
      <c r="B1038" t="s">
        <v>16122</v>
      </c>
      <c r="C1038">
        <v>47</v>
      </c>
      <c r="D1038" t="s">
        <v>3059</v>
      </c>
      <c r="E1038">
        <v>6</v>
      </c>
      <c r="F1038" t="s">
        <v>7</v>
      </c>
      <c r="G1038" t="s">
        <v>3066</v>
      </c>
    </row>
    <row r="1039" spans="1:7" x14ac:dyDescent="0.25">
      <c r="A1039">
        <v>52937</v>
      </c>
      <c r="B1039" t="s">
        <v>16125</v>
      </c>
      <c r="C1039">
        <v>47</v>
      </c>
      <c r="D1039" t="s">
        <v>3059</v>
      </c>
      <c r="E1039">
        <v>16</v>
      </c>
      <c r="F1039" t="s">
        <v>7</v>
      </c>
      <c r="G1039" t="s">
        <v>3066</v>
      </c>
    </row>
    <row r="1040" spans="1:7" x14ac:dyDescent="0.25">
      <c r="A1040">
        <v>52938</v>
      </c>
      <c r="B1040" t="s">
        <v>16126</v>
      </c>
      <c r="C1040">
        <v>47</v>
      </c>
      <c r="D1040" t="s">
        <v>3059</v>
      </c>
      <c r="E1040">
        <v>7</v>
      </c>
      <c r="F1040" t="s">
        <v>7</v>
      </c>
      <c r="G1040" t="s">
        <v>3066</v>
      </c>
    </row>
    <row r="1041" spans="1:7" x14ac:dyDescent="0.25">
      <c r="A1041">
        <v>52939</v>
      </c>
      <c r="B1041" t="s">
        <v>16127</v>
      </c>
      <c r="C1041">
        <v>47</v>
      </c>
      <c r="D1041" t="s">
        <v>3059</v>
      </c>
      <c r="E1041">
        <v>12</v>
      </c>
      <c r="F1041" t="s">
        <v>7</v>
      </c>
      <c r="G1041" t="s">
        <v>3066</v>
      </c>
    </row>
    <row r="1042" spans="1:7" x14ac:dyDescent="0.25">
      <c r="A1042">
        <v>52940</v>
      </c>
      <c r="B1042" t="s">
        <v>16128</v>
      </c>
      <c r="C1042">
        <v>47</v>
      </c>
      <c r="D1042" t="s">
        <v>3059</v>
      </c>
      <c r="E1042">
        <v>10</v>
      </c>
      <c r="F1042" t="s">
        <v>7</v>
      </c>
      <c r="G1042" t="s">
        <v>3066</v>
      </c>
    </row>
    <row r="1043" spans="1:7" x14ac:dyDescent="0.25">
      <c r="A1043">
        <v>52941</v>
      </c>
      <c r="B1043" t="s">
        <v>16129</v>
      </c>
      <c r="C1043">
        <v>47</v>
      </c>
      <c r="D1043" t="s">
        <v>3059</v>
      </c>
      <c r="E1043">
        <v>15</v>
      </c>
      <c r="F1043" t="s">
        <v>7</v>
      </c>
      <c r="G1043" t="s">
        <v>3066</v>
      </c>
    </row>
    <row r="1044" spans="1:7" x14ac:dyDescent="0.25">
      <c r="A1044">
        <v>52942</v>
      </c>
      <c r="B1044" t="s">
        <v>16130</v>
      </c>
      <c r="C1044">
        <v>47</v>
      </c>
      <c r="D1044" t="s">
        <v>3059</v>
      </c>
      <c r="E1044">
        <v>3</v>
      </c>
      <c r="F1044" t="s">
        <v>7</v>
      </c>
      <c r="G1044" t="s">
        <v>3066</v>
      </c>
    </row>
    <row r="1045" spans="1:7" x14ac:dyDescent="0.25">
      <c r="A1045">
        <v>52943</v>
      </c>
      <c r="B1045" t="s">
        <v>16131</v>
      </c>
      <c r="C1045">
        <v>47</v>
      </c>
      <c r="D1045" t="s">
        <v>3059</v>
      </c>
      <c r="E1045">
        <v>16</v>
      </c>
      <c r="F1045" t="s">
        <v>7</v>
      </c>
      <c r="G1045" t="s">
        <v>3066</v>
      </c>
    </row>
    <row r="1046" spans="1:7" x14ac:dyDescent="0.25">
      <c r="A1046">
        <v>52945</v>
      </c>
      <c r="B1046" t="s">
        <v>16613</v>
      </c>
      <c r="C1046">
        <v>47</v>
      </c>
      <c r="D1046" t="s">
        <v>3059</v>
      </c>
      <c r="E1046">
        <v>29</v>
      </c>
      <c r="F1046" t="s">
        <v>7</v>
      </c>
      <c r="G1046" t="s">
        <v>3062</v>
      </c>
    </row>
    <row r="1047" spans="1:7" x14ac:dyDescent="0.25">
      <c r="A1047">
        <v>52949</v>
      </c>
      <c r="B1047" t="s">
        <v>16617</v>
      </c>
      <c r="C1047">
        <v>47</v>
      </c>
      <c r="D1047" t="s">
        <v>3059</v>
      </c>
      <c r="E1047">
        <v>12</v>
      </c>
      <c r="F1047" t="s">
        <v>7</v>
      </c>
      <c r="G1047" t="s">
        <v>3062</v>
      </c>
    </row>
    <row r="1048" spans="1:7" x14ac:dyDescent="0.25">
      <c r="A1048">
        <v>52950</v>
      </c>
      <c r="B1048" t="s">
        <v>16618</v>
      </c>
      <c r="C1048">
        <v>47</v>
      </c>
      <c r="D1048" t="s">
        <v>3059</v>
      </c>
      <c r="E1048">
        <v>12</v>
      </c>
      <c r="F1048" t="s">
        <v>7</v>
      </c>
      <c r="G1048" t="s">
        <v>3062</v>
      </c>
    </row>
    <row r="1049" spans="1:7" x14ac:dyDescent="0.25">
      <c r="A1049">
        <v>52951</v>
      </c>
      <c r="B1049" t="s">
        <v>16619</v>
      </c>
      <c r="C1049">
        <v>47</v>
      </c>
      <c r="D1049" t="s">
        <v>3059</v>
      </c>
      <c r="E1049">
        <v>21</v>
      </c>
      <c r="F1049" t="s">
        <v>7</v>
      </c>
      <c r="G1049" t="s">
        <v>3062</v>
      </c>
    </row>
    <row r="1050" spans="1:7" x14ac:dyDescent="0.25">
      <c r="A1050">
        <v>52980</v>
      </c>
      <c r="B1050" t="s">
        <v>17498</v>
      </c>
      <c r="C1050">
        <v>47</v>
      </c>
      <c r="D1050" t="s">
        <v>3059</v>
      </c>
      <c r="E1050">
        <v>4</v>
      </c>
      <c r="F1050" t="s">
        <v>7</v>
      </c>
      <c r="G1050" t="s">
        <v>3087</v>
      </c>
    </row>
    <row r="1051" spans="1:7" x14ac:dyDescent="0.25">
      <c r="A1051">
        <v>52981</v>
      </c>
      <c r="B1051" t="s">
        <v>17499</v>
      </c>
      <c r="C1051">
        <v>47</v>
      </c>
      <c r="D1051" t="s">
        <v>3059</v>
      </c>
      <c r="E1051">
        <v>6</v>
      </c>
      <c r="F1051" t="s">
        <v>7</v>
      </c>
      <c r="G1051" t="s">
        <v>3087</v>
      </c>
    </row>
    <row r="1052" spans="1:7" x14ac:dyDescent="0.25">
      <c r="A1052">
        <v>52982</v>
      </c>
      <c r="B1052" t="s">
        <v>17500</v>
      </c>
      <c r="C1052">
        <v>47</v>
      </c>
      <c r="D1052" t="s">
        <v>3059</v>
      </c>
      <c r="E1052">
        <v>1</v>
      </c>
      <c r="F1052" t="s">
        <v>7</v>
      </c>
      <c r="G1052" t="s">
        <v>3087</v>
      </c>
    </row>
    <row r="1053" spans="1:7" x14ac:dyDescent="0.25">
      <c r="A1053">
        <v>52984</v>
      </c>
      <c r="B1053" t="s">
        <v>17501</v>
      </c>
      <c r="C1053">
        <v>47</v>
      </c>
      <c r="D1053" t="s">
        <v>3059</v>
      </c>
      <c r="E1053">
        <v>1</v>
      </c>
      <c r="F1053" t="s">
        <v>7</v>
      </c>
      <c r="G1053" t="s">
        <v>3087</v>
      </c>
    </row>
    <row r="1054" spans="1:7" x14ac:dyDescent="0.25">
      <c r="A1054">
        <v>52986</v>
      </c>
      <c r="B1054" t="s">
        <v>17502</v>
      </c>
      <c r="C1054">
        <v>47</v>
      </c>
      <c r="D1054" t="s">
        <v>3059</v>
      </c>
      <c r="E1054">
        <v>5</v>
      </c>
      <c r="F1054" t="s">
        <v>7</v>
      </c>
      <c r="G1054" t="s">
        <v>3087</v>
      </c>
    </row>
    <row r="1055" spans="1:7" x14ac:dyDescent="0.25">
      <c r="A1055">
        <v>52987</v>
      </c>
      <c r="B1055" t="s">
        <v>17503</v>
      </c>
      <c r="C1055">
        <v>47</v>
      </c>
      <c r="D1055" t="s">
        <v>3059</v>
      </c>
      <c r="E1055">
        <v>2</v>
      </c>
      <c r="F1055" t="s">
        <v>7</v>
      </c>
      <c r="G1055" t="s">
        <v>3087</v>
      </c>
    </row>
    <row r="1056" spans="1:7" x14ac:dyDescent="0.25">
      <c r="A1056">
        <v>52988</v>
      </c>
      <c r="B1056" t="s">
        <v>17504</v>
      </c>
      <c r="C1056">
        <v>47</v>
      </c>
      <c r="D1056" t="s">
        <v>3059</v>
      </c>
      <c r="E1056">
        <v>4</v>
      </c>
      <c r="F1056" t="s">
        <v>7</v>
      </c>
      <c r="G1056" t="s">
        <v>3087</v>
      </c>
    </row>
    <row r="1057" spans="1:7" x14ac:dyDescent="0.25">
      <c r="A1057">
        <v>52989</v>
      </c>
      <c r="B1057" t="s">
        <v>17505</v>
      </c>
      <c r="C1057">
        <v>47</v>
      </c>
      <c r="D1057" t="s">
        <v>3059</v>
      </c>
      <c r="E1057">
        <v>4</v>
      </c>
      <c r="F1057" t="s">
        <v>7</v>
      </c>
      <c r="G1057" t="s">
        <v>3087</v>
      </c>
    </row>
    <row r="1058" spans="1:7" x14ac:dyDescent="0.25">
      <c r="A1058">
        <v>52990</v>
      </c>
      <c r="B1058" t="s">
        <v>17506</v>
      </c>
      <c r="C1058">
        <v>47</v>
      </c>
      <c r="D1058" t="s">
        <v>3059</v>
      </c>
      <c r="E1058">
        <v>4</v>
      </c>
      <c r="F1058" t="s">
        <v>7</v>
      </c>
      <c r="G1058" t="s">
        <v>3087</v>
      </c>
    </row>
    <row r="1059" spans="1:7" x14ac:dyDescent="0.25">
      <c r="A1059">
        <v>52991</v>
      </c>
      <c r="B1059" t="s">
        <v>17507</v>
      </c>
      <c r="C1059">
        <v>47</v>
      </c>
      <c r="D1059" t="s">
        <v>3059</v>
      </c>
      <c r="E1059">
        <v>1</v>
      </c>
      <c r="F1059" t="s">
        <v>7</v>
      </c>
      <c r="G1059" t="s">
        <v>3087</v>
      </c>
    </row>
    <row r="1060" spans="1:7" x14ac:dyDescent="0.25">
      <c r="A1060">
        <v>52992</v>
      </c>
      <c r="B1060" t="s">
        <v>17508</v>
      </c>
      <c r="C1060">
        <v>47</v>
      </c>
      <c r="D1060" t="s">
        <v>3059</v>
      </c>
      <c r="E1060">
        <v>10</v>
      </c>
      <c r="F1060" t="s">
        <v>7</v>
      </c>
      <c r="G1060" t="s">
        <v>3087</v>
      </c>
    </row>
    <row r="1061" spans="1:7" x14ac:dyDescent="0.25">
      <c r="A1061">
        <v>52993</v>
      </c>
      <c r="B1061" t="s">
        <v>17509</v>
      </c>
      <c r="C1061">
        <v>47</v>
      </c>
      <c r="D1061" t="s">
        <v>3059</v>
      </c>
      <c r="E1061">
        <v>5</v>
      </c>
      <c r="F1061" t="s">
        <v>7</v>
      </c>
      <c r="G1061" t="s">
        <v>3087</v>
      </c>
    </row>
    <row r="1062" spans="1:7" x14ac:dyDescent="0.25">
      <c r="A1062">
        <v>52994</v>
      </c>
      <c r="B1062" t="s">
        <v>17510</v>
      </c>
      <c r="C1062">
        <v>47</v>
      </c>
      <c r="D1062" t="s">
        <v>3059</v>
      </c>
      <c r="E1062">
        <v>2</v>
      </c>
      <c r="F1062" t="s">
        <v>7</v>
      </c>
      <c r="G1062" t="s">
        <v>3087</v>
      </c>
    </row>
    <row r="1063" spans="1:7" x14ac:dyDescent="0.25">
      <c r="A1063">
        <v>52995</v>
      </c>
      <c r="B1063" t="s">
        <v>17511</v>
      </c>
      <c r="C1063">
        <v>47</v>
      </c>
      <c r="D1063" t="s">
        <v>3059</v>
      </c>
      <c r="E1063">
        <v>1</v>
      </c>
      <c r="F1063" t="s">
        <v>7</v>
      </c>
      <c r="G1063" t="s">
        <v>3087</v>
      </c>
    </row>
    <row r="1064" spans="1:7" x14ac:dyDescent="0.25">
      <c r="A1064">
        <v>5301</v>
      </c>
      <c r="B1064" t="s">
        <v>2013</v>
      </c>
      <c r="C1064">
        <v>47</v>
      </c>
      <c r="D1064" t="s">
        <v>3059</v>
      </c>
      <c r="E1064">
        <v>5</v>
      </c>
      <c r="F1064" t="s">
        <v>7</v>
      </c>
      <c r="G1064" t="s">
        <v>3064</v>
      </c>
    </row>
    <row r="1065" spans="1:7" x14ac:dyDescent="0.25">
      <c r="A1065">
        <v>5306</v>
      </c>
      <c r="B1065" t="s">
        <v>2015</v>
      </c>
      <c r="C1065">
        <v>47</v>
      </c>
      <c r="D1065" t="s">
        <v>3059</v>
      </c>
      <c r="E1065">
        <v>57</v>
      </c>
      <c r="F1065" t="s">
        <v>7</v>
      </c>
      <c r="G1065" t="s">
        <v>3064</v>
      </c>
    </row>
    <row r="1066" spans="1:7" x14ac:dyDescent="0.25">
      <c r="A1066">
        <v>5307</v>
      </c>
      <c r="B1066" t="s">
        <v>2016</v>
      </c>
      <c r="C1066">
        <v>47</v>
      </c>
      <c r="D1066" t="s">
        <v>3059</v>
      </c>
      <c r="E1066">
        <v>1</v>
      </c>
      <c r="F1066" t="s">
        <v>7</v>
      </c>
      <c r="G1066" t="s">
        <v>3064</v>
      </c>
    </row>
    <row r="1067" spans="1:7" x14ac:dyDescent="0.25">
      <c r="A1067">
        <v>5308</v>
      </c>
      <c r="B1067" t="s">
        <v>2017</v>
      </c>
      <c r="C1067">
        <v>47</v>
      </c>
      <c r="D1067" t="s">
        <v>3059</v>
      </c>
      <c r="E1067">
        <v>13</v>
      </c>
      <c r="F1067" t="s">
        <v>7</v>
      </c>
      <c r="G1067" t="s">
        <v>3064</v>
      </c>
    </row>
    <row r="1068" spans="1:7" x14ac:dyDescent="0.25">
      <c r="A1068">
        <v>5318</v>
      </c>
      <c r="B1068" t="s">
        <v>2019</v>
      </c>
      <c r="C1068">
        <v>47</v>
      </c>
      <c r="D1068" t="s">
        <v>3059</v>
      </c>
      <c r="E1068">
        <v>30</v>
      </c>
      <c r="F1068" t="s">
        <v>7</v>
      </c>
      <c r="G1068" t="s">
        <v>3103</v>
      </c>
    </row>
    <row r="1069" spans="1:7" x14ac:dyDescent="0.25">
      <c r="A1069">
        <v>5322</v>
      </c>
      <c r="B1069" t="s">
        <v>2021</v>
      </c>
      <c r="C1069">
        <v>47</v>
      </c>
      <c r="D1069" t="s">
        <v>3059</v>
      </c>
      <c r="E1069">
        <v>33</v>
      </c>
      <c r="F1069" t="s">
        <v>7</v>
      </c>
      <c r="G1069" t="s">
        <v>3103</v>
      </c>
    </row>
    <row r="1070" spans="1:7" x14ac:dyDescent="0.25">
      <c r="A1070">
        <v>5324</v>
      </c>
      <c r="B1070" t="s">
        <v>2023</v>
      </c>
      <c r="C1070">
        <v>47</v>
      </c>
      <c r="D1070" t="s">
        <v>3059</v>
      </c>
      <c r="E1070">
        <v>4</v>
      </c>
      <c r="F1070" t="s">
        <v>7</v>
      </c>
      <c r="G1070" t="s">
        <v>3103</v>
      </c>
    </row>
    <row r="1071" spans="1:7" x14ac:dyDescent="0.25">
      <c r="A1071">
        <v>5325</v>
      </c>
      <c r="B1071" t="s">
        <v>2024</v>
      </c>
      <c r="C1071">
        <v>47</v>
      </c>
      <c r="D1071" t="s">
        <v>3059</v>
      </c>
      <c r="E1071">
        <v>7</v>
      </c>
      <c r="F1071" t="s">
        <v>7</v>
      </c>
      <c r="G1071" t="s">
        <v>3103</v>
      </c>
    </row>
    <row r="1072" spans="1:7" x14ac:dyDescent="0.25">
      <c r="A1072">
        <v>5339</v>
      </c>
      <c r="B1072" t="s">
        <v>2025</v>
      </c>
      <c r="C1072">
        <v>47</v>
      </c>
      <c r="D1072" t="s">
        <v>3059</v>
      </c>
      <c r="E1072">
        <v>1904</v>
      </c>
      <c r="F1072" t="s">
        <v>7</v>
      </c>
      <c r="G1072" t="s">
        <v>3064</v>
      </c>
    </row>
    <row r="1073" spans="1:7" x14ac:dyDescent="0.25">
      <c r="A1073">
        <v>5340</v>
      </c>
      <c r="B1073" t="s">
        <v>2026</v>
      </c>
      <c r="C1073">
        <v>47</v>
      </c>
      <c r="D1073" t="s">
        <v>3059</v>
      </c>
      <c r="E1073">
        <v>2</v>
      </c>
      <c r="F1073" t="s">
        <v>7</v>
      </c>
      <c r="G1073" t="s">
        <v>3064</v>
      </c>
    </row>
    <row r="1074" spans="1:7" x14ac:dyDescent="0.25">
      <c r="A1074">
        <v>5341</v>
      </c>
      <c r="B1074" t="s">
        <v>2027</v>
      </c>
      <c r="C1074">
        <v>47</v>
      </c>
      <c r="D1074" t="s">
        <v>3059</v>
      </c>
      <c r="E1074">
        <v>1</v>
      </c>
      <c r="F1074" t="s">
        <v>7</v>
      </c>
      <c r="G1074" t="s">
        <v>3064</v>
      </c>
    </row>
    <row r="1075" spans="1:7" x14ac:dyDescent="0.25">
      <c r="A1075">
        <v>5342</v>
      </c>
      <c r="B1075" t="s">
        <v>2028</v>
      </c>
      <c r="C1075">
        <v>47</v>
      </c>
      <c r="D1075" t="s">
        <v>3059</v>
      </c>
      <c r="E1075">
        <v>5</v>
      </c>
      <c r="F1075" t="s">
        <v>7</v>
      </c>
      <c r="G1075" t="s">
        <v>3064</v>
      </c>
    </row>
    <row r="1076" spans="1:7" x14ac:dyDescent="0.25">
      <c r="A1076">
        <v>5343</v>
      </c>
      <c r="B1076" t="s">
        <v>2029</v>
      </c>
      <c r="C1076">
        <v>47</v>
      </c>
      <c r="D1076" t="s">
        <v>3059</v>
      </c>
      <c r="E1076">
        <v>690</v>
      </c>
      <c r="F1076" t="s">
        <v>7</v>
      </c>
      <c r="G1076" t="s">
        <v>3064</v>
      </c>
    </row>
    <row r="1077" spans="1:7" x14ac:dyDescent="0.25">
      <c r="A1077">
        <v>5344</v>
      </c>
      <c r="B1077" t="s">
        <v>2030</v>
      </c>
      <c r="C1077">
        <v>47</v>
      </c>
      <c r="D1077" t="s">
        <v>3059</v>
      </c>
      <c r="E1077">
        <v>946</v>
      </c>
      <c r="F1077" t="s">
        <v>7</v>
      </c>
      <c r="G1077" t="s">
        <v>3064</v>
      </c>
    </row>
    <row r="1078" spans="1:7" x14ac:dyDescent="0.25">
      <c r="A1078">
        <v>5345</v>
      </c>
      <c r="B1078" t="s">
        <v>2031</v>
      </c>
      <c r="C1078">
        <v>47</v>
      </c>
      <c r="D1078" t="s">
        <v>3059</v>
      </c>
      <c r="E1078">
        <v>355</v>
      </c>
      <c r="F1078" t="s">
        <v>7</v>
      </c>
      <c r="G1078" t="s">
        <v>3064</v>
      </c>
    </row>
    <row r="1079" spans="1:7" x14ac:dyDescent="0.25">
      <c r="A1079">
        <v>5346</v>
      </c>
      <c r="B1079" t="s">
        <v>2032</v>
      </c>
      <c r="C1079">
        <v>47</v>
      </c>
      <c r="D1079" t="s">
        <v>3059</v>
      </c>
      <c r="E1079">
        <v>269</v>
      </c>
      <c r="F1079" t="s">
        <v>7</v>
      </c>
      <c r="G1079" t="s">
        <v>3064</v>
      </c>
    </row>
    <row r="1080" spans="1:7" x14ac:dyDescent="0.25">
      <c r="A1080">
        <v>5347</v>
      </c>
      <c r="B1080" t="s">
        <v>2033</v>
      </c>
      <c r="C1080">
        <v>47</v>
      </c>
      <c r="D1080" t="s">
        <v>3059</v>
      </c>
      <c r="E1080">
        <v>405</v>
      </c>
      <c r="F1080" t="s">
        <v>7</v>
      </c>
      <c r="G1080" t="s">
        <v>3064</v>
      </c>
    </row>
    <row r="1081" spans="1:7" x14ac:dyDescent="0.25">
      <c r="A1081">
        <v>5348</v>
      </c>
      <c r="B1081" t="s">
        <v>2034</v>
      </c>
      <c r="C1081">
        <v>47</v>
      </c>
      <c r="D1081" t="s">
        <v>3059</v>
      </c>
      <c r="E1081">
        <v>493</v>
      </c>
      <c r="F1081" t="s">
        <v>7</v>
      </c>
      <c r="G1081" t="s">
        <v>3064</v>
      </c>
    </row>
    <row r="1082" spans="1:7" x14ac:dyDescent="0.25">
      <c r="A1082">
        <v>5349</v>
      </c>
      <c r="B1082" t="s">
        <v>2035</v>
      </c>
      <c r="C1082">
        <v>47</v>
      </c>
      <c r="D1082" t="s">
        <v>3059</v>
      </c>
      <c r="E1082">
        <v>110</v>
      </c>
      <c r="F1082" t="s">
        <v>7</v>
      </c>
      <c r="G1082" t="s">
        <v>3064</v>
      </c>
    </row>
    <row r="1083" spans="1:7" x14ac:dyDescent="0.25">
      <c r="A1083">
        <v>5350</v>
      </c>
      <c r="B1083" t="s">
        <v>2036</v>
      </c>
      <c r="C1083">
        <v>47</v>
      </c>
      <c r="D1083" t="s">
        <v>3059</v>
      </c>
      <c r="E1083">
        <v>279</v>
      </c>
      <c r="F1083" t="s">
        <v>7</v>
      </c>
      <c r="G1083" t="s">
        <v>3064</v>
      </c>
    </row>
    <row r="1084" spans="1:7" x14ac:dyDescent="0.25">
      <c r="A1084">
        <v>5351</v>
      </c>
      <c r="B1084" t="s">
        <v>2037</v>
      </c>
      <c r="C1084">
        <v>47</v>
      </c>
      <c r="D1084" t="s">
        <v>3059</v>
      </c>
      <c r="E1084">
        <v>81</v>
      </c>
      <c r="F1084" t="s">
        <v>7</v>
      </c>
      <c r="G1084" t="s">
        <v>3064</v>
      </c>
    </row>
    <row r="1085" spans="1:7" x14ac:dyDescent="0.25">
      <c r="A1085">
        <v>5352</v>
      </c>
      <c r="B1085" t="s">
        <v>2038</v>
      </c>
      <c r="C1085">
        <v>47</v>
      </c>
      <c r="D1085" t="s">
        <v>3059</v>
      </c>
      <c r="E1085">
        <v>266</v>
      </c>
      <c r="F1085" t="s">
        <v>7</v>
      </c>
      <c r="G1085" t="s">
        <v>3064</v>
      </c>
    </row>
    <row r="1086" spans="1:7" x14ac:dyDescent="0.25">
      <c r="A1086">
        <v>5353</v>
      </c>
      <c r="B1086" t="s">
        <v>2039</v>
      </c>
      <c r="C1086">
        <v>47</v>
      </c>
      <c r="D1086" t="s">
        <v>3059</v>
      </c>
      <c r="E1086">
        <v>515</v>
      </c>
      <c r="F1086" t="s">
        <v>7</v>
      </c>
      <c r="G1086" t="s">
        <v>3064</v>
      </c>
    </row>
    <row r="1087" spans="1:7" x14ac:dyDescent="0.25">
      <c r="A1087">
        <v>5354</v>
      </c>
      <c r="B1087" t="s">
        <v>2040</v>
      </c>
      <c r="C1087">
        <v>47</v>
      </c>
      <c r="D1087" t="s">
        <v>3059</v>
      </c>
      <c r="E1087">
        <v>304</v>
      </c>
      <c r="F1087" t="s">
        <v>7</v>
      </c>
      <c r="G1087" t="s">
        <v>3064</v>
      </c>
    </row>
    <row r="1088" spans="1:7" x14ac:dyDescent="0.25">
      <c r="A1088">
        <v>5355</v>
      </c>
      <c r="B1088" t="s">
        <v>2041</v>
      </c>
      <c r="C1088">
        <v>47</v>
      </c>
      <c r="D1088" t="s">
        <v>3059</v>
      </c>
      <c r="E1088">
        <v>580</v>
      </c>
      <c r="F1088" t="s">
        <v>7</v>
      </c>
      <c r="G1088" t="s">
        <v>3064</v>
      </c>
    </row>
    <row r="1089" spans="1:7" x14ac:dyDescent="0.25">
      <c r="A1089">
        <v>5356</v>
      </c>
      <c r="B1089" t="s">
        <v>2042</v>
      </c>
      <c r="C1089">
        <v>47</v>
      </c>
      <c r="D1089" t="s">
        <v>3059</v>
      </c>
      <c r="E1089">
        <v>350</v>
      </c>
      <c r="F1089" t="s">
        <v>7</v>
      </c>
      <c r="G1089" t="s">
        <v>3064</v>
      </c>
    </row>
    <row r="1090" spans="1:7" x14ac:dyDescent="0.25">
      <c r="A1090">
        <v>5357</v>
      </c>
      <c r="B1090" t="s">
        <v>2043</v>
      </c>
      <c r="C1090">
        <v>47</v>
      </c>
      <c r="D1090" t="s">
        <v>3059</v>
      </c>
      <c r="E1090">
        <v>325</v>
      </c>
      <c r="F1090" t="s">
        <v>7</v>
      </c>
      <c r="G1090" t="s">
        <v>3064</v>
      </c>
    </row>
    <row r="1091" spans="1:7" x14ac:dyDescent="0.25">
      <c r="A1091">
        <v>5358</v>
      </c>
      <c r="B1091" t="s">
        <v>2044</v>
      </c>
      <c r="C1091">
        <v>47</v>
      </c>
      <c r="D1091" t="s">
        <v>3059</v>
      </c>
      <c r="E1091">
        <v>171</v>
      </c>
      <c r="F1091" t="s">
        <v>7</v>
      </c>
      <c r="G1091" t="s">
        <v>3064</v>
      </c>
    </row>
    <row r="1092" spans="1:7" x14ac:dyDescent="0.25">
      <c r="A1092">
        <v>5359</v>
      </c>
      <c r="B1092" t="s">
        <v>2045</v>
      </c>
      <c r="C1092">
        <v>47</v>
      </c>
      <c r="D1092" t="s">
        <v>3059</v>
      </c>
      <c r="E1092">
        <v>733</v>
      </c>
      <c r="F1092" t="s">
        <v>7</v>
      </c>
      <c r="G1092" t="s">
        <v>3064</v>
      </c>
    </row>
    <row r="1093" spans="1:7" x14ac:dyDescent="0.25">
      <c r="A1093">
        <v>5365</v>
      </c>
      <c r="B1093" t="s">
        <v>2046</v>
      </c>
      <c r="C1093">
        <v>47</v>
      </c>
      <c r="D1093" t="s">
        <v>3059</v>
      </c>
      <c r="E1093">
        <v>336</v>
      </c>
      <c r="F1093" t="s">
        <v>7</v>
      </c>
      <c r="G1093" t="s">
        <v>3064</v>
      </c>
    </row>
    <row r="1094" spans="1:7" x14ac:dyDescent="0.25">
      <c r="A1094">
        <v>5371</v>
      </c>
      <c r="B1094" t="s">
        <v>2047</v>
      </c>
      <c r="C1094">
        <v>47</v>
      </c>
      <c r="D1094" t="s">
        <v>3059</v>
      </c>
      <c r="E1094">
        <v>9</v>
      </c>
      <c r="F1094" t="s">
        <v>7</v>
      </c>
      <c r="G1094" t="s">
        <v>3064</v>
      </c>
    </row>
    <row r="1095" spans="1:7" x14ac:dyDescent="0.25">
      <c r="A1095">
        <v>5374</v>
      </c>
      <c r="B1095" t="s">
        <v>2048</v>
      </c>
      <c r="C1095">
        <v>47</v>
      </c>
      <c r="D1095" t="s">
        <v>3059</v>
      </c>
      <c r="E1095">
        <v>101</v>
      </c>
      <c r="F1095" t="s">
        <v>7</v>
      </c>
      <c r="G1095" t="s">
        <v>3064</v>
      </c>
    </row>
    <row r="1096" spans="1:7" x14ac:dyDescent="0.25">
      <c r="A1096">
        <v>5375</v>
      </c>
      <c r="B1096" t="s">
        <v>2049</v>
      </c>
      <c r="C1096">
        <v>47</v>
      </c>
      <c r="D1096" t="s">
        <v>3059</v>
      </c>
      <c r="E1096">
        <v>23</v>
      </c>
      <c r="F1096" t="s">
        <v>7</v>
      </c>
      <c r="G1096" t="s">
        <v>3064</v>
      </c>
    </row>
    <row r="1097" spans="1:7" x14ac:dyDescent="0.25">
      <c r="A1097">
        <v>5376</v>
      </c>
      <c r="B1097" t="s">
        <v>2050</v>
      </c>
      <c r="C1097">
        <v>47</v>
      </c>
      <c r="D1097" t="s">
        <v>3059</v>
      </c>
      <c r="E1097">
        <v>41</v>
      </c>
      <c r="F1097" t="s">
        <v>7</v>
      </c>
      <c r="G1097" t="s">
        <v>3064</v>
      </c>
    </row>
    <row r="1098" spans="1:7" x14ac:dyDescent="0.25">
      <c r="A1098">
        <v>5377</v>
      </c>
      <c r="B1098" t="s">
        <v>2051</v>
      </c>
      <c r="C1098">
        <v>47</v>
      </c>
      <c r="D1098" t="s">
        <v>3059</v>
      </c>
      <c r="E1098">
        <v>42</v>
      </c>
      <c r="F1098" t="s">
        <v>7</v>
      </c>
      <c r="G1098" t="s">
        <v>3064</v>
      </c>
    </row>
    <row r="1099" spans="1:7" x14ac:dyDescent="0.25">
      <c r="A1099">
        <v>5379</v>
      </c>
      <c r="B1099" t="s">
        <v>2052</v>
      </c>
      <c r="C1099">
        <v>47</v>
      </c>
      <c r="D1099" t="s">
        <v>3059</v>
      </c>
      <c r="E1099">
        <v>649</v>
      </c>
      <c r="F1099" t="s">
        <v>7</v>
      </c>
      <c r="G1099" t="s">
        <v>3064</v>
      </c>
    </row>
    <row r="1100" spans="1:7" x14ac:dyDescent="0.25">
      <c r="A1100">
        <v>5380</v>
      </c>
      <c r="B1100" t="s">
        <v>2053</v>
      </c>
      <c r="C1100">
        <v>47</v>
      </c>
      <c r="D1100" t="s">
        <v>3059</v>
      </c>
      <c r="E1100">
        <v>215</v>
      </c>
      <c r="F1100" t="s">
        <v>7</v>
      </c>
      <c r="G1100" t="s">
        <v>3064</v>
      </c>
    </row>
    <row r="1101" spans="1:7" x14ac:dyDescent="0.25">
      <c r="A1101">
        <v>5385</v>
      </c>
      <c r="B1101" t="s">
        <v>2054</v>
      </c>
      <c r="C1101">
        <v>47</v>
      </c>
      <c r="D1101" t="s">
        <v>3059</v>
      </c>
      <c r="E1101">
        <v>47</v>
      </c>
      <c r="F1101" t="s">
        <v>7</v>
      </c>
      <c r="G1101" t="s">
        <v>3064</v>
      </c>
    </row>
    <row r="1102" spans="1:7" x14ac:dyDescent="0.25">
      <c r="A1102">
        <v>5390</v>
      </c>
      <c r="B1102" t="s">
        <v>2055</v>
      </c>
      <c r="C1102">
        <v>47</v>
      </c>
      <c r="D1102" t="s">
        <v>3059</v>
      </c>
      <c r="E1102">
        <v>35</v>
      </c>
      <c r="F1102" t="s">
        <v>7</v>
      </c>
      <c r="G1102" t="s">
        <v>3064</v>
      </c>
    </row>
    <row r="1103" spans="1:7" x14ac:dyDescent="0.25">
      <c r="A1103">
        <v>5421</v>
      </c>
      <c r="B1103" t="s">
        <v>3195</v>
      </c>
      <c r="C1103">
        <v>47</v>
      </c>
      <c r="D1103" t="s">
        <v>3059</v>
      </c>
      <c r="E1103">
        <v>8</v>
      </c>
      <c r="F1103" t="s">
        <v>7</v>
      </c>
      <c r="G1103" t="s">
        <v>3110</v>
      </c>
    </row>
    <row r="1104" spans="1:7" x14ac:dyDescent="0.25">
      <c r="A1104">
        <v>5484</v>
      </c>
      <c r="B1104" t="s">
        <v>2062</v>
      </c>
      <c r="C1104">
        <v>47</v>
      </c>
      <c r="D1104" t="s">
        <v>3059</v>
      </c>
      <c r="E1104">
        <v>679</v>
      </c>
      <c r="F1104" t="s">
        <v>7</v>
      </c>
      <c r="G1104" t="s">
        <v>3110</v>
      </c>
    </row>
    <row r="1105" spans="1:7" x14ac:dyDescent="0.25">
      <c r="A1105">
        <v>5486</v>
      </c>
      <c r="B1105" t="s">
        <v>2063</v>
      </c>
      <c r="C1105">
        <v>47</v>
      </c>
      <c r="D1105" t="s">
        <v>3059</v>
      </c>
      <c r="E1105">
        <v>238</v>
      </c>
      <c r="F1105" t="s">
        <v>7</v>
      </c>
      <c r="G1105" t="s">
        <v>3110</v>
      </c>
    </row>
    <row r="1106" spans="1:7" x14ac:dyDescent="0.25">
      <c r="A1106">
        <v>5489</v>
      </c>
      <c r="B1106" t="s">
        <v>2065</v>
      </c>
      <c r="C1106">
        <v>47</v>
      </c>
      <c r="D1106" t="s">
        <v>3059</v>
      </c>
      <c r="E1106">
        <v>814</v>
      </c>
      <c r="F1106" t="s">
        <v>7</v>
      </c>
      <c r="G1106" t="s">
        <v>3110</v>
      </c>
    </row>
    <row r="1107" spans="1:7" x14ac:dyDescent="0.25">
      <c r="A1107">
        <v>5499</v>
      </c>
      <c r="B1107" t="s">
        <v>2068</v>
      </c>
      <c r="C1107">
        <v>47</v>
      </c>
      <c r="D1107" t="s">
        <v>3059</v>
      </c>
      <c r="E1107">
        <v>4</v>
      </c>
      <c r="F1107" t="s">
        <v>7</v>
      </c>
      <c r="G1107" t="s">
        <v>3116</v>
      </c>
    </row>
    <row r="1108" spans="1:7" x14ac:dyDescent="0.25">
      <c r="A1108">
        <v>5550</v>
      </c>
      <c r="B1108" t="s">
        <v>2075</v>
      </c>
      <c r="C1108">
        <v>47</v>
      </c>
      <c r="D1108" t="s">
        <v>3059</v>
      </c>
      <c r="E1108">
        <v>3</v>
      </c>
      <c r="F1108" t="s">
        <v>7</v>
      </c>
      <c r="G1108" t="s">
        <v>3064</v>
      </c>
    </row>
    <row r="1109" spans="1:7" x14ac:dyDescent="0.25">
      <c r="A1109">
        <v>5559</v>
      </c>
      <c r="B1109" t="s">
        <v>2076</v>
      </c>
      <c r="C1109">
        <v>47</v>
      </c>
      <c r="D1109" t="s">
        <v>3059</v>
      </c>
      <c r="E1109">
        <v>123</v>
      </c>
      <c r="F1109" t="s">
        <v>7</v>
      </c>
      <c r="G1109" t="s">
        <v>3110</v>
      </c>
    </row>
    <row r="1110" spans="1:7" x14ac:dyDescent="0.25">
      <c r="A1110">
        <v>5561</v>
      </c>
      <c r="B1110" t="s">
        <v>3196</v>
      </c>
      <c r="C1110">
        <v>47</v>
      </c>
      <c r="D1110" t="s">
        <v>3059</v>
      </c>
      <c r="E1110">
        <v>200</v>
      </c>
      <c r="F1110" t="s">
        <v>7</v>
      </c>
      <c r="G1110" t="s">
        <v>3115</v>
      </c>
    </row>
    <row r="1111" spans="1:7" x14ac:dyDescent="0.25">
      <c r="A1111">
        <v>5563</v>
      </c>
      <c r="B1111" t="s">
        <v>3197</v>
      </c>
      <c r="C1111">
        <v>47</v>
      </c>
      <c r="D1111" t="s">
        <v>3059</v>
      </c>
      <c r="E1111">
        <v>400</v>
      </c>
      <c r="F1111" t="s">
        <v>7</v>
      </c>
      <c r="G1111" t="s">
        <v>3115</v>
      </c>
    </row>
    <row r="1112" spans="1:7" x14ac:dyDescent="0.25">
      <c r="A1112">
        <v>5570</v>
      </c>
      <c r="B1112" t="s">
        <v>2081</v>
      </c>
      <c r="C1112">
        <v>47</v>
      </c>
      <c r="D1112" t="s">
        <v>3059</v>
      </c>
      <c r="E1112">
        <v>54</v>
      </c>
      <c r="F1112" t="s">
        <v>7</v>
      </c>
      <c r="G1112" t="s">
        <v>3110</v>
      </c>
    </row>
    <row r="1113" spans="1:7" x14ac:dyDescent="0.25">
      <c r="A1113">
        <v>5584</v>
      </c>
      <c r="B1113" t="s">
        <v>2085</v>
      </c>
      <c r="C1113">
        <v>47</v>
      </c>
      <c r="D1113" t="s">
        <v>3059</v>
      </c>
      <c r="E1113">
        <v>66</v>
      </c>
      <c r="F1113" t="s">
        <v>7</v>
      </c>
      <c r="G1113" t="s">
        <v>3110</v>
      </c>
    </row>
    <row r="1114" spans="1:7" x14ac:dyDescent="0.25">
      <c r="A1114">
        <v>5594</v>
      </c>
      <c r="B1114" t="s">
        <v>2086</v>
      </c>
      <c r="C1114">
        <v>47</v>
      </c>
      <c r="D1114" t="s">
        <v>3059</v>
      </c>
      <c r="E1114">
        <v>1</v>
      </c>
      <c r="F1114" t="s">
        <v>7</v>
      </c>
      <c r="G1114" t="s">
        <v>3110</v>
      </c>
    </row>
    <row r="1115" spans="1:7" x14ac:dyDescent="0.25">
      <c r="A1115">
        <v>5607</v>
      </c>
      <c r="B1115" t="s">
        <v>2089</v>
      </c>
      <c r="C1115">
        <v>47</v>
      </c>
      <c r="D1115" t="s">
        <v>3059</v>
      </c>
      <c r="E1115">
        <v>18</v>
      </c>
      <c r="F1115" t="s">
        <v>7</v>
      </c>
      <c r="G1115" t="s">
        <v>3110</v>
      </c>
    </row>
    <row r="1116" spans="1:7" x14ac:dyDescent="0.25">
      <c r="A1116">
        <v>5642</v>
      </c>
      <c r="B1116" t="s">
        <v>2090</v>
      </c>
      <c r="C1116">
        <v>47</v>
      </c>
      <c r="D1116" t="s">
        <v>3059</v>
      </c>
      <c r="E1116">
        <v>82</v>
      </c>
      <c r="F1116" t="s">
        <v>7</v>
      </c>
      <c r="G1116" t="s">
        <v>3110</v>
      </c>
    </row>
    <row r="1117" spans="1:7" x14ac:dyDescent="0.25">
      <c r="A1117">
        <v>5654</v>
      </c>
      <c r="B1117" t="s">
        <v>2092</v>
      </c>
      <c r="C1117">
        <v>47</v>
      </c>
      <c r="D1117" t="s">
        <v>3059</v>
      </c>
      <c r="E1117">
        <v>1</v>
      </c>
      <c r="F1117" t="s">
        <v>7</v>
      </c>
      <c r="G1117" t="s">
        <v>3110</v>
      </c>
    </row>
    <row r="1118" spans="1:7" x14ac:dyDescent="0.25">
      <c r="A1118">
        <v>5655</v>
      </c>
      <c r="B1118" t="s">
        <v>2093</v>
      </c>
      <c r="C1118">
        <v>47</v>
      </c>
      <c r="D1118" t="s">
        <v>3059</v>
      </c>
      <c r="E1118">
        <v>86</v>
      </c>
      <c r="F1118" t="s">
        <v>7</v>
      </c>
      <c r="G1118" t="s">
        <v>3110</v>
      </c>
    </row>
    <row r="1119" spans="1:7" x14ac:dyDescent="0.25">
      <c r="A1119">
        <v>5672</v>
      </c>
      <c r="B1119" t="s">
        <v>2096</v>
      </c>
      <c r="C1119">
        <v>47</v>
      </c>
      <c r="D1119" t="s">
        <v>3059</v>
      </c>
      <c r="E1119">
        <v>29</v>
      </c>
      <c r="F1119" t="s">
        <v>7</v>
      </c>
      <c r="G1119" t="s">
        <v>3108</v>
      </c>
    </row>
    <row r="1120" spans="1:7" x14ac:dyDescent="0.25">
      <c r="A1120">
        <v>5673</v>
      </c>
      <c r="B1120" t="s">
        <v>2097</v>
      </c>
      <c r="C1120">
        <v>47</v>
      </c>
      <c r="D1120" t="s">
        <v>3059</v>
      </c>
      <c r="E1120">
        <v>58</v>
      </c>
      <c r="F1120" t="s">
        <v>7</v>
      </c>
      <c r="G1120" t="s">
        <v>3110</v>
      </c>
    </row>
    <row r="1121" spans="1:7" x14ac:dyDescent="0.25">
      <c r="A1121">
        <v>5677</v>
      </c>
      <c r="B1121" t="s">
        <v>2099</v>
      </c>
      <c r="C1121">
        <v>47</v>
      </c>
      <c r="D1121" t="s">
        <v>3059</v>
      </c>
      <c r="E1121">
        <v>7</v>
      </c>
      <c r="F1121" t="s">
        <v>7</v>
      </c>
      <c r="G1121" t="s">
        <v>3103</v>
      </c>
    </row>
    <row r="1122" spans="1:7" x14ac:dyDescent="0.25">
      <c r="A1122">
        <v>5679</v>
      </c>
      <c r="B1122" t="s">
        <v>2100</v>
      </c>
      <c r="C1122">
        <v>47</v>
      </c>
      <c r="D1122" t="s">
        <v>3059</v>
      </c>
      <c r="E1122">
        <v>129</v>
      </c>
      <c r="F1122" t="s">
        <v>7</v>
      </c>
      <c r="G1122" t="s">
        <v>3109</v>
      </c>
    </row>
    <row r="1123" spans="1:7" x14ac:dyDescent="0.25">
      <c r="A1123">
        <v>5767</v>
      </c>
      <c r="B1123" t="s">
        <v>2106</v>
      </c>
      <c r="C1123">
        <v>47</v>
      </c>
      <c r="D1123" t="s">
        <v>3059</v>
      </c>
      <c r="E1123">
        <v>143</v>
      </c>
      <c r="F1123" t="s">
        <v>7</v>
      </c>
      <c r="G1123" t="s">
        <v>3062</v>
      </c>
    </row>
    <row r="1124" spans="1:7" x14ac:dyDescent="0.25">
      <c r="A1124">
        <v>5768</v>
      </c>
      <c r="B1124" t="s">
        <v>2107</v>
      </c>
      <c r="C1124">
        <v>47</v>
      </c>
      <c r="D1124" t="s">
        <v>3059</v>
      </c>
      <c r="E1124">
        <v>318</v>
      </c>
      <c r="F1124" t="s">
        <v>7</v>
      </c>
      <c r="G1124" t="s">
        <v>3064</v>
      </c>
    </row>
    <row r="1125" spans="1:7" x14ac:dyDescent="0.25">
      <c r="A1125">
        <v>5779</v>
      </c>
      <c r="B1125" t="s">
        <v>2109</v>
      </c>
      <c r="C1125">
        <v>47</v>
      </c>
      <c r="D1125" t="s">
        <v>3059</v>
      </c>
      <c r="E1125">
        <v>43</v>
      </c>
      <c r="F1125" t="s">
        <v>7</v>
      </c>
      <c r="G1125" t="s">
        <v>3108</v>
      </c>
    </row>
    <row r="1126" spans="1:7" x14ac:dyDescent="0.25">
      <c r="A1126">
        <v>5780</v>
      </c>
      <c r="B1126" t="s">
        <v>2110</v>
      </c>
      <c r="C1126">
        <v>47</v>
      </c>
      <c r="D1126" t="s">
        <v>3059</v>
      </c>
      <c r="E1126">
        <v>85</v>
      </c>
      <c r="F1126" t="s">
        <v>7</v>
      </c>
      <c r="G1126" t="s">
        <v>3064</v>
      </c>
    </row>
    <row r="1127" spans="1:7" x14ac:dyDescent="0.25">
      <c r="A1127">
        <v>5796</v>
      </c>
      <c r="B1127" t="s">
        <v>2112</v>
      </c>
      <c r="C1127">
        <v>47</v>
      </c>
      <c r="D1127" t="s">
        <v>3059</v>
      </c>
      <c r="E1127">
        <v>15</v>
      </c>
      <c r="F1127" t="s">
        <v>7</v>
      </c>
      <c r="G1127" t="s">
        <v>3073</v>
      </c>
    </row>
    <row r="1128" spans="1:7" x14ac:dyDescent="0.25">
      <c r="A1128">
        <v>5809</v>
      </c>
      <c r="B1128" t="s">
        <v>2113</v>
      </c>
      <c r="C1128">
        <v>47</v>
      </c>
      <c r="D1128" t="s">
        <v>3059</v>
      </c>
      <c r="E1128">
        <v>4</v>
      </c>
      <c r="F1128" t="s">
        <v>7</v>
      </c>
      <c r="G1128" t="s">
        <v>3108</v>
      </c>
    </row>
    <row r="1129" spans="1:7" x14ac:dyDescent="0.25">
      <c r="A1129">
        <v>5817</v>
      </c>
      <c r="B1129" t="s">
        <v>2114</v>
      </c>
      <c r="C1129">
        <v>47</v>
      </c>
      <c r="D1129" t="s">
        <v>3059</v>
      </c>
      <c r="E1129">
        <v>47</v>
      </c>
      <c r="F1129" t="s">
        <v>7</v>
      </c>
      <c r="G1129" t="s">
        <v>3073</v>
      </c>
    </row>
    <row r="1130" spans="1:7" x14ac:dyDescent="0.25">
      <c r="A1130">
        <v>5819</v>
      </c>
      <c r="B1130" t="s">
        <v>2115</v>
      </c>
      <c r="C1130">
        <v>47</v>
      </c>
      <c r="D1130" t="s">
        <v>3059</v>
      </c>
      <c r="E1130">
        <v>20</v>
      </c>
      <c r="F1130" t="s">
        <v>7</v>
      </c>
      <c r="G1130" t="s">
        <v>3073</v>
      </c>
    </row>
    <row r="1131" spans="1:7" x14ac:dyDescent="0.25">
      <c r="A1131">
        <v>5820</v>
      </c>
      <c r="B1131" t="s">
        <v>2116</v>
      </c>
      <c r="C1131">
        <v>47</v>
      </c>
      <c r="D1131" t="s">
        <v>3059</v>
      </c>
      <c r="E1131">
        <v>3</v>
      </c>
      <c r="F1131" t="s">
        <v>7</v>
      </c>
      <c r="G1131" t="s">
        <v>3073</v>
      </c>
    </row>
    <row r="1132" spans="1:7" x14ac:dyDescent="0.25">
      <c r="A1132">
        <v>5822</v>
      </c>
      <c r="B1132" t="s">
        <v>2117</v>
      </c>
      <c r="C1132">
        <v>47</v>
      </c>
      <c r="D1132" t="s">
        <v>3059</v>
      </c>
      <c r="E1132">
        <v>5</v>
      </c>
      <c r="F1132" t="s">
        <v>7</v>
      </c>
      <c r="G1132" t="s">
        <v>3103</v>
      </c>
    </row>
    <row r="1133" spans="1:7" x14ac:dyDescent="0.25">
      <c r="A1133">
        <v>5845</v>
      </c>
      <c r="B1133" t="s">
        <v>2119</v>
      </c>
      <c r="C1133">
        <v>47</v>
      </c>
      <c r="D1133" t="s">
        <v>3059</v>
      </c>
      <c r="E1133">
        <v>102</v>
      </c>
      <c r="F1133" t="s">
        <v>7</v>
      </c>
      <c r="G1133" t="s">
        <v>3115</v>
      </c>
    </row>
    <row r="1134" spans="1:7" x14ac:dyDescent="0.25">
      <c r="A1134">
        <v>5855</v>
      </c>
      <c r="B1134" t="s">
        <v>2121</v>
      </c>
      <c r="C1134">
        <v>47</v>
      </c>
      <c r="D1134" t="s">
        <v>3059</v>
      </c>
      <c r="E1134">
        <v>130</v>
      </c>
      <c r="F1134" t="s">
        <v>7</v>
      </c>
      <c r="G1134" t="s">
        <v>3115</v>
      </c>
    </row>
    <row r="1135" spans="1:7" x14ac:dyDescent="0.25">
      <c r="A1135">
        <v>5934</v>
      </c>
      <c r="B1135" t="s">
        <v>2126</v>
      </c>
      <c r="C1135">
        <v>47</v>
      </c>
      <c r="D1135" t="s">
        <v>3059</v>
      </c>
      <c r="E1135">
        <v>33</v>
      </c>
      <c r="F1135" t="s">
        <v>7</v>
      </c>
      <c r="G1135" t="s">
        <v>3110</v>
      </c>
    </row>
    <row r="1136" spans="1:7" x14ac:dyDescent="0.25">
      <c r="A1136">
        <v>5991</v>
      </c>
      <c r="B1136" t="s">
        <v>2131</v>
      </c>
      <c r="C1136">
        <v>47</v>
      </c>
      <c r="D1136" t="s">
        <v>3059</v>
      </c>
      <c r="E1136">
        <v>5</v>
      </c>
      <c r="F1136" t="s">
        <v>7</v>
      </c>
      <c r="G1136" t="s">
        <v>3114</v>
      </c>
    </row>
    <row r="1137" spans="1:7" x14ac:dyDescent="0.25">
      <c r="A1137">
        <v>6015</v>
      </c>
      <c r="B1137" t="s">
        <v>3198</v>
      </c>
      <c r="C1137">
        <v>47</v>
      </c>
      <c r="D1137" t="s">
        <v>3059</v>
      </c>
      <c r="E1137">
        <v>35</v>
      </c>
      <c r="F1137" t="s">
        <v>7</v>
      </c>
      <c r="G1137" t="s">
        <v>3110</v>
      </c>
    </row>
    <row r="1138" spans="1:7" x14ac:dyDescent="0.25">
      <c r="A1138">
        <v>6037</v>
      </c>
      <c r="B1138" t="s">
        <v>2136</v>
      </c>
      <c r="C1138">
        <v>47</v>
      </c>
      <c r="D1138" t="s">
        <v>3059</v>
      </c>
      <c r="E1138">
        <v>3</v>
      </c>
      <c r="F1138" t="s">
        <v>7</v>
      </c>
      <c r="G1138" t="s">
        <v>3088</v>
      </c>
    </row>
    <row r="1139" spans="1:7" x14ac:dyDescent="0.25">
      <c r="A1139">
        <v>6069</v>
      </c>
      <c r="B1139" t="s">
        <v>2138</v>
      </c>
      <c r="C1139">
        <v>47</v>
      </c>
      <c r="D1139" t="s">
        <v>3059</v>
      </c>
      <c r="E1139">
        <v>32</v>
      </c>
      <c r="F1139" t="s">
        <v>7</v>
      </c>
      <c r="G1139" t="s">
        <v>3110</v>
      </c>
    </row>
    <row r="1140" spans="1:7" x14ac:dyDescent="0.25">
      <c r="A1140">
        <v>6078</v>
      </c>
      <c r="B1140" t="s">
        <v>2140</v>
      </c>
      <c r="C1140">
        <v>47</v>
      </c>
      <c r="D1140" t="s">
        <v>3059</v>
      </c>
      <c r="E1140">
        <v>24</v>
      </c>
      <c r="F1140" t="s">
        <v>7</v>
      </c>
      <c r="G1140" t="s">
        <v>3114</v>
      </c>
    </row>
    <row r="1141" spans="1:7" x14ac:dyDescent="0.25">
      <c r="A1141">
        <v>6079</v>
      </c>
      <c r="B1141" t="s">
        <v>2141</v>
      </c>
      <c r="C1141">
        <v>47</v>
      </c>
      <c r="D1141" t="s">
        <v>3059</v>
      </c>
      <c r="E1141">
        <v>6</v>
      </c>
      <c r="F1141" t="s">
        <v>7</v>
      </c>
      <c r="G1141" t="s">
        <v>3114</v>
      </c>
    </row>
    <row r="1142" spans="1:7" x14ac:dyDescent="0.25">
      <c r="A1142">
        <v>6103</v>
      </c>
      <c r="B1142" t="s">
        <v>2143</v>
      </c>
      <c r="C1142">
        <v>47</v>
      </c>
      <c r="D1142" t="s">
        <v>3059</v>
      </c>
      <c r="E1142">
        <v>1</v>
      </c>
      <c r="F1142" t="s">
        <v>7</v>
      </c>
      <c r="G1142" t="s">
        <v>3110</v>
      </c>
    </row>
    <row r="1143" spans="1:7" x14ac:dyDescent="0.25">
      <c r="A1143">
        <v>6105</v>
      </c>
      <c r="B1143" t="s">
        <v>2145</v>
      </c>
      <c r="C1143">
        <v>47</v>
      </c>
      <c r="D1143" t="s">
        <v>3059</v>
      </c>
      <c r="E1143">
        <v>69</v>
      </c>
      <c r="F1143" t="s">
        <v>7</v>
      </c>
      <c r="G1143" t="s">
        <v>3110</v>
      </c>
    </row>
    <row r="1144" spans="1:7" x14ac:dyDescent="0.25">
      <c r="A1144">
        <v>6151</v>
      </c>
      <c r="B1144" t="s">
        <v>2151</v>
      </c>
      <c r="C1144">
        <v>47</v>
      </c>
      <c r="D1144" t="s">
        <v>3059</v>
      </c>
      <c r="E1144">
        <v>1</v>
      </c>
      <c r="F1144" t="s">
        <v>7</v>
      </c>
      <c r="G1144" t="s">
        <v>3110</v>
      </c>
    </row>
    <row r="1145" spans="1:7" x14ac:dyDescent="0.25">
      <c r="A1145">
        <v>6152</v>
      </c>
      <c r="B1145" t="s">
        <v>2152</v>
      </c>
      <c r="C1145">
        <v>47</v>
      </c>
      <c r="D1145" t="s">
        <v>3059</v>
      </c>
      <c r="E1145">
        <v>68</v>
      </c>
      <c r="F1145" t="s">
        <v>7</v>
      </c>
      <c r="G1145" t="s">
        <v>3110</v>
      </c>
    </row>
    <row r="1146" spans="1:7" x14ac:dyDescent="0.25">
      <c r="A1146">
        <v>6159</v>
      </c>
      <c r="B1146" t="s">
        <v>2154</v>
      </c>
      <c r="C1146">
        <v>47</v>
      </c>
      <c r="D1146" t="s">
        <v>3059</v>
      </c>
      <c r="E1146">
        <v>92</v>
      </c>
      <c r="F1146" t="s">
        <v>7</v>
      </c>
      <c r="G1146" t="s">
        <v>3110</v>
      </c>
    </row>
    <row r="1147" spans="1:7" x14ac:dyDescent="0.25">
      <c r="A1147">
        <v>6204</v>
      </c>
      <c r="B1147" t="s">
        <v>3199</v>
      </c>
      <c r="C1147">
        <v>47</v>
      </c>
      <c r="D1147" t="s">
        <v>3059</v>
      </c>
      <c r="E1147">
        <v>10</v>
      </c>
      <c r="F1147" t="s">
        <v>7</v>
      </c>
      <c r="G1147" t="s">
        <v>3114</v>
      </c>
    </row>
    <row r="1148" spans="1:7" x14ac:dyDescent="0.25">
      <c r="A1148">
        <v>6208</v>
      </c>
      <c r="B1148" t="s">
        <v>3200</v>
      </c>
      <c r="C1148">
        <v>47</v>
      </c>
      <c r="D1148" t="s">
        <v>3059</v>
      </c>
      <c r="E1148">
        <v>1429</v>
      </c>
      <c r="F1148" t="s">
        <v>7</v>
      </c>
      <c r="G1148" t="s">
        <v>3114</v>
      </c>
    </row>
    <row r="1149" spans="1:7" x14ac:dyDescent="0.25">
      <c r="A1149">
        <v>6220</v>
      </c>
      <c r="B1149" t="s">
        <v>2160</v>
      </c>
      <c r="C1149">
        <v>47</v>
      </c>
      <c r="D1149" t="s">
        <v>3059</v>
      </c>
      <c r="E1149">
        <v>3</v>
      </c>
      <c r="F1149" t="s">
        <v>7</v>
      </c>
      <c r="G1149" t="s">
        <v>3108</v>
      </c>
    </row>
    <row r="1150" spans="1:7" x14ac:dyDescent="0.25">
      <c r="A1150">
        <v>6233</v>
      </c>
      <c r="B1150" t="s">
        <v>2164</v>
      </c>
      <c r="C1150">
        <v>47</v>
      </c>
      <c r="D1150" t="s">
        <v>3059</v>
      </c>
      <c r="E1150">
        <v>15</v>
      </c>
      <c r="F1150" t="s">
        <v>7</v>
      </c>
      <c r="G1150" t="s">
        <v>3110</v>
      </c>
    </row>
    <row r="1151" spans="1:7" x14ac:dyDescent="0.25">
      <c r="A1151">
        <v>6240</v>
      </c>
      <c r="B1151" t="s">
        <v>3201</v>
      </c>
      <c r="C1151">
        <v>47</v>
      </c>
      <c r="D1151" t="s">
        <v>3059</v>
      </c>
      <c r="E1151">
        <v>4</v>
      </c>
      <c r="F1151" t="s">
        <v>7</v>
      </c>
      <c r="G1151" t="s">
        <v>3114</v>
      </c>
    </row>
    <row r="1152" spans="1:7" x14ac:dyDescent="0.25">
      <c r="A1152">
        <v>6278</v>
      </c>
      <c r="B1152" t="s">
        <v>2167</v>
      </c>
      <c r="C1152">
        <v>47</v>
      </c>
      <c r="D1152" t="s">
        <v>3059</v>
      </c>
      <c r="E1152">
        <v>34</v>
      </c>
      <c r="F1152" t="s">
        <v>7</v>
      </c>
      <c r="G1152" t="s">
        <v>3110</v>
      </c>
    </row>
    <row r="1153" spans="1:7" x14ac:dyDescent="0.25">
      <c r="A1153">
        <v>6328</v>
      </c>
      <c r="B1153" t="s">
        <v>2168</v>
      </c>
      <c r="C1153">
        <v>47</v>
      </c>
      <c r="D1153" t="s">
        <v>3059</v>
      </c>
      <c r="E1153">
        <v>76</v>
      </c>
      <c r="F1153" t="s">
        <v>7</v>
      </c>
      <c r="G1153" t="s">
        <v>3202</v>
      </c>
    </row>
    <row r="1154" spans="1:7" x14ac:dyDescent="0.25">
      <c r="A1154">
        <v>6337</v>
      </c>
      <c r="B1154" t="s">
        <v>2169</v>
      </c>
      <c r="C1154">
        <v>47</v>
      </c>
      <c r="D1154" t="s">
        <v>3059</v>
      </c>
      <c r="E1154">
        <v>6</v>
      </c>
      <c r="F1154" t="s">
        <v>7</v>
      </c>
      <c r="G1154" t="s">
        <v>3108</v>
      </c>
    </row>
    <row r="1155" spans="1:7" x14ac:dyDescent="0.25">
      <c r="A1155">
        <v>6355</v>
      </c>
      <c r="B1155" t="s">
        <v>2171</v>
      </c>
      <c r="C1155">
        <v>47</v>
      </c>
      <c r="D1155" t="s">
        <v>3059</v>
      </c>
      <c r="E1155">
        <v>42</v>
      </c>
      <c r="F1155" t="s">
        <v>7</v>
      </c>
      <c r="G1155" t="s">
        <v>3110</v>
      </c>
    </row>
    <row r="1156" spans="1:7" x14ac:dyDescent="0.25">
      <c r="A1156">
        <v>6446</v>
      </c>
      <c r="B1156" t="s">
        <v>2174</v>
      </c>
      <c r="C1156">
        <v>47</v>
      </c>
      <c r="D1156" t="s">
        <v>3059</v>
      </c>
      <c r="E1156">
        <v>65</v>
      </c>
      <c r="F1156" t="s">
        <v>7</v>
      </c>
      <c r="G1156" t="s">
        <v>3110</v>
      </c>
    </row>
    <row r="1157" spans="1:7" x14ac:dyDescent="0.25">
      <c r="A1157">
        <v>6451</v>
      </c>
      <c r="B1157" t="s">
        <v>2175</v>
      </c>
      <c r="C1157">
        <v>47</v>
      </c>
      <c r="D1157" t="s">
        <v>3059</v>
      </c>
      <c r="E1157">
        <v>118</v>
      </c>
      <c r="F1157" t="s">
        <v>7</v>
      </c>
      <c r="G1157" t="s">
        <v>3110</v>
      </c>
    </row>
    <row r="1158" spans="1:7" x14ac:dyDescent="0.25">
      <c r="A1158">
        <v>6456</v>
      </c>
      <c r="B1158" t="s">
        <v>2176</v>
      </c>
      <c r="C1158">
        <v>47</v>
      </c>
      <c r="D1158" t="s">
        <v>3059</v>
      </c>
      <c r="E1158">
        <v>170</v>
      </c>
      <c r="F1158" t="s">
        <v>7</v>
      </c>
      <c r="G1158" t="s">
        <v>3110</v>
      </c>
    </row>
    <row r="1159" spans="1:7" x14ac:dyDescent="0.25">
      <c r="A1159">
        <v>6465</v>
      </c>
      <c r="B1159" t="s">
        <v>2177</v>
      </c>
      <c r="C1159">
        <v>47</v>
      </c>
      <c r="D1159" t="s">
        <v>3059</v>
      </c>
      <c r="E1159">
        <v>44</v>
      </c>
      <c r="F1159" t="s">
        <v>7</v>
      </c>
      <c r="G1159" t="s">
        <v>3110</v>
      </c>
    </row>
    <row r="1160" spans="1:7" x14ac:dyDescent="0.25">
      <c r="A1160">
        <v>6532</v>
      </c>
      <c r="B1160" t="s">
        <v>2179</v>
      </c>
      <c r="C1160">
        <v>47</v>
      </c>
      <c r="D1160" t="s">
        <v>3059</v>
      </c>
      <c r="E1160">
        <v>129</v>
      </c>
      <c r="F1160" t="s">
        <v>7</v>
      </c>
      <c r="G1160" t="s">
        <v>3110</v>
      </c>
    </row>
    <row r="1161" spans="1:7" x14ac:dyDescent="0.25">
      <c r="A1161">
        <v>6540</v>
      </c>
      <c r="B1161" t="s">
        <v>2180</v>
      </c>
      <c r="C1161">
        <v>47</v>
      </c>
      <c r="D1161" t="s">
        <v>3059</v>
      </c>
      <c r="E1161">
        <v>4</v>
      </c>
      <c r="F1161" t="s">
        <v>7</v>
      </c>
      <c r="G1161" t="s">
        <v>3118</v>
      </c>
    </row>
    <row r="1162" spans="1:7" x14ac:dyDescent="0.25">
      <c r="A1162">
        <v>6589</v>
      </c>
      <c r="B1162" t="s">
        <v>3203</v>
      </c>
      <c r="C1162">
        <v>47</v>
      </c>
      <c r="D1162" t="s">
        <v>3059</v>
      </c>
      <c r="E1162">
        <v>6</v>
      </c>
      <c r="F1162" t="s">
        <v>7</v>
      </c>
      <c r="G1162" t="s">
        <v>3110</v>
      </c>
    </row>
    <row r="1163" spans="1:7" x14ac:dyDescent="0.25">
      <c r="A1163">
        <v>6660</v>
      </c>
      <c r="B1163" t="s">
        <v>3204</v>
      </c>
      <c r="C1163">
        <v>47</v>
      </c>
      <c r="D1163" t="s">
        <v>3059</v>
      </c>
      <c r="E1163">
        <v>7</v>
      </c>
      <c r="F1163" t="s">
        <v>7</v>
      </c>
      <c r="G1163" t="s">
        <v>3114</v>
      </c>
    </row>
    <row r="1164" spans="1:7" x14ac:dyDescent="0.25">
      <c r="A1164">
        <v>6676</v>
      </c>
      <c r="B1164" t="s">
        <v>2187</v>
      </c>
      <c r="C1164">
        <v>47</v>
      </c>
      <c r="D1164" t="s">
        <v>3059</v>
      </c>
      <c r="E1164">
        <v>123</v>
      </c>
      <c r="F1164" t="s">
        <v>7</v>
      </c>
      <c r="G1164" t="s">
        <v>3110</v>
      </c>
    </row>
    <row r="1165" spans="1:7" x14ac:dyDescent="0.25">
      <c r="A1165">
        <v>6686</v>
      </c>
      <c r="B1165" t="s">
        <v>2190</v>
      </c>
      <c r="C1165">
        <v>47</v>
      </c>
      <c r="D1165" t="s">
        <v>3059</v>
      </c>
      <c r="E1165">
        <v>3053</v>
      </c>
      <c r="F1165" t="s">
        <v>7</v>
      </c>
      <c r="G1165" t="s">
        <v>3110</v>
      </c>
    </row>
    <row r="1166" spans="1:7" x14ac:dyDescent="0.25">
      <c r="A1166">
        <v>6736</v>
      </c>
      <c r="B1166" t="s">
        <v>2193</v>
      </c>
      <c r="C1166">
        <v>47</v>
      </c>
      <c r="D1166" t="s">
        <v>3059</v>
      </c>
      <c r="E1166">
        <v>251</v>
      </c>
      <c r="F1166" t="s">
        <v>7</v>
      </c>
      <c r="G1166" t="s">
        <v>3110</v>
      </c>
    </row>
    <row r="1167" spans="1:7" x14ac:dyDescent="0.25">
      <c r="A1167">
        <v>6796</v>
      </c>
      <c r="B1167" t="s">
        <v>2194</v>
      </c>
      <c r="C1167">
        <v>47</v>
      </c>
      <c r="D1167" t="s">
        <v>3059</v>
      </c>
      <c r="E1167">
        <v>1251</v>
      </c>
      <c r="F1167" t="s">
        <v>7</v>
      </c>
      <c r="G1167" t="s">
        <v>3110</v>
      </c>
    </row>
    <row r="1168" spans="1:7" x14ac:dyDescent="0.25">
      <c r="A1168">
        <v>6798</v>
      </c>
      <c r="B1168" t="s">
        <v>2195</v>
      </c>
      <c r="C1168">
        <v>47</v>
      </c>
      <c r="D1168" t="s">
        <v>3059</v>
      </c>
      <c r="E1168">
        <v>105</v>
      </c>
      <c r="F1168" t="s">
        <v>7</v>
      </c>
      <c r="G1168" t="s">
        <v>3110</v>
      </c>
    </row>
    <row r="1169" spans="1:7" x14ac:dyDescent="0.25">
      <c r="A1169">
        <v>6803</v>
      </c>
      <c r="B1169" t="s">
        <v>2196</v>
      </c>
      <c r="C1169">
        <v>47</v>
      </c>
      <c r="D1169" t="s">
        <v>3059</v>
      </c>
      <c r="E1169">
        <v>13</v>
      </c>
      <c r="F1169" t="s">
        <v>7</v>
      </c>
      <c r="G1169" t="s">
        <v>3110</v>
      </c>
    </row>
    <row r="1170" spans="1:7" x14ac:dyDescent="0.25">
      <c r="A1170">
        <v>6805</v>
      </c>
      <c r="B1170" t="s">
        <v>2197</v>
      </c>
      <c r="C1170">
        <v>47</v>
      </c>
      <c r="D1170" t="s">
        <v>3059</v>
      </c>
      <c r="E1170">
        <v>4</v>
      </c>
      <c r="F1170" t="s">
        <v>7</v>
      </c>
      <c r="G1170" t="s">
        <v>3064</v>
      </c>
    </row>
    <row r="1171" spans="1:7" x14ac:dyDescent="0.25">
      <c r="A1171">
        <v>6819</v>
      </c>
      <c r="B1171" t="s">
        <v>3205</v>
      </c>
      <c r="C1171">
        <v>47</v>
      </c>
      <c r="D1171" t="s">
        <v>3059</v>
      </c>
      <c r="E1171">
        <v>1</v>
      </c>
      <c r="F1171" t="s">
        <v>7</v>
      </c>
      <c r="G1171" t="s">
        <v>3114</v>
      </c>
    </row>
    <row r="1172" spans="1:7" x14ac:dyDescent="0.25">
      <c r="A1172">
        <v>6820</v>
      </c>
      <c r="B1172" t="s">
        <v>3206</v>
      </c>
      <c r="C1172">
        <v>47</v>
      </c>
      <c r="D1172" t="s">
        <v>3059</v>
      </c>
      <c r="E1172">
        <v>57</v>
      </c>
      <c r="F1172" t="s">
        <v>7</v>
      </c>
      <c r="G1172" t="s">
        <v>3110</v>
      </c>
    </row>
    <row r="1173" spans="1:7" x14ac:dyDescent="0.25">
      <c r="A1173">
        <v>6821</v>
      </c>
      <c r="B1173" t="s">
        <v>2200</v>
      </c>
      <c r="C1173">
        <v>47</v>
      </c>
      <c r="D1173" t="s">
        <v>3059</v>
      </c>
      <c r="E1173">
        <v>18</v>
      </c>
      <c r="F1173" t="s">
        <v>7</v>
      </c>
      <c r="G1173" t="s">
        <v>3110</v>
      </c>
    </row>
    <row r="1174" spans="1:7" x14ac:dyDescent="0.25">
      <c r="A1174">
        <v>6945</v>
      </c>
      <c r="B1174" t="s">
        <v>2202</v>
      </c>
      <c r="C1174">
        <v>47</v>
      </c>
      <c r="D1174" t="s">
        <v>3059</v>
      </c>
      <c r="E1174">
        <v>218</v>
      </c>
      <c r="F1174" t="s">
        <v>7</v>
      </c>
      <c r="G1174" t="s">
        <v>3110</v>
      </c>
    </row>
    <row r="1175" spans="1:7" x14ac:dyDescent="0.25">
      <c r="A1175">
        <v>6949</v>
      </c>
      <c r="B1175" t="s">
        <v>2203</v>
      </c>
      <c r="C1175">
        <v>47</v>
      </c>
      <c r="D1175" t="s">
        <v>3059</v>
      </c>
      <c r="E1175">
        <v>16</v>
      </c>
      <c r="F1175" t="s">
        <v>7</v>
      </c>
      <c r="G1175" t="s">
        <v>3110</v>
      </c>
    </row>
    <row r="1176" spans="1:7" x14ac:dyDescent="0.25">
      <c r="A1176">
        <v>7098</v>
      </c>
      <c r="B1176" t="s">
        <v>2208</v>
      </c>
      <c r="C1176">
        <v>47</v>
      </c>
      <c r="D1176" t="s">
        <v>3059</v>
      </c>
      <c r="E1176">
        <v>192</v>
      </c>
      <c r="F1176" t="s">
        <v>7</v>
      </c>
      <c r="G1176" t="s">
        <v>3110</v>
      </c>
    </row>
    <row r="1177" spans="1:7" x14ac:dyDescent="0.25">
      <c r="A1177">
        <v>7118</v>
      </c>
      <c r="B1177" t="s">
        <v>2211</v>
      </c>
      <c r="C1177">
        <v>47</v>
      </c>
      <c r="D1177" t="s">
        <v>3059</v>
      </c>
      <c r="E1177">
        <v>29</v>
      </c>
      <c r="F1177" t="s">
        <v>7</v>
      </c>
      <c r="G1177" t="s">
        <v>3073</v>
      </c>
    </row>
    <row r="1178" spans="1:7" x14ac:dyDescent="0.25">
      <c r="A1178">
        <v>7421</v>
      </c>
      <c r="B1178" t="s">
        <v>2215</v>
      </c>
      <c r="C1178">
        <v>47</v>
      </c>
      <c r="D1178" t="s">
        <v>3059</v>
      </c>
      <c r="E1178">
        <v>58</v>
      </c>
      <c r="F1178" t="s">
        <v>7</v>
      </c>
      <c r="G1178" t="s">
        <v>3103</v>
      </c>
    </row>
    <row r="1179" spans="1:7" x14ac:dyDescent="0.25">
      <c r="A1179">
        <v>7429</v>
      </c>
      <c r="B1179" t="s">
        <v>2216</v>
      </c>
      <c r="C1179">
        <v>47</v>
      </c>
      <c r="D1179" t="s">
        <v>3059</v>
      </c>
      <c r="E1179">
        <v>27</v>
      </c>
      <c r="F1179" t="s">
        <v>7</v>
      </c>
      <c r="G1179" t="s">
        <v>3103</v>
      </c>
    </row>
    <row r="1180" spans="1:7" x14ac:dyDescent="0.25">
      <c r="A1180">
        <v>7432</v>
      </c>
      <c r="B1180" t="s">
        <v>2219</v>
      </c>
      <c r="C1180">
        <v>47</v>
      </c>
      <c r="D1180" t="s">
        <v>3059</v>
      </c>
      <c r="E1180">
        <v>8</v>
      </c>
      <c r="F1180" t="s">
        <v>7</v>
      </c>
      <c r="G1180" t="s">
        <v>3103</v>
      </c>
    </row>
    <row r="1181" spans="1:7" x14ac:dyDescent="0.25">
      <c r="A1181">
        <v>7442</v>
      </c>
      <c r="B1181" t="s">
        <v>2223</v>
      </c>
      <c r="C1181">
        <v>47</v>
      </c>
      <c r="D1181" t="s">
        <v>3059</v>
      </c>
      <c r="E1181">
        <v>9</v>
      </c>
      <c r="F1181" t="s">
        <v>7</v>
      </c>
      <c r="G1181" t="s">
        <v>3103</v>
      </c>
    </row>
    <row r="1182" spans="1:7" x14ac:dyDescent="0.25">
      <c r="A1182">
        <v>7443</v>
      </c>
      <c r="B1182" t="s">
        <v>2224</v>
      </c>
      <c r="C1182">
        <v>47</v>
      </c>
      <c r="D1182" t="s">
        <v>3059</v>
      </c>
      <c r="E1182">
        <v>12</v>
      </c>
      <c r="F1182" t="s">
        <v>7</v>
      </c>
      <c r="G1182" t="s">
        <v>3103</v>
      </c>
    </row>
    <row r="1183" spans="1:7" x14ac:dyDescent="0.25">
      <c r="A1183">
        <v>7450</v>
      </c>
      <c r="B1183" t="s">
        <v>2231</v>
      </c>
      <c r="C1183">
        <v>47</v>
      </c>
      <c r="D1183" t="s">
        <v>3059</v>
      </c>
      <c r="E1183">
        <v>396</v>
      </c>
      <c r="F1183" t="s">
        <v>7</v>
      </c>
      <c r="G1183" t="s">
        <v>3103</v>
      </c>
    </row>
    <row r="1184" spans="1:7" x14ac:dyDescent="0.25">
      <c r="A1184">
        <v>7452</v>
      </c>
      <c r="B1184" t="s">
        <v>2232</v>
      </c>
      <c r="C1184">
        <v>47</v>
      </c>
      <c r="D1184" t="s">
        <v>3059</v>
      </c>
      <c r="E1184">
        <v>4</v>
      </c>
      <c r="F1184" t="s">
        <v>7</v>
      </c>
      <c r="G1184" t="s">
        <v>3103</v>
      </c>
    </row>
    <row r="1185" spans="1:7" x14ac:dyDescent="0.25">
      <c r="A1185">
        <v>7453</v>
      </c>
      <c r="B1185" t="s">
        <v>2233</v>
      </c>
      <c r="C1185">
        <v>47</v>
      </c>
      <c r="D1185" t="s">
        <v>3059</v>
      </c>
      <c r="E1185">
        <v>12</v>
      </c>
      <c r="F1185" t="s">
        <v>7</v>
      </c>
      <c r="G1185" t="s">
        <v>3103</v>
      </c>
    </row>
    <row r="1186" spans="1:7" x14ac:dyDescent="0.25">
      <c r="A1186">
        <v>7458</v>
      </c>
      <c r="B1186" t="s">
        <v>2234</v>
      </c>
      <c r="C1186">
        <v>47</v>
      </c>
      <c r="D1186" t="s">
        <v>3059</v>
      </c>
      <c r="E1186">
        <v>1</v>
      </c>
      <c r="F1186" t="s">
        <v>7</v>
      </c>
      <c r="G1186" t="s">
        <v>3103</v>
      </c>
    </row>
    <row r="1187" spans="1:7" x14ac:dyDescent="0.25">
      <c r="A1187">
        <v>7459</v>
      </c>
      <c r="B1187" t="s">
        <v>2235</v>
      </c>
      <c r="C1187">
        <v>47</v>
      </c>
      <c r="D1187" t="s">
        <v>3059</v>
      </c>
      <c r="E1187">
        <v>12</v>
      </c>
      <c r="F1187" t="s">
        <v>7</v>
      </c>
      <c r="G1187" t="s">
        <v>3103</v>
      </c>
    </row>
    <row r="1188" spans="1:7" x14ac:dyDescent="0.25">
      <c r="A1188">
        <v>7460</v>
      </c>
      <c r="B1188" t="s">
        <v>2236</v>
      </c>
      <c r="C1188">
        <v>47</v>
      </c>
      <c r="D1188" t="s">
        <v>3059</v>
      </c>
      <c r="E1188">
        <v>44</v>
      </c>
      <c r="F1188" t="s">
        <v>7</v>
      </c>
      <c r="G1188" t="s">
        <v>3103</v>
      </c>
    </row>
    <row r="1189" spans="1:7" x14ac:dyDescent="0.25">
      <c r="A1189">
        <v>7488</v>
      </c>
      <c r="B1189" t="s">
        <v>2237</v>
      </c>
      <c r="C1189">
        <v>47</v>
      </c>
      <c r="D1189" t="s">
        <v>3059</v>
      </c>
      <c r="E1189">
        <v>25</v>
      </c>
      <c r="F1189" t="s">
        <v>7</v>
      </c>
      <c r="G1189" t="s">
        <v>3102</v>
      </c>
    </row>
    <row r="1190" spans="1:7" x14ac:dyDescent="0.25">
      <c r="A1190">
        <v>7493</v>
      </c>
      <c r="B1190" t="s">
        <v>2239</v>
      </c>
      <c r="C1190">
        <v>47</v>
      </c>
      <c r="D1190" t="s">
        <v>3059</v>
      </c>
      <c r="E1190">
        <v>887</v>
      </c>
      <c r="F1190" t="s">
        <v>7</v>
      </c>
      <c r="G1190" t="s">
        <v>3102</v>
      </c>
    </row>
    <row r="1191" spans="1:7" x14ac:dyDescent="0.25">
      <c r="A1191">
        <v>7494</v>
      </c>
      <c r="B1191" t="s">
        <v>2240</v>
      </c>
      <c r="C1191">
        <v>47</v>
      </c>
      <c r="D1191" t="s">
        <v>3059</v>
      </c>
      <c r="E1191">
        <v>1185</v>
      </c>
      <c r="F1191" t="s">
        <v>7</v>
      </c>
      <c r="G1191" t="s">
        <v>3102</v>
      </c>
    </row>
    <row r="1192" spans="1:7" x14ac:dyDescent="0.25">
      <c r="A1192">
        <v>7496</v>
      </c>
      <c r="B1192" t="s">
        <v>2241</v>
      </c>
      <c r="C1192">
        <v>47</v>
      </c>
      <c r="D1192" t="s">
        <v>3059</v>
      </c>
      <c r="E1192">
        <v>181</v>
      </c>
      <c r="F1192" t="s">
        <v>7</v>
      </c>
      <c r="G1192" t="s">
        <v>3102</v>
      </c>
    </row>
    <row r="1193" spans="1:7" x14ac:dyDescent="0.25">
      <c r="A1193">
        <v>7515</v>
      </c>
      <c r="B1193" t="s">
        <v>2242</v>
      </c>
      <c r="C1193">
        <v>47</v>
      </c>
      <c r="D1193" t="s">
        <v>3059</v>
      </c>
      <c r="E1193">
        <v>39</v>
      </c>
      <c r="F1193" t="s">
        <v>7</v>
      </c>
      <c r="G1193" t="s">
        <v>3064</v>
      </c>
    </row>
    <row r="1194" spans="1:7" x14ac:dyDescent="0.25">
      <c r="A1194">
        <v>7518</v>
      </c>
      <c r="B1194" t="s">
        <v>2243</v>
      </c>
      <c r="C1194">
        <v>47</v>
      </c>
      <c r="D1194" t="s">
        <v>3059</v>
      </c>
      <c r="E1194">
        <v>42</v>
      </c>
      <c r="F1194" t="s">
        <v>7</v>
      </c>
      <c r="G1194" t="s">
        <v>3064</v>
      </c>
    </row>
    <row r="1195" spans="1:7" x14ac:dyDescent="0.25">
      <c r="A1195">
        <v>7527</v>
      </c>
      <c r="B1195" t="s">
        <v>2246</v>
      </c>
      <c r="C1195">
        <v>47</v>
      </c>
      <c r="D1195" t="s">
        <v>3059</v>
      </c>
      <c r="E1195">
        <v>45</v>
      </c>
      <c r="F1195" t="s">
        <v>7</v>
      </c>
      <c r="G1195" t="s">
        <v>3110</v>
      </c>
    </row>
    <row r="1196" spans="1:7" x14ac:dyDescent="0.25">
      <c r="A1196">
        <v>7528</v>
      </c>
      <c r="B1196" t="s">
        <v>2247</v>
      </c>
      <c r="C1196">
        <v>47</v>
      </c>
      <c r="D1196" t="s">
        <v>3059</v>
      </c>
      <c r="E1196">
        <v>11</v>
      </c>
      <c r="F1196" t="s">
        <v>7</v>
      </c>
      <c r="G1196" t="s">
        <v>3110</v>
      </c>
    </row>
    <row r="1197" spans="1:7" x14ac:dyDescent="0.25">
      <c r="A1197">
        <v>7531</v>
      </c>
      <c r="B1197" t="s">
        <v>2248</v>
      </c>
      <c r="C1197">
        <v>47</v>
      </c>
      <c r="D1197" t="s">
        <v>3059</v>
      </c>
      <c r="E1197">
        <v>82</v>
      </c>
      <c r="F1197" t="s">
        <v>7</v>
      </c>
      <c r="G1197" t="s">
        <v>3110</v>
      </c>
    </row>
    <row r="1198" spans="1:7" x14ac:dyDescent="0.25">
      <c r="A1198">
        <v>7534</v>
      </c>
      <c r="B1198" t="s">
        <v>2249</v>
      </c>
      <c r="C1198">
        <v>47</v>
      </c>
      <c r="D1198" t="s">
        <v>3059</v>
      </c>
      <c r="E1198">
        <v>6</v>
      </c>
      <c r="F1198" t="s">
        <v>7</v>
      </c>
      <c r="G1198" t="s">
        <v>3110</v>
      </c>
    </row>
    <row r="1199" spans="1:7" x14ac:dyDescent="0.25">
      <c r="A1199">
        <v>7536</v>
      </c>
      <c r="B1199" t="s">
        <v>2250</v>
      </c>
      <c r="C1199">
        <v>47</v>
      </c>
      <c r="D1199" t="s">
        <v>3059</v>
      </c>
      <c r="E1199">
        <v>21</v>
      </c>
      <c r="F1199" t="s">
        <v>7</v>
      </c>
      <c r="G1199" t="s">
        <v>3110</v>
      </c>
    </row>
    <row r="1200" spans="1:7" x14ac:dyDescent="0.25">
      <c r="A1200">
        <v>7537</v>
      </c>
      <c r="B1200" t="s">
        <v>2251</v>
      </c>
      <c r="C1200">
        <v>47</v>
      </c>
      <c r="D1200" t="s">
        <v>3059</v>
      </c>
      <c r="E1200">
        <v>9</v>
      </c>
      <c r="F1200" t="s">
        <v>7</v>
      </c>
      <c r="G1200" t="s">
        <v>3110</v>
      </c>
    </row>
    <row r="1201" spans="1:7" x14ac:dyDescent="0.25">
      <c r="A1201">
        <v>7539</v>
      </c>
      <c r="B1201" t="s">
        <v>2253</v>
      </c>
      <c r="C1201">
        <v>47</v>
      </c>
      <c r="D1201" t="s">
        <v>3059</v>
      </c>
      <c r="E1201">
        <v>5</v>
      </c>
      <c r="F1201" t="s">
        <v>7</v>
      </c>
      <c r="G1201" t="s">
        <v>3110</v>
      </c>
    </row>
    <row r="1202" spans="1:7" x14ac:dyDescent="0.25">
      <c r="A1202">
        <v>7542</v>
      </c>
      <c r="B1202" t="s">
        <v>2255</v>
      </c>
      <c r="C1202">
        <v>47</v>
      </c>
      <c r="D1202" t="s">
        <v>3059</v>
      </c>
      <c r="E1202">
        <v>94</v>
      </c>
      <c r="F1202" t="s">
        <v>7</v>
      </c>
      <c r="G1202" t="s">
        <v>3110</v>
      </c>
    </row>
    <row r="1203" spans="1:7" x14ac:dyDescent="0.25">
      <c r="A1203">
        <v>7553</v>
      </c>
      <c r="B1203" t="s">
        <v>2257</v>
      </c>
      <c r="C1203">
        <v>47</v>
      </c>
      <c r="D1203" t="s">
        <v>3059</v>
      </c>
      <c r="E1203">
        <v>2</v>
      </c>
      <c r="F1203" t="s">
        <v>7</v>
      </c>
      <c r="G1203" t="s">
        <v>3110</v>
      </c>
    </row>
    <row r="1204" spans="1:7" x14ac:dyDescent="0.25">
      <c r="A1204">
        <v>7555</v>
      </c>
      <c r="B1204" t="s">
        <v>2259</v>
      </c>
      <c r="C1204">
        <v>47</v>
      </c>
      <c r="D1204" t="s">
        <v>3059</v>
      </c>
      <c r="E1204">
        <v>21</v>
      </c>
      <c r="F1204" t="s">
        <v>7</v>
      </c>
      <c r="G1204" t="s">
        <v>3110</v>
      </c>
    </row>
    <row r="1205" spans="1:7" x14ac:dyDescent="0.25">
      <c r="A1205">
        <v>7558</v>
      </c>
      <c r="B1205" t="s">
        <v>2261</v>
      </c>
      <c r="C1205">
        <v>47</v>
      </c>
      <c r="D1205" t="s">
        <v>3059</v>
      </c>
      <c r="E1205">
        <v>112</v>
      </c>
      <c r="F1205" t="s">
        <v>7</v>
      </c>
      <c r="G1205" t="s">
        <v>3110</v>
      </c>
    </row>
    <row r="1206" spans="1:7" x14ac:dyDescent="0.25">
      <c r="A1206">
        <v>7559</v>
      </c>
      <c r="B1206" t="s">
        <v>2262</v>
      </c>
      <c r="C1206">
        <v>47</v>
      </c>
      <c r="D1206" t="s">
        <v>3059</v>
      </c>
      <c r="E1206">
        <v>523</v>
      </c>
      <c r="F1206" t="s">
        <v>7</v>
      </c>
      <c r="G1206" t="s">
        <v>3110</v>
      </c>
    </row>
    <row r="1207" spans="1:7" x14ac:dyDescent="0.25">
      <c r="A1207">
        <v>7562</v>
      </c>
      <c r="B1207" t="s">
        <v>2264</v>
      </c>
      <c r="C1207">
        <v>47</v>
      </c>
      <c r="D1207" t="s">
        <v>3059</v>
      </c>
      <c r="E1207">
        <v>406</v>
      </c>
      <c r="F1207" t="s">
        <v>7</v>
      </c>
      <c r="G1207" t="s">
        <v>3110</v>
      </c>
    </row>
    <row r="1208" spans="1:7" x14ac:dyDescent="0.25">
      <c r="A1208">
        <v>7563</v>
      </c>
      <c r="B1208" t="s">
        <v>2265</v>
      </c>
      <c r="C1208">
        <v>47</v>
      </c>
      <c r="D1208" t="s">
        <v>3059</v>
      </c>
      <c r="E1208">
        <v>91</v>
      </c>
      <c r="F1208" t="s">
        <v>7</v>
      </c>
      <c r="G1208" t="s">
        <v>3110</v>
      </c>
    </row>
    <row r="1209" spans="1:7" x14ac:dyDescent="0.25">
      <c r="A1209">
        <v>7564</v>
      </c>
      <c r="B1209" t="s">
        <v>2266</v>
      </c>
      <c r="C1209">
        <v>47</v>
      </c>
      <c r="D1209" t="s">
        <v>3059</v>
      </c>
      <c r="E1209">
        <v>203</v>
      </c>
      <c r="F1209" t="s">
        <v>7</v>
      </c>
      <c r="G1209" t="s">
        <v>3110</v>
      </c>
    </row>
    <row r="1210" spans="1:7" x14ac:dyDescent="0.25">
      <c r="A1210">
        <v>7565</v>
      </c>
      <c r="B1210" t="s">
        <v>2267</v>
      </c>
      <c r="C1210">
        <v>47</v>
      </c>
      <c r="D1210" t="s">
        <v>3059</v>
      </c>
      <c r="E1210">
        <v>272</v>
      </c>
      <c r="F1210" t="s">
        <v>7</v>
      </c>
      <c r="G1210" t="s">
        <v>3110</v>
      </c>
    </row>
    <row r="1211" spans="1:7" x14ac:dyDescent="0.25">
      <c r="A1211">
        <v>7566</v>
      </c>
      <c r="B1211" t="s">
        <v>2268</v>
      </c>
      <c r="C1211">
        <v>47</v>
      </c>
      <c r="D1211" t="s">
        <v>3059</v>
      </c>
      <c r="E1211">
        <v>192</v>
      </c>
      <c r="F1211" t="s">
        <v>7</v>
      </c>
      <c r="G1211" t="s">
        <v>3110</v>
      </c>
    </row>
    <row r="1212" spans="1:7" x14ac:dyDescent="0.25">
      <c r="A1212">
        <v>7567</v>
      </c>
      <c r="B1212" t="s">
        <v>2269</v>
      </c>
      <c r="C1212">
        <v>47</v>
      </c>
      <c r="D1212" t="s">
        <v>3059</v>
      </c>
      <c r="E1212">
        <v>3013</v>
      </c>
      <c r="F1212" t="s">
        <v>7</v>
      </c>
      <c r="G1212" t="s">
        <v>3110</v>
      </c>
    </row>
    <row r="1213" spans="1:7" x14ac:dyDescent="0.25">
      <c r="A1213">
        <v>7568</v>
      </c>
      <c r="B1213" t="s">
        <v>2270</v>
      </c>
      <c r="C1213">
        <v>47</v>
      </c>
      <c r="D1213" t="s">
        <v>3059</v>
      </c>
      <c r="E1213">
        <v>1</v>
      </c>
      <c r="F1213" t="s">
        <v>7</v>
      </c>
      <c r="G1213" t="s">
        <v>3110</v>
      </c>
    </row>
    <row r="1214" spans="1:7" x14ac:dyDescent="0.25">
      <c r="A1214">
        <v>7569</v>
      </c>
      <c r="B1214" t="s">
        <v>2271</v>
      </c>
      <c r="C1214">
        <v>47</v>
      </c>
      <c r="D1214" t="s">
        <v>3059</v>
      </c>
      <c r="E1214">
        <v>9</v>
      </c>
      <c r="F1214" t="s">
        <v>7</v>
      </c>
      <c r="G1214" t="s">
        <v>3110</v>
      </c>
    </row>
    <row r="1215" spans="1:7" x14ac:dyDescent="0.25">
      <c r="A1215">
        <v>7572</v>
      </c>
      <c r="B1215" t="s">
        <v>2272</v>
      </c>
      <c r="C1215">
        <v>47</v>
      </c>
      <c r="D1215" t="s">
        <v>3059</v>
      </c>
      <c r="E1215">
        <v>14</v>
      </c>
      <c r="F1215" t="s">
        <v>7</v>
      </c>
      <c r="G1215" t="s">
        <v>3110</v>
      </c>
    </row>
    <row r="1216" spans="1:7" x14ac:dyDescent="0.25">
      <c r="A1216">
        <v>7578</v>
      </c>
      <c r="B1216" t="s">
        <v>2276</v>
      </c>
      <c r="C1216">
        <v>47</v>
      </c>
      <c r="D1216" t="s">
        <v>3059</v>
      </c>
      <c r="E1216">
        <v>254</v>
      </c>
      <c r="F1216" t="s">
        <v>7</v>
      </c>
      <c r="G1216" t="s">
        <v>3110</v>
      </c>
    </row>
    <row r="1217" spans="1:7" x14ac:dyDescent="0.25">
      <c r="A1217">
        <v>7583</v>
      </c>
      <c r="B1217" t="s">
        <v>2277</v>
      </c>
      <c r="C1217">
        <v>47</v>
      </c>
      <c r="D1217" t="s">
        <v>3059</v>
      </c>
      <c r="E1217">
        <v>1</v>
      </c>
      <c r="F1217" t="s">
        <v>7</v>
      </c>
      <c r="G1217" t="s">
        <v>3110</v>
      </c>
    </row>
    <row r="1218" spans="1:7" x14ac:dyDescent="0.25">
      <c r="A1218">
        <v>7590</v>
      </c>
      <c r="B1218" t="s">
        <v>2278</v>
      </c>
      <c r="C1218">
        <v>47</v>
      </c>
      <c r="D1218" t="s">
        <v>3059</v>
      </c>
      <c r="E1218">
        <v>158</v>
      </c>
      <c r="F1218" t="s">
        <v>7</v>
      </c>
      <c r="G1218" t="s">
        <v>3110</v>
      </c>
    </row>
    <row r="1219" spans="1:7" x14ac:dyDescent="0.25">
      <c r="A1219">
        <v>7592</v>
      </c>
      <c r="B1219" t="s">
        <v>2279</v>
      </c>
      <c r="C1219">
        <v>47</v>
      </c>
      <c r="D1219" t="s">
        <v>3059</v>
      </c>
      <c r="E1219">
        <v>82</v>
      </c>
      <c r="F1219" t="s">
        <v>7</v>
      </c>
      <c r="G1219" t="s">
        <v>3110</v>
      </c>
    </row>
    <row r="1220" spans="1:7" x14ac:dyDescent="0.25">
      <c r="A1220">
        <v>7593</v>
      </c>
      <c r="B1220" t="s">
        <v>2280</v>
      </c>
      <c r="C1220">
        <v>47</v>
      </c>
      <c r="D1220" t="s">
        <v>3059</v>
      </c>
      <c r="E1220">
        <v>503</v>
      </c>
      <c r="F1220" t="s">
        <v>7</v>
      </c>
      <c r="G1220" t="s">
        <v>3110</v>
      </c>
    </row>
    <row r="1221" spans="1:7" x14ac:dyDescent="0.25">
      <c r="A1221">
        <v>7607</v>
      </c>
      <c r="B1221" t="s">
        <v>2281</v>
      </c>
      <c r="C1221">
        <v>47</v>
      </c>
      <c r="D1221" t="s">
        <v>3059</v>
      </c>
      <c r="E1221">
        <v>9</v>
      </c>
      <c r="F1221" t="s">
        <v>7</v>
      </c>
      <c r="G1221" t="s">
        <v>3103</v>
      </c>
    </row>
    <row r="1222" spans="1:7" x14ac:dyDescent="0.25">
      <c r="A1222">
        <v>7610</v>
      </c>
      <c r="B1222" t="s">
        <v>2282</v>
      </c>
      <c r="C1222">
        <v>47</v>
      </c>
      <c r="D1222" t="s">
        <v>3059</v>
      </c>
      <c r="E1222">
        <v>4</v>
      </c>
      <c r="F1222" t="s">
        <v>7</v>
      </c>
      <c r="G1222" t="s">
        <v>3114</v>
      </c>
    </row>
    <row r="1223" spans="1:7" x14ac:dyDescent="0.25">
      <c r="A1223">
        <v>7624</v>
      </c>
      <c r="B1223" t="s">
        <v>2286</v>
      </c>
      <c r="C1223">
        <v>47</v>
      </c>
      <c r="D1223" t="s">
        <v>3059</v>
      </c>
      <c r="E1223">
        <v>126</v>
      </c>
      <c r="F1223" t="s">
        <v>7</v>
      </c>
      <c r="G1223" t="s">
        <v>3114</v>
      </c>
    </row>
    <row r="1224" spans="1:7" x14ac:dyDescent="0.25">
      <c r="A1224">
        <v>7634</v>
      </c>
      <c r="B1224" t="s">
        <v>2288</v>
      </c>
      <c r="C1224">
        <v>47</v>
      </c>
      <c r="D1224" t="s">
        <v>3059</v>
      </c>
      <c r="E1224">
        <v>244</v>
      </c>
      <c r="F1224" t="s">
        <v>7</v>
      </c>
      <c r="G1224" t="s">
        <v>3103</v>
      </c>
    </row>
    <row r="1225" spans="1:7" x14ac:dyDescent="0.25">
      <c r="A1225">
        <v>7636</v>
      </c>
      <c r="B1225" t="s">
        <v>2289</v>
      </c>
      <c r="C1225">
        <v>47</v>
      </c>
      <c r="D1225" t="s">
        <v>3059</v>
      </c>
      <c r="E1225">
        <v>803</v>
      </c>
      <c r="F1225" t="s">
        <v>7</v>
      </c>
      <c r="G1225" t="s">
        <v>3062</v>
      </c>
    </row>
    <row r="1226" spans="1:7" x14ac:dyDescent="0.25">
      <c r="A1226">
        <v>7642</v>
      </c>
      <c r="B1226" t="s">
        <v>2290</v>
      </c>
      <c r="C1226">
        <v>47</v>
      </c>
      <c r="D1226" t="s">
        <v>3059</v>
      </c>
      <c r="E1226">
        <v>1</v>
      </c>
      <c r="F1226" t="s">
        <v>7</v>
      </c>
      <c r="G1226" t="s">
        <v>3064</v>
      </c>
    </row>
    <row r="1227" spans="1:7" x14ac:dyDescent="0.25">
      <c r="A1227">
        <v>7645</v>
      </c>
      <c r="B1227" t="s">
        <v>2291</v>
      </c>
      <c r="C1227">
        <v>47</v>
      </c>
      <c r="D1227" t="s">
        <v>3059</v>
      </c>
      <c r="E1227">
        <v>6</v>
      </c>
      <c r="F1227" t="s">
        <v>7</v>
      </c>
      <c r="G1227" t="s">
        <v>3064</v>
      </c>
    </row>
    <row r="1228" spans="1:7" x14ac:dyDescent="0.25">
      <c r="A1228">
        <v>7646</v>
      </c>
      <c r="B1228" t="s">
        <v>3207</v>
      </c>
      <c r="C1228">
        <v>47</v>
      </c>
      <c r="D1228" t="s">
        <v>3059</v>
      </c>
      <c r="E1228">
        <v>8</v>
      </c>
      <c r="F1228" t="s">
        <v>7</v>
      </c>
      <c r="G1228" t="s">
        <v>3064</v>
      </c>
    </row>
    <row r="1229" spans="1:7" x14ac:dyDescent="0.25">
      <c r="A1229">
        <v>7653</v>
      </c>
      <c r="B1229" t="s">
        <v>2295</v>
      </c>
      <c r="C1229">
        <v>47</v>
      </c>
      <c r="D1229" t="s">
        <v>3059</v>
      </c>
      <c r="E1229">
        <v>16</v>
      </c>
      <c r="F1229" t="s">
        <v>7</v>
      </c>
      <c r="G1229" t="s">
        <v>3064</v>
      </c>
    </row>
    <row r="1230" spans="1:7" x14ac:dyDescent="0.25">
      <c r="A1230">
        <v>7659</v>
      </c>
      <c r="B1230" t="s">
        <v>2297</v>
      </c>
      <c r="C1230">
        <v>47</v>
      </c>
      <c r="D1230" t="s">
        <v>3059</v>
      </c>
      <c r="E1230">
        <v>21</v>
      </c>
      <c r="F1230" t="s">
        <v>7</v>
      </c>
      <c r="G1230" t="s">
        <v>3064</v>
      </c>
    </row>
    <row r="1231" spans="1:7" x14ac:dyDescent="0.25">
      <c r="A1231">
        <v>7665</v>
      </c>
      <c r="B1231" t="s">
        <v>2298</v>
      </c>
      <c r="C1231">
        <v>47</v>
      </c>
      <c r="D1231" t="s">
        <v>3059</v>
      </c>
      <c r="E1231">
        <v>12</v>
      </c>
      <c r="F1231" t="s">
        <v>7</v>
      </c>
      <c r="G1231" t="s">
        <v>3103</v>
      </c>
    </row>
    <row r="1232" spans="1:7" x14ac:dyDescent="0.25">
      <c r="A1232">
        <v>7672</v>
      </c>
      <c r="B1232" t="s">
        <v>2301</v>
      </c>
      <c r="C1232">
        <v>47</v>
      </c>
      <c r="D1232" t="s">
        <v>3059</v>
      </c>
      <c r="E1232">
        <v>32</v>
      </c>
      <c r="F1232" t="s">
        <v>7</v>
      </c>
      <c r="G1232" t="s">
        <v>3103</v>
      </c>
    </row>
    <row r="1233" spans="1:7" x14ac:dyDescent="0.25">
      <c r="A1233">
        <v>7691</v>
      </c>
      <c r="B1233" t="s">
        <v>2302</v>
      </c>
      <c r="C1233">
        <v>47</v>
      </c>
      <c r="D1233" t="s">
        <v>3059</v>
      </c>
      <c r="E1233">
        <v>3</v>
      </c>
      <c r="F1233" t="s">
        <v>7</v>
      </c>
      <c r="G1233" t="s">
        <v>3064</v>
      </c>
    </row>
    <row r="1234" spans="1:7" x14ac:dyDescent="0.25">
      <c r="A1234">
        <v>7694</v>
      </c>
      <c r="B1234" t="s">
        <v>2304</v>
      </c>
      <c r="C1234">
        <v>47</v>
      </c>
      <c r="D1234" t="s">
        <v>3059</v>
      </c>
      <c r="E1234">
        <v>1</v>
      </c>
      <c r="F1234" t="s">
        <v>7</v>
      </c>
      <c r="G1234" t="s">
        <v>3064</v>
      </c>
    </row>
    <row r="1235" spans="1:7" x14ac:dyDescent="0.25">
      <c r="A1235">
        <v>7701</v>
      </c>
      <c r="B1235" t="s">
        <v>2306</v>
      </c>
      <c r="C1235">
        <v>47</v>
      </c>
      <c r="D1235" t="s">
        <v>3059</v>
      </c>
      <c r="E1235">
        <v>10</v>
      </c>
      <c r="F1235" t="s">
        <v>7</v>
      </c>
      <c r="G1235" t="s">
        <v>3064</v>
      </c>
    </row>
    <row r="1236" spans="1:7" x14ac:dyDescent="0.25">
      <c r="A1236">
        <v>7729</v>
      </c>
      <c r="B1236" t="s">
        <v>2309</v>
      </c>
      <c r="C1236">
        <v>47</v>
      </c>
      <c r="D1236" t="s">
        <v>3059</v>
      </c>
      <c r="E1236">
        <v>23</v>
      </c>
      <c r="F1236" t="s">
        <v>7</v>
      </c>
      <c r="G1236" t="s">
        <v>3064</v>
      </c>
    </row>
    <row r="1237" spans="1:7" x14ac:dyDescent="0.25">
      <c r="A1237">
        <v>7854</v>
      </c>
      <c r="B1237" t="s">
        <v>2313</v>
      </c>
      <c r="C1237">
        <v>47</v>
      </c>
      <c r="D1237" t="s">
        <v>3059</v>
      </c>
      <c r="E1237">
        <v>9</v>
      </c>
      <c r="F1237" t="s">
        <v>7</v>
      </c>
      <c r="G1237" t="s">
        <v>3064</v>
      </c>
    </row>
    <row r="1238" spans="1:7" x14ac:dyDescent="0.25">
      <c r="A1238">
        <v>7855</v>
      </c>
      <c r="B1238" t="s">
        <v>2314</v>
      </c>
      <c r="C1238">
        <v>47</v>
      </c>
      <c r="D1238" t="s">
        <v>3059</v>
      </c>
      <c r="E1238">
        <v>9</v>
      </c>
      <c r="F1238" t="s">
        <v>7</v>
      </c>
      <c r="G1238" t="s">
        <v>3064</v>
      </c>
    </row>
    <row r="1239" spans="1:7" x14ac:dyDescent="0.25">
      <c r="A1239">
        <v>7857</v>
      </c>
      <c r="B1239" t="s">
        <v>2316</v>
      </c>
      <c r="C1239">
        <v>47</v>
      </c>
      <c r="D1239" t="s">
        <v>3059</v>
      </c>
      <c r="E1239">
        <v>15</v>
      </c>
      <c r="F1239" t="s">
        <v>7</v>
      </c>
      <c r="G1239" t="s">
        <v>3103</v>
      </c>
    </row>
    <row r="1240" spans="1:7" x14ac:dyDescent="0.25">
      <c r="A1240">
        <v>7880</v>
      </c>
      <c r="B1240" t="s">
        <v>2317</v>
      </c>
      <c r="C1240">
        <v>47</v>
      </c>
      <c r="D1240" t="s">
        <v>3059</v>
      </c>
      <c r="E1240">
        <v>29</v>
      </c>
      <c r="F1240" t="s">
        <v>7</v>
      </c>
      <c r="G1240" t="s">
        <v>3062</v>
      </c>
    </row>
    <row r="1241" spans="1:7" x14ac:dyDescent="0.25">
      <c r="A1241">
        <v>7881</v>
      </c>
      <c r="B1241" t="s">
        <v>2318</v>
      </c>
      <c r="C1241">
        <v>47</v>
      </c>
      <c r="D1241" t="s">
        <v>3059</v>
      </c>
      <c r="E1241">
        <v>149</v>
      </c>
      <c r="F1241" t="s">
        <v>7</v>
      </c>
      <c r="G1241" t="s">
        <v>3101</v>
      </c>
    </row>
    <row r="1242" spans="1:7" x14ac:dyDescent="0.25">
      <c r="A1242">
        <v>7883</v>
      </c>
      <c r="B1242" t="s">
        <v>2320</v>
      </c>
      <c r="C1242">
        <v>47</v>
      </c>
      <c r="D1242" t="s">
        <v>3059</v>
      </c>
      <c r="E1242">
        <v>20</v>
      </c>
      <c r="F1242" t="s">
        <v>7</v>
      </c>
      <c r="G1242" t="s">
        <v>3101</v>
      </c>
    </row>
    <row r="1243" spans="1:7" x14ac:dyDescent="0.25">
      <c r="A1243">
        <v>7895</v>
      </c>
      <c r="B1243" t="s">
        <v>2321</v>
      </c>
      <c r="C1243">
        <v>47</v>
      </c>
      <c r="D1243" t="s">
        <v>3059</v>
      </c>
      <c r="E1243">
        <v>237</v>
      </c>
      <c r="F1243" t="s">
        <v>7</v>
      </c>
      <c r="G1243" t="s">
        <v>3101</v>
      </c>
    </row>
    <row r="1244" spans="1:7" x14ac:dyDescent="0.25">
      <c r="A1244">
        <v>7902</v>
      </c>
      <c r="B1244" t="s">
        <v>2322</v>
      </c>
      <c r="C1244">
        <v>47</v>
      </c>
      <c r="D1244" t="s">
        <v>3059</v>
      </c>
      <c r="E1244">
        <v>50</v>
      </c>
      <c r="F1244" t="s">
        <v>7</v>
      </c>
      <c r="G1244" t="s">
        <v>3103</v>
      </c>
    </row>
    <row r="1245" spans="1:7" x14ac:dyDescent="0.25">
      <c r="A1245">
        <v>7904</v>
      </c>
      <c r="B1245" t="s">
        <v>2323</v>
      </c>
      <c r="C1245">
        <v>47</v>
      </c>
      <c r="D1245" t="s">
        <v>3059</v>
      </c>
      <c r="E1245">
        <v>85</v>
      </c>
      <c r="F1245" t="s">
        <v>7</v>
      </c>
      <c r="G1245" t="s">
        <v>3103</v>
      </c>
    </row>
    <row r="1246" spans="1:7" x14ac:dyDescent="0.25">
      <c r="A1246">
        <v>7905</v>
      </c>
      <c r="B1246" t="s">
        <v>3208</v>
      </c>
      <c r="C1246">
        <v>47</v>
      </c>
      <c r="D1246" t="s">
        <v>3059</v>
      </c>
      <c r="E1246">
        <v>88</v>
      </c>
      <c r="F1246" t="s">
        <v>7</v>
      </c>
      <c r="G1246" t="s">
        <v>3103</v>
      </c>
    </row>
    <row r="1247" spans="1:7" x14ac:dyDescent="0.25">
      <c r="A1247">
        <v>7907</v>
      </c>
      <c r="B1247" t="s">
        <v>2325</v>
      </c>
      <c r="C1247">
        <v>47</v>
      </c>
      <c r="D1247" t="s">
        <v>3059</v>
      </c>
      <c r="E1247">
        <v>21</v>
      </c>
      <c r="F1247" t="s">
        <v>7</v>
      </c>
      <c r="G1247" t="s">
        <v>3103</v>
      </c>
    </row>
    <row r="1248" spans="1:7" x14ac:dyDescent="0.25">
      <c r="A1248">
        <v>7909</v>
      </c>
      <c r="B1248" t="s">
        <v>2327</v>
      </c>
      <c r="C1248">
        <v>47</v>
      </c>
      <c r="D1248" t="s">
        <v>3059</v>
      </c>
      <c r="E1248">
        <v>41</v>
      </c>
      <c r="F1248" t="s">
        <v>7</v>
      </c>
      <c r="G1248" t="s">
        <v>3103</v>
      </c>
    </row>
    <row r="1249" spans="1:7" x14ac:dyDescent="0.25">
      <c r="A1249">
        <v>7913</v>
      </c>
      <c r="B1249" t="s">
        <v>2330</v>
      </c>
      <c r="C1249">
        <v>47</v>
      </c>
      <c r="D1249" t="s">
        <v>3059</v>
      </c>
      <c r="E1249">
        <v>12</v>
      </c>
      <c r="F1249" t="s">
        <v>7</v>
      </c>
      <c r="G1249" t="s">
        <v>3103</v>
      </c>
    </row>
    <row r="1250" spans="1:7" x14ac:dyDescent="0.25">
      <c r="A1250">
        <v>7914</v>
      </c>
      <c r="B1250" t="s">
        <v>2331</v>
      </c>
      <c r="C1250">
        <v>47</v>
      </c>
      <c r="D1250" t="s">
        <v>3059</v>
      </c>
      <c r="E1250">
        <v>12</v>
      </c>
      <c r="F1250" t="s">
        <v>7</v>
      </c>
      <c r="G1250" t="s">
        <v>3103</v>
      </c>
    </row>
    <row r="1251" spans="1:7" x14ac:dyDescent="0.25">
      <c r="A1251">
        <v>7915</v>
      </c>
      <c r="B1251" t="s">
        <v>2332</v>
      </c>
      <c r="C1251">
        <v>47</v>
      </c>
      <c r="D1251" t="s">
        <v>3059</v>
      </c>
      <c r="E1251">
        <v>22</v>
      </c>
      <c r="F1251" t="s">
        <v>7</v>
      </c>
      <c r="G1251" t="s">
        <v>3103</v>
      </c>
    </row>
    <row r="1252" spans="1:7" x14ac:dyDescent="0.25">
      <c r="A1252">
        <v>7916</v>
      </c>
      <c r="B1252" t="s">
        <v>2333</v>
      </c>
      <c r="C1252">
        <v>47</v>
      </c>
      <c r="D1252" t="s">
        <v>3059</v>
      </c>
      <c r="E1252">
        <v>16</v>
      </c>
      <c r="F1252" t="s">
        <v>7</v>
      </c>
      <c r="G1252" t="s">
        <v>3103</v>
      </c>
    </row>
    <row r="1253" spans="1:7" x14ac:dyDescent="0.25">
      <c r="A1253">
        <v>7917</v>
      </c>
      <c r="B1253" t="s">
        <v>2334</v>
      </c>
      <c r="C1253">
        <v>47</v>
      </c>
      <c r="D1253" t="s">
        <v>3059</v>
      </c>
      <c r="E1253">
        <v>138</v>
      </c>
      <c r="F1253" t="s">
        <v>7</v>
      </c>
      <c r="G1253" t="s">
        <v>3103</v>
      </c>
    </row>
    <row r="1254" spans="1:7" x14ac:dyDescent="0.25">
      <c r="A1254">
        <v>7918</v>
      </c>
      <c r="B1254" t="s">
        <v>2335</v>
      </c>
      <c r="C1254">
        <v>47</v>
      </c>
      <c r="D1254" t="s">
        <v>3059</v>
      </c>
      <c r="E1254">
        <v>72</v>
      </c>
      <c r="F1254" t="s">
        <v>7</v>
      </c>
      <c r="G1254" t="s">
        <v>3103</v>
      </c>
    </row>
    <row r="1255" spans="1:7" x14ac:dyDescent="0.25">
      <c r="A1255">
        <v>7919</v>
      </c>
      <c r="B1255" t="s">
        <v>2336</v>
      </c>
      <c r="C1255">
        <v>47</v>
      </c>
      <c r="D1255" t="s">
        <v>3059</v>
      </c>
      <c r="E1255">
        <v>104</v>
      </c>
      <c r="F1255" t="s">
        <v>7</v>
      </c>
      <c r="G1255" t="s">
        <v>3103</v>
      </c>
    </row>
    <row r="1256" spans="1:7" x14ac:dyDescent="0.25">
      <c r="A1256">
        <v>7920</v>
      </c>
      <c r="B1256" t="s">
        <v>2337</v>
      </c>
      <c r="C1256">
        <v>47</v>
      </c>
      <c r="D1256" t="s">
        <v>3059</v>
      </c>
      <c r="E1256">
        <v>50</v>
      </c>
      <c r="F1256" t="s">
        <v>7</v>
      </c>
      <c r="G1256" t="s">
        <v>3103</v>
      </c>
    </row>
    <row r="1257" spans="1:7" x14ac:dyDescent="0.25">
      <c r="A1257">
        <v>7921</v>
      </c>
      <c r="B1257" t="s">
        <v>2338</v>
      </c>
      <c r="C1257">
        <v>47</v>
      </c>
      <c r="D1257" t="s">
        <v>3059</v>
      </c>
      <c r="E1257">
        <v>53</v>
      </c>
      <c r="F1257" t="s">
        <v>7</v>
      </c>
      <c r="G1257" t="s">
        <v>3103</v>
      </c>
    </row>
    <row r="1258" spans="1:7" x14ac:dyDescent="0.25">
      <c r="A1258">
        <v>7923</v>
      </c>
      <c r="B1258" t="s">
        <v>2339</v>
      </c>
      <c r="C1258">
        <v>47</v>
      </c>
      <c r="D1258" t="s">
        <v>3059</v>
      </c>
      <c r="E1258">
        <v>1</v>
      </c>
      <c r="F1258" t="s">
        <v>7</v>
      </c>
      <c r="G1258" t="s">
        <v>3103</v>
      </c>
    </row>
    <row r="1259" spans="1:7" x14ac:dyDescent="0.25">
      <c r="A1259">
        <v>7924</v>
      </c>
      <c r="B1259" t="s">
        <v>2340</v>
      </c>
      <c r="C1259">
        <v>47</v>
      </c>
      <c r="D1259" t="s">
        <v>3059</v>
      </c>
      <c r="E1259">
        <v>12</v>
      </c>
      <c r="F1259" t="s">
        <v>7</v>
      </c>
      <c r="G1259" t="s">
        <v>3103</v>
      </c>
    </row>
    <row r="1260" spans="1:7" x14ac:dyDescent="0.25">
      <c r="A1260">
        <v>7931</v>
      </c>
      <c r="B1260" t="s">
        <v>2343</v>
      </c>
      <c r="C1260">
        <v>47</v>
      </c>
      <c r="D1260" t="s">
        <v>3059</v>
      </c>
      <c r="E1260">
        <v>36</v>
      </c>
      <c r="F1260" t="s">
        <v>7</v>
      </c>
      <c r="G1260" t="s">
        <v>3103</v>
      </c>
    </row>
    <row r="1261" spans="1:7" x14ac:dyDescent="0.25">
      <c r="A1261">
        <v>7932</v>
      </c>
      <c r="B1261" t="s">
        <v>2344</v>
      </c>
      <c r="C1261">
        <v>47</v>
      </c>
      <c r="D1261" t="s">
        <v>3059</v>
      </c>
      <c r="E1261">
        <v>1</v>
      </c>
      <c r="F1261" t="s">
        <v>7</v>
      </c>
      <c r="G1261" t="s">
        <v>3103</v>
      </c>
    </row>
    <row r="1262" spans="1:7" x14ac:dyDescent="0.25">
      <c r="A1262">
        <v>7935</v>
      </c>
      <c r="B1262" t="s">
        <v>2347</v>
      </c>
      <c r="C1262">
        <v>47</v>
      </c>
      <c r="D1262" t="s">
        <v>3059</v>
      </c>
      <c r="E1262">
        <v>35</v>
      </c>
      <c r="F1262" t="s">
        <v>7</v>
      </c>
      <c r="G1262" t="s">
        <v>3103</v>
      </c>
    </row>
    <row r="1263" spans="1:7" x14ac:dyDescent="0.25">
      <c r="A1263">
        <v>7941</v>
      </c>
      <c r="B1263" t="s">
        <v>2350</v>
      </c>
      <c r="C1263">
        <v>47</v>
      </c>
      <c r="D1263" t="s">
        <v>3059</v>
      </c>
      <c r="E1263">
        <v>24</v>
      </c>
      <c r="F1263" t="s">
        <v>7</v>
      </c>
      <c r="G1263" t="s">
        <v>3103</v>
      </c>
    </row>
    <row r="1264" spans="1:7" x14ac:dyDescent="0.25">
      <c r="A1264">
        <v>7942</v>
      </c>
      <c r="B1264" t="s">
        <v>2351</v>
      </c>
      <c r="C1264">
        <v>47</v>
      </c>
      <c r="D1264" t="s">
        <v>3059</v>
      </c>
      <c r="E1264">
        <v>84</v>
      </c>
      <c r="F1264" t="s">
        <v>7</v>
      </c>
      <c r="G1264" t="s">
        <v>3103</v>
      </c>
    </row>
    <row r="1265" spans="1:7" x14ac:dyDescent="0.25">
      <c r="A1265">
        <v>7943</v>
      </c>
      <c r="B1265" t="s">
        <v>2352</v>
      </c>
      <c r="C1265">
        <v>47</v>
      </c>
      <c r="D1265" t="s">
        <v>3059</v>
      </c>
      <c r="E1265">
        <v>1</v>
      </c>
      <c r="F1265" t="s">
        <v>7</v>
      </c>
      <c r="G1265" t="s">
        <v>3103</v>
      </c>
    </row>
    <row r="1266" spans="1:7" x14ac:dyDescent="0.25">
      <c r="A1266">
        <v>7944</v>
      </c>
      <c r="B1266" t="s">
        <v>2353</v>
      </c>
      <c r="C1266">
        <v>47</v>
      </c>
      <c r="D1266" t="s">
        <v>3059</v>
      </c>
      <c r="E1266">
        <v>13</v>
      </c>
      <c r="F1266" t="s">
        <v>7</v>
      </c>
      <c r="G1266" t="s">
        <v>3103</v>
      </c>
    </row>
    <row r="1267" spans="1:7" x14ac:dyDescent="0.25">
      <c r="A1267">
        <v>7946</v>
      </c>
      <c r="B1267" t="s">
        <v>2354</v>
      </c>
      <c r="C1267">
        <v>47</v>
      </c>
      <c r="D1267" t="s">
        <v>3059</v>
      </c>
      <c r="E1267">
        <v>96</v>
      </c>
      <c r="F1267" t="s">
        <v>7</v>
      </c>
      <c r="G1267" t="s">
        <v>3103</v>
      </c>
    </row>
    <row r="1268" spans="1:7" x14ac:dyDescent="0.25">
      <c r="A1268">
        <v>7964</v>
      </c>
      <c r="B1268" t="s">
        <v>2356</v>
      </c>
      <c r="C1268">
        <v>47</v>
      </c>
      <c r="D1268" t="s">
        <v>3059</v>
      </c>
      <c r="E1268">
        <v>729</v>
      </c>
      <c r="F1268" t="s">
        <v>7</v>
      </c>
      <c r="G1268" t="s">
        <v>3064</v>
      </c>
    </row>
    <row r="1269" spans="1:7" x14ac:dyDescent="0.25">
      <c r="A1269">
        <v>7989</v>
      </c>
      <c r="B1269" t="s">
        <v>2357</v>
      </c>
      <c r="C1269">
        <v>47</v>
      </c>
      <c r="D1269" t="s">
        <v>3059</v>
      </c>
      <c r="E1269">
        <v>40</v>
      </c>
      <c r="F1269" t="s">
        <v>7</v>
      </c>
      <c r="G1269" t="s">
        <v>3114</v>
      </c>
    </row>
    <row r="1270" spans="1:7" x14ac:dyDescent="0.25">
      <c r="A1270">
        <v>8023</v>
      </c>
      <c r="B1270" t="s">
        <v>2359</v>
      </c>
      <c r="C1270">
        <v>47</v>
      </c>
      <c r="D1270" t="s">
        <v>3059</v>
      </c>
      <c r="E1270">
        <v>10</v>
      </c>
      <c r="F1270" t="s">
        <v>7</v>
      </c>
      <c r="G1270" t="s">
        <v>3062</v>
      </c>
    </row>
    <row r="1271" spans="1:7" x14ac:dyDescent="0.25">
      <c r="A1271">
        <v>8053</v>
      </c>
      <c r="B1271" t="s">
        <v>2361</v>
      </c>
      <c r="C1271">
        <v>47</v>
      </c>
      <c r="D1271" t="s">
        <v>3059</v>
      </c>
      <c r="E1271">
        <v>150</v>
      </c>
      <c r="F1271" t="s">
        <v>3061</v>
      </c>
      <c r="G1271" t="s">
        <v>3102</v>
      </c>
    </row>
    <row r="1272" spans="1:7" x14ac:dyDescent="0.25">
      <c r="A1272">
        <v>8054</v>
      </c>
      <c r="B1272" t="s">
        <v>2362</v>
      </c>
      <c r="C1272">
        <v>47</v>
      </c>
      <c r="D1272" t="s">
        <v>3059</v>
      </c>
      <c r="E1272">
        <v>12</v>
      </c>
      <c r="F1272" t="s">
        <v>7</v>
      </c>
      <c r="G1272" t="s">
        <v>3102</v>
      </c>
    </row>
    <row r="1273" spans="1:7" x14ac:dyDescent="0.25">
      <c r="A1273">
        <v>8055</v>
      </c>
      <c r="B1273" t="s">
        <v>2363</v>
      </c>
      <c r="C1273">
        <v>47</v>
      </c>
      <c r="D1273" t="s">
        <v>3059</v>
      </c>
      <c r="E1273">
        <v>21</v>
      </c>
      <c r="F1273" t="s">
        <v>7</v>
      </c>
      <c r="G1273" t="s">
        <v>3102</v>
      </c>
    </row>
    <row r="1274" spans="1:7" x14ac:dyDescent="0.25">
      <c r="A1274">
        <v>8069</v>
      </c>
      <c r="B1274" t="s">
        <v>2366</v>
      </c>
      <c r="C1274">
        <v>47</v>
      </c>
      <c r="D1274" t="s">
        <v>3059</v>
      </c>
      <c r="E1274">
        <v>2</v>
      </c>
      <c r="F1274" t="s">
        <v>7</v>
      </c>
      <c r="G1274" t="s">
        <v>3064</v>
      </c>
    </row>
    <row r="1275" spans="1:7" x14ac:dyDescent="0.25">
      <c r="A1275">
        <v>8074</v>
      </c>
      <c r="B1275" t="s">
        <v>2367</v>
      </c>
      <c r="C1275">
        <v>47</v>
      </c>
      <c r="D1275" t="s">
        <v>3059</v>
      </c>
      <c r="E1275">
        <v>12</v>
      </c>
      <c r="F1275" t="s">
        <v>7</v>
      </c>
      <c r="G1275" t="s">
        <v>3110</v>
      </c>
    </row>
    <row r="1276" spans="1:7" x14ac:dyDescent="0.25">
      <c r="A1276">
        <v>8075</v>
      </c>
      <c r="B1276" t="s">
        <v>2368</v>
      </c>
      <c r="C1276">
        <v>47</v>
      </c>
      <c r="D1276" t="s">
        <v>3059</v>
      </c>
      <c r="E1276">
        <v>66</v>
      </c>
      <c r="F1276" t="s">
        <v>7</v>
      </c>
      <c r="G1276" t="s">
        <v>3110</v>
      </c>
    </row>
    <row r="1277" spans="1:7" x14ac:dyDescent="0.25">
      <c r="A1277">
        <v>8076</v>
      </c>
      <c r="B1277" t="s">
        <v>2369</v>
      </c>
      <c r="C1277">
        <v>47</v>
      </c>
      <c r="D1277" t="s">
        <v>3059</v>
      </c>
      <c r="E1277">
        <v>70</v>
      </c>
      <c r="F1277" t="s">
        <v>7</v>
      </c>
      <c r="G1277" t="s">
        <v>3110</v>
      </c>
    </row>
    <row r="1278" spans="1:7" x14ac:dyDescent="0.25">
      <c r="A1278">
        <v>8077</v>
      </c>
      <c r="B1278" t="s">
        <v>2370</v>
      </c>
      <c r="C1278">
        <v>47</v>
      </c>
      <c r="D1278" t="s">
        <v>3059</v>
      </c>
      <c r="E1278">
        <v>15</v>
      </c>
      <c r="F1278" t="s">
        <v>7</v>
      </c>
      <c r="G1278" t="s">
        <v>3110</v>
      </c>
    </row>
    <row r="1279" spans="1:7" x14ac:dyDescent="0.25">
      <c r="A1279">
        <v>8078</v>
      </c>
      <c r="B1279" t="s">
        <v>2371</v>
      </c>
      <c r="C1279">
        <v>47</v>
      </c>
      <c r="D1279" t="s">
        <v>3059</v>
      </c>
      <c r="E1279">
        <v>47</v>
      </c>
      <c r="F1279" t="s">
        <v>7</v>
      </c>
      <c r="G1279" t="s">
        <v>3110</v>
      </c>
    </row>
    <row r="1280" spans="1:7" x14ac:dyDescent="0.25">
      <c r="A1280">
        <v>8089</v>
      </c>
      <c r="B1280" t="s">
        <v>2377</v>
      </c>
      <c r="C1280">
        <v>47</v>
      </c>
      <c r="D1280" t="s">
        <v>3059</v>
      </c>
      <c r="E1280">
        <v>9</v>
      </c>
      <c r="F1280" t="s">
        <v>7</v>
      </c>
      <c r="G1280" t="s">
        <v>3073</v>
      </c>
    </row>
    <row r="1281" spans="1:7" x14ac:dyDescent="0.25">
      <c r="A1281">
        <v>8119</v>
      </c>
      <c r="B1281" t="s">
        <v>2380</v>
      </c>
      <c r="C1281">
        <v>47</v>
      </c>
      <c r="D1281" t="s">
        <v>3059</v>
      </c>
      <c r="E1281">
        <v>33</v>
      </c>
      <c r="F1281" t="s">
        <v>7</v>
      </c>
      <c r="G1281" t="s">
        <v>3103</v>
      </c>
    </row>
    <row r="1282" spans="1:7" x14ac:dyDescent="0.25">
      <c r="A1282">
        <v>8127</v>
      </c>
      <c r="B1282" t="s">
        <v>2381</v>
      </c>
      <c r="C1282">
        <v>47</v>
      </c>
      <c r="D1282" t="s">
        <v>3059</v>
      </c>
      <c r="E1282">
        <v>15</v>
      </c>
      <c r="F1282" t="s">
        <v>7</v>
      </c>
      <c r="G1282" t="s">
        <v>3103</v>
      </c>
    </row>
    <row r="1283" spans="1:7" x14ac:dyDescent="0.25">
      <c r="A1283">
        <v>8132</v>
      </c>
      <c r="B1283" t="s">
        <v>2383</v>
      </c>
      <c r="C1283">
        <v>47</v>
      </c>
      <c r="D1283" t="s">
        <v>3059</v>
      </c>
      <c r="E1283">
        <v>56</v>
      </c>
      <c r="F1283" t="s">
        <v>7</v>
      </c>
      <c r="G1283" t="s">
        <v>3103</v>
      </c>
    </row>
    <row r="1284" spans="1:7" x14ac:dyDescent="0.25">
      <c r="A1284">
        <v>8141</v>
      </c>
      <c r="B1284" t="s">
        <v>2387</v>
      </c>
      <c r="C1284">
        <v>47</v>
      </c>
      <c r="D1284" t="s">
        <v>3059</v>
      </c>
      <c r="E1284">
        <v>2</v>
      </c>
      <c r="F1284" t="s">
        <v>7</v>
      </c>
      <c r="G1284" t="s">
        <v>3103</v>
      </c>
    </row>
    <row r="1285" spans="1:7" x14ac:dyDescent="0.25">
      <c r="A1285">
        <v>8147</v>
      </c>
      <c r="B1285" t="s">
        <v>3209</v>
      </c>
      <c r="C1285">
        <v>47</v>
      </c>
      <c r="D1285" t="s">
        <v>3059</v>
      </c>
      <c r="E1285">
        <v>20</v>
      </c>
      <c r="F1285" t="s">
        <v>7</v>
      </c>
      <c r="G1285" t="s">
        <v>3062</v>
      </c>
    </row>
    <row r="1286" spans="1:7" x14ac:dyDescent="0.25">
      <c r="A1286">
        <v>8150</v>
      </c>
      <c r="B1286" t="s">
        <v>2390</v>
      </c>
      <c r="C1286">
        <v>47</v>
      </c>
      <c r="D1286" t="s">
        <v>3059</v>
      </c>
      <c r="E1286">
        <v>73</v>
      </c>
      <c r="F1286" t="s">
        <v>7</v>
      </c>
      <c r="G1286" t="s">
        <v>3110</v>
      </c>
    </row>
    <row r="1287" spans="1:7" x14ac:dyDescent="0.25">
      <c r="A1287">
        <v>8151</v>
      </c>
      <c r="B1287" t="s">
        <v>2391</v>
      </c>
      <c r="C1287">
        <v>47</v>
      </c>
      <c r="D1287" t="s">
        <v>3059</v>
      </c>
      <c r="E1287">
        <v>20</v>
      </c>
      <c r="F1287" t="s">
        <v>7</v>
      </c>
      <c r="G1287" t="s">
        <v>3073</v>
      </c>
    </row>
    <row r="1288" spans="1:7" x14ac:dyDescent="0.25">
      <c r="A1288">
        <v>8154</v>
      </c>
      <c r="B1288" t="s">
        <v>2392</v>
      </c>
      <c r="C1288">
        <v>47</v>
      </c>
      <c r="D1288" t="s">
        <v>3059</v>
      </c>
      <c r="E1288">
        <v>105</v>
      </c>
      <c r="F1288" t="s">
        <v>7</v>
      </c>
      <c r="G1288" t="s">
        <v>3073</v>
      </c>
    </row>
    <row r="1289" spans="1:7" x14ac:dyDescent="0.25">
      <c r="A1289">
        <v>8155</v>
      </c>
      <c r="B1289" t="s">
        <v>17512</v>
      </c>
      <c r="C1289">
        <v>47</v>
      </c>
      <c r="D1289" t="s">
        <v>3059</v>
      </c>
      <c r="E1289">
        <v>31</v>
      </c>
      <c r="F1289" t="s">
        <v>7</v>
      </c>
      <c r="G1289" t="s">
        <v>3073</v>
      </c>
    </row>
    <row r="1290" spans="1:7" x14ac:dyDescent="0.25">
      <c r="A1290">
        <v>8159</v>
      </c>
      <c r="B1290" t="s">
        <v>2394</v>
      </c>
      <c r="C1290">
        <v>47</v>
      </c>
      <c r="D1290" t="s">
        <v>3059</v>
      </c>
      <c r="E1290">
        <v>95</v>
      </c>
      <c r="F1290" t="s">
        <v>7</v>
      </c>
      <c r="G1290" t="s">
        <v>3073</v>
      </c>
    </row>
    <row r="1291" spans="1:7" x14ac:dyDescent="0.25">
      <c r="A1291">
        <v>8162</v>
      </c>
      <c r="B1291" t="s">
        <v>2395</v>
      </c>
      <c r="C1291">
        <v>47</v>
      </c>
      <c r="D1291" t="s">
        <v>3059</v>
      </c>
      <c r="E1291">
        <v>15</v>
      </c>
      <c r="F1291" t="s">
        <v>7</v>
      </c>
      <c r="G1291" t="s">
        <v>3073</v>
      </c>
    </row>
    <row r="1292" spans="1:7" x14ac:dyDescent="0.25">
      <c r="A1292">
        <v>8163</v>
      </c>
      <c r="B1292" t="s">
        <v>2396</v>
      </c>
      <c r="C1292">
        <v>47</v>
      </c>
      <c r="D1292" t="s">
        <v>3059</v>
      </c>
      <c r="E1292">
        <v>54</v>
      </c>
      <c r="F1292" t="s">
        <v>7</v>
      </c>
      <c r="G1292" t="s">
        <v>3073</v>
      </c>
    </row>
    <row r="1293" spans="1:7" x14ac:dyDescent="0.25">
      <c r="A1293">
        <v>8166</v>
      </c>
      <c r="B1293" t="s">
        <v>2397</v>
      </c>
      <c r="C1293">
        <v>47</v>
      </c>
      <c r="D1293" t="s">
        <v>3059</v>
      </c>
      <c r="E1293">
        <v>74</v>
      </c>
      <c r="F1293" t="s">
        <v>7</v>
      </c>
      <c r="G1293" t="s">
        <v>3073</v>
      </c>
    </row>
    <row r="1294" spans="1:7" x14ac:dyDescent="0.25">
      <c r="A1294">
        <v>8167</v>
      </c>
      <c r="B1294" t="s">
        <v>2398</v>
      </c>
      <c r="C1294">
        <v>47</v>
      </c>
      <c r="D1294" t="s">
        <v>3059</v>
      </c>
      <c r="E1294">
        <v>44</v>
      </c>
      <c r="F1294" t="s">
        <v>7</v>
      </c>
      <c r="G1294" t="s">
        <v>3073</v>
      </c>
    </row>
    <row r="1295" spans="1:7" x14ac:dyDescent="0.25">
      <c r="A1295">
        <v>8172</v>
      </c>
      <c r="B1295" t="s">
        <v>2399</v>
      </c>
      <c r="C1295">
        <v>47</v>
      </c>
      <c r="D1295" t="s">
        <v>3059</v>
      </c>
      <c r="E1295">
        <v>22</v>
      </c>
      <c r="F1295" t="s">
        <v>7</v>
      </c>
      <c r="G1295" t="s">
        <v>3073</v>
      </c>
    </row>
    <row r="1296" spans="1:7" x14ac:dyDescent="0.25">
      <c r="A1296">
        <v>8173</v>
      </c>
      <c r="B1296" t="s">
        <v>2400</v>
      </c>
      <c r="C1296">
        <v>47</v>
      </c>
      <c r="D1296" t="s">
        <v>3059</v>
      </c>
      <c r="E1296">
        <v>81</v>
      </c>
      <c r="F1296" t="s">
        <v>7</v>
      </c>
      <c r="G1296" t="s">
        <v>3073</v>
      </c>
    </row>
    <row r="1297" spans="1:7" x14ac:dyDescent="0.25">
      <c r="A1297">
        <v>8174</v>
      </c>
      <c r="B1297" t="s">
        <v>2401</v>
      </c>
      <c r="C1297">
        <v>47</v>
      </c>
      <c r="D1297" t="s">
        <v>3059</v>
      </c>
      <c r="E1297">
        <v>1242</v>
      </c>
      <c r="F1297" t="s">
        <v>7</v>
      </c>
      <c r="G1297" t="s">
        <v>3073</v>
      </c>
    </row>
    <row r="1298" spans="1:7" x14ac:dyDescent="0.25">
      <c r="A1298">
        <v>8175</v>
      </c>
      <c r="B1298" t="s">
        <v>2402</v>
      </c>
      <c r="C1298">
        <v>47</v>
      </c>
      <c r="D1298" t="s">
        <v>3059</v>
      </c>
      <c r="E1298">
        <v>52</v>
      </c>
      <c r="F1298" t="s">
        <v>7</v>
      </c>
      <c r="G1298" t="s">
        <v>3073</v>
      </c>
    </row>
    <row r="1299" spans="1:7" x14ac:dyDescent="0.25">
      <c r="A1299">
        <v>8178</v>
      </c>
      <c r="B1299" t="s">
        <v>2403</v>
      </c>
      <c r="C1299">
        <v>47</v>
      </c>
      <c r="D1299" t="s">
        <v>3059</v>
      </c>
      <c r="E1299">
        <v>18</v>
      </c>
      <c r="F1299" t="s">
        <v>7</v>
      </c>
      <c r="G1299" t="s">
        <v>3073</v>
      </c>
    </row>
    <row r="1300" spans="1:7" x14ac:dyDescent="0.25">
      <c r="A1300">
        <v>8179</v>
      </c>
      <c r="B1300" t="s">
        <v>2404</v>
      </c>
      <c r="C1300">
        <v>47</v>
      </c>
      <c r="D1300" t="s">
        <v>3059</v>
      </c>
      <c r="E1300">
        <v>29</v>
      </c>
      <c r="F1300" t="s">
        <v>7</v>
      </c>
      <c r="G1300" t="s">
        <v>3073</v>
      </c>
    </row>
    <row r="1301" spans="1:7" x14ac:dyDescent="0.25">
      <c r="A1301">
        <v>8180</v>
      </c>
      <c r="B1301" t="s">
        <v>2405</v>
      </c>
      <c r="C1301">
        <v>47</v>
      </c>
      <c r="D1301" t="s">
        <v>3059</v>
      </c>
      <c r="E1301">
        <v>80</v>
      </c>
      <c r="F1301" t="s">
        <v>7</v>
      </c>
      <c r="G1301" t="s">
        <v>3073</v>
      </c>
    </row>
    <row r="1302" spans="1:7" x14ac:dyDescent="0.25">
      <c r="A1302">
        <v>8183</v>
      </c>
      <c r="B1302" t="s">
        <v>2406</v>
      </c>
      <c r="C1302">
        <v>47</v>
      </c>
      <c r="D1302" t="s">
        <v>3059</v>
      </c>
      <c r="E1302">
        <v>38</v>
      </c>
      <c r="F1302" t="s">
        <v>7</v>
      </c>
      <c r="G1302" t="s">
        <v>3073</v>
      </c>
    </row>
    <row r="1303" spans="1:7" x14ac:dyDescent="0.25">
      <c r="A1303">
        <v>8184</v>
      </c>
      <c r="B1303" t="s">
        <v>2407</v>
      </c>
      <c r="C1303">
        <v>47</v>
      </c>
      <c r="D1303" t="s">
        <v>3059</v>
      </c>
      <c r="E1303">
        <v>167</v>
      </c>
      <c r="F1303" t="s">
        <v>7</v>
      </c>
      <c r="G1303" t="s">
        <v>3073</v>
      </c>
    </row>
    <row r="1304" spans="1:7" x14ac:dyDescent="0.25">
      <c r="A1304">
        <v>8185</v>
      </c>
      <c r="B1304" t="s">
        <v>2408</v>
      </c>
      <c r="C1304">
        <v>47</v>
      </c>
      <c r="D1304" t="s">
        <v>3059</v>
      </c>
      <c r="E1304">
        <v>107</v>
      </c>
      <c r="F1304" t="s">
        <v>7</v>
      </c>
      <c r="G1304" t="s">
        <v>3073</v>
      </c>
    </row>
    <row r="1305" spans="1:7" x14ac:dyDescent="0.25">
      <c r="A1305">
        <v>8186</v>
      </c>
      <c r="B1305" t="s">
        <v>2409</v>
      </c>
      <c r="C1305">
        <v>47</v>
      </c>
      <c r="D1305" t="s">
        <v>3059</v>
      </c>
      <c r="E1305">
        <v>102</v>
      </c>
      <c r="F1305" t="s">
        <v>7</v>
      </c>
      <c r="G1305" t="s">
        <v>3073</v>
      </c>
    </row>
    <row r="1306" spans="1:7" x14ac:dyDescent="0.25">
      <c r="A1306">
        <v>8187</v>
      </c>
      <c r="B1306" t="s">
        <v>2410</v>
      </c>
      <c r="C1306">
        <v>47</v>
      </c>
      <c r="D1306" t="s">
        <v>3059</v>
      </c>
      <c r="E1306">
        <v>29</v>
      </c>
      <c r="F1306" t="s">
        <v>7</v>
      </c>
      <c r="G1306" t="s">
        <v>3073</v>
      </c>
    </row>
    <row r="1307" spans="1:7" x14ac:dyDescent="0.25">
      <c r="A1307">
        <v>8188</v>
      </c>
      <c r="B1307" t="s">
        <v>2411</v>
      </c>
      <c r="C1307">
        <v>47</v>
      </c>
      <c r="D1307" t="s">
        <v>3059</v>
      </c>
      <c r="E1307">
        <v>29</v>
      </c>
      <c r="F1307" t="s">
        <v>7</v>
      </c>
      <c r="G1307" t="s">
        <v>3073</v>
      </c>
    </row>
    <row r="1308" spans="1:7" x14ac:dyDescent="0.25">
      <c r="A1308">
        <v>8208</v>
      </c>
      <c r="B1308" t="s">
        <v>2412</v>
      </c>
      <c r="C1308">
        <v>47</v>
      </c>
      <c r="D1308" t="s">
        <v>3059</v>
      </c>
      <c r="E1308">
        <v>18</v>
      </c>
      <c r="F1308" t="s">
        <v>7</v>
      </c>
      <c r="G1308" t="s">
        <v>3210</v>
      </c>
    </row>
    <row r="1309" spans="1:7" x14ac:dyDescent="0.25">
      <c r="A1309">
        <v>8462</v>
      </c>
      <c r="B1309" t="s">
        <v>2414</v>
      </c>
      <c r="C1309">
        <v>47</v>
      </c>
      <c r="D1309" t="s">
        <v>3059</v>
      </c>
      <c r="E1309">
        <v>1</v>
      </c>
      <c r="F1309" t="s">
        <v>7</v>
      </c>
      <c r="G1309" t="s">
        <v>3115</v>
      </c>
    </row>
    <row r="1310" spans="1:7" x14ac:dyDescent="0.25">
      <c r="A1310">
        <v>8472</v>
      </c>
      <c r="B1310" t="s">
        <v>2415</v>
      </c>
      <c r="C1310">
        <v>47</v>
      </c>
      <c r="D1310" t="s">
        <v>3059</v>
      </c>
      <c r="E1310">
        <v>91</v>
      </c>
      <c r="F1310" t="s">
        <v>7</v>
      </c>
      <c r="G1310" t="s">
        <v>3101</v>
      </c>
    </row>
    <row r="1311" spans="1:7" x14ac:dyDescent="0.25">
      <c r="A1311">
        <v>8495</v>
      </c>
      <c r="B1311" t="s">
        <v>2417</v>
      </c>
      <c r="C1311">
        <v>47</v>
      </c>
      <c r="D1311" t="s">
        <v>3059</v>
      </c>
      <c r="E1311">
        <v>1</v>
      </c>
      <c r="F1311" t="s">
        <v>7</v>
      </c>
      <c r="G1311" t="s">
        <v>3103</v>
      </c>
    </row>
    <row r="1312" spans="1:7" x14ac:dyDescent="0.25">
      <c r="A1312">
        <v>8502</v>
      </c>
      <c r="B1312" t="s">
        <v>2418</v>
      </c>
      <c r="C1312">
        <v>47</v>
      </c>
      <c r="D1312" t="s">
        <v>3059</v>
      </c>
      <c r="E1312">
        <v>233</v>
      </c>
      <c r="F1312" t="s">
        <v>7</v>
      </c>
      <c r="G1312" t="s">
        <v>3073</v>
      </c>
    </row>
    <row r="1313" spans="1:7" x14ac:dyDescent="0.25">
      <c r="A1313">
        <v>8503</v>
      </c>
      <c r="B1313" t="s">
        <v>2419</v>
      </c>
      <c r="C1313">
        <v>47</v>
      </c>
      <c r="D1313" t="s">
        <v>3059</v>
      </c>
      <c r="E1313">
        <v>517</v>
      </c>
      <c r="F1313" t="s">
        <v>7</v>
      </c>
      <c r="G1313" t="s">
        <v>3073</v>
      </c>
    </row>
    <row r="1314" spans="1:7" x14ac:dyDescent="0.25">
      <c r="A1314">
        <v>8504</v>
      </c>
      <c r="B1314" t="s">
        <v>2420</v>
      </c>
      <c r="C1314">
        <v>47</v>
      </c>
      <c r="D1314" t="s">
        <v>3059</v>
      </c>
      <c r="E1314">
        <v>170</v>
      </c>
      <c r="F1314" t="s">
        <v>7</v>
      </c>
      <c r="G1314" t="s">
        <v>3073</v>
      </c>
    </row>
    <row r="1315" spans="1:7" x14ac:dyDescent="0.25">
      <c r="A1315">
        <v>8506</v>
      </c>
      <c r="B1315" t="s">
        <v>2421</v>
      </c>
      <c r="C1315">
        <v>47</v>
      </c>
      <c r="D1315" t="s">
        <v>3059</v>
      </c>
      <c r="E1315">
        <v>1</v>
      </c>
      <c r="F1315" t="s">
        <v>7</v>
      </c>
      <c r="G1315" t="s">
        <v>3073</v>
      </c>
    </row>
    <row r="1316" spans="1:7" x14ac:dyDescent="0.25">
      <c r="A1316">
        <v>8507</v>
      </c>
      <c r="B1316" t="s">
        <v>2422</v>
      </c>
      <c r="C1316">
        <v>47</v>
      </c>
      <c r="D1316" t="s">
        <v>3059</v>
      </c>
      <c r="E1316">
        <v>1</v>
      </c>
      <c r="F1316" t="s">
        <v>7</v>
      </c>
      <c r="G1316" t="s">
        <v>3073</v>
      </c>
    </row>
    <row r="1317" spans="1:7" x14ac:dyDescent="0.25">
      <c r="A1317">
        <v>8512</v>
      </c>
      <c r="B1317" t="s">
        <v>2425</v>
      </c>
      <c r="C1317">
        <v>47</v>
      </c>
      <c r="D1317" t="s">
        <v>3059</v>
      </c>
      <c r="E1317">
        <v>1163</v>
      </c>
      <c r="F1317" t="s">
        <v>7</v>
      </c>
      <c r="G1317" t="s">
        <v>3073</v>
      </c>
    </row>
    <row r="1318" spans="1:7" x14ac:dyDescent="0.25">
      <c r="A1318">
        <v>8513</v>
      </c>
      <c r="B1318" t="s">
        <v>2426</v>
      </c>
      <c r="C1318">
        <v>47</v>
      </c>
      <c r="D1318" t="s">
        <v>3059</v>
      </c>
      <c r="E1318">
        <v>12</v>
      </c>
      <c r="F1318" t="s">
        <v>7</v>
      </c>
      <c r="G1318" t="s">
        <v>3064</v>
      </c>
    </row>
    <row r="1319" spans="1:7" x14ac:dyDescent="0.25">
      <c r="A1319">
        <v>8523</v>
      </c>
      <c r="B1319" t="s">
        <v>2427</v>
      </c>
      <c r="C1319">
        <v>47</v>
      </c>
      <c r="D1319" t="s">
        <v>3059</v>
      </c>
      <c r="E1319">
        <v>473</v>
      </c>
      <c r="F1319" t="s">
        <v>7</v>
      </c>
      <c r="G1319" t="s">
        <v>3064</v>
      </c>
    </row>
    <row r="1320" spans="1:7" x14ac:dyDescent="0.25">
      <c r="A1320">
        <v>8532</v>
      </c>
      <c r="B1320" t="s">
        <v>2428</v>
      </c>
      <c r="C1320">
        <v>47</v>
      </c>
      <c r="D1320" t="s">
        <v>3059</v>
      </c>
      <c r="E1320">
        <v>147</v>
      </c>
      <c r="F1320" t="s">
        <v>7</v>
      </c>
      <c r="G1320" t="s">
        <v>3064</v>
      </c>
    </row>
    <row r="1321" spans="1:7" x14ac:dyDescent="0.25">
      <c r="A1321">
        <v>8533</v>
      </c>
      <c r="B1321" t="s">
        <v>2429</v>
      </c>
      <c r="C1321">
        <v>47</v>
      </c>
      <c r="D1321" t="s">
        <v>3059</v>
      </c>
      <c r="E1321">
        <v>191</v>
      </c>
      <c r="F1321" t="s">
        <v>7</v>
      </c>
      <c r="G1321" t="s">
        <v>3073</v>
      </c>
    </row>
    <row r="1322" spans="1:7" x14ac:dyDescent="0.25">
      <c r="A1322">
        <v>8534</v>
      </c>
      <c r="B1322" t="s">
        <v>2430</v>
      </c>
      <c r="C1322">
        <v>47</v>
      </c>
      <c r="D1322" t="s">
        <v>3059</v>
      </c>
      <c r="E1322">
        <v>170</v>
      </c>
      <c r="F1322" t="s">
        <v>7</v>
      </c>
      <c r="G1322" t="s">
        <v>3073</v>
      </c>
    </row>
    <row r="1323" spans="1:7" x14ac:dyDescent="0.25">
      <c r="A1323">
        <v>8536</v>
      </c>
      <c r="B1323" t="s">
        <v>2432</v>
      </c>
      <c r="C1323">
        <v>47</v>
      </c>
      <c r="D1323" t="s">
        <v>3059</v>
      </c>
      <c r="E1323">
        <v>84</v>
      </c>
      <c r="F1323" t="s">
        <v>7</v>
      </c>
      <c r="G1323" t="s">
        <v>3073</v>
      </c>
    </row>
    <row r="1324" spans="1:7" x14ac:dyDescent="0.25">
      <c r="A1324">
        <v>8537</v>
      </c>
      <c r="B1324" t="s">
        <v>2433</v>
      </c>
      <c r="C1324">
        <v>47</v>
      </c>
      <c r="D1324" t="s">
        <v>3059</v>
      </c>
      <c r="E1324">
        <v>268</v>
      </c>
      <c r="F1324" t="s">
        <v>7</v>
      </c>
      <c r="G1324" t="s">
        <v>3073</v>
      </c>
    </row>
    <row r="1325" spans="1:7" x14ac:dyDescent="0.25">
      <c r="A1325">
        <v>8538</v>
      </c>
      <c r="B1325" t="s">
        <v>2434</v>
      </c>
      <c r="C1325">
        <v>47</v>
      </c>
      <c r="D1325" t="s">
        <v>3059</v>
      </c>
      <c r="E1325">
        <v>101</v>
      </c>
      <c r="F1325" t="s">
        <v>7</v>
      </c>
      <c r="G1325" t="s">
        <v>3073</v>
      </c>
    </row>
    <row r="1326" spans="1:7" x14ac:dyDescent="0.25">
      <c r="A1326">
        <v>8539</v>
      </c>
      <c r="B1326" t="s">
        <v>2435</v>
      </c>
      <c r="C1326">
        <v>47</v>
      </c>
      <c r="D1326" t="s">
        <v>3059</v>
      </c>
      <c r="E1326">
        <v>1112</v>
      </c>
      <c r="F1326" t="s">
        <v>7</v>
      </c>
      <c r="G1326" t="s">
        <v>3073</v>
      </c>
    </row>
    <row r="1327" spans="1:7" x14ac:dyDescent="0.25">
      <c r="A1327">
        <v>8541</v>
      </c>
      <c r="B1327" t="s">
        <v>2437</v>
      </c>
      <c r="C1327">
        <v>47</v>
      </c>
      <c r="D1327" t="s">
        <v>3059</v>
      </c>
      <c r="E1327">
        <v>711</v>
      </c>
      <c r="F1327" t="s">
        <v>7</v>
      </c>
      <c r="G1327" t="s">
        <v>3073</v>
      </c>
    </row>
    <row r="1328" spans="1:7" x14ac:dyDescent="0.25">
      <c r="A1328">
        <v>8542</v>
      </c>
      <c r="B1328" t="s">
        <v>2438</v>
      </c>
      <c r="C1328">
        <v>47</v>
      </c>
      <c r="D1328" t="s">
        <v>3059</v>
      </c>
      <c r="E1328">
        <v>308</v>
      </c>
      <c r="F1328" t="s">
        <v>7</v>
      </c>
      <c r="G1328" t="s">
        <v>3073</v>
      </c>
    </row>
    <row r="1329" spans="1:7" x14ac:dyDescent="0.25">
      <c r="A1329">
        <v>8543</v>
      </c>
      <c r="B1329" t="s">
        <v>2439</v>
      </c>
      <c r="C1329">
        <v>47</v>
      </c>
      <c r="D1329" t="s">
        <v>3059</v>
      </c>
      <c r="E1329">
        <v>249</v>
      </c>
      <c r="F1329" t="s">
        <v>7</v>
      </c>
      <c r="G1329" t="s">
        <v>3073</v>
      </c>
    </row>
    <row r="1330" spans="1:7" x14ac:dyDescent="0.25">
      <c r="A1330">
        <v>8544</v>
      </c>
      <c r="B1330" t="s">
        <v>3211</v>
      </c>
      <c r="C1330">
        <v>47</v>
      </c>
      <c r="D1330" t="s">
        <v>3059</v>
      </c>
      <c r="E1330">
        <v>265</v>
      </c>
      <c r="F1330" t="s">
        <v>7</v>
      </c>
      <c r="G1330" t="s">
        <v>3073</v>
      </c>
    </row>
    <row r="1331" spans="1:7" x14ac:dyDescent="0.25">
      <c r="A1331">
        <v>8546</v>
      </c>
      <c r="B1331" t="s">
        <v>2442</v>
      </c>
      <c r="C1331">
        <v>47</v>
      </c>
      <c r="D1331" t="s">
        <v>3059</v>
      </c>
      <c r="E1331">
        <v>33</v>
      </c>
      <c r="F1331" t="s">
        <v>7</v>
      </c>
      <c r="G1331" t="s">
        <v>3073</v>
      </c>
    </row>
    <row r="1332" spans="1:7" x14ac:dyDescent="0.25">
      <c r="A1332">
        <v>8547</v>
      </c>
      <c r="B1332" t="s">
        <v>2443</v>
      </c>
      <c r="C1332">
        <v>47</v>
      </c>
      <c r="D1332" t="s">
        <v>3059</v>
      </c>
      <c r="E1332">
        <v>96</v>
      </c>
      <c r="F1332" t="s">
        <v>7</v>
      </c>
      <c r="G1332" t="s">
        <v>3073</v>
      </c>
    </row>
    <row r="1333" spans="1:7" x14ac:dyDescent="0.25">
      <c r="A1333">
        <v>8548</v>
      </c>
      <c r="B1333" t="s">
        <v>2444</v>
      </c>
      <c r="C1333">
        <v>47</v>
      </c>
      <c r="D1333" t="s">
        <v>3059</v>
      </c>
      <c r="E1333">
        <v>279</v>
      </c>
      <c r="F1333" t="s">
        <v>7</v>
      </c>
      <c r="G1333" t="s">
        <v>3073</v>
      </c>
    </row>
    <row r="1334" spans="1:7" x14ac:dyDescent="0.25">
      <c r="A1334">
        <v>8549</v>
      </c>
      <c r="B1334" t="s">
        <v>2445</v>
      </c>
      <c r="C1334">
        <v>47</v>
      </c>
      <c r="D1334" t="s">
        <v>3059</v>
      </c>
      <c r="E1334">
        <v>624</v>
      </c>
      <c r="F1334" t="s">
        <v>7</v>
      </c>
      <c r="G1334" t="s">
        <v>3073</v>
      </c>
    </row>
    <row r="1335" spans="1:7" x14ac:dyDescent="0.25">
      <c r="A1335">
        <v>8550</v>
      </c>
      <c r="B1335" t="s">
        <v>2446</v>
      </c>
      <c r="C1335">
        <v>47</v>
      </c>
      <c r="D1335" t="s">
        <v>3059</v>
      </c>
      <c r="E1335">
        <v>192</v>
      </c>
      <c r="F1335" t="s">
        <v>7</v>
      </c>
      <c r="G1335" t="s">
        <v>3073</v>
      </c>
    </row>
    <row r="1336" spans="1:7" x14ac:dyDescent="0.25">
      <c r="A1336">
        <v>8551</v>
      </c>
      <c r="B1336" t="s">
        <v>2447</v>
      </c>
      <c r="C1336">
        <v>47</v>
      </c>
      <c r="D1336" t="s">
        <v>3059</v>
      </c>
      <c r="E1336">
        <v>110</v>
      </c>
      <c r="F1336" t="s">
        <v>7</v>
      </c>
      <c r="G1336" t="s">
        <v>3073</v>
      </c>
    </row>
    <row r="1337" spans="1:7" x14ac:dyDescent="0.25">
      <c r="A1337">
        <v>8552</v>
      </c>
      <c r="B1337" t="s">
        <v>2448</v>
      </c>
      <c r="C1337">
        <v>47</v>
      </c>
      <c r="D1337" t="s">
        <v>3059</v>
      </c>
      <c r="E1337">
        <v>266</v>
      </c>
      <c r="F1337" t="s">
        <v>7</v>
      </c>
      <c r="G1337" t="s">
        <v>3073</v>
      </c>
    </row>
    <row r="1338" spans="1:7" x14ac:dyDescent="0.25">
      <c r="A1338">
        <v>8553</v>
      </c>
      <c r="B1338" t="s">
        <v>2449</v>
      </c>
      <c r="C1338">
        <v>47</v>
      </c>
      <c r="D1338" t="s">
        <v>3059</v>
      </c>
      <c r="E1338">
        <v>179</v>
      </c>
      <c r="F1338" t="s">
        <v>7</v>
      </c>
      <c r="G1338" t="s">
        <v>3073</v>
      </c>
    </row>
    <row r="1339" spans="1:7" x14ac:dyDescent="0.25">
      <c r="A1339">
        <v>8554</v>
      </c>
      <c r="B1339" t="s">
        <v>2450</v>
      </c>
      <c r="C1339">
        <v>47</v>
      </c>
      <c r="D1339" t="s">
        <v>3059</v>
      </c>
      <c r="E1339">
        <v>423</v>
      </c>
      <c r="F1339" t="s">
        <v>7</v>
      </c>
      <c r="G1339" t="s">
        <v>3073</v>
      </c>
    </row>
    <row r="1340" spans="1:7" x14ac:dyDescent="0.25">
      <c r="A1340">
        <v>8555</v>
      </c>
      <c r="B1340" t="s">
        <v>3212</v>
      </c>
      <c r="C1340">
        <v>47</v>
      </c>
      <c r="D1340" t="s">
        <v>3059</v>
      </c>
      <c r="E1340">
        <v>53</v>
      </c>
      <c r="F1340" t="s">
        <v>7</v>
      </c>
      <c r="G1340" t="s">
        <v>3073</v>
      </c>
    </row>
    <row r="1341" spans="1:7" x14ac:dyDescent="0.25">
      <c r="A1341">
        <v>8556</v>
      </c>
      <c r="B1341" t="s">
        <v>3213</v>
      </c>
      <c r="C1341">
        <v>47</v>
      </c>
      <c r="D1341" t="s">
        <v>3059</v>
      </c>
      <c r="E1341">
        <v>363</v>
      </c>
      <c r="F1341" t="s">
        <v>7</v>
      </c>
      <c r="G1341" t="s">
        <v>3073</v>
      </c>
    </row>
    <row r="1342" spans="1:7" x14ac:dyDescent="0.25">
      <c r="A1342">
        <v>8557</v>
      </c>
      <c r="B1342" t="s">
        <v>2453</v>
      </c>
      <c r="C1342">
        <v>47</v>
      </c>
      <c r="D1342" t="s">
        <v>3059</v>
      </c>
      <c r="E1342">
        <v>29</v>
      </c>
      <c r="F1342" t="s">
        <v>7</v>
      </c>
      <c r="G1342" t="s">
        <v>3073</v>
      </c>
    </row>
    <row r="1343" spans="1:7" x14ac:dyDescent="0.25">
      <c r="A1343">
        <v>8559</v>
      </c>
      <c r="B1343" t="s">
        <v>2455</v>
      </c>
      <c r="C1343">
        <v>47</v>
      </c>
      <c r="D1343" t="s">
        <v>3059</v>
      </c>
      <c r="E1343">
        <v>150</v>
      </c>
      <c r="F1343" t="s">
        <v>7</v>
      </c>
      <c r="G1343" t="s">
        <v>3073</v>
      </c>
    </row>
    <row r="1344" spans="1:7" x14ac:dyDescent="0.25">
      <c r="A1344">
        <v>8560</v>
      </c>
      <c r="B1344" t="s">
        <v>2456</v>
      </c>
      <c r="C1344">
        <v>47</v>
      </c>
      <c r="D1344" t="s">
        <v>3059</v>
      </c>
      <c r="E1344">
        <v>22</v>
      </c>
      <c r="F1344" t="s">
        <v>7</v>
      </c>
      <c r="G1344" t="s">
        <v>3073</v>
      </c>
    </row>
    <row r="1345" spans="1:7" x14ac:dyDescent="0.25">
      <c r="A1345">
        <v>8644</v>
      </c>
      <c r="B1345" t="s">
        <v>2457</v>
      </c>
      <c r="C1345">
        <v>47</v>
      </c>
      <c r="D1345" t="s">
        <v>3059</v>
      </c>
      <c r="E1345">
        <v>311</v>
      </c>
      <c r="F1345" t="s">
        <v>7</v>
      </c>
      <c r="G1345" t="s">
        <v>3073</v>
      </c>
    </row>
    <row r="1346" spans="1:7" x14ac:dyDescent="0.25">
      <c r="A1346">
        <v>8706</v>
      </c>
      <c r="B1346" t="s">
        <v>2459</v>
      </c>
      <c r="C1346">
        <v>47</v>
      </c>
      <c r="D1346" t="s">
        <v>3059</v>
      </c>
      <c r="E1346">
        <v>1</v>
      </c>
      <c r="F1346" t="s">
        <v>7</v>
      </c>
      <c r="G1346" t="s">
        <v>3064</v>
      </c>
    </row>
    <row r="1347" spans="1:7" x14ac:dyDescent="0.25">
      <c r="A1347">
        <v>8715</v>
      </c>
      <c r="B1347" t="s">
        <v>3057</v>
      </c>
      <c r="C1347">
        <v>47</v>
      </c>
      <c r="D1347" t="s">
        <v>3059</v>
      </c>
      <c r="E1347">
        <v>1443</v>
      </c>
      <c r="F1347" t="s">
        <v>7</v>
      </c>
      <c r="G1347" t="s">
        <v>3100</v>
      </c>
    </row>
    <row r="1348" spans="1:7" x14ac:dyDescent="0.25">
      <c r="A1348">
        <v>8724</v>
      </c>
      <c r="B1348" t="s">
        <v>2461</v>
      </c>
      <c r="C1348">
        <v>47</v>
      </c>
      <c r="D1348" t="s">
        <v>3059</v>
      </c>
      <c r="E1348">
        <v>5</v>
      </c>
      <c r="F1348" t="s">
        <v>7</v>
      </c>
      <c r="G1348" t="s">
        <v>3070</v>
      </c>
    </row>
    <row r="1349" spans="1:7" x14ac:dyDescent="0.25">
      <c r="A1349">
        <v>8730</v>
      </c>
      <c r="B1349" t="s">
        <v>2463</v>
      </c>
      <c r="C1349">
        <v>47</v>
      </c>
      <c r="D1349" t="s">
        <v>3059</v>
      </c>
      <c r="E1349">
        <v>16</v>
      </c>
      <c r="F1349" t="s">
        <v>7</v>
      </c>
      <c r="G1349" t="s">
        <v>3070</v>
      </c>
    </row>
    <row r="1350" spans="1:7" x14ac:dyDescent="0.25">
      <c r="A1350">
        <v>8731</v>
      </c>
      <c r="B1350" t="s">
        <v>2464</v>
      </c>
      <c r="C1350">
        <v>47</v>
      </c>
      <c r="D1350" t="s">
        <v>3059</v>
      </c>
      <c r="E1350">
        <v>30</v>
      </c>
      <c r="F1350" t="s">
        <v>7</v>
      </c>
      <c r="G1350" t="s">
        <v>3070</v>
      </c>
    </row>
    <row r="1351" spans="1:7" x14ac:dyDescent="0.25">
      <c r="A1351">
        <v>8732</v>
      </c>
      <c r="B1351" t="s">
        <v>2465</v>
      </c>
      <c r="C1351">
        <v>47</v>
      </c>
      <c r="D1351" t="s">
        <v>3059</v>
      </c>
      <c r="E1351">
        <v>31</v>
      </c>
      <c r="F1351" t="s">
        <v>7</v>
      </c>
      <c r="G1351" t="s">
        <v>3070</v>
      </c>
    </row>
    <row r="1352" spans="1:7" x14ac:dyDescent="0.25">
      <c r="A1352">
        <v>8733</v>
      </c>
      <c r="B1352" t="s">
        <v>2466</v>
      </c>
      <c r="C1352">
        <v>47</v>
      </c>
      <c r="D1352" t="s">
        <v>3059</v>
      </c>
      <c r="E1352">
        <v>2</v>
      </c>
      <c r="F1352" t="s">
        <v>7</v>
      </c>
      <c r="G1352" t="s">
        <v>3070</v>
      </c>
    </row>
    <row r="1353" spans="1:7" x14ac:dyDescent="0.25">
      <c r="A1353">
        <v>8734</v>
      </c>
      <c r="B1353" t="s">
        <v>2467</v>
      </c>
      <c r="C1353">
        <v>47</v>
      </c>
      <c r="D1353" t="s">
        <v>3059</v>
      </c>
      <c r="E1353">
        <v>24</v>
      </c>
      <c r="F1353" t="s">
        <v>7</v>
      </c>
      <c r="G1353" t="s">
        <v>3070</v>
      </c>
    </row>
    <row r="1354" spans="1:7" x14ac:dyDescent="0.25">
      <c r="A1354">
        <v>8735</v>
      </c>
      <c r="B1354" t="s">
        <v>2468</v>
      </c>
      <c r="C1354">
        <v>47</v>
      </c>
      <c r="D1354" t="s">
        <v>3059</v>
      </c>
      <c r="E1354">
        <v>2</v>
      </c>
      <c r="F1354" t="s">
        <v>7</v>
      </c>
      <c r="G1354" t="s">
        <v>3070</v>
      </c>
    </row>
    <row r="1355" spans="1:7" x14ac:dyDescent="0.25">
      <c r="A1355">
        <v>8736</v>
      </c>
      <c r="B1355" t="s">
        <v>3214</v>
      </c>
      <c r="C1355">
        <v>47</v>
      </c>
      <c r="D1355" t="s">
        <v>3059</v>
      </c>
      <c r="E1355">
        <v>3</v>
      </c>
      <c r="F1355" t="s">
        <v>7</v>
      </c>
      <c r="G1355" t="s">
        <v>3070</v>
      </c>
    </row>
    <row r="1356" spans="1:7" x14ac:dyDescent="0.25">
      <c r="A1356">
        <v>8737</v>
      </c>
      <c r="B1356" t="s">
        <v>2470</v>
      </c>
      <c r="C1356">
        <v>47</v>
      </c>
      <c r="D1356" t="s">
        <v>3059</v>
      </c>
      <c r="E1356">
        <v>11</v>
      </c>
      <c r="F1356" t="s">
        <v>7</v>
      </c>
      <c r="G1356" t="s">
        <v>3070</v>
      </c>
    </row>
    <row r="1357" spans="1:7" x14ac:dyDescent="0.25">
      <c r="A1357">
        <v>8740</v>
      </c>
      <c r="B1357" t="s">
        <v>2473</v>
      </c>
      <c r="C1357">
        <v>47</v>
      </c>
      <c r="D1357" t="s">
        <v>3059</v>
      </c>
      <c r="E1357">
        <v>3</v>
      </c>
      <c r="F1357" t="s">
        <v>7</v>
      </c>
      <c r="G1357" t="s">
        <v>3070</v>
      </c>
    </row>
    <row r="1358" spans="1:7" x14ac:dyDescent="0.25">
      <c r="A1358">
        <v>8741</v>
      </c>
      <c r="B1358" t="s">
        <v>2474</v>
      </c>
      <c r="C1358">
        <v>47</v>
      </c>
      <c r="D1358" t="s">
        <v>3059</v>
      </c>
      <c r="E1358">
        <v>23</v>
      </c>
      <c r="F1358" t="s">
        <v>7</v>
      </c>
      <c r="G1358" t="s">
        <v>3070</v>
      </c>
    </row>
    <row r="1359" spans="1:7" x14ac:dyDescent="0.25">
      <c r="A1359">
        <v>8742</v>
      </c>
      <c r="B1359" t="s">
        <v>2475</v>
      </c>
      <c r="C1359">
        <v>47</v>
      </c>
      <c r="D1359" t="s">
        <v>3059</v>
      </c>
      <c r="E1359">
        <v>4</v>
      </c>
      <c r="F1359" t="s">
        <v>7</v>
      </c>
      <c r="G1359" t="s">
        <v>3070</v>
      </c>
    </row>
    <row r="1360" spans="1:7" x14ac:dyDescent="0.25">
      <c r="A1360">
        <v>8743</v>
      </c>
      <c r="B1360" t="s">
        <v>2476</v>
      </c>
      <c r="C1360">
        <v>47</v>
      </c>
      <c r="D1360" t="s">
        <v>3059</v>
      </c>
      <c r="E1360">
        <v>32</v>
      </c>
      <c r="F1360" t="s">
        <v>7</v>
      </c>
      <c r="G1360" t="s">
        <v>3070</v>
      </c>
    </row>
    <row r="1361" spans="1:7" x14ac:dyDescent="0.25">
      <c r="A1361">
        <v>8744</v>
      </c>
      <c r="B1361" t="s">
        <v>2477</v>
      </c>
      <c r="C1361">
        <v>47</v>
      </c>
      <c r="D1361" t="s">
        <v>3059</v>
      </c>
      <c r="E1361">
        <v>4</v>
      </c>
      <c r="F1361" t="s">
        <v>7</v>
      </c>
      <c r="G1361" t="s">
        <v>3070</v>
      </c>
    </row>
    <row r="1362" spans="1:7" x14ac:dyDescent="0.25">
      <c r="A1362">
        <v>8746</v>
      </c>
      <c r="B1362" t="s">
        <v>3215</v>
      </c>
      <c r="C1362">
        <v>47</v>
      </c>
      <c r="D1362" t="s">
        <v>3059</v>
      </c>
      <c r="E1362">
        <v>26</v>
      </c>
      <c r="F1362" t="s">
        <v>7</v>
      </c>
      <c r="G1362" t="s">
        <v>3070</v>
      </c>
    </row>
    <row r="1363" spans="1:7" x14ac:dyDescent="0.25">
      <c r="A1363">
        <v>8750</v>
      </c>
      <c r="B1363" t="s">
        <v>2481</v>
      </c>
      <c r="C1363">
        <v>47</v>
      </c>
      <c r="D1363" t="s">
        <v>3059</v>
      </c>
      <c r="E1363">
        <v>23</v>
      </c>
      <c r="F1363" t="s">
        <v>7</v>
      </c>
      <c r="G1363" t="s">
        <v>3070</v>
      </c>
    </row>
    <row r="1364" spans="1:7" x14ac:dyDescent="0.25">
      <c r="A1364">
        <v>8751</v>
      </c>
      <c r="B1364" t="s">
        <v>2482</v>
      </c>
      <c r="C1364">
        <v>47</v>
      </c>
      <c r="D1364" t="s">
        <v>3059</v>
      </c>
      <c r="E1364">
        <v>17</v>
      </c>
      <c r="F1364" t="s">
        <v>7</v>
      </c>
      <c r="G1364" t="s">
        <v>3070</v>
      </c>
    </row>
    <row r="1365" spans="1:7" x14ac:dyDescent="0.25">
      <c r="A1365">
        <v>8754</v>
      </c>
      <c r="B1365" t="s">
        <v>2485</v>
      </c>
      <c r="C1365">
        <v>47</v>
      </c>
      <c r="D1365" t="s">
        <v>3059</v>
      </c>
      <c r="E1365">
        <v>20</v>
      </c>
      <c r="F1365" t="s">
        <v>7</v>
      </c>
      <c r="G1365" t="s">
        <v>3070</v>
      </c>
    </row>
    <row r="1366" spans="1:7" x14ac:dyDescent="0.25">
      <c r="A1366">
        <v>8759</v>
      </c>
      <c r="B1366" t="s">
        <v>2489</v>
      </c>
      <c r="C1366">
        <v>47</v>
      </c>
      <c r="D1366" t="s">
        <v>3059</v>
      </c>
      <c r="E1366">
        <v>30</v>
      </c>
      <c r="F1366" t="s">
        <v>7</v>
      </c>
      <c r="G1366" t="s">
        <v>3070</v>
      </c>
    </row>
    <row r="1367" spans="1:7" x14ac:dyDescent="0.25">
      <c r="A1367">
        <v>8761</v>
      </c>
      <c r="B1367" t="s">
        <v>2491</v>
      </c>
      <c r="C1367">
        <v>47</v>
      </c>
      <c r="D1367" t="s">
        <v>3059</v>
      </c>
      <c r="E1367">
        <v>10</v>
      </c>
      <c r="F1367" t="s">
        <v>7</v>
      </c>
      <c r="G1367" t="s">
        <v>3070</v>
      </c>
    </row>
    <row r="1368" spans="1:7" x14ac:dyDescent="0.25">
      <c r="A1368">
        <v>8775</v>
      </c>
      <c r="B1368" t="s">
        <v>2502</v>
      </c>
      <c r="C1368">
        <v>47</v>
      </c>
      <c r="D1368" t="s">
        <v>3059</v>
      </c>
      <c r="E1368">
        <v>30</v>
      </c>
      <c r="F1368" t="s">
        <v>7</v>
      </c>
      <c r="G1368" t="s">
        <v>3070</v>
      </c>
    </row>
    <row r="1369" spans="1:7" x14ac:dyDescent="0.25">
      <c r="A1369">
        <v>8776</v>
      </c>
      <c r="B1369" t="s">
        <v>3216</v>
      </c>
      <c r="C1369">
        <v>47</v>
      </c>
      <c r="D1369" t="s">
        <v>3059</v>
      </c>
      <c r="E1369">
        <v>20</v>
      </c>
      <c r="F1369" t="s">
        <v>7</v>
      </c>
      <c r="G1369" t="s">
        <v>3070</v>
      </c>
    </row>
    <row r="1370" spans="1:7" x14ac:dyDescent="0.25">
      <c r="A1370">
        <v>8778</v>
      </c>
      <c r="B1370" t="s">
        <v>3217</v>
      </c>
      <c r="C1370">
        <v>47</v>
      </c>
      <c r="D1370" t="s">
        <v>3059</v>
      </c>
      <c r="E1370">
        <v>31</v>
      </c>
      <c r="F1370" t="s">
        <v>7</v>
      </c>
      <c r="G1370" t="s">
        <v>3070</v>
      </c>
    </row>
    <row r="1371" spans="1:7" x14ac:dyDescent="0.25">
      <c r="A1371">
        <v>8781</v>
      </c>
      <c r="B1371" t="s">
        <v>2506</v>
      </c>
      <c r="C1371">
        <v>47</v>
      </c>
      <c r="D1371" t="s">
        <v>3059</v>
      </c>
      <c r="E1371">
        <v>20</v>
      </c>
      <c r="F1371" t="s">
        <v>7</v>
      </c>
      <c r="G1371" t="s">
        <v>3070</v>
      </c>
    </row>
    <row r="1372" spans="1:7" x14ac:dyDescent="0.25">
      <c r="A1372">
        <v>8783</v>
      </c>
      <c r="B1372" t="s">
        <v>3218</v>
      </c>
      <c r="C1372">
        <v>47</v>
      </c>
      <c r="D1372" t="s">
        <v>3059</v>
      </c>
      <c r="E1372">
        <v>2</v>
      </c>
      <c r="F1372" t="s">
        <v>7</v>
      </c>
      <c r="G1372" t="s">
        <v>3070</v>
      </c>
    </row>
    <row r="1373" spans="1:7" x14ac:dyDescent="0.25">
      <c r="A1373">
        <v>8789</v>
      </c>
      <c r="B1373" t="s">
        <v>2513</v>
      </c>
      <c r="C1373">
        <v>47</v>
      </c>
      <c r="D1373" t="s">
        <v>3059</v>
      </c>
      <c r="E1373">
        <v>30</v>
      </c>
      <c r="F1373" t="s">
        <v>7</v>
      </c>
      <c r="G1373" t="s">
        <v>3070</v>
      </c>
    </row>
    <row r="1374" spans="1:7" x14ac:dyDescent="0.25">
      <c r="A1374">
        <v>8793</v>
      </c>
      <c r="B1374" t="s">
        <v>2516</v>
      </c>
      <c r="C1374">
        <v>47</v>
      </c>
      <c r="D1374" t="s">
        <v>3059</v>
      </c>
      <c r="E1374">
        <v>30</v>
      </c>
      <c r="F1374" t="s">
        <v>7</v>
      </c>
      <c r="G1374" t="s">
        <v>3070</v>
      </c>
    </row>
    <row r="1375" spans="1:7" x14ac:dyDescent="0.25">
      <c r="A1375">
        <v>8795</v>
      </c>
      <c r="B1375" t="s">
        <v>2518</v>
      </c>
      <c r="C1375">
        <v>47</v>
      </c>
      <c r="D1375" t="s">
        <v>3059</v>
      </c>
      <c r="E1375">
        <v>2</v>
      </c>
      <c r="F1375" t="s">
        <v>7</v>
      </c>
      <c r="G1375" t="s">
        <v>3070</v>
      </c>
    </row>
    <row r="1376" spans="1:7" x14ac:dyDescent="0.25">
      <c r="A1376">
        <v>8798</v>
      </c>
      <c r="B1376" t="s">
        <v>2521</v>
      </c>
      <c r="C1376">
        <v>47</v>
      </c>
      <c r="D1376" t="s">
        <v>3059</v>
      </c>
      <c r="E1376">
        <v>19</v>
      </c>
      <c r="F1376" t="s">
        <v>7</v>
      </c>
      <c r="G1376" t="s">
        <v>3070</v>
      </c>
    </row>
    <row r="1377" spans="1:7" x14ac:dyDescent="0.25">
      <c r="A1377">
        <v>8799</v>
      </c>
      <c r="B1377" t="s">
        <v>2522</v>
      </c>
      <c r="C1377">
        <v>47</v>
      </c>
      <c r="D1377" t="s">
        <v>3059</v>
      </c>
      <c r="E1377">
        <v>10</v>
      </c>
      <c r="F1377" t="s">
        <v>7</v>
      </c>
      <c r="G1377" t="s">
        <v>3070</v>
      </c>
    </row>
    <row r="1378" spans="1:7" x14ac:dyDescent="0.25">
      <c r="A1378">
        <v>8801</v>
      </c>
      <c r="B1378" t="s">
        <v>2524</v>
      </c>
      <c r="C1378">
        <v>47</v>
      </c>
      <c r="D1378" t="s">
        <v>3059</v>
      </c>
      <c r="E1378">
        <v>23</v>
      </c>
      <c r="F1378" t="s">
        <v>7</v>
      </c>
      <c r="G1378" t="s">
        <v>3070</v>
      </c>
    </row>
    <row r="1379" spans="1:7" x14ac:dyDescent="0.25">
      <c r="A1379">
        <v>8808</v>
      </c>
      <c r="B1379" t="s">
        <v>2527</v>
      </c>
      <c r="C1379">
        <v>47</v>
      </c>
      <c r="D1379" t="s">
        <v>3059</v>
      </c>
      <c r="E1379">
        <v>17</v>
      </c>
      <c r="F1379" t="s">
        <v>7</v>
      </c>
      <c r="G1379" t="s">
        <v>3070</v>
      </c>
    </row>
    <row r="1380" spans="1:7" x14ac:dyDescent="0.25">
      <c r="A1380">
        <v>8812</v>
      </c>
      <c r="B1380" t="s">
        <v>2529</v>
      </c>
      <c r="C1380">
        <v>47</v>
      </c>
      <c r="D1380" t="s">
        <v>3059</v>
      </c>
      <c r="E1380">
        <v>30</v>
      </c>
      <c r="F1380" t="s">
        <v>7</v>
      </c>
      <c r="G1380" t="s">
        <v>3070</v>
      </c>
    </row>
    <row r="1381" spans="1:7" x14ac:dyDescent="0.25">
      <c r="A1381">
        <v>8814</v>
      </c>
      <c r="B1381" t="s">
        <v>2530</v>
      </c>
      <c r="C1381">
        <v>47</v>
      </c>
      <c r="D1381" t="s">
        <v>3059</v>
      </c>
      <c r="E1381">
        <v>30</v>
      </c>
      <c r="F1381" t="s">
        <v>7</v>
      </c>
      <c r="G1381" t="s">
        <v>3070</v>
      </c>
    </row>
    <row r="1382" spans="1:7" x14ac:dyDescent="0.25">
      <c r="A1382">
        <v>8815</v>
      </c>
      <c r="B1382" t="s">
        <v>2531</v>
      </c>
      <c r="C1382">
        <v>47</v>
      </c>
      <c r="D1382" t="s">
        <v>3059</v>
      </c>
      <c r="E1382">
        <v>117</v>
      </c>
      <c r="F1382" t="s">
        <v>7</v>
      </c>
      <c r="G1382" t="s">
        <v>3070</v>
      </c>
    </row>
    <row r="1383" spans="1:7" x14ac:dyDescent="0.25">
      <c r="A1383">
        <v>8817</v>
      </c>
      <c r="B1383" t="s">
        <v>2532</v>
      </c>
      <c r="C1383">
        <v>47</v>
      </c>
      <c r="D1383" t="s">
        <v>3059</v>
      </c>
      <c r="E1383">
        <v>20</v>
      </c>
      <c r="F1383" t="s">
        <v>7</v>
      </c>
      <c r="G1383" t="s">
        <v>3070</v>
      </c>
    </row>
    <row r="1384" spans="1:7" x14ac:dyDescent="0.25">
      <c r="A1384">
        <v>8818</v>
      </c>
      <c r="B1384" t="s">
        <v>2533</v>
      </c>
      <c r="C1384">
        <v>47</v>
      </c>
      <c r="D1384" t="s">
        <v>3059</v>
      </c>
      <c r="E1384">
        <v>47</v>
      </c>
      <c r="F1384" t="s">
        <v>7</v>
      </c>
      <c r="G1384" t="s">
        <v>3070</v>
      </c>
    </row>
    <row r="1385" spans="1:7" x14ac:dyDescent="0.25">
      <c r="A1385">
        <v>8824</v>
      </c>
      <c r="B1385" t="s">
        <v>2538</v>
      </c>
      <c r="C1385">
        <v>47</v>
      </c>
      <c r="D1385" t="s">
        <v>3059</v>
      </c>
      <c r="E1385">
        <v>10</v>
      </c>
      <c r="F1385" t="s">
        <v>7</v>
      </c>
      <c r="G1385" t="s">
        <v>3070</v>
      </c>
    </row>
    <row r="1386" spans="1:7" x14ac:dyDescent="0.25">
      <c r="A1386">
        <v>8829</v>
      </c>
      <c r="B1386" t="s">
        <v>2540</v>
      </c>
      <c r="C1386">
        <v>47</v>
      </c>
      <c r="D1386" t="s">
        <v>3059</v>
      </c>
      <c r="E1386">
        <v>7</v>
      </c>
      <c r="F1386" t="s">
        <v>7</v>
      </c>
      <c r="G1386" t="s">
        <v>3070</v>
      </c>
    </row>
    <row r="1387" spans="1:7" x14ac:dyDescent="0.25">
      <c r="A1387">
        <v>8832</v>
      </c>
      <c r="B1387" t="s">
        <v>2542</v>
      </c>
      <c r="C1387">
        <v>47</v>
      </c>
      <c r="D1387" t="s">
        <v>3059</v>
      </c>
      <c r="E1387">
        <v>2</v>
      </c>
      <c r="F1387" t="s">
        <v>7</v>
      </c>
      <c r="G1387" t="s">
        <v>3070</v>
      </c>
    </row>
    <row r="1388" spans="1:7" x14ac:dyDescent="0.25">
      <c r="A1388">
        <v>8833</v>
      </c>
      <c r="B1388" t="s">
        <v>2543</v>
      </c>
      <c r="C1388">
        <v>47</v>
      </c>
      <c r="D1388" t="s">
        <v>3059</v>
      </c>
      <c r="E1388">
        <v>5</v>
      </c>
      <c r="F1388" t="s">
        <v>7</v>
      </c>
      <c r="G1388" t="s">
        <v>3070</v>
      </c>
    </row>
    <row r="1389" spans="1:7" x14ac:dyDescent="0.25">
      <c r="A1389">
        <v>8836</v>
      </c>
      <c r="B1389" t="s">
        <v>2545</v>
      </c>
      <c r="C1389">
        <v>47</v>
      </c>
      <c r="D1389" t="s">
        <v>3059</v>
      </c>
      <c r="E1389">
        <v>3</v>
      </c>
      <c r="F1389" t="s">
        <v>7</v>
      </c>
      <c r="G1389" t="s">
        <v>3070</v>
      </c>
    </row>
    <row r="1390" spans="1:7" x14ac:dyDescent="0.25">
      <c r="A1390">
        <v>8839</v>
      </c>
      <c r="B1390" t="s">
        <v>2548</v>
      </c>
      <c r="C1390">
        <v>47</v>
      </c>
      <c r="D1390" t="s">
        <v>3059</v>
      </c>
      <c r="E1390">
        <v>6</v>
      </c>
      <c r="F1390" t="s">
        <v>7</v>
      </c>
      <c r="G1390" t="s">
        <v>3070</v>
      </c>
    </row>
    <row r="1391" spans="1:7" x14ac:dyDescent="0.25">
      <c r="A1391">
        <v>8844</v>
      </c>
      <c r="B1391" t="s">
        <v>2550</v>
      </c>
      <c r="C1391">
        <v>47</v>
      </c>
      <c r="D1391" t="s">
        <v>3059</v>
      </c>
      <c r="E1391">
        <v>3</v>
      </c>
      <c r="F1391" t="s">
        <v>7</v>
      </c>
      <c r="G1391" t="s">
        <v>3070</v>
      </c>
    </row>
    <row r="1392" spans="1:7" x14ac:dyDescent="0.25">
      <c r="A1392">
        <v>8846</v>
      </c>
      <c r="B1392" t="s">
        <v>2552</v>
      </c>
      <c r="C1392">
        <v>47</v>
      </c>
      <c r="D1392" t="s">
        <v>3059</v>
      </c>
      <c r="E1392">
        <v>3</v>
      </c>
      <c r="F1392" t="s">
        <v>7</v>
      </c>
      <c r="G1392" t="s">
        <v>3070</v>
      </c>
    </row>
    <row r="1393" spans="1:7" x14ac:dyDescent="0.25">
      <c r="A1393">
        <v>8847</v>
      </c>
      <c r="B1393" t="s">
        <v>2553</v>
      </c>
      <c r="C1393">
        <v>47</v>
      </c>
      <c r="D1393" t="s">
        <v>3059</v>
      </c>
      <c r="E1393">
        <v>2</v>
      </c>
      <c r="F1393" t="s">
        <v>7</v>
      </c>
      <c r="G1393" t="s">
        <v>3070</v>
      </c>
    </row>
    <row r="1394" spans="1:7" x14ac:dyDescent="0.25">
      <c r="A1394">
        <v>8855</v>
      </c>
      <c r="B1394" t="s">
        <v>2559</v>
      </c>
      <c r="C1394">
        <v>47</v>
      </c>
      <c r="D1394" t="s">
        <v>3059</v>
      </c>
      <c r="E1394">
        <v>3</v>
      </c>
      <c r="F1394" t="s">
        <v>7</v>
      </c>
      <c r="G1394" t="s">
        <v>3070</v>
      </c>
    </row>
    <row r="1395" spans="1:7" x14ac:dyDescent="0.25">
      <c r="A1395">
        <v>8856</v>
      </c>
      <c r="B1395" t="s">
        <v>2560</v>
      </c>
      <c r="C1395">
        <v>47</v>
      </c>
      <c r="D1395" t="s">
        <v>3059</v>
      </c>
      <c r="E1395">
        <v>3</v>
      </c>
      <c r="F1395" t="s">
        <v>7</v>
      </c>
      <c r="G1395" t="s">
        <v>3070</v>
      </c>
    </row>
    <row r="1396" spans="1:7" x14ac:dyDescent="0.25">
      <c r="A1396">
        <v>8857</v>
      </c>
      <c r="B1396" t="s">
        <v>3219</v>
      </c>
      <c r="C1396">
        <v>47</v>
      </c>
      <c r="D1396" t="s">
        <v>3059</v>
      </c>
      <c r="E1396">
        <v>10</v>
      </c>
      <c r="F1396" t="s">
        <v>7</v>
      </c>
      <c r="G1396" t="s">
        <v>3070</v>
      </c>
    </row>
    <row r="1397" spans="1:7" x14ac:dyDescent="0.25">
      <c r="A1397">
        <v>8858</v>
      </c>
      <c r="B1397" t="s">
        <v>2562</v>
      </c>
      <c r="C1397">
        <v>47</v>
      </c>
      <c r="D1397" t="s">
        <v>3059</v>
      </c>
      <c r="E1397">
        <v>10</v>
      </c>
      <c r="F1397" t="s">
        <v>7</v>
      </c>
      <c r="G1397" t="s">
        <v>3070</v>
      </c>
    </row>
    <row r="1398" spans="1:7" x14ac:dyDescent="0.25">
      <c r="A1398">
        <v>8862</v>
      </c>
      <c r="B1398" t="s">
        <v>2565</v>
      </c>
      <c r="C1398">
        <v>47</v>
      </c>
      <c r="D1398" t="s">
        <v>3059</v>
      </c>
      <c r="E1398">
        <v>10</v>
      </c>
      <c r="F1398" t="s">
        <v>7</v>
      </c>
      <c r="G1398" t="s">
        <v>3070</v>
      </c>
    </row>
    <row r="1399" spans="1:7" x14ac:dyDescent="0.25">
      <c r="A1399">
        <v>8863</v>
      </c>
      <c r="B1399" t="s">
        <v>2566</v>
      </c>
      <c r="C1399">
        <v>47</v>
      </c>
      <c r="D1399" t="s">
        <v>3059</v>
      </c>
      <c r="E1399">
        <v>3</v>
      </c>
      <c r="F1399" t="s">
        <v>7</v>
      </c>
      <c r="G1399" t="s">
        <v>3070</v>
      </c>
    </row>
    <row r="1400" spans="1:7" x14ac:dyDescent="0.25">
      <c r="A1400">
        <v>8865</v>
      </c>
      <c r="B1400" t="s">
        <v>2568</v>
      </c>
      <c r="C1400">
        <v>47</v>
      </c>
      <c r="D1400" t="s">
        <v>3059</v>
      </c>
      <c r="E1400">
        <v>3</v>
      </c>
      <c r="F1400" t="s">
        <v>7</v>
      </c>
      <c r="G1400" t="s">
        <v>3070</v>
      </c>
    </row>
    <row r="1401" spans="1:7" x14ac:dyDescent="0.25">
      <c r="A1401">
        <v>8867</v>
      </c>
      <c r="B1401" t="s">
        <v>2570</v>
      </c>
      <c r="C1401">
        <v>47</v>
      </c>
      <c r="D1401" t="s">
        <v>3059</v>
      </c>
      <c r="E1401">
        <v>3</v>
      </c>
      <c r="F1401" t="s">
        <v>7</v>
      </c>
      <c r="G1401" t="s">
        <v>3070</v>
      </c>
    </row>
    <row r="1402" spans="1:7" x14ac:dyDescent="0.25">
      <c r="A1402">
        <v>8872</v>
      </c>
      <c r="B1402" t="s">
        <v>2575</v>
      </c>
      <c r="C1402">
        <v>47</v>
      </c>
      <c r="D1402" t="s">
        <v>3059</v>
      </c>
      <c r="E1402">
        <v>10</v>
      </c>
      <c r="F1402" t="s">
        <v>7</v>
      </c>
      <c r="G1402" t="s">
        <v>3070</v>
      </c>
    </row>
    <row r="1403" spans="1:7" x14ac:dyDescent="0.25">
      <c r="A1403">
        <v>8873</v>
      </c>
      <c r="B1403" t="s">
        <v>2576</v>
      </c>
      <c r="C1403">
        <v>47</v>
      </c>
      <c r="D1403" t="s">
        <v>3059</v>
      </c>
      <c r="E1403">
        <v>10</v>
      </c>
      <c r="F1403" t="s">
        <v>7</v>
      </c>
      <c r="G1403" t="s">
        <v>3070</v>
      </c>
    </row>
    <row r="1404" spans="1:7" x14ac:dyDescent="0.25">
      <c r="A1404">
        <v>8874</v>
      </c>
      <c r="B1404" t="s">
        <v>2577</v>
      </c>
      <c r="C1404">
        <v>47</v>
      </c>
      <c r="D1404" t="s">
        <v>3059</v>
      </c>
      <c r="E1404">
        <v>10</v>
      </c>
      <c r="F1404" t="s">
        <v>7</v>
      </c>
      <c r="G1404" t="s">
        <v>3070</v>
      </c>
    </row>
    <row r="1405" spans="1:7" x14ac:dyDescent="0.25">
      <c r="A1405">
        <v>8875</v>
      </c>
      <c r="B1405" t="s">
        <v>2578</v>
      </c>
      <c r="C1405">
        <v>47</v>
      </c>
      <c r="D1405" t="s">
        <v>3059</v>
      </c>
      <c r="E1405">
        <v>3</v>
      </c>
      <c r="F1405" t="s">
        <v>7</v>
      </c>
      <c r="G1405" t="s">
        <v>3070</v>
      </c>
    </row>
    <row r="1406" spans="1:7" x14ac:dyDescent="0.25">
      <c r="A1406">
        <v>8876</v>
      </c>
      <c r="B1406" t="s">
        <v>2579</v>
      </c>
      <c r="C1406">
        <v>47</v>
      </c>
      <c r="D1406" t="s">
        <v>3059</v>
      </c>
      <c r="E1406">
        <v>107</v>
      </c>
      <c r="F1406" t="s">
        <v>7</v>
      </c>
      <c r="G1406" t="s">
        <v>3070</v>
      </c>
    </row>
    <row r="1407" spans="1:7" x14ac:dyDescent="0.25">
      <c r="A1407">
        <v>8882</v>
      </c>
      <c r="B1407" t="s">
        <v>2583</v>
      </c>
      <c r="C1407">
        <v>47</v>
      </c>
      <c r="D1407" t="s">
        <v>3059</v>
      </c>
      <c r="E1407">
        <v>13</v>
      </c>
      <c r="F1407" t="s">
        <v>7</v>
      </c>
      <c r="G1407" t="s">
        <v>3070</v>
      </c>
    </row>
    <row r="1408" spans="1:7" x14ac:dyDescent="0.25">
      <c r="A1408">
        <v>8887</v>
      </c>
      <c r="B1408" t="s">
        <v>2587</v>
      </c>
      <c r="C1408">
        <v>47</v>
      </c>
      <c r="D1408" t="s">
        <v>3059</v>
      </c>
      <c r="E1408">
        <v>9</v>
      </c>
      <c r="F1408" t="s">
        <v>7</v>
      </c>
      <c r="G1408" t="s">
        <v>3070</v>
      </c>
    </row>
    <row r="1409" spans="1:7" x14ac:dyDescent="0.25">
      <c r="A1409">
        <v>8888</v>
      </c>
      <c r="B1409" t="s">
        <v>2588</v>
      </c>
      <c r="C1409">
        <v>47</v>
      </c>
      <c r="D1409" t="s">
        <v>3059</v>
      </c>
      <c r="E1409">
        <v>10</v>
      </c>
      <c r="F1409" t="s">
        <v>7</v>
      </c>
      <c r="G1409" t="s">
        <v>3070</v>
      </c>
    </row>
    <row r="1410" spans="1:7" x14ac:dyDescent="0.25">
      <c r="A1410">
        <v>8890</v>
      </c>
      <c r="B1410" t="s">
        <v>2589</v>
      </c>
      <c r="C1410">
        <v>47</v>
      </c>
      <c r="D1410" t="s">
        <v>3059</v>
      </c>
      <c r="E1410">
        <v>10</v>
      </c>
      <c r="F1410" t="s">
        <v>7</v>
      </c>
      <c r="G1410" t="s">
        <v>3070</v>
      </c>
    </row>
    <row r="1411" spans="1:7" x14ac:dyDescent="0.25">
      <c r="A1411">
        <v>8901</v>
      </c>
      <c r="B1411" t="s">
        <v>2597</v>
      </c>
      <c r="C1411">
        <v>47</v>
      </c>
      <c r="D1411" t="s">
        <v>3059</v>
      </c>
      <c r="E1411">
        <v>10</v>
      </c>
      <c r="F1411" t="s">
        <v>7</v>
      </c>
      <c r="G1411" t="s">
        <v>3070</v>
      </c>
    </row>
    <row r="1412" spans="1:7" x14ac:dyDescent="0.25">
      <c r="A1412">
        <v>8902</v>
      </c>
      <c r="B1412" t="s">
        <v>2598</v>
      </c>
      <c r="C1412">
        <v>47</v>
      </c>
      <c r="D1412" t="s">
        <v>3059</v>
      </c>
      <c r="E1412">
        <v>10</v>
      </c>
      <c r="F1412" t="s">
        <v>7</v>
      </c>
      <c r="G1412" t="s">
        <v>3070</v>
      </c>
    </row>
    <row r="1413" spans="1:7" x14ac:dyDescent="0.25">
      <c r="A1413">
        <v>8904</v>
      </c>
      <c r="B1413" t="s">
        <v>2599</v>
      </c>
      <c r="C1413">
        <v>47</v>
      </c>
      <c r="D1413" t="s">
        <v>3059</v>
      </c>
      <c r="E1413">
        <v>10</v>
      </c>
      <c r="F1413" t="s">
        <v>7</v>
      </c>
      <c r="G1413" t="s">
        <v>3070</v>
      </c>
    </row>
    <row r="1414" spans="1:7" x14ac:dyDescent="0.25">
      <c r="A1414">
        <v>8913</v>
      </c>
      <c r="B1414" t="s">
        <v>2603</v>
      </c>
      <c r="C1414">
        <v>47</v>
      </c>
      <c r="D1414" t="s">
        <v>3059</v>
      </c>
      <c r="E1414">
        <v>7</v>
      </c>
      <c r="F1414" t="s">
        <v>7</v>
      </c>
      <c r="G1414" t="s">
        <v>3070</v>
      </c>
    </row>
    <row r="1415" spans="1:7" x14ac:dyDescent="0.25">
      <c r="A1415">
        <v>8914</v>
      </c>
      <c r="B1415" t="s">
        <v>2604</v>
      </c>
      <c r="C1415">
        <v>47</v>
      </c>
      <c r="D1415" t="s">
        <v>3059</v>
      </c>
      <c r="E1415">
        <v>1</v>
      </c>
      <c r="F1415" t="s">
        <v>7</v>
      </c>
      <c r="G1415" t="s">
        <v>3070</v>
      </c>
    </row>
    <row r="1416" spans="1:7" x14ac:dyDescent="0.25">
      <c r="A1416">
        <v>8918</v>
      </c>
      <c r="B1416" t="s">
        <v>2605</v>
      </c>
      <c r="C1416">
        <v>47</v>
      </c>
      <c r="D1416" t="s">
        <v>3059</v>
      </c>
      <c r="E1416">
        <v>20</v>
      </c>
      <c r="F1416" t="s">
        <v>3085</v>
      </c>
      <c r="G1416" t="s">
        <v>3071</v>
      </c>
    </row>
    <row r="1417" spans="1:7" x14ac:dyDescent="0.25">
      <c r="A1417">
        <v>8921</v>
      </c>
      <c r="B1417" t="s">
        <v>2606</v>
      </c>
      <c r="C1417">
        <v>47</v>
      </c>
      <c r="D1417" t="s">
        <v>3059</v>
      </c>
      <c r="E1417">
        <v>590</v>
      </c>
      <c r="F1417" t="s">
        <v>7</v>
      </c>
      <c r="G1417" t="s">
        <v>3071</v>
      </c>
    </row>
    <row r="1418" spans="1:7" x14ac:dyDescent="0.25">
      <c r="A1418">
        <v>8927</v>
      </c>
      <c r="B1418" t="s">
        <v>2607</v>
      </c>
      <c r="C1418">
        <v>47</v>
      </c>
      <c r="D1418" t="s">
        <v>3059</v>
      </c>
      <c r="E1418">
        <v>44</v>
      </c>
      <c r="F1418" t="s">
        <v>7</v>
      </c>
      <c r="G1418" t="s">
        <v>3071</v>
      </c>
    </row>
    <row r="1419" spans="1:7" x14ac:dyDescent="0.25">
      <c r="A1419">
        <v>8928</v>
      </c>
      <c r="B1419" t="s">
        <v>2608</v>
      </c>
      <c r="C1419">
        <v>47</v>
      </c>
      <c r="D1419" t="s">
        <v>3059</v>
      </c>
      <c r="E1419">
        <v>54</v>
      </c>
      <c r="F1419" t="s">
        <v>7</v>
      </c>
      <c r="G1419" t="s">
        <v>3071</v>
      </c>
    </row>
    <row r="1420" spans="1:7" x14ac:dyDescent="0.25">
      <c r="A1420">
        <v>8929</v>
      </c>
      <c r="B1420" t="s">
        <v>2609</v>
      </c>
      <c r="C1420">
        <v>47</v>
      </c>
      <c r="D1420" t="s">
        <v>3059</v>
      </c>
      <c r="E1420">
        <v>8</v>
      </c>
      <c r="F1420" t="s">
        <v>7</v>
      </c>
      <c r="G1420" t="s">
        <v>3071</v>
      </c>
    </row>
    <row r="1421" spans="1:7" x14ac:dyDescent="0.25">
      <c r="A1421">
        <v>8930</v>
      </c>
      <c r="B1421" t="s">
        <v>2610</v>
      </c>
      <c r="C1421">
        <v>47</v>
      </c>
      <c r="D1421" t="s">
        <v>3059</v>
      </c>
      <c r="E1421">
        <v>33</v>
      </c>
      <c r="F1421" t="s">
        <v>7</v>
      </c>
      <c r="G1421" t="s">
        <v>3071</v>
      </c>
    </row>
    <row r="1422" spans="1:7" x14ac:dyDescent="0.25">
      <c r="A1422">
        <v>8931</v>
      </c>
      <c r="B1422" t="s">
        <v>2611</v>
      </c>
      <c r="C1422">
        <v>47</v>
      </c>
      <c r="D1422" t="s">
        <v>3059</v>
      </c>
      <c r="E1422">
        <v>715</v>
      </c>
      <c r="F1422" t="s">
        <v>7</v>
      </c>
      <c r="G1422" t="s">
        <v>3071</v>
      </c>
    </row>
    <row r="1423" spans="1:7" x14ac:dyDescent="0.25">
      <c r="A1423">
        <v>8938</v>
      </c>
      <c r="B1423" t="s">
        <v>2614</v>
      </c>
      <c r="C1423">
        <v>47</v>
      </c>
      <c r="D1423" t="s">
        <v>3059</v>
      </c>
      <c r="E1423">
        <v>627</v>
      </c>
      <c r="F1423" t="s">
        <v>7</v>
      </c>
      <c r="G1423" t="s">
        <v>3071</v>
      </c>
    </row>
    <row r="1424" spans="1:7" x14ac:dyDescent="0.25">
      <c r="A1424">
        <v>8939</v>
      </c>
      <c r="B1424" t="s">
        <v>2615</v>
      </c>
      <c r="C1424">
        <v>47</v>
      </c>
      <c r="D1424" t="s">
        <v>3059</v>
      </c>
      <c r="E1424">
        <v>276</v>
      </c>
      <c r="F1424" t="s">
        <v>7</v>
      </c>
      <c r="G1424" t="s">
        <v>3071</v>
      </c>
    </row>
    <row r="1425" spans="1:7" x14ac:dyDescent="0.25">
      <c r="A1425">
        <v>8940</v>
      </c>
      <c r="B1425" t="s">
        <v>2616</v>
      </c>
      <c r="C1425">
        <v>47</v>
      </c>
      <c r="D1425" t="s">
        <v>3059</v>
      </c>
      <c r="E1425">
        <v>1</v>
      </c>
      <c r="F1425" t="s">
        <v>7</v>
      </c>
      <c r="G1425" t="s">
        <v>3071</v>
      </c>
    </row>
    <row r="1426" spans="1:7" x14ac:dyDescent="0.25">
      <c r="A1426">
        <v>8941</v>
      </c>
      <c r="B1426" t="s">
        <v>2617</v>
      </c>
      <c r="C1426">
        <v>47</v>
      </c>
      <c r="D1426" t="s">
        <v>3059</v>
      </c>
      <c r="E1426">
        <v>24</v>
      </c>
      <c r="F1426" t="s">
        <v>7</v>
      </c>
      <c r="G1426" t="s">
        <v>3071</v>
      </c>
    </row>
    <row r="1427" spans="1:7" x14ac:dyDescent="0.25">
      <c r="A1427">
        <v>8968</v>
      </c>
      <c r="B1427" t="s">
        <v>2619</v>
      </c>
      <c r="C1427">
        <v>47</v>
      </c>
      <c r="D1427" t="s">
        <v>3059</v>
      </c>
      <c r="E1427">
        <v>60</v>
      </c>
      <c r="F1427" t="s">
        <v>7</v>
      </c>
      <c r="G1427" t="s">
        <v>3070</v>
      </c>
    </row>
    <row r="1428" spans="1:7" x14ac:dyDescent="0.25">
      <c r="A1428">
        <v>8975</v>
      </c>
      <c r="B1428" t="s">
        <v>2621</v>
      </c>
      <c r="C1428">
        <v>47</v>
      </c>
      <c r="D1428" t="s">
        <v>3059</v>
      </c>
      <c r="E1428">
        <v>2</v>
      </c>
      <c r="F1428" t="s">
        <v>7</v>
      </c>
      <c r="G1428" t="s">
        <v>3070</v>
      </c>
    </row>
    <row r="1429" spans="1:7" x14ac:dyDescent="0.25">
      <c r="A1429">
        <v>8977</v>
      </c>
      <c r="B1429" t="s">
        <v>2622</v>
      </c>
      <c r="C1429">
        <v>47</v>
      </c>
      <c r="D1429" t="s">
        <v>3059</v>
      </c>
      <c r="E1429">
        <v>3</v>
      </c>
      <c r="F1429" t="s">
        <v>7</v>
      </c>
      <c r="G1429" t="s">
        <v>3070</v>
      </c>
    </row>
    <row r="1430" spans="1:7" x14ac:dyDescent="0.25">
      <c r="A1430">
        <v>8978</v>
      </c>
      <c r="B1430" t="s">
        <v>2623</v>
      </c>
      <c r="C1430">
        <v>47</v>
      </c>
      <c r="D1430" t="s">
        <v>3059</v>
      </c>
      <c r="E1430">
        <v>10</v>
      </c>
      <c r="F1430" t="s">
        <v>7</v>
      </c>
      <c r="G1430" t="s">
        <v>3070</v>
      </c>
    </row>
    <row r="1431" spans="1:7" x14ac:dyDescent="0.25">
      <c r="A1431">
        <v>8983</v>
      </c>
      <c r="B1431" t="s">
        <v>2625</v>
      </c>
      <c r="C1431">
        <v>47</v>
      </c>
      <c r="D1431" t="s">
        <v>3059</v>
      </c>
      <c r="E1431">
        <v>49</v>
      </c>
      <c r="F1431" t="s">
        <v>7</v>
      </c>
      <c r="G1431" t="s">
        <v>3071</v>
      </c>
    </row>
    <row r="1432" spans="1:7" x14ac:dyDescent="0.25">
      <c r="A1432">
        <v>8991</v>
      </c>
      <c r="B1432" t="s">
        <v>2627</v>
      </c>
      <c r="C1432">
        <v>47</v>
      </c>
      <c r="D1432" t="s">
        <v>3059</v>
      </c>
      <c r="E1432">
        <v>53</v>
      </c>
      <c r="F1432" t="s">
        <v>7</v>
      </c>
      <c r="G1432" t="s">
        <v>3110</v>
      </c>
    </row>
    <row r="1433" spans="1:7" x14ac:dyDescent="0.25">
      <c r="A1433">
        <v>8993</v>
      </c>
      <c r="B1433" t="s">
        <v>2629</v>
      </c>
      <c r="C1433">
        <v>47</v>
      </c>
      <c r="D1433" t="s">
        <v>3059</v>
      </c>
      <c r="E1433">
        <v>255</v>
      </c>
      <c r="F1433" t="s">
        <v>7</v>
      </c>
      <c r="G1433" t="s">
        <v>3110</v>
      </c>
    </row>
    <row r="1434" spans="1:7" x14ac:dyDescent="0.25">
      <c r="A1434">
        <v>8996</v>
      </c>
      <c r="B1434" t="s">
        <v>2631</v>
      </c>
      <c r="C1434">
        <v>47</v>
      </c>
      <c r="D1434" t="s">
        <v>3059</v>
      </c>
      <c r="E1434">
        <v>15</v>
      </c>
      <c r="F1434" t="s">
        <v>7</v>
      </c>
      <c r="G1434" t="s">
        <v>3110</v>
      </c>
    </row>
    <row r="1435" spans="1:7" x14ac:dyDescent="0.25">
      <c r="A1435">
        <v>8997</v>
      </c>
      <c r="B1435" t="s">
        <v>2632</v>
      </c>
      <c r="C1435">
        <v>47</v>
      </c>
      <c r="D1435" t="s">
        <v>3059</v>
      </c>
      <c r="E1435">
        <v>38</v>
      </c>
      <c r="F1435" t="s">
        <v>7</v>
      </c>
      <c r="G1435" t="s">
        <v>3110</v>
      </c>
    </row>
    <row r="1436" spans="1:7" x14ac:dyDescent="0.25">
      <c r="A1436">
        <v>8998</v>
      </c>
      <c r="B1436" t="s">
        <v>2633</v>
      </c>
      <c r="C1436">
        <v>47</v>
      </c>
      <c r="D1436" t="s">
        <v>3059</v>
      </c>
      <c r="E1436">
        <v>90</v>
      </c>
      <c r="F1436" t="s">
        <v>7</v>
      </c>
      <c r="G1436" t="s">
        <v>3110</v>
      </c>
    </row>
    <row r="1437" spans="1:7" x14ac:dyDescent="0.25">
      <c r="A1437">
        <v>8999</v>
      </c>
      <c r="B1437" t="s">
        <v>2634</v>
      </c>
      <c r="C1437">
        <v>47</v>
      </c>
      <c r="D1437" t="s">
        <v>3059</v>
      </c>
      <c r="E1437">
        <v>11</v>
      </c>
      <c r="F1437" t="s">
        <v>7</v>
      </c>
      <c r="G1437" t="s">
        <v>3110</v>
      </c>
    </row>
    <row r="1438" spans="1:7" x14ac:dyDescent="0.25">
      <c r="A1438">
        <v>9001</v>
      </c>
      <c r="B1438" t="s">
        <v>2636</v>
      </c>
      <c r="C1438">
        <v>47</v>
      </c>
      <c r="D1438" t="s">
        <v>3059</v>
      </c>
      <c r="E1438">
        <v>16</v>
      </c>
      <c r="F1438" t="s">
        <v>7</v>
      </c>
      <c r="G1438" t="s">
        <v>3110</v>
      </c>
    </row>
    <row r="1439" spans="1:7" x14ac:dyDescent="0.25">
      <c r="A1439">
        <v>9002</v>
      </c>
      <c r="B1439" t="s">
        <v>2637</v>
      </c>
      <c r="C1439">
        <v>47</v>
      </c>
      <c r="D1439" t="s">
        <v>3059</v>
      </c>
      <c r="E1439">
        <v>10</v>
      </c>
      <c r="F1439" t="s">
        <v>7</v>
      </c>
      <c r="G1439" t="s">
        <v>3110</v>
      </c>
    </row>
    <row r="1440" spans="1:7" x14ac:dyDescent="0.25">
      <c r="A1440">
        <v>9007</v>
      </c>
      <c r="B1440" t="s">
        <v>2640</v>
      </c>
      <c r="C1440">
        <v>47</v>
      </c>
      <c r="D1440" t="s">
        <v>3059</v>
      </c>
      <c r="E1440">
        <v>1</v>
      </c>
      <c r="F1440" t="s">
        <v>7</v>
      </c>
      <c r="G1440" t="s">
        <v>3110</v>
      </c>
    </row>
    <row r="1441" spans="1:7" x14ac:dyDescent="0.25">
      <c r="A1441">
        <v>9009</v>
      </c>
      <c r="B1441" t="s">
        <v>2642</v>
      </c>
      <c r="C1441">
        <v>47</v>
      </c>
      <c r="D1441" t="s">
        <v>3059</v>
      </c>
      <c r="E1441">
        <v>50</v>
      </c>
      <c r="F1441" t="s">
        <v>7</v>
      </c>
      <c r="G1441" t="s">
        <v>3110</v>
      </c>
    </row>
    <row r="1442" spans="1:7" x14ac:dyDescent="0.25">
      <c r="A1442">
        <v>9010</v>
      </c>
      <c r="B1442" t="s">
        <v>2643</v>
      </c>
      <c r="C1442">
        <v>47</v>
      </c>
      <c r="D1442" t="s">
        <v>3059</v>
      </c>
      <c r="E1442">
        <v>10</v>
      </c>
      <c r="F1442" t="s">
        <v>7</v>
      </c>
      <c r="G1442" t="s">
        <v>3110</v>
      </c>
    </row>
    <row r="1443" spans="1:7" x14ac:dyDescent="0.25">
      <c r="A1443">
        <v>9015</v>
      </c>
      <c r="B1443" t="s">
        <v>2647</v>
      </c>
      <c r="C1443">
        <v>47</v>
      </c>
      <c r="D1443" t="s">
        <v>3059</v>
      </c>
      <c r="E1443">
        <v>10</v>
      </c>
      <c r="F1443" t="s">
        <v>7</v>
      </c>
      <c r="G1443" t="s">
        <v>3110</v>
      </c>
    </row>
    <row r="1444" spans="1:7" x14ac:dyDescent="0.25">
      <c r="A1444">
        <v>9018</v>
      </c>
      <c r="B1444" t="s">
        <v>2649</v>
      </c>
      <c r="C1444">
        <v>47</v>
      </c>
      <c r="D1444" t="s">
        <v>3059</v>
      </c>
      <c r="E1444">
        <v>1</v>
      </c>
      <c r="F1444" t="s">
        <v>7</v>
      </c>
      <c r="G1444" t="s">
        <v>3110</v>
      </c>
    </row>
    <row r="1445" spans="1:7" x14ac:dyDescent="0.25">
      <c r="A1445">
        <v>9021</v>
      </c>
      <c r="B1445" t="s">
        <v>2652</v>
      </c>
      <c r="C1445">
        <v>47</v>
      </c>
      <c r="D1445" t="s">
        <v>3059</v>
      </c>
      <c r="E1445">
        <v>29</v>
      </c>
      <c r="F1445" t="s">
        <v>7</v>
      </c>
      <c r="G1445" t="s">
        <v>3110</v>
      </c>
    </row>
    <row r="1446" spans="1:7" x14ac:dyDescent="0.25">
      <c r="A1446">
        <v>9024</v>
      </c>
      <c r="B1446" t="s">
        <v>2654</v>
      </c>
      <c r="C1446">
        <v>47</v>
      </c>
      <c r="D1446" t="s">
        <v>3059</v>
      </c>
      <c r="E1446">
        <v>10</v>
      </c>
      <c r="F1446" t="s">
        <v>7</v>
      </c>
      <c r="G1446" t="s">
        <v>3110</v>
      </c>
    </row>
    <row r="1447" spans="1:7" x14ac:dyDescent="0.25">
      <c r="A1447">
        <v>9025</v>
      </c>
      <c r="B1447" t="s">
        <v>2655</v>
      </c>
      <c r="C1447">
        <v>47</v>
      </c>
      <c r="D1447" t="s">
        <v>3059</v>
      </c>
      <c r="E1447">
        <v>4</v>
      </c>
      <c r="F1447" t="s">
        <v>7</v>
      </c>
      <c r="G1447" t="s">
        <v>3110</v>
      </c>
    </row>
    <row r="1448" spans="1:7" x14ac:dyDescent="0.25">
      <c r="A1448">
        <v>9027</v>
      </c>
      <c r="B1448" t="s">
        <v>2657</v>
      </c>
      <c r="C1448">
        <v>47</v>
      </c>
      <c r="D1448" t="s">
        <v>3059</v>
      </c>
      <c r="E1448">
        <v>4</v>
      </c>
      <c r="F1448" t="s">
        <v>7</v>
      </c>
      <c r="G1448" t="s">
        <v>3110</v>
      </c>
    </row>
    <row r="1449" spans="1:7" x14ac:dyDescent="0.25">
      <c r="A1449">
        <v>9028</v>
      </c>
      <c r="B1449" t="s">
        <v>2658</v>
      </c>
      <c r="C1449">
        <v>47</v>
      </c>
      <c r="D1449" t="s">
        <v>3059</v>
      </c>
      <c r="E1449">
        <v>20</v>
      </c>
      <c r="F1449" t="s">
        <v>7</v>
      </c>
      <c r="G1449" t="s">
        <v>3110</v>
      </c>
    </row>
    <row r="1450" spans="1:7" x14ac:dyDescent="0.25">
      <c r="A1450">
        <v>9029</v>
      </c>
      <c r="B1450" t="s">
        <v>2659</v>
      </c>
      <c r="C1450">
        <v>47</v>
      </c>
      <c r="D1450" t="s">
        <v>3059</v>
      </c>
      <c r="E1450">
        <v>90</v>
      </c>
      <c r="F1450" t="s">
        <v>7</v>
      </c>
      <c r="G1450" t="s">
        <v>3110</v>
      </c>
    </row>
    <row r="1451" spans="1:7" x14ac:dyDescent="0.25">
      <c r="A1451">
        <v>9039</v>
      </c>
      <c r="B1451" t="s">
        <v>2666</v>
      </c>
      <c r="C1451">
        <v>47</v>
      </c>
      <c r="D1451" t="s">
        <v>3059</v>
      </c>
      <c r="E1451">
        <v>3</v>
      </c>
      <c r="F1451" t="s">
        <v>7</v>
      </c>
      <c r="G1451" t="s">
        <v>3110</v>
      </c>
    </row>
    <row r="1452" spans="1:7" x14ac:dyDescent="0.25">
      <c r="A1452">
        <v>9045</v>
      </c>
      <c r="B1452" t="s">
        <v>2670</v>
      </c>
      <c r="C1452">
        <v>47</v>
      </c>
      <c r="D1452" t="s">
        <v>3059</v>
      </c>
      <c r="E1452">
        <v>23</v>
      </c>
      <c r="F1452" t="s">
        <v>7</v>
      </c>
      <c r="G1452" t="s">
        <v>3110</v>
      </c>
    </row>
    <row r="1453" spans="1:7" x14ac:dyDescent="0.25">
      <c r="A1453">
        <v>9051</v>
      </c>
      <c r="B1453" t="s">
        <v>2675</v>
      </c>
      <c r="C1453">
        <v>47</v>
      </c>
      <c r="D1453" t="s">
        <v>3059</v>
      </c>
      <c r="E1453">
        <v>5</v>
      </c>
      <c r="F1453" t="s">
        <v>7</v>
      </c>
      <c r="G1453" t="s">
        <v>3110</v>
      </c>
    </row>
    <row r="1454" spans="1:7" x14ac:dyDescent="0.25">
      <c r="A1454">
        <v>9067</v>
      </c>
      <c r="B1454" t="s">
        <v>2683</v>
      </c>
      <c r="C1454">
        <v>47</v>
      </c>
      <c r="D1454" t="s">
        <v>3059</v>
      </c>
      <c r="E1454">
        <v>1</v>
      </c>
      <c r="F1454" t="s">
        <v>7</v>
      </c>
      <c r="G1454" t="s">
        <v>3110</v>
      </c>
    </row>
    <row r="1455" spans="1:7" x14ac:dyDescent="0.25">
      <c r="A1455">
        <v>9079</v>
      </c>
      <c r="B1455" t="s">
        <v>2690</v>
      </c>
      <c r="C1455">
        <v>47</v>
      </c>
      <c r="D1455" t="s">
        <v>3059</v>
      </c>
      <c r="E1455">
        <v>1</v>
      </c>
      <c r="F1455" t="s">
        <v>7</v>
      </c>
      <c r="G1455" t="s">
        <v>3110</v>
      </c>
    </row>
    <row r="1456" spans="1:7" x14ac:dyDescent="0.25">
      <c r="A1456">
        <v>9080</v>
      </c>
      <c r="B1456" t="s">
        <v>2691</v>
      </c>
      <c r="C1456">
        <v>47</v>
      </c>
      <c r="D1456" t="s">
        <v>3059</v>
      </c>
      <c r="E1456">
        <v>16</v>
      </c>
      <c r="F1456" t="s">
        <v>7</v>
      </c>
      <c r="G1456" t="s">
        <v>3110</v>
      </c>
    </row>
    <row r="1457" spans="1:7" x14ac:dyDescent="0.25">
      <c r="A1457">
        <v>9083</v>
      </c>
      <c r="B1457" t="s">
        <v>2693</v>
      </c>
      <c r="C1457">
        <v>47</v>
      </c>
      <c r="D1457" t="s">
        <v>3059</v>
      </c>
      <c r="E1457">
        <v>22</v>
      </c>
      <c r="F1457" t="s">
        <v>7</v>
      </c>
      <c r="G1457" t="s">
        <v>3110</v>
      </c>
    </row>
    <row r="1458" spans="1:7" x14ac:dyDescent="0.25">
      <c r="A1458">
        <v>9084</v>
      </c>
      <c r="B1458" t="s">
        <v>2694</v>
      </c>
      <c r="C1458">
        <v>47</v>
      </c>
      <c r="D1458" t="s">
        <v>3059</v>
      </c>
      <c r="E1458">
        <v>5</v>
      </c>
      <c r="F1458" t="s">
        <v>7</v>
      </c>
      <c r="G1458" t="s">
        <v>3110</v>
      </c>
    </row>
    <row r="1459" spans="1:7" x14ac:dyDescent="0.25">
      <c r="A1459">
        <v>9093</v>
      </c>
      <c r="B1459" t="s">
        <v>2700</v>
      </c>
      <c r="C1459">
        <v>47</v>
      </c>
      <c r="D1459" t="s">
        <v>3059</v>
      </c>
      <c r="E1459">
        <v>5</v>
      </c>
      <c r="F1459" t="s">
        <v>7</v>
      </c>
      <c r="G1459" t="s">
        <v>3110</v>
      </c>
    </row>
    <row r="1460" spans="1:7" x14ac:dyDescent="0.25">
      <c r="A1460">
        <v>9199</v>
      </c>
      <c r="B1460" t="s">
        <v>2702</v>
      </c>
      <c r="C1460">
        <v>47</v>
      </c>
      <c r="D1460" t="s">
        <v>3059</v>
      </c>
      <c r="E1460">
        <v>25</v>
      </c>
      <c r="F1460" t="s">
        <v>7</v>
      </c>
      <c r="G1460" t="s">
        <v>3073</v>
      </c>
    </row>
    <row r="1461" spans="1:7" x14ac:dyDescent="0.25">
      <c r="A1461">
        <v>9207</v>
      </c>
      <c r="B1461" t="s">
        <v>2703</v>
      </c>
      <c r="C1461">
        <v>47</v>
      </c>
      <c r="D1461" t="s">
        <v>3059</v>
      </c>
      <c r="E1461">
        <v>31</v>
      </c>
      <c r="F1461" t="s">
        <v>7</v>
      </c>
      <c r="G1461" t="s">
        <v>3073</v>
      </c>
    </row>
    <row r="1462" spans="1:7" x14ac:dyDescent="0.25">
      <c r="A1462">
        <v>9208</v>
      </c>
      <c r="B1462" t="s">
        <v>2704</v>
      </c>
      <c r="C1462">
        <v>47</v>
      </c>
      <c r="D1462" t="s">
        <v>3059</v>
      </c>
      <c r="E1462">
        <v>3</v>
      </c>
      <c r="F1462" t="s">
        <v>7</v>
      </c>
      <c r="G1462" t="s">
        <v>3073</v>
      </c>
    </row>
    <row r="1463" spans="1:7" x14ac:dyDescent="0.25">
      <c r="A1463">
        <v>9209</v>
      </c>
      <c r="B1463" t="s">
        <v>2705</v>
      </c>
      <c r="C1463">
        <v>47</v>
      </c>
      <c r="D1463" t="s">
        <v>3059</v>
      </c>
      <c r="E1463">
        <v>23</v>
      </c>
      <c r="F1463" t="s">
        <v>7</v>
      </c>
      <c r="G1463" t="s">
        <v>3073</v>
      </c>
    </row>
    <row r="1464" spans="1:7" x14ac:dyDescent="0.25">
      <c r="A1464">
        <v>9211</v>
      </c>
      <c r="B1464" t="s">
        <v>2707</v>
      </c>
      <c r="C1464">
        <v>47</v>
      </c>
      <c r="D1464" t="s">
        <v>3059</v>
      </c>
      <c r="E1464">
        <v>110</v>
      </c>
      <c r="F1464" t="s">
        <v>7</v>
      </c>
      <c r="G1464" t="s">
        <v>3073</v>
      </c>
    </row>
    <row r="1465" spans="1:7" x14ac:dyDescent="0.25">
      <c r="A1465">
        <v>9212</v>
      </c>
      <c r="B1465" t="s">
        <v>2708</v>
      </c>
      <c r="C1465">
        <v>47</v>
      </c>
      <c r="D1465" t="s">
        <v>3059</v>
      </c>
      <c r="E1465">
        <v>2</v>
      </c>
      <c r="F1465" t="s">
        <v>7</v>
      </c>
      <c r="G1465" t="s">
        <v>3073</v>
      </c>
    </row>
    <row r="1466" spans="1:7" x14ac:dyDescent="0.25">
      <c r="A1466">
        <v>9213</v>
      </c>
      <c r="B1466" t="s">
        <v>2709</v>
      </c>
      <c r="C1466">
        <v>47</v>
      </c>
      <c r="D1466" t="s">
        <v>3059</v>
      </c>
      <c r="E1466">
        <v>29</v>
      </c>
      <c r="F1466" t="s">
        <v>7</v>
      </c>
      <c r="G1466" t="s">
        <v>3073</v>
      </c>
    </row>
    <row r="1467" spans="1:7" x14ac:dyDescent="0.25">
      <c r="A1467">
        <v>9214</v>
      </c>
      <c r="B1467" t="s">
        <v>2710</v>
      </c>
      <c r="C1467">
        <v>47</v>
      </c>
      <c r="D1467" t="s">
        <v>3059</v>
      </c>
      <c r="E1467">
        <v>45</v>
      </c>
      <c r="F1467" t="s">
        <v>7</v>
      </c>
      <c r="G1467" t="s">
        <v>3073</v>
      </c>
    </row>
    <row r="1468" spans="1:7" x14ac:dyDescent="0.25">
      <c r="A1468">
        <v>9215</v>
      </c>
      <c r="B1468" t="s">
        <v>2711</v>
      </c>
      <c r="C1468">
        <v>47</v>
      </c>
      <c r="D1468" t="s">
        <v>3059</v>
      </c>
      <c r="E1468">
        <v>4</v>
      </c>
      <c r="F1468" t="s">
        <v>7</v>
      </c>
      <c r="G1468" t="s">
        <v>3073</v>
      </c>
    </row>
    <row r="1469" spans="1:7" x14ac:dyDescent="0.25">
      <c r="A1469">
        <v>9216</v>
      </c>
      <c r="B1469" t="s">
        <v>2712</v>
      </c>
      <c r="C1469">
        <v>47</v>
      </c>
      <c r="D1469" t="s">
        <v>3059</v>
      </c>
      <c r="E1469">
        <v>16</v>
      </c>
      <c r="F1469" t="s">
        <v>7</v>
      </c>
      <c r="G1469" t="s">
        <v>3073</v>
      </c>
    </row>
    <row r="1470" spans="1:7" x14ac:dyDescent="0.25">
      <c r="A1470">
        <v>9217</v>
      </c>
      <c r="B1470" t="s">
        <v>2713</v>
      </c>
      <c r="C1470">
        <v>47</v>
      </c>
      <c r="D1470" t="s">
        <v>3059</v>
      </c>
      <c r="E1470">
        <v>17</v>
      </c>
      <c r="F1470" t="s">
        <v>7</v>
      </c>
      <c r="G1470" t="s">
        <v>3073</v>
      </c>
    </row>
    <row r="1471" spans="1:7" x14ac:dyDescent="0.25">
      <c r="A1471">
        <v>9218</v>
      </c>
      <c r="B1471" t="s">
        <v>2714</v>
      </c>
      <c r="C1471">
        <v>47</v>
      </c>
      <c r="D1471" t="s">
        <v>3059</v>
      </c>
      <c r="E1471">
        <v>26</v>
      </c>
      <c r="F1471" t="s">
        <v>7</v>
      </c>
      <c r="G1471" t="s">
        <v>3073</v>
      </c>
    </row>
    <row r="1472" spans="1:7" x14ac:dyDescent="0.25">
      <c r="A1472">
        <v>9219</v>
      </c>
      <c r="B1472" t="s">
        <v>2715</v>
      </c>
      <c r="C1472">
        <v>47</v>
      </c>
      <c r="D1472" t="s">
        <v>3059</v>
      </c>
      <c r="E1472">
        <v>22</v>
      </c>
      <c r="F1472" t="s">
        <v>7</v>
      </c>
      <c r="G1472" t="s">
        <v>3073</v>
      </c>
    </row>
    <row r="1473" spans="1:7" x14ac:dyDescent="0.25">
      <c r="A1473">
        <v>9220</v>
      </c>
      <c r="B1473" t="s">
        <v>2716</v>
      </c>
      <c r="C1473">
        <v>47</v>
      </c>
      <c r="D1473" t="s">
        <v>3059</v>
      </c>
      <c r="E1473">
        <v>141</v>
      </c>
      <c r="F1473" t="s">
        <v>7</v>
      </c>
      <c r="G1473" t="s">
        <v>3073</v>
      </c>
    </row>
    <row r="1474" spans="1:7" x14ac:dyDescent="0.25">
      <c r="A1474">
        <v>9221</v>
      </c>
      <c r="B1474" t="s">
        <v>2717</v>
      </c>
      <c r="C1474">
        <v>47</v>
      </c>
      <c r="D1474" t="s">
        <v>3059</v>
      </c>
      <c r="E1474">
        <v>47</v>
      </c>
      <c r="F1474" t="s">
        <v>7</v>
      </c>
      <c r="G1474" t="s">
        <v>3073</v>
      </c>
    </row>
    <row r="1475" spans="1:7" x14ac:dyDescent="0.25">
      <c r="A1475">
        <v>9222</v>
      </c>
      <c r="B1475" t="s">
        <v>2718</v>
      </c>
      <c r="C1475">
        <v>47</v>
      </c>
      <c r="D1475" t="s">
        <v>3059</v>
      </c>
      <c r="E1475">
        <v>96</v>
      </c>
      <c r="F1475" t="s">
        <v>7</v>
      </c>
      <c r="G1475" t="s">
        <v>3073</v>
      </c>
    </row>
    <row r="1476" spans="1:7" x14ac:dyDescent="0.25">
      <c r="A1476">
        <v>9223</v>
      </c>
      <c r="B1476" t="s">
        <v>2719</v>
      </c>
      <c r="C1476">
        <v>47</v>
      </c>
      <c r="D1476" t="s">
        <v>3059</v>
      </c>
      <c r="E1476">
        <v>115</v>
      </c>
      <c r="F1476" t="s">
        <v>7</v>
      </c>
      <c r="G1476" t="s">
        <v>3073</v>
      </c>
    </row>
    <row r="1477" spans="1:7" x14ac:dyDescent="0.25">
      <c r="A1477">
        <v>9224</v>
      </c>
      <c r="B1477" t="s">
        <v>2720</v>
      </c>
      <c r="C1477">
        <v>47</v>
      </c>
      <c r="D1477" t="s">
        <v>3059</v>
      </c>
      <c r="E1477">
        <v>295</v>
      </c>
      <c r="F1477" t="s">
        <v>7</v>
      </c>
      <c r="G1477" t="s">
        <v>3073</v>
      </c>
    </row>
    <row r="1478" spans="1:7" x14ac:dyDescent="0.25">
      <c r="A1478">
        <v>9227</v>
      </c>
      <c r="B1478" t="s">
        <v>2723</v>
      </c>
      <c r="C1478">
        <v>47</v>
      </c>
      <c r="D1478" t="s">
        <v>3059</v>
      </c>
      <c r="E1478">
        <v>52</v>
      </c>
      <c r="F1478" t="s">
        <v>7</v>
      </c>
      <c r="G1478" t="s">
        <v>3073</v>
      </c>
    </row>
    <row r="1479" spans="1:7" x14ac:dyDescent="0.25">
      <c r="A1479">
        <v>9228</v>
      </c>
      <c r="B1479" t="s">
        <v>2724</v>
      </c>
      <c r="C1479">
        <v>47</v>
      </c>
      <c r="D1479" t="s">
        <v>3059</v>
      </c>
      <c r="E1479">
        <v>18</v>
      </c>
      <c r="F1479" t="s">
        <v>7</v>
      </c>
      <c r="G1479" t="s">
        <v>3073</v>
      </c>
    </row>
    <row r="1480" spans="1:7" x14ac:dyDescent="0.25">
      <c r="A1480">
        <v>9229</v>
      </c>
      <c r="B1480" t="s">
        <v>2725</v>
      </c>
      <c r="C1480">
        <v>47</v>
      </c>
      <c r="D1480" t="s">
        <v>3059</v>
      </c>
      <c r="E1480">
        <v>17</v>
      </c>
      <c r="F1480" t="s">
        <v>7</v>
      </c>
      <c r="G1480" t="s">
        <v>3073</v>
      </c>
    </row>
    <row r="1481" spans="1:7" x14ac:dyDescent="0.25">
      <c r="A1481">
        <v>9230</v>
      </c>
      <c r="B1481" t="s">
        <v>2726</v>
      </c>
      <c r="C1481">
        <v>47</v>
      </c>
      <c r="D1481" t="s">
        <v>3059</v>
      </c>
      <c r="E1481">
        <v>65</v>
      </c>
      <c r="F1481" t="s">
        <v>7</v>
      </c>
      <c r="G1481" t="s">
        <v>3073</v>
      </c>
    </row>
    <row r="1482" spans="1:7" x14ac:dyDescent="0.25">
      <c r="A1482">
        <v>9231</v>
      </c>
      <c r="B1482" t="s">
        <v>2727</v>
      </c>
      <c r="C1482">
        <v>47</v>
      </c>
      <c r="D1482" t="s">
        <v>3059</v>
      </c>
      <c r="E1482">
        <v>4</v>
      </c>
      <c r="F1482" t="s">
        <v>7</v>
      </c>
      <c r="G1482" t="s">
        <v>3073</v>
      </c>
    </row>
    <row r="1483" spans="1:7" x14ac:dyDescent="0.25">
      <c r="A1483">
        <v>9232</v>
      </c>
      <c r="B1483" t="s">
        <v>2728</v>
      </c>
      <c r="C1483">
        <v>47</v>
      </c>
      <c r="D1483" t="s">
        <v>3059</v>
      </c>
      <c r="E1483">
        <v>1</v>
      </c>
      <c r="F1483" t="s">
        <v>7</v>
      </c>
      <c r="G1483" t="s">
        <v>3073</v>
      </c>
    </row>
    <row r="1484" spans="1:7" x14ac:dyDescent="0.25">
      <c r="A1484">
        <v>9233</v>
      </c>
      <c r="B1484" t="s">
        <v>2729</v>
      </c>
      <c r="C1484">
        <v>47</v>
      </c>
      <c r="D1484" t="s">
        <v>3059</v>
      </c>
      <c r="E1484">
        <v>81</v>
      </c>
      <c r="F1484" t="s">
        <v>7</v>
      </c>
      <c r="G1484" t="s">
        <v>3073</v>
      </c>
    </row>
    <row r="1485" spans="1:7" x14ac:dyDescent="0.25">
      <c r="A1485">
        <v>9235</v>
      </c>
      <c r="B1485" t="s">
        <v>2730</v>
      </c>
      <c r="C1485">
        <v>47</v>
      </c>
      <c r="D1485" t="s">
        <v>3059</v>
      </c>
      <c r="E1485">
        <v>4</v>
      </c>
      <c r="F1485" t="s">
        <v>7</v>
      </c>
      <c r="G1485" t="s">
        <v>3073</v>
      </c>
    </row>
    <row r="1486" spans="1:7" x14ac:dyDescent="0.25">
      <c r="A1486">
        <v>9239</v>
      </c>
      <c r="B1486" t="s">
        <v>2731</v>
      </c>
      <c r="C1486">
        <v>47</v>
      </c>
      <c r="D1486" t="s">
        <v>3059</v>
      </c>
      <c r="E1486">
        <v>1</v>
      </c>
      <c r="F1486" t="s">
        <v>7</v>
      </c>
      <c r="G1486" t="s">
        <v>3073</v>
      </c>
    </row>
    <row r="1487" spans="1:7" x14ac:dyDescent="0.25">
      <c r="A1487">
        <v>9252</v>
      </c>
      <c r="B1487" t="s">
        <v>2732</v>
      </c>
      <c r="C1487">
        <v>47</v>
      </c>
      <c r="D1487" t="s">
        <v>3059</v>
      </c>
      <c r="E1487">
        <v>33</v>
      </c>
      <c r="F1487" t="s">
        <v>7</v>
      </c>
      <c r="G1487" t="s">
        <v>3062</v>
      </c>
    </row>
    <row r="1488" spans="1:7" x14ac:dyDescent="0.25">
      <c r="A1488">
        <v>9253</v>
      </c>
      <c r="B1488" t="s">
        <v>2733</v>
      </c>
      <c r="C1488">
        <v>47</v>
      </c>
      <c r="D1488" t="s">
        <v>3059</v>
      </c>
      <c r="E1488">
        <v>19</v>
      </c>
      <c r="F1488" t="s">
        <v>7</v>
      </c>
      <c r="G1488" t="s">
        <v>3062</v>
      </c>
    </row>
    <row r="1489" spans="1:7" x14ac:dyDescent="0.25">
      <c r="A1489">
        <v>9254</v>
      </c>
      <c r="B1489" t="s">
        <v>3220</v>
      </c>
      <c r="C1489">
        <v>47</v>
      </c>
      <c r="D1489" t="s">
        <v>3059</v>
      </c>
      <c r="E1489">
        <v>44</v>
      </c>
      <c r="F1489" t="s">
        <v>7</v>
      </c>
      <c r="G1489" t="s">
        <v>3110</v>
      </c>
    </row>
    <row r="1490" spans="1:7" x14ac:dyDescent="0.25">
      <c r="A1490">
        <v>9258</v>
      </c>
      <c r="B1490" t="s">
        <v>2736</v>
      </c>
      <c r="C1490">
        <v>47</v>
      </c>
      <c r="D1490" t="s">
        <v>3059</v>
      </c>
      <c r="E1490">
        <v>2</v>
      </c>
      <c r="F1490" t="s">
        <v>7</v>
      </c>
      <c r="G1490" t="s">
        <v>3071</v>
      </c>
    </row>
    <row r="1491" spans="1:7" x14ac:dyDescent="0.25">
      <c r="A1491">
        <v>9259</v>
      </c>
      <c r="B1491" t="s">
        <v>2737</v>
      </c>
      <c r="C1491">
        <v>47</v>
      </c>
      <c r="D1491" t="s">
        <v>3059</v>
      </c>
      <c r="E1491">
        <v>170</v>
      </c>
      <c r="F1491" t="s">
        <v>7</v>
      </c>
      <c r="G1491" t="s">
        <v>3071</v>
      </c>
    </row>
    <row r="1492" spans="1:7" x14ac:dyDescent="0.25">
      <c r="A1492">
        <v>9260</v>
      </c>
      <c r="B1492" t="s">
        <v>2738</v>
      </c>
      <c r="C1492">
        <v>47</v>
      </c>
      <c r="D1492" t="s">
        <v>3059</v>
      </c>
      <c r="E1492">
        <v>156</v>
      </c>
      <c r="F1492" t="s">
        <v>7</v>
      </c>
      <c r="G1492" t="s">
        <v>3071</v>
      </c>
    </row>
    <row r="1493" spans="1:7" x14ac:dyDescent="0.25">
      <c r="A1493">
        <v>9262</v>
      </c>
      <c r="B1493" t="s">
        <v>2739</v>
      </c>
      <c r="C1493">
        <v>47</v>
      </c>
      <c r="D1493" t="s">
        <v>3059</v>
      </c>
      <c r="E1493">
        <v>292</v>
      </c>
      <c r="F1493" t="s">
        <v>7</v>
      </c>
      <c r="G1493" t="s">
        <v>3071</v>
      </c>
    </row>
    <row r="1494" spans="1:7" x14ac:dyDescent="0.25">
      <c r="A1494">
        <v>9264</v>
      </c>
      <c r="B1494" t="s">
        <v>2740</v>
      </c>
      <c r="C1494">
        <v>47</v>
      </c>
      <c r="D1494" t="s">
        <v>3059</v>
      </c>
      <c r="E1494">
        <v>19</v>
      </c>
      <c r="F1494" t="s">
        <v>7</v>
      </c>
      <c r="G1494" t="s">
        <v>3071</v>
      </c>
    </row>
    <row r="1495" spans="1:7" x14ac:dyDescent="0.25">
      <c r="A1495">
        <v>9267</v>
      </c>
      <c r="B1495" t="s">
        <v>2741</v>
      </c>
      <c r="C1495">
        <v>47</v>
      </c>
      <c r="D1495" t="s">
        <v>3059</v>
      </c>
      <c r="E1495">
        <v>515</v>
      </c>
      <c r="F1495" t="s">
        <v>7</v>
      </c>
      <c r="G1495" t="s">
        <v>3071</v>
      </c>
    </row>
    <row r="1496" spans="1:7" x14ac:dyDescent="0.25">
      <c r="A1496">
        <v>9268</v>
      </c>
      <c r="B1496" t="s">
        <v>2742</v>
      </c>
      <c r="C1496">
        <v>47</v>
      </c>
      <c r="D1496" t="s">
        <v>3059</v>
      </c>
      <c r="E1496">
        <v>11</v>
      </c>
      <c r="F1496" t="s">
        <v>7</v>
      </c>
      <c r="G1496" t="s">
        <v>3071</v>
      </c>
    </row>
    <row r="1497" spans="1:7" x14ac:dyDescent="0.25">
      <c r="A1497">
        <v>9273</v>
      </c>
      <c r="B1497" t="s">
        <v>2743</v>
      </c>
      <c r="C1497">
        <v>47</v>
      </c>
      <c r="D1497" t="s">
        <v>3059</v>
      </c>
      <c r="E1497">
        <v>46</v>
      </c>
      <c r="F1497" t="s">
        <v>7</v>
      </c>
      <c r="G1497" t="s">
        <v>3071</v>
      </c>
    </row>
    <row r="1498" spans="1:7" x14ac:dyDescent="0.25">
      <c r="A1498">
        <v>9275</v>
      </c>
      <c r="B1498" t="s">
        <v>2745</v>
      </c>
      <c r="C1498">
        <v>47</v>
      </c>
      <c r="D1498" t="s">
        <v>3059</v>
      </c>
      <c r="E1498">
        <v>1</v>
      </c>
      <c r="F1498" t="s">
        <v>7</v>
      </c>
      <c r="G1498" t="s">
        <v>3071</v>
      </c>
    </row>
    <row r="1499" spans="1:7" x14ac:dyDescent="0.25">
      <c r="A1499">
        <v>9277</v>
      </c>
      <c r="B1499" t="s">
        <v>2746</v>
      </c>
      <c r="C1499">
        <v>47</v>
      </c>
      <c r="D1499" t="s">
        <v>3059</v>
      </c>
      <c r="E1499">
        <v>12</v>
      </c>
      <c r="F1499" t="s">
        <v>7</v>
      </c>
      <c r="G1499" t="s">
        <v>3071</v>
      </c>
    </row>
    <row r="1500" spans="1:7" x14ac:dyDescent="0.25">
      <c r="A1500">
        <v>9281</v>
      </c>
      <c r="B1500" t="s">
        <v>2749</v>
      </c>
      <c r="C1500">
        <v>47</v>
      </c>
      <c r="D1500" t="s">
        <v>3059</v>
      </c>
      <c r="E1500">
        <v>33</v>
      </c>
      <c r="F1500" t="s">
        <v>7</v>
      </c>
      <c r="G1500" t="s">
        <v>3071</v>
      </c>
    </row>
    <row r="1501" spans="1:7" x14ac:dyDescent="0.25">
      <c r="A1501">
        <v>9282</v>
      </c>
      <c r="B1501" t="s">
        <v>2750</v>
      </c>
      <c r="C1501">
        <v>47</v>
      </c>
      <c r="D1501" t="s">
        <v>3059</v>
      </c>
      <c r="E1501">
        <v>20</v>
      </c>
      <c r="F1501" t="s">
        <v>7</v>
      </c>
      <c r="G1501" t="s">
        <v>3071</v>
      </c>
    </row>
    <row r="1502" spans="1:7" x14ac:dyDescent="0.25">
      <c r="A1502">
        <v>9292</v>
      </c>
      <c r="B1502" t="s">
        <v>2751</v>
      </c>
      <c r="C1502">
        <v>47</v>
      </c>
      <c r="D1502" t="s">
        <v>3059</v>
      </c>
      <c r="E1502">
        <v>4</v>
      </c>
      <c r="F1502" t="s">
        <v>7</v>
      </c>
      <c r="G1502" t="s">
        <v>3073</v>
      </c>
    </row>
    <row r="1503" spans="1:7" x14ac:dyDescent="0.25">
      <c r="A1503">
        <v>9294</v>
      </c>
      <c r="B1503" t="s">
        <v>2753</v>
      </c>
      <c r="C1503">
        <v>47</v>
      </c>
      <c r="D1503" t="s">
        <v>3059</v>
      </c>
      <c r="E1503">
        <v>6</v>
      </c>
      <c r="F1503" t="s">
        <v>7</v>
      </c>
      <c r="G1503" t="s">
        <v>3071</v>
      </c>
    </row>
    <row r="1504" spans="1:7" x14ac:dyDescent="0.25">
      <c r="A1504">
        <v>9304</v>
      </c>
      <c r="B1504" t="s">
        <v>2756</v>
      </c>
      <c r="C1504">
        <v>47</v>
      </c>
      <c r="D1504" t="s">
        <v>3059</v>
      </c>
      <c r="E1504">
        <v>1</v>
      </c>
      <c r="F1504" t="s">
        <v>7</v>
      </c>
      <c r="G1504" t="s">
        <v>3070</v>
      </c>
    </row>
    <row r="1505" spans="1:7" x14ac:dyDescent="0.25">
      <c r="A1505">
        <v>9329</v>
      </c>
      <c r="B1505" t="s">
        <v>2771</v>
      </c>
      <c r="C1505">
        <v>47</v>
      </c>
      <c r="D1505" t="s">
        <v>3059</v>
      </c>
      <c r="E1505">
        <v>20</v>
      </c>
      <c r="F1505" t="s">
        <v>7</v>
      </c>
      <c r="G1505" t="s">
        <v>3070</v>
      </c>
    </row>
    <row r="1506" spans="1:7" x14ac:dyDescent="0.25">
      <c r="A1506">
        <v>9347</v>
      </c>
      <c r="B1506" t="s">
        <v>2780</v>
      </c>
      <c r="C1506">
        <v>47</v>
      </c>
      <c r="D1506" t="s">
        <v>3059</v>
      </c>
      <c r="E1506">
        <v>227</v>
      </c>
      <c r="F1506" t="s">
        <v>7</v>
      </c>
      <c r="G1506" t="s">
        <v>3101</v>
      </c>
    </row>
    <row r="1507" spans="1:7" x14ac:dyDescent="0.25">
      <c r="A1507">
        <v>9352</v>
      </c>
      <c r="B1507" t="s">
        <v>3221</v>
      </c>
      <c r="C1507">
        <v>47</v>
      </c>
      <c r="D1507" t="s">
        <v>3059</v>
      </c>
      <c r="E1507">
        <v>46</v>
      </c>
      <c r="F1507" t="s">
        <v>7</v>
      </c>
      <c r="G1507" t="s">
        <v>3070</v>
      </c>
    </row>
    <row r="1508" spans="1:7" x14ac:dyDescent="0.25">
      <c r="A1508">
        <v>9361</v>
      </c>
      <c r="B1508" t="s">
        <v>2790</v>
      </c>
      <c r="C1508">
        <v>47</v>
      </c>
      <c r="D1508" t="s">
        <v>3059</v>
      </c>
      <c r="E1508">
        <v>18</v>
      </c>
      <c r="F1508" t="s">
        <v>7</v>
      </c>
      <c r="G1508" t="s">
        <v>3073</v>
      </c>
    </row>
    <row r="1509" spans="1:7" x14ac:dyDescent="0.25">
      <c r="A1509">
        <v>9362</v>
      </c>
      <c r="B1509" t="s">
        <v>2791</v>
      </c>
      <c r="C1509">
        <v>47</v>
      </c>
      <c r="D1509" t="s">
        <v>3059</v>
      </c>
      <c r="E1509">
        <v>75</v>
      </c>
      <c r="F1509" t="s">
        <v>7</v>
      </c>
      <c r="G1509" t="s">
        <v>3073</v>
      </c>
    </row>
    <row r="1510" spans="1:7" x14ac:dyDescent="0.25">
      <c r="A1510">
        <v>9363</v>
      </c>
      <c r="B1510" t="s">
        <v>2792</v>
      </c>
      <c r="C1510">
        <v>47</v>
      </c>
      <c r="D1510" t="s">
        <v>3059</v>
      </c>
      <c r="E1510">
        <v>10</v>
      </c>
      <c r="F1510" t="s">
        <v>7</v>
      </c>
      <c r="G1510" t="s">
        <v>3073</v>
      </c>
    </row>
    <row r="1511" spans="1:7" x14ac:dyDescent="0.25">
      <c r="A1511">
        <v>9366</v>
      </c>
      <c r="B1511" t="s">
        <v>2795</v>
      </c>
      <c r="C1511">
        <v>47</v>
      </c>
      <c r="D1511" t="s">
        <v>3059</v>
      </c>
      <c r="E1511">
        <v>73</v>
      </c>
      <c r="F1511" t="s">
        <v>7</v>
      </c>
      <c r="G1511" t="s">
        <v>3073</v>
      </c>
    </row>
    <row r="1512" spans="1:7" x14ac:dyDescent="0.25">
      <c r="A1512">
        <v>9367</v>
      </c>
      <c r="B1512" t="s">
        <v>2796</v>
      </c>
      <c r="C1512">
        <v>47</v>
      </c>
      <c r="D1512" t="s">
        <v>3059</v>
      </c>
      <c r="E1512">
        <v>285</v>
      </c>
      <c r="F1512" t="s">
        <v>7</v>
      </c>
      <c r="G1512" t="s">
        <v>3073</v>
      </c>
    </row>
    <row r="1513" spans="1:7" x14ac:dyDescent="0.25">
      <c r="A1513">
        <v>9368</v>
      </c>
      <c r="B1513" t="s">
        <v>2797</v>
      </c>
      <c r="C1513">
        <v>47</v>
      </c>
      <c r="D1513" t="s">
        <v>3059</v>
      </c>
      <c r="E1513">
        <v>150</v>
      </c>
      <c r="F1513" t="s">
        <v>7</v>
      </c>
      <c r="G1513" t="s">
        <v>3073</v>
      </c>
    </row>
    <row r="1514" spans="1:7" x14ac:dyDescent="0.25">
      <c r="A1514">
        <v>9369</v>
      </c>
      <c r="B1514" t="s">
        <v>2798</v>
      </c>
      <c r="C1514">
        <v>47</v>
      </c>
      <c r="D1514" t="s">
        <v>3059</v>
      </c>
      <c r="E1514">
        <v>59</v>
      </c>
      <c r="F1514" t="s">
        <v>7</v>
      </c>
      <c r="G1514" t="s">
        <v>3073</v>
      </c>
    </row>
    <row r="1515" spans="1:7" x14ac:dyDescent="0.25">
      <c r="A1515">
        <v>9370</v>
      </c>
      <c r="B1515" t="s">
        <v>2799</v>
      </c>
      <c r="C1515">
        <v>47</v>
      </c>
      <c r="D1515" t="s">
        <v>3059</v>
      </c>
      <c r="E1515">
        <v>41</v>
      </c>
      <c r="F1515" t="s">
        <v>7</v>
      </c>
      <c r="G1515" t="s">
        <v>3073</v>
      </c>
    </row>
    <row r="1516" spans="1:7" x14ac:dyDescent="0.25">
      <c r="A1516">
        <v>9371</v>
      </c>
      <c r="B1516" t="s">
        <v>2800</v>
      </c>
      <c r="C1516">
        <v>47</v>
      </c>
      <c r="D1516" t="s">
        <v>3059</v>
      </c>
      <c r="E1516">
        <v>45</v>
      </c>
      <c r="F1516" t="s">
        <v>7</v>
      </c>
      <c r="G1516" t="s">
        <v>3073</v>
      </c>
    </row>
    <row r="1517" spans="1:7" x14ac:dyDescent="0.25">
      <c r="A1517">
        <v>9372</v>
      </c>
      <c r="B1517" t="s">
        <v>2801</v>
      </c>
      <c r="C1517">
        <v>47</v>
      </c>
      <c r="D1517" t="s">
        <v>3059</v>
      </c>
      <c r="E1517">
        <v>109</v>
      </c>
      <c r="F1517" t="s">
        <v>7</v>
      </c>
      <c r="G1517" t="s">
        <v>3073</v>
      </c>
    </row>
    <row r="1518" spans="1:7" x14ac:dyDescent="0.25">
      <c r="A1518">
        <v>9373</v>
      </c>
      <c r="B1518" t="s">
        <v>2802</v>
      </c>
      <c r="C1518">
        <v>47</v>
      </c>
      <c r="D1518" t="s">
        <v>3059</v>
      </c>
      <c r="E1518">
        <v>7</v>
      </c>
      <c r="F1518" t="s">
        <v>7</v>
      </c>
      <c r="G1518" t="s">
        <v>3073</v>
      </c>
    </row>
    <row r="1519" spans="1:7" x14ac:dyDescent="0.25">
      <c r="A1519">
        <v>9374</v>
      </c>
      <c r="B1519" t="s">
        <v>2803</v>
      </c>
      <c r="C1519">
        <v>47</v>
      </c>
      <c r="D1519" t="s">
        <v>3059</v>
      </c>
      <c r="E1519">
        <v>11</v>
      </c>
      <c r="F1519" t="s">
        <v>7</v>
      </c>
      <c r="G1519" t="s">
        <v>3073</v>
      </c>
    </row>
    <row r="1520" spans="1:7" x14ac:dyDescent="0.25">
      <c r="A1520">
        <v>9376</v>
      </c>
      <c r="B1520" t="s">
        <v>2804</v>
      </c>
      <c r="C1520">
        <v>47</v>
      </c>
      <c r="D1520" t="s">
        <v>3059</v>
      </c>
      <c r="E1520">
        <v>1</v>
      </c>
      <c r="F1520" t="s">
        <v>7</v>
      </c>
      <c r="G1520" t="s">
        <v>3073</v>
      </c>
    </row>
    <row r="1521" spans="1:7" x14ac:dyDescent="0.25">
      <c r="A1521">
        <v>9377</v>
      </c>
      <c r="B1521" t="s">
        <v>2805</v>
      </c>
      <c r="C1521">
        <v>47</v>
      </c>
      <c r="D1521" t="s">
        <v>3059</v>
      </c>
      <c r="E1521">
        <v>15</v>
      </c>
      <c r="F1521" t="s">
        <v>7</v>
      </c>
      <c r="G1521" t="s">
        <v>3073</v>
      </c>
    </row>
    <row r="1522" spans="1:7" x14ac:dyDescent="0.25">
      <c r="A1522">
        <v>9379</v>
      </c>
      <c r="B1522" t="s">
        <v>2807</v>
      </c>
      <c r="C1522">
        <v>47</v>
      </c>
      <c r="D1522" t="s">
        <v>3059</v>
      </c>
      <c r="E1522">
        <v>85</v>
      </c>
      <c r="F1522" t="s">
        <v>7</v>
      </c>
      <c r="G1522" t="s">
        <v>3073</v>
      </c>
    </row>
    <row r="1523" spans="1:7" x14ac:dyDescent="0.25">
      <c r="A1523">
        <v>9381</v>
      </c>
      <c r="B1523" t="s">
        <v>2809</v>
      </c>
      <c r="C1523">
        <v>47</v>
      </c>
      <c r="D1523" t="s">
        <v>3059</v>
      </c>
      <c r="E1523">
        <v>92</v>
      </c>
      <c r="F1523" t="s">
        <v>7</v>
      </c>
      <c r="G1523" t="s">
        <v>3073</v>
      </c>
    </row>
    <row r="1524" spans="1:7" x14ac:dyDescent="0.25">
      <c r="A1524">
        <v>9383</v>
      </c>
      <c r="B1524" t="s">
        <v>2811</v>
      </c>
      <c r="C1524">
        <v>47</v>
      </c>
      <c r="D1524" t="s">
        <v>3059</v>
      </c>
      <c r="E1524">
        <v>99</v>
      </c>
      <c r="F1524" t="s">
        <v>7</v>
      </c>
      <c r="G1524" t="s">
        <v>3073</v>
      </c>
    </row>
    <row r="1525" spans="1:7" x14ac:dyDescent="0.25">
      <c r="A1525">
        <v>9384</v>
      </c>
      <c r="B1525" t="s">
        <v>2812</v>
      </c>
      <c r="C1525">
        <v>47</v>
      </c>
      <c r="D1525" t="s">
        <v>3059</v>
      </c>
      <c r="E1525">
        <v>486</v>
      </c>
      <c r="F1525" t="s">
        <v>7</v>
      </c>
      <c r="G1525" t="s">
        <v>3073</v>
      </c>
    </row>
    <row r="1526" spans="1:7" x14ac:dyDescent="0.25">
      <c r="A1526">
        <v>9387</v>
      </c>
      <c r="B1526" t="s">
        <v>2814</v>
      </c>
      <c r="C1526">
        <v>47</v>
      </c>
      <c r="D1526" t="s">
        <v>3059</v>
      </c>
      <c r="E1526">
        <v>260</v>
      </c>
      <c r="F1526" t="s">
        <v>7</v>
      </c>
      <c r="G1526" t="s">
        <v>3073</v>
      </c>
    </row>
    <row r="1527" spans="1:7" x14ac:dyDescent="0.25">
      <c r="A1527">
        <v>9388</v>
      </c>
      <c r="B1527" t="s">
        <v>2815</v>
      </c>
      <c r="C1527">
        <v>47</v>
      </c>
      <c r="D1527" t="s">
        <v>3059</v>
      </c>
      <c r="E1527">
        <v>123</v>
      </c>
      <c r="F1527" t="s">
        <v>7</v>
      </c>
      <c r="G1527" t="s">
        <v>3073</v>
      </c>
    </row>
    <row r="1528" spans="1:7" x14ac:dyDescent="0.25">
      <c r="A1528">
        <v>9389</v>
      </c>
      <c r="B1528" t="s">
        <v>2816</v>
      </c>
      <c r="C1528">
        <v>47</v>
      </c>
      <c r="D1528" t="s">
        <v>3059</v>
      </c>
      <c r="E1528">
        <v>34</v>
      </c>
      <c r="F1528" t="s">
        <v>7</v>
      </c>
      <c r="G1528" t="s">
        <v>3073</v>
      </c>
    </row>
    <row r="1529" spans="1:7" x14ac:dyDescent="0.25">
      <c r="A1529">
        <v>9390</v>
      </c>
      <c r="B1529" t="s">
        <v>2817</v>
      </c>
      <c r="C1529">
        <v>47</v>
      </c>
      <c r="D1529" t="s">
        <v>3059</v>
      </c>
      <c r="E1529">
        <v>93</v>
      </c>
      <c r="F1529" t="s">
        <v>7</v>
      </c>
      <c r="G1529" t="s">
        <v>3073</v>
      </c>
    </row>
    <row r="1530" spans="1:7" x14ac:dyDescent="0.25">
      <c r="A1530">
        <v>9391</v>
      </c>
      <c r="B1530" t="s">
        <v>2818</v>
      </c>
      <c r="C1530">
        <v>47</v>
      </c>
      <c r="D1530" t="s">
        <v>3059</v>
      </c>
      <c r="E1530">
        <v>100</v>
      </c>
      <c r="F1530" t="s">
        <v>7</v>
      </c>
      <c r="G1530" t="s">
        <v>3073</v>
      </c>
    </row>
    <row r="1531" spans="1:7" x14ac:dyDescent="0.25">
      <c r="A1531">
        <v>9393</v>
      </c>
      <c r="B1531" t="s">
        <v>2819</v>
      </c>
      <c r="C1531">
        <v>47</v>
      </c>
      <c r="D1531" t="s">
        <v>3059</v>
      </c>
      <c r="E1531">
        <v>137</v>
      </c>
      <c r="F1531" t="s">
        <v>7</v>
      </c>
      <c r="G1531" t="s">
        <v>3073</v>
      </c>
    </row>
    <row r="1532" spans="1:7" x14ac:dyDescent="0.25">
      <c r="A1532">
        <v>9394</v>
      </c>
      <c r="B1532" t="s">
        <v>2820</v>
      </c>
      <c r="C1532">
        <v>47</v>
      </c>
      <c r="D1532" t="s">
        <v>3059</v>
      </c>
      <c r="E1532">
        <v>444</v>
      </c>
      <c r="F1532" t="s">
        <v>7</v>
      </c>
      <c r="G1532" t="s">
        <v>3073</v>
      </c>
    </row>
    <row r="1533" spans="1:7" x14ac:dyDescent="0.25">
      <c r="A1533">
        <v>9396</v>
      </c>
      <c r="B1533" t="s">
        <v>2821</v>
      </c>
      <c r="C1533">
        <v>47</v>
      </c>
      <c r="D1533" t="s">
        <v>3059</v>
      </c>
      <c r="E1533">
        <v>7</v>
      </c>
      <c r="F1533" t="s">
        <v>7</v>
      </c>
      <c r="G1533" t="s">
        <v>3073</v>
      </c>
    </row>
    <row r="1534" spans="1:7" x14ac:dyDescent="0.25">
      <c r="A1534">
        <v>9397</v>
      </c>
      <c r="B1534" t="s">
        <v>2822</v>
      </c>
      <c r="C1534">
        <v>47</v>
      </c>
      <c r="D1534" t="s">
        <v>3059</v>
      </c>
      <c r="E1534">
        <v>37</v>
      </c>
      <c r="F1534" t="s">
        <v>7</v>
      </c>
      <c r="G1534" t="s">
        <v>3073</v>
      </c>
    </row>
    <row r="1535" spans="1:7" x14ac:dyDescent="0.25">
      <c r="A1535">
        <v>9399</v>
      </c>
      <c r="B1535" t="s">
        <v>2823</v>
      </c>
      <c r="C1535">
        <v>47</v>
      </c>
      <c r="D1535" t="s">
        <v>3059</v>
      </c>
      <c r="E1535">
        <v>31</v>
      </c>
      <c r="F1535" t="s">
        <v>7</v>
      </c>
      <c r="G1535" t="s">
        <v>3073</v>
      </c>
    </row>
    <row r="1536" spans="1:7" x14ac:dyDescent="0.25">
      <c r="A1536">
        <v>9401</v>
      </c>
      <c r="B1536" t="s">
        <v>2825</v>
      </c>
      <c r="C1536">
        <v>47</v>
      </c>
      <c r="D1536" t="s">
        <v>3059</v>
      </c>
      <c r="E1536">
        <v>29</v>
      </c>
      <c r="F1536" t="s">
        <v>7</v>
      </c>
      <c r="G1536" t="s">
        <v>3110</v>
      </c>
    </row>
    <row r="1537" spans="1:7" x14ac:dyDescent="0.25">
      <c r="A1537">
        <v>9402</v>
      </c>
      <c r="B1537" t="s">
        <v>2826</v>
      </c>
      <c r="C1537">
        <v>47</v>
      </c>
      <c r="D1537" t="s">
        <v>3059</v>
      </c>
      <c r="E1537">
        <v>90</v>
      </c>
      <c r="F1537" t="s">
        <v>7</v>
      </c>
      <c r="G1537" t="s">
        <v>3108</v>
      </c>
    </row>
    <row r="1538" spans="1:7" x14ac:dyDescent="0.25">
      <c r="A1538">
        <v>9411</v>
      </c>
      <c r="B1538" t="s">
        <v>2831</v>
      </c>
      <c r="C1538">
        <v>47</v>
      </c>
      <c r="D1538" t="s">
        <v>3059</v>
      </c>
      <c r="E1538">
        <v>92</v>
      </c>
      <c r="F1538" t="s">
        <v>7</v>
      </c>
      <c r="G1538" t="s">
        <v>3110</v>
      </c>
    </row>
    <row r="1539" spans="1:7" x14ac:dyDescent="0.25">
      <c r="A1539">
        <v>9412</v>
      </c>
      <c r="B1539" t="s">
        <v>2832</v>
      </c>
      <c r="C1539">
        <v>47</v>
      </c>
      <c r="D1539" t="s">
        <v>3059</v>
      </c>
      <c r="E1539">
        <v>42</v>
      </c>
      <c r="F1539" t="s">
        <v>7</v>
      </c>
      <c r="G1539" t="s">
        <v>3110</v>
      </c>
    </row>
    <row r="1540" spans="1:7" x14ac:dyDescent="0.25">
      <c r="A1540">
        <v>9413</v>
      </c>
      <c r="B1540" t="s">
        <v>2833</v>
      </c>
      <c r="C1540">
        <v>47</v>
      </c>
      <c r="D1540" t="s">
        <v>3059</v>
      </c>
      <c r="E1540">
        <v>15</v>
      </c>
      <c r="F1540" t="s">
        <v>7</v>
      </c>
      <c r="G1540" t="s">
        <v>3110</v>
      </c>
    </row>
    <row r="1541" spans="1:7" x14ac:dyDescent="0.25">
      <c r="A1541">
        <v>9414</v>
      </c>
      <c r="B1541" t="s">
        <v>2834</v>
      </c>
      <c r="C1541">
        <v>47</v>
      </c>
      <c r="D1541" t="s">
        <v>3059</v>
      </c>
      <c r="E1541">
        <v>53</v>
      </c>
      <c r="F1541" t="s">
        <v>7</v>
      </c>
      <c r="G1541" t="s">
        <v>3110</v>
      </c>
    </row>
    <row r="1542" spans="1:7" x14ac:dyDescent="0.25">
      <c r="A1542">
        <v>9421</v>
      </c>
      <c r="B1542" t="s">
        <v>2837</v>
      </c>
      <c r="C1542">
        <v>47</v>
      </c>
      <c r="D1542" t="s">
        <v>3059</v>
      </c>
      <c r="E1542">
        <v>1</v>
      </c>
      <c r="F1542" t="s">
        <v>7</v>
      </c>
      <c r="G1542" t="s">
        <v>3110</v>
      </c>
    </row>
    <row r="1543" spans="1:7" x14ac:dyDescent="0.25">
      <c r="A1543">
        <v>9428</v>
      </c>
      <c r="B1543" t="s">
        <v>2840</v>
      </c>
      <c r="C1543">
        <v>47</v>
      </c>
      <c r="D1543" t="s">
        <v>3059</v>
      </c>
      <c r="E1543">
        <v>2</v>
      </c>
      <c r="F1543" t="s">
        <v>7</v>
      </c>
      <c r="G1543" t="s">
        <v>3110</v>
      </c>
    </row>
    <row r="1544" spans="1:7" x14ac:dyDescent="0.25">
      <c r="A1544">
        <v>9436</v>
      </c>
      <c r="B1544" t="s">
        <v>2845</v>
      </c>
      <c r="C1544">
        <v>47</v>
      </c>
      <c r="D1544" t="s">
        <v>3059</v>
      </c>
      <c r="E1544">
        <v>1</v>
      </c>
      <c r="F1544" t="s">
        <v>7</v>
      </c>
      <c r="G1544" t="s">
        <v>3110</v>
      </c>
    </row>
    <row r="1545" spans="1:7" x14ac:dyDescent="0.25">
      <c r="A1545">
        <v>9448</v>
      </c>
      <c r="B1545" t="s">
        <v>2850</v>
      </c>
      <c r="C1545">
        <v>47</v>
      </c>
      <c r="D1545" t="s">
        <v>3059</v>
      </c>
      <c r="E1545">
        <v>10</v>
      </c>
      <c r="F1545" t="s">
        <v>7</v>
      </c>
      <c r="G1545" t="s">
        <v>3070</v>
      </c>
    </row>
    <row r="1546" spans="1:7" x14ac:dyDescent="0.25">
      <c r="A1546">
        <v>9449</v>
      </c>
      <c r="B1546" t="s">
        <v>2851</v>
      </c>
      <c r="C1546">
        <v>47</v>
      </c>
      <c r="D1546" t="s">
        <v>3059</v>
      </c>
      <c r="E1546">
        <v>7</v>
      </c>
      <c r="F1546" t="s">
        <v>7</v>
      </c>
      <c r="G1546" t="s">
        <v>3070</v>
      </c>
    </row>
    <row r="1547" spans="1:7" x14ac:dyDescent="0.25">
      <c r="A1547">
        <v>9451</v>
      </c>
      <c r="B1547" t="s">
        <v>2853</v>
      </c>
      <c r="C1547">
        <v>47</v>
      </c>
      <c r="D1547" t="s">
        <v>3059</v>
      </c>
      <c r="E1547">
        <v>5</v>
      </c>
      <c r="F1547" t="s">
        <v>7</v>
      </c>
      <c r="G1547" t="s">
        <v>3070</v>
      </c>
    </row>
    <row r="1548" spans="1:7" x14ac:dyDescent="0.25">
      <c r="A1548">
        <v>9470</v>
      </c>
      <c r="B1548" t="s">
        <v>3222</v>
      </c>
      <c r="C1548">
        <v>47</v>
      </c>
      <c r="D1548" t="s">
        <v>3059</v>
      </c>
      <c r="E1548">
        <v>5</v>
      </c>
      <c r="F1548" t="s">
        <v>7</v>
      </c>
      <c r="G1548" t="s">
        <v>3070</v>
      </c>
    </row>
    <row r="1549" spans="1:7" x14ac:dyDescent="0.25">
      <c r="A1549">
        <v>9471</v>
      </c>
      <c r="B1549" t="s">
        <v>2861</v>
      </c>
      <c r="C1549">
        <v>47</v>
      </c>
      <c r="D1549" t="s">
        <v>3059</v>
      </c>
      <c r="E1549">
        <v>5</v>
      </c>
      <c r="F1549" t="s">
        <v>7</v>
      </c>
      <c r="G1549" t="s">
        <v>3070</v>
      </c>
    </row>
    <row r="1550" spans="1:7" x14ac:dyDescent="0.25">
      <c r="A1550">
        <v>9473</v>
      </c>
      <c r="B1550" t="s">
        <v>2863</v>
      </c>
      <c r="C1550">
        <v>47</v>
      </c>
      <c r="D1550" t="s">
        <v>3059</v>
      </c>
      <c r="E1550">
        <v>5</v>
      </c>
      <c r="F1550" t="s">
        <v>7</v>
      </c>
      <c r="G1550" t="s">
        <v>3070</v>
      </c>
    </row>
    <row r="1551" spans="1:7" x14ac:dyDescent="0.25">
      <c r="A1551">
        <v>9478</v>
      </c>
      <c r="B1551" t="s">
        <v>2866</v>
      </c>
      <c r="C1551">
        <v>47</v>
      </c>
      <c r="D1551" t="s">
        <v>3059</v>
      </c>
      <c r="E1551">
        <v>5</v>
      </c>
      <c r="F1551" t="s">
        <v>7</v>
      </c>
      <c r="G1551" t="s">
        <v>3070</v>
      </c>
    </row>
    <row r="1552" spans="1:7" x14ac:dyDescent="0.25">
      <c r="A1552">
        <v>9482</v>
      </c>
      <c r="B1552" t="s">
        <v>2868</v>
      </c>
      <c r="C1552">
        <v>47</v>
      </c>
      <c r="D1552" t="s">
        <v>3059</v>
      </c>
      <c r="E1552">
        <v>8</v>
      </c>
      <c r="F1552" t="s">
        <v>7</v>
      </c>
      <c r="G1552" t="s">
        <v>3070</v>
      </c>
    </row>
    <row r="1553" spans="1:7" x14ac:dyDescent="0.25">
      <c r="A1553">
        <v>9483</v>
      </c>
      <c r="B1553" t="s">
        <v>2869</v>
      </c>
      <c r="C1553">
        <v>47</v>
      </c>
      <c r="D1553" t="s">
        <v>3059</v>
      </c>
      <c r="E1553">
        <v>10</v>
      </c>
      <c r="F1553" t="s">
        <v>7</v>
      </c>
      <c r="G1553" t="s">
        <v>3070</v>
      </c>
    </row>
    <row r="1554" spans="1:7" x14ac:dyDescent="0.25">
      <c r="A1554">
        <v>9484</v>
      </c>
      <c r="B1554" t="s">
        <v>2870</v>
      </c>
      <c r="C1554">
        <v>47</v>
      </c>
      <c r="D1554" t="s">
        <v>3059</v>
      </c>
      <c r="E1554">
        <v>5</v>
      </c>
      <c r="F1554" t="s">
        <v>7</v>
      </c>
      <c r="G1554" t="s">
        <v>3070</v>
      </c>
    </row>
    <row r="1555" spans="1:7" x14ac:dyDescent="0.25">
      <c r="A1555">
        <v>9492</v>
      </c>
      <c r="B1555" t="s">
        <v>2877</v>
      </c>
      <c r="C1555">
        <v>47</v>
      </c>
      <c r="D1555" t="s">
        <v>3059</v>
      </c>
      <c r="E1555">
        <v>4</v>
      </c>
      <c r="F1555" t="s">
        <v>7</v>
      </c>
      <c r="G1555" t="s">
        <v>3070</v>
      </c>
    </row>
    <row r="1556" spans="1:7" x14ac:dyDescent="0.25">
      <c r="A1556">
        <v>9523</v>
      </c>
      <c r="B1556" t="s">
        <v>2882</v>
      </c>
      <c r="C1556">
        <v>47</v>
      </c>
      <c r="D1556" t="s">
        <v>3059</v>
      </c>
      <c r="E1556">
        <v>45</v>
      </c>
      <c r="F1556" t="s">
        <v>7</v>
      </c>
      <c r="G1556" t="s">
        <v>3101</v>
      </c>
    </row>
    <row r="1557" spans="1:7" x14ac:dyDescent="0.25">
      <c r="A1557">
        <v>9546</v>
      </c>
      <c r="B1557" t="s">
        <v>2883</v>
      </c>
      <c r="C1557">
        <v>47</v>
      </c>
      <c r="D1557" t="s">
        <v>3059</v>
      </c>
      <c r="E1557">
        <v>11</v>
      </c>
      <c r="F1557" t="s">
        <v>7</v>
      </c>
      <c r="G1557" t="s">
        <v>3101</v>
      </c>
    </row>
    <row r="1558" spans="1:7" x14ac:dyDescent="0.25">
      <c r="A1558">
        <v>9547</v>
      </c>
      <c r="B1558" t="s">
        <v>2884</v>
      </c>
      <c r="C1558">
        <v>47</v>
      </c>
      <c r="D1558" t="s">
        <v>3059</v>
      </c>
      <c r="E1558">
        <v>8</v>
      </c>
      <c r="F1558" t="s">
        <v>7</v>
      </c>
      <c r="G1558" t="s">
        <v>3101</v>
      </c>
    </row>
    <row r="1559" spans="1:7" x14ac:dyDescent="0.25">
      <c r="A1559">
        <v>9558</v>
      </c>
      <c r="B1559" t="s">
        <v>3223</v>
      </c>
      <c r="C1559">
        <v>47</v>
      </c>
      <c r="D1559" t="s">
        <v>3059</v>
      </c>
      <c r="E1559">
        <v>60</v>
      </c>
      <c r="F1559" t="s">
        <v>7</v>
      </c>
      <c r="G1559" t="s">
        <v>3101</v>
      </c>
    </row>
    <row r="1560" spans="1:7" x14ac:dyDescent="0.25">
      <c r="A1560">
        <v>9560</v>
      </c>
      <c r="B1560" t="s">
        <v>3224</v>
      </c>
      <c r="C1560">
        <v>47</v>
      </c>
      <c r="D1560" t="s">
        <v>3059</v>
      </c>
      <c r="E1560">
        <v>67</v>
      </c>
      <c r="F1560" t="s">
        <v>7</v>
      </c>
      <c r="G1560" t="s">
        <v>3101</v>
      </c>
    </row>
    <row r="1561" spans="1:7" x14ac:dyDescent="0.25">
      <c r="A1561">
        <v>9561</v>
      </c>
      <c r="B1561" t="s">
        <v>3225</v>
      </c>
      <c r="C1561">
        <v>47</v>
      </c>
      <c r="D1561" t="s">
        <v>3059</v>
      </c>
      <c r="E1561">
        <v>38</v>
      </c>
      <c r="F1561" t="s">
        <v>7</v>
      </c>
      <c r="G1561" t="s">
        <v>3101</v>
      </c>
    </row>
    <row r="1562" spans="1:7" x14ac:dyDescent="0.25">
      <c r="A1562">
        <v>9562</v>
      </c>
      <c r="B1562" t="s">
        <v>3226</v>
      </c>
      <c r="C1562">
        <v>47</v>
      </c>
      <c r="D1562" t="s">
        <v>3059</v>
      </c>
      <c r="E1562">
        <v>22</v>
      </c>
      <c r="F1562" t="s">
        <v>7</v>
      </c>
      <c r="G1562" t="s">
        <v>3101</v>
      </c>
    </row>
    <row r="1563" spans="1:7" x14ac:dyDescent="0.25">
      <c r="A1563">
        <v>9570</v>
      </c>
      <c r="B1563" t="s">
        <v>3227</v>
      </c>
      <c r="C1563">
        <v>47</v>
      </c>
      <c r="D1563" t="s">
        <v>3059</v>
      </c>
      <c r="E1563">
        <v>13</v>
      </c>
      <c r="F1563" t="s">
        <v>7</v>
      </c>
      <c r="G1563" t="s">
        <v>3101</v>
      </c>
    </row>
    <row r="1564" spans="1:7" x14ac:dyDescent="0.25">
      <c r="A1564">
        <v>9575</v>
      </c>
      <c r="B1564" t="s">
        <v>2892</v>
      </c>
      <c r="C1564">
        <v>47</v>
      </c>
      <c r="D1564" t="s">
        <v>3059</v>
      </c>
      <c r="E1564">
        <v>33</v>
      </c>
      <c r="F1564" t="s">
        <v>7</v>
      </c>
      <c r="G1564" t="s">
        <v>3101</v>
      </c>
    </row>
    <row r="1565" spans="1:7" x14ac:dyDescent="0.25">
      <c r="A1565">
        <v>9578</v>
      </c>
      <c r="B1565" t="s">
        <v>2893</v>
      </c>
      <c r="C1565">
        <v>47</v>
      </c>
      <c r="D1565" t="s">
        <v>3059</v>
      </c>
      <c r="E1565">
        <v>47</v>
      </c>
      <c r="F1565" t="s">
        <v>7</v>
      </c>
      <c r="G1565" t="s">
        <v>3101</v>
      </c>
    </row>
    <row r="1566" spans="1:7" x14ac:dyDescent="0.25">
      <c r="A1566">
        <v>9579</v>
      </c>
      <c r="B1566" t="s">
        <v>2894</v>
      </c>
      <c r="C1566">
        <v>47</v>
      </c>
      <c r="D1566" t="s">
        <v>3059</v>
      </c>
      <c r="E1566">
        <v>153</v>
      </c>
      <c r="F1566" t="s">
        <v>7</v>
      </c>
      <c r="G1566" t="s">
        <v>3101</v>
      </c>
    </row>
    <row r="1567" spans="1:7" x14ac:dyDescent="0.25">
      <c r="A1567">
        <v>9580</v>
      </c>
      <c r="B1567" t="s">
        <v>2895</v>
      </c>
      <c r="C1567">
        <v>47</v>
      </c>
      <c r="D1567" t="s">
        <v>3059</v>
      </c>
      <c r="E1567">
        <v>156</v>
      </c>
      <c r="F1567" t="s">
        <v>7</v>
      </c>
      <c r="G1567" t="s">
        <v>3101</v>
      </c>
    </row>
    <row r="1568" spans="1:7" x14ac:dyDescent="0.25">
      <c r="A1568">
        <v>9582</v>
      </c>
      <c r="B1568" t="s">
        <v>2896</v>
      </c>
      <c r="C1568">
        <v>47</v>
      </c>
      <c r="D1568" t="s">
        <v>3059</v>
      </c>
      <c r="E1568">
        <v>87</v>
      </c>
      <c r="F1568" t="s">
        <v>7</v>
      </c>
      <c r="G1568" t="s">
        <v>3101</v>
      </c>
    </row>
    <row r="1569" spans="1:7" x14ac:dyDescent="0.25">
      <c r="A1569">
        <v>9583</v>
      </c>
      <c r="B1569" t="s">
        <v>2897</v>
      </c>
      <c r="C1569">
        <v>47</v>
      </c>
      <c r="D1569" t="s">
        <v>3059</v>
      </c>
      <c r="E1569">
        <v>93</v>
      </c>
      <c r="F1569" t="s">
        <v>7</v>
      </c>
      <c r="G1569" t="s">
        <v>3101</v>
      </c>
    </row>
    <row r="1570" spans="1:7" x14ac:dyDescent="0.25">
      <c r="A1570">
        <v>9584</v>
      </c>
      <c r="B1570" t="s">
        <v>2898</v>
      </c>
      <c r="C1570">
        <v>47</v>
      </c>
      <c r="D1570" t="s">
        <v>3059</v>
      </c>
      <c r="E1570">
        <v>98</v>
      </c>
      <c r="F1570" t="s">
        <v>7</v>
      </c>
      <c r="G1570" t="s">
        <v>3101</v>
      </c>
    </row>
    <row r="1571" spans="1:7" x14ac:dyDescent="0.25">
      <c r="A1571">
        <v>9585</v>
      </c>
      <c r="B1571" t="s">
        <v>2899</v>
      </c>
      <c r="C1571">
        <v>47</v>
      </c>
      <c r="D1571" t="s">
        <v>3059</v>
      </c>
      <c r="E1571">
        <v>3</v>
      </c>
      <c r="F1571" t="s">
        <v>7</v>
      </c>
      <c r="G1571" t="s">
        <v>3101</v>
      </c>
    </row>
    <row r="1572" spans="1:7" x14ac:dyDescent="0.25">
      <c r="A1572">
        <v>9597</v>
      </c>
      <c r="B1572" t="s">
        <v>3228</v>
      </c>
      <c r="C1572">
        <v>47</v>
      </c>
      <c r="D1572" t="s">
        <v>3059</v>
      </c>
      <c r="E1572">
        <v>243</v>
      </c>
      <c r="F1572" t="s">
        <v>7</v>
      </c>
      <c r="G1572" t="s">
        <v>3101</v>
      </c>
    </row>
    <row r="1573" spans="1:7" x14ac:dyDescent="0.25">
      <c r="A1573">
        <v>9628</v>
      </c>
      <c r="B1573" t="s">
        <v>2906</v>
      </c>
      <c r="C1573">
        <v>47</v>
      </c>
      <c r="D1573" t="s">
        <v>3059</v>
      </c>
      <c r="E1573">
        <v>500</v>
      </c>
      <c r="F1573" t="s">
        <v>3061</v>
      </c>
      <c r="G1573" t="s">
        <v>3101</v>
      </c>
    </row>
    <row r="1574" spans="1:7" x14ac:dyDescent="0.25">
      <c r="A1574">
        <v>9631</v>
      </c>
      <c r="B1574" t="s">
        <v>2907</v>
      </c>
      <c r="C1574">
        <v>47</v>
      </c>
      <c r="D1574" t="s">
        <v>3059</v>
      </c>
      <c r="E1574">
        <v>500</v>
      </c>
      <c r="F1574" t="s">
        <v>7</v>
      </c>
      <c r="G1574" t="s">
        <v>3101</v>
      </c>
    </row>
    <row r="1575" spans="1:7" x14ac:dyDescent="0.25">
      <c r="A1575">
        <v>9679</v>
      </c>
      <c r="B1575" t="s">
        <v>2910</v>
      </c>
      <c r="C1575">
        <v>47</v>
      </c>
      <c r="D1575" t="s">
        <v>3059</v>
      </c>
      <c r="E1575">
        <v>49</v>
      </c>
      <c r="F1575" t="s">
        <v>7</v>
      </c>
      <c r="G1575" t="s">
        <v>3071</v>
      </c>
    </row>
    <row r="1576" spans="1:7" x14ac:dyDescent="0.25">
      <c r="A1576">
        <v>9681</v>
      </c>
      <c r="B1576" t="s">
        <v>2912</v>
      </c>
      <c r="C1576">
        <v>47</v>
      </c>
      <c r="D1576" t="s">
        <v>3059</v>
      </c>
      <c r="E1576">
        <v>3</v>
      </c>
      <c r="F1576" t="s">
        <v>7</v>
      </c>
      <c r="G1576" t="s">
        <v>3071</v>
      </c>
    </row>
    <row r="1577" spans="1:7" x14ac:dyDescent="0.25">
      <c r="A1577">
        <v>9682</v>
      </c>
      <c r="B1577" t="s">
        <v>2913</v>
      </c>
      <c r="C1577">
        <v>47</v>
      </c>
      <c r="D1577" t="s">
        <v>3059</v>
      </c>
      <c r="E1577">
        <v>3</v>
      </c>
      <c r="F1577" t="s">
        <v>7</v>
      </c>
      <c r="G1577" t="s">
        <v>3071</v>
      </c>
    </row>
    <row r="1578" spans="1:7" x14ac:dyDescent="0.25">
      <c r="A1578">
        <v>9683</v>
      </c>
      <c r="B1578" t="s">
        <v>2914</v>
      </c>
      <c r="C1578">
        <v>47</v>
      </c>
      <c r="D1578" t="s">
        <v>3059</v>
      </c>
      <c r="E1578">
        <v>17</v>
      </c>
      <c r="F1578" t="s">
        <v>7</v>
      </c>
      <c r="G1578" t="s">
        <v>3083</v>
      </c>
    </row>
    <row r="1579" spans="1:7" x14ac:dyDescent="0.25">
      <c r="A1579">
        <v>9684</v>
      </c>
      <c r="B1579" t="s">
        <v>2915</v>
      </c>
      <c r="C1579">
        <v>47</v>
      </c>
      <c r="D1579" t="s">
        <v>3059</v>
      </c>
      <c r="E1579">
        <v>3</v>
      </c>
      <c r="F1579" t="s">
        <v>7</v>
      </c>
      <c r="G1579" t="s">
        <v>3083</v>
      </c>
    </row>
    <row r="1580" spans="1:7" x14ac:dyDescent="0.25">
      <c r="A1580">
        <v>9690</v>
      </c>
      <c r="B1580" t="s">
        <v>2918</v>
      </c>
      <c r="C1580">
        <v>47</v>
      </c>
      <c r="D1580" t="s">
        <v>3059</v>
      </c>
      <c r="E1580">
        <v>52</v>
      </c>
      <c r="F1580" t="s">
        <v>7</v>
      </c>
      <c r="G1580" t="s">
        <v>3101</v>
      </c>
    </row>
    <row r="1581" spans="1:7" x14ac:dyDescent="0.25">
      <c r="A1581">
        <v>9697</v>
      </c>
      <c r="B1581" t="s">
        <v>2919</v>
      </c>
      <c r="C1581">
        <v>47</v>
      </c>
      <c r="D1581" t="s">
        <v>3059</v>
      </c>
      <c r="E1581">
        <v>49</v>
      </c>
      <c r="F1581" t="s">
        <v>7</v>
      </c>
      <c r="G1581" t="s">
        <v>3101</v>
      </c>
    </row>
    <row r="1582" spans="1:7" x14ac:dyDescent="0.25">
      <c r="A1582">
        <v>9698</v>
      </c>
      <c r="B1582" t="s">
        <v>2920</v>
      </c>
      <c r="C1582">
        <v>47</v>
      </c>
      <c r="D1582" t="s">
        <v>3059</v>
      </c>
      <c r="E1582">
        <v>19</v>
      </c>
      <c r="F1582" t="s">
        <v>7</v>
      </c>
      <c r="G1582" t="s">
        <v>3101</v>
      </c>
    </row>
    <row r="1583" spans="1:7" x14ac:dyDescent="0.25">
      <c r="A1583">
        <v>9699</v>
      </c>
      <c r="B1583" t="s">
        <v>2921</v>
      </c>
      <c r="C1583">
        <v>47</v>
      </c>
      <c r="D1583" t="s">
        <v>3059</v>
      </c>
      <c r="E1583">
        <v>73</v>
      </c>
      <c r="F1583" t="s">
        <v>7</v>
      </c>
      <c r="G1583" t="s">
        <v>3101</v>
      </c>
    </row>
    <row r="1584" spans="1:7" x14ac:dyDescent="0.25">
      <c r="A1584">
        <v>9705</v>
      </c>
      <c r="B1584" t="s">
        <v>2923</v>
      </c>
      <c r="C1584">
        <v>47</v>
      </c>
      <c r="D1584" t="s">
        <v>3059</v>
      </c>
      <c r="E1584">
        <v>44</v>
      </c>
      <c r="F1584" t="s">
        <v>7</v>
      </c>
      <c r="G1584" t="s">
        <v>3101</v>
      </c>
    </row>
    <row r="1585" spans="1:7" x14ac:dyDescent="0.25">
      <c r="A1585">
        <v>9709</v>
      </c>
      <c r="B1585" t="s">
        <v>2924</v>
      </c>
      <c r="C1585">
        <v>47</v>
      </c>
      <c r="D1585" t="s">
        <v>3059</v>
      </c>
      <c r="E1585">
        <v>58</v>
      </c>
      <c r="F1585" t="s">
        <v>7</v>
      </c>
      <c r="G1585" t="s">
        <v>3101</v>
      </c>
    </row>
    <row r="1586" spans="1:7" x14ac:dyDescent="0.25">
      <c r="A1586">
        <v>9710</v>
      </c>
      <c r="B1586" t="s">
        <v>2925</v>
      </c>
      <c r="C1586">
        <v>47</v>
      </c>
      <c r="D1586" t="s">
        <v>3059</v>
      </c>
      <c r="E1586">
        <v>114</v>
      </c>
      <c r="F1586" t="s">
        <v>7</v>
      </c>
      <c r="G1586" t="s">
        <v>3101</v>
      </c>
    </row>
    <row r="1587" spans="1:7" x14ac:dyDescent="0.25">
      <c r="A1587">
        <v>9711</v>
      </c>
      <c r="B1587" t="s">
        <v>2926</v>
      </c>
      <c r="C1587">
        <v>47</v>
      </c>
      <c r="D1587" t="s">
        <v>3059</v>
      </c>
      <c r="E1587">
        <v>12</v>
      </c>
      <c r="F1587" t="s">
        <v>7</v>
      </c>
      <c r="G1587" t="s">
        <v>3101</v>
      </c>
    </row>
    <row r="1588" spans="1:7" x14ac:dyDescent="0.25">
      <c r="A1588">
        <v>9726</v>
      </c>
      <c r="B1588" t="s">
        <v>2936</v>
      </c>
      <c r="C1588">
        <v>47</v>
      </c>
      <c r="D1588" t="s">
        <v>3059</v>
      </c>
      <c r="E1588">
        <v>5</v>
      </c>
      <c r="F1588" t="s">
        <v>7</v>
      </c>
      <c r="G1588" t="s">
        <v>3071</v>
      </c>
    </row>
    <row r="1589" spans="1:7" x14ac:dyDescent="0.25">
      <c r="A1589">
        <v>9736</v>
      </c>
      <c r="B1589" t="s">
        <v>2938</v>
      </c>
      <c r="C1589">
        <v>47</v>
      </c>
      <c r="D1589" t="s">
        <v>3059</v>
      </c>
      <c r="E1589">
        <v>427</v>
      </c>
      <c r="F1589" t="s">
        <v>7</v>
      </c>
      <c r="G1589" t="s">
        <v>3070</v>
      </c>
    </row>
    <row r="1590" spans="1:7" x14ac:dyDescent="0.25">
      <c r="A1590">
        <v>9740</v>
      </c>
      <c r="B1590" t="s">
        <v>2939</v>
      </c>
      <c r="C1590">
        <v>47</v>
      </c>
      <c r="D1590" t="s">
        <v>3059</v>
      </c>
      <c r="E1590">
        <v>5</v>
      </c>
      <c r="F1590" t="s">
        <v>7</v>
      </c>
      <c r="G1590" t="s">
        <v>3083</v>
      </c>
    </row>
    <row r="1591" spans="1:7" x14ac:dyDescent="0.25">
      <c r="A1591">
        <v>9751</v>
      </c>
      <c r="B1591" t="s">
        <v>2941</v>
      </c>
      <c r="C1591">
        <v>47</v>
      </c>
      <c r="D1591" t="s">
        <v>3059</v>
      </c>
      <c r="E1591">
        <v>3</v>
      </c>
      <c r="F1591" t="s">
        <v>7</v>
      </c>
      <c r="G1591" t="s">
        <v>3083</v>
      </c>
    </row>
    <row r="1592" spans="1:7" x14ac:dyDescent="0.25">
      <c r="A1592">
        <v>9772</v>
      </c>
      <c r="B1592" t="s">
        <v>2948</v>
      </c>
      <c r="C1592">
        <v>47</v>
      </c>
      <c r="D1592" t="s">
        <v>3059</v>
      </c>
      <c r="E1592">
        <v>12</v>
      </c>
      <c r="F1592" t="s">
        <v>7</v>
      </c>
      <c r="G1592" t="s">
        <v>3073</v>
      </c>
    </row>
    <row r="1593" spans="1:7" x14ac:dyDescent="0.25">
      <c r="A1593">
        <v>9775</v>
      </c>
      <c r="B1593" t="s">
        <v>2949</v>
      </c>
      <c r="C1593">
        <v>47</v>
      </c>
      <c r="D1593" t="s">
        <v>3059</v>
      </c>
      <c r="E1593">
        <v>6</v>
      </c>
      <c r="F1593" t="s">
        <v>7</v>
      </c>
      <c r="G1593" t="s">
        <v>3103</v>
      </c>
    </row>
    <row r="1594" spans="1:7" x14ac:dyDescent="0.25">
      <c r="A1594">
        <v>9777</v>
      </c>
      <c r="B1594" t="s">
        <v>2951</v>
      </c>
      <c r="C1594">
        <v>47</v>
      </c>
      <c r="D1594" t="s">
        <v>3059</v>
      </c>
      <c r="E1594">
        <v>6</v>
      </c>
      <c r="F1594" t="s">
        <v>7</v>
      </c>
      <c r="G1594" t="s">
        <v>3103</v>
      </c>
    </row>
    <row r="1595" spans="1:7" x14ac:dyDescent="0.25">
      <c r="A1595">
        <v>9778</v>
      </c>
      <c r="B1595" t="s">
        <v>2952</v>
      </c>
      <c r="C1595">
        <v>47</v>
      </c>
      <c r="D1595" t="s">
        <v>3059</v>
      </c>
      <c r="E1595">
        <v>138</v>
      </c>
      <c r="F1595" t="s">
        <v>7</v>
      </c>
      <c r="G1595" t="s">
        <v>3103</v>
      </c>
    </row>
    <row r="1596" spans="1:7" x14ac:dyDescent="0.25">
      <c r="A1596">
        <v>9779</v>
      </c>
      <c r="B1596" t="s">
        <v>2953</v>
      </c>
      <c r="C1596">
        <v>47</v>
      </c>
      <c r="D1596" t="s">
        <v>3059</v>
      </c>
      <c r="E1596">
        <v>90</v>
      </c>
      <c r="F1596" t="s">
        <v>7</v>
      </c>
      <c r="G1596" t="s">
        <v>3103</v>
      </c>
    </row>
    <row r="1597" spans="1:7" x14ac:dyDescent="0.25">
      <c r="A1597">
        <v>9780</v>
      </c>
      <c r="B1597" t="s">
        <v>2954</v>
      </c>
      <c r="C1597">
        <v>47</v>
      </c>
      <c r="D1597" t="s">
        <v>3059</v>
      </c>
      <c r="E1597">
        <v>220</v>
      </c>
      <c r="F1597" t="s">
        <v>7</v>
      </c>
      <c r="G1597" t="s">
        <v>3103</v>
      </c>
    </row>
    <row r="1598" spans="1:7" x14ac:dyDescent="0.25">
      <c r="A1598">
        <v>9781</v>
      </c>
      <c r="B1598" t="s">
        <v>2955</v>
      </c>
      <c r="C1598">
        <v>47</v>
      </c>
      <c r="D1598" t="s">
        <v>3059</v>
      </c>
      <c r="E1598">
        <v>78</v>
      </c>
      <c r="F1598" t="s">
        <v>7</v>
      </c>
      <c r="G1598" t="s">
        <v>3103</v>
      </c>
    </row>
    <row r="1599" spans="1:7" x14ac:dyDescent="0.25">
      <c r="A1599">
        <v>9782</v>
      </c>
      <c r="B1599" t="s">
        <v>2956</v>
      </c>
      <c r="C1599">
        <v>47</v>
      </c>
      <c r="D1599" t="s">
        <v>3059</v>
      </c>
      <c r="E1599">
        <v>240</v>
      </c>
      <c r="F1599" t="s">
        <v>7</v>
      </c>
      <c r="G1599" t="s">
        <v>3103</v>
      </c>
    </row>
    <row r="1600" spans="1:7" x14ac:dyDescent="0.25">
      <c r="A1600">
        <v>9784</v>
      </c>
      <c r="B1600" t="s">
        <v>2957</v>
      </c>
      <c r="C1600">
        <v>47</v>
      </c>
      <c r="D1600" t="s">
        <v>3059</v>
      </c>
      <c r="E1600">
        <v>13</v>
      </c>
      <c r="F1600" t="s">
        <v>7</v>
      </c>
      <c r="G1600" t="s">
        <v>3103</v>
      </c>
    </row>
    <row r="1601" spans="1:7" x14ac:dyDescent="0.25">
      <c r="A1601">
        <v>9786</v>
      </c>
      <c r="B1601" t="s">
        <v>2959</v>
      </c>
      <c r="C1601">
        <v>47</v>
      </c>
      <c r="D1601" t="s">
        <v>3059</v>
      </c>
      <c r="E1601">
        <v>91</v>
      </c>
      <c r="F1601" t="s">
        <v>7</v>
      </c>
      <c r="G1601" t="s">
        <v>3103</v>
      </c>
    </row>
    <row r="1602" spans="1:7" x14ac:dyDescent="0.25">
      <c r="A1602">
        <v>9787</v>
      </c>
      <c r="B1602" t="s">
        <v>2960</v>
      </c>
      <c r="C1602">
        <v>47</v>
      </c>
      <c r="D1602" t="s">
        <v>3059</v>
      </c>
      <c r="E1602">
        <v>797</v>
      </c>
      <c r="F1602" t="s">
        <v>7</v>
      </c>
      <c r="G1602" t="s">
        <v>3103</v>
      </c>
    </row>
    <row r="1603" spans="1:7" x14ac:dyDescent="0.25">
      <c r="A1603">
        <v>9788</v>
      </c>
      <c r="B1603" t="s">
        <v>2961</v>
      </c>
      <c r="C1603">
        <v>47</v>
      </c>
      <c r="D1603" t="s">
        <v>3059</v>
      </c>
      <c r="E1603">
        <v>572</v>
      </c>
      <c r="F1603" t="s">
        <v>7</v>
      </c>
      <c r="G1603" t="s">
        <v>3103</v>
      </c>
    </row>
    <row r="1604" spans="1:7" x14ac:dyDescent="0.25">
      <c r="A1604">
        <v>9789</v>
      </c>
      <c r="B1604" t="s">
        <v>2962</v>
      </c>
      <c r="C1604">
        <v>47</v>
      </c>
      <c r="D1604" t="s">
        <v>3059</v>
      </c>
      <c r="E1604">
        <v>245</v>
      </c>
      <c r="F1604" t="s">
        <v>7</v>
      </c>
      <c r="G1604" t="s">
        <v>3103</v>
      </c>
    </row>
    <row r="1605" spans="1:7" x14ac:dyDescent="0.25">
      <c r="A1605">
        <v>9819</v>
      </c>
      <c r="B1605" t="s">
        <v>2964</v>
      </c>
      <c r="C1605">
        <v>47</v>
      </c>
      <c r="D1605" t="s">
        <v>3059</v>
      </c>
      <c r="E1605">
        <v>38</v>
      </c>
      <c r="F1605" t="s">
        <v>7</v>
      </c>
      <c r="G1605" t="s">
        <v>3110</v>
      </c>
    </row>
    <row r="1606" spans="1:7" x14ac:dyDescent="0.25">
      <c r="A1606">
        <v>9820</v>
      </c>
      <c r="B1606" t="s">
        <v>2965</v>
      </c>
      <c r="C1606">
        <v>47</v>
      </c>
      <c r="D1606" t="s">
        <v>3059</v>
      </c>
      <c r="E1606">
        <v>360</v>
      </c>
      <c r="F1606" t="s">
        <v>7</v>
      </c>
      <c r="G1606" t="s">
        <v>3103</v>
      </c>
    </row>
    <row r="1607" spans="1:7" x14ac:dyDescent="0.25">
      <c r="A1607">
        <v>9830</v>
      </c>
      <c r="B1607" t="s">
        <v>2967</v>
      </c>
      <c r="C1607">
        <v>47</v>
      </c>
      <c r="D1607" t="s">
        <v>3059</v>
      </c>
      <c r="E1607">
        <v>353</v>
      </c>
      <c r="F1607" t="s">
        <v>7</v>
      </c>
      <c r="G1607" t="s">
        <v>3073</v>
      </c>
    </row>
    <row r="1608" spans="1:7" x14ac:dyDescent="0.25">
      <c r="A1608">
        <v>9831</v>
      </c>
      <c r="B1608" t="s">
        <v>2968</v>
      </c>
      <c r="C1608">
        <v>47</v>
      </c>
      <c r="D1608" t="s">
        <v>3059</v>
      </c>
      <c r="E1608">
        <v>71</v>
      </c>
      <c r="F1608" t="s">
        <v>7</v>
      </c>
      <c r="G1608" t="s">
        <v>3073</v>
      </c>
    </row>
    <row r="1609" spans="1:7" x14ac:dyDescent="0.25">
      <c r="A1609">
        <v>9832</v>
      </c>
      <c r="B1609" t="s">
        <v>2969</v>
      </c>
      <c r="C1609">
        <v>47</v>
      </c>
      <c r="D1609" t="s">
        <v>3059</v>
      </c>
      <c r="E1609">
        <v>95</v>
      </c>
      <c r="F1609" t="s">
        <v>7</v>
      </c>
      <c r="G1609" t="s">
        <v>3073</v>
      </c>
    </row>
    <row r="1610" spans="1:7" x14ac:dyDescent="0.25">
      <c r="A1610">
        <v>9833</v>
      </c>
      <c r="B1610" t="s">
        <v>2970</v>
      </c>
      <c r="C1610">
        <v>47</v>
      </c>
      <c r="D1610" t="s">
        <v>3059</v>
      </c>
      <c r="E1610">
        <v>4</v>
      </c>
      <c r="F1610" t="s">
        <v>7</v>
      </c>
      <c r="G1610" t="s">
        <v>3073</v>
      </c>
    </row>
    <row r="1611" spans="1:7" x14ac:dyDescent="0.25">
      <c r="A1611">
        <v>9834</v>
      </c>
      <c r="B1611" t="s">
        <v>2971</v>
      </c>
      <c r="C1611">
        <v>47</v>
      </c>
      <c r="D1611" t="s">
        <v>3059</v>
      </c>
      <c r="E1611">
        <v>9</v>
      </c>
      <c r="F1611" t="s">
        <v>7</v>
      </c>
      <c r="G1611" t="s">
        <v>3073</v>
      </c>
    </row>
    <row r="1612" spans="1:7" x14ac:dyDescent="0.25">
      <c r="A1612">
        <v>9836</v>
      </c>
      <c r="B1612" t="s">
        <v>2972</v>
      </c>
      <c r="C1612">
        <v>47</v>
      </c>
      <c r="D1612" t="s">
        <v>3059</v>
      </c>
      <c r="E1612">
        <v>7</v>
      </c>
      <c r="F1612" t="s">
        <v>7</v>
      </c>
      <c r="G1612" t="s">
        <v>3073</v>
      </c>
    </row>
    <row r="1613" spans="1:7" x14ac:dyDescent="0.25">
      <c r="A1613">
        <v>9837</v>
      </c>
      <c r="B1613" t="s">
        <v>2973</v>
      </c>
      <c r="C1613">
        <v>47</v>
      </c>
      <c r="D1613" t="s">
        <v>3059</v>
      </c>
      <c r="E1613">
        <v>121</v>
      </c>
      <c r="F1613" t="s">
        <v>7</v>
      </c>
      <c r="G1613" t="s">
        <v>3073</v>
      </c>
    </row>
    <row r="1614" spans="1:7" x14ac:dyDescent="0.25">
      <c r="A1614">
        <v>9838</v>
      </c>
      <c r="B1614" t="s">
        <v>2974</v>
      </c>
      <c r="C1614">
        <v>47</v>
      </c>
      <c r="D1614" t="s">
        <v>3059</v>
      </c>
      <c r="E1614">
        <v>2107</v>
      </c>
      <c r="F1614" t="s">
        <v>7</v>
      </c>
      <c r="G1614" t="s">
        <v>3073</v>
      </c>
    </row>
    <row r="1615" spans="1:7" x14ac:dyDescent="0.25">
      <c r="A1615">
        <v>9839</v>
      </c>
      <c r="B1615" t="s">
        <v>2975</v>
      </c>
      <c r="C1615">
        <v>47</v>
      </c>
      <c r="D1615" t="s">
        <v>3059</v>
      </c>
      <c r="E1615">
        <v>1815</v>
      </c>
      <c r="F1615" t="s">
        <v>7</v>
      </c>
      <c r="G1615" t="s">
        <v>3073</v>
      </c>
    </row>
    <row r="1616" spans="1:7" x14ac:dyDescent="0.25">
      <c r="A1616">
        <v>9874</v>
      </c>
      <c r="B1616" t="s">
        <v>2979</v>
      </c>
      <c r="C1616">
        <v>47</v>
      </c>
      <c r="D1616" t="s">
        <v>3059</v>
      </c>
      <c r="E1616">
        <v>77</v>
      </c>
      <c r="F1616" t="s">
        <v>7</v>
      </c>
      <c r="G1616" t="s">
        <v>3071</v>
      </c>
    </row>
    <row r="1617" spans="1:7" x14ac:dyDescent="0.25">
      <c r="A1617">
        <v>9879</v>
      </c>
      <c r="B1617" t="s">
        <v>2983</v>
      </c>
      <c r="C1617">
        <v>47</v>
      </c>
      <c r="D1617" t="s">
        <v>3059</v>
      </c>
      <c r="E1617">
        <v>1</v>
      </c>
      <c r="F1617" t="s">
        <v>7</v>
      </c>
      <c r="G1617" t="s">
        <v>3084</v>
      </c>
    </row>
    <row r="1618" spans="1:7" x14ac:dyDescent="0.25">
      <c r="A1618">
        <v>9883</v>
      </c>
      <c r="B1618" t="s">
        <v>2984</v>
      </c>
      <c r="C1618">
        <v>47</v>
      </c>
      <c r="D1618" t="s">
        <v>3059</v>
      </c>
      <c r="E1618">
        <v>20</v>
      </c>
      <c r="F1618" t="s">
        <v>7</v>
      </c>
      <c r="G1618" t="s">
        <v>3084</v>
      </c>
    </row>
    <row r="1619" spans="1:7" x14ac:dyDescent="0.25">
      <c r="A1619">
        <v>9889</v>
      </c>
      <c r="B1619" t="s">
        <v>2986</v>
      </c>
      <c r="C1619">
        <v>47</v>
      </c>
      <c r="D1619" t="s">
        <v>3059</v>
      </c>
      <c r="E1619">
        <v>3</v>
      </c>
      <c r="F1619" t="s">
        <v>7</v>
      </c>
      <c r="G1619" t="s">
        <v>3070</v>
      </c>
    </row>
    <row r="1620" spans="1:7" x14ac:dyDescent="0.25">
      <c r="A1620">
        <v>9895</v>
      </c>
      <c r="B1620" t="s">
        <v>2989</v>
      </c>
      <c r="C1620">
        <v>47</v>
      </c>
      <c r="D1620" t="s">
        <v>3059</v>
      </c>
      <c r="E1620">
        <v>3</v>
      </c>
      <c r="F1620" t="s">
        <v>7</v>
      </c>
      <c r="G1620" t="s">
        <v>3103</v>
      </c>
    </row>
    <row r="1621" spans="1:7" x14ac:dyDescent="0.25">
      <c r="A1621">
        <v>9896</v>
      </c>
      <c r="B1621" t="s">
        <v>2990</v>
      </c>
      <c r="C1621">
        <v>47</v>
      </c>
      <c r="D1621" t="s">
        <v>3059</v>
      </c>
      <c r="E1621">
        <v>1</v>
      </c>
      <c r="F1621" t="s">
        <v>7</v>
      </c>
      <c r="G1621" t="s">
        <v>3103</v>
      </c>
    </row>
    <row r="1622" spans="1:7" x14ac:dyDescent="0.25">
      <c r="A1622">
        <v>9898</v>
      </c>
      <c r="B1622" t="s">
        <v>2991</v>
      </c>
      <c r="C1622">
        <v>47</v>
      </c>
      <c r="D1622" t="s">
        <v>3059</v>
      </c>
      <c r="E1622">
        <v>7</v>
      </c>
      <c r="F1622" t="s">
        <v>7</v>
      </c>
      <c r="G1622" t="s">
        <v>3103</v>
      </c>
    </row>
    <row r="1623" spans="1:7" x14ac:dyDescent="0.25">
      <c r="A1623">
        <v>9900</v>
      </c>
      <c r="B1623" t="s">
        <v>2992</v>
      </c>
      <c r="C1623">
        <v>47</v>
      </c>
      <c r="D1623" t="s">
        <v>3059</v>
      </c>
      <c r="E1623">
        <v>2</v>
      </c>
      <c r="F1623" t="s">
        <v>7</v>
      </c>
      <c r="G1623" t="s">
        <v>3103</v>
      </c>
    </row>
    <row r="1624" spans="1:7" x14ac:dyDescent="0.25">
      <c r="A1624">
        <v>9908</v>
      </c>
      <c r="B1624" t="s">
        <v>2994</v>
      </c>
      <c r="C1624">
        <v>47</v>
      </c>
      <c r="D1624" t="s">
        <v>3059</v>
      </c>
      <c r="E1624">
        <v>30</v>
      </c>
      <c r="F1624" t="s">
        <v>7</v>
      </c>
      <c r="G1624" t="s">
        <v>3103</v>
      </c>
    </row>
    <row r="1625" spans="1:7" x14ac:dyDescent="0.25">
      <c r="A1625">
        <v>9912</v>
      </c>
      <c r="B1625" t="s">
        <v>2995</v>
      </c>
      <c r="C1625">
        <v>47</v>
      </c>
      <c r="D1625" t="s">
        <v>3059</v>
      </c>
      <c r="E1625">
        <v>77</v>
      </c>
      <c r="F1625" t="s">
        <v>7</v>
      </c>
      <c r="G1625" t="s">
        <v>3102</v>
      </c>
    </row>
    <row r="1626" spans="1:7" x14ac:dyDescent="0.25">
      <c r="A1626">
        <v>9913</v>
      </c>
      <c r="B1626" t="s">
        <v>2996</v>
      </c>
      <c r="C1626">
        <v>47</v>
      </c>
      <c r="D1626" t="s">
        <v>3059</v>
      </c>
      <c r="E1626">
        <v>2</v>
      </c>
      <c r="F1626" t="s">
        <v>7</v>
      </c>
      <c r="G1626" t="s">
        <v>3102</v>
      </c>
    </row>
    <row r="1627" spans="1:7" x14ac:dyDescent="0.25">
      <c r="A1627">
        <v>9916</v>
      </c>
      <c r="B1627" t="s">
        <v>2998</v>
      </c>
      <c r="C1627">
        <v>47</v>
      </c>
      <c r="D1627" t="s">
        <v>3059</v>
      </c>
      <c r="E1627">
        <v>56</v>
      </c>
      <c r="F1627" t="s">
        <v>7</v>
      </c>
      <c r="G1627" t="s">
        <v>3101</v>
      </c>
    </row>
    <row r="1628" spans="1:7" x14ac:dyDescent="0.25">
      <c r="A1628">
        <v>9917</v>
      </c>
      <c r="B1628" t="s">
        <v>2999</v>
      </c>
      <c r="C1628">
        <v>47</v>
      </c>
      <c r="D1628" t="s">
        <v>3059</v>
      </c>
      <c r="E1628">
        <v>278</v>
      </c>
      <c r="F1628" t="s">
        <v>7</v>
      </c>
      <c r="G1628" t="s">
        <v>3101</v>
      </c>
    </row>
    <row r="1629" spans="1:7" x14ac:dyDescent="0.25">
      <c r="A1629">
        <v>9918</v>
      </c>
      <c r="B1629" t="s">
        <v>3000</v>
      </c>
      <c r="C1629">
        <v>47</v>
      </c>
      <c r="D1629" t="s">
        <v>3059</v>
      </c>
      <c r="E1629">
        <v>272</v>
      </c>
      <c r="F1629" t="s">
        <v>7</v>
      </c>
      <c r="G1629" t="s">
        <v>3101</v>
      </c>
    </row>
    <row r="1630" spans="1:7" x14ac:dyDescent="0.25">
      <c r="A1630">
        <v>9919</v>
      </c>
      <c r="B1630" t="s">
        <v>3001</v>
      </c>
      <c r="C1630">
        <v>47</v>
      </c>
      <c r="D1630" t="s">
        <v>3059</v>
      </c>
      <c r="E1630">
        <v>111</v>
      </c>
      <c r="F1630" t="s">
        <v>7</v>
      </c>
      <c r="G1630" t="s">
        <v>3101</v>
      </c>
    </row>
    <row r="1631" spans="1:7" x14ac:dyDescent="0.25">
      <c r="A1631">
        <v>9920</v>
      </c>
      <c r="B1631" t="s">
        <v>3002</v>
      </c>
      <c r="C1631">
        <v>47</v>
      </c>
      <c r="D1631" t="s">
        <v>3059</v>
      </c>
      <c r="E1631">
        <v>4</v>
      </c>
      <c r="F1631" t="s">
        <v>7</v>
      </c>
      <c r="G1631" t="s">
        <v>3101</v>
      </c>
    </row>
    <row r="1632" spans="1:7" x14ac:dyDescent="0.25">
      <c r="A1632">
        <v>9921</v>
      </c>
      <c r="B1632" t="s">
        <v>3003</v>
      </c>
      <c r="C1632">
        <v>47</v>
      </c>
      <c r="D1632" t="s">
        <v>3059</v>
      </c>
      <c r="E1632">
        <v>787</v>
      </c>
      <c r="F1632" t="s">
        <v>7</v>
      </c>
      <c r="G1632" t="s">
        <v>3101</v>
      </c>
    </row>
    <row r="1633" spans="1:7" x14ac:dyDescent="0.25">
      <c r="A1633">
        <v>9925</v>
      </c>
      <c r="B1633" t="s">
        <v>3004</v>
      </c>
      <c r="C1633">
        <v>47</v>
      </c>
      <c r="D1633" t="s">
        <v>3059</v>
      </c>
      <c r="E1633">
        <v>50</v>
      </c>
      <c r="F1633" t="s">
        <v>7</v>
      </c>
      <c r="G1633" t="s">
        <v>3101</v>
      </c>
    </row>
    <row r="1634" spans="1:7" x14ac:dyDescent="0.25">
      <c r="A1634">
        <v>9927</v>
      </c>
      <c r="B1634" t="s">
        <v>3005</v>
      </c>
      <c r="C1634">
        <v>47</v>
      </c>
      <c r="D1634" t="s">
        <v>3059</v>
      </c>
      <c r="E1634">
        <v>2</v>
      </c>
      <c r="F1634" t="s">
        <v>7</v>
      </c>
      <c r="G1634" t="s">
        <v>3101</v>
      </c>
    </row>
    <row r="1635" spans="1:7" x14ac:dyDescent="0.25">
      <c r="A1635">
        <v>9937</v>
      </c>
      <c r="B1635" t="s">
        <v>3009</v>
      </c>
      <c r="C1635">
        <v>47</v>
      </c>
      <c r="D1635" t="s">
        <v>3059</v>
      </c>
      <c r="E1635">
        <v>10</v>
      </c>
      <c r="F1635" t="s">
        <v>7</v>
      </c>
      <c r="G1635" t="s">
        <v>3070</v>
      </c>
    </row>
    <row r="1636" spans="1:7" x14ac:dyDescent="0.25">
      <c r="A1636">
        <v>9938</v>
      </c>
      <c r="B1636" t="s">
        <v>3010</v>
      </c>
      <c r="C1636">
        <v>47</v>
      </c>
      <c r="D1636" t="s">
        <v>3059</v>
      </c>
      <c r="E1636">
        <v>17</v>
      </c>
      <c r="F1636" t="s">
        <v>7</v>
      </c>
      <c r="G1636" t="s">
        <v>3070</v>
      </c>
    </row>
    <row r="1637" spans="1:7" x14ac:dyDescent="0.25">
      <c r="A1637">
        <v>9945</v>
      </c>
      <c r="B1637" t="s">
        <v>3014</v>
      </c>
      <c r="C1637">
        <v>47</v>
      </c>
      <c r="D1637" t="s">
        <v>3059</v>
      </c>
      <c r="E1637">
        <v>19</v>
      </c>
      <c r="F1637" t="s">
        <v>7</v>
      </c>
      <c r="G1637" t="s">
        <v>3071</v>
      </c>
    </row>
    <row r="1638" spans="1:7" x14ac:dyDescent="0.25">
      <c r="A1638">
        <v>9946</v>
      </c>
      <c r="B1638" t="s">
        <v>3015</v>
      </c>
      <c r="C1638">
        <v>47</v>
      </c>
      <c r="D1638" t="s">
        <v>3059</v>
      </c>
      <c r="E1638">
        <v>7</v>
      </c>
      <c r="F1638" t="s">
        <v>7</v>
      </c>
      <c r="G1638" t="s">
        <v>3071</v>
      </c>
    </row>
    <row r="1639" spans="1:7" x14ac:dyDescent="0.25">
      <c r="A1639">
        <v>9956</v>
      </c>
      <c r="B1639" t="s">
        <v>3018</v>
      </c>
      <c r="C1639">
        <v>47</v>
      </c>
      <c r="D1639" t="s">
        <v>3059</v>
      </c>
      <c r="E1639">
        <v>3</v>
      </c>
      <c r="F1639" t="s">
        <v>7</v>
      </c>
      <c r="G1639" t="s">
        <v>3062</v>
      </c>
    </row>
    <row r="1640" spans="1:7" x14ac:dyDescent="0.25">
      <c r="A1640">
        <v>9957</v>
      </c>
      <c r="B1640" t="s">
        <v>3019</v>
      </c>
      <c r="C1640">
        <v>47</v>
      </c>
      <c r="D1640" t="s">
        <v>3059</v>
      </c>
      <c r="E1640">
        <v>4</v>
      </c>
      <c r="F1640" t="s">
        <v>7</v>
      </c>
      <c r="G1640" t="s">
        <v>3062</v>
      </c>
    </row>
    <row r="1641" spans="1:7" x14ac:dyDescent="0.25">
      <c r="A1641">
        <v>9958</v>
      </c>
      <c r="B1641" t="s">
        <v>3020</v>
      </c>
      <c r="C1641">
        <v>47</v>
      </c>
      <c r="D1641" t="s">
        <v>3059</v>
      </c>
      <c r="E1641">
        <v>23</v>
      </c>
      <c r="F1641" t="s">
        <v>7</v>
      </c>
      <c r="G1641" t="s">
        <v>3064</v>
      </c>
    </row>
    <row r="1642" spans="1:7" x14ac:dyDescent="0.25">
      <c r="A1642">
        <v>9959</v>
      </c>
      <c r="B1642" t="s">
        <v>3021</v>
      </c>
      <c r="C1642">
        <v>47</v>
      </c>
      <c r="D1642" t="s">
        <v>3059</v>
      </c>
      <c r="E1642">
        <v>15</v>
      </c>
      <c r="F1642" t="s">
        <v>7</v>
      </c>
      <c r="G1642" t="s">
        <v>3064</v>
      </c>
    </row>
    <row r="1643" spans="1:7" x14ac:dyDescent="0.25">
      <c r="A1643">
        <v>9960</v>
      </c>
      <c r="B1643" t="s">
        <v>3022</v>
      </c>
      <c r="C1643">
        <v>47</v>
      </c>
      <c r="D1643" t="s">
        <v>3059</v>
      </c>
      <c r="E1643">
        <v>32</v>
      </c>
      <c r="F1643" t="s">
        <v>7</v>
      </c>
      <c r="G1643" t="s">
        <v>3064</v>
      </c>
    </row>
    <row r="1644" spans="1:7" x14ac:dyDescent="0.25">
      <c r="A1644">
        <v>9961</v>
      </c>
      <c r="B1644" t="s">
        <v>3023</v>
      </c>
      <c r="C1644">
        <v>47</v>
      </c>
      <c r="D1644" t="s">
        <v>3059</v>
      </c>
      <c r="E1644">
        <v>27</v>
      </c>
      <c r="F1644" t="s">
        <v>7</v>
      </c>
      <c r="G1644" t="s">
        <v>3064</v>
      </c>
    </row>
    <row r="1645" spans="1:7" x14ac:dyDescent="0.25">
      <c r="A1645">
        <v>9964</v>
      </c>
      <c r="B1645" t="s">
        <v>3025</v>
      </c>
      <c r="C1645">
        <v>47</v>
      </c>
      <c r="D1645" t="s">
        <v>3059</v>
      </c>
      <c r="E1645">
        <v>12</v>
      </c>
      <c r="F1645" t="s">
        <v>7</v>
      </c>
      <c r="G1645" t="s">
        <v>3064</v>
      </c>
    </row>
    <row r="1646" spans="1:7" x14ac:dyDescent="0.25">
      <c r="A1646">
        <v>9965</v>
      </c>
      <c r="B1646" t="s">
        <v>3026</v>
      </c>
      <c r="C1646">
        <v>47</v>
      </c>
      <c r="D1646" t="s">
        <v>3059</v>
      </c>
      <c r="E1646">
        <v>17</v>
      </c>
      <c r="F1646" t="s">
        <v>7</v>
      </c>
      <c r="G1646" t="s">
        <v>3064</v>
      </c>
    </row>
    <row r="1647" spans="1:7" x14ac:dyDescent="0.25">
      <c r="A1647">
        <v>9966</v>
      </c>
      <c r="B1647" t="s">
        <v>3027</v>
      </c>
      <c r="C1647">
        <v>47</v>
      </c>
      <c r="D1647" t="s">
        <v>3059</v>
      </c>
      <c r="E1647">
        <v>36</v>
      </c>
      <c r="F1647" t="s">
        <v>7</v>
      </c>
      <c r="G1647" t="s">
        <v>3064</v>
      </c>
    </row>
    <row r="1648" spans="1:7" x14ac:dyDescent="0.25">
      <c r="A1648">
        <v>9967</v>
      </c>
      <c r="B1648" t="s">
        <v>3028</v>
      </c>
      <c r="C1648">
        <v>47</v>
      </c>
      <c r="D1648" t="s">
        <v>3059</v>
      </c>
      <c r="E1648">
        <v>100</v>
      </c>
      <c r="F1648" t="s">
        <v>7</v>
      </c>
      <c r="G1648" t="s">
        <v>3058</v>
      </c>
    </row>
    <row r="1649" spans="1:7" x14ac:dyDescent="0.25">
      <c r="A1649">
        <v>9968</v>
      </c>
      <c r="B1649" t="s">
        <v>3029</v>
      </c>
      <c r="C1649">
        <v>47</v>
      </c>
      <c r="D1649" t="s">
        <v>3059</v>
      </c>
      <c r="E1649">
        <v>53</v>
      </c>
      <c r="F1649" t="s">
        <v>7</v>
      </c>
      <c r="G1649" t="s">
        <v>3058</v>
      </c>
    </row>
    <row r="1650" spans="1:7" x14ac:dyDescent="0.25">
      <c r="A1650">
        <v>9969</v>
      </c>
      <c r="B1650" t="s">
        <v>3030</v>
      </c>
      <c r="C1650">
        <v>47</v>
      </c>
      <c r="D1650" t="s">
        <v>3059</v>
      </c>
      <c r="E1650">
        <v>2</v>
      </c>
      <c r="F1650" t="s">
        <v>7</v>
      </c>
      <c r="G1650" t="s">
        <v>3058</v>
      </c>
    </row>
    <row r="1651" spans="1:7" x14ac:dyDescent="0.25">
      <c r="A1651">
        <v>9974</v>
      </c>
      <c r="B1651" t="s">
        <v>3032</v>
      </c>
      <c r="C1651">
        <v>47</v>
      </c>
      <c r="D1651" t="s">
        <v>3059</v>
      </c>
      <c r="E1651">
        <v>197</v>
      </c>
      <c r="F1651" t="s">
        <v>7</v>
      </c>
      <c r="G1651" t="s">
        <v>3058</v>
      </c>
    </row>
    <row r="1652" spans="1:7" x14ac:dyDescent="0.25">
      <c r="A1652">
        <v>9975</v>
      </c>
      <c r="B1652" t="s">
        <v>3033</v>
      </c>
      <c r="C1652">
        <v>47</v>
      </c>
      <c r="D1652" t="s">
        <v>3059</v>
      </c>
      <c r="E1652">
        <v>144</v>
      </c>
      <c r="F1652" t="s">
        <v>7</v>
      </c>
      <c r="G1652" t="s">
        <v>3058</v>
      </c>
    </row>
    <row r="1653" spans="1:7" x14ac:dyDescent="0.25">
      <c r="A1653">
        <v>9976</v>
      </c>
      <c r="B1653" t="s">
        <v>3034</v>
      </c>
      <c r="C1653">
        <v>47</v>
      </c>
      <c r="D1653" t="s">
        <v>3059</v>
      </c>
      <c r="E1653">
        <v>47</v>
      </c>
      <c r="F1653" t="s">
        <v>7</v>
      </c>
      <c r="G1653" t="s">
        <v>3058</v>
      </c>
    </row>
    <row r="1654" spans="1:7" x14ac:dyDescent="0.25">
      <c r="A1654">
        <v>9977</v>
      </c>
      <c r="B1654" t="s">
        <v>3035</v>
      </c>
      <c r="C1654">
        <v>47</v>
      </c>
      <c r="D1654" t="s">
        <v>3059</v>
      </c>
      <c r="E1654">
        <v>40</v>
      </c>
      <c r="F1654" t="s">
        <v>7</v>
      </c>
      <c r="G1654" t="s">
        <v>3058</v>
      </c>
    </row>
    <row r="1655" spans="1:7" x14ac:dyDescent="0.25">
      <c r="A1655">
        <v>9979</v>
      </c>
      <c r="B1655" t="s">
        <v>3036</v>
      </c>
      <c r="C1655">
        <v>47</v>
      </c>
      <c r="D1655" t="s">
        <v>3059</v>
      </c>
      <c r="E1655">
        <v>159</v>
      </c>
      <c r="F1655" t="s">
        <v>7</v>
      </c>
      <c r="G1655" t="s">
        <v>3058</v>
      </c>
    </row>
    <row r="1656" spans="1:7" x14ac:dyDescent="0.25">
      <c r="A1656">
        <v>9982</v>
      </c>
      <c r="B1656" t="s">
        <v>3039</v>
      </c>
      <c r="C1656">
        <v>47</v>
      </c>
      <c r="D1656" t="s">
        <v>3059</v>
      </c>
      <c r="E1656">
        <v>154</v>
      </c>
      <c r="F1656" t="s">
        <v>7</v>
      </c>
      <c r="G1656" t="s">
        <v>3058</v>
      </c>
    </row>
    <row r="1657" spans="1:7" x14ac:dyDescent="0.25">
      <c r="A1657">
        <v>9984</v>
      </c>
      <c r="B1657" t="s">
        <v>3041</v>
      </c>
      <c r="C1657">
        <v>47</v>
      </c>
      <c r="D1657" t="s">
        <v>3059</v>
      </c>
      <c r="E1657">
        <v>48</v>
      </c>
      <c r="F1657" t="s">
        <v>7</v>
      </c>
      <c r="G1657" t="s">
        <v>3058</v>
      </c>
    </row>
    <row r="1658" spans="1:7" x14ac:dyDescent="0.25">
      <c r="A1658">
        <v>9991</v>
      </c>
      <c r="B1658" t="s">
        <v>3045</v>
      </c>
      <c r="C1658">
        <v>47</v>
      </c>
      <c r="D1658" t="s">
        <v>3059</v>
      </c>
      <c r="E1658">
        <v>90</v>
      </c>
      <c r="F1658" t="s">
        <v>7</v>
      </c>
      <c r="G1658" t="s">
        <v>3058</v>
      </c>
    </row>
    <row r="1659" spans="1:7" x14ac:dyDescent="0.25">
      <c r="A1659">
        <v>9993</v>
      </c>
      <c r="B1659" t="s">
        <v>3046</v>
      </c>
      <c r="C1659">
        <v>47</v>
      </c>
      <c r="D1659" t="s">
        <v>3059</v>
      </c>
      <c r="E1659">
        <v>88</v>
      </c>
      <c r="F1659" t="s">
        <v>7</v>
      </c>
      <c r="G1659" t="s">
        <v>3058</v>
      </c>
    </row>
    <row r="1660" spans="1:7" x14ac:dyDescent="0.25">
      <c r="A1660" s="13"/>
    </row>
    <row r="1661" spans="1:7" x14ac:dyDescent="0.25">
      <c r="A1661" s="13"/>
    </row>
    <row r="1662" spans="1:7" x14ac:dyDescent="0.25">
      <c r="A1662" s="13"/>
    </row>
    <row r="1663" spans="1:7" x14ac:dyDescent="0.25">
      <c r="A1663" s="13"/>
    </row>
    <row r="1664" spans="1:7" x14ac:dyDescent="0.25">
      <c r="A1664" s="13"/>
    </row>
    <row r="1665" spans="1:1" x14ac:dyDescent="0.25">
      <c r="A1665" s="13"/>
    </row>
    <row r="1666" spans="1:1" x14ac:dyDescent="0.25">
      <c r="A1666" s="13"/>
    </row>
    <row r="1667" spans="1:1" x14ac:dyDescent="0.25">
      <c r="A1667" s="13"/>
    </row>
    <row r="1668" spans="1:1" x14ac:dyDescent="0.25">
      <c r="A1668" s="13"/>
    </row>
    <row r="1669" spans="1:1" x14ac:dyDescent="0.25">
      <c r="A1669" s="13"/>
    </row>
    <row r="1670" spans="1:1" x14ac:dyDescent="0.25">
      <c r="A1670" s="13"/>
    </row>
    <row r="1671" spans="1:1" x14ac:dyDescent="0.25">
      <c r="A1671" s="13"/>
    </row>
    <row r="1672" spans="1:1" x14ac:dyDescent="0.25">
      <c r="A1672" s="13"/>
    </row>
    <row r="1673" spans="1:1" x14ac:dyDescent="0.25">
      <c r="A1673" s="13"/>
    </row>
    <row r="1674" spans="1:1" x14ac:dyDescent="0.25">
      <c r="A1674" s="13"/>
    </row>
    <row r="1675" spans="1:1" x14ac:dyDescent="0.25">
      <c r="A1675" s="13"/>
    </row>
    <row r="1676" spans="1:1" x14ac:dyDescent="0.25">
      <c r="A1676" s="13"/>
    </row>
    <row r="1677" spans="1:1" x14ac:dyDescent="0.25">
      <c r="A1677" s="13"/>
    </row>
    <row r="1678" spans="1:1" x14ac:dyDescent="0.25">
      <c r="A1678" s="13"/>
    </row>
    <row r="1679" spans="1:1" x14ac:dyDescent="0.25">
      <c r="A1679" s="13"/>
    </row>
    <row r="1680" spans="1:1" x14ac:dyDescent="0.25">
      <c r="A1680" s="13"/>
    </row>
    <row r="1681" spans="1:1" x14ac:dyDescent="0.25">
      <c r="A1681" s="13"/>
    </row>
    <row r="1682" spans="1:1" x14ac:dyDescent="0.25">
      <c r="A1682" s="13"/>
    </row>
    <row r="1683" spans="1:1" x14ac:dyDescent="0.25">
      <c r="A1683" s="13"/>
    </row>
    <row r="1684" spans="1:1" x14ac:dyDescent="0.25">
      <c r="A1684" s="13"/>
    </row>
    <row r="1685" spans="1:1" x14ac:dyDescent="0.25">
      <c r="A1685" s="13"/>
    </row>
    <row r="1686" spans="1:1" x14ac:dyDescent="0.25">
      <c r="A1686" s="13"/>
    </row>
    <row r="1687" spans="1:1" x14ac:dyDescent="0.25">
      <c r="A1687" s="13"/>
    </row>
    <row r="1688" spans="1:1" x14ac:dyDescent="0.25">
      <c r="A1688" s="13"/>
    </row>
    <row r="1689" spans="1:1" x14ac:dyDescent="0.25">
      <c r="A1689" s="13"/>
    </row>
    <row r="1690" spans="1:1" x14ac:dyDescent="0.25">
      <c r="A1690" s="13"/>
    </row>
    <row r="1691" spans="1:1" x14ac:dyDescent="0.25">
      <c r="A1691" s="13"/>
    </row>
    <row r="1692" spans="1:1" x14ac:dyDescent="0.25">
      <c r="A1692" s="13"/>
    </row>
    <row r="1693" spans="1:1" x14ac:dyDescent="0.25">
      <c r="A1693" s="13"/>
    </row>
    <row r="1694" spans="1:1" x14ac:dyDescent="0.25">
      <c r="A1694" s="13"/>
    </row>
    <row r="1695" spans="1:1" x14ac:dyDescent="0.25">
      <c r="A1695" s="13"/>
    </row>
    <row r="1696" spans="1:1" x14ac:dyDescent="0.25">
      <c r="A1696" s="13"/>
    </row>
    <row r="1697" spans="1:1" x14ac:dyDescent="0.25">
      <c r="A1697" s="13"/>
    </row>
    <row r="1698" spans="1:1" x14ac:dyDescent="0.25">
      <c r="A1698" s="13"/>
    </row>
    <row r="1699" spans="1:1" x14ac:dyDescent="0.25">
      <c r="A1699" s="13"/>
    </row>
    <row r="1700" spans="1:1" x14ac:dyDescent="0.25">
      <c r="A1700" s="13"/>
    </row>
    <row r="1701" spans="1:1" x14ac:dyDescent="0.25">
      <c r="A1701" s="13"/>
    </row>
    <row r="1702" spans="1:1" x14ac:dyDescent="0.25">
      <c r="A1702" s="13"/>
    </row>
    <row r="1703" spans="1:1" x14ac:dyDescent="0.25">
      <c r="A1703" s="13"/>
    </row>
    <row r="1704" spans="1:1" x14ac:dyDescent="0.25">
      <c r="A1704" s="13"/>
    </row>
    <row r="1705" spans="1:1" x14ac:dyDescent="0.25">
      <c r="A1705" s="13"/>
    </row>
    <row r="1706" spans="1:1" x14ac:dyDescent="0.25">
      <c r="A1706" s="13"/>
    </row>
    <row r="1707" spans="1:1" x14ac:dyDescent="0.25">
      <c r="A1707" s="13"/>
    </row>
    <row r="1708" spans="1:1" x14ac:dyDescent="0.25">
      <c r="A1708" s="13"/>
    </row>
    <row r="1709" spans="1:1" x14ac:dyDescent="0.25">
      <c r="A1709" s="13"/>
    </row>
    <row r="1710" spans="1:1" x14ac:dyDescent="0.25">
      <c r="A1710" s="13"/>
    </row>
    <row r="1711" spans="1:1" x14ac:dyDescent="0.25">
      <c r="A1711" s="13"/>
    </row>
    <row r="1712" spans="1:1" x14ac:dyDescent="0.25">
      <c r="A1712" s="13"/>
    </row>
    <row r="1713" spans="1:1" x14ac:dyDescent="0.25">
      <c r="A1713" s="13"/>
    </row>
    <row r="1714" spans="1:1" x14ac:dyDescent="0.25">
      <c r="A1714" s="13"/>
    </row>
    <row r="1715" spans="1:1" x14ac:dyDescent="0.25">
      <c r="A1715" s="13"/>
    </row>
    <row r="1716" spans="1:1" x14ac:dyDescent="0.25">
      <c r="A1716" s="13"/>
    </row>
    <row r="1717" spans="1:1" x14ac:dyDescent="0.25">
      <c r="A1717" s="13"/>
    </row>
    <row r="1718" spans="1:1" x14ac:dyDescent="0.25">
      <c r="A1718" s="13"/>
    </row>
    <row r="1719" spans="1:1" x14ac:dyDescent="0.25">
      <c r="A1719" s="13"/>
    </row>
    <row r="1720" spans="1:1" x14ac:dyDescent="0.25">
      <c r="A1720" s="13"/>
    </row>
    <row r="1721" spans="1:1" x14ac:dyDescent="0.25">
      <c r="A1721" s="13"/>
    </row>
    <row r="1722" spans="1:1" x14ac:dyDescent="0.25">
      <c r="A1722" s="13"/>
    </row>
    <row r="1723" spans="1:1" x14ac:dyDescent="0.25">
      <c r="A1723" s="13"/>
    </row>
    <row r="1724" spans="1:1" x14ac:dyDescent="0.25">
      <c r="A1724" s="13"/>
    </row>
    <row r="1725" spans="1:1" x14ac:dyDescent="0.25">
      <c r="A1725" s="13"/>
    </row>
    <row r="1726" spans="1:1" x14ac:dyDescent="0.25">
      <c r="A1726" s="13"/>
    </row>
    <row r="1727" spans="1:1" x14ac:dyDescent="0.25">
      <c r="A1727" s="13"/>
    </row>
    <row r="1728" spans="1:1" x14ac:dyDescent="0.25">
      <c r="A1728" s="13"/>
    </row>
    <row r="1729" spans="1:1" x14ac:dyDescent="0.25">
      <c r="A1729" s="13"/>
    </row>
    <row r="1730" spans="1:1" x14ac:dyDescent="0.25">
      <c r="A1730" s="13"/>
    </row>
    <row r="1731" spans="1:1" x14ac:dyDescent="0.25">
      <c r="A1731" s="13"/>
    </row>
    <row r="1732" spans="1:1" x14ac:dyDescent="0.25">
      <c r="A1732" s="13"/>
    </row>
    <row r="1733" spans="1:1" x14ac:dyDescent="0.25">
      <c r="A1733" s="13"/>
    </row>
    <row r="1734" spans="1:1" x14ac:dyDescent="0.25">
      <c r="A1734" s="13"/>
    </row>
    <row r="1735" spans="1:1" x14ac:dyDescent="0.25">
      <c r="A1735" s="13"/>
    </row>
    <row r="1736" spans="1:1" x14ac:dyDescent="0.25">
      <c r="A1736" s="13"/>
    </row>
    <row r="1737" spans="1:1" x14ac:dyDescent="0.25">
      <c r="A1737" s="13"/>
    </row>
    <row r="1738" spans="1:1" x14ac:dyDescent="0.25">
      <c r="A1738" s="13"/>
    </row>
    <row r="1739" spans="1:1" x14ac:dyDescent="0.25">
      <c r="A1739" s="13"/>
    </row>
    <row r="1740" spans="1:1" x14ac:dyDescent="0.25">
      <c r="A1740" s="13"/>
    </row>
    <row r="1741" spans="1:1" x14ac:dyDescent="0.25">
      <c r="A1741" s="13"/>
    </row>
    <row r="1742" spans="1:1" x14ac:dyDescent="0.25">
      <c r="A1742" s="13"/>
    </row>
    <row r="1743" spans="1:1" x14ac:dyDescent="0.25">
      <c r="A1743" s="13"/>
    </row>
    <row r="1744" spans="1:1" x14ac:dyDescent="0.25">
      <c r="A1744" s="13"/>
    </row>
    <row r="1745" spans="1:1" x14ac:dyDescent="0.25">
      <c r="A1745" s="13"/>
    </row>
    <row r="1746" spans="1:1" x14ac:dyDescent="0.25">
      <c r="A1746" s="13"/>
    </row>
    <row r="1747" spans="1:1" x14ac:dyDescent="0.25">
      <c r="A1747" s="13"/>
    </row>
    <row r="1748" spans="1:1" x14ac:dyDescent="0.25">
      <c r="A1748" s="13"/>
    </row>
    <row r="1749" spans="1:1" x14ac:dyDescent="0.25">
      <c r="A1749" s="13"/>
    </row>
    <row r="1750" spans="1:1" x14ac:dyDescent="0.25">
      <c r="A1750" s="13"/>
    </row>
    <row r="1751" spans="1:1" x14ac:dyDescent="0.25">
      <c r="A1751" s="13"/>
    </row>
    <row r="1752" spans="1:1" x14ac:dyDescent="0.25">
      <c r="A1752" s="13"/>
    </row>
    <row r="1753" spans="1:1" x14ac:dyDescent="0.25">
      <c r="A1753" s="13"/>
    </row>
    <row r="1754" spans="1:1" x14ac:dyDescent="0.25">
      <c r="A1754" s="13"/>
    </row>
    <row r="1755" spans="1:1" x14ac:dyDescent="0.25">
      <c r="A1755" s="13"/>
    </row>
    <row r="1756" spans="1:1" x14ac:dyDescent="0.25">
      <c r="A1756" s="13"/>
    </row>
    <row r="1757" spans="1:1" x14ac:dyDescent="0.25">
      <c r="A1757" s="13"/>
    </row>
    <row r="1758" spans="1:1" x14ac:dyDescent="0.25">
      <c r="A1758" s="13"/>
    </row>
    <row r="1759" spans="1:1" x14ac:dyDescent="0.25">
      <c r="A1759" s="13"/>
    </row>
    <row r="1760" spans="1:1" x14ac:dyDescent="0.25">
      <c r="A1760" s="13"/>
    </row>
    <row r="1761" spans="1:1" x14ac:dyDescent="0.25">
      <c r="A1761" s="13"/>
    </row>
    <row r="1762" spans="1:1" x14ac:dyDescent="0.25">
      <c r="A1762" s="13"/>
    </row>
    <row r="1763" spans="1:1" x14ac:dyDescent="0.25">
      <c r="A1763" s="13"/>
    </row>
    <row r="1764" spans="1:1" x14ac:dyDescent="0.25">
      <c r="A1764" s="13"/>
    </row>
    <row r="1765" spans="1:1" x14ac:dyDescent="0.25">
      <c r="A1765" s="13"/>
    </row>
    <row r="1766" spans="1:1" x14ac:dyDescent="0.25">
      <c r="A1766" s="13"/>
    </row>
    <row r="1767" spans="1:1" x14ac:dyDescent="0.25">
      <c r="A1767" s="13"/>
    </row>
    <row r="1768" spans="1:1" x14ac:dyDescent="0.25">
      <c r="A1768" s="13"/>
    </row>
    <row r="1769" spans="1:1" x14ac:dyDescent="0.25">
      <c r="A1769" s="13"/>
    </row>
    <row r="1770" spans="1:1" x14ac:dyDescent="0.25">
      <c r="A1770" s="13"/>
    </row>
    <row r="1771" spans="1:1" x14ac:dyDescent="0.25">
      <c r="A1771" s="13"/>
    </row>
    <row r="1772" spans="1:1" x14ac:dyDescent="0.25">
      <c r="A1772" s="13"/>
    </row>
    <row r="1773" spans="1:1" x14ac:dyDescent="0.25">
      <c r="A1773" s="13"/>
    </row>
    <row r="1774" spans="1:1" x14ac:dyDescent="0.25">
      <c r="A1774" s="13"/>
    </row>
    <row r="1775" spans="1:1" x14ac:dyDescent="0.25">
      <c r="A1775" s="13"/>
    </row>
    <row r="1776" spans="1:1" x14ac:dyDescent="0.25">
      <c r="A1776" s="13"/>
    </row>
    <row r="1777" spans="1:1" x14ac:dyDescent="0.25">
      <c r="A1777" s="13"/>
    </row>
    <row r="1778" spans="1:1" x14ac:dyDescent="0.25">
      <c r="A1778" s="13"/>
    </row>
    <row r="1779" spans="1:1" x14ac:dyDescent="0.25">
      <c r="A1779" s="13"/>
    </row>
    <row r="1780" spans="1:1" x14ac:dyDescent="0.25">
      <c r="A1780" s="13"/>
    </row>
    <row r="1781" spans="1:1" x14ac:dyDescent="0.25">
      <c r="A1781" s="13"/>
    </row>
    <row r="1782" spans="1:1" x14ac:dyDescent="0.25">
      <c r="A1782" s="13"/>
    </row>
    <row r="1783" spans="1:1" x14ac:dyDescent="0.25">
      <c r="A1783" s="13"/>
    </row>
    <row r="1784" spans="1:1" x14ac:dyDescent="0.25">
      <c r="A1784" s="13"/>
    </row>
    <row r="1785" spans="1:1" x14ac:dyDescent="0.25">
      <c r="A1785" s="13"/>
    </row>
    <row r="1786" spans="1:1" x14ac:dyDescent="0.25">
      <c r="A1786" s="13"/>
    </row>
    <row r="1787" spans="1:1" x14ac:dyDescent="0.25">
      <c r="A1787" s="13"/>
    </row>
    <row r="1788" spans="1:1" x14ac:dyDescent="0.25">
      <c r="A1788" s="13"/>
    </row>
    <row r="1789" spans="1:1" x14ac:dyDescent="0.25">
      <c r="A1789" s="13"/>
    </row>
    <row r="1790" spans="1:1" x14ac:dyDescent="0.25">
      <c r="A1790" s="13"/>
    </row>
    <row r="1791" spans="1:1" x14ac:dyDescent="0.25">
      <c r="A1791" s="13"/>
    </row>
    <row r="1792" spans="1:1" x14ac:dyDescent="0.25">
      <c r="A1792" s="13"/>
    </row>
    <row r="1793" spans="1:1" x14ac:dyDescent="0.25">
      <c r="A1793" s="13"/>
    </row>
    <row r="1794" spans="1:1" x14ac:dyDescent="0.25">
      <c r="A1794" s="13"/>
    </row>
    <row r="1795" spans="1:1" x14ac:dyDescent="0.25">
      <c r="A1795" s="13"/>
    </row>
    <row r="1796" spans="1:1" x14ac:dyDescent="0.25">
      <c r="A1796" s="13"/>
    </row>
    <row r="1797" spans="1:1" x14ac:dyDescent="0.25">
      <c r="A1797" s="13"/>
    </row>
    <row r="1798" spans="1:1" x14ac:dyDescent="0.25">
      <c r="A1798" s="13"/>
    </row>
    <row r="1799" spans="1:1" x14ac:dyDescent="0.25">
      <c r="A1799" s="13"/>
    </row>
    <row r="1800" spans="1:1" x14ac:dyDescent="0.25">
      <c r="A1800" s="13"/>
    </row>
    <row r="1801" spans="1:1" x14ac:dyDescent="0.25">
      <c r="A1801" s="13"/>
    </row>
    <row r="1802" spans="1:1" x14ac:dyDescent="0.25">
      <c r="A1802" s="13"/>
    </row>
    <row r="1803" spans="1:1" x14ac:dyDescent="0.25">
      <c r="A1803" s="13"/>
    </row>
    <row r="1804" spans="1:1" x14ac:dyDescent="0.25">
      <c r="A1804" s="13"/>
    </row>
    <row r="1805" spans="1:1" x14ac:dyDescent="0.25">
      <c r="A1805" s="13"/>
    </row>
    <row r="1806" spans="1:1" x14ac:dyDescent="0.25">
      <c r="A1806" s="13"/>
    </row>
    <row r="1807" spans="1:1" x14ac:dyDescent="0.25">
      <c r="A1807" s="13"/>
    </row>
    <row r="1808" spans="1:1" x14ac:dyDescent="0.25">
      <c r="A1808" s="13"/>
    </row>
    <row r="1809" spans="1:1" x14ac:dyDescent="0.25">
      <c r="A1809" s="13"/>
    </row>
    <row r="1810" spans="1:1" x14ac:dyDescent="0.25">
      <c r="A1810" s="13"/>
    </row>
    <row r="1811" spans="1:1" x14ac:dyDescent="0.25">
      <c r="A1811" s="13"/>
    </row>
    <row r="1812" spans="1:1" x14ac:dyDescent="0.25">
      <c r="A1812" s="13"/>
    </row>
    <row r="1813" spans="1:1" x14ac:dyDescent="0.25">
      <c r="A1813" s="13"/>
    </row>
    <row r="1814" spans="1:1" x14ac:dyDescent="0.25">
      <c r="A1814" s="13"/>
    </row>
    <row r="1815" spans="1:1" x14ac:dyDescent="0.25">
      <c r="A1815" s="13"/>
    </row>
    <row r="1816" spans="1:1" x14ac:dyDescent="0.25">
      <c r="A1816" s="13"/>
    </row>
    <row r="1817" spans="1:1" x14ac:dyDescent="0.25">
      <c r="A1817" s="13"/>
    </row>
    <row r="1818" spans="1:1" x14ac:dyDescent="0.25">
      <c r="A1818" s="13"/>
    </row>
    <row r="1819" spans="1:1" x14ac:dyDescent="0.25">
      <c r="A1819" s="13"/>
    </row>
    <row r="1820" spans="1:1" x14ac:dyDescent="0.25">
      <c r="A1820" s="13"/>
    </row>
    <row r="1821" spans="1:1" x14ac:dyDescent="0.25">
      <c r="A1821" s="13"/>
    </row>
    <row r="1822" spans="1:1" x14ac:dyDescent="0.25">
      <c r="A1822" s="13"/>
    </row>
    <row r="1823" spans="1:1" x14ac:dyDescent="0.25">
      <c r="A1823" s="13"/>
    </row>
    <row r="1824" spans="1:1" x14ac:dyDescent="0.25">
      <c r="A1824" s="13"/>
    </row>
    <row r="1825" spans="1:1" x14ac:dyDescent="0.25">
      <c r="A1825" s="13"/>
    </row>
    <row r="1826" spans="1:1" x14ac:dyDescent="0.25">
      <c r="A1826" s="13"/>
    </row>
    <row r="1827" spans="1:1" x14ac:dyDescent="0.25">
      <c r="A1827" s="13"/>
    </row>
    <row r="1828" spans="1:1" x14ac:dyDescent="0.25">
      <c r="A1828" s="13"/>
    </row>
    <row r="1829" spans="1:1" x14ac:dyDescent="0.25">
      <c r="A1829" s="13"/>
    </row>
    <row r="1830" spans="1:1" x14ac:dyDescent="0.25">
      <c r="A1830" s="13"/>
    </row>
    <row r="1831" spans="1:1" x14ac:dyDescent="0.25">
      <c r="A1831" s="13"/>
    </row>
    <row r="1832" spans="1:1" x14ac:dyDescent="0.25">
      <c r="A1832" s="13"/>
    </row>
    <row r="1833" spans="1:1" x14ac:dyDescent="0.25">
      <c r="A1833" s="13"/>
    </row>
    <row r="1834" spans="1:1" x14ac:dyDescent="0.25">
      <c r="A1834" s="13"/>
    </row>
    <row r="1835" spans="1:1" x14ac:dyDescent="0.25">
      <c r="A1835" s="13"/>
    </row>
    <row r="1836" spans="1:1" x14ac:dyDescent="0.25">
      <c r="A1836" s="13"/>
    </row>
    <row r="1837" spans="1:1" x14ac:dyDescent="0.25">
      <c r="A1837" s="13"/>
    </row>
    <row r="1838" spans="1:1" x14ac:dyDescent="0.25">
      <c r="A1838" s="13"/>
    </row>
    <row r="1839" spans="1:1" x14ac:dyDescent="0.25">
      <c r="A1839" s="13"/>
    </row>
    <row r="1840" spans="1:1" x14ac:dyDescent="0.25">
      <c r="A1840" s="13"/>
    </row>
    <row r="1841" spans="1:1" x14ac:dyDescent="0.25">
      <c r="A1841" s="13"/>
    </row>
    <row r="1842" spans="1:1" x14ac:dyDescent="0.25">
      <c r="A1842" s="13"/>
    </row>
    <row r="1843" spans="1:1" x14ac:dyDescent="0.25">
      <c r="A1843" s="13"/>
    </row>
    <row r="1844" spans="1:1" x14ac:dyDescent="0.25">
      <c r="A1844" s="13"/>
    </row>
    <row r="1845" spans="1:1" x14ac:dyDescent="0.25">
      <c r="A1845" s="13"/>
    </row>
    <row r="1846" spans="1:1" x14ac:dyDescent="0.25">
      <c r="A1846" s="13"/>
    </row>
    <row r="1847" spans="1:1" x14ac:dyDescent="0.25">
      <c r="A1847" s="13"/>
    </row>
    <row r="1848" spans="1:1" x14ac:dyDescent="0.25">
      <c r="A1848" s="13"/>
    </row>
    <row r="1849" spans="1:1" x14ac:dyDescent="0.25">
      <c r="A1849" s="13"/>
    </row>
    <row r="1850" spans="1:1" x14ac:dyDescent="0.25">
      <c r="A1850" s="13"/>
    </row>
    <row r="1851" spans="1:1" x14ac:dyDescent="0.25">
      <c r="A1851" s="13"/>
    </row>
    <row r="1852" spans="1:1" x14ac:dyDescent="0.25">
      <c r="A1852" s="13"/>
    </row>
    <row r="1853" spans="1:1" x14ac:dyDescent="0.25">
      <c r="A1853" s="13"/>
    </row>
    <row r="1854" spans="1:1" x14ac:dyDescent="0.25">
      <c r="A1854" s="13"/>
    </row>
    <row r="1855" spans="1:1" x14ac:dyDescent="0.25">
      <c r="A1855" s="13"/>
    </row>
    <row r="1856" spans="1:1" x14ac:dyDescent="0.25">
      <c r="A1856" s="13"/>
    </row>
    <row r="1857" spans="1:1" x14ac:dyDescent="0.25">
      <c r="A1857" s="13"/>
    </row>
    <row r="1858" spans="1:1" x14ac:dyDescent="0.25">
      <c r="A1858" s="13"/>
    </row>
    <row r="1859" spans="1:1" x14ac:dyDescent="0.25">
      <c r="A1859" s="13"/>
    </row>
    <row r="1860" spans="1:1" x14ac:dyDescent="0.25">
      <c r="A1860" s="13"/>
    </row>
    <row r="1861" spans="1:1" x14ac:dyDescent="0.25">
      <c r="A1861" s="13"/>
    </row>
    <row r="1862" spans="1:1" x14ac:dyDescent="0.25">
      <c r="A1862" s="13"/>
    </row>
    <row r="1863" spans="1:1" x14ac:dyDescent="0.25">
      <c r="A1863" s="13"/>
    </row>
    <row r="1864" spans="1:1" x14ac:dyDescent="0.25">
      <c r="A1864" s="13"/>
    </row>
    <row r="1865" spans="1:1" x14ac:dyDescent="0.25">
      <c r="A1865" s="13"/>
    </row>
    <row r="1866" spans="1:1" x14ac:dyDescent="0.25">
      <c r="A1866" s="13"/>
    </row>
    <row r="1867" spans="1:1" x14ac:dyDescent="0.25">
      <c r="A1867" s="13"/>
    </row>
    <row r="1868" spans="1:1" x14ac:dyDescent="0.25">
      <c r="A1868" s="13"/>
    </row>
    <row r="1869" spans="1:1" x14ac:dyDescent="0.25">
      <c r="A1869" s="13"/>
    </row>
    <row r="1870" spans="1:1" x14ac:dyDescent="0.25">
      <c r="A1870" s="13"/>
    </row>
    <row r="1871" spans="1:1" x14ac:dyDescent="0.25">
      <c r="A1871" s="13"/>
    </row>
    <row r="1872" spans="1:1" x14ac:dyDescent="0.25">
      <c r="A1872" s="13"/>
    </row>
    <row r="1873" spans="1:1" x14ac:dyDescent="0.25">
      <c r="A1873" s="13"/>
    </row>
    <row r="1874" spans="1:1" x14ac:dyDescent="0.25">
      <c r="A1874" s="13"/>
    </row>
    <row r="1875" spans="1:1" x14ac:dyDescent="0.25">
      <c r="A1875" s="13"/>
    </row>
    <row r="1876" spans="1:1" x14ac:dyDescent="0.25">
      <c r="A1876" s="13"/>
    </row>
    <row r="1877" spans="1:1" x14ac:dyDescent="0.25">
      <c r="A1877" s="13"/>
    </row>
    <row r="1878" spans="1:1" x14ac:dyDescent="0.25">
      <c r="A1878" s="13"/>
    </row>
    <row r="1879" spans="1:1" x14ac:dyDescent="0.25">
      <c r="A1879" s="13"/>
    </row>
    <row r="1880" spans="1:1" x14ac:dyDescent="0.25">
      <c r="A1880" s="13"/>
    </row>
    <row r="1881" spans="1:1" x14ac:dyDescent="0.25">
      <c r="A1881" s="13"/>
    </row>
    <row r="1882" spans="1:1" x14ac:dyDescent="0.25">
      <c r="A1882" s="13"/>
    </row>
    <row r="1883" spans="1:1" x14ac:dyDescent="0.25">
      <c r="A1883" s="13"/>
    </row>
    <row r="1884" spans="1:1" x14ac:dyDescent="0.25">
      <c r="A1884" s="13"/>
    </row>
    <row r="1885" spans="1:1" x14ac:dyDescent="0.25">
      <c r="A1885" s="13"/>
    </row>
    <row r="1886" spans="1:1" x14ac:dyDescent="0.25">
      <c r="A1886" s="13"/>
    </row>
    <row r="1887" spans="1:1" x14ac:dyDescent="0.25">
      <c r="A1887" s="13"/>
    </row>
    <row r="1888" spans="1:1" x14ac:dyDescent="0.25">
      <c r="A1888" s="13"/>
    </row>
    <row r="1889" spans="1:1" x14ac:dyDescent="0.25">
      <c r="A1889" s="13"/>
    </row>
    <row r="1890" spans="1:1" x14ac:dyDescent="0.25">
      <c r="A1890" s="13"/>
    </row>
    <row r="1891" spans="1:1" x14ac:dyDescent="0.25">
      <c r="A1891" s="13"/>
    </row>
    <row r="1892" spans="1:1" x14ac:dyDescent="0.25">
      <c r="A1892" s="13"/>
    </row>
    <row r="1893" spans="1:1" x14ac:dyDescent="0.25">
      <c r="A1893" s="13"/>
    </row>
    <row r="1894" spans="1:1" x14ac:dyDescent="0.25">
      <c r="A1894" s="13"/>
    </row>
    <row r="1895" spans="1:1" x14ac:dyDescent="0.25">
      <c r="A1895" s="13"/>
    </row>
    <row r="1896" spans="1:1" x14ac:dyDescent="0.25">
      <c r="A1896" s="13"/>
    </row>
    <row r="1897" spans="1:1" x14ac:dyDescent="0.25">
      <c r="A1897" s="13"/>
    </row>
    <row r="1898" spans="1:1" x14ac:dyDescent="0.25">
      <c r="A1898" s="13"/>
    </row>
    <row r="1899" spans="1:1" x14ac:dyDescent="0.25">
      <c r="A1899" s="13"/>
    </row>
    <row r="1900" spans="1:1" x14ac:dyDescent="0.25">
      <c r="A1900" s="13"/>
    </row>
    <row r="1901" spans="1:1" x14ac:dyDescent="0.25">
      <c r="A1901" s="13"/>
    </row>
    <row r="1902" spans="1:1" x14ac:dyDescent="0.25">
      <c r="A1902" s="13"/>
    </row>
    <row r="1903" spans="1:1" x14ac:dyDescent="0.25">
      <c r="A1903" s="13"/>
    </row>
    <row r="1904" spans="1:1" x14ac:dyDescent="0.25">
      <c r="A1904" s="13"/>
    </row>
    <row r="1905" spans="1:1" x14ac:dyDescent="0.25">
      <c r="A1905" s="13"/>
    </row>
    <row r="1906" spans="1:1" x14ac:dyDescent="0.25">
      <c r="A1906" s="13"/>
    </row>
    <row r="1907" spans="1:1" x14ac:dyDescent="0.25">
      <c r="A1907" s="13"/>
    </row>
    <row r="1908" spans="1:1" x14ac:dyDescent="0.25">
      <c r="A1908" s="13"/>
    </row>
    <row r="1909" spans="1:1" x14ac:dyDescent="0.25">
      <c r="A1909" s="13"/>
    </row>
    <row r="1910" spans="1:1" x14ac:dyDescent="0.25">
      <c r="A1910" s="13"/>
    </row>
    <row r="1911" spans="1:1" x14ac:dyDescent="0.25">
      <c r="A1911" s="13"/>
    </row>
    <row r="1912" spans="1:1" x14ac:dyDescent="0.25">
      <c r="A1912" s="13"/>
    </row>
    <row r="1913" spans="1:1" x14ac:dyDescent="0.25">
      <c r="A1913" s="13"/>
    </row>
    <row r="1914" spans="1:1" x14ac:dyDescent="0.25">
      <c r="A1914" s="13"/>
    </row>
    <row r="1915" spans="1:1" x14ac:dyDescent="0.25">
      <c r="A1915" s="13"/>
    </row>
    <row r="1916" spans="1:1" x14ac:dyDescent="0.25">
      <c r="A1916" s="13"/>
    </row>
    <row r="1917" spans="1:1" x14ac:dyDescent="0.25">
      <c r="A1917" s="13"/>
    </row>
    <row r="1918" spans="1:1" x14ac:dyDescent="0.25">
      <c r="A1918" s="13"/>
    </row>
    <row r="1919" spans="1:1" x14ac:dyDescent="0.25">
      <c r="A1919" s="13"/>
    </row>
    <row r="1920" spans="1:1" x14ac:dyDescent="0.25">
      <c r="A1920" s="13"/>
    </row>
    <row r="1921" spans="1:1" x14ac:dyDescent="0.25">
      <c r="A1921" s="13"/>
    </row>
    <row r="1922" spans="1:1" x14ac:dyDescent="0.25">
      <c r="A1922" s="13"/>
    </row>
    <row r="1923" spans="1:1" x14ac:dyDescent="0.25">
      <c r="A1923" s="13"/>
    </row>
    <row r="1924" spans="1:1" x14ac:dyDescent="0.25">
      <c r="A1924" s="13"/>
    </row>
    <row r="1925" spans="1:1" x14ac:dyDescent="0.25">
      <c r="A1925" s="13"/>
    </row>
    <row r="1926" spans="1:1" x14ac:dyDescent="0.25">
      <c r="A1926" s="13"/>
    </row>
    <row r="1927" spans="1:1" x14ac:dyDescent="0.25">
      <c r="A1927" s="13"/>
    </row>
    <row r="1928" spans="1:1" x14ac:dyDescent="0.25">
      <c r="A1928" s="13"/>
    </row>
    <row r="1929" spans="1:1" x14ac:dyDescent="0.25">
      <c r="A1929" s="13"/>
    </row>
    <row r="1930" spans="1:1" x14ac:dyDescent="0.25">
      <c r="A1930" s="13"/>
    </row>
    <row r="1931" spans="1:1" x14ac:dyDescent="0.25">
      <c r="A1931" s="13"/>
    </row>
    <row r="1932" spans="1:1" x14ac:dyDescent="0.25">
      <c r="A1932" s="13"/>
    </row>
    <row r="1933" spans="1:1" x14ac:dyDescent="0.25">
      <c r="A1933" s="13"/>
    </row>
    <row r="1934" spans="1:1" x14ac:dyDescent="0.25">
      <c r="A1934" s="13"/>
    </row>
    <row r="1935" spans="1:1" x14ac:dyDescent="0.25">
      <c r="A1935" s="13"/>
    </row>
    <row r="1936" spans="1:1" x14ac:dyDescent="0.25">
      <c r="A1936" s="13"/>
    </row>
    <row r="1937" spans="1:1" x14ac:dyDescent="0.25">
      <c r="A1937" s="13"/>
    </row>
    <row r="1938" spans="1:1" x14ac:dyDescent="0.25">
      <c r="A1938" s="13"/>
    </row>
    <row r="1939" spans="1:1" x14ac:dyDescent="0.25">
      <c r="A1939" s="13"/>
    </row>
    <row r="1940" spans="1:1" x14ac:dyDescent="0.25">
      <c r="A1940" s="13"/>
    </row>
    <row r="1941" spans="1:1" x14ac:dyDescent="0.25">
      <c r="A1941" s="13"/>
    </row>
    <row r="1942" spans="1:1" x14ac:dyDescent="0.25">
      <c r="A1942" s="13"/>
    </row>
    <row r="1943" spans="1:1" x14ac:dyDescent="0.25">
      <c r="A1943" s="13"/>
    </row>
    <row r="1944" spans="1:1" x14ac:dyDescent="0.25">
      <c r="A1944" s="13"/>
    </row>
    <row r="1945" spans="1:1" x14ac:dyDescent="0.25">
      <c r="A1945" s="13"/>
    </row>
    <row r="1946" spans="1:1" x14ac:dyDescent="0.25">
      <c r="A1946" s="13"/>
    </row>
    <row r="1947" spans="1:1" x14ac:dyDescent="0.25">
      <c r="A1947" s="13"/>
    </row>
    <row r="1948" spans="1:1" x14ac:dyDescent="0.25">
      <c r="A1948" s="13"/>
    </row>
    <row r="1949" spans="1:1" x14ac:dyDescent="0.25">
      <c r="A1949" s="13"/>
    </row>
    <row r="1950" spans="1:1" x14ac:dyDescent="0.25">
      <c r="A1950" s="13"/>
    </row>
    <row r="1951" spans="1:1" x14ac:dyDescent="0.25">
      <c r="A1951" s="13"/>
    </row>
    <row r="1952" spans="1:1" x14ac:dyDescent="0.25">
      <c r="A1952" s="13"/>
    </row>
    <row r="1953" spans="1:1" x14ac:dyDescent="0.25">
      <c r="A1953" s="13"/>
    </row>
    <row r="1954" spans="1:1" x14ac:dyDescent="0.25">
      <c r="A1954" s="13"/>
    </row>
    <row r="1955" spans="1:1" x14ac:dyDescent="0.25">
      <c r="A1955" s="13"/>
    </row>
    <row r="1956" spans="1:1" x14ac:dyDescent="0.25">
      <c r="A1956" s="13"/>
    </row>
    <row r="1957" spans="1:1" x14ac:dyDescent="0.25">
      <c r="A1957" s="13"/>
    </row>
    <row r="1958" spans="1:1" x14ac:dyDescent="0.25">
      <c r="A1958" s="13"/>
    </row>
    <row r="1959" spans="1:1" x14ac:dyDescent="0.25">
      <c r="A1959" s="13"/>
    </row>
    <row r="1960" spans="1:1" x14ac:dyDescent="0.25">
      <c r="A1960" s="13"/>
    </row>
    <row r="1961" spans="1:1" x14ac:dyDescent="0.25">
      <c r="A1961" s="13"/>
    </row>
    <row r="1962" spans="1:1" x14ac:dyDescent="0.25">
      <c r="A1962" s="13"/>
    </row>
    <row r="1963" spans="1:1" x14ac:dyDescent="0.25">
      <c r="A1963" s="13"/>
    </row>
    <row r="1964" spans="1:1" x14ac:dyDescent="0.25">
      <c r="A1964" s="13"/>
    </row>
    <row r="1965" spans="1:1" x14ac:dyDescent="0.25">
      <c r="A1965" s="13"/>
    </row>
    <row r="1966" spans="1:1" x14ac:dyDescent="0.25">
      <c r="A1966" s="13"/>
    </row>
    <row r="1967" spans="1:1" x14ac:dyDescent="0.25">
      <c r="A1967" s="13"/>
    </row>
    <row r="1968" spans="1:1" x14ac:dyDescent="0.25">
      <c r="A1968" s="13"/>
    </row>
    <row r="1969" spans="1:1" x14ac:dyDescent="0.25">
      <c r="A1969" s="13"/>
    </row>
    <row r="1970" spans="1:1" x14ac:dyDescent="0.25">
      <c r="A1970" s="13"/>
    </row>
    <row r="1971" spans="1:1" x14ac:dyDescent="0.25">
      <c r="A1971" s="13"/>
    </row>
    <row r="1972" spans="1:1" x14ac:dyDescent="0.25">
      <c r="A1972" s="13"/>
    </row>
    <row r="1973" spans="1:1" x14ac:dyDescent="0.25">
      <c r="A1973" s="13"/>
    </row>
    <row r="1974" spans="1:1" x14ac:dyDescent="0.25">
      <c r="A1974" s="13"/>
    </row>
    <row r="1975" spans="1:1" x14ac:dyDescent="0.25">
      <c r="A1975" s="13"/>
    </row>
    <row r="1976" spans="1:1" x14ac:dyDescent="0.25">
      <c r="A1976" s="13"/>
    </row>
    <row r="1977" spans="1:1" x14ac:dyDescent="0.25">
      <c r="A1977" s="13"/>
    </row>
    <row r="1978" spans="1:1" x14ac:dyDescent="0.25">
      <c r="A1978" s="13"/>
    </row>
    <row r="1979" spans="1:1" x14ac:dyDescent="0.25">
      <c r="A1979" s="13"/>
    </row>
    <row r="1980" spans="1:1" x14ac:dyDescent="0.25">
      <c r="A1980" s="13"/>
    </row>
    <row r="1981" spans="1:1" x14ac:dyDescent="0.25">
      <c r="A1981" s="13"/>
    </row>
    <row r="1982" spans="1:1" x14ac:dyDescent="0.25">
      <c r="A1982" s="13"/>
    </row>
    <row r="1983" spans="1:1" x14ac:dyDescent="0.25">
      <c r="A1983" s="13"/>
    </row>
    <row r="1984" spans="1:1" x14ac:dyDescent="0.25">
      <c r="A1984" s="13"/>
    </row>
    <row r="1985" spans="1:1" x14ac:dyDescent="0.25">
      <c r="A1985" s="13"/>
    </row>
    <row r="1986" spans="1:1" x14ac:dyDescent="0.25">
      <c r="A1986" s="13"/>
    </row>
    <row r="1987" spans="1:1" x14ac:dyDescent="0.25">
      <c r="A1987" s="13"/>
    </row>
    <row r="1988" spans="1:1" x14ac:dyDescent="0.25">
      <c r="A1988" s="13"/>
    </row>
    <row r="1989" spans="1:1" x14ac:dyDescent="0.25">
      <c r="A1989" s="13"/>
    </row>
    <row r="1990" spans="1:1" x14ac:dyDescent="0.25">
      <c r="A1990" s="13"/>
    </row>
    <row r="1991" spans="1:1" x14ac:dyDescent="0.25">
      <c r="A1991" s="13"/>
    </row>
    <row r="1992" spans="1:1" x14ac:dyDescent="0.25">
      <c r="A1992" s="13"/>
    </row>
    <row r="1993" spans="1:1" x14ac:dyDescent="0.25">
      <c r="A1993" s="13"/>
    </row>
    <row r="1994" spans="1:1" x14ac:dyDescent="0.25">
      <c r="A1994" s="13"/>
    </row>
    <row r="1995" spans="1:1" x14ac:dyDescent="0.25">
      <c r="A1995" s="13"/>
    </row>
    <row r="1996" spans="1:1" x14ac:dyDescent="0.25">
      <c r="A1996" s="13"/>
    </row>
    <row r="1997" spans="1:1" x14ac:dyDescent="0.25">
      <c r="A1997" s="13"/>
    </row>
    <row r="1998" spans="1:1" x14ac:dyDescent="0.25">
      <c r="A1998" s="13"/>
    </row>
    <row r="1999" spans="1:1" x14ac:dyDescent="0.25">
      <c r="A1999" s="13"/>
    </row>
    <row r="2000" spans="1:1" x14ac:dyDescent="0.25">
      <c r="A2000" s="13"/>
    </row>
    <row r="2001" spans="1:1" x14ac:dyDescent="0.25">
      <c r="A2001" s="13"/>
    </row>
    <row r="2002" spans="1:1" x14ac:dyDescent="0.25">
      <c r="A2002" s="13"/>
    </row>
    <row r="2003" spans="1:1" x14ac:dyDescent="0.25">
      <c r="A2003" s="13"/>
    </row>
    <row r="2004" spans="1:1" x14ac:dyDescent="0.25">
      <c r="A2004" s="13"/>
    </row>
    <row r="2005" spans="1:1" x14ac:dyDescent="0.25">
      <c r="A2005" s="13"/>
    </row>
    <row r="2006" spans="1:1" x14ac:dyDescent="0.25">
      <c r="A2006" s="13"/>
    </row>
    <row r="2007" spans="1:1" x14ac:dyDescent="0.25">
      <c r="A2007" s="13"/>
    </row>
    <row r="2008" spans="1:1" x14ac:dyDescent="0.25">
      <c r="A2008" s="13"/>
    </row>
    <row r="2009" spans="1:1" x14ac:dyDescent="0.25">
      <c r="A2009" s="13"/>
    </row>
    <row r="2010" spans="1:1" x14ac:dyDescent="0.25">
      <c r="A2010" s="13"/>
    </row>
    <row r="2011" spans="1:1" x14ac:dyDescent="0.25">
      <c r="A2011" s="13"/>
    </row>
    <row r="2012" spans="1:1" x14ac:dyDescent="0.25">
      <c r="A2012" s="13"/>
    </row>
    <row r="2013" spans="1:1" x14ac:dyDescent="0.25">
      <c r="A2013" s="13"/>
    </row>
    <row r="2014" spans="1:1" x14ac:dyDescent="0.25">
      <c r="A2014" s="13"/>
    </row>
    <row r="2015" spans="1:1" x14ac:dyDescent="0.25">
      <c r="A2015" s="13"/>
    </row>
    <row r="2016" spans="1:1" x14ac:dyDescent="0.25">
      <c r="A2016" s="13"/>
    </row>
    <row r="2017" spans="1:1" x14ac:dyDescent="0.25">
      <c r="A2017" s="13"/>
    </row>
    <row r="2018" spans="1:1" x14ac:dyDescent="0.25">
      <c r="A2018" s="13"/>
    </row>
    <row r="2019" spans="1:1" x14ac:dyDescent="0.25">
      <c r="A2019" s="13"/>
    </row>
    <row r="2020" spans="1:1" x14ac:dyDescent="0.25">
      <c r="A2020" s="13"/>
    </row>
    <row r="2021" spans="1:1" x14ac:dyDescent="0.25">
      <c r="A2021" s="13"/>
    </row>
    <row r="2022" spans="1:1" x14ac:dyDescent="0.25">
      <c r="A2022" s="13"/>
    </row>
    <row r="2023" spans="1:1" x14ac:dyDescent="0.25">
      <c r="A2023" s="13"/>
    </row>
    <row r="2024" spans="1:1" x14ac:dyDescent="0.25">
      <c r="A2024" s="13"/>
    </row>
    <row r="2025" spans="1:1" x14ac:dyDescent="0.25">
      <c r="A2025" s="13"/>
    </row>
    <row r="2026" spans="1:1" x14ac:dyDescent="0.25">
      <c r="A2026" s="13"/>
    </row>
    <row r="2027" spans="1:1" x14ac:dyDescent="0.25">
      <c r="A2027" s="13"/>
    </row>
    <row r="2028" spans="1:1" x14ac:dyDescent="0.25">
      <c r="A2028" s="13"/>
    </row>
    <row r="2029" spans="1:1" x14ac:dyDescent="0.25">
      <c r="A2029" s="13"/>
    </row>
    <row r="2030" spans="1:1" x14ac:dyDescent="0.25">
      <c r="A2030" s="13"/>
    </row>
    <row r="2031" spans="1:1" x14ac:dyDescent="0.25">
      <c r="A2031" s="13"/>
    </row>
    <row r="2032" spans="1:1" x14ac:dyDescent="0.25">
      <c r="A2032" s="13"/>
    </row>
    <row r="2033" spans="1:1" x14ac:dyDescent="0.25">
      <c r="A2033" s="13"/>
    </row>
    <row r="2034" spans="1:1" x14ac:dyDescent="0.25">
      <c r="A2034" s="13"/>
    </row>
    <row r="2035" spans="1:1" x14ac:dyDescent="0.25">
      <c r="A2035" s="13"/>
    </row>
    <row r="2036" spans="1:1" x14ac:dyDescent="0.25">
      <c r="A2036" s="13"/>
    </row>
    <row r="2037" spans="1:1" x14ac:dyDescent="0.25">
      <c r="A2037" s="13"/>
    </row>
    <row r="2038" spans="1:1" x14ac:dyDescent="0.25">
      <c r="A2038" s="13"/>
    </row>
    <row r="2039" spans="1:1" x14ac:dyDescent="0.25">
      <c r="A2039" s="13"/>
    </row>
    <row r="2040" spans="1:1" x14ac:dyDescent="0.25">
      <c r="A2040" s="13"/>
    </row>
    <row r="2041" spans="1:1" x14ac:dyDescent="0.25">
      <c r="A2041" s="13"/>
    </row>
    <row r="2042" spans="1:1" x14ac:dyDescent="0.25">
      <c r="A2042" s="13"/>
    </row>
    <row r="2043" spans="1:1" x14ac:dyDescent="0.25">
      <c r="A2043" s="13"/>
    </row>
    <row r="2044" spans="1:1" x14ac:dyDescent="0.25">
      <c r="A2044" s="13"/>
    </row>
    <row r="2045" spans="1:1" x14ac:dyDescent="0.25">
      <c r="A2045" s="13"/>
    </row>
    <row r="2046" spans="1:1" x14ac:dyDescent="0.25">
      <c r="A2046" s="13"/>
    </row>
    <row r="2047" spans="1:1" x14ac:dyDescent="0.25">
      <c r="A2047" s="13"/>
    </row>
    <row r="2048" spans="1:1" x14ac:dyDescent="0.25">
      <c r="A2048" s="13"/>
    </row>
    <row r="2049" spans="1:1" x14ac:dyDescent="0.25">
      <c r="A2049" s="13"/>
    </row>
    <row r="2050" spans="1:1" x14ac:dyDescent="0.25">
      <c r="A2050" s="13"/>
    </row>
    <row r="2051" spans="1:1" x14ac:dyDescent="0.25">
      <c r="A2051" s="13"/>
    </row>
    <row r="2052" spans="1:1" x14ac:dyDescent="0.25">
      <c r="A2052" s="13"/>
    </row>
    <row r="2053" spans="1:1" x14ac:dyDescent="0.25">
      <c r="A2053" s="13"/>
    </row>
    <row r="2054" spans="1:1" x14ac:dyDescent="0.25">
      <c r="A2054" s="13"/>
    </row>
    <row r="2055" spans="1:1" x14ac:dyDescent="0.25">
      <c r="A2055" s="13"/>
    </row>
    <row r="2056" spans="1:1" x14ac:dyDescent="0.25">
      <c r="A2056" s="13"/>
    </row>
    <row r="2057" spans="1:1" x14ac:dyDescent="0.25">
      <c r="A2057" s="13"/>
    </row>
    <row r="2058" spans="1:1" x14ac:dyDescent="0.25">
      <c r="A2058" s="13"/>
    </row>
    <row r="2059" spans="1:1" x14ac:dyDescent="0.25">
      <c r="A2059" s="13"/>
    </row>
    <row r="2060" spans="1:1" x14ac:dyDescent="0.25">
      <c r="A2060" s="13"/>
    </row>
    <row r="2061" spans="1:1" x14ac:dyDescent="0.25">
      <c r="A2061" s="13"/>
    </row>
    <row r="2062" spans="1:1" x14ac:dyDescent="0.25">
      <c r="A2062" s="13"/>
    </row>
    <row r="2063" spans="1:1" x14ac:dyDescent="0.25">
      <c r="A2063" s="13"/>
    </row>
    <row r="2064" spans="1:1" x14ac:dyDescent="0.25">
      <c r="A2064" s="13"/>
    </row>
    <row r="2065" spans="1:1" x14ac:dyDescent="0.25">
      <c r="A2065" s="13"/>
    </row>
    <row r="2066" spans="1:1" x14ac:dyDescent="0.25">
      <c r="A2066" s="13"/>
    </row>
    <row r="2067" spans="1:1" x14ac:dyDescent="0.25">
      <c r="A2067" s="13"/>
    </row>
    <row r="2068" spans="1:1" x14ac:dyDescent="0.25">
      <c r="A2068" s="13"/>
    </row>
    <row r="2069" spans="1:1" x14ac:dyDescent="0.25">
      <c r="A2069" s="13"/>
    </row>
    <row r="2070" spans="1:1" x14ac:dyDescent="0.25">
      <c r="A2070" s="13"/>
    </row>
    <row r="2071" spans="1:1" x14ac:dyDescent="0.25">
      <c r="A2071" s="13"/>
    </row>
    <row r="2072" spans="1:1" x14ac:dyDescent="0.25">
      <c r="A2072" s="13"/>
    </row>
    <row r="2073" spans="1:1" x14ac:dyDescent="0.25">
      <c r="A2073" s="13"/>
    </row>
    <row r="2074" spans="1:1" x14ac:dyDescent="0.25">
      <c r="A2074" s="13"/>
    </row>
    <row r="2075" spans="1:1" x14ac:dyDescent="0.25">
      <c r="A2075" s="13"/>
    </row>
    <row r="2076" spans="1:1" x14ac:dyDescent="0.25">
      <c r="A2076" s="13"/>
    </row>
    <row r="2077" spans="1:1" x14ac:dyDescent="0.25">
      <c r="A2077" s="13"/>
    </row>
    <row r="2078" spans="1:1" x14ac:dyDescent="0.25">
      <c r="A2078" s="13"/>
    </row>
    <row r="2079" spans="1:1" x14ac:dyDescent="0.25">
      <c r="A2079" s="13"/>
    </row>
    <row r="2080" spans="1:1" x14ac:dyDescent="0.25">
      <c r="A2080" s="13"/>
    </row>
    <row r="2081" spans="1:1" x14ac:dyDescent="0.25">
      <c r="A2081" s="13"/>
    </row>
    <row r="2082" spans="1:1" x14ac:dyDescent="0.25">
      <c r="A2082" s="13"/>
    </row>
    <row r="2083" spans="1:1" x14ac:dyDescent="0.25">
      <c r="A2083" s="13"/>
    </row>
    <row r="2084" spans="1:1" x14ac:dyDescent="0.25">
      <c r="A2084" s="13"/>
    </row>
    <row r="2085" spans="1:1" x14ac:dyDescent="0.25">
      <c r="A2085" s="13"/>
    </row>
    <row r="2086" spans="1:1" x14ac:dyDescent="0.25">
      <c r="A2086" s="13"/>
    </row>
    <row r="2087" spans="1:1" x14ac:dyDescent="0.25">
      <c r="A2087" s="13"/>
    </row>
    <row r="2088" spans="1:1" x14ac:dyDescent="0.25">
      <c r="A2088" s="13"/>
    </row>
    <row r="2089" spans="1:1" x14ac:dyDescent="0.25">
      <c r="A2089" s="13"/>
    </row>
    <row r="2090" spans="1:1" x14ac:dyDescent="0.25">
      <c r="A2090" s="13"/>
    </row>
    <row r="2091" spans="1:1" x14ac:dyDescent="0.25">
      <c r="A2091" s="13"/>
    </row>
    <row r="2092" spans="1:1" x14ac:dyDescent="0.25">
      <c r="A2092" s="13"/>
    </row>
    <row r="2093" spans="1:1" x14ac:dyDescent="0.25">
      <c r="A2093" s="13"/>
    </row>
    <row r="2094" spans="1:1" x14ac:dyDescent="0.25">
      <c r="A2094" s="13"/>
    </row>
    <row r="2095" spans="1:1" x14ac:dyDescent="0.25">
      <c r="A2095" s="13"/>
    </row>
    <row r="2096" spans="1:1" x14ac:dyDescent="0.25">
      <c r="A2096" s="13"/>
    </row>
    <row r="2097" spans="1:1" x14ac:dyDescent="0.25">
      <c r="A2097" s="13"/>
    </row>
    <row r="2098" spans="1:1" x14ac:dyDescent="0.25">
      <c r="A2098" s="13"/>
    </row>
    <row r="2099" spans="1:1" x14ac:dyDescent="0.25">
      <c r="A2099" s="13"/>
    </row>
    <row r="2100" spans="1:1" x14ac:dyDescent="0.25">
      <c r="A2100" s="13"/>
    </row>
    <row r="2101" spans="1:1" x14ac:dyDescent="0.25">
      <c r="A2101" s="13"/>
    </row>
    <row r="2102" spans="1:1" x14ac:dyDescent="0.25">
      <c r="A2102" s="13"/>
    </row>
    <row r="2103" spans="1:1" x14ac:dyDescent="0.25">
      <c r="A2103" s="13"/>
    </row>
    <row r="2104" spans="1:1" x14ac:dyDescent="0.25">
      <c r="A2104" s="13"/>
    </row>
    <row r="2105" spans="1:1" x14ac:dyDescent="0.25">
      <c r="A2105" s="13"/>
    </row>
    <row r="2106" spans="1:1" x14ac:dyDescent="0.25">
      <c r="A2106" s="13"/>
    </row>
    <row r="2107" spans="1:1" x14ac:dyDescent="0.25">
      <c r="A2107" s="13"/>
    </row>
    <row r="2108" spans="1:1" x14ac:dyDescent="0.25">
      <c r="A2108" s="13"/>
    </row>
    <row r="2109" spans="1:1" x14ac:dyDescent="0.25">
      <c r="A2109" s="13"/>
    </row>
    <row r="2110" spans="1:1" x14ac:dyDescent="0.25">
      <c r="A2110" s="13"/>
    </row>
    <row r="2111" spans="1:1" x14ac:dyDescent="0.25">
      <c r="A2111" s="13"/>
    </row>
    <row r="2112" spans="1:1" x14ac:dyDescent="0.25">
      <c r="A2112" s="13"/>
    </row>
    <row r="2113" spans="1:1" x14ac:dyDescent="0.25">
      <c r="A2113" s="13"/>
    </row>
    <row r="2114" spans="1:1" x14ac:dyDescent="0.25">
      <c r="A2114" s="13"/>
    </row>
    <row r="2115" spans="1:1" x14ac:dyDescent="0.25">
      <c r="A2115" s="13"/>
    </row>
    <row r="2116" spans="1:1" x14ac:dyDescent="0.25">
      <c r="A2116" s="13"/>
    </row>
    <row r="2117" spans="1:1" x14ac:dyDescent="0.25">
      <c r="A2117" s="13"/>
    </row>
    <row r="2118" spans="1:1" x14ac:dyDescent="0.25">
      <c r="A2118" s="13"/>
    </row>
    <row r="2119" spans="1:1" x14ac:dyDescent="0.25">
      <c r="A2119" s="13"/>
    </row>
    <row r="2120" spans="1:1" x14ac:dyDescent="0.25">
      <c r="A2120" s="13"/>
    </row>
    <row r="2121" spans="1:1" x14ac:dyDescent="0.25">
      <c r="A2121" s="13"/>
    </row>
    <row r="2122" spans="1:1" x14ac:dyDescent="0.25">
      <c r="A2122" s="13"/>
    </row>
    <row r="2123" spans="1:1" x14ac:dyDescent="0.25">
      <c r="A2123" s="13"/>
    </row>
    <row r="2124" spans="1:1" x14ac:dyDescent="0.25">
      <c r="A2124" s="13"/>
    </row>
    <row r="2125" spans="1:1" x14ac:dyDescent="0.25">
      <c r="A2125" s="13"/>
    </row>
    <row r="2126" spans="1:1" x14ac:dyDescent="0.25">
      <c r="A2126" s="13"/>
    </row>
    <row r="2127" spans="1:1" x14ac:dyDescent="0.25">
      <c r="A2127" s="13"/>
    </row>
    <row r="2128" spans="1:1" x14ac:dyDescent="0.25">
      <c r="A2128" s="13"/>
    </row>
    <row r="2129" spans="1:1" x14ac:dyDescent="0.25">
      <c r="A2129" s="13"/>
    </row>
    <row r="2130" spans="1:1" x14ac:dyDescent="0.25">
      <c r="A2130" s="13"/>
    </row>
    <row r="2131" spans="1:1" x14ac:dyDescent="0.25">
      <c r="A2131" s="13"/>
    </row>
    <row r="2132" spans="1:1" x14ac:dyDescent="0.25">
      <c r="A2132" s="13"/>
    </row>
    <row r="2133" spans="1:1" x14ac:dyDescent="0.25">
      <c r="A2133" s="13"/>
    </row>
    <row r="2134" spans="1:1" x14ac:dyDescent="0.25">
      <c r="A2134" s="13"/>
    </row>
    <row r="2135" spans="1:1" x14ac:dyDescent="0.25">
      <c r="A2135" s="13"/>
    </row>
    <row r="2136" spans="1:1" x14ac:dyDescent="0.25">
      <c r="A2136" s="13"/>
    </row>
    <row r="2137" spans="1:1" x14ac:dyDescent="0.25">
      <c r="A2137" s="13"/>
    </row>
    <row r="2138" spans="1:1" x14ac:dyDescent="0.25">
      <c r="A2138" s="13"/>
    </row>
    <row r="2139" spans="1:1" x14ac:dyDescent="0.25">
      <c r="A2139" s="13"/>
    </row>
    <row r="2140" spans="1:1" x14ac:dyDescent="0.25">
      <c r="A2140" s="13"/>
    </row>
    <row r="2141" spans="1:1" x14ac:dyDescent="0.25">
      <c r="A2141" s="13"/>
    </row>
    <row r="2142" spans="1:1" x14ac:dyDescent="0.25">
      <c r="A2142" s="13"/>
    </row>
    <row r="2143" spans="1:1" x14ac:dyDescent="0.25">
      <c r="A2143" s="13"/>
    </row>
    <row r="2144" spans="1:1" x14ac:dyDescent="0.25">
      <c r="A2144" s="13"/>
    </row>
    <row r="2145" spans="1:1" x14ac:dyDescent="0.25">
      <c r="A2145" s="13"/>
    </row>
    <row r="2146" spans="1:1" x14ac:dyDescent="0.25">
      <c r="A2146" s="13"/>
    </row>
    <row r="2147" spans="1:1" x14ac:dyDescent="0.25">
      <c r="A2147" s="13"/>
    </row>
    <row r="2148" spans="1:1" x14ac:dyDescent="0.25">
      <c r="A2148" s="13"/>
    </row>
    <row r="2149" spans="1:1" x14ac:dyDescent="0.25">
      <c r="A2149" s="13"/>
    </row>
    <row r="2150" spans="1:1" x14ac:dyDescent="0.25">
      <c r="A2150" s="13"/>
    </row>
    <row r="2151" spans="1:1" x14ac:dyDescent="0.25">
      <c r="A2151" s="13"/>
    </row>
    <row r="2152" spans="1:1" x14ac:dyDescent="0.25">
      <c r="A2152" s="13"/>
    </row>
    <row r="2153" spans="1:1" x14ac:dyDescent="0.25">
      <c r="A2153" s="13"/>
    </row>
    <row r="2154" spans="1:1" x14ac:dyDescent="0.25">
      <c r="A2154" s="13"/>
    </row>
    <row r="2155" spans="1:1" x14ac:dyDescent="0.25">
      <c r="A2155" s="13"/>
    </row>
    <row r="2156" spans="1:1" x14ac:dyDescent="0.25">
      <c r="A2156" s="13"/>
    </row>
    <row r="2157" spans="1:1" x14ac:dyDescent="0.25">
      <c r="A2157" s="13"/>
    </row>
    <row r="2158" spans="1:1" x14ac:dyDescent="0.25">
      <c r="A2158" s="13"/>
    </row>
    <row r="2159" spans="1:1" x14ac:dyDescent="0.25">
      <c r="A2159" s="13"/>
    </row>
    <row r="2160" spans="1:1" x14ac:dyDescent="0.25">
      <c r="A2160" s="13"/>
    </row>
    <row r="2161" spans="1:1" x14ac:dyDescent="0.25">
      <c r="A2161" s="13"/>
    </row>
    <row r="2162" spans="1:1" x14ac:dyDescent="0.25">
      <c r="A2162" s="13"/>
    </row>
    <row r="2163" spans="1:1" x14ac:dyDescent="0.25">
      <c r="A2163" s="13"/>
    </row>
    <row r="2164" spans="1:1" x14ac:dyDescent="0.25">
      <c r="A2164" s="13"/>
    </row>
    <row r="2165" spans="1:1" x14ac:dyDescent="0.25">
      <c r="A2165" s="13"/>
    </row>
    <row r="2166" spans="1:1" x14ac:dyDescent="0.25">
      <c r="A2166" s="13"/>
    </row>
    <row r="2167" spans="1:1" x14ac:dyDescent="0.25">
      <c r="A2167" s="13"/>
    </row>
    <row r="2168" spans="1:1" x14ac:dyDescent="0.25">
      <c r="A2168" s="13"/>
    </row>
    <row r="2169" spans="1:1" x14ac:dyDescent="0.25">
      <c r="A2169" s="13"/>
    </row>
    <row r="2170" spans="1:1" x14ac:dyDescent="0.25">
      <c r="A2170" s="13"/>
    </row>
    <row r="2171" spans="1:1" x14ac:dyDescent="0.25">
      <c r="A2171" s="13"/>
    </row>
    <row r="2172" spans="1:1" x14ac:dyDescent="0.25">
      <c r="A2172" s="13"/>
    </row>
    <row r="2173" spans="1:1" x14ac:dyDescent="0.25">
      <c r="A2173" s="13"/>
    </row>
    <row r="2174" spans="1:1" x14ac:dyDescent="0.25">
      <c r="A2174" s="13"/>
    </row>
    <row r="2175" spans="1:1" x14ac:dyDescent="0.25">
      <c r="A2175" s="13"/>
    </row>
    <row r="2176" spans="1:1" x14ac:dyDescent="0.25">
      <c r="A2176" s="13"/>
    </row>
    <row r="2177" spans="1:1" x14ac:dyDescent="0.25">
      <c r="A2177" s="13"/>
    </row>
    <row r="2178" spans="1:1" x14ac:dyDescent="0.25">
      <c r="A2178" s="13"/>
    </row>
    <row r="2179" spans="1:1" x14ac:dyDescent="0.25">
      <c r="A2179" s="13"/>
    </row>
    <row r="2180" spans="1:1" x14ac:dyDescent="0.25">
      <c r="A2180" s="13"/>
    </row>
    <row r="2181" spans="1:1" x14ac:dyDescent="0.25">
      <c r="A2181" s="13"/>
    </row>
    <row r="2182" spans="1:1" x14ac:dyDescent="0.25">
      <c r="A2182" s="13"/>
    </row>
    <row r="2183" spans="1:1" x14ac:dyDescent="0.25">
      <c r="A2183" s="13"/>
    </row>
    <row r="2184" spans="1:1" x14ac:dyDescent="0.25">
      <c r="A2184" s="13"/>
    </row>
    <row r="2185" spans="1:1" x14ac:dyDescent="0.25">
      <c r="A2185" s="13"/>
    </row>
    <row r="2186" spans="1:1" x14ac:dyDescent="0.25">
      <c r="A2186" s="13"/>
    </row>
    <row r="2187" spans="1:1" x14ac:dyDescent="0.25">
      <c r="A2187" s="13"/>
    </row>
    <row r="2188" spans="1:1" x14ac:dyDescent="0.25">
      <c r="A2188" s="13"/>
    </row>
    <row r="2189" spans="1:1" x14ac:dyDescent="0.25">
      <c r="A2189" s="13"/>
    </row>
    <row r="2190" spans="1:1" x14ac:dyDescent="0.25">
      <c r="A2190" s="13"/>
    </row>
    <row r="2191" spans="1:1" x14ac:dyDescent="0.25">
      <c r="A2191" s="13"/>
    </row>
    <row r="2192" spans="1:1" x14ac:dyDescent="0.25">
      <c r="A2192" s="13"/>
    </row>
    <row r="2193" spans="1:1" x14ac:dyDescent="0.25">
      <c r="A2193" s="13"/>
    </row>
    <row r="2194" spans="1:1" x14ac:dyDescent="0.25">
      <c r="A2194" s="13"/>
    </row>
    <row r="2195" spans="1:1" x14ac:dyDescent="0.25">
      <c r="A2195" s="13"/>
    </row>
    <row r="2196" spans="1:1" x14ac:dyDescent="0.25">
      <c r="A2196" s="13"/>
    </row>
    <row r="2197" spans="1:1" x14ac:dyDescent="0.25">
      <c r="A2197" s="13"/>
    </row>
    <row r="2198" spans="1:1" x14ac:dyDescent="0.25">
      <c r="A2198" s="13"/>
    </row>
    <row r="2199" spans="1:1" x14ac:dyDescent="0.25">
      <c r="A2199" s="13"/>
    </row>
    <row r="2200" spans="1:1" x14ac:dyDescent="0.25">
      <c r="A2200" s="13"/>
    </row>
    <row r="2201" spans="1:1" x14ac:dyDescent="0.25">
      <c r="A2201" s="13"/>
    </row>
    <row r="2202" spans="1:1" x14ac:dyDescent="0.25">
      <c r="A2202" s="13"/>
    </row>
    <row r="2203" spans="1:1" x14ac:dyDescent="0.25">
      <c r="A2203" s="13"/>
    </row>
    <row r="2204" spans="1:1" x14ac:dyDescent="0.25">
      <c r="A2204" s="13"/>
    </row>
    <row r="2205" spans="1:1" x14ac:dyDescent="0.25">
      <c r="A2205" s="13"/>
    </row>
    <row r="2206" spans="1:1" x14ac:dyDescent="0.25">
      <c r="A2206" s="13"/>
    </row>
    <row r="2207" spans="1:1" x14ac:dyDescent="0.25">
      <c r="A2207" s="13"/>
    </row>
    <row r="2208" spans="1:1" x14ac:dyDescent="0.25">
      <c r="A2208" s="13"/>
    </row>
    <row r="2209" spans="1:1" x14ac:dyDescent="0.25">
      <c r="A2209" s="13"/>
    </row>
    <row r="2210" spans="1:1" x14ac:dyDescent="0.25">
      <c r="A2210" s="13"/>
    </row>
    <row r="2211" spans="1:1" x14ac:dyDescent="0.25">
      <c r="A2211" s="13"/>
    </row>
    <row r="2212" spans="1:1" x14ac:dyDescent="0.25">
      <c r="A2212" s="13"/>
    </row>
    <row r="2213" spans="1:1" x14ac:dyDescent="0.25">
      <c r="A2213" s="13"/>
    </row>
    <row r="2214" spans="1:1" x14ac:dyDescent="0.25">
      <c r="A2214" s="13"/>
    </row>
    <row r="2215" spans="1:1" x14ac:dyDescent="0.25">
      <c r="A2215" s="13"/>
    </row>
    <row r="2216" spans="1:1" x14ac:dyDescent="0.25">
      <c r="A2216" s="13"/>
    </row>
    <row r="2217" spans="1:1" x14ac:dyDescent="0.25">
      <c r="A2217" s="13"/>
    </row>
    <row r="2218" spans="1:1" x14ac:dyDescent="0.25">
      <c r="A2218" s="13"/>
    </row>
    <row r="2219" spans="1:1" x14ac:dyDescent="0.25">
      <c r="A2219" s="13"/>
    </row>
    <row r="2220" spans="1:1" x14ac:dyDescent="0.25">
      <c r="A2220" s="13"/>
    </row>
    <row r="2221" spans="1:1" x14ac:dyDescent="0.25">
      <c r="A2221" s="13"/>
    </row>
    <row r="2222" spans="1:1" x14ac:dyDescent="0.25">
      <c r="A2222" s="13"/>
    </row>
    <row r="2223" spans="1:1" x14ac:dyDescent="0.25">
      <c r="A2223" s="13"/>
    </row>
    <row r="2224" spans="1:1" x14ac:dyDescent="0.25">
      <c r="A2224" s="13"/>
    </row>
    <row r="2225" spans="1:1" x14ac:dyDescent="0.25">
      <c r="A2225" s="13"/>
    </row>
    <row r="2226" spans="1:1" x14ac:dyDescent="0.25">
      <c r="A2226" s="13"/>
    </row>
    <row r="2227" spans="1:1" x14ac:dyDescent="0.25">
      <c r="A2227" s="13"/>
    </row>
    <row r="2228" spans="1:1" x14ac:dyDescent="0.25">
      <c r="A2228" s="13"/>
    </row>
    <row r="2229" spans="1:1" x14ac:dyDescent="0.25">
      <c r="A2229" s="13"/>
    </row>
    <row r="2230" spans="1:1" x14ac:dyDescent="0.25">
      <c r="A2230" s="13"/>
    </row>
    <row r="2231" spans="1:1" x14ac:dyDescent="0.25">
      <c r="A2231" s="13"/>
    </row>
    <row r="2232" spans="1:1" x14ac:dyDescent="0.25">
      <c r="A2232" s="13"/>
    </row>
    <row r="2233" spans="1:1" x14ac:dyDescent="0.25">
      <c r="A2233" s="13"/>
    </row>
    <row r="2234" spans="1:1" x14ac:dyDescent="0.25">
      <c r="A2234" s="13"/>
    </row>
    <row r="2235" spans="1:1" x14ac:dyDescent="0.25">
      <c r="A2235" s="13"/>
    </row>
    <row r="2236" spans="1:1" x14ac:dyDescent="0.25">
      <c r="A2236" s="13"/>
    </row>
    <row r="2237" spans="1:1" x14ac:dyDescent="0.25">
      <c r="A2237" s="13"/>
    </row>
    <row r="2238" spans="1:1" x14ac:dyDescent="0.25">
      <c r="A2238" s="13"/>
    </row>
    <row r="2239" spans="1:1" x14ac:dyDescent="0.25">
      <c r="A2239" s="13"/>
    </row>
    <row r="2240" spans="1:1" x14ac:dyDescent="0.25">
      <c r="A2240" s="13"/>
    </row>
    <row r="2241" spans="1:1" x14ac:dyDescent="0.25">
      <c r="A2241" s="13"/>
    </row>
    <row r="2242" spans="1:1" x14ac:dyDescent="0.25">
      <c r="A2242" s="13"/>
    </row>
    <row r="2243" spans="1:1" x14ac:dyDescent="0.25">
      <c r="A2243" s="13"/>
    </row>
    <row r="2244" spans="1:1" x14ac:dyDescent="0.25">
      <c r="A2244" s="13"/>
    </row>
    <row r="2245" spans="1:1" x14ac:dyDescent="0.25">
      <c r="A2245" s="13"/>
    </row>
    <row r="2246" spans="1:1" x14ac:dyDescent="0.25">
      <c r="A2246" s="13"/>
    </row>
    <row r="2247" spans="1:1" x14ac:dyDescent="0.25">
      <c r="A2247" s="13"/>
    </row>
    <row r="2248" spans="1:1" x14ac:dyDescent="0.25">
      <c r="A2248" s="13"/>
    </row>
    <row r="2249" spans="1:1" x14ac:dyDescent="0.25">
      <c r="A2249" s="13"/>
    </row>
    <row r="2250" spans="1:1" x14ac:dyDescent="0.25">
      <c r="A2250" s="13"/>
    </row>
    <row r="2251" spans="1:1" x14ac:dyDescent="0.25">
      <c r="A2251" s="13"/>
    </row>
    <row r="2252" spans="1:1" x14ac:dyDescent="0.25">
      <c r="A2252" s="13"/>
    </row>
    <row r="2253" spans="1:1" x14ac:dyDescent="0.25">
      <c r="A2253" s="13"/>
    </row>
    <row r="2254" spans="1:1" x14ac:dyDescent="0.25">
      <c r="A2254" s="13"/>
    </row>
    <row r="2255" spans="1:1" x14ac:dyDescent="0.25">
      <c r="A2255" s="13"/>
    </row>
    <row r="2256" spans="1:1" x14ac:dyDescent="0.25">
      <c r="A2256" s="13"/>
    </row>
    <row r="2257" spans="1:1" x14ac:dyDescent="0.25">
      <c r="A2257" s="13"/>
    </row>
    <row r="2258" spans="1:1" x14ac:dyDescent="0.25">
      <c r="A2258" s="13"/>
    </row>
    <row r="2259" spans="1:1" x14ac:dyDescent="0.25">
      <c r="A2259" s="13"/>
    </row>
    <row r="2260" spans="1:1" x14ac:dyDescent="0.25">
      <c r="A2260" s="13"/>
    </row>
    <row r="2261" spans="1:1" x14ac:dyDescent="0.25">
      <c r="A2261" s="13"/>
    </row>
    <row r="2262" spans="1:1" x14ac:dyDescent="0.25">
      <c r="A2262" s="13"/>
    </row>
    <row r="2263" spans="1:1" x14ac:dyDescent="0.25">
      <c r="A2263" s="13"/>
    </row>
    <row r="2264" spans="1:1" x14ac:dyDescent="0.25">
      <c r="A2264" s="13"/>
    </row>
    <row r="2265" spans="1:1" x14ac:dyDescent="0.25">
      <c r="A2265" s="13"/>
    </row>
    <row r="2266" spans="1:1" x14ac:dyDescent="0.25">
      <c r="A2266" s="13"/>
    </row>
    <row r="2267" spans="1:1" x14ac:dyDescent="0.25">
      <c r="A2267" s="13"/>
    </row>
    <row r="2268" spans="1:1" x14ac:dyDescent="0.25">
      <c r="A2268" s="13"/>
    </row>
    <row r="2269" spans="1:1" x14ac:dyDescent="0.25">
      <c r="A2269" s="13"/>
    </row>
    <row r="2270" spans="1:1" x14ac:dyDescent="0.25">
      <c r="A2270" s="13"/>
    </row>
    <row r="2271" spans="1:1" x14ac:dyDescent="0.25">
      <c r="A2271" s="13"/>
    </row>
    <row r="2272" spans="1:1" x14ac:dyDescent="0.25">
      <c r="A2272" s="13"/>
    </row>
    <row r="2273" spans="1:1" x14ac:dyDescent="0.25">
      <c r="A2273" s="13"/>
    </row>
    <row r="2274" spans="1:1" x14ac:dyDescent="0.25">
      <c r="A2274" s="13"/>
    </row>
    <row r="2275" spans="1:1" x14ac:dyDescent="0.25">
      <c r="A2275" s="13"/>
    </row>
    <row r="2276" spans="1:1" x14ac:dyDescent="0.25">
      <c r="A2276" s="13"/>
    </row>
    <row r="2277" spans="1:1" x14ac:dyDescent="0.25">
      <c r="A2277" s="13"/>
    </row>
    <row r="2278" spans="1:1" x14ac:dyDescent="0.25">
      <c r="A2278" s="13"/>
    </row>
    <row r="2279" spans="1:1" x14ac:dyDescent="0.25">
      <c r="A2279" s="13"/>
    </row>
    <row r="2280" spans="1:1" x14ac:dyDescent="0.25">
      <c r="A2280" s="13"/>
    </row>
    <row r="2281" spans="1:1" x14ac:dyDescent="0.25">
      <c r="A2281" s="13"/>
    </row>
    <row r="2282" spans="1:1" x14ac:dyDescent="0.25">
      <c r="A2282" s="13"/>
    </row>
    <row r="2283" spans="1:1" x14ac:dyDescent="0.25">
      <c r="A2283" s="13"/>
    </row>
    <row r="2284" spans="1:1" x14ac:dyDescent="0.25">
      <c r="A2284" s="13"/>
    </row>
    <row r="2285" spans="1:1" x14ac:dyDescent="0.25">
      <c r="A2285" s="13"/>
    </row>
    <row r="2286" spans="1:1" x14ac:dyDescent="0.25">
      <c r="A2286" s="13"/>
    </row>
    <row r="2287" spans="1:1" x14ac:dyDescent="0.25">
      <c r="A2287" s="13"/>
    </row>
    <row r="2288" spans="1:1" x14ac:dyDescent="0.25">
      <c r="A2288" s="13"/>
    </row>
    <row r="2289" spans="1:1" x14ac:dyDescent="0.25">
      <c r="A2289" s="13"/>
    </row>
    <row r="2290" spans="1:1" x14ac:dyDescent="0.25">
      <c r="A2290" s="13"/>
    </row>
    <row r="2291" spans="1:1" x14ac:dyDescent="0.25">
      <c r="A2291" s="13"/>
    </row>
    <row r="2292" spans="1:1" x14ac:dyDescent="0.25">
      <c r="A2292" s="13"/>
    </row>
    <row r="2293" spans="1:1" x14ac:dyDescent="0.25">
      <c r="A2293" s="13"/>
    </row>
    <row r="2294" spans="1:1" x14ac:dyDescent="0.25">
      <c r="A2294" s="13"/>
    </row>
    <row r="2295" spans="1:1" x14ac:dyDescent="0.25">
      <c r="A2295" s="13"/>
    </row>
    <row r="2296" spans="1:1" x14ac:dyDescent="0.25">
      <c r="A2296" s="13"/>
    </row>
    <row r="2297" spans="1:1" x14ac:dyDescent="0.25">
      <c r="A2297" s="13"/>
    </row>
    <row r="2298" spans="1:1" x14ac:dyDescent="0.25">
      <c r="A2298" s="13"/>
    </row>
    <row r="2299" spans="1:1" x14ac:dyDescent="0.25">
      <c r="A2299" s="13"/>
    </row>
    <row r="2300" spans="1:1" x14ac:dyDescent="0.25">
      <c r="A2300" s="13"/>
    </row>
    <row r="2301" spans="1:1" x14ac:dyDescent="0.25">
      <c r="A2301" s="13"/>
    </row>
    <row r="2302" spans="1:1" x14ac:dyDescent="0.25">
      <c r="A2302" s="13"/>
    </row>
    <row r="2303" spans="1:1" x14ac:dyDescent="0.25">
      <c r="A2303" s="13"/>
    </row>
    <row r="2304" spans="1:1" x14ac:dyDescent="0.25">
      <c r="A2304" s="13"/>
    </row>
    <row r="2305" spans="1:1" x14ac:dyDescent="0.25">
      <c r="A2305" s="13"/>
    </row>
    <row r="2306" spans="1:1" x14ac:dyDescent="0.25">
      <c r="A2306" s="13"/>
    </row>
    <row r="2307" spans="1:1" x14ac:dyDescent="0.25">
      <c r="A2307" s="13"/>
    </row>
    <row r="2308" spans="1:1" x14ac:dyDescent="0.25">
      <c r="A2308" s="13"/>
    </row>
    <row r="2309" spans="1:1" x14ac:dyDescent="0.25">
      <c r="A2309" s="13"/>
    </row>
    <row r="2310" spans="1:1" x14ac:dyDescent="0.25">
      <c r="A2310" s="13"/>
    </row>
    <row r="2311" spans="1:1" x14ac:dyDescent="0.25">
      <c r="A2311" s="13"/>
    </row>
    <row r="2312" spans="1:1" x14ac:dyDescent="0.25">
      <c r="A2312" s="13"/>
    </row>
    <row r="2313" spans="1:1" x14ac:dyDescent="0.25">
      <c r="A2313" s="13"/>
    </row>
    <row r="2314" spans="1:1" x14ac:dyDescent="0.25">
      <c r="A2314" s="13"/>
    </row>
    <row r="2315" spans="1:1" x14ac:dyDescent="0.25">
      <c r="A2315" s="13"/>
    </row>
    <row r="2316" spans="1:1" x14ac:dyDescent="0.25">
      <c r="A2316" s="13"/>
    </row>
    <row r="2317" spans="1:1" x14ac:dyDescent="0.25">
      <c r="A2317" s="13"/>
    </row>
    <row r="2318" spans="1:1" x14ac:dyDescent="0.25">
      <c r="A2318" s="13"/>
    </row>
    <row r="2319" spans="1:1" x14ac:dyDescent="0.25">
      <c r="A2319" s="13"/>
    </row>
    <row r="2320" spans="1:1" x14ac:dyDescent="0.25">
      <c r="A2320" s="13"/>
    </row>
    <row r="2321" spans="1:1" x14ac:dyDescent="0.25">
      <c r="A2321" s="13"/>
    </row>
    <row r="2322" spans="1:1" x14ac:dyDescent="0.25">
      <c r="A2322" s="13"/>
    </row>
    <row r="2323" spans="1:1" x14ac:dyDescent="0.25">
      <c r="A2323" s="13"/>
    </row>
    <row r="2324" spans="1:1" x14ac:dyDescent="0.25">
      <c r="A2324" s="13"/>
    </row>
    <row r="2325" spans="1:1" x14ac:dyDescent="0.25">
      <c r="A2325" s="13"/>
    </row>
    <row r="2326" spans="1:1" x14ac:dyDescent="0.25">
      <c r="A2326" s="13"/>
    </row>
    <row r="2327" spans="1:1" x14ac:dyDescent="0.25">
      <c r="A2327" s="13"/>
    </row>
    <row r="2328" spans="1:1" x14ac:dyDescent="0.25">
      <c r="A2328" s="13"/>
    </row>
    <row r="2329" spans="1:1" x14ac:dyDescent="0.25">
      <c r="A2329" s="13"/>
    </row>
    <row r="2330" spans="1:1" x14ac:dyDescent="0.25">
      <c r="A2330" s="13"/>
    </row>
    <row r="2331" spans="1:1" x14ac:dyDescent="0.25">
      <c r="A2331" s="13"/>
    </row>
    <row r="2332" spans="1:1" x14ac:dyDescent="0.25">
      <c r="A2332" s="13"/>
    </row>
    <row r="2333" spans="1:1" x14ac:dyDescent="0.25">
      <c r="A2333" s="13"/>
    </row>
    <row r="2334" spans="1:1" x14ac:dyDescent="0.25">
      <c r="A2334" s="13"/>
    </row>
    <row r="2335" spans="1:1" x14ac:dyDescent="0.25">
      <c r="A2335" s="13"/>
    </row>
    <row r="2336" spans="1:1" x14ac:dyDescent="0.25">
      <c r="A2336" s="13"/>
    </row>
    <row r="2337" spans="1:1" x14ac:dyDescent="0.25">
      <c r="A2337" s="13"/>
    </row>
    <row r="2338" spans="1:1" x14ac:dyDescent="0.25">
      <c r="A2338" s="13"/>
    </row>
    <row r="2339" spans="1:1" x14ac:dyDescent="0.25">
      <c r="A2339" s="13"/>
    </row>
    <row r="2340" spans="1:1" x14ac:dyDescent="0.25">
      <c r="A2340" s="13"/>
    </row>
    <row r="2341" spans="1:1" x14ac:dyDescent="0.25">
      <c r="A2341" s="13"/>
    </row>
    <row r="2342" spans="1:1" x14ac:dyDescent="0.25">
      <c r="A2342" s="13"/>
    </row>
    <row r="2343" spans="1:1" x14ac:dyDescent="0.25">
      <c r="A2343" s="13"/>
    </row>
    <row r="2344" spans="1:1" x14ac:dyDescent="0.25">
      <c r="A2344" s="13"/>
    </row>
    <row r="2345" spans="1:1" x14ac:dyDescent="0.25">
      <c r="A2345" s="13"/>
    </row>
    <row r="2346" spans="1:1" x14ac:dyDescent="0.25">
      <c r="A2346" s="13"/>
    </row>
    <row r="2347" spans="1:1" x14ac:dyDescent="0.25">
      <c r="A2347" s="13"/>
    </row>
    <row r="2348" spans="1:1" x14ac:dyDescent="0.25">
      <c r="A2348" s="13"/>
    </row>
    <row r="2349" spans="1:1" x14ac:dyDescent="0.25">
      <c r="A2349" s="13"/>
    </row>
    <row r="2350" spans="1:1" x14ac:dyDescent="0.25">
      <c r="A2350" s="13"/>
    </row>
    <row r="2351" spans="1:1" x14ac:dyDescent="0.25">
      <c r="A2351" s="13"/>
    </row>
    <row r="2352" spans="1:1" x14ac:dyDescent="0.25">
      <c r="A2352" s="13"/>
    </row>
    <row r="2353" spans="1:1" x14ac:dyDescent="0.25">
      <c r="A2353" s="13"/>
    </row>
    <row r="2354" spans="1:1" x14ac:dyDescent="0.25">
      <c r="A2354" s="13"/>
    </row>
    <row r="2355" spans="1:1" x14ac:dyDescent="0.25">
      <c r="A2355" s="13"/>
    </row>
    <row r="2356" spans="1:1" x14ac:dyDescent="0.25">
      <c r="A2356" s="13"/>
    </row>
    <row r="2357" spans="1:1" x14ac:dyDescent="0.25">
      <c r="A2357" s="13"/>
    </row>
    <row r="2358" spans="1:1" x14ac:dyDescent="0.25">
      <c r="A2358" s="13"/>
    </row>
    <row r="2359" spans="1:1" x14ac:dyDescent="0.25">
      <c r="A2359" s="13"/>
    </row>
    <row r="2360" spans="1:1" x14ac:dyDescent="0.25">
      <c r="A2360" s="13"/>
    </row>
    <row r="2361" spans="1:1" x14ac:dyDescent="0.25">
      <c r="A2361" s="13"/>
    </row>
    <row r="2362" spans="1:1" x14ac:dyDescent="0.25">
      <c r="A2362" s="13"/>
    </row>
    <row r="2363" spans="1:1" x14ac:dyDescent="0.25">
      <c r="A2363" s="13"/>
    </row>
    <row r="2364" spans="1:1" x14ac:dyDescent="0.25">
      <c r="A2364" s="13"/>
    </row>
    <row r="2365" spans="1:1" x14ac:dyDescent="0.25">
      <c r="A2365" s="13"/>
    </row>
    <row r="2366" spans="1:1" x14ac:dyDescent="0.25">
      <c r="A2366" s="13"/>
    </row>
    <row r="2367" spans="1:1" x14ac:dyDescent="0.25">
      <c r="A2367" s="13"/>
    </row>
    <row r="2368" spans="1:1" x14ac:dyDescent="0.25">
      <c r="A2368" s="13"/>
    </row>
    <row r="2369" spans="1:1" x14ac:dyDescent="0.25">
      <c r="A2369" s="13"/>
    </row>
    <row r="2370" spans="1:1" x14ac:dyDescent="0.25">
      <c r="A2370" s="13"/>
    </row>
    <row r="2371" spans="1:1" x14ac:dyDescent="0.25">
      <c r="A2371" s="13"/>
    </row>
    <row r="2372" spans="1:1" x14ac:dyDescent="0.25">
      <c r="A2372" s="13"/>
    </row>
    <row r="2373" spans="1:1" x14ac:dyDescent="0.25">
      <c r="A2373" s="13"/>
    </row>
    <row r="2374" spans="1:1" x14ac:dyDescent="0.25">
      <c r="A2374" s="13"/>
    </row>
    <row r="2375" spans="1:1" x14ac:dyDescent="0.25">
      <c r="A2375" s="13"/>
    </row>
    <row r="2376" spans="1:1" x14ac:dyDescent="0.25">
      <c r="A2376" s="13"/>
    </row>
    <row r="2377" spans="1:1" x14ac:dyDescent="0.25">
      <c r="A2377" s="13"/>
    </row>
    <row r="2378" spans="1:1" x14ac:dyDescent="0.25">
      <c r="A2378" s="13"/>
    </row>
    <row r="2379" spans="1:1" x14ac:dyDescent="0.25">
      <c r="A2379" s="13"/>
    </row>
    <row r="2380" spans="1:1" x14ac:dyDescent="0.25">
      <c r="A2380" s="13"/>
    </row>
    <row r="2381" spans="1:1" x14ac:dyDescent="0.25">
      <c r="A2381" s="13"/>
    </row>
    <row r="2382" spans="1:1" x14ac:dyDescent="0.25">
      <c r="A2382" s="13"/>
    </row>
    <row r="2383" spans="1:1" x14ac:dyDescent="0.25">
      <c r="A2383" s="13"/>
    </row>
    <row r="2384" spans="1:1" x14ac:dyDescent="0.25">
      <c r="A2384" s="13"/>
    </row>
    <row r="2385" spans="1:1" x14ac:dyDescent="0.25">
      <c r="A2385" s="13"/>
    </row>
    <row r="2386" spans="1:1" x14ac:dyDescent="0.25">
      <c r="A2386" s="13"/>
    </row>
    <row r="2387" spans="1:1" x14ac:dyDescent="0.25">
      <c r="A2387" s="13"/>
    </row>
    <row r="2388" spans="1:1" x14ac:dyDescent="0.25">
      <c r="A2388" s="13"/>
    </row>
    <row r="2389" spans="1:1" x14ac:dyDescent="0.25">
      <c r="A2389" s="13"/>
    </row>
    <row r="2390" spans="1:1" x14ac:dyDescent="0.25">
      <c r="A2390" s="13"/>
    </row>
    <row r="2391" spans="1:1" x14ac:dyDescent="0.25">
      <c r="A2391" s="13"/>
    </row>
    <row r="2392" spans="1:1" x14ac:dyDescent="0.25">
      <c r="A2392" s="13"/>
    </row>
    <row r="2393" spans="1:1" x14ac:dyDescent="0.25">
      <c r="A2393" s="13"/>
    </row>
    <row r="2394" spans="1:1" x14ac:dyDescent="0.25">
      <c r="A2394" s="13"/>
    </row>
    <row r="2395" spans="1:1" x14ac:dyDescent="0.25">
      <c r="A2395" s="13"/>
    </row>
    <row r="2396" spans="1:1" x14ac:dyDescent="0.25">
      <c r="A2396" s="13"/>
    </row>
    <row r="2397" spans="1:1" x14ac:dyDescent="0.25">
      <c r="A2397" s="13"/>
    </row>
    <row r="2398" spans="1:1" x14ac:dyDescent="0.25">
      <c r="A2398" s="13"/>
    </row>
    <row r="2399" spans="1:1" x14ac:dyDescent="0.25">
      <c r="A2399" s="13"/>
    </row>
    <row r="2400" spans="1:1" x14ac:dyDescent="0.25">
      <c r="A2400" s="13"/>
    </row>
    <row r="2401" spans="1:1" x14ac:dyDescent="0.25">
      <c r="A2401" s="13"/>
    </row>
    <row r="2402" spans="1:1" x14ac:dyDescent="0.25">
      <c r="A2402" s="13"/>
    </row>
    <row r="2403" spans="1:1" x14ac:dyDescent="0.25">
      <c r="A2403" s="13"/>
    </row>
    <row r="2404" spans="1:1" x14ac:dyDescent="0.25">
      <c r="A2404" s="13"/>
    </row>
    <row r="2405" spans="1:1" x14ac:dyDescent="0.25">
      <c r="A2405" s="13"/>
    </row>
    <row r="2406" spans="1:1" x14ac:dyDescent="0.25">
      <c r="A2406" s="13"/>
    </row>
    <row r="2407" spans="1:1" x14ac:dyDescent="0.25">
      <c r="A2407" s="13"/>
    </row>
    <row r="2408" spans="1:1" x14ac:dyDescent="0.25">
      <c r="A2408" s="13"/>
    </row>
    <row r="2409" spans="1:1" x14ac:dyDescent="0.25">
      <c r="A2409" s="13"/>
    </row>
    <row r="2410" spans="1:1" x14ac:dyDescent="0.25">
      <c r="A2410" s="13"/>
    </row>
    <row r="2411" spans="1:1" x14ac:dyDescent="0.25">
      <c r="A2411" s="13"/>
    </row>
    <row r="2412" spans="1:1" x14ac:dyDescent="0.25">
      <c r="A2412" s="13"/>
    </row>
    <row r="2413" spans="1:1" x14ac:dyDescent="0.25">
      <c r="A2413" s="13"/>
    </row>
    <row r="2414" spans="1:1" x14ac:dyDescent="0.25">
      <c r="A2414" s="13"/>
    </row>
    <row r="2415" spans="1:1" x14ac:dyDescent="0.25">
      <c r="A2415" s="13"/>
    </row>
    <row r="2416" spans="1:1" x14ac:dyDescent="0.25">
      <c r="A2416" s="13"/>
    </row>
    <row r="2417" spans="1:1" x14ac:dyDescent="0.25">
      <c r="A2417" s="13"/>
    </row>
    <row r="2418" spans="1:1" x14ac:dyDescent="0.25">
      <c r="A2418" s="13"/>
    </row>
    <row r="2419" spans="1:1" x14ac:dyDescent="0.25">
      <c r="A2419" s="13"/>
    </row>
    <row r="2420" spans="1:1" x14ac:dyDescent="0.25">
      <c r="A2420" s="13"/>
    </row>
    <row r="2421" spans="1:1" x14ac:dyDescent="0.25">
      <c r="A2421" s="13"/>
    </row>
    <row r="2422" spans="1:1" x14ac:dyDescent="0.25">
      <c r="A2422" s="13"/>
    </row>
    <row r="2423" spans="1:1" x14ac:dyDescent="0.25">
      <c r="A2423" s="13"/>
    </row>
    <row r="2424" spans="1:1" x14ac:dyDescent="0.25">
      <c r="A2424" s="13"/>
    </row>
    <row r="2425" spans="1:1" x14ac:dyDescent="0.25">
      <c r="A2425" s="13"/>
    </row>
    <row r="2426" spans="1:1" x14ac:dyDescent="0.25">
      <c r="A2426" s="13"/>
    </row>
    <row r="2427" spans="1:1" x14ac:dyDescent="0.25">
      <c r="A2427" s="13"/>
    </row>
    <row r="2428" spans="1:1" x14ac:dyDescent="0.25">
      <c r="A2428" s="13"/>
    </row>
    <row r="2429" spans="1:1" x14ac:dyDescent="0.25">
      <c r="A2429" s="13"/>
    </row>
    <row r="2430" spans="1:1" x14ac:dyDescent="0.25">
      <c r="A2430" s="13"/>
    </row>
    <row r="2431" spans="1:1" x14ac:dyDescent="0.25">
      <c r="A2431" s="13"/>
    </row>
    <row r="2432" spans="1:1" x14ac:dyDescent="0.25">
      <c r="A2432" s="13"/>
    </row>
    <row r="2433" spans="1:1" x14ac:dyDescent="0.25">
      <c r="A2433" s="13"/>
    </row>
    <row r="2434" spans="1:1" x14ac:dyDescent="0.25">
      <c r="A2434" s="13"/>
    </row>
    <row r="2435" spans="1:1" x14ac:dyDescent="0.25">
      <c r="A2435" s="13"/>
    </row>
    <row r="2436" spans="1:1" x14ac:dyDescent="0.25">
      <c r="A2436" s="13"/>
    </row>
    <row r="2437" spans="1:1" x14ac:dyDescent="0.25">
      <c r="A2437" s="13"/>
    </row>
    <row r="2438" spans="1:1" x14ac:dyDescent="0.25">
      <c r="A2438" s="13"/>
    </row>
    <row r="2439" spans="1:1" x14ac:dyDescent="0.25">
      <c r="A2439" s="13"/>
    </row>
    <row r="2440" spans="1:1" x14ac:dyDescent="0.25">
      <c r="A2440" s="13"/>
    </row>
    <row r="2441" spans="1:1" x14ac:dyDescent="0.25">
      <c r="A2441" s="13"/>
    </row>
    <row r="2442" spans="1:1" x14ac:dyDescent="0.25">
      <c r="A2442" s="13"/>
    </row>
    <row r="2443" spans="1:1" x14ac:dyDescent="0.25">
      <c r="A2443" s="13"/>
    </row>
    <row r="2444" spans="1:1" x14ac:dyDescent="0.25">
      <c r="A2444" s="13"/>
    </row>
    <row r="2445" spans="1:1" x14ac:dyDescent="0.25">
      <c r="A2445" s="13"/>
    </row>
    <row r="2446" spans="1:1" x14ac:dyDescent="0.25">
      <c r="A2446" s="13"/>
    </row>
    <row r="2447" spans="1:1" x14ac:dyDescent="0.25">
      <c r="A2447" s="13"/>
    </row>
    <row r="2448" spans="1:1" x14ac:dyDescent="0.25">
      <c r="A2448" s="13"/>
    </row>
    <row r="2449" spans="1:1" x14ac:dyDescent="0.25">
      <c r="A2449" s="13"/>
    </row>
    <row r="2450" spans="1:1" x14ac:dyDescent="0.25">
      <c r="A2450" s="13"/>
    </row>
    <row r="2451" spans="1:1" x14ac:dyDescent="0.25">
      <c r="A2451" s="13"/>
    </row>
    <row r="2452" spans="1:1" x14ac:dyDescent="0.25">
      <c r="A2452" s="13"/>
    </row>
    <row r="2453" spans="1:1" x14ac:dyDescent="0.25">
      <c r="A2453" s="13"/>
    </row>
    <row r="2454" spans="1:1" x14ac:dyDescent="0.25">
      <c r="A2454" s="13"/>
    </row>
    <row r="2455" spans="1:1" x14ac:dyDescent="0.25">
      <c r="A2455" s="13"/>
    </row>
    <row r="2456" spans="1:1" x14ac:dyDescent="0.25">
      <c r="A2456" s="13"/>
    </row>
    <row r="2457" spans="1:1" x14ac:dyDescent="0.25">
      <c r="A2457" s="13"/>
    </row>
    <row r="2458" spans="1:1" x14ac:dyDescent="0.25">
      <c r="A2458" s="13"/>
    </row>
    <row r="2459" spans="1:1" x14ac:dyDescent="0.25">
      <c r="A2459" s="13"/>
    </row>
    <row r="2460" spans="1:1" x14ac:dyDescent="0.25">
      <c r="A2460" s="13"/>
    </row>
    <row r="2461" spans="1:1" x14ac:dyDescent="0.25">
      <c r="A2461" s="13"/>
    </row>
    <row r="2462" spans="1:1" x14ac:dyDescent="0.25">
      <c r="A2462" s="13"/>
    </row>
    <row r="2463" spans="1:1" x14ac:dyDescent="0.25">
      <c r="A2463" s="13"/>
    </row>
    <row r="2464" spans="1:1" x14ac:dyDescent="0.25">
      <c r="A2464" s="13"/>
    </row>
    <row r="2465" spans="1:1" x14ac:dyDescent="0.25">
      <c r="A2465" s="13"/>
    </row>
    <row r="2466" spans="1:1" x14ac:dyDescent="0.25">
      <c r="A2466" s="13"/>
    </row>
    <row r="2467" spans="1:1" x14ac:dyDescent="0.25">
      <c r="A2467" s="13"/>
    </row>
    <row r="2468" spans="1:1" x14ac:dyDescent="0.25">
      <c r="A2468" s="13"/>
    </row>
    <row r="2469" spans="1:1" x14ac:dyDescent="0.25">
      <c r="A2469" s="13"/>
    </row>
    <row r="2470" spans="1:1" x14ac:dyDescent="0.25">
      <c r="A2470" s="13"/>
    </row>
    <row r="2471" spans="1:1" x14ac:dyDescent="0.25">
      <c r="A2471" s="13"/>
    </row>
    <row r="2472" spans="1:1" x14ac:dyDescent="0.25">
      <c r="A2472" s="13"/>
    </row>
    <row r="2473" spans="1:1" x14ac:dyDescent="0.25">
      <c r="A2473" s="13"/>
    </row>
    <row r="2474" spans="1:1" x14ac:dyDescent="0.25">
      <c r="A2474" s="13"/>
    </row>
    <row r="2475" spans="1:1" x14ac:dyDescent="0.25">
      <c r="A2475" s="13"/>
    </row>
    <row r="2476" spans="1:1" x14ac:dyDescent="0.25">
      <c r="A2476" s="13"/>
    </row>
    <row r="2477" spans="1:1" x14ac:dyDescent="0.25">
      <c r="A2477" s="13"/>
    </row>
    <row r="2478" spans="1:1" x14ac:dyDescent="0.25">
      <c r="A2478" s="13"/>
    </row>
    <row r="2479" spans="1:1" x14ac:dyDescent="0.25">
      <c r="A2479" s="13"/>
    </row>
    <row r="2480" spans="1:1" x14ac:dyDescent="0.25">
      <c r="A2480" s="13"/>
    </row>
    <row r="2481" spans="1:1" x14ac:dyDescent="0.25">
      <c r="A2481" s="13"/>
    </row>
    <row r="2482" spans="1:1" x14ac:dyDescent="0.25">
      <c r="A2482" s="13"/>
    </row>
    <row r="2483" spans="1:1" x14ac:dyDescent="0.25">
      <c r="A2483" s="13"/>
    </row>
    <row r="2484" spans="1:1" x14ac:dyDescent="0.25">
      <c r="A2484" s="13"/>
    </row>
    <row r="2485" spans="1:1" x14ac:dyDescent="0.25">
      <c r="A2485" s="13"/>
    </row>
    <row r="2486" spans="1:1" x14ac:dyDescent="0.25">
      <c r="A2486" s="13"/>
    </row>
    <row r="2487" spans="1:1" x14ac:dyDescent="0.25">
      <c r="A2487" s="13"/>
    </row>
    <row r="2488" spans="1:1" x14ac:dyDescent="0.25">
      <c r="A2488" s="13"/>
    </row>
    <row r="2489" spans="1:1" x14ac:dyDescent="0.25">
      <c r="A2489" s="13"/>
    </row>
    <row r="2490" spans="1:1" x14ac:dyDescent="0.25">
      <c r="A2490" s="13"/>
    </row>
    <row r="2491" spans="1:1" x14ac:dyDescent="0.25">
      <c r="A2491" s="13"/>
    </row>
    <row r="2492" spans="1:1" x14ac:dyDescent="0.25">
      <c r="A2492" s="13"/>
    </row>
    <row r="2493" spans="1:1" x14ac:dyDescent="0.25">
      <c r="A2493" s="13"/>
    </row>
    <row r="2494" spans="1:1" x14ac:dyDescent="0.25">
      <c r="A2494" s="13"/>
    </row>
    <row r="2495" spans="1:1" x14ac:dyDescent="0.25">
      <c r="A2495" s="13"/>
    </row>
    <row r="2496" spans="1:1" x14ac:dyDescent="0.25">
      <c r="A2496" s="13"/>
    </row>
    <row r="2497" spans="1:1" x14ac:dyDescent="0.25">
      <c r="A2497" s="13"/>
    </row>
    <row r="2498" spans="1:1" x14ac:dyDescent="0.25">
      <c r="A2498" s="13"/>
    </row>
    <row r="2499" spans="1:1" x14ac:dyDescent="0.25">
      <c r="A2499" s="13"/>
    </row>
    <row r="2500" spans="1:1" x14ac:dyDescent="0.25">
      <c r="A2500" s="13"/>
    </row>
    <row r="2501" spans="1:1" x14ac:dyDescent="0.25">
      <c r="A2501" s="13"/>
    </row>
    <row r="2502" spans="1:1" x14ac:dyDescent="0.25">
      <c r="A2502" s="13"/>
    </row>
    <row r="2503" spans="1:1" x14ac:dyDescent="0.25">
      <c r="A2503" s="13"/>
    </row>
    <row r="2504" spans="1:1" x14ac:dyDescent="0.25">
      <c r="A2504" s="13"/>
    </row>
    <row r="2505" spans="1:1" x14ac:dyDescent="0.25">
      <c r="A2505" s="13"/>
    </row>
    <row r="2506" spans="1:1" x14ac:dyDescent="0.25">
      <c r="A2506" s="13"/>
    </row>
    <row r="2507" spans="1:1" x14ac:dyDescent="0.25">
      <c r="A2507" s="13"/>
    </row>
    <row r="2508" spans="1:1" x14ac:dyDescent="0.25">
      <c r="A2508" s="13"/>
    </row>
    <row r="2509" spans="1:1" x14ac:dyDescent="0.25">
      <c r="A2509" s="13"/>
    </row>
    <row r="2510" spans="1:1" x14ac:dyDescent="0.25">
      <c r="A2510" s="13"/>
    </row>
    <row r="2511" spans="1:1" x14ac:dyDescent="0.25">
      <c r="A2511" s="13"/>
    </row>
    <row r="2512" spans="1:1" x14ac:dyDescent="0.25">
      <c r="A2512" s="13"/>
    </row>
    <row r="2513" spans="1:1" x14ac:dyDescent="0.25">
      <c r="A2513" s="13"/>
    </row>
    <row r="2514" spans="1:1" x14ac:dyDescent="0.25">
      <c r="A2514" s="13"/>
    </row>
    <row r="2515" spans="1:1" x14ac:dyDescent="0.25">
      <c r="A2515" s="13"/>
    </row>
    <row r="2516" spans="1:1" x14ac:dyDescent="0.25">
      <c r="A2516" s="13"/>
    </row>
    <row r="2517" spans="1:1" x14ac:dyDescent="0.25">
      <c r="A2517" s="13"/>
    </row>
    <row r="2518" spans="1:1" x14ac:dyDescent="0.25">
      <c r="A2518" s="13"/>
    </row>
    <row r="2519" spans="1:1" x14ac:dyDescent="0.25">
      <c r="A2519" s="13"/>
    </row>
    <row r="2520" spans="1:1" x14ac:dyDescent="0.25">
      <c r="A2520" s="13"/>
    </row>
    <row r="2521" spans="1:1" x14ac:dyDescent="0.25">
      <c r="A2521" s="13"/>
    </row>
    <row r="2522" spans="1:1" x14ac:dyDescent="0.25">
      <c r="A2522" s="13"/>
    </row>
    <row r="2523" spans="1:1" x14ac:dyDescent="0.25">
      <c r="A2523" s="13"/>
    </row>
    <row r="2524" spans="1:1" x14ac:dyDescent="0.25">
      <c r="A2524" s="13"/>
    </row>
    <row r="2525" spans="1:1" x14ac:dyDescent="0.25">
      <c r="A2525" s="13"/>
    </row>
    <row r="2526" spans="1:1" x14ac:dyDescent="0.25">
      <c r="A2526" s="13"/>
    </row>
    <row r="2527" spans="1:1" x14ac:dyDescent="0.25">
      <c r="A2527" s="13"/>
    </row>
    <row r="2528" spans="1:1" x14ac:dyDescent="0.25">
      <c r="A2528" s="13"/>
    </row>
    <row r="2529" spans="1:1" x14ac:dyDescent="0.25">
      <c r="A2529" s="13"/>
    </row>
    <row r="2530" spans="1:1" x14ac:dyDescent="0.25">
      <c r="A2530" s="13"/>
    </row>
    <row r="2531" spans="1:1" x14ac:dyDescent="0.25">
      <c r="A2531" s="13"/>
    </row>
    <row r="2532" spans="1:1" x14ac:dyDescent="0.25">
      <c r="A2532" s="13"/>
    </row>
    <row r="2533" spans="1:1" x14ac:dyDescent="0.25">
      <c r="A2533" s="13"/>
    </row>
    <row r="2534" spans="1:1" x14ac:dyDescent="0.25">
      <c r="A2534" s="13"/>
    </row>
    <row r="2535" spans="1:1" x14ac:dyDescent="0.25">
      <c r="A2535" s="13"/>
    </row>
    <row r="2536" spans="1:1" x14ac:dyDescent="0.25">
      <c r="A2536" s="13"/>
    </row>
    <row r="2537" spans="1:1" x14ac:dyDescent="0.25">
      <c r="A2537" s="13"/>
    </row>
    <row r="2538" spans="1:1" x14ac:dyDescent="0.25">
      <c r="A2538" s="13"/>
    </row>
    <row r="2539" spans="1:1" x14ac:dyDescent="0.25">
      <c r="A2539" s="13"/>
    </row>
    <row r="2540" spans="1:1" x14ac:dyDescent="0.25">
      <c r="A2540" s="13"/>
    </row>
    <row r="2541" spans="1:1" x14ac:dyDescent="0.25">
      <c r="A2541" s="13"/>
    </row>
    <row r="2542" spans="1:1" x14ac:dyDescent="0.25">
      <c r="A2542" s="13"/>
    </row>
    <row r="2543" spans="1:1" x14ac:dyDescent="0.25">
      <c r="A2543" s="13"/>
    </row>
    <row r="2544" spans="1:1" x14ac:dyDescent="0.25">
      <c r="A2544" s="13"/>
    </row>
    <row r="2545" spans="1:1" x14ac:dyDescent="0.25">
      <c r="A2545" s="13"/>
    </row>
    <row r="2546" spans="1:1" x14ac:dyDescent="0.25">
      <c r="A2546" s="13"/>
    </row>
    <row r="2547" spans="1:1" x14ac:dyDescent="0.25">
      <c r="A2547" s="13"/>
    </row>
    <row r="2548" spans="1:1" x14ac:dyDescent="0.25">
      <c r="A2548" s="13"/>
    </row>
    <row r="2549" spans="1:1" x14ac:dyDescent="0.25">
      <c r="A2549" s="13"/>
    </row>
    <row r="2550" spans="1:1" x14ac:dyDescent="0.25">
      <c r="A2550" s="13"/>
    </row>
    <row r="2551" spans="1:1" x14ac:dyDescent="0.25">
      <c r="A2551" s="13"/>
    </row>
    <row r="2552" spans="1:1" x14ac:dyDescent="0.25">
      <c r="A2552" s="13"/>
    </row>
    <row r="2553" spans="1:1" x14ac:dyDescent="0.25">
      <c r="A2553" s="13"/>
    </row>
    <row r="2554" spans="1:1" x14ac:dyDescent="0.25">
      <c r="A2554" s="13"/>
    </row>
    <row r="2555" spans="1:1" x14ac:dyDescent="0.25">
      <c r="A2555" s="13"/>
    </row>
    <row r="2556" spans="1:1" x14ac:dyDescent="0.25">
      <c r="A2556" s="13"/>
    </row>
    <row r="2557" spans="1:1" x14ac:dyDescent="0.25">
      <c r="A2557" s="13"/>
    </row>
    <row r="2558" spans="1:1" x14ac:dyDescent="0.25">
      <c r="A2558" s="13"/>
    </row>
    <row r="2559" spans="1:1" x14ac:dyDescent="0.25">
      <c r="A2559" s="13"/>
    </row>
    <row r="2560" spans="1:1" x14ac:dyDescent="0.25">
      <c r="A2560" s="13"/>
    </row>
    <row r="2561" spans="1:1" x14ac:dyDescent="0.25">
      <c r="A2561" s="13"/>
    </row>
    <row r="2562" spans="1:1" x14ac:dyDescent="0.25">
      <c r="A2562" s="13"/>
    </row>
    <row r="2563" spans="1:1" x14ac:dyDescent="0.25">
      <c r="A2563" s="13"/>
    </row>
    <row r="2564" spans="1:1" x14ac:dyDescent="0.25">
      <c r="A2564" s="13"/>
    </row>
    <row r="2565" spans="1:1" x14ac:dyDescent="0.25">
      <c r="A2565" s="13"/>
    </row>
    <row r="2566" spans="1:1" x14ac:dyDescent="0.25">
      <c r="A2566" s="13"/>
    </row>
    <row r="2567" spans="1:1" x14ac:dyDescent="0.25">
      <c r="A2567" s="13"/>
    </row>
    <row r="2568" spans="1:1" x14ac:dyDescent="0.25">
      <c r="A2568" s="13"/>
    </row>
    <row r="2569" spans="1:1" x14ac:dyDescent="0.25">
      <c r="A2569" s="13"/>
    </row>
    <row r="2570" spans="1:1" x14ac:dyDescent="0.25">
      <c r="A2570" s="13"/>
    </row>
    <row r="2571" spans="1:1" x14ac:dyDescent="0.25">
      <c r="A2571" s="13"/>
    </row>
    <row r="2572" spans="1:1" x14ac:dyDescent="0.25">
      <c r="A2572" s="13"/>
    </row>
    <row r="2573" spans="1:1" x14ac:dyDescent="0.25">
      <c r="A2573" s="13"/>
    </row>
    <row r="2574" spans="1:1" x14ac:dyDescent="0.25">
      <c r="A2574" s="13"/>
    </row>
    <row r="2575" spans="1:1" x14ac:dyDescent="0.25">
      <c r="A2575" s="13"/>
    </row>
    <row r="2576" spans="1:1" x14ac:dyDescent="0.25">
      <c r="A2576" s="13"/>
    </row>
    <row r="2577" spans="1:1" x14ac:dyDescent="0.25">
      <c r="A2577" s="13"/>
    </row>
    <row r="2578" spans="1:1" x14ac:dyDescent="0.25">
      <c r="A2578" s="13"/>
    </row>
    <row r="2579" spans="1:1" x14ac:dyDescent="0.25">
      <c r="A2579" s="13"/>
    </row>
    <row r="2580" spans="1:1" x14ac:dyDescent="0.25">
      <c r="A2580" s="13"/>
    </row>
    <row r="2581" spans="1:1" x14ac:dyDescent="0.25">
      <c r="A2581" s="13"/>
    </row>
    <row r="2582" spans="1:1" x14ac:dyDescent="0.25">
      <c r="A2582" s="13"/>
    </row>
    <row r="2583" spans="1:1" x14ac:dyDescent="0.25">
      <c r="A2583" s="13"/>
    </row>
    <row r="2584" spans="1:1" x14ac:dyDescent="0.25">
      <c r="A2584" s="13"/>
    </row>
    <row r="2585" spans="1:1" x14ac:dyDescent="0.25">
      <c r="A2585" s="13"/>
    </row>
    <row r="2586" spans="1:1" x14ac:dyDescent="0.25">
      <c r="A2586" s="13"/>
    </row>
    <row r="2587" spans="1:1" x14ac:dyDescent="0.25">
      <c r="A2587" s="13"/>
    </row>
    <row r="2588" spans="1:1" x14ac:dyDescent="0.25">
      <c r="A2588" s="13"/>
    </row>
    <row r="2589" spans="1:1" x14ac:dyDescent="0.25">
      <c r="A2589" s="13"/>
    </row>
    <row r="2590" spans="1:1" x14ac:dyDescent="0.25">
      <c r="A2590" s="13"/>
    </row>
    <row r="2591" spans="1:1" x14ac:dyDescent="0.25">
      <c r="A2591" s="13"/>
    </row>
    <row r="2592" spans="1:1" x14ac:dyDescent="0.25">
      <c r="A2592" s="13"/>
    </row>
    <row r="2593" spans="1:1" x14ac:dyDescent="0.25">
      <c r="A2593" s="13"/>
    </row>
    <row r="2594" spans="1:1" x14ac:dyDescent="0.25">
      <c r="A2594" s="13"/>
    </row>
    <row r="2595" spans="1:1" x14ac:dyDescent="0.25">
      <c r="A2595" s="13"/>
    </row>
    <row r="2596" spans="1:1" x14ac:dyDescent="0.25">
      <c r="A2596" s="13"/>
    </row>
    <row r="2597" spans="1:1" x14ac:dyDescent="0.25">
      <c r="A2597" s="13"/>
    </row>
    <row r="2598" spans="1:1" x14ac:dyDescent="0.25">
      <c r="A2598" s="13"/>
    </row>
    <row r="2599" spans="1:1" x14ac:dyDescent="0.25">
      <c r="A2599" s="13"/>
    </row>
    <row r="2600" spans="1:1" x14ac:dyDescent="0.25">
      <c r="A2600" s="13"/>
    </row>
    <row r="2601" spans="1:1" x14ac:dyDescent="0.25">
      <c r="A2601" s="13"/>
    </row>
    <row r="2602" spans="1:1" x14ac:dyDescent="0.25">
      <c r="A2602" s="13"/>
    </row>
    <row r="2603" spans="1:1" x14ac:dyDescent="0.25">
      <c r="A2603" s="13"/>
    </row>
    <row r="2604" spans="1:1" x14ac:dyDescent="0.25">
      <c r="A2604" s="13"/>
    </row>
    <row r="2605" spans="1:1" x14ac:dyDescent="0.25">
      <c r="A2605" s="13"/>
    </row>
    <row r="2606" spans="1:1" x14ac:dyDescent="0.25">
      <c r="A2606" s="13"/>
    </row>
    <row r="2607" spans="1:1" x14ac:dyDescent="0.25">
      <c r="A2607" s="13"/>
    </row>
    <row r="2608" spans="1:1" x14ac:dyDescent="0.25">
      <c r="A2608" s="13"/>
    </row>
    <row r="2609" spans="1:1" x14ac:dyDescent="0.25">
      <c r="A2609" s="13"/>
    </row>
    <row r="2610" spans="1:1" x14ac:dyDescent="0.25">
      <c r="A2610" s="13"/>
    </row>
    <row r="2611" spans="1:1" x14ac:dyDescent="0.25">
      <c r="A2611" s="13"/>
    </row>
    <row r="2612" spans="1:1" x14ac:dyDescent="0.25">
      <c r="A2612" s="13"/>
    </row>
    <row r="2613" spans="1:1" x14ac:dyDescent="0.25">
      <c r="A2613" s="13"/>
    </row>
    <row r="2614" spans="1:1" x14ac:dyDescent="0.25">
      <c r="A2614" s="13"/>
    </row>
    <row r="2615" spans="1:1" x14ac:dyDescent="0.25">
      <c r="A2615" s="13"/>
    </row>
    <row r="2616" spans="1:1" x14ac:dyDescent="0.25">
      <c r="A2616" s="13"/>
    </row>
    <row r="2617" spans="1:1" x14ac:dyDescent="0.25">
      <c r="A2617" s="13"/>
    </row>
    <row r="2618" spans="1:1" x14ac:dyDescent="0.25">
      <c r="A2618" s="13"/>
    </row>
    <row r="2619" spans="1:1" x14ac:dyDescent="0.25">
      <c r="A2619" s="13"/>
    </row>
    <row r="2620" spans="1:1" x14ac:dyDescent="0.25">
      <c r="A2620" s="13"/>
    </row>
    <row r="2621" spans="1:1" x14ac:dyDescent="0.25">
      <c r="A2621" s="13"/>
    </row>
    <row r="2622" spans="1:1" x14ac:dyDescent="0.25">
      <c r="A2622" s="13"/>
    </row>
    <row r="2623" spans="1:1" x14ac:dyDescent="0.25">
      <c r="A2623" s="13"/>
    </row>
    <row r="2624" spans="1:1" x14ac:dyDescent="0.25">
      <c r="A2624" s="13"/>
    </row>
    <row r="2625" spans="1:1" x14ac:dyDescent="0.25">
      <c r="A2625" s="13"/>
    </row>
    <row r="2626" spans="1:1" x14ac:dyDescent="0.25">
      <c r="A2626" s="13"/>
    </row>
    <row r="2627" spans="1:1" x14ac:dyDescent="0.25">
      <c r="A2627" s="13"/>
    </row>
    <row r="2628" spans="1:1" x14ac:dyDescent="0.25">
      <c r="A2628" s="13"/>
    </row>
    <row r="2629" spans="1:1" x14ac:dyDescent="0.25">
      <c r="A2629" s="13"/>
    </row>
    <row r="2630" spans="1:1" x14ac:dyDescent="0.25">
      <c r="A2630" s="13"/>
    </row>
    <row r="2631" spans="1:1" x14ac:dyDescent="0.25">
      <c r="A2631" s="13"/>
    </row>
    <row r="2632" spans="1:1" x14ac:dyDescent="0.25">
      <c r="A2632" s="13"/>
    </row>
    <row r="2633" spans="1:1" x14ac:dyDescent="0.25">
      <c r="A2633" s="13"/>
    </row>
    <row r="2634" spans="1:1" x14ac:dyDescent="0.25">
      <c r="A2634" s="13"/>
    </row>
    <row r="2635" spans="1:1" x14ac:dyDescent="0.25">
      <c r="A2635" s="13"/>
    </row>
    <row r="2636" spans="1:1" x14ac:dyDescent="0.25">
      <c r="A2636" s="13"/>
    </row>
    <row r="2637" spans="1:1" x14ac:dyDescent="0.25">
      <c r="A2637" s="13"/>
    </row>
    <row r="2638" spans="1:1" x14ac:dyDescent="0.25">
      <c r="A2638" s="13"/>
    </row>
    <row r="2639" spans="1:1" x14ac:dyDescent="0.25">
      <c r="A2639" s="13"/>
    </row>
    <row r="2640" spans="1:1" x14ac:dyDescent="0.25">
      <c r="A2640" s="13"/>
    </row>
    <row r="2641" spans="1:1" x14ac:dyDescent="0.25">
      <c r="A2641" s="13"/>
    </row>
    <row r="2642" spans="1:1" x14ac:dyDescent="0.25">
      <c r="A2642" s="13"/>
    </row>
    <row r="2643" spans="1:1" x14ac:dyDescent="0.25">
      <c r="A2643" s="13"/>
    </row>
    <row r="2644" spans="1:1" x14ac:dyDescent="0.25">
      <c r="A2644" s="13"/>
    </row>
    <row r="2645" spans="1:1" x14ac:dyDescent="0.25">
      <c r="A2645" s="13"/>
    </row>
    <row r="2646" spans="1:1" x14ac:dyDescent="0.25">
      <c r="A2646" s="13"/>
    </row>
    <row r="2647" spans="1:1" x14ac:dyDescent="0.25">
      <c r="A2647" s="13"/>
    </row>
    <row r="2648" spans="1:1" x14ac:dyDescent="0.25">
      <c r="A2648" s="13"/>
    </row>
    <row r="2649" spans="1:1" x14ac:dyDescent="0.25">
      <c r="A2649" s="13"/>
    </row>
    <row r="2650" spans="1:1" x14ac:dyDescent="0.25">
      <c r="A2650" s="13"/>
    </row>
    <row r="2651" spans="1:1" x14ac:dyDescent="0.25">
      <c r="A2651" s="13"/>
    </row>
    <row r="2652" spans="1:1" x14ac:dyDescent="0.25">
      <c r="A2652" s="13"/>
    </row>
    <row r="2653" spans="1:1" x14ac:dyDescent="0.25">
      <c r="A2653" s="13"/>
    </row>
    <row r="2654" spans="1:1" x14ac:dyDescent="0.25">
      <c r="A2654" s="13"/>
    </row>
    <row r="2655" spans="1:1" x14ac:dyDescent="0.25">
      <c r="A2655" s="13"/>
    </row>
    <row r="2656" spans="1:1" x14ac:dyDescent="0.25">
      <c r="A2656" s="13"/>
    </row>
    <row r="2657" spans="1:1" x14ac:dyDescent="0.25">
      <c r="A2657" s="13"/>
    </row>
    <row r="2658" spans="1:1" x14ac:dyDescent="0.25">
      <c r="A2658" s="13"/>
    </row>
    <row r="2659" spans="1:1" x14ac:dyDescent="0.25">
      <c r="A2659" s="13"/>
    </row>
    <row r="2660" spans="1:1" x14ac:dyDescent="0.25">
      <c r="A2660" s="13"/>
    </row>
    <row r="2661" spans="1:1" x14ac:dyDescent="0.25">
      <c r="A2661" s="13"/>
    </row>
    <row r="2662" spans="1:1" x14ac:dyDescent="0.25">
      <c r="A2662" s="13"/>
    </row>
    <row r="2663" spans="1:1" x14ac:dyDescent="0.25">
      <c r="A2663" s="13"/>
    </row>
    <row r="2664" spans="1:1" x14ac:dyDescent="0.25">
      <c r="A2664" s="13"/>
    </row>
    <row r="2665" spans="1:1" x14ac:dyDescent="0.25">
      <c r="A2665" s="13"/>
    </row>
    <row r="2666" spans="1:1" x14ac:dyDescent="0.25">
      <c r="A2666" s="13"/>
    </row>
    <row r="2667" spans="1:1" x14ac:dyDescent="0.25">
      <c r="A2667" s="13"/>
    </row>
    <row r="2668" spans="1:1" x14ac:dyDescent="0.25">
      <c r="A2668" s="13"/>
    </row>
    <row r="2669" spans="1:1" x14ac:dyDescent="0.25">
      <c r="A2669" s="13"/>
    </row>
    <row r="2670" spans="1:1" x14ac:dyDescent="0.25">
      <c r="A2670" s="13"/>
    </row>
    <row r="2671" spans="1:1" x14ac:dyDescent="0.25">
      <c r="A2671" s="13"/>
    </row>
    <row r="2672" spans="1:1" x14ac:dyDescent="0.25">
      <c r="A2672" s="13"/>
    </row>
    <row r="2673" spans="1:1" x14ac:dyDescent="0.25">
      <c r="A2673" s="13"/>
    </row>
    <row r="2674" spans="1:1" x14ac:dyDescent="0.25">
      <c r="A2674" s="13"/>
    </row>
    <row r="2675" spans="1:1" x14ac:dyDescent="0.25">
      <c r="A2675" s="13"/>
    </row>
    <row r="2676" spans="1:1" x14ac:dyDescent="0.25">
      <c r="A2676" s="13"/>
    </row>
    <row r="2677" spans="1:1" x14ac:dyDescent="0.25">
      <c r="A2677" s="13"/>
    </row>
    <row r="2678" spans="1:1" x14ac:dyDescent="0.25">
      <c r="A2678" s="13"/>
    </row>
    <row r="2679" spans="1:1" x14ac:dyDescent="0.25">
      <c r="A2679" s="13"/>
    </row>
    <row r="2680" spans="1:1" x14ac:dyDescent="0.25">
      <c r="A2680" s="13"/>
    </row>
    <row r="2681" spans="1:1" x14ac:dyDescent="0.25">
      <c r="A2681" s="13"/>
    </row>
    <row r="2682" spans="1:1" x14ac:dyDescent="0.25">
      <c r="A2682" s="13"/>
    </row>
    <row r="2683" spans="1:1" x14ac:dyDescent="0.25">
      <c r="A2683" s="13"/>
    </row>
    <row r="2684" spans="1:1" x14ac:dyDescent="0.25">
      <c r="A2684" s="13"/>
    </row>
    <row r="2685" spans="1:1" x14ac:dyDescent="0.25">
      <c r="A2685" s="13"/>
    </row>
    <row r="2686" spans="1:1" x14ac:dyDescent="0.25">
      <c r="A2686" s="13"/>
    </row>
    <row r="2687" spans="1:1" x14ac:dyDescent="0.25">
      <c r="A2687" s="13"/>
    </row>
    <row r="2688" spans="1:1" x14ac:dyDescent="0.25">
      <c r="A2688" s="13"/>
    </row>
    <row r="2689" spans="1:1" x14ac:dyDescent="0.25">
      <c r="A2689" s="13"/>
    </row>
    <row r="2690" spans="1:1" x14ac:dyDescent="0.25">
      <c r="A2690" s="13"/>
    </row>
    <row r="2691" spans="1:1" x14ac:dyDescent="0.25">
      <c r="A2691" s="13"/>
    </row>
    <row r="2692" spans="1:1" x14ac:dyDescent="0.25">
      <c r="A2692" s="13"/>
    </row>
    <row r="2693" spans="1:1" x14ac:dyDescent="0.25">
      <c r="A2693" s="13"/>
    </row>
    <row r="2694" spans="1:1" x14ac:dyDescent="0.25">
      <c r="A2694" s="13"/>
    </row>
    <row r="2695" spans="1:1" x14ac:dyDescent="0.25">
      <c r="A2695" s="13"/>
    </row>
    <row r="2696" spans="1:1" x14ac:dyDescent="0.25">
      <c r="A2696" s="13"/>
    </row>
    <row r="2697" spans="1:1" x14ac:dyDescent="0.25">
      <c r="A2697" s="13"/>
    </row>
    <row r="2698" spans="1:1" x14ac:dyDescent="0.25">
      <c r="A2698" s="13"/>
    </row>
    <row r="2699" spans="1:1" x14ac:dyDescent="0.25">
      <c r="A2699" s="13"/>
    </row>
    <row r="2700" spans="1:1" x14ac:dyDescent="0.25">
      <c r="A2700" s="13"/>
    </row>
    <row r="2701" spans="1:1" x14ac:dyDescent="0.25">
      <c r="A2701" s="13"/>
    </row>
    <row r="2702" spans="1:1" x14ac:dyDescent="0.25">
      <c r="A2702" s="13"/>
    </row>
    <row r="2703" spans="1:1" x14ac:dyDescent="0.25">
      <c r="A2703" s="13"/>
    </row>
    <row r="2704" spans="1:1" x14ac:dyDescent="0.25">
      <c r="A2704" s="13"/>
    </row>
    <row r="2705" spans="1:1" x14ac:dyDescent="0.25">
      <c r="A2705" s="13"/>
    </row>
    <row r="2706" spans="1:1" x14ac:dyDescent="0.25">
      <c r="A2706" s="13"/>
    </row>
    <row r="2707" spans="1:1" x14ac:dyDescent="0.25">
      <c r="A2707" s="13"/>
    </row>
    <row r="2708" spans="1:1" x14ac:dyDescent="0.25">
      <c r="A2708" s="13"/>
    </row>
    <row r="2709" spans="1:1" x14ac:dyDescent="0.25">
      <c r="A2709" s="13"/>
    </row>
    <row r="2710" spans="1:1" x14ac:dyDescent="0.25">
      <c r="A2710" s="13"/>
    </row>
    <row r="2711" spans="1:1" x14ac:dyDescent="0.25">
      <c r="A2711" s="13"/>
    </row>
    <row r="2712" spans="1:1" x14ac:dyDescent="0.25">
      <c r="A2712" s="13"/>
    </row>
    <row r="2713" spans="1:1" x14ac:dyDescent="0.25">
      <c r="A2713" s="13"/>
    </row>
    <row r="2714" spans="1:1" x14ac:dyDescent="0.25">
      <c r="A2714" s="13"/>
    </row>
    <row r="2715" spans="1:1" x14ac:dyDescent="0.25">
      <c r="A2715" s="13"/>
    </row>
    <row r="2716" spans="1:1" x14ac:dyDescent="0.25">
      <c r="A2716" s="13"/>
    </row>
    <row r="2717" spans="1:1" x14ac:dyDescent="0.25">
      <c r="A2717" s="13"/>
    </row>
    <row r="2718" spans="1:1" x14ac:dyDescent="0.25">
      <c r="A2718" s="13"/>
    </row>
    <row r="2719" spans="1:1" x14ac:dyDescent="0.25">
      <c r="A2719" s="13"/>
    </row>
    <row r="2720" spans="1:1" x14ac:dyDescent="0.25">
      <c r="A2720" s="13"/>
    </row>
    <row r="2721" spans="1:1" x14ac:dyDescent="0.25">
      <c r="A2721" s="13"/>
    </row>
    <row r="2722" spans="1:1" x14ac:dyDescent="0.25">
      <c r="A2722" s="13"/>
    </row>
    <row r="2723" spans="1:1" x14ac:dyDescent="0.25">
      <c r="A2723" s="13"/>
    </row>
    <row r="2724" spans="1:1" x14ac:dyDescent="0.25">
      <c r="A2724" s="13"/>
    </row>
    <row r="2725" spans="1:1" x14ac:dyDescent="0.25">
      <c r="A2725" s="13"/>
    </row>
    <row r="2726" spans="1:1" x14ac:dyDescent="0.25">
      <c r="A2726" s="13"/>
    </row>
    <row r="2727" spans="1:1" x14ac:dyDescent="0.25">
      <c r="A2727" s="13"/>
    </row>
    <row r="2728" spans="1:1" x14ac:dyDescent="0.25">
      <c r="A2728" s="13"/>
    </row>
    <row r="2729" spans="1:1" x14ac:dyDescent="0.25">
      <c r="A2729" s="13"/>
    </row>
    <row r="2730" spans="1:1" x14ac:dyDescent="0.25">
      <c r="A2730" s="13"/>
    </row>
    <row r="2731" spans="1:1" x14ac:dyDescent="0.25">
      <c r="A2731" s="13"/>
    </row>
    <row r="2732" spans="1:1" x14ac:dyDescent="0.25">
      <c r="A2732" s="13"/>
    </row>
    <row r="2733" spans="1:1" x14ac:dyDescent="0.25">
      <c r="A2733" s="13"/>
    </row>
    <row r="2734" spans="1:1" x14ac:dyDescent="0.25">
      <c r="A2734" s="13"/>
    </row>
    <row r="2735" spans="1:1" x14ac:dyDescent="0.25">
      <c r="A2735" s="13"/>
    </row>
    <row r="2736" spans="1:1" x14ac:dyDescent="0.25">
      <c r="A2736" s="13"/>
    </row>
    <row r="2737" spans="1:1" x14ac:dyDescent="0.25">
      <c r="A2737" s="13"/>
    </row>
    <row r="2738" spans="1:1" x14ac:dyDescent="0.25">
      <c r="A2738" s="13"/>
    </row>
    <row r="2739" spans="1:1" x14ac:dyDescent="0.25">
      <c r="A2739" s="13"/>
    </row>
    <row r="2740" spans="1:1" x14ac:dyDescent="0.25">
      <c r="A2740" s="13"/>
    </row>
    <row r="2741" spans="1:1" x14ac:dyDescent="0.25">
      <c r="A2741" s="13"/>
    </row>
    <row r="2742" spans="1:1" x14ac:dyDescent="0.25">
      <c r="A2742" s="13"/>
    </row>
    <row r="2743" spans="1:1" x14ac:dyDescent="0.25">
      <c r="A2743" s="13"/>
    </row>
    <row r="2744" spans="1:1" x14ac:dyDescent="0.25">
      <c r="A2744" s="13"/>
    </row>
    <row r="2745" spans="1:1" x14ac:dyDescent="0.25">
      <c r="A2745" s="13"/>
    </row>
    <row r="2746" spans="1:1" x14ac:dyDescent="0.25">
      <c r="A2746" s="13"/>
    </row>
    <row r="2747" spans="1:1" x14ac:dyDescent="0.25">
      <c r="A2747" s="13"/>
    </row>
    <row r="2748" spans="1:1" x14ac:dyDescent="0.25">
      <c r="A2748" s="13"/>
    </row>
    <row r="2749" spans="1:1" x14ac:dyDescent="0.25">
      <c r="A2749" s="13"/>
    </row>
    <row r="2750" spans="1:1" x14ac:dyDescent="0.25">
      <c r="A2750" s="13"/>
    </row>
    <row r="2751" spans="1:1" x14ac:dyDescent="0.25">
      <c r="A2751" s="13"/>
    </row>
    <row r="2752" spans="1:1" x14ac:dyDescent="0.25">
      <c r="A2752" s="13"/>
    </row>
    <row r="2753" spans="1:1" x14ac:dyDescent="0.25">
      <c r="A2753" s="13"/>
    </row>
    <row r="2754" spans="1:1" x14ac:dyDescent="0.25">
      <c r="A2754" s="13"/>
    </row>
    <row r="2755" spans="1:1" x14ac:dyDescent="0.25">
      <c r="A2755" s="13"/>
    </row>
    <row r="2756" spans="1:1" x14ac:dyDescent="0.25">
      <c r="A2756" s="13"/>
    </row>
    <row r="2757" spans="1:1" x14ac:dyDescent="0.25">
      <c r="A2757" s="13"/>
    </row>
    <row r="2758" spans="1:1" x14ac:dyDescent="0.25">
      <c r="A2758" s="13"/>
    </row>
    <row r="2759" spans="1:1" x14ac:dyDescent="0.25">
      <c r="A2759" s="13"/>
    </row>
    <row r="2760" spans="1:1" x14ac:dyDescent="0.25">
      <c r="A2760" s="13"/>
    </row>
    <row r="2761" spans="1:1" x14ac:dyDescent="0.25">
      <c r="A2761" s="13"/>
    </row>
    <row r="2762" spans="1:1" x14ac:dyDescent="0.25">
      <c r="A2762" s="13"/>
    </row>
    <row r="2763" spans="1:1" x14ac:dyDescent="0.25">
      <c r="A2763" s="13"/>
    </row>
    <row r="2764" spans="1:1" x14ac:dyDescent="0.25">
      <c r="A2764" s="13"/>
    </row>
    <row r="2765" spans="1:1" x14ac:dyDescent="0.25">
      <c r="A2765" s="13"/>
    </row>
    <row r="2766" spans="1:1" x14ac:dyDescent="0.25">
      <c r="A2766" s="13"/>
    </row>
    <row r="2767" spans="1:1" x14ac:dyDescent="0.25">
      <c r="A2767" s="13"/>
    </row>
    <row r="2768" spans="1:1" x14ac:dyDescent="0.25">
      <c r="A2768" s="13"/>
    </row>
    <row r="2769" spans="1:1" x14ac:dyDescent="0.25">
      <c r="A2769" s="13"/>
    </row>
    <row r="2770" spans="1:1" x14ac:dyDescent="0.25">
      <c r="A2770" s="13"/>
    </row>
    <row r="2771" spans="1:1" x14ac:dyDescent="0.25">
      <c r="A2771" s="13"/>
    </row>
    <row r="2772" spans="1:1" x14ac:dyDescent="0.25">
      <c r="A2772" s="13"/>
    </row>
    <row r="2773" spans="1:1" x14ac:dyDescent="0.25">
      <c r="A2773" s="13"/>
    </row>
    <row r="2774" spans="1:1" x14ac:dyDescent="0.25">
      <c r="A2774" s="13"/>
    </row>
    <row r="2775" spans="1:1" x14ac:dyDescent="0.25">
      <c r="A2775" s="13"/>
    </row>
    <row r="2776" spans="1:1" x14ac:dyDescent="0.25">
      <c r="A2776" s="13"/>
    </row>
    <row r="2777" spans="1:1" x14ac:dyDescent="0.25">
      <c r="A2777" s="13"/>
    </row>
    <row r="2778" spans="1:1" x14ac:dyDescent="0.25">
      <c r="A2778" s="13"/>
    </row>
    <row r="2779" spans="1:1" x14ac:dyDescent="0.25">
      <c r="A2779" s="13"/>
    </row>
    <row r="2780" spans="1:1" x14ac:dyDescent="0.25">
      <c r="A2780" s="13"/>
    </row>
    <row r="2781" spans="1:1" x14ac:dyDescent="0.25">
      <c r="A2781" s="13"/>
    </row>
    <row r="2782" spans="1:1" x14ac:dyDescent="0.25">
      <c r="A2782" s="13"/>
    </row>
    <row r="2783" spans="1:1" x14ac:dyDescent="0.25">
      <c r="A2783" s="13"/>
    </row>
    <row r="2784" spans="1:1" x14ac:dyDescent="0.25">
      <c r="A2784" s="13"/>
    </row>
    <row r="2785" spans="1:1" x14ac:dyDescent="0.25">
      <c r="A2785" s="13"/>
    </row>
    <row r="2786" spans="1:1" x14ac:dyDescent="0.25">
      <c r="A2786" s="13"/>
    </row>
    <row r="2787" spans="1:1" x14ac:dyDescent="0.25">
      <c r="A2787" s="13"/>
    </row>
    <row r="2788" spans="1:1" x14ac:dyDescent="0.25">
      <c r="A2788" s="13"/>
    </row>
    <row r="2789" spans="1:1" x14ac:dyDescent="0.25">
      <c r="A2789" s="13"/>
    </row>
    <row r="2790" spans="1:1" x14ac:dyDescent="0.25">
      <c r="A2790" s="13"/>
    </row>
    <row r="2791" spans="1:1" x14ac:dyDescent="0.25">
      <c r="A2791" s="13"/>
    </row>
    <row r="2792" spans="1:1" x14ac:dyDescent="0.25">
      <c r="A2792" s="13"/>
    </row>
    <row r="2793" spans="1:1" x14ac:dyDescent="0.25">
      <c r="A2793" s="13"/>
    </row>
    <row r="2794" spans="1:1" x14ac:dyDescent="0.25">
      <c r="A2794" s="13"/>
    </row>
    <row r="2795" spans="1:1" x14ac:dyDescent="0.25">
      <c r="A2795" s="13"/>
    </row>
    <row r="2796" spans="1:1" x14ac:dyDescent="0.25">
      <c r="A2796" s="13"/>
    </row>
    <row r="2797" spans="1:1" x14ac:dyDescent="0.25">
      <c r="A2797" s="13"/>
    </row>
    <row r="2798" spans="1:1" x14ac:dyDescent="0.25">
      <c r="A2798" s="13"/>
    </row>
    <row r="2799" spans="1:1" x14ac:dyDescent="0.25">
      <c r="A2799" s="13"/>
    </row>
    <row r="2800" spans="1:1" x14ac:dyDescent="0.25">
      <c r="A2800" s="13"/>
    </row>
    <row r="2801" spans="1:1" x14ac:dyDescent="0.25">
      <c r="A2801" s="13"/>
    </row>
    <row r="2802" spans="1:1" x14ac:dyDescent="0.25">
      <c r="A2802" s="13"/>
    </row>
    <row r="2803" spans="1:1" x14ac:dyDescent="0.25">
      <c r="A2803" s="13"/>
    </row>
    <row r="2804" spans="1:1" x14ac:dyDescent="0.25">
      <c r="A2804" s="13"/>
    </row>
    <row r="2805" spans="1:1" x14ac:dyDescent="0.25">
      <c r="A2805" s="13"/>
    </row>
    <row r="2806" spans="1:1" x14ac:dyDescent="0.25">
      <c r="A2806" s="13"/>
    </row>
    <row r="2807" spans="1:1" x14ac:dyDescent="0.25">
      <c r="A2807" s="13"/>
    </row>
    <row r="2808" spans="1:1" x14ac:dyDescent="0.25">
      <c r="A2808" s="13"/>
    </row>
    <row r="2809" spans="1:1" x14ac:dyDescent="0.25">
      <c r="A2809" s="13"/>
    </row>
    <row r="2810" spans="1:1" x14ac:dyDescent="0.25">
      <c r="A2810" s="13"/>
    </row>
    <row r="2811" spans="1:1" x14ac:dyDescent="0.25">
      <c r="A2811" s="13"/>
    </row>
    <row r="2812" spans="1:1" x14ac:dyDescent="0.25">
      <c r="A2812" s="13"/>
    </row>
    <row r="2813" spans="1:1" x14ac:dyDescent="0.25">
      <c r="A2813" s="13"/>
    </row>
    <row r="2814" spans="1:1" x14ac:dyDescent="0.25">
      <c r="A2814" s="13"/>
    </row>
    <row r="2815" spans="1:1" x14ac:dyDescent="0.25">
      <c r="A2815" s="13"/>
    </row>
    <row r="2816" spans="1:1" x14ac:dyDescent="0.25">
      <c r="A2816" s="13"/>
    </row>
    <row r="2817" spans="1:1" x14ac:dyDescent="0.25">
      <c r="A2817" s="13"/>
    </row>
    <row r="2818" spans="1:1" x14ac:dyDescent="0.25">
      <c r="A2818" s="13"/>
    </row>
    <row r="2819" spans="1:1" x14ac:dyDescent="0.25">
      <c r="A2819" s="13"/>
    </row>
    <row r="2820" spans="1:1" x14ac:dyDescent="0.25">
      <c r="A2820" s="13"/>
    </row>
    <row r="2821" spans="1:1" x14ac:dyDescent="0.25">
      <c r="A2821" s="13"/>
    </row>
    <row r="2822" spans="1:1" x14ac:dyDescent="0.25">
      <c r="A2822" s="13"/>
    </row>
    <row r="2823" spans="1:1" x14ac:dyDescent="0.25">
      <c r="A2823" s="13"/>
    </row>
    <row r="2824" spans="1:1" x14ac:dyDescent="0.25">
      <c r="A2824" s="13"/>
    </row>
    <row r="2825" spans="1:1" x14ac:dyDescent="0.25">
      <c r="A2825" s="13"/>
    </row>
    <row r="2826" spans="1:1" x14ac:dyDescent="0.25">
      <c r="A2826" s="13"/>
    </row>
    <row r="2827" spans="1:1" x14ac:dyDescent="0.25">
      <c r="A2827" s="13"/>
    </row>
    <row r="2828" spans="1:1" x14ac:dyDescent="0.25">
      <c r="A2828" s="13"/>
    </row>
    <row r="2829" spans="1:1" x14ac:dyDescent="0.25">
      <c r="A2829" s="13"/>
    </row>
    <row r="2830" spans="1:1" x14ac:dyDescent="0.25">
      <c r="A2830" s="13"/>
    </row>
    <row r="2831" spans="1:1" x14ac:dyDescent="0.25">
      <c r="A2831" s="13"/>
    </row>
    <row r="2832" spans="1:1" x14ac:dyDescent="0.25">
      <c r="A2832" s="13"/>
    </row>
    <row r="2833" spans="1:1" x14ac:dyDescent="0.25">
      <c r="A2833" s="13"/>
    </row>
    <row r="2834" spans="1:1" x14ac:dyDescent="0.25">
      <c r="A2834" s="13"/>
    </row>
    <row r="2835" spans="1:1" x14ac:dyDescent="0.25">
      <c r="A2835" s="13"/>
    </row>
    <row r="2836" spans="1:1" x14ac:dyDescent="0.25">
      <c r="A2836" s="13"/>
    </row>
    <row r="2837" spans="1:1" x14ac:dyDescent="0.25">
      <c r="A2837" s="13"/>
    </row>
    <row r="2838" spans="1:1" x14ac:dyDescent="0.25">
      <c r="A2838" s="13"/>
    </row>
    <row r="2839" spans="1:1" x14ac:dyDescent="0.25">
      <c r="A2839" s="13"/>
    </row>
    <row r="2840" spans="1:1" x14ac:dyDescent="0.25">
      <c r="A2840" s="13"/>
    </row>
    <row r="2841" spans="1:1" x14ac:dyDescent="0.25">
      <c r="A2841" s="13"/>
    </row>
    <row r="2842" spans="1:1" x14ac:dyDescent="0.25">
      <c r="A2842" s="13"/>
    </row>
    <row r="2843" spans="1:1" x14ac:dyDescent="0.25">
      <c r="A2843" s="13"/>
    </row>
    <row r="2844" spans="1:1" x14ac:dyDescent="0.25">
      <c r="A2844" s="13"/>
    </row>
    <row r="2845" spans="1:1" x14ac:dyDescent="0.25">
      <c r="A2845" s="13"/>
    </row>
    <row r="2846" spans="1:1" x14ac:dyDescent="0.25">
      <c r="A2846" s="13"/>
    </row>
    <row r="2847" spans="1:1" x14ac:dyDescent="0.25">
      <c r="A2847" s="13"/>
    </row>
    <row r="2848" spans="1:1" x14ac:dyDescent="0.25">
      <c r="A2848" s="13"/>
    </row>
    <row r="2849" spans="1:1" x14ac:dyDescent="0.25">
      <c r="A2849" s="13"/>
    </row>
    <row r="2850" spans="1:1" x14ac:dyDescent="0.25">
      <c r="A2850" s="13"/>
    </row>
    <row r="2851" spans="1:1" x14ac:dyDescent="0.25">
      <c r="A2851" s="13"/>
    </row>
    <row r="2852" spans="1:1" x14ac:dyDescent="0.25">
      <c r="A2852" s="13"/>
    </row>
    <row r="2853" spans="1:1" x14ac:dyDescent="0.25">
      <c r="A2853" s="13"/>
    </row>
    <row r="2854" spans="1:1" x14ac:dyDescent="0.25">
      <c r="A2854" s="13"/>
    </row>
    <row r="2855" spans="1:1" x14ac:dyDescent="0.25">
      <c r="A2855" s="13"/>
    </row>
    <row r="2856" spans="1:1" x14ac:dyDescent="0.25">
      <c r="A2856" s="13"/>
    </row>
    <row r="2857" spans="1:1" x14ac:dyDescent="0.25">
      <c r="A2857" s="13"/>
    </row>
    <row r="2858" spans="1:1" x14ac:dyDescent="0.25">
      <c r="A2858" s="13"/>
    </row>
    <row r="2859" spans="1:1" x14ac:dyDescent="0.25">
      <c r="A2859" s="13"/>
    </row>
    <row r="2860" spans="1:1" x14ac:dyDescent="0.25">
      <c r="A2860" s="13"/>
    </row>
    <row r="2861" spans="1:1" x14ac:dyDescent="0.25">
      <c r="A2861" s="13"/>
    </row>
    <row r="2862" spans="1:1" x14ac:dyDescent="0.25">
      <c r="A2862" s="13"/>
    </row>
    <row r="2863" spans="1:1" x14ac:dyDescent="0.25">
      <c r="A2863" s="13"/>
    </row>
    <row r="2864" spans="1:1" x14ac:dyDescent="0.25">
      <c r="A2864" s="13"/>
    </row>
    <row r="2865" spans="1:1" x14ac:dyDescent="0.25">
      <c r="A2865" s="13"/>
    </row>
    <row r="2866" spans="1:1" x14ac:dyDescent="0.25">
      <c r="A2866" s="13"/>
    </row>
    <row r="2867" spans="1:1" x14ac:dyDescent="0.25">
      <c r="A2867" s="13"/>
    </row>
    <row r="2868" spans="1:1" x14ac:dyDescent="0.25">
      <c r="A2868" s="13"/>
    </row>
    <row r="2869" spans="1:1" x14ac:dyDescent="0.25">
      <c r="A2869" s="13"/>
    </row>
    <row r="2870" spans="1:1" x14ac:dyDescent="0.25">
      <c r="A2870" s="13"/>
    </row>
    <row r="2871" spans="1:1" x14ac:dyDescent="0.25">
      <c r="A2871" s="13"/>
    </row>
    <row r="2872" spans="1:1" x14ac:dyDescent="0.25">
      <c r="A2872" s="13"/>
    </row>
    <row r="2873" spans="1:1" x14ac:dyDescent="0.25">
      <c r="A2873" s="13"/>
    </row>
    <row r="2874" spans="1:1" x14ac:dyDescent="0.25">
      <c r="A2874" s="13"/>
    </row>
    <row r="2875" spans="1:1" x14ac:dyDescent="0.25">
      <c r="A2875" s="13"/>
    </row>
    <row r="2876" spans="1:1" x14ac:dyDescent="0.25">
      <c r="A2876" s="13"/>
    </row>
    <row r="2877" spans="1:1" x14ac:dyDescent="0.25">
      <c r="A2877" s="13"/>
    </row>
    <row r="2878" spans="1:1" x14ac:dyDescent="0.25">
      <c r="A2878" s="13"/>
    </row>
    <row r="2879" spans="1:1" x14ac:dyDescent="0.25">
      <c r="A2879" s="13"/>
    </row>
    <row r="2880" spans="1:1" x14ac:dyDescent="0.25">
      <c r="A2880" s="13"/>
    </row>
    <row r="2881" spans="1:1" x14ac:dyDescent="0.25">
      <c r="A2881" s="13"/>
    </row>
    <row r="2882" spans="1:1" x14ac:dyDescent="0.25">
      <c r="A2882" s="13"/>
    </row>
    <row r="2883" spans="1:1" x14ac:dyDescent="0.25">
      <c r="A2883" s="13"/>
    </row>
    <row r="2884" spans="1:1" x14ac:dyDescent="0.25">
      <c r="A2884" s="13"/>
    </row>
    <row r="2885" spans="1:1" x14ac:dyDescent="0.25">
      <c r="A2885" s="13"/>
    </row>
    <row r="2886" spans="1:1" x14ac:dyDescent="0.25">
      <c r="A2886" s="13"/>
    </row>
    <row r="2887" spans="1:1" x14ac:dyDescent="0.25">
      <c r="A2887" s="13"/>
    </row>
    <row r="2888" spans="1:1" x14ac:dyDescent="0.25">
      <c r="A2888" s="13"/>
    </row>
    <row r="2889" spans="1:1" x14ac:dyDescent="0.25">
      <c r="A2889" s="13"/>
    </row>
    <row r="2890" spans="1:1" x14ac:dyDescent="0.25">
      <c r="A2890" s="13"/>
    </row>
    <row r="2891" spans="1:1" x14ac:dyDescent="0.25">
      <c r="A2891" s="13"/>
    </row>
    <row r="2892" spans="1:1" x14ac:dyDescent="0.25">
      <c r="A2892" s="13"/>
    </row>
    <row r="2893" spans="1:1" x14ac:dyDescent="0.25">
      <c r="A2893" s="13"/>
    </row>
    <row r="2894" spans="1:1" x14ac:dyDescent="0.25">
      <c r="A2894" s="13"/>
    </row>
    <row r="2895" spans="1:1" x14ac:dyDescent="0.25">
      <c r="A2895" s="13"/>
    </row>
    <row r="2896" spans="1:1" x14ac:dyDescent="0.25">
      <c r="A2896" s="13"/>
    </row>
    <row r="2897" spans="1:1" x14ac:dyDescent="0.25">
      <c r="A2897" s="13"/>
    </row>
    <row r="2898" spans="1:1" x14ac:dyDescent="0.25">
      <c r="A2898" s="13"/>
    </row>
    <row r="2899" spans="1:1" x14ac:dyDescent="0.25">
      <c r="A2899" s="13"/>
    </row>
    <row r="2900" spans="1:1" x14ac:dyDescent="0.25">
      <c r="A2900" s="13"/>
    </row>
    <row r="2901" spans="1:1" x14ac:dyDescent="0.25">
      <c r="A2901" s="13"/>
    </row>
    <row r="2902" spans="1:1" x14ac:dyDescent="0.25">
      <c r="A2902" s="13"/>
    </row>
    <row r="2903" spans="1:1" x14ac:dyDescent="0.25">
      <c r="A2903" s="13"/>
    </row>
    <row r="2904" spans="1:1" x14ac:dyDescent="0.25">
      <c r="A2904" s="13"/>
    </row>
    <row r="2905" spans="1:1" x14ac:dyDescent="0.25">
      <c r="A2905" s="13"/>
    </row>
    <row r="2906" spans="1:1" x14ac:dyDescent="0.25">
      <c r="A2906" s="13"/>
    </row>
    <row r="2907" spans="1:1" x14ac:dyDescent="0.25">
      <c r="A2907" s="13"/>
    </row>
    <row r="2908" spans="1:1" x14ac:dyDescent="0.25">
      <c r="A2908" s="13"/>
    </row>
    <row r="2909" spans="1:1" x14ac:dyDescent="0.25">
      <c r="A2909" s="13"/>
    </row>
    <row r="2910" spans="1:1" x14ac:dyDescent="0.25">
      <c r="A2910" s="13"/>
    </row>
    <row r="2911" spans="1:1" x14ac:dyDescent="0.25">
      <c r="A2911" s="13"/>
    </row>
    <row r="2912" spans="1:1" x14ac:dyDescent="0.25">
      <c r="A2912" s="13"/>
    </row>
    <row r="2913" spans="1:1" x14ac:dyDescent="0.25">
      <c r="A2913" s="13"/>
    </row>
    <row r="2914" spans="1:1" x14ac:dyDescent="0.25">
      <c r="A2914" s="13"/>
    </row>
    <row r="2915" spans="1:1" x14ac:dyDescent="0.25">
      <c r="A2915" s="13"/>
    </row>
    <row r="2916" spans="1:1" x14ac:dyDescent="0.25">
      <c r="A2916" s="13"/>
    </row>
    <row r="2917" spans="1:1" x14ac:dyDescent="0.25">
      <c r="A2917" s="13"/>
    </row>
    <row r="2918" spans="1:1" x14ac:dyDescent="0.25">
      <c r="A2918" s="13"/>
    </row>
    <row r="2919" spans="1:1" x14ac:dyDescent="0.25">
      <c r="A2919" s="13"/>
    </row>
    <row r="2920" spans="1:1" x14ac:dyDescent="0.25">
      <c r="A2920" s="13"/>
    </row>
    <row r="2921" spans="1:1" x14ac:dyDescent="0.25">
      <c r="A2921" s="13"/>
    </row>
    <row r="2922" spans="1:1" x14ac:dyDescent="0.25">
      <c r="A2922" s="13"/>
    </row>
    <row r="2923" spans="1:1" x14ac:dyDescent="0.25">
      <c r="A2923" s="13"/>
    </row>
    <row r="2924" spans="1:1" x14ac:dyDescent="0.25">
      <c r="A2924" s="13"/>
    </row>
    <row r="2925" spans="1:1" x14ac:dyDescent="0.25">
      <c r="A2925" s="13"/>
    </row>
    <row r="2926" spans="1:1" x14ac:dyDescent="0.25">
      <c r="A2926" s="13"/>
    </row>
    <row r="2927" spans="1:1" x14ac:dyDescent="0.25">
      <c r="A2927" s="13"/>
    </row>
    <row r="2928" spans="1:1" x14ac:dyDescent="0.25">
      <c r="A2928" s="13"/>
    </row>
    <row r="2929" spans="1:1" x14ac:dyDescent="0.25">
      <c r="A2929" s="13"/>
    </row>
    <row r="2930" spans="1:1" x14ac:dyDescent="0.25">
      <c r="A2930" s="13"/>
    </row>
    <row r="2931" spans="1:1" x14ac:dyDescent="0.25">
      <c r="A2931" s="13"/>
    </row>
    <row r="2932" spans="1:1" x14ac:dyDescent="0.25">
      <c r="A2932" s="13"/>
    </row>
    <row r="2933" spans="1:1" x14ac:dyDescent="0.25">
      <c r="A2933" s="13"/>
    </row>
    <row r="2934" spans="1:1" x14ac:dyDescent="0.25">
      <c r="A2934" s="13"/>
    </row>
    <row r="2935" spans="1:1" x14ac:dyDescent="0.25">
      <c r="A2935" s="13"/>
    </row>
    <row r="2936" spans="1:1" x14ac:dyDescent="0.25">
      <c r="A2936" s="13"/>
    </row>
    <row r="2937" spans="1:1" x14ac:dyDescent="0.25">
      <c r="A2937" s="13"/>
    </row>
    <row r="2938" spans="1:1" x14ac:dyDescent="0.25">
      <c r="A2938" s="13"/>
    </row>
    <row r="2939" spans="1:1" x14ac:dyDescent="0.25">
      <c r="A2939" s="13"/>
    </row>
    <row r="2940" spans="1:1" x14ac:dyDescent="0.25">
      <c r="A2940" s="13"/>
    </row>
    <row r="2941" spans="1:1" x14ac:dyDescent="0.25">
      <c r="A2941" s="13"/>
    </row>
    <row r="2942" spans="1:1" x14ac:dyDescent="0.25">
      <c r="A2942" s="13"/>
    </row>
    <row r="2943" spans="1:1" x14ac:dyDescent="0.25">
      <c r="A2943" s="13"/>
    </row>
    <row r="2944" spans="1:1" x14ac:dyDescent="0.25">
      <c r="A2944" s="13"/>
    </row>
    <row r="2945" spans="1:1" x14ac:dyDescent="0.25">
      <c r="A2945" s="13"/>
    </row>
    <row r="2946" spans="1:1" x14ac:dyDescent="0.25">
      <c r="A2946" s="13"/>
    </row>
    <row r="2947" spans="1:1" x14ac:dyDescent="0.25">
      <c r="A2947" s="13"/>
    </row>
    <row r="2948" spans="1:1" x14ac:dyDescent="0.25">
      <c r="A2948" s="13"/>
    </row>
    <row r="2949" spans="1:1" x14ac:dyDescent="0.25">
      <c r="A2949" s="13"/>
    </row>
    <row r="2950" spans="1:1" x14ac:dyDescent="0.25">
      <c r="A2950" s="13"/>
    </row>
    <row r="2951" spans="1:1" x14ac:dyDescent="0.25">
      <c r="A2951" s="13"/>
    </row>
    <row r="2952" spans="1:1" x14ac:dyDescent="0.25">
      <c r="A2952" s="13"/>
    </row>
    <row r="2953" spans="1:1" x14ac:dyDescent="0.25">
      <c r="A2953" s="13"/>
    </row>
    <row r="2954" spans="1:1" x14ac:dyDescent="0.25">
      <c r="A2954" s="13"/>
    </row>
    <row r="2955" spans="1:1" x14ac:dyDescent="0.25">
      <c r="A2955" s="13"/>
    </row>
    <row r="2956" spans="1:1" x14ac:dyDescent="0.25">
      <c r="A2956" s="13"/>
    </row>
    <row r="2957" spans="1:1" x14ac:dyDescent="0.25">
      <c r="A2957" s="13"/>
    </row>
    <row r="2958" spans="1:1" x14ac:dyDescent="0.25">
      <c r="A2958" s="13"/>
    </row>
    <row r="2959" spans="1:1" x14ac:dyDescent="0.25">
      <c r="A2959" s="13"/>
    </row>
    <row r="2960" spans="1:1" x14ac:dyDescent="0.25">
      <c r="A2960" s="13"/>
    </row>
    <row r="2961" spans="1:1" x14ac:dyDescent="0.25">
      <c r="A2961" s="13"/>
    </row>
    <row r="2962" spans="1:1" x14ac:dyDescent="0.25">
      <c r="A2962" s="13"/>
    </row>
    <row r="2963" spans="1:1" x14ac:dyDescent="0.25">
      <c r="A2963" s="13"/>
    </row>
    <row r="2964" spans="1:1" x14ac:dyDescent="0.25">
      <c r="A2964" s="13"/>
    </row>
    <row r="2965" spans="1:1" x14ac:dyDescent="0.25">
      <c r="A2965" s="13"/>
    </row>
    <row r="2966" spans="1:1" x14ac:dyDescent="0.25">
      <c r="A2966" s="13"/>
    </row>
    <row r="2967" spans="1:1" x14ac:dyDescent="0.25">
      <c r="A2967" s="13"/>
    </row>
    <row r="2968" spans="1:1" x14ac:dyDescent="0.25">
      <c r="A2968" s="13"/>
    </row>
    <row r="2969" spans="1:1" x14ac:dyDescent="0.25">
      <c r="A2969" s="13"/>
    </row>
    <row r="2970" spans="1:1" x14ac:dyDescent="0.25">
      <c r="A2970" s="13"/>
    </row>
    <row r="2971" spans="1:1" x14ac:dyDescent="0.25">
      <c r="A2971" s="13"/>
    </row>
    <row r="2972" spans="1:1" x14ac:dyDescent="0.25">
      <c r="A2972" s="13"/>
    </row>
    <row r="2973" spans="1:1" x14ac:dyDescent="0.25">
      <c r="A2973" s="13"/>
    </row>
    <row r="2974" spans="1:1" x14ac:dyDescent="0.25">
      <c r="A2974" s="13"/>
    </row>
    <row r="2975" spans="1:1" x14ac:dyDescent="0.25">
      <c r="A2975" s="13"/>
    </row>
    <row r="2976" spans="1:1" x14ac:dyDescent="0.25">
      <c r="A2976" s="13"/>
    </row>
    <row r="2977" spans="1:1" x14ac:dyDescent="0.25">
      <c r="A2977" s="13"/>
    </row>
    <row r="2978" spans="1:1" x14ac:dyDescent="0.25">
      <c r="A2978" s="13"/>
    </row>
    <row r="2979" spans="1:1" x14ac:dyDescent="0.25">
      <c r="A2979" s="13"/>
    </row>
    <row r="2980" spans="1:1" x14ac:dyDescent="0.25">
      <c r="A2980" s="13"/>
    </row>
    <row r="2981" spans="1:1" x14ac:dyDescent="0.25">
      <c r="A2981" s="13"/>
    </row>
    <row r="2982" spans="1:1" x14ac:dyDescent="0.25">
      <c r="A2982" s="13"/>
    </row>
    <row r="2983" spans="1:1" x14ac:dyDescent="0.25">
      <c r="A2983" s="13"/>
    </row>
    <row r="2984" spans="1:1" x14ac:dyDescent="0.25">
      <c r="A2984" s="13"/>
    </row>
    <row r="2985" spans="1:1" x14ac:dyDescent="0.25">
      <c r="A2985" s="13"/>
    </row>
    <row r="2986" spans="1:1" x14ac:dyDescent="0.25">
      <c r="A2986" s="13"/>
    </row>
    <row r="2987" spans="1:1" x14ac:dyDescent="0.25">
      <c r="A2987" s="13"/>
    </row>
    <row r="2988" spans="1:1" x14ac:dyDescent="0.25">
      <c r="A2988" s="13"/>
    </row>
    <row r="2989" spans="1:1" x14ac:dyDescent="0.25">
      <c r="A2989" s="13"/>
    </row>
    <row r="2990" spans="1:1" x14ac:dyDescent="0.25">
      <c r="A2990" s="13"/>
    </row>
    <row r="2991" spans="1:1" x14ac:dyDescent="0.25">
      <c r="A2991" s="13"/>
    </row>
    <row r="2992" spans="1:1" x14ac:dyDescent="0.25">
      <c r="A2992" s="13"/>
    </row>
    <row r="2993" spans="1:1" x14ac:dyDescent="0.25">
      <c r="A2993" s="13"/>
    </row>
    <row r="2994" spans="1:1" x14ac:dyDescent="0.25">
      <c r="A2994" s="13"/>
    </row>
    <row r="2995" spans="1:1" x14ac:dyDescent="0.25">
      <c r="A2995" s="13"/>
    </row>
    <row r="2996" spans="1:1" x14ac:dyDescent="0.25">
      <c r="A2996" s="13"/>
    </row>
    <row r="2997" spans="1:1" x14ac:dyDescent="0.25">
      <c r="A2997" s="13"/>
    </row>
    <row r="2998" spans="1:1" x14ac:dyDescent="0.25">
      <c r="A2998" s="13"/>
    </row>
    <row r="2999" spans="1:1" x14ac:dyDescent="0.25">
      <c r="A2999" s="13"/>
    </row>
    <row r="3000" spans="1:1" x14ac:dyDescent="0.25">
      <c r="A3000" s="13"/>
    </row>
    <row r="3001" spans="1:1" x14ac:dyDescent="0.25">
      <c r="A3001" s="13"/>
    </row>
    <row r="3002" spans="1:1" x14ac:dyDescent="0.25">
      <c r="A3002" s="13"/>
    </row>
    <row r="3003" spans="1:1" x14ac:dyDescent="0.25">
      <c r="A3003" s="13"/>
    </row>
    <row r="3004" spans="1:1" x14ac:dyDescent="0.25">
      <c r="A3004" s="13"/>
    </row>
    <row r="3005" spans="1:1" x14ac:dyDescent="0.25">
      <c r="A3005" s="13"/>
    </row>
    <row r="3006" spans="1:1" x14ac:dyDescent="0.25">
      <c r="A3006" s="13"/>
    </row>
    <row r="3007" spans="1:1" x14ac:dyDescent="0.25">
      <c r="A3007" s="13"/>
    </row>
    <row r="3008" spans="1:1" x14ac:dyDescent="0.25">
      <c r="A3008" s="13"/>
    </row>
    <row r="3009" spans="1:1" x14ac:dyDescent="0.25">
      <c r="A3009" s="13"/>
    </row>
    <row r="3010" spans="1:1" x14ac:dyDescent="0.25">
      <c r="A3010" s="13"/>
    </row>
    <row r="3011" spans="1:1" x14ac:dyDescent="0.25">
      <c r="A3011" s="13"/>
    </row>
    <row r="3012" spans="1:1" x14ac:dyDescent="0.25">
      <c r="A3012" s="13"/>
    </row>
    <row r="3013" spans="1:1" x14ac:dyDescent="0.25">
      <c r="A3013" s="13"/>
    </row>
    <row r="3014" spans="1:1" x14ac:dyDescent="0.25">
      <c r="A3014" s="13"/>
    </row>
    <row r="3015" spans="1:1" x14ac:dyDescent="0.25">
      <c r="A3015" s="13"/>
    </row>
    <row r="3016" spans="1:1" x14ac:dyDescent="0.25">
      <c r="A3016" s="13"/>
    </row>
    <row r="3017" spans="1:1" x14ac:dyDescent="0.25">
      <c r="A3017" s="13"/>
    </row>
    <row r="3018" spans="1:1" x14ac:dyDescent="0.25">
      <c r="A3018" s="13"/>
    </row>
    <row r="3019" spans="1:1" x14ac:dyDescent="0.25">
      <c r="A3019" s="13"/>
    </row>
    <row r="3020" spans="1:1" x14ac:dyDescent="0.25">
      <c r="A3020" s="13"/>
    </row>
    <row r="3021" spans="1:1" x14ac:dyDescent="0.25">
      <c r="A3021" s="13"/>
    </row>
    <row r="3022" spans="1:1" x14ac:dyDescent="0.25">
      <c r="A3022" s="13"/>
    </row>
    <row r="3023" spans="1:1" x14ac:dyDescent="0.25">
      <c r="A3023" s="13"/>
    </row>
    <row r="3024" spans="1:1" x14ac:dyDescent="0.25">
      <c r="A3024" s="13"/>
    </row>
    <row r="3025" spans="1:1" x14ac:dyDescent="0.25">
      <c r="A3025" s="13"/>
    </row>
    <row r="3026" spans="1:1" x14ac:dyDescent="0.25">
      <c r="A3026" s="13"/>
    </row>
    <row r="3027" spans="1:1" x14ac:dyDescent="0.25">
      <c r="A3027" s="13"/>
    </row>
    <row r="3028" spans="1:1" x14ac:dyDescent="0.25">
      <c r="A3028" s="13"/>
    </row>
    <row r="3029" spans="1:1" x14ac:dyDescent="0.25">
      <c r="A3029" s="13"/>
    </row>
    <row r="3030" spans="1:1" x14ac:dyDescent="0.25">
      <c r="A3030" s="13"/>
    </row>
    <row r="3031" spans="1:1" x14ac:dyDescent="0.25">
      <c r="A3031" s="13"/>
    </row>
    <row r="3032" spans="1:1" x14ac:dyDescent="0.25">
      <c r="A3032" s="13"/>
    </row>
    <row r="3033" spans="1:1" x14ac:dyDescent="0.25">
      <c r="A3033" s="13"/>
    </row>
    <row r="3034" spans="1:1" x14ac:dyDescent="0.25">
      <c r="A3034" s="13"/>
    </row>
    <row r="3035" spans="1:1" x14ac:dyDescent="0.25">
      <c r="A3035" s="13"/>
    </row>
    <row r="3036" spans="1:1" x14ac:dyDescent="0.25">
      <c r="A3036" s="13"/>
    </row>
    <row r="3037" spans="1:1" x14ac:dyDescent="0.25">
      <c r="A3037" s="13"/>
    </row>
    <row r="3038" spans="1:1" x14ac:dyDescent="0.25">
      <c r="A3038" s="13"/>
    </row>
    <row r="3039" spans="1:1" x14ac:dyDescent="0.25">
      <c r="A3039" s="13"/>
    </row>
    <row r="3040" spans="1:1" x14ac:dyDescent="0.25">
      <c r="A3040" s="13"/>
    </row>
    <row r="3041" spans="1:1" x14ac:dyDescent="0.25">
      <c r="A3041" s="13"/>
    </row>
    <row r="3042" spans="1:1" x14ac:dyDescent="0.25">
      <c r="A3042" s="13"/>
    </row>
    <row r="3043" spans="1:1" x14ac:dyDescent="0.25">
      <c r="A3043" s="13"/>
    </row>
    <row r="3044" spans="1:1" x14ac:dyDescent="0.25">
      <c r="A3044" s="13"/>
    </row>
    <row r="3045" spans="1:1" x14ac:dyDescent="0.25">
      <c r="A3045" s="13"/>
    </row>
    <row r="3046" spans="1:1" x14ac:dyDescent="0.25">
      <c r="A3046" s="13"/>
    </row>
    <row r="3047" spans="1:1" x14ac:dyDescent="0.25">
      <c r="A3047" s="13"/>
    </row>
    <row r="3048" spans="1:1" x14ac:dyDescent="0.25">
      <c r="A3048" s="13"/>
    </row>
    <row r="3049" spans="1:1" x14ac:dyDescent="0.25">
      <c r="A3049" s="13"/>
    </row>
    <row r="3050" spans="1:1" x14ac:dyDescent="0.25">
      <c r="A3050" s="13"/>
    </row>
    <row r="3051" spans="1:1" x14ac:dyDescent="0.25">
      <c r="A3051" s="13"/>
    </row>
    <row r="3052" spans="1:1" x14ac:dyDescent="0.25">
      <c r="A3052" s="13"/>
    </row>
    <row r="3053" spans="1:1" x14ac:dyDescent="0.25">
      <c r="A3053" s="13"/>
    </row>
    <row r="3054" spans="1:1" x14ac:dyDescent="0.25">
      <c r="A3054" s="13"/>
    </row>
    <row r="3055" spans="1:1" x14ac:dyDescent="0.25">
      <c r="A3055" s="13"/>
    </row>
    <row r="3056" spans="1:1" x14ac:dyDescent="0.25">
      <c r="A3056" s="13"/>
    </row>
    <row r="3057" spans="1:1" x14ac:dyDescent="0.25">
      <c r="A3057" s="13"/>
    </row>
    <row r="3058" spans="1:1" x14ac:dyDescent="0.25">
      <c r="A3058" s="13"/>
    </row>
    <row r="3059" spans="1:1" x14ac:dyDescent="0.25">
      <c r="A3059" s="13"/>
    </row>
    <row r="3060" spans="1:1" x14ac:dyDescent="0.25">
      <c r="A3060" s="13"/>
    </row>
    <row r="3061" spans="1:1" x14ac:dyDescent="0.25">
      <c r="A3061" s="13"/>
    </row>
    <row r="3062" spans="1:1" x14ac:dyDescent="0.25">
      <c r="A3062" s="13"/>
    </row>
    <row r="3063" spans="1:1" x14ac:dyDescent="0.25">
      <c r="A3063" s="13"/>
    </row>
    <row r="3064" spans="1:1" x14ac:dyDescent="0.25">
      <c r="A3064" s="13"/>
    </row>
    <row r="3065" spans="1:1" x14ac:dyDescent="0.25">
      <c r="A3065" s="13"/>
    </row>
    <row r="3066" spans="1:1" x14ac:dyDescent="0.25">
      <c r="A3066" s="13"/>
    </row>
    <row r="3067" spans="1:1" x14ac:dyDescent="0.25">
      <c r="A3067" s="13"/>
    </row>
    <row r="3068" spans="1:1" x14ac:dyDescent="0.25">
      <c r="A3068" s="13"/>
    </row>
    <row r="3069" spans="1:1" x14ac:dyDescent="0.25">
      <c r="A3069" s="13"/>
    </row>
    <row r="3070" spans="1:1" x14ac:dyDescent="0.25">
      <c r="A3070" s="13"/>
    </row>
    <row r="3071" spans="1:1" x14ac:dyDescent="0.25">
      <c r="A3071" s="13"/>
    </row>
    <row r="3072" spans="1:1" x14ac:dyDescent="0.25">
      <c r="A3072" s="13"/>
    </row>
    <row r="3073" spans="1:1" x14ac:dyDescent="0.25">
      <c r="A3073" s="13"/>
    </row>
    <row r="3074" spans="1:1" x14ac:dyDescent="0.25">
      <c r="A3074" s="13"/>
    </row>
    <row r="3075" spans="1:1" x14ac:dyDescent="0.25">
      <c r="A3075" s="13"/>
    </row>
    <row r="3076" spans="1:1" x14ac:dyDescent="0.25">
      <c r="A3076" s="13"/>
    </row>
    <row r="3077" spans="1:1" x14ac:dyDescent="0.25">
      <c r="A3077" s="13"/>
    </row>
    <row r="3078" spans="1:1" x14ac:dyDescent="0.25">
      <c r="A3078" s="13"/>
    </row>
    <row r="3079" spans="1:1" x14ac:dyDescent="0.25">
      <c r="A3079" s="13"/>
    </row>
    <row r="3080" spans="1:1" x14ac:dyDescent="0.25">
      <c r="A3080" s="13"/>
    </row>
    <row r="3081" spans="1:1" x14ac:dyDescent="0.25">
      <c r="A3081" s="13"/>
    </row>
    <row r="3082" spans="1:1" x14ac:dyDescent="0.25">
      <c r="A3082" s="13"/>
    </row>
    <row r="3083" spans="1:1" x14ac:dyDescent="0.25">
      <c r="A3083" s="13"/>
    </row>
    <row r="3084" spans="1:1" x14ac:dyDescent="0.25">
      <c r="A3084" s="13"/>
    </row>
    <row r="3085" spans="1:1" x14ac:dyDescent="0.25">
      <c r="A3085" s="13"/>
    </row>
    <row r="3086" spans="1:1" x14ac:dyDescent="0.25">
      <c r="A3086" s="13"/>
    </row>
    <row r="3087" spans="1:1" x14ac:dyDescent="0.25">
      <c r="A3087" s="13"/>
    </row>
    <row r="3088" spans="1:1" x14ac:dyDescent="0.25">
      <c r="A3088" s="13"/>
    </row>
    <row r="3089" spans="1:1" x14ac:dyDescent="0.25">
      <c r="A3089" s="13"/>
    </row>
    <row r="3090" spans="1:1" x14ac:dyDescent="0.25">
      <c r="A3090" s="13"/>
    </row>
    <row r="3091" spans="1:1" x14ac:dyDescent="0.25">
      <c r="A3091" s="13"/>
    </row>
    <row r="3092" spans="1:1" x14ac:dyDescent="0.25">
      <c r="A3092" s="13"/>
    </row>
    <row r="3093" spans="1:1" x14ac:dyDescent="0.25">
      <c r="A3093" s="13"/>
    </row>
    <row r="3094" spans="1:1" x14ac:dyDescent="0.25">
      <c r="A3094" s="13"/>
    </row>
    <row r="3095" spans="1:1" x14ac:dyDescent="0.25">
      <c r="A3095" s="13"/>
    </row>
    <row r="3096" spans="1:1" x14ac:dyDescent="0.25">
      <c r="A3096" s="13"/>
    </row>
    <row r="3097" spans="1:1" x14ac:dyDescent="0.25">
      <c r="A3097" s="13"/>
    </row>
    <row r="3098" spans="1:1" x14ac:dyDescent="0.25">
      <c r="A3098" s="13"/>
    </row>
    <row r="3099" spans="1:1" x14ac:dyDescent="0.25">
      <c r="A3099" s="13"/>
    </row>
    <row r="3100" spans="1:1" x14ac:dyDescent="0.25">
      <c r="A3100" s="13"/>
    </row>
    <row r="3101" spans="1:1" x14ac:dyDescent="0.25">
      <c r="A3101" s="13"/>
    </row>
    <row r="3102" spans="1:1" x14ac:dyDescent="0.25">
      <c r="A3102" s="13"/>
    </row>
    <row r="3103" spans="1:1" x14ac:dyDescent="0.25">
      <c r="A3103" s="13"/>
    </row>
    <row r="3104" spans="1:1" x14ac:dyDescent="0.25">
      <c r="A3104" s="13"/>
    </row>
    <row r="3105" spans="1:1" x14ac:dyDescent="0.25">
      <c r="A3105" s="13"/>
    </row>
    <row r="3106" spans="1:1" x14ac:dyDescent="0.25">
      <c r="A3106" s="13"/>
    </row>
    <row r="3107" spans="1:1" x14ac:dyDescent="0.25">
      <c r="A3107" s="13"/>
    </row>
    <row r="3108" spans="1:1" x14ac:dyDescent="0.25">
      <c r="A3108" s="13"/>
    </row>
    <row r="3109" spans="1:1" x14ac:dyDescent="0.25">
      <c r="A3109" s="13"/>
    </row>
    <row r="3110" spans="1:1" x14ac:dyDescent="0.25">
      <c r="A3110" s="13"/>
    </row>
    <row r="3111" spans="1:1" x14ac:dyDescent="0.25">
      <c r="A3111" s="13"/>
    </row>
    <row r="3112" spans="1:1" x14ac:dyDescent="0.25">
      <c r="A3112" s="13"/>
    </row>
    <row r="3113" spans="1:1" x14ac:dyDescent="0.25">
      <c r="A3113" s="13"/>
    </row>
    <row r="3114" spans="1:1" x14ac:dyDescent="0.25">
      <c r="A3114" s="13"/>
    </row>
    <row r="3115" spans="1:1" x14ac:dyDescent="0.25">
      <c r="A3115" s="13"/>
    </row>
    <row r="3116" spans="1:1" x14ac:dyDescent="0.25">
      <c r="A3116" s="13"/>
    </row>
    <row r="3117" spans="1:1" x14ac:dyDescent="0.25">
      <c r="A3117" s="13"/>
    </row>
    <row r="3118" spans="1:1" x14ac:dyDescent="0.25">
      <c r="A3118" s="13"/>
    </row>
    <row r="3119" spans="1:1" x14ac:dyDescent="0.25">
      <c r="A3119" s="13"/>
    </row>
    <row r="3120" spans="1:1" x14ac:dyDescent="0.25">
      <c r="A3120" s="13"/>
    </row>
    <row r="3121" spans="1:1" x14ac:dyDescent="0.25">
      <c r="A3121" s="13"/>
    </row>
    <row r="3122" spans="1:1" x14ac:dyDescent="0.25">
      <c r="A3122" s="13"/>
    </row>
    <row r="3123" spans="1:1" x14ac:dyDescent="0.25">
      <c r="A3123" s="13"/>
    </row>
    <row r="3124" spans="1:1" x14ac:dyDescent="0.25">
      <c r="A3124" s="13"/>
    </row>
    <row r="3125" spans="1:1" x14ac:dyDescent="0.25">
      <c r="A3125" s="13"/>
    </row>
    <row r="3126" spans="1:1" x14ac:dyDescent="0.25">
      <c r="A3126" s="13"/>
    </row>
    <row r="3127" spans="1:1" x14ac:dyDescent="0.25">
      <c r="A3127" s="13"/>
    </row>
    <row r="3128" spans="1:1" x14ac:dyDescent="0.25">
      <c r="A3128" s="13"/>
    </row>
    <row r="3129" spans="1:1" x14ac:dyDescent="0.25">
      <c r="A3129" s="13"/>
    </row>
    <row r="3130" spans="1:1" x14ac:dyDescent="0.25">
      <c r="A3130" s="13"/>
    </row>
    <row r="3131" spans="1:1" x14ac:dyDescent="0.25">
      <c r="A3131" s="13"/>
    </row>
    <row r="3132" spans="1:1" x14ac:dyDescent="0.25">
      <c r="A3132" s="13"/>
    </row>
    <row r="3133" spans="1:1" x14ac:dyDescent="0.25">
      <c r="A3133" s="13"/>
    </row>
    <row r="3134" spans="1:1" x14ac:dyDescent="0.25">
      <c r="A3134" s="13"/>
    </row>
    <row r="3135" spans="1:1" x14ac:dyDescent="0.25">
      <c r="A3135" s="13"/>
    </row>
    <row r="3136" spans="1:1" x14ac:dyDescent="0.25">
      <c r="A3136" s="13"/>
    </row>
    <row r="3137" spans="1:1" x14ac:dyDescent="0.25">
      <c r="A3137" s="13"/>
    </row>
    <row r="3138" spans="1:1" x14ac:dyDescent="0.25">
      <c r="A3138" s="13"/>
    </row>
    <row r="3139" spans="1:1" x14ac:dyDescent="0.25">
      <c r="A3139" s="13"/>
    </row>
    <row r="3140" spans="1:1" x14ac:dyDescent="0.25">
      <c r="A3140" s="13"/>
    </row>
    <row r="3141" spans="1:1" x14ac:dyDescent="0.25">
      <c r="A3141" s="13"/>
    </row>
    <row r="3142" spans="1:1" x14ac:dyDescent="0.25">
      <c r="A3142" s="13"/>
    </row>
    <row r="3143" spans="1:1" x14ac:dyDescent="0.25">
      <c r="A3143" s="13"/>
    </row>
    <row r="3144" spans="1:1" x14ac:dyDescent="0.25">
      <c r="A3144" s="13"/>
    </row>
    <row r="3145" spans="1:1" x14ac:dyDescent="0.25">
      <c r="A3145" s="13"/>
    </row>
    <row r="3146" spans="1:1" x14ac:dyDescent="0.25">
      <c r="A3146" s="13"/>
    </row>
    <row r="3147" spans="1:1" x14ac:dyDescent="0.25">
      <c r="A3147" s="13"/>
    </row>
    <row r="3148" spans="1:1" x14ac:dyDescent="0.25">
      <c r="A3148" s="13"/>
    </row>
    <row r="3149" spans="1:1" x14ac:dyDescent="0.25">
      <c r="A3149" s="13"/>
    </row>
    <row r="3150" spans="1:1" x14ac:dyDescent="0.25">
      <c r="A3150" s="13"/>
    </row>
    <row r="3151" spans="1:1" x14ac:dyDescent="0.25">
      <c r="A3151" s="13"/>
    </row>
    <row r="3152" spans="1:1" x14ac:dyDescent="0.25">
      <c r="A3152" s="13"/>
    </row>
    <row r="3153" spans="1:1" x14ac:dyDescent="0.25">
      <c r="A3153" s="13"/>
    </row>
    <row r="3154" spans="1:1" x14ac:dyDescent="0.25">
      <c r="A3154" s="13"/>
    </row>
    <row r="3155" spans="1:1" x14ac:dyDescent="0.25">
      <c r="A3155" s="13"/>
    </row>
    <row r="3156" spans="1:1" x14ac:dyDescent="0.25">
      <c r="A3156" s="13"/>
    </row>
    <row r="3157" spans="1:1" x14ac:dyDescent="0.25">
      <c r="A3157" s="13"/>
    </row>
    <row r="3158" spans="1:1" x14ac:dyDescent="0.25">
      <c r="A3158" s="13"/>
    </row>
    <row r="3159" spans="1:1" x14ac:dyDescent="0.25">
      <c r="A3159" s="13"/>
    </row>
    <row r="3160" spans="1:1" x14ac:dyDescent="0.25">
      <c r="A3160" s="13"/>
    </row>
    <row r="3161" spans="1:1" x14ac:dyDescent="0.25">
      <c r="A3161" s="13"/>
    </row>
    <row r="3162" spans="1:1" x14ac:dyDescent="0.25">
      <c r="A3162" s="13"/>
    </row>
    <row r="3163" spans="1:1" x14ac:dyDescent="0.25">
      <c r="A3163" s="13"/>
    </row>
    <row r="3164" spans="1:1" x14ac:dyDescent="0.25">
      <c r="A3164" s="13"/>
    </row>
    <row r="3165" spans="1:1" x14ac:dyDescent="0.25">
      <c r="A3165" s="13"/>
    </row>
    <row r="3166" spans="1:1" x14ac:dyDescent="0.25">
      <c r="A3166" s="13"/>
    </row>
    <row r="3167" spans="1:1" x14ac:dyDescent="0.25">
      <c r="A3167" s="13"/>
    </row>
    <row r="3168" spans="1:1" x14ac:dyDescent="0.25">
      <c r="A3168" s="13"/>
    </row>
    <row r="3169" spans="1:1" x14ac:dyDescent="0.25">
      <c r="A3169" s="13"/>
    </row>
    <row r="3170" spans="1:1" x14ac:dyDescent="0.25">
      <c r="A3170" s="13"/>
    </row>
    <row r="3171" spans="1:1" x14ac:dyDescent="0.25">
      <c r="A3171" s="13"/>
    </row>
    <row r="3172" spans="1:1" x14ac:dyDescent="0.25">
      <c r="A3172" s="13"/>
    </row>
    <row r="3173" spans="1:1" x14ac:dyDescent="0.25">
      <c r="A3173" s="13"/>
    </row>
    <row r="3174" spans="1:1" x14ac:dyDescent="0.25">
      <c r="A3174" s="13"/>
    </row>
    <row r="3175" spans="1:1" x14ac:dyDescent="0.25">
      <c r="A3175" s="13"/>
    </row>
    <row r="3176" spans="1:1" x14ac:dyDescent="0.25">
      <c r="A3176" s="13"/>
    </row>
    <row r="3177" spans="1:1" x14ac:dyDescent="0.25">
      <c r="A3177" s="13"/>
    </row>
    <row r="3178" spans="1:1" x14ac:dyDescent="0.25">
      <c r="A3178" s="13"/>
    </row>
    <row r="3179" spans="1:1" x14ac:dyDescent="0.25">
      <c r="A3179" s="13"/>
    </row>
    <row r="3180" spans="1:1" x14ac:dyDescent="0.25">
      <c r="A3180" s="13"/>
    </row>
    <row r="3181" spans="1:1" x14ac:dyDescent="0.25">
      <c r="A3181" s="13"/>
    </row>
    <row r="3182" spans="1:1" x14ac:dyDescent="0.25">
      <c r="A3182" s="13"/>
    </row>
    <row r="3183" spans="1:1" x14ac:dyDescent="0.25">
      <c r="A3183" s="13"/>
    </row>
    <row r="3184" spans="1:1" x14ac:dyDescent="0.25">
      <c r="A3184" s="13"/>
    </row>
    <row r="3185" spans="1:1" x14ac:dyDescent="0.25">
      <c r="A3185" s="13"/>
    </row>
    <row r="3186" spans="1:1" x14ac:dyDescent="0.25">
      <c r="A3186" s="13"/>
    </row>
    <row r="3187" spans="1:1" x14ac:dyDescent="0.25">
      <c r="A3187" s="13"/>
    </row>
    <row r="3188" spans="1:1" x14ac:dyDescent="0.25">
      <c r="A3188" s="13"/>
    </row>
    <row r="3189" spans="1:1" x14ac:dyDescent="0.25">
      <c r="A3189" s="13"/>
    </row>
    <row r="3190" spans="1:1" x14ac:dyDescent="0.25">
      <c r="A3190" s="13"/>
    </row>
    <row r="3191" spans="1:1" x14ac:dyDescent="0.25">
      <c r="A3191" s="13"/>
    </row>
    <row r="3192" spans="1:1" x14ac:dyDescent="0.25">
      <c r="A3192" s="13"/>
    </row>
    <row r="3193" spans="1:1" x14ac:dyDescent="0.25">
      <c r="A3193" s="13"/>
    </row>
    <row r="3194" spans="1:1" x14ac:dyDescent="0.25">
      <c r="A3194" s="13"/>
    </row>
    <row r="3195" spans="1:1" x14ac:dyDescent="0.25">
      <c r="A3195" s="13"/>
    </row>
    <row r="3196" spans="1:1" x14ac:dyDescent="0.25">
      <c r="A3196" s="13"/>
    </row>
    <row r="3197" spans="1:1" x14ac:dyDescent="0.25">
      <c r="A3197" s="13"/>
    </row>
    <row r="3198" spans="1:1" x14ac:dyDescent="0.25">
      <c r="A3198" s="13"/>
    </row>
    <row r="3199" spans="1:1" x14ac:dyDescent="0.25">
      <c r="A3199" s="13"/>
    </row>
    <row r="3200" spans="1:1" x14ac:dyDescent="0.25">
      <c r="A3200" s="13"/>
    </row>
    <row r="3201" spans="1:1" x14ac:dyDescent="0.25">
      <c r="A3201" s="13"/>
    </row>
    <row r="3202" spans="1:1" x14ac:dyDescent="0.25">
      <c r="A3202" s="13"/>
    </row>
    <row r="3203" spans="1:1" x14ac:dyDescent="0.25">
      <c r="A3203" s="13"/>
    </row>
    <row r="3204" spans="1:1" x14ac:dyDescent="0.25">
      <c r="A3204" s="13"/>
    </row>
    <row r="3205" spans="1:1" x14ac:dyDescent="0.25">
      <c r="A3205" s="13"/>
    </row>
    <row r="3206" spans="1:1" x14ac:dyDescent="0.25">
      <c r="A3206" s="13"/>
    </row>
    <row r="3207" spans="1:1" x14ac:dyDescent="0.25">
      <c r="A3207" s="13"/>
    </row>
    <row r="3208" spans="1:1" x14ac:dyDescent="0.25">
      <c r="A3208" s="13"/>
    </row>
    <row r="3209" spans="1:1" x14ac:dyDescent="0.25">
      <c r="A3209" s="13"/>
    </row>
    <row r="3210" spans="1:1" x14ac:dyDescent="0.25">
      <c r="A3210" s="13"/>
    </row>
    <row r="3211" spans="1:1" x14ac:dyDescent="0.25">
      <c r="A3211" s="13"/>
    </row>
    <row r="3212" spans="1:1" x14ac:dyDescent="0.25">
      <c r="A3212" s="13"/>
    </row>
    <row r="3213" spans="1:1" x14ac:dyDescent="0.25">
      <c r="A3213" s="13"/>
    </row>
    <row r="3214" spans="1:1" x14ac:dyDescent="0.25">
      <c r="A3214" s="13"/>
    </row>
    <row r="3215" spans="1:1" x14ac:dyDescent="0.25">
      <c r="A3215" s="13"/>
    </row>
    <row r="3216" spans="1:1" x14ac:dyDescent="0.25">
      <c r="A3216" s="13"/>
    </row>
    <row r="3217" spans="1:1" x14ac:dyDescent="0.25">
      <c r="A3217" s="13"/>
    </row>
    <row r="3218" spans="1:1" x14ac:dyDescent="0.25">
      <c r="A3218" s="13"/>
    </row>
    <row r="3219" spans="1:1" x14ac:dyDescent="0.25">
      <c r="A3219" s="13"/>
    </row>
    <row r="3220" spans="1:1" x14ac:dyDescent="0.25">
      <c r="A3220" s="13"/>
    </row>
    <row r="3221" spans="1:1" x14ac:dyDescent="0.25">
      <c r="A3221" s="13"/>
    </row>
    <row r="3222" spans="1:1" x14ac:dyDescent="0.25">
      <c r="A3222" s="13"/>
    </row>
    <row r="3223" spans="1:1" x14ac:dyDescent="0.25">
      <c r="A3223" s="13"/>
    </row>
    <row r="3224" spans="1:1" x14ac:dyDescent="0.25">
      <c r="A3224" s="13"/>
    </row>
    <row r="3225" spans="1:1" x14ac:dyDescent="0.25">
      <c r="A3225" s="13"/>
    </row>
    <row r="3226" spans="1:1" x14ac:dyDescent="0.25">
      <c r="A3226" s="13"/>
    </row>
    <row r="3227" spans="1:1" x14ac:dyDescent="0.25">
      <c r="A3227" s="13"/>
    </row>
    <row r="3228" spans="1:1" x14ac:dyDescent="0.25">
      <c r="A3228" s="13"/>
    </row>
    <row r="3229" spans="1:1" x14ac:dyDescent="0.25">
      <c r="A3229" s="13"/>
    </row>
    <row r="3230" spans="1:1" x14ac:dyDescent="0.25">
      <c r="A3230" s="13"/>
    </row>
    <row r="3231" spans="1:1" x14ac:dyDescent="0.25">
      <c r="A3231" s="13"/>
    </row>
    <row r="3232" spans="1:1" x14ac:dyDescent="0.25">
      <c r="A3232" s="13"/>
    </row>
    <row r="3233" spans="1:1" x14ac:dyDescent="0.25">
      <c r="A3233" s="13"/>
    </row>
    <row r="3234" spans="1:1" x14ac:dyDescent="0.25">
      <c r="A3234" s="13"/>
    </row>
    <row r="3235" spans="1:1" x14ac:dyDescent="0.25">
      <c r="A3235" s="13"/>
    </row>
    <row r="3236" spans="1:1" x14ac:dyDescent="0.25">
      <c r="A3236" s="13"/>
    </row>
    <row r="3237" spans="1:1" x14ac:dyDescent="0.25">
      <c r="A3237" s="13"/>
    </row>
    <row r="3238" spans="1:1" x14ac:dyDescent="0.25">
      <c r="A3238" s="13"/>
    </row>
    <row r="3239" spans="1:1" x14ac:dyDescent="0.25">
      <c r="A3239" s="13"/>
    </row>
    <row r="3240" spans="1:1" x14ac:dyDescent="0.25">
      <c r="A3240" s="13"/>
    </row>
    <row r="3241" spans="1:1" x14ac:dyDescent="0.25">
      <c r="A3241" s="13"/>
    </row>
    <row r="3242" spans="1:1" x14ac:dyDescent="0.25">
      <c r="A3242" s="13"/>
    </row>
    <row r="3243" spans="1:1" x14ac:dyDescent="0.25">
      <c r="A3243" s="13"/>
    </row>
    <row r="3244" spans="1:1" x14ac:dyDescent="0.25">
      <c r="A3244" s="13"/>
    </row>
    <row r="3245" spans="1:1" x14ac:dyDescent="0.25">
      <c r="A3245" s="13"/>
    </row>
    <row r="3246" spans="1:1" x14ac:dyDescent="0.25">
      <c r="A3246" s="13"/>
    </row>
    <row r="3247" spans="1:1" x14ac:dyDescent="0.25">
      <c r="A3247" s="13"/>
    </row>
    <row r="3248" spans="1:1" x14ac:dyDescent="0.25">
      <c r="A3248" s="13"/>
    </row>
    <row r="3249" spans="1:1" x14ac:dyDescent="0.25">
      <c r="A3249" s="13"/>
    </row>
    <row r="3250" spans="1:1" x14ac:dyDescent="0.25">
      <c r="A3250" s="13"/>
    </row>
    <row r="3251" spans="1:1" x14ac:dyDescent="0.25">
      <c r="A3251" s="13"/>
    </row>
    <row r="3252" spans="1:1" x14ac:dyDescent="0.25">
      <c r="A3252" s="13"/>
    </row>
    <row r="3253" spans="1:1" x14ac:dyDescent="0.25">
      <c r="A3253" s="13"/>
    </row>
    <row r="3254" spans="1:1" x14ac:dyDescent="0.25">
      <c r="A3254" s="13"/>
    </row>
    <row r="3255" spans="1:1" x14ac:dyDescent="0.25">
      <c r="A3255" s="13"/>
    </row>
    <row r="3256" spans="1:1" x14ac:dyDescent="0.25">
      <c r="A3256" s="13"/>
    </row>
    <row r="3257" spans="1:1" x14ac:dyDescent="0.25">
      <c r="A3257" s="13"/>
    </row>
    <row r="3258" spans="1:1" x14ac:dyDescent="0.25">
      <c r="A3258" s="13"/>
    </row>
    <row r="3259" spans="1:1" x14ac:dyDescent="0.25">
      <c r="A3259" s="13"/>
    </row>
    <row r="3260" spans="1:1" x14ac:dyDescent="0.25">
      <c r="A3260" s="13"/>
    </row>
    <row r="3261" spans="1:1" x14ac:dyDescent="0.25">
      <c r="A3261" s="13"/>
    </row>
    <row r="3262" spans="1:1" x14ac:dyDescent="0.25">
      <c r="A3262" s="13"/>
    </row>
    <row r="3263" spans="1:1" x14ac:dyDescent="0.25">
      <c r="A3263" s="13"/>
    </row>
    <row r="3264" spans="1:1" x14ac:dyDescent="0.25">
      <c r="A3264" s="13"/>
    </row>
    <row r="3265" spans="1:1" x14ac:dyDescent="0.25">
      <c r="A3265" s="13"/>
    </row>
    <row r="3266" spans="1:1" x14ac:dyDescent="0.25">
      <c r="A3266" s="13"/>
    </row>
    <row r="3267" spans="1:1" x14ac:dyDescent="0.25">
      <c r="A3267" s="13"/>
    </row>
    <row r="3268" spans="1:1" x14ac:dyDescent="0.25">
      <c r="A3268" s="13"/>
    </row>
    <row r="3269" spans="1:1" x14ac:dyDescent="0.25">
      <c r="A3269" s="13"/>
    </row>
    <row r="3270" spans="1:1" x14ac:dyDescent="0.25">
      <c r="A3270" s="13"/>
    </row>
    <row r="3271" spans="1:1" x14ac:dyDescent="0.25">
      <c r="A3271" s="13"/>
    </row>
    <row r="3272" spans="1:1" x14ac:dyDescent="0.25">
      <c r="A3272" s="13"/>
    </row>
    <row r="3273" spans="1:1" x14ac:dyDescent="0.25">
      <c r="A3273" s="13"/>
    </row>
    <row r="3274" spans="1:1" x14ac:dyDescent="0.25">
      <c r="A3274" s="13"/>
    </row>
    <row r="3275" spans="1:1" x14ac:dyDescent="0.25">
      <c r="A3275" s="13"/>
    </row>
    <row r="3276" spans="1:1" x14ac:dyDescent="0.25">
      <c r="A3276" s="13"/>
    </row>
    <row r="3277" spans="1:1" x14ac:dyDescent="0.25">
      <c r="A3277" s="13"/>
    </row>
    <row r="3278" spans="1:1" x14ac:dyDescent="0.25">
      <c r="A3278" s="13"/>
    </row>
    <row r="3279" spans="1:1" x14ac:dyDescent="0.25">
      <c r="A3279" s="13"/>
    </row>
    <row r="3280" spans="1:1" x14ac:dyDescent="0.25">
      <c r="A3280" s="13"/>
    </row>
    <row r="3281" spans="1:1" x14ac:dyDescent="0.25">
      <c r="A3281" s="13"/>
    </row>
    <row r="3282" spans="1:1" x14ac:dyDescent="0.25">
      <c r="A3282" s="13"/>
    </row>
    <row r="3283" spans="1:1" x14ac:dyDescent="0.25">
      <c r="A3283" s="13"/>
    </row>
    <row r="3284" spans="1:1" x14ac:dyDescent="0.25">
      <c r="A3284" s="13"/>
    </row>
    <row r="3285" spans="1:1" x14ac:dyDescent="0.25">
      <c r="A3285" s="13"/>
    </row>
    <row r="3286" spans="1:1" x14ac:dyDescent="0.25">
      <c r="A3286" s="13"/>
    </row>
    <row r="3287" spans="1:1" x14ac:dyDescent="0.25">
      <c r="A3287" s="13"/>
    </row>
    <row r="3288" spans="1:1" x14ac:dyDescent="0.25">
      <c r="A3288" s="13"/>
    </row>
    <row r="3289" spans="1:1" x14ac:dyDescent="0.25">
      <c r="A3289" s="13"/>
    </row>
    <row r="3290" spans="1:1" x14ac:dyDescent="0.25">
      <c r="A3290" s="13"/>
    </row>
    <row r="3291" spans="1:1" x14ac:dyDescent="0.25">
      <c r="A3291" s="13"/>
    </row>
    <row r="3292" spans="1:1" x14ac:dyDescent="0.25">
      <c r="A3292" s="13"/>
    </row>
    <row r="3293" spans="1:1" x14ac:dyDescent="0.25">
      <c r="A3293" s="13"/>
    </row>
    <row r="3294" spans="1:1" x14ac:dyDescent="0.25">
      <c r="A3294" s="13"/>
    </row>
    <row r="3295" spans="1:1" x14ac:dyDescent="0.25">
      <c r="A3295" s="13"/>
    </row>
    <row r="3296" spans="1:1" x14ac:dyDescent="0.25">
      <c r="A3296" s="13"/>
    </row>
    <row r="3297" spans="1:1" x14ac:dyDescent="0.25">
      <c r="A3297" s="13"/>
    </row>
    <row r="3298" spans="1:1" x14ac:dyDescent="0.25">
      <c r="A3298" s="13"/>
    </row>
    <row r="3299" spans="1:1" x14ac:dyDescent="0.25">
      <c r="A3299" s="13"/>
    </row>
    <row r="3300" spans="1:1" x14ac:dyDescent="0.25">
      <c r="A3300" s="13"/>
    </row>
    <row r="3301" spans="1:1" x14ac:dyDescent="0.25">
      <c r="A3301" s="13"/>
    </row>
    <row r="3302" spans="1:1" x14ac:dyDescent="0.25">
      <c r="A3302" s="13"/>
    </row>
    <row r="3303" spans="1:1" x14ac:dyDescent="0.25">
      <c r="A3303" s="13"/>
    </row>
    <row r="3304" spans="1:1" x14ac:dyDescent="0.25">
      <c r="A3304" s="13"/>
    </row>
    <row r="3305" spans="1:1" x14ac:dyDescent="0.25">
      <c r="A3305" s="13"/>
    </row>
    <row r="3306" spans="1:1" x14ac:dyDescent="0.25">
      <c r="A3306" s="13"/>
    </row>
    <row r="3307" spans="1:1" x14ac:dyDescent="0.25">
      <c r="A3307" s="13"/>
    </row>
    <row r="3308" spans="1:1" x14ac:dyDescent="0.25">
      <c r="A3308" s="13"/>
    </row>
    <row r="3309" spans="1:1" x14ac:dyDescent="0.25">
      <c r="A3309" s="13"/>
    </row>
    <row r="3310" spans="1:1" x14ac:dyDescent="0.25">
      <c r="A3310" s="13"/>
    </row>
    <row r="3311" spans="1:1" x14ac:dyDescent="0.25">
      <c r="A3311" s="13"/>
    </row>
    <row r="3312" spans="1:1" x14ac:dyDescent="0.25">
      <c r="A3312" s="13"/>
    </row>
    <row r="3313" spans="1:1" x14ac:dyDescent="0.25">
      <c r="A3313" s="13"/>
    </row>
    <row r="3314" spans="1:1" x14ac:dyDescent="0.25">
      <c r="A3314" s="13"/>
    </row>
    <row r="3315" spans="1:1" x14ac:dyDescent="0.25">
      <c r="A3315" s="13"/>
    </row>
    <row r="3316" spans="1:1" x14ac:dyDescent="0.25">
      <c r="A3316" s="13"/>
    </row>
    <row r="3317" spans="1:1" x14ac:dyDescent="0.25">
      <c r="A3317" s="13"/>
    </row>
    <row r="3318" spans="1:1" x14ac:dyDescent="0.25">
      <c r="A3318" s="13"/>
    </row>
    <row r="3319" spans="1:1" x14ac:dyDescent="0.25">
      <c r="A3319" s="13"/>
    </row>
    <row r="3320" spans="1:1" x14ac:dyDescent="0.25">
      <c r="A3320" s="13"/>
    </row>
    <row r="3321" spans="1:1" x14ac:dyDescent="0.25">
      <c r="A3321" s="13"/>
    </row>
    <row r="3322" spans="1:1" x14ac:dyDescent="0.25">
      <c r="A3322" s="13"/>
    </row>
    <row r="3323" spans="1:1" x14ac:dyDescent="0.25">
      <c r="A3323" s="13"/>
    </row>
    <row r="3324" spans="1:1" x14ac:dyDescent="0.25">
      <c r="A3324" s="13"/>
    </row>
    <row r="3325" spans="1:1" x14ac:dyDescent="0.25">
      <c r="A3325" s="13"/>
    </row>
    <row r="3326" spans="1:1" x14ac:dyDescent="0.25">
      <c r="A3326" s="13"/>
    </row>
    <row r="3327" spans="1:1" x14ac:dyDescent="0.25">
      <c r="A3327" s="13"/>
    </row>
    <row r="3328" spans="1:1" x14ac:dyDescent="0.25">
      <c r="A3328" s="13"/>
    </row>
    <row r="3329" spans="1:1" x14ac:dyDescent="0.25">
      <c r="A3329" s="13"/>
    </row>
    <row r="3330" spans="1:1" x14ac:dyDescent="0.25">
      <c r="A3330" s="13"/>
    </row>
    <row r="3331" spans="1:1" x14ac:dyDescent="0.25">
      <c r="A3331" s="13"/>
    </row>
    <row r="3332" spans="1:1" x14ac:dyDescent="0.25">
      <c r="A3332" s="13"/>
    </row>
    <row r="3333" spans="1:1" x14ac:dyDescent="0.25">
      <c r="A3333" s="13"/>
    </row>
    <row r="3334" spans="1:1" x14ac:dyDescent="0.25">
      <c r="A3334" s="13"/>
    </row>
    <row r="3335" spans="1:1" x14ac:dyDescent="0.25">
      <c r="A3335" s="13"/>
    </row>
    <row r="3336" spans="1:1" x14ac:dyDescent="0.25">
      <c r="A3336" s="13"/>
    </row>
    <row r="3337" spans="1:1" x14ac:dyDescent="0.25">
      <c r="A3337" s="13"/>
    </row>
    <row r="3338" spans="1:1" x14ac:dyDescent="0.25">
      <c r="A3338" s="13"/>
    </row>
    <row r="3339" spans="1:1" x14ac:dyDescent="0.25">
      <c r="A3339" s="13"/>
    </row>
    <row r="3340" spans="1:1" x14ac:dyDescent="0.25">
      <c r="A3340" s="13"/>
    </row>
    <row r="3341" spans="1:1" x14ac:dyDescent="0.25">
      <c r="A3341" s="13"/>
    </row>
    <row r="3342" spans="1:1" x14ac:dyDescent="0.25">
      <c r="A3342" s="13"/>
    </row>
    <row r="3343" spans="1:1" x14ac:dyDescent="0.25">
      <c r="A3343" s="13"/>
    </row>
    <row r="3344" spans="1:1" x14ac:dyDescent="0.25">
      <c r="A3344" s="13"/>
    </row>
    <row r="3345" spans="1:1" x14ac:dyDescent="0.25">
      <c r="A3345" s="13"/>
    </row>
    <row r="3346" spans="1:1" x14ac:dyDescent="0.25">
      <c r="A3346" s="13"/>
    </row>
    <row r="3347" spans="1:1" x14ac:dyDescent="0.25">
      <c r="A3347" s="13"/>
    </row>
    <row r="3348" spans="1:1" x14ac:dyDescent="0.25">
      <c r="A3348" s="13"/>
    </row>
    <row r="3349" spans="1:1" x14ac:dyDescent="0.25">
      <c r="A3349" s="13"/>
    </row>
    <row r="3350" spans="1:1" x14ac:dyDescent="0.25">
      <c r="A3350" s="13"/>
    </row>
    <row r="3351" spans="1:1" x14ac:dyDescent="0.25">
      <c r="A3351" s="13"/>
    </row>
    <row r="3352" spans="1:1" x14ac:dyDescent="0.25">
      <c r="A3352" s="13"/>
    </row>
    <row r="3353" spans="1:1" x14ac:dyDescent="0.25">
      <c r="A3353" s="13"/>
    </row>
    <row r="3354" spans="1:1" x14ac:dyDescent="0.25">
      <c r="A3354" s="13"/>
    </row>
    <row r="3355" spans="1:1" x14ac:dyDescent="0.25">
      <c r="A3355" s="13"/>
    </row>
    <row r="3356" spans="1:1" x14ac:dyDescent="0.25">
      <c r="A3356" s="13"/>
    </row>
    <row r="3357" spans="1:1" x14ac:dyDescent="0.25">
      <c r="A3357" s="13"/>
    </row>
    <row r="3358" spans="1:1" x14ac:dyDescent="0.25">
      <c r="A3358" s="13"/>
    </row>
    <row r="3359" spans="1:1" x14ac:dyDescent="0.25">
      <c r="A3359" s="13"/>
    </row>
    <row r="3360" spans="1:1" x14ac:dyDescent="0.25">
      <c r="A3360" s="13"/>
    </row>
    <row r="3361" spans="1:1" x14ac:dyDescent="0.25">
      <c r="A3361" s="13"/>
    </row>
    <row r="3362" spans="1:1" x14ac:dyDescent="0.25">
      <c r="A3362" s="13"/>
    </row>
    <row r="3363" spans="1:1" x14ac:dyDescent="0.25">
      <c r="A3363" s="13"/>
    </row>
    <row r="3364" spans="1:1" x14ac:dyDescent="0.25">
      <c r="A3364" s="13"/>
    </row>
    <row r="3365" spans="1:1" x14ac:dyDescent="0.25">
      <c r="A3365" s="13"/>
    </row>
    <row r="3366" spans="1:1" x14ac:dyDescent="0.25">
      <c r="A3366" s="13"/>
    </row>
    <row r="3367" spans="1:1" x14ac:dyDescent="0.25">
      <c r="A3367" s="13"/>
    </row>
    <row r="3368" spans="1:1" x14ac:dyDescent="0.25">
      <c r="A3368" s="13"/>
    </row>
    <row r="3369" spans="1:1" x14ac:dyDescent="0.25">
      <c r="A3369" s="13"/>
    </row>
    <row r="3370" spans="1:1" x14ac:dyDescent="0.25">
      <c r="A3370" s="13"/>
    </row>
    <row r="3371" spans="1:1" x14ac:dyDescent="0.25">
      <c r="A3371" s="13"/>
    </row>
    <row r="3372" spans="1:1" x14ac:dyDescent="0.25">
      <c r="A3372" s="13"/>
    </row>
    <row r="3373" spans="1:1" x14ac:dyDescent="0.25">
      <c r="A3373" s="13"/>
    </row>
    <row r="3374" spans="1:1" x14ac:dyDescent="0.25">
      <c r="A3374" s="13"/>
    </row>
    <row r="3375" spans="1:1" x14ac:dyDescent="0.25">
      <c r="A3375" s="13"/>
    </row>
    <row r="3376" spans="1:1" x14ac:dyDescent="0.25">
      <c r="A3376" s="13"/>
    </row>
    <row r="3377" spans="1:1" x14ac:dyDescent="0.25">
      <c r="A3377" s="13"/>
    </row>
    <row r="3378" spans="1:1" x14ac:dyDescent="0.25">
      <c r="A3378" s="13"/>
    </row>
    <row r="3379" spans="1:1" x14ac:dyDescent="0.25">
      <c r="A3379" s="13"/>
    </row>
    <row r="3380" spans="1:1" x14ac:dyDescent="0.25">
      <c r="A3380" s="13"/>
    </row>
    <row r="3381" spans="1:1" x14ac:dyDescent="0.25">
      <c r="A3381" s="13"/>
    </row>
    <row r="3382" spans="1:1" x14ac:dyDescent="0.25">
      <c r="A3382" s="13"/>
    </row>
    <row r="3383" spans="1:1" x14ac:dyDescent="0.25">
      <c r="A3383" s="13"/>
    </row>
    <row r="3384" spans="1:1" x14ac:dyDescent="0.25">
      <c r="A3384" s="13"/>
    </row>
    <row r="3385" spans="1:1" x14ac:dyDescent="0.25">
      <c r="A3385" s="13"/>
    </row>
    <row r="3386" spans="1:1" x14ac:dyDescent="0.25">
      <c r="A3386" s="13"/>
    </row>
    <row r="3387" spans="1:1" x14ac:dyDescent="0.25">
      <c r="A3387" s="13"/>
    </row>
    <row r="3388" spans="1:1" x14ac:dyDescent="0.25">
      <c r="A3388" s="13"/>
    </row>
    <row r="3389" spans="1:1" x14ac:dyDescent="0.25">
      <c r="A3389" s="13"/>
    </row>
    <row r="3390" spans="1:1" x14ac:dyDescent="0.25">
      <c r="A3390" s="13"/>
    </row>
    <row r="3391" spans="1:1" x14ac:dyDescent="0.25">
      <c r="A3391" s="13"/>
    </row>
    <row r="3392" spans="1:1" x14ac:dyDescent="0.25">
      <c r="A3392" s="13"/>
    </row>
    <row r="3393" spans="1:1" x14ac:dyDescent="0.25">
      <c r="A3393" s="13"/>
    </row>
    <row r="3394" spans="1:1" x14ac:dyDescent="0.25">
      <c r="A3394" s="13"/>
    </row>
    <row r="3395" spans="1:1" x14ac:dyDescent="0.25">
      <c r="A3395" s="13"/>
    </row>
    <row r="3396" spans="1:1" x14ac:dyDescent="0.25">
      <c r="A3396" s="13"/>
    </row>
    <row r="3397" spans="1:1" x14ac:dyDescent="0.25">
      <c r="A3397" s="13"/>
    </row>
    <row r="3398" spans="1:1" x14ac:dyDescent="0.25">
      <c r="A3398" s="13"/>
    </row>
    <row r="3399" spans="1:1" x14ac:dyDescent="0.25">
      <c r="A3399" s="13"/>
    </row>
    <row r="3400" spans="1:1" x14ac:dyDescent="0.25">
      <c r="A3400" s="13"/>
    </row>
    <row r="3401" spans="1:1" x14ac:dyDescent="0.25">
      <c r="A3401" s="13"/>
    </row>
    <row r="3402" spans="1:1" x14ac:dyDescent="0.25">
      <c r="A3402" s="13"/>
    </row>
    <row r="3403" spans="1:1" x14ac:dyDescent="0.25">
      <c r="A3403" s="13"/>
    </row>
    <row r="3404" spans="1:1" x14ac:dyDescent="0.25">
      <c r="A3404" s="13"/>
    </row>
    <row r="3405" spans="1:1" x14ac:dyDescent="0.25">
      <c r="A3405" s="13"/>
    </row>
    <row r="3406" spans="1:1" x14ac:dyDescent="0.25">
      <c r="A3406" s="13"/>
    </row>
    <row r="3407" spans="1:1" x14ac:dyDescent="0.25">
      <c r="A3407" s="13"/>
    </row>
    <row r="3408" spans="1:1" x14ac:dyDescent="0.25">
      <c r="A3408" s="13"/>
    </row>
    <row r="3409" spans="1:1" x14ac:dyDescent="0.25">
      <c r="A3409" s="13"/>
    </row>
    <row r="3410" spans="1:1" x14ac:dyDescent="0.25">
      <c r="A3410" s="13"/>
    </row>
    <row r="3411" spans="1:1" x14ac:dyDescent="0.25">
      <c r="A3411" s="13"/>
    </row>
    <row r="3412" spans="1:1" x14ac:dyDescent="0.25">
      <c r="A3412" s="13"/>
    </row>
    <row r="3413" spans="1:1" x14ac:dyDescent="0.25">
      <c r="A3413" s="13"/>
    </row>
    <row r="3414" spans="1:1" x14ac:dyDescent="0.25">
      <c r="A3414" s="13"/>
    </row>
    <row r="3415" spans="1:1" x14ac:dyDescent="0.25">
      <c r="A3415" s="13"/>
    </row>
    <row r="3416" spans="1:1" x14ac:dyDescent="0.25">
      <c r="A3416" s="13"/>
    </row>
    <row r="3417" spans="1:1" x14ac:dyDescent="0.25">
      <c r="A3417" s="13"/>
    </row>
    <row r="3418" spans="1:1" x14ac:dyDescent="0.25">
      <c r="A3418" s="13"/>
    </row>
    <row r="3419" spans="1:1" x14ac:dyDescent="0.25">
      <c r="A3419" s="13"/>
    </row>
    <row r="3420" spans="1:1" x14ac:dyDescent="0.25">
      <c r="A3420" s="13"/>
    </row>
    <row r="3421" spans="1:1" x14ac:dyDescent="0.25">
      <c r="A3421" s="13"/>
    </row>
    <row r="3422" spans="1:1" x14ac:dyDescent="0.25">
      <c r="A3422" s="13"/>
    </row>
    <row r="3423" spans="1:1" x14ac:dyDescent="0.25">
      <c r="A3423" s="13"/>
    </row>
    <row r="3424" spans="1:1" x14ac:dyDescent="0.25">
      <c r="A3424" s="13"/>
    </row>
    <row r="3425" spans="1:1" x14ac:dyDescent="0.25">
      <c r="A3425" s="13"/>
    </row>
    <row r="3426" spans="1:1" x14ac:dyDescent="0.25">
      <c r="A3426" s="13"/>
    </row>
    <row r="3427" spans="1:1" x14ac:dyDescent="0.25">
      <c r="A3427" s="13"/>
    </row>
    <row r="3428" spans="1:1" x14ac:dyDescent="0.25">
      <c r="A3428" s="13"/>
    </row>
    <row r="3429" spans="1:1" x14ac:dyDescent="0.25">
      <c r="A3429" s="13"/>
    </row>
    <row r="3430" spans="1:1" x14ac:dyDescent="0.25">
      <c r="A3430" s="13"/>
    </row>
    <row r="3431" spans="1:1" x14ac:dyDescent="0.25">
      <c r="A3431" s="13"/>
    </row>
    <row r="3432" spans="1:1" x14ac:dyDescent="0.25">
      <c r="A3432" s="13"/>
    </row>
    <row r="3433" spans="1:1" x14ac:dyDescent="0.25">
      <c r="A3433" s="13"/>
    </row>
    <row r="3434" spans="1:1" x14ac:dyDescent="0.25">
      <c r="A3434" s="13"/>
    </row>
    <row r="3435" spans="1:1" x14ac:dyDescent="0.25">
      <c r="A3435" s="13"/>
    </row>
    <row r="3436" spans="1:1" x14ac:dyDescent="0.25">
      <c r="A3436" s="13"/>
    </row>
    <row r="3437" spans="1:1" x14ac:dyDescent="0.25">
      <c r="A3437" s="13"/>
    </row>
    <row r="3438" spans="1:1" x14ac:dyDescent="0.25">
      <c r="A3438" s="13"/>
    </row>
    <row r="3439" spans="1:1" x14ac:dyDescent="0.25">
      <c r="A3439" s="13"/>
    </row>
    <row r="3440" spans="1:1" x14ac:dyDescent="0.25">
      <c r="A3440" s="13"/>
    </row>
    <row r="3441" spans="1:1" x14ac:dyDescent="0.25">
      <c r="A3441" s="13"/>
    </row>
    <row r="3442" spans="1:1" x14ac:dyDescent="0.25">
      <c r="A3442" s="13"/>
    </row>
    <row r="3443" spans="1:1" x14ac:dyDescent="0.25">
      <c r="A3443" s="13"/>
    </row>
    <row r="3444" spans="1:1" x14ac:dyDescent="0.25">
      <c r="A3444" s="13"/>
    </row>
    <row r="3445" spans="1:1" x14ac:dyDescent="0.25">
      <c r="A3445" s="13"/>
    </row>
    <row r="3446" spans="1:1" x14ac:dyDescent="0.25">
      <c r="A3446" s="13"/>
    </row>
    <row r="3447" spans="1:1" x14ac:dyDescent="0.25">
      <c r="A3447" s="13"/>
    </row>
    <row r="3448" spans="1:1" x14ac:dyDescent="0.25">
      <c r="A3448" s="13"/>
    </row>
    <row r="3449" spans="1:1" x14ac:dyDescent="0.25">
      <c r="A3449" s="13"/>
    </row>
    <row r="3450" spans="1:1" x14ac:dyDescent="0.25">
      <c r="A3450" s="13"/>
    </row>
    <row r="3451" spans="1:1" x14ac:dyDescent="0.25">
      <c r="A3451" s="13"/>
    </row>
    <row r="3452" spans="1:1" x14ac:dyDescent="0.25">
      <c r="A3452" s="13"/>
    </row>
    <row r="3453" spans="1:1" x14ac:dyDescent="0.25">
      <c r="A3453" s="13"/>
    </row>
    <row r="3454" spans="1:1" x14ac:dyDescent="0.25">
      <c r="A3454" s="13"/>
    </row>
    <row r="3455" spans="1:1" x14ac:dyDescent="0.25">
      <c r="A3455" s="13"/>
    </row>
    <row r="3456" spans="1:1" x14ac:dyDescent="0.25">
      <c r="A3456" s="13"/>
    </row>
    <row r="3457" spans="1:1" x14ac:dyDescent="0.25">
      <c r="A3457" s="13"/>
    </row>
    <row r="3458" spans="1:1" x14ac:dyDescent="0.25">
      <c r="A3458" s="13"/>
    </row>
    <row r="3459" spans="1:1" x14ac:dyDescent="0.25">
      <c r="A3459" s="13"/>
    </row>
    <row r="3460" spans="1:1" x14ac:dyDescent="0.25">
      <c r="A3460" s="13"/>
    </row>
    <row r="3461" spans="1:1" x14ac:dyDescent="0.25">
      <c r="A3461" s="13"/>
    </row>
    <row r="3462" spans="1:1" x14ac:dyDescent="0.25">
      <c r="A3462" s="13"/>
    </row>
    <row r="3463" spans="1:1" x14ac:dyDescent="0.25">
      <c r="A3463" s="13"/>
    </row>
    <row r="3464" spans="1:1" x14ac:dyDescent="0.25">
      <c r="A3464" s="13"/>
    </row>
    <row r="3465" spans="1:1" x14ac:dyDescent="0.25">
      <c r="A3465" s="13"/>
    </row>
    <row r="3466" spans="1:1" x14ac:dyDescent="0.25">
      <c r="A3466" s="13"/>
    </row>
    <row r="3467" spans="1:1" x14ac:dyDescent="0.25">
      <c r="A3467" s="13"/>
    </row>
    <row r="3468" spans="1:1" x14ac:dyDescent="0.25">
      <c r="A3468" s="13"/>
    </row>
    <row r="3469" spans="1:1" x14ac:dyDescent="0.25">
      <c r="A3469" s="13"/>
    </row>
    <row r="3470" spans="1:1" x14ac:dyDescent="0.25">
      <c r="A3470" s="13"/>
    </row>
    <row r="3471" spans="1:1" x14ac:dyDescent="0.25">
      <c r="A3471" s="13"/>
    </row>
    <row r="3472" spans="1:1" x14ac:dyDescent="0.25">
      <c r="A3472" s="13"/>
    </row>
    <row r="3473" spans="1:1" x14ac:dyDescent="0.25">
      <c r="A3473" s="13"/>
    </row>
    <row r="3474" spans="1:1" x14ac:dyDescent="0.25">
      <c r="A3474" s="13"/>
    </row>
    <row r="3475" spans="1:1" x14ac:dyDescent="0.25">
      <c r="A3475" s="13"/>
    </row>
    <row r="3476" spans="1:1" x14ac:dyDescent="0.25">
      <c r="A3476" s="13"/>
    </row>
    <row r="3477" spans="1:1" x14ac:dyDescent="0.25">
      <c r="A3477" s="13"/>
    </row>
    <row r="3478" spans="1:1" x14ac:dyDescent="0.25">
      <c r="A3478" s="13"/>
    </row>
    <row r="3479" spans="1:1" x14ac:dyDescent="0.25">
      <c r="A3479" s="13"/>
    </row>
    <row r="3480" spans="1:1" x14ac:dyDescent="0.25">
      <c r="A3480" s="13"/>
    </row>
    <row r="3481" spans="1:1" x14ac:dyDescent="0.25">
      <c r="A3481" s="13"/>
    </row>
    <row r="3482" spans="1:1" x14ac:dyDescent="0.25">
      <c r="A3482" s="13"/>
    </row>
    <row r="3483" spans="1:1" x14ac:dyDescent="0.25">
      <c r="A3483" s="13"/>
    </row>
    <row r="3484" spans="1:1" x14ac:dyDescent="0.25">
      <c r="A3484" s="13"/>
    </row>
    <row r="3485" spans="1:1" x14ac:dyDescent="0.25">
      <c r="A3485" s="13"/>
    </row>
    <row r="3486" spans="1:1" x14ac:dyDescent="0.25">
      <c r="A3486" s="13"/>
    </row>
    <row r="3487" spans="1:1" x14ac:dyDescent="0.25">
      <c r="A3487" s="13"/>
    </row>
    <row r="3488" spans="1:1" x14ac:dyDescent="0.25">
      <c r="A3488" s="13"/>
    </row>
    <row r="3489" spans="1:1" x14ac:dyDescent="0.25">
      <c r="A3489" s="13"/>
    </row>
    <row r="3490" spans="1:1" x14ac:dyDescent="0.25">
      <c r="A3490" s="13"/>
    </row>
    <row r="3491" spans="1:1" x14ac:dyDescent="0.25">
      <c r="A3491" s="13"/>
    </row>
    <row r="3492" spans="1:1" x14ac:dyDescent="0.25">
      <c r="A3492" s="13"/>
    </row>
    <row r="3493" spans="1:1" x14ac:dyDescent="0.25">
      <c r="A3493" s="13"/>
    </row>
    <row r="3494" spans="1:1" x14ac:dyDescent="0.25">
      <c r="A3494" s="13"/>
    </row>
    <row r="3495" spans="1:1" x14ac:dyDescent="0.25">
      <c r="A3495" s="13"/>
    </row>
    <row r="3496" spans="1:1" x14ac:dyDescent="0.25">
      <c r="A3496" s="13"/>
    </row>
    <row r="3497" spans="1:1" x14ac:dyDescent="0.25">
      <c r="A3497" s="13"/>
    </row>
    <row r="3498" spans="1:1" x14ac:dyDescent="0.25">
      <c r="A3498" s="13"/>
    </row>
    <row r="3499" spans="1:1" x14ac:dyDescent="0.25">
      <c r="A3499" s="13"/>
    </row>
    <row r="3500" spans="1:1" x14ac:dyDescent="0.25">
      <c r="A3500" s="13"/>
    </row>
    <row r="3501" spans="1:1" x14ac:dyDescent="0.25">
      <c r="A3501" s="13"/>
    </row>
    <row r="3502" spans="1:1" x14ac:dyDescent="0.25">
      <c r="A3502" s="13"/>
    </row>
    <row r="3503" spans="1:1" x14ac:dyDescent="0.25">
      <c r="A3503" s="13"/>
    </row>
    <row r="3504" spans="1:1" x14ac:dyDescent="0.25">
      <c r="A3504" s="13"/>
    </row>
    <row r="3505" spans="1:1" x14ac:dyDescent="0.25">
      <c r="A3505" s="13"/>
    </row>
    <row r="3506" spans="1:1" x14ac:dyDescent="0.25">
      <c r="A3506" s="13"/>
    </row>
    <row r="3507" spans="1:1" x14ac:dyDescent="0.25">
      <c r="A3507" s="13"/>
    </row>
    <row r="3508" spans="1:1" x14ac:dyDescent="0.25">
      <c r="A3508" s="13"/>
    </row>
    <row r="3509" spans="1:1" x14ac:dyDescent="0.25">
      <c r="A3509" s="13"/>
    </row>
    <row r="3510" spans="1:1" x14ac:dyDescent="0.25">
      <c r="A3510" s="13"/>
    </row>
    <row r="3511" spans="1:1" x14ac:dyDescent="0.25">
      <c r="A3511" s="13"/>
    </row>
    <row r="3512" spans="1:1" x14ac:dyDescent="0.25">
      <c r="A3512" s="13"/>
    </row>
    <row r="3513" spans="1:1" x14ac:dyDescent="0.25">
      <c r="A3513" s="13"/>
    </row>
    <row r="3514" spans="1:1" x14ac:dyDescent="0.25">
      <c r="A3514" s="13"/>
    </row>
    <row r="3515" spans="1:1" x14ac:dyDescent="0.25">
      <c r="A3515" s="13"/>
    </row>
    <row r="3516" spans="1:1" x14ac:dyDescent="0.25">
      <c r="A3516" s="13"/>
    </row>
    <row r="3517" spans="1:1" x14ac:dyDescent="0.25">
      <c r="A3517" s="13"/>
    </row>
    <row r="3518" spans="1:1" x14ac:dyDescent="0.25">
      <c r="A3518" s="13"/>
    </row>
    <row r="3519" spans="1:1" x14ac:dyDescent="0.25">
      <c r="A3519" s="13"/>
    </row>
    <row r="3520" spans="1:1" x14ac:dyDescent="0.25">
      <c r="A3520" s="13"/>
    </row>
    <row r="3521" spans="1:1" x14ac:dyDescent="0.25">
      <c r="A3521" s="13"/>
    </row>
    <row r="3522" spans="1:1" x14ac:dyDescent="0.25">
      <c r="A3522" s="13"/>
    </row>
    <row r="3523" spans="1:1" x14ac:dyDescent="0.25">
      <c r="A3523" s="13"/>
    </row>
    <row r="3524" spans="1:1" x14ac:dyDescent="0.25">
      <c r="A3524" s="13"/>
    </row>
    <row r="3525" spans="1:1" x14ac:dyDescent="0.25">
      <c r="A3525" s="13"/>
    </row>
    <row r="3526" spans="1:1" x14ac:dyDescent="0.25">
      <c r="A3526" s="13"/>
    </row>
    <row r="3527" spans="1:1" x14ac:dyDescent="0.25">
      <c r="A3527" s="13"/>
    </row>
    <row r="3528" spans="1:1" x14ac:dyDescent="0.25">
      <c r="A3528" s="13"/>
    </row>
    <row r="3529" spans="1:1" x14ac:dyDescent="0.25">
      <c r="A3529" s="13"/>
    </row>
    <row r="3530" spans="1:1" x14ac:dyDescent="0.25">
      <c r="A3530" s="13"/>
    </row>
    <row r="3531" spans="1:1" x14ac:dyDescent="0.25">
      <c r="A3531" s="13"/>
    </row>
    <row r="3532" spans="1:1" x14ac:dyDescent="0.25">
      <c r="A3532" s="13"/>
    </row>
    <row r="3533" spans="1:1" x14ac:dyDescent="0.25">
      <c r="A3533" s="13"/>
    </row>
    <row r="3534" spans="1:1" x14ac:dyDescent="0.25">
      <c r="A3534" s="13"/>
    </row>
    <row r="3535" spans="1:1" x14ac:dyDescent="0.25">
      <c r="A3535" s="13"/>
    </row>
    <row r="3536" spans="1:1" x14ac:dyDescent="0.25">
      <c r="A3536" s="13"/>
    </row>
    <row r="3537" spans="1:1" x14ac:dyDescent="0.25">
      <c r="A3537" s="13"/>
    </row>
    <row r="3538" spans="1:1" x14ac:dyDescent="0.25">
      <c r="A3538" s="13"/>
    </row>
    <row r="3539" spans="1:1" x14ac:dyDescent="0.25">
      <c r="A3539" s="13"/>
    </row>
    <row r="3540" spans="1:1" x14ac:dyDescent="0.25">
      <c r="A3540" s="13"/>
    </row>
    <row r="3541" spans="1:1" x14ac:dyDescent="0.25">
      <c r="A3541" s="13"/>
    </row>
    <row r="3542" spans="1:1" x14ac:dyDescent="0.25">
      <c r="A3542" s="13"/>
    </row>
    <row r="3543" spans="1:1" x14ac:dyDescent="0.25">
      <c r="A3543" s="13"/>
    </row>
    <row r="3544" spans="1:1" x14ac:dyDescent="0.25">
      <c r="A3544" s="13"/>
    </row>
    <row r="3545" spans="1:1" x14ac:dyDescent="0.25">
      <c r="A3545" s="13"/>
    </row>
    <row r="3546" spans="1:1" x14ac:dyDescent="0.25">
      <c r="A3546" s="13"/>
    </row>
    <row r="3547" spans="1:1" x14ac:dyDescent="0.25">
      <c r="A3547" s="13"/>
    </row>
    <row r="3548" spans="1:1" x14ac:dyDescent="0.25">
      <c r="A3548" s="13"/>
    </row>
    <row r="3549" spans="1:1" x14ac:dyDescent="0.25">
      <c r="A3549" s="13"/>
    </row>
    <row r="3550" spans="1:1" x14ac:dyDescent="0.25">
      <c r="A3550" s="13"/>
    </row>
    <row r="3551" spans="1:1" x14ac:dyDescent="0.25">
      <c r="A3551" s="13"/>
    </row>
    <row r="3552" spans="1:1" x14ac:dyDescent="0.25">
      <c r="A3552" s="13"/>
    </row>
    <row r="3553" spans="1:1" x14ac:dyDescent="0.25">
      <c r="A3553" s="13"/>
    </row>
    <row r="3554" spans="1:1" x14ac:dyDescent="0.25">
      <c r="A3554" s="13"/>
    </row>
    <row r="3555" spans="1:1" x14ac:dyDescent="0.25">
      <c r="A3555" s="13"/>
    </row>
    <row r="3556" spans="1:1" x14ac:dyDescent="0.25">
      <c r="A3556" s="13"/>
    </row>
    <row r="3557" spans="1:1" x14ac:dyDescent="0.25">
      <c r="A3557" s="13"/>
    </row>
    <row r="3558" spans="1:1" x14ac:dyDescent="0.25">
      <c r="A3558" s="13"/>
    </row>
    <row r="3559" spans="1:1" x14ac:dyDescent="0.25">
      <c r="A3559" s="13"/>
    </row>
    <row r="3560" spans="1:1" x14ac:dyDescent="0.25">
      <c r="A3560" s="13"/>
    </row>
    <row r="3561" spans="1:1" x14ac:dyDescent="0.25">
      <c r="A3561" s="13"/>
    </row>
    <row r="3562" spans="1:1" x14ac:dyDescent="0.25">
      <c r="A3562" s="13"/>
    </row>
    <row r="3563" spans="1:1" x14ac:dyDescent="0.25">
      <c r="A3563" s="13"/>
    </row>
    <row r="3564" spans="1:1" x14ac:dyDescent="0.25">
      <c r="A3564" s="13"/>
    </row>
    <row r="3565" spans="1:1" x14ac:dyDescent="0.25">
      <c r="A3565" s="13"/>
    </row>
    <row r="3566" spans="1:1" x14ac:dyDescent="0.25">
      <c r="A3566" s="13"/>
    </row>
    <row r="3567" spans="1:1" x14ac:dyDescent="0.25">
      <c r="A3567" s="13"/>
    </row>
    <row r="3568" spans="1:1" x14ac:dyDescent="0.25">
      <c r="A3568" s="13"/>
    </row>
    <row r="3569" spans="1:1" x14ac:dyDescent="0.25">
      <c r="A3569" s="13"/>
    </row>
    <row r="3570" spans="1:1" x14ac:dyDescent="0.25">
      <c r="A3570" s="13"/>
    </row>
    <row r="3571" spans="1:1" x14ac:dyDescent="0.25">
      <c r="A3571" s="13"/>
    </row>
    <row r="3572" spans="1:1" x14ac:dyDescent="0.25">
      <c r="A3572" s="13"/>
    </row>
    <row r="3573" spans="1:1" x14ac:dyDescent="0.25">
      <c r="A3573" s="13"/>
    </row>
    <row r="3574" spans="1:1" x14ac:dyDescent="0.25">
      <c r="A3574" s="13"/>
    </row>
    <row r="3575" spans="1:1" x14ac:dyDescent="0.25">
      <c r="A3575" s="13"/>
    </row>
    <row r="3576" spans="1:1" x14ac:dyDescent="0.25">
      <c r="A3576" s="13"/>
    </row>
    <row r="3577" spans="1:1" x14ac:dyDescent="0.25">
      <c r="A3577" s="13"/>
    </row>
    <row r="3578" spans="1:1" x14ac:dyDescent="0.25">
      <c r="A3578" s="13"/>
    </row>
    <row r="3579" spans="1:1" x14ac:dyDescent="0.25">
      <c r="A3579" s="13"/>
    </row>
    <row r="3580" spans="1:1" x14ac:dyDescent="0.25">
      <c r="A3580" s="13"/>
    </row>
    <row r="3581" spans="1:1" x14ac:dyDescent="0.25">
      <c r="A3581" s="13"/>
    </row>
    <row r="3582" spans="1:1" x14ac:dyDescent="0.25">
      <c r="A3582" s="13"/>
    </row>
    <row r="3583" spans="1:1" x14ac:dyDescent="0.25">
      <c r="A3583" s="13"/>
    </row>
    <row r="3584" spans="1:1" x14ac:dyDescent="0.25">
      <c r="A3584" s="13"/>
    </row>
    <row r="3585" spans="1:1" x14ac:dyDescent="0.25">
      <c r="A3585" s="13"/>
    </row>
    <row r="3586" spans="1:1" x14ac:dyDescent="0.25">
      <c r="A3586" s="13"/>
    </row>
    <row r="3587" spans="1:1" x14ac:dyDescent="0.25">
      <c r="A3587" s="13"/>
    </row>
    <row r="3588" spans="1:1" x14ac:dyDescent="0.25">
      <c r="A3588" s="13"/>
    </row>
    <row r="3589" spans="1:1" x14ac:dyDescent="0.25">
      <c r="A3589" s="13"/>
    </row>
    <row r="3590" spans="1:1" x14ac:dyDescent="0.25">
      <c r="A3590" s="13"/>
    </row>
    <row r="3591" spans="1:1" x14ac:dyDescent="0.25">
      <c r="A3591" s="13"/>
    </row>
    <row r="3592" spans="1:1" x14ac:dyDescent="0.25">
      <c r="A3592" s="13"/>
    </row>
    <row r="3593" spans="1:1" x14ac:dyDescent="0.25">
      <c r="A3593" s="13"/>
    </row>
    <row r="3594" spans="1:1" x14ac:dyDescent="0.25">
      <c r="A3594" s="13"/>
    </row>
    <row r="3595" spans="1:1" x14ac:dyDescent="0.25">
      <c r="A3595" s="13"/>
    </row>
    <row r="3596" spans="1:1" x14ac:dyDescent="0.25">
      <c r="A3596" s="13"/>
    </row>
    <row r="3597" spans="1:1" x14ac:dyDescent="0.25">
      <c r="A3597" s="13"/>
    </row>
    <row r="3598" spans="1:1" x14ac:dyDescent="0.25">
      <c r="A3598" s="13"/>
    </row>
    <row r="3599" spans="1:1" x14ac:dyDescent="0.25">
      <c r="A3599" s="13"/>
    </row>
    <row r="3600" spans="1:1" x14ac:dyDescent="0.25">
      <c r="A3600" s="13"/>
    </row>
    <row r="3601" spans="1:1" x14ac:dyDescent="0.25">
      <c r="A3601" s="13"/>
    </row>
    <row r="3602" spans="1:1" x14ac:dyDescent="0.25">
      <c r="A3602" s="13"/>
    </row>
    <row r="3603" spans="1:1" x14ac:dyDescent="0.25">
      <c r="A3603" s="13"/>
    </row>
    <row r="3604" spans="1:1" x14ac:dyDescent="0.25">
      <c r="A3604" s="13"/>
    </row>
    <row r="3605" spans="1:1" x14ac:dyDescent="0.25">
      <c r="A3605" s="13"/>
    </row>
    <row r="3606" spans="1:1" x14ac:dyDescent="0.25">
      <c r="A3606" s="13"/>
    </row>
    <row r="3607" spans="1:1" x14ac:dyDescent="0.25">
      <c r="A3607" s="13"/>
    </row>
    <row r="3608" spans="1:1" x14ac:dyDescent="0.25">
      <c r="A3608" s="13"/>
    </row>
    <row r="3609" spans="1:1" x14ac:dyDescent="0.25">
      <c r="A3609" s="13"/>
    </row>
    <row r="3610" spans="1:1" x14ac:dyDescent="0.25">
      <c r="A3610" s="13"/>
    </row>
    <row r="3611" spans="1:1" x14ac:dyDescent="0.25">
      <c r="A3611" s="13"/>
    </row>
    <row r="3612" spans="1:1" x14ac:dyDescent="0.25">
      <c r="A3612" s="13"/>
    </row>
    <row r="3613" spans="1:1" x14ac:dyDescent="0.25">
      <c r="A3613" s="13"/>
    </row>
    <row r="3614" spans="1:1" x14ac:dyDescent="0.25">
      <c r="A3614" s="13"/>
    </row>
    <row r="3615" spans="1:1" x14ac:dyDescent="0.25">
      <c r="A3615" s="13"/>
    </row>
    <row r="3616" spans="1:1" x14ac:dyDescent="0.25">
      <c r="A3616" s="13"/>
    </row>
    <row r="3617" spans="1:1" x14ac:dyDescent="0.25">
      <c r="A3617" s="13"/>
    </row>
    <row r="3618" spans="1:1" x14ac:dyDescent="0.25">
      <c r="A3618" s="13"/>
    </row>
    <row r="3619" spans="1:1" x14ac:dyDescent="0.25">
      <c r="A3619" s="13"/>
    </row>
    <row r="3620" spans="1:1" x14ac:dyDescent="0.25">
      <c r="A3620" s="13"/>
    </row>
    <row r="3621" spans="1:1" x14ac:dyDescent="0.25">
      <c r="A3621" s="13"/>
    </row>
    <row r="3622" spans="1:1" x14ac:dyDescent="0.25">
      <c r="A3622" s="13"/>
    </row>
    <row r="3623" spans="1:1" x14ac:dyDescent="0.25">
      <c r="A3623" s="13"/>
    </row>
    <row r="3624" spans="1:1" x14ac:dyDescent="0.25">
      <c r="A3624" s="13"/>
    </row>
    <row r="3625" spans="1:1" x14ac:dyDescent="0.25">
      <c r="A3625" s="13"/>
    </row>
    <row r="3626" spans="1:1" x14ac:dyDescent="0.25">
      <c r="A3626" s="13"/>
    </row>
    <row r="3627" spans="1:1" x14ac:dyDescent="0.25">
      <c r="A3627" s="13"/>
    </row>
    <row r="3628" spans="1:1" x14ac:dyDescent="0.25">
      <c r="A3628" s="13"/>
    </row>
    <row r="3629" spans="1:1" x14ac:dyDescent="0.25">
      <c r="A3629" s="13"/>
    </row>
    <row r="3630" spans="1:1" x14ac:dyDescent="0.25">
      <c r="A3630" s="13"/>
    </row>
    <row r="3631" spans="1:1" x14ac:dyDescent="0.25">
      <c r="A3631" s="13"/>
    </row>
    <row r="3632" spans="1:1" x14ac:dyDescent="0.25">
      <c r="A3632" s="13"/>
    </row>
    <row r="3633" spans="1:1" x14ac:dyDescent="0.25">
      <c r="A3633" s="13"/>
    </row>
    <row r="3634" spans="1:1" x14ac:dyDescent="0.25">
      <c r="A3634" s="13"/>
    </row>
    <row r="3635" spans="1:1" x14ac:dyDescent="0.25">
      <c r="A3635" s="13"/>
    </row>
    <row r="3636" spans="1:1" x14ac:dyDescent="0.25">
      <c r="A3636" s="13"/>
    </row>
    <row r="3637" spans="1:1" x14ac:dyDescent="0.25">
      <c r="A3637" s="13"/>
    </row>
    <row r="3638" spans="1:1" x14ac:dyDescent="0.25">
      <c r="A3638" s="13"/>
    </row>
    <row r="3639" spans="1:1" x14ac:dyDescent="0.25">
      <c r="A3639" s="13"/>
    </row>
    <row r="3640" spans="1:1" x14ac:dyDescent="0.25">
      <c r="A3640" s="13"/>
    </row>
    <row r="3641" spans="1:1" x14ac:dyDescent="0.25">
      <c r="A3641" s="13"/>
    </row>
    <row r="3642" spans="1:1" x14ac:dyDescent="0.25">
      <c r="A3642" s="13"/>
    </row>
    <row r="3643" spans="1:1" x14ac:dyDescent="0.25">
      <c r="A3643" s="13"/>
    </row>
    <row r="3644" spans="1:1" x14ac:dyDescent="0.25">
      <c r="A3644" s="13"/>
    </row>
    <row r="3645" spans="1:1" x14ac:dyDescent="0.25">
      <c r="A3645" s="13"/>
    </row>
    <row r="3646" spans="1:1" x14ac:dyDescent="0.25">
      <c r="A3646" s="13"/>
    </row>
    <row r="3647" spans="1:1" x14ac:dyDescent="0.25">
      <c r="A3647" s="13"/>
    </row>
    <row r="3648" spans="1:1" x14ac:dyDescent="0.25">
      <c r="A3648" s="13"/>
    </row>
    <row r="3649" spans="1:1" x14ac:dyDescent="0.25">
      <c r="A3649" s="13"/>
    </row>
    <row r="3650" spans="1:1" x14ac:dyDescent="0.25">
      <c r="A3650" s="13"/>
    </row>
    <row r="3651" spans="1:1" x14ac:dyDescent="0.25">
      <c r="A3651" s="13"/>
    </row>
    <row r="3652" spans="1:1" x14ac:dyDescent="0.25">
      <c r="A3652" s="13"/>
    </row>
    <row r="3653" spans="1:1" x14ac:dyDescent="0.25">
      <c r="A3653" s="13"/>
    </row>
    <row r="3654" spans="1:1" x14ac:dyDescent="0.25">
      <c r="A3654" s="13"/>
    </row>
    <row r="3655" spans="1:1" x14ac:dyDescent="0.25">
      <c r="A3655" s="13"/>
    </row>
    <row r="3656" spans="1:1" x14ac:dyDescent="0.25">
      <c r="A3656" s="13"/>
    </row>
    <row r="3657" spans="1:1" x14ac:dyDescent="0.25">
      <c r="A3657" s="13"/>
    </row>
    <row r="3658" spans="1:1" x14ac:dyDescent="0.25">
      <c r="A3658" s="13"/>
    </row>
    <row r="3659" spans="1:1" x14ac:dyDescent="0.25">
      <c r="A3659" s="13"/>
    </row>
    <row r="3660" spans="1:1" x14ac:dyDescent="0.25">
      <c r="A3660" s="13"/>
    </row>
    <row r="3661" spans="1:1" x14ac:dyDescent="0.25">
      <c r="A3661" s="13"/>
    </row>
    <row r="3662" spans="1:1" x14ac:dyDescent="0.25">
      <c r="A3662" s="13"/>
    </row>
    <row r="3663" spans="1:1" x14ac:dyDescent="0.25">
      <c r="A3663" s="13"/>
    </row>
    <row r="3664" spans="1:1" x14ac:dyDescent="0.25">
      <c r="A3664" s="13"/>
    </row>
    <row r="3665" spans="1:1" x14ac:dyDescent="0.25">
      <c r="A3665" s="13"/>
    </row>
    <row r="3666" spans="1:1" x14ac:dyDescent="0.25">
      <c r="A3666" s="13"/>
    </row>
    <row r="3667" spans="1:1" x14ac:dyDescent="0.25">
      <c r="A3667" s="13"/>
    </row>
    <row r="3668" spans="1:1" x14ac:dyDescent="0.25">
      <c r="A3668" s="13"/>
    </row>
    <row r="3669" spans="1:1" x14ac:dyDescent="0.25">
      <c r="A3669" s="13"/>
    </row>
    <row r="3670" spans="1:1" x14ac:dyDescent="0.25">
      <c r="A3670" s="13"/>
    </row>
    <row r="3671" spans="1:1" x14ac:dyDescent="0.25">
      <c r="A3671" s="13"/>
    </row>
    <row r="3672" spans="1:1" x14ac:dyDescent="0.25">
      <c r="A3672" s="13"/>
    </row>
    <row r="3673" spans="1:1" x14ac:dyDescent="0.25">
      <c r="A3673" s="13"/>
    </row>
    <row r="3674" spans="1:1" x14ac:dyDescent="0.25">
      <c r="A3674" s="13"/>
    </row>
    <row r="3675" spans="1:1" x14ac:dyDescent="0.25">
      <c r="A3675" s="13"/>
    </row>
    <row r="3676" spans="1:1" x14ac:dyDescent="0.25">
      <c r="A3676" s="13"/>
    </row>
    <row r="3677" spans="1:1" x14ac:dyDescent="0.25">
      <c r="A3677" s="13"/>
    </row>
    <row r="3678" spans="1:1" x14ac:dyDescent="0.25">
      <c r="A3678" s="13"/>
    </row>
    <row r="3679" spans="1:1" x14ac:dyDescent="0.25">
      <c r="A3679" s="13"/>
    </row>
    <row r="3680" spans="1:1" x14ac:dyDescent="0.25">
      <c r="A3680" s="13"/>
    </row>
    <row r="3681" spans="1:1" x14ac:dyDescent="0.25">
      <c r="A3681" s="13"/>
    </row>
    <row r="3682" spans="1:1" x14ac:dyDescent="0.25">
      <c r="A3682" s="13"/>
    </row>
    <row r="3683" spans="1:1" x14ac:dyDescent="0.25">
      <c r="A3683" s="13"/>
    </row>
    <row r="3684" spans="1:1" x14ac:dyDescent="0.25">
      <c r="A3684" s="13"/>
    </row>
    <row r="3685" spans="1:1" x14ac:dyDescent="0.25">
      <c r="A3685" s="13"/>
    </row>
    <row r="3686" spans="1:1" x14ac:dyDescent="0.25">
      <c r="A3686" s="13"/>
    </row>
    <row r="3687" spans="1:1" x14ac:dyDescent="0.25">
      <c r="A3687" s="13"/>
    </row>
    <row r="3688" spans="1:1" x14ac:dyDescent="0.25">
      <c r="A3688" s="13"/>
    </row>
    <row r="3689" spans="1:1" x14ac:dyDescent="0.25">
      <c r="A3689" s="13"/>
    </row>
    <row r="3690" spans="1:1" x14ac:dyDescent="0.25">
      <c r="A3690" s="13"/>
    </row>
    <row r="3691" spans="1:1" x14ac:dyDescent="0.25">
      <c r="A3691" s="13"/>
    </row>
    <row r="3692" spans="1:1" x14ac:dyDescent="0.25">
      <c r="A3692" s="13"/>
    </row>
    <row r="3693" spans="1:1" x14ac:dyDescent="0.25">
      <c r="A3693" s="13"/>
    </row>
    <row r="3694" spans="1:1" x14ac:dyDescent="0.25">
      <c r="A3694" s="13"/>
    </row>
    <row r="3695" spans="1:1" x14ac:dyDescent="0.25">
      <c r="A3695" s="13"/>
    </row>
    <row r="3696" spans="1:1" x14ac:dyDescent="0.25">
      <c r="A3696" s="13"/>
    </row>
    <row r="3697" spans="1:1" x14ac:dyDescent="0.25">
      <c r="A3697" s="13"/>
    </row>
    <row r="3698" spans="1:1" x14ac:dyDescent="0.25">
      <c r="A3698" s="13"/>
    </row>
    <row r="3699" spans="1:1" x14ac:dyDescent="0.25">
      <c r="A3699" s="13"/>
    </row>
    <row r="3700" spans="1:1" x14ac:dyDescent="0.25">
      <c r="A3700" s="13"/>
    </row>
    <row r="3701" spans="1:1" x14ac:dyDescent="0.25">
      <c r="A3701" s="13"/>
    </row>
    <row r="3702" spans="1:1" x14ac:dyDescent="0.25">
      <c r="A3702" s="13"/>
    </row>
    <row r="3703" spans="1:1" x14ac:dyDescent="0.25">
      <c r="A3703" s="13"/>
    </row>
    <row r="3704" spans="1:1" x14ac:dyDescent="0.25">
      <c r="A3704" s="13"/>
    </row>
    <row r="3705" spans="1:1" x14ac:dyDescent="0.25">
      <c r="A3705" s="13"/>
    </row>
    <row r="3706" spans="1:1" x14ac:dyDescent="0.25">
      <c r="A3706" s="13"/>
    </row>
    <row r="3707" spans="1:1" x14ac:dyDescent="0.25">
      <c r="A3707" s="13"/>
    </row>
    <row r="3708" spans="1:1" x14ac:dyDescent="0.25">
      <c r="A3708" s="13"/>
    </row>
    <row r="3709" spans="1:1" x14ac:dyDescent="0.25">
      <c r="A3709" s="13"/>
    </row>
    <row r="3710" spans="1:1" x14ac:dyDescent="0.25">
      <c r="A3710" s="13"/>
    </row>
    <row r="3711" spans="1:1" x14ac:dyDescent="0.25">
      <c r="A3711" s="13"/>
    </row>
    <row r="3712" spans="1:1" x14ac:dyDescent="0.25">
      <c r="A3712" s="13"/>
    </row>
    <row r="3713" spans="1:1" x14ac:dyDescent="0.25">
      <c r="A3713" s="13"/>
    </row>
    <row r="3714" spans="1:1" x14ac:dyDescent="0.25">
      <c r="A3714" s="13"/>
    </row>
    <row r="3715" spans="1:1" x14ac:dyDescent="0.25">
      <c r="A3715" s="13"/>
    </row>
    <row r="3716" spans="1:1" x14ac:dyDescent="0.25">
      <c r="A3716" s="13"/>
    </row>
    <row r="3717" spans="1:1" x14ac:dyDescent="0.25">
      <c r="A3717" s="13"/>
    </row>
    <row r="3718" spans="1:1" x14ac:dyDescent="0.25">
      <c r="A3718" s="13"/>
    </row>
    <row r="3719" spans="1:1" x14ac:dyDescent="0.25">
      <c r="A3719" s="13"/>
    </row>
    <row r="3720" spans="1:1" x14ac:dyDescent="0.25">
      <c r="A3720" s="13"/>
    </row>
    <row r="3721" spans="1:1" x14ac:dyDescent="0.25">
      <c r="A3721" s="13"/>
    </row>
    <row r="3722" spans="1:1" x14ac:dyDescent="0.25">
      <c r="A3722" s="13"/>
    </row>
    <row r="3723" spans="1:1" x14ac:dyDescent="0.25">
      <c r="A3723" s="13"/>
    </row>
    <row r="3724" spans="1:1" x14ac:dyDescent="0.25">
      <c r="A3724" s="13"/>
    </row>
    <row r="3725" spans="1:1" x14ac:dyDescent="0.25">
      <c r="A3725" s="13"/>
    </row>
    <row r="3726" spans="1:1" x14ac:dyDescent="0.25">
      <c r="A3726" s="13"/>
    </row>
    <row r="3727" spans="1:1" x14ac:dyDescent="0.25">
      <c r="A3727" s="13"/>
    </row>
    <row r="3728" spans="1:1" x14ac:dyDescent="0.25">
      <c r="A3728" s="13"/>
    </row>
    <row r="3729" spans="1:1" x14ac:dyDescent="0.25">
      <c r="A3729" s="13"/>
    </row>
    <row r="3730" spans="1:1" x14ac:dyDescent="0.25">
      <c r="A3730" s="13"/>
    </row>
    <row r="3731" spans="1:1" x14ac:dyDescent="0.25">
      <c r="A3731" s="13"/>
    </row>
    <row r="3732" spans="1:1" x14ac:dyDescent="0.25">
      <c r="A3732" s="13"/>
    </row>
    <row r="3733" spans="1:1" x14ac:dyDescent="0.25">
      <c r="A3733" s="13"/>
    </row>
    <row r="3734" spans="1:1" x14ac:dyDescent="0.25">
      <c r="A3734" s="13"/>
    </row>
    <row r="3735" spans="1:1" x14ac:dyDescent="0.25">
      <c r="A3735" s="13"/>
    </row>
    <row r="3736" spans="1:1" x14ac:dyDescent="0.25">
      <c r="A3736" s="13"/>
    </row>
    <row r="3737" spans="1:1" x14ac:dyDescent="0.25">
      <c r="A3737" s="13"/>
    </row>
    <row r="3738" spans="1:1" x14ac:dyDescent="0.25">
      <c r="A3738" s="13"/>
    </row>
    <row r="3739" spans="1:1" x14ac:dyDescent="0.25">
      <c r="A3739" s="13"/>
    </row>
    <row r="3740" spans="1:1" x14ac:dyDescent="0.25">
      <c r="A3740" s="13"/>
    </row>
    <row r="3741" spans="1:1" x14ac:dyDescent="0.25">
      <c r="A3741" s="13"/>
    </row>
    <row r="3742" spans="1:1" x14ac:dyDescent="0.25">
      <c r="A3742" s="13"/>
    </row>
    <row r="3743" spans="1:1" x14ac:dyDescent="0.25">
      <c r="A3743" s="13"/>
    </row>
    <row r="3744" spans="1:1" x14ac:dyDescent="0.25">
      <c r="A3744" s="13"/>
    </row>
    <row r="3745" spans="1:1" x14ac:dyDescent="0.25">
      <c r="A3745" s="13"/>
    </row>
    <row r="3746" spans="1:1" x14ac:dyDescent="0.25">
      <c r="A3746" s="13"/>
    </row>
    <row r="3747" spans="1:1" x14ac:dyDescent="0.25">
      <c r="A3747" s="13"/>
    </row>
    <row r="3748" spans="1:1" x14ac:dyDescent="0.25">
      <c r="A3748" s="13"/>
    </row>
    <row r="3749" spans="1:1" x14ac:dyDescent="0.25">
      <c r="A3749" s="13"/>
    </row>
    <row r="3750" spans="1:1" x14ac:dyDescent="0.25">
      <c r="A3750" s="13"/>
    </row>
    <row r="3751" spans="1:1" x14ac:dyDescent="0.25">
      <c r="A3751" s="13"/>
    </row>
    <row r="3752" spans="1:1" x14ac:dyDescent="0.25">
      <c r="A3752" s="13"/>
    </row>
    <row r="3753" spans="1:1" x14ac:dyDescent="0.25">
      <c r="A3753" s="13"/>
    </row>
    <row r="3754" spans="1:1" x14ac:dyDescent="0.25">
      <c r="A3754" s="13"/>
    </row>
    <row r="3755" spans="1:1" x14ac:dyDescent="0.25">
      <c r="A3755" s="13"/>
    </row>
    <row r="3756" spans="1:1" x14ac:dyDescent="0.25">
      <c r="A3756" s="13"/>
    </row>
    <row r="3757" spans="1:1" x14ac:dyDescent="0.25">
      <c r="A3757" s="13"/>
    </row>
    <row r="3758" spans="1:1" x14ac:dyDescent="0.25">
      <c r="A3758" s="13"/>
    </row>
    <row r="3759" spans="1:1" x14ac:dyDescent="0.25">
      <c r="A3759" s="13"/>
    </row>
    <row r="3760" spans="1:1" x14ac:dyDescent="0.25">
      <c r="A3760" s="13"/>
    </row>
    <row r="3761" spans="1:1" x14ac:dyDescent="0.25">
      <c r="A3761" s="13"/>
    </row>
    <row r="3762" spans="1:1" x14ac:dyDescent="0.25">
      <c r="A3762" s="13"/>
    </row>
    <row r="3763" spans="1:1" x14ac:dyDescent="0.25">
      <c r="A3763" s="13"/>
    </row>
    <row r="3764" spans="1:1" x14ac:dyDescent="0.25">
      <c r="A3764" s="13"/>
    </row>
    <row r="3765" spans="1:1" x14ac:dyDescent="0.25">
      <c r="A3765" s="13"/>
    </row>
    <row r="3766" spans="1:1" x14ac:dyDescent="0.25">
      <c r="A3766" s="13"/>
    </row>
    <row r="3767" spans="1:1" x14ac:dyDescent="0.25">
      <c r="A3767" s="13"/>
    </row>
    <row r="3768" spans="1:1" x14ac:dyDescent="0.25">
      <c r="A3768" s="13"/>
    </row>
    <row r="3769" spans="1:1" x14ac:dyDescent="0.25">
      <c r="A3769" s="13"/>
    </row>
    <row r="3770" spans="1:1" x14ac:dyDescent="0.25">
      <c r="A3770" s="13"/>
    </row>
    <row r="3771" spans="1:1" x14ac:dyDescent="0.25">
      <c r="A3771" s="13"/>
    </row>
    <row r="3772" spans="1:1" x14ac:dyDescent="0.25">
      <c r="A3772" s="13"/>
    </row>
    <row r="3773" spans="1:1" x14ac:dyDescent="0.25">
      <c r="A3773" s="13"/>
    </row>
    <row r="3774" spans="1:1" x14ac:dyDescent="0.25">
      <c r="A3774" s="13"/>
    </row>
    <row r="3775" spans="1:1" x14ac:dyDescent="0.25">
      <c r="A3775" s="13"/>
    </row>
    <row r="3776" spans="1:1" x14ac:dyDescent="0.25">
      <c r="A3776" s="13"/>
    </row>
    <row r="3777" spans="1:1" x14ac:dyDescent="0.25">
      <c r="A3777" s="13"/>
    </row>
    <row r="3778" spans="1:1" x14ac:dyDescent="0.25">
      <c r="A3778" s="13"/>
    </row>
    <row r="3779" spans="1:1" x14ac:dyDescent="0.25">
      <c r="A3779" s="13"/>
    </row>
    <row r="3780" spans="1:1" x14ac:dyDescent="0.25">
      <c r="A3780" s="13"/>
    </row>
    <row r="3781" spans="1:1" x14ac:dyDescent="0.25">
      <c r="A3781" s="13"/>
    </row>
    <row r="3782" spans="1:1" x14ac:dyDescent="0.25">
      <c r="A3782" s="13"/>
    </row>
    <row r="3783" spans="1:1" x14ac:dyDescent="0.25">
      <c r="A3783" s="13"/>
    </row>
    <row r="3784" spans="1:1" x14ac:dyDescent="0.25">
      <c r="A3784" s="13"/>
    </row>
    <row r="3785" spans="1:1" x14ac:dyDescent="0.25">
      <c r="A3785" s="13"/>
    </row>
    <row r="3786" spans="1:1" x14ac:dyDescent="0.25">
      <c r="A3786" s="13"/>
    </row>
    <row r="3787" spans="1:1" x14ac:dyDescent="0.25">
      <c r="A3787" s="13"/>
    </row>
    <row r="3788" spans="1:1" x14ac:dyDescent="0.25">
      <c r="A3788" s="13"/>
    </row>
    <row r="3789" spans="1:1" x14ac:dyDescent="0.25">
      <c r="A3789" s="13"/>
    </row>
    <row r="3790" spans="1:1" x14ac:dyDescent="0.25">
      <c r="A3790" s="13"/>
    </row>
    <row r="3791" spans="1:1" x14ac:dyDescent="0.25">
      <c r="A3791" s="13"/>
    </row>
    <row r="3792" spans="1:1" x14ac:dyDescent="0.25">
      <c r="A3792" s="13"/>
    </row>
    <row r="3793" spans="1:1" x14ac:dyDescent="0.25">
      <c r="A3793" s="13"/>
    </row>
    <row r="3794" spans="1:1" x14ac:dyDescent="0.25">
      <c r="A3794" s="13"/>
    </row>
    <row r="3795" spans="1:1" x14ac:dyDescent="0.25">
      <c r="A3795" s="13"/>
    </row>
    <row r="3796" spans="1:1" x14ac:dyDescent="0.25">
      <c r="A3796" s="13"/>
    </row>
    <row r="3797" spans="1:1" x14ac:dyDescent="0.25">
      <c r="A3797" s="13"/>
    </row>
    <row r="3798" spans="1:1" x14ac:dyDescent="0.25">
      <c r="A3798" s="13"/>
    </row>
    <row r="3799" spans="1:1" x14ac:dyDescent="0.25">
      <c r="A3799" s="13"/>
    </row>
    <row r="3800" spans="1:1" x14ac:dyDescent="0.25">
      <c r="A3800" s="13"/>
    </row>
    <row r="3801" spans="1:1" x14ac:dyDescent="0.25">
      <c r="A3801" s="13"/>
    </row>
    <row r="3802" spans="1:1" x14ac:dyDescent="0.25">
      <c r="A3802" s="13"/>
    </row>
    <row r="3803" spans="1:1" x14ac:dyDescent="0.25">
      <c r="A3803" s="13"/>
    </row>
    <row r="3804" spans="1:1" x14ac:dyDescent="0.25">
      <c r="A3804" s="13"/>
    </row>
    <row r="3805" spans="1:1" x14ac:dyDescent="0.25">
      <c r="A3805" s="13"/>
    </row>
    <row r="3806" spans="1:1" x14ac:dyDescent="0.25">
      <c r="A3806" s="13"/>
    </row>
    <row r="3807" spans="1:1" x14ac:dyDescent="0.25">
      <c r="A3807" s="13"/>
    </row>
    <row r="3808" spans="1:1" x14ac:dyDescent="0.25">
      <c r="A3808" s="13"/>
    </row>
    <row r="3809" spans="1:1" x14ac:dyDescent="0.25">
      <c r="A3809" s="13"/>
    </row>
    <row r="3810" spans="1:1" x14ac:dyDescent="0.25">
      <c r="A3810" s="13"/>
    </row>
    <row r="3811" spans="1:1" x14ac:dyDescent="0.25">
      <c r="A3811" s="13"/>
    </row>
    <row r="3812" spans="1:1" x14ac:dyDescent="0.25">
      <c r="A3812" s="13"/>
    </row>
    <row r="3813" spans="1:1" x14ac:dyDescent="0.25">
      <c r="A3813" s="13"/>
    </row>
    <row r="3814" spans="1:1" x14ac:dyDescent="0.25">
      <c r="A3814" s="13"/>
    </row>
    <row r="3815" spans="1:1" x14ac:dyDescent="0.25">
      <c r="A3815" s="13"/>
    </row>
    <row r="3816" spans="1:1" x14ac:dyDescent="0.25">
      <c r="A3816" s="13"/>
    </row>
    <row r="3817" spans="1:1" x14ac:dyDescent="0.25">
      <c r="A3817" s="13"/>
    </row>
    <row r="3818" spans="1:1" x14ac:dyDescent="0.25">
      <c r="A3818" s="13"/>
    </row>
    <row r="3819" spans="1:1" x14ac:dyDescent="0.25">
      <c r="A3819" s="13"/>
    </row>
    <row r="3820" spans="1:1" x14ac:dyDescent="0.25">
      <c r="A3820" s="13"/>
    </row>
    <row r="3821" spans="1:1" x14ac:dyDescent="0.25">
      <c r="A3821" s="13"/>
    </row>
    <row r="3822" spans="1:1" x14ac:dyDescent="0.25">
      <c r="A3822" s="13"/>
    </row>
    <row r="3823" spans="1:1" x14ac:dyDescent="0.25">
      <c r="A3823" s="13"/>
    </row>
    <row r="3824" spans="1:1" x14ac:dyDescent="0.25">
      <c r="A3824" s="13"/>
    </row>
    <row r="3825" spans="1:1" x14ac:dyDescent="0.25">
      <c r="A3825" s="13"/>
    </row>
    <row r="3826" spans="1:1" x14ac:dyDescent="0.25">
      <c r="A3826" s="13"/>
    </row>
    <row r="3827" spans="1:1" x14ac:dyDescent="0.25">
      <c r="A3827" s="13"/>
    </row>
    <row r="3828" spans="1:1" x14ac:dyDescent="0.25">
      <c r="A3828" s="13"/>
    </row>
    <row r="3829" spans="1:1" x14ac:dyDescent="0.25">
      <c r="A3829" s="13"/>
    </row>
    <row r="3830" spans="1:1" x14ac:dyDescent="0.25">
      <c r="A3830" s="13"/>
    </row>
    <row r="3831" spans="1:1" x14ac:dyDescent="0.25">
      <c r="A3831" s="13"/>
    </row>
    <row r="3832" spans="1:1" x14ac:dyDescent="0.25">
      <c r="A3832" s="13"/>
    </row>
    <row r="3833" spans="1:1" x14ac:dyDescent="0.25">
      <c r="A3833" s="13"/>
    </row>
    <row r="3834" spans="1:1" x14ac:dyDescent="0.25">
      <c r="A3834" s="13"/>
    </row>
    <row r="3835" spans="1:1" x14ac:dyDescent="0.25">
      <c r="A3835" s="13"/>
    </row>
    <row r="3836" spans="1:1" x14ac:dyDescent="0.25">
      <c r="A3836" s="13"/>
    </row>
    <row r="3837" spans="1:1" x14ac:dyDescent="0.25">
      <c r="A3837" s="13"/>
    </row>
    <row r="3838" spans="1:1" x14ac:dyDescent="0.25">
      <c r="A3838" s="13"/>
    </row>
    <row r="3839" spans="1:1" x14ac:dyDescent="0.25">
      <c r="A3839" s="13"/>
    </row>
    <row r="3840" spans="1:1" x14ac:dyDescent="0.25">
      <c r="A3840" s="13"/>
    </row>
    <row r="3841" spans="1:1" x14ac:dyDescent="0.25">
      <c r="A3841" s="13"/>
    </row>
    <row r="3842" spans="1:1" x14ac:dyDescent="0.25">
      <c r="A3842" s="13"/>
    </row>
    <row r="3843" spans="1:1" x14ac:dyDescent="0.25">
      <c r="A3843" s="13"/>
    </row>
    <row r="3844" spans="1:1" x14ac:dyDescent="0.25">
      <c r="A3844" s="13"/>
    </row>
    <row r="3845" spans="1:1" x14ac:dyDescent="0.25">
      <c r="A3845" s="13"/>
    </row>
    <row r="3846" spans="1:1" x14ac:dyDescent="0.25">
      <c r="A3846" s="13"/>
    </row>
    <row r="3847" spans="1:1" x14ac:dyDescent="0.25">
      <c r="A3847" s="1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F0A2F-020E-49AE-8C85-4B22C14CF5CF}">
  <sheetPr codeName="Hoja1"/>
  <dimension ref="A1:G144"/>
  <sheetViews>
    <sheetView workbookViewId="0">
      <selection activeCell="A3" sqref="A3"/>
    </sheetView>
  </sheetViews>
  <sheetFormatPr baseColWidth="10" defaultRowHeight="15" x14ac:dyDescent="0.25"/>
  <cols>
    <col min="1" max="1" width="13.5703125" customWidth="1"/>
    <col min="2" max="2" width="20.85546875" customWidth="1"/>
    <col min="3" max="3" width="23.28515625" customWidth="1"/>
    <col min="4" max="4" width="25.42578125" customWidth="1"/>
    <col min="5" max="5" width="26.7109375" customWidth="1"/>
    <col min="7" max="7" width="18.140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17521</v>
      </c>
      <c r="F1" t="s">
        <v>5</v>
      </c>
      <c r="G1" t="s">
        <v>17513</v>
      </c>
    </row>
    <row r="2" spans="1:7" x14ac:dyDescent="0.25">
      <c r="A2">
        <v>10046</v>
      </c>
      <c r="B2" t="s">
        <v>56</v>
      </c>
      <c r="C2" t="s">
        <v>17514</v>
      </c>
      <c r="D2" t="s">
        <v>17514</v>
      </c>
      <c r="E2">
        <v>2</v>
      </c>
      <c r="F2" t="s">
        <v>7</v>
      </c>
      <c r="G2" t="s">
        <v>3058</v>
      </c>
    </row>
    <row r="3" spans="1:7" x14ac:dyDescent="0.25">
      <c r="A3">
        <v>10189</v>
      </c>
      <c r="B3" t="s">
        <v>180</v>
      </c>
      <c r="C3" t="s">
        <v>17514</v>
      </c>
      <c r="D3" t="s">
        <v>17514</v>
      </c>
      <c r="E3">
        <v>6</v>
      </c>
      <c r="F3" t="s">
        <v>7</v>
      </c>
      <c r="G3" t="s">
        <v>3074</v>
      </c>
    </row>
    <row r="4" spans="1:7" x14ac:dyDescent="0.25">
      <c r="A4">
        <v>10370</v>
      </c>
      <c r="B4" t="s">
        <v>348</v>
      </c>
      <c r="C4" t="s">
        <v>17514</v>
      </c>
      <c r="D4" t="s">
        <v>17514</v>
      </c>
      <c r="E4">
        <v>10</v>
      </c>
      <c r="F4" t="s">
        <v>7</v>
      </c>
      <c r="G4" t="s">
        <v>3071</v>
      </c>
    </row>
    <row r="5" spans="1:7" x14ac:dyDescent="0.25">
      <c r="A5">
        <v>10395</v>
      </c>
      <c r="B5" t="s">
        <v>363</v>
      </c>
      <c r="C5" t="s">
        <v>17514</v>
      </c>
      <c r="D5" t="s">
        <v>17514</v>
      </c>
      <c r="E5">
        <v>2</v>
      </c>
      <c r="F5" t="s">
        <v>7</v>
      </c>
      <c r="G5" t="s">
        <v>3062</v>
      </c>
    </row>
    <row r="6" spans="1:7" x14ac:dyDescent="0.25">
      <c r="A6">
        <v>10400</v>
      </c>
      <c r="B6" t="s">
        <v>367</v>
      </c>
      <c r="C6" t="s">
        <v>17514</v>
      </c>
      <c r="D6" t="s">
        <v>17514</v>
      </c>
      <c r="E6">
        <v>150</v>
      </c>
      <c r="F6" t="s">
        <v>7</v>
      </c>
      <c r="G6" t="s">
        <v>3073</v>
      </c>
    </row>
    <row r="7" spans="1:7" x14ac:dyDescent="0.25">
      <c r="A7">
        <v>10401</v>
      </c>
      <c r="B7" t="s">
        <v>368</v>
      </c>
      <c r="C7" t="s">
        <v>17514</v>
      </c>
      <c r="D7" t="s">
        <v>17514</v>
      </c>
      <c r="E7">
        <v>150</v>
      </c>
      <c r="F7" t="s">
        <v>7</v>
      </c>
      <c r="G7" t="s">
        <v>3073</v>
      </c>
    </row>
    <row r="8" spans="1:7" x14ac:dyDescent="0.25">
      <c r="A8">
        <v>10402</v>
      </c>
      <c r="B8" t="s">
        <v>369</v>
      </c>
      <c r="C8" t="s">
        <v>17514</v>
      </c>
      <c r="D8" t="s">
        <v>17514</v>
      </c>
      <c r="E8">
        <v>150</v>
      </c>
      <c r="F8" t="s">
        <v>7</v>
      </c>
      <c r="G8" t="s">
        <v>3073</v>
      </c>
    </row>
    <row r="9" spans="1:7" x14ac:dyDescent="0.25">
      <c r="A9">
        <v>10403</v>
      </c>
      <c r="B9" t="s">
        <v>370</v>
      </c>
      <c r="C9" t="s">
        <v>17514</v>
      </c>
      <c r="D9" t="s">
        <v>17514</v>
      </c>
      <c r="E9">
        <v>30</v>
      </c>
      <c r="F9" t="s">
        <v>7</v>
      </c>
      <c r="G9" t="s">
        <v>3073</v>
      </c>
    </row>
    <row r="10" spans="1:7" x14ac:dyDescent="0.25">
      <c r="A10">
        <v>10413</v>
      </c>
      <c r="B10" t="s">
        <v>379</v>
      </c>
      <c r="C10" t="s">
        <v>17514</v>
      </c>
      <c r="D10" t="s">
        <v>17514</v>
      </c>
      <c r="E10">
        <v>3</v>
      </c>
      <c r="F10" t="s">
        <v>7</v>
      </c>
      <c r="G10" t="s">
        <v>3070</v>
      </c>
    </row>
    <row r="11" spans="1:7" x14ac:dyDescent="0.25">
      <c r="A11">
        <v>10420</v>
      </c>
      <c r="B11" t="s">
        <v>384</v>
      </c>
      <c r="C11" t="s">
        <v>17514</v>
      </c>
      <c r="D11" t="s">
        <v>17514</v>
      </c>
      <c r="E11">
        <v>5</v>
      </c>
      <c r="F11" t="s">
        <v>7</v>
      </c>
      <c r="G11" t="s">
        <v>3070</v>
      </c>
    </row>
    <row r="12" spans="1:7" x14ac:dyDescent="0.25">
      <c r="A12">
        <v>10557</v>
      </c>
      <c r="B12" t="s">
        <v>512</v>
      </c>
      <c r="C12" t="s">
        <v>17514</v>
      </c>
      <c r="D12" t="s">
        <v>17514</v>
      </c>
      <c r="E12">
        <v>2</v>
      </c>
      <c r="F12" t="s">
        <v>7</v>
      </c>
      <c r="G12" t="s">
        <v>3070</v>
      </c>
    </row>
    <row r="13" spans="1:7" x14ac:dyDescent="0.25">
      <c r="A13">
        <v>10706</v>
      </c>
      <c r="B13" t="s">
        <v>644</v>
      </c>
      <c r="C13" t="s">
        <v>17514</v>
      </c>
      <c r="D13" t="s">
        <v>17514</v>
      </c>
      <c r="E13">
        <v>5</v>
      </c>
      <c r="F13" t="s">
        <v>7</v>
      </c>
      <c r="G13" t="s">
        <v>3070</v>
      </c>
    </row>
    <row r="14" spans="1:7" x14ac:dyDescent="0.25">
      <c r="A14">
        <v>20005</v>
      </c>
      <c r="B14" t="s">
        <v>880</v>
      </c>
      <c r="C14" t="s">
        <v>17514</v>
      </c>
      <c r="D14" t="s">
        <v>17514</v>
      </c>
      <c r="E14">
        <v>50</v>
      </c>
      <c r="F14" t="s">
        <v>7</v>
      </c>
      <c r="G14" t="s">
        <v>3073</v>
      </c>
    </row>
    <row r="15" spans="1:7" x14ac:dyDescent="0.25">
      <c r="A15">
        <v>51313</v>
      </c>
      <c r="B15" t="s">
        <v>996</v>
      </c>
      <c r="C15" t="s">
        <v>17514</v>
      </c>
      <c r="D15" t="s">
        <v>17514</v>
      </c>
      <c r="E15">
        <v>1380</v>
      </c>
      <c r="F15" t="s">
        <v>7</v>
      </c>
      <c r="G15" t="s">
        <v>3071</v>
      </c>
    </row>
    <row r="16" spans="1:7" x14ac:dyDescent="0.25">
      <c r="A16">
        <v>51315</v>
      </c>
      <c r="B16" t="s">
        <v>998</v>
      </c>
      <c r="C16" t="s">
        <v>17514</v>
      </c>
      <c r="D16" t="s">
        <v>17514</v>
      </c>
      <c r="E16">
        <v>2376</v>
      </c>
      <c r="F16" t="s">
        <v>7</v>
      </c>
      <c r="G16" t="s">
        <v>3071</v>
      </c>
    </row>
    <row r="17" spans="1:7" x14ac:dyDescent="0.25">
      <c r="A17">
        <v>51318</v>
      </c>
      <c r="B17" t="s">
        <v>16622</v>
      </c>
      <c r="C17" t="s">
        <v>17514</v>
      </c>
      <c r="D17" t="s">
        <v>17514</v>
      </c>
      <c r="E17">
        <v>576</v>
      </c>
      <c r="F17" t="s">
        <v>7</v>
      </c>
      <c r="G17" t="s">
        <v>3071</v>
      </c>
    </row>
    <row r="18" spans="1:7" x14ac:dyDescent="0.25">
      <c r="A18">
        <v>51320</v>
      </c>
      <c r="B18" t="s">
        <v>1002</v>
      </c>
      <c r="C18" t="s">
        <v>17514</v>
      </c>
      <c r="D18" t="s">
        <v>17514</v>
      </c>
      <c r="E18">
        <v>228</v>
      </c>
      <c r="F18" t="s">
        <v>7</v>
      </c>
      <c r="G18" t="s">
        <v>3071</v>
      </c>
    </row>
    <row r="19" spans="1:7" x14ac:dyDescent="0.25">
      <c r="A19">
        <v>51324</v>
      </c>
      <c r="B19" t="s">
        <v>1004</v>
      </c>
      <c r="C19" t="s">
        <v>17514</v>
      </c>
      <c r="D19" t="s">
        <v>17514</v>
      </c>
      <c r="E19">
        <v>480</v>
      </c>
      <c r="F19" t="s">
        <v>7</v>
      </c>
      <c r="G19" t="s">
        <v>3071</v>
      </c>
    </row>
    <row r="20" spans="1:7" x14ac:dyDescent="0.25">
      <c r="A20">
        <v>51325</v>
      </c>
      <c r="B20" t="s">
        <v>1005</v>
      </c>
      <c r="C20" t="s">
        <v>17514</v>
      </c>
      <c r="D20" t="s">
        <v>17514</v>
      </c>
      <c r="E20">
        <v>480</v>
      </c>
      <c r="F20" t="s">
        <v>7</v>
      </c>
      <c r="G20" t="s">
        <v>3071</v>
      </c>
    </row>
    <row r="21" spans="1:7" x14ac:dyDescent="0.25">
      <c r="A21">
        <v>51326</v>
      </c>
      <c r="B21" t="s">
        <v>1006</v>
      </c>
      <c r="C21" t="s">
        <v>17514</v>
      </c>
      <c r="D21" t="s">
        <v>17514</v>
      </c>
      <c r="E21">
        <v>240</v>
      </c>
      <c r="F21" t="s">
        <v>7</v>
      </c>
      <c r="G21" t="s">
        <v>3071</v>
      </c>
    </row>
    <row r="22" spans="1:7" x14ac:dyDescent="0.25">
      <c r="A22">
        <v>51327</v>
      </c>
      <c r="B22" t="s">
        <v>1007</v>
      </c>
      <c r="C22" t="s">
        <v>17514</v>
      </c>
      <c r="D22" t="s">
        <v>17514</v>
      </c>
      <c r="E22">
        <v>120</v>
      </c>
      <c r="F22" t="s">
        <v>7</v>
      </c>
      <c r="G22" t="s">
        <v>3071</v>
      </c>
    </row>
    <row r="23" spans="1:7" x14ac:dyDescent="0.25">
      <c r="A23">
        <v>51328</v>
      </c>
      <c r="B23" t="s">
        <v>1008</v>
      </c>
      <c r="C23" t="s">
        <v>17514</v>
      </c>
      <c r="D23" t="s">
        <v>17514</v>
      </c>
      <c r="E23">
        <v>120</v>
      </c>
      <c r="F23" t="s">
        <v>7</v>
      </c>
      <c r="G23" t="s">
        <v>3071</v>
      </c>
    </row>
    <row r="24" spans="1:7" x14ac:dyDescent="0.25">
      <c r="A24">
        <v>51329</v>
      </c>
      <c r="B24" t="s">
        <v>1009</v>
      </c>
      <c r="C24" t="s">
        <v>17514</v>
      </c>
      <c r="D24" t="s">
        <v>17514</v>
      </c>
      <c r="E24">
        <v>120</v>
      </c>
      <c r="F24" t="s">
        <v>7</v>
      </c>
      <c r="G24" t="s">
        <v>3071</v>
      </c>
    </row>
    <row r="25" spans="1:7" x14ac:dyDescent="0.25">
      <c r="A25">
        <v>51363</v>
      </c>
      <c r="B25" t="s">
        <v>1034</v>
      </c>
      <c r="C25" t="s">
        <v>17514</v>
      </c>
      <c r="D25" t="s">
        <v>17514</v>
      </c>
      <c r="E25">
        <v>30</v>
      </c>
      <c r="F25" t="s">
        <v>7</v>
      </c>
      <c r="G25" t="s">
        <v>3070</v>
      </c>
    </row>
    <row r="26" spans="1:7" x14ac:dyDescent="0.25">
      <c r="A26">
        <v>51376</v>
      </c>
      <c r="B26" t="s">
        <v>16101</v>
      </c>
      <c r="C26" t="s">
        <v>17514</v>
      </c>
      <c r="D26" t="s">
        <v>17514</v>
      </c>
      <c r="E26">
        <v>30</v>
      </c>
      <c r="F26" t="s">
        <v>7</v>
      </c>
      <c r="G26" t="s">
        <v>3070</v>
      </c>
    </row>
    <row r="27" spans="1:7" x14ac:dyDescent="0.25">
      <c r="A27">
        <v>51377</v>
      </c>
      <c r="B27" t="s">
        <v>16094</v>
      </c>
      <c r="C27" t="s">
        <v>17514</v>
      </c>
      <c r="D27" t="s">
        <v>17514</v>
      </c>
      <c r="E27">
        <v>20</v>
      </c>
      <c r="F27" t="s">
        <v>7</v>
      </c>
      <c r="G27" t="s">
        <v>3070</v>
      </c>
    </row>
    <row r="28" spans="1:7" x14ac:dyDescent="0.25">
      <c r="A28">
        <v>51412</v>
      </c>
      <c r="B28" t="s">
        <v>1072</v>
      </c>
      <c r="C28" t="s">
        <v>17514</v>
      </c>
      <c r="D28" t="s">
        <v>17514</v>
      </c>
      <c r="E28">
        <v>10</v>
      </c>
      <c r="F28" t="s">
        <v>7</v>
      </c>
      <c r="G28" t="s">
        <v>3070</v>
      </c>
    </row>
    <row r="29" spans="1:7" x14ac:dyDescent="0.25">
      <c r="A29">
        <v>51482</v>
      </c>
      <c r="B29" t="s">
        <v>1110</v>
      </c>
      <c r="C29" t="s">
        <v>17514</v>
      </c>
      <c r="D29" t="s">
        <v>17514</v>
      </c>
      <c r="E29">
        <v>20</v>
      </c>
      <c r="F29" t="s">
        <v>7</v>
      </c>
      <c r="G29" t="s">
        <v>3071</v>
      </c>
    </row>
    <row r="30" spans="1:7" x14ac:dyDescent="0.25">
      <c r="A30">
        <v>51486</v>
      </c>
      <c r="B30" t="s">
        <v>1113</v>
      </c>
      <c r="C30" t="s">
        <v>17514</v>
      </c>
      <c r="D30" t="s">
        <v>17514</v>
      </c>
      <c r="E30">
        <v>12</v>
      </c>
      <c r="F30" t="s">
        <v>7</v>
      </c>
      <c r="G30" t="s">
        <v>3071</v>
      </c>
    </row>
    <row r="31" spans="1:7" x14ac:dyDescent="0.25">
      <c r="A31">
        <v>51831</v>
      </c>
      <c r="B31" t="s">
        <v>16108</v>
      </c>
      <c r="C31" t="s">
        <v>17514</v>
      </c>
      <c r="D31" t="s">
        <v>17514</v>
      </c>
      <c r="E31">
        <v>2</v>
      </c>
      <c r="F31" t="s">
        <v>7</v>
      </c>
      <c r="G31" t="s">
        <v>3070</v>
      </c>
    </row>
    <row r="32" spans="1:7" x14ac:dyDescent="0.25">
      <c r="A32">
        <v>51834</v>
      </c>
      <c r="B32" t="s">
        <v>1296</v>
      </c>
      <c r="C32" t="s">
        <v>17514</v>
      </c>
      <c r="D32" t="s">
        <v>17514</v>
      </c>
      <c r="E32">
        <v>4</v>
      </c>
      <c r="F32" t="s">
        <v>7</v>
      </c>
      <c r="G32" t="s">
        <v>3070</v>
      </c>
    </row>
    <row r="33" spans="1:7" x14ac:dyDescent="0.25">
      <c r="A33">
        <v>51835</v>
      </c>
      <c r="B33" t="s">
        <v>1297</v>
      </c>
      <c r="C33" t="s">
        <v>17514</v>
      </c>
      <c r="D33" t="s">
        <v>17514</v>
      </c>
      <c r="E33">
        <v>76</v>
      </c>
      <c r="F33" t="s">
        <v>7</v>
      </c>
      <c r="G33" t="s">
        <v>3070</v>
      </c>
    </row>
    <row r="34" spans="1:7" x14ac:dyDescent="0.25">
      <c r="A34">
        <v>51978</v>
      </c>
      <c r="B34" t="s">
        <v>1400</v>
      </c>
      <c r="C34" t="s">
        <v>17514</v>
      </c>
      <c r="D34" t="s">
        <v>17514</v>
      </c>
      <c r="E34">
        <v>5</v>
      </c>
      <c r="F34" t="s">
        <v>7</v>
      </c>
      <c r="G34" t="s">
        <v>3070</v>
      </c>
    </row>
    <row r="35" spans="1:7" x14ac:dyDescent="0.25">
      <c r="A35">
        <v>51981</v>
      </c>
      <c r="B35" t="s">
        <v>17515</v>
      </c>
      <c r="C35" t="s">
        <v>17514</v>
      </c>
      <c r="D35" t="s">
        <v>17514</v>
      </c>
      <c r="E35">
        <v>20</v>
      </c>
      <c r="F35" t="s">
        <v>7</v>
      </c>
      <c r="G35" t="s">
        <v>3070</v>
      </c>
    </row>
    <row r="36" spans="1:7" x14ac:dyDescent="0.25">
      <c r="A36">
        <v>51997</v>
      </c>
      <c r="B36" t="s">
        <v>1415</v>
      </c>
      <c r="C36" t="s">
        <v>17514</v>
      </c>
      <c r="D36" t="s">
        <v>17514</v>
      </c>
      <c r="E36">
        <v>10</v>
      </c>
      <c r="F36" t="s">
        <v>7</v>
      </c>
      <c r="G36" t="s">
        <v>3070</v>
      </c>
    </row>
    <row r="37" spans="1:7" x14ac:dyDescent="0.25">
      <c r="A37">
        <v>52003</v>
      </c>
      <c r="B37" t="s">
        <v>17516</v>
      </c>
      <c r="C37" t="s">
        <v>17514</v>
      </c>
      <c r="D37" t="s">
        <v>17514</v>
      </c>
      <c r="E37">
        <v>22</v>
      </c>
      <c r="F37" t="s">
        <v>7</v>
      </c>
      <c r="G37" t="s">
        <v>3070</v>
      </c>
    </row>
    <row r="38" spans="1:7" x14ac:dyDescent="0.25">
      <c r="A38">
        <v>52007</v>
      </c>
      <c r="B38" t="s">
        <v>1425</v>
      </c>
      <c r="C38" t="s">
        <v>17514</v>
      </c>
      <c r="D38" t="s">
        <v>17514</v>
      </c>
      <c r="E38">
        <v>10</v>
      </c>
      <c r="F38" t="s">
        <v>7</v>
      </c>
      <c r="G38" t="s">
        <v>3070</v>
      </c>
    </row>
    <row r="39" spans="1:7" x14ac:dyDescent="0.25">
      <c r="A39">
        <v>52016</v>
      </c>
      <c r="B39" t="s">
        <v>1434</v>
      </c>
      <c r="C39" t="s">
        <v>17514</v>
      </c>
      <c r="D39" t="s">
        <v>17514</v>
      </c>
      <c r="E39">
        <v>10</v>
      </c>
      <c r="F39" t="s">
        <v>7</v>
      </c>
      <c r="G39" t="s">
        <v>3110</v>
      </c>
    </row>
    <row r="40" spans="1:7" x14ac:dyDescent="0.25">
      <c r="A40">
        <v>52036</v>
      </c>
      <c r="B40" t="s">
        <v>1453</v>
      </c>
      <c r="C40" t="s">
        <v>17514</v>
      </c>
      <c r="D40" t="s">
        <v>17514</v>
      </c>
      <c r="E40">
        <v>5</v>
      </c>
      <c r="F40" t="s">
        <v>7</v>
      </c>
      <c r="G40" t="s">
        <v>3070</v>
      </c>
    </row>
    <row r="41" spans="1:7" x14ac:dyDescent="0.25">
      <c r="A41">
        <v>5207</v>
      </c>
      <c r="B41" t="s">
        <v>1480</v>
      </c>
      <c r="C41" t="s">
        <v>17514</v>
      </c>
      <c r="D41" t="s">
        <v>17514</v>
      </c>
      <c r="E41">
        <v>14</v>
      </c>
      <c r="F41" t="s">
        <v>7</v>
      </c>
      <c r="G41" t="s">
        <v>3103</v>
      </c>
    </row>
    <row r="42" spans="1:7" x14ac:dyDescent="0.25">
      <c r="A42">
        <v>5208</v>
      </c>
      <c r="B42" t="s">
        <v>1491</v>
      </c>
      <c r="C42" t="s">
        <v>17514</v>
      </c>
      <c r="D42" t="s">
        <v>17514</v>
      </c>
      <c r="E42">
        <v>100</v>
      </c>
      <c r="F42" t="s">
        <v>7</v>
      </c>
      <c r="G42" t="s">
        <v>3103</v>
      </c>
    </row>
    <row r="43" spans="1:7" x14ac:dyDescent="0.25">
      <c r="A43">
        <v>52093</v>
      </c>
      <c r="B43" t="s">
        <v>1505</v>
      </c>
      <c r="C43" t="s">
        <v>17514</v>
      </c>
      <c r="D43" t="s">
        <v>17514</v>
      </c>
      <c r="E43">
        <v>5</v>
      </c>
      <c r="F43" t="s">
        <v>7</v>
      </c>
      <c r="G43" t="s">
        <v>3071</v>
      </c>
    </row>
    <row r="44" spans="1:7" x14ac:dyDescent="0.25">
      <c r="A44">
        <v>52094</v>
      </c>
      <c r="B44" t="s">
        <v>1506</v>
      </c>
      <c r="C44" t="s">
        <v>17514</v>
      </c>
      <c r="D44" t="s">
        <v>17514</v>
      </c>
      <c r="E44">
        <v>5</v>
      </c>
      <c r="F44" t="s">
        <v>7</v>
      </c>
      <c r="G44" t="s">
        <v>3071</v>
      </c>
    </row>
    <row r="45" spans="1:7" x14ac:dyDescent="0.25">
      <c r="A45">
        <v>52114</v>
      </c>
      <c r="B45" t="s">
        <v>1528</v>
      </c>
      <c r="C45" t="s">
        <v>17514</v>
      </c>
      <c r="D45" t="s">
        <v>17514</v>
      </c>
      <c r="E45">
        <v>5</v>
      </c>
      <c r="F45" t="s">
        <v>7</v>
      </c>
      <c r="G45" t="s">
        <v>3070</v>
      </c>
    </row>
    <row r="46" spans="1:7" x14ac:dyDescent="0.25">
      <c r="A46">
        <v>52119</v>
      </c>
      <c r="B46" t="s">
        <v>1533</v>
      </c>
      <c r="C46" t="s">
        <v>17514</v>
      </c>
      <c r="D46" t="s">
        <v>17514</v>
      </c>
      <c r="E46">
        <v>20</v>
      </c>
      <c r="F46" t="s">
        <v>7</v>
      </c>
      <c r="G46" t="s">
        <v>3070</v>
      </c>
    </row>
    <row r="47" spans="1:7" x14ac:dyDescent="0.25">
      <c r="A47">
        <v>52129</v>
      </c>
      <c r="B47" t="s">
        <v>1544</v>
      </c>
      <c r="C47" t="s">
        <v>17514</v>
      </c>
      <c r="D47" t="s">
        <v>17514</v>
      </c>
      <c r="E47">
        <v>3</v>
      </c>
      <c r="F47" t="s">
        <v>7</v>
      </c>
      <c r="G47" t="s">
        <v>3070</v>
      </c>
    </row>
    <row r="48" spans="1:7" x14ac:dyDescent="0.25">
      <c r="A48">
        <v>52144</v>
      </c>
      <c r="B48" t="s">
        <v>1560</v>
      </c>
      <c r="C48" t="s">
        <v>17514</v>
      </c>
      <c r="D48" t="s">
        <v>17514</v>
      </c>
      <c r="E48">
        <v>10</v>
      </c>
      <c r="F48" t="s">
        <v>7</v>
      </c>
      <c r="G48" t="s">
        <v>3070</v>
      </c>
    </row>
    <row r="49" spans="1:7" x14ac:dyDescent="0.25">
      <c r="A49">
        <v>52151</v>
      </c>
      <c r="B49" t="s">
        <v>1567</v>
      </c>
      <c r="C49" t="s">
        <v>17514</v>
      </c>
      <c r="D49" t="s">
        <v>17514</v>
      </c>
      <c r="E49">
        <v>20</v>
      </c>
      <c r="F49" t="s">
        <v>7</v>
      </c>
      <c r="G49" t="s">
        <v>3070</v>
      </c>
    </row>
    <row r="50" spans="1:7" x14ac:dyDescent="0.25">
      <c r="A50">
        <v>52152</v>
      </c>
      <c r="B50" t="s">
        <v>1568</v>
      </c>
      <c r="C50" t="s">
        <v>17514</v>
      </c>
      <c r="D50" t="s">
        <v>17514</v>
      </c>
      <c r="E50">
        <v>10</v>
      </c>
      <c r="F50" t="s">
        <v>7</v>
      </c>
      <c r="G50" t="s">
        <v>3070</v>
      </c>
    </row>
    <row r="51" spans="1:7" x14ac:dyDescent="0.25">
      <c r="A51">
        <v>52154</v>
      </c>
      <c r="B51" t="s">
        <v>1570</v>
      </c>
      <c r="C51" t="s">
        <v>17514</v>
      </c>
      <c r="D51" t="s">
        <v>17514</v>
      </c>
      <c r="E51">
        <v>10</v>
      </c>
      <c r="F51" t="s">
        <v>7</v>
      </c>
      <c r="G51" t="s">
        <v>3070</v>
      </c>
    </row>
    <row r="52" spans="1:7" x14ac:dyDescent="0.25">
      <c r="A52">
        <v>52186</v>
      </c>
      <c r="B52" t="s">
        <v>1604</v>
      </c>
      <c r="C52" t="s">
        <v>17514</v>
      </c>
      <c r="D52" t="s">
        <v>17514</v>
      </c>
      <c r="E52">
        <v>20</v>
      </c>
      <c r="F52" t="s">
        <v>7</v>
      </c>
      <c r="G52" t="s">
        <v>3070</v>
      </c>
    </row>
    <row r="53" spans="1:7" x14ac:dyDescent="0.25">
      <c r="A53">
        <v>52189</v>
      </c>
      <c r="B53" t="s">
        <v>1606</v>
      </c>
      <c r="C53" t="s">
        <v>17514</v>
      </c>
      <c r="D53" t="s">
        <v>17514</v>
      </c>
      <c r="E53">
        <v>10</v>
      </c>
      <c r="F53" t="s">
        <v>7</v>
      </c>
      <c r="G53" t="s">
        <v>3070</v>
      </c>
    </row>
    <row r="54" spans="1:7" x14ac:dyDescent="0.25">
      <c r="A54">
        <v>52191</v>
      </c>
      <c r="B54" t="s">
        <v>1608</v>
      </c>
      <c r="C54" t="s">
        <v>17514</v>
      </c>
      <c r="D54" t="s">
        <v>17514</v>
      </c>
      <c r="E54">
        <v>10</v>
      </c>
      <c r="F54" t="s">
        <v>7</v>
      </c>
      <c r="G54" t="s">
        <v>3070</v>
      </c>
    </row>
    <row r="55" spans="1:7" x14ac:dyDescent="0.25">
      <c r="A55">
        <v>52193</v>
      </c>
      <c r="B55" t="s">
        <v>1610</v>
      </c>
      <c r="C55" t="s">
        <v>17514</v>
      </c>
      <c r="D55" t="s">
        <v>17514</v>
      </c>
      <c r="E55">
        <v>10</v>
      </c>
      <c r="F55" t="s">
        <v>7</v>
      </c>
      <c r="G55" t="s">
        <v>3070</v>
      </c>
    </row>
    <row r="56" spans="1:7" x14ac:dyDescent="0.25">
      <c r="A56">
        <v>52483</v>
      </c>
      <c r="B56" t="s">
        <v>1889</v>
      </c>
      <c r="C56" t="s">
        <v>17514</v>
      </c>
      <c r="D56" t="s">
        <v>17514</v>
      </c>
      <c r="E56">
        <v>4</v>
      </c>
      <c r="F56" t="s">
        <v>7</v>
      </c>
      <c r="G56" t="s">
        <v>3062</v>
      </c>
    </row>
    <row r="57" spans="1:7" x14ac:dyDescent="0.25">
      <c r="A57">
        <v>52493</v>
      </c>
      <c r="B57" t="s">
        <v>1897</v>
      </c>
      <c r="C57" t="s">
        <v>17514</v>
      </c>
      <c r="D57" t="s">
        <v>17514</v>
      </c>
      <c r="E57">
        <v>100</v>
      </c>
      <c r="F57" t="s">
        <v>7</v>
      </c>
      <c r="G57" t="s">
        <v>3073</v>
      </c>
    </row>
    <row r="58" spans="1:7" x14ac:dyDescent="0.25">
      <c r="A58">
        <v>52494</v>
      </c>
      <c r="B58" t="s">
        <v>1898</v>
      </c>
      <c r="C58" t="s">
        <v>17514</v>
      </c>
      <c r="D58" t="s">
        <v>17514</v>
      </c>
      <c r="E58">
        <v>40</v>
      </c>
      <c r="F58" t="s">
        <v>7</v>
      </c>
      <c r="G58" t="s">
        <v>3073</v>
      </c>
    </row>
    <row r="59" spans="1:7" x14ac:dyDescent="0.25">
      <c r="A59">
        <v>52495</v>
      </c>
      <c r="B59" t="s">
        <v>1899</v>
      </c>
      <c r="C59" t="s">
        <v>17514</v>
      </c>
      <c r="D59" t="s">
        <v>17514</v>
      </c>
      <c r="E59">
        <v>40</v>
      </c>
      <c r="F59" t="s">
        <v>7</v>
      </c>
      <c r="G59" t="s">
        <v>3073</v>
      </c>
    </row>
    <row r="60" spans="1:7" x14ac:dyDescent="0.25">
      <c r="A60">
        <v>52496</v>
      </c>
      <c r="B60" t="s">
        <v>1900</v>
      </c>
      <c r="C60" t="s">
        <v>17514</v>
      </c>
      <c r="D60" t="s">
        <v>17514</v>
      </c>
      <c r="E60">
        <v>40</v>
      </c>
      <c r="F60" t="s">
        <v>7</v>
      </c>
      <c r="G60" t="s">
        <v>3073</v>
      </c>
    </row>
    <row r="61" spans="1:7" x14ac:dyDescent="0.25">
      <c r="A61">
        <v>52637</v>
      </c>
      <c r="B61" t="s">
        <v>17517</v>
      </c>
      <c r="C61" t="s">
        <v>17514</v>
      </c>
      <c r="D61" t="s">
        <v>17514</v>
      </c>
      <c r="E61">
        <v>3</v>
      </c>
      <c r="F61" t="s">
        <v>7</v>
      </c>
      <c r="G61" t="s">
        <v>3070</v>
      </c>
    </row>
    <row r="62" spans="1:7" x14ac:dyDescent="0.25">
      <c r="A62">
        <v>52945</v>
      </c>
      <c r="B62" t="s">
        <v>16613</v>
      </c>
      <c r="C62" t="s">
        <v>17514</v>
      </c>
      <c r="D62" t="s">
        <v>17514</v>
      </c>
      <c r="E62">
        <v>29</v>
      </c>
      <c r="F62" t="s">
        <v>7</v>
      </c>
      <c r="G62" t="s">
        <v>3062</v>
      </c>
    </row>
    <row r="63" spans="1:7" x14ac:dyDescent="0.25">
      <c r="A63">
        <v>52946</v>
      </c>
      <c r="B63" t="s">
        <v>16614</v>
      </c>
      <c r="C63" t="s">
        <v>17514</v>
      </c>
      <c r="D63" t="s">
        <v>17514</v>
      </c>
      <c r="E63">
        <v>3</v>
      </c>
      <c r="F63" t="s">
        <v>7</v>
      </c>
      <c r="G63" t="s">
        <v>3062</v>
      </c>
    </row>
    <row r="64" spans="1:7" x14ac:dyDescent="0.25">
      <c r="A64">
        <v>52947</v>
      </c>
      <c r="B64" t="s">
        <v>16615</v>
      </c>
      <c r="C64" t="s">
        <v>17514</v>
      </c>
      <c r="D64" t="s">
        <v>17514</v>
      </c>
      <c r="E64">
        <v>15</v>
      </c>
      <c r="F64" t="s">
        <v>7</v>
      </c>
      <c r="G64" t="s">
        <v>3062</v>
      </c>
    </row>
    <row r="65" spans="1:7" x14ac:dyDescent="0.25">
      <c r="A65">
        <v>7452</v>
      </c>
      <c r="B65" t="s">
        <v>2232</v>
      </c>
      <c r="C65" t="s">
        <v>17514</v>
      </c>
      <c r="D65" t="s">
        <v>17514</v>
      </c>
      <c r="E65">
        <v>90</v>
      </c>
      <c r="F65" t="s">
        <v>7</v>
      </c>
      <c r="G65" t="s">
        <v>3103</v>
      </c>
    </row>
    <row r="66" spans="1:7" x14ac:dyDescent="0.25">
      <c r="A66">
        <v>7880</v>
      </c>
      <c r="B66" t="s">
        <v>2317</v>
      </c>
      <c r="C66" t="s">
        <v>17514</v>
      </c>
      <c r="D66" t="s">
        <v>17514</v>
      </c>
      <c r="E66">
        <v>50</v>
      </c>
      <c r="F66" t="s">
        <v>7</v>
      </c>
      <c r="G66" t="s">
        <v>3062</v>
      </c>
    </row>
    <row r="67" spans="1:7" x14ac:dyDescent="0.25">
      <c r="A67">
        <v>7910</v>
      </c>
      <c r="B67" t="s">
        <v>2328</v>
      </c>
      <c r="C67" t="s">
        <v>17514</v>
      </c>
      <c r="D67" t="s">
        <v>17514</v>
      </c>
      <c r="E67">
        <v>6</v>
      </c>
      <c r="F67" t="s">
        <v>7</v>
      </c>
      <c r="G67" t="s">
        <v>3103</v>
      </c>
    </row>
    <row r="68" spans="1:7" x14ac:dyDescent="0.25">
      <c r="A68">
        <v>8147</v>
      </c>
      <c r="B68" t="s">
        <v>3209</v>
      </c>
      <c r="C68" t="s">
        <v>17514</v>
      </c>
      <c r="D68" t="s">
        <v>17514</v>
      </c>
      <c r="E68">
        <v>6</v>
      </c>
      <c r="F68" t="s">
        <v>7</v>
      </c>
      <c r="G68" t="s">
        <v>3062</v>
      </c>
    </row>
    <row r="69" spans="1:7" x14ac:dyDescent="0.25">
      <c r="A69">
        <v>8151</v>
      </c>
      <c r="B69" t="s">
        <v>2391</v>
      </c>
      <c r="C69" t="s">
        <v>17514</v>
      </c>
      <c r="D69" t="s">
        <v>17514</v>
      </c>
      <c r="E69">
        <v>40</v>
      </c>
      <c r="F69" t="s">
        <v>7</v>
      </c>
      <c r="G69" t="s">
        <v>3073</v>
      </c>
    </row>
    <row r="70" spans="1:7" x14ac:dyDescent="0.25">
      <c r="A70">
        <v>8162</v>
      </c>
      <c r="B70" t="s">
        <v>2395</v>
      </c>
      <c r="C70" t="s">
        <v>17514</v>
      </c>
      <c r="D70" t="s">
        <v>17514</v>
      </c>
      <c r="E70">
        <v>100</v>
      </c>
      <c r="F70" t="s">
        <v>7</v>
      </c>
      <c r="G70" t="s">
        <v>3073</v>
      </c>
    </row>
    <row r="71" spans="1:7" x14ac:dyDescent="0.25">
      <c r="A71">
        <v>8173</v>
      </c>
      <c r="B71" t="s">
        <v>2400</v>
      </c>
      <c r="C71" t="s">
        <v>17514</v>
      </c>
      <c r="D71" t="s">
        <v>17514</v>
      </c>
      <c r="E71">
        <v>100</v>
      </c>
      <c r="F71" t="s">
        <v>7</v>
      </c>
      <c r="G71" t="s">
        <v>3073</v>
      </c>
    </row>
    <row r="72" spans="1:7" x14ac:dyDescent="0.25">
      <c r="A72">
        <v>8175</v>
      </c>
      <c r="B72" t="s">
        <v>2402</v>
      </c>
      <c r="C72" t="s">
        <v>17514</v>
      </c>
      <c r="D72" t="s">
        <v>17514</v>
      </c>
      <c r="E72">
        <v>156</v>
      </c>
      <c r="F72" t="s">
        <v>7</v>
      </c>
      <c r="G72" t="s">
        <v>3073</v>
      </c>
    </row>
    <row r="73" spans="1:7" x14ac:dyDescent="0.25">
      <c r="A73">
        <v>8187</v>
      </c>
      <c r="B73" t="s">
        <v>2410</v>
      </c>
      <c r="C73" t="s">
        <v>17514</v>
      </c>
      <c r="D73" t="s">
        <v>17514</v>
      </c>
      <c r="E73">
        <v>250</v>
      </c>
      <c r="F73" t="s">
        <v>7</v>
      </c>
      <c r="G73" t="s">
        <v>3073</v>
      </c>
    </row>
    <row r="74" spans="1:7" x14ac:dyDescent="0.25">
      <c r="A74">
        <v>8540</v>
      </c>
      <c r="B74" t="s">
        <v>2436</v>
      </c>
      <c r="C74" t="s">
        <v>17514</v>
      </c>
      <c r="D74" t="s">
        <v>17514</v>
      </c>
      <c r="E74">
        <v>220</v>
      </c>
      <c r="F74" t="s">
        <v>7</v>
      </c>
      <c r="G74" t="s">
        <v>3073</v>
      </c>
    </row>
    <row r="75" spans="1:7" x14ac:dyDescent="0.25">
      <c r="A75">
        <v>8560</v>
      </c>
      <c r="B75" t="s">
        <v>2456</v>
      </c>
      <c r="C75" t="s">
        <v>17514</v>
      </c>
      <c r="D75" t="s">
        <v>17514</v>
      </c>
      <c r="E75">
        <v>40</v>
      </c>
      <c r="F75" t="s">
        <v>7</v>
      </c>
      <c r="G75" t="s">
        <v>3073</v>
      </c>
    </row>
    <row r="76" spans="1:7" x14ac:dyDescent="0.25">
      <c r="A76">
        <v>8729</v>
      </c>
      <c r="B76" t="s">
        <v>2462</v>
      </c>
      <c r="C76" t="s">
        <v>17514</v>
      </c>
      <c r="D76" t="s">
        <v>17514</v>
      </c>
      <c r="E76">
        <v>3</v>
      </c>
      <c r="F76" t="s">
        <v>7</v>
      </c>
      <c r="G76" t="s">
        <v>3070</v>
      </c>
    </row>
    <row r="77" spans="1:7" x14ac:dyDescent="0.25">
      <c r="A77">
        <v>8738</v>
      </c>
      <c r="B77" t="s">
        <v>2471</v>
      </c>
      <c r="C77" t="s">
        <v>17514</v>
      </c>
      <c r="D77" t="s">
        <v>17514</v>
      </c>
      <c r="E77">
        <v>5</v>
      </c>
      <c r="F77" t="s">
        <v>7</v>
      </c>
      <c r="G77" t="s">
        <v>3070</v>
      </c>
    </row>
    <row r="78" spans="1:7" x14ac:dyDescent="0.25">
      <c r="A78">
        <v>8764</v>
      </c>
      <c r="B78" t="s">
        <v>2494</v>
      </c>
      <c r="C78" t="s">
        <v>17514</v>
      </c>
      <c r="D78" t="s">
        <v>17514</v>
      </c>
      <c r="E78">
        <v>5</v>
      </c>
      <c r="F78" t="s">
        <v>7</v>
      </c>
      <c r="G78" t="s">
        <v>3070</v>
      </c>
    </row>
    <row r="79" spans="1:7" x14ac:dyDescent="0.25">
      <c r="A79">
        <v>8918</v>
      </c>
      <c r="B79" t="s">
        <v>2605</v>
      </c>
      <c r="C79" t="s">
        <v>17514</v>
      </c>
      <c r="D79" t="s">
        <v>17514</v>
      </c>
      <c r="E79">
        <v>4</v>
      </c>
      <c r="F79" t="s">
        <v>3085</v>
      </c>
      <c r="G79" t="s">
        <v>3071</v>
      </c>
    </row>
    <row r="80" spans="1:7" x14ac:dyDescent="0.25">
      <c r="A80">
        <v>8940</v>
      </c>
      <c r="B80" t="s">
        <v>2616</v>
      </c>
      <c r="C80" t="s">
        <v>17514</v>
      </c>
      <c r="D80" t="s">
        <v>17514</v>
      </c>
      <c r="E80">
        <v>90</v>
      </c>
      <c r="F80" t="s">
        <v>7</v>
      </c>
      <c r="G80" t="s">
        <v>3071</v>
      </c>
    </row>
    <row r="81" spans="1:7" x14ac:dyDescent="0.25">
      <c r="A81">
        <v>8968</v>
      </c>
      <c r="B81" t="s">
        <v>2619</v>
      </c>
      <c r="C81" t="s">
        <v>17514</v>
      </c>
      <c r="D81" t="s">
        <v>17514</v>
      </c>
      <c r="E81">
        <v>100</v>
      </c>
      <c r="F81" t="s">
        <v>7</v>
      </c>
      <c r="G81" t="s">
        <v>3070</v>
      </c>
    </row>
    <row r="82" spans="1:7" x14ac:dyDescent="0.25">
      <c r="A82">
        <v>8983</v>
      </c>
      <c r="B82" t="s">
        <v>2625</v>
      </c>
      <c r="C82" t="s">
        <v>17514</v>
      </c>
      <c r="D82" t="s">
        <v>17514</v>
      </c>
      <c r="E82">
        <v>24</v>
      </c>
      <c r="F82" t="s">
        <v>7</v>
      </c>
      <c r="G82" t="s">
        <v>3071</v>
      </c>
    </row>
    <row r="83" spans="1:7" x14ac:dyDescent="0.25">
      <c r="A83">
        <v>9209</v>
      </c>
      <c r="B83" t="s">
        <v>2705</v>
      </c>
      <c r="C83" t="s">
        <v>17514</v>
      </c>
      <c r="D83" t="s">
        <v>17514</v>
      </c>
      <c r="E83">
        <v>40</v>
      </c>
      <c r="F83" t="s">
        <v>7</v>
      </c>
      <c r="G83" t="s">
        <v>3073</v>
      </c>
    </row>
    <row r="84" spans="1:7" x14ac:dyDescent="0.25">
      <c r="A84">
        <v>9213</v>
      </c>
      <c r="B84" t="s">
        <v>2709</v>
      </c>
      <c r="C84" t="s">
        <v>17514</v>
      </c>
      <c r="D84" t="s">
        <v>17514</v>
      </c>
      <c r="E84">
        <v>114</v>
      </c>
      <c r="F84" t="s">
        <v>7</v>
      </c>
      <c r="G84" t="s">
        <v>3073</v>
      </c>
    </row>
    <row r="85" spans="1:7" x14ac:dyDescent="0.25">
      <c r="A85">
        <v>9219</v>
      </c>
      <c r="B85" t="s">
        <v>2715</v>
      </c>
      <c r="C85" t="s">
        <v>17514</v>
      </c>
      <c r="D85" t="s">
        <v>17514</v>
      </c>
      <c r="E85">
        <v>185</v>
      </c>
      <c r="F85" t="s">
        <v>7</v>
      </c>
      <c r="G85" t="s">
        <v>3073</v>
      </c>
    </row>
    <row r="86" spans="1:7" x14ac:dyDescent="0.25">
      <c r="A86">
        <v>9220</v>
      </c>
      <c r="B86" t="s">
        <v>2716</v>
      </c>
      <c r="C86" t="s">
        <v>17514</v>
      </c>
      <c r="D86" t="s">
        <v>17514</v>
      </c>
      <c r="E86">
        <v>200</v>
      </c>
      <c r="F86" t="s">
        <v>7</v>
      </c>
      <c r="G86" t="s">
        <v>3073</v>
      </c>
    </row>
    <row r="87" spans="1:7" x14ac:dyDescent="0.25">
      <c r="A87">
        <v>9221</v>
      </c>
      <c r="B87" t="s">
        <v>2717</v>
      </c>
      <c r="C87" t="s">
        <v>17514</v>
      </c>
      <c r="D87" t="s">
        <v>17514</v>
      </c>
      <c r="E87">
        <v>30</v>
      </c>
      <c r="F87" t="s">
        <v>7</v>
      </c>
      <c r="G87" t="s">
        <v>3073</v>
      </c>
    </row>
    <row r="88" spans="1:7" x14ac:dyDescent="0.25">
      <c r="A88">
        <v>9228</v>
      </c>
      <c r="B88" t="s">
        <v>2724</v>
      </c>
      <c r="C88" t="s">
        <v>17514</v>
      </c>
      <c r="D88" t="s">
        <v>17514</v>
      </c>
      <c r="E88">
        <v>40</v>
      </c>
      <c r="F88" t="s">
        <v>7</v>
      </c>
      <c r="G88" t="s">
        <v>3073</v>
      </c>
    </row>
    <row r="89" spans="1:7" x14ac:dyDescent="0.25">
      <c r="A89">
        <v>9296</v>
      </c>
      <c r="B89" t="s">
        <v>2754</v>
      </c>
      <c r="C89" t="s">
        <v>17514</v>
      </c>
      <c r="D89" t="s">
        <v>17514</v>
      </c>
      <c r="E89">
        <v>3</v>
      </c>
      <c r="F89" t="s">
        <v>7</v>
      </c>
      <c r="G89" t="s">
        <v>3070</v>
      </c>
    </row>
    <row r="90" spans="1:7" x14ac:dyDescent="0.25">
      <c r="A90">
        <v>9300</v>
      </c>
      <c r="B90" t="s">
        <v>2755</v>
      </c>
      <c r="C90" t="s">
        <v>17514</v>
      </c>
      <c r="D90" t="s">
        <v>17514</v>
      </c>
      <c r="E90">
        <v>4</v>
      </c>
      <c r="F90" t="s">
        <v>7</v>
      </c>
      <c r="G90" t="s">
        <v>3070</v>
      </c>
    </row>
    <row r="91" spans="1:7" x14ac:dyDescent="0.25">
      <c r="A91">
        <v>9304</v>
      </c>
      <c r="B91" t="s">
        <v>2756</v>
      </c>
      <c r="C91" t="s">
        <v>17514</v>
      </c>
      <c r="D91" t="s">
        <v>17514</v>
      </c>
      <c r="E91">
        <v>5</v>
      </c>
      <c r="F91" t="s">
        <v>7</v>
      </c>
      <c r="G91" t="s">
        <v>3070</v>
      </c>
    </row>
    <row r="92" spans="1:7" x14ac:dyDescent="0.25">
      <c r="A92">
        <v>9307</v>
      </c>
      <c r="B92" t="s">
        <v>2757</v>
      </c>
      <c r="C92" t="s">
        <v>17514</v>
      </c>
      <c r="D92" t="s">
        <v>17514</v>
      </c>
      <c r="E92">
        <v>5</v>
      </c>
      <c r="F92" t="s">
        <v>7</v>
      </c>
      <c r="G92" t="s">
        <v>3070</v>
      </c>
    </row>
    <row r="93" spans="1:7" x14ac:dyDescent="0.25">
      <c r="A93">
        <v>9308</v>
      </c>
      <c r="B93" t="s">
        <v>2758</v>
      </c>
      <c r="C93" t="s">
        <v>17514</v>
      </c>
      <c r="D93" t="s">
        <v>17514</v>
      </c>
      <c r="E93">
        <v>5</v>
      </c>
      <c r="F93" t="s">
        <v>7</v>
      </c>
      <c r="G93" t="s">
        <v>3070</v>
      </c>
    </row>
    <row r="94" spans="1:7" x14ac:dyDescent="0.25">
      <c r="A94">
        <v>9309</v>
      </c>
      <c r="B94" t="s">
        <v>2759</v>
      </c>
      <c r="C94" t="s">
        <v>17514</v>
      </c>
      <c r="D94" t="s">
        <v>17514</v>
      </c>
      <c r="E94">
        <v>5</v>
      </c>
      <c r="F94" t="s">
        <v>7</v>
      </c>
      <c r="G94" t="s">
        <v>3070</v>
      </c>
    </row>
    <row r="95" spans="1:7" x14ac:dyDescent="0.25">
      <c r="A95">
        <v>9312</v>
      </c>
      <c r="B95" t="s">
        <v>2760</v>
      </c>
      <c r="C95" t="s">
        <v>17514</v>
      </c>
      <c r="D95" t="s">
        <v>17514</v>
      </c>
      <c r="E95">
        <v>5</v>
      </c>
      <c r="F95" t="s">
        <v>7</v>
      </c>
      <c r="G95" t="s">
        <v>3070</v>
      </c>
    </row>
    <row r="96" spans="1:7" x14ac:dyDescent="0.25">
      <c r="A96">
        <v>9313</v>
      </c>
      <c r="B96" t="s">
        <v>2761</v>
      </c>
      <c r="C96" t="s">
        <v>17514</v>
      </c>
      <c r="D96" t="s">
        <v>17514</v>
      </c>
      <c r="E96">
        <v>5</v>
      </c>
      <c r="F96" t="s">
        <v>7</v>
      </c>
      <c r="G96" t="s">
        <v>3070</v>
      </c>
    </row>
    <row r="97" spans="1:7" x14ac:dyDescent="0.25">
      <c r="A97">
        <v>9315</v>
      </c>
      <c r="B97" t="s">
        <v>2762</v>
      </c>
      <c r="C97" t="s">
        <v>17514</v>
      </c>
      <c r="D97" t="s">
        <v>17514</v>
      </c>
      <c r="E97">
        <v>5</v>
      </c>
      <c r="F97" t="s">
        <v>7</v>
      </c>
      <c r="G97" t="s">
        <v>3070</v>
      </c>
    </row>
    <row r="98" spans="1:7" x14ac:dyDescent="0.25">
      <c r="A98">
        <v>9316</v>
      </c>
      <c r="B98" t="s">
        <v>2763</v>
      </c>
      <c r="C98" t="s">
        <v>17514</v>
      </c>
      <c r="D98" t="s">
        <v>17514</v>
      </c>
      <c r="E98">
        <v>5</v>
      </c>
      <c r="F98" t="s">
        <v>7</v>
      </c>
      <c r="G98" t="s">
        <v>3070</v>
      </c>
    </row>
    <row r="99" spans="1:7" x14ac:dyDescent="0.25">
      <c r="A99">
        <v>9317</v>
      </c>
      <c r="B99" t="s">
        <v>2764</v>
      </c>
      <c r="C99" t="s">
        <v>17514</v>
      </c>
      <c r="D99" t="s">
        <v>17514</v>
      </c>
      <c r="E99">
        <v>5</v>
      </c>
      <c r="F99" t="s">
        <v>7</v>
      </c>
      <c r="G99" t="s">
        <v>3070</v>
      </c>
    </row>
    <row r="100" spans="1:7" x14ac:dyDescent="0.25">
      <c r="A100">
        <v>9318</v>
      </c>
      <c r="B100" t="s">
        <v>2765</v>
      </c>
      <c r="C100" t="s">
        <v>17514</v>
      </c>
      <c r="D100" t="s">
        <v>17514</v>
      </c>
      <c r="E100">
        <v>5</v>
      </c>
      <c r="F100" t="s">
        <v>7</v>
      </c>
      <c r="G100" t="s">
        <v>3070</v>
      </c>
    </row>
    <row r="101" spans="1:7" x14ac:dyDescent="0.25">
      <c r="A101">
        <v>9323</v>
      </c>
      <c r="B101" t="s">
        <v>2768</v>
      </c>
      <c r="C101" t="s">
        <v>17514</v>
      </c>
      <c r="D101" t="s">
        <v>17514</v>
      </c>
      <c r="E101">
        <v>4</v>
      </c>
      <c r="F101" t="s">
        <v>7</v>
      </c>
      <c r="G101" t="s">
        <v>3070</v>
      </c>
    </row>
    <row r="102" spans="1:7" x14ac:dyDescent="0.25">
      <c r="A102">
        <v>9324</v>
      </c>
      <c r="B102" t="s">
        <v>2769</v>
      </c>
      <c r="C102" t="s">
        <v>17514</v>
      </c>
      <c r="D102" t="s">
        <v>17514</v>
      </c>
      <c r="E102">
        <v>5</v>
      </c>
      <c r="F102" t="s">
        <v>7</v>
      </c>
      <c r="G102" t="s">
        <v>3070</v>
      </c>
    </row>
    <row r="103" spans="1:7" x14ac:dyDescent="0.25">
      <c r="A103">
        <v>9327</v>
      </c>
      <c r="B103" t="s">
        <v>2770</v>
      </c>
      <c r="C103" t="s">
        <v>17514</v>
      </c>
      <c r="D103" t="s">
        <v>17514</v>
      </c>
      <c r="E103">
        <v>5</v>
      </c>
      <c r="F103" t="s">
        <v>7</v>
      </c>
      <c r="G103" t="s">
        <v>3070</v>
      </c>
    </row>
    <row r="104" spans="1:7" x14ac:dyDescent="0.25">
      <c r="A104">
        <v>9331</v>
      </c>
      <c r="B104" t="s">
        <v>2772</v>
      </c>
      <c r="C104" t="s">
        <v>17514</v>
      </c>
      <c r="D104" t="s">
        <v>17514</v>
      </c>
      <c r="E104">
        <v>5</v>
      </c>
      <c r="F104" t="s">
        <v>7</v>
      </c>
      <c r="G104" t="s">
        <v>3070</v>
      </c>
    </row>
    <row r="105" spans="1:7" x14ac:dyDescent="0.25">
      <c r="A105">
        <v>9332</v>
      </c>
      <c r="B105" t="s">
        <v>2773</v>
      </c>
      <c r="C105" t="s">
        <v>17514</v>
      </c>
      <c r="D105" t="s">
        <v>17514</v>
      </c>
      <c r="E105">
        <v>3</v>
      </c>
      <c r="F105" t="s">
        <v>7</v>
      </c>
      <c r="G105" t="s">
        <v>3070</v>
      </c>
    </row>
    <row r="106" spans="1:7" x14ac:dyDescent="0.25">
      <c r="A106">
        <v>9336</v>
      </c>
      <c r="B106" t="s">
        <v>2774</v>
      </c>
      <c r="C106" t="s">
        <v>17514</v>
      </c>
      <c r="D106" t="s">
        <v>17514</v>
      </c>
      <c r="E106">
        <v>5</v>
      </c>
      <c r="F106" t="s">
        <v>7</v>
      </c>
      <c r="G106" t="s">
        <v>3070</v>
      </c>
    </row>
    <row r="107" spans="1:7" x14ac:dyDescent="0.25">
      <c r="A107">
        <v>9337</v>
      </c>
      <c r="B107" t="s">
        <v>2775</v>
      </c>
      <c r="C107" t="s">
        <v>17514</v>
      </c>
      <c r="D107" t="s">
        <v>17514</v>
      </c>
      <c r="E107">
        <v>5</v>
      </c>
      <c r="F107" t="s">
        <v>7</v>
      </c>
      <c r="G107" t="s">
        <v>3070</v>
      </c>
    </row>
    <row r="108" spans="1:7" x14ac:dyDescent="0.25">
      <c r="A108">
        <v>9338</v>
      </c>
      <c r="B108" t="s">
        <v>2776</v>
      </c>
      <c r="C108" t="s">
        <v>17514</v>
      </c>
      <c r="D108" t="s">
        <v>17514</v>
      </c>
      <c r="E108">
        <v>5</v>
      </c>
      <c r="F108" t="s">
        <v>7</v>
      </c>
      <c r="G108" t="s">
        <v>3070</v>
      </c>
    </row>
    <row r="109" spans="1:7" x14ac:dyDescent="0.25">
      <c r="A109">
        <v>9339</v>
      </c>
      <c r="B109" t="s">
        <v>2777</v>
      </c>
      <c r="C109" t="s">
        <v>17514</v>
      </c>
      <c r="D109" t="s">
        <v>17514</v>
      </c>
      <c r="E109">
        <v>5</v>
      </c>
      <c r="F109" t="s">
        <v>7</v>
      </c>
      <c r="G109" t="s">
        <v>3070</v>
      </c>
    </row>
    <row r="110" spans="1:7" x14ac:dyDescent="0.25">
      <c r="A110">
        <v>9340</v>
      </c>
      <c r="B110" t="s">
        <v>2778</v>
      </c>
      <c r="C110" t="s">
        <v>17514</v>
      </c>
      <c r="D110" t="s">
        <v>17514</v>
      </c>
      <c r="E110">
        <v>4</v>
      </c>
      <c r="F110" t="s">
        <v>7</v>
      </c>
      <c r="G110" t="s">
        <v>3070</v>
      </c>
    </row>
    <row r="111" spans="1:7" x14ac:dyDescent="0.25">
      <c r="A111">
        <v>9344</v>
      </c>
      <c r="B111" t="s">
        <v>2779</v>
      </c>
      <c r="C111" t="s">
        <v>17514</v>
      </c>
      <c r="D111" t="s">
        <v>17514</v>
      </c>
      <c r="E111">
        <v>5</v>
      </c>
      <c r="F111" t="s">
        <v>7</v>
      </c>
      <c r="G111" t="s">
        <v>3070</v>
      </c>
    </row>
    <row r="112" spans="1:7" x14ac:dyDescent="0.25">
      <c r="A112">
        <v>9346</v>
      </c>
      <c r="B112" t="s">
        <v>2771</v>
      </c>
      <c r="C112" t="s">
        <v>17514</v>
      </c>
      <c r="D112" t="s">
        <v>17514</v>
      </c>
      <c r="E112">
        <v>5</v>
      </c>
      <c r="F112" t="s">
        <v>7</v>
      </c>
      <c r="G112" t="s">
        <v>3070</v>
      </c>
    </row>
    <row r="113" spans="1:7" x14ac:dyDescent="0.25">
      <c r="A113">
        <v>9360</v>
      </c>
      <c r="B113" t="s">
        <v>2789</v>
      </c>
      <c r="C113" t="s">
        <v>17514</v>
      </c>
      <c r="D113" t="s">
        <v>17514</v>
      </c>
      <c r="E113">
        <v>15</v>
      </c>
      <c r="F113" t="s">
        <v>7</v>
      </c>
      <c r="G113" t="s">
        <v>3073</v>
      </c>
    </row>
    <row r="114" spans="1:7" x14ac:dyDescent="0.25">
      <c r="A114">
        <v>9361</v>
      </c>
      <c r="B114" t="s">
        <v>2790</v>
      </c>
      <c r="C114" t="s">
        <v>17514</v>
      </c>
      <c r="D114" t="s">
        <v>17514</v>
      </c>
      <c r="E114">
        <v>20</v>
      </c>
      <c r="F114" t="s">
        <v>7</v>
      </c>
      <c r="G114" t="s">
        <v>3073</v>
      </c>
    </row>
    <row r="115" spans="1:7" x14ac:dyDescent="0.25">
      <c r="A115">
        <v>9378</v>
      </c>
      <c r="B115" t="s">
        <v>2806</v>
      </c>
      <c r="C115" t="s">
        <v>17514</v>
      </c>
      <c r="D115" t="s">
        <v>17514</v>
      </c>
      <c r="E115">
        <v>26</v>
      </c>
      <c r="F115" t="s">
        <v>7</v>
      </c>
      <c r="G115" t="s">
        <v>3073</v>
      </c>
    </row>
    <row r="116" spans="1:7" x14ac:dyDescent="0.25">
      <c r="A116">
        <v>9396</v>
      </c>
      <c r="B116" t="s">
        <v>2821</v>
      </c>
      <c r="C116" t="s">
        <v>17514</v>
      </c>
      <c r="D116" t="s">
        <v>17514</v>
      </c>
      <c r="E116">
        <v>100</v>
      </c>
      <c r="F116" t="s">
        <v>7</v>
      </c>
      <c r="G116" t="s">
        <v>3073</v>
      </c>
    </row>
    <row r="117" spans="1:7" x14ac:dyDescent="0.25">
      <c r="A117">
        <v>9397</v>
      </c>
      <c r="B117" t="s">
        <v>2822</v>
      </c>
      <c r="C117" t="s">
        <v>17514</v>
      </c>
      <c r="D117" t="s">
        <v>17514</v>
      </c>
      <c r="E117">
        <v>100</v>
      </c>
      <c r="F117" t="s">
        <v>7</v>
      </c>
      <c r="G117" t="s">
        <v>3073</v>
      </c>
    </row>
    <row r="118" spans="1:7" x14ac:dyDescent="0.25">
      <c r="A118">
        <v>9399</v>
      </c>
      <c r="B118" t="s">
        <v>2823</v>
      </c>
      <c r="C118" t="s">
        <v>17514</v>
      </c>
      <c r="D118" t="s">
        <v>17514</v>
      </c>
      <c r="E118">
        <v>100</v>
      </c>
      <c r="F118" t="s">
        <v>7</v>
      </c>
      <c r="G118" t="s">
        <v>3073</v>
      </c>
    </row>
    <row r="119" spans="1:7" x14ac:dyDescent="0.25">
      <c r="A119">
        <v>9874</v>
      </c>
      <c r="B119" t="s">
        <v>2979</v>
      </c>
      <c r="C119" t="s">
        <v>17514</v>
      </c>
      <c r="D119" t="s">
        <v>17514</v>
      </c>
      <c r="E119">
        <v>42</v>
      </c>
      <c r="F119" t="s">
        <v>7</v>
      </c>
      <c r="G119" t="s">
        <v>3071</v>
      </c>
    </row>
    <row r="120" spans="1:7" x14ac:dyDescent="0.25">
      <c r="A120">
        <v>100107</v>
      </c>
      <c r="B120" t="s">
        <v>32</v>
      </c>
      <c r="C120" t="s">
        <v>17518</v>
      </c>
      <c r="D120" t="s">
        <v>17518</v>
      </c>
      <c r="E120">
        <v>10</v>
      </c>
      <c r="F120" t="s">
        <v>3061</v>
      </c>
      <c r="G120" t="s">
        <v>3062</v>
      </c>
    </row>
    <row r="121" spans="1:7" x14ac:dyDescent="0.25">
      <c r="A121">
        <v>10153</v>
      </c>
      <c r="B121" t="s">
        <v>145</v>
      </c>
      <c r="C121" t="s">
        <v>17518</v>
      </c>
      <c r="D121" t="s">
        <v>17518</v>
      </c>
      <c r="E121">
        <v>24</v>
      </c>
      <c r="F121" t="s">
        <v>7</v>
      </c>
      <c r="G121" t="s">
        <v>3074</v>
      </c>
    </row>
    <row r="122" spans="1:7" x14ac:dyDescent="0.25">
      <c r="A122">
        <v>10175</v>
      </c>
      <c r="B122" t="s">
        <v>166</v>
      </c>
      <c r="C122" t="s">
        <v>17518</v>
      </c>
      <c r="D122" t="s">
        <v>17518</v>
      </c>
      <c r="E122">
        <v>24</v>
      </c>
      <c r="F122" t="s">
        <v>7</v>
      </c>
      <c r="G122" t="s">
        <v>3074</v>
      </c>
    </row>
    <row r="123" spans="1:7" x14ac:dyDescent="0.25">
      <c r="A123">
        <v>10181</v>
      </c>
      <c r="B123" t="s">
        <v>172</v>
      </c>
      <c r="C123" t="s">
        <v>17518</v>
      </c>
      <c r="D123" t="s">
        <v>17518</v>
      </c>
      <c r="E123">
        <v>6</v>
      </c>
      <c r="F123" t="s">
        <v>7</v>
      </c>
      <c r="G123" t="s">
        <v>3074</v>
      </c>
    </row>
    <row r="124" spans="1:7" x14ac:dyDescent="0.25">
      <c r="A124">
        <v>10187</v>
      </c>
      <c r="B124" t="s">
        <v>178</v>
      </c>
      <c r="C124" t="s">
        <v>17518</v>
      </c>
      <c r="D124" t="s">
        <v>17518</v>
      </c>
      <c r="E124">
        <v>2</v>
      </c>
      <c r="F124" t="s">
        <v>7</v>
      </c>
      <c r="G124" t="s">
        <v>3074</v>
      </c>
    </row>
    <row r="125" spans="1:7" x14ac:dyDescent="0.25">
      <c r="A125">
        <v>10306</v>
      </c>
      <c r="B125" t="s">
        <v>291</v>
      </c>
      <c r="C125" t="s">
        <v>17518</v>
      </c>
      <c r="D125" t="s">
        <v>17518</v>
      </c>
      <c r="E125">
        <v>24</v>
      </c>
      <c r="F125" t="s">
        <v>7</v>
      </c>
      <c r="G125" t="s">
        <v>3074</v>
      </c>
    </row>
    <row r="126" spans="1:7" x14ac:dyDescent="0.25">
      <c r="A126">
        <v>10313</v>
      </c>
      <c r="B126" t="s">
        <v>298</v>
      </c>
      <c r="C126" t="s">
        <v>17518</v>
      </c>
      <c r="D126" t="s">
        <v>17518</v>
      </c>
      <c r="E126">
        <v>12</v>
      </c>
      <c r="F126" t="s">
        <v>7</v>
      </c>
      <c r="G126" t="s">
        <v>3074</v>
      </c>
    </row>
    <row r="127" spans="1:7" x14ac:dyDescent="0.25">
      <c r="A127">
        <v>10493</v>
      </c>
      <c r="B127" t="s">
        <v>450</v>
      </c>
      <c r="C127" t="s">
        <v>17518</v>
      </c>
      <c r="D127" t="s">
        <v>17518</v>
      </c>
      <c r="E127">
        <v>12</v>
      </c>
      <c r="F127" t="s">
        <v>7</v>
      </c>
      <c r="G127" t="s">
        <v>3074</v>
      </c>
    </row>
    <row r="128" spans="1:7" x14ac:dyDescent="0.25">
      <c r="A128">
        <v>10495</v>
      </c>
      <c r="B128" t="s">
        <v>3096</v>
      </c>
      <c r="C128" t="s">
        <v>17518</v>
      </c>
      <c r="D128" t="s">
        <v>17518</v>
      </c>
      <c r="E128">
        <v>10</v>
      </c>
      <c r="F128" t="s">
        <v>7</v>
      </c>
      <c r="G128" t="s">
        <v>3074</v>
      </c>
    </row>
    <row r="129" spans="1:7" x14ac:dyDescent="0.25">
      <c r="A129">
        <v>10498</v>
      </c>
      <c r="B129" t="s">
        <v>455</v>
      </c>
      <c r="C129" t="s">
        <v>17518</v>
      </c>
      <c r="D129" t="s">
        <v>17518</v>
      </c>
      <c r="E129">
        <v>6</v>
      </c>
      <c r="F129" t="s">
        <v>7</v>
      </c>
      <c r="G129" t="s">
        <v>3074</v>
      </c>
    </row>
    <row r="130" spans="1:7" x14ac:dyDescent="0.25">
      <c r="A130">
        <v>10540</v>
      </c>
      <c r="B130" t="s">
        <v>3099</v>
      </c>
      <c r="C130" t="s">
        <v>17518</v>
      </c>
      <c r="D130" t="s">
        <v>17518</v>
      </c>
      <c r="E130">
        <v>6</v>
      </c>
      <c r="F130" t="s">
        <v>7</v>
      </c>
      <c r="G130" t="s">
        <v>3074</v>
      </c>
    </row>
    <row r="131" spans="1:7" x14ac:dyDescent="0.25">
      <c r="A131">
        <v>51361</v>
      </c>
      <c r="B131" t="s">
        <v>1032</v>
      </c>
      <c r="C131" t="s">
        <v>17518</v>
      </c>
      <c r="D131" t="s">
        <v>17518</v>
      </c>
      <c r="E131">
        <v>4</v>
      </c>
      <c r="F131" t="s">
        <v>7</v>
      </c>
      <c r="G131" t="s">
        <v>3070</v>
      </c>
    </row>
    <row r="132" spans="1:7" x14ac:dyDescent="0.25">
      <c r="A132">
        <v>5212</v>
      </c>
      <c r="B132" t="s">
        <v>1534</v>
      </c>
      <c r="C132" t="s">
        <v>17518</v>
      </c>
      <c r="D132" t="s">
        <v>17518</v>
      </c>
      <c r="E132">
        <v>18</v>
      </c>
      <c r="F132" t="s">
        <v>7</v>
      </c>
      <c r="G132" t="s">
        <v>3103</v>
      </c>
    </row>
    <row r="133" spans="1:7" x14ac:dyDescent="0.25">
      <c r="A133">
        <v>5225</v>
      </c>
      <c r="B133" t="s">
        <v>1669</v>
      </c>
      <c r="C133" t="s">
        <v>17518</v>
      </c>
      <c r="D133" t="s">
        <v>17518</v>
      </c>
      <c r="E133">
        <v>12</v>
      </c>
      <c r="F133" t="s">
        <v>7</v>
      </c>
      <c r="G133" t="s">
        <v>3103</v>
      </c>
    </row>
    <row r="134" spans="1:7" x14ac:dyDescent="0.25">
      <c r="A134">
        <v>52365</v>
      </c>
      <c r="B134" t="s">
        <v>1768</v>
      </c>
      <c r="C134" t="s">
        <v>17518</v>
      </c>
      <c r="D134" t="s">
        <v>17518</v>
      </c>
      <c r="E134">
        <v>24</v>
      </c>
      <c r="F134" t="s">
        <v>7</v>
      </c>
      <c r="G134" t="s">
        <v>3074</v>
      </c>
    </row>
    <row r="135" spans="1:7" x14ac:dyDescent="0.25">
      <c r="A135">
        <v>52483</v>
      </c>
      <c r="B135" t="s">
        <v>1889</v>
      </c>
      <c r="C135" t="s">
        <v>17518</v>
      </c>
      <c r="D135" t="s">
        <v>17518</v>
      </c>
      <c r="E135">
        <v>3</v>
      </c>
      <c r="F135" t="s">
        <v>7</v>
      </c>
      <c r="G135" t="s">
        <v>3062</v>
      </c>
    </row>
    <row r="136" spans="1:7" x14ac:dyDescent="0.25">
      <c r="A136">
        <v>52601</v>
      </c>
      <c r="B136" t="s">
        <v>14239</v>
      </c>
      <c r="C136" t="s">
        <v>17518</v>
      </c>
      <c r="D136" t="s">
        <v>17518</v>
      </c>
      <c r="E136">
        <v>25</v>
      </c>
      <c r="F136" t="s">
        <v>7</v>
      </c>
      <c r="G136" t="s">
        <v>3102</v>
      </c>
    </row>
    <row r="137" spans="1:7" x14ac:dyDescent="0.25">
      <c r="A137">
        <v>52602</v>
      </c>
      <c r="B137" t="s">
        <v>14240</v>
      </c>
      <c r="C137" t="s">
        <v>17518</v>
      </c>
      <c r="D137" t="s">
        <v>17518</v>
      </c>
      <c r="E137">
        <v>50</v>
      </c>
      <c r="F137" t="s">
        <v>7</v>
      </c>
      <c r="G137" t="s">
        <v>3102</v>
      </c>
    </row>
    <row r="138" spans="1:7" x14ac:dyDescent="0.25">
      <c r="A138">
        <v>8188</v>
      </c>
      <c r="B138" t="s">
        <v>2411</v>
      </c>
      <c r="C138" t="s">
        <v>17518</v>
      </c>
      <c r="D138" t="s">
        <v>17518</v>
      </c>
      <c r="E138">
        <v>5</v>
      </c>
      <c r="F138" t="s">
        <v>7</v>
      </c>
      <c r="G138" t="s">
        <v>3073</v>
      </c>
    </row>
    <row r="139" spans="1:7" x14ac:dyDescent="0.25">
      <c r="A139">
        <v>9916</v>
      </c>
      <c r="B139" t="s">
        <v>2998</v>
      </c>
      <c r="C139" t="s">
        <v>17518</v>
      </c>
      <c r="D139" t="s">
        <v>17518</v>
      </c>
      <c r="E139">
        <v>60</v>
      </c>
      <c r="F139" t="s">
        <v>7</v>
      </c>
      <c r="G139" t="s">
        <v>3101</v>
      </c>
    </row>
    <row r="140" spans="1:7" x14ac:dyDescent="0.25">
      <c r="A140">
        <v>10233</v>
      </c>
      <c r="B140" t="s">
        <v>222</v>
      </c>
      <c r="C140" t="s">
        <v>17519</v>
      </c>
      <c r="D140" t="s">
        <v>17519</v>
      </c>
      <c r="E140">
        <v>12</v>
      </c>
      <c r="F140" t="s">
        <v>7</v>
      </c>
      <c r="G140" t="s">
        <v>3074</v>
      </c>
    </row>
    <row r="141" spans="1:7" x14ac:dyDescent="0.25">
      <c r="A141">
        <v>5340</v>
      </c>
      <c r="B141" t="s">
        <v>2026</v>
      </c>
      <c r="C141" t="s">
        <v>17519</v>
      </c>
      <c r="D141" t="s">
        <v>17519</v>
      </c>
      <c r="E141">
        <v>140</v>
      </c>
      <c r="F141" t="s">
        <v>7</v>
      </c>
      <c r="G141" t="s">
        <v>3064</v>
      </c>
    </row>
    <row r="142" spans="1:7" x14ac:dyDescent="0.25">
      <c r="A142">
        <v>5341</v>
      </c>
      <c r="B142" t="s">
        <v>2027</v>
      </c>
      <c r="C142" t="s">
        <v>17519</v>
      </c>
      <c r="D142" t="s">
        <v>17519</v>
      </c>
      <c r="E142">
        <v>24</v>
      </c>
      <c r="F142" t="s">
        <v>7</v>
      </c>
      <c r="G142" t="s">
        <v>3064</v>
      </c>
    </row>
    <row r="143" spans="1:7" x14ac:dyDescent="0.25">
      <c r="A143">
        <v>8540</v>
      </c>
      <c r="B143" t="s">
        <v>2436</v>
      </c>
      <c r="C143" t="s">
        <v>17519</v>
      </c>
      <c r="D143" t="s">
        <v>17519</v>
      </c>
      <c r="E143">
        <v>25</v>
      </c>
      <c r="F143" t="s">
        <v>7</v>
      </c>
      <c r="G143" t="s">
        <v>3073</v>
      </c>
    </row>
    <row r="144" spans="1:7" x14ac:dyDescent="0.25">
      <c r="A144">
        <v>8558</v>
      </c>
      <c r="B144" t="s">
        <v>2454</v>
      </c>
      <c r="C144" t="s">
        <v>17519</v>
      </c>
      <c r="D144" t="s">
        <v>17519</v>
      </c>
      <c r="E144">
        <v>20</v>
      </c>
      <c r="F144" t="s">
        <v>7</v>
      </c>
      <c r="G144" t="s">
        <v>3073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D0A45-0347-47E3-BE65-BD7FECD8B2F2}">
  <sheetPr codeName="Hoja3">
    <tabColor rgb="FFFFC000"/>
  </sheetPr>
  <dimension ref="A1:I11991"/>
  <sheetViews>
    <sheetView tabSelected="1" topLeftCell="A4308" workbookViewId="0">
      <selection activeCell="A3" sqref="A3:I4321"/>
    </sheetView>
  </sheetViews>
  <sheetFormatPr baseColWidth="10" defaultRowHeight="15" x14ac:dyDescent="0.25"/>
  <cols>
    <col min="1" max="2" width="14.28515625" customWidth="1"/>
    <col min="3" max="3" width="117.7109375" customWidth="1"/>
    <col min="4" max="4" width="9.5703125" customWidth="1"/>
    <col min="5" max="5" width="11.28515625" customWidth="1"/>
    <col min="6" max="6" width="110.7109375" customWidth="1"/>
    <col min="7" max="7" width="135.85546875" customWidth="1"/>
    <col min="8" max="8" width="31.85546875" customWidth="1"/>
    <col min="9" max="9" width="12" customWidth="1"/>
  </cols>
  <sheetData>
    <row r="1" spans="1:9" x14ac:dyDescent="0.25">
      <c r="A1" s="134" t="s">
        <v>3230</v>
      </c>
      <c r="B1" s="134"/>
      <c r="C1" s="134"/>
      <c r="D1" s="134"/>
      <c r="E1" s="134"/>
    </row>
    <row r="2" spans="1:9" x14ac:dyDescent="0.25">
      <c r="A2" s="107" t="s">
        <v>3231</v>
      </c>
      <c r="B2" t="s">
        <v>3232</v>
      </c>
      <c r="C2" s="107" t="s">
        <v>3233</v>
      </c>
      <c r="D2" t="s">
        <v>3234</v>
      </c>
      <c r="E2" t="s">
        <v>3235</v>
      </c>
      <c r="F2" t="s">
        <v>3236</v>
      </c>
      <c r="G2" s="107" t="s">
        <v>3237</v>
      </c>
      <c r="H2" t="s">
        <v>3238</v>
      </c>
      <c r="I2" t="s">
        <v>3239</v>
      </c>
    </row>
    <row r="3" spans="1:9" x14ac:dyDescent="0.25">
      <c r="A3" t="s">
        <v>3240</v>
      </c>
      <c r="B3" t="s">
        <v>3240</v>
      </c>
      <c r="C3" t="s">
        <v>3241</v>
      </c>
      <c r="D3" t="s">
        <v>3242</v>
      </c>
      <c r="E3" t="s">
        <v>17628</v>
      </c>
      <c r="F3" t="s">
        <v>3243</v>
      </c>
      <c r="G3" t="s">
        <v>3060</v>
      </c>
      <c r="H3" t="s">
        <v>3060</v>
      </c>
    </row>
    <row r="4" spans="1:9" x14ac:dyDescent="0.25">
      <c r="A4" t="s">
        <v>3244</v>
      </c>
      <c r="B4" t="s">
        <v>3244</v>
      </c>
      <c r="C4" t="s">
        <v>3245</v>
      </c>
      <c r="D4" t="s">
        <v>3242</v>
      </c>
      <c r="E4" t="s">
        <v>15709</v>
      </c>
      <c r="F4" t="s">
        <v>3246</v>
      </c>
      <c r="G4" t="s">
        <v>3247</v>
      </c>
      <c r="H4" t="s">
        <v>3248</v>
      </c>
    </row>
    <row r="5" spans="1:9" x14ac:dyDescent="0.25">
      <c r="A5" t="s">
        <v>17139</v>
      </c>
      <c r="B5" t="s">
        <v>17139</v>
      </c>
      <c r="C5" t="s">
        <v>17140</v>
      </c>
      <c r="D5" t="s">
        <v>3242</v>
      </c>
      <c r="E5" t="s">
        <v>15710</v>
      </c>
      <c r="F5" t="s">
        <v>3243</v>
      </c>
      <c r="G5" t="s">
        <v>7802</v>
      </c>
      <c r="H5" t="s">
        <v>16020</v>
      </c>
    </row>
    <row r="6" spans="1:9" x14ac:dyDescent="0.25">
      <c r="A6" t="s">
        <v>3249</v>
      </c>
      <c r="B6" t="s">
        <v>3249</v>
      </c>
      <c r="C6" t="s">
        <v>3250</v>
      </c>
      <c r="D6" t="s">
        <v>3242</v>
      </c>
      <c r="E6" t="s">
        <v>16888</v>
      </c>
      <c r="F6" t="s">
        <v>3251</v>
      </c>
      <c r="G6" t="s">
        <v>3252</v>
      </c>
      <c r="H6" t="s">
        <v>3253</v>
      </c>
      <c r="I6" t="s">
        <v>3451</v>
      </c>
    </row>
    <row r="7" spans="1:9" x14ac:dyDescent="0.25">
      <c r="A7" t="s">
        <v>14848</v>
      </c>
      <c r="B7" t="s">
        <v>14848</v>
      </c>
      <c r="C7" t="s">
        <v>14849</v>
      </c>
      <c r="D7" t="s">
        <v>3242</v>
      </c>
      <c r="E7" t="s">
        <v>15710</v>
      </c>
      <c r="F7" t="s">
        <v>3306</v>
      </c>
      <c r="G7" t="s">
        <v>7802</v>
      </c>
      <c r="H7" t="s">
        <v>3267</v>
      </c>
      <c r="I7" t="s">
        <v>14850</v>
      </c>
    </row>
    <row r="8" spans="1:9" x14ac:dyDescent="0.25">
      <c r="A8" t="s">
        <v>3255</v>
      </c>
      <c r="B8" t="s">
        <v>3255</v>
      </c>
      <c r="C8" t="s">
        <v>3256</v>
      </c>
      <c r="D8" t="s">
        <v>3242</v>
      </c>
      <c r="E8" t="s">
        <v>15710</v>
      </c>
      <c r="F8" t="s">
        <v>3257</v>
      </c>
      <c r="G8" t="s">
        <v>3258</v>
      </c>
      <c r="H8" t="s">
        <v>3259</v>
      </c>
    </row>
    <row r="9" spans="1:9" x14ac:dyDescent="0.25">
      <c r="A9" t="s">
        <v>3260</v>
      </c>
      <c r="B9" t="s">
        <v>3260</v>
      </c>
      <c r="C9" t="s">
        <v>3261</v>
      </c>
      <c r="D9" t="s">
        <v>3242</v>
      </c>
      <c r="E9" t="s">
        <v>15710</v>
      </c>
      <c r="F9" t="s">
        <v>3257</v>
      </c>
      <c r="G9" t="s">
        <v>14851</v>
      </c>
      <c r="H9" t="s">
        <v>3290</v>
      </c>
      <c r="I9" t="s">
        <v>3432</v>
      </c>
    </row>
    <row r="10" spans="1:9" x14ac:dyDescent="0.25">
      <c r="A10" t="s">
        <v>3264</v>
      </c>
      <c r="B10" t="s">
        <v>3264</v>
      </c>
      <c r="C10" t="s">
        <v>3265</v>
      </c>
      <c r="D10" t="s">
        <v>3242</v>
      </c>
      <c r="E10" t="s">
        <v>16132</v>
      </c>
      <c r="F10" t="s">
        <v>3257</v>
      </c>
      <c r="G10" t="s">
        <v>3266</v>
      </c>
      <c r="H10" t="s">
        <v>3267</v>
      </c>
      <c r="I10" t="s">
        <v>3268</v>
      </c>
    </row>
    <row r="11" spans="1:9" x14ac:dyDescent="0.25">
      <c r="A11" t="s">
        <v>3269</v>
      </c>
      <c r="B11" t="s">
        <v>3269</v>
      </c>
      <c r="C11" t="s">
        <v>3270</v>
      </c>
      <c r="D11" t="s">
        <v>3242</v>
      </c>
      <c r="E11" t="s">
        <v>16889</v>
      </c>
      <c r="F11" t="s">
        <v>3271</v>
      </c>
      <c r="G11" t="s">
        <v>3272</v>
      </c>
      <c r="H11" t="s">
        <v>3267</v>
      </c>
      <c r="I11" t="s">
        <v>3268</v>
      </c>
    </row>
    <row r="12" spans="1:9" x14ac:dyDescent="0.25">
      <c r="A12" t="s">
        <v>14852</v>
      </c>
      <c r="B12" t="s">
        <v>14852</v>
      </c>
      <c r="C12" t="s">
        <v>14853</v>
      </c>
      <c r="D12" t="s">
        <v>3242</v>
      </c>
      <c r="E12" t="s">
        <v>15710</v>
      </c>
      <c r="F12" t="s">
        <v>3372</v>
      </c>
      <c r="G12" t="s">
        <v>14854</v>
      </c>
      <c r="H12" t="s">
        <v>7509</v>
      </c>
      <c r="I12" t="s">
        <v>3366</v>
      </c>
    </row>
    <row r="13" spans="1:9" x14ac:dyDescent="0.25">
      <c r="A13" t="s">
        <v>16017</v>
      </c>
      <c r="B13" t="s">
        <v>16017</v>
      </c>
      <c r="C13" t="s">
        <v>16018</v>
      </c>
      <c r="D13" t="s">
        <v>3242</v>
      </c>
      <c r="E13" t="s">
        <v>15710</v>
      </c>
      <c r="F13" t="s">
        <v>3243</v>
      </c>
      <c r="G13" t="s">
        <v>16019</v>
      </c>
      <c r="H13" t="s">
        <v>16020</v>
      </c>
    </row>
    <row r="14" spans="1:9" x14ac:dyDescent="0.25">
      <c r="A14" t="s">
        <v>3273</v>
      </c>
      <c r="B14" t="s">
        <v>3273</v>
      </c>
      <c r="C14" t="s">
        <v>3274</v>
      </c>
      <c r="D14" t="s">
        <v>3242</v>
      </c>
      <c r="E14" t="s">
        <v>15710</v>
      </c>
      <c r="F14" t="s">
        <v>3275</v>
      </c>
      <c r="G14" t="s">
        <v>3276</v>
      </c>
      <c r="H14" t="s">
        <v>3248</v>
      </c>
      <c r="I14" t="s">
        <v>3263</v>
      </c>
    </row>
    <row r="15" spans="1:9" x14ac:dyDescent="0.25">
      <c r="A15" t="s">
        <v>3277</v>
      </c>
      <c r="B15" t="s">
        <v>3277</v>
      </c>
      <c r="C15" t="s">
        <v>3278</v>
      </c>
      <c r="D15" t="s">
        <v>3242</v>
      </c>
      <c r="E15" t="s">
        <v>15710</v>
      </c>
      <c r="F15" t="s">
        <v>3257</v>
      </c>
      <c r="G15" t="s">
        <v>3279</v>
      </c>
      <c r="H15" t="s">
        <v>3280</v>
      </c>
      <c r="I15" t="s">
        <v>3263</v>
      </c>
    </row>
    <row r="16" spans="1:9" x14ac:dyDescent="0.25">
      <c r="A16" t="s">
        <v>3281</v>
      </c>
      <c r="B16" t="s">
        <v>3281</v>
      </c>
      <c r="C16" t="s">
        <v>3282</v>
      </c>
      <c r="D16" t="s">
        <v>3242</v>
      </c>
      <c r="E16" t="s">
        <v>15710</v>
      </c>
      <c r="F16" t="s">
        <v>3283</v>
      </c>
      <c r="G16" t="s">
        <v>3284</v>
      </c>
      <c r="H16" t="s">
        <v>3285</v>
      </c>
    </row>
    <row r="17" spans="1:9" x14ac:dyDescent="0.25">
      <c r="A17" t="s">
        <v>3286</v>
      </c>
      <c r="B17" t="s">
        <v>3286</v>
      </c>
      <c r="C17" t="s">
        <v>3287</v>
      </c>
      <c r="D17" t="s">
        <v>3242</v>
      </c>
      <c r="E17" t="s">
        <v>15710</v>
      </c>
      <c r="F17" t="s">
        <v>3288</v>
      </c>
      <c r="G17" t="s">
        <v>3289</v>
      </c>
      <c r="H17" t="s">
        <v>3290</v>
      </c>
    </row>
    <row r="18" spans="1:9" x14ac:dyDescent="0.25">
      <c r="A18" t="s">
        <v>3291</v>
      </c>
      <c r="B18" t="s">
        <v>3291</v>
      </c>
      <c r="C18" t="s">
        <v>3292</v>
      </c>
      <c r="D18" t="s">
        <v>3242</v>
      </c>
      <c r="E18" t="s">
        <v>15968</v>
      </c>
      <c r="F18" t="s">
        <v>3243</v>
      </c>
      <c r="G18" t="s">
        <v>3293</v>
      </c>
      <c r="H18" t="s">
        <v>3267</v>
      </c>
      <c r="I18" t="s">
        <v>3294</v>
      </c>
    </row>
    <row r="19" spans="1:9" x14ac:dyDescent="0.25">
      <c r="A19" t="s">
        <v>3295</v>
      </c>
      <c r="B19" t="s">
        <v>3295</v>
      </c>
      <c r="C19" t="s">
        <v>3296</v>
      </c>
      <c r="D19" t="s">
        <v>3242</v>
      </c>
      <c r="E19" t="s">
        <v>15710</v>
      </c>
      <c r="F19" t="s">
        <v>3243</v>
      </c>
      <c r="G19" t="s">
        <v>3297</v>
      </c>
      <c r="H19" t="s">
        <v>3290</v>
      </c>
    </row>
    <row r="20" spans="1:9" x14ac:dyDescent="0.25">
      <c r="A20" t="s">
        <v>16136</v>
      </c>
      <c r="B20" t="s">
        <v>16136</v>
      </c>
      <c r="C20" t="s">
        <v>16137</v>
      </c>
      <c r="D20" t="s">
        <v>3242</v>
      </c>
      <c r="E20" t="s">
        <v>15710</v>
      </c>
      <c r="F20" t="s">
        <v>3243</v>
      </c>
      <c r="G20" t="s">
        <v>7802</v>
      </c>
      <c r="H20" t="s">
        <v>16020</v>
      </c>
    </row>
    <row r="21" spans="1:9" x14ac:dyDescent="0.25">
      <c r="A21" t="s">
        <v>3298</v>
      </c>
      <c r="B21" t="s">
        <v>3298</v>
      </c>
      <c r="C21" t="s">
        <v>3299</v>
      </c>
      <c r="D21" t="s">
        <v>3242</v>
      </c>
      <c r="E21" t="s">
        <v>15710</v>
      </c>
      <c r="F21" t="s">
        <v>3300</v>
      </c>
      <c r="G21" t="s">
        <v>3301</v>
      </c>
      <c r="H21" t="s">
        <v>3290</v>
      </c>
    </row>
    <row r="22" spans="1:9" x14ac:dyDescent="0.25">
      <c r="A22" t="s">
        <v>3302</v>
      </c>
      <c r="B22" t="s">
        <v>3302</v>
      </c>
      <c r="C22" t="s">
        <v>16388</v>
      </c>
      <c r="D22" t="s">
        <v>3242</v>
      </c>
      <c r="E22" t="s">
        <v>15737</v>
      </c>
      <c r="F22" t="s">
        <v>3257</v>
      </c>
      <c r="G22" t="s">
        <v>3303</v>
      </c>
      <c r="H22" t="s">
        <v>3267</v>
      </c>
      <c r="I22" t="s">
        <v>3294</v>
      </c>
    </row>
    <row r="23" spans="1:9" x14ac:dyDescent="0.25">
      <c r="A23" t="s">
        <v>3304</v>
      </c>
      <c r="B23" t="s">
        <v>3304</v>
      </c>
      <c r="C23" t="s">
        <v>3305</v>
      </c>
      <c r="D23" t="s">
        <v>3242</v>
      </c>
      <c r="E23" t="s">
        <v>15710</v>
      </c>
      <c r="F23" t="s">
        <v>3306</v>
      </c>
      <c r="G23" t="s">
        <v>3307</v>
      </c>
      <c r="H23" t="s">
        <v>3267</v>
      </c>
    </row>
    <row r="24" spans="1:9" x14ac:dyDescent="0.25">
      <c r="A24" t="s">
        <v>3308</v>
      </c>
      <c r="B24" t="s">
        <v>3308</v>
      </c>
      <c r="C24" t="s">
        <v>3309</v>
      </c>
      <c r="D24" t="s">
        <v>3242</v>
      </c>
      <c r="E24" t="s">
        <v>15710</v>
      </c>
      <c r="F24" t="s">
        <v>3257</v>
      </c>
      <c r="G24" t="s">
        <v>3310</v>
      </c>
      <c r="H24" t="s">
        <v>3311</v>
      </c>
      <c r="I24" t="s">
        <v>3254</v>
      </c>
    </row>
    <row r="25" spans="1:9" x14ac:dyDescent="0.25">
      <c r="A25" t="s">
        <v>17531</v>
      </c>
      <c r="B25" t="s">
        <v>17531</v>
      </c>
      <c r="C25" t="s">
        <v>17532</v>
      </c>
      <c r="D25" t="s">
        <v>3242</v>
      </c>
      <c r="E25" t="s">
        <v>15710</v>
      </c>
      <c r="F25" t="s">
        <v>3243</v>
      </c>
      <c r="G25" t="s">
        <v>16071</v>
      </c>
      <c r="H25" t="s">
        <v>16020</v>
      </c>
    </row>
    <row r="26" spans="1:9" x14ac:dyDescent="0.25">
      <c r="A26" t="s">
        <v>3312</v>
      </c>
      <c r="B26" t="s">
        <v>3312</v>
      </c>
      <c r="C26" t="s">
        <v>3313</v>
      </c>
      <c r="D26" t="s">
        <v>3242</v>
      </c>
      <c r="E26" t="s">
        <v>15710</v>
      </c>
      <c r="F26" t="s">
        <v>15712</v>
      </c>
      <c r="G26" t="s">
        <v>3314</v>
      </c>
      <c r="H26" t="s">
        <v>3290</v>
      </c>
    </row>
    <row r="27" spans="1:9" x14ac:dyDescent="0.25">
      <c r="A27" t="s">
        <v>3315</v>
      </c>
      <c r="B27" t="s">
        <v>3315</v>
      </c>
      <c r="C27" t="s">
        <v>3316</v>
      </c>
      <c r="D27" t="s">
        <v>3242</v>
      </c>
      <c r="E27" t="s">
        <v>15710</v>
      </c>
      <c r="F27" t="s">
        <v>3306</v>
      </c>
      <c r="G27" t="s">
        <v>3317</v>
      </c>
      <c r="H27" t="s">
        <v>3318</v>
      </c>
      <c r="I27" t="s">
        <v>3294</v>
      </c>
    </row>
    <row r="28" spans="1:9" x14ac:dyDescent="0.25">
      <c r="A28" t="s">
        <v>3319</v>
      </c>
      <c r="B28" t="s">
        <v>3319</v>
      </c>
      <c r="C28" t="s">
        <v>3320</v>
      </c>
      <c r="D28" t="s">
        <v>3321</v>
      </c>
      <c r="E28" t="s">
        <v>15710</v>
      </c>
      <c r="F28" t="s">
        <v>3257</v>
      </c>
      <c r="G28" t="s">
        <v>3322</v>
      </c>
      <c r="H28" t="s">
        <v>3323</v>
      </c>
      <c r="I28" t="s">
        <v>3324</v>
      </c>
    </row>
    <row r="29" spans="1:9" x14ac:dyDescent="0.25">
      <c r="A29" t="s">
        <v>3325</v>
      </c>
      <c r="B29" t="s">
        <v>3325</v>
      </c>
      <c r="C29" t="s">
        <v>3326</v>
      </c>
      <c r="D29" t="s">
        <v>3242</v>
      </c>
      <c r="E29" t="s">
        <v>15710</v>
      </c>
      <c r="F29" t="s">
        <v>3306</v>
      </c>
      <c r="G29" t="s">
        <v>3327</v>
      </c>
      <c r="H29" t="s">
        <v>3267</v>
      </c>
      <c r="I29" t="s">
        <v>3328</v>
      </c>
    </row>
    <row r="30" spans="1:9" x14ac:dyDescent="0.25">
      <c r="A30" t="s">
        <v>3329</v>
      </c>
      <c r="B30" t="s">
        <v>3329</v>
      </c>
      <c r="C30" t="s">
        <v>3330</v>
      </c>
      <c r="D30" t="s">
        <v>3321</v>
      </c>
      <c r="E30" t="s">
        <v>15710</v>
      </c>
      <c r="F30" t="s">
        <v>3257</v>
      </c>
      <c r="G30" t="s">
        <v>3331</v>
      </c>
      <c r="H30" t="s">
        <v>3332</v>
      </c>
      <c r="I30" t="s">
        <v>3268</v>
      </c>
    </row>
    <row r="31" spans="1:9" x14ac:dyDescent="0.25">
      <c r="A31" t="s">
        <v>3333</v>
      </c>
      <c r="B31" t="s">
        <v>3333</v>
      </c>
      <c r="C31" t="s">
        <v>3334</v>
      </c>
      <c r="D31" t="s">
        <v>3242</v>
      </c>
      <c r="E31" t="s">
        <v>15710</v>
      </c>
      <c r="F31" t="s">
        <v>3335</v>
      </c>
      <c r="G31" t="s">
        <v>3336</v>
      </c>
      <c r="H31" t="s">
        <v>3290</v>
      </c>
    </row>
    <row r="32" spans="1:9" x14ac:dyDescent="0.25">
      <c r="A32" t="s">
        <v>3337</v>
      </c>
      <c r="B32" t="s">
        <v>3337</v>
      </c>
      <c r="C32" t="s">
        <v>3338</v>
      </c>
      <c r="D32" t="s">
        <v>3242</v>
      </c>
      <c r="E32" t="s">
        <v>17533</v>
      </c>
      <c r="F32" t="s">
        <v>3257</v>
      </c>
      <c r="G32" t="s">
        <v>3339</v>
      </c>
      <c r="H32" t="s">
        <v>3267</v>
      </c>
      <c r="I32" t="s">
        <v>3268</v>
      </c>
    </row>
    <row r="33" spans="1:9" x14ac:dyDescent="0.25">
      <c r="A33" t="s">
        <v>14855</v>
      </c>
      <c r="B33" t="s">
        <v>14855</v>
      </c>
      <c r="C33" t="s">
        <v>14856</v>
      </c>
      <c r="D33" t="s">
        <v>3242</v>
      </c>
      <c r="E33" t="s">
        <v>15710</v>
      </c>
      <c r="F33" t="s">
        <v>3306</v>
      </c>
      <c r="G33" t="s">
        <v>7802</v>
      </c>
      <c r="H33" t="s">
        <v>3267</v>
      </c>
      <c r="I33" t="s">
        <v>3328</v>
      </c>
    </row>
    <row r="34" spans="1:9" x14ac:dyDescent="0.25">
      <c r="A34" t="s">
        <v>3340</v>
      </c>
      <c r="B34" t="s">
        <v>3340</v>
      </c>
      <c r="C34" t="s">
        <v>3341</v>
      </c>
      <c r="D34" t="s">
        <v>3242</v>
      </c>
      <c r="E34" t="s">
        <v>15710</v>
      </c>
      <c r="F34" t="s">
        <v>3257</v>
      </c>
      <c r="G34" t="s">
        <v>3342</v>
      </c>
      <c r="H34" t="s">
        <v>3267</v>
      </c>
    </row>
    <row r="35" spans="1:9" x14ac:dyDescent="0.25">
      <c r="A35" t="s">
        <v>14857</v>
      </c>
      <c r="B35" t="s">
        <v>14857</v>
      </c>
      <c r="C35" t="s">
        <v>14858</v>
      </c>
      <c r="D35" t="s">
        <v>3242</v>
      </c>
      <c r="E35" t="s">
        <v>15710</v>
      </c>
      <c r="F35" t="s">
        <v>3306</v>
      </c>
      <c r="G35" t="s">
        <v>7802</v>
      </c>
      <c r="H35" t="s">
        <v>3267</v>
      </c>
      <c r="I35" t="s">
        <v>3328</v>
      </c>
    </row>
    <row r="36" spans="1:9" x14ac:dyDescent="0.25">
      <c r="A36" t="s">
        <v>3343</v>
      </c>
      <c r="B36" t="s">
        <v>3343</v>
      </c>
      <c r="C36" t="s">
        <v>3344</v>
      </c>
      <c r="D36" t="s">
        <v>3242</v>
      </c>
      <c r="E36" t="s">
        <v>15710</v>
      </c>
      <c r="F36" t="s">
        <v>3345</v>
      </c>
      <c r="G36" t="s">
        <v>3346</v>
      </c>
      <c r="H36" t="s">
        <v>3290</v>
      </c>
    </row>
    <row r="37" spans="1:9" x14ac:dyDescent="0.25">
      <c r="A37" t="s">
        <v>3347</v>
      </c>
      <c r="B37" t="s">
        <v>3347</v>
      </c>
      <c r="C37" t="s">
        <v>3348</v>
      </c>
      <c r="D37" t="s">
        <v>3242</v>
      </c>
      <c r="E37" t="s">
        <v>15710</v>
      </c>
      <c r="F37" t="s">
        <v>3243</v>
      </c>
      <c r="G37" t="s">
        <v>3349</v>
      </c>
      <c r="H37" t="s">
        <v>3285</v>
      </c>
    </row>
    <row r="38" spans="1:9" x14ac:dyDescent="0.25">
      <c r="A38" t="s">
        <v>3350</v>
      </c>
      <c r="B38" t="s">
        <v>3350</v>
      </c>
      <c r="C38" t="s">
        <v>3351</v>
      </c>
      <c r="D38" t="s">
        <v>3321</v>
      </c>
      <c r="E38" t="s">
        <v>15710</v>
      </c>
      <c r="F38" t="s">
        <v>3257</v>
      </c>
      <c r="G38" t="s">
        <v>3352</v>
      </c>
      <c r="H38" t="s">
        <v>3353</v>
      </c>
      <c r="I38" t="s">
        <v>3324</v>
      </c>
    </row>
    <row r="39" spans="1:9" x14ac:dyDescent="0.25">
      <c r="A39" t="s">
        <v>3354</v>
      </c>
      <c r="B39" t="s">
        <v>3354</v>
      </c>
      <c r="C39" t="s">
        <v>3355</v>
      </c>
      <c r="D39" t="s">
        <v>3242</v>
      </c>
      <c r="E39" t="s">
        <v>15714</v>
      </c>
      <c r="F39" t="s">
        <v>3300</v>
      </c>
      <c r="G39" t="s">
        <v>3356</v>
      </c>
      <c r="H39" t="s">
        <v>3357</v>
      </c>
      <c r="I39" t="s">
        <v>3358</v>
      </c>
    </row>
    <row r="40" spans="1:9" x14ac:dyDescent="0.25">
      <c r="A40" t="s">
        <v>3359</v>
      </c>
      <c r="B40" t="s">
        <v>3359</v>
      </c>
      <c r="C40" t="s">
        <v>3360</v>
      </c>
      <c r="D40" t="s">
        <v>3242</v>
      </c>
      <c r="E40" t="s">
        <v>15715</v>
      </c>
      <c r="F40" t="s">
        <v>3288</v>
      </c>
      <c r="G40" t="s">
        <v>3346</v>
      </c>
      <c r="H40" t="s">
        <v>3361</v>
      </c>
    </row>
    <row r="41" spans="1:9" x14ac:dyDescent="0.25">
      <c r="A41" t="s">
        <v>3362</v>
      </c>
      <c r="B41" t="s">
        <v>3362</v>
      </c>
      <c r="C41" t="s">
        <v>3363</v>
      </c>
      <c r="D41" t="s">
        <v>3242</v>
      </c>
      <c r="E41" t="s">
        <v>15710</v>
      </c>
      <c r="F41" t="s">
        <v>3257</v>
      </c>
      <c r="G41" t="s">
        <v>3364</v>
      </c>
      <c r="H41" t="s">
        <v>3365</v>
      </c>
      <c r="I41" t="s">
        <v>3366</v>
      </c>
    </row>
    <row r="42" spans="1:9" x14ac:dyDescent="0.25">
      <c r="A42" t="s">
        <v>3367</v>
      </c>
      <c r="B42" t="s">
        <v>3367</v>
      </c>
      <c r="C42" t="s">
        <v>3368</v>
      </c>
      <c r="D42" t="s">
        <v>3242</v>
      </c>
      <c r="E42" t="s">
        <v>15710</v>
      </c>
      <c r="F42" t="s">
        <v>3257</v>
      </c>
      <c r="G42" t="s">
        <v>3369</v>
      </c>
      <c r="H42" t="s">
        <v>3323</v>
      </c>
      <c r="I42" t="s">
        <v>3324</v>
      </c>
    </row>
    <row r="43" spans="1:9" x14ac:dyDescent="0.25">
      <c r="A43" t="s">
        <v>3370</v>
      </c>
      <c r="B43" t="s">
        <v>3370</v>
      </c>
      <c r="C43" t="s">
        <v>3371</v>
      </c>
      <c r="D43" t="s">
        <v>3242</v>
      </c>
      <c r="E43" t="s">
        <v>15710</v>
      </c>
      <c r="F43" t="s">
        <v>3372</v>
      </c>
      <c r="G43" t="s">
        <v>3373</v>
      </c>
      <c r="H43" t="s">
        <v>3374</v>
      </c>
      <c r="I43" t="s">
        <v>3375</v>
      </c>
    </row>
    <row r="44" spans="1:9" x14ac:dyDescent="0.25">
      <c r="A44" t="s">
        <v>17141</v>
      </c>
      <c r="B44" t="s">
        <v>17141</v>
      </c>
      <c r="C44" t="s">
        <v>17142</v>
      </c>
      <c r="D44" t="s">
        <v>3242</v>
      </c>
      <c r="E44" t="s">
        <v>15710</v>
      </c>
      <c r="F44" t="s">
        <v>3243</v>
      </c>
      <c r="G44" t="s">
        <v>5944</v>
      </c>
      <c r="H44" t="s">
        <v>8035</v>
      </c>
    </row>
    <row r="45" spans="1:9" x14ac:dyDescent="0.25">
      <c r="A45" t="s">
        <v>3376</v>
      </c>
      <c r="B45" t="s">
        <v>3376</v>
      </c>
      <c r="C45" t="s">
        <v>3377</v>
      </c>
      <c r="D45" t="s">
        <v>3242</v>
      </c>
      <c r="E45" t="s">
        <v>16890</v>
      </c>
      <c r="F45" t="s">
        <v>3257</v>
      </c>
      <c r="G45" t="s">
        <v>3378</v>
      </c>
      <c r="H45" t="s">
        <v>3379</v>
      </c>
      <c r="I45" t="s">
        <v>3366</v>
      </c>
    </row>
    <row r="46" spans="1:9" x14ac:dyDescent="0.25">
      <c r="A46" t="s">
        <v>3380</v>
      </c>
      <c r="B46" t="s">
        <v>3380</v>
      </c>
      <c r="C46" t="s">
        <v>3381</v>
      </c>
      <c r="D46" t="s">
        <v>3242</v>
      </c>
      <c r="E46" t="s">
        <v>15710</v>
      </c>
      <c r="F46" t="s">
        <v>3372</v>
      </c>
      <c r="G46" t="s">
        <v>3382</v>
      </c>
      <c r="H46" t="s">
        <v>3383</v>
      </c>
      <c r="I46" t="s">
        <v>3366</v>
      </c>
    </row>
    <row r="47" spans="1:9" x14ac:dyDescent="0.25">
      <c r="A47" t="s">
        <v>3384</v>
      </c>
      <c r="B47" t="s">
        <v>3384</v>
      </c>
      <c r="C47" t="s">
        <v>3385</v>
      </c>
      <c r="D47" t="s">
        <v>3242</v>
      </c>
      <c r="E47" t="s">
        <v>15710</v>
      </c>
      <c r="F47" t="s">
        <v>3243</v>
      </c>
      <c r="G47" t="s">
        <v>3386</v>
      </c>
      <c r="H47" t="s">
        <v>3387</v>
      </c>
    </row>
    <row r="48" spans="1:9" x14ac:dyDescent="0.25">
      <c r="A48" t="s">
        <v>16389</v>
      </c>
      <c r="B48" t="s">
        <v>16389</v>
      </c>
      <c r="C48" t="s">
        <v>16390</v>
      </c>
      <c r="D48" t="s">
        <v>3242</v>
      </c>
      <c r="E48" t="s">
        <v>15710</v>
      </c>
      <c r="F48" t="s">
        <v>3243</v>
      </c>
      <c r="G48" t="s">
        <v>16391</v>
      </c>
      <c r="H48" t="s">
        <v>3285</v>
      </c>
    </row>
    <row r="49" spans="1:9" x14ac:dyDescent="0.25">
      <c r="A49" t="s">
        <v>3388</v>
      </c>
      <c r="B49" t="s">
        <v>3388</v>
      </c>
      <c r="C49" t="s">
        <v>3389</v>
      </c>
      <c r="D49" t="s">
        <v>3242</v>
      </c>
      <c r="E49" t="s">
        <v>15710</v>
      </c>
      <c r="F49" t="s">
        <v>3243</v>
      </c>
      <c r="G49" t="s">
        <v>3243</v>
      </c>
      <c r="H49" t="s">
        <v>3290</v>
      </c>
    </row>
    <row r="50" spans="1:9" x14ac:dyDescent="0.25">
      <c r="A50" t="s">
        <v>3390</v>
      </c>
      <c r="B50" t="s">
        <v>3390</v>
      </c>
      <c r="C50" t="s">
        <v>3391</v>
      </c>
      <c r="D50" t="s">
        <v>3242</v>
      </c>
      <c r="E50" t="s">
        <v>15710</v>
      </c>
      <c r="F50" t="s">
        <v>3288</v>
      </c>
      <c r="G50" t="s">
        <v>3392</v>
      </c>
      <c r="H50" t="s">
        <v>3290</v>
      </c>
    </row>
    <row r="51" spans="1:9" x14ac:dyDescent="0.25">
      <c r="A51" t="s">
        <v>3393</v>
      </c>
      <c r="B51" t="s">
        <v>3393</v>
      </c>
      <c r="C51" t="s">
        <v>3394</v>
      </c>
      <c r="D51" t="s">
        <v>3242</v>
      </c>
      <c r="E51" t="s">
        <v>15710</v>
      </c>
      <c r="F51" t="s">
        <v>3345</v>
      </c>
      <c r="G51" t="s">
        <v>3395</v>
      </c>
      <c r="H51" t="s">
        <v>3290</v>
      </c>
    </row>
    <row r="52" spans="1:9" x14ac:dyDescent="0.25">
      <c r="A52" t="s">
        <v>3396</v>
      </c>
      <c r="B52" t="s">
        <v>3396</v>
      </c>
      <c r="C52" t="s">
        <v>3397</v>
      </c>
      <c r="D52" t="s">
        <v>3242</v>
      </c>
      <c r="E52" t="s">
        <v>15710</v>
      </c>
      <c r="F52" t="s">
        <v>3251</v>
      </c>
      <c r="G52" t="s">
        <v>3398</v>
      </c>
      <c r="H52" t="s">
        <v>3253</v>
      </c>
    </row>
    <row r="53" spans="1:9" x14ac:dyDescent="0.25">
      <c r="A53" t="s">
        <v>3399</v>
      </c>
      <c r="B53" t="s">
        <v>3399</v>
      </c>
      <c r="C53" t="s">
        <v>3400</v>
      </c>
      <c r="D53" t="s">
        <v>3242</v>
      </c>
      <c r="E53" t="s">
        <v>15710</v>
      </c>
      <c r="F53" t="s">
        <v>3243</v>
      </c>
      <c r="G53" t="s">
        <v>3401</v>
      </c>
      <c r="H53" t="s">
        <v>3402</v>
      </c>
    </row>
    <row r="54" spans="1:9" x14ac:dyDescent="0.25">
      <c r="A54" t="s">
        <v>3403</v>
      </c>
      <c r="B54" t="s">
        <v>3403</v>
      </c>
      <c r="C54" t="s">
        <v>3404</v>
      </c>
      <c r="D54" t="s">
        <v>3242</v>
      </c>
      <c r="E54" t="s">
        <v>15710</v>
      </c>
      <c r="F54" t="s">
        <v>3257</v>
      </c>
      <c r="G54" t="s">
        <v>3405</v>
      </c>
      <c r="H54" t="s">
        <v>3406</v>
      </c>
      <c r="I54" t="s">
        <v>3407</v>
      </c>
    </row>
    <row r="55" spans="1:9" x14ac:dyDescent="0.25">
      <c r="A55" t="s">
        <v>3408</v>
      </c>
      <c r="B55" t="s">
        <v>3408</v>
      </c>
      <c r="C55" t="s">
        <v>3409</v>
      </c>
      <c r="D55" t="s">
        <v>3242</v>
      </c>
      <c r="E55" t="s">
        <v>15710</v>
      </c>
      <c r="F55" t="s">
        <v>3257</v>
      </c>
      <c r="G55" t="s">
        <v>3405</v>
      </c>
      <c r="H55" t="s">
        <v>3290</v>
      </c>
      <c r="I55" t="s">
        <v>3407</v>
      </c>
    </row>
    <row r="56" spans="1:9" x14ac:dyDescent="0.25">
      <c r="A56" t="s">
        <v>3410</v>
      </c>
      <c r="B56" t="s">
        <v>3410</v>
      </c>
      <c r="C56" t="s">
        <v>3411</v>
      </c>
      <c r="D56" t="s">
        <v>3242</v>
      </c>
      <c r="E56" t="s">
        <v>16135</v>
      </c>
      <c r="F56" t="s">
        <v>3257</v>
      </c>
      <c r="G56" t="s">
        <v>3412</v>
      </c>
      <c r="H56" t="s">
        <v>3290</v>
      </c>
      <c r="I56" t="s">
        <v>3407</v>
      </c>
    </row>
    <row r="57" spans="1:9" x14ac:dyDescent="0.25">
      <c r="A57" t="s">
        <v>3414</v>
      </c>
      <c r="B57" t="s">
        <v>3414</v>
      </c>
      <c r="C57" t="s">
        <v>3415</v>
      </c>
      <c r="D57" t="s">
        <v>3242</v>
      </c>
      <c r="E57" t="s">
        <v>15710</v>
      </c>
      <c r="F57" t="s">
        <v>3257</v>
      </c>
      <c r="G57" t="s">
        <v>3416</v>
      </c>
      <c r="H57" t="s">
        <v>3417</v>
      </c>
    </row>
    <row r="58" spans="1:9" x14ac:dyDescent="0.25">
      <c r="A58" t="s">
        <v>3418</v>
      </c>
      <c r="B58" t="s">
        <v>3418</v>
      </c>
      <c r="C58" t="s">
        <v>3419</v>
      </c>
      <c r="D58" t="s">
        <v>3242</v>
      </c>
      <c r="E58" t="s">
        <v>15710</v>
      </c>
      <c r="F58" t="s">
        <v>3300</v>
      </c>
      <c r="G58" t="s">
        <v>3420</v>
      </c>
      <c r="H58" t="s">
        <v>3421</v>
      </c>
      <c r="I58" t="s">
        <v>3254</v>
      </c>
    </row>
    <row r="59" spans="1:9" x14ac:dyDescent="0.25">
      <c r="A59" t="s">
        <v>3422</v>
      </c>
      <c r="B59" t="s">
        <v>3422</v>
      </c>
      <c r="C59" t="s">
        <v>3423</v>
      </c>
      <c r="D59" t="s">
        <v>3242</v>
      </c>
      <c r="E59" t="s">
        <v>15710</v>
      </c>
      <c r="F59" t="s">
        <v>3243</v>
      </c>
      <c r="G59" t="s">
        <v>3424</v>
      </c>
      <c r="H59" t="s">
        <v>3402</v>
      </c>
    </row>
    <row r="60" spans="1:9" x14ac:dyDescent="0.25">
      <c r="A60" t="s">
        <v>3425</v>
      </c>
      <c r="B60" t="s">
        <v>3425</v>
      </c>
      <c r="C60" t="s">
        <v>3426</v>
      </c>
      <c r="D60" t="s">
        <v>3242</v>
      </c>
      <c r="E60" t="s">
        <v>15710</v>
      </c>
      <c r="F60" t="s">
        <v>3257</v>
      </c>
      <c r="G60" t="s">
        <v>3427</v>
      </c>
      <c r="H60" t="s">
        <v>3262</v>
      </c>
      <c r="I60" t="s">
        <v>3263</v>
      </c>
    </row>
    <row r="61" spans="1:9" x14ac:dyDescent="0.25">
      <c r="A61" t="s">
        <v>3428</v>
      </c>
      <c r="B61" t="s">
        <v>3428</v>
      </c>
      <c r="C61" t="s">
        <v>3429</v>
      </c>
      <c r="D61" t="s">
        <v>3242</v>
      </c>
      <c r="E61" t="s">
        <v>15710</v>
      </c>
      <c r="F61" t="s">
        <v>3430</v>
      </c>
      <c r="G61" t="s">
        <v>3431</v>
      </c>
      <c r="H61" t="s">
        <v>3262</v>
      </c>
      <c r="I61" t="s">
        <v>3432</v>
      </c>
    </row>
    <row r="62" spans="1:9" x14ac:dyDescent="0.25">
      <c r="A62" t="s">
        <v>3433</v>
      </c>
      <c r="B62" t="s">
        <v>3433</v>
      </c>
      <c r="C62" t="s">
        <v>3434</v>
      </c>
      <c r="D62" t="s">
        <v>3242</v>
      </c>
      <c r="E62" t="s">
        <v>16891</v>
      </c>
      <c r="F62" t="s">
        <v>3435</v>
      </c>
      <c r="G62" t="s">
        <v>3436</v>
      </c>
      <c r="H62" t="s">
        <v>3262</v>
      </c>
      <c r="I62" t="s">
        <v>3263</v>
      </c>
    </row>
    <row r="63" spans="1:9" x14ac:dyDescent="0.25">
      <c r="A63" t="s">
        <v>3437</v>
      </c>
      <c r="B63" t="s">
        <v>3437</v>
      </c>
      <c r="C63" t="s">
        <v>3438</v>
      </c>
      <c r="D63" t="s">
        <v>3242</v>
      </c>
      <c r="E63" t="s">
        <v>15710</v>
      </c>
      <c r="F63" t="s">
        <v>3257</v>
      </c>
      <c r="G63" t="s">
        <v>3439</v>
      </c>
      <c r="H63" t="s">
        <v>6276</v>
      </c>
      <c r="I63" t="s">
        <v>3407</v>
      </c>
    </row>
    <row r="64" spans="1:9" x14ac:dyDescent="0.25">
      <c r="A64" t="s">
        <v>3441</v>
      </c>
      <c r="B64" t="s">
        <v>3441</v>
      </c>
      <c r="C64" t="s">
        <v>3442</v>
      </c>
      <c r="D64" t="s">
        <v>3242</v>
      </c>
      <c r="E64" t="s">
        <v>15710</v>
      </c>
      <c r="F64" t="s">
        <v>3257</v>
      </c>
      <c r="G64" t="s">
        <v>3443</v>
      </c>
      <c r="H64" t="s">
        <v>3285</v>
      </c>
    </row>
    <row r="65" spans="1:9" x14ac:dyDescent="0.25">
      <c r="A65" t="s">
        <v>3444</v>
      </c>
      <c r="B65" t="s">
        <v>3444</v>
      </c>
      <c r="C65" t="s">
        <v>3445</v>
      </c>
      <c r="D65" t="s">
        <v>3242</v>
      </c>
      <c r="E65" t="s">
        <v>15710</v>
      </c>
      <c r="F65" t="s">
        <v>3251</v>
      </c>
      <c r="G65" t="s">
        <v>3446</v>
      </c>
      <c r="H65" t="s">
        <v>3290</v>
      </c>
      <c r="I65" t="s">
        <v>3254</v>
      </c>
    </row>
    <row r="66" spans="1:9" x14ac:dyDescent="0.25">
      <c r="A66" t="s">
        <v>16393</v>
      </c>
      <c r="B66" t="s">
        <v>16393</v>
      </c>
      <c r="C66" t="s">
        <v>16394</v>
      </c>
      <c r="D66" t="s">
        <v>3242</v>
      </c>
      <c r="E66" t="s">
        <v>16035</v>
      </c>
      <c r="F66" t="s">
        <v>3251</v>
      </c>
      <c r="G66" t="s">
        <v>16395</v>
      </c>
      <c r="H66" t="s">
        <v>4004</v>
      </c>
      <c r="I66" t="s">
        <v>4605</v>
      </c>
    </row>
    <row r="67" spans="1:9" x14ac:dyDescent="0.25">
      <c r="A67" t="s">
        <v>3447</v>
      </c>
      <c r="B67" t="s">
        <v>3447</v>
      </c>
      <c r="C67" t="s">
        <v>3448</v>
      </c>
      <c r="D67" t="s">
        <v>3242</v>
      </c>
      <c r="E67" t="s">
        <v>17143</v>
      </c>
      <c r="F67" t="s">
        <v>3251</v>
      </c>
      <c r="G67" t="s">
        <v>3449</v>
      </c>
      <c r="H67" t="s">
        <v>3450</v>
      </c>
      <c r="I67" t="s">
        <v>3451</v>
      </c>
    </row>
    <row r="68" spans="1:9" x14ac:dyDescent="0.25">
      <c r="A68" t="s">
        <v>3452</v>
      </c>
      <c r="B68" t="s">
        <v>3452</v>
      </c>
      <c r="C68" t="s">
        <v>3453</v>
      </c>
      <c r="D68" t="s">
        <v>3242</v>
      </c>
      <c r="E68" t="s">
        <v>15710</v>
      </c>
      <c r="F68" t="s">
        <v>3257</v>
      </c>
      <c r="G68" t="s">
        <v>3454</v>
      </c>
      <c r="H68" t="s">
        <v>3455</v>
      </c>
      <c r="I68" t="s">
        <v>3407</v>
      </c>
    </row>
    <row r="69" spans="1:9" x14ac:dyDescent="0.25">
      <c r="A69" t="s">
        <v>14859</v>
      </c>
      <c r="B69" t="s">
        <v>14859</v>
      </c>
      <c r="C69" t="s">
        <v>14860</v>
      </c>
      <c r="D69" t="s">
        <v>3242</v>
      </c>
      <c r="E69" t="s">
        <v>15710</v>
      </c>
      <c r="F69" t="s">
        <v>3288</v>
      </c>
      <c r="G69" t="s">
        <v>3060</v>
      </c>
      <c r="H69" t="s">
        <v>3290</v>
      </c>
    </row>
    <row r="70" spans="1:9" x14ac:dyDescent="0.25">
      <c r="A70" t="s">
        <v>13643</v>
      </c>
      <c r="B70" t="s">
        <v>13643</v>
      </c>
      <c r="C70" t="s">
        <v>16133</v>
      </c>
      <c r="D70" t="s">
        <v>3242</v>
      </c>
      <c r="E70" t="s">
        <v>15710</v>
      </c>
      <c r="F70" t="s">
        <v>3257</v>
      </c>
      <c r="G70" t="s">
        <v>16134</v>
      </c>
      <c r="H70" t="s">
        <v>3484</v>
      </c>
      <c r="I70" t="s">
        <v>14986</v>
      </c>
    </row>
    <row r="71" spans="1:9" x14ac:dyDescent="0.25">
      <c r="A71" t="s">
        <v>3456</v>
      </c>
      <c r="B71" t="s">
        <v>3456</v>
      </c>
      <c r="C71" t="s">
        <v>3457</v>
      </c>
      <c r="D71" t="s">
        <v>3242</v>
      </c>
      <c r="E71" t="s">
        <v>15710</v>
      </c>
      <c r="F71" t="s">
        <v>3243</v>
      </c>
      <c r="G71" t="s">
        <v>3458</v>
      </c>
      <c r="H71" t="s">
        <v>3459</v>
      </c>
    </row>
    <row r="72" spans="1:9" x14ac:dyDescent="0.25">
      <c r="A72" t="s">
        <v>3460</v>
      </c>
      <c r="B72" t="s">
        <v>3460</v>
      </c>
      <c r="C72" t="s">
        <v>3461</v>
      </c>
      <c r="D72" t="s">
        <v>3242</v>
      </c>
      <c r="E72" t="s">
        <v>15710</v>
      </c>
      <c r="F72" t="s">
        <v>3288</v>
      </c>
      <c r="G72" t="s">
        <v>3462</v>
      </c>
      <c r="H72" t="s">
        <v>3463</v>
      </c>
    </row>
    <row r="73" spans="1:9" x14ac:dyDescent="0.25">
      <c r="A73" t="s">
        <v>3464</v>
      </c>
      <c r="B73" t="s">
        <v>3464</v>
      </c>
      <c r="C73" t="s">
        <v>3465</v>
      </c>
      <c r="D73" t="s">
        <v>3242</v>
      </c>
      <c r="E73" t="s">
        <v>15718</v>
      </c>
      <c r="F73" t="s">
        <v>3257</v>
      </c>
      <c r="G73" t="s">
        <v>3466</v>
      </c>
      <c r="H73" t="s">
        <v>3467</v>
      </c>
    </row>
    <row r="74" spans="1:9" x14ac:dyDescent="0.25">
      <c r="A74" t="s">
        <v>3468</v>
      </c>
      <c r="B74" t="s">
        <v>3468</v>
      </c>
      <c r="C74" t="s">
        <v>3469</v>
      </c>
      <c r="D74" t="s">
        <v>3242</v>
      </c>
      <c r="E74" t="s">
        <v>17534</v>
      </c>
      <c r="F74" t="s">
        <v>3257</v>
      </c>
      <c r="G74" t="s">
        <v>3470</v>
      </c>
      <c r="H74" t="s">
        <v>3406</v>
      </c>
      <c r="I74" t="s">
        <v>3407</v>
      </c>
    </row>
    <row r="75" spans="1:9" x14ac:dyDescent="0.25">
      <c r="A75" t="s">
        <v>3471</v>
      </c>
      <c r="B75" t="s">
        <v>3471</v>
      </c>
      <c r="C75" t="s">
        <v>3472</v>
      </c>
      <c r="D75" t="s">
        <v>3242</v>
      </c>
      <c r="E75" t="s">
        <v>15710</v>
      </c>
      <c r="F75" t="s">
        <v>15712</v>
      </c>
      <c r="G75" t="s">
        <v>3473</v>
      </c>
      <c r="H75" t="s">
        <v>3290</v>
      </c>
    </row>
    <row r="76" spans="1:9" x14ac:dyDescent="0.25">
      <c r="A76" t="s">
        <v>3474</v>
      </c>
      <c r="B76" t="s">
        <v>3474</v>
      </c>
      <c r="C76" t="s">
        <v>3475</v>
      </c>
      <c r="D76" t="s">
        <v>3242</v>
      </c>
      <c r="E76" t="s">
        <v>15710</v>
      </c>
      <c r="F76" t="s">
        <v>3288</v>
      </c>
      <c r="G76" t="s">
        <v>3476</v>
      </c>
      <c r="H76" t="s">
        <v>3285</v>
      </c>
    </row>
    <row r="77" spans="1:9" x14ac:dyDescent="0.25">
      <c r="A77" t="s">
        <v>3477</v>
      </c>
      <c r="B77" t="s">
        <v>3477</v>
      </c>
      <c r="C77" t="s">
        <v>3478</v>
      </c>
      <c r="D77" t="s">
        <v>3242</v>
      </c>
      <c r="E77" t="s">
        <v>15710</v>
      </c>
      <c r="F77" t="s">
        <v>3243</v>
      </c>
      <c r="G77" t="s">
        <v>3479</v>
      </c>
      <c r="H77" t="s">
        <v>3480</v>
      </c>
    </row>
    <row r="78" spans="1:9" x14ac:dyDescent="0.25">
      <c r="A78" t="s">
        <v>3481</v>
      </c>
      <c r="B78" t="s">
        <v>3481</v>
      </c>
      <c r="C78" t="s">
        <v>3482</v>
      </c>
      <c r="D78" t="s">
        <v>3242</v>
      </c>
      <c r="E78" t="s">
        <v>15710</v>
      </c>
      <c r="F78" t="s">
        <v>3372</v>
      </c>
      <c r="G78" t="s">
        <v>3483</v>
      </c>
      <c r="H78" t="s">
        <v>3484</v>
      </c>
      <c r="I78" t="s">
        <v>3375</v>
      </c>
    </row>
    <row r="79" spans="1:9" x14ac:dyDescent="0.25">
      <c r="A79" t="s">
        <v>3485</v>
      </c>
      <c r="B79" t="s">
        <v>3485</v>
      </c>
      <c r="C79" t="s">
        <v>3486</v>
      </c>
      <c r="D79" t="s">
        <v>3242</v>
      </c>
      <c r="E79" t="s">
        <v>15710</v>
      </c>
      <c r="F79" t="s">
        <v>3243</v>
      </c>
      <c r="G79" t="s">
        <v>3487</v>
      </c>
      <c r="H79" t="s">
        <v>3488</v>
      </c>
    </row>
    <row r="80" spans="1:9" x14ac:dyDescent="0.25">
      <c r="A80" t="s">
        <v>3489</v>
      </c>
      <c r="B80" t="s">
        <v>3489</v>
      </c>
      <c r="C80" t="s">
        <v>3490</v>
      </c>
      <c r="D80" t="s">
        <v>3242</v>
      </c>
      <c r="E80" t="s">
        <v>16021</v>
      </c>
      <c r="F80" t="s">
        <v>3430</v>
      </c>
      <c r="G80" t="s">
        <v>3491</v>
      </c>
      <c r="H80" t="s">
        <v>3492</v>
      </c>
      <c r="I80" t="s">
        <v>3263</v>
      </c>
    </row>
    <row r="81" spans="1:9" x14ac:dyDescent="0.25">
      <c r="A81" t="s">
        <v>3493</v>
      </c>
      <c r="B81" t="s">
        <v>3493</v>
      </c>
      <c r="C81" t="s">
        <v>3494</v>
      </c>
      <c r="D81" t="s">
        <v>3242</v>
      </c>
      <c r="E81" t="s">
        <v>15710</v>
      </c>
      <c r="F81" t="s">
        <v>3257</v>
      </c>
      <c r="G81" t="s">
        <v>3495</v>
      </c>
      <c r="H81" t="s">
        <v>3290</v>
      </c>
      <c r="I81" t="s">
        <v>3407</v>
      </c>
    </row>
    <row r="82" spans="1:9" x14ac:dyDescent="0.25">
      <c r="A82" t="s">
        <v>3497</v>
      </c>
      <c r="B82" t="s">
        <v>3497</v>
      </c>
      <c r="C82" t="s">
        <v>3498</v>
      </c>
      <c r="D82" t="s">
        <v>3242</v>
      </c>
      <c r="E82" t="s">
        <v>15710</v>
      </c>
      <c r="F82" t="s">
        <v>3243</v>
      </c>
      <c r="G82" t="s">
        <v>3499</v>
      </c>
      <c r="H82" t="s">
        <v>3484</v>
      </c>
    </row>
    <row r="83" spans="1:9" x14ac:dyDescent="0.25">
      <c r="A83" t="s">
        <v>3500</v>
      </c>
      <c r="B83" t="s">
        <v>3500</v>
      </c>
      <c r="C83" t="s">
        <v>3501</v>
      </c>
      <c r="D83" t="s">
        <v>3242</v>
      </c>
      <c r="E83" t="s">
        <v>15710</v>
      </c>
      <c r="F83" t="s">
        <v>3502</v>
      </c>
      <c r="G83" t="s">
        <v>3503</v>
      </c>
      <c r="H83" t="s">
        <v>3504</v>
      </c>
      <c r="I83" t="s">
        <v>3263</v>
      </c>
    </row>
    <row r="84" spans="1:9" x14ac:dyDescent="0.25">
      <c r="A84" t="s">
        <v>3505</v>
      </c>
      <c r="B84" t="s">
        <v>3505</v>
      </c>
      <c r="C84" t="s">
        <v>3506</v>
      </c>
      <c r="D84" t="s">
        <v>3242</v>
      </c>
      <c r="E84" t="s">
        <v>16396</v>
      </c>
      <c r="F84" t="s">
        <v>3306</v>
      </c>
      <c r="G84" t="s">
        <v>16397</v>
      </c>
      <c r="H84" t="s">
        <v>3259</v>
      </c>
      <c r="I84" t="s">
        <v>3324</v>
      </c>
    </row>
    <row r="85" spans="1:9" x14ac:dyDescent="0.25">
      <c r="A85" t="s">
        <v>3508</v>
      </c>
      <c r="B85" t="s">
        <v>3508</v>
      </c>
      <c r="C85" t="s">
        <v>3509</v>
      </c>
      <c r="D85" t="s">
        <v>3242</v>
      </c>
      <c r="E85" t="s">
        <v>15710</v>
      </c>
      <c r="F85" t="s">
        <v>3251</v>
      </c>
      <c r="G85" t="s">
        <v>3420</v>
      </c>
      <c r="H85" t="s">
        <v>3421</v>
      </c>
    </row>
    <row r="86" spans="1:9" x14ac:dyDescent="0.25">
      <c r="A86" t="s">
        <v>3510</v>
      </c>
      <c r="B86" t="s">
        <v>3510</v>
      </c>
      <c r="C86" t="s">
        <v>3511</v>
      </c>
      <c r="D86" t="s">
        <v>3242</v>
      </c>
      <c r="E86" t="s">
        <v>15710</v>
      </c>
      <c r="F86" t="s">
        <v>3243</v>
      </c>
      <c r="G86" t="s">
        <v>3512</v>
      </c>
      <c r="H86" t="s">
        <v>3402</v>
      </c>
    </row>
    <row r="87" spans="1:9" x14ac:dyDescent="0.25">
      <c r="A87" t="s">
        <v>3513</v>
      </c>
      <c r="B87" t="s">
        <v>3513</v>
      </c>
      <c r="C87" t="s">
        <v>3514</v>
      </c>
      <c r="D87" t="s">
        <v>3242</v>
      </c>
      <c r="E87" t="s">
        <v>15710</v>
      </c>
      <c r="F87" t="s">
        <v>3515</v>
      </c>
      <c r="I87" t="s">
        <v>3263</v>
      </c>
    </row>
    <row r="88" spans="1:9" x14ac:dyDescent="0.25">
      <c r="A88" t="s">
        <v>3516</v>
      </c>
      <c r="B88" t="s">
        <v>3516</v>
      </c>
      <c r="C88" t="s">
        <v>3517</v>
      </c>
      <c r="D88" t="s">
        <v>3242</v>
      </c>
      <c r="E88" t="s">
        <v>15710</v>
      </c>
      <c r="F88" t="s">
        <v>3257</v>
      </c>
      <c r="G88" t="s">
        <v>3518</v>
      </c>
      <c r="H88" t="s">
        <v>3519</v>
      </c>
    </row>
    <row r="89" spans="1:9" x14ac:dyDescent="0.25">
      <c r="A89" t="s">
        <v>3520</v>
      </c>
      <c r="B89" t="s">
        <v>3520</v>
      </c>
      <c r="C89" t="s">
        <v>3521</v>
      </c>
      <c r="D89" t="s">
        <v>3242</v>
      </c>
      <c r="E89" t="s">
        <v>15710</v>
      </c>
      <c r="F89" t="s">
        <v>3243</v>
      </c>
      <c r="G89" t="s">
        <v>3507</v>
      </c>
      <c r="H89" t="s">
        <v>3290</v>
      </c>
    </row>
    <row r="90" spans="1:9" x14ac:dyDescent="0.25">
      <c r="A90" t="s">
        <v>3522</v>
      </c>
      <c r="B90" t="s">
        <v>3522</v>
      </c>
      <c r="C90" t="s">
        <v>3523</v>
      </c>
      <c r="D90" t="s">
        <v>3242</v>
      </c>
      <c r="E90" t="s">
        <v>15710</v>
      </c>
      <c r="F90" t="s">
        <v>3257</v>
      </c>
      <c r="G90" t="s">
        <v>3524</v>
      </c>
      <c r="H90" t="s">
        <v>3290</v>
      </c>
    </row>
    <row r="91" spans="1:9" x14ac:dyDescent="0.25">
      <c r="A91" t="s">
        <v>3525</v>
      </c>
      <c r="B91" t="s">
        <v>3525</v>
      </c>
      <c r="C91" t="s">
        <v>3526</v>
      </c>
      <c r="D91" t="s">
        <v>3242</v>
      </c>
      <c r="E91" t="s">
        <v>15720</v>
      </c>
      <c r="F91" t="s">
        <v>3243</v>
      </c>
      <c r="G91" t="s">
        <v>3243</v>
      </c>
      <c r="H91" t="s">
        <v>3290</v>
      </c>
    </row>
    <row r="92" spans="1:9" x14ac:dyDescent="0.25">
      <c r="A92" t="s">
        <v>3527</v>
      </c>
      <c r="B92" t="s">
        <v>3527</v>
      </c>
      <c r="C92" t="s">
        <v>3528</v>
      </c>
      <c r="D92" t="s">
        <v>3242</v>
      </c>
      <c r="E92" t="s">
        <v>15988</v>
      </c>
      <c r="F92" t="s">
        <v>3243</v>
      </c>
      <c r="G92" t="s">
        <v>3243</v>
      </c>
      <c r="H92" t="s">
        <v>3290</v>
      </c>
    </row>
    <row r="93" spans="1:9" x14ac:dyDescent="0.25">
      <c r="A93" t="s">
        <v>16398</v>
      </c>
      <c r="B93" t="s">
        <v>16398</v>
      </c>
      <c r="C93" t="s">
        <v>16399</v>
      </c>
      <c r="D93" t="s">
        <v>3242</v>
      </c>
      <c r="E93" t="s">
        <v>15710</v>
      </c>
      <c r="F93" t="s">
        <v>3288</v>
      </c>
      <c r="G93" t="s">
        <v>16400</v>
      </c>
      <c r="H93" t="s">
        <v>3285</v>
      </c>
    </row>
    <row r="94" spans="1:9" x14ac:dyDescent="0.25">
      <c r="A94" t="s">
        <v>3529</v>
      </c>
      <c r="B94" t="s">
        <v>3529</v>
      </c>
      <c r="C94" t="s">
        <v>3530</v>
      </c>
      <c r="D94" t="s">
        <v>3242</v>
      </c>
      <c r="E94" t="s">
        <v>15710</v>
      </c>
      <c r="F94" t="s">
        <v>3345</v>
      </c>
      <c r="G94" t="s">
        <v>3531</v>
      </c>
      <c r="H94" t="s">
        <v>3285</v>
      </c>
    </row>
    <row r="95" spans="1:9" x14ac:dyDescent="0.25">
      <c r="A95" t="s">
        <v>3532</v>
      </c>
      <c r="B95" t="s">
        <v>3532</v>
      </c>
      <c r="C95" t="s">
        <v>3533</v>
      </c>
      <c r="D95" t="s">
        <v>3242</v>
      </c>
      <c r="E95" t="s">
        <v>15710</v>
      </c>
      <c r="F95" t="s">
        <v>3257</v>
      </c>
      <c r="G95" t="s">
        <v>3449</v>
      </c>
      <c r="H95" t="s">
        <v>3450</v>
      </c>
    </row>
    <row r="96" spans="1:9" x14ac:dyDescent="0.25">
      <c r="A96" t="s">
        <v>3534</v>
      </c>
      <c r="B96" t="s">
        <v>3534</v>
      </c>
      <c r="C96" t="s">
        <v>3535</v>
      </c>
      <c r="D96" t="s">
        <v>3242</v>
      </c>
      <c r="E96" t="s">
        <v>15710</v>
      </c>
      <c r="F96" t="s">
        <v>3288</v>
      </c>
      <c r="G96" t="s">
        <v>3536</v>
      </c>
      <c r="H96" t="s">
        <v>3537</v>
      </c>
    </row>
    <row r="97" spans="1:9" x14ac:dyDescent="0.25">
      <c r="A97" t="s">
        <v>3538</v>
      </c>
      <c r="B97" t="s">
        <v>3538</v>
      </c>
      <c r="C97" t="s">
        <v>3539</v>
      </c>
      <c r="D97" t="s">
        <v>3242</v>
      </c>
      <c r="E97" t="s">
        <v>15710</v>
      </c>
      <c r="F97" t="s">
        <v>3243</v>
      </c>
      <c r="G97" t="s">
        <v>3540</v>
      </c>
      <c r="H97" t="s">
        <v>3541</v>
      </c>
    </row>
    <row r="98" spans="1:9" x14ac:dyDescent="0.25">
      <c r="A98" t="s">
        <v>3542</v>
      </c>
      <c r="B98" t="s">
        <v>3542</v>
      </c>
      <c r="C98" t="s">
        <v>3543</v>
      </c>
      <c r="D98" t="s">
        <v>3242</v>
      </c>
      <c r="E98" t="s">
        <v>15710</v>
      </c>
      <c r="F98" t="s">
        <v>3243</v>
      </c>
      <c r="G98" t="s">
        <v>3243</v>
      </c>
      <c r="H98" t="s">
        <v>3290</v>
      </c>
    </row>
    <row r="99" spans="1:9" x14ac:dyDescent="0.25">
      <c r="A99" t="s">
        <v>3544</v>
      </c>
      <c r="B99" t="s">
        <v>3544</v>
      </c>
      <c r="C99" t="s">
        <v>3545</v>
      </c>
      <c r="D99" t="s">
        <v>3242</v>
      </c>
      <c r="E99" t="s">
        <v>17535</v>
      </c>
      <c r="F99" t="s">
        <v>3306</v>
      </c>
      <c r="G99" t="s">
        <v>3420</v>
      </c>
      <c r="H99" t="s">
        <v>3421</v>
      </c>
      <c r="I99" t="s">
        <v>3254</v>
      </c>
    </row>
    <row r="100" spans="1:9" x14ac:dyDescent="0.25">
      <c r="A100" t="s">
        <v>15721</v>
      </c>
      <c r="B100" t="s">
        <v>15721</v>
      </c>
      <c r="C100" t="s">
        <v>15722</v>
      </c>
      <c r="D100" t="s">
        <v>3242</v>
      </c>
      <c r="E100" t="s">
        <v>15710</v>
      </c>
      <c r="F100" t="s">
        <v>3243</v>
      </c>
      <c r="G100" t="s">
        <v>4038</v>
      </c>
      <c r="H100" t="s">
        <v>15635</v>
      </c>
    </row>
    <row r="101" spans="1:9" x14ac:dyDescent="0.25">
      <c r="A101" t="s">
        <v>3546</v>
      </c>
      <c r="B101" t="s">
        <v>3547</v>
      </c>
      <c r="C101" t="s">
        <v>3548</v>
      </c>
      <c r="D101" t="s">
        <v>3242</v>
      </c>
      <c r="E101" t="s">
        <v>15710</v>
      </c>
      <c r="F101" t="s">
        <v>3243</v>
      </c>
      <c r="G101" t="s">
        <v>3549</v>
      </c>
      <c r="H101" t="s">
        <v>3480</v>
      </c>
    </row>
    <row r="102" spans="1:9" x14ac:dyDescent="0.25">
      <c r="A102" t="s">
        <v>3550</v>
      </c>
      <c r="B102" t="s">
        <v>3550</v>
      </c>
      <c r="C102" t="s">
        <v>3551</v>
      </c>
      <c r="D102" t="s">
        <v>3242</v>
      </c>
      <c r="E102" t="s">
        <v>15710</v>
      </c>
      <c r="F102" t="s">
        <v>3251</v>
      </c>
      <c r="G102" t="s">
        <v>3552</v>
      </c>
      <c r="H102" t="s">
        <v>3553</v>
      </c>
    </row>
    <row r="103" spans="1:9" x14ac:dyDescent="0.25">
      <c r="A103" t="s">
        <v>3554</v>
      </c>
      <c r="B103" t="s">
        <v>3554</v>
      </c>
      <c r="C103" t="s">
        <v>3555</v>
      </c>
      <c r="D103" t="s">
        <v>3242</v>
      </c>
      <c r="E103" t="s">
        <v>15710</v>
      </c>
      <c r="F103" t="s">
        <v>3243</v>
      </c>
      <c r="G103" t="s">
        <v>3556</v>
      </c>
      <c r="H103" t="s">
        <v>3290</v>
      </c>
    </row>
    <row r="104" spans="1:9" x14ac:dyDescent="0.25">
      <c r="A104" t="s">
        <v>3557</v>
      </c>
      <c r="B104" t="s">
        <v>3557</v>
      </c>
      <c r="C104" t="s">
        <v>3558</v>
      </c>
      <c r="D104" t="s">
        <v>3242</v>
      </c>
      <c r="E104" t="s">
        <v>15710</v>
      </c>
      <c r="F104" t="s">
        <v>3251</v>
      </c>
      <c r="G104" t="s">
        <v>3559</v>
      </c>
      <c r="H104" t="s">
        <v>3253</v>
      </c>
    </row>
    <row r="105" spans="1:9" x14ac:dyDescent="0.25">
      <c r="A105" t="s">
        <v>3560</v>
      </c>
      <c r="B105" t="s">
        <v>3560</v>
      </c>
      <c r="C105" t="s">
        <v>3561</v>
      </c>
      <c r="D105" t="s">
        <v>3242</v>
      </c>
      <c r="E105" t="s">
        <v>15710</v>
      </c>
      <c r="F105" t="s">
        <v>3345</v>
      </c>
      <c r="G105" t="s">
        <v>3562</v>
      </c>
      <c r="H105" t="s">
        <v>3285</v>
      </c>
    </row>
    <row r="106" spans="1:9" x14ac:dyDescent="0.25">
      <c r="A106" t="s">
        <v>3563</v>
      </c>
      <c r="B106" t="s">
        <v>3563</v>
      </c>
      <c r="C106" t="s">
        <v>3564</v>
      </c>
      <c r="D106" t="s">
        <v>3242</v>
      </c>
      <c r="E106" t="s">
        <v>15710</v>
      </c>
      <c r="F106" t="s">
        <v>3243</v>
      </c>
      <c r="G106" t="s">
        <v>3565</v>
      </c>
      <c r="H106" t="s">
        <v>3566</v>
      </c>
    </row>
    <row r="107" spans="1:9" x14ac:dyDescent="0.25">
      <c r="A107" t="s">
        <v>3567</v>
      </c>
      <c r="B107" t="s">
        <v>3567</v>
      </c>
      <c r="C107" t="s">
        <v>3568</v>
      </c>
      <c r="D107" t="s">
        <v>3242</v>
      </c>
      <c r="E107" t="s">
        <v>15710</v>
      </c>
      <c r="F107" t="s">
        <v>3243</v>
      </c>
      <c r="G107" t="s">
        <v>3569</v>
      </c>
      <c r="H107" t="s">
        <v>3402</v>
      </c>
    </row>
    <row r="108" spans="1:9" x14ac:dyDescent="0.25">
      <c r="A108" t="s">
        <v>3570</v>
      </c>
      <c r="B108" t="s">
        <v>3570</v>
      </c>
      <c r="C108" t="s">
        <v>3571</v>
      </c>
      <c r="D108" t="s">
        <v>3242</v>
      </c>
      <c r="E108" t="s">
        <v>15710</v>
      </c>
      <c r="F108" t="s">
        <v>3243</v>
      </c>
      <c r="G108" t="s">
        <v>3507</v>
      </c>
      <c r="H108" t="s">
        <v>3290</v>
      </c>
    </row>
    <row r="109" spans="1:9" x14ac:dyDescent="0.25">
      <c r="A109" t="s">
        <v>3572</v>
      </c>
      <c r="B109" t="s">
        <v>3572</v>
      </c>
      <c r="C109" t="s">
        <v>3573</v>
      </c>
      <c r="D109" t="s">
        <v>3242</v>
      </c>
      <c r="E109" t="s">
        <v>15710</v>
      </c>
      <c r="F109" t="s">
        <v>3243</v>
      </c>
      <c r="G109" t="s">
        <v>3574</v>
      </c>
      <c r="H109" t="s">
        <v>3402</v>
      </c>
    </row>
    <row r="110" spans="1:9" x14ac:dyDescent="0.25">
      <c r="A110" t="s">
        <v>3575</v>
      </c>
      <c r="B110" t="s">
        <v>3575</v>
      </c>
      <c r="C110" t="s">
        <v>3576</v>
      </c>
      <c r="D110" t="s">
        <v>3242</v>
      </c>
      <c r="E110" t="s">
        <v>16893</v>
      </c>
      <c r="F110" t="s">
        <v>3257</v>
      </c>
      <c r="G110" t="s">
        <v>3577</v>
      </c>
      <c r="H110" t="s">
        <v>3455</v>
      </c>
      <c r="I110" t="s">
        <v>3407</v>
      </c>
    </row>
    <row r="111" spans="1:9" x14ac:dyDescent="0.25">
      <c r="A111" t="s">
        <v>3578</v>
      </c>
      <c r="B111" t="s">
        <v>3578</v>
      </c>
      <c r="C111" t="s">
        <v>3579</v>
      </c>
      <c r="D111" t="s">
        <v>3242</v>
      </c>
      <c r="E111" t="s">
        <v>17536</v>
      </c>
      <c r="F111" t="s">
        <v>3257</v>
      </c>
      <c r="G111" t="s">
        <v>3470</v>
      </c>
      <c r="H111" t="s">
        <v>3406</v>
      </c>
      <c r="I111" t="s">
        <v>3407</v>
      </c>
    </row>
    <row r="112" spans="1:9" x14ac:dyDescent="0.25">
      <c r="A112" t="s">
        <v>3580</v>
      </c>
      <c r="B112" t="s">
        <v>3580</v>
      </c>
      <c r="C112" t="s">
        <v>3581</v>
      </c>
      <c r="D112" t="s">
        <v>3242</v>
      </c>
      <c r="E112" t="s">
        <v>15710</v>
      </c>
      <c r="F112" t="s">
        <v>3257</v>
      </c>
      <c r="G112" t="s">
        <v>3582</v>
      </c>
      <c r="H112" t="s">
        <v>3290</v>
      </c>
    </row>
    <row r="113" spans="1:9" x14ac:dyDescent="0.25">
      <c r="A113" t="s">
        <v>3583</v>
      </c>
      <c r="B113" t="s">
        <v>3583</v>
      </c>
      <c r="C113" t="s">
        <v>3584</v>
      </c>
      <c r="D113" t="s">
        <v>3242</v>
      </c>
      <c r="E113" t="s">
        <v>15710</v>
      </c>
      <c r="F113" t="s">
        <v>3243</v>
      </c>
      <c r="G113" t="s">
        <v>3585</v>
      </c>
      <c r="H113" t="s">
        <v>3541</v>
      </c>
    </row>
    <row r="114" spans="1:9" x14ac:dyDescent="0.25">
      <c r="A114" t="s">
        <v>3586</v>
      </c>
      <c r="B114" t="s">
        <v>3586</v>
      </c>
      <c r="C114" t="s">
        <v>3587</v>
      </c>
      <c r="D114" t="s">
        <v>3242</v>
      </c>
      <c r="E114" t="s">
        <v>17144</v>
      </c>
      <c r="F114" t="s">
        <v>3588</v>
      </c>
      <c r="G114" t="s">
        <v>3589</v>
      </c>
      <c r="H114" t="s">
        <v>5062</v>
      </c>
      <c r="I114" t="s">
        <v>3263</v>
      </c>
    </row>
    <row r="115" spans="1:9" x14ac:dyDescent="0.25">
      <c r="A115" t="s">
        <v>3590</v>
      </c>
      <c r="B115" t="s">
        <v>3590</v>
      </c>
      <c r="C115" t="s">
        <v>3591</v>
      </c>
      <c r="D115" t="s">
        <v>3242</v>
      </c>
      <c r="E115" t="s">
        <v>15972</v>
      </c>
      <c r="F115" t="s">
        <v>3592</v>
      </c>
      <c r="G115" t="s">
        <v>3593</v>
      </c>
      <c r="H115" t="s">
        <v>3594</v>
      </c>
      <c r="I115" t="s">
        <v>3324</v>
      </c>
    </row>
    <row r="116" spans="1:9" x14ac:dyDescent="0.25">
      <c r="A116" t="s">
        <v>3595</v>
      </c>
      <c r="B116" t="s">
        <v>3595</v>
      </c>
      <c r="C116" t="s">
        <v>3596</v>
      </c>
      <c r="D116" t="s">
        <v>3242</v>
      </c>
      <c r="E116" t="s">
        <v>15710</v>
      </c>
      <c r="F116" t="s">
        <v>3243</v>
      </c>
      <c r="G116" t="s">
        <v>3597</v>
      </c>
      <c r="H116" t="s">
        <v>3248</v>
      </c>
      <c r="I116" t="s">
        <v>3263</v>
      </c>
    </row>
    <row r="117" spans="1:9" x14ac:dyDescent="0.25">
      <c r="A117" t="s">
        <v>3598</v>
      </c>
      <c r="B117" t="s">
        <v>3598</v>
      </c>
      <c r="C117" t="s">
        <v>3599</v>
      </c>
      <c r="D117" t="s">
        <v>3242</v>
      </c>
      <c r="E117" t="s">
        <v>15710</v>
      </c>
      <c r="F117" t="s">
        <v>3251</v>
      </c>
      <c r="G117" t="s">
        <v>3600</v>
      </c>
      <c r="H117" t="s">
        <v>3601</v>
      </c>
      <c r="I117" t="s">
        <v>3407</v>
      </c>
    </row>
    <row r="118" spans="1:9" x14ac:dyDescent="0.25">
      <c r="A118" t="s">
        <v>3602</v>
      </c>
      <c r="B118" t="s">
        <v>3602</v>
      </c>
      <c r="C118" t="s">
        <v>3603</v>
      </c>
      <c r="D118" t="s">
        <v>3242</v>
      </c>
      <c r="E118" t="s">
        <v>15710</v>
      </c>
      <c r="F118" t="s">
        <v>3243</v>
      </c>
      <c r="G118" t="s">
        <v>3604</v>
      </c>
      <c r="H118" t="s">
        <v>3402</v>
      </c>
    </row>
    <row r="119" spans="1:9" x14ac:dyDescent="0.25">
      <c r="A119" t="s">
        <v>3605</v>
      </c>
      <c r="B119" t="s">
        <v>3605</v>
      </c>
      <c r="C119" t="s">
        <v>3606</v>
      </c>
      <c r="D119" t="s">
        <v>3242</v>
      </c>
      <c r="E119" t="s">
        <v>15710</v>
      </c>
      <c r="F119" t="s">
        <v>3607</v>
      </c>
      <c r="G119" t="s">
        <v>3608</v>
      </c>
      <c r="H119" t="s">
        <v>3609</v>
      </c>
      <c r="I119" t="s">
        <v>3263</v>
      </c>
    </row>
    <row r="120" spans="1:9" x14ac:dyDescent="0.25">
      <c r="A120" t="s">
        <v>3610</v>
      </c>
      <c r="B120" t="s">
        <v>3610</v>
      </c>
      <c r="C120" t="s">
        <v>3611</v>
      </c>
      <c r="D120" t="s">
        <v>3242</v>
      </c>
      <c r="E120" t="s">
        <v>17145</v>
      </c>
      <c r="F120" t="s">
        <v>3612</v>
      </c>
      <c r="G120" t="s">
        <v>3613</v>
      </c>
      <c r="H120" t="s">
        <v>3614</v>
      </c>
      <c r="I120" t="s">
        <v>3263</v>
      </c>
    </row>
    <row r="121" spans="1:9" x14ac:dyDescent="0.25">
      <c r="A121" t="s">
        <v>3615</v>
      </c>
      <c r="B121" t="s">
        <v>3615</v>
      </c>
      <c r="C121" t="s">
        <v>3616</v>
      </c>
      <c r="D121" t="s">
        <v>3242</v>
      </c>
      <c r="E121" t="s">
        <v>15710</v>
      </c>
      <c r="F121" t="s">
        <v>3288</v>
      </c>
      <c r="G121" t="s">
        <v>3617</v>
      </c>
      <c r="H121" t="s">
        <v>3618</v>
      </c>
    </row>
    <row r="122" spans="1:9" x14ac:dyDescent="0.25">
      <c r="A122" t="s">
        <v>14861</v>
      </c>
      <c r="B122" t="s">
        <v>14861</v>
      </c>
      <c r="C122" t="s">
        <v>14862</v>
      </c>
      <c r="D122" t="s">
        <v>3242</v>
      </c>
      <c r="E122" t="s">
        <v>15710</v>
      </c>
      <c r="F122" t="s">
        <v>3288</v>
      </c>
      <c r="G122" t="s">
        <v>14863</v>
      </c>
      <c r="H122" t="s">
        <v>3285</v>
      </c>
    </row>
    <row r="123" spans="1:9" x14ac:dyDescent="0.25">
      <c r="A123" t="s">
        <v>3619</v>
      </c>
      <c r="B123" t="s">
        <v>3620</v>
      </c>
      <c r="C123" t="s">
        <v>3621</v>
      </c>
      <c r="D123" t="s">
        <v>3242</v>
      </c>
      <c r="E123" t="s">
        <v>15710</v>
      </c>
      <c r="F123" t="s">
        <v>3345</v>
      </c>
      <c r="G123" t="s">
        <v>3622</v>
      </c>
      <c r="H123" t="s">
        <v>3623</v>
      </c>
    </row>
    <row r="124" spans="1:9" x14ac:dyDescent="0.25">
      <c r="A124" t="s">
        <v>3624</v>
      </c>
      <c r="B124" t="s">
        <v>3624</v>
      </c>
      <c r="C124" t="s">
        <v>3625</v>
      </c>
      <c r="D124" t="s">
        <v>3242</v>
      </c>
      <c r="E124" t="s">
        <v>15723</v>
      </c>
      <c r="F124" t="s">
        <v>3251</v>
      </c>
      <c r="G124" t="s">
        <v>3626</v>
      </c>
      <c r="H124" t="s">
        <v>3290</v>
      </c>
      <c r="I124" t="s">
        <v>3451</v>
      </c>
    </row>
    <row r="125" spans="1:9" x14ac:dyDescent="0.25">
      <c r="A125" t="s">
        <v>14864</v>
      </c>
      <c r="B125" t="s">
        <v>14864</v>
      </c>
      <c r="C125" t="s">
        <v>14865</v>
      </c>
      <c r="D125" t="s">
        <v>3242</v>
      </c>
      <c r="E125" t="s">
        <v>15710</v>
      </c>
      <c r="F125" t="s">
        <v>14866</v>
      </c>
      <c r="G125" t="s">
        <v>14867</v>
      </c>
      <c r="H125" t="s">
        <v>3290</v>
      </c>
      <c r="I125" t="s">
        <v>3407</v>
      </c>
    </row>
    <row r="126" spans="1:9" x14ac:dyDescent="0.25">
      <c r="A126" t="s">
        <v>3627</v>
      </c>
      <c r="B126" t="s">
        <v>3627</v>
      </c>
      <c r="C126" t="s">
        <v>3628</v>
      </c>
      <c r="D126" t="s">
        <v>3242</v>
      </c>
      <c r="E126" t="s">
        <v>15710</v>
      </c>
      <c r="F126" t="s">
        <v>3243</v>
      </c>
      <c r="G126" t="s">
        <v>3629</v>
      </c>
      <c r="H126" t="s">
        <v>3402</v>
      </c>
    </row>
    <row r="127" spans="1:9" x14ac:dyDescent="0.25">
      <c r="A127" t="s">
        <v>3630</v>
      </c>
      <c r="B127" t="s">
        <v>3630</v>
      </c>
      <c r="C127" t="s">
        <v>3631</v>
      </c>
      <c r="D127" t="s">
        <v>3242</v>
      </c>
      <c r="E127" t="s">
        <v>15710</v>
      </c>
      <c r="F127" t="s">
        <v>3372</v>
      </c>
      <c r="G127" t="s">
        <v>14868</v>
      </c>
      <c r="H127" t="s">
        <v>10553</v>
      </c>
      <c r="I127" t="s">
        <v>3375</v>
      </c>
    </row>
    <row r="128" spans="1:9" x14ac:dyDescent="0.25">
      <c r="A128" t="s">
        <v>3632</v>
      </c>
      <c r="B128" t="s">
        <v>3632</v>
      </c>
      <c r="C128" t="s">
        <v>3633</v>
      </c>
      <c r="D128" t="s">
        <v>3242</v>
      </c>
      <c r="E128" t="s">
        <v>15710</v>
      </c>
      <c r="F128" t="s">
        <v>3634</v>
      </c>
      <c r="G128" t="s">
        <v>3635</v>
      </c>
      <c r="H128" t="s">
        <v>3636</v>
      </c>
    </row>
    <row r="129" spans="1:9" x14ac:dyDescent="0.25">
      <c r="A129" t="s">
        <v>3637</v>
      </c>
      <c r="B129" t="s">
        <v>3637</v>
      </c>
      <c r="C129" t="s">
        <v>3638</v>
      </c>
      <c r="D129" t="s">
        <v>3242</v>
      </c>
      <c r="E129" t="s">
        <v>15796</v>
      </c>
      <c r="F129" t="s">
        <v>3257</v>
      </c>
      <c r="G129" t="s">
        <v>3639</v>
      </c>
      <c r="H129" t="s">
        <v>3357</v>
      </c>
      <c r="I129" t="s">
        <v>3366</v>
      </c>
    </row>
    <row r="130" spans="1:9" x14ac:dyDescent="0.25">
      <c r="A130" t="s">
        <v>3640</v>
      </c>
      <c r="B130" t="s">
        <v>3640</v>
      </c>
      <c r="C130" t="s">
        <v>3641</v>
      </c>
      <c r="D130" t="s">
        <v>3242</v>
      </c>
      <c r="E130" t="s">
        <v>16601</v>
      </c>
      <c r="F130" t="s">
        <v>3257</v>
      </c>
      <c r="G130" t="s">
        <v>3642</v>
      </c>
      <c r="H130" t="s">
        <v>3643</v>
      </c>
      <c r="I130" t="s">
        <v>3366</v>
      </c>
    </row>
    <row r="131" spans="1:9" x14ac:dyDescent="0.25">
      <c r="A131" t="s">
        <v>3644</v>
      </c>
      <c r="B131" t="s">
        <v>3644</v>
      </c>
      <c r="C131" t="s">
        <v>3645</v>
      </c>
      <c r="D131" t="s">
        <v>3242</v>
      </c>
      <c r="E131" t="s">
        <v>15767</v>
      </c>
      <c r="F131" t="s">
        <v>3515</v>
      </c>
      <c r="G131" t="s">
        <v>3646</v>
      </c>
      <c r="H131" t="s">
        <v>3647</v>
      </c>
      <c r="I131" t="s">
        <v>3648</v>
      </c>
    </row>
    <row r="132" spans="1:9" x14ac:dyDescent="0.25">
      <c r="A132" t="s">
        <v>3649</v>
      </c>
      <c r="B132" t="s">
        <v>3649</v>
      </c>
      <c r="C132" t="s">
        <v>3650</v>
      </c>
      <c r="D132" t="s">
        <v>3242</v>
      </c>
      <c r="E132" t="s">
        <v>15710</v>
      </c>
      <c r="F132" t="s">
        <v>3300</v>
      </c>
      <c r="G132" t="s">
        <v>3651</v>
      </c>
      <c r="H132" t="s">
        <v>3323</v>
      </c>
      <c r="I132" t="s">
        <v>3366</v>
      </c>
    </row>
    <row r="133" spans="1:9" x14ac:dyDescent="0.25">
      <c r="A133" t="s">
        <v>3652</v>
      </c>
      <c r="B133" t="s">
        <v>3652</v>
      </c>
      <c r="C133" t="s">
        <v>3653</v>
      </c>
      <c r="D133" t="s">
        <v>3242</v>
      </c>
      <c r="E133" t="s">
        <v>15710</v>
      </c>
      <c r="F133" t="s">
        <v>3243</v>
      </c>
      <c r="G133" t="s">
        <v>3654</v>
      </c>
      <c r="H133" t="s">
        <v>3285</v>
      </c>
    </row>
    <row r="134" spans="1:9" x14ac:dyDescent="0.25">
      <c r="A134" t="s">
        <v>3655</v>
      </c>
      <c r="B134" t="s">
        <v>3655</v>
      </c>
      <c r="C134" t="s">
        <v>3656</v>
      </c>
      <c r="D134" t="s">
        <v>3321</v>
      </c>
      <c r="E134" t="s">
        <v>15710</v>
      </c>
      <c r="F134" t="s">
        <v>3257</v>
      </c>
      <c r="G134" t="s">
        <v>3657</v>
      </c>
      <c r="H134" t="s">
        <v>3658</v>
      </c>
      <c r="I134" t="s">
        <v>3268</v>
      </c>
    </row>
    <row r="135" spans="1:9" x14ac:dyDescent="0.25">
      <c r="A135" t="s">
        <v>16138</v>
      </c>
      <c r="B135" t="s">
        <v>16138</v>
      </c>
      <c r="C135" t="s">
        <v>16139</v>
      </c>
      <c r="D135" t="s">
        <v>3242</v>
      </c>
      <c r="E135" t="s">
        <v>16140</v>
      </c>
      <c r="F135" t="s">
        <v>9030</v>
      </c>
      <c r="G135" t="s">
        <v>16141</v>
      </c>
      <c r="H135" t="s">
        <v>16142</v>
      </c>
    </row>
    <row r="136" spans="1:9" x14ac:dyDescent="0.25">
      <c r="A136" t="s">
        <v>3659</v>
      </c>
      <c r="B136" t="s">
        <v>3659</v>
      </c>
      <c r="C136" t="s">
        <v>3660</v>
      </c>
      <c r="D136" t="s">
        <v>3242</v>
      </c>
      <c r="E136" t="s">
        <v>15710</v>
      </c>
      <c r="F136" t="s">
        <v>3243</v>
      </c>
      <c r="G136" t="s">
        <v>3661</v>
      </c>
      <c r="H136" t="s">
        <v>3290</v>
      </c>
    </row>
    <row r="137" spans="1:9" x14ac:dyDescent="0.25">
      <c r="A137" t="s">
        <v>3662</v>
      </c>
      <c r="B137" t="s">
        <v>3662</v>
      </c>
      <c r="C137" t="s">
        <v>3663</v>
      </c>
      <c r="D137" t="s">
        <v>3242</v>
      </c>
      <c r="E137" t="s">
        <v>15710</v>
      </c>
      <c r="F137" t="s">
        <v>3288</v>
      </c>
      <c r="G137" t="s">
        <v>3664</v>
      </c>
      <c r="H137" t="s">
        <v>3290</v>
      </c>
    </row>
    <row r="138" spans="1:9" x14ac:dyDescent="0.25">
      <c r="A138" t="s">
        <v>3665</v>
      </c>
      <c r="B138" t="s">
        <v>3665</v>
      </c>
      <c r="C138" t="s">
        <v>3666</v>
      </c>
      <c r="D138" t="s">
        <v>3242</v>
      </c>
      <c r="E138" t="s">
        <v>16894</v>
      </c>
      <c r="F138" t="s">
        <v>3243</v>
      </c>
      <c r="G138" t="s">
        <v>3667</v>
      </c>
      <c r="H138" t="s">
        <v>3668</v>
      </c>
    </row>
    <row r="139" spans="1:9" x14ac:dyDescent="0.25">
      <c r="A139" t="s">
        <v>3669</v>
      </c>
      <c r="B139" t="s">
        <v>3669</v>
      </c>
      <c r="C139" t="s">
        <v>3670</v>
      </c>
      <c r="D139" t="s">
        <v>3242</v>
      </c>
      <c r="E139" t="s">
        <v>15710</v>
      </c>
      <c r="F139" t="s">
        <v>3243</v>
      </c>
      <c r="G139" t="s">
        <v>3060</v>
      </c>
      <c r="H139" t="s">
        <v>3290</v>
      </c>
    </row>
    <row r="140" spans="1:9" x14ac:dyDescent="0.25">
      <c r="A140" t="s">
        <v>3671</v>
      </c>
      <c r="B140" t="s">
        <v>3671</v>
      </c>
      <c r="C140" t="s">
        <v>3672</v>
      </c>
      <c r="D140" t="s">
        <v>3242</v>
      </c>
      <c r="E140" t="s">
        <v>15710</v>
      </c>
      <c r="F140" t="s">
        <v>3243</v>
      </c>
      <c r="G140" t="s">
        <v>3673</v>
      </c>
      <c r="H140" t="s">
        <v>3285</v>
      </c>
    </row>
    <row r="141" spans="1:9" x14ac:dyDescent="0.25">
      <c r="A141" t="s">
        <v>14869</v>
      </c>
      <c r="B141" t="s">
        <v>14869</v>
      </c>
      <c r="C141" t="s">
        <v>14870</v>
      </c>
      <c r="D141" t="s">
        <v>3242</v>
      </c>
      <c r="E141" t="s">
        <v>15710</v>
      </c>
      <c r="F141" t="s">
        <v>3243</v>
      </c>
      <c r="G141" t="s">
        <v>14871</v>
      </c>
      <c r="H141" t="s">
        <v>3285</v>
      </c>
    </row>
    <row r="142" spans="1:9" x14ac:dyDescent="0.25">
      <c r="A142" t="s">
        <v>14872</v>
      </c>
      <c r="B142" t="s">
        <v>14872</v>
      </c>
      <c r="C142" t="s">
        <v>14873</v>
      </c>
      <c r="D142" t="s">
        <v>3242</v>
      </c>
      <c r="E142" t="s">
        <v>15710</v>
      </c>
      <c r="F142" t="s">
        <v>3288</v>
      </c>
      <c r="G142" t="s">
        <v>3060</v>
      </c>
      <c r="H142" t="s">
        <v>3285</v>
      </c>
    </row>
    <row r="143" spans="1:9" x14ac:dyDescent="0.25">
      <c r="A143" t="s">
        <v>3674</v>
      </c>
      <c r="B143" t="s">
        <v>3674</v>
      </c>
      <c r="C143" t="s">
        <v>3675</v>
      </c>
      <c r="D143" t="s">
        <v>3242</v>
      </c>
      <c r="E143" t="s">
        <v>15710</v>
      </c>
      <c r="F143" t="s">
        <v>3288</v>
      </c>
      <c r="G143" t="s">
        <v>3676</v>
      </c>
      <c r="H143" t="s">
        <v>3060</v>
      </c>
    </row>
    <row r="144" spans="1:9" x14ac:dyDescent="0.25">
      <c r="A144" t="s">
        <v>3677</v>
      </c>
      <c r="B144" t="s">
        <v>3677</v>
      </c>
      <c r="C144" t="s">
        <v>3678</v>
      </c>
      <c r="D144" t="s">
        <v>3242</v>
      </c>
      <c r="E144" t="s">
        <v>15710</v>
      </c>
      <c r="F144" t="s">
        <v>15712</v>
      </c>
      <c r="G144" t="s">
        <v>3679</v>
      </c>
      <c r="H144" t="s">
        <v>3680</v>
      </c>
    </row>
    <row r="145" spans="1:9" x14ac:dyDescent="0.25">
      <c r="A145" t="s">
        <v>3681</v>
      </c>
      <c r="B145" t="s">
        <v>3681</v>
      </c>
      <c r="C145" t="s">
        <v>3682</v>
      </c>
      <c r="D145" t="s">
        <v>3242</v>
      </c>
      <c r="E145" t="s">
        <v>15710</v>
      </c>
      <c r="F145" t="s">
        <v>3683</v>
      </c>
      <c r="G145" t="s">
        <v>3684</v>
      </c>
      <c r="H145" t="s">
        <v>3421</v>
      </c>
      <c r="I145" t="s">
        <v>3254</v>
      </c>
    </row>
    <row r="146" spans="1:9" x14ac:dyDescent="0.25">
      <c r="A146" t="s">
        <v>3685</v>
      </c>
      <c r="B146" t="s">
        <v>3685</v>
      </c>
      <c r="C146" t="s">
        <v>3686</v>
      </c>
      <c r="D146" t="s">
        <v>3242</v>
      </c>
      <c r="E146" t="s">
        <v>15710</v>
      </c>
      <c r="F146" t="s">
        <v>3243</v>
      </c>
      <c r="G146" t="s">
        <v>3687</v>
      </c>
      <c r="H146" t="s">
        <v>3290</v>
      </c>
    </row>
    <row r="147" spans="1:9" x14ac:dyDescent="0.25">
      <c r="A147" t="s">
        <v>16402</v>
      </c>
      <c r="B147" t="s">
        <v>16402</v>
      </c>
      <c r="C147" t="s">
        <v>16403</v>
      </c>
      <c r="D147" t="s">
        <v>3242</v>
      </c>
      <c r="E147" t="s">
        <v>15710</v>
      </c>
      <c r="F147" t="s">
        <v>3243</v>
      </c>
      <c r="G147" t="s">
        <v>16404</v>
      </c>
      <c r="H147" t="s">
        <v>3285</v>
      </c>
    </row>
    <row r="148" spans="1:9" x14ac:dyDescent="0.25">
      <c r="A148" t="s">
        <v>3688</v>
      </c>
      <c r="B148" t="s">
        <v>3688</v>
      </c>
      <c r="C148" t="s">
        <v>3689</v>
      </c>
      <c r="D148" t="s">
        <v>3242</v>
      </c>
      <c r="E148" t="s">
        <v>13439</v>
      </c>
      <c r="F148" t="s">
        <v>3288</v>
      </c>
      <c r="G148" t="s">
        <v>3690</v>
      </c>
      <c r="H148" t="s">
        <v>3488</v>
      </c>
    </row>
    <row r="149" spans="1:9" x14ac:dyDescent="0.25">
      <c r="A149" t="s">
        <v>3691</v>
      </c>
      <c r="B149" t="s">
        <v>3691</v>
      </c>
      <c r="C149" t="s">
        <v>3692</v>
      </c>
      <c r="D149" t="s">
        <v>3242</v>
      </c>
      <c r="E149" t="s">
        <v>16321</v>
      </c>
      <c r="F149" t="s">
        <v>3251</v>
      </c>
      <c r="G149" t="s">
        <v>3693</v>
      </c>
      <c r="H149" t="s">
        <v>3623</v>
      </c>
      <c r="I149" t="s">
        <v>3694</v>
      </c>
    </row>
    <row r="150" spans="1:9" x14ac:dyDescent="0.25">
      <c r="A150" t="s">
        <v>3695</v>
      </c>
      <c r="B150" t="s">
        <v>3695</v>
      </c>
      <c r="C150" t="s">
        <v>3696</v>
      </c>
      <c r="D150" t="s">
        <v>3242</v>
      </c>
      <c r="E150" t="s">
        <v>15710</v>
      </c>
      <c r="F150" t="s">
        <v>3345</v>
      </c>
      <c r="G150" t="s">
        <v>3697</v>
      </c>
      <c r="H150" t="s">
        <v>3680</v>
      </c>
    </row>
    <row r="151" spans="1:9" x14ac:dyDescent="0.25">
      <c r="A151" t="s">
        <v>14874</v>
      </c>
      <c r="B151" t="s">
        <v>14874</v>
      </c>
      <c r="C151" t="s">
        <v>14875</v>
      </c>
      <c r="D151" t="s">
        <v>3242</v>
      </c>
      <c r="E151" t="s">
        <v>15710</v>
      </c>
      <c r="F151" t="s">
        <v>3288</v>
      </c>
      <c r="G151" t="s">
        <v>3060</v>
      </c>
      <c r="H151" t="s">
        <v>3285</v>
      </c>
    </row>
    <row r="152" spans="1:9" x14ac:dyDescent="0.25">
      <c r="A152" t="s">
        <v>16405</v>
      </c>
      <c r="B152" t="s">
        <v>16405</v>
      </c>
      <c r="C152" t="s">
        <v>16406</v>
      </c>
      <c r="D152" t="s">
        <v>3242</v>
      </c>
      <c r="E152" t="s">
        <v>16407</v>
      </c>
      <c r="F152" t="s">
        <v>3251</v>
      </c>
      <c r="G152" t="s">
        <v>16408</v>
      </c>
      <c r="H152" t="s">
        <v>4019</v>
      </c>
      <c r="I152" t="s">
        <v>4605</v>
      </c>
    </row>
    <row r="153" spans="1:9" x14ac:dyDescent="0.25">
      <c r="A153" t="s">
        <v>3698</v>
      </c>
      <c r="B153" t="s">
        <v>3698</v>
      </c>
      <c r="C153" t="s">
        <v>3699</v>
      </c>
      <c r="D153" t="s">
        <v>3242</v>
      </c>
      <c r="E153" t="s">
        <v>15710</v>
      </c>
      <c r="F153" t="s">
        <v>3243</v>
      </c>
      <c r="G153" t="s">
        <v>3700</v>
      </c>
      <c r="H153" t="s">
        <v>3463</v>
      </c>
    </row>
    <row r="154" spans="1:9" x14ac:dyDescent="0.25">
      <c r="A154" t="s">
        <v>3701</v>
      </c>
      <c r="B154" t="s">
        <v>3701</v>
      </c>
      <c r="C154" t="s">
        <v>3702</v>
      </c>
      <c r="D154" t="s">
        <v>3242</v>
      </c>
      <c r="E154" t="s">
        <v>15710</v>
      </c>
      <c r="F154" t="s">
        <v>3703</v>
      </c>
      <c r="G154" t="s">
        <v>3704</v>
      </c>
      <c r="H154" t="s">
        <v>3680</v>
      </c>
    </row>
    <row r="155" spans="1:9" x14ac:dyDescent="0.25">
      <c r="A155" t="s">
        <v>3705</v>
      </c>
      <c r="B155" t="s">
        <v>3705</v>
      </c>
      <c r="C155" t="s">
        <v>3706</v>
      </c>
      <c r="D155" t="s">
        <v>3242</v>
      </c>
      <c r="E155" t="s">
        <v>15710</v>
      </c>
      <c r="F155" t="s">
        <v>3288</v>
      </c>
      <c r="G155" t="s">
        <v>3707</v>
      </c>
      <c r="H155" t="s">
        <v>3488</v>
      </c>
    </row>
    <row r="156" spans="1:9" x14ac:dyDescent="0.25">
      <c r="A156" t="s">
        <v>3708</v>
      </c>
      <c r="B156" t="s">
        <v>3708</v>
      </c>
      <c r="C156" t="s">
        <v>3709</v>
      </c>
      <c r="D156" t="s">
        <v>3242</v>
      </c>
      <c r="E156" t="s">
        <v>15710</v>
      </c>
      <c r="F156" t="s">
        <v>3345</v>
      </c>
      <c r="G156" t="s">
        <v>3710</v>
      </c>
      <c r="H156" t="s">
        <v>3680</v>
      </c>
    </row>
    <row r="157" spans="1:9" x14ac:dyDescent="0.25">
      <c r="A157" t="s">
        <v>3711</v>
      </c>
      <c r="B157" t="s">
        <v>3711</v>
      </c>
      <c r="C157" t="s">
        <v>3712</v>
      </c>
      <c r="D157" t="s">
        <v>3242</v>
      </c>
      <c r="E157" t="s">
        <v>15710</v>
      </c>
      <c r="F157" t="s">
        <v>3288</v>
      </c>
      <c r="G157" t="s">
        <v>3713</v>
      </c>
      <c r="H157" t="s">
        <v>3680</v>
      </c>
    </row>
    <row r="158" spans="1:9" x14ac:dyDescent="0.25">
      <c r="A158" t="s">
        <v>3714</v>
      </c>
      <c r="B158" t="s">
        <v>3714</v>
      </c>
      <c r="C158" t="s">
        <v>3715</v>
      </c>
      <c r="D158" t="s">
        <v>3242</v>
      </c>
      <c r="E158" t="s">
        <v>15710</v>
      </c>
      <c r="F158" t="s">
        <v>3243</v>
      </c>
      <c r="G158" t="s">
        <v>3716</v>
      </c>
      <c r="H158" t="s">
        <v>3285</v>
      </c>
    </row>
    <row r="159" spans="1:9" x14ac:dyDescent="0.25">
      <c r="A159" t="s">
        <v>3717</v>
      </c>
      <c r="B159" t="s">
        <v>3717</v>
      </c>
      <c r="C159" t="s">
        <v>3718</v>
      </c>
      <c r="D159" t="s">
        <v>3242</v>
      </c>
      <c r="E159" t="s">
        <v>15710</v>
      </c>
      <c r="F159" t="s">
        <v>3345</v>
      </c>
      <c r="G159" t="s">
        <v>3719</v>
      </c>
      <c r="H159" t="s">
        <v>3463</v>
      </c>
    </row>
    <row r="160" spans="1:9" x14ac:dyDescent="0.25">
      <c r="A160" t="s">
        <v>3720</v>
      </c>
      <c r="B160" t="s">
        <v>3720</v>
      </c>
      <c r="C160" t="s">
        <v>3721</v>
      </c>
      <c r="D160" t="s">
        <v>3242</v>
      </c>
      <c r="E160" t="s">
        <v>15710</v>
      </c>
      <c r="F160" t="s">
        <v>3243</v>
      </c>
      <c r="G160" t="s">
        <v>3722</v>
      </c>
      <c r="H160" t="s">
        <v>3290</v>
      </c>
    </row>
    <row r="161" spans="1:9" x14ac:dyDescent="0.25">
      <c r="A161" t="s">
        <v>3723</v>
      </c>
      <c r="B161" t="s">
        <v>3723</v>
      </c>
      <c r="C161" t="s">
        <v>3724</v>
      </c>
      <c r="D161" t="s">
        <v>3242</v>
      </c>
      <c r="E161" t="s">
        <v>15710</v>
      </c>
      <c r="F161" t="s">
        <v>3288</v>
      </c>
      <c r="G161" t="s">
        <v>3725</v>
      </c>
      <c r="H161" t="s">
        <v>3726</v>
      </c>
    </row>
    <row r="162" spans="1:9" x14ac:dyDescent="0.25">
      <c r="A162" t="s">
        <v>3727</v>
      </c>
      <c r="B162" t="s">
        <v>3727</v>
      </c>
      <c r="C162" t="s">
        <v>3728</v>
      </c>
      <c r="D162" t="s">
        <v>3242</v>
      </c>
      <c r="E162" t="s">
        <v>15710</v>
      </c>
      <c r="F162" t="s">
        <v>3306</v>
      </c>
      <c r="G162" t="s">
        <v>3729</v>
      </c>
      <c r="H162" t="s">
        <v>3060</v>
      </c>
      <c r="I162" t="s">
        <v>3254</v>
      </c>
    </row>
    <row r="163" spans="1:9" x14ac:dyDescent="0.25">
      <c r="A163" t="s">
        <v>3730</v>
      </c>
      <c r="B163" t="s">
        <v>3730</v>
      </c>
      <c r="C163" t="s">
        <v>3731</v>
      </c>
      <c r="D163" t="s">
        <v>3242</v>
      </c>
      <c r="E163" t="s">
        <v>15710</v>
      </c>
      <c r="F163" t="s">
        <v>3288</v>
      </c>
      <c r="G163" t="s">
        <v>3060</v>
      </c>
      <c r="H163" t="s">
        <v>3285</v>
      </c>
    </row>
    <row r="164" spans="1:9" x14ac:dyDescent="0.25">
      <c r="A164" t="s">
        <v>3732</v>
      </c>
      <c r="B164" t="s">
        <v>3732</v>
      </c>
      <c r="C164" t="s">
        <v>3733</v>
      </c>
      <c r="D164" t="s">
        <v>3242</v>
      </c>
      <c r="E164" t="s">
        <v>15710</v>
      </c>
      <c r="F164" t="s">
        <v>3283</v>
      </c>
      <c r="G164" t="s">
        <v>3734</v>
      </c>
      <c r="H164" t="s">
        <v>3060</v>
      </c>
    </row>
    <row r="165" spans="1:9" x14ac:dyDescent="0.25">
      <c r="A165" t="s">
        <v>16022</v>
      </c>
      <c r="B165" t="s">
        <v>16022</v>
      </c>
      <c r="C165" t="s">
        <v>16023</v>
      </c>
      <c r="D165" t="s">
        <v>3242</v>
      </c>
      <c r="E165" t="s">
        <v>16024</v>
      </c>
      <c r="F165" t="s">
        <v>3243</v>
      </c>
      <c r="G165" t="s">
        <v>16025</v>
      </c>
      <c r="H165" t="s">
        <v>4045</v>
      </c>
    </row>
    <row r="166" spans="1:9" x14ac:dyDescent="0.25">
      <c r="A166" t="s">
        <v>3735</v>
      </c>
      <c r="B166" t="s">
        <v>3735</v>
      </c>
      <c r="C166" t="s">
        <v>3736</v>
      </c>
      <c r="D166" t="s">
        <v>3242</v>
      </c>
      <c r="E166" t="s">
        <v>15710</v>
      </c>
      <c r="F166" t="s">
        <v>3288</v>
      </c>
      <c r="G166" t="s">
        <v>3737</v>
      </c>
      <c r="H166" t="s">
        <v>3361</v>
      </c>
    </row>
    <row r="167" spans="1:9" x14ac:dyDescent="0.25">
      <c r="A167" t="s">
        <v>3738</v>
      </c>
      <c r="B167" t="s">
        <v>3738</v>
      </c>
      <c r="C167" t="s">
        <v>3739</v>
      </c>
      <c r="D167" t="s">
        <v>3242</v>
      </c>
      <c r="E167" t="s">
        <v>15710</v>
      </c>
      <c r="F167" t="s">
        <v>3288</v>
      </c>
      <c r="G167" t="s">
        <v>3740</v>
      </c>
      <c r="H167" t="s">
        <v>3285</v>
      </c>
    </row>
    <row r="168" spans="1:9" x14ac:dyDescent="0.25">
      <c r="A168" t="s">
        <v>3741</v>
      </c>
      <c r="B168" t="s">
        <v>3741</v>
      </c>
      <c r="C168" t="s">
        <v>3742</v>
      </c>
      <c r="D168" t="s">
        <v>3242</v>
      </c>
      <c r="E168" t="s">
        <v>15710</v>
      </c>
      <c r="F168" t="s">
        <v>3288</v>
      </c>
      <c r="G168" t="s">
        <v>3743</v>
      </c>
      <c r="H168" t="s">
        <v>3744</v>
      </c>
    </row>
    <row r="169" spans="1:9" x14ac:dyDescent="0.25">
      <c r="A169" t="s">
        <v>3745</v>
      </c>
      <c r="B169" t="s">
        <v>3745</v>
      </c>
      <c r="C169" t="s">
        <v>3746</v>
      </c>
      <c r="D169" t="s">
        <v>3242</v>
      </c>
      <c r="E169" t="s">
        <v>15710</v>
      </c>
      <c r="F169" t="s">
        <v>3747</v>
      </c>
      <c r="G169" t="s">
        <v>3748</v>
      </c>
      <c r="H169" t="s">
        <v>3749</v>
      </c>
    </row>
    <row r="170" spans="1:9" x14ac:dyDescent="0.25">
      <c r="A170" t="s">
        <v>3750</v>
      </c>
      <c r="B170" t="s">
        <v>3750</v>
      </c>
      <c r="C170" t="s">
        <v>3751</v>
      </c>
      <c r="D170" t="s">
        <v>3242</v>
      </c>
      <c r="E170" t="s">
        <v>15710</v>
      </c>
      <c r="F170" t="s">
        <v>3251</v>
      </c>
      <c r="G170" t="s">
        <v>3752</v>
      </c>
      <c r="H170" t="s">
        <v>3749</v>
      </c>
    </row>
    <row r="171" spans="1:9" x14ac:dyDescent="0.25">
      <c r="A171" t="s">
        <v>3753</v>
      </c>
      <c r="B171" t="s">
        <v>3753</v>
      </c>
      <c r="C171" t="s">
        <v>3754</v>
      </c>
      <c r="D171" t="s">
        <v>3242</v>
      </c>
      <c r="E171" t="s">
        <v>15710</v>
      </c>
      <c r="F171" t="s">
        <v>3288</v>
      </c>
      <c r="G171" t="s">
        <v>3755</v>
      </c>
      <c r="H171" t="s">
        <v>3361</v>
      </c>
    </row>
    <row r="172" spans="1:9" x14ac:dyDescent="0.25">
      <c r="A172" t="s">
        <v>3756</v>
      </c>
      <c r="B172" t="s">
        <v>3756</v>
      </c>
      <c r="C172" t="s">
        <v>3757</v>
      </c>
      <c r="D172" t="s">
        <v>3242</v>
      </c>
      <c r="E172" t="s">
        <v>15725</v>
      </c>
      <c r="F172" t="s">
        <v>3243</v>
      </c>
      <c r="G172" t="s">
        <v>3243</v>
      </c>
      <c r="H172" t="s">
        <v>3290</v>
      </c>
    </row>
    <row r="173" spans="1:9" x14ac:dyDescent="0.25">
      <c r="A173" t="s">
        <v>3758</v>
      </c>
      <c r="B173" t="s">
        <v>3758</v>
      </c>
      <c r="C173" t="s">
        <v>3759</v>
      </c>
      <c r="D173" t="s">
        <v>3242</v>
      </c>
      <c r="E173" t="s">
        <v>15710</v>
      </c>
      <c r="F173" t="s">
        <v>3760</v>
      </c>
      <c r="G173" t="s">
        <v>3761</v>
      </c>
      <c r="H173" t="s">
        <v>3060</v>
      </c>
      <c r="I173" t="s">
        <v>3694</v>
      </c>
    </row>
    <row r="174" spans="1:9" x14ac:dyDescent="0.25">
      <c r="A174" t="s">
        <v>3762</v>
      </c>
      <c r="B174" t="s">
        <v>3762</v>
      </c>
      <c r="C174" t="s">
        <v>3763</v>
      </c>
      <c r="D174" t="s">
        <v>3242</v>
      </c>
      <c r="E174" t="s">
        <v>15710</v>
      </c>
      <c r="F174" t="s">
        <v>3243</v>
      </c>
      <c r="G174" t="s">
        <v>3764</v>
      </c>
      <c r="H174" t="s">
        <v>3290</v>
      </c>
    </row>
    <row r="175" spans="1:9" x14ac:dyDescent="0.25">
      <c r="A175" t="s">
        <v>3765</v>
      </c>
      <c r="B175" t="s">
        <v>3765</v>
      </c>
      <c r="C175" t="s">
        <v>3766</v>
      </c>
      <c r="D175" t="s">
        <v>3242</v>
      </c>
      <c r="E175" t="s">
        <v>15710</v>
      </c>
      <c r="F175" t="s">
        <v>3345</v>
      </c>
      <c r="G175" t="s">
        <v>3767</v>
      </c>
      <c r="H175" t="s">
        <v>3488</v>
      </c>
    </row>
    <row r="176" spans="1:9" x14ac:dyDescent="0.25">
      <c r="A176" t="s">
        <v>16143</v>
      </c>
      <c r="B176" t="s">
        <v>16143</v>
      </c>
      <c r="C176" t="s">
        <v>16144</v>
      </c>
      <c r="D176" t="s">
        <v>3242</v>
      </c>
      <c r="E176" t="s">
        <v>15710</v>
      </c>
      <c r="F176" t="s">
        <v>3288</v>
      </c>
      <c r="G176" t="s">
        <v>3060</v>
      </c>
      <c r="H176" t="s">
        <v>3285</v>
      </c>
    </row>
    <row r="177" spans="1:8" x14ac:dyDescent="0.25">
      <c r="A177" t="s">
        <v>16145</v>
      </c>
      <c r="B177" t="s">
        <v>16145</v>
      </c>
      <c r="C177" t="s">
        <v>16146</v>
      </c>
      <c r="D177" t="s">
        <v>3242</v>
      </c>
      <c r="E177" t="s">
        <v>15710</v>
      </c>
      <c r="F177" t="s">
        <v>3345</v>
      </c>
      <c r="G177" t="s">
        <v>16147</v>
      </c>
      <c r="H177" t="s">
        <v>3680</v>
      </c>
    </row>
    <row r="178" spans="1:8" x14ac:dyDescent="0.25">
      <c r="A178" t="s">
        <v>3768</v>
      </c>
      <c r="B178" t="s">
        <v>3768</v>
      </c>
      <c r="C178" t="s">
        <v>3769</v>
      </c>
      <c r="D178" t="s">
        <v>3242</v>
      </c>
      <c r="E178" t="s">
        <v>15710</v>
      </c>
      <c r="F178" t="s">
        <v>3288</v>
      </c>
      <c r="G178" t="s">
        <v>3770</v>
      </c>
      <c r="H178" t="s">
        <v>3771</v>
      </c>
    </row>
    <row r="179" spans="1:8" x14ac:dyDescent="0.25">
      <c r="A179" t="s">
        <v>14876</v>
      </c>
      <c r="B179" t="s">
        <v>14876</v>
      </c>
      <c r="C179" t="s">
        <v>14877</v>
      </c>
      <c r="D179" t="s">
        <v>3242</v>
      </c>
      <c r="E179" t="s">
        <v>15710</v>
      </c>
      <c r="F179" t="s">
        <v>3243</v>
      </c>
      <c r="G179" t="s">
        <v>14878</v>
      </c>
      <c r="H179" t="s">
        <v>3463</v>
      </c>
    </row>
    <row r="180" spans="1:8" x14ac:dyDescent="0.25">
      <c r="A180" t="s">
        <v>3772</v>
      </c>
      <c r="B180" t="s">
        <v>3772</v>
      </c>
      <c r="C180" t="s">
        <v>3773</v>
      </c>
      <c r="D180" t="s">
        <v>3242</v>
      </c>
      <c r="E180" t="s">
        <v>15710</v>
      </c>
      <c r="F180" t="s">
        <v>3288</v>
      </c>
      <c r="G180" t="s">
        <v>3774</v>
      </c>
      <c r="H180" t="s">
        <v>3290</v>
      </c>
    </row>
    <row r="181" spans="1:8" x14ac:dyDescent="0.25">
      <c r="A181" t="s">
        <v>14879</v>
      </c>
      <c r="B181" t="s">
        <v>14879</v>
      </c>
      <c r="C181" t="s">
        <v>14880</v>
      </c>
      <c r="D181" t="s">
        <v>3242</v>
      </c>
      <c r="E181" t="s">
        <v>15710</v>
      </c>
      <c r="F181" t="s">
        <v>3288</v>
      </c>
      <c r="G181" t="s">
        <v>3060</v>
      </c>
      <c r="H181" t="s">
        <v>3680</v>
      </c>
    </row>
    <row r="182" spans="1:8" x14ac:dyDescent="0.25">
      <c r="A182" t="s">
        <v>3775</v>
      </c>
      <c r="B182" t="s">
        <v>3775</v>
      </c>
      <c r="C182" t="s">
        <v>3776</v>
      </c>
      <c r="D182" t="s">
        <v>3242</v>
      </c>
      <c r="E182" t="s">
        <v>15710</v>
      </c>
      <c r="F182" t="s">
        <v>3243</v>
      </c>
      <c r="G182" t="s">
        <v>3777</v>
      </c>
      <c r="H182" t="s">
        <v>3290</v>
      </c>
    </row>
    <row r="183" spans="1:8" x14ac:dyDescent="0.25">
      <c r="A183" t="s">
        <v>3778</v>
      </c>
      <c r="B183" t="s">
        <v>3778</v>
      </c>
      <c r="C183" t="s">
        <v>3779</v>
      </c>
      <c r="D183" t="s">
        <v>3242</v>
      </c>
      <c r="E183" t="s">
        <v>15710</v>
      </c>
      <c r="F183" t="s">
        <v>3243</v>
      </c>
      <c r="G183" t="s">
        <v>3780</v>
      </c>
      <c r="H183" t="s">
        <v>3680</v>
      </c>
    </row>
    <row r="184" spans="1:8" x14ac:dyDescent="0.25">
      <c r="A184" t="s">
        <v>3781</v>
      </c>
      <c r="B184" t="s">
        <v>3781</v>
      </c>
      <c r="C184" t="s">
        <v>3782</v>
      </c>
      <c r="D184" t="s">
        <v>3242</v>
      </c>
      <c r="E184" t="s">
        <v>15710</v>
      </c>
      <c r="F184" t="s">
        <v>3243</v>
      </c>
      <c r="G184" t="s">
        <v>3783</v>
      </c>
      <c r="H184" t="s">
        <v>3290</v>
      </c>
    </row>
    <row r="185" spans="1:8" x14ac:dyDescent="0.25">
      <c r="A185" t="s">
        <v>3784</v>
      </c>
      <c r="B185" t="s">
        <v>3784</v>
      </c>
      <c r="C185" t="s">
        <v>3785</v>
      </c>
      <c r="D185" t="s">
        <v>3242</v>
      </c>
      <c r="E185" t="s">
        <v>15710</v>
      </c>
      <c r="F185" t="s">
        <v>3288</v>
      </c>
      <c r="G185" t="s">
        <v>3786</v>
      </c>
      <c r="H185" t="s">
        <v>3285</v>
      </c>
    </row>
    <row r="186" spans="1:8" x14ac:dyDescent="0.25">
      <c r="A186" t="s">
        <v>3787</v>
      </c>
      <c r="B186" t="s">
        <v>3787</v>
      </c>
      <c r="C186" t="s">
        <v>3788</v>
      </c>
      <c r="D186" t="s">
        <v>3242</v>
      </c>
      <c r="E186" t="s">
        <v>15710</v>
      </c>
      <c r="F186" t="s">
        <v>3288</v>
      </c>
      <c r="G186" t="s">
        <v>3789</v>
      </c>
      <c r="H186" t="s">
        <v>3290</v>
      </c>
    </row>
    <row r="187" spans="1:8" x14ac:dyDescent="0.25">
      <c r="A187" t="s">
        <v>3790</v>
      </c>
      <c r="B187" t="s">
        <v>3790</v>
      </c>
      <c r="C187" t="s">
        <v>3791</v>
      </c>
      <c r="D187" t="s">
        <v>3242</v>
      </c>
      <c r="E187" t="s">
        <v>15710</v>
      </c>
      <c r="F187" t="s">
        <v>3288</v>
      </c>
      <c r="G187" t="s">
        <v>3562</v>
      </c>
      <c r="H187" t="s">
        <v>3060</v>
      </c>
    </row>
    <row r="188" spans="1:8" x14ac:dyDescent="0.25">
      <c r="A188" t="s">
        <v>3792</v>
      </c>
      <c r="B188" t="s">
        <v>3792</v>
      </c>
      <c r="C188" t="s">
        <v>3793</v>
      </c>
      <c r="D188" t="s">
        <v>3242</v>
      </c>
      <c r="E188" t="s">
        <v>15710</v>
      </c>
      <c r="F188" t="s">
        <v>3288</v>
      </c>
      <c r="G188" t="s">
        <v>3794</v>
      </c>
      <c r="H188" t="s">
        <v>3680</v>
      </c>
    </row>
    <row r="189" spans="1:8" x14ac:dyDescent="0.25">
      <c r="A189" t="s">
        <v>3795</v>
      </c>
      <c r="B189" t="s">
        <v>3795</v>
      </c>
      <c r="C189" t="s">
        <v>3796</v>
      </c>
      <c r="D189" t="s">
        <v>3242</v>
      </c>
      <c r="E189" t="s">
        <v>15710</v>
      </c>
      <c r="F189" t="s">
        <v>3345</v>
      </c>
      <c r="G189" t="s">
        <v>3797</v>
      </c>
      <c r="H189" t="s">
        <v>3290</v>
      </c>
    </row>
    <row r="190" spans="1:8" x14ac:dyDescent="0.25">
      <c r="A190" t="s">
        <v>14881</v>
      </c>
      <c r="B190" t="s">
        <v>14881</v>
      </c>
      <c r="C190" t="s">
        <v>14882</v>
      </c>
      <c r="D190" t="s">
        <v>3242</v>
      </c>
      <c r="E190" t="s">
        <v>15710</v>
      </c>
      <c r="F190" t="s">
        <v>3243</v>
      </c>
      <c r="G190" t="s">
        <v>14883</v>
      </c>
      <c r="H190" t="s">
        <v>3060</v>
      </c>
    </row>
    <row r="191" spans="1:8" x14ac:dyDescent="0.25">
      <c r="A191" t="s">
        <v>3798</v>
      </c>
      <c r="B191" t="s">
        <v>3798</v>
      </c>
      <c r="C191" t="s">
        <v>3799</v>
      </c>
      <c r="D191" t="s">
        <v>3242</v>
      </c>
      <c r="E191" t="s">
        <v>15710</v>
      </c>
      <c r="F191" t="s">
        <v>3257</v>
      </c>
      <c r="G191" t="s">
        <v>3800</v>
      </c>
      <c r="H191" t="s">
        <v>3565</v>
      </c>
    </row>
    <row r="192" spans="1:8" x14ac:dyDescent="0.25">
      <c r="A192" t="s">
        <v>3801</v>
      </c>
      <c r="B192" t="s">
        <v>3801</v>
      </c>
      <c r="C192" t="s">
        <v>3802</v>
      </c>
      <c r="D192" t="s">
        <v>3242</v>
      </c>
      <c r="E192" t="s">
        <v>15710</v>
      </c>
      <c r="F192" t="s">
        <v>3288</v>
      </c>
      <c r="G192" t="s">
        <v>3803</v>
      </c>
      <c r="H192" t="s">
        <v>3488</v>
      </c>
    </row>
    <row r="193" spans="1:9" x14ac:dyDescent="0.25">
      <c r="A193" t="s">
        <v>3804</v>
      </c>
      <c r="B193" t="s">
        <v>3804</v>
      </c>
      <c r="C193" t="s">
        <v>3805</v>
      </c>
      <c r="D193" t="s">
        <v>3242</v>
      </c>
      <c r="E193" t="s">
        <v>17537</v>
      </c>
      <c r="F193" t="s">
        <v>3257</v>
      </c>
      <c r="G193" t="s">
        <v>3684</v>
      </c>
      <c r="H193" t="s">
        <v>3421</v>
      </c>
      <c r="I193" t="s">
        <v>3254</v>
      </c>
    </row>
    <row r="194" spans="1:9" x14ac:dyDescent="0.25">
      <c r="A194" t="s">
        <v>3806</v>
      </c>
      <c r="B194" t="s">
        <v>3806</v>
      </c>
      <c r="C194" t="s">
        <v>3807</v>
      </c>
      <c r="D194" t="s">
        <v>3242</v>
      </c>
      <c r="E194" t="s">
        <v>15710</v>
      </c>
      <c r="F194" t="s">
        <v>3345</v>
      </c>
      <c r="G194" t="s">
        <v>3808</v>
      </c>
      <c r="H194" t="s">
        <v>3680</v>
      </c>
    </row>
    <row r="195" spans="1:9" x14ac:dyDescent="0.25">
      <c r="A195" t="s">
        <v>16409</v>
      </c>
      <c r="B195" t="s">
        <v>16409</v>
      </c>
      <c r="C195" t="s">
        <v>16410</v>
      </c>
      <c r="D195" t="s">
        <v>3242</v>
      </c>
      <c r="E195" t="s">
        <v>15710</v>
      </c>
      <c r="F195" t="s">
        <v>3345</v>
      </c>
      <c r="G195" t="s">
        <v>16411</v>
      </c>
      <c r="H195" t="s">
        <v>3488</v>
      </c>
    </row>
    <row r="196" spans="1:9" x14ac:dyDescent="0.25">
      <c r="A196" t="s">
        <v>3809</v>
      </c>
      <c r="B196" t="s">
        <v>3809</v>
      </c>
      <c r="C196" t="s">
        <v>3810</v>
      </c>
      <c r="D196" t="s">
        <v>3242</v>
      </c>
      <c r="E196" t="s">
        <v>15710</v>
      </c>
      <c r="F196" t="s">
        <v>3288</v>
      </c>
      <c r="G196" t="s">
        <v>3060</v>
      </c>
      <c r="H196" t="s">
        <v>3285</v>
      </c>
    </row>
    <row r="197" spans="1:9" x14ac:dyDescent="0.25">
      <c r="A197" t="s">
        <v>3811</v>
      </c>
      <c r="B197" t="s">
        <v>3811</v>
      </c>
      <c r="C197" t="s">
        <v>3812</v>
      </c>
      <c r="D197" t="s">
        <v>3242</v>
      </c>
      <c r="E197" t="s">
        <v>15710</v>
      </c>
      <c r="F197" t="s">
        <v>3288</v>
      </c>
      <c r="G197" t="s">
        <v>3813</v>
      </c>
      <c r="H197" t="s">
        <v>3814</v>
      </c>
    </row>
    <row r="198" spans="1:9" x14ac:dyDescent="0.25">
      <c r="A198" t="s">
        <v>3815</v>
      </c>
      <c r="B198" t="s">
        <v>3815</v>
      </c>
      <c r="C198" t="s">
        <v>3816</v>
      </c>
      <c r="D198" t="s">
        <v>3242</v>
      </c>
      <c r="E198" t="s">
        <v>15710</v>
      </c>
      <c r="F198" t="s">
        <v>15712</v>
      </c>
      <c r="G198" t="s">
        <v>3817</v>
      </c>
      <c r="H198" t="s">
        <v>3290</v>
      </c>
    </row>
    <row r="199" spans="1:9" x14ac:dyDescent="0.25">
      <c r="A199" t="s">
        <v>3818</v>
      </c>
      <c r="B199" t="s">
        <v>3818</v>
      </c>
      <c r="C199" t="s">
        <v>3819</v>
      </c>
      <c r="D199" t="s">
        <v>3242</v>
      </c>
      <c r="E199" t="s">
        <v>15727</v>
      </c>
      <c r="F199" t="s">
        <v>3243</v>
      </c>
      <c r="G199" t="s">
        <v>3820</v>
      </c>
      <c r="H199" t="s">
        <v>3290</v>
      </c>
    </row>
    <row r="200" spans="1:9" x14ac:dyDescent="0.25">
      <c r="A200" t="s">
        <v>3821</v>
      </c>
      <c r="B200" t="s">
        <v>3821</v>
      </c>
      <c r="C200" t="s">
        <v>3822</v>
      </c>
      <c r="D200" t="s">
        <v>3242</v>
      </c>
      <c r="E200" t="s">
        <v>15710</v>
      </c>
      <c r="F200" t="s">
        <v>3288</v>
      </c>
      <c r="G200" t="s">
        <v>3823</v>
      </c>
      <c r="H200" t="s">
        <v>3463</v>
      </c>
    </row>
    <row r="201" spans="1:9" x14ac:dyDescent="0.25">
      <c r="A201" t="s">
        <v>16412</v>
      </c>
      <c r="B201" t="s">
        <v>16412</v>
      </c>
      <c r="C201" t="s">
        <v>16413</v>
      </c>
      <c r="D201" t="s">
        <v>3242</v>
      </c>
      <c r="E201" t="s">
        <v>15745</v>
      </c>
      <c r="F201" t="s">
        <v>3251</v>
      </c>
      <c r="G201" t="s">
        <v>16414</v>
      </c>
      <c r="H201" t="s">
        <v>3060</v>
      </c>
      <c r="I201" t="s">
        <v>5390</v>
      </c>
    </row>
    <row r="202" spans="1:9" x14ac:dyDescent="0.25">
      <c r="A202" t="s">
        <v>3824</v>
      </c>
      <c r="B202" t="s">
        <v>3824</v>
      </c>
      <c r="C202" t="s">
        <v>3825</v>
      </c>
      <c r="D202" t="s">
        <v>3242</v>
      </c>
      <c r="E202" t="s">
        <v>15710</v>
      </c>
      <c r="F202" t="s">
        <v>3826</v>
      </c>
      <c r="G202" t="s">
        <v>3827</v>
      </c>
      <c r="H202" t="s">
        <v>3290</v>
      </c>
    </row>
    <row r="203" spans="1:9" x14ac:dyDescent="0.25">
      <c r="A203" t="s">
        <v>3828</v>
      </c>
      <c r="B203" t="s">
        <v>3828</v>
      </c>
      <c r="C203" t="s">
        <v>3829</v>
      </c>
      <c r="D203" t="s">
        <v>3242</v>
      </c>
      <c r="E203" t="s">
        <v>15710</v>
      </c>
      <c r="F203" t="s">
        <v>3288</v>
      </c>
      <c r="G203" t="s">
        <v>3830</v>
      </c>
      <c r="H203" t="s">
        <v>3668</v>
      </c>
    </row>
    <row r="204" spans="1:9" x14ac:dyDescent="0.25">
      <c r="A204" t="s">
        <v>3831</v>
      </c>
      <c r="B204" t="s">
        <v>3831</v>
      </c>
      <c r="C204" t="s">
        <v>3832</v>
      </c>
      <c r="D204" t="s">
        <v>3242</v>
      </c>
      <c r="E204" t="s">
        <v>15710</v>
      </c>
      <c r="F204" t="s">
        <v>3288</v>
      </c>
      <c r="G204" t="s">
        <v>3484</v>
      </c>
      <c r="H204" t="s">
        <v>3484</v>
      </c>
    </row>
    <row r="205" spans="1:9" x14ac:dyDescent="0.25">
      <c r="A205" t="s">
        <v>3833</v>
      </c>
      <c r="B205" t="s">
        <v>3833</v>
      </c>
      <c r="C205" t="s">
        <v>3834</v>
      </c>
      <c r="D205" t="s">
        <v>3242</v>
      </c>
      <c r="E205" t="s">
        <v>15710</v>
      </c>
      <c r="F205" t="s">
        <v>3345</v>
      </c>
      <c r="G205" t="s">
        <v>3835</v>
      </c>
      <c r="H205" t="s">
        <v>3836</v>
      </c>
    </row>
    <row r="206" spans="1:9" x14ac:dyDescent="0.25">
      <c r="A206" t="s">
        <v>16647</v>
      </c>
      <c r="B206" t="s">
        <v>16647</v>
      </c>
      <c r="C206" t="s">
        <v>16648</v>
      </c>
      <c r="D206" t="s">
        <v>3242</v>
      </c>
      <c r="E206" t="s">
        <v>15710</v>
      </c>
      <c r="F206" t="s">
        <v>3345</v>
      </c>
      <c r="G206" t="s">
        <v>16649</v>
      </c>
      <c r="H206" t="s">
        <v>3488</v>
      </c>
    </row>
    <row r="207" spans="1:9" x14ac:dyDescent="0.25">
      <c r="A207" t="s">
        <v>3837</v>
      </c>
      <c r="B207" t="s">
        <v>3837</v>
      </c>
      <c r="C207" t="s">
        <v>3838</v>
      </c>
      <c r="D207" t="s">
        <v>3242</v>
      </c>
      <c r="E207" t="s">
        <v>15710</v>
      </c>
      <c r="F207" t="s">
        <v>3306</v>
      </c>
      <c r="G207" t="s">
        <v>3839</v>
      </c>
      <c r="H207" t="s">
        <v>3421</v>
      </c>
      <c r="I207" t="s">
        <v>3254</v>
      </c>
    </row>
    <row r="208" spans="1:9" x14ac:dyDescent="0.25">
      <c r="A208" t="s">
        <v>14884</v>
      </c>
      <c r="B208" t="s">
        <v>14884</v>
      </c>
      <c r="C208" t="s">
        <v>14885</v>
      </c>
      <c r="D208" t="s">
        <v>3242</v>
      </c>
      <c r="E208" t="s">
        <v>15710</v>
      </c>
      <c r="F208" t="s">
        <v>3243</v>
      </c>
      <c r="G208" t="s">
        <v>14886</v>
      </c>
      <c r="H208" t="s">
        <v>3285</v>
      </c>
    </row>
    <row r="209" spans="1:9" x14ac:dyDescent="0.25">
      <c r="A209" t="s">
        <v>3840</v>
      </c>
      <c r="B209" t="s">
        <v>3840</v>
      </c>
      <c r="C209" t="s">
        <v>3841</v>
      </c>
      <c r="D209" t="s">
        <v>3242</v>
      </c>
      <c r="E209" t="s">
        <v>15710</v>
      </c>
      <c r="F209" t="s">
        <v>3288</v>
      </c>
      <c r="G209" t="s">
        <v>3842</v>
      </c>
      <c r="H209" t="s">
        <v>3361</v>
      </c>
    </row>
    <row r="210" spans="1:9" x14ac:dyDescent="0.25">
      <c r="A210" t="s">
        <v>3843</v>
      </c>
      <c r="B210" t="s">
        <v>3843</v>
      </c>
      <c r="C210" t="s">
        <v>3844</v>
      </c>
      <c r="D210" t="s">
        <v>3242</v>
      </c>
      <c r="E210" t="s">
        <v>15710</v>
      </c>
      <c r="F210" t="s">
        <v>3345</v>
      </c>
      <c r="G210" t="s">
        <v>3845</v>
      </c>
      <c r="H210" t="s">
        <v>3285</v>
      </c>
    </row>
    <row r="211" spans="1:9" x14ac:dyDescent="0.25">
      <c r="A211" t="s">
        <v>3846</v>
      </c>
      <c r="B211" t="s">
        <v>3846</v>
      </c>
      <c r="C211" t="s">
        <v>3847</v>
      </c>
      <c r="D211" t="s">
        <v>3242</v>
      </c>
      <c r="E211" t="s">
        <v>15710</v>
      </c>
      <c r="F211" t="s">
        <v>3243</v>
      </c>
      <c r="G211" t="s">
        <v>3060</v>
      </c>
      <c r="H211" t="s">
        <v>3285</v>
      </c>
    </row>
    <row r="212" spans="1:9" x14ac:dyDescent="0.25">
      <c r="A212" t="s">
        <v>3848</v>
      </c>
      <c r="B212" t="s">
        <v>3848</v>
      </c>
      <c r="C212" t="s">
        <v>3849</v>
      </c>
      <c r="D212" t="s">
        <v>3242</v>
      </c>
      <c r="E212" t="s">
        <v>17629</v>
      </c>
      <c r="F212" t="s">
        <v>3300</v>
      </c>
      <c r="G212" t="s">
        <v>3850</v>
      </c>
      <c r="H212" t="s">
        <v>3267</v>
      </c>
      <c r="I212" t="s">
        <v>3366</v>
      </c>
    </row>
    <row r="213" spans="1:9" x14ac:dyDescent="0.25">
      <c r="A213" t="s">
        <v>3851</v>
      </c>
      <c r="B213" t="s">
        <v>3851</v>
      </c>
      <c r="C213" t="s">
        <v>3852</v>
      </c>
      <c r="D213" t="s">
        <v>3242</v>
      </c>
      <c r="E213" t="s">
        <v>15728</v>
      </c>
      <c r="F213" t="s">
        <v>3243</v>
      </c>
      <c r="G213" t="s">
        <v>3243</v>
      </c>
      <c r="H213" t="s">
        <v>3290</v>
      </c>
    </row>
    <row r="214" spans="1:9" x14ac:dyDescent="0.25">
      <c r="A214" t="s">
        <v>3853</v>
      </c>
      <c r="B214" t="s">
        <v>3853</v>
      </c>
      <c r="C214" t="s">
        <v>3854</v>
      </c>
      <c r="D214" t="s">
        <v>3242</v>
      </c>
      <c r="E214" t="s">
        <v>15710</v>
      </c>
      <c r="F214" t="s">
        <v>3288</v>
      </c>
      <c r="G214" t="s">
        <v>3855</v>
      </c>
      <c r="H214" t="s">
        <v>3488</v>
      </c>
    </row>
    <row r="215" spans="1:9" x14ac:dyDescent="0.25">
      <c r="A215" t="s">
        <v>3856</v>
      </c>
      <c r="B215" t="s">
        <v>3856</v>
      </c>
      <c r="C215" t="s">
        <v>3857</v>
      </c>
      <c r="D215" t="s">
        <v>3242</v>
      </c>
      <c r="E215" t="s">
        <v>15710</v>
      </c>
      <c r="F215" t="s">
        <v>3345</v>
      </c>
      <c r="G215" t="s">
        <v>3858</v>
      </c>
      <c r="H215" t="s">
        <v>3290</v>
      </c>
    </row>
    <row r="216" spans="1:9" x14ac:dyDescent="0.25">
      <c r="A216" t="s">
        <v>14887</v>
      </c>
      <c r="B216" t="s">
        <v>14887</v>
      </c>
      <c r="C216" t="s">
        <v>14888</v>
      </c>
      <c r="D216" t="s">
        <v>3242</v>
      </c>
      <c r="E216" t="s">
        <v>15710</v>
      </c>
      <c r="F216" t="s">
        <v>3243</v>
      </c>
      <c r="G216" t="s">
        <v>14889</v>
      </c>
      <c r="H216" t="s">
        <v>3285</v>
      </c>
    </row>
    <row r="217" spans="1:9" x14ac:dyDescent="0.25">
      <c r="A217" t="s">
        <v>3859</v>
      </c>
      <c r="B217" t="s">
        <v>3859</v>
      </c>
      <c r="C217" t="s">
        <v>3860</v>
      </c>
      <c r="D217" t="s">
        <v>3242</v>
      </c>
      <c r="E217" t="s">
        <v>15710</v>
      </c>
      <c r="F217" t="s">
        <v>3288</v>
      </c>
      <c r="G217" t="s">
        <v>3861</v>
      </c>
      <c r="H217" t="s">
        <v>3680</v>
      </c>
    </row>
    <row r="218" spans="1:9" x14ac:dyDescent="0.25">
      <c r="A218" t="s">
        <v>3862</v>
      </c>
      <c r="B218" t="s">
        <v>3862</v>
      </c>
      <c r="C218" t="s">
        <v>3863</v>
      </c>
      <c r="D218" t="s">
        <v>3242</v>
      </c>
      <c r="E218" t="s">
        <v>15710</v>
      </c>
      <c r="F218" t="s">
        <v>3243</v>
      </c>
      <c r="G218" t="s">
        <v>3864</v>
      </c>
      <c r="H218" t="s">
        <v>3488</v>
      </c>
    </row>
    <row r="219" spans="1:9" x14ac:dyDescent="0.25">
      <c r="A219" t="s">
        <v>3865</v>
      </c>
      <c r="B219" t="s">
        <v>3865</v>
      </c>
      <c r="C219" t="s">
        <v>3866</v>
      </c>
      <c r="D219" t="s">
        <v>3242</v>
      </c>
      <c r="E219" t="s">
        <v>15710</v>
      </c>
      <c r="F219" t="s">
        <v>3345</v>
      </c>
      <c r="G219" t="s">
        <v>3867</v>
      </c>
      <c r="H219" t="s">
        <v>3680</v>
      </c>
    </row>
    <row r="220" spans="1:9" x14ac:dyDescent="0.25">
      <c r="A220" t="s">
        <v>3868</v>
      </c>
      <c r="B220" t="s">
        <v>3868</v>
      </c>
      <c r="C220" t="s">
        <v>3869</v>
      </c>
      <c r="D220" t="s">
        <v>3242</v>
      </c>
      <c r="E220" t="s">
        <v>15710</v>
      </c>
      <c r="F220" t="s">
        <v>3345</v>
      </c>
      <c r="G220" t="s">
        <v>3870</v>
      </c>
      <c r="H220" t="s">
        <v>3290</v>
      </c>
    </row>
    <row r="221" spans="1:9" x14ac:dyDescent="0.25">
      <c r="A221" t="s">
        <v>3871</v>
      </c>
      <c r="B221" t="s">
        <v>3871</v>
      </c>
      <c r="C221" t="s">
        <v>3872</v>
      </c>
      <c r="D221" t="s">
        <v>3242</v>
      </c>
      <c r="E221" t="s">
        <v>15710</v>
      </c>
      <c r="F221" t="s">
        <v>3345</v>
      </c>
      <c r="G221" t="s">
        <v>3873</v>
      </c>
      <c r="H221" t="s">
        <v>3680</v>
      </c>
    </row>
    <row r="222" spans="1:9" x14ac:dyDescent="0.25">
      <c r="A222" t="s">
        <v>14890</v>
      </c>
      <c r="B222" t="s">
        <v>14890</v>
      </c>
      <c r="C222" t="s">
        <v>14891</v>
      </c>
      <c r="D222" t="s">
        <v>3242</v>
      </c>
      <c r="E222" t="s">
        <v>15710</v>
      </c>
      <c r="F222" t="s">
        <v>3243</v>
      </c>
      <c r="G222" t="s">
        <v>14892</v>
      </c>
      <c r="H222" t="s">
        <v>3285</v>
      </c>
    </row>
    <row r="223" spans="1:9" x14ac:dyDescent="0.25">
      <c r="A223" t="s">
        <v>3874</v>
      </c>
      <c r="B223" t="s">
        <v>3874</v>
      </c>
      <c r="C223" t="s">
        <v>3875</v>
      </c>
      <c r="D223" t="s">
        <v>3321</v>
      </c>
      <c r="E223" t="s">
        <v>15710</v>
      </c>
      <c r="F223" t="s">
        <v>3372</v>
      </c>
      <c r="G223" t="s">
        <v>3876</v>
      </c>
      <c r="H223" t="s">
        <v>3877</v>
      </c>
      <c r="I223" t="s">
        <v>3366</v>
      </c>
    </row>
    <row r="224" spans="1:9" x14ac:dyDescent="0.25">
      <c r="A224" t="s">
        <v>16415</v>
      </c>
      <c r="B224" t="s">
        <v>16415</v>
      </c>
      <c r="C224" t="s">
        <v>16416</v>
      </c>
      <c r="D224" t="s">
        <v>3242</v>
      </c>
      <c r="E224" t="s">
        <v>15745</v>
      </c>
      <c r="F224" t="s">
        <v>3345</v>
      </c>
      <c r="G224" t="s">
        <v>16417</v>
      </c>
      <c r="H224" t="s">
        <v>3915</v>
      </c>
    </row>
    <row r="225" spans="1:9" x14ac:dyDescent="0.25">
      <c r="A225" t="s">
        <v>3878</v>
      </c>
      <c r="B225" t="s">
        <v>3878</v>
      </c>
      <c r="C225" t="s">
        <v>3879</v>
      </c>
      <c r="D225" t="s">
        <v>3242</v>
      </c>
      <c r="E225" t="s">
        <v>15710</v>
      </c>
      <c r="F225" t="s">
        <v>3243</v>
      </c>
      <c r="G225" t="s">
        <v>3243</v>
      </c>
      <c r="H225" t="s">
        <v>3290</v>
      </c>
    </row>
    <row r="226" spans="1:9" x14ac:dyDescent="0.25">
      <c r="A226" t="s">
        <v>16895</v>
      </c>
      <c r="B226" t="s">
        <v>16895</v>
      </c>
      <c r="C226" t="s">
        <v>16896</v>
      </c>
      <c r="D226" t="s">
        <v>3242</v>
      </c>
      <c r="E226" t="s">
        <v>15710</v>
      </c>
      <c r="F226" t="s">
        <v>3345</v>
      </c>
      <c r="G226" t="s">
        <v>16897</v>
      </c>
      <c r="H226" t="s">
        <v>3680</v>
      </c>
    </row>
    <row r="227" spans="1:9" x14ac:dyDescent="0.25">
      <c r="A227" t="s">
        <v>3880</v>
      </c>
      <c r="B227" t="s">
        <v>3880</v>
      </c>
      <c r="C227" t="s">
        <v>3881</v>
      </c>
      <c r="D227" t="s">
        <v>3242</v>
      </c>
      <c r="E227" t="s">
        <v>16418</v>
      </c>
      <c r="F227" t="s">
        <v>3257</v>
      </c>
      <c r="G227" t="s">
        <v>3882</v>
      </c>
      <c r="H227" t="s">
        <v>3290</v>
      </c>
      <c r="I227" t="s">
        <v>3694</v>
      </c>
    </row>
    <row r="228" spans="1:9" x14ac:dyDescent="0.25">
      <c r="A228" t="s">
        <v>3883</v>
      </c>
      <c r="B228" t="s">
        <v>3883</v>
      </c>
      <c r="C228" t="s">
        <v>3884</v>
      </c>
      <c r="D228" t="s">
        <v>3242</v>
      </c>
      <c r="E228" t="s">
        <v>15710</v>
      </c>
      <c r="F228" t="s">
        <v>3300</v>
      </c>
      <c r="G228" t="s">
        <v>3885</v>
      </c>
      <c r="H228" t="s">
        <v>3886</v>
      </c>
    </row>
    <row r="229" spans="1:9" x14ac:dyDescent="0.25">
      <c r="A229" t="s">
        <v>3887</v>
      </c>
      <c r="B229" t="s">
        <v>3887</v>
      </c>
      <c r="C229" t="s">
        <v>3888</v>
      </c>
      <c r="D229" t="s">
        <v>3242</v>
      </c>
      <c r="E229" t="s">
        <v>15710</v>
      </c>
      <c r="F229" t="s">
        <v>3288</v>
      </c>
      <c r="G229" t="s">
        <v>3889</v>
      </c>
      <c r="H229" t="s">
        <v>3565</v>
      </c>
    </row>
    <row r="230" spans="1:9" x14ac:dyDescent="0.25">
      <c r="A230" t="s">
        <v>3890</v>
      </c>
      <c r="B230" t="s">
        <v>3890</v>
      </c>
      <c r="C230" t="s">
        <v>3891</v>
      </c>
      <c r="D230" t="s">
        <v>3242</v>
      </c>
      <c r="E230" t="s">
        <v>15710</v>
      </c>
      <c r="F230" t="s">
        <v>3243</v>
      </c>
      <c r="G230" t="s">
        <v>3892</v>
      </c>
      <c r="H230" t="s">
        <v>3680</v>
      </c>
    </row>
    <row r="231" spans="1:9" x14ac:dyDescent="0.25">
      <c r="A231" t="s">
        <v>3893</v>
      </c>
      <c r="B231" t="s">
        <v>3893</v>
      </c>
      <c r="C231" t="s">
        <v>3894</v>
      </c>
      <c r="D231" t="s">
        <v>3242</v>
      </c>
      <c r="E231" t="s">
        <v>15710</v>
      </c>
      <c r="F231" t="s">
        <v>3345</v>
      </c>
      <c r="G231" t="s">
        <v>3895</v>
      </c>
      <c r="H231" t="s">
        <v>3896</v>
      </c>
    </row>
    <row r="232" spans="1:9" x14ac:dyDescent="0.25">
      <c r="A232" t="s">
        <v>3897</v>
      </c>
      <c r="B232" t="s">
        <v>3897</v>
      </c>
      <c r="C232" t="s">
        <v>3898</v>
      </c>
      <c r="D232" t="s">
        <v>3242</v>
      </c>
      <c r="E232" t="s">
        <v>15710</v>
      </c>
      <c r="F232" t="s">
        <v>3300</v>
      </c>
      <c r="G232" t="s">
        <v>3899</v>
      </c>
      <c r="H232" t="s">
        <v>3900</v>
      </c>
      <c r="I232" t="s">
        <v>3254</v>
      </c>
    </row>
    <row r="233" spans="1:9" x14ac:dyDescent="0.25">
      <c r="A233" t="s">
        <v>3901</v>
      </c>
      <c r="B233" t="s">
        <v>3901</v>
      </c>
      <c r="C233" t="s">
        <v>3902</v>
      </c>
      <c r="D233" t="s">
        <v>3242</v>
      </c>
      <c r="E233" t="s">
        <v>15710</v>
      </c>
      <c r="F233" t="s">
        <v>3243</v>
      </c>
      <c r="G233" t="s">
        <v>3243</v>
      </c>
      <c r="H233" t="s">
        <v>3290</v>
      </c>
    </row>
    <row r="234" spans="1:9" x14ac:dyDescent="0.25">
      <c r="A234" t="s">
        <v>3903</v>
      </c>
      <c r="B234" t="s">
        <v>3903</v>
      </c>
      <c r="C234" t="s">
        <v>3904</v>
      </c>
      <c r="D234" t="s">
        <v>3242</v>
      </c>
      <c r="E234" t="s">
        <v>15710</v>
      </c>
      <c r="F234" t="s">
        <v>15712</v>
      </c>
      <c r="G234" t="s">
        <v>3905</v>
      </c>
      <c r="H234" t="s">
        <v>3290</v>
      </c>
    </row>
    <row r="235" spans="1:9" x14ac:dyDescent="0.25">
      <c r="A235" t="s">
        <v>3906</v>
      </c>
      <c r="B235" t="s">
        <v>3906</v>
      </c>
      <c r="C235" t="s">
        <v>3907</v>
      </c>
      <c r="D235" t="s">
        <v>3242</v>
      </c>
      <c r="E235" t="s">
        <v>15710</v>
      </c>
      <c r="F235" t="s">
        <v>3288</v>
      </c>
      <c r="G235" t="s">
        <v>3908</v>
      </c>
      <c r="H235" t="s">
        <v>3463</v>
      </c>
    </row>
    <row r="236" spans="1:9" x14ac:dyDescent="0.25">
      <c r="A236" t="s">
        <v>3909</v>
      </c>
      <c r="B236" t="s">
        <v>3909</v>
      </c>
      <c r="C236" t="s">
        <v>3910</v>
      </c>
      <c r="D236" t="s">
        <v>3242</v>
      </c>
      <c r="E236" t="s">
        <v>15710</v>
      </c>
      <c r="F236" t="s">
        <v>3243</v>
      </c>
      <c r="G236" t="s">
        <v>3911</v>
      </c>
      <c r="H236" t="s">
        <v>3402</v>
      </c>
    </row>
    <row r="237" spans="1:9" x14ac:dyDescent="0.25">
      <c r="A237" t="s">
        <v>3912</v>
      </c>
      <c r="B237" t="s">
        <v>3912</v>
      </c>
      <c r="C237" t="s">
        <v>3913</v>
      </c>
      <c r="D237" t="s">
        <v>3242</v>
      </c>
      <c r="E237" t="s">
        <v>15710</v>
      </c>
      <c r="F237" t="s">
        <v>3345</v>
      </c>
      <c r="G237" t="s">
        <v>3914</v>
      </c>
      <c r="H237" t="s">
        <v>3915</v>
      </c>
    </row>
    <row r="238" spans="1:9" x14ac:dyDescent="0.25">
      <c r="A238" t="s">
        <v>3916</v>
      </c>
      <c r="B238" t="s">
        <v>3916</v>
      </c>
      <c r="C238" t="s">
        <v>3917</v>
      </c>
      <c r="D238" t="s">
        <v>3242</v>
      </c>
      <c r="E238" t="s">
        <v>15710</v>
      </c>
      <c r="F238" t="s">
        <v>3288</v>
      </c>
      <c r="G238" t="s">
        <v>3060</v>
      </c>
      <c r="H238" t="s">
        <v>3285</v>
      </c>
    </row>
    <row r="239" spans="1:9" x14ac:dyDescent="0.25">
      <c r="A239" t="s">
        <v>3918</v>
      </c>
      <c r="B239" t="s">
        <v>3918</v>
      </c>
      <c r="C239" t="s">
        <v>3919</v>
      </c>
      <c r="D239" t="s">
        <v>3242</v>
      </c>
      <c r="E239" t="s">
        <v>15710</v>
      </c>
      <c r="F239" t="s">
        <v>3288</v>
      </c>
      <c r="G239" t="s">
        <v>3920</v>
      </c>
      <c r="H239" t="s">
        <v>3060</v>
      </c>
    </row>
    <row r="240" spans="1:9" x14ac:dyDescent="0.25">
      <c r="A240" t="s">
        <v>3921</v>
      </c>
      <c r="B240" t="s">
        <v>3921</v>
      </c>
      <c r="C240" t="s">
        <v>3922</v>
      </c>
      <c r="D240" t="s">
        <v>3242</v>
      </c>
      <c r="E240" t="s">
        <v>15710</v>
      </c>
      <c r="F240" t="s">
        <v>3288</v>
      </c>
      <c r="G240" t="s">
        <v>3923</v>
      </c>
      <c r="H240" t="s">
        <v>3361</v>
      </c>
    </row>
    <row r="241" spans="1:8" x14ac:dyDescent="0.25">
      <c r="A241" t="s">
        <v>3924</v>
      </c>
      <c r="B241" t="s">
        <v>3924</v>
      </c>
      <c r="C241" t="s">
        <v>3925</v>
      </c>
      <c r="D241" t="s">
        <v>3242</v>
      </c>
      <c r="E241" t="s">
        <v>15729</v>
      </c>
      <c r="F241" t="s">
        <v>3243</v>
      </c>
      <c r="G241" t="s">
        <v>3926</v>
      </c>
      <c r="H241" t="s">
        <v>3290</v>
      </c>
    </row>
    <row r="242" spans="1:8" x14ac:dyDescent="0.25">
      <c r="A242" t="s">
        <v>3927</v>
      </c>
      <c r="B242" t="s">
        <v>3927</v>
      </c>
      <c r="C242" t="s">
        <v>3928</v>
      </c>
      <c r="D242" t="s">
        <v>3242</v>
      </c>
      <c r="E242" t="s">
        <v>15710</v>
      </c>
      <c r="F242" t="s">
        <v>3929</v>
      </c>
      <c r="G242" t="s">
        <v>3930</v>
      </c>
      <c r="H242" t="s">
        <v>3488</v>
      </c>
    </row>
    <row r="243" spans="1:8" x14ac:dyDescent="0.25">
      <c r="A243" t="s">
        <v>3931</v>
      </c>
      <c r="B243" t="s">
        <v>3931</v>
      </c>
      <c r="C243" t="s">
        <v>3932</v>
      </c>
      <c r="D243" t="s">
        <v>3242</v>
      </c>
      <c r="E243" t="s">
        <v>15710</v>
      </c>
      <c r="F243" t="s">
        <v>3288</v>
      </c>
      <c r="G243" t="s">
        <v>3933</v>
      </c>
      <c r="H243" t="s">
        <v>3285</v>
      </c>
    </row>
    <row r="244" spans="1:8" x14ac:dyDescent="0.25">
      <c r="A244" t="s">
        <v>3934</v>
      </c>
      <c r="B244" t="s">
        <v>3934</v>
      </c>
      <c r="C244" t="s">
        <v>3935</v>
      </c>
      <c r="D244" t="s">
        <v>3242</v>
      </c>
      <c r="E244" t="s">
        <v>15710</v>
      </c>
      <c r="F244" t="s">
        <v>3288</v>
      </c>
      <c r="G244" t="s">
        <v>3936</v>
      </c>
      <c r="H244" t="s">
        <v>3937</v>
      </c>
    </row>
    <row r="245" spans="1:8" x14ac:dyDescent="0.25">
      <c r="A245" t="s">
        <v>3938</v>
      </c>
      <c r="B245" t="s">
        <v>3938</v>
      </c>
      <c r="C245" t="s">
        <v>3939</v>
      </c>
      <c r="D245" t="s">
        <v>3242</v>
      </c>
      <c r="E245" t="s">
        <v>15710</v>
      </c>
      <c r="F245" t="s">
        <v>3826</v>
      </c>
      <c r="G245" t="s">
        <v>3940</v>
      </c>
      <c r="H245" t="s">
        <v>3290</v>
      </c>
    </row>
    <row r="246" spans="1:8" x14ac:dyDescent="0.25">
      <c r="A246" t="s">
        <v>3941</v>
      </c>
      <c r="B246" t="s">
        <v>3941</v>
      </c>
      <c r="C246" t="s">
        <v>3942</v>
      </c>
      <c r="D246" t="s">
        <v>3242</v>
      </c>
      <c r="E246" t="s">
        <v>15710</v>
      </c>
      <c r="F246" t="s">
        <v>3288</v>
      </c>
      <c r="G246" t="s">
        <v>3943</v>
      </c>
      <c r="H246" t="s">
        <v>3726</v>
      </c>
    </row>
    <row r="247" spans="1:8" x14ac:dyDescent="0.25">
      <c r="A247" t="s">
        <v>3944</v>
      </c>
      <c r="B247" t="s">
        <v>3944</v>
      </c>
      <c r="C247" t="s">
        <v>3945</v>
      </c>
      <c r="D247" t="s">
        <v>3242</v>
      </c>
      <c r="E247" t="s">
        <v>15710</v>
      </c>
      <c r="F247" t="s">
        <v>3288</v>
      </c>
      <c r="G247" t="s">
        <v>3946</v>
      </c>
      <c r="H247" t="s">
        <v>3361</v>
      </c>
    </row>
    <row r="248" spans="1:8" x14ac:dyDescent="0.25">
      <c r="A248" t="s">
        <v>3947</v>
      </c>
      <c r="B248" t="s">
        <v>3947</v>
      </c>
      <c r="C248" t="s">
        <v>3948</v>
      </c>
      <c r="D248" t="s">
        <v>3242</v>
      </c>
      <c r="E248" t="s">
        <v>15710</v>
      </c>
      <c r="F248" t="s">
        <v>3288</v>
      </c>
      <c r="G248" t="s">
        <v>3949</v>
      </c>
      <c r="H248" t="s">
        <v>3285</v>
      </c>
    </row>
    <row r="249" spans="1:8" x14ac:dyDescent="0.25">
      <c r="A249" t="s">
        <v>16650</v>
      </c>
      <c r="B249" t="s">
        <v>16650</v>
      </c>
      <c r="C249" t="s">
        <v>16651</v>
      </c>
      <c r="D249" t="s">
        <v>3242</v>
      </c>
      <c r="E249" t="s">
        <v>15710</v>
      </c>
      <c r="F249" t="s">
        <v>3288</v>
      </c>
      <c r="G249" t="s">
        <v>3060</v>
      </c>
      <c r="H249" t="s">
        <v>3285</v>
      </c>
    </row>
    <row r="250" spans="1:8" x14ac:dyDescent="0.25">
      <c r="A250" t="s">
        <v>3950</v>
      </c>
      <c r="B250" t="s">
        <v>3950</v>
      </c>
      <c r="C250" t="s">
        <v>3951</v>
      </c>
      <c r="D250" t="s">
        <v>3242</v>
      </c>
      <c r="E250" t="s">
        <v>15710</v>
      </c>
      <c r="F250" t="s">
        <v>3345</v>
      </c>
      <c r="G250" t="s">
        <v>3952</v>
      </c>
      <c r="H250" t="s">
        <v>3387</v>
      </c>
    </row>
    <row r="251" spans="1:8" x14ac:dyDescent="0.25">
      <c r="A251" t="s">
        <v>16652</v>
      </c>
      <c r="B251" t="s">
        <v>16652</v>
      </c>
      <c r="C251" t="s">
        <v>16653</v>
      </c>
      <c r="D251" t="s">
        <v>3242</v>
      </c>
      <c r="E251" t="s">
        <v>15710</v>
      </c>
      <c r="F251" t="s">
        <v>3288</v>
      </c>
      <c r="G251" t="s">
        <v>16654</v>
      </c>
      <c r="H251" t="s">
        <v>4004</v>
      </c>
    </row>
    <row r="252" spans="1:8" x14ac:dyDescent="0.25">
      <c r="A252" t="s">
        <v>16898</v>
      </c>
      <c r="B252" t="s">
        <v>16898</v>
      </c>
      <c r="C252" t="s">
        <v>16899</v>
      </c>
      <c r="D252" t="s">
        <v>3242</v>
      </c>
      <c r="E252" t="s">
        <v>16900</v>
      </c>
      <c r="F252" t="s">
        <v>3243</v>
      </c>
      <c r="G252" t="s">
        <v>4459</v>
      </c>
      <c r="H252" t="s">
        <v>3744</v>
      </c>
    </row>
    <row r="253" spans="1:8" x14ac:dyDescent="0.25">
      <c r="A253" t="s">
        <v>3953</v>
      </c>
      <c r="B253" t="s">
        <v>3953</v>
      </c>
      <c r="C253" t="s">
        <v>3954</v>
      </c>
      <c r="D253" t="s">
        <v>3242</v>
      </c>
      <c r="E253" t="s">
        <v>15710</v>
      </c>
      <c r="F253" t="s">
        <v>15730</v>
      </c>
      <c r="G253" t="s">
        <v>3955</v>
      </c>
      <c r="H253" t="s">
        <v>3290</v>
      </c>
    </row>
    <row r="254" spans="1:8" x14ac:dyDescent="0.25">
      <c r="A254" t="s">
        <v>3956</v>
      </c>
      <c r="B254" t="s">
        <v>3956</v>
      </c>
      <c r="C254" t="s">
        <v>3957</v>
      </c>
      <c r="D254" t="s">
        <v>3242</v>
      </c>
      <c r="E254" t="s">
        <v>15710</v>
      </c>
      <c r="F254" t="s">
        <v>3345</v>
      </c>
      <c r="G254" t="s">
        <v>3958</v>
      </c>
      <c r="H254" t="s">
        <v>3290</v>
      </c>
    </row>
    <row r="255" spans="1:8" x14ac:dyDescent="0.25">
      <c r="A255" t="s">
        <v>3959</v>
      </c>
      <c r="B255" t="s">
        <v>3959</v>
      </c>
      <c r="C255" t="s">
        <v>3960</v>
      </c>
      <c r="D255" t="s">
        <v>3242</v>
      </c>
      <c r="E255" t="s">
        <v>15710</v>
      </c>
      <c r="F255" t="s">
        <v>3243</v>
      </c>
      <c r="G255" t="s">
        <v>3961</v>
      </c>
      <c r="H255" t="s">
        <v>3962</v>
      </c>
    </row>
    <row r="256" spans="1:8" x14ac:dyDescent="0.25">
      <c r="A256" t="s">
        <v>3963</v>
      </c>
      <c r="B256" t="s">
        <v>3963</v>
      </c>
      <c r="C256" t="s">
        <v>3964</v>
      </c>
      <c r="D256" t="s">
        <v>3242</v>
      </c>
      <c r="E256" t="s">
        <v>15710</v>
      </c>
      <c r="F256" t="s">
        <v>3243</v>
      </c>
      <c r="G256" t="s">
        <v>3965</v>
      </c>
      <c r="H256" t="s">
        <v>3962</v>
      </c>
    </row>
    <row r="257" spans="1:9" x14ac:dyDescent="0.25">
      <c r="A257" t="s">
        <v>3966</v>
      </c>
      <c r="B257" t="s">
        <v>3966</v>
      </c>
      <c r="C257" t="s">
        <v>3967</v>
      </c>
      <c r="D257" t="s">
        <v>3242</v>
      </c>
      <c r="E257" t="s">
        <v>15710</v>
      </c>
      <c r="F257" t="s">
        <v>3243</v>
      </c>
      <c r="G257" t="s">
        <v>3968</v>
      </c>
      <c r="H257" t="s">
        <v>3744</v>
      </c>
    </row>
    <row r="258" spans="1:9" x14ac:dyDescent="0.25">
      <c r="A258" t="s">
        <v>3969</v>
      </c>
      <c r="B258" t="s">
        <v>3969</v>
      </c>
      <c r="C258" t="s">
        <v>3970</v>
      </c>
      <c r="D258" t="s">
        <v>3242</v>
      </c>
      <c r="E258" t="s">
        <v>15862</v>
      </c>
      <c r="F258" t="s">
        <v>3288</v>
      </c>
      <c r="G258" t="s">
        <v>3060</v>
      </c>
      <c r="H258" t="s">
        <v>3060</v>
      </c>
    </row>
    <row r="259" spans="1:9" x14ac:dyDescent="0.25">
      <c r="A259" t="s">
        <v>16901</v>
      </c>
      <c r="B259" t="s">
        <v>16901</v>
      </c>
      <c r="C259" t="s">
        <v>16902</v>
      </c>
      <c r="D259" t="s">
        <v>3242</v>
      </c>
      <c r="E259" t="s">
        <v>15710</v>
      </c>
      <c r="F259" t="s">
        <v>3288</v>
      </c>
      <c r="G259" t="s">
        <v>3060</v>
      </c>
      <c r="H259" t="s">
        <v>3285</v>
      </c>
    </row>
    <row r="260" spans="1:9" x14ac:dyDescent="0.25">
      <c r="A260" t="s">
        <v>3971</v>
      </c>
      <c r="B260" t="s">
        <v>3971</v>
      </c>
      <c r="C260" t="s">
        <v>3972</v>
      </c>
      <c r="D260" t="s">
        <v>3242</v>
      </c>
      <c r="E260" t="s">
        <v>15710</v>
      </c>
      <c r="F260" t="s">
        <v>3345</v>
      </c>
      <c r="G260" t="s">
        <v>3973</v>
      </c>
      <c r="H260" t="s">
        <v>3973</v>
      </c>
    </row>
    <row r="261" spans="1:9" x14ac:dyDescent="0.25">
      <c r="A261" t="s">
        <v>3974</v>
      </c>
      <c r="B261" t="s">
        <v>3974</v>
      </c>
      <c r="C261" t="s">
        <v>3975</v>
      </c>
      <c r="D261" t="s">
        <v>3242</v>
      </c>
      <c r="E261" t="s">
        <v>15710</v>
      </c>
      <c r="F261" t="s">
        <v>3288</v>
      </c>
      <c r="G261" t="s">
        <v>3060</v>
      </c>
      <c r="H261" t="s">
        <v>3285</v>
      </c>
    </row>
    <row r="262" spans="1:9" x14ac:dyDescent="0.25">
      <c r="A262" t="s">
        <v>3976</v>
      </c>
      <c r="B262" t="s">
        <v>3976</v>
      </c>
      <c r="C262" t="s">
        <v>3977</v>
      </c>
      <c r="D262" t="s">
        <v>3242</v>
      </c>
      <c r="E262" t="s">
        <v>15710</v>
      </c>
      <c r="F262" t="s">
        <v>3288</v>
      </c>
      <c r="G262" t="s">
        <v>3060</v>
      </c>
      <c r="H262" t="s">
        <v>3285</v>
      </c>
    </row>
    <row r="263" spans="1:9" x14ac:dyDescent="0.25">
      <c r="A263" t="s">
        <v>3978</v>
      </c>
      <c r="B263" t="s">
        <v>3978</v>
      </c>
      <c r="C263" t="s">
        <v>3979</v>
      </c>
      <c r="D263" t="s">
        <v>3242</v>
      </c>
      <c r="E263" t="s">
        <v>15710</v>
      </c>
      <c r="F263" t="s">
        <v>3345</v>
      </c>
      <c r="G263" t="s">
        <v>3496</v>
      </c>
      <c r="H263" t="s">
        <v>3285</v>
      </c>
    </row>
    <row r="264" spans="1:9" x14ac:dyDescent="0.25">
      <c r="A264" t="s">
        <v>3980</v>
      </c>
      <c r="B264" t="s">
        <v>3980</v>
      </c>
      <c r="C264" t="s">
        <v>3981</v>
      </c>
      <c r="D264" t="s">
        <v>3242</v>
      </c>
      <c r="E264" t="s">
        <v>15710</v>
      </c>
      <c r="F264" t="s">
        <v>3345</v>
      </c>
      <c r="G264" t="s">
        <v>3982</v>
      </c>
      <c r="H264" t="s">
        <v>3285</v>
      </c>
    </row>
    <row r="265" spans="1:9" x14ac:dyDescent="0.25">
      <c r="A265" t="s">
        <v>3983</v>
      </c>
      <c r="B265" t="s">
        <v>3983</v>
      </c>
      <c r="C265" t="s">
        <v>3984</v>
      </c>
      <c r="D265" t="s">
        <v>3242</v>
      </c>
      <c r="E265" t="s">
        <v>15710</v>
      </c>
      <c r="F265" t="s">
        <v>3288</v>
      </c>
      <c r="G265" t="s">
        <v>3985</v>
      </c>
      <c r="H265" t="s">
        <v>3285</v>
      </c>
    </row>
    <row r="266" spans="1:9" x14ac:dyDescent="0.25">
      <c r="A266" t="s">
        <v>3986</v>
      </c>
      <c r="B266" t="s">
        <v>3986</v>
      </c>
      <c r="C266" t="s">
        <v>3987</v>
      </c>
      <c r="D266" t="s">
        <v>3242</v>
      </c>
      <c r="E266" t="s">
        <v>15816</v>
      </c>
      <c r="F266" t="s">
        <v>3345</v>
      </c>
      <c r="G266" t="s">
        <v>3988</v>
      </c>
      <c r="H266" t="s">
        <v>3290</v>
      </c>
    </row>
    <row r="267" spans="1:9" x14ac:dyDescent="0.25">
      <c r="A267" t="s">
        <v>3989</v>
      </c>
      <c r="B267" t="s">
        <v>3989</v>
      </c>
      <c r="C267" t="s">
        <v>3990</v>
      </c>
      <c r="D267" t="s">
        <v>3242</v>
      </c>
      <c r="E267" t="s">
        <v>15710</v>
      </c>
      <c r="F267" t="s">
        <v>3288</v>
      </c>
      <c r="G267" t="s">
        <v>3060</v>
      </c>
      <c r="H267" t="s">
        <v>3285</v>
      </c>
    </row>
    <row r="268" spans="1:9" x14ac:dyDescent="0.25">
      <c r="A268" t="s">
        <v>3991</v>
      </c>
      <c r="B268" t="s">
        <v>3991</v>
      </c>
      <c r="C268" t="s">
        <v>3992</v>
      </c>
      <c r="D268" t="s">
        <v>3242</v>
      </c>
      <c r="E268" t="s">
        <v>15710</v>
      </c>
      <c r="F268" t="s">
        <v>3288</v>
      </c>
      <c r="G268" t="s">
        <v>3993</v>
      </c>
      <c r="H268" t="s">
        <v>3623</v>
      </c>
    </row>
    <row r="269" spans="1:9" x14ac:dyDescent="0.25">
      <c r="A269" t="s">
        <v>3994</v>
      </c>
      <c r="B269" t="s">
        <v>3994</v>
      </c>
      <c r="C269" t="s">
        <v>3995</v>
      </c>
      <c r="D269" t="s">
        <v>3242</v>
      </c>
      <c r="E269" t="s">
        <v>15710</v>
      </c>
      <c r="F269" t="s">
        <v>3288</v>
      </c>
      <c r="G269" t="s">
        <v>3996</v>
      </c>
      <c r="H269" t="s">
        <v>3680</v>
      </c>
    </row>
    <row r="270" spans="1:9" x14ac:dyDescent="0.25">
      <c r="A270" t="s">
        <v>3997</v>
      </c>
      <c r="B270" t="s">
        <v>3997</v>
      </c>
      <c r="C270" t="s">
        <v>3998</v>
      </c>
      <c r="D270" t="s">
        <v>3242</v>
      </c>
      <c r="E270" t="s">
        <v>15710</v>
      </c>
      <c r="F270" t="s">
        <v>3288</v>
      </c>
      <c r="G270" t="s">
        <v>3999</v>
      </c>
      <c r="H270" t="s">
        <v>3060</v>
      </c>
    </row>
    <row r="271" spans="1:9" x14ac:dyDescent="0.25">
      <c r="A271" t="s">
        <v>4000</v>
      </c>
      <c r="B271" t="s">
        <v>4000</v>
      </c>
      <c r="C271" t="s">
        <v>4001</v>
      </c>
      <c r="D271" t="s">
        <v>3242</v>
      </c>
      <c r="E271" t="s">
        <v>15710</v>
      </c>
      <c r="F271" t="s">
        <v>4002</v>
      </c>
      <c r="G271" t="s">
        <v>4003</v>
      </c>
      <c r="H271" t="s">
        <v>4004</v>
      </c>
      <c r="I271" t="s">
        <v>3451</v>
      </c>
    </row>
    <row r="272" spans="1:9" x14ac:dyDescent="0.25">
      <c r="A272" t="s">
        <v>4005</v>
      </c>
      <c r="B272" t="s">
        <v>4005</v>
      </c>
      <c r="C272" t="s">
        <v>4006</v>
      </c>
      <c r="D272" t="s">
        <v>3242</v>
      </c>
      <c r="E272" t="s">
        <v>15710</v>
      </c>
      <c r="F272" t="s">
        <v>3288</v>
      </c>
      <c r="G272" t="s">
        <v>4007</v>
      </c>
      <c r="H272" t="s">
        <v>3744</v>
      </c>
    </row>
    <row r="273" spans="1:9" x14ac:dyDescent="0.25">
      <c r="A273" t="s">
        <v>16148</v>
      </c>
      <c r="B273" t="s">
        <v>16148</v>
      </c>
      <c r="C273" t="s">
        <v>16149</v>
      </c>
      <c r="D273" t="s">
        <v>3242</v>
      </c>
      <c r="E273" t="s">
        <v>15710</v>
      </c>
      <c r="F273" t="s">
        <v>3288</v>
      </c>
      <c r="G273" t="s">
        <v>16150</v>
      </c>
      <c r="H273" t="s">
        <v>3744</v>
      </c>
    </row>
    <row r="274" spans="1:9" x14ac:dyDescent="0.25">
      <c r="A274" t="s">
        <v>4008</v>
      </c>
      <c r="B274" t="s">
        <v>4008</v>
      </c>
      <c r="C274" t="s">
        <v>4009</v>
      </c>
      <c r="D274" t="s">
        <v>3242</v>
      </c>
      <c r="E274" t="s">
        <v>15710</v>
      </c>
      <c r="F274" t="s">
        <v>15712</v>
      </c>
      <c r="G274" t="s">
        <v>4010</v>
      </c>
      <c r="H274" t="s">
        <v>3290</v>
      </c>
    </row>
    <row r="275" spans="1:9" x14ac:dyDescent="0.25">
      <c r="A275" t="s">
        <v>4011</v>
      </c>
      <c r="B275" t="s">
        <v>4011</v>
      </c>
      <c r="C275" t="s">
        <v>4012</v>
      </c>
      <c r="D275" t="s">
        <v>3242</v>
      </c>
      <c r="E275" t="s">
        <v>15710</v>
      </c>
      <c r="F275" t="s">
        <v>3288</v>
      </c>
      <c r="G275" t="s">
        <v>4013</v>
      </c>
      <c r="H275" t="s">
        <v>3744</v>
      </c>
    </row>
    <row r="276" spans="1:9" x14ac:dyDescent="0.25">
      <c r="A276" t="s">
        <v>4014</v>
      </c>
      <c r="B276" t="s">
        <v>4014</v>
      </c>
      <c r="C276" t="s">
        <v>4015</v>
      </c>
      <c r="D276" t="s">
        <v>3242</v>
      </c>
      <c r="E276" t="s">
        <v>15731</v>
      </c>
      <c r="F276" t="s">
        <v>3243</v>
      </c>
      <c r="G276" t="s">
        <v>3243</v>
      </c>
      <c r="H276" t="s">
        <v>3290</v>
      </c>
    </row>
    <row r="277" spans="1:9" x14ac:dyDescent="0.25">
      <c r="A277" t="s">
        <v>16169</v>
      </c>
      <c r="B277" t="s">
        <v>16169</v>
      </c>
      <c r="C277" t="s">
        <v>16170</v>
      </c>
      <c r="D277" t="s">
        <v>3242</v>
      </c>
      <c r="E277" t="s">
        <v>15710</v>
      </c>
      <c r="F277" t="s">
        <v>3288</v>
      </c>
      <c r="G277" t="s">
        <v>3060</v>
      </c>
      <c r="H277" t="s">
        <v>3285</v>
      </c>
    </row>
    <row r="278" spans="1:9" x14ac:dyDescent="0.25">
      <c r="A278" t="s">
        <v>4016</v>
      </c>
      <c r="B278" t="s">
        <v>4016</v>
      </c>
      <c r="C278" t="s">
        <v>4017</v>
      </c>
      <c r="D278" t="s">
        <v>3242</v>
      </c>
      <c r="E278" t="s">
        <v>15710</v>
      </c>
      <c r="F278" t="s">
        <v>3345</v>
      </c>
      <c r="G278" t="s">
        <v>4018</v>
      </c>
      <c r="H278" t="s">
        <v>4019</v>
      </c>
    </row>
    <row r="279" spans="1:9" x14ac:dyDescent="0.25">
      <c r="A279" t="s">
        <v>4020</v>
      </c>
      <c r="B279" t="s">
        <v>4020</v>
      </c>
      <c r="C279" t="s">
        <v>4021</v>
      </c>
      <c r="D279" t="s">
        <v>3242</v>
      </c>
      <c r="E279" t="s">
        <v>15710</v>
      </c>
      <c r="F279" t="s">
        <v>3243</v>
      </c>
      <c r="G279" t="s">
        <v>3243</v>
      </c>
      <c r="H279" t="s">
        <v>3290</v>
      </c>
    </row>
    <row r="280" spans="1:9" x14ac:dyDescent="0.25">
      <c r="A280" t="s">
        <v>4022</v>
      </c>
      <c r="B280" t="s">
        <v>4022</v>
      </c>
      <c r="C280" t="s">
        <v>4023</v>
      </c>
      <c r="D280" t="s">
        <v>3242</v>
      </c>
      <c r="E280" t="s">
        <v>15710</v>
      </c>
      <c r="F280" t="s">
        <v>3288</v>
      </c>
      <c r="G280" t="s">
        <v>4024</v>
      </c>
      <c r="H280" t="s">
        <v>3488</v>
      </c>
    </row>
    <row r="281" spans="1:9" x14ac:dyDescent="0.25">
      <c r="A281" t="s">
        <v>4025</v>
      </c>
      <c r="B281" t="s">
        <v>4025</v>
      </c>
      <c r="C281" t="s">
        <v>4026</v>
      </c>
      <c r="D281" t="s">
        <v>3242</v>
      </c>
      <c r="E281" t="s">
        <v>15966</v>
      </c>
      <c r="F281" t="s">
        <v>3300</v>
      </c>
      <c r="G281" t="s">
        <v>4027</v>
      </c>
      <c r="H281" t="s">
        <v>3668</v>
      </c>
      <c r="I281" t="s">
        <v>4028</v>
      </c>
    </row>
    <row r="282" spans="1:9" x14ac:dyDescent="0.25">
      <c r="A282" t="s">
        <v>15732</v>
      </c>
      <c r="B282" t="s">
        <v>15732</v>
      </c>
      <c r="C282" t="s">
        <v>15733</v>
      </c>
      <c r="D282" t="s">
        <v>3242</v>
      </c>
      <c r="E282" t="s">
        <v>15710</v>
      </c>
      <c r="F282" t="s">
        <v>3288</v>
      </c>
      <c r="G282" t="s">
        <v>3060</v>
      </c>
      <c r="H282" t="s">
        <v>3285</v>
      </c>
    </row>
    <row r="283" spans="1:9" x14ac:dyDescent="0.25">
      <c r="A283" t="s">
        <v>4029</v>
      </c>
      <c r="B283" t="s">
        <v>4029</v>
      </c>
      <c r="C283" t="s">
        <v>4030</v>
      </c>
      <c r="D283" t="s">
        <v>3242</v>
      </c>
      <c r="E283" t="s">
        <v>15710</v>
      </c>
      <c r="F283" t="s">
        <v>3283</v>
      </c>
      <c r="G283" t="s">
        <v>4031</v>
      </c>
      <c r="H283" t="s">
        <v>3285</v>
      </c>
    </row>
    <row r="284" spans="1:9" x14ac:dyDescent="0.25">
      <c r="A284" t="s">
        <v>16151</v>
      </c>
      <c r="B284" t="s">
        <v>16151</v>
      </c>
      <c r="C284" t="s">
        <v>16152</v>
      </c>
      <c r="D284" t="s">
        <v>3242</v>
      </c>
      <c r="E284" t="s">
        <v>15710</v>
      </c>
      <c r="F284" t="s">
        <v>16153</v>
      </c>
      <c r="G284" t="s">
        <v>16154</v>
      </c>
      <c r="H284" t="s">
        <v>4646</v>
      </c>
    </row>
    <row r="285" spans="1:9" x14ac:dyDescent="0.25">
      <c r="A285" t="s">
        <v>4032</v>
      </c>
      <c r="B285" t="s">
        <v>4032</v>
      </c>
      <c r="C285" t="s">
        <v>4033</v>
      </c>
      <c r="D285" t="s">
        <v>3242</v>
      </c>
      <c r="E285" t="s">
        <v>15710</v>
      </c>
      <c r="F285" t="s">
        <v>3243</v>
      </c>
      <c r="G285" t="s">
        <v>4034</v>
      </c>
      <c r="H285" t="s">
        <v>4035</v>
      </c>
    </row>
    <row r="286" spans="1:9" x14ac:dyDescent="0.25">
      <c r="A286" t="s">
        <v>4036</v>
      </c>
      <c r="B286" t="s">
        <v>4036</v>
      </c>
      <c r="C286" t="s">
        <v>4037</v>
      </c>
      <c r="D286" t="s">
        <v>3242</v>
      </c>
      <c r="E286" t="s">
        <v>15710</v>
      </c>
      <c r="F286" t="s">
        <v>3288</v>
      </c>
      <c r="G286" t="s">
        <v>4038</v>
      </c>
      <c r="H286" t="s">
        <v>3915</v>
      </c>
    </row>
    <row r="287" spans="1:9" x14ac:dyDescent="0.25">
      <c r="A287" t="s">
        <v>4039</v>
      </c>
      <c r="B287" t="s">
        <v>4039</v>
      </c>
      <c r="C287" t="s">
        <v>4040</v>
      </c>
      <c r="D287" t="s">
        <v>3242</v>
      </c>
      <c r="E287" t="s">
        <v>15710</v>
      </c>
      <c r="F287" t="s">
        <v>3345</v>
      </c>
      <c r="G287" t="s">
        <v>4041</v>
      </c>
      <c r="H287" t="s">
        <v>3680</v>
      </c>
    </row>
    <row r="288" spans="1:9" x14ac:dyDescent="0.25">
      <c r="A288" t="s">
        <v>4042</v>
      </c>
      <c r="B288" t="s">
        <v>4042</v>
      </c>
      <c r="C288" t="s">
        <v>4043</v>
      </c>
      <c r="D288" t="s">
        <v>3242</v>
      </c>
      <c r="E288" t="s">
        <v>15710</v>
      </c>
      <c r="F288" t="s">
        <v>3345</v>
      </c>
      <c r="G288" t="s">
        <v>4044</v>
      </c>
      <c r="H288" t="s">
        <v>4045</v>
      </c>
    </row>
    <row r="289" spans="1:8" x14ac:dyDescent="0.25">
      <c r="A289" t="s">
        <v>4046</v>
      </c>
      <c r="B289" t="s">
        <v>4046</v>
      </c>
      <c r="C289" t="s">
        <v>4047</v>
      </c>
      <c r="D289" t="s">
        <v>3242</v>
      </c>
      <c r="E289" t="s">
        <v>15710</v>
      </c>
      <c r="F289" t="s">
        <v>4048</v>
      </c>
      <c r="G289" t="s">
        <v>4049</v>
      </c>
      <c r="H289" t="s">
        <v>3488</v>
      </c>
    </row>
    <row r="290" spans="1:8" x14ac:dyDescent="0.25">
      <c r="A290" t="s">
        <v>4050</v>
      </c>
      <c r="B290" t="s">
        <v>4050</v>
      </c>
      <c r="C290" t="s">
        <v>4051</v>
      </c>
      <c r="D290" t="s">
        <v>3242</v>
      </c>
      <c r="E290" t="s">
        <v>15710</v>
      </c>
      <c r="F290" t="s">
        <v>3288</v>
      </c>
      <c r="G290" t="s">
        <v>4052</v>
      </c>
      <c r="H290" t="s">
        <v>3290</v>
      </c>
    </row>
    <row r="291" spans="1:8" x14ac:dyDescent="0.25">
      <c r="A291" t="s">
        <v>14893</v>
      </c>
      <c r="B291" t="s">
        <v>14893</v>
      </c>
      <c r="C291" t="s">
        <v>14894</v>
      </c>
      <c r="D291" t="s">
        <v>3242</v>
      </c>
      <c r="E291" t="s">
        <v>15710</v>
      </c>
      <c r="F291" t="s">
        <v>3243</v>
      </c>
      <c r="G291" t="s">
        <v>5344</v>
      </c>
      <c r="H291" t="s">
        <v>3285</v>
      </c>
    </row>
    <row r="292" spans="1:8" x14ac:dyDescent="0.25">
      <c r="A292" t="s">
        <v>4053</v>
      </c>
      <c r="B292" t="s">
        <v>4053</v>
      </c>
      <c r="C292" t="s">
        <v>4054</v>
      </c>
      <c r="D292" t="s">
        <v>3242</v>
      </c>
      <c r="E292" t="s">
        <v>15710</v>
      </c>
      <c r="F292" t="s">
        <v>3288</v>
      </c>
      <c r="G292" t="s">
        <v>3060</v>
      </c>
      <c r="H292" t="s">
        <v>3285</v>
      </c>
    </row>
    <row r="293" spans="1:8" x14ac:dyDescent="0.25">
      <c r="A293" t="s">
        <v>4055</v>
      </c>
      <c r="B293" t="s">
        <v>4055</v>
      </c>
      <c r="C293" t="s">
        <v>4056</v>
      </c>
      <c r="D293" t="s">
        <v>3242</v>
      </c>
      <c r="E293" t="s">
        <v>15710</v>
      </c>
      <c r="F293" t="s">
        <v>3288</v>
      </c>
      <c r="G293" t="s">
        <v>4057</v>
      </c>
      <c r="H293" t="s">
        <v>3680</v>
      </c>
    </row>
    <row r="294" spans="1:8" x14ac:dyDescent="0.25">
      <c r="A294" t="s">
        <v>16155</v>
      </c>
      <c r="B294" t="s">
        <v>16155</v>
      </c>
      <c r="C294" t="s">
        <v>16156</v>
      </c>
      <c r="D294" t="s">
        <v>3242</v>
      </c>
      <c r="E294" t="s">
        <v>15710</v>
      </c>
      <c r="F294" t="s">
        <v>3243</v>
      </c>
      <c r="G294" t="s">
        <v>16157</v>
      </c>
      <c r="H294" t="s">
        <v>3285</v>
      </c>
    </row>
    <row r="295" spans="1:8" x14ac:dyDescent="0.25">
      <c r="A295" t="s">
        <v>4058</v>
      </c>
      <c r="B295" t="s">
        <v>4058</v>
      </c>
      <c r="C295" t="s">
        <v>4059</v>
      </c>
      <c r="D295" t="s">
        <v>3242</v>
      </c>
      <c r="E295" t="s">
        <v>15710</v>
      </c>
      <c r="F295" t="s">
        <v>3288</v>
      </c>
      <c r="G295" t="s">
        <v>4060</v>
      </c>
      <c r="H295" t="s">
        <v>3488</v>
      </c>
    </row>
    <row r="296" spans="1:8" x14ac:dyDescent="0.25">
      <c r="A296" t="s">
        <v>4061</v>
      </c>
      <c r="B296" t="s">
        <v>4061</v>
      </c>
      <c r="C296" t="s">
        <v>4062</v>
      </c>
      <c r="D296" t="s">
        <v>3242</v>
      </c>
      <c r="E296" t="s">
        <v>15710</v>
      </c>
      <c r="F296" t="s">
        <v>3288</v>
      </c>
      <c r="G296" t="s">
        <v>4007</v>
      </c>
      <c r="H296" t="s">
        <v>3744</v>
      </c>
    </row>
    <row r="297" spans="1:8" x14ac:dyDescent="0.25">
      <c r="A297" t="s">
        <v>4063</v>
      </c>
      <c r="B297" t="s">
        <v>4063</v>
      </c>
      <c r="C297" t="s">
        <v>4064</v>
      </c>
      <c r="D297" t="s">
        <v>3242</v>
      </c>
      <c r="E297" t="s">
        <v>15710</v>
      </c>
      <c r="F297" t="s">
        <v>3345</v>
      </c>
      <c r="G297" t="s">
        <v>4065</v>
      </c>
      <c r="H297" t="s">
        <v>3290</v>
      </c>
    </row>
    <row r="298" spans="1:8" x14ac:dyDescent="0.25">
      <c r="A298" t="s">
        <v>4066</v>
      </c>
      <c r="B298" t="s">
        <v>4066</v>
      </c>
      <c r="C298" t="s">
        <v>4067</v>
      </c>
      <c r="D298" t="s">
        <v>3242</v>
      </c>
      <c r="E298" t="s">
        <v>15710</v>
      </c>
      <c r="F298" t="s">
        <v>3243</v>
      </c>
      <c r="G298" t="s">
        <v>4068</v>
      </c>
      <c r="H298" t="s">
        <v>4045</v>
      </c>
    </row>
    <row r="299" spans="1:8" x14ac:dyDescent="0.25">
      <c r="A299" t="s">
        <v>4069</v>
      </c>
      <c r="B299" t="s">
        <v>4069</v>
      </c>
      <c r="C299" t="s">
        <v>4070</v>
      </c>
      <c r="D299" t="s">
        <v>3242</v>
      </c>
      <c r="E299" t="s">
        <v>15710</v>
      </c>
      <c r="F299" t="s">
        <v>3300</v>
      </c>
      <c r="G299" t="s">
        <v>4071</v>
      </c>
      <c r="H299" t="s">
        <v>3450</v>
      </c>
    </row>
    <row r="300" spans="1:8" x14ac:dyDescent="0.25">
      <c r="A300" t="s">
        <v>4072</v>
      </c>
      <c r="B300" t="s">
        <v>4072</v>
      </c>
      <c r="C300" t="s">
        <v>4073</v>
      </c>
      <c r="D300" t="s">
        <v>3242</v>
      </c>
      <c r="E300" t="s">
        <v>15710</v>
      </c>
      <c r="F300" t="s">
        <v>3288</v>
      </c>
      <c r="G300" t="s">
        <v>3060</v>
      </c>
      <c r="H300" t="s">
        <v>3290</v>
      </c>
    </row>
    <row r="301" spans="1:8" x14ac:dyDescent="0.25">
      <c r="A301" t="s">
        <v>4074</v>
      </c>
      <c r="B301" t="s">
        <v>4074</v>
      </c>
      <c r="C301" t="s">
        <v>4075</v>
      </c>
      <c r="D301" t="s">
        <v>3242</v>
      </c>
      <c r="E301" t="s">
        <v>15710</v>
      </c>
      <c r="F301" t="s">
        <v>3288</v>
      </c>
      <c r="G301" t="s">
        <v>4076</v>
      </c>
      <c r="H301" t="s">
        <v>3290</v>
      </c>
    </row>
    <row r="302" spans="1:8" x14ac:dyDescent="0.25">
      <c r="A302" t="s">
        <v>4077</v>
      </c>
      <c r="B302" t="s">
        <v>4077</v>
      </c>
      <c r="C302" t="s">
        <v>4078</v>
      </c>
      <c r="D302" t="s">
        <v>3242</v>
      </c>
      <c r="E302" t="s">
        <v>15710</v>
      </c>
      <c r="F302" t="s">
        <v>3288</v>
      </c>
      <c r="G302" t="s">
        <v>4079</v>
      </c>
      <c r="H302" t="s">
        <v>3290</v>
      </c>
    </row>
    <row r="303" spans="1:8" x14ac:dyDescent="0.25">
      <c r="A303" t="s">
        <v>16158</v>
      </c>
      <c r="B303" t="s">
        <v>16158</v>
      </c>
      <c r="C303" t="s">
        <v>16159</v>
      </c>
      <c r="D303" t="s">
        <v>3242</v>
      </c>
      <c r="E303" t="s">
        <v>15710</v>
      </c>
      <c r="F303" t="s">
        <v>3288</v>
      </c>
      <c r="G303" t="s">
        <v>3060</v>
      </c>
      <c r="H303" t="s">
        <v>3285</v>
      </c>
    </row>
    <row r="304" spans="1:8" x14ac:dyDescent="0.25">
      <c r="A304" t="s">
        <v>4080</v>
      </c>
      <c r="B304" t="s">
        <v>4080</v>
      </c>
      <c r="C304" t="s">
        <v>4081</v>
      </c>
      <c r="D304" t="s">
        <v>3242</v>
      </c>
      <c r="E304" t="s">
        <v>15710</v>
      </c>
      <c r="F304" t="s">
        <v>3288</v>
      </c>
      <c r="G304" t="s">
        <v>4082</v>
      </c>
      <c r="H304" t="s">
        <v>3680</v>
      </c>
    </row>
    <row r="305" spans="1:9" x14ac:dyDescent="0.25">
      <c r="A305" t="s">
        <v>4083</v>
      </c>
      <c r="B305" t="s">
        <v>4083</v>
      </c>
      <c r="C305" t="s">
        <v>4084</v>
      </c>
      <c r="D305" t="s">
        <v>3242</v>
      </c>
      <c r="E305" t="s">
        <v>15710</v>
      </c>
      <c r="F305" t="s">
        <v>3288</v>
      </c>
      <c r="G305" t="s">
        <v>4085</v>
      </c>
      <c r="H305" t="s">
        <v>3680</v>
      </c>
    </row>
    <row r="306" spans="1:9" x14ac:dyDescent="0.25">
      <c r="A306" t="s">
        <v>4086</v>
      </c>
      <c r="B306" t="s">
        <v>4086</v>
      </c>
      <c r="C306" t="s">
        <v>4087</v>
      </c>
      <c r="D306" t="s">
        <v>3242</v>
      </c>
      <c r="E306" t="s">
        <v>15710</v>
      </c>
      <c r="F306" t="s">
        <v>3243</v>
      </c>
      <c r="G306" t="s">
        <v>4088</v>
      </c>
      <c r="H306" t="s">
        <v>3290</v>
      </c>
    </row>
    <row r="307" spans="1:9" x14ac:dyDescent="0.25">
      <c r="A307" t="s">
        <v>4089</v>
      </c>
      <c r="B307" t="s">
        <v>4089</v>
      </c>
      <c r="C307" t="s">
        <v>4090</v>
      </c>
      <c r="D307" t="s">
        <v>3242</v>
      </c>
      <c r="E307" t="s">
        <v>15710</v>
      </c>
      <c r="F307" t="s">
        <v>3300</v>
      </c>
      <c r="G307" t="s">
        <v>4091</v>
      </c>
      <c r="H307" t="s">
        <v>3267</v>
      </c>
      <c r="I307" t="s">
        <v>3366</v>
      </c>
    </row>
    <row r="308" spans="1:9" x14ac:dyDescent="0.25">
      <c r="A308" t="s">
        <v>14895</v>
      </c>
      <c r="B308" t="s">
        <v>14895</v>
      </c>
      <c r="C308" t="s">
        <v>14896</v>
      </c>
      <c r="D308" t="s">
        <v>3242</v>
      </c>
      <c r="E308" t="s">
        <v>15710</v>
      </c>
      <c r="F308" t="s">
        <v>3243</v>
      </c>
      <c r="G308" t="s">
        <v>14897</v>
      </c>
      <c r="H308" t="s">
        <v>3402</v>
      </c>
    </row>
    <row r="309" spans="1:9" x14ac:dyDescent="0.25">
      <c r="A309" t="s">
        <v>14898</v>
      </c>
      <c r="B309" t="s">
        <v>14898</v>
      </c>
      <c r="C309" t="s">
        <v>14899</v>
      </c>
      <c r="D309" t="s">
        <v>3242</v>
      </c>
      <c r="E309" t="s">
        <v>15710</v>
      </c>
      <c r="F309" t="s">
        <v>3283</v>
      </c>
      <c r="G309" t="s">
        <v>14900</v>
      </c>
      <c r="H309" t="s">
        <v>3285</v>
      </c>
    </row>
    <row r="310" spans="1:9" x14ac:dyDescent="0.25">
      <c r="A310" t="s">
        <v>4092</v>
      </c>
      <c r="B310" t="s">
        <v>4092</v>
      </c>
      <c r="C310" t="s">
        <v>4093</v>
      </c>
      <c r="D310" t="s">
        <v>3242</v>
      </c>
      <c r="E310" t="s">
        <v>15710</v>
      </c>
      <c r="F310" t="s">
        <v>3243</v>
      </c>
      <c r="G310" t="s">
        <v>4094</v>
      </c>
      <c r="H310" t="s">
        <v>3680</v>
      </c>
    </row>
    <row r="311" spans="1:9" x14ac:dyDescent="0.25">
      <c r="A311" t="s">
        <v>4095</v>
      </c>
      <c r="B311" t="s">
        <v>4095</v>
      </c>
      <c r="C311" t="s">
        <v>4096</v>
      </c>
      <c r="D311" t="s">
        <v>3242</v>
      </c>
      <c r="E311" t="s">
        <v>15710</v>
      </c>
      <c r="F311" t="s">
        <v>3288</v>
      </c>
      <c r="G311" t="s">
        <v>4097</v>
      </c>
      <c r="H311" t="s">
        <v>3285</v>
      </c>
    </row>
    <row r="312" spans="1:9" x14ac:dyDescent="0.25">
      <c r="A312" t="s">
        <v>4098</v>
      </c>
      <c r="B312" t="s">
        <v>4098</v>
      </c>
      <c r="C312" t="s">
        <v>4099</v>
      </c>
      <c r="D312" t="s">
        <v>3242</v>
      </c>
      <c r="E312" t="s">
        <v>15710</v>
      </c>
      <c r="F312" t="s">
        <v>3257</v>
      </c>
      <c r="G312" t="s">
        <v>3454</v>
      </c>
      <c r="H312" t="s">
        <v>3455</v>
      </c>
      <c r="I312" t="s">
        <v>3407</v>
      </c>
    </row>
    <row r="313" spans="1:9" x14ac:dyDescent="0.25">
      <c r="A313" t="s">
        <v>4100</v>
      </c>
      <c r="B313" t="s">
        <v>4100</v>
      </c>
      <c r="C313" t="s">
        <v>4101</v>
      </c>
      <c r="D313" t="s">
        <v>3242</v>
      </c>
      <c r="E313" t="s">
        <v>15710</v>
      </c>
      <c r="F313" t="s">
        <v>4102</v>
      </c>
      <c r="G313" t="s">
        <v>4103</v>
      </c>
      <c r="H313" t="s">
        <v>3060</v>
      </c>
    </row>
    <row r="314" spans="1:9" x14ac:dyDescent="0.25">
      <c r="A314" t="s">
        <v>4104</v>
      </c>
      <c r="B314" t="s">
        <v>4104</v>
      </c>
      <c r="C314" t="s">
        <v>4105</v>
      </c>
      <c r="D314" t="s">
        <v>3242</v>
      </c>
      <c r="E314" t="s">
        <v>15710</v>
      </c>
      <c r="F314" t="s">
        <v>3345</v>
      </c>
      <c r="G314" t="s">
        <v>4106</v>
      </c>
      <c r="H314" t="s">
        <v>3285</v>
      </c>
    </row>
    <row r="315" spans="1:9" x14ac:dyDescent="0.25">
      <c r="A315" t="s">
        <v>4107</v>
      </c>
      <c r="B315" t="s">
        <v>4108</v>
      </c>
      <c r="C315" t="s">
        <v>4109</v>
      </c>
      <c r="D315" t="s">
        <v>3242</v>
      </c>
      <c r="E315" t="s">
        <v>15710</v>
      </c>
      <c r="F315" t="s">
        <v>3243</v>
      </c>
      <c r="G315" t="s">
        <v>4110</v>
      </c>
      <c r="H315" t="s">
        <v>3402</v>
      </c>
    </row>
    <row r="316" spans="1:9" x14ac:dyDescent="0.25">
      <c r="A316" t="s">
        <v>17146</v>
      </c>
      <c r="B316" t="s">
        <v>17146</v>
      </c>
      <c r="C316" t="s">
        <v>17147</v>
      </c>
      <c r="D316" t="s">
        <v>3242</v>
      </c>
      <c r="E316" t="s">
        <v>15710</v>
      </c>
      <c r="F316" t="s">
        <v>3243</v>
      </c>
      <c r="G316" t="s">
        <v>17148</v>
      </c>
      <c r="H316" t="s">
        <v>4697</v>
      </c>
    </row>
    <row r="317" spans="1:9" x14ac:dyDescent="0.25">
      <c r="A317" t="s">
        <v>4111</v>
      </c>
      <c r="B317" t="s">
        <v>4111</v>
      </c>
      <c r="C317" t="s">
        <v>4112</v>
      </c>
      <c r="D317" t="s">
        <v>3242</v>
      </c>
      <c r="E317" t="s">
        <v>15710</v>
      </c>
      <c r="F317" t="s">
        <v>3243</v>
      </c>
      <c r="G317" t="s">
        <v>4113</v>
      </c>
      <c r="H317" t="s">
        <v>3290</v>
      </c>
    </row>
    <row r="318" spans="1:9" x14ac:dyDescent="0.25">
      <c r="A318" t="s">
        <v>4114</v>
      </c>
      <c r="B318" t="s">
        <v>4114</v>
      </c>
      <c r="C318" t="s">
        <v>4115</v>
      </c>
      <c r="D318" t="s">
        <v>3242</v>
      </c>
      <c r="E318" t="s">
        <v>15710</v>
      </c>
      <c r="F318" t="s">
        <v>3288</v>
      </c>
      <c r="G318" t="s">
        <v>4116</v>
      </c>
      <c r="H318" t="s">
        <v>3680</v>
      </c>
    </row>
    <row r="319" spans="1:9" x14ac:dyDescent="0.25">
      <c r="A319" t="s">
        <v>4117</v>
      </c>
      <c r="B319" t="s">
        <v>4117</v>
      </c>
      <c r="C319" t="s">
        <v>4118</v>
      </c>
      <c r="D319" t="s">
        <v>3242</v>
      </c>
      <c r="E319" t="s">
        <v>15710</v>
      </c>
      <c r="F319" t="s">
        <v>3345</v>
      </c>
      <c r="G319" t="s">
        <v>4004</v>
      </c>
      <c r="H319" t="s">
        <v>3744</v>
      </c>
    </row>
    <row r="320" spans="1:9" x14ac:dyDescent="0.25">
      <c r="A320" t="s">
        <v>4119</v>
      </c>
      <c r="B320" t="s">
        <v>4119</v>
      </c>
      <c r="C320" t="s">
        <v>4120</v>
      </c>
      <c r="D320" t="s">
        <v>3242</v>
      </c>
      <c r="E320" t="s">
        <v>15710</v>
      </c>
      <c r="F320" t="s">
        <v>3243</v>
      </c>
      <c r="G320" t="s">
        <v>4121</v>
      </c>
      <c r="H320" t="s">
        <v>3285</v>
      </c>
    </row>
    <row r="321" spans="1:9" x14ac:dyDescent="0.25">
      <c r="A321" t="s">
        <v>4122</v>
      </c>
      <c r="B321" t="s">
        <v>4122</v>
      </c>
      <c r="C321" t="s">
        <v>4123</v>
      </c>
      <c r="D321" t="s">
        <v>3242</v>
      </c>
      <c r="E321" t="s">
        <v>15710</v>
      </c>
      <c r="F321" t="s">
        <v>3288</v>
      </c>
      <c r="G321" t="s">
        <v>4124</v>
      </c>
      <c r="H321" t="s">
        <v>3285</v>
      </c>
    </row>
    <row r="322" spans="1:9" x14ac:dyDescent="0.25">
      <c r="A322" t="s">
        <v>4125</v>
      </c>
      <c r="B322" t="s">
        <v>4125</v>
      </c>
      <c r="C322" t="s">
        <v>4126</v>
      </c>
      <c r="D322" t="s">
        <v>3242</v>
      </c>
      <c r="E322" t="s">
        <v>15710</v>
      </c>
      <c r="F322" t="s">
        <v>3288</v>
      </c>
      <c r="G322" t="s">
        <v>4127</v>
      </c>
      <c r="H322" t="s">
        <v>3915</v>
      </c>
    </row>
    <row r="323" spans="1:9" x14ac:dyDescent="0.25">
      <c r="A323" t="s">
        <v>16160</v>
      </c>
      <c r="B323" t="s">
        <v>16160</v>
      </c>
      <c r="C323" t="s">
        <v>16161</v>
      </c>
      <c r="D323" t="s">
        <v>3242</v>
      </c>
      <c r="E323" t="s">
        <v>15710</v>
      </c>
      <c r="F323" t="s">
        <v>3288</v>
      </c>
      <c r="G323" t="s">
        <v>16162</v>
      </c>
      <c r="H323" t="s">
        <v>3915</v>
      </c>
    </row>
    <row r="324" spans="1:9" x14ac:dyDescent="0.25">
      <c r="A324" t="s">
        <v>4128</v>
      </c>
      <c r="B324" t="s">
        <v>4128</v>
      </c>
      <c r="C324" t="s">
        <v>4129</v>
      </c>
      <c r="D324" t="s">
        <v>3242</v>
      </c>
      <c r="E324" t="s">
        <v>15710</v>
      </c>
      <c r="F324" t="s">
        <v>3288</v>
      </c>
      <c r="G324" t="s">
        <v>4130</v>
      </c>
      <c r="H324" t="s">
        <v>3290</v>
      </c>
    </row>
    <row r="325" spans="1:9" x14ac:dyDescent="0.25">
      <c r="A325" t="s">
        <v>16163</v>
      </c>
      <c r="B325" t="s">
        <v>16163</v>
      </c>
      <c r="C325" t="s">
        <v>16164</v>
      </c>
      <c r="D325" t="s">
        <v>3242</v>
      </c>
      <c r="E325" t="s">
        <v>15710</v>
      </c>
      <c r="F325" t="s">
        <v>3345</v>
      </c>
      <c r="G325" t="s">
        <v>16165</v>
      </c>
      <c r="H325" t="s">
        <v>3937</v>
      </c>
    </row>
    <row r="326" spans="1:9" x14ac:dyDescent="0.25">
      <c r="A326" t="s">
        <v>4131</v>
      </c>
      <c r="B326" t="s">
        <v>4131</v>
      </c>
      <c r="C326" t="s">
        <v>4132</v>
      </c>
      <c r="D326" t="s">
        <v>3242</v>
      </c>
      <c r="E326" t="s">
        <v>15710</v>
      </c>
      <c r="F326" t="s">
        <v>3243</v>
      </c>
      <c r="G326" t="s">
        <v>4019</v>
      </c>
      <c r="H326" t="s">
        <v>3836</v>
      </c>
    </row>
    <row r="327" spans="1:9" x14ac:dyDescent="0.25">
      <c r="A327" t="s">
        <v>4133</v>
      </c>
      <c r="B327" t="s">
        <v>4133</v>
      </c>
      <c r="C327" t="s">
        <v>4134</v>
      </c>
      <c r="D327" t="s">
        <v>3242</v>
      </c>
      <c r="E327" t="s">
        <v>15710</v>
      </c>
      <c r="F327" t="s">
        <v>3288</v>
      </c>
      <c r="G327" t="s">
        <v>3936</v>
      </c>
      <c r="H327" t="s">
        <v>3285</v>
      </c>
    </row>
    <row r="328" spans="1:9" x14ac:dyDescent="0.25">
      <c r="A328" t="s">
        <v>4135</v>
      </c>
      <c r="B328" t="s">
        <v>4135</v>
      </c>
      <c r="C328" t="s">
        <v>4136</v>
      </c>
      <c r="D328" t="s">
        <v>3242</v>
      </c>
      <c r="E328" t="s">
        <v>15710</v>
      </c>
      <c r="F328" t="s">
        <v>3288</v>
      </c>
      <c r="G328" t="s">
        <v>4137</v>
      </c>
      <c r="H328" t="s">
        <v>3361</v>
      </c>
    </row>
    <row r="329" spans="1:9" x14ac:dyDescent="0.25">
      <c r="A329" t="s">
        <v>16419</v>
      </c>
      <c r="B329" t="s">
        <v>16419</v>
      </c>
      <c r="C329" t="s">
        <v>16420</v>
      </c>
      <c r="D329" t="s">
        <v>3242</v>
      </c>
      <c r="E329" t="s">
        <v>15710</v>
      </c>
      <c r="F329" t="s">
        <v>3288</v>
      </c>
      <c r="G329" t="s">
        <v>3060</v>
      </c>
      <c r="H329" t="s">
        <v>3285</v>
      </c>
    </row>
    <row r="330" spans="1:9" x14ac:dyDescent="0.25">
      <c r="A330" t="s">
        <v>4138</v>
      </c>
      <c r="B330" t="s">
        <v>4138</v>
      </c>
      <c r="C330" t="s">
        <v>4139</v>
      </c>
      <c r="D330" t="s">
        <v>3242</v>
      </c>
      <c r="E330" t="s">
        <v>16903</v>
      </c>
      <c r="F330" t="s">
        <v>3251</v>
      </c>
      <c r="G330" t="s">
        <v>4140</v>
      </c>
      <c r="H330" t="s">
        <v>3668</v>
      </c>
      <c r="I330" t="s">
        <v>4028</v>
      </c>
    </row>
    <row r="331" spans="1:9" x14ac:dyDescent="0.25">
      <c r="A331" t="s">
        <v>16655</v>
      </c>
      <c r="B331" t="s">
        <v>16655</v>
      </c>
      <c r="C331" t="s">
        <v>16656</v>
      </c>
      <c r="D331" t="s">
        <v>3242</v>
      </c>
      <c r="E331" t="s">
        <v>15710</v>
      </c>
      <c r="F331" t="s">
        <v>3288</v>
      </c>
      <c r="G331" t="s">
        <v>16657</v>
      </c>
      <c r="H331" t="s">
        <v>3680</v>
      </c>
    </row>
    <row r="332" spans="1:9" x14ac:dyDescent="0.25">
      <c r="A332" t="s">
        <v>4141</v>
      </c>
      <c r="B332" t="s">
        <v>4141</v>
      </c>
      <c r="C332" t="s">
        <v>4142</v>
      </c>
      <c r="D332" t="s">
        <v>3242</v>
      </c>
      <c r="E332" t="s">
        <v>15710</v>
      </c>
      <c r="F332" t="s">
        <v>3243</v>
      </c>
      <c r="G332" t="s">
        <v>4143</v>
      </c>
      <c r="H332" t="s">
        <v>3060</v>
      </c>
    </row>
    <row r="333" spans="1:9" x14ac:dyDescent="0.25">
      <c r="A333" t="s">
        <v>4144</v>
      </c>
      <c r="B333" t="s">
        <v>4144</v>
      </c>
      <c r="C333" t="s">
        <v>4145</v>
      </c>
      <c r="D333" t="s">
        <v>3242</v>
      </c>
      <c r="E333" t="s">
        <v>15710</v>
      </c>
      <c r="F333" t="s">
        <v>3345</v>
      </c>
      <c r="G333" t="s">
        <v>4146</v>
      </c>
      <c r="H333" t="s">
        <v>3285</v>
      </c>
    </row>
    <row r="334" spans="1:9" x14ac:dyDescent="0.25">
      <c r="A334" t="s">
        <v>16166</v>
      </c>
      <c r="B334" t="s">
        <v>16166</v>
      </c>
      <c r="C334" t="s">
        <v>16167</v>
      </c>
      <c r="D334" t="s">
        <v>3242</v>
      </c>
      <c r="E334" t="s">
        <v>15710</v>
      </c>
      <c r="F334" t="s">
        <v>3288</v>
      </c>
      <c r="G334" t="s">
        <v>16168</v>
      </c>
      <c r="H334" t="s">
        <v>3285</v>
      </c>
    </row>
    <row r="335" spans="1:9" x14ac:dyDescent="0.25">
      <c r="A335" t="s">
        <v>4147</v>
      </c>
      <c r="B335" t="s">
        <v>4147</v>
      </c>
      <c r="C335" t="s">
        <v>4148</v>
      </c>
      <c r="D335" t="s">
        <v>3242</v>
      </c>
      <c r="E335" t="s">
        <v>15710</v>
      </c>
      <c r="F335" t="s">
        <v>3288</v>
      </c>
      <c r="G335" t="s">
        <v>3060</v>
      </c>
      <c r="H335" t="s">
        <v>3285</v>
      </c>
    </row>
    <row r="336" spans="1:9" x14ac:dyDescent="0.25">
      <c r="A336" t="s">
        <v>4149</v>
      </c>
      <c r="B336" t="s">
        <v>4149</v>
      </c>
      <c r="C336" t="s">
        <v>4150</v>
      </c>
      <c r="D336" t="s">
        <v>3242</v>
      </c>
      <c r="E336" t="s">
        <v>15710</v>
      </c>
      <c r="F336" t="s">
        <v>3345</v>
      </c>
      <c r="G336" t="s">
        <v>4151</v>
      </c>
      <c r="H336" t="s">
        <v>3290</v>
      </c>
    </row>
    <row r="337" spans="1:9" x14ac:dyDescent="0.25">
      <c r="A337" t="s">
        <v>4152</v>
      </c>
      <c r="B337" t="s">
        <v>4152</v>
      </c>
      <c r="C337" t="s">
        <v>4153</v>
      </c>
      <c r="D337" t="s">
        <v>3242</v>
      </c>
      <c r="E337" t="s">
        <v>15710</v>
      </c>
      <c r="F337" t="s">
        <v>3288</v>
      </c>
      <c r="G337" t="s">
        <v>4154</v>
      </c>
      <c r="H337" t="s">
        <v>3463</v>
      </c>
    </row>
    <row r="338" spans="1:9" x14ac:dyDescent="0.25">
      <c r="A338" t="s">
        <v>4155</v>
      </c>
      <c r="B338" t="s">
        <v>4155</v>
      </c>
      <c r="C338" t="s">
        <v>4156</v>
      </c>
      <c r="D338" t="s">
        <v>3242</v>
      </c>
      <c r="E338" t="s">
        <v>15710</v>
      </c>
      <c r="F338" t="s">
        <v>3288</v>
      </c>
      <c r="G338" t="s">
        <v>4157</v>
      </c>
      <c r="H338" t="s">
        <v>3361</v>
      </c>
    </row>
    <row r="339" spans="1:9" x14ac:dyDescent="0.25">
      <c r="A339" t="s">
        <v>4158</v>
      </c>
      <c r="B339" t="s">
        <v>4158</v>
      </c>
      <c r="C339" t="s">
        <v>4159</v>
      </c>
      <c r="D339" t="s">
        <v>3242</v>
      </c>
      <c r="E339" t="s">
        <v>15710</v>
      </c>
      <c r="F339" t="s">
        <v>3288</v>
      </c>
      <c r="G339" t="s">
        <v>3737</v>
      </c>
      <c r="H339" t="s">
        <v>3361</v>
      </c>
    </row>
    <row r="340" spans="1:9" x14ac:dyDescent="0.25">
      <c r="A340" t="s">
        <v>4160</v>
      </c>
      <c r="B340" t="s">
        <v>4160</v>
      </c>
      <c r="C340" t="s">
        <v>4161</v>
      </c>
      <c r="D340" t="s">
        <v>3242</v>
      </c>
      <c r="E340" t="s">
        <v>15710</v>
      </c>
      <c r="F340" t="s">
        <v>3288</v>
      </c>
      <c r="G340" t="s">
        <v>4162</v>
      </c>
      <c r="H340" t="s">
        <v>3361</v>
      </c>
    </row>
    <row r="341" spans="1:9" x14ac:dyDescent="0.25">
      <c r="A341" t="s">
        <v>16421</v>
      </c>
      <c r="B341" t="s">
        <v>16421</v>
      </c>
      <c r="C341" t="s">
        <v>16422</v>
      </c>
      <c r="D341" t="s">
        <v>3242</v>
      </c>
      <c r="E341" t="s">
        <v>15993</v>
      </c>
      <c r="F341" t="s">
        <v>3243</v>
      </c>
      <c r="G341" t="s">
        <v>16423</v>
      </c>
      <c r="H341" t="s">
        <v>3623</v>
      </c>
    </row>
    <row r="342" spans="1:9" x14ac:dyDescent="0.25">
      <c r="A342" t="s">
        <v>4163</v>
      </c>
      <c r="B342" t="s">
        <v>4163</v>
      </c>
      <c r="C342" t="s">
        <v>4164</v>
      </c>
      <c r="D342" t="s">
        <v>3242</v>
      </c>
      <c r="E342" t="s">
        <v>15710</v>
      </c>
      <c r="F342" t="s">
        <v>3243</v>
      </c>
      <c r="G342" t="s">
        <v>4165</v>
      </c>
      <c r="H342" t="s">
        <v>4166</v>
      </c>
    </row>
    <row r="343" spans="1:9" x14ac:dyDescent="0.25">
      <c r="A343" t="s">
        <v>15734</v>
      </c>
      <c r="B343" t="s">
        <v>15734</v>
      </c>
      <c r="C343" t="s">
        <v>15735</v>
      </c>
      <c r="D343" t="s">
        <v>3242</v>
      </c>
      <c r="E343" t="s">
        <v>15710</v>
      </c>
      <c r="F343" t="s">
        <v>3288</v>
      </c>
      <c r="G343" t="s">
        <v>3060</v>
      </c>
      <c r="H343" t="s">
        <v>3285</v>
      </c>
    </row>
    <row r="344" spans="1:9" x14ac:dyDescent="0.25">
      <c r="A344" t="s">
        <v>4167</v>
      </c>
      <c r="B344" t="s">
        <v>4167</v>
      </c>
      <c r="C344" t="s">
        <v>4168</v>
      </c>
      <c r="D344" t="s">
        <v>3242</v>
      </c>
      <c r="E344" t="s">
        <v>15710</v>
      </c>
      <c r="F344" t="s">
        <v>3288</v>
      </c>
      <c r="G344" t="s">
        <v>4169</v>
      </c>
      <c r="H344" t="s">
        <v>3680</v>
      </c>
    </row>
    <row r="345" spans="1:9" x14ac:dyDescent="0.25">
      <c r="A345" t="s">
        <v>4170</v>
      </c>
      <c r="B345" t="s">
        <v>4170</v>
      </c>
      <c r="C345" t="s">
        <v>4171</v>
      </c>
      <c r="D345" t="s">
        <v>3242</v>
      </c>
      <c r="E345" t="s">
        <v>15736</v>
      </c>
      <c r="F345" t="s">
        <v>3251</v>
      </c>
      <c r="G345" t="s">
        <v>4172</v>
      </c>
      <c r="H345" t="s">
        <v>3060</v>
      </c>
      <c r="I345" t="s">
        <v>4173</v>
      </c>
    </row>
    <row r="346" spans="1:9" x14ac:dyDescent="0.25">
      <c r="A346" t="s">
        <v>4174</v>
      </c>
      <c r="B346" t="s">
        <v>4174</v>
      </c>
      <c r="C346" t="s">
        <v>4175</v>
      </c>
      <c r="D346" t="s">
        <v>3242</v>
      </c>
      <c r="E346" t="s">
        <v>15710</v>
      </c>
      <c r="F346" t="s">
        <v>3288</v>
      </c>
      <c r="G346" t="s">
        <v>3562</v>
      </c>
      <c r="H346" t="s">
        <v>3060</v>
      </c>
    </row>
    <row r="347" spans="1:9" x14ac:dyDescent="0.25">
      <c r="A347" t="s">
        <v>4176</v>
      </c>
      <c r="B347" t="s">
        <v>4176</v>
      </c>
      <c r="C347" t="s">
        <v>4177</v>
      </c>
      <c r="D347" t="s">
        <v>3242</v>
      </c>
      <c r="E347" t="s">
        <v>17149</v>
      </c>
      <c r="F347" t="s">
        <v>3257</v>
      </c>
      <c r="G347" t="s">
        <v>4178</v>
      </c>
      <c r="H347" t="s">
        <v>4179</v>
      </c>
      <c r="I347" t="s">
        <v>3324</v>
      </c>
    </row>
    <row r="348" spans="1:9" x14ac:dyDescent="0.25">
      <c r="A348" t="s">
        <v>16754</v>
      </c>
      <c r="B348" t="s">
        <v>16754</v>
      </c>
      <c r="C348" t="s">
        <v>16755</v>
      </c>
      <c r="D348" t="s">
        <v>3242</v>
      </c>
      <c r="E348" t="s">
        <v>15710</v>
      </c>
      <c r="F348" t="s">
        <v>3243</v>
      </c>
      <c r="G348" t="s">
        <v>16756</v>
      </c>
      <c r="H348" t="s">
        <v>3285</v>
      </c>
    </row>
    <row r="349" spans="1:9" x14ac:dyDescent="0.25">
      <c r="A349" t="s">
        <v>4180</v>
      </c>
      <c r="B349" t="s">
        <v>4180</v>
      </c>
      <c r="C349" t="s">
        <v>4181</v>
      </c>
      <c r="D349" t="s">
        <v>3242</v>
      </c>
      <c r="E349" t="s">
        <v>15710</v>
      </c>
      <c r="F349" t="s">
        <v>3288</v>
      </c>
      <c r="G349" t="s">
        <v>3346</v>
      </c>
      <c r="H349" t="s">
        <v>3361</v>
      </c>
    </row>
    <row r="350" spans="1:9" x14ac:dyDescent="0.25">
      <c r="A350" t="s">
        <v>14901</v>
      </c>
      <c r="B350" t="s">
        <v>14901</v>
      </c>
      <c r="C350" t="s">
        <v>14902</v>
      </c>
      <c r="D350" t="s">
        <v>3242</v>
      </c>
      <c r="E350" t="s">
        <v>15710</v>
      </c>
      <c r="F350" t="s">
        <v>3288</v>
      </c>
      <c r="G350" t="s">
        <v>3060</v>
      </c>
      <c r="H350" t="s">
        <v>3285</v>
      </c>
    </row>
    <row r="351" spans="1:9" x14ac:dyDescent="0.25">
      <c r="A351" t="s">
        <v>4182</v>
      </c>
      <c r="B351" t="s">
        <v>4182</v>
      </c>
      <c r="C351" t="s">
        <v>4183</v>
      </c>
      <c r="D351" t="s">
        <v>3242</v>
      </c>
      <c r="E351" t="s">
        <v>15710</v>
      </c>
      <c r="F351" t="s">
        <v>3288</v>
      </c>
      <c r="G351" t="s">
        <v>4184</v>
      </c>
      <c r="H351" t="s">
        <v>3726</v>
      </c>
    </row>
    <row r="352" spans="1:9" x14ac:dyDescent="0.25">
      <c r="A352" t="s">
        <v>4185</v>
      </c>
      <c r="B352" t="s">
        <v>4185</v>
      </c>
      <c r="C352" t="s">
        <v>4186</v>
      </c>
      <c r="D352" t="s">
        <v>3242</v>
      </c>
      <c r="E352" t="s">
        <v>15710</v>
      </c>
      <c r="F352" t="s">
        <v>3243</v>
      </c>
      <c r="G352" t="s">
        <v>3537</v>
      </c>
      <c r="H352" t="s">
        <v>3285</v>
      </c>
    </row>
    <row r="353" spans="1:9" x14ac:dyDescent="0.25">
      <c r="A353" t="s">
        <v>4187</v>
      </c>
      <c r="B353" t="s">
        <v>4187</v>
      </c>
      <c r="C353" t="s">
        <v>4188</v>
      </c>
      <c r="D353" t="s">
        <v>3242</v>
      </c>
      <c r="E353" t="s">
        <v>15710</v>
      </c>
      <c r="F353" t="s">
        <v>3345</v>
      </c>
      <c r="G353" t="s">
        <v>4189</v>
      </c>
      <c r="H353" t="s">
        <v>3680</v>
      </c>
    </row>
    <row r="354" spans="1:9" x14ac:dyDescent="0.25">
      <c r="A354" t="s">
        <v>4190</v>
      </c>
      <c r="B354" t="s">
        <v>4190</v>
      </c>
      <c r="C354" t="s">
        <v>4191</v>
      </c>
      <c r="D354" t="s">
        <v>3242</v>
      </c>
      <c r="E354" t="s">
        <v>15710</v>
      </c>
      <c r="F354" t="s">
        <v>3257</v>
      </c>
      <c r="G354" t="s">
        <v>4192</v>
      </c>
      <c r="H354" t="s">
        <v>3421</v>
      </c>
      <c r="I354" t="s">
        <v>3254</v>
      </c>
    </row>
    <row r="355" spans="1:9" x14ac:dyDescent="0.25">
      <c r="A355" t="s">
        <v>4193</v>
      </c>
      <c r="B355" t="s">
        <v>4193</v>
      </c>
      <c r="C355" t="s">
        <v>4194</v>
      </c>
      <c r="D355" t="s">
        <v>3242</v>
      </c>
      <c r="E355" t="s">
        <v>15710</v>
      </c>
      <c r="F355" t="s">
        <v>3288</v>
      </c>
      <c r="G355" t="s">
        <v>4195</v>
      </c>
      <c r="H355" t="s">
        <v>3285</v>
      </c>
    </row>
    <row r="356" spans="1:9" x14ac:dyDescent="0.25">
      <c r="A356" t="s">
        <v>4196</v>
      </c>
      <c r="B356" t="s">
        <v>4196</v>
      </c>
      <c r="C356" t="s">
        <v>4197</v>
      </c>
      <c r="D356" t="s">
        <v>3242</v>
      </c>
      <c r="E356" t="s">
        <v>15710</v>
      </c>
      <c r="F356" t="s">
        <v>3243</v>
      </c>
      <c r="G356" t="s">
        <v>4198</v>
      </c>
      <c r="H356" t="s">
        <v>3285</v>
      </c>
    </row>
    <row r="357" spans="1:9" x14ac:dyDescent="0.25">
      <c r="A357" t="s">
        <v>4199</v>
      </c>
      <c r="B357" t="s">
        <v>4199</v>
      </c>
      <c r="C357" t="s">
        <v>4200</v>
      </c>
      <c r="D357" t="s">
        <v>3242</v>
      </c>
      <c r="E357" t="s">
        <v>15710</v>
      </c>
      <c r="F357" t="s">
        <v>3288</v>
      </c>
      <c r="G357" t="s">
        <v>4201</v>
      </c>
      <c r="H357" t="s">
        <v>3285</v>
      </c>
    </row>
    <row r="358" spans="1:9" x14ac:dyDescent="0.25">
      <c r="A358" t="s">
        <v>14903</v>
      </c>
      <c r="B358" t="s">
        <v>14903</v>
      </c>
      <c r="C358" t="s">
        <v>14904</v>
      </c>
      <c r="D358" t="s">
        <v>3242</v>
      </c>
      <c r="E358" t="s">
        <v>15710</v>
      </c>
      <c r="F358" t="s">
        <v>3243</v>
      </c>
      <c r="G358" t="s">
        <v>14905</v>
      </c>
      <c r="H358" t="s">
        <v>3285</v>
      </c>
    </row>
    <row r="359" spans="1:9" x14ac:dyDescent="0.25">
      <c r="A359" t="s">
        <v>4202</v>
      </c>
      <c r="B359" t="s">
        <v>4202</v>
      </c>
      <c r="C359" t="s">
        <v>4203</v>
      </c>
      <c r="D359" t="s">
        <v>3242</v>
      </c>
      <c r="E359" t="s">
        <v>15710</v>
      </c>
      <c r="F359" t="s">
        <v>3257</v>
      </c>
      <c r="G359" t="s">
        <v>4204</v>
      </c>
      <c r="H359" t="s">
        <v>3253</v>
      </c>
    </row>
    <row r="360" spans="1:9" x14ac:dyDescent="0.25">
      <c r="A360" t="s">
        <v>4205</v>
      </c>
      <c r="B360" t="s">
        <v>4205</v>
      </c>
      <c r="C360" t="s">
        <v>4206</v>
      </c>
      <c r="D360" t="s">
        <v>3242</v>
      </c>
      <c r="E360" t="s">
        <v>15710</v>
      </c>
      <c r="F360" t="s">
        <v>3288</v>
      </c>
      <c r="G360" t="s">
        <v>4207</v>
      </c>
      <c r="H360" t="s">
        <v>3060</v>
      </c>
    </row>
    <row r="361" spans="1:9" x14ac:dyDescent="0.25">
      <c r="A361" t="s">
        <v>4208</v>
      </c>
      <c r="B361" t="s">
        <v>4208</v>
      </c>
      <c r="C361" t="s">
        <v>4209</v>
      </c>
      <c r="D361" t="s">
        <v>3242</v>
      </c>
      <c r="E361" t="s">
        <v>16171</v>
      </c>
      <c r="F361" t="s">
        <v>3251</v>
      </c>
      <c r="G361" t="s">
        <v>4210</v>
      </c>
      <c r="H361" t="s">
        <v>3668</v>
      </c>
      <c r="I361" t="s">
        <v>4028</v>
      </c>
    </row>
    <row r="362" spans="1:9" x14ac:dyDescent="0.25">
      <c r="A362" t="s">
        <v>4211</v>
      </c>
      <c r="B362" t="s">
        <v>4211</v>
      </c>
      <c r="C362" t="s">
        <v>4212</v>
      </c>
      <c r="D362" t="s">
        <v>3242</v>
      </c>
      <c r="E362" t="s">
        <v>15710</v>
      </c>
      <c r="F362" t="s">
        <v>3243</v>
      </c>
      <c r="G362" t="s">
        <v>4213</v>
      </c>
      <c r="H362" t="s">
        <v>3290</v>
      </c>
    </row>
    <row r="363" spans="1:9" x14ac:dyDescent="0.25">
      <c r="A363" t="s">
        <v>4214</v>
      </c>
      <c r="B363" t="s">
        <v>4214</v>
      </c>
      <c r="C363" t="s">
        <v>4215</v>
      </c>
      <c r="D363" t="s">
        <v>3242</v>
      </c>
      <c r="E363" t="s">
        <v>15710</v>
      </c>
      <c r="F363" t="s">
        <v>3283</v>
      </c>
      <c r="G363" t="s">
        <v>4216</v>
      </c>
      <c r="H363" t="s">
        <v>3680</v>
      </c>
    </row>
    <row r="364" spans="1:9" x14ac:dyDescent="0.25">
      <c r="A364" t="s">
        <v>4217</v>
      </c>
      <c r="B364" t="s">
        <v>4217</v>
      </c>
      <c r="C364" t="s">
        <v>4218</v>
      </c>
      <c r="D364" t="s">
        <v>3242</v>
      </c>
      <c r="E364" t="s">
        <v>15710</v>
      </c>
      <c r="F364" t="s">
        <v>3243</v>
      </c>
      <c r="G364" t="s">
        <v>4219</v>
      </c>
      <c r="H364" t="s">
        <v>3680</v>
      </c>
    </row>
    <row r="365" spans="1:9" x14ac:dyDescent="0.25">
      <c r="A365" t="s">
        <v>16904</v>
      </c>
      <c r="B365" t="s">
        <v>16904</v>
      </c>
      <c r="C365" t="s">
        <v>16905</v>
      </c>
      <c r="D365" t="s">
        <v>3242</v>
      </c>
      <c r="E365" t="s">
        <v>15710</v>
      </c>
      <c r="F365" t="s">
        <v>3288</v>
      </c>
      <c r="G365" t="s">
        <v>16906</v>
      </c>
      <c r="H365" t="s">
        <v>3463</v>
      </c>
    </row>
    <row r="366" spans="1:9" x14ac:dyDescent="0.25">
      <c r="A366" t="s">
        <v>4220</v>
      </c>
      <c r="B366" t="s">
        <v>4220</v>
      </c>
      <c r="C366" t="s">
        <v>4221</v>
      </c>
      <c r="D366" t="s">
        <v>3242</v>
      </c>
      <c r="E366" t="s">
        <v>15710</v>
      </c>
      <c r="F366" t="s">
        <v>3251</v>
      </c>
      <c r="G366" t="s">
        <v>4222</v>
      </c>
      <c r="H366" t="s">
        <v>3749</v>
      </c>
      <c r="I366" t="s">
        <v>3451</v>
      </c>
    </row>
    <row r="367" spans="1:9" x14ac:dyDescent="0.25">
      <c r="A367" t="s">
        <v>14906</v>
      </c>
      <c r="B367" t="s">
        <v>14906</v>
      </c>
      <c r="C367" t="s">
        <v>14907</v>
      </c>
      <c r="D367" t="s">
        <v>3242</v>
      </c>
      <c r="E367" t="s">
        <v>15710</v>
      </c>
      <c r="F367" t="s">
        <v>3345</v>
      </c>
      <c r="G367" t="s">
        <v>14908</v>
      </c>
      <c r="H367" t="s">
        <v>3680</v>
      </c>
    </row>
    <row r="368" spans="1:9" x14ac:dyDescent="0.25">
      <c r="A368" t="s">
        <v>14909</v>
      </c>
      <c r="B368" t="s">
        <v>14909</v>
      </c>
      <c r="C368" t="s">
        <v>14910</v>
      </c>
      <c r="D368" t="s">
        <v>3242</v>
      </c>
      <c r="E368" t="s">
        <v>15710</v>
      </c>
      <c r="F368" t="s">
        <v>3243</v>
      </c>
      <c r="G368" t="s">
        <v>14911</v>
      </c>
      <c r="H368" t="s">
        <v>3402</v>
      </c>
    </row>
    <row r="369" spans="1:9" x14ac:dyDescent="0.25">
      <c r="A369" t="s">
        <v>14912</v>
      </c>
      <c r="B369" t="s">
        <v>14912</v>
      </c>
      <c r="C369" t="s">
        <v>14913</v>
      </c>
      <c r="D369" t="s">
        <v>3242</v>
      </c>
      <c r="E369" t="s">
        <v>15710</v>
      </c>
      <c r="F369" t="s">
        <v>14914</v>
      </c>
      <c r="G369" t="s">
        <v>14915</v>
      </c>
      <c r="H369" t="s">
        <v>3488</v>
      </c>
    </row>
    <row r="370" spans="1:9" x14ac:dyDescent="0.25">
      <c r="A370" t="s">
        <v>4223</v>
      </c>
      <c r="B370" t="s">
        <v>4223</v>
      </c>
      <c r="C370" t="s">
        <v>4224</v>
      </c>
      <c r="D370" t="s">
        <v>3242</v>
      </c>
      <c r="E370" t="s">
        <v>15710</v>
      </c>
      <c r="F370" t="s">
        <v>3243</v>
      </c>
      <c r="G370" t="s">
        <v>4225</v>
      </c>
      <c r="H370" t="s">
        <v>3285</v>
      </c>
    </row>
    <row r="371" spans="1:9" x14ac:dyDescent="0.25">
      <c r="A371" t="s">
        <v>4226</v>
      </c>
      <c r="B371" t="s">
        <v>4226</v>
      </c>
      <c r="C371" t="s">
        <v>4227</v>
      </c>
      <c r="D371" t="s">
        <v>3242</v>
      </c>
      <c r="E371" t="s">
        <v>15710</v>
      </c>
      <c r="F371" t="s">
        <v>3257</v>
      </c>
      <c r="G371" t="s">
        <v>3684</v>
      </c>
      <c r="H371" t="s">
        <v>3421</v>
      </c>
      <c r="I371" t="s">
        <v>3254</v>
      </c>
    </row>
    <row r="372" spans="1:9" x14ac:dyDescent="0.25">
      <c r="A372" t="s">
        <v>4228</v>
      </c>
      <c r="B372" t="s">
        <v>4228</v>
      </c>
      <c r="C372" t="s">
        <v>4229</v>
      </c>
      <c r="D372" t="s">
        <v>3242</v>
      </c>
      <c r="E372" t="s">
        <v>15710</v>
      </c>
      <c r="F372" t="s">
        <v>3251</v>
      </c>
      <c r="G372" t="s">
        <v>4230</v>
      </c>
      <c r="H372" t="s">
        <v>3060</v>
      </c>
      <c r="I372" t="s">
        <v>3694</v>
      </c>
    </row>
    <row r="373" spans="1:9" x14ac:dyDescent="0.25">
      <c r="A373" t="s">
        <v>4231</v>
      </c>
      <c r="B373" t="s">
        <v>4231</v>
      </c>
      <c r="C373" t="s">
        <v>4232</v>
      </c>
      <c r="D373" t="s">
        <v>3242</v>
      </c>
      <c r="E373" t="s">
        <v>15710</v>
      </c>
      <c r="F373" t="s">
        <v>3345</v>
      </c>
      <c r="G373" t="s">
        <v>4233</v>
      </c>
      <c r="H373" t="s">
        <v>3060</v>
      </c>
    </row>
    <row r="374" spans="1:9" x14ac:dyDescent="0.25">
      <c r="A374" t="s">
        <v>4234</v>
      </c>
      <c r="B374" t="s">
        <v>4234</v>
      </c>
      <c r="C374" t="s">
        <v>4235</v>
      </c>
      <c r="D374" t="s">
        <v>3242</v>
      </c>
      <c r="E374" t="s">
        <v>15710</v>
      </c>
      <c r="F374" t="s">
        <v>3345</v>
      </c>
      <c r="G374" t="s">
        <v>4236</v>
      </c>
      <c r="H374" t="s">
        <v>3285</v>
      </c>
    </row>
    <row r="375" spans="1:9" x14ac:dyDescent="0.25">
      <c r="A375" t="s">
        <v>4237</v>
      </c>
      <c r="B375" t="s">
        <v>4237</v>
      </c>
      <c r="C375" t="s">
        <v>4238</v>
      </c>
      <c r="D375" t="s">
        <v>3242</v>
      </c>
      <c r="E375" t="s">
        <v>15710</v>
      </c>
      <c r="F375" t="s">
        <v>3345</v>
      </c>
      <c r="G375" t="s">
        <v>4239</v>
      </c>
      <c r="H375" t="s">
        <v>3915</v>
      </c>
    </row>
    <row r="376" spans="1:9" x14ac:dyDescent="0.25">
      <c r="A376" t="s">
        <v>4240</v>
      </c>
      <c r="B376" t="s">
        <v>4240</v>
      </c>
      <c r="C376" t="s">
        <v>4241</v>
      </c>
      <c r="D376" t="s">
        <v>3242</v>
      </c>
      <c r="E376" t="s">
        <v>15710</v>
      </c>
      <c r="F376" t="s">
        <v>4102</v>
      </c>
      <c r="G376" t="s">
        <v>4242</v>
      </c>
      <c r="H376" t="s">
        <v>4045</v>
      </c>
    </row>
    <row r="377" spans="1:9" x14ac:dyDescent="0.25">
      <c r="A377" t="s">
        <v>4243</v>
      </c>
      <c r="B377" t="s">
        <v>4243</v>
      </c>
      <c r="C377" t="s">
        <v>4244</v>
      </c>
      <c r="D377" t="s">
        <v>3242</v>
      </c>
      <c r="E377" t="s">
        <v>15710</v>
      </c>
      <c r="F377" t="s">
        <v>3243</v>
      </c>
      <c r="G377" t="s">
        <v>4245</v>
      </c>
      <c r="H377" t="s">
        <v>3285</v>
      </c>
    </row>
    <row r="378" spans="1:9" x14ac:dyDescent="0.25">
      <c r="A378" t="s">
        <v>4246</v>
      </c>
      <c r="B378" t="s">
        <v>4246</v>
      </c>
      <c r="C378" t="s">
        <v>4247</v>
      </c>
      <c r="D378" t="s">
        <v>3242</v>
      </c>
      <c r="E378" t="s">
        <v>15710</v>
      </c>
      <c r="F378" t="s">
        <v>3345</v>
      </c>
      <c r="G378" t="s">
        <v>4248</v>
      </c>
      <c r="H378" t="s">
        <v>3680</v>
      </c>
    </row>
    <row r="379" spans="1:9" x14ac:dyDescent="0.25">
      <c r="A379" t="s">
        <v>4249</v>
      </c>
      <c r="B379" t="s">
        <v>4249</v>
      </c>
      <c r="C379" t="s">
        <v>4250</v>
      </c>
      <c r="D379" t="s">
        <v>3242</v>
      </c>
      <c r="E379" t="s">
        <v>15710</v>
      </c>
      <c r="F379" t="s">
        <v>3288</v>
      </c>
      <c r="G379" t="s">
        <v>4251</v>
      </c>
      <c r="H379" t="s">
        <v>3290</v>
      </c>
    </row>
    <row r="380" spans="1:9" x14ac:dyDescent="0.25">
      <c r="A380" t="s">
        <v>4252</v>
      </c>
      <c r="B380" t="s">
        <v>4252</v>
      </c>
      <c r="C380" t="s">
        <v>4253</v>
      </c>
      <c r="D380" t="s">
        <v>3242</v>
      </c>
      <c r="E380" t="s">
        <v>15710</v>
      </c>
      <c r="F380" t="s">
        <v>3243</v>
      </c>
      <c r="G380" t="s">
        <v>4254</v>
      </c>
      <c r="H380" t="s">
        <v>3680</v>
      </c>
    </row>
    <row r="381" spans="1:9" x14ac:dyDescent="0.25">
      <c r="A381" t="s">
        <v>4255</v>
      </c>
      <c r="B381" t="s">
        <v>4255</v>
      </c>
      <c r="C381" t="s">
        <v>4256</v>
      </c>
      <c r="D381" t="s">
        <v>3242</v>
      </c>
      <c r="E381" t="s">
        <v>15710</v>
      </c>
      <c r="F381" t="s">
        <v>3288</v>
      </c>
      <c r="G381" t="s">
        <v>4257</v>
      </c>
      <c r="H381" t="s">
        <v>4258</v>
      </c>
    </row>
    <row r="382" spans="1:9" x14ac:dyDescent="0.25">
      <c r="A382" t="s">
        <v>14916</v>
      </c>
      <c r="B382" t="s">
        <v>14916</v>
      </c>
      <c r="C382" t="s">
        <v>14917</v>
      </c>
      <c r="D382" t="s">
        <v>3242</v>
      </c>
      <c r="E382" t="s">
        <v>15710</v>
      </c>
      <c r="F382" t="s">
        <v>3288</v>
      </c>
      <c r="G382" t="s">
        <v>14918</v>
      </c>
      <c r="H382" t="s">
        <v>4035</v>
      </c>
    </row>
    <row r="383" spans="1:9" x14ac:dyDescent="0.25">
      <c r="A383" t="s">
        <v>4259</v>
      </c>
      <c r="B383" t="s">
        <v>4259</v>
      </c>
      <c r="C383" t="s">
        <v>4260</v>
      </c>
      <c r="D383" t="s">
        <v>3242</v>
      </c>
      <c r="E383" t="s">
        <v>15710</v>
      </c>
      <c r="F383" t="s">
        <v>4102</v>
      </c>
      <c r="G383" t="s">
        <v>4261</v>
      </c>
      <c r="H383" t="s">
        <v>4019</v>
      </c>
    </row>
    <row r="384" spans="1:9" x14ac:dyDescent="0.25">
      <c r="A384" t="s">
        <v>4262</v>
      </c>
      <c r="B384" t="s">
        <v>4262</v>
      </c>
      <c r="C384" t="s">
        <v>4263</v>
      </c>
      <c r="D384" t="s">
        <v>3242</v>
      </c>
      <c r="E384" t="s">
        <v>15710</v>
      </c>
      <c r="F384" t="s">
        <v>3243</v>
      </c>
      <c r="G384" t="s">
        <v>4264</v>
      </c>
      <c r="H384" t="s">
        <v>3402</v>
      </c>
    </row>
    <row r="385" spans="1:9" x14ac:dyDescent="0.25">
      <c r="A385" t="s">
        <v>14919</v>
      </c>
      <c r="B385" t="s">
        <v>14919</v>
      </c>
      <c r="C385" t="s">
        <v>5419</v>
      </c>
      <c r="D385" t="s">
        <v>3242</v>
      </c>
      <c r="E385" t="s">
        <v>15719</v>
      </c>
      <c r="F385" t="s">
        <v>3243</v>
      </c>
      <c r="G385" t="s">
        <v>5420</v>
      </c>
      <c r="H385" t="s">
        <v>3484</v>
      </c>
      <c r="I385" t="s">
        <v>3375</v>
      </c>
    </row>
    <row r="386" spans="1:9" x14ac:dyDescent="0.25">
      <c r="A386" t="s">
        <v>4265</v>
      </c>
      <c r="B386" t="s">
        <v>4265</v>
      </c>
      <c r="C386" t="s">
        <v>4266</v>
      </c>
      <c r="D386" t="s">
        <v>3242</v>
      </c>
      <c r="E386" t="s">
        <v>15710</v>
      </c>
      <c r="F386" t="s">
        <v>3243</v>
      </c>
      <c r="G386" t="s">
        <v>4267</v>
      </c>
      <c r="H386" t="s">
        <v>4268</v>
      </c>
    </row>
    <row r="387" spans="1:9" x14ac:dyDescent="0.25">
      <c r="A387" t="s">
        <v>14920</v>
      </c>
      <c r="B387" t="s">
        <v>14920</v>
      </c>
      <c r="C387" t="s">
        <v>14921</v>
      </c>
      <c r="D387" t="s">
        <v>3242</v>
      </c>
      <c r="E387" t="s">
        <v>15710</v>
      </c>
      <c r="F387" t="s">
        <v>3243</v>
      </c>
      <c r="G387" t="s">
        <v>14922</v>
      </c>
      <c r="H387" t="s">
        <v>3402</v>
      </c>
    </row>
    <row r="388" spans="1:9" x14ac:dyDescent="0.25">
      <c r="A388" t="s">
        <v>4269</v>
      </c>
      <c r="B388" t="s">
        <v>4269</v>
      </c>
      <c r="C388" t="s">
        <v>4270</v>
      </c>
      <c r="D388" t="s">
        <v>3242</v>
      </c>
      <c r="E388" t="s">
        <v>15710</v>
      </c>
      <c r="F388" t="s">
        <v>15738</v>
      </c>
      <c r="G388" t="s">
        <v>4271</v>
      </c>
      <c r="H388" t="s">
        <v>3290</v>
      </c>
    </row>
    <row r="389" spans="1:9" x14ac:dyDescent="0.25">
      <c r="A389" t="s">
        <v>4272</v>
      </c>
      <c r="B389" t="s">
        <v>4272</v>
      </c>
      <c r="C389" t="s">
        <v>4273</v>
      </c>
      <c r="D389" t="s">
        <v>3242</v>
      </c>
      <c r="E389" t="s">
        <v>15710</v>
      </c>
      <c r="F389" t="s">
        <v>3243</v>
      </c>
      <c r="G389" t="s">
        <v>4274</v>
      </c>
      <c r="H389" t="s">
        <v>3402</v>
      </c>
    </row>
    <row r="390" spans="1:9" x14ac:dyDescent="0.25">
      <c r="A390" t="s">
        <v>4275</v>
      </c>
      <c r="B390" t="s">
        <v>4275</v>
      </c>
      <c r="C390" t="s">
        <v>4276</v>
      </c>
      <c r="D390" t="s">
        <v>3242</v>
      </c>
      <c r="E390" t="s">
        <v>15710</v>
      </c>
      <c r="F390" t="s">
        <v>3243</v>
      </c>
      <c r="G390" t="s">
        <v>4277</v>
      </c>
      <c r="H390" t="s">
        <v>3290</v>
      </c>
    </row>
    <row r="391" spans="1:9" x14ac:dyDescent="0.25">
      <c r="A391" t="s">
        <v>4278</v>
      </c>
      <c r="B391" t="s">
        <v>4278</v>
      </c>
      <c r="C391" t="s">
        <v>4279</v>
      </c>
      <c r="D391" t="s">
        <v>3242</v>
      </c>
      <c r="E391" t="s">
        <v>15710</v>
      </c>
      <c r="F391" t="s">
        <v>15739</v>
      </c>
      <c r="G391" t="s">
        <v>4280</v>
      </c>
      <c r="H391" t="s">
        <v>3290</v>
      </c>
    </row>
    <row r="392" spans="1:9" x14ac:dyDescent="0.25">
      <c r="A392" t="s">
        <v>14923</v>
      </c>
      <c r="B392" t="s">
        <v>14923</v>
      </c>
      <c r="C392" t="s">
        <v>14924</v>
      </c>
      <c r="D392" t="s">
        <v>3242</v>
      </c>
      <c r="E392" t="s">
        <v>15710</v>
      </c>
      <c r="F392" t="s">
        <v>3243</v>
      </c>
      <c r="G392" t="s">
        <v>14925</v>
      </c>
      <c r="H392" t="s">
        <v>11945</v>
      </c>
    </row>
    <row r="393" spans="1:9" x14ac:dyDescent="0.25">
      <c r="A393" t="s">
        <v>4281</v>
      </c>
      <c r="B393" t="s">
        <v>4281</v>
      </c>
      <c r="C393" t="s">
        <v>4282</v>
      </c>
      <c r="D393" t="s">
        <v>3242</v>
      </c>
      <c r="E393" t="s">
        <v>15710</v>
      </c>
      <c r="F393" t="s">
        <v>3243</v>
      </c>
      <c r="G393" t="s">
        <v>4283</v>
      </c>
      <c r="H393" t="s">
        <v>4284</v>
      </c>
    </row>
    <row r="394" spans="1:9" x14ac:dyDescent="0.25">
      <c r="A394" t="s">
        <v>16757</v>
      </c>
      <c r="B394" t="s">
        <v>16757</v>
      </c>
      <c r="C394" t="s">
        <v>16758</v>
      </c>
      <c r="D394" t="s">
        <v>3242</v>
      </c>
      <c r="E394" t="s">
        <v>15710</v>
      </c>
      <c r="F394" t="s">
        <v>3243</v>
      </c>
      <c r="G394" t="s">
        <v>16759</v>
      </c>
      <c r="H394" t="s">
        <v>3402</v>
      </c>
    </row>
    <row r="395" spans="1:9" x14ac:dyDescent="0.25">
      <c r="A395" t="s">
        <v>4285</v>
      </c>
      <c r="B395" t="s">
        <v>4285</v>
      </c>
      <c r="C395" t="s">
        <v>4286</v>
      </c>
      <c r="D395" t="s">
        <v>3242</v>
      </c>
      <c r="E395" t="s">
        <v>15710</v>
      </c>
      <c r="F395" t="s">
        <v>3243</v>
      </c>
      <c r="G395" t="s">
        <v>4287</v>
      </c>
      <c r="H395" t="s">
        <v>3402</v>
      </c>
    </row>
    <row r="396" spans="1:9" x14ac:dyDescent="0.25">
      <c r="A396" t="s">
        <v>4288</v>
      </c>
      <c r="B396" t="s">
        <v>4288</v>
      </c>
      <c r="C396" t="s">
        <v>4289</v>
      </c>
      <c r="D396" t="s">
        <v>3242</v>
      </c>
      <c r="E396" t="s">
        <v>16907</v>
      </c>
      <c r="F396" t="s">
        <v>3372</v>
      </c>
      <c r="G396" t="s">
        <v>14926</v>
      </c>
      <c r="H396" t="s">
        <v>3484</v>
      </c>
      <c r="I396" t="s">
        <v>14986</v>
      </c>
    </row>
    <row r="397" spans="1:9" x14ac:dyDescent="0.25">
      <c r="A397" t="s">
        <v>4291</v>
      </c>
      <c r="B397" t="s">
        <v>4291</v>
      </c>
      <c r="C397" t="s">
        <v>4292</v>
      </c>
      <c r="D397" t="s">
        <v>3242</v>
      </c>
      <c r="E397" t="s">
        <v>15740</v>
      </c>
      <c r="F397" t="s">
        <v>3257</v>
      </c>
      <c r="G397" t="s">
        <v>4293</v>
      </c>
      <c r="H397" t="s">
        <v>3553</v>
      </c>
    </row>
    <row r="398" spans="1:9" x14ac:dyDescent="0.25">
      <c r="A398" t="s">
        <v>14927</v>
      </c>
      <c r="B398" t="s">
        <v>14927</v>
      </c>
      <c r="C398" t="s">
        <v>14928</v>
      </c>
      <c r="D398" t="s">
        <v>3242</v>
      </c>
      <c r="E398" t="s">
        <v>15710</v>
      </c>
      <c r="F398" t="s">
        <v>3243</v>
      </c>
      <c r="G398" t="s">
        <v>14929</v>
      </c>
      <c r="H398" t="s">
        <v>3459</v>
      </c>
    </row>
    <row r="399" spans="1:9" x14ac:dyDescent="0.25">
      <c r="A399" t="s">
        <v>4294</v>
      </c>
      <c r="B399" t="s">
        <v>4294</v>
      </c>
      <c r="C399" t="s">
        <v>4295</v>
      </c>
      <c r="D399" t="s">
        <v>3242</v>
      </c>
      <c r="E399" t="s">
        <v>15710</v>
      </c>
      <c r="F399" t="s">
        <v>3288</v>
      </c>
      <c r="G399" t="s">
        <v>4296</v>
      </c>
      <c r="H399" t="s">
        <v>3680</v>
      </c>
    </row>
    <row r="400" spans="1:9" x14ac:dyDescent="0.25">
      <c r="A400" t="s">
        <v>16760</v>
      </c>
      <c r="B400" t="s">
        <v>16760</v>
      </c>
      <c r="C400" t="s">
        <v>16761</v>
      </c>
      <c r="D400" t="s">
        <v>3242</v>
      </c>
      <c r="E400" t="s">
        <v>15710</v>
      </c>
      <c r="F400" t="s">
        <v>3243</v>
      </c>
      <c r="G400" t="s">
        <v>16762</v>
      </c>
      <c r="H400" t="s">
        <v>3285</v>
      </c>
    </row>
    <row r="401" spans="1:9" x14ac:dyDescent="0.25">
      <c r="A401" t="s">
        <v>4297</v>
      </c>
      <c r="B401" t="s">
        <v>4297</v>
      </c>
      <c r="C401" t="s">
        <v>4298</v>
      </c>
      <c r="D401" t="s">
        <v>3242</v>
      </c>
      <c r="E401" t="s">
        <v>15710</v>
      </c>
      <c r="F401" t="s">
        <v>3251</v>
      </c>
      <c r="G401" t="s">
        <v>3420</v>
      </c>
      <c r="H401" t="s">
        <v>3421</v>
      </c>
      <c r="I401" t="s">
        <v>3254</v>
      </c>
    </row>
    <row r="402" spans="1:9" x14ac:dyDescent="0.25">
      <c r="A402" t="s">
        <v>4299</v>
      </c>
      <c r="B402" t="s">
        <v>4299</v>
      </c>
      <c r="C402" t="s">
        <v>4300</v>
      </c>
      <c r="D402" t="s">
        <v>3242</v>
      </c>
      <c r="E402" t="s">
        <v>15710</v>
      </c>
      <c r="F402" t="s">
        <v>3288</v>
      </c>
      <c r="G402" t="s">
        <v>3060</v>
      </c>
      <c r="H402" t="s">
        <v>3285</v>
      </c>
    </row>
    <row r="403" spans="1:9" x14ac:dyDescent="0.25">
      <c r="A403" t="s">
        <v>4301</v>
      </c>
      <c r="B403" t="s">
        <v>4301</v>
      </c>
      <c r="C403" t="s">
        <v>4302</v>
      </c>
      <c r="D403" t="s">
        <v>3242</v>
      </c>
      <c r="E403" t="s">
        <v>15710</v>
      </c>
      <c r="F403" t="s">
        <v>3243</v>
      </c>
      <c r="G403" t="s">
        <v>4019</v>
      </c>
      <c r="H403" t="s">
        <v>3290</v>
      </c>
    </row>
    <row r="404" spans="1:9" x14ac:dyDescent="0.25">
      <c r="A404" t="s">
        <v>4303</v>
      </c>
      <c r="B404" t="s">
        <v>4303</v>
      </c>
      <c r="C404" t="s">
        <v>4304</v>
      </c>
      <c r="D404" t="s">
        <v>3242</v>
      </c>
      <c r="E404" t="s">
        <v>15710</v>
      </c>
      <c r="F404" t="s">
        <v>3288</v>
      </c>
      <c r="G404" t="s">
        <v>3060</v>
      </c>
      <c r="H404" t="s">
        <v>3285</v>
      </c>
    </row>
    <row r="405" spans="1:9" x14ac:dyDescent="0.25">
      <c r="A405" t="s">
        <v>4305</v>
      </c>
      <c r="B405" t="s">
        <v>4305</v>
      </c>
      <c r="C405" t="s">
        <v>4306</v>
      </c>
      <c r="D405" t="s">
        <v>3242</v>
      </c>
      <c r="E405" t="s">
        <v>15710</v>
      </c>
      <c r="F405" t="s">
        <v>3345</v>
      </c>
      <c r="G405" t="s">
        <v>4307</v>
      </c>
      <c r="H405" t="s">
        <v>4045</v>
      </c>
    </row>
    <row r="406" spans="1:9" x14ac:dyDescent="0.25">
      <c r="A406" t="s">
        <v>4308</v>
      </c>
      <c r="B406" t="s">
        <v>4308</v>
      </c>
      <c r="C406" t="s">
        <v>4309</v>
      </c>
      <c r="D406" t="s">
        <v>3242</v>
      </c>
      <c r="E406" t="s">
        <v>15710</v>
      </c>
      <c r="F406" t="s">
        <v>3306</v>
      </c>
      <c r="G406" t="s">
        <v>3684</v>
      </c>
      <c r="H406" t="s">
        <v>3421</v>
      </c>
      <c r="I406" t="s">
        <v>3254</v>
      </c>
    </row>
    <row r="407" spans="1:9" x14ac:dyDescent="0.25">
      <c r="A407" t="s">
        <v>4310</v>
      </c>
      <c r="B407" t="s">
        <v>4310</v>
      </c>
      <c r="C407" t="s">
        <v>4311</v>
      </c>
      <c r="D407" t="s">
        <v>3242</v>
      </c>
      <c r="E407" t="s">
        <v>15710</v>
      </c>
      <c r="F407" t="s">
        <v>3257</v>
      </c>
      <c r="G407" t="s">
        <v>3346</v>
      </c>
      <c r="H407" t="s">
        <v>3421</v>
      </c>
    </row>
    <row r="408" spans="1:9" x14ac:dyDescent="0.25">
      <c r="A408" t="s">
        <v>14930</v>
      </c>
      <c r="B408" t="s">
        <v>14930</v>
      </c>
      <c r="C408" t="s">
        <v>14931</v>
      </c>
      <c r="D408" t="s">
        <v>3242</v>
      </c>
      <c r="E408" t="s">
        <v>15710</v>
      </c>
      <c r="F408" t="s">
        <v>3243</v>
      </c>
      <c r="G408" t="s">
        <v>14932</v>
      </c>
      <c r="H408" t="s">
        <v>3285</v>
      </c>
    </row>
    <row r="409" spans="1:9" x14ac:dyDescent="0.25">
      <c r="A409" t="s">
        <v>4312</v>
      </c>
      <c r="B409" t="s">
        <v>4312</v>
      </c>
      <c r="C409" t="s">
        <v>4313</v>
      </c>
      <c r="D409" t="s">
        <v>3242</v>
      </c>
      <c r="E409" t="s">
        <v>15710</v>
      </c>
      <c r="F409" t="s">
        <v>3288</v>
      </c>
      <c r="G409" t="s">
        <v>3060</v>
      </c>
      <c r="H409" t="s">
        <v>3285</v>
      </c>
    </row>
    <row r="410" spans="1:9" x14ac:dyDescent="0.25">
      <c r="A410" t="s">
        <v>4314</v>
      </c>
      <c r="B410" t="s">
        <v>4314</v>
      </c>
      <c r="C410" t="s">
        <v>4315</v>
      </c>
      <c r="D410" t="s">
        <v>3242</v>
      </c>
      <c r="E410" t="s">
        <v>15710</v>
      </c>
      <c r="F410" t="s">
        <v>3345</v>
      </c>
      <c r="G410" t="s">
        <v>4316</v>
      </c>
      <c r="H410" t="s">
        <v>3290</v>
      </c>
    </row>
    <row r="411" spans="1:9" x14ac:dyDescent="0.25">
      <c r="A411" t="s">
        <v>4317</v>
      </c>
      <c r="B411" t="s">
        <v>4317</v>
      </c>
      <c r="C411" t="s">
        <v>4318</v>
      </c>
      <c r="D411" t="s">
        <v>3242</v>
      </c>
      <c r="E411" t="s">
        <v>15710</v>
      </c>
      <c r="F411" t="s">
        <v>3288</v>
      </c>
      <c r="G411" t="s">
        <v>4319</v>
      </c>
      <c r="H411" t="s">
        <v>4320</v>
      </c>
    </row>
    <row r="412" spans="1:9" x14ac:dyDescent="0.25">
      <c r="A412" t="s">
        <v>4321</v>
      </c>
      <c r="B412" t="s">
        <v>4321</v>
      </c>
      <c r="C412" t="s">
        <v>4322</v>
      </c>
      <c r="D412" t="s">
        <v>3242</v>
      </c>
      <c r="E412" t="s">
        <v>15982</v>
      </c>
      <c r="F412" t="s">
        <v>3251</v>
      </c>
      <c r="G412" t="s">
        <v>4323</v>
      </c>
      <c r="H412" t="s">
        <v>3060</v>
      </c>
      <c r="I412" t="s">
        <v>4028</v>
      </c>
    </row>
    <row r="413" spans="1:9" x14ac:dyDescent="0.25">
      <c r="A413" t="s">
        <v>4324</v>
      </c>
      <c r="B413" t="s">
        <v>4324</v>
      </c>
      <c r="C413" t="s">
        <v>4325</v>
      </c>
      <c r="D413" t="s">
        <v>3242</v>
      </c>
      <c r="E413" t="s">
        <v>16178</v>
      </c>
      <c r="F413" t="s">
        <v>3257</v>
      </c>
      <c r="G413" t="s">
        <v>4326</v>
      </c>
      <c r="H413" t="s">
        <v>3623</v>
      </c>
      <c r="I413" t="s">
        <v>4028</v>
      </c>
    </row>
    <row r="414" spans="1:9" x14ac:dyDescent="0.25">
      <c r="A414" t="s">
        <v>4327</v>
      </c>
      <c r="B414" t="s">
        <v>4327</v>
      </c>
      <c r="C414" t="s">
        <v>4328</v>
      </c>
      <c r="D414" t="s">
        <v>3242</v>
      </c>
      <c r="E414" t="s">
        <v>15710</v>
      </c>
      <c r="F414" t="s">
        <v>3288</v>
      </c>
      <c r="G414" t="s">
        <v>4329</v>
      </c>
      <c r="H414" t="s">
        <v>3680</v>
      </c>
    </row>
    <row r="415" spans="1:9" x14ac:dyDescent="0.25">
      <c r="A415" t="s">
        <v>4330</v>
      </c>
      <c r="B415" t="s">
        <v>4330</v>
      </c>
      <c r="C415" t="s">
        <v>4331</v>
      </c>
      <c r="D415" t="s">
        <v>3242</v>
      </c>
      <c r="E415" t="s">
        <v>15710</v>
      </c>
      <c r="F415" t="s">
        <v>4102</v>
      </c>
      <c r="G415" t="s">
        <v>4332</v>
      </c>
      <c r="H415" t="s">
        <v>3290</v>
      </c>
    </row>
    <row r="416" spans="1:9" x14ac:dyDescent="0.25">
      <c r="A416" t="s">
        <v>4333</v>
      </c>
      <c r="B416" t="s">
        <v>4333</v>
      </c>
      <c r="C416" t="s">
        <v>4334</v>
      </c>
      <c r="D416" t="s">
        <v>3242</v>
      </c>
      <c r="E416" t="s">
        <v>15710</v>
      </c>
      <c r="F416" t="s">
        <v>15712</v>
      </c>
      <c r="G416" t="s">
        <v>4335</v>
      </c>
      <c r="H416" t="s">
        <v>3290</v>
      </c>
    </row>
    <row r="417" spans="1:9" x14ac:dyDescent="0.25">
      <c r="A417" t="s">
        <v>4336</v>
      </c>
      <c r="B417" t="s">
        <v>4336</v>
      </c>
      <c r="C417" t="s">
        <v>4337</v>
      </c>
      <c r="D417" t="s">
        <v>3242</v>
      </c>
      <c r="E417" t="s">
        <v>15710</v>
      </c>
      <c r="F417" t="s">
        <v>3288</v>
      </c>
      <c r="G417" t="s">
        <v>4338</v>
      </c>
      <c r="H417" t="s">
        <v>3680</v>
      </c>
    </row>
    <row r="418" spans="1:9" x14ac:dyDescent="0.25">
      <c r="A418" t="s">
        <v>4339</v>
      </c>
      <c r="B418" t="s">
        <v>4339</v>
      </c>
      <c r="C418" t="s">
        <v>4340</v>
      </c>
      <c r="D418" t="s">
        <v>3242</v>
      </c>
      <c r="E418" t="s">
        <v>15741</v>
      </c>
      <c r="F418" t="s">
        <v>3243</v>
      </c>
      <c r="G418" t="s">
        <v>3243</v>
      </c>
      <c r="H418" t="s">
        <v>3290</v>
      </c>
    </row>
    <row r="419" spans="1:9" x14ac:dyDescent="0.25">
      <c r="A419" t="s">
        <v>4341</v>
      </c>
      <c r="B419" t="s">
        <v>4341</v>
      </c>
      <c r="C419" t="s">
        <v>4342</v>
      </c>
      <c r="D419" t="s">
        <v>3242</v>
      </c>
      <c r="E419" t="s">
        <v>15710</v>
      </c>
      <c r="F419" t="s">
        <v>3288</v>
      </c>
      <c r="G419" t="s">
        <v>4343</v>
      </c>
      <c r="H419" t="s">
        <v>4344</v>
      </c>
    </row>
    <row r="420" spans="1:9" x14ac:dyDescent="0.25">
      <c r="A420" t="s">
        <v>17538</v>
      </c>
      <c r="B420" t="s">
        <v>17538</v>
      </c>
      <c r="C420" t="s">
        <v>17539</v>
      </c>
      <c r="D420" t="s">
        <v>3242</v>
      </c>
      <c r="E420" t="s">
        <v>15710</v>
      </c>
      <c r="F420" t="s">
        <v>3288</v>
      </c>
      <c r="G420" t="s">
        <v>17540</v>
      </c>
      <c r="H420" t="s">
        <v>3285</v>
      </c>
    </row>
    <row r="421" spans="1:9" x14ac:dyDescent="0.25">
      <c r="A421" t="s">
        <v>4345</v>
      </c>
      <c r="B421" t="s">
        <v>4345</v>
      </c>
      <c r="C421" t="s">
        <v>4346</v>
      </c>
      <c r="D421" t="s">
        <v>3242</v>
      </c>
      <c r="E421" t="s">
        <v>15710</v>
      </c>
      <c r="F421" t="s">
        <v>3288</v>
      </c>
      <c r="G421" t="s">
        <v>4347</v>
      </c>
      <c r="H421" t="s">
        <v>3463</v>
      </c>
    </row>
    <row r="422" spans="1:9" x14ac:dyDescent="0.25">
      <c r="A422" t="s">
        <v>16807</v>
      </c>
      <c r="B422" t="s">
        <v>16807</v>
      </c>
      <c r="C422" t="s">
        <v>16808</v>
      </c>
      <c r="D422" t="s">
        <v>3242</v>
      </c>
      <c r="E422" t="s">
        <v>15710</v>
      </c>
      <c r="F422" t="s">
        <v>3288</v>
      </c>
      <c r="G422" t="s">
        <v>16809</v>
      </c>
      <c r="H422" t="s">
        <v>4045</v>
      </c>
    </row>
    <row r="423" spans="1:9" x14ac:dyDescent="0.25">
      <c r="A423" t="s">
        <v>4348</v>
      </c>
      <c r="B423" t="s">
        <v>4348</v>
      </c>
      <c r="C423" t="s">
        <v>4349</v>
      </c>
      <c r="D423" t="s">
        <v>3242</v>
      </c>
      <c r="E423" t="s">
        <v>15710</v>
      </c>
      <c r="F423" t="s">
        <v>3288</v>
      </c>
      <c r="G423" t="s">
        <v>4350</v>
      </c>
      <c r="H423" t="s">
        <v>3463</v>
      </c>
    </row>
    <row r="424" spans="1:9" x14ac:dyDescent="0.25">
      <c r="A424" t="s">
        <v>4351</v>
      </c>
      <c r="B424" t="s">
        <v>4351</v>
      </c>
      <c r="C424" t="s">
        <v>4352</v>
      </c>
      <c r="D424" t="s">
        <v>3242</v>
      </c>
      <c r="E424" t="s">
        <v>15742</v>
      </c>
      <c r="F424" t="s">
        <v>3243</v>
      </c>
    </row>
    <row r="425" spans="1:9" x14ac:dyDescent="0.25">
      <c r="A425" t="s">
        <v>4353</v>
      </c>
      <c r="B425" t="s">
        <v>4353</v>
      </c>
      <c r="C425" t="s">
        <v>4354</v>
      </c>
      <c r="D425" t="s">
        <v>3242</v>
      </c>
      <c r="E425" t="s">
        <v>15710</v>
      </c>
      <c r="F425" t="s">
        <v>3345</v>
      </c>
      <c r="G425" t="s">
        <v>4355</v>
      </c>
      <c r="H425" t="s">
        <v>3285</v>
      </c>
    </row>
    <row r="426" spans="1:9" x14ac:dyDescent="0.25">
      <c r="A426" t="s">
        <v>4356</v>
      </c>
      <c r="B426" t="s">
        <v>4356</v>
      </c>
      <c r="C426" t="s">
        <v>4357</v>
      </c>
      <c r="D426" t="s">
        <v>3242</v>
      </c>
      <c r="E426" t="s">
        <v>15710</v>
      </c>
      <c r="F426" t="s">
        <v>3243</v>
      </c>
      <c r="G426" t="s">
        <v>4358</v>
      </c>
      <c r="H426" t="s">
        <v>3285</v>
      </c>
    </row>
    <row r="427" spans="1:9" x14ac:dyDescent="0.25">
      <c r="A427" t="s">
        <v>4359</v>
      </c>
      <c r="B427" t="s">
        <v>4359</v>
      </c>
      <c r="C427" t="s">
        <v>4360</v>
      </c>
      <c r="D427" t="s">
        <v>3242</v>
      </c>
      <c r="E427" t="s">
        <v>15710</v>
      </c>
      <c r="F427" t="s">
        <v>3243</v>
      </c>
      <c r="G427" t="s">
        <v>4361</v>
      </c>
      <c r="H427" t="s">
        <v>3488</v>
      </c>
    </row>
    <row r="428" spans="1:9" x14ac:dyDescent="0.25">
      <c r="A428" t="s">
        <v>4362</v>
      </c>
      <c r="B428" t="s">
        <v>4362</v>
      </c>
      <c r="C428" t="s">
        <v>4363</v>
      </c>
      <c r="D428" t="s">
        <v>3242</v>
      </c>
      <c r="E428" t="s">
        <v>15710</v>
      </c>
      <c r="F428" t="s">
        <v>3288</v>
      </c>
      <c r="G428" t="s">
        <v>4364</v>
      </c>
      <c r="H428" t="s">
        <v>3836</v>
      </c>
    </row>
    <row r="429" spans="1:9" x14ac:dyDescent="0.25">
      <c r="A429" t="s">
        <v>14933</v>
      </c>
      <c r="B429" t="s">
        <v>14933</v>
      </c>
      <c r="C429" t="s">
        <v>14934</v>
      </c>
      <c r="D429" t="s">
        <v>3242</v>
      </c>
      <c r="E429" t="s">
        <v>15769</v>
      </c>
      <c r="F429" t="s">
        <v>3251</v>
      </c>
      <c r="G429" t="s">
        <v>14935</v>
      </c>
      <c r="H429" t="s">
        <v>3290</v>
      </c>
      <c r="I429" t="s">
        <v>5390</v>
      </c>
    </row>
    <row r="430" spans="1:9" x14ac:dyDescent="0.25">
      <c r="A430" t="s">
        <v>4365</v>
      </c>
      <c r="B430" t="s">
        <v>4365</v>
      </c>
      <c r="C430" t="s">
        <v>4366</v>
      </c>
      <c r="D430" t="s">
        <v>3242</v>
      </c>
      <c r="E430" t="s">
        <v>15710</v>
      </c>
      <c r="F430" t="s">
        <v>15712</v>
      </c>
      <c r="G430" t="s">
        <v>4367</v>
      </c>
      <c r="H430" t="s">
        <v>3290</v>
      </c>
    </row>
    <row r="431" spans="1:9" x14ac:dyDescent="0.25">
      <c r="A431" t="s">
        <v>4368</v>
      </c>
      <c r="B431" t="s">
        <v>4368</v>
      </c>
      <c r="C431" t="s">
        <v>4369</v>
      </c>
      <c r="D431" t="s">
        <v>3242</v>
      </c>
      <c r="E431" t="s">
        <v>15743</v>
      </c>
      <c r="F431" t="s">
        <v>3243</v>
      </c>
      <c r="G431" t="s">
        <v>3243</v>
      </c>
      <c r="H431" t="s">
        <v>3290</v>
      </c>
    </row>
    <row r="432" spans="1:9" x14ac:dyDescent="0.25">
      <c r="A432" t="s">
        <v>14936</v>
      </c>
      <c r="B432" t="s">
        <v>14936</v>
      </c>
      <c r="C432" t="s">
        <v>14937</v>
      </c>
      <c r="D432" t="s">
        <v>3242</v>
      </c>
      <c r="E432" t="s">
        <v>15710</v>
      </c>
      <c r="F432" t="s">
        <v>3243</v>
      </c>
      <c r="G432" t="s">
        <v>14938</v>
      </c>
      <c r="H432" t="s">
        <v>3285</v>
      </c>
    </row>
    <row r="433" spans="1:9" x14ac:dyDescent="0.25">
      <c r="A433" t="s">
        <v>16908</v>
      </c>
      <c r="B433" t="s">
        <v>16908</v>
      </c>
      <c r="C433" t="s">
        <v>16909</v>
      </c>
      <c r="D433" t="s">
        <v>3242</v>
      </c>
      <c r="E433" t="s">
        <v>15710</v>
      </c>
      <c r="F433" t="s">
        <v>3345</v>
      </c>
      <c r="G433" t="s">
        <v>4754</v>
      </c>
      <c r="H433" t="s">
        <v>3680</v>
      </c>
    </row>
    <row r="434" spans="1:9" x14ac:dyDescent="0.25">
      <c r="A434" t="s">
        <v>4370</v>
      </c>
      <c r="B434" t="s">
        <v>4370</v>
      </c>
      <c r="C434" t="s">
        <v>4371</v>
      </c>
      <c r="D434" t="s">
        <v>3242</v>
      </c>
      <c r="E434" t="s">
        <v>15710</v>
      </c>
      <c r="F434" t="s">
        <v>3345</v>
      </c>
      <c r="G434" t="s">
        <v>4372</v>
      </c>
      <c r="H434" t="s">
        <v>3814</v>
      </c>
    </row>
    <row r="435" spans="1:9" x14ac:dyDescent="0.25">
      <c r="A435" t="s">
        <v>4373</v>
      </c>
      <c r="B435" t="s">
        <v>4373</v>
      </c>
      <c r="C435" t="s">
        <v>4374</v>
      </c>
      <c r="D435" t="s">
        <v>3242</v>
      </c>
      <c r="E435" t="s">
        <v>15710</v>
      </c>
      <c r="F435" t="s">
        <v>3300</v>
      </c>
      <c r="G435" t="s">
        <v>4375</v>
      </c>
      <c r="H435" t="s">
        <v>3060</v>
      </c>
      <c r="I435" t="s">
        <v>3254</v>
      </c>
    </row>
    <row r="436" spans="1:9" x14ac:dyDescent="0.25">
      <c r="A436" t="s">
        <v>4376</v>
      </c>
      <c r="B436" t="s">
        <v>4376</v>
      </c>
      <c r="C436" t="s">
        <v>4377</v>
      </c>
      <c r="D436" t="s">
        <v>3242</v>
      </c>
      <c r="E436" t="s">
        <v>15710</v>
      </c>
      <c r="F436" t="s">
        <v>3251</v>
      </c>
      <c r="G436" t="s">
        <v>4378</v>
      </c>
      <c r="H436" t="s">
        <v>3421</v>
      </c>
    </row>
    <row r="437" spans="1:9" x14ac:dyDescent="0.25">
      <c r="A437" t="s">
        <v>4379</v>
      </c>
      <c r="B437" t="s">
        <v>4379</v>
      </c>
      <c r="C437" t="s">
        <v>4380</v>
      </c>
      <c r="D437" t="s">
        <v>3242</v>
      </c>
      <c r="E437" t="s">
        <v>15710</v>
      </c>
      <c r="F437" t="s">
        <v>3288</v>
      </c>
      <c r="G437" t="s">
        <v>3537</v>
      </c>
      <c r="H437" t="s">
        <v>3290</v>
      </c>
    </row>
    <row r="438" spans="1:9" x14ac:dyDescent="0.25">
      <c r="A438" t="s">
        <v>14939</v>
      </c>
      <c r="B438" t="s">
        <v>14939</v>
      </c>
      <c r="C438" t="s">
        <v>14940</v>
      </c>
      <c r="D438" t="s">
        <v>3242</v>
      </c>
      <c r="E438" t="s">
        <v>15710</v>
      </c>
      <c r="F438" t="s">
        <v>3288</v>
      </c>
      <c r="G438" t="s">
        <v>3060</v>
      </c>
      <c r="H438" t="s">
        <v>3285</v>
      </c>
    </row>
    <row r="439" spans="1:9" x14ac:dyDescent="0.25">
      <c r="A439" t="s">
        <v>4381</v>
      </c>
      <c r="B439" t="s">
        <v>4381</v>
      </c>
      <c r="C439" t="s">
        <v>4382</v>
      </c>
      <c r="D439" t="s">
        <v>3242</v>
      </c>
      <c r="E439" t="s">
        <v>15710</v>
      </c>
      <c r="F439" t="s">
        <v>3345</v>
      </c>
      <c r="G439" t="s">
        <v>3936</v>
      </c>
      <c r="H439" t="s">
        <v>3060</v>
      </c>
    </row>
    <row r="440" spans="1:9" x14ac:dyDescent="0.25">
      <c r="A440" t="s">
        <v>4383</v>
      </c>
      <c r="B440" t="s">
        <v>4383</v>
      </c>
      <c r="C440" t="s">
        <v>4384</v>
      </c>
      <c r="D440" t="s">
        <v>3242</v>
      </c>
      <c r="E440" t="s">
        <v>15710</v>
      </c>
      <c r="F440" t="s">
        <v>15712</v>
      </c>
      <c r="G440" t="s">
        <v>4385</v>
      </c>
      <c r="H440" t="s">
        <v>3488</v>
      </c>
    </row>
    <row r="441" spans="1:9" x14ac:dyDescent="0.25">
      <c r="A441" t="s">
        <v>4386</v>
      </c>
      <c r="B441" t="s">
        <v>4386</v>
      </c>
      <c r="C441" t="s">
        <v>4387</v>
      </c>
      <c r="D441" t="s">
        <v>3321</v>
      </c>
      <c r="E441" t="s">
        <v>15710</v>
      </c>
      <c r="F441" t="s">
        <v>3257</v>
      </c>
      <c r="G441" t="s">
        <v>4388</v>
      </c>
      <c r="H441" t="s">
        <v>3668</v>
      </c>
    </row>
    <row r="442" spans="1:9" x14ac:dyDescent="0.25">
      <c r="A442" t="s">
        <v>14941</v>
      </c>
      <c r="B442" t="s">
        <v>14941</v>
      </c>
      <c r="C442" t="s">
        <v>14942</v>
      </c>
      <c r="D442" t="s">
        <v>3242</v>
      </c>
      <c r="E442" t="s">
        <v>15710</v>
      </c>
      <c r="F442" t="s">
        <v>3243</v>
      </c>
      <c r="G442" t="s">
        <v>14943</v>
      </c>
      <c r="H442" t="s">
        <v>3402</v>
      </c>
    </row>
    <row r="443" spans="1:9" x14ac:dyDescent="0.25">
      <c r="A443" t="s">
        <v>4389</v>
      </c>
      <c r="B443" t="s">
        <v>4389</v>
      </c>
      <c r="C443" t="s">
        <v>4390</v>
      </c>
      <c r="D443" t="s">
        <v>3242</v>
      </c>
      <c r="E443" t="s">
        <v>15710</v>
      </c>
      <c r="F443" t="s">
        <v>3243</v>
      </c>
      <c r="G443" t="s">
        <v>4391</v>
      </c>
      <c r="H443" t="s">
        <v>3402</v>
      </c>
    </row>
    <row r="444" spans="1:9" x14ac:dyDescent="0.25">
      <c r="A444" t="s">
        <v>4392</v>
      </c>
      <c r="B444" t="s">
        <v>4392</v>
      </c>
      <c r="C444" t="s">
        <v>4393</v>
      </c>
      <c r="D444" t="s">
        <v>3242</v>
      </c>
      <c r="E444" t="s">
        <v>15710</v>
      </c>
      <c r="F444" t="s">
        <v>3372</v>
      </c>
      <c r="G444" t="s">
        <v>4394</v>
      </c>
      <c r="H444" t="s">
        <v>3553</v>
      </c>
    </row>
    <row r="445" spans="1:9" x14ac:dyDescent="0.25">
      <c r="A445" t="s">
        <v>16026</v>
      </c>
      <c r="B445" t="s">
        <v>16026</v>
      </c>
      <c r="C445" t="s">
        <v>16027</v>
      </c>
      <c r="D445" t="s">
        <v>3242</v>
      </c>
      <c r="E445" t="s">
        <v>15710</v>
      </c>
      <c r="F445" t="s">
        <v>3243</v>
      </c>
      <c r="G445" t="s">
        <v>16028</v>
      </c>
      <c r="H445" t="s">
        <v>3402</v>
      </c>
    </row>
    <row r="446" spans="1:9" x14ac:dyDescent="0.25">
      <c r="A446" t="s">
        <v>4395</v>
      </c>
      <c r="B446" t="s">
        <v>4395</v>
      </c>
      <c r="C446" t="s">
        <v>4396</v>
      </c>
      <c r="D446" t="s">
        <v>3242</v>
      </c>
      <c r="E446" t="s">
        <v>15710</v>
      </c>
      <c r="F446" t="s">
        <v>3243</v>
      </c>
      <c r="G446" t="s">
        <v>4397</v>
      </c>
      <c r="H446" t="s">
        <v>3402</v>
      </c>
    </row>
    <row r="447" spans="1:9" x14ac:dyDescent="0.25">
      <c r="A447" t="s">
        <v>4398</v>
      </c>
      <c r="B447" t="s">
        <v>4398</v>
      </c>
      <c r="C447" t="s">
        <v>4399</v>
      </c>
      <c r="D447" t="s">
        <v>3242</v>
      </c>
      <c r="E447" t="s">
        <v>15710</v>
      </c>
      <c r="F447" t="s">
        <v>3243</v>
      </c>
      <c r="G447" t="s">
        <v>4400</v>
      </c>
      <c r="H447" t="s">
        <v>3402</v>
      </c>
    </row>
    <row r="448" spans="1:9" x14ac:dyDescent="0.25">
      <c r="A448" t="s">
        <v>4401</v>
      </c>
      <c r="B448" t="s">
        <v>4401</v>
      </c>
      <c r="C448" t="s">
        <v>4402</v>
      </c>
      <c r="D448" t="s">
        <v>3242</v>
      </c>
      <c r="E448" t="s">
        <v>15710</v>
      </c>
      <c r="F448" t="s">
        <v>3243</v>
      </c>
      <c r="G448" t="s">
        <v>4403</v>
      </c>
      <c r="H448" t="s">
        <v>4284</v>
      </c>
    </row>
    <row r="449" spans="1:9" x14ac:dyDescent="0.25">
      <c r="A449" t="s">
        <v>4404</v>
      </c>
      <c r="B449" t="s">
        <v>4404</v>
      </c>
      <c r="C449" t="s">
        <v>4405</v>
      </c>
      <c r="D449" t="s">
        <v>3242</v>
      </c>
      <c r="E449" t="s">
        <v>15710</v>
      </c>
      <c r="F449" t="s">
        <v>3243</v>
      </c>
      <c r="G449" t="s">
        <v>4406</v>
      </c>
      <c r="H449" t="s">
        <v>3290</v>
      </c>
    </row>
    <row r="450" spans="1:9" x14ac:dyDescent="0.25">
      <c r="A450" t="s">
        <v>4407</v>
      </c>
      <c r="B450" t="s">
        <v>4407</v>
      </c>
      <c r="C450" t="s">
        <v>4408</v>
      </c>
      <c r="D450" t="s">
        <v>3242</v>
      </c>
      <c r="E450" t="s">
        <v>15710</v>
      </c>
      <c r="F450" t="s">
        <v>3257</v>
      </c>
      <c r="G450" t="s">
        <v>16172</v>
      </c>
      <c r="H450" t="s">
        <v>9291</v>
      </c>
      <c r="I450" t="s">
        <v>3407</v>
      </c>
    </row>
    <row r="451" spans="1:9" x14ac:dyDescent="0.25">
      <c r="A451" t="s">
        <v>4410</v>
      </c>
      <c r="B451" t="s">
        <v>4410</v>
      </c>
      <c r="C451" t="s">
        <v>4411</v>
      </c>
      <c r="D451" t="s">
        <v>3242</v>
      </c>
      <c r="E451" t="s">
        <v>15710</v>
      </c>
      <c r="F451" t="s">
        <v>3257</v>
      </c>
      <c r="G451" t="s">
        <v>4412</v>
      </c>
      <c r="H451" t="s">
        <v>3553</v>
      </c>
    </row>
    <row r="452" spans="1:9" x14ac:dyDescent="0.25">
      <c r="A452" t="s">
        <v>4413</v>
      </c>
      <c r="B452" t="s">
        <v>4413</v>
      </c>
      <c r="C452" t="s">
        <v>4414</v>
      </c>
      <c r="D452" t="s">
        <v>3242</v>
      </c>
      <c r="E452" t="s">
        <v>15710</v>
      </c>
      <c r="F452" t="s">
        <v>3243</v>
      </c>
      <c r="G452" t="s">
        <v>4415</v>
      </c>
      <c r="H452" t="s">
        <v>3402</v>
      </c>
    </row>
    <row r="453" spans="1:9" x14ac:dyDescent="0.25">
      <c r="A453" t="s">
        <v>4416</v>
      </c>
      <c r="B453" t="s">
        <v>4416</v>
      </c>
      <c r="C453" t="s">
        <v>4417</v>
      </c>
      <c r="D453" t="s">
        <v>3242</v>
      </c>
      <c r="E453" t="s">
        <v>15710</v>
      </c>
      <c r="F453" t="s">
        <v>15745</v>
      </c>
      <c r="G453" t="s">
        <v>4418</v>
      </c>
      <c r="H453" t="s">
        <v>3290</v>
      </c>
    </row>
    <row r="454" spans="1:9" x14ac:dyDescent="0.25">
      <c r="A454" t="s">
        <v>4419</v>
      </c>
      <c r="B454" t="s">
        <v>4419</v>
      </c>
      <c r="C454" t="s">
        <v>4420</v>
      </c>
      <c r="D454" t="s">
        <v>3242</v>
      </c>
      <c r="E454" t="s">
        <v>15710</v>
      </c>
      <c r="F454" t="s">
        <v>3243</v>
      </c>
      <c r="G454" t="s">
        <v>4421</v>
      </c>
      <c r="H454" t="s">
        <v>3484</v>
      </c>
    </row>
    <row r="455" spans="1:9" x14ac:dyDescent="0.25">
      <c r="A455" t="s">
        <v>4422</v>
      </c>
      <c r="B455" t="s">
        <v>4422</v>
      </c>
      <c r="C455" t="s">
        <v>4423</v>
      </c>
      <c r="D455" t="s">
        <v>3242</v>
      </c>
      <c r="E455" t="s">
        <v>15746</v>
      </c>
      <c r="F455" t="s">
        <v>3243</v>
      </c>
      <c r="G455" t="s">
        <v>3243</v>
      </c>
      <c r="H455" t="s">
        <v>3290</v>
      </c>
    </row>
    <row r="456" spans="1:9" x14ac:dyDescent="0.25">
      <c r="A456" t="s">
        <v>4424</v>
      </c>
      <c r="B456" t="s">
        <v>4424</v>
      </c>
      <c r="C456" t="s">
        <v>4425</v>
      </c>
      <c r="D456" t="s">
        <v>3242</v>
      </c>
      <c r="E456" t="s">
        <v>15710</v>
      </c>
      <c r="F456" t="s">
        <v>3243</v>
      </c>
      <c r="G456" t="s">
        <v>4426</v>
      </c>
      <c r="H456" t="s">
        <v>3402</v>
      </c>
    </row>
    <row r="457" spans="1:9" x14ac:dyDescent="0.25">
      <c r="A457" t="s">
        <v>4427</v>
      </c>
      <c r="B457" t="s">
        <v>4427</v>
      </c>
      <c r="C457" t="s">
        <v>4428</v>
      </c>
      <c r="D457" t="s">
        <v>3242</v>
      </c>
      <c r="E457" t="s">
        <v>15710</v>
      </c>
      <c r="F457" t="s">
        <v>3372</v>
      </c>
      <c r="G457" t="s">
        <v>4429</v>
      </c>
      <c r="H457" t="s">
        <v>3484</v>
      </c>
    </row>
    <row r="458" spans="1:9" x14ac:dyDescent="0.25">
      <c r="A458" t="s">
        <v>4430</v>
      </c>
      <c r="B458" t="s">
        <v>4430</v>
      </c>
      <c r="C458" t="s">
        <v>4431</v>
      </c>
      <c r="D458" t="s">
        <v>3242</v>
      </c>
      <c r="E458" t="s">
        <v>15710</v>
      </c>
      <c r="F458" t="s">
        <v>3243</v>
      </c>
      <c r="G458" t="s">
        <v>4432</v>
      </c>
      <c r="H458" t="s">
        <v>3402</v>
      </c>
    </row>
    <row r="459" spans="1:9" x14ac:dyDescent="0.25">
      <c r="A459" t="s">
        <v>4433</v>
      </c>
      <c r="B459" t="s">
        <v>4433</v>
      </c>
      <c r="C459" t="s">
        <v>4434</v>
      </c>
      <c r="D459" t="s">
        <v>3242</v>
      </c>
      <c r="E459" t="s">
        <v>15710</v>
      </c>
      <c r="F459" t="s">
        <v>4435</v>
      </c>
      <c r="G459" t="s">
        <v>4436</v>
      </c>
      <c r="H459" t="s">
        <v>3484</v>
      </c>
      <c r="I459" t="s">
        <v>3648</v>
      </c>
    </row>
    <row r="460" spans="1:9" x14ac:dyDescent="0.25">
      <c r="A460" t="s">
        <v>4437</v>
      </c>
      <c r="B460" t="s">
        <v>4437</v>
      </c>
      <c r="C460" t="s">
        <v>4438</v>
      </c>
      <c r="D460" t="s">
        <v>3242</v>
      </c>
      <c r="E460" t="s">
        <v>15710</v>
      </c>
      <c r="F460" t="s">
        <v>3243</v>
      </c>
      <c r="G460" t="s">
        <v>4439</v>
      </c>
      <c r="H460" t="s">
        <v>3290</v>
      </c>
    </row>
    <row r="461" spans="1:9" x14ac:dyDescent="0.25">
      <c r="A461" t="s">
        <v>4440</v>
      </c>
      <c r="B461" t="s">
        <v>4440</v>
      </c>
      <c r="C461" t="s">
        <v>4441</v>
      </c>
      <c r="D461" t="s">
        <v>3242</v>
      </c>
      <c r="E461" t="s">
        <v>15710</v>
      </c>
      <c r="F461" t="s">
        <v>3243</v>
      </c>
      <c r="G461" t="s">
        <v>4439</v>
      </c>
      <c r="H461" t="s">
        <v>3402</v>
      </c>
    </row>
    <row r="462" spans="1:9" x14ac:dyDescent="0.25">
      <c r="A462" t="s">
        <v>4442</v>
      </c>
      <c r="B462" t="s">
        <v>4442</v>
      </c>
      <c r="C462" t="s">
        <v>4443</v>
      </c>
      <c r="D462" t="s">
        <v>3242</v>
      </c>
      <c r="E462" t="s">
        <v>15710</v>
      </c>
      <c r="F462" t="s">
        <v>3243</v>
      </c>
      <c r="G462" t="s">
        <v>4444</v>
      </c>
      <c r="H462" t="s">
        <v>3402</v>
      </c>
    </row>
    <row r="463" spans="1:9" x14ac:dyDescent="0.25">
      <c r="A463" t="s">
        <v>4445</v>
      </c>
      <c r="B463" t="s">
        <v>4445</v>
      </c>
      <c r="C463" t="s">
        <v>4446</v>
      </c>
      <c r="D463" t="s">
        <v>3242</v>
      </c>
      <c r="E463" t="s">
        <v>15710</v>
      </c>
      <c r="F463" t="s">
        <v>3243</v>
      </c>
      <c r="G463" t="s">
        <v>4447</v>
      </c>
      <c r="H463" t="s">
        <v>3402</v>
      </c>
    </row>
    <row r="464" spans="1:9" x14ac:dyDescent="0.25">
      <c r="A464" t="s">
        <v>4448</v>
      </c>
      <c r="B464" t="s">
        <v>4448</v>
      </c>
      <c r="C464" t="s">
        <v>4449</v>
      </c>
      <c r="D464" t="s">
        <v>3242</v>
      </c>
      <c r="E464" t="s">
        <v>15710</v>
      </c>
      <c r="F464" t="s">
        <v>15747</v>
      </c>
      <c r="G464" t="s">
        <v>4450</v>
      </c>
      <c r="H464" t="s">
        <v>3290</v>
      </c>
    </row>
    <row r="465" spans="1:8" x14ac:dyDescent="0.25">
      <c r="A465" t="s">
        <v>14944</v>
      </c>
      <c r="B465" t="s">
        <v>14944</v>
      </c>
      <c r="C465" t="s">
        <v>14945</v>
      </c>
      <c r="D465" t="s">
        <v>3242</v>
      </c>
      <c r="E465" t="s">
        <v>15710</v>
      </c>
      <c r="F465" t="s">
        <v>5158</v>
      </c>
      <c r="G465" t="s">
        <v>12982</v>
      </c>
      <c r="H465" t="s">
        <v>3496</v>
      </c>
    </row>
    <row r="466" spans="1:8" x14ac:dyDescent="0.25">
      <c r="A466" t="s">
        <v>4451</v>
      </c>
      <c r="B466" t="s">
        <v>4451</v>
      </c>
      <c r="C466" t="s">
        <v>4452</v>
      </c>
      <c r="D466" t="s">
        <v>3242</v>
      </c>
      <c r="E466" t="s">
        <v>15710</v>
      </c>
      <c r="F466" t="s">
        <v>3243</v>
      </c>
      <c r="G466" t="s">
        <v>4453</v>
      </c>
      <c r="H466" t="s">
        <v>3402</v>
      </c>
    </row>
    <row r="467" spans="1:8" x14ac:dyDescent="0.25">
      <c r="A467" t="s">
        <v>16424</v>
      </c>
      <c r="B467" t="s">
        <v>16424</v>
      </c>
      <c r="C467" t="s">
        <v>16425</v>
      </c>
      <c r="D467" t="s">
        <v>3242</v>
      </c>
      <c r="E467" t="s">
        <v>15710</v>
      </c>
      <c r="F467" t="s">
        <v>3243</v>
      </c>
      <c r="G467" t="s">
        <v>16426</v>
      </c>
      <c r="H467" t="s">
        <v>3402</v>
      </c>
    </row>
    <row r="468" spans="1:8" x14ac:dyDescent="0.25">
      <c r="A468" t="s">
        <v>4454</v>
      </c>
      <c r="B468" t="s">
        <v>4454</v>
      </c>
      <c r="C468" t="s">
        <v>4455</v>
      </c>
      <c r="D468" t="s">
        <v>3242</v>
      </c>
      <c r="E468" t="s">
        <v>15710</v>
      </c>
      <c r="F468" t="s">
        <v>3288</v>
      </c>
      <c r="G468" t="s">
        <v>4456</v>
      </c>
      <c r="H468" t="s">
        <v>3285</v>
      </c>
    </row>
    <row r="469" spans="1:8" x14ac:dyDescent="0.25">
      <c r="A469" t="s">
        <v>4457</v>
      </c>
      <c r="B469" t="s">
        <v>4457</v>
      </c>
      <c r="C469" t="s">
        <v>4458</v>
      </c>
      <c r="D469" t="s">
        <v>3242</v>
      </c>
      <c r="E469" t="s">
        <v>15710</v>
      </c>
      <c r="F469" t="s">
        <v>3257</v>
      </c>
      <c r="G469" t="s">
        <v>4459</v>
      </c>
      <c r="H469" t="s">
        <v>3253</v>
      </c>
    </row>
    <row r="470" spans="1:8" x14ac:dyDescent="0.25">
      <c r="A470" t="s">
        <v>4460</v>
      </c>
      <c r="B470" t="s">
        <v>4460</v>
      </c>
      <c r="C470" t="s">
        <v>4461</v>
      </c>
      <c r="D470" t="s">
        <v>3242</v>
      </c>
      <c r="E470" t="s">
        <v>15710</v>
      </c>
      <c r="F470" t="s">
        <v>3243</v>
      </c>
      <c r="G470" t="s">
        <v>4462</v>
      </c>
      <c r="H470" t="s">
        <v>3402</v>
      </c>
    </row>
    <row r="471" spans="1:8" x14ac:dyDescent="0.25">
      <c r="A471" t="s">
        <v>4463</v>
      </c>
      <c r="B471" t="s">
        <v>4463</v>
      </c>
      <c r="C471" t="s">
        <v>4464</v>
      </c>
      <c r="D471" t="s">
        <v>3242</v>
      </c>
      <c r="E471" t="s">
        <v>15710</v>
      </c>
      <c r="F471" t="s">
        <v>3243</v>
      </c>
      <c r="G471" t="s">
        <v>4465</v>
      </c>
      <c r="H471" t="s">
        <v>3402</v>
      </c>
    </row>
    <row r="472" spans="1:8" x14ac:dyDescent="0.25">
      <c r="A472" t="s">
        <v>4466</v>
      </c>
      <c r="B472" t="s">
        <v>4466</v>
      </c>
      <c r="C472" t="s">
        <v>4467</v>
      </c>
      <c r="D472" t="s">
        <v>3242</v>
      </c>
      <c r="E472" t="s">
        <v>15710</v>
      </c>
      <c r="F472" t="s">
        <v>15748</v>
      </c>
      <c r="G472" t="s">
        <v>4468</v>
      </c>
      <c r="H472" t="s">
        <v>3290</v>
      </c>
    </row>
    <row r="473" spans="1:8" x14ac:dyDescent="0.25">
      <c r="A473" t="s">
        <v>4469</v>
      </c>
      <c r="B473" t="s">
        <v>4469</v>
      </c>
      <c r="C473" t="s">
        <v>4470</v>
      </c>
      <c r="D473" t="s">
        <v>3242</v>
      </c>
      <c r="E473" t="s">
        <v>15710</v>
      </c>
      <c r="F473" t="s">
        <v>15749</v>
      </c>
      <c r="G473" t="s">
        <v>4471</v>
      </c>
      <c r="H473" t="s">
        <v>3290</v>
      </c>
    </row>
    <row r="474" spans="1:8" x14ac:dyDescent="0.25">
      <c r="A474" t="s">
        <v>4472</v>
      </c>
      <c r="B474" t="s">
        <v>4472</v>
      </c>
      <c r="C474" t="s">
        <v>4473</v>
      </c>
      <c r="D474" t="s">
        <v>3242</v>
      </c>
      <c r="E474" t="s">
        <v>15710</v>
      </c>
      <c r="F474" t="s">
        <v>3251</v>
      </c>
      <c r="G474" t="s">
        <v>4474</v>
      </c>
      <c r="H474" t="s">
        <v>3484</v>
      </c>
    </row>
    <row r="475" spans="1:8" x14ac:dyDescent="0.25">
      <c r="A475" t="s">
        <v>4475</v>
      </c>
      <c r="B475" t="s">
        <v>4475</v>
      </c>
      <c r="C475" t="s">
        <v>4476</v>
      </c>
      <c r="D475" t="s">
        <v>3242</v>
      </c>
      <c r="E475" t="s">
        <v>15710</v>
      </c>
      <c r="F475" t="s">
        <v>3243</v>
      </c>
      <c r="G475" t="s">
        <v>3243</v>
      </c>
      <c r="H475" t="s">
        <v>3290</v>
      </c>
    </row>
    <row r="476" spans="1:8" x14ac:dyDescent="0.25">
      <c r="A476" t="s">
        <v>4477</v>
      </c>
      <c r="B476" t="s">
        <v>4477</v>
      </c>
      <c r="C476" t="s">
        <v>4478</v>
      </c>
      <c r="D476" t="s">
        <v>3242</v>
      </c>
      <c r="E476" t="s">
        <v>15710</v>
      </c>
      <c r="F476" t="s">
        <v>3288</v>
      </c>
      <c r="G476" t="s">
        <v>4479</v>
      </c>
      <c r="H476" t="s">
        <v>3680</v>
      </c>
    </row>
    <row r="477" spans="1:8" x14ac:dyDescent="0.25">
      <c r="A477" t="s">
        <v>4480</v>
      </c>
      <c r="B477" t="s">
        <v>4480</v>
      </c>
      <c r="C477" t="s">
        <v>4481</v>
      </c>
      <c r="D477" t="s">
        <v>3242</v>
      </c>
      <c r="E477" t="s">
        <v>15710</v>
      </c>
      <c r="F477" t="s">
        <v>3243</v>
      </c>
      <c r="G477" t="s">
        <v>4482</v>
      </c>
      <c r="H477" t="s">
        <v>4284</v>
      </c>
    </row>
    <row r="478" spans="1:8" x14ac:dyDescent="0.25">
      <c r="A478" t="s">
        <v>4483</v>
      </c>
      <c r="B478" t="s">
        <v>4483</v>
      </c>
      <c r="C478" t="s">
        <v>4484</v>
      </c>
      <c r="D478" t="s">
        <v>3242</v>
      </c>
      <c r="E478" t="s">
        <v>15710</v>
      </c>
      <c r="F478" t="s">
        <v>3243</v>
      </c>
      <c r="G478" t="s">
        <v>4485</v>
      </c>
      <c r="H478" t="s">
        <v>4486</v>
      </c>
    </row>
    <row r="479" spans="1:8" x14ac:dyDescent="0.25">
      <c r="A479" t="s">
        <v>4487</v>
      </c>
      <c r="B479" t="s">
        <v>4487</v>
      </c>
      <c r="C479" t="s">
        <v>4488</v>
      </c>
      <c r="D479" t="s">
        <v>3242</v>
      </c>
      <c r="E479" t="s">
        <v>15710</v>
      </c>
      <c r="F479" t="s">
        <v>3243</v>
      </c>
      <c r="G479" t="s">
        <v>4489</v>
      </c>
      <c r="H479" t="s">
        <v>4284</v>
      </c>
    </row>
    <row r="480" spans="1:8" x14ac:dyDescent="0.25">
      <c r="A480" t="s">
        <v>4490</v>
      </c>
      <c r="B480" t="s">
        <v>4490</v>
      </c>
      <c r="C480" t="s">
        <v>4491</v>
      </c>
      <c r="D480" t="s">
        <v>3242</v>
      </c>
      <c r="E480" t="s">
        <v>16810</v>
      </c>
      <c r="F480" t="s">
        <v>3243</v>
      </c>
      <c r="G480" t="s">
        <v>4492</v>
      </c>
      <c r="H480" t="s">
        <v>4284</v>
      </c>
    </row>
    <row r="481" spans="1:9" x14ac:dyDescent="0.25">
      <c r="A481" t="s">
        <v>4493</v>
      </c>
      <c r="B481" t="s">
        <v>4493</v>
      </c>
      <c r="C481" t="s">
        <v>4494</v>
      </c>
      <c r="D481" t="s">
        <v>3242</v>
      </c>
      <c r="E481" t="s">
        <v>15710</v>
      </c>
      <c r="F481" t="s">
        <v>3243</v>
      </c>
      <c r="G481" t="s">
        <v>4495</v>
      </c>
      <c r="H481" t="s">
        <v>3290</v>
      </c>
    </row>
    <row r="482" spans="1:9" x14ac:dyDescent="0.25">
      <c r="A482" t="s">
        <v>4496</v>
      </c>
      <c r="B482" t="s">
        <v>4496</v>
      </c>
      <c r="C482" t="s">
        <v>4497</v>
      </c>
      <c r="D482" t="s">
        <v>3242</v>
      </c>
      <c r="E482" t="s">
        <v>15710</v>
      </c>
      <c r="F482" t="s">
        <v>3251</v>
      </c>
      <c r="G482" t="s">
        <v>4498</v>
      </c>
      <c r="H482" t="s">
        <v>3553</v>
      </c>
    </row>
    <row r="483" spans="1:9" x14ac:dyDescent="0.25">
      <c r="A483" t="s">
        <v>4499</v>
      </c>
      <c r="B483" t="s">
        <v>4499</v>
      </c>
      <c r="C483" t="s">
        <v>4500</v>
      </c>
      <c r="D483" t="s">
        <v>3242</v>
      </c>
      <c r="E483" t="s">
        <v>15750</v>
      </c>
      <c r="F483" t="s">
        <v>3257</v>
      </c>
      <c r="G483" t="s">
        <v>4501</v>
      </c>
      <c r="H483" t="s">
        <v>4502</v>
      </c>
    </row>
    <row r="484" spans="1:9" x14ac:dyDescent="0.25">
      <c r="A484" t="s">
        <v>4503</v>
      </c>
      <c r="B484" t="s">
        <v>4503</v>
      </c>
      <c r="C484" t="s">
        <v>4504</v>
      </c>
      <c r="D484" t="s">
        <v>3242</v>
      </c>
      <c r="E484" t="s">
        <v>15710</v>
      </c>
      <c r="F484" t="s">
        <v>3243</v>
      </c>
      <c r="G484" t="s">
        <v>3565</v>
      </c>
      <c r="H484" t="s">
        <v>3566</v>
      </c>
    </row>
    <row r="485" spans="1:9" x14ac:dyDescent="0.25">
      <c r="A485" t="s">
        <v>4505</v>
      </c>
      <c r="B485" t="s">
        <v>4505</v>
      </c>
      <c r="C485" t="s">
        <v>4506</v>
      </c>
      <c r="D485" t="s">
        <v>3242</v>
      </c>
      <c r="E485" t="s">
        <v>13439</v>
      </c>
      <c r="F485" t="s">
        <v>3243</v>
      </c>
      <c r="G485" t="s">
        <v>4507</v>
      </c>
      <c r="H485" t="s">
        <v>3484</v>
      </c>
    </row>
    <row r="486" spans="1:9" x14ac:dyDescent="0.25">
      <c r="A486" t="s">
        <v>4508</v>
      </c>
      <c r="B486" t="s">
        <v>4508</v>
      </c>
      <c r="C486" t="s">
        <v>4509</v>
      </c>
      <c r="D486" t="s">
        <v>3242</v>
      </c>
      <c r="E486" t="s">
        <v>15710</v>
      </c>
      <c r="F486" t="s">
        <v>3243</v>
      </c>
      <c r="G486" t="s">
        <v>4510</v>
      </c>
      <c r="H486" t="s">
        <v>3290</v>
      </c>
    </row>
    <row r="487" spans="1:9" x14ac:dyDescent="0.25">
      <c r="A487" t="s">
        <v>4511</v>
      </c>
      <c r="B487" t="s">
        <v>4511</v>
      </c>
      <c r="C487" t="s">
        <v>4512</v>
      </c>
      <c r="D487" t="s">
        <v>3242</v>
      </c>
      <c r="E487" t="s">
        <v>15710</v>
      </c>
      <c r="F487" t="s">
        <v>4513</v>
      </c>
      <c r="G487" t="s">
        <v>4514</v>
      </c>
      <c r="H487" t="s">
        <v>4515</v>
      </c>
      <c r="I487" t="s">
        <v>3375</v>
      </c>
    </row>
    <row r="488" spans="1:9" x14ac:dyDescent="0.25">
      <c r="A488" t="s">
        <v>4516</v>
      </c>
      <c r="B488" t="s">
        <v>4516</v>
      </c>
      <c r="C488" t="s">
        <v>4517</v>
      </c>
      <c r="D488" t="s">
        <v>3242</v>
      </c>
      <c r="E488" t="s">
        <v>15710</v>
      </c>
      <c r="F488" t="s">
        <v>3243</v>
      </c>
      <c r="G488" t="s">
        <v>4518</v>
      </c>
      <c r="H488" t="s">
        <v>3402</v>
      </c>
    </row>
    <row r="489" spans="1:9" x14ac:dyDescent="0.25">
      <c r="A489" t="s">
        <v>4519</v>
      </c>
      <c r="B489" t="s">
        <v>4519</v>
      </c>
      <c r="C489" t="s">
        <v>4520</v>
      </c>
      <c r="D489" t="s">
        <v>3242</v>
      </c>
      <c r="E489" t="s">
        <v>15710</v>
      </c>
      <c r="F489" t="s">
        <v>3243</v>
      </c>
      <c r="G489" t="s">
        <v>4521</v>
      </c>
      <c r="H489" t="s">
        <v>3402</v>
      </c>
    </row>
    <row r="490" spans="1:9" x14ac:dyDescent="0.25">
      <c r="A490" t="s">
        <v>4522</v>
      </c>
      <c r="B490" t="s">
        <v>4522</v>
      </c>
      <c r="C490" t="s">
        <v>4523</v>
      </c>
      <c r="D490" t="s">
        <v>3242</v>
      </c>
      <c r="E490" t="s">
        <v>15710</v>
      </c>
      <c r="F490" t="s">
        <v>3243</v>
      </c>
      <c r="G490" t="s">
        <v>4524</v>
      </c>
      <c r="H490" t="s">
        <v>3402</v>
      </c>
    </row>
    <row r="491" spans="1:9" x14ac:dyDescent="0.25">
      <c r="A491" t="s">
        <v>4525</v>
      </c>
      <c r="B491" t="s">
        <v>4525</v>
      </c>
      <c r="C491" t="s">
        <v>4526</v>
      </c>
      <c r="D491" t="s">
        <v>3242</v>
      </c>
      <c r="E491" t="s">
        <v>15710</v>
      </c>
      <c r="F491" t="s">
        <v>3243</v>
      </c>
      <c r="G491" t="s">
        <v>4527</v>
      </c>
      <c r="H491" t="s">
        <v>3402</v>
      </c>
    </row>
    <row r="492" spans="1:9" x14ac:dyDescent="0.25">
      <c r="A492" t="s">
        <v>4528</v>
      </c>
      <c r="B492" t="s">
        <v>4528</v>
      </c>
      <c r="C492" t="s">
        <v>4529</v>
      </c>
      <c r="D492" t="s">
        <v>3242</v>
      </c>
      <c r="E492" t="s">
        <v>15710</v>
      </c>
      <c r="F492" t="s">
        <v>3243</v>
      </c>
      <c r="G492" t="s">
        <v>4530</v>
      </c>
      <c r="H492" t="s">
        <v>3484</v>
      </c>
    </row>
    <row r="493" spans="1:9" x14ac:dyDescent="0.25">
      <c r="A493" t="s">
        <v>4531</v>
      </c>
      <c r="B493" t="s">
        <v>4531</v>
      </c>
      <c r="C493" t="s">
        <v>4532</v>
      </c>
      <c r="D493" t="s">
        <v>3242</v>
      </c>
      <c r="E493" t="s">
        <v>15710</v>
      </c>
      <c r="F493" t="s">
        <v>3243</v>
      </c>
      <c r="G493" t="s">
        <v>4533</v>
      </c>
      <c r="H493" t="s">
        <v>3402</v>
      </c>
    </row>
    <row r="494" spans="1:9" x14ac:dyDescent="0.25">
      <c r="A494" t="s">
        <v>4534</v>
      </c>
      <c r="B494" t="s">
        <v>4534</v>
      </c>
      <c r="C494" t="s">
        <v>4535</v>
      </c>
      <c r="D494" t="s">
        <v>3242</v>
      </c>
      <c r="E494" t="s">
        <v>15710</v>
      </c>
      <c r="F494" t="s">
        <v>3243</v>
      </c>
      <c r="G494" t="s">
        <v>4536</v>
      </c>
      <c r="H494" t="s">
        <v>4284</v>
      </c>
    </row>
    <row r="495" spans="1:9" x14ac:dyDescent="0.25">
      <c r="A495" t="s">
        <v>14946</v>
      </c>
      <c r="B495" t="s">
        <v>14946</v>
      </c>
      <c r="C495" t="s">
        <v>14947</v>
      </c>
      <c r="D495" t="s">
        <v>3242</v>
      </c>
      <c r="E495" t="s">
        <v>15710</v>
      </c>
      <c r="F495" t="s">
        <v>3251</v>
      </c>
      <c r="G495" t="s">
        <v>7128</v>
      </c>
      <c r="H495" t="s">
        <v>3749</v>
      </c>
      <c r="I495" t="s">
        <v>4605</v>
      </c>
    </row>
    <row r="496" spans="1:9" x14ac:dyDescent="0.25">
      <c r="A496" t="s">
        <v>14948</v>
      </c>
      <c r="B496" t="s">
        <v>14948</v>
      </c>
      <c r="C496" t="s">
        <v>14949</v>
      </c>
      <c r="D496" t="s">
        <v>3242</v>
      </c>
      <c r="E496" t="s">
        <v>15710</v>
      </c>
      <c r="F496" t="s">
        <v>3243</v>
      </c>
      <c r="G496" t="s">
        <v>14950</v>
      </c>
      <c r="H496" t="s">
        <v>4268</v>
      </c>
    </row>
    <row r="497" spans="1:8" x14ac:dyDescent="0.25">
      <c r="A497" t="s">
        <v>17150</v>
      </c>
      <c r="B497" t="s">
        <v>17150</v>
      </c>
      <c r="C497" t="s">
        <v>17151</v>
      </c>
      <c r="D497" t="s">
        <v>3242</v>
      </c>
      <c r="E497" t="s">
        <v>15710</v>
      </c>
      <c r="F497" t="s">
        <v>3243</v>
      </c>
      <c r="G497" t="s">
        <v>17152</v>
      </c>
      <c r="H497" t="s">
        <v>4268</v>
      </c>
    </row>
    <row r="498" spans="1:8" x14ac:dyDescent="0.25">
      <c r="A498" t="s">
        <v>4537</v>
      </c>
      <c r="B498" t="s">
        <v>4537</v>
      </c>
      <c r="C498" t="s">
        <v>4538</v>
      </c>
      <c r="D498" t="s">
        <v>3242</v>
      </c>
      <c r="E498" t="s">
        <v>15710</v>
      </c>
      <c r="F498" t="s">
        <v>3243</v>
      </c>
      <c r="G498" t="s">
        <v>4539</v>
      </c>
      <c r="H498" t="s">
        <v>3402</v>
      </c>
    </row>
    <row r="499" spans="1:8" x14ac:dyDescent="0.25">
      <c r="A499" t="s">
        <v>4540</v>
      </c>
      <c r="B499" t="s">
        <v>4540</v>
      </c>
      <c r="C499" t="s">
        <v>4541</v>
      </c>
      <c r="D499" t="s">
        <v>3242</v>
      </c>
      <c r="E499" t="s">
        <v>15710</v>
      </c>
      <c r="F499" t="s">
        <v>3243</v>
      </c>
      <c r="G499" t="s">
        <v>4542</v>
      </c>
      <c r="H499" t="s">
        <v>3402</v>
      </c>
    </row>
    <row r="500" spans="1:8" x14ac:dyDescent="0.25">
      <c r="A500" t="s">
        <v>4543</v>
      </c>
      <c r="B500" t="s">
        <v>4543</v>
      </c>
      <c r="C500" t="s">
        <v>4544</v>
      </c>
      <c r="D500" t="s">
        <v>3242</v>
      </c>
      <c r="E500" t="s">
        <v>15751</v>
      </c>
      <c r="F500" t="s">
        <v>3243</v>
      </c>
      <c r="G500" t="s">
        <v>3243</v>
      </c>
      <c r="H500" t="s">
        <v>3290</v>
      </c>
    </row>
    <row r="501" spans="1:8" x14ac:dyDescent="0.25">
      <c r="A501" t="s">
        <v>4545</v>
      </c>
      <c r="B501" t="s">
        <v>4545</v>
      </c>
      <c r="C501" t="s">
        <v>4546</v>
      </c>
      <c r="D501" t="s">
        <v>3242</v>
      </c>
      <c r="E501" t="s">
        <v>15710</v>
      </c>
      <c r="F501" t="s">
        <v>3243</v>
      </c>
      <c r="G501" t="s">
        <v>4547</v>
      </c>
      <c r="H501" t="s">
        <v>3402</v>
      </c>
    </row>
    <row r="502" spans="1:8" x14ac:dyDescent="0.25">
      <c r="A502" t="s">
        <v>4548</v>
      </c>
      <c r="B502" t="s">
        <v>4548</v>
      </c>
      <c r="C502" t="s">
        <v>4549</v>
      </c>
      <c r="D502" t="s">
        <v>3242</v>
      </c>
      <c r="E502" t="s">
        <v>15710</v>
      </c>
      <c r="F502" t="s">
        <v>3288</v>
      </c>
      <c r="G502" t="s">
        <v>3060</v>
      </c>
      <c r="H502" t="s">
        <v>3285</v>
      </c>
    </row>
    <row r="503" spans="1:8" x14ac:dyDescent="0.25">
      <c r="A503" t="s">
        <v>4550</v>
      </c>
      <c r="B503" t="s">
        <v>4550</v>
      </c>
      <c r="C503" t="s">
        <v>4551</v>
      </c>
      <c r="D503" t="s">
        <v>3242</v>
      </c>
      <c r="E503" t="s">
        <v>15710</v>
      </c>
      <c r="F503" t="s">
        <v>3243</v>
      </c>
      <c r="G503" t="s">
        <v>4552</v>
      </c>
      <c r="H503" t="s">
        <v>3459</v>
      </c>
    </row>
    <row r="504" spans="1:8" x14ac:dyDescent="0.25">
      <c r="A504" t="s">
        <v>4553</v>
      </c>
      <c r="B504" t="s">
        <v>4553</v>
      </c>
      <c r="C504" t="s">
        <v>4554</v>
      </c>
      <c r="D504" t="s">
        <v>3242</v>
      </c>
      <c r="E504" t="s">
        <v>15710</v>
      </c>
      <c r="F504" t="s">
        <v>3243</v>
      </c>
      <c r="G504" t="s">
        <v>4555</v>
      </c>
      <c r="H504" t="s">
        <v>3290</v>
      </c>
    </row>
    <row r="505" spans="1:8" x14ac:dyDescent="0.25">
      <c r="A505" t="s">
        <v>14951</v>
      </c>
      <c r="B505" t="s">
        <v>14951</v>
      </c>
      <c r="C505" t="s">
        <v>14952</v>
      </c>
      <c r="D505" t="s">
        <v>3242</v>
      </c>
      <c r="E505" t="s">
        <v>15710</v>
      </c>
      <c r="F505" t="s">
        <v>3243</v>
      </c>
      <c r="G505" t="s">
        <v>14953</v>
      </c>
      <c r="H505" t="s">
        <v>11517</v>
      </c>
    </row>
    <row r="506" spans="1:8" x14ac:dyDescent="0.25">
      <c r="A506" t="s">
        <v>4556</v>
      </c>
      <c r="B506" t="s">
        <v>4556</v>
      </c>
      <c r="C506" t="s">
        <v>4557</v>
      </c>
      <c r="D506" t="s">
        <v>3242</v>
      </c>
      <c r="E506" t="s">
        <v>15710</v>
      </c>
      <c r="F506" t="s">
        <v>15752</v>
      </c>
      <c r="G506" t="s">
        <v>4558</v>
      </c>
      <c r="H506" t="s">
        <v>3290</v>
      </c>
    </row>
    <row r="507" spans="1:8" x14ac:dyDescent="0.25">
      <c r="A507" t="s">
        <v>4559</v>
      </c>
      <c r="B507" t="s">
        <v>4559</v>
      </c>
      <c r="C507" t="s">
        <v>4560</v>
      </c>
      <c r="D507" t="s">
        <v>3242</v>
      </c>
      <c r="E507" t="s">
        <v>15710</v>
      </c>
      <c r="F507" t="s">
        <v>3243</v>
      </c>
      <c r="G507" t="s">
        <v>4561</v>
      </c>
      <c r="H507" t="s">
        <v>3402</v>
      </c>
    </row>
    <row r="508" spans="1:8" x14ac:dyDescent="0.25">
      <c r="A508" t="s">
        <v>4562</v>
      </c>
      <c r="B508" t="s">
        <v>4562</v>
      </c>
      <c r="C508" t="s">
        <v>4563</v>
      </c>
      <c r="D508" t="s">
        <v>3242</v>
      </c>
      <c r="E508" t="s">
        <v>15710</v>
      </c>
      <c r="F508" t="s">
        <v>3372</v>
      </c>
      <c r="G508" t="s">
        <v>4564</v>
      </c>
      <c r="H508" t="s">
        <v>3484</v>
      </c>
    </row>
    <row r="509" spans="1:8" x14ac:dyDescent="0.25">
      <c r="A509" t="s">
        <v>4565</v>
      </c>
      <c r="B509" t="s">
        <v>4565</v>
      </c>
      <c r="C509" t="s">
        <v>4566</v>
      </c>
      <c r="D509" t="s">
        <v>3242</v>
      </c>
      <c r="E509" t="s">
        <v>15710</v>
      </c>
      <c r="F509" t="s">
        <v>3372</v>
      </c>
      <c r="G509" t="s">
        <v>4567</v>
      </c>
      <c r="H509" t="s">
        <v>3253</v>
      </c>
    </row>
    <row r="510" spans="1:8" x14ac:dyDescent="0.25">
      <c r="A510" t="s">
        <v>4568</v>
      </c>
      <c r="B510" t="s">
        <v>4568</v>
      </c>
      <c r="C510" t="s">
        <v>4569</v>
      </c>
      <c r="D510" t="s">
        <v>3242</v>
      </c>
      <c r="E510" t="s">
        <v>15710</v>
      </c>
      <c r="F510" t="s">
        <v>3345</v>
      </c>
      <c r="G510" t="s">
        <v>4570</v>
      </c>
      <c r="H510" t="s">
        <v>3290</v>
      </c>
    </row>
    <row r="511" spans="1:8" x14ac:dyDescent="0.25">
      <c r="A511" t="s">
        <v>4571</v>
      </c>
      <c r="B511" t="s">
        <v>4571</v>
      </c>
      <c r="C511" t="s">
        <v>4572</v>
      </c>
      <c r="D511" t="s">
        <v>3242</v>
      </c>
      <c r="E511" t="s">
        <v>15710</v>
      </c>
      <c r="F511" t="s">
        <v>3243</v>
      </c>
      <c r="G511" t="s">
        <v>4268</v>
      </c>
      <c r="H511" t="s">
        <v>4268</v>
      </c>
    </row>
    <row r="512" spans="1:8" x14ac:dyDescent="0.25">
      <c r="A512" t="s">
        <v>4573</v>
      </c>
      <c r="B512" t="s">
        <v>4573</v>
      </c>
      <c r="C512" t="s">
        <v>4574</v>
      </c>
      <c r="D512" t="s">
        <v>3242</v>
      </c>
      <c r="E512" t="s">
        <v>15710</v>
      </c>
      <c r="F512" t="s">
        <v>3288</v>
      </c>
      <c r="G512" t="s">
        <v>4575</v>
      </c>
      <c r="H512" t="s">
        <v>3285</v>
      </c>
    </row>
    <row r="513" spans="1:9" x14ac:dyDescent="0.25">
      <c r="A513" t="s">
        <v>4576</v>
      </c>
      <c r="B513" t="s">
        <v>4576</v>
      </c>
      <c r="C513" t="s">
        <v>4577</v>
      </c>
      <c r="D513" t="s">
        <v>3242</v>
      </c>
      <c r="E513" t="s">
        <v>16427</v>
      </c>
      <c r="F513" t="s">
        <v>3251</v>
      </c>
      <c r="G513" t="s">
        <v>4578</v>
      </c>
      <c r="H513" t="s">
        <v>4502</v>
      </c>
      <c r="I513" t="s">
        <v>3451</v>
      </c>
    </row>
    <row r="514" spans="1:9" x14ac:dyDescent="0.25">
      <c r="A514" t="s">
        <v>4579</v>
      </c>
      <c r="B514" t="s">
        <v>4579</v>
      </c>
      <c r="C514" t="s">
        <v>4580</v>
      </c>
      <c r="D514" t="s">
        <v>3242</v>
      </c>
      <c r="E514" t="s">
        <v>15710</v>
      </c>
      <c r="F514" t="s">
        <v>3257</v>
      </c>
      <c r="G514" t="s">
        <v>4578</v>
      </c>
      <c r="H514" t="s">
        <v>4502</v>
      </c>
      <c r="I514" t="s">
        <v>3451</v>
      </c>
    </row>
    <row r="515" spans="1:9" x14ac:dyDescent="0.25">
      <c r="A515" t="s">
        <v>4581</v>
      </c>
      <c r="B515" t="s">
        <v>4581</v>
      </c>
      <c r="C515" t="s">
        <v>4582</v>
      </c>
      <c r="D515" t="s">
        <v>3242</v>
      </c>
      <c r="E515" t="s">
        <v>15710</v>
      </c>
      <c r="F515" t="s">
        <v>3243</v>
      </c>
      <c r="G515" t="s">
        <v>4583</v>
      </c>
      <c r="H515" t="s">
        <v>3450</v>
      </c>
    </row>
    <row r="516" spans="1:9" x14ac:dyDescent="0.25">
      <c r="A516" t="s">
        <v>4584</v>
      </c>
      <c r="B516" t="s">
        <v>4584</v>
      </c>
      <c r="C516" t="s">
        <v>4585</v>
      </c>
      <c r="D516" t="s">
        <v>3242</v>
      </c>
      <c r="E516" t="s">
        <v>15710</v>
      </c>
      <c r="F516" t="s">
        <v>3243</v>
      </c>
      <c r="G516" t="s">
        <v>4586</v>
      </c>
      <c r="H516" t="s">
        <v>3290</v>
      </c>
    </row>
    <row r="517" spans="1:9" x14ac:dyDescent="0.25">
      <c r="A517" t="s">
        <v>4587</v>
      </c>
      <c r="B517" t="s">
        <v>4587</v>
      </c>
      <c r="C517" t="s">
        <v>4588</v>
      </c>
      <c r="D517" t="s">
        <v>3242</v>
      </c>
      <c r="E517" t="s">
        <v>15710</v>
      </c>
      <c r="F517" t="s">
        <v>3251</v>
      </c>
      <c r="G517" t="s">
        <v>3449</v>
      </c>
      <c r="H517" t="s">
        <v>3450</v>
      </c>
    </row>
    <row r="518" spans="1:9" x14ac:dyDescent="0.25">
      <c r="A518" t="s">
        <v>4589</v>
      </c>
      <c r="B518" t="s">
        <v>4589</v>
      </c>
      <c r="C518" t="s">
        <v>4590</v>
      </c>
      <c r="D518" t="s">
        <v>3242</v>
      </c>
      <c r="E518" t="s">
        <v>15710</v>
      </c>
      <c r="F518" t="s">
        <v>3243</v>
      </c>
      <c r="G518" t="s">
        <v>4591</v>
      </c>
      <c r="H518" t="s">
        <v>3290</v>
      </c>
    </row>
    <row r="519" spans="1:9" x14ac:dyDescent="0.25">
      <c r="A519" t="s">
        <v>16811</v>
      </c>
      <c r="B519" t="s">
        <v>16811</v>
      </c>
      <c r="C519" t="s">
        <v>16812</v>
      </c>
      <c r="D519" t="s">
        <v>3242</v>
      </c>
      <c r="E519" t="s">
        <v>16813</v>
      </c>
      <c r="F519" t="s">
        <v>3243</v>
      </c>
      <c r="G519" t="s">
        <v>16814</v>
      </c>
      <c r="H519" t="s">
        <v>3484</v>
      </c>
      <c r="I519" t="s">
        <v>14986</v>
      </c>
    </row>
    <row r="520" spans="1:9" x14ac:dyDescent="0.25">
      <c r="A520" t="s">
        <v>16911</v>
      </c>
      <c r="B520" t="s">
        <v>16911</v>
      </c>
      <c r="C520" t="s">
        <v>16912</v>
      </c>
      <c r="D520" t="s">
        <v>3242</v>
      </c>
      <c r="E520" t="s">
        <v>17153</v>
      </c>
      <c r="F520" t="s">
        <v>3372</v>
      </c>
      <c r="G520" t="s">
        <v>16913</v>
      </c>
      <c r="H520" t="s">
        <v>3484</v>
      </c>
      <c r="I520" t="s">
        <v>14986</v>
      </c>
    </row>
    <row r="521" spans="1:9" x14ac:dyDescent="0.25">
      <c r="A521" t="s">
        <v>4592</v>
      </c>
      <c r="B521" t="s">
        <v>4592</v>
      </c>
      <c r="C521" t="s">
        <v>4593</v>
      </c>
      <c r="D521" t="s">
        <v>3242</v>
      </c>
      <c r="E521" t="s">
        <v>15710</v>
      </c>
      <c r="F521" t="s">
        <v>3243</v>
      </c>
      <c r="G521" t="s">
        <v>4594</v>
      </c>
      <c r="H521" t="s">
        <v>3402</v>
      </c>
    </row>
    <row r="522" spans="1:9" x14ac:dyDescent="0.25">
      <c r="A522" t="s">
        <v>4595</v>
      </c>
      <c r="B522" t="s">
        <v>4595</v>
      </c>
      <c r="C522" t="s">
        <v>4596</v>
      </c>
      <c r="D522" t="s">
        <v>3242</v>
      </c>
      <c r="E522" t="s">
        <v>15710</v>
      </c>
      <c r="F522" t="s">
        <v>4597</v>
      </c>
      <c r="G522" t="s">
        <v>4598</v>
      </c>
      <c r="H522" t="s">
        <v>3253</v>
      </c>
      <c r="I522" t="s">
        <v>3451</v>
      </c>
    </row>
    <row r="523" spans="1:9" x14ac:dyDescent="0.25">
      <c r="A523" t="s">
        <v>4599</v>
      </c>
      <c r="B523" t="s">
        <v>4599</v>
      </c>
      <c r="C523" t="s">
        <v>4600</v>
      </c>
      <c r="D523" t="s">
        <v>3242</v>
      </c>
      <c r="E523" t="s">
        <v>16428</v>
      </c>
      <c r="F523" t="s">
        <v>3300</v>
      </c>
      <c r="G523" t="s">
        <v>4601</v>
      </c>
      <c r="H523" t="s">
        <v>3387</v>
      </c>
      <c r="I523" t="s">
        <v>3694</v>
      </c>
    </row>
    <row r="524" spans="1:9" x14ac:dyDescent="0.25">
      <c r="A524" t="s">
        <v>4602</v>
      </c>
      <c r="B524" t="s">
        <v>4602</v>
      </c>
      <c r="C524" t="s">
        <v>4603</v>
      </c>
      <c r="D524" t="s">
        <v>3242</v>
      </c>
      <c r="E524" t="s">
        <v>15876</v>
      </c>
      <c r="F524" t="s">
        <v>3300</v>
      </c>
      <c r="G524" t="s">
        <v>4604</v>
      </c>
      <c r="H524" t="s">
        <v>3387</v>
      </c>
      <c r="I524" t="s">
        <v>4605</v>
      </c>
    </row>
    <row r="525" spans="1:9" x14ac:dyDescent="0.25">
      <c r="A525" t="s">
        <v>4606</v>
      </c>
      <c r="B525" t="s">
        <v>4606</v>
      </c>
      <c r="C525" t="s">
        <v>4607</v>
      </c>
      <c r="D525" t="s">
        <v>3242</v>
      </c>
      <c r="E525" t="s">
        <v>15710</v>
      </c>
      <c r="F525" t="s">
        <v>3288</v>
      </c>
      <c r="G525" t="s">
        <v>4608</v>
      </c>
      <c r="H525" t="s">
        <v>3290</v>
      </c>
    </row>
    <row r="526" spans="1:9" x14ac:dyDescent="0.25">
      <c r="A526" t="s">
        <v>17154</v>
      </c>
      <c r="B526" t="s">
        <v>17154</v>
      </c>
      <c r="C526" t="s">
        <v>17155</v>
      </c>
      <c r="D526" t="s">
        <v>3242</v>
      </c>
      <c r="E526" t="s">
        <v>15710</v>
      </c>
      <c r="F526" t="s">
        <v>3243</v>
      </c>
      <c r="G526" t="s">
        <v>17156</v>
      </c>
      <c r="H526" t="s">
        <v>3285</v>
      </c>
    </row>
    <row r="527" spans="1:9" x14ac:dyDescent="0.25">
      <c r="A527" t="s">
        <v>4609</v>
      </c>
      <c r="B527" t="s">
        <v>4609</v>
      </c>
      <c r="C527" t="s">
        <v>4610</v>
      </c>
      <c r="D527" t="s">
        <v>3242</v>
      </c>
      <c r="E527" t="s">
        <v>15710</v>
      </c>
      <c r="F527" t="s">
        <v>3345</v>
      </c>
      <c r="G527" t="s">
        <v>4611</v>
      </c>
      <c r="H527" t="s">
        <v>3836</v>
      </c>
    </row>
    <row r="528" spans="1:9" x14ac:dyDescent="0.25">
      <c r="A528" t="s">
        <v>4612</v>
      </c>
      <c r="B528" t="s">
        <v>4612</v>
      </c>
      <c r="C528" t="s">
        <v>4613</v>
      </c>
      <c r="D528" t="s">
        <v>3242</v>
      </c>
      <c r="E528" t="s">
        <v>15710</v>
      </c>
      <c r="F528" t="s">
        <v>3288</v>
      </c>
      <c r="G528" t="s">
        <v>4614</v>
      </c>
      <c r="H528" t="s">
        <v>4615</v>
      </c>
    </row>
    <row r="529" spans="1:9" x14ac:dyDescent="0.25">
      <c r="A529" t="s">
        <v>4616</v>
      </c>
      <c r="B529" t="s">
        <v>4616</v>
      </c>
      <c r="C529" t="s">
        <v>4617</v>
      </c>
      <c r="D529" t="s">
        <v>3242</v>
      </c>
      <c r="E529" t="s">
        <v>15753</v>
      </c>
      <c r="F529" t="s">
        <v>3243</v>
      </c>
      <c r="G529" t="s">
        <v>4618</v>
      </c>
      <c r="H529" t="s">
        <v>4619</v>
      </c>
    </row>
    <row r="530" spans="1:9" x14ac:dyDescent="0.25">
      <c r="A530" t="s">
        <v>4620</v>
      </c>
      <c r="B530" t="s">
        <v>4620</v>
      </c>
      <c r="C530" t="s">
        <v>4621</v>
      </c>
      <c r="D530" t="s">
        <v>3242</v>
      </c>
      <c r="E530" t="s">
        <v>15710</v>
      </c>
      <c r="F530" t="s">
        <v>3243</v>
      </c>
      <c r="G530" t="s">
        <v>4618</v>
      </c>
      <c r="H530" t="s">
        <v>4619</v>
      </c>
    </row>
    <row r="531" spans="1:9" x14ac:dyDescent="0.25">
      <c r="A531" t="s">
        <v>4622</v>
      </c>
      <c r="B531" t="s">
        <v>4622</v>
      </c>
      <c r="C531" t="s">
        <v>4623</v>
      </c>
      <c r="D531" t="s">
        <v>3242</v>
      </c>
      <c r="E531" t="s">
        <v>15710</v>
      </c>
      <c r="F531" t="s">
        <v>3243</v>
      </c>
      <c r="G531" t="s">
        <v>4624</v>
      </c>
      <c r="H531" t="s">
        <v>4035</v>
      </c>
    </row>
    <row r="532" spans="1:9" x14ac:dyDescent="0.25">
      <c r="A532" t="s">
        <v>4625</v>
      </c>
      <c r="B532" t="s">
        <v>4625</v>
      </c>
      <c r="C532" t="s">
        <v>4626</v>
      </c>
      <c r="D532" t="s">
        <v>3242</v>
      </c>
      <c r="E532" t="s">
        <v>15710</v>
      </c>
      <c r="F532" t="s">
        <v>3288</v>
      </c>
      <c r="G532" t="s">
        <v>4627</v>
      </c>
      <c r="H532" t="s">
        <v>4615</v>
      </c>
    </row>
    <row r="533" spans="1:9" x14ac:dyDescent="0.25">
      <c r="A533" t="s">
        <v>4628</v>
      </c>
      <c r="B533" t="s">
        <v>4628</v>
      </c>
      <c r="C533" t="s">
        <v>4629</v>
      </c>
      <c r="D533" t="s">
        <v>3242</v>
      </c>
      <c r="E533" t="s">
        <v>15710</v>
      </c>
      <c r="F533" t="s">
        <v>3288</v>
      </c>
      <c r="G533" t="s">
        <v>4630</v>
      </c>
      <c r="H533" t="s">
        <v>3285</v>
      </c>
    </row>
    <row r="534" spans="1:9" x14ac:dyDescent="0.25">
      <c r="A534" t="s">
        <v>4631</v>
      </c>
      <c r="B534" t="s">
        <v>4631</v>
      </c>
      <c r="C534" t="s">
        <v>4632</v>
      </c>
      <c r="D534" t="s">
        <v>3242</v>
      </c>
      <c r="E534" t="s">
        <v>15710</v>
      </c>
      <c r="F534" t="s">
        <v>3288</v>
      </c>
      <c r="G534" t="s">
        <v>4633</v>
      </c>
      <c r="H534" t="s">
        <v>3488</v>
      </c>
    </row>
    <row r="535" spans="1:9" x14ac:dyDescent="0.25">
      <c r="A535" t="s">
        <v>16658</v>
      </c>
      <c r="B535" t="s">
        <v>16658</v>
      </c>
      <c r="C535" t="s">
        <v>16659</v>
      </c>
      <c r="D535" t="s">
        <v>3242</v>
      </c>
      <c r="E535" t="s">
        <v>15710</v>
      </c>
      <c r="F535" t="s">
        <v>3243</v>
      </c>
      <c r="G535" t="s">
        <v>16660</v>
      </c>
      <c r="H535" t="s">
        <v>4035</v>
      </c>
    </row>
    <row r="536" spans="1:9" x14ac:dyDescent="0.25">
      <c r="A536" t="s">
        <v>4634</v>
      </c>
      <c r="B536" t="s">
        <v>4634</v>
      </c>
      <c r="C536" t="s">
        <v>4635</v>
      </c>
      <c r="D536" t="s">
        <v>3242</v>
      </c>
      <c r="E536" t="s">
        <v>15710</v>
      </c>
      <c r="F536" t="s">
        <v>3243</v>
      </c>
      <c r="G536" t="s">
        <v>3936</v>
      </c>
      <c r="H536" t="s">
        <v>3285</v>
      </c>
    </row>
    <row r="537" spans="1:9" x14ac:dyDescent="0.25">
      <c r="A537" t="s">
        <v>4636</v>
      </c>
      <c r="B537" t="s">
        <v>4636</v>
      </c>
      <c r="C537" t="s">
        <v>4637</v>
      </c>
      <c r="D537" t="s">
        <v>3242</v>
      </c>
      <c r="E537" t="s">
        <v>15710</v>
      </c>
      <c r="F537" t="s">
        <v>3257</v>
      </c>
      <c r="G537" t="s">
        <v>4638</v>
      </c>
      <c r="H537" t="s">
        <v>4045</v>
      </c>
      <c r="I537" t="s">
        <v>3694</v>
      </c>
    </row>
    <row r="538" spans="1:9" x14ac:dyDescent="0.25">
      <c r="A538" t="s">
        <v>4639</v>
      </c>
      <c r="B538" t="s">
        <v>4639</v>
      </c>
      <c r="C538" t="s">
        <v>4640</v>
      </c>
      <c r="D538" t="s">
        <v>3242</v>
      </c>
      <c r="E538" t="s">
        <v>15710</v>
      </c>
      <c r="F538" t="s">
        <v>3251</v>
      </c>
      <c r="G538" t="s">
        <v>4641</v>
      </c>
      <c r="H538" t="s">
        <v>4642</v>
      </c>
      <c r="I538" t="s">
        <v>3451</v>
      </c>
    </row>
    <row r="539" spans="1:9" x14ac:dyDescent="0.25">
      <c r="A539" t="s">
        <v>14954</v>
      </c>
      <c r="B539" t="s">
        <v>14954</v>
      </c>
      <c r="C539" t="s">
        <v>14955</v>
      </c>
      <c r="D539" t="s">
        <v>3242</v>
      </c>
      <c r="E539" t="s">
        <v>15710</v>
      </c>
      <c r="F539" t="s">
        <v>3288</v>
      </c>
      <c r="G539" t="s">
        <v>14956</v>
      </c>
      <c r="H539" t="s">
        <v>4035</v>
      </c>
    </row>
    <row r="540" spans="1:9" x14ac:dyDescent="0.25">
      <c r="A540" t="s">
        <v>16661</v>
      </c>
      <c r="B540" t="s">
        <v>16661</v>
      </c>
      <c r="C540" t="s">
        <v>16662</v>
      </c>
      <c r="D540" t="s">
        <v>3242</v>
      </c>
      <c r="E540" t="s">
        <v>15710</v>
      </c>
      <c r="F540" t="s">
        <v>16663</v>
      </c>
      <c r="G540" t="s">
        <v>3060</v>
      </c>
      <c r="H540" t="s">
        <v>3285</v>
      </c>
    </row>
    <row r="541" spans="1:9" x14ac:dyDescent="0.25">
      <c r="A541" t="s">
        <v>4643</v>
      </c>
      <c r="B541" t="s">
        <v>4643</v>
      </c>
      <c r="C541" t="s">
        <v>4644</v>
      </c>
      <c r="D541" t="s">
        <v>3242</v>
      </c>
      <c r="E541" t="s">
        <v>15710</v>
      </c>
      <c r="F541" t="s">
        <v>3345</v>
      </c>
      <c r="G541" t="s">
        <v>4645</v>
      </c>
      <c r="H541" t="s">
        <v>4646</v>
      </c>
    </row>
    <row r="542" spans="1:9" x14ac:dyDescent="0.25">
      <c r="A542" t="s">
        <v>4647</v>
      </c>
      <c r="B542" t="s">
        <v>4647</v>
      </c>
      <c r="C542" t="s">
        <v>4648</v>
      </c>
      <c r="D542" t="s">
        <v>3242</v>
      </c>
      <c r="E542" t="s">
        <v>16944</v>
      </c>
      <c r="F542" t="s">
        <v>3251</v>
      </c>
      <c r="G542" t="s">
        <v>4649</v>
      </c>
      <c r="H542" t="s">
        <v>4619</v>
      </c>
      <c r="I542" t="s">
        <v>3451</v>
      </c>
    </row>
    <row r="543" spans="1:9" x14ac:dyDescent="0.25">
      <c r="A543" t="s">
        <v>16029</v>
      </c>
      <c r="B543" t="s">
        <v>16029</v>
      </c>
      <c r="C543" t="s">
        <v>16030</v>
      </c>
      <c r="D543" t="s">
        <v>3242</v>
      </c>
      <c r="E543" t="s">
        <v>15710</v>
      </c>
      <c r="F543" t="s">
        <v>3288</v>
      </c>
      <c r="G543" t="s">
        <v>3060</v>
      </c>
      <c r="H543" t="s">
        <v>3285</v>
      </c>
    </row>
    <row r="544" spans="1:9" x14ac:dyDescent="0.25">
      <c r="A544" t="s">
        <v>16173</v>
      </c>
      <c r="B544" t="s">
        <v>16173</v>
      </c>
      <c r="C544" t="s">
        <v>16174</v>
      </c>
      <c r="D544" t="s">
        <v>3242</v>
      </c>
      <c r="E544" t="s">
        <v>15710</v>
      </c>
      <c r="F544" t="s">
        <v>3243</v>
      </c>
      <c r="G544" t="s">
        <v>16175</v>
      </c>
      <c r="H544" t="s">
        <v>4615</v>
      </c>
    </row>
    <row r="545" spans="1:9" x14ac:dyDescent="0.25">
      <c r="A545" t="s">
        <v>4650</v>
      </c>
      <c r="B545" t="s">
        <v>4650</v>
      </c>
      <c r="C545" t="s">
        <v>4651</v>
      </c>
      <c r="D545" t="s">
        <v>3242</v>
      </c>
      <c r="E545" t="s">
        <v>15710</v>
      </c>
      <c r="F545" t="s">
        <v>3345</v>
      </c>
      <c r="G545" t="s">
        <v>4652</v>
      </c>
      <c r="H545" t="s">
        <v>4615</v>
      </c>
    </row>
    <row r="546" spans="1:9" x14ac:dyDescent="0.25">
      <c r="A546" t="s">
        <v>4653</v>
      </c>
      <c r="B546" t="s">
        <v>4653</v>
      </c>
      <c r="C546" t="s">
        <v>4654</v>
      </c>
      <c r="D546" t="s">
        <v>3242</v>
      </c>
      <c r="E546" t="s">
        <v>15710</v>
      </c>
      <c r="F546" t="s">
        <v>3345</v>
      </c>
      <c r="G546" t="s">
        <v>4655</v>
      </c>
      <c r="H546" t="s">
        <v>4615</v>
      </c>
    </row>
    <row r="547" spans="1:9" x14ac:dyDescent="0.25">
      <c r="A547" t="s">
        <v>4656</v>
      </c>
      <c r="B547" t="s">
        <v>4656</v>
      </c>
      <c r="C547" t="s">
        <v>4657</v>
      </c>
      <c r="D547" t="s">
        <v>3242</v>
      </c>
      <c r="E547" t="s">
        <v>15710</v>
      </c>
      <c r="F547" t="s">
        <v>3288</v>
      </c>
      <c r="G547" t="s">
        <v>3060</v>
      </c>
      <c r="H547" t="s">
        <v>3285</v>
      </c>
    </row>
    <row r="548" spans="1:9" x14ac:dyDescent="0.25">
      <c r="A548" t="s">
        <v>4658</v>
      </c>
      <c r="B548" t="s">
        <v>4658</v>
      </c>
      <c r="C548" t="s">
        <v>4659</v>
      </c>
      <c r="D548" t="s">
        <v>3242</v>
      </c>
      <c r="E548" t="s">
        <v>15710</v>
      </c>
      <c r="F548" t="s">
        <v>3283</v>
      </c>
      <c r="G548" t="s">
        <v>4660</v>
      </c>
      <c r="H548" t="s">
        <v>3060</v>
      </c>
    </row>
    <row r="549" spans="1:9" x14ac:dyDescent="0.25">
      <c r="A549" t="s">
        <v>14957</v>
      </c>
      <c r="B549" t="s">
        <v>14957</v>
      </c>
      <c r="C549" t="s">
        <v>14958</v>
      </c>
      <c r="D549" t="s">
        <v>3242</v>
      </c>
      <c r="E549" t="s">
        <v>15710</v>
      </c>
      <c r="F549" t="s">
        <v>3288</v>
      </c>
      <c r="G549" t="s">
        <v>14959</v>
      </c>
      <c r="H549" t="s">
        <v>4035</v>
      </c>
    </row>
    <row r="550" spans="1:9" x14ac:dyDescent="0.25">
      <c r="A550" t="s">
        <v>4661</v>
      </c>
      <c r="B550" t="s">
        <v>4661</v>
      </c>
      <c r="C550" t="s">
        <v>4662</v>
      </c>
      <c r="D550" t="s">
        <v>3242</v>
      </c>
      <c r="E550" t="s">
        <v>15710</v>
      </c>
      <c r="F550" t="s">
        <v>3251</v>
      </c>
      <c r="G550" t="s">
        <v>4663</v>
      </c>
      <c r="H550" t="s">
        <v>3387</v>
      </c>
      <c r="I550" t="s">
        <v>3451</v>
      </c>
    </row>
    <row r="551" spans="1:9" x14ac:dyDescent="0.25">
      <c r="A551" t="s">
        <v>4664</v>
      </c>
      <c r="B551" t="s">
        <v>4664</v>
      </c>
      <c r="C551" t="s">
        <v>4665</v>
      </c>
      <c r="D551" t="s">
        <v>3242</v>
      </c>
      <c r="E551" t="s">
        <v>15710</v>
      </c>
      <c r="F551" t="s">
        <v>3288</v>
      </c>
      <c r="G551" t="s">
        <v>3387</v>
      </c>
      <c r="H551" t="s">
        <v>4035</v>
      </c>
    </row>
    <row r="552" spans="1:9" x14ac:dyDescent="0.25">
      <c r="A552" t="s">
        <v>15754</v>
      </c>
      <c r="B552" t="s">
        <v>15754</v>
      </c>
      <c r="C552" t="s">
        <v>15755</v>
      </c>
      <c r="D552" t="s">
        <v>3242</v>
      </c>
      <c r="E552" t="s">
        <v>15710</v>
      </c>
      <c r="F552" t="s">
        <v>3251</v>
      </c>
      <c r="G552" t="s">
        <v>15756</v>
      </c>
      <c r="H552" t="s">
        <v>3387</v>
      </c>
      <c r="I552" t="s">
        <v>4605</v>
      </c>
    </row>
    <row r="553" spans="1:9" x14ac:dyDescent="0.25">
      <c r="A553" t="s">
        <v>4666</v>
      </c>
      <c r="B553" t="s">
        <v>4666</v>
      </c>
      <c r="C553" t="s">
        <v>4667</v>
      </c>
      <c r="D553" t="s">
        <v>3242</v>
      </c>
      <c r="E553" t="s">
        <v>15710</v>
      </c>
      <c r="F553" t="s">
        <v>3288</v>
      </c>
      <c r="G553" t="s">
        <v>4668</v>
      </c>
      <c r="H553" t="s">
        <v>4320</v>
      </c>
    </row>
    <row r="554" spans="1:9" x14ac:dyDescent="0.25">
      <c r="A554" t="s">
        <v>4669</v>
      </c>
      <c r="B554" t="s">
        <v>4669</v>
      </c>
      <c r="C554" t="s">
        <v>4670</v>
      </c>
      <c r="D554" t="s">
        <v>3242</v>
      </c>
      <c r="E554" t="s">
        <v>15710</v>
      </c>
      <c r="F554" t="s">
        <v>3288</v>
      </c>
      <c r="G554" t="s">
        <v>4671</v>
      </c>
      <c r="H554" t="s">
        <v>3618</v>
      </c>
    </row>
    <row r="555" spans="1:9" x14ac:dyDescent="0.25">
      <c r="A555" t="s">
        <v>14960</v>
      </c>
      <c r="B555" t="s">
        <v>14960</v>
      </c>
      <c r="C555" t="s">
        <v>14961</v>
      </c>
      <c r="D555" t="s">
        <v>3242</v>
      </c>
      <c r="E555" t="s">
        <v>15710</v>
      </c>
      <c r="F555" t="s">
        <v>3243</v>
      </c>
      <c r="G555" t="s">
        <v>4608</v>
      </c>
      <c r="H555" t="s">
        <v>3618</v>
      </c>
    </row>
    <row r="556" spans="1:9" x14ac:dyDescent="0.25">
      <c r="A556" t="s">
        <v>4672</v>
      </c>
      <c r="B556" t="s">
        <v>4672</v>
      </c>
      <c r="C556" t="s">
        <v>4673</v>
      </c>
      <c r="D556" t="s">
        <v>3242</v>
      </c>
      <c r="E556" t="s">
        <v>15710</v>
      </c>
      <c r="F556" t="s">
        <v>3300</v>
      </c>
      <c r="G556" t="s">
        <v>3420</v>
      </c>
      <c r="H556" t="s">
        <v>3421</v>
      </c>
    </row>
    <row r="557" spans="1:9" x14ac:dyDescent="0.25">
      <c r="A557" t="s">
        <v>4674</v>
      </c>
      <c r="B557" t="s">
        <v>4674</v>
      </c>
      <c r="C557" t="s">
        <v>4675</v>
      </c>
      <c r="D557" t="s">
        <v>3242</v>
      </c>
      <c r="E557" t="s">
        <v>15710</v>
      </c>
      <c r="F557" t="s">
        <v>3345</v>
      </c>
      <c r="G557" t="s">
        <v>4608</v>
      </c>
      <c r="H557" t="s">
        <v>3915</v>
      </c>
    </row>
    <row r="558" spans="1:9" x14ac:dyDescent="0.25">
      <c r="A558" t="s">
        <v>4676</v>
      </c>
      <c r="B558" t="s">
        <v>4676</v>
      </c>
      <c r="C558" t="s">
        <v>4677</v>
      </c>
      <c r="D558" t="s">
        <v>3242</v>
      </c>
      <c r="E558" t="s">
        <v>15710</v>
      </c>
      <c r="F558" t="s">
        <v>3288</v>
      </c>
      <c r="G558" t="s">
        <v>4678</v>
      </c>
      <c r="H558" t="s">
        <v>3618</v>
      </c>
    </row>
    <row r="559" spans="1:9" x14ac:dyDescent="0.25">
      <c r="A559" t="s">
        <v>17541</v>
      </c>
      <c r="B559" t="s">
        <v>17541</v>
      </c>
      <c r="C559" t="s">
        <v>17542</v>
      </c>
      <c r="D559" t="s">
        <v>3242</v>
      </c>
      <c r="E559" t="s">
        <v>15710</v>
      </c>
      <c r="F559" t="s">
        <v>17543</v>
      </c>
      <c r="G559" t="s">
        <v>3060</v>
      </c>
      <c r="H559" t="s">
        <v>3285</v>
      </c>
    </row>
    <row r="560" spans="1:9" x14ac:dyDescent="0.25">
      <c r="A560" t="s">
        <v>16176</v>
      </c>
      <c r="B560" t="s">
        <v>16176</v>
      </c>
      <c r="C560" t="s">
        <v>16177</v>
      </c>
      <c r="D560" t="s">
        <v>3242</v>
      </c>
      <c r="E560" t="s">
        <v>15710</v>
      </c>
      <c r="F560" t="s">
        <v>3243</v>
      </c>
      <c r="G560" t="s">
        <v>4608</v>
      </c>
      <c r="H560" t="s">
        <v>3618</v>
      </c>
    </row>
    <row r="561" spans="1:9" x14ac:dyDescent="0.25">
      <c r="A561" t="s">
        <v>4679</v>
      </c>
      <c r="B561" t="s">
        <v>4679</v>
      </c>
      <c r="C561" t="s">
        <v>4680</v>
      </c>
      <c r="D561" t="s">
        <v>3242</v>
      </c>
      <c r="E561" t="s">
        <v>15710</v>
      </c>
      <c r="F561" t="s">
        <v>3288</v>
      </c>
      <c r="G561" t="s">
        <v>4681</v>
      </c>
      <c r="H561" t="s">
        <v>3285</v>
      </c>
    </row>
    <row r="562" spans="1:9" x14ac:dyDescent="0.25">
      <c r="A562" t="s">
        <v>4682</v>
      </c>
      <c r="B562" t="s">
        <v>4682</v>
      </c>
      <c r="C562" t="s">
        <v>4683</v>
      </c>
      <c r="D562" t="s">
        <v>3242</v>
      </c>
      <c r="E562" t="s">
        <v>15710</v>
      </c>
      <c r="F562" t="s">
        <v>3345</v>
      </c>
      <c r="G562" t="s">
        <v>4684</v>
      </c>
      <c r="H562" t="s">
        <v>3680</v>
      </c>
    </row>
    <row r="563" spans="1:9" x14ac:dyDescent="0.25">
      <c r="A563" t="s">
        <v>4685</v>
      </c>
      <c r="B563" t="s">
        <v>4685</v>
      </c>
      <c r="C563" t="s">
        <v>4686</v>
      </c>
      <c r="D563" t="s">
        <v>3242</v>
      </c>
      <c r="E563" t="s">
        <v>15710</v>
      </c>
      <c r="F563" t="s">
        <v>3288</v>
      </c>
      <c r="G563" t="s">
        <v>4687</v>
      </c>
      <c r="H563" t="s">
        <v>3285</v>
      </c>
    </row>
    <row r="564" spans="1:9" x14ac:dyDescent="0.25">
      <c r="A564" t="s">
        <v>4688</v>
      </c>
      <c r="B564" t="s">
        <v>4688</v>
      </c>
      <c r="C564" t="s">
        <v>4689</v>
      </c>
      <c r="D564" t="s">
        <v>3242</v>
      </c>
      <c r="E564" t="s">
        <v>15710</v>
      </c>
      <c r="F564" t="s">
        <v>3288</v>
      </c>
      <c r="G564" t="s">
        <v>4690</v>
      </c>
      <c r="H564" t="s">
        <v>3285</v>
      </c>
    </row>
    <row r="565" spans="1:9" x14ac:dyDescent="0.25">
      <c r="A565" t="s">
        <v>16179</v>
      </c>
      <c r="B565" t="s">
        <v>16179</v>
      </c>
      <c r="C565" t="s">
        <v>16180</v>
      </c>
      <c r="D565" t="s">
        <v>3242</v>
      </c>
      <c r="E565" t="s">
        <v>15710</v>
      </c>
      <c r="F565" t="s">
        <v>3288</v>
      </c>
      <c r="G565" t="s">
        <v>16181</v>
      </c>
      <c r="H565" t="s">
        <v>4697</v>
      </c>
    </row>
    <row r="566" spans="1:9" x14ac:dyDescent="0.25">
      <c r="A566" t="s">
        <v>4691</v>
      </c>
      <c r="B566" t="s">
        <v>4691</v>
      </c>
      <c r="C566" t="s">
        <v>4692</v>
      </c>
      <c r="D566" t="s">
        <v>3242</v>
      </c>
      <c r="E566" t="s">
        <v>15710</v>
      </c>
      <c r="F566" t="s">
        <v>3345</v>
      </c>
      <c r="G566" t="s">
        <v>4693</v>
      </c>
      <c r="H566" t="s">
        <v>3290</v>
      </c>
    </row>
    <row r="567" spans="1:9" x14ac:dyDescent="0.25">
      <c r="A567" t="s">
        <v>4694</v>
      </c>
      <c r="B567" t="s">
        <v>4694</v>
      </c>
      <c r="C567" t="s">
        <v>4695</v>
      </c>
      <c r="D567" t="s">
        <v>3242</v>
      </c>
      <c r="E567" t="s">
        <v>15710</v>
      </c>
      <c r="F567" t="s">
        <v>3288</v>
      </c>
      <c r="G567" t="s">
        <v>4696</v>
      </c>
      <c r="H567" t="s">
        <v>4697</v>
      </c>
    </row>
    <row r="568" spans="1:9" x14ac:dyDescent="0.25">
      <c r="A568" t="s">
        <v>4698</v>
      </c>
      <c r="B568" t="s">
        <v>4698</v>
      </c>
      <c r="C568" t="s">
        <v>4699</v>
      </c>
      <c r="D568" t="s">
        <v>3242</v>
      </c>
      <c r="E568" t="s">
        <v>15710</v>
      </c>
      <c r="F568" t="s">
        <v>3288</v>
      </c>
      <c r="G568" t="s">
        <v>4608</v>
      </c>
      <c r="H568" t="s">
        <v>3618</v>
      </c>
    </row>
    <row r="569" spans="1:9" x14ac:dyDescent="0.25">
      <c r="A569" t="s">
        <v>4700</v>
      </c>
      <c r="B569" t="s">
        <v>4700</v>
      </c>
      <c r="C569" t="s">
        <v>4701</v>
      </c>
      <c r="D569" t="s">
        <v>3242</v>
      </c>
      <c r="E569" t="s">
        <v>16429</v>
      </c>
      <c r="F569" t="s">
        <v>3257</v>
      </c>
      <c r="G569" t="s">
        <v>4702</v>
      </c>
      <c r="H569" t="s">
        <v>3060</v>
      </c>
      <c r="I569" t="s">
        <v>3694</v>
      </c>
    </row>
    <row r="570" spans="1:9" x14ac:dyDescent="0.25">
      <c r="A570" t="s">
        <v>16031</v>
      </c>
      <c r="B570" t="s">
        <v>16031</v>
      </c>
      <c r="C570" t="s">
        <v>16032</v>
      </c>
      <c r="D570" t="s">
        <v>3242</v>
      </c>
      <c r="E570" t="s">
        <v>15710</v>
      </c>
      <c r="F570" t="s">
        <v>3288</v>
      </c>
      <c r="G570" t="s">
        <v>3060</v>
      </c>
      <c r="H570" t="s">
        <v>3285</v>
      </c>
    </row>
    <row r="571" spans="1:9" x14ac:dyDescent="0.25">
      <c r="A571" t="s">
        <v>4703</v>
      </c>
      <c r="B571" t="s">
        <v>4703</v>
      </c>
      <c r="C571" t="s">
        <v>4704</v>
      </c>
      <c r="D571" t="s">
        <v>3242</v>
      </c>
      <c r="E571" t="s">
        <v>15710</v>
      </c>
      <c r="F571" t="s">
        <v>3288</v>
      </c>
      <c r="G571" t="s">
        <v>4705</v>
      </c>
      <c r="H571" t="s">
        <v>3618</v>
      </c>
    </row>
    <row r="572" spans="1:9" x14ac:dyDescent="0.25">
      <c r="A572" t="s">
        <v>16430</v>
      </c>
      <c r="B572" t="s">
        <v>16430</v>
      </c>
      <c r="C572" t="s">
        <v>16431</v>
      </c>
      <c r="D572" t="s">
        <v>3242</v>
      </c>
      <c r="E572" t="s">
        <v>15710</v>
      </c>
      <c r="F572" t="s">
        <v>3288</v>
      </c>
      <c r="G572" t="s">
        <v>16432</v>
      </c>
      <c r="H572" t="s">
        <v>3680</v>
      </c>
    </row>
    <row r="573" spans="1:9" x14ac:dyDescent="0.25">
      <c r="A573" t="s">
        <v>4706</v>
      </c>
      <c r="B573" t="s">
        <v>4706</v>
      </c>
      <c r="C573" t="s">
        <v>4707</v>
      </c>
      <c r="D573" t="s">
        <v>3242</v>
      </c>
      <c r="E573" t="s">
        <v>15710</v>
      </c>
      <c r="F573" t="s">
        <v>3243</v>
      </c>
      <c r="G573" t="s">
        <v>4708</v>
      </c>
      <c r="H573" t="s">
        <v>3290</v>
      </c>
    </row>
    <row r="574" spans="1:9" x14ac:dyDescent="0.25">
      <c r="A574" t="s">
        <v>4709</v>
      </c>
      <c r="B574" t="s">
        <v>4709</v>
      </c>
      <c r="C574" t="s">
        <v>4710</v>
      </c>
      <c r="D574" t="s">
        <v>3242</v>
      </c>
      <c r="E574" t="s">
        <v>15710</v>
      </c>
      <c r="F574" t="s">
        <v>3345</v>
      </c>
      <c r="G574" t="s">
        <v>4608</v>
      </c>
      <c r="H574" t="s">
        <v>4711</v>
      </c>
    </row>
    <row r="575" spans="1:9" x14ac:dyDescent="0.25">
      <c r="A575" t="s">
        <v>4712</v>
      </c>
      <c r="B575" t="s">
        <v>4712</v>
      </c>
      <c r="C575" t="s">
        <v>4713</v>
      </c>
      <c r="D575" t="s">
        <v>3242</v>
      </c>
      <c r="E575" t="s">
        <v>15710</v>
      </c>
      <c r="F575" t="s">
        <v>3283</v>
      </c>
      <c r="G575" t="s">
        <v>4714</v>
      </c>
      <c r="H575" t="s">
        <v>4715</v>
      </c>
    </row>
    <row r="576" spans="1:9" x14ac:dyDescent="0.25">
      <c r="A576" t="s">
        <v>4716</v>
      </c>
      <c r="B576" t="s">
        <v>4716</v>
      </c>
      <c r="C576" t="s">
        <v>4717</v>
      </c>
      <c r="D576" t="s">
        <v>3242</v>
      </c>
      <c r="E576" t="s">
        <v>15710</v>
      </c>
      <c r="F576" t="s">
        <v>3243</v>
      </c>
      <c r="G576" t="s">
        <v>4718</v>
      </c>
      <c r="H576" t="s">
        <v>3285</v>
      </c>
    </row>
    <row r="577" spans="1:9" x14ac:dyDescent="0.25">
      <c r="A577" t="s">
        <v>4719</v>
      </c>
      <c r="B577" t="s">
        <v>4719</v>
      </c>
      <c r="C577" t="s">
        <v>4720</v>
      </c>
      <c r="D577" t="s">
        <v>3242</v>
      </c>
      <c r="E577" t="s">
        <v>15710</v>
      </c>
      <c r="F577" t="s">
        <v>4102</v>
      </c>
      <c r="G577" t="s">
        <v>4721</v>
      </c>
      <c r="H577" t="s">
        <v>3936</v>
      </c>
    </row>
    <row r="578" spans="1:9" x14ac:dyDescent="0.25">
      <c r="A578" t="s">
        <v>4722</v>
      </c>
      <c r="B578" t="s">
        <v>4722</v>
      </c>
      <c r="C578" t="s">
        <v>4723</v>
      </c>
      <c r="D578" t="s">
        <v>3242</v>
      </c>
      <c r="E578" t="s">
        <v>15710</v>
      </c>
      <c r="F578" t="s">
        <v>3288</v>
      </c>
      <c r="G578" t="s">
        <v>4724</v>
      </c>
      <c r="H578" t="s">
        <v>4715</v>
      </c>
    </row>
    <row r="579" spans="1:9" x14ac:dyDescent="0.25">
      <c r="A579" t="s">
        <v>15757</v>
      </c>
      <c r="B579" t="s">
        <v>15757</v>
      </c>
      <c r="C579" t="s">
        <v>15758</v>
      </c>
      <c r="D579" t="s">
        <v>3242</v>
      </c>
      <c r="E579" t="s">
        <v>15710</v>
      </c>
      <c r="F579" t="s">
        <v>3243</v>
      </c>
      <c r="G579" t="s">
        <v>15759</v>
      </c>
      <c r="H579" t="s">
        <v>3285</v>
      </c>
    </row>
    <row r="580" spans="1:9" x14ac:dyDescent="0.25">
      <c r="A580" t="s">
        <v>4725</v>
      </c>
      <c r="B580" t="s">
        <v>4725</v>
      </c>
      <c r="C580" t="s">
        <v>4726</v>
      </c>
      <c r="D580" t="s">
        <v>3242</v>
      </c>
      <c r="E580" t="s">
        <v>15710</v>
      </c>
      <c r="F580" t="s">
        <v>3257</v>
      </c>
      <c r="G580" t="s">
        <v>4727</v>
      </c>
      <c r="H580" t="s">
        <v>3311</v>
      </c>
      <c r="I580" t="s">
        <v>3254</v>
      </c>
    </row>
    <row r="581" spans="1:9" x14ac:dyDescent="0.25">
      <c r="A581" t="s">
        <v>4728</v>
      </c>
      <c r="B581" t="s">
        <v>4728</v>
      </c>
      <c r="C581" t="s">
        <v>4729</v>
      </c>
      <c r="D581" t="s">
        <v>3242</v>
      </c>
      <c r="E581" t="s">
        <v>15710</v>
      </c>
      <c r="F581" t="s">
        <v>3283</v>
      </c>
      <c r="G581" t="s">
        <v>4730</v>
      </c>
      <c r="H581" t="s">
        <v>3421</v>
      </c>
    </row>
    <row r="582" spans="1:9" x14ac:dyDescent="0.25">
      <c r="A582" t="s">
        <v>4731</v>
      </c>
      <c r="B582" t="s">
        <v>4731</v>
      </c>
      <c r="C582" t="s">
        <v>4732</v>
      </c>
      <c r="D582" t="s">
        <v>3242</v>
      </c>
      <c r="E582" t="s">
        <v>15710</v>
      </c>
      <c r="F582" t="s">
        <v>15712</v>
      </c>
      <c r="G582" t="s">
        <v>4733</v>
      </c>
      <c r="H582" t="s">
        <v>4734</v>
      </c>
    </row>
    <row r="583" spans="1:9" x14ac:dyDescent="0.25">
      <c r="A583" t="s">
        <v>4735</v>
      </c>
      <c r="B583" t="s">
        <v>4735</v>
      </c>
      <c r="C583" t="s">
        <v>4736</v>
      </c>
      <c r="D583" t="s">
        <v>3242</v>
      </c>
      <c r="E583" t="s">
        <v>15710</v>
      </c>
      <c r="F583" t="s">
        <v>3306</v>
      </c>
      <c r="G583" t="s">
        <v>4737</v>
      </c>
      <c r="H583" t="s">
        <v>3421</v>
      </c>
      <c r="I583" t="s">
        <v>3254</v>
      </c>
    </row>
    <row r="584" spans="1:9" x14ac:dyDescent="0.25">
      <c r="A584" t="s">
        <v>4738</v>
      </c>
      <c r="B584" t="s">
        <v>4738</v>
      </c>
      <c r="C584" t="s">
        <v>4739</v>
      </c>
      <c r="D584" t="s">
        <v>3242</v>
      </c>
      <c r="E584" t="s">
        <v>15710</v>
      </c>
      <c r="F584" t="s">
        <v>3345</v>
      </c>
      <c r="G584" t="s">
        <v>3537</v>
      </c>
      <c r="H584" t="s">
        <v>4740</v>
      </c>
    </row>
    <row r="585" spans="1:9" x14ac:dyDescent="0.25">
      <c r="A585" t="s">
        <v>4741</v>
      </c>
      <c r="B585" t="s">
        <v>4741</v>
      </c>
      <c r="C585" t="s">
        <v>4742</v>
      </c>
      <c r="D585" t="s">
        <v>3242</v>
      </c>
      <c r="E585" t="s">
        <v>15710</v>
      </c>
      <c r="F585" t="s">
        <v>3345</v>
      </c>
      <c r="G585" t="s">
        <v>4743</v>
      </c>
      <c r="H585" t="s">
        <v>3290</v>
      </c>
    </row>
    <row r="586" spans="1:9" x14ac:dyDescent="0.25">
      <c r="A586" t="s">
        <v>4744</v>
      </c>
      <c r="B586" t="s">
        <v>4744</v>
      </c>
      <c r="C586" t="s">
        <v>4745</v>
      </c>
      <c r="D586" t="s">
        <v>3242</v>
      </c>
      <c r="E586" t="s">
        <v>15710</v>
      </c>
      <c r="F586" t="s">
        <v>3288</v>
      </c>
      <c r="G586" t="s">
        <v>3060</v>
      </c>
      <c r="H586" t="s">
        <v>3290</v>
      </c>
    </row>
    <row r="587" spans="1:9" x14ac:dyDescent="0.25">
      <c r="A587" t="s">
        <v>14962</v>
      </c>
      <c r="B587" t="s">
        <v>14962</v>
      </c>
      <c r="C587" t="s">
        <v>14963</v>
      </c>
      <c r="D587" t="s">
        <v>3242</v>
      </c>
      <c r="E587" t="s">
        <v>15710</v>
      </c>
      <c r="F587" t="s">
        <v>3288</v>
      </c>
      <c r="G587" t="s">
        <v>3060</v>
      </c>
      <c r="H587" t="s">
        <v>3285</v>
      </c>
    </row>
    <row r="588" spans="1:9" x14ac:dyDescent="0.25">
      <c r="A588" t="s">
        <v>16914</v>
      </c>
      <c r="B588" t="s">
        <v>16914</v>
      </c>
      <c r="C588" t="s">
        <v>16915</v>
      </c>
      <c r="D588" t="s">
        <v>3242</v>
      </c>
      <c r="E588" t="s">
        <v>15710</v>
      </c>
      <c r="F588" t="s">
        <v>3288</v>
      </c>
      <c r="G588" t="s">
        <v>16916</v>
      </c>
      <c r="H588" t="s">
        <v>3285</v>
      </c>
    </row>
    <row r="589" spans="1:9" x14ac:dyDescent="0.25">
      <c r="A589" t="s">
        <v>4746</v>
      </c>
      <c r="B589" t="s">
        <v>4746</v>
      </c>
      <c r="C589" t="s">
        <v>4747</v>
      </c>
      <c r="D589" t="s">
        <v>3242</v>
      </c>
      <c r="E589" t="s">
        <v>15710</v>
      </c>
      <c r="F589" t="s">
        <v>3345</v>
      </c>
      <c r="G589" t="s">
        <v>4748</v>
      </c>
      <c r="H589" t="s">
        <v>4740</v>
      </c>
    </row>
    <row r="590" spans="1:9" x14ac:dyDescent="0.25">
      <c r="A590" t="s">
        <v>4749</v>
      </c>
      <c r="B590" t="s">
        <v>4749</v>
      </c>
      <c r="C590" t="s">
        <v>4750</v>
      </c>
      <c r="D590" t="s">
        <v>3242</v>
      </c>
      <c r="E590" t="s">
        <v>15710</v>
      </c>
      <c r="F590" t="s">
        <v>3345</v>
      </c>
      <c r="G590" t="s">
        <v>4751</v>
      </c>
      <c r="H590" t="s">
        <v>3488</v>
      </c>
    </row>
    <row r="591" spans="1:9" x14ac:dyDescent="0.25">
      <c r="A591" t="s">
        <v>4752</v>
      </c>
      <c r="B591" t="s">
        <v>4752</v>
      </c>
      <c r="C591" t="s">
        <v>4753</v>
      </c>
      <c r="D591" t="s">
        <v>3242</v>
      </c>
      <c r="E591" t="s">
        <v>15710</v>
      </c>
      <c r="F591" t="s">
        <v>3345</v>
      </c>
      <c r="G591" t="s">
        <v>4754</v>
      </c>
      <c r="H591" t="s">
        <v>3680</v>
      </c>
    </row>
    <row r="592" spans="1:9" x14ac:dyDescent="0.25">
      <c r="A592" t="s">
        <v>4755</v>
      </c>
      <c r="B592" t="s">
        <v>4755</v>
      </c>
      <c r="C592" t="s">
        <v>4756</v>
      </c>
      <c r="D592" t="s">
        <v>3242</v>
      </c>
      <c r="E592" t="s">
        <v>15710</v>
      </c>
      <c r="F592" t="s">
        <v>3288</v>
      </c>
      <c r="G592" t="s">
        <v>3537</v>
      </c>
      <c r="H592" t="s">
        <v>3290</v>
      </c>
    </row>
    <row r="593" spans="1:9" x14ac:dyDescent="0.25">
      <c r="A593" t="s">
        <v>17157</v>
      </c>
      <c r="B593" t="s">
        <v>17157</v>
      </c>
      <c r="C593" t="s">
        <v>17158</v>
      </c>
      <c r="D593" t="s">
        <v>3242</v>
      </c>
      <c r="E593" t="s">
        <v>15710</v>
      </c>
      <c r="F593" t="s">
        <v>3251</v>
      </c>
      <c r="G593" t="s">
        <v>17159</v>
      </c>
      <c r="H593" t="s">
        <v>4831</v>
      </c>
      <c r="I593" t="s">
        <v>4605</v>
      </c>
    </row>
    <row r="594" spans="1:9" x14ac:dyDescent="0.25">
      <c r="A594" t="s">
        <v>4757</v>
      </c>
      <c r="B594" t="s">
        <v>4757</v>
      </c>
      <c r="C594" t="s">
        <v>4758</v>
      </c>
      <c r="D594" t="s">
        <v>3242</v>
      </c>
      <c r="E594" t="s">
        <v>15710</v>
      </c>
      <c r="F594" t="s">
        <v>3251</v>
      </c>
      <c r="G594" t="s">
        <v>4759</v>
      </c>
      <c r="H594" t="s">
        <v>3900</v>
      </c>
    </row>
    <row r="595" spans="1:9" x14ac:dyDescent="0.25">
      <c r="A595" t="s">
        <v>4760</v>
      </c>
      <c r="B595" t="s">
        <v>4760</v>
      </c>
      <c r="C595" t="s">
        <v>4761</v>
      </c>
      <c r="D595" t="s">
        <v>3242</v>
      </c>
      <c r="E595" t="s">
        <v>15710</v>
      </c>
      <c r="F595" t="s">
        <v>3288</v>
      </c>
      <c r="G595" t="s">
        <v>4762</v>
      </c>
      <c r="H595" t="s">
        <v>3680</v>
      </c>
    </row>
    <row r="596" spans="1:9" x14ac:dyDescent="0.25">
      <c r="A596" t="s">
        <v>4763</v>
      </c>
      <c r="B596" t="s">
        <v>4763</v>
      </c>
      <c r="C596" t="s">
        <v>4764</v>
      </c>
      <c r="D596" t="s">
        <v>3242</v>
      </c>
      <c r="E596" t="s">
        <v>15710</v>
      </c>
      <c r="F596" t="s">
        <v>3345</v>
      </c>
      <c r="G596" t="s">
        <v>4765</v>
      </c>
      <c r="H596" t="s">
        <v>3290</v>
      </c>
    </row>
    <row r="597" spans="1:9" x14ac:dyDescent="0.25">
      <c r="A597" t="s">
        <v>4766</v>
      </c>
      <c r="B597" t="s">
        <v>4766</v>
      </c>
      <c r="C597" t="s">
        <v>4767</v>
      </c>
      <c r="D597" t="s">
        <v>3242</v>
      </c>
      <c r="E597" t="s">
        <v>15710</v>
      </c>
      <c r="F597" t="s">
        <v>3251</v>
      </c>
      <c r="G597" t="s">
        <v>4768</v>
      </c>
      <c r="H597" t="s">
        <v>4769</v>
      </c>
      <c r="I597" t="s">
        <v>3451</v>
      </c>
    </row>
    <row r="598" spans="1:9" x14ac:dyDescent="0.25">
      <c r="A598" t="s">
        <v>4770</v>
      </c>
      <c r="B598" t="s">
        <v>4770</v>
      </c>
      <c r="C598" t="s">
        <v>4771</v>
      </c>
      <c r="D598" t="s">
        <v>3242</v>
      </c>
      <c r="E598" t="s">
        <v>15710</v>
      </c>
      <c r="F598" t="s">
        <v>15712</v>
      </c>
      <c r="G598" t="s">
        <v>4772</v>
      </c>
      <c r="H598" t="s">
        <v>3290</v>
      </c>
    </row>
    <row r="599" spans="1:9" x14ac:dyDescent="0.25">
      <c r="A599" t="s">
        <v>4773</v>
      </c>
      <c r="B599" t="s">
        <v>4773</v>
      </c>
      <c r="C599" t="s">
        <v>4774</v>
      </c>
      <c r="D599" t="s">
        <v>3242</v>
      </c>
      <c r="E599" t="s">
        <v>15710</v>
      </c>
      <c r="F599" t="s">
        <v>3345</v>
      </c>
      <c r="G599" t="s">
        <v>4775</v>
      </c>
      <c r="H599" t="s">
        <v>3814</v>
      </c>
    </row>
    <row r="600" spans="1:9" x14ac:dyDescent="0.25">
      <c r="A600" t="s">
        <v>4776</v>
      </c>
      <c r="B600" t="s">
        <v>4776</v>
      </c>
      <c r="C600" t="s">
        <v>4777</v>
      </c>
      <c r="D600" t="s">
        <v>3242</v>
      </c>
      <c r="E600" t="s">
        <v>15710</v>
      </c>
      <c r="F600" t="s">
        <v>3288</v>
      </c>
      <c r="G600" t="s">
        <v>3060</v>
      </c>
      <c r="H600" t="s">
        <v>3285</v>
      </c>
    </row>
    <row r="601" spans="1:9" x14ac:dyDescent="0.25">
      <c r="A601" t="s">
        <v>4778</v>
      </c>
      <c r="B601" t="s">
        <v>4778</v>
      </c>
      <c r="C601" t="s">
        <v>4779</v>
      </c>
      <c r="D601" t="s">
        <v>3242</v>
      </c>
      <c r="E601" t="s">
        <v>15710</v>
      </c>
      <c r="F601" t="s">
        <v>3345</v>
      </c>
      <c r="G601" t="s">
        <v>4780</v>
      </c>
      <c r="H601" t="s">
        <v>3285</v>
      </c>
    </row>
    <row r="602" spans="1:9" x14ac:dyDescent="0.25">
      <c r="A602" t="s">
        <v>4781</v>
      </c>
      <c r="B602" t="s">
        <v>4781</v>
      </c>
      <c r="C602" t="s">
        <v>4782</v>
      </c>
      <c r="D602" t="s">
        <v>3242</v>
      </c>
      <c r="E602" t="s">
        <v>15710</v>
      </c>
      <c r="F602" t="s">
        <v>3243</v>
      </c>
      <c r="G602" t="s">
        <v>4783</v>
      </c>
      <c r="H602" t="s">
        <v>3285</v>
      </c>
    </row>
    <row r="603" spans="1:9" x14ac:dyDescent="0.25">
      <c r="A603" t="s">
        <v>4784</v>
      </c>
      <c r="B603" t="s">
        <v>4784</v>
      </c>
      <c r="C603" t="s">
        <v>4785</v>
      </c>
      <c r="D603" t="s">
        <v>3242</v>
      </c>
      <c r="E603" t="s">
        <v>15710</v>
      </c>
      <c r="F603" t="s">
        <v>3251</v>
      </c>
      <c r="G603" t="s">
        <v>4786</v>
      </c>
      <c r="H603" t="s">
        <v>3886</v>
      </c>
    </row>
    <row r="604" spans="1:9" x14ac:dyDescent="0.25">
      <c r="A604" t="s">
        <v>4787</v>
      </c>
      <c r="B604" t="s">
        <v>4787</v>
      </c>
      <c r="C604" t="s">
        <v>4788</v>
      </c>
      <c r="D604" t="s">
        <v>3242</v>
      </c>
      <c r="E604" t="s">
        <v>15710</v>
      </c>
      <c r="F604" t="s">
        <v>3288</v>
      </c>
      <c r="G604" t="s">
        <v>3537</v>
      </c>
      <c r="H604" t="s">
        <v>4740</v>
      </c>
    </row>
    <row r="605" spans="1:9" x14ac:dyDescent="0.25">
      <c r="A605" t="s">
        <v>4789</v>
      </c>
      <c r="B605" t="s">
        <v>4789</v>
      </c>
      <c r="C605" t="s">
        <v>4790</v>
      </c>
      <c r="D605" t="s">
        <v>3242</v>
      </c>
      <c r="E605" t="s">
        <v>15710</v>
      </c>
      <c r="F605" t="s">
        <v>3251</v>
      </c>
      <c r="G605" t="s">
        <v>4791</v>
      </c>
      <c r="H605" t="s">
        <v>3290</v>
      </c>
    </row>
    <row r="606" spans="1:9" x14ac:dyDescent="0.25">
      <c r="A606" t="s">
        <v>4792</v>
      </c>
      <c r="B606" t="s">
        <v>4792</v>
      </c>
      <c r="C606" t="s">
        <v>4793</v>
      </c>
      <c r="D606" t="s">
        <v>3242</v>
      </c>
      <c r="E606" t="s">
        <v>15710</v>
      </c>
      <c r="F606" t="s">
        <v>3288</v>
      </c>
      <c r="G606" t="s">
        <v>3060</v>
      </c>
      <c r="H606" t="s">
        <v>3285</v>
      </c>
    </row>
    <row r="607" spans="1:9" x14ac:dyDescent="0.25">
      <c r="A607" t="s">
        <v>4794</v>
      </c>
      <c r="B607" t="s">
        <v>4794</v>
      </c>
      <c r="C607" t="s">
        <v>4795</v>
      </c>
      <c r="D607" t="s">
        <v>3242</v>
      </c>
      <c r="E607" t="s">
        <v>15710</v>
      </c>
      <c r="F607" t="s">
        <v>3288</v>
      </c>
      <c r="G607" t="s">
        <v>4796</v>
      </c>
      <c r="H607" t="s">
        <v>4797</v>
      </c>
    </row>
    <row r="608" spans="1:9" x14ac:dyDescent="0.25">
      <c r="A608" t="s">
        <v>4798</v>
      </c>
      <c r="B608" t="s">
        <v>4798</v>
      </c>
      <c r="C608" t="s">
        <v>4799</v>
      </c>
      <c r="D608" t="s">
        <v>3242</v>
      </c>
      <c r="E608" t="s">
        <v>15710</v>
      </c>
      <c r="F608" t="s">
        <v>3288</v>
      </c>
      <c r="G608" t="s">
        <v>4251</v>
      </c>
      <c r="H608" t="s">
        <v>4800</v>
      </c>
    </row>
    <row r="609" spans="1:9" x14ac:dyDescent="0.25">
      <c r="A609" t="s">
        <v>4801</v>
      </c>
      <c r="B609" t="s">
        <v>4801</v>
      </c>
      <c r="C609" t="s">
        <v>4802</v>
      </c>
      <c r="D609" t="s">
        <v>3242</v>
      </c>
      <c r="E609" t="s">
        <v>15710</v>
      </c>
      <c r="F609" t="s">
        <v>3345</v>
      </c>
      <c r="G609" t="s">
        <v>4803</v>
      </c>
      <c r="H609" t="s">
        <v>4804</v>
      </c>
    </row>
    <row r="610" spans="1:9" x14ac:dyDescent="0.25">
      <c r="A610" t="s">
        <v>16182</v>
      </c>
      <c r="B610" t="s">
        <v>16182</v>
      </c>
      <c r="C610" t="s">
        <v>16183</v>
      </c>
      <c r="D610" t="s">
        <v>3242</v>
      </c>
      <c r="E610" t="s">
        <v>15710</v>
      </c>
      <c r="F610" t="s">
        <v>3243</v>
      </c>
      <c r="G610" t="s">
        <v>10143</v>
      </c>
      <c r="H610" t="s">
        <v>4166</v>
      </c>
    </row>
    <row r="611" spans="1:9" x14ac:dyDescent="0.25">
      <c r="A611" t="s">
        <v>4805</v>
      </c>
      <c r="B611" t="s">
        <v>4805</v>
      </c>
      <c r="C611" t="s">
        <v>4806</v>
      </c>
      <c r="D611" t="s">
        <v>3242</v>
      </c>
      <c r="E611" t="s">
        <v>15710</v>
      </c>
      <c r="F611" t="s">
        <v>3288</v>
      </c>
      <c r="G611" t="s">
        <v>4807</v>
      </c>
      <c r="H611" t="s">
        <v>4166</v>
      </c>
    </row>
    <row r="612" spans="1:9" x14ac:dyDescent="0.25">
      <c r="A612" t="s">
        <v>14964</v>
      </c>
      <c r="B612" t="s">
        <v>14964</v>
      </c>
      <c r="C612" t="s">
        <v>14965</v>
      </c>
      <c r="D612" t="s">
        <v>3242</v>
      </c>
      <c r="E612" t="s">
        <v>15710</v>
      </c>
      <c r="F612" t="s">
        <v>3288</v>
      </c>
      <c r="G612" t="s">
        <v>3060</v>
      </c>
      <c r="H612" t="s">
        <v>3285</v>
      </c>
    </row>
    <row r="613" spans="1:9" x14ac:dyDescent="0.25">
      <c r="A613" t="s">
        <v>4808</v>
      </c>
      <c r="B613" t="s">
        <v>4808</v>
      </c>
      <c r="C613" t="s">
        <v>4809</v>
      </c>
      <c r="D613" t="s">
        <v>3242</v>
      </c>
      <c r="E613" t="s">
        <v>15710</v>
      </c>
      <c r="F613" t="s">
        <v>3288</v>
      </c>
      <c r="G613" t="s">
        <v>4810</v>
      </c>
      <c r="H613" t="s">
        <v>4166</v>
      </c>
    </row>
    <row r="614" spans="1:9" x14ac:dyDescent="0.25">
      <c r="A614" t="s">
        <v>4811</v>
      </c>
      <c r="B614" t="s">
        <v>4811</v>
      </c>
      <c r="C614" t="s">
        <v>4812</v>
      </c>
      <c r="D614" t="s">
        <v>3242</v>
      </c>
      <c r="E614" t="s">
        <v>15710</v>
      </c>
      <c r="F614" t="s">
        <v>3345</v>
      </c>
      <c r="G614" t="s">
        <v>4813</v>
      </c>
      <c r="H614" t="s">
        <v>4166</v>
      </c>
    </row>
    <row r="615" spans="1:9" x14ac:dyDescent="0.25">
      <c r="A615" t="s">
        <v>16917</v>
      </c>
      <c r="B615" t="s">
        <v>16917</v>
      </c>
      <c r="C615" t="s">
        <v>16918</v>
      </c>
      <c r="D615" t="s">
        <v>3242</v>
      </c>
      <c r="E615" t="s">
        <v>15710</v>
      </c>
      <c r="F615" t="s">
        <v>3243</v>
      </c>
      <c r="G615" t="s">
        <v>16919</v>
      </c>
      <c r="H615" t="s">
        <v>3285</v>
      </c>
    </row>
    <row r="616" spans="1:9" x14ac:dyDescent="0.25">
      <c r="A616" t="s">
        <v>4814</v>
      </c>
      <c r="B616" t="s">
        <v>4814</v>
      </c>
      <c r="C616" t="s">
        <v>4815</v>
      </c>
      <c r="D616" t="s">
        <v>3242</v>
      </c>
      <c r="E616" t="s">
        <v>15710</v>
      </c>
      <c r="F616" t="s">
        <v>3251</v>
      </c>
      <c r="G616" t="s">
        <v>4816</v>
      </c>
      <c r="H616" t="s">
        <v>3537</v>
      </c>
      <c r="I616" t="s">
        <v>3451</v>
      </c>
    </row>
    <row r="617" spans="1:9" x14ac:dyDescent="0.25">
      <c r="A617" t="s">
        <v>4817</v>
      </c>
      <c r="B617" t="s">
        <v>4817</v>
      </c>
      <c r="C617" t="s">
        <v>4818</v>
      </c>
      <c r="D617" t="s">
        <v>3242</v>
      </c>
      <c r="E617" t="s">
        <v>15710</v>
      </c>
      <c r="F617" t="s">
        <v>3288</v>
      </c>
      <c r="G617" t="s">
        <v>4819</v>
      </c>
      <c r="H617" t="s">
        <v>3060</v>
      </c>
    </row>
    <row r="618" spans="1:9" x14ac:dyDescent="0.25">
      <c r="A618" t="s">
        <v>4820</v>
      </c>
      <c r="B618" t="s">
        <v>4820</v>
      </c>
      <c r="C618" t="s">
        <v>4821</v>
      </c>
      <c r="D618" t="s">
        <v>3242</v>
      </c>
      <c r="E618" t="s">
        <v>15710</v>
      </c>
      <c r="F618" t="s">
        <v>3288</v>
      </c>
      <c r="G618" t="s">
        <v>3537</v>
      </c>
      <c r="H618" t="s">
        <v>4740</v>
      </c>
    </row>
    <row r="619" spans="1:9" x14ac:dyDescent="0.25">
      <c r="A619" t="s">
        <v>16184</v>
      </c>
      <c r="B619" t="s">
        <v>16184</v>
      </c>
      <c r="C619" t="s">
        <v>16185</v>
      </c>
      <c r="D619" t="s">
        <v>3242</v>
      </c>
      <c r="E619" t="s">
        <v>15710</v>
      </c>
      <c r="F619" t="s">
        <v>3288</v>
      </c>
      <c r="G619" t="s">
        <v>4645</v>
      </c>
      <c r="H619" t="s">
        <v>3285</v>
      </c>
    </row>
    <row r="620" spans="1:9" x14ac:dyDescent="0.25">
      <c r="A620" t="s">
        <v>16920</v>
      </c>
      <c r="B620" t="s">
        <v>16920</v>
      </c>
      <c r="C620" t="s">
        <v>16921</v>
      </c>
      <c r="D620" t="s">
        <v>3242</v>
      </c>
      <c r="E620" t="s">
        <v>15710</v>
      </c>
      <c r="F620" t="s">
        <v>3288</v>
      </c>
      <c r="G620" t="s">
        <v>3060</v>
      </c>
      <c r="H620" t="s">
        <v>3285</v>
      </c>
    </row>
    <row r="621" spans="1:9" x14ac:dyDescent="0.25">
      <c r="A621" t="s">
        <v>16922</v>
      </c>
      <c r="B621" t="s">
        <v>16922</v>
      </c>
      <c r="C621" t="s">
        <v>16923</v>
      </c>
      <c r="D621" t="s">
        <v>3242</v>
      </c>
      <c r="E621" t="s">
        <v>15710</v>
      </c>
      <c r="F621" t="s">
        <v>3288</v>
      </c>
      <c r="G621" t="s">
        <v>3060</v>
      </c>
      <c r="H621" t="s">
        <v>3285</v>
      </c>
    </row>
    <row r="622" spans="1:9" x14ac:dyDescent="0.25">
      <c r="A622" t="s">
        <v>4822</v>
      </c>
      <c r="B622" t="s">
        <v>4822</v>
      </c>
      <c r="C622" t="s">
        <v>4823</v>
      </c>
      <c r="D622" t="s">
        <v>3242</v>
      </c>
      <c r="E622" t="s">
        <v>15710</v>
      </c>
      <c r="F622" t="s">
        <v>3288</v>
      </c>
      <c r="G622" t="s">
        <v>4824</v>
      </c>
      <c r="H622" t="s">
        <v>3285</v>
      </c>
    </row>
    <row r="623" spans="1:9" x14ac:dyDescent="0.25">
      <c r="A623" t="s">
        <v>4825</v>
      </c>
      <c r="B623" t="s">
        <v>4825</v>
      </c>
      <c r="C623" t="s">
        <v>4826</v>
      </c>
      <c r="D623" t="s">
        <v>3242</v>
      </c>
      <c r="E623" t="s">
        <v>15710</v>
      </c>
      <c r="F623" t="s">
        <v>3243</v>
      </c>
      <c r="G623" t="s">
        <v>4827</v>
      </c>
      <c r="H623" t="s">
        <v>3285</v>
      </c>
    </row>
    <row r="624" spans="1:9" x14ac:dyDescent="0.25">
      <c r="A624" t="s">
        <v>4828</v>
      </c>
      <c r="B624" t="s">
        <v>4828</v>
      </c>
      <c r="C624" t="s">
        <v>4829</v>
      </c>
      <c r="D624" t="s">
        <v>3242</v>
      </c>
      <c r="E624" t="s">
        <v>15710</v>
      </c>
      <c r="F624" t="s">
        <v>3251</v>
      </c>
      <c r="G624" t="s">
        <v>4830</v>
      </c>
      <c r="H624" t="s">
        <v>4831</v>
      </c>
      <c r="I624" t="s">
        <v>3451</v>
      </c>
    </row>
    <row r="625" spans="1:9" x14ac:dyDescent="0.25">
      <c r="A625" t="s">
        <v>17544</v>
      </c>
      <c r="B625" t="s">
        <v>17544</v>
      </c>
      <c r="C625" t="s">
        <v>17545</v>
      </c>
      <c r="D625" t="s">
        <v>3242</v>
      </c>
      <c r="E625" t="s">
        <v>15710</v>
      </c>
      <c r="F625" t="s">
        <v>3243</v>
      </c>
      <c r="G625" t="s">
        <v>16071</v>
      </c>
      <c r="H625" t="s">
        <v>16020</v>
      </c>
    </row>
    <row r="626" spans="1:9" x14ac:dyDescent="0.25">
      <c r="A626" t="s">
        <v>4832</v>
      </c>
      <c r="B626" t="s">
        <v>4832</v>
      </c>
      <c r="C626" t="s">
        <v>4833</v>
      </c>
      <c r="D626" t="s">
        <v>3242</v>
      </c>
      <c r="E626" t="s">
        <v>17546</v>
      </c>
      <c r="F626" t="s">
        <v>3306</v>
      </c>
      <c r="G626" t="s">
        <v>4834</v>
      </c>
      <c r="H626" t="s">
        <v>4835</v>
      </c>
      <c r="I626" t="s">
        <v>3366</v>
      </c>
    </row>
    <row r="627" spans="1:9" x14ac:dyDescent="0.25">
      <c r="A627" t="s">
        <v>4836</v>
      </c>
      <c r="B627" t="s">
        <v>4836</v>
      </c>
      <c r="C627" t="s">
        <v>4837</v>
      </c>
      <c r="D627" t="s">
        <v>3242</v>
      </c>
      <c r="E627" t="s">
        <v>15836</v>
      </c>
      <c r="F627" t="s">
        <v>3257</v>
      </c>
      <c r="G627" t="s">
        <v>4838</v>
      </c>
      <c r="H627" t="s">
        <v>3262</v>
      </c>
      <c r="I627" t="s">
        <v>3263</v>
      </c>
    </row>
    <row r="628" spans="1:9" x14ac:dyDescent="0.25">
      <c r="A628" t="s">
        <v>4839</v>
      </c>
      <c r="B628" t="s">
        <v>4839</v>
      </c>
      <c r="C628" t="s">
        <v>4840</v>
      </c>
      <c r="D628" t="s">
        <v>3242</v>
      </c>
      <c r="E628" t="s">
        <v>17160</v>
      </c>
      <c r="F628" t="s">
        <v>3300</v>
      </c>
      <c r="G628" t="s">
        <v>4841</v>
      </c>
      <c r="H628" t="s">
        <v>3267</v>
      </c>
      <c r="I628" t="s">
        <v>3366</v>
      </c>
    </row>
    <row r="629" spans="1:9" x14ac:dyDescent="0.25">
      <c r="A629" t="s">
        <v>4842</v>
      </c>
      <c r="B629" t="s">
        <v>4842</v>
      </c>
      <c r="C629" t="s">
        <v>4843</v>
      </c>
      <c r="D629" t="s">
        <v>3242</v>
      </c>
      <c r="E629" t="s">
        <v>15710</v>
      </c>
      <c r="F629" t="s">
        <v>3288</v>
      </c>
      <c r="G629" t="s">
        <v>4844</v>
      </c>
      <c r="H629" t="s">
        <v>3285</v>
      </c>
    </row>
    <row r="630" spans="1:9" x14ac:dyDescent="0.25">
      <c r="A630" t="s">
        <v>4845</v>
      </c>
      <c r="B630" t="s">
        <v>4845</v>
      </c>
      <c r="C630" t="s">
        <v>4846</v>
      </c>
      <c r="D630" t="s">
        <v>3242</v>
      </c>
      <c r="E630" t="s">
        <v>15710</v>
      </c>
      <c r="F630" t="s">
        <v>3300</v>
      </c>
      <c r="G630" t="s">
        <v>4847</v>
      </c>
      <c r="H630" t="s">
        <v>4835</v>
      </c>
      <c r="I630" t="s">
        <v>3366</v>
      </c>
    </row>
    <row r="631" spans="1:9" x14ac:dyDescent="0.25">
      <c r="A631" t="s">
        <v>4848</v>
      </c>
      <c r="B631" t="s">
        <v>4848</v>
      </c>
      <c r="C631" t="s">
        <v>4849</v>
      </c>
      <c r="D631" t="s">
        <v>3242</v>
      </c>
      <c r="E631" t="s">
        <v>17630</v>
      </c>
      <c r="F631" t="s">
        <v>3257</v>
      </c>
      <c r="G631" t="s">
        <v>4850</v>
      </c>
      <c r="H631" t="s">
        <v>3267</v>
      </c>
      <c r="I631" t="s">
        <v>3366</v>
      </c>
    </row>
    <row r="632" spans="1:9" x14ac:dyDescent="0.25">
      <c r="A632" t="s">
        <v>4851</v>
      </c>
      <c r="B632" t="s">
        <v>4851</v>
      </c>
      <c r="C632" t="s">
        <v>4852</v>
      </c>
      <c r="D632" t="s">
        <v>3242</v>
      </c>
      <c r="E632" t="s">
        <v>15710</v>
      </c>
      <c r="F632" t="s">
        <v>3288</v>
      </c>
      <c r="G632" t="s">
        <v>4853</v>
      </c>
      <c r="H632" t="s">
        <v>4320</v>
      </c>
    </row>
    <row r="633" spans="1:9" x14ac:dyDescent="0.25">
      <c r="A633" t="s">
        <v>4854</v>
      </c>
      <c r="B633" t="s">
        <v>4854</v>
      </c>
      <c r="C633" t="s">
        <v>4855</v>
      </c>
      <c r="D633" t="s">
        <v>3242</v>
      </c>
      <c r="E633" t="s">
        <v>15710</v>
      </c>
      <c r="F633" t="s">
        <v>3288</v>
      </c>
      <c r="G633" t="s">
        <v>4856</v>
      </c>
      <c r="H633" t="s">
        <v>3290</v>
      </c>
    </row>
    <row r="634" spans="1:9" x14ac:dyDescent="0.25">
      <c r="A634" t="s">
        <v>4857</v>
      </c>
      <c r="B634" t="s">
        <v>4857</v>
      </c>
      <c r="C634" t="s">
        <v>4858</v>
      </c>
      <c r="D634" t="s">
        <v>3321</v>
      </c>
      <c r="E634" t="s">
        <v>15760</v>
      </c>
      <c r="F634" t="s">
        <v>3257</v>
      </c>
      <c r="G634" t="s">
        <v>4859</v>
      </c>
      <c r="H634" t="s">
        <v>3332</v>
      </c>
      <c r="I634" t="s">
        <v>3324</v>
      </c>
    </row>
    <row r="635" spans="1:9" x14ac:dyDescent="0.25">
      <c r="A635" t="s">
        <v>4860</v>
      </c>
      <c r="B635" t="s">
        <v>4860</v>
      </c>
      <c r="C635" t="s">
        <v>4861</v>
      </c>
      <c r="D635" t="s">
        <v>3242</v>
      </c>
      <c r="E635" t="s">
        <v>15710</v>
      </c>
      <c r="F635" t="s">
        <v>3345</v>
      </c>
      <c r="G635" t="s">
        <v>4862</v>
      </c>
      <c r="H635" t="s">
        <v>3285</v>
      </c>
    </row>
    <row r="636" spans="1:9" x14ac:dyDescent="0.25">
      <c r="A636" t="s">
        <v>4863</v>
      </c>
      <c r="B636" t="s">
        <v>4863</v>
      </c>
      <c r="C636" t="s">
        <v>4864</v>
      </c>
      <c r="D636" t="s">
        <v>3242</v>
      </c>
      <c r="E636" t="s">
        <v>15710</v>
      </c>
      <c r="F636" t="s">
        <v>3288</v>
      </c>
      <c r="G636" t="s">
        <v>3060</v>
      </c>
      <c r="H636" t="s">
        <v>3285</v>
      </c>
    </row>
    <row r="637" spans="1:9" x14ac:dyDescent="0.25">
      <c r="A637" t="s">
        <v>4865</v>
      </c>
      <c r="B637" t="s">
        <v>4865</v>
      </c>
      <c r="C637" t="s">
        <v>4866</v>
      </c>
      <c r="D637" t="s">
        <v>3242</v>
      </c>
      <c r="E637" t="s">
        <v>15710</v>
      </c>
      <c r="F637" t="s">
        <v>3345</v>
      </c>
      <c r="G637" t="s">
        <v>4867</v>
      </c>
      <c r="H637" t="s">
        <v>3290</v>
      </c>
    </row>
    <row r="638" spans="1:9" x14ac:dyDescent="0.25">
      <c r="A638" t="s">
        <v>14966</v>
      </c>
      <c r="B638" t="s">
        <v>14966</v>
      </c>
      <c r="C638" t="s">
        <v>14967</v>
      </c>
      <c r="D638" t="s">
        <v>3242</v>
      </c>
      <c r="E638" t="s">
        <v>15710</v>
      </c>
      <c r="F638" t="s">
        <v>3243</v>
      </c>
      <c r="G638" t="s">
        <v>14968</v>
      </c>
      <c r="H638" t="s">
        <v>3285</v>
      </c>
    </row>
    <row r="639" spans="1:9" x14ac:dyDescent="0.25">
      <c r="A639" t="s">
        <v>4868</v>
      </c>
      <c r="B639" t="s">
        <v>4868</v>
      </c>
      <c r="C639" t="s">
        <v>4869</v>
      </c>
      <c r="D639" t="s">
        <v>3242</v>
      </c>
      <c r="E639" t="s">
        <v>15710</v>
      </c>
      <c r="F639" t="s">
        <v>3306</v>
      </c>
      <c r="G639" t="s">
        <v>4870</v>
      </c>
      <c r="H639" t="s">
        <v>4871</v>
      </c>
    </row>
    <row r="640" spans="1:9" x14ac:dyDescent="0.25">
      <c r="A640" t="s">
        <v>4872</v>
      </c>
      <c r="B640" t="s">
        <v>4872</v>
      </c>
      <c r="C640" t="s">
        <v>4873</v>
      </c>
      <c r="D640" t="s">
        <v>3242</v>
      </c>
      <c r="E640" t="s">
        <v>15710</v>
      </c>
      <c r="F640" t="s">
        <v>3243</v>
      </c>
      <c r="G640" t="s">
        <v>4874</v>
      </c>
      <c r="H640" t="s">
        <v>3285</v>
      </c>
    </row>
    <row r="641" spans="1:9" x14ac:dyDescent="0.25">
      <c r="A641" t="s">
        <v>4875</v>
      </c>
      <c r="B641" t="s">
        <v>4875</v>
      </c>
      <c r="C641" t="s">
        <v>4876</v>
      </c>
      <c r="D641" t="s">
        <v>3242</v>
      </c>
      <c r="E641" t="s">
        <v>15710</v>
      </c>
      <c r="F641" t="s">
        <v>3300</v>
      </c>
      <c r="G641" t="s">
        <v>4877</v>
      </c>
      <c r="H641" t="s">
        <v>4871</v>
      </c>
      <c r="I641" t="s">
        <v>3324</v>
      </c>
    </row>
    <row r="642" spans="1:9" x14ac:dyDescent="0.25">
      <c r="A642" t="s">
        <v>4878</v>
      </c>
      <c r="B642" t="s">
        <v>4878</v>
      </c>
      <c r="C642" t="s">
        <v>4879</v>
      </c>
      <c r="D642" t="s">
        <v>3242</v>
      </c>
      <c r="E642" t="s">
        <v>15710</v>
      </c>
      <c r="F642" t="s">
        <v>3306</v>
      </c>
      <c r="G642" t="s">
        <v>4880</v>
      </c>
      <c r="H642" t="s">
        <v>3267</v>
      </c>
      <c r="I642" t="s">
        <v>3328</v>
      </c>
    </row>
    <row r="643" spans="1:9" x14ac:dyDescent="0.25">
      <c r="A643" t="s">
        <v>4881</v>
      </c>
      <c r="B643" t="s">
        <v>4881</v>
      </c>
      <c r="C643" t="s">
        <v>4882</v>
      </c>
      <c r="D643" t="s">
        <v>3321</v>
      </c>
      <c r="E643" t="s">
        <v>15710</v>
      </c>
      <c r="F643" t="s">
        <v>3306</v>
      </c>
      <c r="G643" t="s">
        <v>4883</v>
      </c>
      <c r="H643" t="s">
        <v>4884</v>
      </c>
      <c r="I643" t="s">
        <v>3268</v>
      </c>
    </row>
    <row r="644" spans="1:9" x14ac:dyDescent="0.25">
      <c r="A644" t="s">
        <v>16186</v>
      </c>
      <c r="B644" t="s">
        <v>16186</v>
      </c>
      <c r="C644" t="s">
        <v>16187</v>
      </c>
      <c r="D644" t="s">
        <v>3242</v>
      </c>
      <c r="E644" t="s">
        <v>15710</v>
      </c>
      <c r="F644" t="s">
        <v>3257</v>
      </c>
      <c r="G644" t="s">
        <v>16188</v>
      </c>
      <c r="H644" t="s">
        <v>6803</v>
      </c>
      <c r="I644" t="s">
        <v>3268</v>
      </c>
    </row>
    <row r="645" spans="1:9" x14ac:dyDescent="0.25">
      <c r="A645" t="s">
        <v>4885</v>
      </c>
      <c r="B645" t="s">
        <v>4885</v>
      </c>
      <c r="C645" t="s">
        <v>4886</v>
      </c>
      <c r="D645" t="s">
        <v>3242</v>
      </c>
      <c r="E645" t="s">
        <v>15710</v>
      </c>
      <c r="F645" t="s">
        <v>3288</v>
      </c>
      <c r="G645" t="s">
        <v>4887</v>
      </c>
      <c r="H645" t="s">
        <v>3290</v>
      </c>
    </row>
    <row r="646" spans="1:9" x14ac:dyDescent="0.25">
      <c r="A646" t="s">
        <v>4888</v>
      </c>
      <c r="B646" t="s">
        <v>4888</v>
      </c>
      <c r="C646" t="s">
        <v>4889</v>
      </c>
      <c r="D646" t="s">
        <v>3242</v>
      </c>
      <c r="E646" t="s">
        <v>15710</v>
      </c>
      <c r="F646" t="s">
        <v>3288</v>
      </c>
      <c r="G646" t="s">
        <v>4890</v>
      </c>
      <c r="H646" t="s">
        <v>3962</v>
      </c>
    </row>
    <row r="647" spans="1:9" x14ac:dyDescent="0.25">
      <c r="A647" t="s">
        <v>4891</v>
      </c>
      <c r="B647" t="s">
        <v>4891</v>
      </c>
      <c r="C647" t="s">
        <v>4892</v>
      </c>
      <c r="D647" t="s">
        <v>3242</v>
      </c>
      <c r="E647" t="s">
        <v>15710</v>
      </c>
      <c r="F647" t="s">
        <v>3288</v>
      </c>
      <c r="G647" t="s">
        <v>4251</v>
      </c>
      <c r="H647" t="s">
        <v>3915</v>
      </c>
    </row>
    <row r="648" spans="1:9" x14ac:dyDescent="0.25">
      <c r="A648" t="s">
        <v>4893</v>
      </c>
      <c r="B648" t="s">
        <v>4893</v>
      </c>
      <c r="C648" t="s">
        <v>4894</v>
      </c>
      <c r="D648" t="s">
        <v>3321</v>
      </c>
      <c r="E648" t="s">
        <v>15710</v>
      </c>
      <c r="F648" t="s">
        <v>3372</v>
      </c>
      <c r="G648" t="s">
        <v>4895</v>
      </c>
      <c r="H648" t="s">
        <v>3877</v>
      </c>
      <c r="I648" t="s">
        <v>3366</v>
      </c>
    </row>
    <row r="649" spans="1:9" x14ac:dyDescent="0.25">
      <c r="A649" t="s">
        <v>4896</v>
      </c>
      <c r="B649" t="s">
        <v>4896</v>
      </c>
      <c r="C649" t="s">
        <v>4897</v>
      </c>
      <c r="D649" t="s">
        <v>3321</v>
      </c>
      <c r="E649" t="s">
        <v>15710</v>
      </c>
      <c r="F649" t="s">
        <v>3257</v>
      </c>
      <c r="G649" t="s">
        <v>4898</v>
      </c>
      <c r="H649" t="s">
        <v>3379</v>
      </c>
      <c r="I649" t="s">
        <v>3366</v>
      </c>
    </row>
    <row r="650" spans="1:9" x14ac:dyDescent="0.25">
      <c r="A650" t="s">
        <v>3648</v>
      </c>
      <c r="B650" t="s">
        <v>3648</v>
      </c>
      <c r="C650" t="s">
        <v>4899</v>
      </c>
      <c r="D650" t="s">
        <v>3242</v>
      </c>
      <c r="E650" t="s">
        <v>15710</v>
      </c>
      <c r="F650" t="s">
        <v>3246</v>
      </c>
      <c r="G650" t="s">
        <v>4900</v>
      </c>
      <c r="H650" t="s">
        <v>3248</v>
      </c>
    </row>
    <row r="651" spans="1:9" x14ac:dyDescent="0.25">
      <c r="A651" t="s">
        <v>4901</v>
      </c>
      <c r="B651" t="s">
        <v>4901</v>
      </c>
      <c r="C651" t="s">
        <v>4902</v>
      </c>
      <c r="D651" t="s">
        <v>3242</v>
      </c>
      <c r="E651" t="s">
        <v>15710</v>
      </c>
      <c r="F651" t="s">
        <v>3243</v>
      </c>
      <c r="G651" t="s">
        <v>3060</v>
      </c>
      <c r="H651" t="s">
        <v>3290</v>
      </c>
    </row>
    <row r="652" spans="1:9" x14ac:dyDescent="0.25">
      <c r="A652" t="s">
        <v>4903</v>
      </c>
      <c r="B652" t="s">
        <v>4903</v>
      </c>
      <c r="C652" t="s">
        <v>4904</v>
      </c>
      <c r="D652" t="s">
        <v>3242</v>
      </c>
      <c r="E652" t="s">
        <v>15710</v>
      </c>
      <c r="F652" t="s">
        <v>3345</v>
      </c>
      <c r="G652" t="s">
        <v>3297</v>
      </c>
      <c r="H652" t="s">
        <v>3463</v>
      </c>
    </row>
    <row r="653" spans="1:9" x14ac:dyDescent="0.25">
      <c r="A653" t="s">
        <v>4905</v>
      </c>
      <c r="B653" t="s">
        <v>4905</v>
      </c>
      <c r="C653" t="s">
        <v>4906</v>
      </c>
      <c r="D653" t="s">
        <v>3242</v>
      </c>
      <c r="E653" t="s">
        <v>15710</v>
      </c>
      <c r="F653" t="s">
        <v>3257</v>
      </c>
      <c r="G653" t="s">
        <v>4907</v>
      </c>
      <c r="H653" t="s">
        <v>3379</v>
      </c>
      <c r="I653" t="s">
        <v>3366</v>
      </c>
    </row>
    <row r="654" spans="1:9" x14ac:dyDescent="0.25">
      <c r="A654" t="s">
        <v>16434</v>
      </c>
      <c r="B654" t="s">
        <v>16434</v>
      </c>
      <c r="C654" t="s">
        <v>16435</v>
      </c>
      <c r="D654" t="s">
        <v>3242</v>
      </c>
      <c r="E654" t="s">
        <v>15745</v>
      </c>
      <c r="F654" t="s">
        <v>3345</v>
      </c>
      <c r="G654" t="s">
        <v>16436</v>
      </c>
      <c r="H654" t="s">
        <v>3285</v>
      </c>
    </row>
    <row r="655" spans="1:9" x14ac:dyDescent="0.25">
      <c r="A655" t="s">
        <v>4908</v>
      </c>
      <c r="B655" t="s">
        <v>4908</v>
      </c>
      <c r="C655" t="s">
        <v>4909</v>
      </c>
      <c r="D655" t="s">
        <v>3242</v>
      </c>
      <c r="E655" t="s">
        <v>15710</v>
      </c>
      <c r="F655" t="s">
        <v>3243</v>
      </c>
      <c r="G655" t="s">
        <v>3346</v>
      </c>
      <c r="H655" t="s">
        <v>3421</v>
      </c>
    </row>
    <row r="656" spans="1:9" x14ac:dyDescent="0.25">
      <c r="A656" t="s">
        <v>4910</v>
      </c>
      <c r="B656" t="s">
        <v>4910</v>
      </c>
      <c r="C656" t="s">
        <v>4911</v>
      </c>
      <c r="D656" t="s">
        <v>3242</v>
      </c>
      <c r="E656" t="s">
        <v>16135</v>
      </c>
      <c r="F656" t="s">
        <v>3257</v>
      </c>
      <c r="G656" t="s">
        <v>4912</v>
      </c>
      <c r="H656" t="s">
        <v>6362</v>
      </c>
      <c r="I656" t="s">
        <v>3407</v>
      </c>
    </row>
    <row r="657" spans="1:9" x14ac:dyDescent="0.25">
      <c r="A657" t="s">
        <v>4914</v>
      </c>
      <c r="B657" t="s">
        <v>4914</v>
      </c>
      <c r="C657" t="s">
        <v>4915</v>
      </c>
      <c r="D657" t="s">
        <v>3242</v>
      </c>
      <c r="E657" t="s">
        <v>15710</v>
      </c>
      <c r="F657" t="s">
        <v>3251</v>
      </c>
      <c r="G657" t="s">
        <v>3420</v>
      </c>
      <c r="H657" t="s">
        <v>3421</v>
      </c>
      <c r="I657" t="s">
        <v>3254</v>
      </c>
    </row>
    <row r="658" spans="1:9" x14ac:dyDescent="0.25">
      <c r="A658" t="s">
        <v>4916</v>
      </c>
      <c r="B658" t="s">
        <v>4916</v>
      </c>
      <c r="C658" t="s">
        <v>4917</v>
      </c>
      <c r="D658" t="s">
        <v>3242</v>
      </c>
      <c r="E658" t="s">
        <v>15763</v>
      </c>
      <c r="F658" t="s">
        <v>3257</v>
      </c>
      <c r="G658" t="s">
        <v>4918</v>
      </c>
      <c r="H658" t="s">
        <v>4919</v>
      </c>
      <c r="I658" t="s">
        <v>3268</v>
      </c>
    </row>
    <row r="659" spans="1:9" x14ac:dyDescent="0.25">
      <c r="A659" t="s">
        <v>4920</v>
      </c>
      <c r="B659" t="s">
        <v>4920</v>
      </c>
      <c r="C659" t="s">
        <v>4921</v>
      </c>
      <c r="D659" t="s">
        <v>3242</v>
      </c>
      <c r="E659" t="s">
        <v>15710</v>
      </c>
      <c r="F659" t="s">
        <v>3345</v>
      </c>
      <c r="G659" t="s">
        <v>4922</v>
      </c>
      <c r="H659" t="s">
        <v>3285</v>
      </c>
    </row>
    <row r="660" spans="1:9" x14ac:dyDescent="0.25">
      <c r="A660" t="s">
        <v>16924</v>
      </c>
      <c r="B660" t="s">
        <v>16924</v>
      </c>
      <c r="C660" t="s">
        <v>16925</v>
      </c>
      <c r="D660" t="s">
        <v>3242</v>
      </c>
      <c r="E660" t="s">
        <v>15710</v>
      </c>
      <c r="F660" t="s">
        <v>3243</v>
      </c>
      <c r="G660" t="s">
        <v>16926</v>
      </c>
      <c r="H660" t="s">
        <v>3285</v>
      </c>
    </row>
    <row r="661" spans="1:9" x14ac:dyDescent="0.25">
      <c r="A661" t="s">
        <v>4923</v>
      </c>
      <c r="B661" t="s">
        <v>4923</v>
      </c>
      <c r="C661" t="s">
        <v>4924</v>
      </c>
      <c r="D661" t="s">
        <v>3242</v>
      </c>
      <c r="E661" t="s">
        <v>15710</v>
      </c>
      <c r="F661" t="s">
        <v>3257</v>
      </c>
      <c r="G661" t="s">
        <v>4925</v>
      </c>
      <c r="H661" t="s">
        <v>4926</v>
      </c>
      <c r="I661" t="s">
        <v>3648</v>
      </c>
    </row>
    <row r="662" spans="1:9" x14ac:dyDescent="0.25">
      <c r="A662" t="s">
        <v>4927</v>
      </c>
      <c r="B662" t="s">
        <v>4927</v>
      </c>
      <c r="C662" t="s">
        <v>4928</v>
      </c>
      <c r="D662" t="s">
        <v>3242</v>
      </c>
      <c r="E662" t="s">
        <v>15710</v>
      </c>
      <c r="F662" t="s">
        <v>3251</v>
      </c>
      <c r="G662" t="s">
        <v>4929</v>
      </c>
      <c r="H662" t="s">
        <v>3421</v>
      </c>
    </row>
    <row r="663" spans="1:9" x14ac:dyDescent="0.25">
      <c r="A663" t="s">
        <v>4930</v>
      </c>
      <c r="B663" t="s">
        <v>4930</v>
      </c>
      <c r="C663" t="s">
        <v>4931</v>
      </c>
      <c r="D663" t="s">
        <v>3242</v>
      </c>
      <c r="E663" t="s">
        <v>15710</v>
      </c>
      <c r="F663" t="s">
        <v>3345</v>
      </c>
      <c r="G663" t="s">
        <v>4932</v>
      </c>
      <c r="H663" t="s">
        <v>4933</v>
      </c>
    </row>
    <row r="664" spans="1:9" x14ac:dyDescent="0.25">
      <c r="A664" t="s">
        <v>4934</v>
      </c>
      <c r="B664" t="s">
        <v>4934</v>
      </c>
      <c r="C664" t="s">
        <v>4935</v>
      </c>
      <c r="D664" t="s">
        <v>3242</v>
      </c>
      <c r="E664" t="s">
        <v>15710</v>
      </c>
      <c r="F664" t="s">
        <v>3288</v>
      </c>
      <c r="G664" t="s">
        <v>3346</v>
      </c>
      <c r="H664" t="s">
        <v>3285</v>
      </c>
    </row>
    <row r="665" spans="1:9" x14ac:dyDescent="0.25">
      <c r="A665" t="s">
        <v>14969</v>
      </c>
      <c r="B665" t="s">
        <v>14969</v>
      </c>
      <c r="C665" t="s">
        <v>14970</v>
      </c>
      <c r="D665" t="s">
        <v>3242</v>
      </c>
      <c r="E665" t="s">
        <v>15710</v>
      </c>
      <c r="F665" t="s">
        <v>3243</v>
      </c>
      <c r="G665" t="s">
        <v>14971</v>
      </c>
      <c r="H665" t="s">
        <v>3402</v>
      </c>
    </row>
    <row r="666" spans="1:9" x14ac:dyDescent="0.25">
      <c r="A666" t="s">
        <v>4936</v>
      </c>
      <c r="B666" t="s">
        <v>4936</v>
      </c>
      <c r="C666" t="s">
        <v>4937</v>
      </c>
      <c r="D666" t="s">
        <v>3242</v>
      </c>
      <c r="E666" t="s">
        <v>15710</v>
      </c>
      <c r="F666" t="s">
        <v>3288</v>
      </c>
      <c r="G666" t="s">
        <v>3060</v>
      </c>
      <c r="H666" t="s">
        <v>3285</v>
      </c>
    </row>
    <row r="667" spans="1:9" x14ac:dyDescent="0.25">
      <c r="A667" t="s">
        <v>4938</v>
      </c>
      <c r="B667" t="s">
        <v>4938</v>
      </c>
      <c r="C667" t="s">
        <v>4939</v>
      </c>
      <c r="D667" t="s">
        <v>3242</v>
      </c>
      <c r="E667" t="s">
        <v>15710</v>
      </c>
      <c r="F667" t="s">
        <v>3257</v>
      </c>
      <c r="G667" t="s">
        <v>4940</v>
      </c>
      <c r="H667" t="s">
        <v>3553</v>
      </c>
    </row>
    <row r="668" spans="1:9" x14ac:dyDescent="0.25">
      <c r="A668" t="s">
        <v>4941</v>
      </c>
      <c r="B668" t="s">
        <v>4941</v>
      </c>
      <c r="C668" t="s">
        <v>4942</v>
      </c>
      <c r="D668" t="s">
        <v>3242</v>
      </c>
      <c r="E668" t="s">
        <v>17161</v>
      </c>
      <c r="F668" t="s">
        <v>3300</v>
      </c>
      <c r="G668" t="s">
        <v>4943</v>
      </c>
      <c r="H668" t="s">
        <v>3267</v>
      </c>
      <c r="I668" t="s">
        <v>3268</v>
      </c>
    </row>
    <row r="669" spans="1:9" x14ac:dyDescent="0.25">
      <c r="A669" t="s">
        <v>4944</v>
      </c>
      <c r="B669" t="s">
        <v>4944</v>
      </c>
      <c r="C669" t="s">
        <v>4945</v>
      </c>
      <c r="D669" t="s">
        <v>3242</v>
      </c>
      <c r="E669" t="s">
        <v>17162</v>
      </c>
      <c r="F669" t="s">
        <v>3257</v>
      </c>
      <c r="G669" t="s">
        <v>4946</v>
      </c>
      <c r="H669" t="s">
        <v>3267</v>
      </c>
      <c r="I669" t="s">
        <v>3366</v>
      </c>
    </row>
    <row r="670" spans="1:9" x14ac:dyDescent="0.25">
      <c r="A670" t="s">
        <v>4947</v>
      </c>
      <c r="B670" t="s">
        <v>4947</v>
      </c>
      <c r="C670" t="s">
        <v>4948</v>
      </c>
      <c r="D670" t="s">
        <v>3242</v>
      </c>
      <c r="E670" t="s">
        <v>15764</v>
      </c>
      <c r="F670" t="s">
        <v>3300</v>
      </c>
      <c r="G670" t="s">
        <v>4949</v>
      </c>
      <c r="H670" t="s">
        <v>3323</v>
      </c>
      <c r="I670" t="s">
        <v>3366</v>
      </c>
    </row>
    <row r="671" spans="1:9" x14ac:dyDescent="0.25">
      <c r="A671" t="s">
        <v>4950</v>
      </c>
      <c r="B671" t="s">
        <v>4950</v>
      </c>
      <c r="C671" t="s">
        <v>4951</v>
      </c>
      <c r="D671" t="s">
        <v>3242</v>
      </c>
      <c r="E671" t="s">
        <v>15710</v>
      </c>
      <c r="F671" t="s">
        <v>3243</v>
      </c>
      <c r="G671" t="s">
        <v>4952</v>
      </c>
      <c r="H671" t="s">
        <v>4953</v>
      </c>
    </row>
    <row r="672" spans="1:9" x14ac:dyDescent="0.25">
      <c r="A672" t="s">
        <v>4954</v>
      </c>
      <c r="B672" t="s">
        <v>4954</v>
      </c>
      <c r="C672" t="s">
        <v>4955</v>
      </c>
      <c r="D672" t="s">
        <v>3242</v>
      </c>
      <c r="E672" t="s">
        <v>15710</v>
      </c>
      <c r="F672" t="s">
        <v>3257</v>
      </c>
      <c r="G672" t="s">
        <v>4956</v>
      </c>
      <c r="H672" t="s">
        <v>3332</v>
      </c>
    </row>
    <row r="673" spans="1:9" x14ac:dyDescent="0.25">
      <c r="A673" t="s">
        <v>4957</v>
      </c>
      <c r="B673" t="s">
        <v>4957</v>
      </c>
      <c r="C673" t="s">
        <v>4958</v>
      </c>
      <c r="D673" t="s">
        <v>3321</v>
      </c>
      <c r="E673" t="s">
        <v>15710</v>
      </c>
      <c r="F673" t="s">
        <v>3306</v>
      </c>
      <c r="G673" t="s">
        <v>4959</v>
      </c>
      <c r="H673" t="s">
        <v>3267</v>
      </c>
      <c r="I673" t="s">
        <v>3366</v>
      </c>
    </row>
    <row r="674" spans="1:9" x14ac:dyDescent="0.25">
      <c r="A674" t="s">
        <v>4960</v>
      </c>
      <c r="B674" t="s">
        <v>4960</v>
      </c>
      <c r="C674" t="s">
        <v>4961</v>
      </c>
      <c r="D674" t="s">
        <v>3242</v>
      </c>
      <c r="E674" t="s">
        <v>17163</v>
      </c>
      <c r="F674" t="s">
        <v>3300</v>
      </c>
      <c r="G674" t="s">
        <v>4962</v>
      </c>
      <c r="H674" t="s">
        <v>3267</v>
      </c>
      <c r="I674" t="s">
        <v>3268</v>
      </c>
    </row>
    <row r="675" spans="1:9" x14ac:dyDescent="0.25">
      <c r="A675" t="s">
        <v>4963</v>
      </c>
      <c r="B675" t="s">
        <v>4963</v>
      </c>
      <c r="C675" t="s">
        <v>4964</v>
      </c>
      <c r="D675" t="s">
        <v>3242</v>
      </c>
      <c r="E675" t="s">
        <v>15710</v>
      </c>
      <c r="F675" t="s">
        <v>3257</v>
      </c>
      <c r="G675" t="s">
        <v>4965</v>
      </c>
      <c r="H675" t="s">
        <v>3267</v>
      </c>
      <c r="I675" t="s">
        <v>3268</v>
      </c>
    </row>
    <row r="676" spans="1:9" x14ac:dyDescent="0.25">
      <c r="A676" t="s">
        <v>4966</v>
      </c>
      <c r="B676" t="s">
        <v>4966</v>
      </c>
      <c r="C676" t="s">
        <v>3270</v>
      </c>
      <c r="D676" t="s">
        <v>3242</v>
      </c>
      <c r="E676" t="s">
        <v>15710</v>
      </c>
      <c r="F676" t="s">
        <v>3300</v>
      </c>
      <c r="G676" t="s">
        <v>4967</v>
      </c>
      <c r="H676" t="s">
        <v>3267</v>
      </c>
      <c r="I676" t="s">
        <v>3268</v>
      </c>
    </row>
    <row r="677" spans="1:9" x14ac:dyDescent="0.25">
      <c r="A677" t="s">
        <v>4968</v>
      </c>
      <c r="B677" t="s">
        <v>4968</v>
      </c>
      <c r="C677" t="s">
        <v>4969</v>
      </c>
      <c r="D677" t="s">
        <v>3242</v>
      </c>
      <c r="E677" t="s">
        <v>15710</v>
      </c>
      <c r="F677" t="s">
        <v>3257</v>
      </c>
      <c r="G677" t="s">
        <v>4970</v>
      </c>
      <c r="H677" t="s">
        <v>4045</v>
      </c>
      <c r="I677" t="s">
        <v>3694</v>
      </c>
    </row>
    <row r="678" spans="1:9" x14ac:dyDescent="0.25">
      <c r="A678" t="s">
        <v>4971</v>
      </c>
      <c r="B678" t="s">
        <v>4971</v>
      </c>
      <c r="C678" t="s">
        <v>4972</v>
      </c>
      <c r="D678" t="s">
        <v>3321</v>
      </c>
      <c r="E678" t="s">
        <v>15710</v>
      </c>
      <c r="F678" t="s">
        <v>3257</v>
      </c>
      <c r="G678" t="s">
        <v>4973</v>
      </c>
      <c r="H678" t="s">
        <v>3267</v>
      </c>
    </row>
    <row r="679" spans="1:9" x14ac:dyDescent="0.25">
      <c r="A679" t="s">
        <v>4974</v>
      </c>
      <c r="B679" t="s">
        <v>4974</v>
      </c>
      <c r="C679" t="s">
        <v>4975</v>
      </c>
      <c r="D679" t="s">
        <v>3321</v>
      </c>
      <c r="E679" t="s">
        <v>15710</v>
      </c>
      <c r="F679" t="s">
        <v>3747</v>
      </c>
      <c r="G679" t="s">
        <v>4976</v>
      </c>
      <c r="H679" t="s">
        <v>3267</v>
      </c>
    </row>
    <row r="680" spans="1:9" x14ac:dyDescent="0.25">
      <c r="A680" t="s">
        <v>4977</v>
      </c>
      <c r="B680" t="s">
        <v>4977</v>
      </c>
      <c r="C680" t="s">
        <v>4978</v>
      </c>
      <c r="D680" t="s">
        <v>3242</v>
      </c>
      <c r="E680" t="s">
        <v>15710</v>
      </c>
      <c r="F680" t="s">
        <v>3306</v>
      </c>
      <c r="G680" t="s">
        <v>14972</v>
      </c>
      <c r="H680" t="s">
        <v>3267</v>
      </c>
      <c r="I680" t="s">
        <v>3268</v>
      </c>
    </row>
    <row r="681" spans="1:9" x14ac:dyDescent="0.25">
      <c r="A681" t="s">
        <v>4979</v>
      </c>
      <c r="B681" t="s">
        <v>4979</v>
      </c>
      <c r="C681" t="s">
        <v>4980</v>
      </c>
      <c r="D681" t="s">
        <v>3242</v>
      </c>
      <c r="E681" t="s">
        <v>15710</v>
      </c>
      <c r="F681" t="s">
        <v>3300</v>
      </c>
      <c r="G681" t="s">
        <v>4981</v>
      </c>
      <c r="H681" t="s">
        <v>3332</v>
      </c>
    </row>
    <row r="682" spans="1:9" x14ac:dyDescent="0.25">
      <c r="A682" t="s">
        <v>4982</v>
      </c>
      <c r="B682" t="s">
        <v>4982</v>
      </c>
      <c r="C682" t="s">
        <v>4983</v>
      </c>
      <c r="D682" t="s">
        <v>3242</v>
      </c>
      <c r="E682" t="s">
        <v>15710</v>
      </c>
      <c r="F682" t="s">
        <v>3251</v>
      </c>
      <c r="G682" t="s">
        <v>4984</v>
      </c>
      <c r="H682" t="s">
        <v>3267</v>
      </c>
      <c r="I682" t="s">
        <v>3268</v>
      </c>
    </row>
    <row r="683" spans="1:9" x14ac:dyDescent="0.25">
      <c r="A683" t="s">
        <v>4985</v>
      </c>
      <c r="B683" t="s">
        <v>4985</v>
      </c>
      <c r="C683" t="s">
        <v>4986</v>
      </c>
      <c r="D683" t="s">
        <v>3242</v>
      </c>
      <c r="E683" t="s">
        <v>15710</v>
      </c>
      <c r="F683" t="s">
        <v>3257</v>
      </c>
      <c r="G683" t="s">
        <v>4987</v>
      </c>
      <c r="H683" t="s">
        <v>3357</v>
      </c>
      <c r="I683" t="s">
        <v>3294</v>
      </c>
    </row>
    <row r="684" spans="1:9" x14ac:dyDescent="0.25">
      <c r="A684" t="s">
        <v>16664</v>
      </c>
      <c r="B684" t="s">
        <v>16664</v>
      </c>
      <c r="C684" t="s">
        <v>16665</v>
      </c>
      <c r="D684" t="s">
        <v>3242</v>
      </c>
      <c r="E684" t="s">
        <v>16666</v>
      </c>
      <c r="F684" t="s">
        <v>3306</v>
      </c>
      <c r="G684" t="s">
        <v>16667</v>
      </c>
      <c r="H684" t="s">
        <v>3267</v>
      </c>
      <c r="I684" t="s">
        <v>3294</v>
      </c>
    </row>
    <row r="685" spans="1:9" x14ac:dyDescent="0.25">
      <c r="A685" t="s">
        <v>4988</v>
      </c>
      <c r="B685" t="s">
        <v>4988</v>
      </c>
      <c r="C685" t="s">
        <v>4989</v>
      </c>
      <c r="D685" t="s">
        <v>3242</v>
      </c>
      <c r="E685" t="s">
        <v>16927</v>
      </c>
      <c r="F685" t="s">
        <v>3306</v>
      </c>
      <c r="G685" t="s">
        <v>4990</v>
      </c>
      <c r="H685" t="s">
        <v>3332</v>
      </c>
      <c r="I685" t="s">
        <v>3268</v>
      </c>
    </row>
    <row r="686" spans="1:9" x14ac:dyDescent="0.25">
      <c r="A686" t="s">
        <v>4991</v>
      </c>
      <c r="B686" t="s">
        <v>4991</v>
      </c>
      <c r="C686" t="s">
        <v>4992</v>
      </c>
      <c r="D686" t="s">
        <v>3242</v>
      </c>
      <c r="E686" t="s">
        <v>15710</v>
      </c>
      <c r="F686" t="s">
        <v>3257</v>
      </c>
      <c r="G686" t="s">
        <v>4993</v>
      </c>
      <c r="H686" t="s">
        <v>3332</v>
      </c>
      <c r="I686" t="s">
        <v>3268</v>
      </c>
    </row>
    <row r="687" spans="1:9" x14ac:dyDescent="0.25">
      <c r="A687" t="s">
        <v>4994</v>
      </c>
      <c r="B687" t="s">
        <v>4994</v>
      </c>
      <c r="C687" t="s">
        <v>4995</v>
      </c>
      <c r="D687" t="s">
        <v>3321</v>
      </c>
      <c r="E687" t="s">
        <v>15710</v>
      </c>
      <c r="F687" t="s">
        <v>4996</v>
      </c>
      <c r="G687" t="s">
        <v>4997</v>
      </c>
      <c r="H687" t="s">
        <v>3323</v>
      </c>
      <c r="I687" t="s">
        <v>3366</v>
      </c>
    </row>
    <row r="688" spans="1:9" x14ac:dyDescent="0.25">
      <c r="A688" t="s">
        <v>4998</v>
      </c>
      <c r="B688" t="s">
        <v>4998</v>
      </c>
      <c r="C688" t="s">
        <v>4999</v>
      </c>
      <c r="D688" t="s">
        <v>3242</v>
      </c>
      <c r="E688" t="s">
        <v>15710</v>
      </c>
      <c r="F688" t="s">
        <v>3257</v>
      </c>
      <c r="G688" t="s">
        <v>5000</v>
      </c>
      <c r="H688" t="s">
        <v>3267</v>
      </c>
      <c r="I688" t="s">
        <v>3268</v>
      </c>
    </row>
    <row r="689" spans="1:9" x14ac:dyDescent="0.25">
      <c r="A689" t="s">
        <v>5001</v>
      </c>
      <c r="B689" t="s">
        <v>5001</v>
      </c>
      <c r="C689" t="s">
        <v>5002</v>
      </c>
      <c r="D689" t="s">
        <v>3242</v>
      </c>
      <c r="E689" t="s">
        <v>15710</v>
      </c>
      <c r="F689" t="s">
        <v>3372</v>
      </c>
      <c r="G689" t="s">
        <v>5003</v>
      </c>
      <c r="H689" t="s">
        <v>4835</v>
      </c>
      <c r="I689" t="s">
        <v>3366</v>
      </c>
    </row>
    <row r="690" spans="1:9" x14ac:dyDescent="0.25">
      <c r="A690" t="s">
        <v>16815</v>
      </c>
      <c r="B690" t="s">
        <v>16815</v>
      </c>
      <c r="C690" t="s">
        <v>16816</v>
      </c>
      <c r="D690" t="s">
        <v>3242</v>
      </c>
      <c r="E690" t="s">
        <v>15710</v>
      </c>
      <c r="F690" t="s">
        <v>3243</v>
      </c>
      <c r="G690" t="s">
        <v>4041</v>
      </c>
      <c r="H690" t="s">
        <v>3680</v>
      </c>
    </row>
    <row r="691" spans="1:9" x14ac:dyDescent="0.25">
      <c r="A691" t="s">
        <v>5004</v>
      </c>
      <c r="B691" t="s">
        <v>5004</v>
      </c>
      <c r="C691" t="s">
        <v>5005</v>
      </c>
      <c r="D691" t="s">
        <v>3242</v>
      </c>
      <c r="E691" t="s">
        <v>15710</v>
      </c>
      <c r="F691" t="s">
        <v>3257</v>
      </c>
      <c r="G691" t="s">
        <v>5006</v>
      </c>
      <c r="H691" t="s">
        <v>3357</v>
      </c>
    </row>
    <row r="692" spans="1:9" x14ac:dyDescent="0.25">
      <c r="A692" t="s">
        <v>5007</v>
      </c>
      <c r="B692" t="s">
        <v>5007</v>
      </c>
      <c r="C692" t="s">
        <v>5008</v>
      </c>
      <c r="D692" t="s">
        <v>3242</v>
      </c>
      <c r="E692" t="s">
        <v>17164</v>
      </c>
      <c r="F692" t="s">
        <v>3251</v>
      </c>
      <c r="G692" t="s">
        <v>5009</v>
      </c>
      <c r="H692" t="s">
        <v>3311</v>
      </c>
      <c r="I692" t="s">
        <v>3254</v>
      </c>
    </row>
    <row r="693" spans="1:9" x14ac:dyDescent="0.25">
      <c r="A693" t="s">
        <v>16189</v>
      </c>
      <c r="B693" t="s">
        <v>16189</v>
      </c>
      <c r="C693" t="s">
        <v>16190</v>
      </c>
      <c r="D693" t="s">
        <v>3242</v>
      </c>
      <c r="E693" t="s">
        <v>15710</v>
      </c>
      <c r="F693" t="s">
        <v>3257</v>
      </c>
      <c r="G693" t="s">
        <v>16191</v>
      </c>
      <c r="H693" t="s">
        <v>3332</v>
      </c>
      <c r="I693" t="s">
        <v>3268</v>
      </c>
    </row>
    <row r="694" spans="1:9" x14ac:dyDescent="0.25">
      <c r="A694" t="s">
        <v>5010</v>
      </c>
      <c r="B694" t="s">
        <v>5010</v>
      </c>
      <c r="C694" t="s">
        <v>5011</v>
      </c>
      <c r="D694" t="s">
        <v>3242</v>
      </c>
      <c r="E694" t="s">
        <v>17165</v>
      </c>
      <c r="F694" t="s">
        <v>3257</v>
      </c>
      <c r="G694" t="s">
        <v>5012</v>
      </c>
      <c r="H694" t="s">
        <v>5013</v>
      </c>
      <c r="I694" t="s">
        <v>3324</v>
      </c>
    </row>
    <row r="695" spans="1:9" x14ac:dyDescent="0.25">
      <c r="A695" t="s">
        <v>16437</v>
      </c>
      <c r="B695" t="s">
        <v>16437</v>
      </c>
      <c r="C695" t="s">
        <v>16438</v>
      </c>
      <c r="D695" t="s">
        <v>3242</v>
      </c>
      <c r="E695" t="s">
        <v>15710</v>
      </c>
      <c r="F695" t="s">
        <v>3257</v>
      </c>
      <c r="G695" t="s">
        <v>16440</v>
      </c>
      <c r="H695" t="s">
        <v>3267</v>
      </c>
      <c r="I695" t="s">
        <v>3268</v>
      </c>
    </row>
    <row r="696" spans="1:9" x14ac:dyDescent="0.25">
      <c r="A696" t="s">
        <v>5014</v>
      </c>
      <c r="B696" t="s">
        <v>5014</v>
      </c>
      <c r="C696" t="s">
        <v>5015</v>
      </c>
      <c r="D696" t="s">
        <v>3321</v>
      </c>
      <c r="E696" t="s">
        <v>15710</v>
      </c>
      <c r="F696" t="s">
        <v>5016</v>
      </c>
      <c r="G696" t="s">
        <v>5017</v>
      </c>
      <c r="H696" t="s">
        <v>3267</v>
      </c>
    </row>
    <row r="697" spans="1:9" x14ac:dyDescent="0.25">
      <c r="A697" t="s">
        <v>16192</v>
      </c>
      <c r="B697" t="s">
        <v>16192</v>
      </c>
      <c r="C697" t="s">
        <v>16193</v>
      </c>
      <c r="D697" t="s">
        <v>3242</v>
      </c>
      <c r="E697" t="s">
        <v>15710</v>
      </c>
      <c r="H697" t="s">
        <v>3267</v>
      </c>
    </row>
    <row r="698" spans="1:9" x14ac:dyDescent="0.25">
      <c r="A698" t="s">
        <v>5018</v>
      </c>
      <c r="B698" t="s">
        <v>5018</v>
      </c>
      <c r="C698" t="s">
        <v>5019</v>
      </c>
      <c r="D698" t="s">
        <v>3242</v>
      </c>
      <c r="E698" t="s">
        <v>17631</v>
      </c>
      <c r="F698" t="s">
        <v>3300</v>
      </c>
      <c r="G698" t="s">
        <v>5020</v>
      </c>
      <c r="H698" t="s">
        <v>3323</v>
      </c>
      <c r="I698" t="s">
        <v>3366</v>
      </c>
    </row>
    <row r="699" spans="1:9" x14ac:dyDescent="0.25">
      <c r="A699" t="s">
        <v>5022</v>
      </c>
      <c r="B699" t="s">
        <v>5022</v>
      </c>
      <c r="C699" t="s">
        <v>5023</v>
      </c>
      <c r="D699" t="s">
        <v>3242</v>
      </c>
      <c r="E699" t="s">
        <v>15710</v>
      </c>
      <c r="F699" t="s">
        <v>3257</v>
      </c>
      <c r="G699" t="s">
        <v>5024</v>
      </c>
      <c r="H699" t="s">
        <v>3332</v>
      </c>
    </row>
    <row r="700" spans="1:9" x14ac:dyDescent="0.25">
      <c r="A700" t="s">
        <v>5025</v>
      </c>
      <c r="B700" t="s">
        <v>5025</v>
      </c>
      <c r="C700" t="s">
        <v>5026</v>
      </c>
      <c r="D700" t="s">
        <v>3242</v>
      </c>
      <c r="E700" t="s">
        <v>15710</v>
      </c>
      <c r="F700" t="s">
        <v>3257</v>
      </c>
      <c r="G700" t="s">
        <v>5027</v>
      </c>
      <c r="H700" t="s">
        <v>3267</v>
      </c>
      <c r="I700" t="s">
        <v>3268</v>
      </c>
    </row>
    <row r="701" spans="1:9" x14ac:dyDescent="0.25">
      <c r="A701" t="s">
        <v>5028</v>
      </c>
      <c r="B701" t="s">
        <v>5028</v>
      </c>
      <c r="C701" t="s">
        <v>5029</v>
      </c>
      <c r="D701" t="s">
        <v>3242</v>
      </c>
      <c r="E701" t="s">
        <v>17166</v>
      </c>
      <c r="F701" t="s">
        <v>3257</v>
      </c>
      <c r="G701" t="s">
        <v>16928</v>
      </c>
      <c r="H701" t="s">
        <v>3537</v>
      </c>
      <c r="I701" t="s">
        <v>3451</v>
      </c>
    </row>
    <row r="702" spans="1:9" x14ac:dyDescent="0.25">
      <c r="A702" t="s">
        <v>5030</v>
      </c>
      <c r="B702" t="s">
        <v>5030</v>
      </c>
      <c r="C702" t="s">
        <v>5031</v>
      </c>
      <c r="D702" t="s">
        <v>3242</v>
      </c>
      <c r="E702" t="s">
        <v>15729</v>
      </c>
      <c r="F702" t="s">
        <v>3257</v>
      </c>
      <c r="G702" t="s">
        <v>5032</v>
      </c>
      <c r="H702" t="s">
        <v>5021</v>
      </c>
      <c r="I702" t="s">
        <v>3324</v>
      </c>
    </row>
    <row r="703" spans="1:9" x14ac:dyDescent="0.25">
      <c r="A703" t="s">
        <v>5033</v>
      </c>
      <c r="B703" t="s">
        <v>5033</v>
      </c>
      <c r="C703" t="s">
        <v>5034</v>
      </c>
      <c r="D703" t="s">
        <v>3242</v>
      </c>
      <c r="E703" t="s">
        <v>16817</v>
      </c>
      <c r="F703" t="s">
        <v>5035</v>
      </c>
      <c r="G703" t="s">
        <v>5036</v>
      </c>
      <c r="H703" t="s">
        <v>3323</v>
      </c>
      <c r="I703" t="s">
        <v>3366</v>
      </c>
    </row>
    <row r="704" spans="1:9" x14ac:dyDescent="0.25">
      <c r="A704" t="s">
        <v>5037</v>
      </c>
      <c r="B704" t="s">
        <v>5037</v>
      </c>
      <c r="C704" t="s">
        <v>5038</v>
      </c>
      <c r="D704" t="s">
        <v>3242</v>
      </c>
      <c r="E704" t="s">
        <v>15766</v>
      </c>
      <c r="F704" t="s">
        <v>3257</v>
      </c>
      <c r="G704" t="s">
        <v>5039</v>
      </c>
      <c r="H704" t="s">
        <v>5021</v>
      </c>
      <c r="I704" t="s">
        <v>3324</v>
      </c>
    </row>
    <row r="705" spans="1:9" x14ac:dyDescent="0.25">
      <c r="A705" t="s">
        <v>5040</v>
      </c>
      <c r="B705" t="s">
        <v>5040</v>
      </c>
      <c r="C705" t="s">
        <v>5041</v>
      </c>
      <c r="D705" t="s">
        <v>3242</v>
      </c>
      <c r="E705" t="s">
        <v>15710</v>
      </c>
      <c r="F705" t="s">
        <v>3300</v>
      </c>
      <c r="G705" t="s">
        <v>5042</v>
      </c>
      <c r="H705" t="s">
        <v>5021</v>
      </c>
      <c r="I705" t="s">
        <v>3324</v>
      </c>
    </row>
    <row r="706" spans="1:9" x14ac:dyDescent="0.25">
      <c r="A706" t="s">
        <v>5043</v>
      </c>
      <c r="B706" t="s">
        <v>5043</v>
      </c>
      <c r="C706" t="s">
        <v>5044</v>
      </c>
      <c r="D706" t="s">
        <v>3242</v>
      </c>
      <c r="E706" t="s">
        <v>15710</v>
      </c>
      <c r="F706" t="s">
        <v>3306</v>
      </c>
      <c r="G706" t="s">
        <v>5045</v>
      </c>
      <c r="H706" t="s">
        <v>5046</v>
      </c>
      <c r="I706" t="s">
        <v>3366</v>
      </c>
    </row>
    <row r="707" spans="1:9" x14ac:dyDescent="0.25">
      <c r="A707" t="s">
        <v>5047</v>
      </c>
      <c r="B707" t="s">
        <v>5047</v>
      </c>
      <c r="C707" t="s">
        <v>5048</v>
      </c>
      <c r="D707" t="s">
        <v>3242</v>
      </c>
      <c r="E707" t="s">
        <v>15710</v>
      </c>
      <c r="F707" t="s">
        <v>3257</v>
      </c>
      <c r="G707" t="s">
        <v>5049</v>
      </c>
      <c r="H707" t="s">
        <v>3379</v>
      </c>
      <c r="I707" t="s">
        <v>3324</v>
      </c>
    </row>
    <row r="708" spans="1:9" x14ac:dyDescent="0.25">
      <c r="A708" t="s">
        <v>5050</v>
      </c>
      <c r="B708" t="s">
        <v>5050</v>
      </c>
      <c r="C708" t="s">
        <v>5051</v>
      </c>
      <c r="D708" t="s">
        <v>3242</v>
      </c>
      <c r="E708" t="s">
        <v>16929</v>
      </c>
      <c r="F708" t="s">
        <v>3306</v>
      </c>
      <c r="G708" t="s">
        <v>5052</v>
      </c>
      <c r="H708" t="s">
        <v>3643</v>
      </c>
      <c r="I708" t="s">
        <v>3366</v>
      </c>
    </row>
    <row r="709" spans="1:9" x14ac:dyDescent="0.25">
      <c r="A709" t="s">
        <v>5053</v>
      </c>
      <c r="B709" t="s">
        <v>5053</v>
      </c>
      <c r="C709" t="s">
        <v>3381</v>
      </c>
      <c r="D709" t="s">
        <v>3321</v>
      </c>
      <c r="E709" t="s">
        <v>15710</v>
      </c>
      <c r="F709" t="s">
        <v>3257</v>
      </c>
      <c r="G709" t="s">
        <v>5054</v>
      </c>
      <c r="H709" t="s">
        <v>3643</v>
      </c>
      <c r="I709" t="s">
        <v>3366</v>
      </c>
    </row>
    <row r="710" spans="1:9" x14ac:dyDescent="0.25">
      <c r="A710" t="s">
        <v>5055</v>
      </c>
      <c r="B710" t="s">
        <v>5055</v>
      </c>
      <c r="C710" t="s">
        <v>5056</v>
      </c>
      <c r="D710" t="s">
        <v>3242</v>
      </c>
      <c r="E710" t="s">
        <v>15710</v>
      </c>
      <c r="F710" t="s">
        <v>3257</v>
      </c>
      <c r="G710" t="s">
        <v>5057</v>
      </c>
      <c r="H710" t="s">
        <v>5058</v>
      </c>
    </row>
    <row r="711" spans="1:9" x14ac:dyDescent="0.25">
      <c r="A711" t="s">
        <v>5059</v>
      </c>
      <c r="B711" t="s">
        <v>5059</v>
      </c>
      <c r="C711" t="s">
        <v>5060</v>
      </c>
      <c r="D711" t="s">
        <v>3242</v>
      </c>
      <c r="E711" t="s">
        <v>15710</v>
      </c>
      <c r="F711" t="s">
        <v>3257</v>
      </c>
      <c r="G711" t="s">
        <v>5061</v>
      </c>
      <c r="H711" t="s">
        <v>5062</v>
      </c>
      <c r="I711" t="s">
        <v>3263</v>
      </c>
    </row>
    <row r="712" spans="1:9" x14ac:dyDescent="0.25">
      <c r="A712" t="s">
        <v>5063</v>
      </c>
      <c r="B712" t="s">
        <v>5063</v>
      </c>
      <c r="C712" t="s">
        <v>5064</v>
      </c>
      <c r="D712" t="s">
        <v>3242</v>
      </c>
      <c r="E712" t="s">
        <v>15768</v>
      </c>
      <c r="F712" t="s">
        <v>3257</v>
      </c>
      <c r="G712" t="s">
        <v>5065</v>
      </c>
      <c r="H712" t="s">
        <v>5066</v>
      </c>
      <c r="I712" t="s">
        <v>3648</v>
      </c>
    </row>
    <row r="713" spans="1:9" x14ac:dyDescent="0.25">
      <c r="A713" t="s">
        <v>5067</v>
      </c>
      <c r="B713" t="s">
        <v>5067</v>
      </c>
      <c r="C713" t="s">
        <v>5068</v>
      </c>
      <c r="D713" t="s">
        <v>3242</v>
      </c>
      <c r="E713" t="s">
        <v>15710</v>
      </c>
      <c r="F713" t="s">
        <v>3251</v>
      </c>
      <c r="G713" t="s">
        <v>5069</v>
      </c>
      <c r="H713" t="s">
        <v>3440</v>
      </c>
      <c r="I713" t="s">
        <v>3407</v>
      </c>
    </row>
    <row r="714" spans="1:9" x14ac:dyDescent="0.25">
      <c r="A714" t="s">
        <v>5070</v>
      </c>
      <c r="B714" t="s">
        <v>5070</v>
      </c>
      <c r="C714" t="s">
        <v>5071</v>
      </c>
      <c r="D714" t="s">
        <v>3242</v>
      </c>
      <c r="E714" t="s">
        <v>15710</v>
      </c>
      <c r="F714" t="s">
        <v>5072</v>
      </c>
      <c r="G714" t="s">
        <v>5073</v>
      </c>
      <c r="H714" t="s">
        <v>4856</v>
      </c>
      <c r="I714" t="s">
        <v>3407</v>
      </c>
    </row>
    <row r="715" spans="1:9" x14ac:dyDescent="0.25">
      <c r="A715" t="s">
        <v>5074</v>
      </c>
      <c r="B715" t="s">
        <v>5074</v>
      </c>
      <c r="C715" t="s">
        <v>5075</v>
      </c>
      <c r="D715" t="s">
        <v>3242</v>
      </c>
      <c r="E715" t="s">
        <v>15765</v>
      </c>
      <c r="F715" t="s">
        <v>3257</v>
      </c>
      <c r="G715" t="s">
        <v>5076</v>
      </c>
      <c r="H715" t="s">
        <v>4856</v>
      </c>
      <c r="I715" t="s">
        <v>3407</v>
      </c>
    </row>
    <row r="716" spans="1:9" x14ac:dyDescent="0.25">
      <c r="A716" t="s">
        <v>5077</v>
      </c>
      <c r="B716" t="s">
        <v>5077</v>
      </c>
      <c r="C716" t="s">
        <v>5078</v>
      </c>
      <c r="D716" t="s">
        <v>3242</v>
      </c>
      <c r="E716" t="s">
        <v>16194</v>
      </c>
      <c r="F716" t="s">
        <v>5079</v>
      </c>
      <c r="G716" t="s">
        <v>5080</v>
      </c>
      <c r="H716" t="s">
        <v>4856</v>
      </c>
      <c r="I716" t="s">
        <v>3407</v>
      </c>
    </row>
    <row r="717" spans="1:9" x14ac:dyDescent="0.25">
      <c r="A717" t="s">
        <v>5081</v>
      </c>
      <c r="B717" t="s">
        <v>5081</v>
      </c>
      <c r="C717" t="s">
        <v>5082</v>
      </c>
      <c r="D717" t="s">
        <v>3242</v>
      </c>
      <c r="E717" t="s">
        <v>17167</v>
      </c>
      <c r="F717" t="s">
        <v>3257</v>
      </c>
      <c r="G717" t="s">
        <v>5083</v>
      </c>
      <c r="H717" t="s">
        <v>5084</v>
      </c>
      <c r="I717" t="s">
        <v>3324</v>
      </c>
    </row>
    <row r="718" spans="1:9" x14ac:dyDescent="0.25">
      <c r="A718" t="s">
        <v>5085</v>
      </c>
      <c r="B718" t="s">
        <v>5085</v>
      </c>
      <c r="C718" t="s">
        <v>5086</v>
      </c>
      <c r="D718" t="s">
        <v>3242</v>
      </c>
      <c r="E718" t="s">
        <v>17168</v>
      </c>
      <c r="F718" t="s">
        <v>5087</v>
      </c>
      <c r="G718" t="s">
        <v>5088</v>
      </c>
      <c r="H718" t="s">
        <v>4856</v>
      </c>
      <c r="I718" t="s">
        <v>3407</v>
      </c>
    </row>
    <row r="719" spans="1:9" x14ac:dyDescent="0.25">
      <c r="A719" t="s">
        <v>5089</v>
      </c>
      <c r="B719" t="s">
        <v>5089</v>
      </c>
      <c r="C719" t="s">
        <v>5090</v>
      </c>
      <c r="D719" t="s">
        <v>3242</v>
      </c>
      <c r="E719" t="s">
        <v>15710</v>
      </c>
      <c r="F719" t="s">
        <v>3243</v>
      </c>
      <c r="G719" t="s">
        <v>5091</v>
      </c>
      <c r="H719" t="s">
        <v>3285</v>
      </c>
    </row>
    <row r="720" spans="1:9" x14ac:dyDescent="0.25">
      <c r="A720" t="s">
        <v>5092</v>
      </c>
      <c r="B720" t="s">
        <v>5092</v>
      </c>
      <c r="C720" t="s">
        <v>5093</v>
      </c>
      <c r="D720" t="s">
        <v>3242</v>
      </c>
      <c r="E720" t="s">
        <v>15710</v>
      </c>
      <c r="F720" t="s">
        <v>5094</v>
      </c>
      <c r="G720" t="s">
        <v>5095</v>
      </c>
      <c r="H720" t="s">
        <v>3601</v>
      </c>
      <c r="I720" t="s">
        <v>3407</v>
      </c>
    </row>
    <row r="721" spans="1:9" x14ac:dyDescent="0.25">
      <c r="A721" t="s">
        <v>5096</v>
      </c>
      <c r="B721" t="s">
        <v>5096</v>
      </c>
      <c r="C721" t="s">
        <v>5097</v>
      </c>
      <c r="D721" t="s">
        <v>3242</v>
      </c>
      <c r="E721" t="s">
        <v>15710</v>
      </c>
      <c r="F721" t="s">
        <v>5098</v>
      </c>
      <c r="G721" t="s">
        <v>5099</v>
      </c>
      <c r="H721" t="s">
        <v>5103</v>
      </c>
      <c r="I721" t="s">
        <v>3407</v>
      </c>
    </row>
    <row r="722" spans="1:9" x14ac:dyDescent="0.25">
      <c r="A722" t="s">
        <v>5100</v>
      </c>
      <c r="B722" t="s">
        <v>5100</v>
      </c>
      <c r="C722" t="s">
        <v>5101</v>
      </c>
      <c r="D722" t="s">
        <v>3242</v>
      </c>
      <c r="E722" t="s">
        <v>15710</v>
      </c>
      <c r="F722" t="s">
        <v>3257</v>
      </c>
      <c r="G722" t="s">
        <v>5102</v>
      </c>
      <c r="H722" t="s">
        <v>5103</v>
      </c>
      <c r="I722" t="s">
        <v>3648</v>
      </c>
    </row>
    <row r="723" spans="1:9" x14ac:dyDescent="0.25">
      <c r="A723" t="s">
        <v>5104</v>
      </c>
      <c r="B723" t="s">
        <v>5104</v>
      </c>
      <c r="C723" t="s">
        <v>5105</v>
      </c>
      <c r="D723" t="s">
        <v>3242</v>
      </c>
      <c r="E723" t="s">
        <v>15710</v>
      </c>
      <c r="F723" t="s">
        <v>5106</v>
      </c>
      <c r="G723" t="s">
        <v>5107</v>
      </c>
      <c r="H723" t="s">
        <v>3496</v>
      </c>
      <c r="I723" t="s">
        <v>3407</v>
      </c>
    </row>
    <row r="724" spans="1:9" x14ac:dyDescent="0.25">
      <c r="A724" t="s">
        <v>5108</v>
      </c>
      <c r="B724" t="s">
        <v>5108</v>
      </c>
      <c r="C724" t="s">
        <v>5109</v>
      </c>
      <c r="D724" t="s">
        <v>3242</v>
      </c>
      <c r="E724" t="s">
        <v>15710</v>
      </c>
      <c r="F724" t="s">
        <v>3257</v>
      </c>
      <c r="G724" t="s">
        <v>5110</v>
      </c>
      <c r="H724" t="s">
        <v>3496</v>
      </c>
      <c r="I724" t="s">
        <v>3407</v>
      </c>
    </row>
    <row r="725" spans="1:9" x14ac:dyDescent="0.25">
      <c r="A725" t="s">
        <v>5111</v>
      </c>
      <c r="B725" t="s">
        <v>5111</v>
      </c>
      <c r="C725" t="s">
        <v>5112</v>
      </c>
      <c r="D725" t="s">
        <v>3242</v>
      </c>
      <c r="E725" t="s">
        <v>15710</v>
      </c>
      <c r="F725" t="s">
        <v>3257</v>
      </c>
      <c r="G725" t="s">
        <v>5113</v>
      </c>
      <c r="H725" t="s">
        <v>5114</v>
      </c>
    </row>
    <row r="726" spans="1:9" x14ac:dyDescent="0.25">
      <c r="A726" t="s">
        <v>5115</v>
      </c>
      <c r="B726" t="s">
        <v>5115</v>
      </c>
      <c r="C726" t="s">
        <v>5116</v>
      </c>
      <c r="D726" t="s">
        <v>3242</v>
      </c>
      <c r="E726" t="s">
        <v>15710</v>
      </c>
      <c r="F726" t="s">
        <v>3257</v>
      </c>
      <c r="G726" t="s">
        <v>5117</v>
      </c>
      <c r="H726" t="s">
        <v>5103</v>
      </c>
      <c r="I726" t="s">
        <v>3407</v>
      </c>
    </row>
    <row r="727" spans="1:9" x14ac:dyDescent="0.25">
      <c r="A727" t="s">
        <v>5118</v>
      </c>
      <c r="B727" t="s">
        <v>5118</v>
      </c>
      <c r="C727" t="s">
        <v>5119</v>
      </c>
      <c r="D727" t="s">
        <v>3242</v>
      </c>
      <c r="E727" t="s">
        <v>15710</v>
      </c>
      <c r="F727" t="s">
        <v>5120</v>
      </c>
      <c r="G727" t="s">
        <v>5121</v>
      </c>
      <c r="H727" t="s">
        <v>3406</v>
      </c>
      <c r="I727" t="s">
        <v>3407</v>
      </c>
    </row>
    <row r="728" spans="1:9" x14ac:dyDescent="0.25">
      <c r="A728" t="s">
        <v>13722</v>
      </c>
      <c r="B728" t="s">
        <v>13722</v>
      </c>
      <c r="C728" t="s">
        <v>13723</v>
      </c>
      <c r="D728" t="s">
        <v>3242</v>
      </c>
      <c r="E728" t="s">
        <v>17169</v>
      </c>
      <c r="F728" t="s">
        <v>3257</v>
      </c>
      <c r="G728" t="s">
        <v>13724</v>
      </c>
      <c r="H728" t="s">
        <v>3280</v>
      </c>
      <c r="I728" t="s">
        <v>3432</v>
      </c>
    </row>
    <row r="729" spans="1:9" x14ac:dyDescent="0.25">
      <c r="A729" t="s">
        <v>5122</v>
      </c>
      <c r="B729" t="s">
        <v>5122</v>
      </c>
      <c r="C729" t="s">
        <v>5123</v>
      </c>
      <c r="D729" t="s">
        <v>3242</v>
      </c>
      <c r="E729" t="s">
        <v>15710</v>
      </c>
      <c r="F729" t="s">
        <v>3257</v>
      </c>
      <c r="G729" t="s">
        <v>5124</v>
      </c>
      <c r="H729" t="s">
        <v>3594</v>
      </c>
      <c r="I729" t="s">
        <v>3324</v>
      </c>
    </row>
    <row r="730" spans="1:9" x14ac:dyDescent="0.25">
      <c r="A730" t="s">
        <v>5125</v>
      </c>
      <c r="B730" t="s">
        <v>5125</v>
      </c>
      <c r="C730" t="s">
        <v>5126</v>
      </c>
      <c r="D730" t="s">
        <v>3242</v>
      </c>
      <c r="E730" t="s">
        <v>17170</v>
      </c>
      <c r="F730" t="s">
        <v>3257</v>
      </c>
      <c r="G730" t="s">
        <v>5127</v>
      </c>
      <c r="H730" t="s">
        <v>3594</v>
      </c>
      <c r="I730" t="s">
        <v>3324</v>
      </c>
    </row>
    <row r="731" spans="1:9" x14ac:dyDescent="0.25">
      <c r="A731" t="s">
        <v>5128</v>
      </c>
      <c r="B731" t="s">
        <v>5128</v>
      </c>
      <c r="C731" t="s">
        <v>5129</v>
      </c>
      <c r="D731" t="s">
        <v>3242</v>
      </c>
      <c r="E731" t="s">
        <v>15710</v>
      </c>
      <c r="F731" t="s">
        <v>5130</v>
      </c>
      <c r="G731" t="s">
        <v>5131</v>
      </c>
      <c r="H731" t="s">
        <v>5103</v>
      </c>
    </row>
    <row r="732" spans="1:9" x14ac:dyDescent="0.25">
      <c r="A732" t="s">
        <v>5132</v>
      </c>
      <c r="B732" t="s">
        <v>5132</v>
      </c>
      <c r="C732" t="s">
        <v>5133</v>
      </c>
      <c r="D732" t="s">
        <v>3242</v>
      </c>
      <c r="E732" t="s">
        <v>15710</v>
      </c>
      <c r="F732" t="s">
        <v>3251</v>
      </c>
      <c r="G732" t="s">
        <v>5134</v>
      </c>
      <c r="H732" t="s">
        <v>3253</v>
      </c>
      <c r="I732" t="s">
        <v>3451</v>
      </c>
    </row>
    <row r="733" spans="1:9" x14ac:dyDescent="0.25">
      <c r="A733" t="s">
        <v>5135</v>
      </c>
      <c r="B733" t="s">
        <v>5135</v>
      </c>
      <c r="C733" t="s">
        <v>5136</v>
      </c>
      <c r="D733" t="s">
        <v>3242</v>
      </c>
      <c r="E733" t="s">
        <v>15710</v>
      </c>
      <c r="F733" t="s">
        <v>5098</v>
      </c>
      <c r="G733" t="s">
        <v>5137</v>
      </c>
      <c r="H733" t="s">
        <v>3413</v>
      </c>
      <c r="I733" t="s">
        <v>3407</v>
      </c>
    </row>
    <row r="734" spans="1:9" x14ac:dyDescent="0.25">
      <c r="A734" t="s">
        <v>5138</v>
      </c>
      <c r="B734" t="s">
        <v>5138</v>
      </c>
      <c r="C734" t="s">
        <v>5139</v>
      </c>
      <c r="D734" t="s">
        <v>3242</v>
      </c>
      <c r="E734" t="s">
        <v>16930</v>
      </c>
      <c r="F734" t="s">
        <v>3251</v>
      </c>
      <c r="G734" t="s">
        <v>5140</v>
      </c>
      <c r="H734" t="s">
        <v>5141</v>
      </c>
      <c r="I734" t="s">
        <v>4605</v>
      </c>
    </row>
    <row r="735" spans="1:9" x14ac:dyDescent="0.25">
      <c r="A735" t="s">
        <v>5142</v>
      </c>
      <c r="B735" t="s">
        <v>5142</v>
      </c>
      <c r="C735" t="s">
        <v>5143</v>
      </c>
      <c r="D735" t="s">
        <v>3242</v>
      </c>
      <c r="E735" t="s">
        <v>16818</v>
      </c>
      <c r="F735" t="s">
        <v>3257</v>
      </c>
      <c r="G735" t="s">
        <v>5144</v>
      </c>
      <c r="H735" t="s">
        <v>3413</v>
      </c>
      <c r="I735" t="s">
        <v>3407</v>
      </c>
    </row>
    <row r="736" spans="1:9" x14ac:dyDescent="0.25">
      <c r="A736" t="s">
        <v>16195</v>
      </c>
      <c r="B736" t="s">
        <v>16195</v>
      </c>
      <c r="C736" t="s">
        <v>16196</v>
      </c>
      <c r="D736" t="s">
        <v>3242</v>
      </c>
      <c r="E736" t="s">
        <v>15710</v>
      </c>
      <c r="F736" t="s">
        <v>3243</v>
      </c>
      <c r="G736" t="s">
        <v>16197</v>
      </c>
      <c r="H736" t="s">
        <v>4740</v>
      </c>
    </row>
    <row r="737" spans="1:9" x14ac:dyDescent="0.25">
      <c r="A737" t="s">
        <v>5145</v>
      </c>
      <c r="B737" t="s">
        <v>5145</v>
      </c>
      <c r="C737" t="s">
        <v>5146</v>
      </c>
      <c r="D737" t="s">
        <v>3242</v>
      </c>
      <c r="E737" t="s">
        <v>15710</v>
      </c>
      <c r="F737" t="s">
        <v>3257</v>
      </c>
      <c r="G737" t="s">
        <v>5147</v>
      </c>
      <c r="H737" t="s">
        <v>3484</v>
      </c>
      <c r="I737" t="s">
        <v>3263</v>
      </c>
    </row>
    <row r="738" spans="1:9" x14ac:dyDescent="0.25">
      <c r="A738" t="s">
        <v>5148</v>
      </c>
      <c r="B738" t="s">
        <v>5148</v>
      </c>
      <c r="C738" t="s">
        <v>5149</v>
      </c>
      <c r="D738" t="s">
        <v>3242</v>
      </c>
      <c r="E738" t="s">
        <v>15710</v>
      </c>
      <c r="F738" t="s">
        <v>3257</v>
      </c>
      <c r="G738" t="s">
        <v>5150</v>
      </c>
      <c r="H738" t="s">
        <v>5151</v>
      </c>
    </row>
    <row r="739" spans="1:9" x14ac:dyDescent="0.25">
      <c r="A739" t="s">
        <v>5152</v>
      </c>
      <c r="B739" t="s">
        <v>5152</v>
      </c>
      <c r="C739" t="s">
        <v>5153</v>
      </c>
      <c r="D739" t="s">
        <v>3242</v>
      </c>
      <c r="E739" t="s">
        <v>15710</v>
      </c>
      <c r="F739" t="s">
        <v>5154</v>
      </c>
      <c r="G739" t="s">
        <v>5155</v>
      </c>
      <c r="H739" t="s">
        <v>3262</v>
      </c>
    </row>
    <row r="740" spans="1:9" x14ac:dyDescent="0.25">
      <c r="A740" t="s">
        <v>5156</v>
      </c>
      <c r="B740" t="s">
        <v>5156</v>
      </c>
      <c r="C740" t="s">
        <v>5157</v>
      </c>
      <c r="D740" t="s">
        <v>3242</v>
      </c>
      <c r="E740" t="s">
        <v>15771</v>
      </c>
      <c r="F740" t="s">
        <v>5158</v>
      </c>
      <c r="G740" t="s">
        <v>5159</v>
      </c>
      <c r="H740" t="s">
        <v>5160</v>
      </c>
    </row>
    <row r="741" spans="1:9" x14ac:dyDescent="0.25">
      <c r="A741" t="s">
        <v>5161</v>
      </c>
      <c r="B741" t="s">
        <v>5161</v>
      </c>
      <c r="C741" t="s">
        <v>5162</v>
      </c>
      <c r="D741" t="s">
        <v>3242</v>
      </c>
      <c r="E741" t="s">
        <v>15710</v>
      </c>
      <c r="F741" t="s">
        <v>3243</v>
      </c>
      <c r="G741" t="s">
        <v>5163</v>
      </c>
      <c r="H741" t="s">
        <v>3402</v>
      </c>
    </row>
    <row r="742" spans="1:9" x14ac:dyDescent="0.25">
      <c r="A742" t="s">
        <v>5164</v>
      </c>
      <c r="B742" t="s">
        <v>5164</v>
      </c>
      <c r="C742" t="s">
        <v>5165</v>
      </c>
      <c r="D742" t="s">
        <v>3242</v>
      </c>
      <c r="E742" t="s">
        <v>15710</v>
      </c>
      <c r="F742" t="s">
        <v>3257</v>
      </c>
      <c r="G742" t="s">
        <v>5166</v>
      </c>
      <c r="H742" t="s">
        <v>5062</v>
      </c>
    </row>
    <row r="743" spans="1:9" x14ac:dyDescent="0.25">
      <c r="A743" t="s">
        <v>5167</v>
      </c>
      <c r="B743" t="s">
        <v>5167</v>
      </c>
      <c r="C743" t="s">
        <v>5168</v>
      </c>
      <c r="D743" t="s">
        <v>3242</v>
      </c>
      <c r="E743" t="s">
        <v>15906</v>
      </c>
      <c r="F743" t="s">
        <v>5094</v>
      </c>
      <c r="G743" t="s">
        <v>5169</v>
      </c>
      <c r="H743" t="s">
        <v>3496</v>
      </c>
      <c r="I743" t="s">
        <v>3407</v>
      </c>
    </row>
    <row r="744" spans="1:9" x14ac:dyDescent="0.25">
      <c r="A744" t="s">
        <v>5170</v>
      </c>
      <c r="B744" t="s">
        <v>5170</v>
      </c>
      <c r="C744" t="s">
        <v>5171</v>
      </c>
      <c r="D744" t="s">
        <v>3242</v>
      </c>
      <c r="E744" t="s">
        <v>16819</v>
      </c>
      <c r="F744" t="s">
        <v>3257</v>
      </c>
      <c r="G744" t="s">
        <v>5172</v>
      </c>
      <c r="H744" t="s">
        <v>3440</v>
      </c>
      <c r="I744" t="s">
        <v>3407</v>
      </c>
    </row>
    <row r="745" spans="1:9" x14ac:dyDescent="0.25">
      <c r="A745" t="s">
        <v>5173</v>
      </c>
      <c r="B745" t="s">
        <v>5173</v>
      </c>
      <c r="C745" t="s">
        <v>5174</v>
      </c>
      <c r="D745" t="s">
        <v>3242</v>
      </c>
      <c r="E745" t="s">
        <v>16668</v>
      </c>
      <c r="F745" t="s">
        <v>3257</v>
      </c>
      <c r="G745" t="s">
        <v>5175</v>
      </c>
      <c r="H745" t="s">
        <v>3614</v>
      </c>
    </row>
    <row r="746" spans="1:9" x14ac:dyDescent="0.25">
      <c r="A746" t="s">
        <v>5176</v>
      </c>
      <c r="B746" t="s">
        <v>5176</v>
      </c>
      <c r="C746" t="s">
        <v>5177</v>
      </c>
      <c r="D746" t="s">
        <v>3242</v>
      </c>
      <c r="E746" t="s">
        <v>15710</v>
      </c>
      <c r="G746" t="s">
        <v>3243</v>
      </c>
      <c r="H746" t="s">
        <v>3455</v>
      </c>
    </row>
    <row r="747" spans="1:9" x14ac:dyDescent="0.25">
      <c r="A747" t="s">
        <v>5178</v>
      </c>
      <c r="B747" t="s">
        <v>5178</v>
      </c>
      <c r="C747" t="s">
        <v>5179</v>
      </c>
      <c r="D747" t="s">
        <v>3242</v>
      </c>
      <c r="E747" t="s">
        <v>15710</v>
      </c>
      <c r="F747" t="s">
        <v>3257</v>
      </c>
      <c r="G747" t="s">
        <v>5180</v>
      </c>
      <c r="H747" t="s">
        <v>3614</v>
      </c>
    </row>
    <row r="748" spans="1:9" x14ac:dyDescent="0.25">
      <c r="A748" t="s">
        <v>5181</v>
      </c>
      <c r="B748" t="s">
        <v>5181</v>
      </c>
      <c r="C748" t="s">
        <v>5182</v>
      </c>
      <c r="D748" t="s">
        <v>3321</v>
      </c>
      <c r="E748" t="s">
        <v>15710</v>
      </c>
      <c r="F748" t="s">
        <v>3257</v>
      </c>
      <c r="G748" t="s">
        <v>5183</v>
      </c>
      <c r="H748" t="s">
        <v>3267</v>
      </c>
    </row>
    <row r="749" spans="1:9" x14ac:dyDescent="0.25">
      <c r="A749" t="s">
        <v>5184</v>
      </c>
      <c r="B749" t="s">
        <v>5184</v>
      </c>
      <c r="C749" t="s">
        <v>5185</v>
      </c>
      <c r="D749" t="s">
        <v>3242</v>
      </c>
      <c r="E749" t="s">
        <v>15710</v>
      </c>
      <c r="F749" t="s">
        <v>3257</v>
      </c>
      <c r="G749" t="s">
        <v>5186</v>
      </c>
      <c r="H749" t="s">
        <v>3248</v>
      </c>
      <c r="I749" t="s">
        <v>3407</v>
      </c>
    </row>
    <row r="750" spans="1:9" x14ac:dyDescent="0.25">
      <c r="A750" t="s">
        <v>5187</v>
      </c>
      <c r="B750" t="s">
        <v>5187</v>
      </c>
      <c r="C750" t="s">
        <v>5188</v>
      </c>
      <c r="D750" t="s">
        <v>3242</v>
      </c>
      <c r="E750" t="s">
        <v>15710</v>
      </c>
      <c r="F750" t="s">
        <v>3257</v>
      </c>
      <c r="G750" t="s">
        <v>5189</v>
      </c>
      <c r="H750" t="s">
        <v>3248</v>
      </c>
    </row>
    <row r="751" spans="1:9" x14ac:dyDescent="0.25">
      <c r="A751" t="s">
        <v>5190</v>
      </c>
      <c r="B751" t="s">
        <v>5190</v>
      </c>
      <c r="C751" t="s">
        <v>5191</v>
      </c>
      <c r="D751" t="s">
        <v>3242</v>
      </c>
      <c r="E751" t="s">
        <v>15710</v>
      </c>
      <c r="F751" t="s">
        <v>3243</v>
      </c>
      <c r="G751" t="s">
        <v>5192</v>
      </c>
      <c r="H751" t="s">
        <v>3060</v>
      </c>
    </row>
    <row r="752" spans="1:9" x14ac:dyDescent="0.25">
      <c r="A752" t="s">
        <v>5193</v>
      </c>
      <c r="B752" t="s">
        <v>5193</v>
      </c>
      <c r="C752" t="s">
        <v>5194</v>
      </c>
      <c r="D752" t="s">
        <v>3242</v>
      </c>
      <c r="E752" t="s">
        <v>16820</v>
      </c>
      <c r="F752" t="s">
        <v>3243</v>
      </c>
      <c r="G752" t="s">
        <v>5195</v>
      </c>
      <c r="H752" t="s">
        <v>3836</v>
      </c>
    </row>
    <row r="753" spans="1:9" x14ac:dyDescent="0.25">
      <c r="A753" t="s">
        <v>5196</v>
      </c>
      <c r="B753" t="s">
        <v>5196</v>
      </c>
      <c r="C753" t="s">
        <v>5197</v>
      </c>
      <c r="D753" t="s">
        <v>3242</v>
      </c>
      <c r="E753" t="s">
        <v>15710</v>
      </c>
      <c r="F753" t="s">
        <v>3251</v>
      </c>
      <c r="G753" t="s">
        <v>5198</v>
      </c>
      <c r="H753" t="s">
        <v>3565</v>
      </c>
    </row>
    <row r="754" spans="1:9" x14ac:dyDescent="0.25">
      <c r="A754" t="s">
        <v>5199</v>
      </c>
      <c r="B754" t="s">
        <v>5199</v>
      </c>
      <c r="C754" t="s">
        <v>5200</v>
      </c>
      <c r="D754" t="s">
        <v>3242</v>
      </c>
      <c r="E754" t="s">
        <v>15710</v>
      </c>
      <c r="F754" t="s">
        <v>3257</v>
      </c>
      <c r="G754" t="s">
        <v>5201</v>
      </c>
      <c r="H754" t="s">
        <v>3496</v>
      </c>
      <c r="I754" t="s">
        <v>3407</v>
      </c>
    </row>
    <row r="755" spans="1:9" x14ac:dyDescent="0.25">
      <c r="A755" t="s">
        <v>5202</v>
      </c>
      <c r="B755" t="s">
        <v>5202</v>
      </c>
      <c r="C755" t="s">
        <v>5203</v>
      </c>
      <c r="D755" t="s">
        <v>3242</v>
      </c>
      <c r="E755" t="s">
        <v>17171</v>
      </c>
      <c r="F755" t="s">
        <v>3257</v>
      </c>
      <c r="G755" t="s">
        <v>5204</v>
      </c>
      <c r="H755" t="s">
        <v>5151</v>
      </c>
      <c r="I755" t="s">
        <v>3648</v>
      </c>
    </row>
    <row r="756" spans="1:9" x14ac:dyDescent="0.25">
      <c r="A756" t="s">
        <v>5205</v>
      </c>
      <c r="B756" t="s">
        <v>5205</v>
      </c>
      <c r="C756" t="s">
        <v>5206</v>
      </c>
      <c r="D756" t="s">
        <v>3242</v>
      </c>
      <c r="E756" t="s">
        <v>15710</v>
      </c>
      <c r="F756" t="s">
        <v>3372</v>
      </c>
      <c r="G756" t="s">
        <v>5207</v>
      </c>
      <c r="H756" t="s">
        <v>4515</v>
      </c>
      <c r="I756" t="s">
        <v>3375</v>
      </c>
    </row>
    <row r="757" spans="1:9" x14ac:dyDescent="0.25">
      <c r="A757" t="s">
        <v>14973</v>
      </c>
      <c r="B757" t="s">
        <v>14973</v>
      </c>
      <c r="C757" t="s">
        <v>14974</v>
      </c>
      <c r="D757" t="s">
        <v>3242</v>
      </c>
      <c r="E757" t="s">
        <v>15822</v>
      </c>
      <c r="F757" t="s">
        <v>3243</v>
      </c>
      <c r="G757" t="s">
        <v>14975</v>
      </c>
      <c r="H757" t="s">
        <v>5151</v>
      </c>
      <c r="I757" t="s">
        <v>3432</v>
      </c>
    </row>
    <row r="758" spans="1:9" x14ac:dyDescent="0.25">
      <c r="A758" t="s">
        <v>5208</v>
      </c>
      <c r="B758" t="s">
        <v>5208</v>
      </c>
      <c r="C758" t="s">
        <v>5209</v>
      </c>
      <c r="D758" t="s">
        <v>3242</v>
      </c>
      <c r="E758" t="s">
        <v>15789</v>
      </c>
      <c r="F758" t="s">
        <v>3257</v>
      </c>
      <c r="G758" t="s">
        <v>5210</v>
      </c>
      <c r="H758" t="s">
        <v>5084</v>
      </c>
      <c r="I758" t="s">
        <v>3324</v>
      </c>
    </row>
    <row r="759" spans="1:9" x14ac:dyDescent="0.25">
      <c r="A759" t="s">
        <v>5211</v>
      </c>
      <c r="B759" t="s">
        <v>5211</v>
      </c>
      <c r="C759" t="s">
        <v>5212</v>
      </c>
      <c r="D759" t="s">
        <v>3242</v>
      </c>
      <c r="E759" t="s">
        <v>15710</v>
      </c>
      <c r="F759" t="s">
        <v>3251</v>
      </c>
      <c r="G759" t="s">
        <v>5213</v>
      </c>
      <c r="H759" t="s">
        <v>3421</v>
      </c>
    </row>
    <row r="760" spans="1:9" x14ac:dyDescent="0.25">
      <c r="A760" t="s">
        <v>5214</v>
      </c>
      <c r="B760" t="s">
        <v>5214</v>
      </c>
      <c r="C760" t="s">
        <v>5215</v>
      </c>
      <c r="D760" t="s">
        <v>3242</v>
      </c>
      <c r="E760" t="s">
        <v>15710</v>
      </c>
      <c r="F760" t="s">
        <v>3257</v>
      </c>
      <c r="G760" t="s">
        <v>5216</v>
      </c>
      <c r="H760" t="s">
        <v>3262</v>
      </c>
    </row>
    <row r="761" spans="1:9" x14ac:dyDescent="0.25">
      <c r="A761" t="s">
        <v>5217</v>
      </c>
      <c r="B761" t="s">
        <v>5217</v>
      </c>
      <c r="C761" t="s">
        <v>5218</v>
      </c>
      <c r="D761" t="s">
        <v>3242</v>
      </c>
      <c r="E761" t="s">
        <v>15710</v>
      </c>
      <c r="F761" t="s">
        <v>15745</v>
      </c>
      <c r="G761" t="s">
        <v>5219</v>
      </c>
      <c r="H761" t="s">
        <v>3290</v>
      </c>
    </row>
    <row r="762" spans="1:9" x14ac:dyDescent="0.25">
      <c r="A762" t="s">
        <v>5220</v>
      </c>
      <c r="B762" t="s">
        <v>5220</v>
      </c>
      <c r="C762" t="s">
        <v>3631</v>
      </c>
      <c r="D762" t="s">
        <v>3242</v>
      </c>
      <c r="E762" t="s">
        <v>15772</v>
      </c>
      <c r="F762" t="s">
        <v>3243</v>
      </c>
      <c r="G762" t="s">
        <v>5221</v>
      </c>
      <c r="H762" t="s">
        <v>3290</v>
      </c>
    </row>
    <row r="763" spans="1:9" x14ac:dyDescent="0.25">
      <c r="A763" t="s">
        <v>5222</v>
      </c>
      <c r="B763" t="s">
        <v>5222</v>
      </c>
      <c r="C763" t="s">
        <v>5223</v>
      </c>
      <c r="D763" t="s">
        <v>3242</v>
      </c>
      <c r="E763" t="s">
        <v>15773</v>
      </c>
      <c r="F763" t="s">
        <v>3257</v>
      </c>
      <c r="G763" t="s">
        <v>5224</v>
      </c>
      <c r="H763" t="s">
        <v>3353</v>
      </c>
      <c r="I763" t="s">
        <v>3324</v>
      </c>
    </row>
    <row r="764" spans="1:9" x14ac:dyDescent="0.25">
      <c r="A764" t="s">
        <v>5225</v>
      </c>
      <c r="B764" t="s">
        <v>5225</v>
      </c>
      <c r="C764" t="s">
        <v>5226</v>
      </c>
      <c r="D764" t="s">
        <v>3242</v>
      </c>
      <c r="E764" t="s">
        <v>15710</v>
      </c>
      <c r="F764" t="s">
        <v>3372</v>
      </c>
      <c r="G764" t="s">
        <v>5227</v>
      </c>
      <c r="H764" t="s">
        <v>5228</v>
      </c>
      <c r="I764" t="s">
        <v>3375</v>
      </c>
    </row>
    <row r="765" spans="1:9" x14ac:dyDescent="0.25">
      <c r="A765" t="s">
        <v>5229</v>
      </c>
      <c r="B765" t="s">
        <v>5229</v>
      </c>
      <c r="C765" t="s">
        <v>5226</v>
      </c>
      <c r="D765" t="s">
        <v>3242</v>
      </c>
      <c r="E765" t="s">
        <v>15710</v>
      </c>
      <c r="F765" t="s">
        <v>3372</v>
      </c>
      <c r="G765" t="s">
        <v>5230</v>
      </c>
      <c r="H765" t="s">
        <v>5228</v>
      </c>
      <c r="I765" t="s">
        <v>3375</v>
      </c>
    </row>
    <row r="766" spans="1:9" x14ac:dyDescent="0.25">
      <c r="A766" t="s">
        <v>5231</v>
      </c>
      <c r="B766" t="s">
        <v>5232</v>
      </c>
      <c r="C766" t="s">
        <v>5233</v>
      </c>
      <c r="D766" t="s">
        <v>3242</v>
      </c>
      <c r="E766" t="s">
        <v>17547</v>
      </c>
      <c r="F766" t="s">
        <v>5234</v>
      </c>
      <c r="G766" t="s">
        <v>5235</v>
      </c>
      <c r="H766" t="s">
        <v>3413</v>
      </c>
      <c r="I766" t="s">
        <v>3407</v>
      </c>
    </row>
    <row r="767" spans="1:9" x14ac:dyDescent="0.25">
      <c r="A767" t="s">
        <v>5232</v>
      </c>
      <c r="B767" t="s">
        <v>5232</v>
      </c>
      <c r="C767" t="s">
        <v>5233</v>
      </c>
      <c r="D767" t="s">
        <v>3242</v>
      </c>
      <c r="E767" t="s">
        <v>15710</v>
      </c>
      <c r="F767" t="s">
        <v>5234</v>
      </c>
      <c r="G767" t="s">
        <v>5235</v>
      </c>
      <c r="H767" t="s">
        <v>3413</v>
      </c>
      <c r="I767" t="s">
        <v>3407</v>
      </c>
    </row>
    <row r="768" spans="1:9" x14ac:dyDescent="0.25">
      <c r="A768" t="s">
        <v>5236</v>
      </c>
      <c r="B768" t="s">
        <v>5236</v>
      </c>
      <c r="C768" t="s">
        <v>5237</v>
      </c>
      <c r="D768" t="s">
        <v>3321</v>
      </c>
      <c r="E768" t="s">
        <v>15710</v>
      </c>
      <c r="F768" t="s">
        <v>3257</v>
      </c>
      <c r="G768" t="s">
        <v>5238</v>
      </c>
      <c r="H768" t="s">
        <v>5239</v>
      </c>
    </row>
    <row r="769" spans="1:9" x14ac:dyDescent="0.25">
      <c r="A769" t="s">
        <v>5240</v>
      </c>
      <c r="B769" t="s">
        <v>5240</v>
      </c>
      <c r="C769" t="s">
        <v>5241</v>
      </c>
      <c r="D769" t="s">
        <v>3242</v>
      </c>
      <c r="E769" t="s">
        <v>15710</v>
      </c>
      <c r="F769" t="s">
        <v>3257</v>
      </c>
      <c r="G769" t="s">
        <v>5242</v>
      </c>
      <c r="H769" t="s">
        <v>5243</v>
      </c>
      <c r="I769" t="s">
        <v>3324</v>
      </c>
    </row>
    <row r="770" spans="1:9" x14ac:dyDescent="0.25">
      <c r="A770" t="s">
        <v>5244</v>
      </c>
      <c r="B770" t="s">
        <v>5244</v>
      </c>
      <c r="C770" t="s">
        <v>5245</v>
      </c>
      <c r="D770" t="s">
        <v>3242</v>
      </c>
      <c r="E770" t="s">
        <v>17172</v>
      </c>
      <c r="F770" t="s">
        <v>3257</v>
      </c>
      <c r="G770" t="s">
        <v>5246</v>
      </c>
      <c r="H770" t="s">
        <v>5243</v>
      </c>
      <c r="I770" t="s">
        <v>3324</v>
      </c>
    </row>
    <row r="771" spans="1:9" x14ac:dyDescent="0.25">
      <c r="A771" t="s">
        <v>5247</v>
      </c>
      <c r="B771" t="s">
        <v>5247</v>
      </c>
      <c r="C771" t="s">
        <v>5248</v>
      </c>
      <c r="D771" t="s">
        <v>3242</v>
      </c>
      <c r="E771" t="s">
        <v>15710</v>
      </c>
      <c r="F771" t="s">
        <v>3257</v>
      </c>
      <c r="G771" t="s">
        <v>5249</v>
      </c>
      <c r="H771" t="s">
        <v>3060</v>
      </c>
      <c r="I771" t="s">
        <v>5250</v>
      </c>
    </row>
    <row r="772" spans="1:9" x14ac:dyDescent="0.25">
      <c r="A772" t="s">
        <v>5251</v>
      </c>
      <c r="B772" t="s">
        <v>5251</v>
      </c>
      <c r="C772" t="s">
        <v>5252</v>
      </c>
      <c r="D772" t="s">
        <v>3242</v>
      </c>
      <c r="E772" t="s">
        <v>16441</v>
      </c>
      <c r="F772" t="s">
        <v>3257</v>
      </c>
      <c r="G772" t="s">
        <v>5253</v>
      </c>
      <c r="H772" t="s">
        <v>5239</v>
      </c>
      <c r="I772" t="s">
        <v>3324</v>
      </c>
    </row>
    <row r="773" spans="1:9" x14ac:dyDescent="0.25">
      <c r="A773" t="s">
        <v>5254</v>
      </c>
      <c r="B773" t="s">
        <v>5254</v>
      </c>
      <c r="C773" t="s">
        <v>5255</v>
      </c>
      <c r="D773" t="s">
        <v>3242</v>
      </c>
      <c r="E773" t="s">
        <v>15710</v>
      </c>
      <c r="F773" t="s">
        <v>3257</v>
      </c>
      <c r="G773" t="s">
        <v>5256</v>
      </c>
      <c r="H773" t="s">
        <v>5239</v>
      </c>
      <c r="I773" t="s">
        <v>3324</v>
      </c>
    </row>
    <row r="774" spans="1:9" x14ac:dyDescent="0.25">
      <c r="A774" t="s">
        <v>5257</v>
      </c>
      <c r="B774" t="s">
        <v>5257</v>
      </c>
      <c r="C774" t="s">
        <v>5258</v>
      </c>
      <c r="D774" t="s">
        <v>3242</v>
      </c>
      <c r="E774" t="s">
        <v>15710</v>
      </c>
      <c r="F774" t="s">
        <v>3257</v>
      </c>
      <c r="G774" t="s">
        <v>5259</v>
      </c>
      <c r="H774" t="s">
        <v>5239</v>
      </c>
      <c r="I774" t="s">
        <v>3324</v>
      </c>
    </row>
    <row r="775" spans="1:9" x14ac:dyDescent="0.25">
      <c r="A775" t="s">
        <v>5260</v>
      </c>
      <c r="B775" t="s">
        <v>5260</v>
      </c>
      <c r="C775" t="s">
        <v>5261</v>
      </c>
      <c r="D775" t="s">
        <v>3242</v>
      </c>
      <c r="E775" t="s">
        <v>16442</v>
      </c>
      <c r="F775" t="s">
        <v>3257</v>
      </c>
      <c r="G775" t="s">
        <v>5253</v>
      </c>
      <c r="H775" t="s">
        <v>5239</v>
      </c>
      <c r="I775" t="s">
        <v>3324</v>
      </c>
    </row>
    <row r="776" spans="1:9" x14ac:dyDescent="0.25">
      <c r="A776" t="s">
        <v>5262</v>
      </c>
      <c r="B776" t="s">
        <v>5262</v>
      </c>
      <c r="C776" t="s">
        <v>5263</v>
      </c>
      <c r="D776" t="s">
        <v>3242</v>
      </c>
      <c r="E776" t="s">
        <v>15710</v>
      </c>
      <c r="F776" t="s">
        <v>3243</v>
      </c>
      <c r="G776" t="s">
        <v>5264</v>
      </c>
      <c r="H776" t="s">
        <v>3285</v>
      </c>
    </row>
    <row r="777" spans="1:9" x14ac:dyDescent="0.25">
      <c r="A777" t="s">
        <v>5265</v>
      </c>
      <c r="B777" t="s">
        <v>5265</v>
      </c>
      <c r="C777" t="s">
        <v>5266</v>
      </c>
      <c r="D777" t="s">
        <v>3242</v>
      </c>
      <c r="E777" t="s">
        <v>15710</v>
      </c>
      <c r="F777" t="s">
        <v>5267</v>
      </c>
      <c r="G777" t="s">
        <v>5268</v>
      </c>
      <c r="H777" t="s">
        <v>3060</v>
      </c>
      <c r="I777" t="s">
        <v>5269</v>
      </c>
    </row>
    <row r="778" spans="1:9" x14ac:dyDescent="0.25">
      <c r="A778" t="s">
        <v>5270</v>
      </c>
      <c r="B778" t="s">
        <v>5270</v>
      </c>
      <c r="C778" t="s">
        <v>5271</v>
      </c>
      <c r="D778" t="s">
        <v>3242</v>
      </c>
      <c r="E778" t="s">
        <v>15710</v>
      </c>
      <c r="F778" t="s">
        <v>3257</v>
      </c>
      <c r="G778" t="s">
        <v>5272</v>
      </c>
      <c r="H778" t="s">
        <v>3668</v>
      </c>
    </row>
    <row r="779" spans="1:9" x14ac:dyDescent="0.25">
      <c r="A779" t="s">
        <v>5273</v>
      </c>
      <c r="B779" t="s">
        <v>5273</v>
      </c>
      <c r="C779" t="s">
        <v>5274</v>
      </c>
      <c r="D779" t="s">
        <v>3242</v>
      </c>
      <c r="E779" t="s">
        <v>15710</v>
      </c>
      <c r="F779" t="s">
        <v>5275</v>
      </c>
      <c r="G779" t="s">
        <v>5276</v>
      </c>
      <c r="H779" t="s">
        <v>3285</v>
      </c>
    </row>
    <row r="780" spans="1:9" x14ac:dyDescent="0.25">
      <c r="A780" t="s">
        <v>5277</v>
      </c>
      <c r="B780" t="s">
        <v>5277</v>
      </c>
      <c r="C780" t="s">
        <v>5278</v>
      </c>
      <c r="D780" t="s">
        <v>3242</v>
      </c>
      <c r="E780" t="s">
        <v>15710</v>
      </c>
      <c r="F780" t="s">
        <v>3257</v>
      </c>
      <c r="G780" t="s">
        <v>5279</v>
      </c>
      <c r="H780" t="s">
        <v>3668</v>
      </c>
      <c r="I780" t="s">
        <v>4028</v>
      </c>
    </row>
    <row r="781" spans="1:9" x14ac:dyDescent="0.25">
      <c r="A781" t="s">
        <v>5280</v>
      </c>
      <c r="B781" t="s">
        <v>5280</v>
      </c>
      <c r="C781" t="s">
        <v>5281</v>
      </c>
      <c r="D781" t="s">
        <v>3242</v>
      </c>
      <c r="E781" t="s">
        <v>15710</v>
      </c>
      <c r="F781" t="s">
        <v>3257</v>
      </c>
      <c r="G781" t="s">
        <v>5282</v>
      </c>
      <c r="H781" t="s">
        <v>3060</v>
      </c>
    </row>
    <row r="782" spans="1:9" x14ac:dyDescent="0.25">
      <c r="A782" t="s">
        <v>5283</v>
      </c>
      <c r="B782" t="s">
        <v>5283</v>
      </c>
      <c r="C782" t="s">
        <v>5284</v>
      </c>
      <c r="D782" t="s">
        <v>3242</v>
      </c>
      <c r="E782" t="s">
        <v>15710</v>
      </c>
      <c r="F782" t="s">
        <v>3288</v>
      </c>
      <c r="G782" t="s">
        <v>5285</v>
      </c>
      <c r="H782" t="s">
        <v>3285</v>
      </c>
    </row>
    <row r="783" spans="1:9" x14ac:dyDescent="0.25">
      <c r="A783" t="s">
        <v>5286</v>
      </c>
      <c r="B783" t="s">
        <v>5286</v>
      </c>
      <c r="C783" t="s">
        <v>5287</v>
      </c>
      <c r="D783" t="s">
        <v>3242</v>
      </c>
      <c r="E783" t="s">
        <v>17548</v>
      </c>
      <c r="F783" t="s">
        <v>3251</v>
      </c>
      <c r="G783" t="s">
        <v>5288</v>
      </c>
      <c r="H783" t="s">
        <v>5289</v>
      </c>
      <c r="I783" t="s">
        <v>3451</v>
      </c>
    </row>
    <row r="784" spans="1:9" x14ac:dyDescent="0.25">
      <c r="A784" t="s">
        <v>5290</v>
      </c>
      <c r="B784" t="s">
        <v>5290</v>
      </c>
      <c r="C784" t="s">
        <v>5291</v>
      </c>
      <c r="D784" t="s">
        <v>3242</v>
      </c>
      <c r="E784" t="s">
        <v>15710</v>
      </c>
      <c r="F784" t="s">
        <v>5292</v>
      </c>
      <c r="G784" t="s">
        <v>5293</v>
      </c>
      <c r="H784" t="s">
        <v>3290</v>
      </c>
    </row>
    <row r="785" spans="1:9" x14ac:dyDescent="0.25">
      <c r="A785" t="s">
        <v>5294</v>
      </c>
      <c r="B785" t="s">
        <v>5294</v>
      </c>
      <c r="C785" t="s">
        <v>5295</v>
      </c>
      <c r="D785" t="s">
        <v>3242</v>
      </c>
      <c r="E785" t="s">
        <v>17173</v>
      </c>
      <c r="F785" t="s">
        <v>3300</v>
      </c>
      <c r="G785" t="s">
        <v>5296</v>
      </c>
      <c r="H785" t="s">
        <v>3060</v>
      </c>
      <c r="I785" t="s">
        <v>4028</v>
      </c>
    </row>
    <row r="786" spans="1:9" x14ac:dyDescent="0.25">
      <c r="A786" t="s">
        <v>14976</v>
      </c>
      <c r="B786" t="s">
        <v>14976</v>
      </c>
      <c r="C786" t="s">
        <v>14977</v>
      </c>
      <c r="D786" t="s">
        <v>3242</v>
      </c>
      <c r="E786" t="s">
        <v>15710</v>
      </c>
      <c r="F786" t="s">
        <v>3243</v>
      </c>
      <c r="G786" t="s">
        <v>14978</v>
      </c>
      <c r="H786" t="s">
        <v>4642</v>
      </c>
    </row>
    <row r="787" spans="1:9" x14ac:dyDescent="0.25">
      <c r="A787" t="s">
        <v>16198</v>
      </c>
      <c r="B787" t="s">
        <v>16198</v>
      </c>
      <c r="C787" t="s">
        <v>16199</v>
      </c>
      <c r="D787" t="s">
        <v>3242</v>
      </c>
      <c r="E787" t="s">
        <v>15710</v>
      </c>
      <c r="F787" t="s">
        <v>3243</v>
      </c>
      <c r="G787" t="s">
        <v>16200</v>
      </c>
      <c r="H787" t="s">
        <v>10536</v>
      </c>
    </row>
    <row r="788" spans="1:9" x14ac:dyDescent="0.25">
      <c r="A788" t="s">
        <v>5297</v>
      </c>
      <c r="B788" t="s">
        <v>5297</v>
      </c>
      <c r="C788" t="s">
        <v>5298</v>
      </c>
      <c r="D788" t="s">
        <v>3242</v>
      </c>
      <c r="E788" t="s">
        <v>15710</v>
      </c>
      <c r="F788" t="s">
        <v>3257</v>
      </c>
      <c r="G788" t="s">
        <v>5299</v>
      </c>
      <c r="H788" t="s">
        <v>4045</v>
      </c>
      <c r="I788" t="s">
        <v>3694</v>
      </c>
    </row>
    <row r="789" spans="1:9" x14ac:dyDescent="0.25">
      <c r="A789" t="s">
        <v>5300</v>
      </c>
      <c r="B789" t="s">
        <v>5300</v>
      </c>
      <c r="C789" t="s">
        <v>5301</v>
      </c>
      <c r="D789" t="s">
        <v>3242</v>
      </c>
      <c r="E789" t="s">
        <v>15710</v>
      </c>
      <c r="F789" t="s">
        <v>3288</v>
      </c>
      <c r="G789" t="s">
        <v>5302</v>
      </c>
      <c r="H789" t="s">
        <v>3463</v>
      </c>
    </row>
    <row r="790" spans="1:9" x14ac:dyDescent="0.25">
      <c r="A790" t="s">
        <v>5303</v>
      </c>
      <c r="B790" t="s">
        <v>5303</v>
      </c>
      <c r="C790" t="s">
        <v>5304</v>
      </c>
      <c r="D790" t="s">
        <v>3242</v>
      </c>
      <c r="E790" t="s">
        <v>15710</v>
      </c>
      <c r="F790" t="s">
        <v>3288</v>
      </c>
      <c r="G790" t="s">
        <v>5305</v>
      </c>
      <c r="H790" t="s">
        <v>3680</v>
      </c>
    </row>
    <row r="791" spans="1:9" x14ac:dyDescent="0.25">
      <c r="A791" t="s">
        <v>14979</v>
      </c>
      <c r="B791" t="s">
        <v>14979</v>
      </c>
      <c r="C791" t="s">
        <v>14980</v>
      </c>
      <c r="D791" t="s">
        <v>3242</v>
      </c>
      <c r="E791" t="s">
        <v>15710</v>
      </c>
      <c r="F791" t="s">
        <v>3243</v>
      </c>
      <c r="G791" t="s">
        <v>14981</v>
      </c>
      <c r="H791" t="s">
        <v>3060</v>
      </c>
    </row>
    <row r="792" spans="1:9" x14ac:dyDescent="0.25">
      <c r="A792" t="s">
        <v>5306</v>
      </c>
      <c r="B792" t="s">
        <v>5306</v>
      </c>
      <c r="C792" t="s">
        <v>5307</v>
      </c>
      <c r="D792" t="s">
        <v>3242</v>
      </c>
      <c r="E792" t="s">
        <v>15710</v>
      </c>
      <c r="F792" t="s">
        <v>3243</v>
      </c>
      <c r="G792" t="s">
        <v>5308</v>
      </c>
      <c r="H792" t="s">
        <v>3285</v>
      </c>
    </row>
    <row r="793" spans="1:9" x14ac:dyDescent="0.25">
      <c r="A793" t="s">
        <v>5309</v>
      </c>
      <c r="B793" t="s">
        <v>5309</v>
      </c>
      <c r="C793" t="s">
        <v>5310</v>
      </c>
      <c r="D793" t="s">
        <v>3242</v>
      </c>
      <c r="E793" t="s">
        <v>15710</v>
      </c>
      <c r="F793" t="s">
        <v>3243</v>
      </c>
      <c r="G793" t="s">
        <v>5311</v>
      </c>
      <c r="H793" t="s">
        <v>3285</v>
      </c>
    </row>
    <row r="794" spans="1:9" x14ac:dyDescent="0.25">
      <c r="A794" t="s">
        <v>5312</v>
      </c>
      <c r="B794" t="s">
        <v>5312</v>
      </c>
      <c r="C794" t="s">
        <v>5313</v>
      </c>
      <c r="D794" t="s">
        <v>3242</v>
      </c>
      <c r="E794" t="s">
        <v>15710</v>
      </c>
      <c r="F794" t="s">
        <v>3251</v>
      </c>
      <c r="G794" t="s">
        <v>5314</v>
      </c>
      <c r="H794" t="s">
        <v>3421</v>
      </c>
    </row>
    <row r="795" spans="1:9" x14ac:dyDescent="0.25">
      <c r="A795" t="s">
        <v>5315</v>
      </c>
      <c r="B795" t="s">
        <v>5315</v>
      </c>
      <c r="C795" t="s">
        <v>5316</v>
      </c>
      <c r="D795" t="s">
        <v>3242</v>
      </c>
      <c r="E795" t="s">
        <v>15777</v>
      </c>
      <c r="F795" t="s">
        <v>3257</v>
      </c>
      <c r="G795" t="s">
        <v>5317</v>
      </c>
      <c r="H795" t="s">
        <v>4642</v>
      </c>
    </row>
    <row r="796" spans="1:9" x14ac:dyDescent="0.25">
      <c r="A796" t="s">
        <v>5318</v>
      </c>
      <c r="B796" t="s">
        <v>5318</v>
      </c>
      <c r="C796" t="s">
        <v>5319</v>
      </c>
      <c r="D796" t="s">
        <v>3242</v>
      </c>
      <c r="E796" t="s">
        <v>15710</v>
      </c>
      <c r="F796" t="s">
        <v>3243</v>
      </c>
      <c r="G796" t="s">
        <v>5320</v>
      </c>
      <c r="H796" t="s">
        <v>3285</v>
      </c>
    </row>
    <row r="797" spans="1:9" x14ac:dyDescent="0.25">
      <c r="A797" t="s">
        <v>14982</v>
      </c>
      <c r="B797" t="s">
        <v>14982</v>
      </c>
      <c r="C797" t="s">
        <v>14983</v>
      </c>
      <c r="D797" t="s">
        <v>3242</v>
      </c>
      <c r="E797" t="s">
        <v>15710</v>
      </c>
      <c r="F797" t="s">
        <v>3243</v>
      </c>
      <c r="G797" t="s">
        <v>14984</v>
      </c>
      <c r="H797" t="s">
        <v>3668</v>
      </c>
    </row>
    <row r="798" spans="1:9" x14ac:dyDescent="0.25">
      <c r="A798" t="s">
        <v>5321</v>
      </c>
      <c r="B798" t="s">
        <v>5321</v>
      </c>
      <c r="C798" t="s">
        <v>5322</v>
      </c>
      <c r="D798" t="s">
        <v>3242</v>
      </c>
      <c r="E798" t="s">
        <v>15710</v>
      </c>
      <c r="F798" t="s">
        <v>3243</v>
      </c>
      <c r="G798" t="s">
        <v>5323</v>
      </c>
      <c r="H798" t="s">
        <v>3285</v>
      </c>
    </row>
    <row r="799" spans="1:9" x14ac:dyDescent="0.25">
      <c r="A799" t="s">
        <v>5324</v>
      </c>
      <c r="B799" t="s">
        <v>5324</v>
      </c>
      <c r="C799" t="s">
        <v>5325</v>
      </c>
      <c r="D799" t="s">
        <v>3242</v>
      </c>
      <c r="E799" t="s">
        <v>15710</v>
      </c>
      <c r="F799" t="s">
        <v>3257</v>
      </c>
      <c r="G799" t="s">
        <v>5326</v>
      </c>
      <c r="H799" t="s">
        <v>4019</v>
      </c>
      <c r="I799" t="s">
        <v>3694</v>
      </c>
    </row>
    <row r="800" spans="1:9" x14ac:dyDescent="0.25">
      <c r="A800" t="s">
        <v>5327</v>
      </c>
      <c r="B800" t="s">
        <v>5327</v>
      </c>
      <c r="C800" t="s">
        <v>5328</v>
      </c>
      <c r="D800" t="s">
        <v>3242</v>
      </c>
      <c r="E800" t="s">
        <v>15710</v>
      </c>
      <c r="F800" t="s">
        <v>3243</v>
      </c>
      <c r="G800" t="s">
        <v>3243</v>
      </c>
      <c r="H800" t="s">
        <v>3290</v>
      </c>
    </row>
    <row r="801" spans="1:9" x14ac:dyDescent="0.25">
      <c r="A801" t="s">
        <v>16931</v>
      </c>
      <c r="B801" t="s">
        <v>16931</v>
      </c>
      <c r="C801" t="s">
        <v>16932</v>
      </c>
      <c r="D801" t="s">
        <v>3242</v>
      </c>
      <c r="E801" t="s">
        <v>15710</v>
      </c>
      <c r="F801" t="s">
        <v>3288</v>
      </c>
      <c r="G801" t="s">
        <v>16933</v>
      </c>
      <c r="H801" t="s">
        <v>3680</v>
      </c>
    </row>
    <row r="802" spans="1:9" x14ac:dyDescent="0.25">
      <c r="A802" t="s">
        <v>5329</v>
      </c>
      <c r="B802" t="s">
        <v>5329</v>
      </c>
      <c r="C802" t="s">
        <v>5330</v>
      </c>
      <c r="D802" t="s">
        <v>3242</v>
      </c>
      <c r="E802" t="s">
        <v>15855</v>
      </c>
      <c r="F802" t="s">
        <v>3257</v>
      </c>
      <c r="G802" t="s">
        <v>5331</v>
      </c>
      <c r="H802" t="s">
        <v>4019</v>
      </c>
      <c r="I802" t="s">
        <v>3694</v>
      </c>
    </row>
    <row r="803" spans="1:9" x14ac:dyDescent="0.25">
      <c r="A803" t="s">
        <v>5332</v>
      </c>
      <c r="B803" t="s">
        <v>5332</v>
      </c>
      <c r="C803" t="s">
        <v>5333</v>
      </c>
      <c r="D803" t="s">
        <v>3242</v>
      </c>
      <c r="E803" t="s">
        <v>15710</v>
      </c>
      <c r="F803" t="s">
        <v>3288</v>
      </c>
      <c r="G803" t="s">
        <v>5334</v>
      </c>
      <c r="H803" t="s">
        <v>3623</v>
      </c>
    </row>
    <row r="804" spans="1:9" x14ac:dyDescent="0.25">
      <c r="A804" t="s">
        <v>5335</v>
      </c>
      <c r="B804" t="s">
        <v>5335</v>
      </c>
      <c r="C804" t="s">
        <v>5336</v>
      </c>
      <c r="D804" t="s">
        <v>3242</v>
      </c>
      <c r="E804" t="s">
        <v>15710</v>
      </c>
      <c r="F804" t="s">
        <v>3243</v>
      </c>
      <c r="G804" t="s">
        <v>5337</v>
      </c>
      <c r="H804" t="s">
        <v>3285</v>
      </c>
    </row>
    <row r="805" spans="1:9" x14ac:dyDescent="0.25">
      <c r="A805" t="s">
        <v>5338</v>
      </c>
      <c r="B805" t="s">
        <v>5338</v>
      </c>
      <c r="C805" t="s">
        <v>5339</v>
      </c>
      <c r="D805" t="s">
        <v>3242</v>
      </c>
      <c r="E805" t="s">
        <v>15710</v>
      </c>
      <c r="F805" t="s">
        <v>3243</v>
      </c>
      <c r="G805" t="s">
        <v>5340</v>
      </c>
      <c r="H805" t="s">
        <v>3285</v>
      </c>
    </row>
    <row r="806" spans="1:9" x14ac:dyDescent="0.25">
      <c r="A806" t="s">
        <v>5341</v>
      </c>
      <c r="B806" t="s">
        <v>5341</v>
      </c>
      <c r="C806" t="s">
        <v>5342</v>
      </c>
      <c r="D806" t="s">
        <v>3242</v>
      </c>
      <c r="E806" t="s">
        <v>15710</v>
      </c>
      <c r="F806" t="s">
        <v>3257</v>
      </c>
      <c r="G806" t="s">
        <v>5343</v>
      </c>
      <c r="H806" t="s">
        <v>5344</v>
      </c>
      <c r="I806" t="s">
        <v>3694</v>
      </c>
    </row>
    <row r="807" spans="1:9" x14ac:dyDescent="0.25">
      <c r="A807" t="s">
        <v>5345</v>
      </c>
      <c r="B807" t="s">
        <v>5345</v>
      </c>
      <c r="C807" t="s">
        <v>5346</v>
      </c>
      <c r="D807" t="s">
        <v>3242</v>
      </c>
      <c r="E807" t="s">
        <v>15710</v>
      </c>
      <c r="F807" t="s">
        <v>3251</v>
      </c>
      <c r="G807" t="s">
        <v>5347</v>
      </c>
      <c r="H807" t="s">
        <v>3060</v>
      </c>
      <c r="I807" t="s">
        <v>4028</v>
      </c>
    </row>
    <row r="808" spans="1:9" x14ac:dyDescent="0.25">
      <c r="A808" t="s">
        <v>5348</v>
      </c>
      <c r="B808" t="s">
        <v>5348</v>
      </c>
      <c r="C808" t="s">
        <v>5349</v>
      </c>
      <c r="D808" t="s">
        <v>3242</v>
      </c>
      <c r="E808" t="s">
        <v>15710</v>
      </c>
      <c r="F808" t="s">
        <v>3243</v>
      </c>
      <c r="G808" t="s">
        <v>5350</v>
      </c>
      <c r="H808" t="s">
        <v>3285</v>
      </c>
    </row>
    <row r="809" spans="1:9" x14ac:dyDescent="0.25">
      <c r="A809" t="s">
        <v>5351</v>
      </c>
      <c r="B809" t="s">
        <v>5351</v>
      </c>
      <c r="C809" t="s">
        <v>5352</v>
      </c>
      <c r="D809" t="s">
        <v>3242</v>
      </c>
      <c r="E809" t="s">
        <v>15710</v>
      </c>
      <c r="F809" t="s">
        <v>3283</v>
      </c>
      <c r="G809" t="s">
        <v>5353</v>
      </c>
      <c r="H809" t="s">
        <v>3285</v>
      </c>
    </row>
    <row r="810" spans="1:9" x14ac:dyDescent="0.25">
      <c r="A810" t="s">
        <v>5354</v>
      </c>
      <c r="B810" t="s">
        <v>5354</v>
      </c>
      <c r="C810" t="s">
        <v>5355</v>
      </c>
      <c r="D810" t="s">
        <v>3242</v>
      </c>
      <c r="E810" t="s">
        <v>15710</v>
      </c>
      <c r="F810" t="s">
        <v>3243</v>
      </c>
      <c r="G810" t="s">
        <v>5356</v>
      </c>
      <c r="H810" t="s">
        <v>3060</v>
      </c>
      <c r="I810" t="s">
        <v>3694</v>
      </c>
    </row>
    <row r="811" spans="1:9" x14ac:dyDescent="0.25">
      <c r="A811" t="s">
        <v>5357</v>
      </c>
      <c r="B811" t="s">
        <v>5357</v>
      </c>
      <c r="C811" t="s">
        <v>5358</v>
      </c>
      <c r="D811" t="s">
        <v>3242</v>
      </c>
      <c r="E811" t="s">
        <v>15710</v>
      </c>
      <c r="F811" t="s">
        <v>3251</v>
      </c>
      <c r="G811" t="s">
        <v>5359</v>
      </c>
      <c r="H811" t="s">
        <v>3060</v>
      </c>
      <c r="I811" t="s">
        <v>5250</v>
      </c>
    </row>
    <row r="812" spans="1:9" x14ac:dyDescent="0.25">
      <c r="A812" t="s">
        <v>5360</v>
      </c>
      <c r="B812" t="s">
        <v>5360</v>
      </c>
      <c r="C812" t="s">
        <v>5361</v>
      </c>
      <c r="D812" t="s">
        <v>3242</v>
      </c>
      <c r="E812" t="s">
        <v>15710</v>
      </c>
      <c r="F812" t="s">
        <v>3257</v>
      </c>
      <c r="G812" t="s">
        <v>5362</v>
      </c>
      <c r="H812" t="s">
        <v>3060</v>
      </c>
      <c r="I812" t="s">
        <v>3694</v>
      </c>
    </row>
    <row r="813" spans="1:9" x14ac:dyDescent="0.25">
      <c r="A813" t="s">
        <v>5363</v>
      </c>
      <c r="B813" t="s">
        <v>5363</v>
      </c>
      <c r="C813" t="s">
        <v>5364</v>
      </c>
      <c r="D813" t="s">
        <v>3242</v>
      </c>
      <c r="E813" t="s">
        <v>15710</v>
      </c>
      <c r="F813" t="s">
        <v>3243</v>
      </c>
      <c r="G813" t="s">
        <v>5365</v>
      </c>
      <c r="H813" t="s">
        <v>3387</v>
      </c>
    </row>
    <row r="814" spans="1:9" x14ac:dyDescent="0.25">
      <c r="A814" t="s">
        <v>5366</v>
      </c>
      <c r="B814" t="s">
        <v>5366</v>
      </c>
      <c r="C814" t="s">
        <v>5367</v>
      </c>
      <c r="D814" t="s">
        <v>3242</v>
      </c>
      <c r="E814" t="s">
        <v>15710</v>
      </c>
      <c r="F814" t="s">
        <v>3251</v>
      </c>
      <c r="G814" t="s">
        <v>5368</v>
      </c>
      <c r="H814" t="s">
        <v>4045</v>
      </c>
      <c r="I814" t="s">
        <v>5250</v>
      </c>
    </row>
    <row r="815" spans="1:9" x14ac:dyDescent="0.25">
      <c r="A815" t="s">
        <v>5369</v>
      </c>
      <c r="B815" t="s">
        <v>5369</v>
      </c>
      <c r="C815" t="s">
        <v>5370</v>
      </c>
      <c r="D815" t="s">
        <v>3242</v>
      </c>
      <c r="E815" t="s">
        <v>17174</v>
      </c>
      <c r="F815" t="s">
        <v>3251</v>
      </c>
      <c r="G815" t="s">
        <v>5371</v>
      </c>
      <c r="H815" t="s">
        <v>3668</v>
      </c>
      <c r="I815" t="s">
        <v>4173</v>
      </c>
    </row>
    <row r="816" spans="1:9" x14ac:dyDescent="0.25">
      <c r="A816" t="s">
        <v>5372</v>
      </c>
      <c r="B816" t="s">
        <v>5373</v>
      </c>
      <c r="C816" t="s">
        <v>5374</v>
      </c>
      <c r="D816" t="s">
        <v>3242</v>
      </c>
      <c r="E816" t="s">
        <v>15710</v>
      </c>
      <c r="F816" t="s">
        <v>3288</v>
      </c>
      <c r="G816" t="s">
        <v>5375</v>
      </c>
      <c r="H816" t="s">
        <v>3668</v>
      </c>
    </row>
    <row r="817" spans="1:9" x14ac:dyDescent="0.25">
      <c r="A817" t="s">
        <v>5373</v>
      </c>
      <c r="B817" t="s">
        <v>5373</v>
      </c>
      <c r="C817" t="s">
        <v>5376</v>
      </c>
      <c r="D817" t="s">
        <v>3242</v>
      </c>
      <c r="E817" t="s">
        <v>15710</v>
      </c>
      <c r="F817" t="s">
        <v>3288</v>
      </c>
      <c r="G817" t="s">
        <v>5375</v>
      </c>
      <c r="H817" t="s">
        <v>3488</v>
      </c>
    </row>
    <row r="818" spans="1:9" x14ac:dyDescent="0.25">
      <c r="A818" t="s">
        <v>5377</v>
      </c>
      <c r="B818" t="s">
        <v>5377</v>
      </c>
      <c r="C818" t="s">
        <v>5378</v>
      </c>
      <c r="D818" t="s">
        <v>3242</v>
      </c>
      <c r="E818" t="s">
        <v>15710</v>
      </c>
      <c r="F818" t="s">
        <v>3283</v>
      </c>
      <c r="G818" t="s">
        <v>5379</v>
      </c>
      <c r="H818" t="s">
        <v>3623</v>
      </c>
    </row>
    <row r="819" spans="1:9" x14ac:dyDescent="0.25">
      <c r="A819" t="s">
        <v>5380</v>
      </c>
      <c r="B819" t="s">
        <v>5380</v>
      </c>
      <c r="C819" t="s">
        <v>5381</v>
      </c>
      <c r="D819" t="s">
        <v>3242</v>
      </c>
      <c r="E819" t="s">
        <v>15710</v>
      </c>
      <c r="F819" t="s">
        <v>3257</v>
      </c>
      <c r="G819" t="s">
        <v>5382</v>
      </c>
      <c r="H819" t="s">
        <v>3060</v>
      </c>
    </row>
    <row r="820" spans="1:9" x14ac:dyDescent="0.25">
      <c r="A820" t="s">
        <v>5383</v>
      </c>
      <c r="B820" t="s">
        <v>5383</v>
      </c>
      <c r="C820" t="s">
        <v>5384</v>
      </c>
      <c r="D820" t="s">
        <v>3242</v>
      </c>
      <c r="E820" t="s">
        <v>15715</v>
      </c>
      <c r="F820" t="s">
        <v>3251</v>
      </c>
      <c r="G820" t="s">
        <v>5385</v>
      </c>
      <c r="H820" t="s">
        <v>5386</v>
      </c>
      <c r="I820" t="s">
        <v>5250</v>
      </c>
    </row>
    <row r="821" spans="1:9" x14ac:dyDescent="0.25">
      <c r="A821" t="s">
        <v>5387</v>
      </c>
      <c r="B821" t="s">
        <v>5387</v>
      </c>
      <c r="C821" t="s">
        <v>5388</v>
      </c>
      <c r="D821" t="s">
        <v>3242</v>
      </c>
      <c r="E821" t="s">
        <v>16040</v>
      </c>
      <c r="F821" t="s">
        <v>3257</v>
      </c>
      <c r="G821" t="s">
        <v>5389</v>
      </c>
      <c r="H821" t="s">
        <v>4045</v>
      </c>
      <c r="I821" t="s">
        <v>5390</v>
      </c>
    </row>
    <row r="822" spans="1:9" x14ac:dyDescent="0.25">
      <c r="A822" t="s">
        <v>5391</v>
      </c>
      <c r="B822" t="s">
        <v>5391</v>
      </c>
      <c r="C822" t="s">
        <v>5392</v>
      </c>
      <c r="D822" t="s">
        <v>3242</v>
      </c>
      <c r="E822" t="s">
        <v>15710</v>
      </c>
      <c r="F822" t="s">
        <v>3288</v>
      </c>
      <c r="G822" t="s">
        <v>5393</v>
      </c>
      <c r="H822" t="s">
        <v>5394</v>
      </c>
    </row>
    <row r="823" spans="1:9" x14ac:dyDescent="0.25">
      <c r="A823" t="s">
        <v>5395</v>
      </c>
      <c r="B823" t="s">
        <v>5395</v>
      </c>
      <c r="C823" t="s">
        <v>5396</v>
      </c>
      <c r="D823" t="s">
        <v>3242</v>
      </c>
      <c r="E823" t="s">
        <v>15710</v>
      </c>
      <c r="F823" t="s">
        <v>3257</v>
      </c>
      <c r="G823" t="s">
        <v>5397</v>
      </c>
      <c r="H823" t="s">
        <v>4045</v>
      </c>
      <c r="I823" t="s">
        <v>3694</v>
      </c>
    </row>
    <row r="824" spans="1:9" x14ac:dyDescent="0.25">
      <c r="A824" t="s">
        <v>5398</v>
      </c>
      <c r="B824" t="s">
        <v>5398</v>
      </c>
      <c r="C824" t="s">
        <v>5399</v>
      </c>
      <c r="D824" t="s">
        <v>3242</v>
      </c>
      <c r="E824" t="s">
        <v>15710</v>
      </c>
      <c r="F824" t="s">
        <v>3243</v>
      </c>
      <c r="G824" t="s">
        <v>14985</v>
      </c>
      <c r="H824" t="s">
        <v>3060</v>
      </c>
    </row>
    <row r="825" spans="1:9" x14ac:dyDescent="0.25">
      <c r="A825" t="s">
        <v>5400</v>
      </c>
      <c r="B825" t="s">
        <v>5400</v>
      </c>
      <c r="C825" t="s">
        <v>5401</v>
      </c>
      <c r="D825" t="s">
        <v>3242</v>
      </c>
      <c r="E825" t="s">
        <v>15710</v>
      </c>
      <c r="F825" t="s">
        <v>3257</v>
      </c>
      <c r="G825" t="s">
        <v>5402</v>
      </c>
      <c r="H825" t="s">
        <v>4045</v>
      </c>
      <c r="I825" t="s">
        <v>4028</v>
      </c>
    </row>
    <row r="826" spans="1:9" x14ac:dyDescent="0.25">
      <c r="A826" t="s">
        <v>5403</v>
      </c>
      <c r="B826" t="s">
        <v>5403</v>
      </c>
      <c r="C826" t="s">
        <v>5404</v>
      </c>
      <c r="D826" t="s">
        <v>3242</v>
      </c>
      <c r="E826" t="s">
        <v>15710</v>
      </c>
      <c r="F826" t="s">
        <v>3372</v>
      </c>
      <c r="G826" t="s">
        <v>5405</v>
      </c>
      <c r="H826" t="s">
        <v>3060</v>
      </c>
    </row>
    <row r="827" spans="1:9" x14ac:dyDescent="0.25">
      <c r="A827" t="s">
        <v>5406</v>
      </c>
      <c r="B827" t="s">
        <v>5406</v>
      </c>
      <c r="C827" t="s">
        <v>5407</v>
      </c>
      <c r="D827" t="s">
        <v>3242</v>
      </c>
      <c r="E827" t="s">
        <v>15710</v>
      </c>
      <c r="F827" t="s">
        <v>3345</v>
      </c>
      <c r="G827" t="s">
        <v>5408</v>
      </c>
      <c r="H827" t="s">
        <v>3668</v>
      </c>
    </row>
    <row r="828" spans="1:9" x14ac:dyDescent="0.25">
      <c r="A828" t="s">
        <v>5409</v>
      </c>
      <c r="B828" t="s">
        <v>5409</v>
      </c>
      <c r="C828" t="s">
        <v>5410</v>
      </c>
      <c r="D828" t="s">
        <v>3242</v>
      </c>
      <c r="E828" t="s">
        <v>15710</v>
      </c>
      <c r="F828" t="s">
        <v>3257</v>
      </c>
      <c r="G828" t="s">
        <v>5411</v>
      </c>
      <c r="H828" t="s">
        <v>3668</v>
      </c>
    </row>
    <row r="829" spans="1:9" x14ac:dyDescent="0.25">
      <c r="A829" t="s">
        <v>5412</v>
      </c>
      <c r="B829" t="s">
        <v>5412</v>
      </c>
      <c r="C829" t="s">
        <v>5413</v>
      </c>
      <c r="D829" t="s">
        <v>3242</v>
      </c>
      <c r="E829" t="s">
        <v>17175</v>
      </c>
      <c r="F829" t="s">
        <v>3300</v>
      </c>
      <c r="G829" t="s">
        <v>5414</v>
      </c>
      <c r="H829" t="s">
        <v>4835</v>
      </c>
      <c r="I829" t="s">
        <v>3366</v>
      </c>
    </row>
    <row r="830" spans="1:9" x14ac:dyDescent="0.25">
      <c r="A830" t="s">
        <v>5415</v>
      </c>
      <c r="B830" t="s">
        <v>5415</v>
      </c>
      <c r="C830" t="s">
        <v>5416</v>
      </c>
      <c r="D830" t="s">
        <v>3242</v>
      </c>
      <c r="E830" t="s">
        <v>15710</v>
      </c>
      <c r="F830" t="s">
        <v>3251</v>
      </c>
      <c r="G830" t="s">
        <v>5417</v>
      </c>
      <c r="H830" t="s">
        <v>3749</v>
      </c>
    </row>
    <row r="831" spans="1:9" x14ac:dyDescent="0.25">
      <c r="A831" t="s">
        <v>5418</v>
      </c>
      <c r="B831" t="s">
        <v>5418</v>
      </c>
      <c r="C831" t="s">
        <v>5419</v>
      </c>
      <c r="D831" t="s">
        <v>3242</v>
      </c>
      <c r="E831" t="s">
        <v>16934</v>
      </c>
      <c r="F831" t="s">
        <v>3257</v>
      </c>
      <c r="G831" t="s">
        <v>5420</v>
      </c>
      <c r="H831" t="s">
        <v>3484</v>
      </c>
      <c r="I831" t="s">
        <v>14986</v>
      </c>
    </row>
    <row r="832" spans="1:9" x14ac:dyDescent="0.25">
      <c r="A832" t="s">
        <v>5421</v>
      </c>
      <c r="B832" t="s">
        <v>5421</v>
      </c>
      <c r="C832" t="s">
        <v>5422</v>
      </c>
      <c r="D832" t="s">
        <v>3242</v>
      </c>
      <c r="E832" t="s">
        <v>15710</v>
      </c>
      <c r="F832" t="s">
        <v>3243</v>
      </c>
      <c r="G832" t="s">
        <v>5423</v>
      </c>
      <c r="H832" t="s">
        <v>3402</v>
      </c>
    </row>
    <row r="833" spans="1:9" x14ac:dyDescent="0.25">
      <c r="A833" t="s">
        <v>16935</v>
      </c>
      <c r="B833" t="s">
        <v>16935</v>
      </c>
      <c r="C833" t="s">
        <v>16936</v>
      </c>
      <c r="D833" t="s">
        <v>3242</v>
      </c>
      <c r="E833" t="s">
        <v>17176</v>
      </c>
      <c r="F833" t="s">
        <v>6077</v>
      </c>
      <c r="G833" t="s">
        <v>16937</v>
      </c>
      <c r="H833" t="s">
        <v>5785</v>
      </c>
      <c r="I833" t="s">
        <v>15020</v>
      </c>
    </row>
    <row r="834" spans="1:9" x14ac:dyDescent="0.25">
      <c r="A834" t="s">
        <v>16443</v>
      </c>
      <c r="B834" t="s">
        <v>16443</v>
      </c>
      <c r="C834" t="s">
        <v>16444</v>
      </c>
      <c r="D834" t="s">
        <v>3242</v>
      </c>
      <c r="E834" t="s">
        <v>15710</v>
      </c>
      <c r="F834" t="s">
        <v>3243</v>
      </c>
      <c r="G834" t="s">
        <v>16445</v>
      </c>
      <c r="H834" t="s">
        <v>3402</v>
      </c>
    </row>
    <row r="835" spans="1:9" x14ac:dyDescent="0.25">
      <c r="A835" t="s">
        <v>5424</v>
      </c>
      <c r="B835" t="s">
        <v>5424</v>
      </c>
      <c r="C835" t="s">
        <v>5425</v>
      </c>
      <c r="D835" t="s">
        <v>3242</v>
      </c>
      <c r="E835" t="s">
        <v>15710</v>
      </c>
      <c r="F835" t="s">
        <v>3243</v>
      </c>
      <c r="G835" t="s">
        <v>5426</v>
      </c>
      <c r="H835" t="s">
        <v>3402</v>
      </c>
    </row>
    <row r="836" spans="1:9" x14ac:dyDescent="0.25">
      <c r="A836" t="s">
        <v>5427</v>
      </c>
      <c r="B836" t="s">
        <v>5427</v>
      </c>
      <c r="C836" t="s">
        <v>5428</v>
      </c>
      <c r="D836" t="s">
        <v>3242</v>
      </c>
      <c r="E836" t="s">
        <v>15710</v>
      </c>
      <c r="F836" t="s">
        <v>3372</v>
      </c>
      <c r="G836" t="s">
        <v>5429</v>
      </c>
      <c r="H836" t="s">
        <v>3484</v>
      </c>
    </row>
    <row r="837" spans="1:9" x14ac:dyDescent="0.25">
      <c r="A837" t="s">
        <v>5430</v>
      </c>
      <c r="B837" t="s">
        <v>5430</v>
      </c>
      <c r="C837" t="s">
        <v>5431</v>
      </c>
      <c r="D837" t="s">
        <v>3242</v>
      </c>
      <c r="E837" t="s">
        <v>15710</v>
      </c>
      <c r="F837" t="s">
        <v>3243</v>
      </c>
      <c r="G837" t="s">
        <v>5432</v>
      </c>
      <c r="H837" t="s">
        <v>3402</v>
      </c>
    </row>
    <row r="838" spans="1:9" x14ac:dyDescent="0.25">
      <c r="A838" t="s">
        <v>5433</v>
      </c>
      <c r="B838" t="s">
        <v>5433</v>
      </c>
      <c r="C838" t="s">
        <v>5434</v>
      </c>
      <c r="D838" t="s">
        <v>3242</v>
      </c>
      <c r="E838" t="s">
        <v>15710</v>
      </c>
      <c r="F838" t="s">
        <v>3257</v>
      </c>
      <c r="G838" t="s">
        <v>5435</v>
      </c>
      <c r="H838" t="s">
        <v>3623</v>
      </c>
    </row>
    <row r="839" spans="1:9" x14ac:dyDescent="0.25">
      <c r="A839" t="s">
        <v>5436</v>
      </c>
      <c r="B839" t="s">
        <v>5436</v>
      </c>
      <c r="C839" t="s">
        <v>5437</v>
      </c>
      <c r="D839" t="s">
        <v>3242</v>
      </c>
      <c r="E839" t="s">
        <v>15912</v>
      </c>
      <c r="F839" t="s">
        <v>3257</v>
      </c>
      <c r="G839" t="s">
        <v>5438</v>
      </c>
      <c r="H839" t="s">
        <v>3060</v>
      </c>
      <c r="I839" t="s">
        <v>4028</v>
      </c>
    </row>
    <row r="840" spans="1:9" x14ac:dyDescent="0.25">
      <c r="A840" t="s">
        <v>14987</v>
      </c>
      <c r="B840" t="s">
        <v>14987</v>
      </c>
      <c r="C840" t="s">
        <v>14988</v>
      </c>
      <c r="D840" t="s">
        <v>3242</v>
      </c>
      <c r="E840" t="s">
        <v>15710</v>
      </c>
      <c r="F840" t="s">
        <v>14989</v>
      </c>
      <c r="G840" t="s">
        <v>14990</v>
      </c>
      <c r="H840" t="s">
        <v>4045</v>
      </c>
      <c r="I840" t="s">
        <v>5390</v>
      </c>
    </row>
    <row r="841" spans="1:9" x14ac:dyDescent="0.25">
      <c r="A841" t="s">
        <v>5439</v>
      </c>
      <c r="B841" t="s">
        <v>5439</v>
      </c>
      <c r="C841" t="s">
        <v>5440</v>
      </c>
      <c r="D841" t="s">
        <v>3242</v>
      </c>
      <c r="E841" t="s">
        <v>15710</v>
      </c>
      <c r="F841" t="s">
        <v>3257</v>
      </c>
      <c r="G841" t="s">
        <v>5441</v>
      </c>
      <c r="H841" t="s">
        <v>3565</v>
      </c>
    </row>
    <row r="842" spans="1:9" x14ac:dyDescent="0.25">
      <c r="A842" t="s">
        <v>5442</v>
      </c>
      <c r="B842" t="s">
        <v>5442</v>
      </c>
      <c r="C842" t="s">
        <v>5443</v>
      </c>
      <c r="D842" t="s">
        <v>3242</v>
      </c>
      <c r="E842" t="s">
        <v>15710</v>
      </c>
      <c r="F842" t="s">
        <v>3283</v>
      </c>
      <c r="G842" t="s">
        <v>5444</v>
      </c>
      <c r="H842" t="s">
        <v>3463</v>
      </c>
    </row>
    <row r="843" spans="1:9" x14ac:dyDescent="0.25">
      <c r="A843" t="s">
        <v>5445</v>
      </c>
      <c r="B843" t="s">
        <v>5445</v>
      </c>
      <c r="C843" t="s">
        <v>5446</v>
      </c>
      <c r="D843" t="s">
        <v>3242</v>
      </c>
      <c r="E843" t="s">
        <v>15710</v>
      </c>
      <c r="F843" t="s">
        <v>5447</v>
      </c>
      <c r="G843" t="s">
        <v>5448</v>
      </c>
      <c r="H843" t="s">
        <v>3060</v>
      </c>
    </row>
    <row r="844" spans="1:9" x14ac:dyDescent="0.25">
      <c r="A844" t="s">
        <v>5449</v>
      </c>
      <c r="B844" t="s">
        <v>5449</v>
      </c>
      <c r="C844" t="s">
        <v>5450</v>
      </c>
      <c r="D844" t="s">
        <v>3242</v>
      </c>
      <c r="E844" t="s">
        <v>16938</v>
      </c>
      <c r="F844" t="s">
        <v>3300</v>
      </c>
      <c r="G844" t="s">
        <v>5451</v>
      </c>
      <c r="H844" t="s">
        <v>3623</v>
      </c>
      <c r="I844" t="s">
        <v>3694</v>
      </c>
    </row>
    <row r="845" spans="1:9" x14ac:dyDescent="0.25">
      <c r="A845" t="s">
        <v>5452</v>
      </c>
      <c r="B845" t="s">
        <v>5452</v>
      </c>
      <c r="C845" t="s">
        <v>5453</v>
      </c>
      <c r="D845" t="s">
        <v>3242</v>
      </c>
      <c r="E845" t="s">
        <v>15710</v>
      </c>
      <c r="F845" t="s">
        <v>3288</v>
      </c>
      <c r="G845" t="s">
        <v>5454</v>
      </c>
      <c r="H845" t="s">
        <v>3285</v>
      </c>
    </row>
    <row r="846" spans="1:9" x14ac:dyDescent="0.25">
      <c r="A846" t="s">
        <v>5455</v>
      </c>
      <c r="B846" t="s">
        <v>5455</v>
      </c>
      <c r="C846" t="s">
        <v>5456</v>
      </c>
      <c r="D846" t="s">
        <v>3242</v>
      </c>
      <c r="E846" t="s">
        <v>15710</v>
      </c>
      <c r="F846" t="s">
        <v>3257</v>
      </c>
      <c r="G846" t="s">
        <v>5457</v>
      </c>
      <c r="H846" t="s">
        <v>3668</v>
      </c>
    </row>
    <row r="847" spans="1:9" x14ac:dyDescent="0.25">
      <c r="A847" t="s">
        <v>5458</v>
      </c>
      <c r="B847" t="s">
        <v>5458</v>
      </c>
      <c r="C847" t="s">
        <v>5459</v>
      </c>
      <c r="D847" t="s">
        <v>3242</v>
      </c>
      <c r="E847" t="s">
        <v>15710</v>
      </c>
      <c r="F847" t="s">
        <v>3288</v>
      </c>
      <c r="G847" t="s">
        <v>5460</v>
      </c>
      <c r="H847" t="s">
        <v>3463</v>
      </c>
    </row>
    <row r="848" spans="1:9" x14ac:dyDescent="0.25">
      <c r="A848" t="s">
        <v>5461</v>
      </c>
      <c r="B848" t="s">
        <v>5461</v>
      </c>
      <c r="C848" t="s">
        <v>5462</v>
      </c>
      <c r="D848" t="s">
        <v>3242</v>
      </c>
      <c r="E848" t="s">
        <v>15710</v>
      </c>
      <c r="F848" t="s">
        <v>3300</v>
      </c>
      <c r="G848" t="s">
        <v>5463</v>
      </c>
      <c r="H848" t="s">
        <v>3060</v>
      </c>
      <c r="I848" t="s">
        <v>4028</v>
      </c>
    </row>
    <row r="849" spans="1:9" x14ac:dyDescent="0.25">
      <c r="A849" t="s">
        <v>5464</v>
      </c>
      <c r="B849" t="s">
        <v>5464</v>
      </c>
      <c r="C849" t="s">
        <v>5465</v>
      </c>
      <c r="D849" t="s">
        <v>3242</v>
      </c>
      <c r="E849" t="s">
        <v>15710</v>
      </c>
      <c r="F849" t="s">
        <v>3345</v>
      </c>
      <c r="G849" t="s">
        <v>5466</v>
      </c>
      <c r="H849" t="s">
        <v>4800</v>
      </c>
    </row>
    <row r="850" spans="1:9" x14ac:dyDescent="0.25">
      <c r="A850" t="s">
        <v>5467</v>
      </c>
      <c r="B850" t="s">
        <v>5467</v>
      </c>
      <c r="C850" t="s">
        <v>5468</v>
      </c>
      <c r="D850" t="s">
        <v>3242</v>
      </c>
      <c r="E850" t="s">
        <v>15710</v>
      </c>
      <c r="F850" t="s">
        <v>3243</v>
      </c>
      <c r="G850" t="s">
        <v>5469</v>
      </c>
      <c r="H850" t="s">
        <v>3285</v>
      </c>
    </row>
    <row r="851" spans="1:9" x14ac:dyDescent="0.25">
      <c r="A851" t="s">
        <v>5470</v>
      </c>
      <c r="B851" t="s">
        <v>5470</v>
      </c>
      <c r="C851" t="s">
        <v>5471</v>
      </c>
      <c r="D851" t="s">
        <v>3242</v>
      </c>
      <c r="E851" t="s">
        <v>17549</v>
      </c>
      <c r="F851" t="s">
        <v>3257</v>
      </c>
      <c r="G851" t="s">
        <v>5472</v>
      </c>
      <c r="H851" t="s">
        <v>4045</v>
      </c>
      <c r="I851" t="s">
        <v>3694</v>
      </c>
    </row>
    <row r="852" spans="1:9" x14ac:dyDescent="0.25">
      <c r="A852" t="s">
        <v>5473</v>
      </c>
      <c r="B852" t="s">
        <v>5473</v>
      </c>
      <c r="C852" t="s">
        <v>5474</v>
      </c>
      <c r="D852" t="s">
        <v>3242</v>
      </c>
      <c r="E852" t="s">
        <v>16939</v>
      </c>
      <c r="F852" t="s">
        <v>3257</v>
      </c>
      <c r="G852" t="s">
        <v>5475</v>
      </c>
      <c r="H852" t="s">
        <v>3668</v>
      </c>
      <c r="I852" t="s">
        <v>4028</v>
      </c>
    </row>
    <row r="853" spans="1:9" x14ac:dyDescent="0.25">
      <c r="A853" t="s">
        <v>5476</v>
      </c>
      <c r="B853" t="s">
        <v>5476</v>
      </c>
      <c r="C853" t="s">
        <v>5477</v>
      </c>
      <c r="D853" t="s">
        <v>3242</v>
      </c>
      <c r="E853" t="s">
        <v>15710</v>
      </c>
      <c r="F853" t="s">
        <v>3372</v>
      </c>
      <c r="G853" t="s">
        <v>5478</v>
      </c>
      <c r="H853" t="s">
        <v>3374</v>
      </c>
      <c r="I853" t="s">
        <v>3375</v>
      </c>
    </row>
    <row r="854" spans="1:9" x14ac:dyDescent="0.25">
      <c r="A854" t="s">
        <v>5479</v>
      </c>
      <c r="B854" t="s">
        <v>5479</v>
      </c>
      <c r="C854" t="s">
        <v>5480</v>
      </c>
      <c r="D854" t="s">
        <v>3242</v>
      </c>
      <c r="E854" t="s">
        <v>15710</v>
      </c>
      <c r="F854" t="s">
        <v>3300</v>
      </c>
      <c r="G854" t="s">
        <v>5481</v>
      </c>
      <c r="H854" t="s">
        <v>3484</v>
      </c>
      <c r="I854" t="s">
        <v>3263</v>
      </c>
    </row>
    <row r="855" spans="1:9" x14ac:dyDescent="0.25">
      <c r="A855" t="s">
        <v>5482</v>
      </c>
      <c r="B855" t="s">
        <v>5482</v>
      </c>
      <c r="C855" t="s">
        <v>5483</v>
      </c>
      <c r="D855" t="s">
        <v>3242</v>
      </c>
      <c r="E855" t="s">
        <v>15710</v>
      </c>
      <c r="F855" t="s">
        <v>3243</v>
      </c>
      <c r="G855" t="s">
        <v>5484</v>
      </c>
      <c r="H855" t="s">
        <v>3402</v>
      </c>
    </row>
    <row r="856" spans="1:9" x14ac:dyDescent="0.25">
      <c r="A856" t="s">
        <v>5485</v>
      </c>
      <c r="B856" t="s">
        <v>5485</v>
      </c>
      <c r="C856" t="s">
        <v>5486</v>
      </c>
      <c r="D856" t="s">
        <v>3242</v>
      </c>
      <c r="E856" t="s">
        <v>15710</v>
      </c>
      <c r="F856" t="s">
        <v>3251</v>
      </c>
      <c r="G856" t="s">
        <v>5487</v>
      </c>
      <c r="H856" t="s">
        <v>3253</v>
      </c>
      <c r="I856" t="s">
        <v>3451</v>
      </c>
    </row>
    <row r="857" spans="1:9" x14ac:dyDescent="0.25">
      <c r="A857" t="s">
        <v>5488</v>
      </c>
      <c r="B857" t="s">
        <v>5488</v>
      </c>
      <c r="C857" t="s">
        <v>5489</v>
      </c>
      <c r="D857" t="s">
        <v>3242</v>
      </c>
      <c r="E857" t="s">
        <v>15710</v>
      </c>
      <c r="F857" t="s">
        <v>5490</v>
      </c>
      <c r="G857" t="s">
        <v>5491</v>
      </c>
      <c r="H857" t="s">
        <v>3484</v>
      </c>
      <c r="I857" t="s">
        <v>3263</v>
      </c>
    </row>
    <row r="858" spans="1:9" x14ac:dyDescent="0.25">
      <c r="A858" t="s">
        <v>5492</v>
      </c>
      <c r="B858" t="s">
        <v>5492</v>
      </c>
      <c r="C858" t="s">
        <v>5493</v>
      </c>
      <c r="D858" t="s">
        <v>3242</v>
      </c>
      <c r="E858" t="s">
        <v>15710</v>
      </c>
      <c r="F858" t="s">
        <v>3257</v>
      </c>
      <c r="G858" t="s">
        <v>5494</v>
      </c>
      <c r="H858" t="s">
        <v>3060</v>
      </c>
      <c r="I858" t="s">
        <v>3694</v>
      </c>
    </row>
    <row r="859" spans="1:9" x14ac:dyDescent="0.25">
      <c r="A859" t="s">
        <v>5495</v>
      </c>
      <c r="B859" t="s">
        <v>5495</v>
      </c>
      <c r="C859" t="s">
        <v>5496</v>
      </c>
      <c r="D859" t="s">
        <v>3242</v>
      </c>
      <c r="E859" t="s">
        <v>15710</v>
      </c>
      <c r="F859" t="s">
        <v>5497</v>
      </c>
      <c r="G859" t="s">
        <v>5498</v>
      </c>
      <c r="H859" t="s">
        <v>3484</v>
      </c>
    </row>
    <row r="860" spans="1:9" x14ac:dyDescent="0.25">
      <c r="A860" t="s">
        <v>5499</v>
      </c>
      <c r="B860" t="s">
        <v>5499</v>
      </c>
      <c r="C860" t="s">
        <v>5500</v>
      </c>
      <c r="D860" t="s">
        <v>3242</v>
      </c>
      <c r="E860" t="s">
        <v>15710</v>
      </c>
      <c r="F860" t="s">
        <v>3257</v>
      </c>
      <c r="G860" t="s">
        <v>5501</v>
      </c>
      <c r="H860" t="s">
        <v>3484</v>
      </c>
      <c r="I860" t="s">
        <v>3375</v>
      </c>
    </row>
    <row r="861" spans="1:9" x14ac:dyDescent="0.25">
      <c r="A861" t="s">
        <v>5502</v>
      </c>
      <c r="B861" t="s">
        <v>5502</v>
      </c>
      <c r="C861" t="s">
        <v>5503</v>
      </c>
      <c r="D861" t="s">
        <v>3242</v>
      </c>
      <c r="E861" t="s">
        <v>15710</v>
      </c>
      <c r="F861" t="s">
        <v>3257</v>
      </c>
      <c r="G861" t="s">
        <v>5504</v>
      </c>
      <c r="H861" t="s">
        <v>3253</v>
      </c>
    </row>
    <row r="862" spans="1:9" x14ac:dyDescent="0.25">
      <c r="A862" t="s">
        <v>5505</v>
      </c>
      <c r="B862" t="s">
        <v>5505</v>
      </c>
      <c r="C862" t="s">
        <v>5506</v>
      </c>
      <c r="D862" t="s">
        <v>3242</v>
      </c>
      <c r="E862" t="s">
        <v>15710</v>
      </c>
      <c r="F862" t="s">
        <v>3257</v>
      </c>
      <c r="G862" t="s">
        <v>5507</v>
      </c>
      <c r="H862" t="s">
        <v>3484</v>
      </c>
    </row>
    <row r="863" spans="1:9" x14ac:dyDescent="0.25">
      <c r="A863" t="s">
        <v>5508</v>
      </c>
      <c r="B863" t="s">
        <v>5508</v>
      </c>
      <c r="C863" t="s">
        <v>5509</v>
      </c>
      <c r="D863" t="s">
        <v>3242</v>
      </c>
      <c r="E863" t="s">
        <v>15710</v>
      </c>
      <c r="F863" t="s">
        <v>3257</v>
      </c>
      <c r="G863" t="s">
        <v>5510</v>
      </c>
      <c r="H863" t="s">
        <v>3484</v>
      </c>
    </row>
    <row r="864" spans="1:9" x14ac:dyDescent="0.25">
      <c r="A864" t="s">
        <v>5511</v>
      </c>
      <c r="B864" t="s">
        <v>5511</v>
      </c>
      <c r="C864" t="s">
        <v>5512</v>
      </c>
      <c r="D864" t="s">
        <v>3242</v>
      </c>
      <c r="E864" t="s">
        <v>15710</v>
      </c>
      <c r="F864" t="s">
        <v>3251</v>
      </c>
      <c r="G864" t="s">
        <v>5513</v>
      </c>
      <c r="H864" t="s">
        <v>3565</v>
      </c>
      <c r="I864" t="s">
        <v>3451</v>
      </c>
    </row>
    <row r="865" spans="1:9" x14ac:dyDescent="0.25">
      <c r="A865" t="s">
        <v>5514</v>
      </c>
      <c r="B865" t="s">
        <v>5514</v>
      </c>
      <c r="C865" t="s">
        <v>5515</v>
      </c>
      <c r="D865" t="s">
        <v>3242</v>
      </c>
      <c r="E865" t="s">
        <v>15710</v>
      </c>
      <c r="F865" t="s">
        <v>3257</v>
      </c>
      <c r="G865" t="s">
        <v>5516</v>
      </c>
      <c r="H865" t="s">
        <v>3484</v>
      </c>
    </row>
    <row r="866" spans="1:9" x14ac:dyDescent="0.25">
      <c r="A866" t="s">
        <v>5517</v>
      </c>
      <c r="B866" t="s">
        <v>5517</v>
      </c>
      <c r="C866" t="s">
        <v>5518</v>
      </c>
      <c r="D866" t="s">
        <v>3242</v>
      </c>
      <c r="E866" t="s">
        <v>15710</v>
      </c>
      <c r="F866" t="s">
        <v>3372</v>
      </c>
      <c r="G866" t="s">
        <v>5519</v>
      </c>
      <c r="H866" t="s">
        <v>3484</v>
      </c>
    </row>
    <row r="867" spans="1:9" x14ac:dyDescent="0.25">
      <c r="A867" t="s">
        <v>5520</v>
      </c>
      <c r="B867" t="s">
        <v>5520</v>
      </c>
      <c r="C867" t="s">
        <v>5521</v>
      </c>
      <c r="D867" t="s">
        <v>3242</v>
      </c>
      <c r="E867" t="s">
        <v>15710</v>
      </c>
      <c r="F867" t="s">
        <v>3251</v>
      </c>
      <c r="G867" t="s">
        <v>5522</v>
      </c>
      <c r="H867" t="s">
        <v>3484</v>
      </c>
    </row>
    <row r="868" spans="1:9" x14ac:dyDescent="0.25">
      <c r="A868" t="s">
        <v>5523</v>
      </c>
      <c r="B868" t="s">
        <v>5523</v>
      </c>
      <c r="C868" t="s">
        <v>5524</v>
      </c>
      <c r="D868" t="s">
        <v>3242</v>
      </c>
      <c r="E868" t="s">
        <v>15710</v>
      </c>
      <c r="F868" t="s">
        <v>3257</v>
      </c>
      <c r="G868" t="s">
        <v>5525</v>
      </c>
      <c r="H868" t="s">
        <v>3484</v>
      </c>
    </row>
    <row r="869" spans="1:9" x14ac:dyDescent="0.25">
      <c r="A869" t="s">
        <v>5526</v>
      </c>
      <c r="B869" t="s">
        <v>5526</v>
      </c>
      <c r="C869" t="s">
        <v>5527</v>
      </c>
      <c r="D869" t="s">
        <v>3242</v>
      </c>
      <c r="E869" t="s">
        <v>15710</v>
      </c>
      <c r="F869" t="s">
        <v>3257</v>
      </c>
      <c r="G869" t="s">
        <v>5528</v>
      </c>
      <c r="H869" t="s">
        <v>3565</v>
      </c>
    </row>
    <row r="870" spans="1:9" x14ac:dyDescent="0.25">
      <c r="A870" t="s">
        <v>5529</v>
      </c>
      <c r="B870" t="s">
        <v>5529</v>
      </c>
      <c r="C870" t="s">
        <v>5530</v>
      </c>
      <c r="D870" t="s">
        <v>3242</v>
      </c>
      <c r="E870" t="s">
        <v>15710</v>
      </c>
      <c r="F870" t="s">
        <v>3251</v>
      </c>
      <c r="G870" t="s">
        <v>5531</v>
      </c>
      <c r="H870" t="s">
        <v>3253</v>
      </c>
      <c r="I870" t="s">
        <v>3451</v>
      </c>
    </row>
    <row r="871" spans="1:9" x14ac:dyDescent="0.25">
      <c r="A871" t="s">
        <v>5532</v>
      </c>
      <c r="B871" t="s">
        <v>5532</v>
      </c>
      <c r="C871" t="s">
        <v>5533</v>
      </c>
      <c r="D871" t="s">
        <v>3242</v>
      </c>
      <c r="E871" t="s">
        <v>15710</v>
      </c>
      <c r="F871" t="s">
        <v>3251</v>
      </c>
      <c r="G871" t="s">
        <v>5534</v>
      </c>
      <c r="H871" t="s">
        <v>3253</v>
      </c>
    </row>
    <row r="872" spans="1:9" x14ac:dyDescent="0.25">
      <c r="A872" t="s">
        <v>5535</v>
      </c>
      <c r="B872" t="s">
        <v>5535</v>
      </c>
      <c r="C872" t="s">
        <v>5536</v>
      </c>
      <c r="D872" t="s">
        <v>3242</v>
      </c>
      <c r="E872" t="s">
        <v>15710</v>
      </c>
      <c r="F872" t="s">
        <v>3257</v>
      </c>
      <c r="G872" t="s">
        <v>5537</v>
      </c>
      <c r="H872" t="s">
        <v>3565</v>
      </c>
    </row>
    <row r="873" spans="1:9" x14ac:dyDescent="0.25">
      <c r="A873" t="s">
        <v>5538</v>
      </c>
      <c r="B873" t="s">
        <v>5538</v>
      </c>
      <c r="C873" t="s">
        <v>5539</v>
      </c>
      <c r="D873" t="s">
        <v>3242</v>
      </c>
      <c r="E873" t="s">
        <v>15710</v>
      </c>
      <c r="F873" t="s">
        <v>3251</v>
      </c>
      <c r="G873" t="s">
        <v>5540</v>
      </c>
      <c r="H873" t="s">
        <v>3565</v>
      </c>
    </row>
    <row r="874" spans="1:9" x14ac:dyDescent="0.25">
      <c r="A874" t="s">
        <v>5541</v>
      </c>
      <c r="B874" t="s">
        <v>5541</v>
      </c>
      <c r="C874" t="s">
        <v>5542</v>
      </c>
      <c r="D874" t="s">
        <v>3242</v>
      </c>
      <c r="E874" t="s">
        <v>15710</v>
      </c>
      <c r="F874" t="s">
        <v>3251</v>
      </c>
      <c r="G874" t="s">
        <v>5543</v>
      </c>
      <c r="H874" t="s">
        <v>4502</v>
      </c>
      <c r="I874" t="s">
        <v>3451</v>
      </c>
    </row>
    <row r="875" spans="1:9" x14ac:dyDescent="0.25">
      <c r="A875" t="s">
        <v>17632</v>
      </c>
      <c r="B875" t="s">
        <v>17632</v>
      </c>
      <c r="C875" t="s">
        <v>17633</v>
      </c>
      <c r="D875" t="s">
        <v>3242</v>
      </c>
      <c r="E875" t="s">
        <v>15710</v>
      </c>
      <c r="F875" t="s">
        <v>3243</v>
      </c>
      <c r="G875" t="s">
        <v>16597</v>
      </c>
      <c r="H875" t="s">
        <v>12477</v>
      </c>
    </row>
    <row r="876" spans="1:9" x14ac:dyDescent="0.25">
      <c r="A876" t="s">
        <v>5544</v>
      </c>
      <c r="B876" t="s">
        <v>5544</v>
      </c>
      <c r="C876" t="s">
        <v>5545</v>
      </c>
      <c r="D876" t="s">
        <v>3242</v>
      </c>
      <c r="E876" t="s">
        <v>15710</v>
      </c>
      <c r="F876" t="s">
        <v>3257</v>
      </c>
      <c r="G876" t="s">
        <v>5546</v>
      </c>
      <c r="H876" t="s">
        <v>3484</v>
      </c>
      <c r="I876" t="s">
        <v>3263</v>
      </c>
    </row>
    <row r="877" spans="1:9" x14ac:dyDescent="0.25">
      <c r="A877" t="s">
        <v>17177</v>
      </c>
      <c r="B877" t="s">
        <v>17177</v>
      </c>
      <c r="C877" t="s">
        <v>17178</v>
      </c>
      <c r="D877" t="s">
        <v>3242</v>
      </c>
      <c r="E877" t="s">
        <v>15710</v>
      </c>
      <c r="F877" t="s">
        <v>3345</v>
      </c>
      <c r="G877" t="s">
        <v>17179</v>
      </c>
      <c r="H877" t="s">
        <v>3387</v>
      </c>
    </row>
    <row r="878" spans="1:9" x14ac:dyDescent="0.25">
      <c r="A878" t="s">
        <v>5547</v>
      </c>
      <c r="B878" t="s">
        <v>5547</v>
      </c>
      <c r="C878" t="s">
        <v>5548</v>
      </c>
      <c r="D878" t="s">
        <v>3242</v>
      </c>
      <c r="E878" t="s">
        <v>15710</v>
      </c>
      <c r="F878" t="s">
        <v>3251</v>
      </c>
      <c r="G878" t="s">
        <v>5549</v>
      </c>
      <c r="H878" t="s">
        <v>3387</v>
      </c>
    </row>
    <row r="879" spans="1:9" x14ac:dyDescent="0.25">
      <c r="A879" t="s">
        <v>5550</v>
      </c>
      <c r="B879" t="s">
        <v>5550</v>
      </c>
      <c r="C879" t="s">
        <v>5551</v>
      </c>
      <c r="D879" t="s">
        <v>3242</v>
      </c>
      <c r="E879" t="s">
        <v>15710</v>
      </c>
      <c r="F879" t="s">
        <v>3257</v>
      </c>
      <c r="G879" t="s">
        <v>5552</v>
      </c>
      <c r="H879" t="s">
        <v>3060</v>
      </c>
    </row>
    <row r="880" spans="1:9" x14ac:dyDescent="0.25">
      <c r="A880" t="s">
        <v>14991</v>
      </c>
      <c r="B880" t="s">
        <v>14991</v>
      </c>
      <c r="C880" t="s">
        <v>14992</v>
      </c>
      <c r="D880" t="s">
        <v>3242</v>
      </c>
      <c r="E880" t="s">
        <v>15710</v>
      </c>
      <c r="F880" t="s">
        <v>3243</v>
      </c>
      <c r="G880" t="s">
        <v>14993</v>
      </c>
      <c r="H880" t="s">
        <v>4035</v>
      </c>
    </row>
    <row r="881" spans="1:9" x14ac:dyDescent="0.25">
      <c r="A881" t="s">
        <v>5553</v>
      </c>
      <c r="B881" t="s">
        <v>5553</v>
      </c>
      <c r="C881" t="s">
        <v>5554</v>
      </c>
      <c r="D881" t="s">
        <v>3242</v>
      </c>
      <c r="E881" t="s">
        <v>15710</v>
      </c>
      <c r="F881" t="s">
        <v>3243</v>
      </c>
      <c r="G881" t="s">
        <v>5555</v>
      </c>
      <c r="H881" t="s">
        <v>5386</v>
      </c>
    </row>
    <row r="882" spans="1:9" x14ac:dyDescent="0.25">
      <c r="A882" t="s">
        <v>5556</v>
      </c>
      <c r="B882" t="s">
        <v>5556</v>
      </c>
      <c r="C882" t="s">
        <v>5557</v>
      </c>
      <c r="D882" t="s">
        <v>3242</v>
      </c>
      <c r="E882" t="s">
        <v>15779</v>
      </c>
      <c r="F882" t="s">
        <v>3257</v>
      </c>
      <c r="G882" t="s">
        <v>5558</v>
      </c>
      <c r="H882" t="s">
        <v>4711</v>
      </c>
    </row>
    <row r="883" spans="1:9" x14ac:dyDescent="0.25">
      <c r="A883" t="s">
        <v>5559</v>
      </c>
      <c r="B883" t="s">
        <v>5559</v>
      </c>
      <c r="C883" t="s">
        <v>5560</v>
      </c>
      <c r="D883" t="s">
        <v>3242</v>
      </c>
      <c r="E883" t="s">
        <v>15710</v>
      </c>
      <c r="F883" t="s">
        <v>3345</v>
      </c>
      <c r="G883" t="s">
        <v>5561</v>
      </c>
      <c r="H883" t="s">
        <v>3290</v>
      </c>
    </row>
    <row r="884" spans="1:9" x14ac:dyDescent="0.25">
      <c r="A884" t="s">
        <v>5562</v>
      </c>
      <c r="B884" t="s">
        <v>5562</v>
      </c>
      <c r="C884" t="s">
        <v>5563</v>
      </c>
      <c r="D884" t="s">
        <v>3242</v>
      </c>
      <c r="E884" t="s">
        <v>15710</v>
      </c>
      <c r="F884" t="s">
        <v>3257</v>
      </c>
      <c r="G884" t="s">
        <v>5564</v>
      </c>
      <c r="H884" t="s">
        <v>4711</v>
      </c>
      <c r="I884" t="s">
        <v>3254</v>
      </c>
    </row>
    <row r="885" spans="1:9" x14ac:dyDescent="0.25">
      <c r="A885" t="s">
        <v>5565</v>
      </c>
      <c r="B885" t="s">
        <v>5565</v>
      </c>
      <c r="C885" t="s">
        <v>5566</v>
      </c>
      <c r="D885" t="s">
        <v>3242</v>
      </c>
      <c r="E885" t="s">
        <v>15710</v>
      </c>
      <c r="F885" t="s">
        <v>3257</v>
      </c>
      <c r="G885" t="s">
        <v>5567</v>
      </c>
      <c r="H885" t="s">
        <v>3311</v>
      </c>
      <c r="I885" t="s">
        <v>3254</v>
      </c>
    </row>
    <row r="886" spans="1:9" x14ac:dyDescent="0.25">
      <c r="A886" t="s">
        <v>5568</v>
      </c>
      <c r="B886" t="s">
        <v>5568</v>
      </c>
      <c r="C886" t="s">
        <v>5569</v>
      </c>
      <c r="D886" t="s">
        <v>3242</v>
      </c>
      <c r="E886" t="s">
        <v>15710</v>
      </c>
      <c r="F886" t="s">
        <v>3257</v>
      </c>
      <c r="G886" t="s">
        <v>5570</v>
      </c>
      <c r="H886" t="s">
        <v>3537</v>
      </c>
      <c r="I886" t="s">
        <v>4605</v>
      </c>
    </row>
    <row r="887" spans="1:9" x14ac:dyDescent="0.25">
      <c r="A887" t="s">
        <v>5571</v>
      </c>
      <c r="B887" t="s">
        <v>5571</v>
      </c>
      <c r="C887" t="s">
        <v>5572</v>
      </c>
      <c r="D887" t="s">
        <v>3242</v>
      </c>
      <c r="E887" t="s">
        <v>17634</v>
      </c>
      <c r="F887" t="s">
        <v>3257</v>
      </c>
      <c r="G887" t="s">
        <v>5573</v>
      </c>
      <c r="H887" t="s">
        <v>3537</v>
      </c>
      <c r="I887" t="s">
        <v>3451</v>
      </c>
    </row>
    <row r="888" spans="1:9" x14ac:dyDescent="0.25">
      <c r="A888" t="s">
        <v>14994</v>
      </c>
      <c r="B888" t="s">
        <v>14994</v>
      </c>
      <c r="C888" t="s">
        <v>14995</v>
      </c>
      <c r="D888" t="s">
        <v>3242</v>
      </c>
      <c r="E888" t="s">
        <v>15710</v>
      </c>
      <c r="F888" t="s">
        <v>3257</v>
      </c>
      <c r="G888" t="s">
        <v>14996</v>
      </c>
      <c r="H888" t="s">
        <v>3900</v>
      </c>
    </row>
    <row r="889" spans="1:9" x14ac:dyDescent="0.25">
      <c r="A889" t="s">
        <v>5574</v>
      </c>
      <c r="B889" t="s">
        <v>5574</v>
      </c>
      <c r="C889" t="s">
        <v>5575</v>
      </c>
      <c r="D889" t="s">
        <v>3242</v>
      </c>
      <c r="E889" t="s">
        <v>15710</v>
      </c>
      <c r="F889" t="s">
        <v>3251</v>
      </c>
      <c r="G889" t="s">
        <v>5576</v>
      </c>
      <c r="H889" t="s">
        <v>3886</v>
      </c>
    </row>
    <row r="890" spans="1:9" x14ac:dyDescent="0.25">
      <c r="A890" t="s">
        <v>5577</v>
      </c>
      <c r="B890" t="s">
        <v>5577</v>
      </c>
      <c r="C890" t="s">
        <v>5578</v>
      </c>
      <c r="D890" t="s">
        <v>3242</v>
      </c>
      <c r="E890" t="s">
        <v>16561</v>
      </c>
      <c r="F890" t="s">
        <v>3257</v>
      </c>
      <c r="G890" t="s">
        <v>5579</v>
      </c>
      <c r="H890" t="s">
        <v>3900</v>
      </c>
      <c r="I890" t="s">
        <v>4605</v>
      </c>
    </row>
    <row r="891" spans="1:9" x14ac:dyDescent="0.25">
      <c r="A891" t="s">
        <v>5580</v>
      </c>
      <c r="B891" t="s">
        <v>5580</v>
      </c>
      <c r="C891" t="s">
        <v>5581</v>
      </c>
      <c r="D891" t="s">
        <v>3242</v>
      </c>
      <c r="E891" t="s">
        <v>15710</v>
      </c>
      <c r="F891" t="s">
        <v>3257</v>
      </c>
      <c r="G891" t="s">
        <v>5582</v>
      </c>
      <c r="H891" t="s">
        <v>3537</v>
      </c>
    </row>
    <row r="892" spans="1:9" x14ac:dyDescent="0.25">
      <c r="A892" t="s">
        <v>5583</v>
      </c>
      <c r="B892" t="s">
        <v>5583</v>
      </c>
      <c r="C892" t="s">
        <v>5584</v>
      </c>
      <c r="D892" t="s">
        <v>3242</v>
      </c>
      <c r="E892" t="s">
        <v>15710</v>
      </c>
      <c r="F892" t="s">
        <v>3243</v>
      </c>
      <c r="G892" t="s">
        <v>5585</v>
      </c>
      <c r="H892" t="s">
        <v>3488</v>
      </c>
    </row>
    <row r="893" spans="1:9" x14ac:dyDescent="0.25">
      <c r="A893" t="s">
        <v>5586</v>
      </c>
      <c r="B893" t="s">
        <v>5586</v>
      </c>
      <c r="C893" t="s">
        <v>5587</v>
      </c>
      <c r="D893" t="s">
        <v>3242</v>
      </c>
      <c r="E893" t="s">
        <v>16201</v>
      </c>
      <c r="F893" t="s">
        <v>3257</v>
      </c>
      <c r="G893" t="s">
        <v>5588</v>
      </c>
      <c r="H893" t="s">
        <v>4835</v>
      </c>
      <c r="I893" t="s">
        <v>3366</v>
      </c>
    </row>
    <row r="894" spans="1:9" x14ac:dyDescent="0.25">
      <c r="A894" t="s">
        <v>14997</v>
      </c>
      <c r="B894" t="s">
        <v>14997</v>
      </c>
      <c r="C894" t="s">
        <v>14998</v>
      </c>
      <c r="D894" t="s">
        <v>3242</v>
      </c>
      <c r="E894" t="s">
        <v>15710</v>
      </c>
      <c r="F894" t="s">
        <v>3372</v>
      </c>
      <c r="G894" t="s">
        <v>14999</v>
      </c>
      <c r="H894" t="s">
        <v>6489</v>
      </c>
      <c r="I894" t="s">
        <v>3366</v>
      </c>
    </row>
    <row r="895" spans="1:9" x14ac:dyDescent="0.25">
      <c r="A895" t="s">
        <v>5589</v>
      </c>
      <c r="B895" t="s">
        <v>5589</v>
      </c>
      <c r="C895" t="s">
        <v>5590</v>
      </c>
      <c r="D895" t="s">
        <v>3242</v>
      </c>
      <c r="E895" t="s">
        <v>15710</v>
      </c>
      <c r="F895" t="s">
        <v>3300</v>
      </c>
      <c r="G895" t="s">
        <v>5591</v>
      </c>
      <c r="H895" t="s">
        <v>4835</v>
      </c>
      <c r="I895" t="s">
        <v>3366</v>
      </c>
    </row>
    <row r="896" spans="1:9" x14ac:dyDescent="0.25">
      <c r="A896" t="s">
        <v>5592</v>
      </c>
      <c r="B896" t="s">
        <v>5592</v>
      </c>
      <c r="C896" t="s">
        <v>5593</v>
      </c>
      <c r="D896" t="s">
        <v>3321</v>
      </c>
      <c r="E896" t="s">
        <v>15710</v>
      </c>
      <c r="F896" t="s">
        <v>3257</v>
      </c>
      <c r="G896" t="s">
        <v>5594</v>
      </c>
      <c r="H896" t="s">
        <v>3267</v>
      </c>
    </row>
    <row r="897" spans="1:9" x14ac:dyDescent="0.25">
      <c r="A897" t="s">
        <v>5595</v>
      </c>
      <c r="B897" t="s">
        <v>5595</v>
      </c>
      <c r="C897" t="s">
        <v>5596</v>
      </c>
      <c r="D897" t="s">
        <v>3242</v>
      </c>
      <c r="E897" t="s">
        <v>15710</v>
      </c>
      <c r="F897" t="s">
        <v>3306</v>
      </c>
      <c r="G897" t="s">
        <v>5597</v>
      </c>
      <c r="H897" t="s">
        <v>4835</v>
      </c>
      <c r="I897" t="s">
        <v>3366</v>
      </c>
    </row>
    <row r="898" spans="1:9" x14ac:dyDescent="0.25">
      <c r="A898" t="s">
        <v>5598</v>
      </c>
      <c r="B898" t="s">
        <v>5598</v>
      </c>
      <c r="C898" t="s">
        <v>5599</v>
      </c>
      <c r="D898" t="s">
        <v>3242</v>
      </c>
      <c r="E898" t="s">
        <v>15710</v>
      </c>
      <c r="F898" t="s">
        <v>3300</v>
      </c>
      <c r="G898" t="s">
        <v>5600</v>
      </c>
      <c r="H898" t="s">
        <v>4835</v>
      </c>
    </row>
    <row r="899" spans="1:9" x14ac:dyDescent="0.25">
      <c r="A899" t="s">
        <v>5601</v>
      </c>
      <c r="B899" t="s">
        <v>5601</v>
      </c>
      <c r="C899" t="s">
        <v>5602</v>
      </c>
      <c r="D899" t="s">
        <v>3242</v>
      </c>
      <c r="E899" t="s">
        <v>15710</v>
      </c>
      <c r="F899" t="s">
        <v>3300</v>
      </c>
      <c r="G899" t="s">
        <v>5603</v>
      </c>
      <c r="H899" t="s">
        <v>4835</v>
      </c>
      <c r="I899" t="s">
        <v>3366</v>
      </c>
    </row>
    <row r="900" spans="1:9" x14ac:dyDescent="0.25">
      <c r="A900" t="s">
        <v>5604</v>
      </c>
      <c r="B900" t="s">
        <v>5604</v>
      </c>
      <c r="C900" t="s">
        <v>5605</v>
      </c>
      <c r="D900" t="s">
        <v>3242</v>
      </c>
      <c r="E900" t="s">
        <v>15710</v>
      </c>
      <c r="F900" t="s">
        <v>5035</v>
      </c>
      <c r="G900" t="s">
        <v>5606</v>
      </c>
      <c r="H900" t="s">
        <v>4693</v>
      </c>
      <c r="I900" t="s">
        <v>3366</v>
      </c>
    </row>
    <row r="901" spans="1:9" x14ac:dyDescent="0.25">
      <c r="A901" t="s">
        <v>5607</v>
      </c>
      <c r="B901" t="s">
        <v>5607</v>
      </c>
      <c r="C901" t="s">
        <v>5608</v>
      </c>
      <c r="D901" t="s">
        <v>3242</v>
      </c>
      <c r="E901" t="s">
        <v>15710</v>
      </c>
      <c r="F901" t="s">
        <v>3251</v>
      </c>
      <c r="G901" t="s">
        <v>5609</v>
      </c>
      <c r="H901" t="s">
        <v>3421</v>
      </c>
    </row>
    <row r="902" spans="1:9" x14ac:dyDescent="0.25">
      <c r="A902" t="s">
        <v>5610</v>
      </c>
      <c r="B902" t="s">
        <v>5610</v>
      </c>
      <c r="C902" t="s">
        <v>5611</v>
      </c>
      <c r="D902" t="s">
        <v>3321</v>
      </c>
      <c r="E902" t="s">
        <v>15710</v>
      </c>
      <c r="F902" t="s">
        <v>3257</v>
      </c>
      <c r="G902" t="s">
        <v>5612</v>
      </c>
      <c r="H902" t="s">
        <v>4919</v>
      </c>
      <c r="I902" t="s">
        <v>3268</v>
      </c>
    </row>
    <row r="903" spans="1:9" x14ac:dyDescent="0.25">
      <c r="A903" t="s">
        <v>17180</v>
      </c>
      <c r="B903" t="s">
        <v>17180</v>
      </c>
      <c r="C903" t="s">
        <v>17181</v>
      </c>
      <c r="D903" t="s">
        <v>3242</v>
      </c>
      <c r="E903" t="s">
        <v>15710</v>
      </c>
      <c r="F903" t="s">
        <v>3243</v>
      </c>
      <c r="G903" t="s">
        <v>3243</v>
      </c>
      <c r="H903" t="s">
        <v>3060</v>
      </c>
    </row>
    <row r="904" spans="1:9" x14ac:dyDescent="0.25">
      <c r="A904" t="s">
        <v>5613</v>
      </c>
      <c r="B904" t="s">
        <v>5613</v>
      </c>
      <c r="C904" t="s">
        <v>5614</v>
      </c>
      <c r="D904" t="s">
        <v>3242</v>
      </c>
      <c r="E904" t="s">
        <v>17182</v>
      </c>
      <c r="F904" t="s">
        <v>5615</v>
      </c>
      <c r="G904" t="s">
        <v>5616</v>
      </c>
      <c r="H904" t="s">
        <v>3379</v>
      </c>
      <c r="I904" t="s">
        <v>3366</v>
      </c>
    </row>
    <row r="905" spans="1:9" x14ac:dyDescent="0.25">
      <c r="A905" t="s">
        <v>5617</v>
      </c>
      <c r="B905" t="s">
        <v>5617</v>
      </c>
      <c r="C905" t="s">
        <v>5618</v>
      </c>
      <c r="D905" t="s">
        <v>3242</v>
      </c>
      <c r="E905" t="s">
        <v>15710</v>
      </c>
      <c r="F905" t="s">
        <v>3257</v>
      </c>
      <c r="G905" t="s">
        <v>5619</v>
      </c>
      <c r="H905" t="s">
        <v>3332</v>
      </c>
    </row>
    <row r="906" spans="1:9" x14ac:dyDescent="0.25">
      <c r="A906" t="s">
        <v>5620</v>
      </c>
      <c r="B906" t="s">
        <v>5620</v>
      </c>
      <c r="C906" t="s">
        <v>5621</v>
      </c>
      <c r="D906" t="s">
        <v>3242</v>
      </c>
      <c r="E906" t="s">
        <v>15716</v>
      </c>
      <c r="F906" t="s">
        <v>3300</v>
      </c>
      <c r="G906" t="s">
        <v>5622</v>
      </c>
      <c r="H906" t="s">
        <v>3267</v>
      </c>
      <c r="I906" t="s">
        <v>3268</v>
      </c>
    </row>
    <row r="907" spans="1:9" x14ac:dyDescent="0.25">
      <c r="A907" t="s">
        <v>5623</v>
      </c>
      <c r="B907" t="s">
        <v>5623</v>
      </c>
      <c r="C907" t="s">
        <v>5624</v>
      </c>
      <c r="D907" t="s">
        <v>3242</v>
      </c>
      <c r="E907" t="s">
        <v>15710</v>
      </c>
      <c r="F907" t="s">
        <v>3257</v>
      </c>
      <c r="G907" t="s">
        <v>5625</v>
      </c>
      <c r="H907" t="s">
        <v>3253</v>
      </c>
      <c r="I907" t="s">
        <v>3451</v>
      </c>
    </row>
    <row r="908" spans="1:9" x14ac:dyDescent="0.25">
      <c r="A908" t="s">
        <v>5626</v>
      </c>
      <c r="B908" t="s">
        <v>5626</v>
      </c>
      <c r="C908" t="s">
        <v>5627</v>
      </c>
      <c r="D908" t="s">
        <v>3242</v>
      </c>
      <c r="E908" t="s">
        <v>17183</v>
      </c>
      <c r="F908" t="s">
        <v>3257</v>
      </c>
      <c r="G908" t="s">
        <v>5628</v>
      </c>
      <c r="H908" t="s">
        <v>3594</v>
      </c>
      <c r="I908" t="s">
        <v>3432</v>
      </c>
    </row>
    <row r="909" spans="1:9" x14ac:dyDescent="0.25">
      <c r="A909" t="s">
        <v>5629</v>
      </c>
      <c r="B909" t="s">
        <v>5629</v>
      </c>
      <c r="C909" t="s">
        <v>5630</v>
      </c>
      <c r="D909" t="s">
        <v>3242</v>
      </c>
      <c r="E909" t="s">
        <v>15780</v>
      </c>
      <c r="F909" t="s">
        <v>3257</v>
      </c>
      <c r="G909" t="s">
        <v>5631</v>
      </c>
      <c r="H909" t="s">
        <v>3290</v>
      </c>
      <c r="I909" t="s">
        <v>3254</v>
      </c>
    </row>
    <row r="910" spans="1:9" x14ac:dyDescent="0.25">
      <c r="A910" t="s">
        <v>5632</v>
      </c>
      <c r="B910" t="s">
        <v>5632</v>
      </c>
      <c r="C910" t="s">
        <v>5633</v>
      </c>
      <c r="D910" t="s">
        <v>3242</v>
      </c>
      <c r="E910" t="s">
        <v>15781</v>
      </c>
      <c r="F910" t="s">
        <v>3306</v>
      </c>
      <c r="G910" t="s">
        <v>5634</v>
      </c>
      <c r="H910" t="s">
        <v>5243</v>
      </c>
      <c r="I910" t="s">
        <v>3294</v>
      </c>
    </row>
    <row r="911" spans="1:9" x14ac:dyDescent="0.25">
      <c r="A911" t="s">
        <v>5635</v>
      </c>
      <c r="B911" t="s">
        <v>5635</v>
      </c>
      <c r="C911" t="s">
        <v>5636</v>
      </c>
      <c r="D911" t="s">
        <v>3242</v>
      </c>
      <c r="E911" t="s">
        <v>15710</v>
      </c>
      <c r="F911" t="s">
        <v>3257</v>
      </c>
      <c r="G911" t="s">
        <v>5637</v>
      </c>
      <c r="H911" t="s">
        <v>3060</v>
      </c>
    </row>
    <row r="912" spans="1:9" x14ac:dyDescent="0.25">
      <c r="A912" t="s">
        <v>5638</v>
      </c>
      <c r="B912" t="s">
        <v>5638</v>
      </c>
      <c r="C912" t="s">
        <v>5639</v>
      </c>
      <c r="D912" t="s">
        <v>3242</v>
      </c>
      <c r="E912" t="s">
        <v>15710</v>
      </c>
      <c r="F912" t="s">
        <v>3257</v>
      </c>
      <c r="G912" t="s">
        <v>5640</v>
      </c>
      <c r="H912" t="s">
        <v>3060</v>
      </c>
    </row>
    <row r="913" spans="1:9" x14ac:dyDescent="0.25">
      <c r="A913" t="s">
        <v>5641</v>
      </c>
      <c r="B913" t="s">
        <v>5641</v>
      </c>
      <c r="C913" t="s">
        <v>5642</v>
      </c>
      <c r="D913" t="s">
        <v>3242</v>
      </c>
      <c r="E913" t="s">
        <v>15782</v>
      </c>
      <c r="F913" t="s">
        <v>3257</v>
      </c>
      <c r="G913" t="s">
        <v>5643</v>
      </c>
      <c r="H913" t="s">
        <v>4344</v>
      </c>
    </row>
    <row r="914" spans="1:9" x14ac:dyDescent="0.25">
      <c r="A914" t="s">
        <v>5644</v>
      </c>
      <c r="B914" t="s">
        <v>5644</v>
      </c>
      <c r="C914" t="s">
        <v>5645</v>
      </c>
      <c r="D914" t="s">
        <v>3242</v>
      </c>
      <c r="E914" t="s">
        <v>15710</v>
      </c>
      <c r="F914" t="s">
        <v>4996</v>
      </c>
      <c r="G914" t="s">
        <v>5646</v>
      </c>
      <c r="H914" t="s">
        <v>4835</v>
      </c>
      <c r="I914" t="s">
        <v>3366</v>
      </c>
    </row>
    <row r="915" spans="1:9" x14ac:dyDescent="0.25">
      <c r="A915" t="s">
        <v>5647</v>
      </c>
      <c r="B915" t="s">
        <v>5647</v>
      </c>
      <c r="C915" t="s">
        <v>5648</v>
      </c>
      <c r="D915" t="s">
        <v>3242</v>
      </c>
      <c r="E915" t="s">
        <v>15710</v>
      </c>
      <c r="F915" t="s">
        <v>3251</v>
      </c>
      <c r="G915" t="s">
        <v>5649</v>
      </c>
      <c r="H915" t="s">
        <v>3060</v>
      </c>
    </row>
    <row r="916" spans="1:9" x14ac:dyDescent="0.25">
      <c r="A916" t="s">
        <v>5650</v>
      </c>
      <c r="B916" t="s">
        <v>5650</v>
      </c>
      <c r="C916" t="s">
        <v>5651</v>
      </c>
      <c r="D916" t="s">
        <v>3242</v>
      </c>
      <c r="E916" t="s">
        <v>15710</v>
      </c>
      <c r="F916" t="s">
        <v>3288</v>
      </c>
      <c r="G916" t="s">
        <v>5652</v>
      </c>
      <c r="H916" t="s">
        <v>3680</v>
      </c>
    </row>
    <row r="917" spans="1:9" x14ac:dyDescent="0.25">
      <c r="A917" t="s">
        <v>5653</v>
      </c>
      <c r="B917" t="s">
        <v>5653</v>
      </c>
      <c r="C917" t="s">
        <v>5654</v>
      </c>
      <c r="D917" t="s">
        <v>3242</v>
      </c>
      <c r="E917" t="s">
        <v>15898</v>
      </c>
      <c r="F917" t="s">
        <v>3257</v>
      </c>
      <c r="G917" t="s">
        <v>5655</v>
      </c>
      <c r="H917" t="s">
        <v>3267</v>
      </c>
      <c r="I917" t="s">
        <v>3366</v>
      </c>
    </row>
    <row r="918" spans="1:9" x14ac:dyDescent="0.25">
      <c r="A918" t="s">
        <v>5656</v>
      </c>
      <c r="B918" t="s">
        <v>5656</v>
      </c>
      <c r="C918" t="s">
        <v>5657</v>
      </c>
      <c r="D918" t="s">
        <v>3242</v>
      </c>
      <c r="E918" t="s">
        <v>17184</v>
      </c>
      <c r="F918" t="s">
        <v>5098</v>
      </c>
      <c r="G918" t="s">
        <v>5658</v>
      </c>
      <c r="H918" t="s">
        <v>3413</v>
      </c>
      <c r="I918" t="s">
        <v>3407</v>
      </c>
    </row>
    <row r="919" spans="1:9" x14ac:dyDescent="0.25">
      <c r="A919" t="s">
        <v>5659</v>
      </c>
      <c r="B919" t="s">
        <v>5659</v>
      </c>
      <c r="C919" t="s">
        <v>5660</v>
      </c>
      <c r="D919" t="s">
        <v>3242</v>
      </c>
      <c r="E919" t="s">
        <v>16940</v>
      </c>
      <c r="F919" t="s">
        <v>3257</v>
      </c>
      <c r="G919" t="s">
        <v>5661</v>
      </c>
      <c r="H919" t="s">
        <v>3060</v>
      </c>
      <c r="I919" t="s">
        <v>4028</v>
      </c>
    </row>
    <row r="920" spans="1:9" x14ac:dyDescent="0.25">
      <c r="A920" t="s">
        <v>5662</v>
      </c>
      <c r="B920" t="s">
        <v>5662</v>
      </c>
      <c r="C920" t="s">
        <v>5663</v>
      </c>
      <c r="D920" t="s">
        <v>3321</v>
      </c>
      <c r="E920" t="s">
        <v>15710</v>
      </c>
      <c r="F920" t="s">
        <v>3257</v>
      </c>
      <c r="G920" t="s">
        <v>5664</v>
      </c>
      <c r="H920" t="s">
        <v>5665</v>
      </c>
    </row>
    <row r="921" spans="1:9" x14ac:dyDescent="0.25">
      <c r="A921" t="s">
        <v>5666</v>
      </c>
      <c r="B921" t="s">
        <v>5666</v>
      </c>
      <c r="C921" t="s">
        <v>5667</v>
      </c>
      <c r="D921" t="s">
        <v>3242</v>
      </c>
      <c r="E921" t="s">
        <v>16518</v>
      </c>
      <c r="F921" t="s">
        <v>3257</v>
      </c>
      <c r="G921" t="s">
        <v>5668</v>
      </c>
      <c r="H921" t="s">
        <v>3259</v>
      </c>
      <c r="I921" t="s">
        <v>3268</v>
      </c>
    </row>
    <row r="922" spans="1:9" x14ac:dyDescent="0.25">
      <c r="A922" t="s">
        <v>5669</v>
      </c>
      <c r="B922" t="s">
        <v>5669</v>
      </c>
      <c r="C922" t="s">
        <v>5670</v>
      </c>
      <c r="D922" t="s">
        <v>3242</v>
      </c>
      <c r="E922" t="s">
        <v>15710</v>
      </c>
      <c r="F922" t="s">
        <v>3257</v>
      </c>
      <c r="G922" t="s">
        <v>5671</v>
      </c>
      <c r="H922" t="s">
        <v>3484</v>
      </c>
    </row>
    <row r="923" spans="1:9" x14ac:dyDescent="0.25">
      <c r="A923" t="s">
        <v>5672</v>
      </c>
      <c r="B923" t="s">
        <v>5672</v>
      </c>
      <c r="C923" t="s">
        <v>5673</v>
      </c>
      <c r="D923" t="s">
        <v>3242</v>
      </c>
      <c r="E923" t="s">
        <v>15710</v>
      </c>
      <c r="F923" t="s">
        <v>3243</v>
      </c>
      <c r="G923" t="s">
        <v>5674</v>
      </c>
      <c r="H923" t="s">
        <v>3285</v>
      </c>
    </row>
    <row r="924" spans="1:9" x14ac:dyDescent="0.25">
      <c r="A924" t="s">
        <v>5675</v>
      </c>
      <c r="B924" t="s">
        <v>5676</v>
      </c>
      <c r="C924" t="s">
        <v>5677</v>
      </c>
      <c r="D924" t="s">
        <v>3321</v>
      </c>
      <c r="E924" t="s">
        <v>15710</v>
      </c>
      <c r="F924" t="s">
        <v>3288</v>
      </c>
      <c r="G924" t="s">
        <v>5678</v>
      </c>
      <c r="H924" t="s">
        <v>4642</v>
      </c>
    </row>
    <row r="925" spans="1:9" x14ac:dyDescent="0.25">
      <c r="A925" t="s">
        <v>5676</v>
      </c>
      <c r="B925" t="s">
        <v>5676</v>
      </c>
      <c r="C925" t="s">
        <v>5677</v>
      </c>
      <c r="D925" t="s">
        <v>3242</v>
      </c>
      <c r="E925" t="s">
        <v>15710</v>
      </c>
      <c r="F925" t="s">
        <v>3243</v>
      </c>
      <c r="G925" t="s">
        <v>3243</v>
      </c>
      <c r="H925" t="s">
        <v>4642</v>
      </c>
    </row>
    <row r="926" spans="1:9" x14ac:dyDescent="0.25">
      <c r="A926" t="s">
        <v>5679</v>
      </c>
      <c r="B926" t="s">
        <v>5679</v>
      </c>
      <c r="C926" t="s">
        <v>5680</v>
      </c>
      <c r="D926" t="s">
        <v>3242</v>
      </c>
      <c r="E926" t="s">
        <v>15710</v>
      </c>
      <c r="F926" t="s">
        <v>3257</v>
      </c>
      <c r="G926" t="s">
        <v>5681</v>
      </c>
      <c r="H926" t="s">
        <v>3060</v>
      </c>
      <c r="I926" t="s">
        <v>4028</v>
      </c>
    </row>
    <row r="927" spans="1:9" x14ac:dyDescent="0.25">
      <c r="A927" t="s">
        <v>5682</v>
      </c>
      <c r="B927" t="s">
        <v>5682</v>
      </c>
      <c r="C927" t="s">
        <v>5683</v>
      </c>
      <c r="D927" t="s">
        <v>3242</v>
      </c>
      <c r="E927" t="s">
        <v>15710</v>
      </c>
      <c r="F927" t="s">
        <v>3251</v>
      </c>
      <c r="G927" t="s">
        <v>5684</v>
      </c>
      <c r="H927" t="s">
        <v>4344</v>
      </c>
    </row>
    <row r="928" spans="1:9" x14ac:dyDescent="0.25">
      <c r="A928" t="s">
        <v>5685</v>
      </c>
      <c r="B928" t="s">
        <v>5685</v>
      </c>
      <c r="C928" t="s">
        <v>5686</v>
      </c>
      <c r="D928" t="s">
        <v>3242</v>
      </c>
      <c r="E928" t="s">
        <v>15710</v>
      </c>
      <c r="F928" t="s">
        <v>5035</v>
      </c>
      <c r="G928" t="s">
        <v>5687</v>
      </c>
      <c r="H928" t="s">
        <v>3332</v>
      </c>
      <c r="I928" t="s">
        <v>3268</v>
      </c>
    </row>
    <row r="929" spans="1:9" x14ac:dyDescent="0.25">
      <c r="A929" t="s">
        <v>5688</v>
      </c>
      <c r="B929" t="s">
        <v>5688</v>
      </c>
      <c r="C929" t="s">
        <v>5689</v>
      </c>
      <c r="D929" t="s">
        <v>3242</v>
      </c>
      <c r="E929" t="s">
        <v>15710</v>
      </c>
      <c r="F929" t="s">
        <v>3257</v>
      </c>
      <c r="G929" t="s">
        <v>5690</v>
      </c>
      <c r="H929" t="s">
        <v>4045</v>
      </c>
      <c r="I929" t="s">
        <v>3694</v>
      </c>
    </row>
    <row r="930" spans="1:9" x14ac:dyDescent="0.25">
      <c r="A930" t="s">
        <v>16821</v>
      </c>
      <c r="B930" t="s">
        <v>16821</v>
      </c>
      <c r="C930" t="s">
        <v>16822</v>
      </c>
      <c r="D930" t="s">
        <v>3242</v>
      </c>
      <c r="E930" t="s">
        <v>16311</v>
      </c>
      <c r="F930" t="s">
        <v>3257</v>
      </c>
      <c r="G930" t="s">
        <v>16823</v>
      </c>
      <c r="H930" t="s">
        <v>3357</v>
      </c>
      <c r="I930" t="s">
        <v>16824</v>
      </c>
    </row>
    <row r="931" spans="1:9" x14ac:dyDescent="0.25">
      <c r="A931" t="s">
        <v>16941</v>
      </c>
      <c r="B931" t="s">
        <v>16941</v>
      </c>
      <c r="C931" t="s">
        <v>17185</v>
      </c>
      <c r="D931" t="s">
        <v>3242</v>
      </c>
      <c r="E931" t="s">
        <v>15825</v>
      </c>
      <c r="F931" t="s">
        <v>9030</v>
      </c>
      <c r="G931" t="s">
        <v>16942</v>
      </c>
      <c r="H931" t="s">
        <v>6455</v>
      </c>
    </row>
    <row r="932" spans="1:9" x14ac:dyDescent="0.25">
      <c r="A932" t="s">
        <v>5691</v>
      </c>
      <c r="B932" t="s">
        <v>5691</v>
      </c>
      <c r="C932" t="s">
        <v>5692</v>
      </c>
      <c r="D932" t="s">
        <v>3242</v>
      </c>
      <c r="E932" t="s">
        <v>15710</v>
      </c>
      <c r="F932" t="s">
        <v>3288</v>
      </c>
      <c r="G932" t="s">
        <v>5693</v>
      </c>
      <c r="H932" t="s">
        <v>4797</v>
      </c>
    </row>
    <row r="933" spans="1:9" x14ac:dyDescent="0.25">
      <c r="A933" t="s">
        <v>5694</v>
      </c>
      <c r="B933" t="s">
        <v>5694</v>
      </c>
      <c r="C933" t="s">
        <v>5695</v>
      </c>
      <c r="D933" t="s">
        <v>3242</v>
      </c>
      <c r="E933" t="s">
        <v>16253</v>
      </c>
      <c r="F933" t="s">
        <v>5035</v>
      </c>
      <c r="G933" t="s">
        <v>5696</v>
      </c>
      <c r="H933" t="s">
        <v>3643</v>
      </c>
      <c r="I933" t="s">
        <v>3366</v>
      </c>
    </row>
    <row r="934" spans="1:9" x14ac:dyDescent="0.25">
      <c r="A934" t="s">
        <v>5697</v>
      </c>
      <c r="B934" t="s">
        <v>5697</v>
      </c>
      <c r="C934" t="s">
        <v>5698</v>
      </c>
      <c r="D934" t="s">
        <v>3242</v>
      </c>
      <c r="E934" t="s">
        <v>16033</v>
      </c>
      <c r="F934" t="s">
        <v>3257</v>
      </c>
      <c r="G934" t="s">
        <v>5699</v>
      </c>
      <c r="H934" t="s">
        <v>5700</v>
      </c>
      <c r="I934" t="s">
        <v>3648</v>
      </c>
    </row>
    <row r="935" spans="1:9" x14ac:dyDescent="0.25">
      <c r="A935" t="s">
        <v>5701</v>
      </c>
      <c r="B935" t="s">
        <v>5701</v>
      </c>
      <c r="C935" t="s">
        <v>5702</v>
      </c>
      <c r="D935" t="s">
        <v>3242</v>
      </c>
      <c r="E935" t="s">
        <v>15710</v>
      </c>
      <c r="F935" t="s">
        <v>3592</v>
      </c>
      <c r="G935" t="s">
        <v>5703</v>
      </c>
      <c r="H935" t="s">
        <v>3353</v>
      </c>
      <c r="I935" t="s">
        <v>3324</v>
      </c>
    </row>
    <row r="936" spans="1:9" x14ac:dyDescent="0.25">
      <c r="A936" t="s">
        <v>5704</v>
      </c>
      <c r="B936" t="s">
        <v>5704</v>
      </c>
      <c r="C936" t="s">
        <v>5705</v>
      </c>
      <c r="D936" t="s">
        <v>3242</v>
      </c>
      <c r="E936" t="s">
        <v>15710</v>
      </c>
      <c r="F936" t="s">
        <v>3257</v>
      </c>
      <c r="G936" t="s">
        <v>5706</v>
      </c>
      <c r="H936" t="s">
        <v>3484</v>
      </c>
    </row>
    <row r="937" spans="1:9" x14ac:dyDescent="0.25">
      <c r="A937" t="s">
        <v>16446</v>
      </c>
      <c r="B937" t="s">
        <v>16446</v>
      </c>
      <c r="C937" t="s">
        <v>16447</v>
      </c>
      <c r="D937" t="s">
        <v>3242</v>
      </c>
      <c r="E937" t="s">
        <v>15710</v>
      </c>
      <c r="F937" t="s">
        <v>3288</v>
      </c>
      <c r="G937" t="s">
        <v>16448</v>
      </c>
      <c r="H937" t="s">
        <v>3744</v>
      </c>
    </row>
    <row r="938" spans="1:9" x14ac:dyDescent="0.25">
      <c r="A938" t="s">
        <v>5707</v>
      </c>
      <c r="B938" t="s">
        <v>5707</v>
      </c>
      <c r="C938" t="s">
        <v>5708</v>
      </c>
      <c r="D938" t="s">
        <v>3242</v>
      </c>
      <c r="E938" t="s">
        <v>15710</v>
      </c>
      <c r="F938" t="s">
        <v>3257</v>
      </c>
      <c r="G938" t="s">
        <v>5709</v>
      </c>
      <c r="H938" t="s">
        <v>4045</v>
      </c>
      <c r="I938" t="s">
        <v>3694</v>
      </c>
    </row>
    <row r="939" spans="1:9" x14ac:dyDescent="0.25">
      <c r="A939" t="s">
        <v>5710</v>
      </c>
      <c r="B939" t="s">
        <v>5710</v>
      </c>
      <c r="C939" t="s">
        <v>5711</v>
      </c>
      <c r="D939" t="s">
        <v>3242</v>
      </c>
      <c r="E939" t="s">
        <v>15710</v>
      </c>
      <c r="F939" t="s">
        <v>3288</v>
      </c>
      <c r="G939" t="s">
        <v>5712</v>
      </c>
      <c r="H939" t="s">
        <v>3060</v>
      </c>
    </row>
    <row r="940" spans="1:9" x14ac:dyDescent="0.25">
      <c r="A940" t="s">
        <v>5713</v>
      </c>
      <c r="B940" t="s">
        <v>5713</v>
      </c>
      <c r="C940" t="s">
        <v>5714</v>
      </c>
      <c r="D940" t="s">
        <v>3242</v>
      </c>
      <c r="E940" t="s">
        <v>15710</v>
      </c>
      <c r="F940" t="s">
        <v>3257</v>
      </c>
      <c r="G940" t="s">
        <v>5715</v>
      </c>
      <c r="H940" t="s">
        <v>5084</v>
      </c>
      <c r="I940" t="s">
        <v>3324</v>
      </c>
    </row>
    <row r="941" spans="1:9" x14ac:dyDescent="0.25">
      <c r="A941" t="s">
        <v>5716</v>
      </c>
      <c r="B941" t="s">
        <v>5716</v>
      </c>
      <c r="C941" t="s">
        <v>5717</v>
      </c>
      <c r="D941" t="s">
        <v>3242</v>
      </c>
      <c r="E941" t="s">
        <v>15769</v>
      </c>
      <c r="F941" t="s">
        <v>3300</v>
      </c>
      <c r="G941" t="s">
        <v>5718</v>
      </c>
      <c r="H941" t="s">
        <v>3267</v>
      </c>
    </row>
    <row r="942" spans="1:9" x14ac:dyDescent="0.25">
      <c r="A942" t="s">
        <v>5719</v>
      </c>
      <c r="B942" t="s">
        <v>5719</v>
      </c>
      <c r="C942" t="s">
        <v>5720</v>
      </c>
      <c r="D942" t="s">
        <v>3242</v>
      </c>
      <c r="E942" t="s">
        <v>15710</v>
      </c>
      <c r="F942" t="s">
        <v>3257</v>
      </c>
      <c r="G942" t="s">
        <v>5721</v>
      </c>
      <c r="H942" t="s">
        <v>5722</v>
      </c>
    </row>
    <row r="943" spans="1:9" x14ac:dyDescent="0.25">
      <c r="A943" t="s">
        <v>5723</v>
      </c>
      <c r="B943" t="s">
        <v>5723</v>
      </c>
      <c r="C943" t="s">
        <v>5724</v>
      </c>
      <c r="D943" t="s">
        <v>3242</v>
      </c>
      <c r="E943" t="s">
        <v>15710</v>
      </c>
      <c r="F943" t="s">
        <v>3306</v>
      </c>
      <c r="G943" t="s">
        <v>5725</v>
      </c>
      <c r="H943" t="s">
        <v>3248</v>
      </c>
    </row>
    <row r="944" spans="1:9" x14ac:dyDescent="0.25">
      <c r="A944" t="s">
        <v>5726</v>
      </c>
      <c r="B944" t="s">
        <v>5726</v>
      </c>
      <c r="C944" t="s">
        <v>5727</v>
      </c>
      <c r="D944" t="s">
        <v>3242</v>
      </c>
      <c r="E944" t="s">
        <v>15783</v>
      </c>
      <c r="F944" t="s">
        <v>3588</v>
      </c>
      <c r="G944" t="s">
        <v>5728</v>
      </c>
      <c r="H944" t="s">
        <v>3262</v>
      </c>
      <c r="I944" t="s">
        <v>3263</v>
      </c>
    </row>
    <row r="945" spans="1:9" x14ac:dyDescent="0.25">
      <c r="A945" t="s">
        <v>5729</v>
      </c>
      <c r="B945" t="s">
        <v>5729</v>
      </c>
      <c r="C945" t="s">
        <v>5730</v>
      </c>
      <c r="D945" t="s">
        <v>3242</v>
      </c>
      <c r="E945" t="s">
        <v>15710</v>
      </c>
      <c r="F945" t="s">
        <v>3257</v>
      </c>
      <c r="G945" t="s">
        <v>5731</v>
      </c>
      <c r="H945" t="s">
        <v>3290</v>
      </c>
      <c r="I945" t="s">
        <v>3324</v>
      </c>
    </row>
    <row r="946" spans="1:9" x14ac:dyDescent="0.25">
      <c r="A946" t="s">
        <v>5732</v>
      </c>
      <c r="B946" t="s">
        <v>5732</v>
      </c>
      <c r="C946" t="s">
        <v>5733</v>
      </c>
      <c r="D946" t="s">
        <v>3242</v>
      </c>
      <c r="E946" t="s">
        <v>15710</v>
      </c>
      <c r="F946" t="s">
        <v>3288</v>
      </c>
      <c r="G946" t="s">
        <v>3060</v>
      </c>
      <c r="H946" t="s">
        <v>3285</v>
      </c>
    </row>
    <row r="947" spans="1:9" x14ac:dyDescent="0.25">
      <c r="A947" t="s">
        <v>5734</v>
      </c>
      <c r="B947" t="s">
        <v>5734</v>
      </c>
      <c r="C947" t="s">
        <v>5735</v>
      </c>
      <c r="D947" t="s">
        <v>3242</v>
      </c>
      <c r="E947" t="s">
        <v>15710</v>
      </c>
      <c r="F947" t="s">
        <v>3288</v>
      </c>
      <c r="G947" t="s">
        <v>5736</v>
      </c>
      <c r="H947" t="s">
        <v>3680</v>
      </c>
    </row>
    <row r="948" spans="1:9" x14ac:dyDescent="0.25">
      <c r="A948" t="s">
        <v>5737</v>
      </c>
      <c r="B948" t="s">
        <v>5737</v>
      </c>
      <c r="C948" t="s">
        <v>5738</v>
      </c>
      <c r="D948" t="s">
        <v>3242</v>
      </c>
      <c r="E948" t="s">
        <v>16943</v>
      </c>
      <c r="F948" t="s">
        <v>3306</v>
      </c>
      <c r="G948" t="s">
        <v>5739</v>
      </c>
      <c r="H948" t="s">
        <v>4711</v>
      </c>
      <c r="I948" t="s">
        <v>3254</v>
      </c>
    </row>
    <row r="949" spans="1:9" x14ac:dyDescent="0.25">
      <c r="A949" t="s">
        <v>5740</v>
      </c>
      <c r="B949" t="s">
        <v>5740</v>
      </c>
      <c r="C949" t="s">
        <v>5741</v>
      </c>
      <c r="D949" t="s">
        <v>3242</v>
      </c>
      <c r="E949" t="s">
        <v>15710</v>
      </c>
      <c r="F949" t="s">
        <v>15712</v>
      </c>
      <c r="G949" t="s">
        <v>5742</v>
      </c>
      <c r="H949" t="s">
        <v>3285</v>
      </c>
    </row>
    <row r="950" spans="1:9" x14ac:dyDescent="0.25">
      <c r="A950" t="s">
        <v>5743</v>
      </c>
      <c r="B950" t="s">
        <v>5743</v>
      </c>
      <c r="C950" t="s">
        <v>5744</v>
      </c>
      <c r="D950" t="s">
        <v>3242</v>
      </c>
      <c r="E950" t="s">
        <v>16944</v>
      </c>
      <c r="F950" t="s">
        <v>3257</v>
      </c>
      <c r="G950" t="s">
        <v>5745</v>
      </c>
      <c r="H950" t="s">
        <v>3668</v>
      </c>
      <c r="I950" t="s">
        <v>4028</v>
      </c>
    </row>
    <row r="951" spans="1:9" x14ac:dyDescent="0.25">
      <c r="A951" t="s">
        <v>15000</v>
      </c>
      <c r="B951" t="s">
        <v>15000</v>
      </c>
      <c r="C951" t="s">
        <v>15001</v>
      </c>
      <c r="D951" t="s">
        <v>3242</v>
      </c>
      <c r="E951" t="s">
        <v>16945</v>
      </c>
      <c r="F951" t="s">
        <v>3372</v>
      </c>
      <c r="G951" t="s">
        <v>15002</v>
      </c>
      <c r="H951" t="s">
        <v>10553</v>
      </c>
      <c r="I951" t="s">
        <v>14986</v>
      </c>
    </row>
    <row r="952" spans="1:9" x14ac:dyDescent="0.25">
      <c r="A952" t="s">
        <v>5746</v>
      </c>
      <c r="B952" t="s">
        <v>5746</v>
      </c>
      <c r="C952" t="s">
        <v>5747</v>
      </c>
      <c r="D952" t="s">
        <v>3242</v>
      </c>
      <c r="E952" t="s">
        <v>15710</v>
      </c>
      <c r="F952" t="s">
        <v>3257</v>
      </c>
      <c r="G952" t="s">
        <v>5748</v>
      </c>
      <c r="H952" t="s">
        <v>3248</v>
      </c>
      <c r="I952" t="s">
        <v>3407</v>
      </c>
    </row>
    <row r="953" spans="1:9" x14ac:dyDescent="0.25">
      <c r="A953" t="s">
        <v>5749</v>
      </c>
      <c r="B953" t="s">
        <v>5749</v>
      </c>
      <c r="C953" t="s">
        <v>5750</v>
      </c>
      <c r="D953" t="s">
        <v>3242</v>
      </c>
      <c r="E953" t="s">
        <v>16449</v>
      </c>
      <c r="F953" t="s">
        <v>3345</v>
      </c>
      <c r="G953" t="s">
        <v>5751</v>
      </c>
      <c r="H953" t="s">
        <v>3744</v>
      </c>
    </row>
    <row r="954" spans="1:9" x14ac:dyDescent="0.25">
      <c r="A954" t="s">
        <v>5752</v>
      </c>
      <c r="B954" t="s">
        <v>5752</v>
      </c>
      <c r="C954" t="s">
        <v>5753</v>
      </c>
      <c r="D954" t="s">
        <v>3242</v>
      </c>
      <c r="E954" t="s">
        <v>15710</v>
      </c>
      <c r="F954" t="s">
        <v>3372</v>
      </c>
      <c r="G954" t="s">
        <v>5754</v>
      </c>
      <c r="H954" t="s">
        <v>3484</v>
      </c>
    </row>
    <row r="955" spans="1:9" x14ac:dyDescent="0.25">
      <c r="A955" t="s">
        <v>5755</v>
      </c>
      <c r="B955" t="s">
        <v>5755</v>
      </c>
      <c r="C955" t="s">
        <v>5756</v>
      </c>
      <c r="D955" t="s">
        <v>3242</v>
      </c>
      <c r="E955" t="s">
        <v>15785</v>
      </c>
      <c r="F955" t="s">
        <v>3243</v>
      </c>
      <c r="G955" t="s">
        <v>5757</v>
      </c>
      <c r="H955" t="s">
        <v>5758</v>
      </c>
    </row>
    <row r="956" spans="1:9" x14ac:dyDescent="0.25">
      <c r="A956" t="s">
        <v>15003</v>
      </c>
      <c r="B956" t="s">
        <v>15003</v>
      </c>
      <c r="C956" t="s">
        <v>15004</v>
      </c>
      <c r="D956" t="s">
        <v>3242</v>
      </c>
      <c r="E956" t="s">
        <v>15786</v>
      </c>
      <c r="F956" t="s">
        <v>3257</v>
      </c>
      <c r="G956" t="s">
        <v>15005</v>
      </c>
      <c r="H956" t="s">
        <v>5289</v>
      </c>
      <c r="I956" t="s">
        <v>3451</v>
      </c>
    </row>
    <row r="957" spans="1:9" x14ac:dyDescent="0.25">
      <c r="A957" t="s">
        <v>5759</v>
      </c>
      <c r="B957" t="s">
        <v>5759</v>
      </c>
      <c r="C957" t="s">
        <v>5760</v>
      </c>
      <c r="D957" t="s">
        <v>3242</v>
      </c>
      <c r="E957" t="s">
        <v>17186</v>
      </c>
      <c r="F957" t="s">
        <v>5761</v>
      </c>
      <c r="G957" t="s">
        <v>5762</v>
      </c>
      <c r="H957" t="s">
        <v>3413</v>
      </c>
      <c r="I957" t="s">
        <v>3407</v>
      </c>
    </row>
    <row r="958" spans="1:9" x14ac:dyDescent="0.25">
      <c r="A958" t="s">
        <v>5763</v>
      </c>
      <c r="B958" t="s">
        <v>5763</v>
      </c>
      <c r="C958" t="s">
        <v>5764</v>
      </c>
      <c r="D958" t="s">
        <v>3242</v>
      </c>
      <c r="E958" t="s">
        <v>16463</v>
      </c>
      <c r="F958" t="s">
        <v>3257</v>
      </c>
      <c r="G958" t="s">
        <v>5765</v>
      </c>
      <c r="H958" t="s">
        <v>3496</v>
      </c>
      <c r="I958" t="s">
        <v>3407</v>
      </c>
    </row>
    <row r="959" spans="1:9" x14ac:dyDescent="0.25">
      <c r="A959" t="s">
        <v>5766</v>
      </c>
      <c r="B959" t="s">
        <v>5766</v>
      </c>
      <c r="C959" t="s">
        <v>5767</v>
      </c>
      <c r="D959" t="s">
        <v>3242</v>
      </c>
      <c r="E959" t="s">
        <v>15710</v>
      </c>
      <c r="F959" t="s">
        <v>3251</v>
      </c>
      <c r="G959" t="s">
        <v>5768</v>
      </c>
      <c r="H959" t="s">
        <v>5769</v>
      </c>
    </row>
    <row r="960" spans="1:9" x14ac:dyDescent="0.25">
      <c r="A960" t="s">
        <v>5770</v>
      </c>
      <c r="B960" t="s">
        <v>5770</v>
      </c>
      <c r="C960" t="s">
        <v>5771</v>
      </c>
      <c r="D960" t="s">
        <v>3321</v>
      </c>
      <c r="E960" t="s">
        <v>15710</v>
      </c>
      <c r="F960" t="s">
        <v>3257</v>
      </c>
      <c r="G960" t="s">
        <v>5772</v>
      </c>
      <c r="H960" t="s">
        <v>5084</v>
      </c>
      <c r="I960" t="s">
        <v>3324</v>
      </c>
    </row>
    <row r="961" spans="1:9" x14ac:dyDescent="0.25">
      <c r="A961" t="s">
        <v>5773</v>
      </c>
      <c r="B961" t="s">
        <v>5773</v>
      </c>
      <c r="C961" t="s">
        <v>5774</v>
      </c>
      <c r="D961" t="s">
        <v>3242</v>
      </c>
      <c r="E961" t="s">
        <v>16946</v>
      </c>
      <c r="F961" t="s">
        <v>3257</v>
      </c>
      <c r="G961" t="s">
        <v>5775</v>
      </c>
      <c r="H961" t="s">
        <v>3060</v>
      </c>
      <c r="I961" t="s">
        <v>3254</v>
      </c>
    </row>
    <row r="962" spans="1:9" x14ac:dyDescent="0.25">
      <c r="A962" t="s">
        <v>5776</v>
      </c>
      <c r="B962" t="s">
        <v>5776</v>
      </c>
      <c r="C962" t="s">
        <v>5777</v>
      </c>
      <c r="D962" t="s">
        <v>3242</v>
      </c>
      <c r="E962" t="s">
        <v>15710</v>
      </c>
      <c r="F962" t="s">
        <v>3257</v>
      </c>
      <c r="G962" t="s">
        <v>5778</v>
      </c>
      <c r="H962" t="s">
        <v>5151</v>
      </c>
      <c r="I962" t="s">
        <v>3432</v>
      </c>
    </row>
    <row r="963" spans="1:9" x14ac:dyDescent="0.25">
      <c r="A963" t="s">
        <v>5779</v>
      </c>
      <c r="B963" t="s">
        <v>5779</v>
      </c>
      <c r="C963" t="s">
        <v>5780</v>
      </c>
      <c r="D963" t="s">
        <v>3242</v>
      </c>
      <c r="E963" t="s">
        <v>17635</v>
      </c>
      <c r="F963" t="s">
        <v>3257</v>
      </c>
      <c r="G963" t="s">
        <v>5781</v>
      </c>
      <c r="H963" t="s">
        <v>3248</v>
      </c>
      <c r="I963" t="s">
        <v>3407</v>
      </c>
    </row>
    <row r="964" spans="1:9" x14ac:dyDescent="0.25">
      <c r="A964" t="s">
        <v>5782</v>
      </c>
      <c r="B964" t="s">
        <v>5782</v>
      </c>
      <c r="C964" t="s">
        <v>5783</v>
      </c>
      <c r="D964" t="s">
        <v>3242</v>
      </c>
      <c r="E964" t="s">
        <v>15990</v>
      </c>
      <c r="F964" t="s">
        <v>3257</v>
      </c>
      <c r="G964" t="s">
        <v>5784</v>
      </c>
      <c r="H964" t="s">
        <v>5785</v>
      </c>
      <c r="I964" t="s">
        <v>3648</v>
      </c>
    </row>
    <row r="965" spans="1:9" x14ac:dyDescent="0.25">
      <c r="A965" t="s">
        <v>5786</v>
      </c>
      <c r="B965" t="s">
        <v>5786</v>
      </c>
      <c r="C965" t="s">
        <v>5787</v>
      </c>
      <c r="D965" t="s">
        <v>3242</v>
      </c>
      <c r="E965" t="s">
        <v>15710</v>
      </c>
      <c r="F965" t="s">
        <v>5788</v>
      </c>
      <c r="G965" t="s">
        <v>5789</v>
      </c>
      <c r="H965" t="s">
        <v>3248</v>
      </c>
    </row>
    <row r="966" spans="1:9" x14ac:dyDescent="0.25">
      <c r="A966" t="s">
        <v>5790</v>
      </c>
      <c r="B966" t="s">
        <v>5790</v>
      </c>
      <c r="C966" t="s">
        <v>5791</v>
      </c>
      <c r="D966" t="s">
        <v>3242</v>
      </c>
      <c r="E966" t="s">
        <v>15710</v>
      </c>
      <c r="F966" t="s">
        <v>3257</v>
      </c>
      <c r="G966" t="s">
        <v>5792</v>
      </c>
      <c r="H966" t="s">
        <v>3484</v>
      </c>
      <c r="I966" t="s">
        <v>14986</v>
      </c>
    </row>
    <row r="967" spans="1:9" x14ac:dyDescent="0.25">
      <c r="A967" t="s">
        <v>15006</v>
      </c>
      <c r="B967" t="s">
        <v>15006</v>
      </c>
      <c r="C967" t="s">
        <v>15007</v>
      </c>
      <c r="D967" t="s">
        <v>3242</v>
      </c>
      <c r="E967" t="s">
        <v>15710</v>
      </c>
      <c r="F967" t="s">
        <v>3243</v>
      </c>
      <c r="G967" t="s">
        <v>15008</v>
      </c>
      <c r="H967" t="s">
        <v>3285</v>
      </c>
    </row>
    <row r="968" spans="1:9" x14ac:dyDescent="0.25">
      <c r="A968" t="s">
        <v>5793</v>
      </c>
      <c r="B968" t="s">
        <v>5793</v>
      </c>
      <c r="C968" t="s">
        <v>5794</v>
      </c>
      <c r="D968" t="s">
        <v>3242</v>
      </c>
      <c r="E968" t="s">
        <v>15710</v>
      </c>
      <c r="F968" t="s">
        <v>3257</v>
      </c>
      <c r="G968" t="s">
        <v>5795</v>
      </c>
      <c r="H968" t="s">
        <v>3248</v>
      </c>
      <c r="I968" t="s">
        <v>5796</v>
      </c>
    </row>
    <row r="969" spans="1:9" x14ac:dyDescent="0.25">
      <c r="A969" t="s">
        <v>5797</v>
      </c>
      <c r="B969" t="s">
        <v>5797</v>
      </c>
      <c r="C969" t="s">
        <v>5798</v>
      </c>
      <c r="D969" t="s">
        <v>3242</v>
      </c>
      <c r="E969" t="s">
        <v>17187</v>
      </c>
      <c r="F969" t="s">
        <v>3257</v>
      </c>
      <c r="G969" t="s">
        <v>5799</v>
      </c>
      <c r="H969" t="s">
        <v>4919</v>
      </c>
      <c r="I969" t="s">
        <v>3324</v>
      </c>
    </row>
    <row r="970" spans="1:9" x14ac:dyDescent="0.25">
      <c r="A970" t="s">
        <v>5800</v>
      </c>
      <c r="B970" t="s">
        <v>5800</v>
      </c>
      <c r="C970" t="s">
        <v>5801</v>
      </c>
      <c r="D970" t="s">
        <v>3242</v>
      </c>
      <c r="E970" t="s">
        <v>15710</v>
      </c>
      <c r="F970" t="s">
        <v>3257</v>
      </c>
      <c r="G970" t="s">
        <v>5802</v>
      </c>
      <c r="H970" t="s">
        <v>5013</v>
      </c>
    </row>
    <row r="971" spans="1:9" x14ac:dyDescent="0.25">
      <c r="A971" t="s">
        <v>5803</v>
      </c>
      <c r="B971" t="s">
        <v>5803</v>
      </c>
      <c r="C971" t="s">
        <v>5804</v>
      </c>
      <c r="D971" t="s">
        <v>3242</v>
      </c>
      <c r="E971" t="s">
        <v>15710</v>
      </c>
      <c r="F971" t="s">
        <v>3257</v>
      </c>
      <c r="G971" t="s">
        <v>5805</v>
      </c>
      <c r="H971" t="s">
        <v>4871</v>
      </c>
      <c r="I971" t="s">
        <v>3324</v>
      </c>
    </row>
    <row r="972" spans="1:9" x14ac:dyDescent="0.25">
      <c r="A972" t="s">
        <v>5806</v>
      </c>
      <c r="B972" t="s">
        <v>5806</v>
      </c>
      <c r="C972" t="s">
        <v>5807</v>
      </c>
      <c r="D972" t="s">
        <v>3242</v>
      </c>
      <c r="E972" t="s">
        <v>16764</v>
      </c>
      <c r="F972" t="s">
        <v>3257</v>
      </c>
      <c r="G972" t="s">
        <v>5808</v>
      </c>
      <c r="H972" t="s">
        <v>4711</v>
      </c>
      <c r="I972" t="s">
        <v>3254</v>
      </c>
    </row>
    <row r="973" spans="1:9" x14ac:dyDescent="0.25">
      <c r="A973" t="s">
        <v>15009</v>
      </c>
      <c r="B973" t="s">
        <v>15009</v>
      </c>
      <c r="C973" t="s">
        <v>15010</v>
      </c>
      <c r="D973" t="s">
        <v>3242</v>
      </c>
      <c r="E973" t="s">
        <v>15710</v>
      </c>
      <c r="F973" t="s">
        <v>3306</v>
      </c>
      <c r="G973" t="s">
        <v>15011</v>
      </c>
      <c r="H973" t="s">
        <v>15012</v>
      </c>
      <c r="I973" t="s">
        <v>3268</v>
      </c>
    </row>
    <row r="974" spans="1:9" x14ac:dyDescent="0.25">
      <c r="A974" t="s">
        <v>5809</v>
      </c>
      <c r="B974" t="s">
        <v>5809</v>
      </c>
      <c r="C974" t="s">
        <v>5810</v>
      </c>
      <c r="D974" t="s">
        <v>3242</v>
      </c>
      <c r="E974" t="s">
        <v>15710</v>
      </c>
      <c r="F974" t="s">
        <v>3257</v>
      </c>
      <c r="G974" t="s">
        <v>5811</v>
      </c>
      <c r="H974" t="s">
        <v>3267</v>
      </c>
    </row>
    <row r="975" spans="1:9" x14ac:dyDescent="0.25">
      <c r="A975" t="s">
        <v>5812</v>
      </c>
      <c r="B975" t="s">
        <v>5812</v>
      </c>
      <c r="C975" t="s">
        <v>5813</v>
      </c>
      <c r="D975" t="s">
        <v>3242</v>
      </c>
      <c r="E975" t="s">
        <v>16450</v>
      </c>
      <c r="F975" t="s">
        <v>3257</v>
      </c>
      <c r="G975" t="s">
        <v>5814</v>
      </c>
      <c r="H975" t="s">
        <v>5815</v>
      </c>
      <c r="I975" t="s">
        <v>3324</v>
      </c>
    </row>
    <row r="976" spans="1:9" x14ac:dyDescent="0.25">
      <c r="A976" t="s">
        <v>5816</v>
      </c>
      <c r="B976" t="s">
        <v>5816</v>
      </c>
      <c r="C976" t="s">
        <v>5817</v>
      </c>
      <c r="D976" t="s">
        <v>3242</v>
      </c>
      <c r="E976" t="s">
        <v>15710</v>
      </c>
      <c r="F976" t="s">
        <v>3257</v>
      </c>
      <c r="G976" t="s">
        <v>5818</v>
      </c>
      <c r="H976" t="s">
        <v>5084</v>
      </c>
    </row>
    <row r="977" spans="1:9" x14ac:dyDescent="0.25">
      <c r="A977" t="s">
        <v>5819</v>
      </c>
      <c r="B977" t="s">
        <v>5819</v>
      </c>
      <c r="C977" t="s">
        <v>5820</v>
      </c>
      <c r="D977" t="s">
        <v>3242</v>
      </c>
      <c r="E977" t="s">
        <v>16947</v>
      </c>
      <c r="F977" t="s">
        <v>5821</v>
      </c>
      <c r="G977" t="s">
        <v>5822</v>
      </c>
      <c r="H977" t="s">
        <v>3496</v>
      </c>
      <c r="I977" t="s">
        <v>3407</v>
      </c>
    </row>
    <row r="978" spans="1:9" x14ac:dyDescent="0.25">
      <c r="A978" t="s">
        <v>5823</v>
      </c>
      <c r="B978" t="s">
        <v>5823</v>
      </c>
      <c r="C978" t="s">
        <v>5824</v>
      </c>
      <c r="D978" t="s">
        <v>3242</v>
      </c>
      <c r="E978" t="s">
        <v>17188</v>
      </c>
      <c r="F978" t="s">
        <v>3306</v>
      </c>
      <c r="G978" t="s">
        <v>5825</v>
      </c>
      <c r="H978" t="s">
        <v>3353</v>
      </c>
      <c r="I978" t="s">
        <v>3324</v>
      </c>
    </row>
    <row r="979" spans="1:9" x14ac:dyDescent="0.25">
      <c r="A979" t="s">
        <v>5826</v>
      </c>
      <c r="B979" t="s">
        <v>5826</v>
      </c>
      <c r="C979" t="s">
        <v>5827</v>
      </c>
      <c r="D979" t="s">
        <v>3242</v>
      </c>
      <c r="E979" t="s">
        <v>17189</v>
      </c>
      <c r="F979" t="s">
        <v>3257</v>
      </c>
      <c r="G979" t="s">
        <v>5828</v>
      </c>
      <c r="H979" t="s">
        <v>5829</v>
      </c>
      <c r="I979" t="s">
        <v>3268</v>
      </c>
    </row>
    <row r="980" spans="1:9" x14ac:dyDescent="0.25">
      <c r="A980" t="s">
        <v>5830</v>
      </c>
      <c r="B980" t="s">
        <v>5830</v>
      </c>
      <c r="C980" t="s">
        <v>5831</v>
      </c>
      <c r="D980" t="s">
        <v>3242</v>
      </c>
      <c r="E980" t="s">
        <v>15710</v>
      </c>
      <c r="F980" t="s">
        <v>3243</v>
      </c>
      <c r="G980" t="s">
        <v>3243</v>
      </c>
      <c r="H980" t="s">
        <v>3290</v>
      </c>
    </row>
    <row r="981" spans="1:9" x14ac:dyDescent="0.25">
      <c r="A981" t="s">
        <v>5832</v>
      </c>
      <c r="B981" t="s">
        <v>5832</v>
      </c>
      <c r="C981" t="s">
        <v>5833</v>
      </c>
      <c r="D981" t="s">
        <v>3242</v>
      </c>
      <c r="E981" t="s">
        <v>15790</v>
      </c>
      <c r="F981" t="s">
        <v>3257</v>
      </c>
      <c r="G981" t="s">
        <v>5834</v>
      </c>
      <c r="H981" t="s">
        <v>4871</v>
      </c>
      <c r="I981" t="s">
        <v>3324</v>
      </c>
    </row>
    <row r="982" spans="1:9" x14ac:dyDescent="0.25">
      <c r="A982" t="s">
        <v>5835</v>
      </c>
      <c r="B982" t="s">
        <v>5835</v>
      </c>
      <c r="C982" t="s">
        <v>5836</v>
      </c>
      <c r="D982" t="s">
        <v>3242</v>
      </c>
      <c r="E982" t="s">
        <v>17190</v>
      </c>
      <c r="F982" t="s">
        <v>3257</v>
      </c>
      <c r="G982" t="s">
        <v>5837</v>
      </c>
      <c r="H982" t="s">
        <v>4871</v>
      </c>
      <c r="I982" t="s">
        <v>3324</v>
      </c>
    </row>
    <row r="983" spans="1:9" x14ac:dyDescent="0.25">
      <c r="A983" t="s">
        <v>5838</v>
      </c>
      <c r="B983" t="s">
        <v>5838</v>
      </c>
      <c r="C983" t="s">
        <v>5839</v>
      </c>
      <c r="D983" t="s">
        <v>3242</v>
      </c>
      <c r="E983" t="s">
        <v>15710</v>
      </c>
      <c r="F983" t="s">
        <v>3257</v>
      </c>
      <c r="G983" t="s">
        <v>5840</v>
      </c>
      <c r="H983" t="s">
        <v>5013</v>
      </c>
      <c r="I983" t="s">
        <v>3324</v>
      </c>
    </row>
    <row r="984" spans="1:9" x14ac:dyDescent="0.25">
      <c r="A984" t="s">
        <v>5841</v>
      </c>
      <c r="B984" t="s">
        <v>5841</v>
      </c>
      <c r="C984" t="s">
        <v>5842</v>
      </c>
      <c r="D984" t="s">
        <v>3242</v>
      </c>
      <c r="E984" t="s">
        <v>17191</v>
      </c>
      <c r="F984" t="s">
        <v>3257</v>
      </c>
      <c r="G984" t="s">
        <v>5843</v>
      </c>
      <c r="H984" t="s">
        <v>4871</v>
      </c>
      <c r="I984" t="s">
        <v>3324</v>
      </c>
    </row>
    <row r="985" spans="1:9" x14ac:dyDescent="0.25">
      <c r="A985" t="s">
        <v>5844</v>
      </c>
      <c r="B985" t="s">
        <v>5844</v>
      </c>
      <c r="C985" t="s">
        <v>5845</v>
      </c>
      <c r="D985" t="s">
        <v>3242</v>
      </c>
      <c r="E985" t="s">
        <v>15710</v>
      </c>
      <c r="F985" t="s">
        <v>3257</v>
      </c>
      <c r="G985" t="s">
        <v>5846</v>
      </c>
      <c r="H985" t="s">
        <v>5013</v>
      </c>
    </row>
    <row r="986" spans="1:9" x14ac:dyDescent="0.25">
      <c r="A986" t="s">
        <v>5847</v>
      </c>
      <c r="B986" t="s">
        <v>5847</v>
      </c>
      <c r="C986" t="s">
        <v>5848</v>
      </c>
      <c r="D986" t="s">
        <v>3242</v>
      </c>
      <c r="E986" t="s">
        <v>17192</v>
      </c>
      <c r="F986" t="s">
        <v>3257</v>
      </c>
      <c r="G986" t="s">
        <v>5849</v>
      </c>
      <c r="H986" t="s">
        <v>4919</v>
      </c>
      <c r="I986" t="s">
        <v>3324</v>
      </c>
    </row>
    <row r="987" spans="1:9" x14ac:dyDescent="0.25">
      <c r="A987" t="s">
        <v>5850</v>
      </c>
      <c r="B987" t="s">
        <v>5850</v>
      </c>
      <c r="C987" t="s">
        <v>5851</v>
      </c>
      <c r="D987" t="s">
        <v>3242</v>
      </c>
      <c r="E987" t="s">
        <v>15710</v>
      </c>
      <c r="F987" t="s">
        <v>3257</v>
      </c>
      <c r="G987" t="s">
        <v>5852</v>
      </c>
      <c r="H987" t="s">
        <v>5243</v>
      </c>
      <c r="I987" t="s">
        <v>3324</v>
      </c>
    </row>
    <row r="988" spans="1:9" x14ac:dyDescent="0.25">
      <c r="A988" t="s">
        <v>5853</v>
      </c>
      <c r="B988" t="s">
        <v>5853</v>
      </c>
      <c r="C988" t="s">
        <v>5854</v>
      </c>
      <c r="D988" t="s">
        <v>3242</v>
      </c>
      <c r="E988" t="s">
        <v>17193</v>
      </c>
      <c r="F988" t="s">
        <v>3251</v>
      </c>
      <c r="G988" t="s">
        <v>5855</v>
      </c>
      <c r="H988" t="s">
        <v>3311</v>
      </c>
      <c r="I988" t="s">
        <v>3254</v>
      </c>
    </row>
    <row r="989" spans="1:9" x14ac:dyDescent="0.25">
      <c r="A989" t="s">
        <v>5856</v>
      </c>
      <c r="B989" t="s">
        <v>5856</v>
      </c>
      <c r="C989" t="s">
        <v>5857</v>
      </c>
      <c r="D989" t="s">
        <v>3242</v>
      </c>
      <c r="E989" t="s">
        <v>15710</v>
      </c>
      <c r="F989" t="s">
        <v>3300</v>
      </c>
      <c r="G989" t="s">
        <v>5858</v>
      </c>
      <c r="H989" t="s">
        <v>3267</v>
      </c>
      <c r="I989" t="s">
        <v>3268</v>
      </c>
    </row>
    <row r="990" spans="1:9" x14ac:dyDescent="0.25">
      <c r="A990" t="s">
        <v>5859</v>
      </c>
      <c r="B990" t="s">
        <v>5859</v>
      </c>
      <c r="C990" t="s">
        <v>5860</v>
      </c>
      <c r="D990" t="s">
        <v>3242</v>
      </c>
      <c r="E990" t="s">
        <v>17550</v>
      </c>
      <c r="F990" t="s">
        <v>3257</v>
      </c>
      <c r="G990" t="s">
        <v>17551</v>
      </c>
      <c r="H990" t="s">
        <v>3623</v>
      </c>
      <c r="I990" t="s">
        <v>5390</v>
      </c>
    </row>
    <row r="991" spans="1:9" x14ac:dyDescent="0.25">
      <c r="A991" t="s">
        <v>5861</v>
      </c>
      <c r="B991" t="s">
        <v>5861</v>
      </c>
      <c r="C991" t="s">
        <v>5862</v>
      </c>
      <c r="D991" t="s">
        <v>3242</v>
      </c>
      <c r="E991" t="s">
        <v>15710</v>
      </c>
      <c r="F991" t="s">
        <v>3257</v>
      </c>
      <c r="G991" t="s">
        <v>5863</v>
      </c>
      <c r="H991" t="s">
        <v>3353</v>
      </c>
      <c r="I991" t="s">
        <v>3324</v>
      </c>
    </row>
    <row r="992" spans="1:9" x14ac:dyDescent="0.25">
      <c r="A992" t="s">
        <v>5864</v>
      </c>
      <c r="B992" t="s">
        <v>5864</v>
      </c>
      <c r="C992" t="s">
        <v>5865</v>
      </c>
      <c r="D992" t="s">
        <v>3242</v>
      </c>
      <c r="E992" t="s">
        <v>15710</v>
      </c>
      <c r="F992" t="s">
        <v>3257</v>
      </c>
      <c r="G992" t="s">
        <v>5866</v>
      </c>
      <c r="H992" t="s">
        <v>5722</v>
      </c>
      <c r="I992" t="s">
        <v>3366</v>
      </c>
    </row>
    <row r="993" spans="1:9" x14ac:dyDescent="0.25">
      <c r="A993" t="s">
        <v>5867</v>
      </c>
      <c r="B993" t="s">
        <v>5867</v>
      </c>
      <c r="C993" t="s">
        <v>5868</v>
      </c>
      <c r="D993" t="s">
        <v>3242</v>
      </c>
      <c r="E993" t="s">
        <v>15710</v>
      </c>
      <c r="F993" t="s">
        <v>3257</v>
      </c>
      <c r="G993" t="s">
        <v>5869</v>
      </c>
      <c r="H993" t="s">
        <v>5722</v>
      </c>
      <c r="I993" t="s">
        <v>3324</v>
      </c>
    </row>
    <row r="994" spans="1:9" x14ac:dyDescent="0.25">
      <c r="A994" t="s">
        <v>5870</v>
      </c>
      <c r="B994" t="s">
        <v>5870</v>
      </c>
      <c r="C994" t="s">
        <v>5871</v>
      </c>
      <c r="D994" t="s">
        <v>3321</v>
      </c>
      <c r="E994" t="s">
        <v>15710</v>
      </c>
      <c r="F994" t="s">
        <v>3257</v>
      </c>
      <c r="G994" t="s">
        <v>5872</v>
      </c>
      <c r="H994" t="s">
        <v>3643</v>
      </c>
      <c r="I994" t="s">
        <v>3268</v>
      </c>
    </row>
    <row r="995" spans="1:9" x14ac:dyDescent="0.25">
      <c r="A995" t="s">
        <v>5873</v>
      </c>
      <c r="B995" t="s">
        <v>5873</v>
      </c>
      <c r="C995" t="s">
        <v>5874</v>
      </c>
      <c r="D995" t="s">
        <v>3242</v>
      </c>
      <c r="E995" t="s">
        <v>15791</v>
      </c>
      <c r="F995" t="s">
        <v>3747</v>
      </c>
      <c r="G995" t="s">
        <v>5875</v>
      </c>
      <c r="H995" t="s">
        <v>3594</v>
      </c>
      <c r="I995" t="s">
        <v>3324</v>
      </c>
    </row>
    <row r="996" spans="1:9" x14ac:dyDescent="0.25">
      <c r="A996" t="s">
        <v>5876</v>
      </c>
      <c r="B996" t="s">
        <v>5876</v>
      </c>
      <c r="C996" t="s">
        <v>5877</v>
      </c>
      <c r="D996" t="s">
        <v>3242</v>
      </c>
      <c r="E996" t="s">
        <v>16074</v>
      </c>
      <c r="F996" t="s">
        <v>3251</v>
      </c>
      <c r="G996" t="s">
        <v>5878</v>
      </c>
      <c r="H996" t="s">
        <v>4004</v>
      </c>
      <c r="I996" t="s">
        <v>4605</v>
      </c>
    </row>
    <row r="997" spans="1:9" x14ac:dyDescent="0.25">
      <c r="A997" t="s">
        <v>5879</v>
      </c>
      <c r="B997" t="s">
        <v>5879</v>
      </c>
      <c r="C997" t="s">
        <v>5880</v>
      </c>
      <c r="D997" t="s">
        <v>3321</v>
      </c>
      <c r="E997" t="s">
        <v>15710</v>
      </c>
      <c r="F997" t="s">
        <v>5881</v>
      </c>
      <c r="G997" t="s">
        <v>5882</v>
      </c>
      <c r="H997" t="s">
        <v>5883</v>
      </c>
      <c r="I997" t="s">
        <v>3268</v>
      </c>
    </row>
    <row r="998" spans="1:9" x14ac:dyDescent="0.25">
      <c r="A998" t="s">
        <v>5884</v>
      </c>
      <c r="B998" t="s">
        <v>5884</v>
      </c>
      <c r="C998" t="s">
        <v>5885</v>
      </c>
      <c r="D998" t="s">
        <v>3242</v>
      </c>
      <c r="E998" t="s">
        <v>15710</v>
      </c>
      <c r="F998" t="s">
        <v>3257</v>
      </c>
      <c r="G998" t="s">
        <v>5886</v>
      </c>
      <c r="H998" t="s">
        <v>5665</v>
      </c>
      <c r="I998" t="s">
        <v>3268</v>
      </c>
    </row>
    <row r="999" spans="1:9" x14ac:dyDescent="0.25">
      <c r="A999" t="s">
        <v>5887</v>
      </c>
      <c r="B999" t="s">
        <v>5887</v>
      </c>
      <c r="C999" t="s">
        <v>5888</v>
      </c>
      <c r="D999" t="s">
        <v>3242</v>
      </c>
      <c r="E999" t="s">
        <v>15710</v>
      </c>
      <c r="F999" t="s">
        <v>3257</v>
      </c>
      <c r="G999" t="s">
        <v>5889</v>
      </c>
      <c r="H999" t="s">
        <v>5722</v>
      </c>
      <c r="I999" t="s">
        <v>3324</v>
      </c>
    </row>
    <row r="1000" spans="1:9" x14ac:dyDescent="0.25">
      <c r="A1000" t="s">
        <v>5890</v>
      </c>
      <c r="B1000" t="s">
        <v>5890</v>
      </c>
      <c r="C1000" t="s">
        <v>5891</v>
      </c>
      <c r="D1000" t="s">
        <v>3242</v>
      </c>
      <c r="E1000" t="s">
        <v>15710</v>
      </c>
      <c r="F1000" t="s">
        <v>3257</v>
      </c>
      <c r="G1000" t="s">
        <v>3458</v>
      </c>
      <c r="H1000" t="s">
        <v>5722</v>
      </c>
    </row>
    <row r="1001" spans="1:9" x14ac:dyDescent="0.25">
      <c r="A1001" t="s">
        <v>5892</v>
      </c>
      <c r="B1001" t="s">
        <v>5892</v>
      </c>
      <c r="C1001" t="s">
        <v>5893</v>
      </c>
      <c r="D1001" t="s">
        <v>3242</v>
      </c>
      <c r="E1001" t="s">
        <v>15710</v>
      </c>
      <c r="F1001" t="s">
        <v>3306</v>
      </c>
      <c r="G1001" t="s">
        <v>5894</v>
      </c>
      <c r="H1001" t="s">
        <v>5895</v>
      </c>
      <c r="I1001" t="s">
        <v>3294</v>
      </c>
    </row>
    <row r="1002" spans="1:9" x14ac:dyDescent="0.25">
      <c r="A1002" t="s">
        <v>5896</v>
      </c>
      <c r="B1002" t="s">
        <v>5896</v>
      </c>
      <c r="C1002" t="s">
        <v>5897</v>
      </c>
      <c r="D1002" t="s">
        <v>3242</v>
      </c>
      <c r="E1002" t="s">
        <v>17194</v>
      </c>
      <c r="F1002" t="s">
        <v>3257</v>
      </c>
      <c r="G1002" t="s">
        <v>5898</v>
      </c>
      <c r="H1002" t="s">
        <v>3353</v>
      </c>
      <c r="I1002" t="s">
        <v>3324</v>
      </c>
    </row>
    <row r="1003" spans="1:9" x14ac:dyDescent="0.25">
      <c r="A1003" t="s">
        <v>5899</v>
      </c>
      <c r="B1003" t="s">
        <v>5899</v>
      </c>
      <c r="C1003" t="s">
        <v>5900</v>
      </c>
      <c r="D1003" t="s">
        <v>3242</v>
      </c>
      <c r="E1003" t="s">
        <v>15793</v>
      </c>
      <c r="F1003" t="s">
        <v>4996</v>
      </c>
      <c r="G1003" t="s">
        <v>5901</v>
      </c>
      <c r="H1003" t="s">
        <v>3643</v>
      </c>
      <c r="I1003" t="s">
        <v>3366</v>
      </c>
    </row>
    <row r="1004" spans="1:9" x14ac:dyDescent="0.25">
      <c r="A1004" t="s">
        <v>5902</v>
      </c>
      <c r="B1004" t="s">
        <v>5902</v>
      </c>
      <c r="C1004" t="s">
        <v>5903</v>
      </c>
      <c r="D1004" t="s">
        <v>3242</v>
      </c>
      <c r="E1004" t="s">
        <v>15710</v>
      </c>
      <c r="F1004" t="s">
        <v>3251</v>
      </c>
      <c r="G1004" t="s">
        <v>5904</v>
      </c>
      <c r="H1004" t="s">
        <v>5905</v>
      </c>
    </row>
    <row r="1005" spans="1:9" x14ac:dyDescent="0.25">
      <c r="A1005" t="s">
        <v>5906</v>
      </c>
      <c r="B1005" t="s">
        <v>5906</v>
      </c>
      <c r="C1005" t="s">
        <v>5907</v>
      </c>
      <c r="D1005" t="s">
        <v>3242</v>
      </c>
      <c r="E1005" t="s">
        <v>15710</v>
      </c>
      <c r="F1005" t="s">
        <v>3257</v>
      </c>
      <c r="G1005" t="s">
        <v>5908</v>
      </c>
      <c r="H1005" t="s">
        <v>3267</v>
      </c>
      <c r="I1005" t="s">
        <v>3268</v>
      </c>
    </row>
    <row r="1006" spans="1:9" x14ac:dyDescent="0.25">
      <c r="A1006" t="s">
        <v>5909</v>
      </c>
      <c r="B1006" t="s">
        <v>5909</v>
      </c>
      <c r="C1006" t="s">
        <v>5910</v>
      </c>
      <c r="D1006" t="s">
        <v>3242</v>
      </c>
      <c r="E1006" t="s">
        <v>15710</v>
      </c>
      <c r="F1006" t="s">
        <v>3243</v>
      </c>
      <c r="G1006" t="s">
        <v>5221</v>
      </c>
      <c r="H1006" t="s">
        <v>3290</v>
      </c>
    </row>
    <row r="1007" spans="1:9" x14ac:dyDescent="0.25">
      <c r="A1007" t="s">
        <v>5911</v>
      </c>
      <c r="B1007" t="s">
        <v>5911</v>
      </c>
      <c r="C1007" t="s">
        <v>5912</v>
      </c>
      <c r="D1007" t="s">
        <v>3242</v>
      </c>
      <c r="E1007" t="s">
        <v>15710</v>
      </c>
      <c r="F1007" t="s">
        <v>3306</v>
      </c>
      <c r="G1007" t="s">
        <v>5913</v>
      </c>
      <c r="H1007" t="s">
        <v>5883</v>
      </c>
      <c r="I1007" t="s">
        <v>3366</v>
      </c>
    </row>
    <row r="1008" spans="1:9" x14ac:dyDescent="0.25">
      <c r="A1008" t="s">
        <v>5914</v>
      </c>
      <c r="B1008" t="s">
        <v>5914</v>
      </c>
      <c r="C1008" t="s">
        <v>5915</v>
      </c>
      <c r="D1008" t="s">
        <v>3242</v>
      </c>
      <c r="E1008" t="s">
        <v>16955</v>
      </c>
      <c r="F1008" t="s">
        <v>3306</v>
      </c>
      <c r="G1008" t="s">
        <v>5916</v>
      </c>
      <c r="H1008" t="s">
        <v>5883</v>
      </c>
      <c r="I1008" t="s">
        <v>3324</v>
      </c>
    </row>
    <row r="1009" spans="1:9" x14ac:dyDescent="0.25">
      <c r="A1009" t="s">
        <v>5917</v>
      </c>
      <c r="B1009" t="s">
        <v>5917</v>
      </c>
      <c r="C1009" t="s">
        <v>5918</v>
      </c>
      <c r="D1009" t="s">
        <v>3321</v>
      </c>
      <c r="E1009" t="s">
        <v>15710</v>
      </c>
      <c r="F1009" t="s">
        <v>3306</v>
      </c>
      <c r="G1009" t="s">
        <v>5919</v>
      </c>
      <c r="H1009" t="s">
        <v>3290</v>
      </c>
    </row>
    <row r="1010" spans="1:9" x14ac:dyDescent="0.25">
      <c r="A1010" t="s">
        <v>5920</v>
      </c>
      <c r="B1010" t="s">
        <v>5921</v>
      </c>
      <c r="C1010" t="s">
        <v>5922</v>
      </c>
      <c r="D1010" t="s">
        <v>3321</v>
      </c>
      <c r="E1010" t="s">
        <v>15710</v>
      </c>
      <c r="F1010" t="s">
        <v>3257</v>
      </c>
      <c r="G1010" t="s">
        <v>5923</v>
      </c>
      <c r="H1010" t="s">
        <v>3267</v>
      </c>
    </row>
    <row r="1011" spans="1:9" x14ac:dyDescent="0.25">
      <c r="A1011" t="s">
        <v>5924</v>
      </c>
      <c r="B1011" t="s">
        <v>5925</v>
      </c>
      <c r="C1011" t="s">
        <v>5926</v>
      </c>
      <c r="D1011" t="s">
        <v>3242</v>
      </c>
      <c r="E1011" t="s">
        <v>15996</v>
      </c>
      <c r="F1011" t="s">
        <v>3257</v>
      </c>
      <c r="G1011" t="s">
        <v>5927</v>
      </c>
      <c r="H1011" t="s">
        <v>5084</v>
      </c>
      <c r="I1011" t="s">
        <v>3324</v>
      </c>
    </row>
    <row r="1012" spans="1:9" x14ac:dyDescent="0.25">
      <c r="A1012" t="s">
        <v>5928</v>
      </c>
      <c r="B1012" t="s">
        <v>5928</v>
      </c>
      <c r="C1012" t="s">
        <v>5929</v>
      </c>
      <c r="D1012" t="s">
        <v>3242</v>
      </c>
      <c r="E1012" t="s">
        <v>17195</v>
      </c>
      <c r="F1012" t="s">
        <v>5035</v>
      </c>
      <c r="G1012" t="s">
        <v>5930</v>
      </c>
      <c r="H1012" t="s">
        <v>3643</v>
      </c>
      <c r="I1012" t="s">
        <v>3366</v>
      </c>
    </row>
    <row r="1013" spans="1:9" x14ac:dyDescent="0.25">
      <c r="A1013" t="s">
        <v>5931</v>
      </c>
      <c r="B1013" t="s">
        <v>5931</v>
      </c>
      <c r="C1013" t="s">
        <v>5932</v>
      </c>
      <c r="D1013" t="s">
        <v>3242</v>
      </c>
      <c r="E1013" t="s">
        <v>15794</v>
      </c>
      <c r="F1013" t="s">
        <v>3306</v>
      </c>
      <c r="G1013" t="s">
        <v>5933</v>
      </c>
      <c r="H1013" t="s">
        <v>3353</v>
      </c>
      <c r="I1013" t="s">
        <v>3324</v>
      </c>
    </row>
    <row r="1014" spans="1:9" x14ac:dyDescent="0.25">
      <c r="A1014" t="s">
        <v>5934</v>
      </c>
      <c r="B1014" t="s">
        <v>5934</v>
      </c>
      <c r="C1014" t="s">
        <v>5935</v>
      </c>
      <c r="D1014" t="s">
        <v>3242</v>
      </c>
      <c r="E1014" t="s">
        <v>15710</v>
      </c>
      <c r="F1014" t="s">
        <v>3257</v>
      </c>
      <c r="G1014" t="s">
        <v>5936</v>
      </c>
      <c r="H1014" t="s">
        <v>5937</v>
      </c>
    </row>
    <row r="1015" spans="1:9" x14ac:dyDescent="0.25">
      <c r="A1015" t="s">
        <v>5938</v>
      </c>
      <c r="B1015" t="s">
        <v>5938</v>
      </c>
      <c r="C1015" t="s">
        <v>5939</v>
      </c>
      <c r="D1015" t="s">
        <v>3242</v>
      </c>
      <c r="E1015" t="s">
        <v>15996</v>
      </c>
      <c r="F1015" t="s">
        <v>3257</v>
      </c>
      <c r="G1015" t="s">
        <v>5940</v>
      </c>
      <c r="H1015" t="s">
        <v>3323</v>
      </c>
      <c r="I1015" t="s">
        <v>3366</v>
      </c>
    </row>
    <row r="1016" spans="1:9" x14ac:dyDescent="0.25">
      <c r="A1016" t="s">
        <v>5941</v>
      </c>
      <c r="B1016" t="s">
        <v>5941</v>
      </c>
      <c r="C1016" t="s">
        <v>5942</v>
      </c>
      <c r="D1016" t="s">
        <v>3242</v>
      </c>
      <c r="E1016" t="s">
        <v>15795</v>
      </c>
      <c r="F1016" t="s">
        <v>3306</v>
      </c>
      <c r="G1016" t="s">
        <v>5943</v>
      </c>
      <c r="H1016" t="s">
        <v>5944</v>
      </c>
      <c r="I1016" t="s">
        <v>3294</v>
      </c>
    </row>
    <row r="1017" spans="1:9" x14ac:dyDescent="0.25">
      <c r="A1017" t="s">
        <v>5945</v>
      </c>
      <c r="B1017" t="s">
        <v>5945</v>
      </c>
      <c r="C1017" t="s">
        <v>5946</v>
      </c>
      <c r="D1017" t="s">
        <v>3242</v>
      </c>
      <c r="E1017" t="s">
        <v>17196</v>
      </c>
      <c r="F1017" t="s">
        <v>4996</v>
      </c>
      <c r="G1017" t="s">
        <v>5947</v>
      </c>
      <c r="H1017" t="s">
        <v>3379</v>
      </c>
      <c r="I1017" t="s">
        <v>3366</v>
      </c>
    </row>
    <row r="1018" spans="1:9" x14ac:dyDescent="0.25">
      <c r="A1018" t="s">
        <v>5948</v>
      </c>
      <c r="B1018" t="s">
        <v>5948</v>
      </c>
      <c r="C1018" t="s">
        <v>5949</v>
      </c>
      <c r="D1018" t="s">
        <v>3242</v>
      </c>
      <c r="E1018" t="s">
        <v>15710</v>
      </c>
      <c r="F1018" t="s">
        <v>3257</v>
      </c>
      <c r="G1018" t="s">
        <v>5950</v>
      </c>
      <c r="H1018" t="s">
        <v>3323</v>
      </c>
      <c r="I1018" t="s">
        <v>3366</v>
      </c>
    </row>
    <row r="1019" spans="1:9" x14ac:dyDescent="0.25">
      <c r="A1019" t="s">
        <v>5951</v>
      </c>
      <c r="B1019" t="s">
        <v>5951</v>
      </c>
      <c r="C1019" t="s">
        <v>5952</v>
      </c>
      <c r="D1019" t="s">
        <v>3242</v>
      </c>
      <c r="E1019" t="s">
        <v>15710</v>
      </c>
      <c r="F1019" t="s">
        <v>3257</v>
      </c>
      <c r="G1019" t="s">
        <v>15013</v>
      </c>
      <c r="H1019" t="s">
        <v>4919</v>
      </c>
      <c r="I1019" t="s">
        <v>3324</v>
      </c>
    </row>
    <row r="1020" spans="1:9" x14ac:dyDescent="0.25">
      <c r="A1020" t="s">
        <v>5953</v>
      </c>
      <c r="B1020" t="s">
        <v>5953</v>
      </c>
      <c r="C1020" t="s">
        <v>5954</v>
      </c>
      <c r="D1020" t="s">
        <v>3242</v>
      </c>
      <c r="E1020" t="s">
        <v>15710</v>
      </c>
      <c r="F1020" t="s">
        <v>5955</v>
      </c>
      <c r="G1020" t="s">
        <v>5956</v>
      </c>
      <c r="H1020" t="s">
        <v>5957</v>
      </c>
      <c r="I1020" t="s">
        <v>3294</v>
      </c>
    </row>
    <row r="1021" spans="1:9" x14ac:dyDescent="0.25">
      <c r="A1021" t="s">
        <v>5958</v>
      </c>
      <c r="B1021" t="s">
        <v>5958</v>
      </c>
      <c r="C1021" t="s">
        <v>5959</v>
      </c>
      <c r="D1021" t="s">
        <v>3242</v>
      </c>
      <c r="E1021" t="s">
        <v>15797</v>
      </c>
      <c r="F1021" t="s">
        <v>3251</v>
      </c>
      <c r="G1021" t="s">
        <v>5960</v>
      </c>
      <c r="H1021" t="s">
        <v>3353</v>
      </c>
      <c r="I1021" t="s">
        <v>3324</v>
      </c>
    </row>
    <row r="1022" spans="1:9" x14ac:dyDescent="0.25">
      <c r="A1022" t="s">
        <v>5961</v>
      </c>
      <c r="B1022" t="s">
        <v>5961</v>
      </c>
      <c r="C1022" t="s">
        <v>5962</v>
      </c>
      <c r="D1022" t="s">
        <v>3242</v>
      </c>
      <c r="E1022" t="s">
        <v>17197</v>
      </c>
      <c r="F1022" t="s">
        <v>3257</v>
      </c>
      <c r="G1022" t="s">
        <v>5963</v>
      </c>
      <c r="H1022" t="s">
        <v>3353</v>
      </c>
      <c r="I1022" t="s">
        <v>3324</v>
      </c>
    </row>
    <row r="1023" spans="1:9" x14ac:dyDescent="0.25">
      <c r="A1023" t="s">
        <v>5964</v>
      </c>
      <c r="B1023" t="s">
        <v>5964</v>
      </c>
      <c r="C1023" t="s">
        <v>5965</v>
      </c>
      <c r="D1023" t="s">
        <v>3242</v>
      </c>
      <c r="E1023" t="s">
        <v>15798</v>
      </c>
      <c r="F1023" t="s">
        <v>3257</v>
      </c>
      <c r="G1023" t="s">
        <v>5966</v>
      </c>
      <c r="H1023" t="s">
        <v>4953</v>
      </c>
      <c r="I1023" t="s">
        <v>4028</v>
      </c>
    </row>
    <row r="1024" spans="1:9" x14ac:dyDescent="0.25">
      <c r="A1024" t="s">
        <v>5967</v>
      </c>
      <c r="B1024" t="s">
        <v>5967</v>
      </c>
      <c r="C1024" t="s">
        <v>5968</v>
      </c>
      <c r="D1024" t="s">
        <v>3242</v>
      </c>
      <c r="E1024" t="s">
        <v>15710</v>
      </c>
      <c r="F1024" t="s">
        <v>3747</v>
      </c>
      <c r="G1024" t="s">
        <v>5969</v>
      </c>
      <c r="H1024" t="s">
        <v>3262</v>
      </c>
      <c r="I1024" t="s">
        <v>3432</v>
      </c>
    </row>
    <row r="1025" spans="1:9" x14ac:dyDescent="0.25">
      <c r="A1025" t="s">
        <v>5970</v>
      </c>
      <c r="B1025" t="s">
        <v>5970</v>
      </c>
      <c r="C1025" t="s">
        <v>5971</v>
      </c>
      <c r="D1025" t="s">
        <v>3242</v>
      </c>
      <c r="E1025" t="s">
        <v>15710</v>
      </c>
      <c r="F1025" t="s">
        <v>3251</v>
      </c>
      <c r="G1025" t="s">
        <v>5972</v>
      </c>
      <c r="H1025" t="s">
        <v>4019</v>
      </c>
      <c r="I1025" t="s">
        <v>3694</v>
      </c>
    </row>
    <row r="1026" spans="1:9" x14ac:dyDescent="0.25">
      <c r="A1026" t="s">
        <v>5973</v>
      </c>
      <c r="B1026" t="s">
        <v>5973</v>
      </c>
      <c r="C1026" t="s">
        <v>5974</v>
      </c>
      <c r="D1026" t="s">
        <v>3242</v>
      </c>
      <c r="E1026" t="s">
        <v>15799</v>
      </c>
      <c r="F1026" t="s">
        <v>3243</v>
      </c>
      <c r="G1026" t="s">
        <v>5975</v>
      </c>
      <c r="H1026" t="s">
        <v>5976</v>
      </c>
    </row>
    <row r="1027" spans="1:9" x14ac:dyDescent="0.25">
      <c r="A1027" t="s">
        <v>5977</v>
      </c>
      <c r="B1027" t="s">
        <v>5977</v>
      </c>
      <c r="C1027" t="s">
        <v>5978</v>
      </c>
      <c r="D1027" t="s">
        <v>3242</v>
      </c>
      <c r="E1027" t="s">
        <v>15710</v>
      </c>
      <c r="F1027" t="s">
        <v>5979</v>
      </c>
      <c r="G1027" t="s">
        <v>5980</v>
      </c>
      <c r="H1027" t="s">
        <v>3647</v>
      </c>
      <c r="I1027" t="s">
        <v>3648</v>
      </c>
    </row>
    <row r="1028" spans="1:9" x14ac:dyDescent="0.25">
      <c r="A1028" t="s">
        <v>5981</v>
      </c>
      <c r="B1028" t="s">
        <v>5981</v>
      </c>
      <c r="C1028" t="s">
        <v>5982</v>
      </c>
      <c r="D1028" t="s">
        <v>3242</v>
      </c>
      <c r="E1028" t="s">
        <v>15710</v>
      </c>
      <c r="F1028" t="s">
        <v>3243</v>
      </c>
      <c r="G1028" t="s">
        <v>5983</v>
      </c>
      <c r="H1028" t="s">
        <v>3285</v>
      </c>
    </row>
    <row r="1029" spans="1:9" x14ac:dyDescent="0.25">
      <c r="A1029" t="s">
        <v>5984</v>
      </c>
      <c r="B1029" t="s">
        <v>5984</v>
      </c>
      <c r="C1029" t="s">
        <v>5985</v>
      </c>
      <c r="D1029" t="s">
        <v>3242</v>
      </c>
      <c r="E1029" t="s">
        <v>15710</v>
      </c>
      <c r="F1029" t="s">
        <v>3345</v>
      </c>
      <c r="G1029" t="s">
        <v>5986</v>
      </c>
      <c r="H1029" t="s">
        <v>3285</v>
      </c>
    </row>
    <row r="1030" spans="1:9" x14ac:dyDescent="0.25">
      <c r="A1030" t="s">
        <v>5987</v>
      </c>
      <c r="B1030" t="s">
        <v>5987</v>
      </c>
      <c r="C1030" t="s">
        <v>5988</v>
      </c>
      <c r="D1030" t="s">
        <v>3242</v>
      </c>
      <c r="E1030" t="s">
        <v>17552</v>
      </c>
      <c r="F1030" t="s">
        <v>3257</v>
      </c>
      <c r="G1030" t="s">
        <v>5989</v>
      </c>
      <c r="H1030" t="s">
        <v>3417</v>
      </c>
      <c r="I1030" t="s">
        <v>3648</v>
      </c>
    </row>
    <row r="1031" spans="1:9" x14ac:dyDescent="0.25">
      <c r="A1031" t="s">
        <v>5990</v>
      </c>
      <c r="B1031" t="s">
        <v>5990</v>
      </c>
      <c r="C1031" t="s">
        <v>5991</v>
      </c>
      <c r="D1031" t="s">
        <v>3242</v>
      </c>
      <c r="E1031" t="s">
        <v>15710</v>
      </c>
      <c r="F1031" t="s">
        <v>3257</v>
      </c>
      <c r="G1031" t="s">
        <v>5992</v>
      </c>
      <c r="H1031" t="s">
        <v>3387</v>
      </c>
    </row>
    <row r="1032" spans="1:9" x14ac:dyDescent="0.25">
      <c r="A1032" t="s">
        <v>17553</v>
      </c>
      <c r="B1032" t="s">
        <v>17553</v>
      </c>
      <c r="C1032" t="s">
        <v>17554</v>
      </c>
      <c r="D1032" t="s">
        <v>3242</v>
      </c>
      <c r="E1032" t="s">
        <v>15710</v>
      </c>
      <c r="F1032" t="s">
        <v>3243</v>
      </c>
      <c r="G1032" t="s">
        <v>17555</v>
      </c>
      <c r="H1032" t="s">
        <v>3417</v>
      </c>
    </row>
    <row r="1033" spans="1:9" x14ac:dyDescent="0.25">
      <c r="A1033" t="s">
        <v>5993</v>
      </c>
      <c r="B1033" t="s">
        <v>5993</v>
      </c>
      <c r="C1033" t="s">
        <v>5994</v>
      </c>
      <c r="D1033" t="s">
        <v>3242</v>
      </c>
      <c r="E1033" t="s">
        <v>15710</v>
      </c>
      <c r="F1033" t="s">
        <v>3257</v>
      </c>
      <c r="G1033" t="s">
        <v>5995</v>
      </c>
      <c r="H1033" t="s">
        <v>3262</v>
      </c>
    </row>
    <row r="1034" spans="1:9" x14ac:dyDescent="0.25">
      <c r="A1034" t="s">
        <v>5996</v>
      </c>
      <c r="B1034" t="s">
        <v>5996</v>
      </c>
      <c r="C1034" t="s">
        <v>5997</v>
      </c>
      <c r="D1034" t="s">
        <v>3242</v>
      </c>
      <c r="E1034" t="s">
        <v>15710</v>
      </c>
      <c r="F1034" t="s">
        <v>3257</v>
      </c>
      <c r="G1034" t="s">
        <v>5998</v>
      </c>
      <c r="H1034" t="s">
        <v>3253</v>
      </c>
      <c r="I1034" t="s">
        <v>3451</v>
      </c>
    </row>
    <row r="1035" spans="1:9" x14ac:dyDescent="0.25">
      <c r="A1035" t="s">
        <v>5999</v>
      </c>
      <c r="B1035" t="s">
        <v>5999</v>
      </c>
      <c r="C1035" t="s">
        <v>6000</v>
      </c>
      <c r="D1035" t="s">
        <v>3242</v>
      </c>
      <c r="E1035" t="s">
        <v>15800</v>
      </c>
      <c r="F1035" t="s">
        <v>3257</v>
      </c>
      <c r="G1035" t="s">
        <v>6001</v>
      </c>
      <c r="H1035" t="s">
        <v>3417</v>
      </c>
      <c r="I1035" t="s">
        <v>3648</v>
      </c>
    </row>
    <row r="1036" spans="1:9" x14ac:dyDescent="0.25">
      <c r="A1036" t="s">
        <v>6002</v>
      </c>
      <c r="B1036" t="s">
        <v>6002</v>
      </c>
      <c r="C1036" t="s">
        <v>6003</v>
      </c>
      <c r="D1036" t="s">
        <v>3242</v>
      </c>
      <c r="E1036" t="s">
        <v>15710</v>
      </c>
      <c r="F1036" t="s">
        <v>3251</v>
      </c>
      <c r="G1036" t="s">
        <v>6004</v>
      </c>
      <c r="H1036" t="s">
        <v>3253</v>
      </c>
    </row>
    <row r="1037" spans="1:9" x14ac:dyDescent="0.25">
      <c r="A1037" t="s">
        <v>6005</v>
      </c>
      <c r="B1037" t="s">
        <v>6005</v>
      </c>
      <c r="C1037" t="s">
        <v>6006</v>
      </c>
      <c r="D1037" t="s">
        <v>3242</v>
      </c>
      <c r="E1037" t="s">
        <v>15853</v>
      </c>
      <c r="F1037" t="s">
        <v>3251</v>
      </c>
      <c r="G1037" t="s">
        <v>6007</v>
      </c>
      <c r="H1037" t="s">
        <v>3253</v>
      </c>
      <c r="I1037" t="s">
        <v>3451</v>
      </c>
    </row>
    <row r="1038" spans="1:9" x14ac:dyDescent="0.25">
      <c r="A1038" t="s">
        <v>6008</v>
      </c>
      <c r="B1038" t="s">
        <v>6008</v>
      </c>
      <c r="C1038" t="s">
        <v>6009</v>
      </c>
      <c r="D1038" t="s">
        <v>3242</v>
      </c>
      <c r="E1038" t="s">
        <v>15710</v>
      </c>
      <c r="F1038" t="s">
        <v>3306</v>
      </c>
      <c r="G1038" t="s">
        <v>6010</v>
      </c>
      <c r="H1038" t="s">
        <v>3290</v>
      </c>
    </row>
    <row r="1039" spans="1:9" x14ac:dyDescent="0.25">
      <c r="A1039" t="s">
        <v>17556</v>
      </c>
      <c r="B1039" t="s">
        <v>17556</v>
      </c>
      <c r="C1039" t="s">
        <v>17557</v>
      </c>
      <c r="D1039" t="s">
        <v>3242</v>
      </c>
      <c r="E1039" t="s">
        <v>15710</v>
      </c>
      <c r="F1039" t="s">
        <v>6077</v>
      </c>
      <c r="G1039" t="s">
        <v>17558</v>
      </c>
      <c r="H1039" t="s">
        <v>3519</v>
      </c>
      <c r="I1039" t="s">
        <v>15020</v>
      </c>
    </row>
    <row r="1040" spans="1:9" x14ac:dyDescent="0.25">
      <c r="A1040" t="s">
        <v>15014</v>
      </c>
      <c r="B1040" t="s">
        <v>15014</v>
      </c>
      <c r="C1040" t="s">
        <v>15015</v>
      </c>
      <c r="D1040" t="s">
        <v>3242</v>
      </c>
      <c r="E1040" t="s">
        <v>15710</v>
      </c>
      <c r="H1040" t="s">
        <v>3519</v>
      </c>
    </row>
    <row r="1041" spans="1:9" x14ac:dyDescent="0.25">
      <c r="A1041" t="s">
        <v>6011</v>
      </c>
      <c r="B1041" t="s">
        <v>6011</v>
      </c>
      <c r="C1041" t="s">
        <v>6012</v>
      </c>
      <c r="D1041" t="s">
        <v>3242</v>
      </c>
      <c r="E1041" t="s">
        <v>15787</v>
      </c>
      <c r="F1041" t="s">
        <v>3257</v>
      </c>
      <c r="G1041" t="s">
        <v>6013</v>
      </c>
      <c r="H1041" t="s">
        <v>3262</v>
      </c>
      <c r="I1041" t="s">
        <v>3263</v>
      </c>
    </row>
    <row r="1042" spans="1:9" x14ac:dyDescent="0.25">
      <c r="A1042" t="s">
        <v>6014</v>
      </c>
      <c r="B1042" t="s">
        <v>6014</v>
      </c>
      <c r="C1042" t="s">
        <v>6015</v>
      </c>
      <c r="D1042" t="s">
        <v>3242</v>
      </c>
      <c r="E1042" t="s">
        <v>16208</v>
      </c>
      <c r="F1042" t="s">
        <v>3257</v>
      </c>
      <c r="G1042" t="s">
        <v>6016</v>
      </c>
      <c r="H1042" t="s">
        <v>5151</v>
      </c>
      <c r="I1042" t="s">
        <v>3432</v>
      </c>
    </row>
    <row r="1043" spans="1:9" x14ac:dyDescent="0.25">
      <c r="A1043" t="s">
        <v>6017</v>
      </c>
      <c r="B1043" t="s">
        <v>6017</v>
      </c>
      <c r="C1043" t="s">
        <v>6018</v>
      </c>
      <c r="D1043" t="s">
        <v>3321</v>
      </c>
      <c r="E1043" t="s">
        <v>15710</v>
      </c>
      <c r="F1043" t="s">
        <v>3257</v>
      </c>
      <c r="G1043" t="s">
        <v>6019</v>
      </c>
      <c r="H1043" t="s">
        <v>3267</v>
      </c>
      <c r="I1043" t="s">
        <v>3268</v>
      </c>
    </row>
    <row r="1044" spans="1:9" x14ac:dyDescent="0.25">
      <c r="A1044" t="s">
        <v>6020</v>
      </c>
      <c r="B1044" t="s">
        <v>6020</v>
      </c>
      <c r="C1044" t="s">
        <v>6021</v>
      </c>
      <c r="D1044" t="s">
        <v>3242</v>
      </c>
      <c r="E1044" t="s">
        <v>17559</v>
      </c>
      <c r="F1044" t="s">
        <v>3257</v>
      </c>
      <c r="G1044" t="s">
        <v>6022</v>
      </c>
      <c r="H1044" t="s">
        <v>5046</v>
      </c>
      <c r="I1044" t="s">
        <v>3268</v>
      </c>
    </row>
    <row r="1045" spans="1:9" x14ac:dyDescent="0.25">
      <c r="A1045" t="s">
        <v>15802</v>
      </c>
      <c r="B1045" t="s">
        <v>15802</v>
      </c>
      <c r="C1045" t="s">
        <v>15803</v>
      </c>
      <c r="D1045" t="s">
        <v>3242</v>
      </c>
      <c r="E1045" t="s">
        <v>17560</v>
      </c>
      <c r="F1045" t="s">
        <v>3243</v>
      </c>
      <c r="G1045" t="s">
        <v>15804</v>
      </c>
      <c r="H1045" t="s">
        <v>15805</v>
      </c>
    </row>
    <row r="1046" spans="1:9" x14ac:dyDescent="0.25">
      <c r="A1046" t="s">
        <v>6023</v>
      </c>
      <c r="B1046" t="s">
        <v>6023</v>
      </c>
      <c r="C1046" t="s">
        <v>6024</v>
      </c>
      <c r="D1046" t="s">
        <v>3242</v>
      </c>
      <c r="E1046" t="s">
        <v>15710</v>
      </c>
      <c r="F1046" t="s">
        <v>3243</v>
      </c>
      <c r="G1046" t="s">
        <v>6025</v>
      </c>
      <c r="H1046" t="s">
        <v>3488</v>
      </c>
    </row>
    <row r="1047" spans="1:9" x14ac:dyDescent="0.25">
      <c r="A1047" t="s">
        <v>17198</v>
      </c>
      <c r="B1047" t="s">
        <v>17198</v>
      </c>
      <c r="C1047" t="s">
        <v>17199</v>
      </c>
      <c r="D1047" t="s">
        <v>3242</v>
      </c>
      <c r="E1047" t="s">
        <v>15710</v>
      </c>
      <c r="F1047" t="s">
        <v>3243</v>
      </c>
      <c r="G1047" t="s">
        <v>17200</v>
      </c>
      <c r="H1047" t="s">
        <v>3060</v>
      </c>
    </row>
    <row r="1048" spans="1:9" x14ac:dyDescent="0.25">
      <c r="A1048" t="s">
        <v>6026</v>
      </c>
      <c r="B1048" t="s">
        <v>6026</v>
      </c>
      <c r="C1048" t="s">
        <v>6027</v>
      </c>
      <c r="D1048" t="s">
        <v>3242</v>
      </c>
      <c r="E1048" t="s">
        <v>15764</v>
      </c>
      <c r="F1048" t="s">
        <v>3251</v>
      </c>
      <c r="G1048" t="s">
        <v>6028</v>
      </c>
      <c r="H1048" t="s">
        <v>4734</v>
      </c>
      <c r="I1048" t="s">
        <v>3254</v>
      </c>
    </row>
    <row r="1049" spans="1:9" x14ac:dyDescent="0.25">
      <c r="A1049" t="s">
        <v>6029</v>
      </c>
      <c r="B1049" t="s">
        <v>6029</v>
      </c>
      <c r="C1049" t="s">
        <v>6030</v>
      </c>
      <c r="D1049" t="s">
        <v>3242</v>
      </c>
      <c r="E1049" t="s">
        <v>15710</v>
      </c>
      <c r="F1049" t="s">
        <v>3257</v>
      </c>
      <c r="G1049" t="s">
        <v>6031</v>
      </c>
      <c r="H1049" t="s">
        <v>6032</v>
      </c>
      <c r="I1049" t="s">
        <v>3648</v>
      </c>
    </row>
    <row r="1050" spans="1:9" x14ac:dyDescent="0.25">
      <c r="A1050" t="s">
        <v>16202</v>
      </c>
      <c r="B1050" t="s">
        <v>16202</v>
      </c>
      <c r="C1050" t="s">
        <v>16203</v>
      </c>
      <c r="D1050" t="s">
        <v>3242</v>
      </c>
      <c r="E1050" t="s">
        <v>15710</v>
      </c>
      <c r="F1050" t="s">
        <v>6077</v>
      </c>
      <c r="G1050" t="s">
        <v>16204</v>
      </c>
      <c r="H1050" t="s">
        <v>5700</v>
      </c>
      <c r="I1050" t="s">
        <v>15020</v>
      </c>
    </row>
    <row r="1051" spans="1:9" x14ac:dyDescent="0.25">
      <c r="A1051" t="s">
        <v>6033</v>
      </c>
      <c r="B1051" t="s">
        <v>6033</v>
      </c>
      <c r="C1051" t="s">
        <v>6034</v>
      </c>
      <c r="D1051" t="s">
        <v>3242</v>
      </c>
      <c r="E1051" t="s">
        <v>16948</v>
      </c>
      <c r="F1051" t="s">
        <v>3257</v>
      </c>
      <c r="G1051" t="s">
        <v>6035</v>
      </c>
      <c r="H1051" t="s">
        <v>5700</v>
      </c>
      <c r="I1051" t="s">
        <v>3263</v>
      </c>
    </row>
    <row r="1052" spans="1:9" x14ac:dyDescent="0.25">
      <c r="A1052" t="s">
        <v>6036</v>
      </c>
      <c r="B1052" t="s">
        <v>6036</v>
      </c>
      <c r="C1052" t="s">
        <v>6037</v>
      </c>
      <c r="D1052" t="s">
        <v>3242</v>
      </c>
      <c r="E1052" t="s">
        <v>15710</v>
      </c>
      <c r="F1052" t="s">
        <v>3257</v>
      </c>
      <c r="G1052" t="s">
        <v>6038</v>
      </c>
      <c r="H1052" t="s">
        <v>3519</v>
      </c>
      <c r="I1052" t="s">
        <v>3648</v>
      </c>
    </row>
    <row r="1053" spans="1:9" x14ac:dyDescent="0.25">
      <c r="A1053" t="s">
        <v>15016</v>
      </c>
      <c r="B1053" t="s">
        <v>15016</v>
      </c>
      <c r="C1053" t="s">
        <v>15017</v>
      </c>
      <c r="D1053" t="s">
        <v>3242</v>
      </c>
      <c r="E1053" t="s">
        <v>16949</v>
      </c>
      <c r="F1053" t="s">
        <v>15018</v>
      </c>
      <c r="G1053" t="s">
        <v>15019</v>
      </c>
      <c r="H1053" t="s">
        <v>6547</v>
      </c>
      <c r="I1053" t="s">
        <v>15020</v>
      </c>
    </row>
    <row r="1054" spans="1:9" x14ac:dyDescent="0.25">
      <c r="A1054" t="s">
        <v>13834</v>
      </c>
      <c r="B1054" t="s">
        <v>13834</v>
      </c>
      <c r="C1054" t="s">
        <v>13835</v>
      </c>
      <c r="D1054" t="s">
        <v>3242</v>
      </c>
      <c r="E1054" t="s">
        <v>16950</v>
      </c>
      <c r="F1054" t="s">
        <v>3257</v>
      </c>
      <c r="G1054" t="s">
        <v>16951</v>
      </c>
      <c r="H1054" t="s">
        <v>6547</v>
      </c>
      <c r="I1054" t="s">
        <v>15020</v>
      </c>
    </row>
    <row r="1055" spans="1:9" x14ac:dyDescent="0.25">
      <c r="A1055" t="s">
        <v>6039</v>
      </c>
      <c r="B1055" t="s">
        <v>6039</v>
      </c>
      <c r="C1055" t="s">
        <v>6040</v>
      </c>
      <c r="D1055" t="s">
        <v>3242</v>
      </c>
      <c r="E1055" t="s">
        <v>15710</v>
      </c>
      <c r="F1055" t="s">
        <v>3257</v>
      </c>
      <c r="G1055" t="s">
        <v>6041</v>
      </c>
      <c r="H1055" t="s">
        <v>4502</v>
      </c>
      <c r="I1055" t="s">
        <v>3451</v>
      </c>
    </row>
    <row r="1056" spans="1:9" x14ac:dyDescent="0.25">
      <c r="A1056" t="s">
        <v>6042</v>
      </c>
      <c r="B1056" t="s">
        <v>6042</v>
      </c>
      <c r="C1056" t="s">
        <v>6043</v>
      </c>
      <c r="D1056" t="s">
        <v>3242</v>
      </c>
      <c r="E1056" t="s">
        <v>15806</v>
      </c>
      <c r="F1056" t="s">
        <v>6077</v>
      </c>
      <c r="G1056" t="s">
        <v>15021</v>
      </c>
      <c r="H1056" t="s">
        <v>3647</v>
      </c>
      <c r="I1056" t="s">
        <v>15020</v>
      </c>
    </row>
    <row r="1057" spans="1:9" x14ac:dyDescent="0.25">
      <c r="A1057" t="s">
        <v>6044</v>
      </c>
      <c r="B1057" t="s">
        <v>6044</v>
      </c>
      <c r="C1057" t="s">
        <v>6045</v>
      </c>
      <c r="D1057" t="s">
        <v>3242</v>
      </c>
      <c r="E1057" t="s">
        <v>15807</v>
      </c>
      <c r="F1057" t="s">
        <v>3257</v>
      </c>
      <c r="G1057" t="s">
        <v>6046</v>
      </c>
      <c r="H1057" t="s">
        <v>3484</v>
      </c>
    </row>
    <row r="1058" spans="1:9" x14ac:dyDescent="0.25">
      <c r="A1058" t="s">
        <v>6047</v>
      </c>
      <c r="B1058" t="s">
        <v>6047</v>
      </c>
      <c r="C1058" t="s">
        <v>6048</v>
      </c>
      <c r="D1058" t="s">
        <v>3242</v>
      </c>
      <c r="E1058" t="s">
        <v>15788</v>
      </c>
      <c r="F1058" t="s">
        <v>3257</v>
      </c>
      <c r="G1058" t="s">
        <v>6049</v>
      </c>
      <c r="H1058" t="s">
        <v>3262</v>
      </c>
    </row>
    <row r="1059" spans="1:9" x14ac:dyDescent="0.25">
      <c r="A1059" t="s">
        <v>13845</v>
      </c>
      <c r="B1059" t="s">
        <v>13845</v>
      </c>
      <c r="C1059" t="s">
        <v>13846</v>
      </c>
      <c r="D1059" t="s">
        <v>3242</v>
      </c>
      <c r="E1059" t="s">
        <v>15852</v>
      </c>
      <c r="F1059" t="s">
        <v>3257</v>
      </c>
      <c r="G1059" t="s">
        <v>16669</v>
      </c>
      <c r="H1059" t="s">
        <v>9183</v>
      </c>
      <c r="I1059" t="s">
        <v>15020</v>
      </c>
    </row>
    <row r="1060" spans="1:9" x14ac:dyDescent="0.25">
      <c r="A1060" t="s">
        <v>6050</v>
      </c>
      <c r="B1060" t="s">
        <v>6050</v>
      </c>
      <c r="C1060" t="s">
        <v>6051</v>
      </c>
      <c r="D1060" t="s">
        <v>3242</v>
      </c>
      <c r="E1060" t="s">
        <v>17201</v>
      </c>
      <c r="F1060" t="s">
        <v>3257</v>
      </c>
      <c r="G1060" t="s">
        <v>6052</v>
      </c>
      <c r="H1060" t="s">
        <v>5785</v>
      </c>
      <c r="I1060" t="s">
        <v>15020</v>
      </c>
    </row>
    <row r="1061" spans="1:9" x14ac:dyDescent="0.25">
      <c r="A1061" t="s">
        <v>15022</v>
      </c>
      <c r="B1061" t="s">
        <v>15022</v>
      </c>
      <c r="C1061" t="s">
        <v>15023</v>
      </c>
      <c r="D1061" t="s">
        <v>3242</v>
      </c>
      <c r="E1061" t="s">
        <v>15808</v>
      </c>
      <c r="F1061" t="s">
        <v>15024</v>
      </c>
      <c r="G1061" t="s">
        <v>15025</v>
      </c>
      <c r="H1061" t="s">
        <v>5785</v>
      </c>
      <c r="I1061" t="s">
        <v>15020</v>
      </c>
    </row>
    <row r="1062" spans="1:9" x14ac:dyDescent="0.25">
      <c r="A1062" t="s">
        <v>6053</v>
      </c>
      <c r="B1062" t="s">
        <v>6053</v>
      </c>
      <c r="C1062" t="s">
        <v>6054</v>
      </c>
      <c r="D1062" t="s">
        <v>3242</v>
      </c>
      <c r="E1062" t="s">
        <v>16451</v>
      </c>
      <c r="F1062" t="s">
        <v>3251</v>
      </c>
      <c r="G1062" t="s">
        <v>6055</v>
      </c>
      <c r="H1062" t="s">
        <v>3900</v>
      </c>
      <c r="I1062" t="s">
        <v>3451</v>
      </c>
    </row>
    <row r="1063" spans="1:9" x14ac:dyDescent="0.25">
      <c r="A1063" t="s">
        <v>16205</v>
      </c>
      <c r="B1063" t="s">
        <v>16205</v>
      </c>
      <c r="C1063" t="s">
        <v>16206</v>
      </c>
      <c r="D1063" t="s">
        <v>3242</v>
      </c>
      <c r="E1063" t="s">
        <v>16452</v>
      </c>
      <c r="F1063" t="s">
        <v>15018</v>
      </c>
      <c r="G1063" t="s">
        <v>16207</v>
      </c>
      <c r="H1063" t="s">
        <v>5700</v>
      </c>
      <c r="I1063" t="s">
        <v>15020</v>
      </c>
    </row>
    <row r="1064" spans="1:9" x14ac:dyDescent="0.25">
      <c r="A1064" t="s">
        <v>6056</v>
      </c>
      <c r="B1064" t="s">
        <v>6056</v>
      </c>
      <c r="C1064" t="s">
        <v>6057</v>
      </c>
      <c r="D1064" t="s">
        <v>3242</v>
      </c>
      <c r="E1064" t="s">
        <v>17202</v>
      </c>
      <c r="F1064" t="s">
        <v>3257</v>
      </c>
      <c r="G1064" t="s">
        <v>6058</v>
      </c>
      <c r="H1064" t="s">
        <v>3248</v>
      </c>
      <c r="I1064" t="s">
        <v>3407</v>
      </c>
    </row>
    <row r="1065" spans="1:9" x14ac:dyDescent="0.25">
      <c r="A1065" t="s">
        <v>6059</v>
      </c>
      <c r="B1065" t="s">
        <v>6059</v>
      </c>
      <c r="C1065" t="s">
        <v>6060</v>
      </c>
      <c r="D1065" t="s">
        <v>3242</v>
      </c>
      <c r="E1065" t="s">
        <v>15710</v>
      </c>
      <c r="F1065" t="s">
        <v>3243</v>
      </c>
      <c r="G1065" t="s">
        <v>6061</v>
      </c>
      <c r="H1065" t="s">
        <v>6062</v>
      </c>
      <c r="I1065" t="s">
        <v>3648</v>
      </c>
    </row>
    <row r="1066" spans="1:9" x14ac:dyDescent="0.25">
      <c r="A1066" t="s">
        <v>6063</v>
      </c>
      <c r="B1066" t="s">
        <v>6063</v>
      </c>
      <c r="C1066" t="s">
        <v>6064</v>
      </c>
      <c r="D1066" t="s">
        <v>3242</v>
      </c>
      <c r="E1066" t="s">
        <v>15710</v>
      </c>
      <c r="F1066" t="s">
        <v>3243</v>
      </c>
      <c r="G1066" t="s">
        <v>6065</v>
      </c>
      <c r="H1066" t="s">
        <v>3623</v>
      </c>
    </row>
    <row r="1067" spans="1:9" x14ac:dyDescent="0.25">
      <c r="A1067" t="s">
        <v>6066</v>
      </c>
      <c r="B1067" t="s">
        <v>6066</v>
      </c>
      <c r="C1067" t="s">
        <v>6067</v>
      </c>
      <c r="D1067" t="s">
        <v>3242</v>
      </c>
      <c r="E1067" t="s">
        <v>15710</v>
      </c>
      <c r="F1067" t="s">
        <v>3251</v>
      </c>
      <c r="G1067" t="s">
        <v>6068</v>
      </c>
      <c r="H1067" t="s">
        <v>5289</v>
      </c>
      <c r="I1067" t="s">
        <v>3451</v>
      </c>
    </row>
    <row r="1068" spans="1:9" x14ac:dyDescent="0.25">
      <c r="A1068" t="s">
        <v>6069</v>
      </c>
      <c r="B1068" t="s">
        <v>6069</v>
      </c>
      <c r="C1068" t="s">
        <v>6070</v>
      </c>
      <c r="D1068" t="s">
        <v>3242</v>
      </c>
      <c r="E1068" t="s">
        <v>15710</v>
      </c>
      <c r="F1068" t="s">
        <v>5158</v>
      </c>
      <c r="G1068" t="s">
        <v>6071</v>
      </c>
      <c r="H1068" t="s">
        <v>5289</v>
      </c>
    </row>
    <row r="1069" spans="1:9" x14ac:dyDescent="0.25">
      <c r="A1069" t="s">
        <v>6072</v>
      </c>
      <c r="B1069" t="s">
        <v>6072</v>
      </c>
      <c r="C1069" t="s">
        <v>6073</v>
      </c>
      <c r="D1069" t="s">
        <v>3242</v>
      </c>
      <c r="E1069" t="s">
        <v>15710</v>
      </c>
      <c r="F1069" t="s">
        <v>3288</v>
      </c>
      <c r="G1069" t="s">
        <v>6074</v>
      </c>
      <c r="H1069" t="s">
        <v>3285</v>
      </c>
    </row>
    <row r="1070" spans="1:9" x14ac:dyDescent="0.25">
      <c r="A1070" t="s">
        <v>6075</v>
      </c>
      <c r="B1070" t="s">
        <v>6075</v>
      </c>
      <c r="C1070" t="s">
        <v>6076</v>
      </c>
      <c r="D1070" t="s">
        <v>3242</v>
      </c>
      <c r="E1070" t="s">
        <v>15710</v>
      </c>
      <c r="F1070" t="s">
        <v>6077</v>
      </c>
      <c r="G1070" t="s">
        <v>6078</v>
      </c>
      <c r="H1070" t="s">
        <v>4926</v>
      </c>
      <c r="I1070" t="s">
        <v>3648</v>
      </c>
    </row>
    <row r="1071" spans="1:9" x14ac:dyDescent="0.25">
      <c r="A1071" t="s">
        <v>6079</v>
      </c>
      <c r="B1071" t="s">
        <v>6079</v>
      </c>
      <c r="C1071" t="s">
        <v>6080</v>
      </c>
      <c r="D1071" t="s">
        <v>3242</v>
      </c>
      <c r="E1071" t="s">
        <v>16910</v>
      </c>
      <c r="F1071" t="s">
        <v>3257</v>
      </c>
      <c r="G1071" t="s">
        <v>6081</v>
      </c>
      <c r="H1071" t="s">
        <v>4871</v>
      </c>
      <c r="I1071" t="s">
        <v>3324</v>
      </c>
    </row>
    <row r="1072" spans="1:9" x14ac:dyDescent="0.25">
      <c r="A1072" t="s">
        <v>15026</v>
      </c>
      <c r="B1072" t="s">
        <v>15026</v>
      </c>
      <c r="C1072" t="s">
        <v>15027</v>
      </c>
      <c r="D1072" t="s">
        <v>3242</v>
      </c>
      <c r="E1072" t="s">
        <v>15710</v>
      </c>
      <c r="F1072" t="s">
        <v>3243</v>
      </c>
      <c r="G1072" t="s">
        <v>15028</v>
      </c>
      <c r="H1072" t="s">
        <v>5141</v>
      </c>
    </row>
    <row r="1073" spans="1:9" x14ac:dyDescent="0.25">
      <c r="A1073" t="s">
        <v>6082</v>
      </c>
      <c r="B1073" t="s">
        <v>6082</v>
      </c>
      <c r="C1073" t="s">
        <v>6083</v>
      </c>
      <c r="D1073" t="s">
        <v>3242</v>
      </c>
      <c r="E1073" t="s">
        <v>15810</v>
      </c>
      <c r="F1073" t="s">
        <v>3257</v>
      </c>
      <c r="G1073" t="s">
        <v>6084</v>
      </c>
      <c r="H1073" t="s">
        <v>4926</v>
      </c>
      <c r="I1073" t="s">
        <v>3648</v>
      </c>
    </row>
    <row r="1074" spans="1:9" x14ac:dyDescent="0.25">
      <c r="A1074" t="s">
        <v>6085</v>
      </c>
      <c r="B1074" t="s">
        <v>6085</v>
      </c>
      <c r="C1074" t="s">
        <v>6086</v>
      </c>
      <c r="D1074" t="s">
        <v>3242</v>
      </c>
      <c r="E1074" t="s">
        <v>15710</v>
      </c>
      <c r="F1074" t="s">
        <v>3257</v>
      </c>
      <c r="G1074" t="s">
        <v>6087</v>
      </c>
      <c r="H1074" t="s">
        <v>4926</v>
      </c>
      <c r="I1074" t="s">
        <v>3648</v>
      </c>
    </row>
    <row r="1075" spans="1:9" x14ac:dyDescent="0.25">
      <c r="A1075" t="s">
        <v>6088</v>
      </c>
      <c r="B1075" t="s">
        <v>6088</v>
      </c>
      <c r="C1075" t="s">
        <v>6089</v>
      </c>
      <c r="D1075" t="s">
        <v>3242</v>
      </c>
      <c r="E1075" t="s">
        <v>15710</v>
      </c>
      <c r="F1075" t="s">
        <v>3257</v>
      </c>
      <c r="G1075" t="s">
        <v>6090</v>
      </c>
      <c r="H1075" t="s">
        <v>4926</v>
      </c>
    </row>
    <row r="1076" spans="1:9" x14ac:dyDescent="0.25">
      <c r="A1076" t="s">
        <v>6091</v>
      </c>
      <c r="B1076" t="s">
        <v>6091</v>
      </c>
      <c r="C1076" t="s">
        <v>6092</v>
      </c>
      <c r="D1076" t="s">
        <v>3242</v>
      </c>
      <c r="E1076" t="s">
        <v>15710</v>
      </c>
      <c r="F1076" t="s">
        <v>3243</v>
      </c>
      <c r="G1076" t="s">
        <v>6093</v>
      </c>
      <c r="H1076" t="s">
        <v>6094</v>
      </c>
    </row>
    <row r="1077" spans="1:9" x14ac:dyDescent="0.25">
      <c r="A1077" t="s">
        <v>6095</v>
      </c>
      <c r="B1077" t="s">
        <v>6095</v>
      </c>
      <c r="C1077" t="s">
        <v>6096</v>
      </c>
      <c r="D1077" t="s">
        <v>3242</v>
      </c>
      <c r="E1077" t="s">
        <v>15710</v>
      </c>
      <c r="F1077" t="s">
        <v>3372</v>
      </c>
      <c r="G1077" t="s">
        <v>6097</v>
      </c>
      <c r="H1077" t="s">
        <v>3877</v>
      </c>
      <c r="I1077" t="s">
        <v>3366</v>
      </c>
    </row>
    <row r="1078" spans="1:9" x14ac:dyDescent="0.25">
      <c r="A1078" t="s">
        <v>6098</v>
      </c>
      <c r="B1078" t="s">
        <v>6098</v>
      </c>
      <c r="C1078" t="s">
        <v>6099</v>
      </c>
      <c r="D1078" t="s">
        <v>3242</v>
      </c>
      <c r="E1078" t="s">
        <v>15710</v>
      </c>
      <c r="F1078" t="s">
        <v>3257</v>
      </c>
      <c r="G1078" t="s">
        <v>6100</v>
      </c>
      <c r="H1078" t="s">
        <v>5883</v>
      </c>
      <c r="I1078" t="s">
        <v>3324</v>
      </c>
    </row>
    <row r="1079" spans="1:9" x14ac:dyDescent="0.25">
      <c r="A1079" t="s">
        <v>6101</v>
      </c>
      <c r="B1079" t="s">
        <v>6101</v>
      </c>
      <c r="C1079" t="s">
        <v>6102</v>
      </c>
      <c r="D1079" t="s">
        <v>3242</v>
      </c>
      <c r="E1079" t="s">
        <v>15710</v>
      </c>
      <c r="F1079" t="s">
        <v>3251</v>
      </c>
      <c r="G1079" t="s">
        <v>6103</v>
      </c>
      <c r="H1079" t="s">
        <v>3749</v>
      </c>
    </row>
    <row r="1080" spans="1:9" x14ac:dyDescent="0.25">
      <c r="A1080" t="s">
        <v>6104</v>
      </c>
      <c r="B1080" t="s">
        <v>6104</v>
      </c>
      <c r="C1080" t="s">
        <v>6105</v>
      </c>
      <c r="D1080" t="s">
        <v>3242</v>
      </c>
      <c r="E1080" t="s">
        <v>15812</v>
      </c>
      <c r="F1080" t="s">
        <v>3257</v>
      </c>
      <c r="G1080" t="s">
        <v>6106</v>
      </c>
      <c r="H1080" t="s">
        <v>5883</v>
      </c>
      <c r="I1080" t="s">
        <v>3324</v>
      </c>
    </row>
    <row r="1081" spans="1:9" x14ac:dyDescent="0.25">
      <c r="A1081" t="s">
        <v>16209</v>
      </c>
      <c r="B1081" t="s">
        <v>16209</v>
      </c>
      <c r="C1081" t="s">
        <v>16210</v>
      </c>
      <c r="D1081" t="s">
        <v>3242</v>
      </c>
      <c r="E1081" t="s">
        <v>15710</v>
      </c>
      <c r="F1081" t="s">
        <v>3288</v>
      </c>
      <c r="G1081" t="s">
        <v>16211</v>
      </c>
      <c r="H1081" t="s">
        <v>3680</v>
      </c>
    </row>
    <row r="1082" spans="1:9" x14ac:dyDescent="0.25">
      <c r="A1082" t="s">
        <v>6107</v>
      </c>
      <c r="B1082" t="s">
        <v>6107</v>
      </c>
      <c r="C1082" t="s">
        <v>6108</v>
      </c>
      <c r="D1082" t="s">
        <v>3242</v>
      </c>
      <c r="E1082" t="s">
        <v>15710</v>
      </c>
      <c r="F1082" t="s">
        <v>3257</v>
      </c>
      <c r="G1082" t="s">
        <v>6109</v>
      </c>
      <c r="H1082" t="s">
        <v>4734</v>
      </c>
      <c r="I1082" t="s">
        <v>3254</v>
      </c>
    </row>
    <row r="1083" spans="1:9" x14ac:dyDescent="0.25">
      <c r="A1083" t="s">
        <v>6110</v>
      </c>
      <c r="B1083" t="s">
        <v>6110</v>
      </c>
      <c r="C1083" t="s">
        <v>6111</v>
      </c>
      <c r="D1083" t="s">
        <v>3242</v>
      </c>
      <c r="E1083" t="s">
        <v>16433</v>
      </c>
      <c r="F1083" t="s">
        <v>3300</v>
      </c>
      <c r="G1083" t="s">
        <v>6112</v>
      </c>
      <c r="H1083" t="s">
        <v>4019</v>
      </c>
      <c r="I1083" t="s">
        <v>4605</v>
      </c>
    </row>
    <row r="1084" spans="1:9" x14ac:dyDescent="0.25">
      <c r="A1084" t="s">
        <v>6113</v>
      </c>
      <c r="B1084" t="s">
        <v>6113</v>
      </c>
      <c r="C1084" t="s">
        <v>6114</v>
      </c>
      <c r="D1084" t="s">
        <v>3242</v>
      </c>
      <c r="E1084" t="s">
        <v>15710</v>
      </c>
      <c r="F1084" t="s">
        <v>3257</v>
      </c>
      <c r="G1084" t="s">
        <v>6115</v>
      </c>
      <c r="H1084" t="s">
        <v>3262</v>
      </c>
      <c r="I1084" t="s">
        <v>3263</v>
      </c>
    </row>
    <row r="1085" spans="1:9" x14ac:dyDescent="0.25">
      <c r="A1085" t="s">
        <v>6116</v>
      </c>
      <c r="B1085" t="s">
        <v>6116</v>
      </c>
      <c r="C1085" t="s">
        <v>6117</v>
      </c>
      <c r="D1085" t="s">
        <v>3242</v>
      </c>
      <c r="E1085" t="s">
        <v>17203</v>
      </c>
      <c r="F1085" t="s">
        <v>3306</v>
      </c>
      <c r="G1085" t="s">
        <v>6118</v>
      </c>
      <c r="H1085" t="s">
        <v>3387</v>
      </c>
      <c r="I1085" t="s">
        <v>4605</v>
      </c>
    </row>
    <row r="1086" spans="1:9" x14ac:dyDescent="0.25">
      <c r="A1086" t="s">
        <v>6119</v>
      </c>
      <c r="B1086" t="s">
        <v>6119</v>
      </c>
      <c r="C1086" t="s">
        <v>6120</v>
      </c>
      <c r="D1086" t="s">
        <v>3242</v>
      </c>
      <c r="E1086" t="s">
        <v>15710</v>
      </c>
      <c r="F1086" t="s">
        <v>3345</v>
      </c>
      <c r="G1086" t="s">
        <v>6121</v>
      </c>
      <c r="H1086" t="s">
        <v>6122</v>
      </c>
    </row>
    <row r="1087" spans="1:9" x14ac:dyDescent="0.25">
      <c r="A1087" t="s">
        <v>6123</v>
      </c>
      <c r="B1087" t="s">
        <v>6123</v>
      </c>
      <c r="C1087" t="s">
        <v>6124</v>
      </c>
      <c r="D1087" t="s">
        <v>3242</v>
      </c>
      <c r="E1087" t="s">
        <v>15710</v>
      </c>
      <c r="F1087" t="s">
        <v>3243</v>
      </c>
      <c r="G1087" t="s">
        <v>6125</v>
      </c>
      <c r="H1087" t="s">
        <v>4045</v>
      </c>
      <c r="I1087" t="s">
        <v>3694</v>
      </c>
    </row>
    <row r="1088" spans="1:9" x14ac:dyDescent="0.25">
      <c r="A1088" t="s">
        <v>6126</v>
      </c>
      <c r="B1088" t="s">
        <v>6126</v>
      </c>
      <c r="C1088" t="s">
        <v>6127</v>
      </c>
      <c r="D1088" t="s">
        <v>3242</v>
      </c>
      <c r="E1088" t="s">
        <v>15813</v>
      </c>
      <c r="F1088" t="s">
        <v>3300</v>
      </c>
      <c r="G1088" t="s">
        <v>6128</v>
      </c>
      <c r="H1088" t="s">
        <v>3594</v>
      </c>
      <c r="I1088" t="s">
        <v>3324</v>
      </c>
    </row>
    <row r="1089" spans="1:9" x14ac:dyDescent="0.25">
      <c r="A1089" t="s">
        <v>6129</v>
      </c>
      <c r="B1089" t="s">
        <v>6129</v>
      </c>
      <c r="C1089" t="s">
        <v>6130</v>
      </c>
      <c r="D1089" t="s">
        <v>3242</v>
      </c>
      <c r="E1089" t="s">
        <v>17204</v>
      </c>
      <c r="F1089" t="s">
        <v>3306</v>
      </c>
      <c r="G1089" t="s">
        <v>6131</v>
      </c>
      <c r="H1089" t="s">
        <v>3267</v>
      </c>
      <c r="I1089" t="s">
        <v>3366</v>
      </c>
    </row>
    <row r="1090" spans="1:9" x14ac:dyDescent="0.25">
      <c r="A1090" t="s">
        <v>6132</v>
      </c>
      <c r="B1090" t="s">
        <v>6132</v>
      </c>
      <c r="C1090" t="s">
        <v>6133</v>
      </c>
      <c r="D1090" t="s">
        <v>3242</v>
      </c>
      <c r="E1090" t="s">
        <v>15710</v>
      </c>
      <c r="F1090" t="s">
        <v>3257</v>
      </c>
      <c r="G1090" t="s">
        <v>6134</v>
      </c>
      <c r="H1090" t="s">
        <v>3262</v>
      </c>
    </row>
    <row r="1091" spans="1:9" x14ac:dyDescent="0.25">
      <c r="A1091" t="s">
        <v>6135</v>
      </c>
      <c r="B1091" t="s">
        <v>6135</v>
      </c>
      <c r="C1091" t="s">
        <v>6136</v>
      </c>
      <c r="D1091" t="s">
        <v>3242</v>
      </c>
      <c r="E1091" t="s">
        <v>15710</v>
      </c>
      <c r="F1091" t="s">
        <v>3251</v>
      </c>
      <c r="G1091" t="s">
        <v>6137</v>
      </c>
      <c r="H1091" t="s">
        <v>3537</v>
      </c>
      <c r="I1091" t="s">
        <v>4605</v>
      </c>
    </row>
    <row r="1092" spans="1:9" x14ac:dyDescent="0.25">
      <c r="A1092" t="s">
        <v>6138</v>
      </c>
      <c r="B1092" t="s">
        <v>6138</v>
      </c>
      <c r="C1092" t="s">
        <v>6139</v>
      </c>
      <c r="D1092" t="s">
        <v>3242</v>
      </c>
      <c r="E1092" t="s">
        <v>15710</v>
      </c>
      <c r="F1092" t="s">
        <v>3251</v>
      </c>
      <c r="G1092" t="s">
        <v>6140</v>
      </c>
      <c r="H1092" t="s">
        <v>4769</v>
      </c>
      <c r="I1092" t="s">
        <v>4605</v>
      </c>
    </row>
    <row r="1093" spans="1:9" x14ac:dyDescent="0.25">
      <c r="A1093" t="s">
        <v>6141</v>
      </c>
      <c r="B1093" t="s">
        <v>6141</v>
      </c>
      <c r="C1093" t="s">
        <v>6142</v>
      </c>
      <c r="D1093" t="s">
        <v>3242</v>
      </c>
      <c r="E1093" t="s">
        <v>17205</v>
      </c>
      <c r="F1093" t="s">
        <v>3257</v>
      </c>
      <c r="G1093" t="s">
        <v>6143</v>
      </c>
      <c r="H1093" t="s">
        <v>3353</v>
      </c>
      <c r="I1093" t="s">
        <v>3324</v>
      </c>
    </row>
    <row r="1094" spans="1:9" x14ac:dyDescent="0.25">
      <c r="A1094" t="s">
        <v>6144</v>
      </c>
      <c r="B1094" t="s">
        <v>6144</v>
      </c>
      <c r="C1094" t="s">
        <v>6145</v>
      </c>
      <c r="D1094" t="s">
        <v>3242</v>
      </c>
      <c r="E1094" t="s">
        <v>17206</v>
      </c>
      <c r="F1094" t="s">
        <v>6146</v>
      </c>
      <c r="G1094" t="s">
        <v>6147</v>
      </c>
      <c r="H1094" t="s">
        <v>4926</v>
      </c>
      <c r="I1094" t="s">
        <v>3648</v>
      </c>
    </row>
    <row r="1095" spans="1:9" x14ac:dyDescent="0.25">
      <c r="A1095" t="s">
        <v>6148</v>
      </c>
      <c r="B1095" t="s">
        <v>6148</v>
      </c>
      <c r="C1095" t="s">
        <v>6149</v>
      </c>
      <c r="D1095" t="s">
        <v>3242</v>
      </c>
      <c r="E1095" t="s">
        <v>15710</v>
      </c>
      <c r="F1095" t="s">
        <v>3257</v>
      </c>
      <c r="G1095" t="s">
        <v>6150</v>
      </c>
      <c r="H1095" t="s">
        <v>3332</v>
      </c>
      <c r="I1095" t="s">
        <v>3268</v>
      </c>
    </row>
    <row r="1096" spans="1:9" x14ac:dyDescent="0.25">
      <c r="A1096" t="s">
        <v>6151</v>
      </c>
      <c r="B1096" t="s">
        <v>6151</v>
      </c>
      <c r="C1096" t="s">
        <v>6152</v>
      </c>
      <c r="D1096" t="s">
        <v>3242</v>
      </c>
      <c r="E1096" t="s">
        <v>15710</v>
      </c>
      <c r="F1096" t="s">
        <v>3243</v>
      </c>
      <c r="G1096" t="s">
        <v>6153</v>
      </c>
      <c r="H1096" t="s">
        <v>3285</v>
      </c>
    </row>
    <row r="1097" spans="1:9" x14ac:dyDescent="0.25">
      <c r="A1097" t="s">
        <v>6154</v>
      </c>
      <c r="B1097" t="s">
        <v>6154</v>
      </c>
      <c r="C1097" t="s">
        <v>6155</v>
      </c>
      <c r="D1097" t="s">
        <v>3321</v>
      </c>
      <c r="E1097" t="s">
        <v>15710</v>
      </c>
      <c r="F1097" t="s">
        <v>3257</v>
      </c>
      <c r="G1097" t="s">
        <v>6156</v>
      </c>
      <c r="H1097" t="s">
        <v>3267</v>
      </c>
    </row>
    <row r="1098" spans="1:9" x14ac:dyDescent="0.25">
      <c r="A1098" t="s">
        <v>6157</v>
      </c>
      <c r="B1098" t="s">
        <v>6157</v>
      </c>
      <c r="C1098" t="s">
        <v>6158</v>
      </c>
      <c r="D1098" t="s">
        <v>3242</v>
      </c>
      <c r="E1098" t="s">
        <v>15710</v>
      </c>
      <c r="F1098" t="s">
        <v>3372</v>
      </c>
      <c r="G1098" t="s">
        <v>6159</v>
      </c>
      <c r="H1098" t="s">
        <v>3374</v>
      </c>
      <c r="I1098" t="s">
        <v>3375</v>
      </c>
    </row>
    <row r="1099" spans="1:9" x14ac:dyDescent="0.25">
      <c r="A1099" t="s">
        <v>6160</v>
      </c>
      <c r="B1099" t="s">
        <v>6160</v>
      </c>
      <c r="C1099" t="s">
        <v>6161</v>
      </c>
      <c r="D1099" t="s">
        <v>3242</v>
      </c>
      <c r="E1099" t="s">
        <v>15814</v>
      </c>
      <c r="F1099" t="s">
        <v>6162</v>
      </c>
      <c r="G1099" t="s">
        <v>6163</v>
      </c>
      <c r="H1099" t="s">
        <v>3417</v>
      </c>
      <c r="I1099" t="s">
        <v>3648</v>
      </c>
    </row>
    <row r="1100" spans="1:9" x14ac:dyDescent="0.25">
      <c r="A1100" t="s">
        <v>6164</v>
      </c>
      <c r="B1100" t="s">
        <v>6164</v>
      </c>
      <c r="C1100" t="s">
        <v>6165</v>
      </c>
      <c r="D1100" t="s">
        <v>3242</v>
      </c>
      <c r="E1100" t="s">
        <v>15815</v>
      </c>
      <c r="F1100" t="s">
        <v>3251</v>
      </c>
      <c r="G1100" t="s">
        <v>3252</v>
      </c>
      <c r="H1100" t="s">
        <v>3253</v>
      </c>
      <c r="I1100" t="s">
        <v>3451</v>
      </c>
    </row>
    <row r="1101" spans="1:9" x14ac:dyDescent="0.25">
      <c r="A1101" t="s">
        <v>6166</v>
      </c>
      <c r="B1101" t="s">
        <v>6166</v>
      </c>
      <c r="C1101" t="s">
        <v>6167</v>
      </c>
      <c r="D1101" t="s">
        <v>3242</v>
      </c>
      <c r="E1101" t="s">
        <v>17207</v>
      </c>
      <c r="F1101" t="s">
        <v>3300</v>
      </c>
      <c r="G1101" t="s">
        <v>5042</v>
      </c>
      <c r="H1101" t="s">
        <v>5021</v>
      </c>
      <c r="I1101" t="s">
        <v>3324</v>
      </c>
    </row>
    <row r="1102" spans="1:9" x14ac:dyDescent="0.25">
      <c r="A1102" t="s">
        <v>6168</v>
      </c>
      <c r="B1102" t="s">
        <v>6168</v>
      </c>
      <c r="C1102" t="s">
        <v>6169</v>
      </c>
      <c r="D1102" t="s">
        <v>3242</v>
      </c>
      <c r="E1102" t="s">
        <v>15710</v>
      </c>
      <c r="F1102" t="s">
        <v>3257</v>
      </c>
      <c r="G1102" t="s">
        <v>6170</v>
      </c>
      <c r="H1102" t="s">
        <v>6171</v>
      </c>
      <c r="I1102" t="s">
        <v>3324</v>
      </c>
    </row>
    <row r="1103" spans="1:9" x14ac:dyDescent="0.25">
      <c r="A1103" t="s">
        <v>6172</v>
      </c>
      <c r="B1103" t="s">
        <v>6172</v>
      </c>
      <c r="C1103" t="s">
        <v>6173</v>
      </c>
      <c r="D1103" t="s">
        <v>3242</v>
      </c>
      <c r="E1103" t="s">
        <v>15817</v>
      </c>
      <c r="F1103" t="s">
        <v>3257</v>
      </c>
      <c r="G1103" t="s">
        <v>6174</v>
      </c>
      <c r="H1103" t="s">
        <v>3413</v>
      </c>
      <c r="I1103" t="s">
        <v>3407</v>
      </c>
    </row>
    <row r="1104" spans="1:9" x14ac:dyDescent="0.25">
      <c r="A1104" t="s">
        <v>6175</v>
      </c>
      <c r="B1104" t="s">
        <v>6175</v>
      </c>
      <c r="C1104" t="s">
        <v>6176</v>
      </c>
      <c r="D1104" t="s">
        <v>3242</v>
      </c>
      <c r="E1104" t="s">
        <v>15710</v>
      </c>
      <c r="F1104" t="s">
        <v>3243</v>
      </c>
      <c r="G1104" t="s">
        <v>3243</v>
      </c>
      <c r="H1104" t="s">
        <v>3463</v>
      </c>
    </row>
    <row r="1105" spans="1:9" x14ac:dyDescent="0.25">
      <c r="A1105" t="s">
        <v>6177</v>
      </c>
      <c r="B1105" t="s">
        <v>6177</v>
      </c>
      <c r="C1105" t="s">
        <v>6178</v>
      </c>
      <c r="D1105" t="s">
        <v>3242</v>
      </c>
      <c r="E1105" t="s">
        <v>15710</v>
      </c>
      <c r="F1105" t="s">
        <v>3251</v>
      </c>
      <c r="G1105" t="s">
        <v>6179</v>
      </c>
      <c r="H1105" t="s">
        <v>4045</v>
      </c>
      <c r="I1105" t="s">
        <v>3694</v>
      </c>
    </row>
    <row r="1106" spans="1:9" x14ac:dyDescent="0.25">
      <c r="A1106" t="s">
        <v>6180</v>
      </c>
      <c r="B1106" t="s">
        <v>6180</v>
      </c>
      <c r="C1106" t="s">
        <v>6181</v>
      </c>
      <c r="D1106" t="s">
        <v>3242</v>
      </c>
      <c r="E1106" t="s">
        <v>15710</v>
      </c>
      <c r="F1106" t="s">
        <v>5292</v>
      </c>
      <c r="G1106" t="s">
        <v>6182</v>
      </c>
      <c r="H1106" t="s">
        <v>3060</v>
      </c>
    </row>
    <row r="1107" spans="1:9" x14ac:dyDescent="0.25">
      <c r="A1107" t="s">
        <v>6183</v>
      </c>
      <c r="B1107" t="s">
        <v>6183</v>
      </c>
      <c r="C1107" t="s">
        <v>6184</v>
      </c>
      <c r="D1107" t="s">
        <v>3242</v>
      </c>
      <c r="E1107" t="s">
        <v>17208</v>
      </c>
      <c r="F1107" t="s">
        <v>3257</v>
      </c>
      <c r="G1107" t="s">
        <v>6185</v>
      </c>
      <c r="H1107" t="s">
        <v>5243</v>
      </c>
      <c r="I1107" t="s">
        <v>3324</v>
      </c>
    </row>
    <row r="1108" spans="1:9" x14ac:dyDescent="0.25">
      <c r="A1108" t="s">
        <v>6186</v>
      </c>
      <c r="B1108" t="s">
        <v>6186</v>
      </c>
      <c r="C1108" t="s">
        <v>6187</v>
      </c>
      <c r="D1108" t="s">
        <v>3242</v>
      </c>
      <c r="E1108" t="s">
        <v>15710</v>
      </c>
      <c r="F1108" t="s">
        <v>3243</v>
      </c>
      <c r="G1108" t="s">
        <v>3243</v>
      </c>
      <c r="H1108" t="s">
        <v>3060</v>
      </c>
    </row>
    <row r="1109" spans="1:9" x14ac:dyDescent="0.25">
      <c r="A1109" t="s">
        <v>6188</v>
      </c>
      <c r="B1109" t="s">
        <v>6188</v>
      </c>
      <c r="C1109" t="s">
        <v>6189</v>
      </c>
      <c r="D1109" t="s">
        <v>3242</v>
      </c>
      <c r="E1109" t="s">
        <v>15710</v>
      </c>
      <c r="F1109" t="s">
        <v>3345</v>
      </c>
      <c r="G1109" t="s">
        <v>6190</v>
      </c>
      <c r="H1109" t="s">
        <v>3060</v>
      </c>
    </row>
    <row r="1110" spans="1:9" x14ac:dyDescent="0.25">
      <c r="A1110" t="s">
        <v>6191</v>
      </c>
      <c r="B1110" t="s">
        <v>6191</v>
      </c>
      <c r="C1110" t="s">
        <v>6192</v>
      </c>
      <c r="D1110" t="s">
        <v>3242</v>
      </c>
      <c r="E1110" t="s">
        <v>15710</v>
      </c>
      <c r="F1110" t="s">
        <v>3243</v>
      </c>
      <c r="G1110" t="s">
        <v>6193</v>
      </c>
      <c r="H1110" t="s">
        <v>3060</v>
      </c>
    </row>
    <row r="1111" spans="1:9" x14ac:dyDescent="0.25">
      <c r="A1111" t="s">
        <v>6194</v>
      </c>
      <c r="B1111" t="s">
        <v>6194</v>
      </c>
      <c r="C1111" t="s">
        <v>6195</v>
      </c>
      <c r="D1111" t="s">
        <v>3242</v>
      </c>
      <c r="E1111" t="s">
        <v>16453</v>
      </c>
      <c r="F1111" t="s">
        <v>3257</v>
      </c>
      <c r="G1111" t="s">
        <v>6196</v>
      </c>
      <c r="H1111" t="s">
        <v>5785</v>
      </c>
      <c r="I1111" t="s">
        <v>3648</v>
      </c>
    </row>
    <row r="1112" spans="1:9" x14ac:dyDescent="0.25">
      <c r="A1112" t="s">
        <v>6197</v>
      </c>
      <c r="B1112" t="s">
        <v>6197</v>
      </c>
      <c r="C1112" t="s">
        <v>6198</v>
      </c>
      <c r="D1112" t="s">
        <v>3242</v>
      </c>
      <c r="E1112" t="s">
        <v>15710</v>
      </c>
      <c r="F1112" t="s">
        <v>6199</v>
      </c>
      <c r="G1112" t="s">
        <v>6200</v>
      </c>
      <c r="H1112" t="s">
        <v>3262</v>
      </c>
    </row>
    <row r="1113" spans="1:9" x14ac:dyDescent="0.25">
      <c r="A1113" t="s">
        <v>6201</v>
      </c>
      <c r="B1113" t="s">
        <v>6201</v>
      </c>
      <c r="C1113" t="s">
        <v>6202</v>
      </c>
      <c r="D1113" t="s">
        <v>3242</v>
      </c>
      <c r="E1113" t="s">
        <v>15710</v>
      </c>
      <c r="F1113" t="s">
        <v>3243</v>
      </c>
      <c r="G1113" t="s">
        <v>6203</v>
      </c>
      <c r="H1113" t="s">
        <v>3623</v>
      </c>
    </row>
    <row r="1114" spans="1:9" x14ac:dyDescent="0.25">
      <c r="A1114" t="s">
        <v>6204</v>
      </c>
      <c r="B1114" t="s">
        <v>6204</v>
      </c>
      <c r="C1114" t="s">
        <v>6205</v>
      </c>
      <c r="D1114" t="s">
        <v>3242</v>
      </c>
      <c r="E1114" t="s">
        <v>15710</v>
      </c>
      <c r="H1114" t="s">
        <v>3267</v>
      </c>
    </row>
    <row r="1115" spans="1:9" x14ac:dyDescent="0.25">
      <c r="A1115" t="s">
        <v>6206</v>
      </c>
      <c r="B1115" t="s">
        <v>6206</v>
      </c>
      <c r="C1115" t="s">
        <v>6207</v>
      </c>
      <c r="D1115" t="s">
        <v>3242</v>
      </c>
      <c r="E1115" t="s">
        <v>15776</v>
      </c>
      <c r="F1115" t="s">
        <v>3251</v>
      </c>
      <c r="G1115" t="s">
        <v>6208</v>
      </c>
      <c r="H1115" t="s">
        <v>3060</v>
      </c>
      <c r="I1115" t="s">
        <v>3694</v>
      </c>
    </row>
    <row r="1116" spans="1:9" x14ac:dyDescent="0.25">
      <c r="A1116" t="s">
        <v>6209</v>
      </c>
      <c r="B1116" t="s">
        <v>6209</v>
      </c>
      <c r="C1116" t="s">
        <v>6210</v>
      </c>
      <c r="D1116" t="s">
        <v>3242</v>
      </c>
      <c r="E1116" t="s">
        <v>15990</v>
      </c>
      <c r="F1116" t="s">
        <v>3257</v>
      </c>
      <c r="G1116" t="s">
        <v>6211</v>
      </c>
      <c r="H1116" t="s">
        <v>3262</v>
      </c>
      <c r="I1116" t="s">
        <v>3263</v>
      </c>
    </row>
    <row r="1117" spans="1:9" x14ac:dyDescent="0.25">
      <c r="A1117" t="s">
        <v>6212</v>
      </c>
      <c r="B1117" t="s">
        <v>6212</v>
      </c>
      <c r="C1117" t="s">
        <v>6213</v>
      </c>
      <c r="D1117" t="s">
        <v>3242</v>
      </c>
      <c r="E1117" t="s">
        <v>15710</v>
      </c>
      <c r="F1117" t="s">
        <v>3683</v>
      </c>
      <c r="G1117" t="s">
        <v>6214</v>
      </c>
      <c r="H1117" t="s">
        <v>3643</v>
      </c>
      <c r="I1117" t="s">
        <v>3328</v>
      </c>
    </row>
    <row r="1118" spans="1:9" x14ac:dyDescent="0.25">
      <c r="A1118" t="s">
        <v>6215</v>
      </c>
      <c r="B1118" t="s">
        <v>6215</v>
      </c>
      <c r="C1118" t="s">
        <v>6216</v>
      </c>
      <c r="D1118" t="s">
        <v>3242</v>
      </c>
      <c r="E1118" t="s">
        <v>15710</v>
      </c>
      <c r="F1118" t="s">
        <v>3243</v>
      </c>
      <c r="G1118" t="s">
        <v>3243</v>
      </c>
      <c r="H1118" t="s">
        <v>3488</v>
      </c>
    </row>
    <row r="1119" spans="1:9" x14ac:dyDescent="0.25">
      <c r="A1119" t="s">
        <v>6217</v>
      </c>
      <c r="B1119" t="s">
        <v>6217</v>
      </c>
      <c r="C1119" t="s">
        <v>6218</v>
      </c>
      <c r="D1119" t="s">
        <v>3321</v>
      </c>
      <c r="E1119" t="s">
        <v>15710</v>
      </c>
      <c r="F1119" t="s">
        <v>3300</v>
      </c>
      <c r="G1119" t="s">
        <v>6219</v>
      </c>
      <c r="H1119" t="s">
        <v>3267</v>
      </c>
    </row>
    <row r="1120" spans="1:9" x14ac:dyDescent="0.25">
      <c r="A1120" t="s">
        <v>6220</v>
      </c>
      <c r="B1120" t="s">
        <v>6220</v>
      </c>
      <c r="C1120" t="s">
        <v>6221</v>
      </c>
      <c r="D1120" t="s">
        <v>3242</v>
      </c>
      <c r="E1120" t="s">
        <v>15710</v>
      </c>
      <c r="F1120" t="s">
        <v>3300</v>
      </c>
      <c r="G1120" t="s">
        <v>6222</v>
      </c>
      <c r="H1120" t="s">
        <v>3267</v>
      </c>
      <c r="I1120" t="s">
        <v>3268</v>
      </c>
    </row>
    <row r="1121" spans="1:9" x14ac:dyDescent="0.25">
      <c r="A1121" t="s">
        <v>6223</v>
      </c>
      <c r="B1121" t="s">
        <v>6223</v>
      </c>
      <c r="C1121" t="s">
        <v>6224</v>
      </c>
      <c r="D1121" t="s">
        <v>3242</v>
      </c>
      <c r="E1121" t="s">
        <v>16074</v>
      </c>
      <c r="F1121" t="s">
        <v>3257</v>
      </c>
      <c r="G1121" t="s">
        <v>6225</v>
      </c>
      <c r="H1121" t="s">
        <v>3248</v>
      </c>
      <c r="I1121" t="s">
        <v>3407</v>
      </c>
    </row>
    <row r="1122" spans="1:9" x14ac:dyDescent="0.25">
      <c r="A1122" t="s">
        <v>6226</v>
      </c>
      <c r="B1122" t="s">
        <v>6226</v>
      </c>
      <c r="C1122" t="s">
        <v>6227</v>
      </c>
      <c r="D1122" t="s">
        <v>3242</v>
      </c>
      <c r="E1122" t="s">
        <v>15710</v>
      </c>
      <c r="F1122" t="s">
        <v>3257</v>
      </c>
      <c r="G1122" t="s">
        <v>6228</v>
      </c>
      <c r="H1122" t="s">
        <v>3565</v>
      </c>
    </row>
    <row r="1123" spans="1:9" x14ac:dyDescent="0.25">
      <c r="A1123" t="s">
        <v>6229</v>
      </c>
      <c r="B1123" t="s">
        <v>6229</v>
      </c>
      <c r="C1123" t="s">
        <v>6230</v>
      </c>
      <c r="D1123" t="s">
        <v>3242</v>
      </c>
      <c r="E1123" t="s">
        <v>15710</v>
      </c>
      <c r="F1123" t="s">
        <v>3251</v>
      </c>
      <c r="G1123" t="s">
        <v>6231</v>
      </c>
      <c r="H1123" t="s">
        <v>3668</v>
      </c>
      <c r="I1123" t="s">
        <v>5250</v>
      </c>
    </row>
    <row r="1124" spans="1:9" x14ac:dyDescent="0.25">
      <c r="A1124" t="s">
        <v>6232</v>
      </c>
      <c r="B1124" t="s">
        <v>6232</v>
      </c>
      <c r="C1124" t="s">
        <v>6233</v>
      </c>
      <c r="D1124" t="s">
        <v>3242</v>
      </c>
      <c r="E1124" t="s">
        <v>17209</v>
      </c>
      <c r="F1124" t="s">
        <v>3257</v>
      </c>
      <c r="G1124" t="s">
        <v>6234</v>
      </c>
      <c r="H1124" t="s">
        <v>3496</v>
      </c>
      <c r="I1124" t="s">
        <v>3407</v>
      </c>
    </row>
    <row r="1125" spans="1:9" x14ac:dyDescent="0.25">
      <c r="A1125" t="s">
        <v>6235</v>
      </c>
      <c r="B1125" t="s">
        <v>6235</v>
      </c>
      <c r="C1125" t="s">
        <v>6236</v>
      </c>
      <c r="D1125" t="s">
        <v>3242</v>
      </c>
      <c r="E1125" t="s">
        <v>17636</v>
      </c>
      <c r="F1125" t="s">
        <v>3372</v>
      </c>
      <c r="G1125" t="s">
        <v>6237</v>
      </c>
      <c r="H1125" t="s">
        <v>3484</v>
      </c>
      <c r="I1125" t="s">
        <v>3432</v>
      </c>
    </row>
    <row r="1126" spans="1:9" x14ac:dyDescent="0.25">
      <c r="A1126" t="s">
        <v>6238</v>
      </c>
      <c r="B1126" t="s">
        <v>6238</v>
      </c>
      <c r="C1126" t="s">
        <v>6239</v>
      </c>
      <c r="D1126" t="s">
        <v>3242</v>
      </c>
      <c r="E1126" t="s">
        <v>15710</v>
      </c>
      <c r="F1126" t="s">
        <v>3251</v>
      </c>
      <c r="G1126" t="s">
        <v>4791</v>
      </c>
      <c r="H1126" t="s">
        <v>4831</v>
      </c>
      <c r="I1126" t="s">
        <v>3254</v>
      </c>
    </row>
    <row r="1127" spans="1:9" x14ac:dyDescent="0.25">
      <c r="A1127" t="s">
        <v>16825</v>
      </c>
      <c r="B1127" t="s">
        <v>16952</v>
      </c>
      <c r="C1127" t="s">
        <v>16826</v>
      </c>
      <c r="D1127" t="s">
        <v>3242</v>
      </c>
      <c r="E1127" t="s">
        <v>16392</v>
      </c>
      <c r="F1127" t="s">
        <v>3372</v>
      </c>
      <c r="G1127" t="s">
        <v>16827</v>
      </c>
      <c r="H1127" t="s">
        <v>3643</v>
      </c>
      <c r="I1127" t="s">
        <v>3366</v>
      </c>
    </row>
    <row r="1128" spans="1:9" x14ac:dyDescent="0.25">
      <c r="A1128" t="s">
        <v>6240</v>
      </c>
      <c r="B1128" t="s">
        <v>6240</v>
      </c>
      <c r="C1128" t="s">
        <v>6241</v>
      </c>
      <c r="D1128" t="s">
        <v>3242</v>
      </c>
      <c r="E1128" t="s">
        <v>15710</v>
      </c>
      <c r="F1128" t="s">
        <v>3257</v>
      </c>
      <c r="G1128" t="s">
        <v>6242</v>
      </c>
      <c r="H1128" t="s">
        <v>5829</v>
      </c>
      <c r="I1128" t="s">
        <v>3268</v>
      </c>
    </row>
    <row r="1129" spans="1:9" x14ac:dyDescent="0.25">
      <c r="A1129" t="s">
        <v>6243</v>
      </c>
      <c r="B1129" t="s">
        <v>6243</v>
      </c>
      <c r="C1129" t="s">
        <v>6244</v>
      </c>
      <c r="D1129" t="s">
        <v>3242</v>
      </c>
      <c r="E1129" t="s">
        <v>15710</v>
      </c>
      <c r="F1129" t="s">
        <v>3257</v>
      </c>
      <c r="G1129" t="s">
        <v>6245</v>
      </c>
      <c r="H1129" t="s">
        <v>3060</v>
      </c>
    </row>
    <row r="1130" spans="1:9" x14ac:dyDescent="0.25">
      <c r="A1130" t="s">
        <v>6246</v>
      </c>
      <c r="B1130" t="s">
        <v>6246</v>
      </c>
      <c r="C1130" t="s">
        <v>6247</v>
      </c>
      <c r="D1130" t="s">
        <v>3242</v>
      </c>
      <c r="E1130" t="s">
        <v>15710</v>
      </c>
      <c r="F1130" t="s">
        <v>3257</v>
      </c>
      <c r="G1130" t="s">
        <v>6248</v>
      </c>
      <c r="H1130" t="s">
        <v>3623</v>
      </c>
    </row>
    <row r="1131" spans="1:9" x14ac:dyDescent="0.25">
      <c r="A1131" t="s">
        <v>6249</v>
      </c>
      <c r="B1131" t="s">
        <v>6249</v>
      </c>
      <c r="C1131" t="s">
        <v>6250</v>
      </c>
      <c r="D1131" t="s">
        <v>3242</v>
      </c>
      <c r="E1131" t="s">
        <v>16034</v>
      </c>
      <c r="F1131" t="s">
        <v>3257</v>
      </c>
      <c r="G1131" t="s">
        <v>6251</v>
      </c>
      <c r="H1131" t="s">
        <v>4926</v>
      </c>
      <c r="I1131" t="s">
        <v>3648</v>
      </c>
    </row>
    <row r="1132" spans="1:9" x14ac:dyDescent="0.25">
      <c r="A1132" t="s">
        <v>6252</v>
      </c>
      <c r="B1132" t="s">
        <v>6252</v>
      </c>
      <c r="C1132" t="s">
        <v>6253</v>
      </c>
      <c r="D1132" t="s">
        <v>3242</v>
      </c>
      <c r="E1132" t="s">
        <v>15710</v>
      </c>
      <c r="F1132" t="s">
        <v>3257</v>
      </c>
      <c r="G1132" t="s">
        <v>6254</v>
      </c>
      <c r="H1132" t="s">
        <v>5344</v>
      </c>
    </row>
    <row r="1133" spans="1:9" x14ac:dyDescent="0.25">
      <c r="A1133" t="s">
        <v>6255</v>
      </c>
      <c r="B1133" t="s">
        <v>6255</v>
      </c>
      <c r="C1133" t="s">
        <v>6256</v>
      </c>
      <c r="D1133" t="s">
        <v>3242</v>
      </c>
      <c r="E1133" t="s">
        <v>15710</v>
      </c>
      <c r="F1133" t="s">
        <v>3251</v>
      </c>
      <c r="G1133" t="s">
        <v>6257</v>
      </c>
      <c r="H1133" t="s">
        <v>3668</v>
      </c>
      <c r="I1133" t="s">
        <v>5250</v>
      </c>
    </row>
    <row r="1134" spans="1:9" x14ac:dyDescent="0.25">
      <c r="A1134" t="s">
        <v>6258</v>
      </c>
      <c r="B1134" t="s">
        <v>6258</v>
      </c>
      <c r="C1134" t="s">
        <v>6259</v>
      </c>
      <c r="D1134" t="s">
        <v>3242</v>
      </c>
      <c r="E1134" t="s">
        <v>15710</v>
      </c>
      <c r="F1134" t="s">
        <v>6260</v>
      </c>
      <c r="G1134" t="s">
        <v>6261</v>
      </c>
      <c r="H1134" t="s">
        <v>3060</v>
      </c>
    </row>
    <row r="1135" spans="1:9" x14ac:dyDescent="0.25">
      <c r="A1135" t="s">
        <v>6262</v>
      </c>
      <c r="B1135" t="s">
        <v>6262</v>
      </c>
      <c r="C1135" t="s">
        <v>6263</v>
      </c>
      <c r="D1135" t="s">
        <v>3242</v>
      </c>
      <c r="E1135" t="s">
        <v>17210</v>
      </c>
      <c r="F1135" t="s">
        <v>3372</v>
      </c>
      <c r="G1135" t="s">
        <v>15029</v>
      </c>
      <c r="H1135" t="s">
        <v>3484</v>
      </c>
      <c r="I1135" t="s">
        <v>14986</v>
      </c>
    </row>
    <row r="1136" spans="1:9" x14ac:dyDescent="0.25">
      <c r="A1136" t="s">
        <v>6264</v>
      </c>
      <c r="B1136" t="s">
        <v>6264</v>
      </c>
      <c r="C1136" t="s">
        <v>6265</v>
      </c>
      <c r="D1136" t="s">
        <v>3242</v>
      </c>
      <c r="E1136" t="s">
        <v>15710</v>
      </c>
      <c r="F1136" t="s">
        <v>3257</v>
      </c>
      <c r="G1136" t="s">
        <v>6266</v>
      </c>
      <c r="H1136" t="s">
        <v>3267</v>
      </c>
      <c r="I1136" t="s">
        <v>3268</v>
      </c>
    </row>
    <row r="1137" spans="1:9" x14ac:dyDescent="0.25">
      <c r="A1137" t="s">
        <v>6267</v>
      </c>
      <c r="B1137" t="s">
        <v>6267</v>
      </c>
      <c r="C1137" t="s">
        <v>6268</v>
      </c>
      <c r="D1137" t="s">
        <v>3242</v>
      </c>
      <c r="E1137" t="s">
        <v>15710</v>
      </c>
      <c r="F1137" t="s">
        <v>3288</v>
      </c>
      <c r="G1137" t="s">
        <v>6269</v>
      </c>
      <c r="H1137" t="s">
        <v>3060</v>
      </c>
      <c r="I1137" t="s">
        <v>3254</v>
      </c>
    </row>
    <row r="1138" spans="1:9" x14ac:dyDescent="0.25">
      <c r="A1138" t="s">
        <v>6270</v>
      </c>
      <c r="B1138" t="s">
        <v>6270</v>
      </c>
      <c r="C1138" t="s">
        <v>6271</v>
      </c>
      <c r="D1138" t="s">
        <v>3242</v>
      </c>
      <c r="E1138" t="s">
        <v>15710</v>
      </c>
      <c r="F1138" t="s">
        <v>3257</v>
      </c>
      <c r="G1138" t="s">
        <v>6272</v>
      </c>
      <c r="H1138" t="s">
        <v>5344</v>
      </c>
    </row>
    <row r="1139" spans="1:9" x14ac:dyDescent="0.25">
      <c r="A1139" t="s">
        <v>6273</v>
      </c>
      <c r="B1139" t="s">
        <v>6273</v>
      </c>
      <c r="C1139" t="s">
        <v>6274</v>
      </c>
      <c r="D1139" t="s">
        <v>3242</v>
      </c>
      <c r="E1139" t="s">
        <v>15710</v>
      </c>
      <c r="F1139" t="s">
        <v>3257</v>
      </c>
      <c r="G1139" t="s">
        <v>6275</v>
      </c>
      <c r="H1139" t="s">
        <v>6276</v>
      </c>
      <c r="I1139" t="s">
        <v>3407</v>
      </c>
    </row>
    <row r="1140" spans="1:9" x14ac:dyDescent="0.25">
      <c r="A1140" t="s">
        <v>6277</v>
      </c>
      <c r="B1140" t="s">
        <v>6277</v>
      </c>
      <c r="C1140" t="s">
        <v>6278</v>
      </c>
      <c r="D1140" t="s">
        <v>3242</v>
      </c>
      <c r="E1140" t="s">
        <v>15710</v>
      </c>
      <c r="F1140" t="s">
        <v>3257</v>
      </c>
      <c r="G1140" t="s">
        <v>6279</v>
      </c>
      <c r="H1140" t="s">
        <v>3496</v>
      </c>
      <c r="I1140" t="s">
        <v>3263</v>
      </c>
    </row>
    <row r="1141" spans="1:9" x14ac:dyDescent="0.25">
      <c r="A1141" t="s">
        <v>6280</v>
      </c>
      <c r="B1141" t="s">
        <v>6280</v>
      </c>
      <c r="C1141" t="s">
        <v>6281</v>
      </c>
      <c r="D1141" t="s">
        <v>3242</v>
      </c>
      <c r="E1141" t="s">
        <v>17211</v>
      </c>
      <c r="F1141" t="s">
        <v>3257</v>
      </c>
      <c r="G1141" t="s">
        <v>6282</v>
      </c>
      <c r="H1141" t="s">
        <v>3248</v>
      </c>
      <c r="I1141" t="s">
        <v>3407</v>
      </c>
    </row>
    <row r="1142" spans="1:9" x14ac:dyDescent="0.25">
      <c r="A1142" t="s">
        <v>6283</v>
      </c>
      <c r="B1142" t="s">
        <v>6283</v>
      </c>
      <c r="C1142" t="s">
        <v>6284</v>
      </c>
      <c r="D1142" t="s">
        <v>3242</v>
      </c>
      <c r="E1142" t="s">
        <v>17212</v>
      </c>
      <c r="F1142" t="s">
        <v>3257</v>
      </c>
      <c r="G1142" t="s">
        <v>6285</v>
      </c>
      <c r="H1142" t="s">
        <v>6286</v>
      </c>
      <c r="I1142" t="s">
        <v>3324</v>
      </c>
    </row>
    <row r="1143" spans="1:9" x14ac:dyDescent="0.25">
      <c r="A1143" t="s">
        <v>6287</v>
      </c>
      <c r="B1143" t="s">
        <v>6287</v>
      </c>
      <c r="C1143" t="s">
        <v>6288</v>
      </c>
      <c r="D1143" t="s">
        <v>3242</v>
      </c>
      <c r="E1143" t="s">
        <v>15710</v>
      </c>
      <c r="F1143" t="s">
        <v>3251</v>
      </c>
      <c r="G1143" t="s">
        <v>3243</v>
      </c>
      <c r="H1143" t="s">
        <v>3749</v>
      </c>
      <c r="I1143" t="s">
        <v>3451</v>
      </c>
    </row>
    <row r="1144" spans="1:9" x14ac:dyDescent="0.25">
      <c r="A1144" t="s">
        <v>6289</v>
      </c>
      <c r="B1144" t="s">
        <v>6289</v>
      </c>
      <c r="C1144" t="s">
        <v>6290</v>
      </c>
      <c r="D1144" t="s">
        <v>3242</v>
      </c>
      <c r="E1144" t="s">
        <v>17213</v>
      </c>
      <c r="F1144" t="s">
        <v>3257</v>
      </c>
      <c r="G1144" t="s">
        <v>6291</v>
      </c>
      <c r="H1144" t="s">
        <v>3267</v>
      </c>
      <c r="I1144" t="s">
        <v>3268</v>
      </c>
    </row>
    <row r="1145" spans="1:9" x14ac:dyDescent="0.25">
      <c r="A1145" t="s">
        <v>6292</v>
      </c>
      <c r="B1145" t="s">
        <v>6292</v>
      </c>
      <c r="C1145" t="s">
        <v>6293</v>
      </c>
      <c r="D1145" t="s">
        <v>3242</v>
      </c>
      <c r="E1145" t="s">
        <v>15710</v>
      </c>
      <c r="F1145" t="s">
        <v>3257</v>
      </c>
      <c r="G1145" t="s">
        <v>6294</v>
      </c>
      <c r="H1145" t="s">
        <v>4919</v>
      </c>
    </row>
    <row r="1146" spans="1:9" x14ac:dyDescent="0.25">
      <c r="A1146" t="s">
        <v>6295</v>
      </c>
      <c r="B1146" t="s">
        <v>6295</v>
      </c>
      <c r="C1146" t="s">
        <v>6296</v>
      </c>
      <c r="D1146" t="s">
        <v>3242</v>
      </c>
      <c r="E1146" t="s">
        <v>15710</v>
      </c>
      <c r="F1146" t="s">
        <v>3257</v>
      </c>
      <c r="G1146" t="s">
        <v>4578</v>
      </c>
      <c r="H1146" t="s">
        <v>4502</v>
      </c>
      <c r="I1146" t="s">
        <v>3451</v>
      </c>
    </row>
    <row r="1147" spans="1:9" x14ac:dyDescent="0.25">
      <c r="A1147" t="s">
        <v>6297</v>
      </c>
      <c r="B1147" t="s">
        <v>6297</v>
      </c>
      <c r="C1147" t="s">
        <v>6298</v>
      </c>
      <c r="D1147" t="s">
        <v>3242</v>
      </c>
      <c r="E1147" t="s">
        <v>15710</v>
      </c>
      <c r="F1147" t="s">
        <v>3257</v>
      </c>
      <c r="G1147" t="s">
        <v>6299</v>
      </c>
      <c r="H1147" t="s">
        <v>3417</v>
      </c>
    </row>
    <row r="1148" spans="1:9" x14ac:dyDescent="0.25">
      <c r="A1148" t="s">
        <v>6300</v>
      </c>
      <c r="B1148" t="s">
        <v>6300</v>
      </c>
      <c r="C1148" t="s">
        <v>6301</v>
      </c>
      <c r="D1148" t="s">
        <v>3242</v>
      </c>
      <c r="E1148" t="s">
        <v>16953</v>
      </c>
      <c r="F1148" t="s">
        <v>3372</v>
      </c>
      <c r="G1148" t="s">
        <v>15030</v>
      </c>
      <c r="H1148" t="s">
        <v>10553</v>
      </c>
      <c r="I1148" t="s">
        <v>3375</v>
      </c>
    </row>
    <row r="1149" spans="1:9" x14ac:dyDescent="0.25">
      <c r="A1149" t="s">
        <v>6302</v>
      </c>
      <c r="B1149" t="s">
        <v>6302</v>
      </c>
      <c r="C1149" t="s">
        <v>6303</v>
      </c>
      <c r="D1149" t="s">
        <v>3242</v>
      </c>
      <c r="E1149" t="s">
        <v>15710</v>
      </c>
      <c r="F1149" t="s">
        <v>3435</v>
      </c>
      <c r="G1149" t="s">
        <v>6304</v>
      </c>
      <c r="H1149" t="s">
        <v>3614</v>
      </c>
      <c r="I1149" t="s">
        <v>3263</v>
      </c>
    </row>
    <row r="1150" spans="1:9" x14ac:dyDescent="0.25">
      <c r="A1150" t="s">
        <v>6305</v>
      </c>
      <c r="B1150" t="s">
        <v>6305</v>
      </c>
      <c r="C1150" t="s">
        <v>6306</v>
      </c>
      <c r="D1150" t="s">
        <v>3242</v>
      </c>
      <c r="E1150" t="s">
        <v>15710</v>
      </c>
      <c r="F1150" t="s">
        <v>5035</v>
      </c>
      <c r="G1150" t="s">
        <v>6307</v>
      </c>
      <c r="H1150" t="s">
        <v>3323</v>
      </c>
      <c r="I1150" t="s">
        <v>3366</v>
      </c>
    </row>
    <row r="1151" spans="1:9" x14ac:dyDescent="0.25">
      <c r="A1151" t="s">
        <v>6308</v>
      </c>
      <c r="B1151" t="s">
        <v>6308</v>
      </c>
      <c r="C1151" t="s">
        <v>6309</v>
      </c>
      <c r="D1151" t="s">
        <v>3242</v>
      </c>
      <c r="E1151" t="s">
        <v>17019</v>
      </c>
      <c r="F1151" t="s">
        <v>3257</v>
      </c>
      <c r="G1151" t="s">
        <v>15031</v>
      </c>
      <c r="H1151" t="s">
        <v>5722</v>
      </c>
      <c r="I1151" t="s">
        <v>3324</v>
      </c>
    </row>
    <row r="1152" spans="1:9" x14ac:dyDescent="0.25">
      <c r="A1152" t="s">
        <v>6310</v>
      </c>
      <c r="B1152" t="s">
        <v>6310</v>
      </c>
      <c r="C1152" t="s">
        <v>6311</v>
      </c>
      <c r="D1152" t="s">
        <v>3242</v>
      </c>
      <c r="E1152" t="s">
        <v>15710</v>
      </c>
      <c r="F1152" t="s">
        <v>3243</v>
      </c>
      <c r="G1152" t="s">
        <v>6312</v>
      </c>
      <c r="H1152" t="s">
        <v>4953</v>
      </c>
    </row>
    <row r="1153" spans="1:9" x14ac:dyDescent="0.25">
      <c r="A1153" t="s">
        <v>6313</v>
      </c>
      <c r="B1153" t="s">
        <v>6313</v>
      </c>
      <c r="C1153" t="s">
        <v>6314</v>
      </c>
      <c r="D1153" t="s">
        <v>3242</v>
      </c>
      <c r="E1153" t="s">
        <v>15710</v>
      </c>
      <c r="F1153" t="s">
        <v>3288</v>
      </c>
      <c r="G1153" t="s">
        <v>6315</v>
      </c>
      <c r="H1153" t="s">
        <v>3680</v>
      </c>
    </row>
    <row r="1154" spans="1:9" x14ac:dyDescent="0.25">
      <c r="A1154" t="s">
        <v>15032</v>
      </c>
      <c r="B1154" t="s">
        <v>15032</v>
      </c>
      <c r="C1154" t="s">
        <v>15033</v>
      </c>
      <c r="D1154" t="s">
        <v>3242</v>
      </c>
      <c r="E1154" t="s">
        <v>17214</v>
      </c>
      <c r="F1154" t="s">
        <v>3257</v>
      </c>
      <c r="G1154" t="s">
        <v>15034</v>
      </c>
      <c r="H1154" t="s">
        <v>6286</v>
      </c>
      <c r="I1154" t="s">
        <v>3324</v>
      </c>
    </row>
    <row r="1155" spans="1:9" x14ac:dyDescent="0.25">
      <c r="A1155" t="s">
        <v>6316</v>
      </c>
      <c r="B1155" t="s">
        <v>6316</v>
      </c>
      <c r="C1155" t="s">
        <v>6317</v>
      </c>
      <c r="D1155" t="s">
        <v>3242</v>
      </c>
      <c r="E1155" t="s">
        <v>15819</v>
      </c>
      <c r="F1155" t="s">
        <v>3257</v>
      </c>
      <c r="G1155" t="s">
        <v>6318</v>
      </c>
      <c r="H1155" t="s">
        <v>3413</v>
      </c>
      <c r="I1155" t="s">
        <v>3407</v>
      </c>
    </row>
    <row r="1156" spans="1:9" x14ac:dyDescent="0.25">
      <c r="A1156" t="s">
        <v>6319</v>
      </c>
      <c r="B1156" t="s">
        <v>6319</v>
      </c>
      <c r="C1156" t="s">
        <v>6320</v>
      </c>
      <c r="D1156" t="s">
        <v>3242</v>
      </c>
      <c r="E1156" t="s">
        <v>15710</v>
      </c>
      <c r="F1156" t="s">
        <v>3257</v>
      </c>
      <c r="G1156" t="s">
        <v>6321</v>
      </c>
      <c r="H1156" t="s">
        <v>4919</v>
      </c>
      <c r="I1156" t="s">
        <v>3324</v>
      </c>
    </row>
    <row r="1157" spans="1:9" x14ac:dyDescent="0.25">
      <c r="A1157" t="s">
        <v>6322</v>
      </c>
      <c r="B1157" t="s">
        <v>6322</v>
      </c>
      <c r="C1157" t="s">
        <v>6323</v>
      </c>
      <c r="D1157" t="s">
        <v>3321</v>
      </c>
      <c r="E1157" t="s">
        <v>15710</v>
      </c>
      <c r="F1157" t="s">
        <v>3257</v>
      </c>
      <c r="G1157" t="s">
        <v>6324</v>
      </c>
      <c r="H1157" t="s">
        <v>3267</v>
      </c>
    </row>
    <row r="1158" spans="1:9" x14ac:dyDescent="0.25">
      <c r="A1158" t="s">
        <v>6325</v>
      </c>
      <c r="B1158" t="s">
        <v>6325</v>
      </c>
      <c r="C1158" t="s">
        <v>6326</v>
      </c>
      <c r="D1158" t="s">
        <v>3242</v>
      </c>
      <c r="E1158" t="s">
        <v>15820</v>
      </c>
      <c r="F1158" t="s">
        <v>3251</v>
      </c>
      <c r="G1158" t="s">
        <v>6327</v>
      </c>
      <c r="H1158" t="s">
        <v>4711</v>
      </c>
      <c r="I1158" t="s">
        <v>3254</v>
      </c>
    </row>
    <row r="1159" spans="1:9" x14ac:dyDescent="0.25">
      <c r="A1159" t="s">
        <v>6328</v>
      </c>
      <c r="B1159" t="s">
        <v>6328</v>
      </c>
      <c r="C1159" t="s">
        <v>6329</v>
      </c>
      <c r="D1159" t="s">
        <v>3242</v>
      </c>
      <c r="E1159" t="s">
        <v>15769</v>
      </c>
      <c r="F1159" t="s">
        <v>3257</v>
      </c>
      <c r="G1159" t="s">
        <v>15035</v>
      </c>
      <c r="H1159" t="s">
        <v>5103</v>
      </c>
      <c r="I1159" t="s">
        <v>3407</v>
      </c>
    </row>
    <row r="1160" spans="1:9" x14ac:dyDescent="0.25">
      <c r="A1160" t="s">
        <v>6330</v>
      </c>
      <c r="B1160" t="s">
        <v>6330</v>
      </c>
      <c r="C1160" t="s">
        <v>6331</v>
      </c>
      <c r="D1160" t="s">
        <v>3242</v>
      </c>
      <c r="E1160" t="s">
        <v>17215</v>
      </c>
      <c r="F1160" t="s">
        <v>6332</v>
      </c>
      <c r="G1160" t="s">
        <v>6333</v>
      </c>
      <c r="H1160" t="s">
        <v>4856</v>
      </c>
      <c r="I1160" t="s">
        <v>3407</v>
      </c>
    </row>
    <row r="1161" spans="1:9" x14ac:dyDescent="0.25">
      <c r="A1161" t="s">
        <v>6334</v>
      </c>
      <c r="B1161" t="s">
        <v>6334</v>
      </c>
      <c r="C1161" t="s">
        <v>6335</v>
      </c>
      <c r="D1161" t="s">
        <v>3321</v>
      </c>
      <c r="E1161" t="s">
        <v>15710</v>
      </c>
      <c r="F1161" t="s">
        <v>3257</v>
      </c>
      <c r="G1161" t="s">
        <v>6336</v>
      </c>
      <c r="H1161" t="s">
        <v>3357</v>
      </c>
    </row>
    <row r="1162" spans="1:9" x14ac:dyDescent="0.25">
      <c r="A1162" t="s">
        <v>6337</v>
      </c>
      <c r="B1162" t="s">
        <v>6337</v>
      </c>
      <c r="C1162" t="s">
        <v>6338</v>
      </c>
      <c r="D1162" t="s">
        <v>3242</v>
      </c>
      <c r="E1162" t="s">
        <v>17216</v>
      </c>
      <c r="F1162" t="s">
        <v>3257</v>
      </c>
      <c r="G1162" t="s">
        <v>6339</v>
      </c>
      <c r="H1162" t="s">
        <v>3280</v>
      </c>
      <c r="I1162" t="s">
        <v>3263</v>
      </c>
    </row>
    <row r="1163" spans="1:9" x14ac:dyDescent="0.25">
      <c r="A1163" t="s">
        <v>6340</v>
      </c>
      <c r="B1163" t="s">
        <v>6340</v>
      </c>
      <c r="C1163" t="s">
        <v>6341</v>
      </c>
      <c r="D1163" t="s">
        <v>3242</v>
      </c>
      <c r="E1163" t="s">
        <v>15710</v>
      </c>
      <c r="F1163" t="s">
        <v>3251</v>
      </c>
      <c r="G1163" t="s">
        <v>6342</v>
      </c>
      <c r="H1163" t="s">
        <v>4045</v>
      </c>
      <c r="I1163" t="s">
        <v>5250</v>
      </c>
    </row>
    <row r="1164" spans="1:9" x14ac:dyDescent="0.25">
      <c r="A1164" t="s">
        <v>6343</v>
      </c>
      <c r="B1164" t="s">
        <v>6343</v>
      </c>
      <c r="C1164" t="s">
        <v>6344</v>
      </c>
      <c r="D1164" t="s">
        <v>3242</v>
      </c>
      <c r="E1164" t="s">
        <v>15710</v>
      </c>
      <c r="F1164" t="s">
        <v>3288</v>
      </c>
      <c r="G1164" t="s">
        <v>6345</v>
      </c>
      <c r="H1164" t="s">
        <v>3463</v>
      </c>
    </row>
    <row r="1165" spans="1:9" x14ac:dyDescent="0.25">
      <c r="A1165" t="s">
        <v>6346</v>
      </c>
      <c r="B1165" t="s">
        <v>6346</v>
      </c>
      <c r="C1165" t="s">
        <v>6347</v>
      </c>
      <c r="D1165" t="s">
        <v>3242</v>
      </c>
      <c r="E1165" t="s">
        <v>15710</v>
      </c>
      <c r="F1165" t="s">
        <v>4102</v>
      </c>
      <c r="G1165" t="s">
        <v>6348</v>
      </c>
      <c r="H1165" t="s">
        <v>3060</v>
      </c>
    </row>
    <row r="1166" spans="1:9" x14ac:dyDescent="0.25">
      <c r="A1166" t="s">
        <v>6349</v>
      </c>
      <c r="B1166" t="s">
        <v>6349</v>
      </c>
      <c r="C1166" t="s">
        <v>6350</v>
      </c>
      <c r="D1166" t="s">
        <v>3242</v>
      </c>
      <c r="E1166" t="s">
        <v>16954</v>
      </c>
      <c r="F1166" t="s">
        <v>3257</v>
      </c>
      <c r="G1166" t="s">
        <v>15036</v>
      </c>
      <c r="H1166" t="s">
        <v>5066</v>
      </c>
      <c r="I1166" t="s">
        <v>3648</v>
      </c>
    </row>
    <row r="1167" spans="1:9" x14ac:dyDescent="0.25">
      <c r="A1167" t="s">
        <v>6352</v>
      </c>
      <c r="B1167" t="s">
        <v>6352</v>
      </c>
      <c r="C1167" t="s">
        <v>6353</v>
      </c>
      <c r="D1167" t="s">
        <v>3242</v>
      </c>
      <c r="E1167" t="s">
        <v>15710</v>
      </c>
      <c r="F1167" t="s">
        <v>3257</v>
      </c>
      <c r="G1167" t="s">
        <v>6354</v>
      </c>
      <c r="H1167" t="s">
        <v>3332</v>
      </c>
      <c r="I1167" t="s">
        <v>3268</v>
      </c>
    </row>
    <row r="1168" spans="1:9" x14ac:dyDescent="0.25">
      <c r="A1168" t="s">
        <v>6355</v>
      </c>
      <c r="B1168" t="s">
        <v>6355</v>
      </c>
      <c r="C1168" t="s">
        <v>6356</v>
      </c>
      <c r="D1168" t="s">
        <v>3242</v>
      </c>
      <c r="E1168" t="s">
        <v>15710</v>
      </c>
      <c r="F1168" t="s">
        <v>3257</v>
      </c>
      <c r="G1168" t="s">
        <v>6357</v>
      </c>
      <c r="H1168" t="s">
        <v>6358</v>
      </c>
      <c r="I1168" t="s">
        <v>3324</v>
      </c>
    </row>
    <row r="1169" spans="1:9" x14ac:dyDescent="0.25">
      <c r="A1169" t="s">
        <v>6359</v>
      </c>
      <c r="B1169" t="s">
        <v>6359</v>
      </c>
      <c r="C1169" t="s">
        <v>6360</v>
      </c>
      <c r="D1169" t="s">
        <v>3242</v>
      </c>
      <c r="E1169" t="s">
        <v>15821</v>
      </c>
      <c r="F1169" t="s">
        <v>3257</v>
      </c>
      <c r="G1169" t="s">
        <v>6361</v>
      </c>
      <c r="H1169" t="s">
        <v>6362</v>
      </c>
      <c r="I1169" t="s">
        <v>3407</v>
      </c>
    </row>
    <row r="1170" spans="1:9" x14ac:dyDescent="0.25">
      <c r="A1170" t="s">
        <v>6363</v>
      </c>
      <c r="B1170" t="s">
        <v>6363</v>
      </c>
      <c r="C1170" t="s">
        <v>6364</v>
      </c>
      <c r="D1170" t="s">
        <v>3242</v>
      </c>
      <c r="E1170" t="s">
        <v>15710</v>
      </c>
      <c r="F1170" t="s">
        <v>3306</v>
      </c>
      <c r="G1170" t="s">
        <v>6365</v>
      </c>
      <c r="H1170" t="s">
        <v>5937</v>
      </c>
    </row>
    <row r="1171" spans="1:9" x14ac:dyDescent="0.25">
      <c r="A1171" t="s">
        <v>15037</v>
      </c>
      <c r="B1171" t="s">
        <v>15037</v>
      </c>
      <c r="C1171" t="s">
        <v>15038</v>
      </c>
      <c r="D1171" t="s">
        <v>3242</v>
      </c>
      <c r="E1171" t="s">
        <v>15710</v>
      </c>
      <c r="F1171" t="s">
        <v>3372</v>
      </c>
      <c r="G1171" t="s">
        <v>15039</v>
      </c>
      <c r="H1171" t="s">
        <v>3267</v>
      </c>
      <c r="I1171" t="s">
        <v>3366</v>
      </c>
    </row>
    <row r="1172" spans="1:9" x14ac:dyDescent="0.25">
      <c r="A1172" t="s">
        <v>6366</v>
      </c>
      <c r="B1172" t="s">
        <v>6366</v>
      </c>
      <c r="C1172" t="s">
        <v>6367</v>
      </c>
      <c r="D1172" t="s">
        <v>3242</v>
      </c>
      <c r="E1172" t="s">
        <v>15710</v>
      </c>
      <c r="F1172" t="s">
        <v>3251</v>
      </c>
      <c r="G1172" t="s">
        <v>6368</v>
      </c>
      <c r="H1172" t="s">
        <v>3565</v>
      </c>
    </row>
    <row r="1173" spans="1:9" x14ac:dyDescent="0.25">
      <c r="A1173" t="s">
        <v>6369</v>
      </c>
      <c r="B1173" t="s">
        <v>6369</v>
      </c>
      <c r="C1173" t="s">
        <v>6370</v>
      </c>
      <c r="D1173" t="s">
        <v>3242</v>
      </c>
      <c r="E1173" t="s">
        <v>15710</v>
      </c>
      <c r="F1173" t="s">
        <v>5094</v>
      </c>
      <c r="G1173" t="s">
        <v>6371</v>
      </c>
      <c r="H1173" t="s">
        <v>3496</v>
      </c>
      <c r="I1173" t="s">
        <v>3407</v>
      </c>
    </row>
    <row r="1174" spans="1:9" x14ac:dyDescent="0.25">
      <c r="A1174" t="s">
        <v>15040</v>
      </c>
      <c r="B1174" t="s">
        <v>15040</v>
      </c>
      <c r="C1174" t="s">
        <v>15041</v>
      </c>
      <c r="D1174" t="s">
        <v>3242</v>
      </c>
      <c r="E1174" t="s">
        <v>15710</v>
      </c>
      <c r="F1174" t="s">
        <v>3243</v>
      </c>
      <c r="G1174" t="s">
        <v>3243</v>
      </c>
      <c r="H1174" t="s">
        <v>3387</v>
      </c>
    </row>
    <row r="1175" spans="1:9" x14ac:dyDescent="0.25">
      <c r="A1175" t="s">
        <v>6372</v>
      </c>
      <c r="B1175" t="s">
        <v>6372</v>
      </c>
      <c r="C1175" t="s">
        <v>6373</v>
      </c>
      <c r="D1175" t="s">
        <v>3242</v>
      </c>
      <c r="E1175" t="s">
        <v>15710</v>
      </c>
      <c r="F1175" t="s">
        <v>5881</v>
      </c>
      <c r="G1175" t="s">
        <v>6374</v>
      </c>
      <c r="H1175" t="s">
        <v>3267</v>
      </c>
      <c r="I1175" t="s">
        <v>3268</v>
      </c>
    </row>
    <row r="1176" spans="1:9" x14ac:dyDescent="0.25">
      <c r="A1176" t="s">
        <v>6375</v>
      </c>
      <c r="B1176" t="s">
        <v>6375</v>
      </c>
      <c r="C1176" t="s">
        <v>6376</v>
      </c>
      <c r="D1176" t="s">
        <v>3242</v>
      </c>
      <c r="E1176" t="s">
        <v>15823</v>
      </c>
      <c r="F1176" t="s">
        <v>3257</v>
      </c>
      <c r="G1176" t="s">
        <v>6377</v>
      </c>
      <c r="H1176" t="s">
        <v>4871</v>
      </c>
      <c r="I1176" t="s">
        <v>3324</v>
      </c>
    </row>
    <row r="1177" spans="1:9" x14ac:dyDescent="0.25">
      <c r="A1177" t="s">
        <v>6378</v>
      </c>
      <c r="B1177" t="s">
        <v>6378</v>
      </c>
      <c r="C1177" t="s">
        <v>6379</v>
      </c>
      <c r="D1177" t="s">
        <v>3242</v>
      </c>
      <c r="E1177" t="s">
        <v>17561</v>
      </c>
      <c r="F1177" t="s">
        <v>3257</v>
      </c>
      <c r="G1177" t="s">
        <v>6380</v>
      </c>
      <c r="H1177" t="s">
        <v>3623</v>
      </c>
      <c r="I1177" t="s">
        <v>4028</v>
      </c>
    </row>
    <row r="1178" spans="1:9" x14ac:dyDescent="0.25">
      <c r="A1178" t="s">
        <v>6381</v>
      </c>
      <c r="B1178" t="s">
        <v>6381</v>
      </c>
      <c r="C1178" t="s">
        <v>6382</v>
      </c>
      <c r="D1178" t="s">
        <v>3242</v>
      </c>
      <c r="E1178" t="s">
        <v>16955</v>
      </c>
      <c r="F1178" t="s">
        <v>3588</v>
      </c>
      <c r="G1178" t="s">
        <v>6383</v>
      </c>
      <c r="H1178" t="s">
        <v>3262</v>
      </c>
      <c r="I1178" t="s">
        <v>3263</v>
      </c>
    </row>
    <row r="1179" spans="1:9" x14ac:dyDescent="0.25">
      <c r="A1179" t="s">
        <v>15042</v>
      </c>
      <c r="B1179" t="s">
        <v>15042</v>
      </c>
      <c r="C1179" t="s">
        <v>15043</v>
      </c>
      <c r="D1179" t="s">
        <v>3242</v>
      </c>
      <c r="E1179" t="s">
        <v>15710</v>
      </c>
      <c r="F1179" t="s">
        <v>3243</v>
      </c>
      <c r="G1179" t="s">
        <v>15044</v>
      </c>
      <c r="H1179" t="s">
        <v>3285</v>
      </c>
    </row>
    <row r="1180" spans="1:9" x14ac:dyDescent="0.25">
      <c r="A1180" t="s">
        <v>6384</v>
      </c>
      <c r="B1180" t="s">
        <v>6384</v>
      </c>
      <c r="C1180" t="s">
        <v>6385</v>
      </c>
      <c r="D1180" t="s">
        <v>3242</v>
      </c>
      <c r="E1180" t="s">
        <v>15710</v>
      </c>
      <c r="F1180" t="s">
        <v>3257</v>
      </c>
      <c r="G1180" t="s">
        <v>6386</v>
      </c>
      <c r="H1180" t="s">
        <v>5151</v>
      </c>
      <c r="I1180" t="s">
        <v>3263</v>
      </c>
    </row>
    <row r="1181" spans="1:9" x14ac:dyDescent="0.25">
      <c r="A1181" t="s">
        <v>6387</v>
      </c>
      <c r="B1181" t="s">
        <v>6387</v>
      </c>
      <c r="C1181" t="s">
        <v>6388</v>
      </c>
      <c r="D1181" t="s">
        <v>3242</v>
      </c>
      <c r="E1181" t="s">
        <v>16956</v>
      </c>
      <c r="F1181" t="s">
        <v>5098</v>
      </c>
      <c r="G1181" t="s">
        <v>6389</v>
      </c>
      <c r="H1181" t="s">
        <v>3496</v>
      </c>
      <c r="I1181" t="s">
        <v>3407</v>
      </c>
    </row>
    <row r="1182" spans="1:9" x14ac:dyDescent="0.25">
      <c r="A1182" t="s">
        <v>6390</v>
      </c>
      <c r="B1182" t="s">
        <v>6390</v>
      </c>
      <c r="C1182" t="s">
        <v>6391</v>
      </c>
      <c r="D1182" t="s">
        <v>3242</v>
      </c>
      <c r="E1182" t="s">
        <v>15710</v>
      </c>
      <c r="F1182" t="s">
        <v>6077</v>
      </c>
      <c r="G1182" t="s">
        <v>6392</v>
      </c>
      <c r="H1182" t="s">
        <v>5066</v>
      </c>
      <c r="I1182" t="s">
        <v>3648</v>
      </c>
    </row>
    <row r="1183" spans="1:9" x14ac:dyDescent="0.25">
      <c r="A1183" t="s">
        <v>6393</v>
      </c>
      <c r="B1183" t="s">
        <v>6393</v>
      </c>
      <c r="C1183" t="s">
        <v>6394</v>
      </c>
      <c r="D1183" t="s">
        <v>3242</v>
      </c>
      <c r="E1183" t="s">
        <v>15824</v>
      </c>
      <c r="F1183" t="s">
        <v>3257</v>
      </c>
      <c r="G1183" t="s">
        <v>6395</v>
      </c>
      <c r="H1183" t="s">
        <v>5013</v>
      </c>
      <c r="I1183" t="s">
        <v>3324</v>
      </c>
    </row>
    <row r="1184" spans="1:9" x14ac:dyDescent="0.25">
      <c r="A1184" t="s">
        <v>6396</v>
      </c>
      <c r="B1184" t="s">
        <v>6396</v>
      </c>
      <c r="C1184" t="s">
        <v>6397</v>
      </c>
      <c r="D1184" t="s">
        <v>3242</v>
      </c>
      <c r="E1184" t="s">
        <v>15710</v>
      </c>
      <c r="F1184" t="s">
        <v>3257</v>
      </c>
      <c r="G1184" t="s">
        <v>6398</v>
      </c>
      <c r="H1184" t="s">
        <v>5722</v>
      </c>
      <c r="I1184" t="s">
        <v>3324</v>
      </c>
    </row>
    <row r="1185" spans="1:9" x14ac:dyDescent="0.25">
      <c r="A1185" t="s">
        <v>6399</v>
      </c>
      <c r="B1185" t="s">
        <v>6399</v>
      </c>
      <c r="C1185" t="s">
        <v>6400</v>
      </c>
      <c r="D1185" t="s">
        <v>3242</v>
      </c>
      <c r="E1185" t="s">
        <v>17217</v>
      </c>
      <c r="F1185" t="s">
        <v>3300</v>
      </c>
      <c r="G1185" t="s">
        <v>6401</v>
      </c>
      <c r="H1185" t="s">
        <v>5046</v>
      </c>
      <c r="I1185" t="s">
        <v>3366</v>
      </c>
    </row>
    <row r="1186" spans="1:9" x14ac:dyDescent="0.25">
      <c r="A1186" t="s">
        <v>6402</v>
      </c>
      <c r="B1186" t="s">
        <v>6402</v>
      </c>
      <c r="C1186" t="s">
        <v>6403</v>
      </c>
      <c r="D1186" t="s">
        <v>3242</v>
      </c>
      <c r="E1186" t="s">
        <v>15710</v>
      </c>
      <c r="F1186" t="s">
        <v>3257</v>
      </c>
      <c r="G1186" t="s">
        <v>6404</v>
      </c>
      <c r="H1186" t="s">
        <v>6405</v>
      </c>
    </row>
    <row r="1187" spans="1:9" x14ac:dyDescent="0.25">
      <c r="A1187" t="s">
        <v>6406</v>
      </c>
      <c r="B1187" t="s">
        <v>6406</v>
      </c>
      <c r="C1187" t="s">
        <v>6407</v>
      </c>
      <c r="D1187" t="s">
        <v>3242</v>
      </c>
      <c r="E1187" t="s">
        <v>15710</v>
      </c>
      <c r="F1187" t="s">
        <v>3288</v>
      </c>
      <c r="G1187" t="s">
        <v>6408</v>
      </c>
      <c r="H1187" t="s">
        <v>3680</v>
      </c>
    </row>
    <row r="1188" spans="1:9" x14ac:dyDescent="0.25">
      <c r="A1188" t="s">
        <v>6409</v>
      </c>
      <c r="B1188" t="s">
        <v>6409</v>
      </c>
      <c r="C1188" t="s">
        <v>6410</v>
      </c>
      <c r="D1188" t="s">
        <v>3242</v>
      </c>
      <c r="E1188" t="s">
        <v>15710</v>
      </c>
      <c r="F1188" t="s">
        <v>3257</v>
      </c>
      <c r="G1188" t="s">
        <v>6411</v>
      </c>
      <c r="H1188" t="s">
        <v>5722</v>
      </c>
      <c r="I1188" t="s">
        <v>3366</v>
      </c>
    </row>
    <row r="1189" spans="1:9" x14ac:dyDescent="0.25">
      <c r="A1189" t="s">
        <v>6412</v>
      </c>
      <c r="B1189" t="s">
        <v>6412</v>
      </c>
      <c r="C1189" t="s">
        <v>6413</v>
      </c>
      <c r="D1189" t="s">
        <v>3242</v>
      </c>
      <c r="E1189" t="s">
        <v>15710</v>
      </c>
      <c r="F1189" t="s">
        <v>6414</v>
      </c>
      <c r="G1189" t="s">
        <v>6415</v>
      </c>
      <c r="H1189" t="s">
        <v>4035</v>
      </c>
    </row>
    <row r="1190" spans="1:9" x14ac:dyDescent="0.25">
      <c r="A1190" t="s">
        <v>6416</v>
      </c>
      <c r="B1190" t="s">
        <v>6416</v>
      </c>
      <c r="C1190" t="s">
        <v>6417</v>
      </c>
      <c r="D1190" t="s">
        <v>3242</v>
      </c>
      <c r="E1190" t="s">
        <v>17218</v>
      </c>
      <c r="F1190" t="s">
        <v>3257</v>
      </c>
      <c r="G1190" t="s">
        <v>6418</v>
      </c>
      <c r="H1190" t="s">
        <v>4835</v>
      </c>
      <c r="I1190" t="s">
        <v>3366</v>
      </c>
    </row>
    <row r="1191" spans="1:9" x14ac:dyDescent="0.25">
      <c r="A1191" t="s">
        <v>6419</v>
      </c>
      <c r="B1191" t="s">
        <v>6419</v>
      </c>
      <c r="C1191" t="s">
        <v>6420</v>
      </c>
      <c r="D1191" t="s">
        <v>3242</v>
      </c>
      <c r="E1191" t="s">
        <v>16957</v>
      </c>
      <c r="F1191" t="s">
        <v>3300</v>
      </c>
      <c r="G1191" t="s">
        <v>6421</v>
      </c>
      <c r="H1191" t="s">
        <v>3668</v>
      </c>
      <c r="I1191" t="s">
        <v>3694</v>
      </c>
    </row>
    <row r="1192" spans="1:9" x14ac:dyDescent="0.25">
      <c r="A1192" t="s">
        <v>15045</v>
      </c>
      <c r="B1192" t="s">
        <v>15045</v>
      </c>
      <c r="C1192" t="s">
        <v>15046</v>
      </c>
      <c r="D1192" t="s">
        <v>3242</v>
      </c>
      <c r="E1192" t="s">
        <v>15710</v>
      </c>
      <c r="F1192" t="s">
        <v>3251</v>
      </c>
      <c r="G1192" t="s">
        <v>5140</v>
      </c>
      <c r="H1192" t="s">
        <v>5141</v>
      </c>
      <c r="I1192" t="s">
        <v>4605</v>
      </c>
    </row>
    <row r="1193" spans="1:9" x14ac:dyDescent="0.25">
      <c r="A1193" t="s">
        <v>6422</v>
      </c>
      <c r="B1193" t="s">
        <v>6422</v>
      </c>
      <c r="C1193" t="s">
        <v>6423</v>
      </c>
      <c r="D1193" t="s">
        <v>3242</v>
      </c>
      <c r="E1193" t="s">
        <v>15710</v>
      </c>
      <c r="F1193" t="s">
        <v>3257</v>
      </c>
      <c r="G1193" t="s">
        <v>6424</v>
      </c>
      <c r="H1193" t="s">
        <v>3060</v>
      </c>
      <c r="I1193" t="s">
        <v>4028</v>
      </c>
    </row>
    <row r="1194" spans="1:9" x14ac:dyDescent="0.25">
      <c r="A1194" t="s">
        <v>6425</v>
      </c>
      <c r="B1194" t="s">
        <v>6425</v>
      </c>
      <c r="C1194" t="s">
        <v>6426</v>
      </c>
      <c r="D1194" t="s">
        <v>3242</v>
      </c>
      <c r="E1194" t="s">
        <v>15710</v>
      </c>
      <c r="F1194" t="s">
        <v>3372</v>
      </c>
      <c r="G1194" t="s">
        <v>6427</v>
      </c>
      <c r="H1194" t="s">
        <v>6428</v>
      </c>
    </row>
    <row r="1195" spans="1:9" x14ac:dyDescent="0.25">
      <c r="A1195" t="s">
        <v>6429</v>
      </c>
      <c r="B1195" t="s">
        <v>6429</v>
      </c>
      <c r="C1195" t="s">
        <v>6430</v>
      </c>
      <c r="D1195" t="s">
        <v>3242</v>
      </c>
      <c r="E1195" t="s">
        <v>15826</v>
      </c>
      <c r="F1195" t="s">
        <v>3592</v>
      </c>
      <c r="G1195" t="s">
        <v>6431</v>
      </c>
      <c r="H1195" t="s">
        <v>6171</v>
      </c>
      <c r="I1195" t="s">
        <v>3324</v>
      </c>
    </row>
    <row r="1196" spans="1:9" x14ac:dyDescent="0.25">
      <c r="A1196" t="s">
        <v>6432</v>
      </c>
      <c r="B1196" t="s">
        <v>6432</v>
      </c>
      <c r="C1196" t="s">
        <v>6433</v>
      </c>
      <c r="D1196" t="s">
        <v>3242</v>
      </c>
      <c r="E1196" t="s">
        <v>17219</v>
      </c>
      <c r="F1196" t="s">
        <v>3306</v>
      </c>
      <c r="G1196" t="s">
        <v>6434</v>
      </c>
      <c r="H1196" t="s">
        <v>5722</v>
      </c>
      <c r="I1196" t="s">
        <v>3324</v>
      </c>
    </row>
    <row r="1197" spans="1:9" x14ac:dyDescent="0.25">
      <c r="A1197" t="s">
        <v>16670</v>
      </c>
      <c r="B1197" t="s">
        <v>16670</v>
      </c>
      <c r="C1197" t="s">
        <v>16671</v>
      </c>
      <c r="D1197" t="s">
        <v>3242</v>
      </c>
      <c r="E1197" t="s">
        <v>16672</v>
      </c>
      <c r="F1197" t="s">
        <v>16673</v>
      </c>
      <c r="G1197" t="s">
        <v>16674</v>
      </c>
      <c r="H1197" t="s">
        <v>3248</v>
      </c>
      <c r="I1197" t="s">
        <v>3432</v>
      </c>
    </row>
    <row r="1198" spans="1:9" x14ac:dyDescent="0.25">
      <c r="A1198" t="s">
        <v>6435</v>
      </c>
      <c r="B1198" t="s">
        <v>6435</v>
      </c>
      <c r="C1198" t="s">
        <v>6436</v>
      </c>
      <c r="D1198" t="s">
        <v>3242</v>
      </c>
      <c r="E1198" t="s">
        <v>15710</v>
      </c>
      <c r="F1198" t="s">
        <v>3300</v>
      </c>
      <c r="G1198" t="s">
        <v>6437</v>
      </c>
      <c r="H1198" t="s">
        <v>3623</v>
      </c>
      <c r="I1198" t="s">
        <v>3694</v>
      </c>
    </row>
    <row r="1199" spans="1:9" x14ac:dyDescent="0.25">
      <c r="A1199" t="s">
        <v>6438</v>
      </c>
      <c r="B1199" t="s">
        <v>6438</v>
      </c>
      <c r="C1199" t="s">
        <v>6439</v>
      </c>
      <c r="D1199" t="s">
        <v>3242</v>
      </c>
      <c r="E1199" t="s">
        <v>15827</v>
      </c>
      <c r="F1199" t="s">
        <v>3243</v>
      </c>
      <c r="G1199" t="s">
        <v>15047</v>
      </c>
      <c r="H1199" t="s">
        <v>3323</v>
      </c>
      <c r="I1199" t="s">
        <v>3366</v>
      </c>
    </row>
    <row r="1200" spans="1:9" x14ac:dyDescent="0.25">
      <c r="A1200" t="s">
        <v>6440</v>
      </c>
      <c r="B1200" t="s">
        <v>6440</v>
      </c>
      <c r="C1200" t="s">
        <v>6441</v>
      </c>
      <c r="D1200" t="s">
        <v>3242</v>
      </c>
      <c r="E1200" t="s">
        <v>15710</v>
      </c>
      <c r="F1200" t="s">
        <v>3257</v>
      </c>
      <c r="G1200" t="s">
        <v>6442</v>
      </c>
      <c r="H1200" t="s">
        <v>4045</v>
      </c>
      <c r="I1200" t="s">
        <v>3694</v>
      </c>
    </row>
    <row r="1201" spans="1:9" x14ac:dyDescent="0.25">
      <c r="A1201" t="s">
        <v>6443</v>
      </c>
      <c r="B1201" t="s">
        <v>6443</v>
      </c>
      <c r="C1201" t="s">
        <v>6444</v>
      </c>
      <c r="D1201" t="s">
        <v>3242</v>
      </c>
      <c r="E1201" t="s">
        <v>15828</v>
      </c>
      <c r="F1201" t="s">
        <v>3257</v>
      </c>
      <c r="G1201" t="s">
        <v>6445</v>
      </c>
      <c r="H1201" t="s">
        <v>4926</v>
      </c>
      <c r="I1201" t="s">
        <v>3648</v>
      </c>
    </row>
    <row r="1202" spans="1:9" x14ac:dyDescent="0.25">
      <c r="A1202" t="s">
        <v>6446</v>
      </c>
      <c r="B1202" t="s">
        <v>6446</v>
      </c>
      <c r="C1202" t="s">
        <v>6447</v>
      </c>
      <c r="D1202" t="s">
        <v>3242</v>
      </c>
      <c r="E1202" t="s">
        <v>15710</v>
      </c>
      <c r="F1202" t="s">
        <v>3257</v>
      </c>
      <c r="G1202" t="s">
        <v>6448</v>
      </c>
      <c r="H1202" t="s">
        <v>3060</v>
      </c>
      <c r="I1202" t="s">
        <v>4028</v>
      </c>
    </row>
    <row r="1203" spans="1:9" x14ac:dyDescent="0.25">
      <c r="A1203" t="s">
        <v>6449</v>
      </c>
      <c r="B1203" t="s">
        <v>6449</v>
      </c>
      <c r="C1203" t="s">
        <v>6450</v>
      </c>
      <c r="D1203" t="s">
        <v>3242</v>
      </c>
      <c r="E1203" t="s">
        <v>15710</v>
      </c>
      <c r="F1203" t="s">
        <v>3243</v>
      </c>
      <c r="G1203" t="s">
        <v>6451</v>
      </c>
      <c r="H1203" t="s">
        <v>3285</v>
      </c>
    </row>
    <row r="1204" spans="1:9" x14ac:dyDescent="0.25">
      <c r="A1204" t="s">
        <v>6452</v>
      </c>
      <c r="B1204" t="s">
        <v>6452</v>
      </c>
      <c r="C1204" t="s">
        <v>6453</v>
      </c>
      <c r="D1204" t="s">
        <v>3242</v>
      </c>
      <c r="E1204" t="s">
        <v>15829</v>
      </c>
      <c r="F1204" t="s">
        <v>3243</v>
      </c>
      <c r="G1204" t="s">
        <v>6454</v>
      </c>
      <c r="H1204" t="s">
        <v>6455</v>
      </c>
    </row>
    <row r="1205" spans="1:9" x14ac:dyDescent="0.25">
      <c r="A1205" t="s">
        <v>6456</v>
      </c>
      <c r="B1205" t="s">
        <v>6456</v>
      </c>
      <c r="C1205" t="s">
        <v>6457</v>
      </c>
      <c r="D1205" t="s">
        <v>3242</v>
      </c>
      <c r="E1205" t="s">
        <v>17220</v>
      </c>
      <c r="F1205" t="s">
        <v>6458</v>
      </c>
      <c r="G1205" t="s">
        <v>6459</v>
      </c>
      <c r="H1205" t="s">
        <v>3496</v>
      </c>
      <c r="I1205" t="s">
        <v>3407</v>
      </c>
    </row>
    <row r="1206" spans="1:9" x14ac:dyDescent="0.25">
      <c r="A1206" t="s">
        <v>6460</v>
      </c>
      <c r="B1206" t="s">
        <v>6460</v>
      </c>
      <c r="C1206" t="s">
        <v>6461</v>
      </c>
      <c r="D1206" t="s">
        <v>3242</v>
      </c>
      <c r="E1206" t="s">
        <v>15830</v>
      </c>
      <c r="F1206" t="s">
        <v>3257</v>
      </c>
      <c r="G1206" t="s">
        <v>6462</v>
      </c>
      <c r="H1206" t="s">
        <v>5700</v>
      </c>
    </row>
    <row r="1207" spans="1:9" x14ac:dyDescent="0.25">
      <c r="A1207" t="s">
        <v>6463</v>
      </c>
      <c r="B1207" t="s">
        <v>6463</v>
      </c>
      <c r="C1207" t="s">
        <v>6464</v>
      </c>
      <c r="D1207" t="s">
        <v>3242</v>
      </c>
      <c r="E1207" t="s">
        <v>15710</v>
      </c>
      <c r="F1207" t="s">
        <v>5158</v>
      </c>
      <c r="G1207" t="s">
        <v>6465</v>
      </c>
      <c r="H1207" t="s">
        <v>5700</v>
      </c>
    </row>
    <row r="1208" spans="1:9" x14ac:dyDescent="0.25">
      <c r="A1208" t="s">
        <v>6466</v>
      </c>
      <c r="B1208" t="s">
        <v>6466</v>
      </c>
      <c r="C1208" t="s">
        <v>6467</v>
      </c>
      <c r="D1208" t="s">
        <v>3242</v>
      </c>
      <c r="E1208" t="s">
        <v>15710</v>
      </c>
      <c r="F1208" t="s">
        <v>3257</v>
      </c>
      <c r="G1208" t="s">
        <v>6468</v>
      </c>
      <c r="H1208" t="s">
        <v>3353</v>
      </c>
      <c r="I1208" t="s">
        <v>3324</v>
      </c>
    </row>
    <row r="1209" spans="1:9" x14ac:dyDescent="0.25">
      <c r="A1209" t="s">
        <v>6469</v>
      </c>
      <c r="B1209" t="s">
        <v>6469</v>
      </c>
      <c r="C1209" t="s">
        <v>6470</v>
      </c>
      <c r="D1209" t="s">
        <v>3242</v>
      </c>
      <c r="E1209" t="s">
        <v>15710</v>
      </c>
      <c r="F1209" t="s">
        <v>5955</v>
      </c>
      <c r="G1209" t="s">
        <v>6471</v>
      </c>
      <c r="H1209" t="s">
        <v>3267</v>
      </c>
      <c r="I1209" t="s">
        <v>3294</v>
      </c>
    </row>
    <row r="1210" spans="1:9" x14ac:dyDescent="0.25">
      <c r="A1210" t="s">
        <v>6472</v>
      </c>
      <c r="B1210" t="s">
        <v>6472</v>
      </c>
      <c r="C1210" t="s">
        <v>6473</v>
      </c>
      <c r="D1210" t="s">
        <v>3242</v>
      </c>
      <c r="E1210" t="s">
        <v>15710</v>
      </c>
      <c r="F1210" t="s">
        <v>3257</v>
      </c>
      <c r="G1210" t="s">
        <v>6474</v>
      </c>
      <c r="H1210" t="s">
        <v>3496</v>
      </c>
      <c r="I1210" t="s">
        <v>3407</v>
      </c>
    </row>
    <row r="1211" spans="1:9" x14ac:dyDescent="0.25">
      <c r="A1211" t="s">
        <v>6475</v>
      </c>
      <c r="B1211" t="s">
        <v>6475</v>
      </c>
      <c r="C1211" t="s">
        <v>6476</v>
      </c>
      <c r="D1211" t="s">
        <v>3242</v>
      </c>
      <c r="E1211" t="s">
        <v>15710</v>
      </c>
      <c r="F1211" t="s">
        <v>3243</v>
      </c>
      <c r="G1211" t="s">
        <v>6477</v>
      </c>
      <c r="H1211" t="s">
        <v>3402</v>
      </c>
    </row>
    <row r="1212" spans="1:9" x14ac:dyDescent="0.25">
      <c r="A1212" t="s">
        <v>6478</v>
      </c>
      <c r="B1212" t="s">
        <v>6478</v>
      </c>
      <c r="C1212" t="s">
        <v>6479</v>
      </c>
      <c r="D1212" t="s">
        <v>3242</v>
      </c>
      <c r="E1212" t="s">
        <v>15711</v>
      </c>
      <c r="F1212" t="s">
        <v>3306</v>
      </c>
      <c r="G1212" t="s">
        <v>6480</v>
      </c>
      <c r="H1212" t="s">
        <v>5021</v>
      </c>
      <c r="I1212" t="s">
        <v>3324</v>
      </c>
    </row>
    <row r="1213" spans="1:9" x14ac:dyDescent="0.25">
      <c r="A1213" t="s">
        <v>16212</v>
      </c>
      <c r="B1213" t="s">
        <v>16212</v>
      </c>
      <c r="C1213" t="s">
        <v>16213</v>
      </c>
      <c r="D1213" t="s">
        <v>3242</v>
      </c>
      <c r="E1213" t="s">
        <v>15973</v>
      </c>
      <c r="F1213" t="s">
        <v>3257</v>
      </c>
      <c r="G1213" t="s">
        <v>16214</v>
      </c>
      <c r="H1213" t="s">
        <v>3253</v>
      </c>
      <c r="I1213" t="s">
        <v>3451</v>
      </c>
    </row>
    <row r="1214" spans="1:9" x14ac:dyDescent="0.25">
      <c r="A1214" t="s">
        <v>6481</v>
      </c>
      <c r="B1214" t="s">
        <v>6481</v>
      </c>
      <c r="C1214" t="s">
        <v>6482</v>
      </c>
      <c r="D1214" t="s">
        <v>3242</v>
      </c>
      <c r="E1214" t="s">
        <v>17562</v>
      </c>
      <c r="F1214" t="s">
        <v>3300</v>
      </c>
      <c r="G1214" t="s">
        <v>6483</v>
      </c>
      <c r="H1214" t="s">
        <v>3421</v>
      </c>
      <c r="I1214" t="s">
        <v>3254</v>
      </c>
    </row>
    <row r="1215" spans="1:9" x14ac:dyDescent="0.25">
      <c r="A1215" t="s">
        <v>6484</v>
      </c>
      <c r="B1215" t="s">
        <v>6484</v>
      </c>
      <c r="C1215" t="s">
        <v>6485</v>
      </c>
      <c r="D1215" t="s">
        <v>3242</v>
      </c>
      <c r="E1215" t="s">
        <v>16454</v>
      </c>
      <c r="F1215" t="s">
        <v>3257</v>
      </c>
      <c r="G1215" t="s">
        <v>16455</v>
      </c>
      <c r="H1215" t="s">
        <v>3357</v>
      </c>
      <c r="I1215" t="s">
        <v>3268</v>
      </c>
    </row>
    <row r="1216" spans="1:9" x14ac:dyDescent="0.25">
      <c r="A1216" t="s">
        <v>6486</v>
      </c>
      <c r="B1216" t="s">
        <v>6486</v>
      </c>
      <c r="C1216" t="s">
        <v>6487</v>
      </c>
      <c r="D1216" t="s">
        <v>3242</v>
      </c>
      <c r="E1216" t="s">
        <v>16828</v>
      </c>
      <c r="F1216" t="s">
        <v>3251</v>
      </c>
      <c r="G1216" t="s">
        <v>6488</v>
      </c>
      <c r="H1216" t="s">
        <v>6489</v>
      </c>
      <c r="I1216" t="s">
        <v>3366</v>
      </c>
    </row>
    <row r="1217" spans="1:9" x14ac:dyDescent="0.25">
      <c r="A1217" t="s">
        <v>6490</v>
      </c>
      <c r="B1217" t="s">
        <v>6490</v>
      </c>
      <c r="C1217" t="s">
        <v>6491</v>
      </c>
      <c r="D1217" t="s">
        <v>3242</v>
      </c>
      <c r="E1217" t="s">
        <v>15831</v>
      </c>
      <c r="F1217" t="s">
        <v>3257</v>
      </c>
      <c r="G1217" t="s">
        <v>6492</v>
      </c>
      <c r="H1217" t="s">
        <v>3643</v>
      </c>
      <c r="I1217" t="s">
        <v>3366</v>
      </c>
    </row>
    <row r="1218" spans="1:9" x14ac:dyDescent="0.25">
      <c r="A1218" t="s">
        <v>6493</v>
      </c>
      <c r="B1218" t="s">
        <v>6493</v>
      </c>
      <c r="C1218" t="s">
        <v>6494</v>
      </c>
      <c r="D1218" t="s">
        <v>3242</v>
      </c>
      <c r="E1218" t="s">
        <v>15710</v>
      </c>
      <c r="F1218" t="s">
        <v>3257</v>
      </c>
      <c r="G1218" t="s">
        <v>6495</v>
      </c>
      <c r="H1218" t="s">
        <v>3484</v>
      </c>
      <c r="I1218" t="s">
        <v>3375</v>
      </c>
    </row>
    <row r="1219" spans="1:9" x14ac:dyDescent="0.25">
      <c r="A1219" t="s">
        <v>17563</v>
      </c>
      <c r="B1219" t="s">
        <v>17563</v>
      </c>
      <c r="C1219" t="s">
        <v>17564</v>
      </c>
      <c r="D1219" t="s">
        <v>3242</v>
      </c>
      <c r="E1219" t="s">
        <v>15710</v>
      </c>
      <c r="F1219" t="s">
        <v>3243</v>
      </c>
      <c r="G1219" t="s">
        <v>17565</v>
      </c>
      <c r="H1219" t="s">
        <v>3285</v>
      </c>
    </row>
    <row r="1220" spans="1:9" x14ac:dyDescent="0.25">
      <c r="A1220" t="s">
        <v>16456</v>
      </c>
      <c r="B1220" t="s">
        <v>16456</v>
      </c>
      <c r="C1220" t="s">
        <v>16457</v>
      </c>
      <c r="D1220" t="s">
        <v>3242</v>
      </c>
      <c r="E1220" t="s">
        <v>15710</v>
      </c>
      <c r="F1220" t="s">
        <v>3257</v>
      </c>
      <c r="G1220" t="s">
        <v>16458</v>
      </c>
      <c r="H1220" t="s">
        <v>3421</v>
      </c>
      <c r="I1220" t="s">
        <v>3254</v>
      </c>
    </row>
    <row r="1221" spans="1:9" x14ac:dyDescent="0.25">
      <c r="A1221" t="s">
        <v>6496</v>
      </c>
      <c r="B1221" t="s">
        <v>6496</v>
      </c>
      <c r="C1221" t="s">
        <v>6497</v>
      </c>
      <c r="D1221" t="s">
        <v>3242</v>
      </c>
      <c r="E1221" t="s">
        <v>15710</v>
      </c>
      <c r="F1221" t="s">
        <v>3257</v>
      </c>
      <c r="G1221" t="s">
        <v>6498</v>
      </c>
      <c r="H1221" t="s">
        <v>3060</v>
      </c>
    </row>
    <row r="1222" spans="1:9" x14ac:dyDescent="0.25">
      <c r="A1222" t="s">
        <v>6499</v>
      </c>
      <c r="B1222" t="s">
        <v>6499</v>
      </c>
      <c r="C1222" t="s">
        <v>6500</v>
      </c>
      <c r="D1222" t="s">
        <v>3242</v>
      </c>
      <c r="E1222" t="s">
        <v>15710</v>
      </c>
      <c r="F1222" t="s">
        <v>5881</v>
      </c>
      <c r="G1222" t="s">
        <v>6501</v>
      </c>
      <c r="H1222" t="s">
        <v>6502</v>
      </c>
    </row>
    <row r="1223" spans="1:9" x14ac:dyDescent="0.25">
      <c r="A1223" t="s">
        <v>6503</v>
      </c>
      <c r="B1223" t="s">
        <v>6503</v>
      </c>
      <c r="C1223" t="s">
        <v>6504</v>
      </c>
      <c r="D1223" t="s">
        <v>3242</v>
      </c>
      <c r="E1223" t="s">
        <v>15832</v>
      </c>
      <c r="F1223" t="s">
        <v>6505</v>
      </c>
      <c r="G1223" t="s">
        <v>6506</v>
      </c>
      <c r="H1223" t="s">
        <v>3060</v>
      </c>
    </row>
    <row r="1224" spans="1:9" x14ac:dyDescent="0.25">
      <c r="A1224" t="s">
        <v>6507</v>
      </c>
      <c r="B1224" t="s">
        <v>6507</v>
      </c>
      <c r="C1224" t="s">
        <v>6508</v>
      </c>
      <c r="D1224" t="s">
        <v>3242</v>
      </c>
      <c r="E1224" t="s">
        <v>17221</v>
      </c>
      <c r="F1224" t="s">
        <v>3257</v>
      </c>
      <c r="G1224" t="s">
        <v>6509</v>
      </c>
      <c r="H1224" t="s">
        <v>3060</v>
      </c>
    </row>
    <row r="1225" spans="1:9" x14ac:dyDescent="0.25">
      <c r="A1225" t="s">
        <v>6510</v>
      </c>
      <c r="B1225" t="s">
        <v>6510</v>
      </c>
      <c r="C1225" t="s">
        <v>6511</v>
      </c>
      <c r="D1225" t="s">
        <v>3242</v>
      </c>
      <c r="E1225" t="s">
        <v>15833</v>
      </c>
      <c r="F1225" t="s">
        <v>3257</v>
      </c>
      <c r="G1225" t="s">
        <v>6512</v>
      </c>
      <c r="H1225" t="s">
        <v>3323</v>
      </c>
      <c r="I1225" t="s">
        <v>3324</v>
      </c>
    </row>
    <row r="1226" spans="1:9" x14ac:dyDescent="0.25">
      <c r="A1226" t="s">
        <v>6513</v>
      </c>
      <c r="B1226" t="s">
        <v>6513</v>
      </c>
      <c r="C1226" t="s">
        <v>6514</v>
      </c>
      <c r="D1226" t="s">
        <v>3242</v>
      </c>
      <c r="E1226" t="s">
        <v>15710</v>
      </c>
      <c r="F1226" t="s">
        <v>3243</v>
      </c>
      <c r="G1226" t="s">
        <v>3673</v>
      </c>
      <c r="H1226" t="s">
        <v>3285</v>
      </c>
    </row>
    <row r="1227" spans="1:9" x14ac:dyDescent="0.25">
      <c r="A1227" t="s">
        <v>15048</v>
      </c>
      <c r="B1227" t="s">
        <v>15048</v>
      </c>
      <c r="C1227" t="s">
        <v>15049</v>
      </c>
      <c r="D1227" t="s">
        <v>3242</v>
      </c>
      <c r="E1227" t="s">
        <v>15710</v>
      </c>
      <c r="F1227" t="s">
        <v>3306</v>
      </c>
      <c r="G1227" t="s">
        <v>15050</v>
      </c>
      <c r="H1227" t="s">
        <v>3311</v>
      </c>
      <c r="I1227" t="s">
        <v>3254</v>
      </c>
    </row>
    <row r="1228" spans="1:9" x14ac:dyDescent="0.25">
      <c r="A1228" t="s">
        <v>6515</v>
      </c>
      <c r="B1228" t="s">
        <v>6515</v>
      </c>
      <c r="C1228" t="s">
        <v>6516</v>
      </c>
      <c r="D1228" t="s">
        <v>3242</v>
      </c>
      <c r="E1228" t="s">
        <v>17222</v>
      </c>
      <c r="F1228" t="s">
        <v>5098</v>
      </c>
      <c r="G1228" t="s">
        <v>6517</v>
      </c>
      <c r="H1228" t="s">
        <v>3496</v>
      </c>
      <c r="I1228" t="s">
        <v>3407</v>
      </c>
    </row>
    <row r="1229" spans="1:9" x14ac:dyDescent="0.25">
      <c r="A1229" t="s">
        <v>6518</v>
      </c>
      <c r="B1229" t="s">
        <v>6518</v>
      </c>
      <c r="C1229" t="s">
        <v>6519</v>
      </c>
      <c r="D1229" t="s">
        <v>3242</v>
      </c>
      <c r="E1229" t="s">
        <v>16215</v>
      </c>
      <c r="F1229" t="s">
        <v>3300</v>
      </c>
      <c r="G1229" t="s">
        <v>6520</v>
      </c>
      <c r="H1229" t="s">
        <v>3332</v>
      </c>
      <c r="I1229" t="s">
        <v>3268</v>
      </c>
    </row>
    <row r="1230" spans="1:9" x14ac:dyDescent="0.25">
      <c r="A1230" t="s">
        <v>6521</v>
      </c>
      <c r="B1230" t="s">
        <v>6521</v>
      </c>
      <c r="C1230" t="s">
        <v>6522</v>
      </c>
      <c r="D1230" t="s">
        <v>3242</v>
      </c>
      <c r="E1230" t="s">
        <v>16675</v>
      </c>
      <c r="F1230" t="s">
        <v>3257</v>
      </c>
      <c r="G1230" t="s">
        <v>6523</v>
      </c>
      <c r="H1230" t="s">
        <v>6524</v>
      </c>
      <c r="I1230" t="s">
        <v>3648</v>
      </c>
    </row>
    <row r="1231" spans="1:9" x14ac:dyDescent="0.25">
      <c r="A1231" t="s">
        <v>6525</v>
      </c>
      <c r="B1231" t="s">
        <v>6525</v>
      </c>
      <c r="C1231" t="s">
        <v>6526</v>
      </c>
      <c r="D1231" t="s">
        <v>3242</v>
      </c>
      <c r="E1231" t="s">
        <v>15710</v>
      </c>
      <c r="F1231" t="s">
        <v>3288</v>
      </c>
      <c r="G1231" t="s">
        <v>6527</v>
      </c>
      <c r="H1231" t="s">
        <v>3680</v>
      </c>
    </row>
    <row r="1232" spans="1:9" x14ac:dyDescent="0.25">
      <c r="A1232" t="s">
        <v>6528</v>
      </c>
      <c r="B1232" t="s">
        <v>6528</v>
      </c>
      <c r="C1232" t="s">
        <v>6529</v>
      </c>
      <c r="D1232" t="s">
        <v>3242</v>
      </c>
      <c r="E1232" t="s">
        <v>15710</v>
      </c>
      <c r="F1232" t="s">
        <v>3300</v>
      </c>
      <c r="G1232" t="s">
        <v>6530</v>
      </c>
      <c r="H1232" t="s">
        <v>3900</v>
      </c>
    </row>
    <row r="1233" spans="1:9" x14ac:dyDescent="0.25">
      <c r="A1233" t="s">
        <v>6531</v>
      </c>
      <c r="B1233" t="s">
        <v>6531</v>
      </c>
      <c r="C1233" t="s">
        <v>6532</v>
      </c>
      <c r="D1233" t="s">
        <v>3242</v>
      </c>
      <c r="E1233" t="s">
        <v>15834</v>
      </c>
      <c r="F1233" t="s">
        <v>5490</v>
      </c>
      <c r="G1233" t="s">
        <v>6533</v>
      </c>
      <c r="H1233" t="s">
        <v>5103</v>
      </c>
    </row>
    <row r="1234" spans="1:9" x14ac:dyDescent="0.25">
      <c r="A1234" t="s">
        <v>6534</v>
      </c>
      <c r="B1234" t="s">
        <v>6534</v>
      </c>
      <c r="C1234" t="s">
        <v>6535</v>
      </c>
      <c r="D1234" t="s">
        <v>3242</v>
      </c>
      <c r="E1234" t="s">
        <v>15710</v>
      </c>
      <c r="F1234" t="s">
        <v>3306</v>
      </c>
      <c r="G1234" t="s">
        <v>6536</v>
      </c>
      <c r="H1234" t="s">
        <v>4045</v>
      </c>
      <c r="I1234" t="s">
        <v>3254</v>
      </c>
    </row>
    <row r="1235" spans="1:9" x14ac:dyDescent="0.25">
      <c r="A1235" t="s">
        <v>6537</v>
      </c>
      <c r="B1235" t="s">
        <v>6537</v>
      </c>
      <c r="C1235" t="s">
        <v>6538</v>
      </c>
      <c r="D1235" t="s">
        <v>3321</v>
      </c>
      <c r="E1235" t="s">
        <v>15710</v>
      </c>
      <c r="F1235" t="s">
        <v>3306</v>
      </c>
      <c r="G1235" t="s">
        <v>6539</v>
      </c>
      <c r="H1235" t="s">
        <v>6540</v>
      </c>
      <c r="I1235" t="s">
        <v>3268</v>
      </c>
    </row>
    <row r="1236" spans="1:9" x14ac:dyDescent="0.25">
      <c r="A1236" t="s">
        <v>6541</v>
      </c>
      <c r="B1236" t="s">
        <v>6541</v>
      </c>
      <c r="C1236" t="s">
        <v>6542</v>
      </c>
      <c r="D1236" t="s">
        <v>3242</v>
      </c>
      <c r="E1236" t="s">
        <v>15710</v>
      </c>
      <c r="F1236" t="s">
        <v>3243</v>
      </c>
      <c r="G1236" t="s">
        <v>6543</v>
      </c>
      <c r="H1236" t="s">
        <v>3290</v>
      </c>
    </row>
    <row r="1237" spans="1:9" x14ac:dyDescent="0.25">
      <c r="A1237" t="s">
        <v>6544</v>
      </c>
      <c r="B1237" t="s">
        <v>6544</v>
      </c>
      <c r="C1237" t="s">
        <v>6545</v>
      </c>
      <c r="D1237" t="s">
        <v>3242</v>
      </c>
      <c r="E1237" t="s">
        <v>15710</v>
      </c>
      <c r="F1237" t="s">
        <v>3257</v>
      </c>
      <c r="G1237" t="s">
        <v>6546</v>
      </c>
      <c r="H1237" t="s">
        <v>6547</v>
      </c>
      <c r="I1237" t="s">
        <v>3648</v>
      </c>
    </row>
    <row r="1238" spans="1:9" x14ac:dyDescent="0.25">
      <c r="A1238" t="s">
        <v>6548</v>
      </c>
      <c r="B1238" t="s">
        <v>6548</v>
      </c>
      <c r="C1238" t="s">
        <v>6549</v>
      </c>
      <c r="D1238" t="s">
        <v>3242</v>
      </c>
      <c r="E1238" t="s">
        <v>15835</v>
      </c>
      <c r="F1238" t="s">
        <v>6550</v>
      </c>
      <c r="G1238" t="s">
        <v>6551</v>
      </c>
      <c r="H1238" t="s">
        <v>6547</v>
      </c>
      <c r="I1238" t="s">
        <v>3407</v>
      </c>
    </row>
    <row r="1239" spans="1:9" x14ac:dyDescent="0.25">
      <c r="A1239" t="s">
        <v>6552</v>
      </c>
      <c r="B1239" t="s">
        <v>6552</v>
      </c>
      <c r="C1239" t="s">
        <v>6553</v>
      </c>
      <c r="D1239" t="s">
        <v>3242</v>
      </c>
      <c r="E1239" t="s">
        <v>16958</v>
      </c>
      <c r="F1239" t="s">
        <v>3257</v>
      </c>
      <c r="G1239" t="s">
        <v>6554</v>
      </c>
      <c r="H1239" t="s">
        <v>4711</v>
      </c>
      <c r="I1239" t="s">
        <v>3254</v>
      </c>
    </row>
    <row r="1240" spans="1:9" x14ac:dyDescent="0.25">
      <c r="A1240" t="s">
        <v>6555</v>
      </c>
      <c r="B1240" t="s">
        <v>6555</v>
      </c>
      <c r="C1240" t="s">
        <v>6556</v>
      </c>
      <c r="D1240" t="s">
        <v>3242</v>
      </c>
      <c r="E1240" t="s">
        <v>15710</v>
      </c>
      <c r="F1240" t="s">
        <v>3251</v>
      </c>
      <c r="G1240" t="s">
        <v>6557</v>
      </c>
      <c r="H1240" t="s">
        <v>5289</v>
      </c>
    </row>
    <row r="1241" spans="1:9" x14ac:dyDescent="0.25">
      <c r="A1241" t="s">
        <v>6558</v>
      </c>
      <c r="B1241" t="s">
        <v>6558</v>
      </c>
      <c r="C1241" t="s">
        <v>6559</v>
      </c>
      <c r="D1241" t="s">
        <v>3242</v>
      </c>
      <c r="E1241" t="s">
        <v>15710</v>
      </c>
      <c r="F1241" t="s">
        <v>3372</v>
      </c>
      <c r="G1241" t="s">
        <v>6560</v>
      </c>
      <c r="H1241" t="s">
        <v>6561</v>
      </c>
      <c r="I1241" t="s">
        <v>3324</v>
      </c>
    </row>
    <row r="1242" spans="1:9" x14ac:dyDescent="0.25">
      <c r="A1242" t="s">
        <v>6562</v>
      </c>
      <c r="B1242" t="s">
        <v>6562</v>
      </c>
      <c r="C1242" t="s">
        <v>6563</v>
      </c>
      <c r="D1242" t="s">
        <v>3242</v>
      </c>
      <c r="E1242" t="s">
        <v>16036</v>
      </c>
      <c r="F1242" t="s">
        <v>6564</v>
      </c>
      <c r="G1242" t="s">
        <v>6565</v>
      </c>
      <c r="H1242" t="s">
        <v>3519</v>
      </c>
    </row>
    <row r="1243" spans="1:9" x14ac:dyDescent="0.25">
      <c r="A1243" t="s">
        <v>6566</v>
      </c>
      <c r="B1243" t="s">
        <v>6566</v>
      </c>
      <c r="C1243" t="s">
        <v>6567</v>
      </c>
      <c r="D1243" t="s">
        <v>3242</v>
      </c>
      <c r="E1243" t="s">
        <v>17223</v>
      </c>
      <c r="F1243" t="s">
        <v>3257</v>
      </c>
      <c r="G1243" t="s">
        <v>6568</v>
      </c>
      <c r="H1243" t="s">
        <v>3519</v>
      </c>
      <c r="I1243" t="s">
        <v>3648</v>
      </c>
    </row>
    <row r="1244" spans="1:9" x14ac:dyDescent="0.25">
      <c r="A1244" t="s">
        <v>6569</v>
      </c>
      <c r="B1244" t="s">
        <v>6569</v>
      </c>
      <c r="C1244" t="s">
        <v>6570</v>
      </c>
      <c r="D1244" t="s">
        <v>3242</v>
      </c>
      <c r="E1244" t="s">
        <v>15959</v>
      </c>
      <c r="F1244" t="s">
        <v>3257</v>
      </c>
      <c r="G1244" t="s">
        <v>6571</v>
      </c>
      <c r="H1244" t="s">
        <v>6171</v>
      </c>
      <c r="I1244" t="s">
        <v>3324</v>
      </c>
    </row>
    <row r="1245" spans="1:9" x14ac:dyDescent="0.25">
      <c r="A1245" t="s">
        <v>6572</v>
      </c>
      <c r="B1245" t="s">
        <v>6572</v>
      </c>
      <c r="C1245" t="s">
        <v>6573</v>
      </c>
      <c r="D1245" t="s">
        <v>3242</v>
      </c>
      <c r="E1245" t="s">
        <v>15710</v>
      </c>
      <c r="F1245" t="s">
        <v>3257</v>
      </c>
      <c r="G1245" t="s">
        <v>6574</v>
      </c>
      <c r="H1245" t="s">
        <v>3357</v>
      </c>
      <c r="I1245" t="s">
        <v>3268</v>
      </c>
    </row>
    <row r="1246" spans="1:9" x14ac:dyDescent="0.25">
      <c r="A1246" t="s">
        <v>6575</v>
      </c>
      <c r="B1246" t="s">
        <v>6575</v>
      </c>
      <c r="C1246" t="s">
        <v>6576</v>
      </c>
      <c r="D1246" t="s">
        <v>3242</v>
      </c>
      <c r="E1246" t="s">
        <v>15710</v>
      </c>
      <c r="F1246" t="s">
        <v>3257</v>
      </c>
      <c r="G1246" t="s">
        <v>6577</v>
      </c>
      <c r="H1246" t="s">
        <v>3387</v>
      </c>
      <c r="I1246" t="s">
        <v>4605</v>
      </c>
    </row>
    <row r="1247" spans="1:9" x14ac:dyDescent="0.25">
      <c r="A1247" t="s">
        <v>6578</v>
      </c>
      <c r="B1247" t="s">
        <v>6578</v>
      </c>
      <c r="C1247" t="s">
        <v>6579</v>
      </c>
      <c r="D1247" t="s">
        <v>3242</v>
      </c>
      <c r="E1247" t="s">
        <v>15710</v>
      </c>
      <c r="F1247" t="s">
        <v>3251</v>
      </c>
      <c r="G1247" t="s">
        <v>6580</v>
      </c>
      <c r="H1247" t="s">
        <v>3253</v>
      </c>
      <c r="I1247" t="s">
        <v>3451</v>
      </c>
    </row>
    <row r="1248" spans="1:9" x14ac:dyDescent="0.25">
      <c r="A1248" t="s">
        <v>6581</v>
      </c>
      <c r="B1248" t="s">
        <v>6581</v>
      </c>
      <c r="C1248" t="s">
        <v>6582</v>
      </c>
      <c r="D1248" t="s">
        <v>3242</v>
      </c>
      <c r="E1248" t="s">
        <v>15710</v>
      </c>
      <c r="F1248" t="s">
        <v>3243</v>
      </c>
      <c r="G1248" t="s">
        <v>6583</v>
      </c>
      <c r="H1248" t="s">
        <v>3262</v>
      </c>
    </row>
    <row r="1249" spans="1:9" x14ac:dyDescent="0.25">
      <c r="A1249" t="s">
        <v>6584</v>
      </c>
      <c r="B1249" t="s">
        <v>6584</v>
      </c>
      <c r="C1249" t="s">
        <v>6585</v>
      </c>
      <c r="D1249" t="s">
        <v>3242</v>
      </c>
      <c r="E1249" t="s">
        <v>15710</v>
      </c>
      <c r="F1249" t="s">
        <v>3257</v>
      </c>
      <c r="G1249" t="s">
        <v>6586</v>
      </c>
      <c r="H1249" t="s">
        <v>5344</v>
      </c>
    </row>
    <row r="1250" spans="1:9" x14ac:dyDescent="0.25">
      <c r="A1250" t="s">
        <v>6587</v>
      </c>
      <c r="B1250" t="s">
        <v>6587</v>
      </c>
      <c r="C1250" t="s">
        <v>6588</v>
      </c>
      <c r="D1250" t="s">
        <v>3321</v>
      </c>
      <c r="E1250" t="s">
        <v>15710</v>
      </c>
      <c r="F1250" t="s">
        <v>3251</v>
      </c>
      <c r="G1250" t="s">
        <v>6589</v>
      </c>
      <c r="H1250" t="s">
        <v>3267</v>
      </c>
      <c r="I1250" t="s">
        <v>3268</v>
      </c>
    </row>
    <row r="1251" spans="1:9" x14ac:dyDescent="0.25">
      <c r="A1251" t="s">
        <v>6590</v>
      </c>
      <c r="B1251" t="s">
        <v>6590</v>
      </c>
      <c r="C1251" t="s">
        <v>6591</v>
      </c>
      <c r="D1251" t="s">
        <v>3242</v>
      </c>
      <c r="E1251" t="s">
        <v>15710</v>
      </c>
      <c r="F1251" t="s">
        <v>3251</v>
      </c>
      <c r="G1251" t="s">
        <v>6592</v>
      </c>
      <c r="H1251" t="s">
        <v>3267</v>
      </c>
      <c r="I1251" t="s">
        <v>3268</v>
      </c>
    </row>
    <row r="1252" spans="1:9" x14ac:dyDescent="0.25">
      <c r="A1252" t="s">
        <v>6593</v>
      </c>
      <c r="B1252" t="s">
        <v>6593</v>
      </c>
      <c r="C1252" t="s">
        <v>6594</v>
      </c>
      <c r="D1252" t="s">
        <v>3242</v>
      </c>
      <c r="E1252" t="s">
        <v>15957</v>
      </c>
      <c r="F1252" t="s">
        <v>3257</v>
      </c>
      <c r="G1252" t="s">
        <v>6595</v>
      </c>
      <c r="H1252" t="s">
        <v>4179</v>
      </c>
      <c r="I1252" t="s">
        <v>3324</v>
      </c>
    </row>
    <row r="1253" spans="1:9" x14ac:dyDescent="0.25">
      <c r="A1253" t="s">
        <v>6596</v>
      </c>
      <c r="B1253" t="s">
        <v>6596</v>
      </c>
      <c r="C1253" t="s">
        <v>6597</v>
      </c>
      <c r="D1253" t="s">
        <v>3242</v>
      </c>
      <c r="E1253" t="s">
        <v>17566</v>
      </c>
      <c r="F1253" t="s">
        <v>3257</v>
      </c>
      <c r="G1253" t="s">
        <v>6598</v>
      </c>
      <c r="H1253" t="s">
        <v>5665</v>
      </c>
      <c r="I1253" t="s">
        <v>3268</v>
      </c>
    </row>
    <row r="1254" spans="1:9" x14ac:dyDescent="0.25">
      <c r="A1254" t="s">
        <v>6599</v>
      </c>
      <c r="B1254" t="s">
        <v>6599</v>
      </c>
      <c r="C1254" t="s">
        <v>6600</v>
      </c>
      <c r="D1254" t="s">
        <v>3321</v>
      </c>
      <c r="E1254" t="s">
        <v>15710</v>
      </c>
      <c r="F1254" t="s">
        <v>3257</v>
      </c>
      <c r="G1254" t="s">
        <v>6601</v>
      </c>
      <c r="H1254" t="s">
        <v>3353</v>
      </c>
      <c r="I1254" t="s">
        <v>3324</v>
      </c>
    </row>
    <row r="1255" spans="1:9" x14ac:dyDescent="0.25">
      <c r="A1255" t="s">
        <v>6602</v>
      </c>
      <c r="B1255" t="s">
        <v>6602</v>
      </c>
      <c r="C1255" t="s">
        <v>6603</v>
      </c>
      <c r="D1255" t="s">
        <v>3242</v>
      </c>
      <c r="E1255" t="s">
        <v>15710</v>
      </c>
      <c r="F1255" t="s">
        <v>3243</v>
      </c>
      <c r="G1255" t="s">
        <v>6604</v>
      </c>
      <c r="H1255" t="s">
        <v>3402</v>
      </c>
    </row>
    <row r="1256" spans="1:9" x14ac:dyDescent="0.25">
      <c r="A1256" t="s">
        <v>6605</v>
      </c>
      <c r="B1256" t="s">
        <v>6605</v>
      </c>
      <c r="C1256" t="s">
        <v>6606</v>
      </c>
      <c r="D1256" t="s">
        <v>3242</v>
      </c>
      <c r="E1256" t="s">
        <v>15710</v>
      </c>
      <c r="F1256" t="s">
        <v>3288</v>
      </c>
      <c r="G1256" t="s">
        <v>6607</v>
      </c>
      <c r="H1256" t="s">
        <v>3285</v>
      </c>
    </row>
    <row r="1257" spans="1:9" x14ac:dyDescent="0.25">
      <c r="A1257" t="s">
        <v>6608</v>
      </c>
      <c r="B1257" t="s">
        <v>6608</v>
      </c>
      <c r="C1257" t="s">
        <v>6609</v>
      </c>
      <c r="D1257" t="s">
        <v>3242</v>
      </c>
      <c r="E1257" t="s">
        <v>15710</v>
      </c>
      <c r="F1257" t="s">
        <v>3257</v>
      </c>
      <c r="G1257" t="s">
        <v>6610</v>
      </c>
      <c r="H1257" t="s">
        <v>3311</v>
      </c>
    </row>
    <row r="1258" spans="1:9" x14ac:dyDescent="0.25">
      <c r="A1258" t="s">
        <v>6611</v>
      </c>
      <c r="B1258" t="s">
        <v>6611</v>
      </c>
      <c r="C1258" t="s">
        <v>6612</v>
      </c>
      <c r="D1258" t="s">
        <v>3321</v>
      </c>
      <c r="E1258" t="s">
        <v>15710</v>
      </c>
      <c r="F1258" t="s">
        <v>3257</v>
      </c>
      <c r="G1258" t="s">
        <v>6613</v>
      </c>
      <c r="H1258" t="s">
        <v>5722</v>
      </c>
      <c r="I1258" t="s">
        <v>3366</v>
      </c>
    </row>
    <row r="1259" spans="1:9" x14ac:dyDescent="0.25">
      <c r="A1259" t="s">
        <v>6614</v>
      </c>
      <c r="B1259" t="s">
        <v>6614</v>
      </c>
      <c r="C1259" t="s">
        <v>6615</v>
      </c>
      <c r="D1259" t="s">
        <v>3321</v>
      </c>
      <c r="E1259" t="s">
        <v>15710</v>
      </c>
      <c r="F1259" t="s">
        <v>3257</v>
      </c>
      <c r="G1259" t="s">
        <v>6616</v>
      </c>
      <c r="H1259" t="s">
        <v>6617</v>
      </c>
    </row>
    <row r="1260" spans="1:9" x14ac:dyDescent="0.25">
      <c r="A1260" t="s">
        <v>6618</v>
      </c>
      <c r="B1260" t="s">
        <v>6618</v>
      </c>
      <c r="C1260" t="s">
        <v>6619</v>
      </c>
      <c r="D1260" t="s">
        <v>3242</v>
      </c>
      <c r="E1260" t="s">
        <v>15710</v>
      </c>
      <c r="F1260" t="s">
        <v>3257</v>
      </c>
      <c r="G1260" t="s">
        <v>6620</v>
      </c>
      <c r="H1260" t="s">
        <v>4179</v>
      </c>
      <c r="I1260" t="s">
        <v>3324</v>
      </c>
    </row>
    <row r="1261" spans="1:9" x14ac:dyDescent="0.25">
      <c r="A1261" t="s">
        <v>6621</v>
      </c>
      <c r="B1261" t="s">
        <v>6621</v>
      </c>
      <c r="C1261" t="s">
        <v>6622</v>
      </c>
      <c r="D1261" t="s">
        <v>3242</v>
      </c>
      <c r="E1261" t="s">
        <v>17224</v>
      </c>
      <c r="F1261" t="s">
        <v>5094</v>
      </c>
      <c r="G1261" t="s">
        <v>6623</v>
      </c>
      <c r="H1261" t="s">
        <v>3248</v>
      </c>
      <c r="I1261" t="s">
        <v>3407</v>
      </c>
    </row>
    <row r="1262" spans="1:9" x14ac:dyDescent="0.25">
      <c r="A1262" t="s">
        <v>6624</v>
      </c>
      <c r="B1262" t="s">
        <v>6624</v>
      </c>
      <c r="C1262" t="s">
        <v>6625</v>
      </c>
      <c r="D1262" t="s">
        <v>3242</v>
      </c>
      <c r="E1262" t="s">
        <v>15838</v>
      </c>
      <c r="F1262" t="s">
        <v>3257</v>
      </c>
      <c r="G1262" t="s">
        <v>6626</v>
      </c>
      <c r="H1262" t="s">
        <v>5883</v>
      </c>
      <c r="I1262" t="s">
        <v>3324</v>
      </c>
    </row>
    <row r="1263" spans="1:9" x14ac:dyDescent="0.25">
      <c r="A1263" t="s">
        <v>6627</v>
      </c>
      <c r="B1263" t="s">
        <v>6627</v>
      </c>
      <c r="C1263" t="s">
        <v>6628</v>
      </c>
      <c r="D1263" t="s">
        <v>3242</v>
      </c>
      <c r="E1263" t="s">
        <v>15839</v>
      </c>
      <c r="F1263" t="s">
        <v>3257</v>
      </c>
      <c r="G1263" t="s">
        <v>6629</v>
      </c>
      <c r="H1263" t="s">
        <v>3353</v>
      </c>
      <c r="I1263" t="s">
        <v>3324</v>
      </c>
    </row>
    <row r="1264" spans="1:9" x14ac:dyDescent="0.25">
      <c r="A1264" t="s">
        <v>6630</v>
      </c>
      <c r="B1264" t="s">
        <v>6630</v>
      </c>
      <c r="C1264" t="s">
        <v>6631</v>
      </c>
      <c r="D1264" t="s">
        <v>3242</v>
      </c>
      <c r="E1264" t="s">
        <v>15710</v>
      </c>
      <c r="F1264" t="s">
        <v>3251</v>
      </c>
      <c r="G1264" t="s">
        <v>6632</v>
      </c>
      <c r="H1264" t="s">
        <v>3387</v>
      </c>
      <c r="I1264" t="s">
        <v>4605</v>
      </c>
    </row>
    <row r="1265" spans="1:9" x14ac:dyDescent="0.25">
      <c r="A1265" t="s">
        <v>6633</v>
      </c>
      <c r="B1265" t="s">
        <v>6633</v>
      </c>
      <c r="C1265" t="s">
        <v>6634</v>
      </c>
      <c r="D1265" t="s">
        <v>3242</v>
      </c>
      <c r="E1265" t="s">
        <v>15710</v>
      </c>
      <c r="F1265" t="s">
        <v>3372</v>
      </c>
      <c r="G1265" t="s">
        <v>6635</v>
      </c>
      <c r="H1265" t="s">
        <v>6617</v>
      </c>
      <c r="I1265" t="s">
        <v>3366</v>
      </c>
    </row>
    <row r="1266" spans="1:9" x14ac:dyDescent="0.25">
      <c r="A1266" t="s">
        <v>6636</v>
      </c>
      <c r="B1266" t="s">
        <v>6636</v>
      </c>
      <c r="C1266" t="s">
        <v>6637</v>
      </c>
      <c r="D1266" t="s">
        <v>3242</v>
      </c>
      <c r="E1266" t="s">
        <v>16953</v>
      </c>
      <c r="F1266" t="s">
        <v>3257</v>
      </c>
      <c r="G1266" t="s">
        <v>6638</v>
      </c>
      <c r="H1266" t="s">
        <v>6547</v>
      </c>
      <c r="I1266" t="s">
        <v>3648</v>
      </c>
    </row>
    <row r="1267" spans="1:9" x14ac:dyDescent="0.25">
      <c r="A1267" t="s">
        <v>13969</v>
      </c>
      <c r="B1267" t="s">
        <v>13969</v>
      </c>
      <c r="C1267" t="s">
        <v>13970</v>
      </c>
      <c r="D1267" t="s">
        <v>3242</v>
      </c>
      <c r="E1267" t="s">
        <v>17225</v>
      </c>
      <c r="F1267" t="s">
        <v>3257</v>
      </c>
      <c r="G1267" t="s">
        <v>16459</v>
      </c>
      <c r="H1267" t="s">
        <v>6362</v>
      </c>
      <c r="I1267" t="s">
        <v>3407</v>
      </c>
    </row>
    <row r="1268" spans="1:9" x14ac:dyDescent="0.25">
      <c r="A1268" t="s">
        <v>6639</v>
      </c>
      <c r="B1268" t="s">
        <v>6639</v>
      </c>
      <c r="C1268" t="s">
        <v>6640</v>
      </c>
      <c r="D1268" t="s">
        <v>3242</v>
      </c>
      <c r="E1268" t="s">
        <v>15710</v>
      </c>
      <c r="F1268" t="s">
        <v>3300</v>
      </c>
      <c r="G1268" t="s">
        <v>6641</v>
      </c>
      <c r="H1268" t="s">
        <v>3267</v>
      </c>
      <c r="I1268" t="s">
        <v>3268</v>
      </c>
    </row>
    <row r="1269" spans="1:9" x14ac:dyDescent="0.25">
      <c r="A1269" t="s">
        <v>6642</v>
      </c>
      <c r="B1269" t="s">
        <v>6642</v>
      </c>
      <c r="C1269" t="s">
        <v>6643</v>
      </c>
      <c r="D1269" t="s">
        <v>3242</v>
      </c>
      <c r="E1269" t="s">
        <v>15710</v>
      </c>
      <c r="H1269" t="s">
        <v>3060</v>
      </c>
    </row>
    <row r="1270" spans="1:9" x14ac:dyDescent="0.25">
      <c r="A1270" t="s">
        <v>15051</v>
      </c>
      <c r="B1270" t="s">
        <v>15051</v>
      </c>
      <c r="C1270" t="s">
        <v>15052</v>
      </c>
      <c r="D1270" t="s">
        <v>3242</v>
      </c>
      <c r="E1270" t="s">
        <v>15710</v>
      </c>
      <c r="F1270" t="s">
        <v>3257</v>
      </c>
      <c r="G1270" t="s">
        <v>15053</v>
      </c>
      <c r="H1270" t="s">
        <v>6617</v>
      </c>
      <c r="I1270" t="s">
        <v>3366</v>
      </c>
    </row>
    <row r="1271" spans="1:9" x14ac:dyDescent="0.25">
      <c r="A1271" t="s">
        <v>6644</v>
      </c>
      <c r="B1271" t="s">
        <v>6644</v>
      </c>
      <c r="C1271" t="s">
        <v>6645</v>
      </c>
      <c r="D1271" t="s">
        <v>3242</v>
      </c>
      <c r="E1271" t="s">
        <v>17567</v>
      </c>
      <c r="F1271" t="s">
        <v>3257</v>
      </c>
      <c r="G1271" t="s">
        <v>6646</v>
      </c>
      <c r="H1271" t="s">
        <v>6647</v>
      </c>
      <c r="I1271" t="s">
        <v>3366</v>
      </c>
    </row>
    <row r="1272" spans="1:9" x14ac:dyDescent="0.25">
      <c r="A1272" t="s">
        <v>15841</v>
      </c>
      <c r="B1272" t="s">
        <v>15841</v>
      </c>
      <c r="C1272" t="s">
        <v>15842</v>
      </c>
      <c r="D1272" t="s">
        <v>3242</v>
      </c>
      <c r="E1272" t="s">
        <v>15710</v>
      </c>
      <c r="F1272" t="s">
        <v>3243</v>
      </c>
      <c r="G1272" t="s">
        <v>15843</v>
      </c>
      <c r="H1272" t="s">
        <v>3318</v>
      </c>
    </row>
    <row r="1273" spans="1:9" x14ac:dyDescent="0.25">
      <c r="A1273" t="s">
        <v>6648</v>
      </c>
      <c r="B1273" t="s">
        <v>6648</v>
      </c>
      <c r="C1273" t="s">
        <v>6649</v>
      </c>
      <c r="D1273" t="s">
        <v>3321</v>
      </c>
      <c r="E1273" t="s">
        <v>15710</v>
      </c>
      <c r="F1273" t="s">
        <v>5035</v>
      </c>
      <c r="G1273" t="s">
        <v>6650</v>
      </c>
      <c r="H1273" t="s">
        <v>3379</v>
      </c>
    </row>
    <row r="1274" spans="1:9" x14ac:dyDescent="0.25">
      <c r="A1274" t="s">
        <v>6651</v>
      </c>
      <c r="B1274" t="s">
        <v>6651</v>
      </c>
      <c r="C1274" t="s">
        <v>6652</v>
      </c>
      <c r="D1274" t="s">
        <v>3242</v>
      </c>
      <c r="E1274" t="s">
        <v>15710</v>
      </c>
      <c r="F1274" t="s">
        <v>3251</v>
      </c>
      <c r="G1274" t="s">
        <v>6653</v>
      </c>
      <c r="H1274" t="s">
        <v>4831</v>
      </c>
      <c r="I1274" t="s">
        <v>3451</v>
      </c>
    </row>
    <row r="1275" spans="1:9" x14ac:dyDescent="0.25">
      <c r="A1275" t="s">
        <v>6654</v>
      </c>
      <c r="B1275" t="s">
        <v>6654</v>
      </c>
      <c r="C1275" t="s">
        <v>6655</v>
      </c>
      <c r="D1275" t="s">
        <v>3242</v>
      </c>
      <c r="E1275" t="s">
        <v>15710</v>
      </c>
      <c r="F1275" t="s">
        <v>3257</v>
      </c>
      <c r="G1275" t="s">
        <v>6656</v>
      </c>
      <c r="H1275" t="s">
        <v>3668</v>
      </c>
      <c r="I1275" t="s">
        <v>5250</v>
      </c>
    </row>
    <row r="1276" spans="1:9" x14ac:dyDescent="0.25">
      <c r="A1276" t="s">
        <v>6657</v>
      </c>
      <c r="B1276" t="s">
        <v>6657</v>
      </c>
      <c r="C1276" t="s">
        <v>6658</v>
      </c>
      <c r="D1276" t="s">
        <v>3242</v>
      </c>
      <c r="E1276" t="s">
        <v>17568</v>
      </c>
      <c r="F1276" t="s">
        <v>3251</v>
      </c>
      <c r="G1276" t="s">
        <v>6659</v>
      </c>
      <c r="H1276" t="s">
        <v>3537</v>
      </c>
      <c r="I1276" t="s">
        <v>4605</v>
      </c>
    </row>
    <row r="1277" spans="1:9" x14ac:dyDescent="0.25">
      <c r="A1277" t="s">
        <v>6660</v>
      </c>
      <c r="B1277" t="s">
        <v>6660</v>
      </c>
      <c r="C1277" t="s">
        <v>6661</v>
      </c>
      <c r="D1277" t="s">
        <v>3242</v>
      </c>
      <c r="E1277" t="s">
        <v>15710</v>
      </c>
      <c r="F1277" t="s">
        <v>3257</v>
      </c>
      <c r="G1277" t="s">
        <v>6662</v>
      </c>
      <c r="H1277" t="s">
        <v>3280</v>
      </c>
      <c r="I1277" t="s">
        <v>3263</v>
      </c>
    </row>
    <row r="1278" spans="1:9" x14ac:dyDescent="0.25">
      <c r="A1278" t="s">
        <v>6663</v>
      </c>
      <c r="B1278" t="s">
        <v>6663</v>
      </c>
      <c r="C1278" t="s">
        <v>6664</v>
      </c>
      <c r="D1278" t="s">
        <v>3321</v>
      </c>
      <c r="E1278" t="s">
        <v>15710</v>
      </c>
      <c r="F1278" t="s">
        <v>3257</v>
      </c>
      <c r="G1278" t="s">
        <v>6665</v>
      </c>
      <c r="H1278" t="s">
        <v>3267</v>
      </c>
    </row>
    <row r="1279" spans="1:9" x14ac:dyDescent="0.25">
      <c r="A1279" t="s">
        <v>15054</v>
      </c>
      <c r="B1279" t="s">
        <v>15054</v>
      </c>
      <c r="C1279" t="s">
        <v>15055</v>
      </c>
      <c r="D1279" t="s">
        <v>3242</v>
      </c>
      <c r="E1279" t="s">
        <v>15710</v>
      </c>
      <c r="F1279" t="s">
        <v>3243</v>
      </c>
      <c r="G1279" t="s">
        <v>15056</v>
      </c>
      <c r="H1279" t="s">
        <v>3658</v>
      </c>
    </row>
    <row r="1280" spans="1:9" x14ac:dyDescent="0.25">
      <c r="A1280" t="s">
        <v>15057</v>
      </c>
      <c r="B1280" t="s">
        <v>15057</v>
      </c>
      <c r="C1280" t="s">
        <v>15058</v>
      </c>
      <c r="D1280" t="s">
        <v>3242</v>
      </c>
      <c r="E1280" t="s">
        <v>15710</v>
      </c>
      <c r="F1280" t="s">
        <v>3251</v>
      </c>
      <c r="G1280" t="s">
        <v>15059</v>
      </c>
      <c r="H1280" t="s">
        <v>5289</v>
      </c>
      <c r="I1280" t="s">
        <v>3451</v>
      </c>
    </row>
    <row r="1281" spans="1:9" x14ac:dyDescent="0.25">
      <c r="A1281" t="s">
        <v>6666</v>
      </c>
      <c r="B1281" t="s">
        <v>6666</v>
      </c>
      <c r="C1281" t="s">
        <v>6667</v>
      </c>
      <c r="D1281" t="s">
        <v>3242</v>
      </c>
      <c r="E1281" t="s">
        <v>15710</v>
      </c>
      <c r="F1281" t="s">
        <v>3257</v>
      </c>
      <c r="G1281" t="s">
        <v>6668</v>
      </c>
      <c r="H1281" t="s">
        <v>3623</v>
      </c>
    </row>
    <row r="1282" spans="1:9" x14ac:dyDescent="0.25">
      <c r="A1282" t="s">
        <v>16959</v>
      </c>
      <c r="B1282" t="s">
        <v>16959</v>
      </c>
      <c r="C1282" t="s">
        <v>16960</v>
      </c>
      <c r="D1282" t="s">
        <v>3242</v>
      </c>
      <c r="E1282" t="s">
        <v>16961</v>
      </c>
      <c r="F1282" t="s">
        <v>3243</v>
      </c>
      <c r="G1282" t="s">
        <v>16962</v>
      </c>
      <c r="H1282" t="s">
        <v>3248</v>
      </c>
      <c r="I1282" t="s">
        <v>3432</v>
      </c>
    </row>
    <row r="1283" spans="1:9" x14ac:dyDescent="0.25">
      <c r="A1283" t="s">
        <v>6669</v>
      </c>
      <c r="B1283" t="s">
        <v>6669</v>
      </c>
      <c r="C1283" t="s">
        <v>6670</v>
      </c>
      <c r="D1283" t="s">
        <v>3242</v>
      </c>
      <c r="E1283" t="s">
        <v>15710</v>
      </c>
      <c r="F1283" t="s">
        <v>3257</v>
      </c>
      <c r="G1283" t="s">
        <v>6671</v>
      </c>
      <c r="H1283" t="s">
        <v>3060</v>
      </c>
      <c r="I1283" t="s">
        <v>4028</v>
      </c>
    </row>
    <row r="1284" spans="1:9" x14ac:dyDescent="0.25">
      <c r="A1284" t="s">
        <v>6672</v>
      </c>
      <c r="B1284" t="s">
        <v>6672</v>
      </c>
      <c r="C1284" t="s">
        <v>6673</v>
      </c>
      <c r="D1284" t="s">
        <v>3242</v>
      </c>
      <c r="E1284" t="s">
        <v>15710</v>
      </c>
      <c r="F1284" t="s">
        <v>3257</v>
      </c>
      <c r="G1284" t="s">
        <v>6674</v>
      </c>
      <c r="H1284" t="s">
        <v>3623</v>
      </c>
    </row>
    <row r="1285" spans="1:9" x14ac:dyDescent="0.25">
      <c r="A1285" t="s">
        <v>6675</v>
      </c>
      <c r="B1285" t="s">
        <v>6675</v>
      </c>
      <c r="C1285" t="s">
        <v>6676</v>
      </c>
      <c r="D1285" t="s">
        <v>3242</v>
      </c>
      <c r="E1285" t="s">
        <v>15710</v>
      </c>
      <c r="F1285" t="s">
        <v>3251</v>
      </c>
      <c r="G1285" t="s">
        <v>6677</v>
      </c>
      <c r="H1285" t="s">
        <v>4642</v>
      </c>
      <c r="I1285" t="s">
        <v>3451</v>
      </c>
    </row>
    <row r="1286" spans="1:9" x14ac:dyDescent="0.25">
      <c r="A1286" t="s">
        <v>6678</v>
      </c>
      <c r="B1286" t="s">
        <v>6679</v>
      </c>
      <c r="C1286" t="s">
        <v>6680</v>
      </c>
      <c r="D1286" t="s">
        <v>3242</v>
      </c>
      <c r="E1286" t="s">
        <v>15710</v>
      </c>
      <c r="F1286" t="s">
        <v>3345</v>
      </c>
      <c r="G1286" t="s">
        <v>6681</v>
      </c>
      <c r="H1286" t="s">
        <v>3060</v>
      </c>
    </row>
    <row r="1287" spans="1:9" x14ac:dyDescent="0.25">
      <c r="A1287" t="s">
        <v>6679</v>
      </c>
      <c r="B1287" t="s">
        <v>6679</v>
      </c>
      <c r="C1287" t="s">
        <v>6680</v>
      </c>
      <c r="D1287" t="s">
        <v>3321</v>
      </c>
      <c r="E1287" t="s">
        <v>15710</v>
      </c>
      <c r="F1287" t="s">
        <v>3345</v>
      </c>
      <c r="G1287" t="s">
        <v>6681</v>
      </c>
      <c r="H1287" t="s">
        <v>3060</v>
      </c>
    </row>
    <row r="1288" spans="1:9" x14ac:dyDescent="0.25">
      <c r="A1288" t="s">
        <v>6682</v>
      </c>
      <c r="B1288" t="s">
        <v>6682</v>
      </c>
      <c r="C1288" t="s">
        <v>6683</v>
      </c>
      <c r="D1288" t="s">
        <v>3242</v>
      </c>
      <c r="E1288" t="s">
        <v>15710</v>
      </c>
      <c r="F1288" t="s">
        <v>3257</v>
      </c>
      <c r="G1288" t="s">
        <v>6684</v>
      </c>
      <c r="H1288" t="s">
        <v>3248</v>
      </c>
    </row>
    <row r="1289" spans="1:9" x14ac:dyDescent="0.25">
      <c r="A1289" t="s">
        <v>6685</v>
      </c>
      <c r="B1289" t="s">
        <v>6685</v>
      </c>
      <c r="C1289" t="s">
        <v>6686</v>
      </c>
      <c r="D1289" t="s">
        <v>3242</v>
      </c>
      <c r="E1289" t="s">
        <v>17226</v>
      </c>
      <c r="F1289" t="s">
        <v>3257</v>
      </c>
      <c r="G1289" t="s">
        <v>6687</v>
      </c>
      <c r="H1289" t="s">
        <v>4919</v>
      </c>
      <c r="I1289" t="s">
        <v>3324</v>
      </c>
    </row>
    <row r="1290" spans="1:9" x14ac:dyDescent="0.25">
      <c r="A1290" t="s">
        <v>6688</v>
      </c>
      <c r="B1290" t="s">
        <v>6688</v>
      </c>
      <c r="C1290" t="s">
        <v>6689</v>
      </c>
      <c r="D1290" t="s">
        <v>3242</v>
      </c>
      <c r="E1290" t="s">
        <v>15845</v>
      </c>
      <c r="F1290" t="s">
        <v>3257</v>
      </c>
      <c r="G1290" t="s">
        <v>6690</v>
      </c>
      <c r="H1290" t="s">
        <v>3267</v>
      </c>
      <c r="I1290" t="s">
        <v>3268</v>
      </c>
    </row>
    <row r="1291" spans="1:9" x14ac:dyDescent="0.25">
      <c r="A1291" t="s">
        <v>6691</v>
      </c>
      <c r="B1291" t="s">
        <v>6691</v>
      </c>
      <c r="C1291" t="s">
        <v>6692</v>
      </c>
      <c r="D1291" t="s">
        <v>3242</v>
      </c>
      <c r="E1291" t="s">
        <v>15710</v>
      </c>
      <c r="F1291" t="s">
        <v>3243</v>
      </c>
      <c r="G1291" t="s">
        <v>6693</v>
      </c>
      <c r="H1291" t="s">
        <v>3285</v>
      </c>
    </row>
    <row r="1292" spans="1:9" x14ac:dyDescent="0.25">
      <c r="A1292" t="s">
        <v>6694</v>
      </c>
      <c r="B1292" t="s">
        <v>6694</v>
      </c>
      <c r="C1292" t="s">
        <v>6695</v>
      </c>
      <c r="D1292" t="s">
        <v>3242</v>
      </c>
      <c r="E1292" t="s">
        <v>16963</v>
      </c>
      <c r="F1292" t="s">
        <v>3257</v>
      </c>
      <c r="G1292" t="s">
        <v>6696</v>
      </c>
      <c r="H1292" t="s">
        <v>3623</v>
      </c>
      <c r="I1292" t="s">
        <v>3694</v>
      </c>
    </row>
    <row r="1293" spans="1:9" x14ac:dyDescent="0.25">
      <c r="A1293" t="s">
        <v>6697</v>
      </c>
      <c r="B1293" t="s">
        <v>6697</v>
      </c>
      <c r="C1293" t="s">
        <v>6698</v>
      </c>
      <c r="D1293" t="s">
        <v>3242</v>
      </c>
      <c r="E1293" t="s">
        <v>15710</v>
      </c>
      <c r="F1293" t="s">
        <v>3257</v>
      </c>
      <c r="G1293" t="s">
        <v>6699</v>
      </c>
      <c r="H1293" t="s">
        <v>3060</v>
      </c>
    </row>
    <row r="1294" spans="1:9" x14ac:dyDescent="0.25">
      <c r="A1294" t="s">
        <v>6700</v>
      </c>
      <c r="B1294" t="s">
        <v>6700</v>
      </c>
      <c r="C1294" t="s">
        <v>6701</v>
      </c>
      <c r="D1294" t="s">
        <v>3242</v>
      </c>
      <c r="E1294" t="s">
        <v>15710</v>
      </c>
      <c r="F1294" t="s">
        <v>3257</v>
      </c>
      <c r="G1294" t="s">
        <v>6702</v>
      </c>
      <c r="H1294" t="s">
        <v>3060</v>
      </c>
      <c r="I1294" t="s">
        <v>4028</v>
      </c>
    </row>
    <row r="1295" spans="1:9" x14ac:dyDescent="0.25">
      <c r="A1295" t="s">
        <v>6703</v>
      </c>
      <c r="B1295" t="s">
        <v>6703</v>
      </c>
      <c r="C1295" t="s">
        <v>6704</v>
      </c>
      <c r="D1295" t="s">
        <v>3242</v>
      </c>
      <c r="E1295" t="s">
        <v>15846</v>
      </c>
      <c r="F1295" t="s">
        <v>3306</v>
      </c>
      <c r="G1295" t="s">
        <v>6705</v>
      </c>
      <c r="H1295" t="s">
        <v>3496</v>
      </c>
      <c r="I1295" t="s">
        <v>3407</v>
      </c>
    </row>
    <row r="1296" spans="1:9" x14ac:dyDescent="0.25">
      <c r="A1296" t="s">
        <v>6706</v>
      </c>
      <c r="B1296" t="s">
        <v>6706</v>
      </c>
      <c r="C1296" t="s">
        <v>6707</v>
      </c>
      <c r="D1296" t="s">
        <v>3242</v>
      </c>
      <c r="E1296" t="s">
        <v>15710</v>
      </c>
      <c r="F1296" t="s">
        <v>3257</v>
      </c>
      <c r="G1296" t="s">
        <v>6708</v>
      </c>
      <c r="H1296" t="s">
        <v>3323</v>
      </c>
      <c r="I1296" t="s">
        <v>3324</v>
      </c>
    </row>
    <row r="1297" spans="1:9" x14ac:dyDescent="0.25">
      <c r="A1297" t="s">
        <v>6709</v>
      </c>
      <c r="B1297" t="s">
        <v>6709</v>
      </c>
      <c r="C1297" t="s">
        <v>6710</v>
      </c>
      <c r="D1297" t="s">
        <v>3242</v>
      </c>
      <c r="E1297" t="s">
        <v>15710</v>
      </c>
      <c r="F1297" t="s">
        <v>3257</v>
      </c>
      <c r="G1297" t="s">
        <v>6711</v>
      </c>
      <c r="H1297" t="s">
        <v>3353</v>
      </c>
      <c r="I1297" t="s">
        <v>3324</v>
      </c>
    </row>
    <row r="1298" spans="1:9" x14ac:dyDescent="0.25">
      <c r="A1298" t="s">
        <v>6712</v>
      </c>
      <c r="B1298" t="s">
        <v>6712</v>
      </c>
      <c r="C1298" t="s">
        <v>6713</v>
      </c>
      <c r="D1298" t="s">
        <v>3242</v>
      </c>
      <c r="E1298" t="s">
        <v>15710</v>
      </c>
      <c r="F1298" t="s">
        <v>3345</v>
      </c>
      <c r="G1298" t="s">
        <v>6714</v>
      </c>
      <c r="H1298" t="s">
        <v>4045</v>
      </c>
    </row>
    <row r="1299" spans="1:9" x14ac:dyDescent="0.25">
      <c r="A1299" t="s">
        <v>15060</v>
      </c>
      <c r="B1299" t="s">
        <v>15060</v>
      </c>
      <c r="C1299" t="s">
        <v>15061</v>
      </c>
      <c r="D1299" t="s">
        <v>3242</v>
      </c>
      <c r="E1299" t="s">
        <v>15710</v>
      </c>
      <c r="F1299" t="s">
        <v>3243</v>
      </c>
      <c r="G1299" t="s">
        <v>15062</v>
      </c>
      <c r="H1299" t="s">
        <v>3285</v>
      </c>
    </row>
    <row r="1300" spans="1:9" x14ac:dyDescent="0.25">
      <c r="A1300" t="s">
        <v>6715</v>
      </c>
      <c r="B1300" t="s">
        <v>6715</v>
      </c>
      <c r="C1300" t="s">
        <v>6716</v>
      </c>
      <c r="D1300" t="s">
        <v>3242</v>
      </c>
      <c r="E1300" t="s">
        <v>15710</v>
      </c>
      <c r="F1300" t="s">
        <v>3257</v>
      </c>
      <c r="G1300" t="s">
        <v>6717</v>
      </c>
      <c r="H1300" t="s">
        <v>5944</v>
      </c>
      <c r="I1300" t="s">
        <v>3268</v>
      </c>
    </row>
    <row r="1301" spans="1:9" x14ac:dyDescent="0.25">
      <c r="A1301" t="s">
        <v>6718</v>
      </c>
      <c r="B1301" t="s">
        <v>6718</v>
      </c>
      <c r="C1301" t="s">
        <v>6719</v>
      </c>
      <c r="D1301" t="s">
        <v>3242</v>
      </c>
      <c r="E1301" t="s">
        <v>15847</v>
      </c>
      <c r="F1301" t="s">
        <v>3257</v>
      </c>
      <c r="G1301" t="s">
        <v>6720</v>
      </c>
      <c r="H1301" t="s">
        <v>5944</v>
      </c>
      <c r="I1301" t="s">
        <v>3268</v>
      </c>
    </row>
    <row r="1302" spans="1:9" x14ac:dyDescent="0.25">
      <c r="A1302" t="s">
        <v>6721</v>
      </c>
      <c r="B1302" t="s">
        <v>6721</v>
      </c>
      <c r="C1302" t="s">
        <v>6722</v>
      </c>
      <c r="D1302" t="s">
        <v>3242</v>
      </c>
      <c r="E1302" t="s">
        <v>16934</v>
      </c>
      <c r="F1302" t="s">
        <v>3257</v>
      </c>
      <c r="G1302" t="s">
        <v>6723</v>
      </c>
      <c r="H1302" t="s">
        <v>6724</v>
      </c>
      <c r="I1302" t="s">
        <v>3268</v>
      </c>
    </row>
    <row r="1303" spans="1:9" x14ac:dyDescent="0.25">
      <c r="A1303" t="s">
        <v>6725</v>
      </c>
      <c r="B1303" t="s">
        <v>6725</v>
      </c>
      <c r="C1303" t="s">
        <v>6726</v>
      </c>
      <c r="D1303" t="s">
        <v>3242</v>
      </c>
      <c r="E1303" t="s">
        <v>15710</v>
      </c>
      <c r="F1303" t="s">
        <v>3257</v>
      </c>
      <c r="G1303" t="s">
        <v>6727</v>
      </c>
      <c r="H1303" t="s">
        <v>5289</v>
      </c>
    </row>
    <row r="1304" spans="1:9" x14ac:dyDescent="0.25">
      <c r="A1304" t="s">
        <v>6728</v>
      </c>
      <c r="B1304" t="s">
        <v>6728</v>
      </c>
      <c r="C1304" t="s">
        <v>6729</v>
      </c>
      <c r="D1304" t="s">
        <v>3242</v>
      </c>
      <c r="E1304" t="s">
        <v>15710</v>
      </c>
      <c r="F1304" t="s">
        <v>3251</v>
      </c>
      <c r="G1304" t="s">
        <v>6730</v>
      </c>
      <c r="H1304" t="s">
        <v>3668</v>
      </c>
    </row>
    <row r="1305" spans="1:9" x14ac:dyDescent="0.25">
      <c r="A1305" t="s">
        <v>6731</v>
      </c>
      <c r="B1305" t="s">
        <v>6731</v>
      </c>
      <c r="C1305" t="s">
        <v>6732</v>
      </c>
      <c r="D1305" t="s">
        <v>3242</v>
      </c>
      <c r="E1305" t="s">
        <v>16964</v>
      </c>
      <c r="F1305" t="s">
        <v>3257</v>
      </c>
      <c r="G1305" t="s">
        <v>4973</v>
      </c>
      <c r="H1305" t="s">
        <v>3267</v>
      </c>
      <c r="I1305" t="s">
        <v>3268</v>
      </c>
    </row>
    <row r="1306" spans="1:9" x14ac:dyDescent="0.25">
      <c r="A1306" t="s">
        <v>6733</v>
      </c>
      <c r="B1306" t="s">
        <v>6733</v>
      </c>
      <c r="C1306" t="s">
        <v>6734</v>
      </c>
      <c r="D1306" t="s">
        <v>3242</v>
      </c>
      <c r="E1306" t="s">
        <v>15710</v>
      </c>
      <c r="F1306" t="s">
        <v>3372</v>
      </c>
      <c r="G1306" t="s">
        <v>6735</v>
      </c>
      <c r="H1306" t="s">
        <v>3484</v>
      </c>
    </row>
    <row r="1307" spans="1:9" x14ac:dyDescent="0.25">
      <c r="A1307" t="s">
        <v>6736</v>
      </c>
      <c r="B1307" t="s">
        <v>6736</v>
      </c>
      <c r="C1307" t="s">
        <v>6737</v>
      </c>
      <c r="D1307" t="s">
        <v>3242</v>
      </c>
      <c r="E1307" t="s">
        <v>17227</v>
      </c>
      <c r="F1307" t="s">
        <v>6738</v>
      </c>
      <c r="G1307" t="s">
        <v>17228</v>
      </c>
      <c r="H1307" t="s">
        <v>4926</v>
      </c>
      <c r="I1307" t="s">
        <v>15020</v>
      </c>
    </row>
    <row r="1308" spans="1:9" x14ac:dyDescent="0.25">
      <c r="A1308" t="s">
        <v>6739</v>
      </c>
      <c r="B1308" t="s">
        <v>6739</v>
      </c>
      <c r="C1308" t="s">
        <v>6740</v>
      </c>
      <c r="D1308" t="s">
        <v>3242</v>
      </c>
      <c r="E1308" t="s">
        <v>15710</v>
      </c>
      <c r="F1308" t="s">
        <v>3257</v>
      </c>
      <c r="G1308" t="s">
        <v>6741</v>
      </c>
      <c r="H1308" t="s">
        <v>3537</v>
      </c>
    </row>
    <row r="1309" spans="1:9" x14ac:dyDescent="0.25">
      <c r="A1309" t="s">
        <v>6742</v>
      </c>
      <c r="B1309" t="s">
        <v>6742</v>
      </c>
      <c r="C1309" t="s">
        <v>6743</v>
      </c>
      <c r="D1309" t="s">
        <v>3242</v>
      </c>
      <c r="E1309" t="s">
        <v>15710</v>
      </c>
      <c r="F1309" t="s">
        <v>3257</v>
      </c>
      <c r="G1309" t="s">
        <v>6744</v>
      </c>
      <c r="H1309" t="s">
        <v>3668</v>
      </c>
      <c r="I1309" t="s">
        <v>4028</v>
      </c>
    </row>
    <row r="1310" spans="1:9" x14ac:dyDescent="0.25">
      <c r="A1310" t="s">
        <v>6745</v>
      </c>
      <c r="B1310" t="s">
        <v>6745</v>
      </c>
      <c r="C1310" t="s">
        <v>6746</v>
      </c>
      <c r="D1310" t="s">
        <v>3242</v>
      </c>
      <c r="E1310" t="s">
        <v>15710</v>
      </c>
      <c r="F1310" t="s">
        <v>3243</v>
      </c>
      <c r="G1310" t="s">
        <v>6747</v>
      </c>
      <c r="H1310" t="s">
        <v>3285</v>
      </c>
    </row>
    <row r="1311" spans="1:9" x14ac:dyDescent="0.25">
      <c r="A1311" t="s">
        <v>6748</v>
      </c>
      <c r="B1311" t="s">
        <v>6748</v>
      </c>
      <c r="C1311" t="s">
        <v>6749</v>
      </c>
      <c r="D1311" t="s">
        <v>3242</v>
      </c>
      <c r="E1311" t="s">
        <v>16216</v>
      </c>
      <c r="F1311" t="s">
        <v>3372</v>
      </c>
      <c r="G1311" t="s">
        <v>6750</v>
      </c>
      <c r="H1311" t="s">
        <v>5021</v>
      </c>
      <c r="I1311" t="s">
        <v>3324</v>
      </c>
    </row>
    <row r="1312" spans="1:9" x14ac:dyDescent="0.25">
      <c r="A1312" t="s">
        <v>6751</v>
      </c>
      <c r="B1312" t="s">
        <v>6751</v>
      </c>
      <c r="C1312" t="s">
        <v>6752</v>
      </c>
      <c r="D1312" t="s">
        <v>3242</v>
      </c>
      <c r="E1312" t="s">
        <v>15710</v>
      </c>
      <c r="F1312" t="s">
        <v>3257</v>
      </c>
      <c r="G1312" t="s">
        <v>6753</v>
      </c>
      <c r="H1312" t="s">
        <v>6062</v>
      </c>
      <c r="I1312" t="s">
        <v>3648</v>
      </c>
    </row>
    <row r="1313" spans="1:9" x14ac:dyDescent="0.25">
      <c r="A1313" t="s">
        <v>15063</v>
      </c>
      <c r="B1313" t="s">
        <v>15063</v>
      </c>
      <c r="C1313" t="s">
        <v>15064</v>
      </c>
      <c r="D1313" t="s">
        <v>3242</v>
      </c>
      <c r="E1313" t="s">
        <v>15761</v>
      </c>
      <c r="F1313" t="s">
        <v>3243</v>
      </c>
      <c r="G1313" t="s">
        <v>15065</v>
      </c>
      <c r="H1313" t="s">
        <v>3387</v>
      </c>
    </row>
    <row r="1314" spans="1:9" x14ac:dyDescent="0.25">
      <c r="A1314" t="s">
        <v>6754</v>
      </c>
      <c r="B1314" t="s">
        <v>6754</v>
      </c>
      <c r="C1314" t="s">
        <v>6755</v>
      </c>
      <c r="D1314" t="s">
        <v>3242</v>
      </c>
      <c r="E1314" t="s">
        <v>15848</v>
      </c>
      <c r="F1314" t="s">
        <v>3257</v>
      </c>
      <c r="G1314" t="s">
        <v>6756</v>
      </c>
      <c r="H1314" t="s">
        <v>3387</v>
      </c>
    </row>
    <row r="1315" spans="1:9" x14ac:dyDescent="0.25">
      <c r="A1315" t="s">
        <v>6757</v>
      </c>
      <c r="B1315" t="s">
        <v>6757</v>
      </c>
      <c r="C1315" t="s">
        <v>6758</v>
      </c>
      <c r="D1315" t="s">
        <v>3242</v>
      </c>
      <c r="E1315" t="s">
        <v>15710</v>
      </c>
      <c r="F1315" t="s">
        <v>6759</v>
      </c>
      <c r="G1315" t="s">
        <v>6760</v>
      </c>
      <c r="H1315" t="s">
        <v>3463</v>
      </c>
    </row>
    <row r="1316" spans="1:9" x14ac:dyDescent="0.25">
      <c r="A1316" t="s">
        <v>6761</v>
      </c>
      <c r="B1316" t="s">
        <v>6761</v>
      </c>
      <c r="C1316" t="s">
        <v>6762</v>
      </c>
      <c r="D1316" t="s">
        <v>3242</v>
      </c>
      <c r="E1316" t="s">
        <v>15710</v>
      </c>
      <c r="F1316" t="s">
        <v>3257</v>
      </c>
      <c r="G1316" t="s">
        <v>6763</v>
      </c>
      <c r="H1316" t="s">
        <v>3060</v>
      </c>
      <c r="I1316" t="s">
        <v>4028</v>
      </c>
    </row>
    <row r="1317" spans="1:9" x14ac:dyDescent="0.25">
      <c r="A1317" t="s">
        <v>6764</v>
      </c>
      <c r="B1317" t="s">
        <v>6764</v>
      </c>
      <c r="C1317" t="s">
        <v>6765</v>
      </c>
      <c r="D1317" t="s">
        <v>3242</v>
      </c>
      <c r="E1317" t="s">
        <v>15710</v>
      </c>
      <c r="F1317" t="s">
        <v>3243</v>
      </c>
      <c r="G1317" t="s">
        <v>6766</v>
      </c>
      <c r="H1317" t="s">
        <v>3060</v>
      </c>
    </row>
    <row r="1318" spans="1:9" x14ac:dyDescent="0.25">
      <c r="A1318" t="s">
        <v>15066</v>
      </c>
      <c r="B1318" t="s">
        <v>15066</v>
      </c>
      <c r="C1318" t="s">
        <v>15067</v>
      </c>
      <c r="D1318" t="s">
        <v>3242</v>
      </c>
      <c r="E1318" t="s">
        <v>15710</v>
      </c>
      <c r="F1318" t="s">
        <v>3243</v>
      </c>
      <c r="G1318" t="s">
        <v>15068</v>
      </c>
      <c r="H1318" t="s">
        <v>3744</v>
      </c>
    </row>
    <row r="1319" spans="1:9" x14ac:dyDescent="0.25">
      <c r="A1319" t="s">
        <v>6767</v>
      </c>
      <c r="B1319" t="s">
        <v>6767</v>
      </c>
      <c r="C1319" t="s">
        <v>6768</v>
      </c>
      <c r="D1319" t="s">
        <v>3321</v>
      </c>
      <c r="E1319" t="s">
        <v>15710</v>
      </c>
      <c r="F1319" t="s">
        <v>3257</v>
      </c>
      <c r="G1319" t="s">
        <v>6769</v>
      </c>
      <c r="H1319" t="s">
        <v>3267</v>
      </c>
    </row>
    <row r="1320" spans="1:9" x14ac:dyDescent="0.25">
      <c r="A1320" t="s">
        <v>6770</v>
      </c>
      <c r="B1320" t="s">
        <v>6770</v>
      </c>
      <c r="C1320" t="s">
        <v>6771</v>
      </c>
      <c r="D1320" t="s">
        <v>3242</v>
      </c>
      <c r="E1320" t="s">
        <v>15849</v>
      </c>
      <c r="F1320" t="s">
        <v>3257</v>
      </c>
      <c r="G1320" t="s">
        <v>6772</v>
      </c>
      <c r="H1320" t="s">
        <v>6773</v>
      </c>
      <c r="I1320" t="s">
        <v>3648</v>
      </c>
    </row>
    <row r="1321" spans="1:9" x14ac:dyDescent="0.25">
      <c r="A1321" t="s">
        <v>6774</v>
      </c>
      <c r="B1321" t="s">
        <v>6774</v>
      </c>
      <c r="C1321" t="s">
        <v>6775</v>
      </c>
      <c r="D1321" t="s">
        <v>3242</v>
      </c>
      <c r="E1321" t="s">
        <v>15710</v>
      </c>
      <c r="F1321" t="s">
        <v>3251</v>
      </c>
      <c r="G1321" t="s">
        <v>5314</v>
      </c>
      <c r="H1321" t="s">
        <v>3421</v>
      </c>
      <c r="I1321" t="s">
        <v>3254</v>
      </c>
    </row>
    <row r="1322" spans="1:9" x14ac:dyDescent="0.25">
      <c r="A1322" t="s">
        <v>6776</v>
      </c>
      <c r="B1322" t="s">
        <v>6776</v>
      </c>
      <c r="C1322" t="s">
        <v>6777</v>
      </c>
      <c r="D1322" t="s">
        <v>3242</v>
      </c>
      <c r="E1322" t="s">
        <v>16321</v>
      </c>
      <c r="F1322" t="s">
        <v>3257</v>
      </c>
      <c r="G1322" t="s">
        <v>6778</v>
      </c>
      <c r="H1322" t="s">
        <v>4045</v>
      </c>
      <c r="I1322" t="s">
        <v>3694</v>
      </c>
    </row>
    <row r="1323" spans="1:9" x14ac:dyDescent="0.25">
      <c r="A1323" t="s">
        <v>6779</v>
      </c>
      <c r="B1323" t="s">
        <v>6779</v>
      </c>
      <c r="C1323" t="s">
        <v>6780</v>
      </c>
      <c r="D1323" t="s">
        <v>3242</v>
      </c>
      <c r="E1323" t="s">
        <v>15710</v>
      </c>
      <c r="F1323" t="s">
        <v>3243</v>
      </c>
      <c r="G1323" t="s">
        <v>6781</v>
      </c>
      <c r="H1323" t="s">
        <v>3285</v>
      </c>
    </row>
    <row r="1324" spans="1:9" x14ac:dyDescent="0.25">
      <c r="A1324" t="s">
        <v>6782</v>
      </c>
      <c r="B1324" t="s">
        <v>6782</v>
      </c>
      <c r="C1324" t="s">
        <v>6783</v>
      </c>
      <c r="D1324" t="s">
        <v>3242</v>
      </c>
      <c r="E1324" t="s">
        <v>15710</v>
      </c>
      <c r="F1324" t="s">
        <v>3345</v>
      </c>
      <c r="G1324" t="s">
        <v>6784</v>
      </c>
      <c r="H1324" t="s">
        <v>3680</v>
      </c>
    </row>
    <row r="1325" spans="1:9" x14ac:dyDescent="0.25">
      <c r="A1325" t="s">
        <v>6785</v>
      </c>
      <c r="B1325" t="s">
        <v>6785</v>
      </c>
      <c r="C1325" t="s">
        <v>6786</v>
      </c>
      <c r="D1325" t="s">
        <v>3242</v>
      </c>
      <c r="E1325" t="s">
        <v>15710</v>
      </c>
      <c r="F1325" t="s">
        <v>3588</v>
      </c>
      <c r="G1325" t="s">
        <v>6787</v>
      </c>
      <c r="H1325" t="s">
        <v>3262</v>
      </c>
      <c r="I1325" t="s">
        <v>3263</v>
      </c>
    </row>
    <row r="1326" spans="1:9" x14ac:dyDescent="0.25">
      <c r="A1326" t="s">
        <v>6788</v>
      </c>
      <c r="B1326" t="s">
        <v>6788</v>
      </c>
      <c r="C1326" t="s">
        <v>6789</v>
      </c>
      <c r="D1326" t="s">
        <v>3242</v>
      </c>
      <c r="E1326" t="s">
        <v>17229</v>
      </c>
      <c r="F1326" t="s">
        <v>3257</v>
      </c>
      <c r="G1326" t="s">
        <v>6790</v>
      </c>
      <c r="H1326" t="s">
        <v>4926</v>
      </c>
    </row>
    <row r="1327" spans="1:9" x14ac:dyDescent="0.25">
      <c r="A1327" t="s">
        <v>6791</v>
      </c>
      <c r="B1327" t="s">
        <v>6791</v>
      </c>
      <c r="C1327" t="s">
        <v>6792</v>
      </c>
      <c r="D1327" t="s">
        <v>3242</v>
      </c>
      <c r="E1327" t="s">
        <v>17230</v>
      </c>
      <c r="F1327" t="s">
        <v>3257</v>
      </c>
      <c r="G1327" t="s">
        <v>6793</v>
      </c>
      <c r="H1327" t="s">
        <v>3594</v>
      </c>
      <c r="I1327" t="s">
        <v>3324</v>
      </c>
    </row>
    <row r="1328" spans="1:9" x14ac:dyDescent="0.25">
      <c r="A1328" t="s">
        <v>6794</v>
      </c>
      <c r="B1328" t="s">
        <v>6794</v>
      </c>
      <c r="C1328" t="s">
        <v>6795</v>
      </c>
      <c r="D1328" t="s">
        <v>3242</v>
      </c>
      <c r="E1328" t="s">
        <v>15710</v>
      </c>
      <c r="F1328" t="s">
        <v>3251</v>
      </c>
      <c r="G1328" t="s">
        <v>6796</v>
      </c>
      <c r="H1328" t="s">
        <v>4711</v>
      </c>
      <c r="I1328" t="s">
        <v>3254</v>
      </c>
    </row>
    <row r="1329" spans="1:9" x14ac:dyDescent="0.25">
      <c r="A1329" t="s">
        <v>6797</v>
      </c>
      <c r="B1329" t="s">
        <v>6797</v>
      </c>
      <c r="C1329" t="s">
        <v>6798</v>
      </c>
      <c r="D1329" t="s">
        <v>3242</v>
      </c>
      <c r="E1329" t="s">
        <v>15710</v>
      </c>
      <c r="F1329" t="s">
        <v>3243</v>
      </c>
      <c r="G1329" t="s">
        <v>6799</v>
      </c>
      <c r="H1329" t="s">
        <v>3668</v>
      </c>
    </row>
    <row r="1330" spans="1:9" x14ac:dyDescent="0.25">
      <c r="A1330" t="s">
        <v>6800</v>
      </c>
      <c r="B1330" t="s">
        <v>6800</v>
      </c>
      <c r="C1330" t="s">
        <v>6801</v>
      </c>
      <c r="D1330" t="s">
        <v>3321</v>
      </c>
      <c r="E1330" t="s">
        <v>15710</v>
      </c>
      <c r="F1330" t="s">
        <v>3257</v>
      </c>
      <c r="G1330" t="s">
        <v>6802</v>
      </c>
      <c r="H1330" t="s">
        <v>6803</v>
      </c>
      <c r="I1330" t="s">
        <v>3366</v>
      </c>
    </row>
    <row r="1331" spans="1:9" x14ac:dyDescent="0.25">
      <c r="A1331" t="s">
        <v>6804</v>
      </c>
      <c r="B1331" t="s">
        <v>6804</v>
      </c>
      <c r="C1331" t="s">
        <v>6805</v>
      </c>
      <c r="D1331" t="s">
        <v>3321</v>
      </c>
      <c r="E1331" t="s">
        <v>15850</v>
      </c>
      <c r="F1331" t="s">
        <v>3257</v>
      </c>
      <c r="G1331" t="s">
        <v>6806</v>
      </c>
      <c r="H1331" t="s">
        <v>3323</v>
      </c>
      <c r="I1331" t="s">
        <v>3324</v>
      </c>
    </row>
    <row r="1332" spans="1:9" x14ac:dyDescent="0.25">
      <c r="A1332" t="s">
        <v>6807</v>
      </c>
      <c r="B1332" t="s">
        <v>6807</v>
      </c>
      <c r="C1332" t="s">
        <v>6808</v>
      </c>
      <c r="D1332" t="s">
        <v>3242</v>
      </c>
      <c r="E1332" t="s">
        <v>15710</v>
      </c>
      <c r="F1332" t="s">
        <v>5292</v>
      </c>
      <c r="G1332" t="s">
        <v>6809</v>
      </c>
      <c r="H1332" t="s">
        <v>3060</v>
      </c>
    </row>
    <row r="1333" spans="1:9" x14ac:dyDescent="0.25">
      <c r="A1333" t="s">
        <v>6810</v>
      </c>
      <c r="B1333" t="s">
        <v>6810</v>
      </c>
      <c r="C1333" t="s">
        <v>6811</v>
      </c>
      <c r="D1333" t="s">
        <v>3242</v>
      </c>
      <c r="E1333" t="s">
        <v>15793</v>
      </c>
      <c r="F1333" t="s">
        <v>6812</v>
      </c>
      <c r="G1333" t="s">
        <v>15069</v>
      </c>
      <c r="H1333" t="s">
        <v>3248</v>
      </c>
      <c r="I1333" t="s">
        <v>3432</v>
      </c>
    </row>
    <row r="1334" spans="1:9" x14ac:dyDescent="0.25">
      <c r="A1334" t="s">
        <v>6813</v>
      </c>
      <c r="B1334" t="s">
        <v>6813</v>
      </c>
      <c r="C1334" t="s">
        <v>6814</v>
      </c>
      <c r="D1334" t="s">
        <v>3242</v>
      </c>
      <c r="E1334" t="s">
        <v>15710</v>
      </c>
      <c r="F1334" t="s">
        <v>3257</v>
      </c>
      <c r="G1334" t="s">
        <v>6815</v>
      </c>
      <c r="H1334" t="s">
        <v>3311</v>
      </c>
    </row>
    <row r="1335" spans="1:9" x14ac:dyDescent="0.25">
      <c r="A1335" t="s">
        <v>6816</v>
      </c>
      <c r="B1335" t="s">
        <v>6816</v>
      </c>
      <c r="C1335" t="s">
        <v>6817</v>
      </c>
      <c r="D1335" t="s">
        <v>3242</v>
      </c>
      <c r="E1335" t="s">
        <v>15710</v>
      </c>
      <c r="F1335" t="s">
        <v>3306</v>
      </c>
      <c r="G1335" t="s">
        <v>6818</v>
      </c>
      <c r="H1335" t="s">
        <v>4693</v>
      </c>
    </row>
    <row r="1336" spans="1:9" x14ac:dyDescent="0.25">
      <c r="A1336" t="s">
        <v>6819</v>
      </c>
      <c r="B1336" t="s">
        <v>6819</v>
      </c>
      <c r="C1336" t="s">
        <v>6820</v>
      </c>
      <c r="D1336" t="s">
        <v>3242</v>
      </c>
      <c r="E1336" t="s">
        <v>15710</v>
      </c>
      <c r="F1336" t="s">
        <v>3243</v>
      </c>
      <c r="G1336" t="s">
        <v>6821</v>
      </c>
      <c r="H1336" t="s">
        <v>3285</v>
      </c>
    </row>
    <row r="1337" spans="1:9" x14ac:dyDescent="0.25">
      <c r="A1337" t="s">
        <v>16037</v>
      </c>
      <c r="B1337" t="s">
        <v>16037</v>
      </c>
      <c r="C1337" t="s">
        <v>16038</v>
      </c>
      <c r="D1337" t="s">
        <v>3242</v>
      </c>
      <c r="E1337" t="s">
        <v>15710</v>
      </c>
      <c r="F1337" t="s">
        <v>3243</v>
      </c>
      <c r="G1337" t="s">
        <v>16039</v>
      </c>
      <c r="H1337" t="s">
        <v>5151</v>
      </c>
      <c r="I1337" t="s">
        <v>3432</v>
      </c>
    </row>
    <row r="1338" spans="1:9" x14ac:dyDescent="0.25">
      <c r="A1338" t="s">
        <v>6822</v>
      </c>
      <c r="B1338" t="s">
        <v>6822</v>
      </c>
      <c r="C1338" t="s">
        <v>6823</v>
      </c>
      <c r="D1338" t="s">
        <v>3242</v>
      </c>
      <c r="E1338" t="s">
        <v>15710</v>
      </c>
      <c r="F1338" t="s">
        <v>3288</v>
      </c>
      <c r="G1338" t="s">
        <v>6824</v>
      </c>
      <c r="H1338" t="s">
        <v>3290</v>
      </c>
    </row>
    <row r="1339" spans="1:9" x14ac:dyDescent="0.25">
      <c r="A1339" t="s">
        <v>6825</v>
      </c>
      <c r="B1339" t="s">
        <v>6825</v>
      </c>
      <c r="C1339" t="s">
        <v>6826</v>
      </c>
      <c r="D1339" t="s">
        <v>3242</v>
      </c>
      <c r="E1339" t="s">
        <v>15710</v>
      </c>
      <c r="H1339" t="s">
        <v>3484</v>
      </c>
    </row>
    <row r="1340" spans="1:9" x14ac:dyDescent="0.25">
      <c r="A1340" t="s">
        <v>6827</v>
      </c>
      <c r="B1340" t="s">
        <v>6827</v>
      </c>
      <c r="C1340" t="s">
        <v>6828</v>
      </c>
      <c r="D1340" t="s">
        <v>3242</v>
      </c>
      <c r="E1340" t="s">
        <v>15710</v>
      </c>
      <c r="F1340" t="s">
        <v>3306</v>
      </c>
      <c r="G1340" t="s">
        <v>6829</v>
      </c>
      <c r="H1340" t="s">
        <v>6830</v>
      </c>
      <c r="I1340" t="s">
        <v>3294</v>
      </c>
    </row>
    <row r="1341" spans="1:9" x14ac:dyDescent="0.25">
      <c r="A1341" t="s">
        <v>6831</v>
      </c>
      <c r="B1341" t="s">
        <v>6831</v>
      </c>
      <c r="C1341" t="s">
        <v>6832</v>
      </c>
      <c r="D1341" t="s">
        <v>3242</v>
      </c>
      <c r="E1341" t="s">
        <v>15710</v>
      </c>
      <c r="F1341" t="s">
        <v>3251</v>
      </c>
      <c r="G1341" t="s">
        <v>6833</v>
      </c>
      <c r="H1341" t="s">
        <v>5344</v>
      </c>
    </row>
    <row r="1342" spans="1:9" x14ac:dyDescent="0.25">
      <c r="A1342" t="s">
        <v>6834</v>
      </c>
      <c r="B1342" t="s">
        <v>6834</v>
      </c>
      <c r="C1342" t="s">
        <v>6835</v>
      </c>
      <c r="D1342" t="s">
        <v>3242</v>
      </c>
      <c r="E1342" t="s">
        <v>15796</v>
      </c>
      <c r="F1342" t="s">
        <v>3257</v>
      </c>
      <c r="G1342" t="s">
        <v>6836</v>
      </c>
      <c r="H1342" t="s">
        <v>6524</v>
      </c>
      <c r="I1342" t="s">
        <v>3263</v>
      </c>
    </row>
    <row r="1343" spans="1:9" x14ac:dyDescent="0.25">
      <c r="A1343" t="s">
        <v>6837</v>
      </c>
      <c r="B1343" t="s">
        <v>6837</v>
      </c>
      <c r="C1343" t="s">
        <v>6838</v>
      </c>
      <c r="D1343" t="s">
        <v>3242</v>
      </c>
      <c r="E1343" t="s">
        <v>15710</v>
      </c>
      <c r="F1343" t="s">
        <v>3257</v>
      </c>
      <c r="G1343" t="s">
        <v>6839</v>
      </c>
      <c r="H1343" t="s">
        <v>3259</v>
      </c>
      <c r="I1343" t="s">
        <v>3324</v>
      </c>
    </row>
    <row r="1344" spans="1:9" x14ac:dyDescent="0.25">
      <c r="A1344" t="s">
        <v>6840</v>
      </c>
      <c r="B1344" t="s">
        <v>6840</v>
      </c>
      <c r="C1344" t="s">
        <v>6841</v>
      </c>
      <c r="D1344" t="s">
        <v>3242</v>
      </c>
      <c r="E1344" t="s">
        <v>17167</v>
      </c>
      <c r="F1344" t="s">
        <v>3288</v>
      </c>
      <c r="G1344" t="s">
        <v>6842</v>
      </c>
      <c r="H1344" t="s">
        <v>6843</v>
      </c>
    </row>
    <row r="1345" spans="1:9" x14ac:dyDescent="0.25">
      <c r="A1345" t="s">
        <v>6844</v>
      </c>
      <c r="B1345" t="s">
        <v>6844</v>
      </c>
      <c r="C1345" t="s">
        <v>6845</v>
      </c>
      <c r="D1345" t="s">
        <v>3242</v>
      </c>
      <c r="E1345" t="s">
        <v>15710</v>
      </c>
      <c r="F1345" t="s">
        <v>3243</v>
      </c>
      <c r="G1345" t="s">
        <v>6846</v>
      </c>
      <c r="H1345" t="s">
        <v>3285</v>
      </c>
    </row>
    <row r="1346" spans="1:9" x14ac:dyDescent="0.25">
      <c r="A1346" t="s">
        <v>6847</v>
      </c>
      <c r="B1346" t="s">
        <v>6847</v>
      </c>
      <c r="C1346" t="s">
        <v>6848</v>
      </c>
      <c r="D1346" t="s">
        <v>3242</v>
      </c>
      <c r="E1346" t="s">
        <v>15710</v>
      </c>
      <c r="F1346" t="s">
        <v>3257</v>
      </c>
      <c r="G1346" t="s">
        <v>6849</v>
      </c>
      <c r="H1346" t="s">
        <v>5769</v>
      </c>
    </row>
    <row r="1347" spans="1:9" x14ac:dyDescent="0.25">
      <c r="A1347" t="s">
        <v>6850</v>
      </c>
      <c r="B1347" t="s">
        <v>6850</v>
      </c>
      <c r="C1347" t="s">
        <v>6851</v>
      </c>
      <c r="D1347" t="s">
        <v>3242</v>
      </c>
      <c r="E1347" t="s">
        <v>15710</v>
      </c>
      <c r="F1347" t="s">
        <v>3243</v>
      </c>
      <c r="G1347" t="s">
        <v>6852</v>
      </c>
      <c r="H1347" t="s">
        <v>3285</v>
      </c>
    </row>
    <row r="1348" spans="1:9" x14ac:dyDescent="0.25">
      <c r="A1348" t="s">
        <v>6853</v>
      </c>
      <c r="B1348" t="s">
        <v>6853</v>
      </c>
      <c r="C1348" t="s">
        <v>6854</v>
      </c>
      <c r="D1348" t="s">
        <v>3242</v>
      </c>
      <c r="E1348" t="s">
        <v>15710</v>
      </c>
      <c r="F1348" t="s">
        <v>3300</v>
      </c>
      <c r="G1348" t="s">
        <v>6855</v>
      </c>
      <c r="H1348" t="s">
        <v>3332</v>
      </c>
    </row>
    <row r="1349" spans="1:9" x14ac:dyDescent="0.25">
      <c r="A1349" t="s">
        <v>6856</v>
      </c>
      <c r="B1349" t="s">
        <v>6856</v>
      </c>
      <c r="C1349" t="s">
        <v>6857</v>
      </c>
      <c r="D1349" t="s">
        <v>3242</v>
      </c>
      <c r="E1349" t="s">
        <v>15710</v>
      </c>
      <c r="F1349" t="s">
        <v>6858</v>
      </c>
      <c r="G1349" t="s">
        <v>6859</v>
      </c>
      <c r="H1349" t="s">
        <v>4045</v>
      </c>
      <c r="I1349" t="s">
        <v>3694</v>
      </c>
    </row>
    <row r="1350" spans="1:9" x14ac:dyDescent="0.25">
      <c r="A1350" t="s">
        <v>6860</v>
      </c>
      <c r="B1350" t="s">
        <v>6860</v>
      </c>
      <c r="C1350" t="s">
        <v>6861</v>
      </c>
      <c r="D1350" t="s">
        <v>3242</v>
      </c>
      <c r="E1350" t="s">
        <v>15710</v>
      </c>
      <c r="F1350" t="s">
        <v>3257</v>
      </c>
      <c r="G1350" t="s">
        <v>6862</v>
      </c>
      <c r="H1350" t="s">
        <v>5344</v>
      </c>
    </row>
    <row r="1351" spans="1:9" x14ac:dyDescent="0.25">
      <c r="A1351" t="s">
        <v>6863</v>
      </c>
      <c r="B1351" t="s">
        <v>6863</v>
      </c>
      <c r="C1351" t="s">
        <v>6864</v>
      </c>
      <c r="D1351" t="s">
        <v>3242</v>
      </c>
      <c r="E1351" t="s">
        <v>15710</v>
      </c>
      <c r="F1351" t="s">
        <v>3257</v>
      </c>
      <c r="G1351" t="s">
        <v>6865</v>
      </c>
      <c r="H1351" t="s">
        <v>3262</v>
      </c>
      <c r="I1351" t="s">
        <v>3263</v>
      </c>
    </row>
    <row r="1352" spans="1:9" x14ac:dyDescent="0.25">
      <c r="A1352" t="s">
        <v>6866</v>
      </c>
      <c r="B1352" t="s">
        <v>6866</v>
      </c>
      <c r="C1352" t="s">
        <v>6867</v>
      </c>
      <c r="D1352" t="s">
        <v>3242</v>
      </c>
      <c r="E1352" t="s">
        <v>15975</v>
      </c>
      <c r="F1352" t="s">
        <v>3257</v>
      </c>
      <c r="G1352" t="s">
        <v>6868</v>
      </c>
      <c r="H1352" t="s">
        <v>5084</v>
      </c>
      <c r="I1352" t="s">
        <v>3324</v>
      </c>
    </row>
    <row r="1353" spans="1:9" x14ac:dyDescent="0.25">
      <c r="A1353" t="s">
        <v>6869</v>
      </c>
      <c r="B1353" t="s">
        <v>6869</v>
      </c>
      <c r="C1353" t="s">
        <v>6870</v>
      </c>
      <c r="D1353" t="s">
        <v>3242</v>
      </c>
      <c r="E1353" t="s">
        <v>17231</v>
      </c>
      <c r="F1353" t="s">
        <v>3257</v>
      </c>
      <c r="G1353" t="s">
        <v>6871</v>
      </c>
      <c r="H1353" t="s">
        <v>3323</v>
      </c>
      <c r="I1353" t="s">
        <v>3366</v>
      </c>
    </row>
    <row r="1354" spans="1:9" x14ac:dyDescent="0.25">
      <c r="A1354" t="s">
        <v>6872</v>
      </c>
      <c r="B1354" t="s">
        <v>6872</v>
      </c>
      <c r="C1354" t="s">
        <v>6873</v>
      </c>
      <c r="D1354" t="s">
        <v>3242</v>
      </c>
      <c r="E1354" t="s">
        <v>15710</v>
      </c>
      <c r="F1354" t="s">
        <v>3288</v>
      </c>
      <c r="G1354" t="s">
        <v>6874</v>
      </c>
      <c r="H1354" t="s">
        <v>3537</v>
      </c>
    </row>
    <row r="1355" spans="1:9" x14ac:dyDescent="0.25">
      <c r="A1355" t="s">
        <v>16041</v>
      </c>
      <c r="B1355" t="s">
        <v>16041</v>
      </c>
      <c r="C1355" t="s">
        <v>16042</v>
      </c>
      <c r="D1355" t="s">
        <v>3242</v>
      </c>
      <c r="E1355" t="s">
        <v>17204</v>
      </c>
      <c r="F1355" t="s">
        <v>16043</v>
      </c>
      <c r="G1355" t="s">
        <v>16044</v>
      </c>
      <c r="H1355" t="s">
        <v>3248</v>
      </c>
      <c r="I1355" t="s">
        <v>3407</v>
      </c>
    </row>
    <row r="1356" spans="1:9" x14ac:dyDescent="0.25">
      <c r="A1356" t="s">
        <v>6875</v>
      </c>
      <c r="B1356" t="s">
        <v>6875</v>
      </c>
      <c r="C1356" t="s">
        <v>6876</v>
      </c>
      <c r="D1356" t="s">
        <v>3242</v>
      </c>
      <c r="E1356" t="s">
        <v>15710</v>
      </c>
      <c r="F1356" t="s">
        <v>3257</v>
      </c>
      <c r="G1356" t="s">
        <v>6877</v>
      </c>
      <c r="H1356" t="s">
        <v>4953</v>
      </c>
    </row>
    <row r="1357" spans="1:9" x14ac:dyDescent="0.25">
      <c r="A1357" t="s">
        <v>6878</v>
      </c>
      <c r="B1357" t="s">
        <v>6878</v>
      </c>
      <c r="C1357" t="s">
        <v>6879</v>
      </c>
      <c r="D1357" t="s">
        <v>3242</v>
      </c>
      <c r="E1357" t="s">
        <v>17232</v>
      </c>
      <c r="F1357" t="s">
        <v>6880</v>
      </c>
      <c r="G1357" t="s">
        <v>6881</v>
      </c>
      <c r="H1357" t="s">
        <v>3248</v>
      </c>
      <c r="I1357" t="s">
        <v>3263</v>
      </c>
    </row>
    <row r="1358" spans="1:9" x14ac:dyDescent="0.25">
      <c r="A1358" t="s">
        <v>6882</v>
      </c>
      <c r="B1358" t="s">
        <v>6882</v>
      </c>
      <c r="C1358" t="s">
        <v>6883</v>
      </c>
      <c r="D1358" t="s">
        <v>3242</v>
      </c>
      <c r="E1358" t="s">
        <v>15710</v>
      </c>
      <c r="F1358" t="s">
        <v>3257</v>
      </c>
      <c r="G1358" t="s">
        <v>6884</v>
      </c>
      <c r="H1358" t="s">
        <v>3323</v>
      </c>
      <c r="I1358" t="s">
        <v>3324</v>
      </c>
    </row>
    <row r="1359" spans="1:9" x14ac:dyDescent="0.25">
      <c r="A1359" t="s">
        <v>6885</v>
      </c>
      <c r="B1359" t="s">
        <v>6885</v>
      </c>
      <c r="C1359" t="s">
        <v>6886</v>
      </c>
      <c r="D1359" t="s">
        <v>3242</v>
      </c>
      <c r="E1359" t="s">
        <v>15710</v>
      </c>
      <c r="F1359" t="s">
        <v>3257</v>
      </c>
      <c r="G1359" t="s">
        <v>6887</v>
      </c>
      <c r="H1359" t="s">
        <v>3357</v>
      </c>
      <c r="I1359" t="s">
        <v>3268</v>
      </c>
    </row>
    <row r="1360" spans="1:9" x14ac:dyDescent="0.25">
      <c r="A1360" t="s">
        <v>6888</v>
      </c>
      <c r="B1360" t="s">
        <v>6888</v>
      </c>
      <c r="C1360" t="s">
        <v>6889</v>
      </c>
      <c r="D1360" t="s">
        <v>3242</v>
      </c>
      <c r="E1360" t="s">
        <v>17233</v>
      </c>
      <c r="F1360" t="s">
        <v>3257</v>
      </c>
      <c r="G1360" t="s">
        <v>6890</v>
      </c>
      <c r="H1360" t="s">
        <v>5815</v>
      </c>
      <c r="I1360" t="s">
        <v>3324</v>
      </c>
    </row>
    <row r="1361" spans="1:9" x14ac:dyDescent="0.25">
      <c r="A1361" t="s">
        <v>6891</v>
      </c>
      <c r="B1361" t="s">
        <v>6891</v>
      </c>
      <c r="C1361" t="s">
        <v>6892</v>
      </c>
      <c r="D1361" t="s">
        <v>3242</v>
      </c>
      <c r="E1361" t="s">
        <v>15710</v>
      </c>
      <c r="F1361" t="s">
        <v>3345</v>
      </c>
      <c r="G1361" t="s">
        <v>6893</v>
      </c>
      <c r="H1361" t="s">
        <v>3680</v>
      </c>
    </row>
    <row r="1362" spans="1:9" x14ac:dyDescent="0.25">
      <c r="A1362" t="s">
        <v>6894</v>
      </c>
      <c r="B1362" t="s">
        <v>6894</v>
      </c>
      <c r="C1362" t="s">
        <v>6895</v>
      </c>
      <c r="D1362" t="s">
        <v>3321</v>
      </c>
      <c r="E1362" t="s">
        <v>15710</v>
      </c>
      <c r="F1362" t="s">
        <v>3257</v>
      </c>
      <c r="G1362" t="s">
        <v>6896</v>
      </c>
      <c r="H1362" t="s">
        <v>3379</v>
      </c>
      <c r="I1362" t="s">
        <v>3366</v>
      </c>
    </row>
    <row r="1363" spans="1:9" x14ac:dyDescent="0.25">
      <c r="A1363" t="s">
        <v>6897</v>
      </c>
      <c r="B1363" t="s">
        <v>6897</v>
      </c>
      <c r="C1363" t="s">
        <v>6898</v>
      </c>
      <c r="D1363" t="s">
        <v>3242</v>
      </c>
      <c r="E1363" t="s">
        <v>15710</v>
      </c>
      <c r="F1363" t="s">
        <v>3257</v>
      </c>
      <c r="G1363" t="s">
        <v>15070</v>
      </c>
      <c r="H1363" t="s">
        <v>3484</v>
      </c>
      <c r="I1363" t="s">
        <v>14986</v>
      </c>
    </row>
    <row r="1364" spans="1:9" x14ac:dyDescent="0.25">
      <c r="A1364" t="s">
        <v>6899</v>
      </c>
      <c r="B1364" t="s">
        <v>6899</v>
      </c>
      <c r="C1364" t="s">
        <v>6900</v>
      </c>
      <c r="D1364" t="s">
        <v>3242</v>
      </c>
      <c r="E1364" t="s">
        <v>15710</v>
      </c>
      <c r="F1364" t="s">
        <v>3300</v>
      </c>
      <c r="G1364" t="s">
        <v>6901</v>
      </c>
      <c r="H1364" t="s">
        <v>3623</v>
      </c>
    </row>
    <row r="1365" spans="1:9" x14ac:dyDescent="0.25">
      <c r="A1365" t="s">
        <v>6902</v>
      </c>
      <c r="B1365" t="s">
        <v>6902</v>
      </c>
      <c r="C1365" t="s">
        <v>6903</v>
      </c>
      <c r="D1365" t="s">
        <v>3242</v>
      </c>
      <c r="E1365" t="s">
        <v>15710</v>
      </c>
      <c r="F1365" t="s">
        <v>3372</v>
      </c>
      <c r="G1365" t="s">
        <v>6904</v>
      </c>
      <c r="H1365" t="s">
        <v>3483</v>
      </c>
      <c r="I1365" t="s">
        <v>3375</v>
      </c>
    </row>
    <row r="1366" spans="1:9" x14ac:dyDescent="0.25">
      <c r="A1366" t="s">
        <v>6905</v>
      </c>
      <c r="B1366" t="s">
        <v>6905</v>
      </c>
      <c r="C1366" t="s">
        <v>6906</v>
      </c>
      <c r="D1366" t="s">
        <v>3242</v>
      </c>
      <c r="E1366" t="s">
        <v>15710</v>
      </c>
      <c r="F1366" t="s">
        <v>3251</v>
      </c>
      <c r="G1366" t="s">
        <v>6907</v>
      </c>
      <c r="H1366" t="s">
        <v>5905</v>
      </c>
      <c r="I1366" t="s">
        <v>3451</v>
      </c>
    </row>
    <row r="1367" spans="1:9" x14ac:dyDescent="0.25">
      <c r="A1367" t="s">
        <v>6908</v>
      </c>
      <c r="B1367" t="s">
        <v>6908</v>
      </c>
      <c r="C1367" t="s">
        <v>6909</v>
      </c>
      <c r="D1367" t="s">
        <v>3242</v>
      </c>
      <c r="E1367" t="s">
        <v>15710</v>
      </c>
      <c r="F1367" t="s">
        <v>3288</v>
      </c>
      <c r="G1367" t="s">
        <v>6910</v>
      </c>
      <c r="H1367" t="s">
        <v>3285</v>
      </c>
    </row>
    <row r="1368" spans="1:9" x14ac:dyDescent="0.25">
      <c r="A1368" t="s">
        <v>6911</v>
      </c>
      <c r="B1368" t="s">
        <v>6911</v>
      </c>
      <c r="C1368" t="s">
        <v>6912</v>
      </c>
      <c r="D1368" t="s">
        <v>3242</v>
      </c>
      <c r="E1368" t="s">
        <v>15710</v>
      </c>
      <c r="F1368" t="s">
        <v>3243</v>
      </c>
      <c r="G1368" t="s">
        <v>3243</v>
      </c>
      <c r="H1368" t="s">
        <v>3290</v>
      </c>
    </row>
    <row r="1369" spans="1:9" x14ac:dyDescent="0.25">
      <c r="A1369" t="s">
        <v>6913</v>
      </c>
      <c r="B1369" t="s">
        <v>6913</v>
      </c>
      <c r="C1369" t="s">
        <v>6914</v>
      </c>
      <c r="D1369" t="s">
        <v>3321</v>
      </c>
      <c r="E1369" t="s">
        <v>15710</v>
      </c>
      <c r="F1369" t="s">
        <v>3257</v>
      </c>
      <c r="G1369" t="s">
        <v>6915</v>
      </c>
      <c r="H1369" t="s">
        <v>5665</v>
      </c>
    </row>
    <row r="1370" spans="1:9" x14ac:dyDescent="0.25">
      <c r="A1370" t="s">
        <v>6916</v>
      </c>
      <c r="B1370" t="s">
        <v>6916</v>
      </c>
      <c r="C1370" t="s">
        <v>6917</v>
      </c>
      <c r="D1370" t="s">
        <v>3242</v>
      </c>
      <c r="E1370" t="s">
        <v>15840</v>
      </c>
      <c r="F1370" t="s">
        <v>3306</v>
      </c>
      <c r="G1370" t="s">
        <v>5027</v>
      </c>
      <c r="H1370" t="s">
        <v>3267</v>
      </c>
      <c r="I1370" t="s">
        <v>3268</v>
      </c>
    </row>
    <row r="1371" spans="1:9" x14ac:dyDescent="0.25">
      <c r="A1371" t="s">
        <v>6918</v>
      </c>
      <c r="B1371" t="s">
        <v>6918</v>
      </c>
      <c r="C1371" t="s">
        <v>6919</v>
      </c>
      <c r="D1371" t="s">
        <v>3242</v>
      </c>
      <c r="E1371" t="s">
        <v>15710</v>
      </c>
      <c r="F1371" t="s">
        <v>3257</v>
      </c>
      <c r="G1371" t="s">
        <v>6920</v>
      </c>
      <c r="H1371" t="s">
        <v>3332</v>
      </c>
      <c r="I1371" t="s">
        <v>3268</v>
      </c>
    </row>
    <row r="1372" spans="1:9" x14ac:dyDescent="0.25">
      <c r="A1372" t="s">
        <v>6921</v>
      </c>
      <c r="B1372" t="s">
        <v>6921</v>
      </c>
      <c r="C1372" t="s">
        <v>6922</v>
      </c>
      <c r="D1372" t="s">
        <v>3321</v>
      </c>
      <c r="E1372" t="s">
        <v>15710</v>
      </c>
      <c r="F1372" t="s">
        <v>4996</v>
      </c>
      <c r="G1372" t="s">
        <v>6923</v>
      </c>
      <c r="H1372" t="s">
        <v>6924</v>
      </c>
      <c r="I1372" t="s">
        <v>3366</v>
      </c>
    </row>
    <row r="1373" spans="1:9" x14ac:dyDescent="0.25">
      <c r="A1373" t="s">
        <v>15071</v>
      </c>
      <c r="B1373" t="s">
        <v>15071</v>
      </c>
      <c r="C1373" t="s">
        <v>15072</v>
      </c>
      <c r="D1373" t="s">
        <v>3242</v>
      </c>
      <c r="E1373" t="s">
        <v>15710</v>
      </c>
      <c r="F1373" t="s">
        <v>3372</v>
      </c>
      <c r="G1373" t="s">
        <v>15073</v>
      </c>
      <c r="H1373" t="s">
        <v>6489</v>
      </c>
      <c r="I1373" t="s">
        <v>3366</v>
      </c>
    </row>
    <row r="1374" spans="1:9" x14ac:dyDescent="0.25">
      <c r="A1374" t="s">
        <v>6925</v>
      </c>
      <c r="B1374" t="s">
        <v>6925</v>
      </c>
      <c r="C1374" t="s">
        <v>6926</v>
      </c>
      <c r="D1374" t="s">
        <v>3242</v>
      </c>
      <c r="E1374" t="s">
        <v>15710</v>
      </c>
      <c r="F1374" t="s">
        <v>3306</v>
      </c>
      <c r="G1374" t="s">
        <v>6927</v>
      </c>
      <c r="H1374" t="s">
        <v>3519</v>
      </c>
    </row>
    <row r="1375" spans="1:9" x14ac:dyDescent="0.25">
      <c r="A1375" t="s">
        <v>6928</v>
      </c>
      <c r="B1375" t="s">
        <v>6928</v>
      </c>
      <c r="C1375" t="s">
        <v>6929</v>
      </c>
      <c r="D1375" t="s">
        <v>3242</v>
      </c>
      <c r="E1375" t="s">
        <v>16965</v>
      </c>
      <c r="F1375" t="s">
        <v>3306</v>
      </c>
      <c r="G1375" t="s">
        <v>6930</v>
      </c>
      <c r="H1375" t="s">
        <v>3267</v>
      </c>
      <c r="I1375" t="s">
        <v>3268</v>
      </c>
    </row>
    <row r="1376" spans="1:9" x14ac:dyDescent="0.25">
      <c r="A1376" t="s">
        <v>6931</v>
      </c>
      <c r="B1376" t="s">
        <v>6931</v>
      </c>
      <c r="C1376" t="s">
        <v>6932</v>
      </c>
      <c r="D1376" t="s">
        <v>3242</v>
      </c>
      <c r="E1376" t="s">
        <v>15710</v>
      </c>
      <c r="F1376" t="s">
        <v>3372</v>
      </c>
      <c r="G1376" t="s">
        <v>6933</v>
      </c>
      <c r="H1376" t="s">
        <v>5151</v>
      </c>
      <c r="I1376" t="s">
        <v>3263</v>
      </c>
    </row>
    <row r="1377" spans="1:9" x14ac:dyDescent="0.25">
      <c r="A1377" t="s">
        <v>6934</v>
      </c>
      <c r="B1377" t="s">
        <v>6934</v>
      </c>
      <c r="C1377" t="s">
        <v>6935</v>
      </c>
      <c r="D1377" t="s">
        <v>3242</v>
      </c>
      <c r="E1377" t="s">
        <v>15710</v>
      </c>
      <c r="F1377" t="s">
        <v>3257</v>
      </c>
      <c r="G1377" t="s">
        <v>6936</v>
      </c>
      <c r="H1377" t="s">
        <v>3484</v>
      </c>
    </row>
    <row r="1378" spans="1:9" x14ac:dyDescent="0.25">
      <c r="A1378" t="s">
        <v>6937</v>
      </c>
      <c r="B1378" t="s">
        <v>6937</v>
      </c>
      <c r="C1378" t="s">
        <v>6938</v>
      </c>
      <c r="D1378" t="s">
        <v>3242</v>
      </c>
      <c r="E1378" t="s">
        <v>16966</v>
      </c>
      <c r="F1378" t="s">
        <v>3306</v>
      </c>
      <c r="G1378" t="s">
        <v>6939</v>
      </c>
      <c r="H1378" t="s">
        <v>6830</v>
      </c>
      <c r="I1378" t="s">
        <v>3328</v>
      </c>
    </row>
    <row r="1379" spans="1:9" x14ac:dyDescent="0.25">
      <c r="A1379" t="s">
        <v>6940</v>
      </c>
      <c r="B1379" t="s">
        <v>6940</v>
      </c>
      <c r="C1379" t="s">
        <v>6941</v>
      </c>
      <c r="D1379" t="s">
        <v>3242</v>
      </c>
      <c r="E1379" t="s">
        <v>15710</v>
      </c>
      <c r="F1379" t="s">
        <v>3251</v>
      </c>
      <c r="G1379" t="s">
        <v>6942</v>
      </c>
      <c r="H1379" t="s">
        <v>3623</v>
      </c>
    </row>
    <row r="1380" spans="1:9" x14ac:dyDescent="0.25">
      <c r="A1380" t="s">
        <v>6943</v>
      </c>
      <c r="B1380" t="s">
        <v>6943</v>
      </c>
      <c r="C1380" t="s">
        <v>6944</v>
      </c>
      <c r="D1380" t="s">
        <v>3242</v>
      </c>
      <c r="E1380" t="s">
        <v>15710</v>
      </c>
      <c r="F1380" t="s">
        <v>3243</v>
      </c>
      <c r="G1380" t="s">
        <v>3243</v>
      </c>
      <c r="H1380" t="s">
        <v>3290</v>
      </c>
    </row>
    <row r="1381" spans="1:9" x14ac:dyDescent="0.25">
      <c r="A1381" t="s">
        <v>6945</v>
      </c>
      <c r="B1381" t="s">
        <v>6945</v>
      </c>
      <c r="C1381" t="s">
        <v>6946</v>
      </c>
      <c r="D1381" t="s">
        <v>3242</v>
      </c>
      <c r="E1381" t="s">
        <v>15710</v>
      </c>
      <c r="F1381" t="s">
        <v>3243</v>
      </c>
      <c r="G1381" t="s">
        <v>3243</v>
      </c>
      <c r="H1381" t="s">
        <v>3290</v>
      </c>
    </row>
    <row r="1382" spans="1:9" x14ac:dyDescent="0.25">
      <c r="A1382" t="s">
        <v>6947</v>
      </c>
      <c r="B1382" t="s">
        <v>6947</v>
      </c>
      <c r="C1382" t="s">
        <v>6948</v>
      </c>
      <c r="D1382" t="s">
        <v>3242</v>
      </c>
      <c r="E1382" t="s">
        <v>15710</v>
      </c>
      <c r="F1382" t="s">
        <v>3243</v>
      </c>
      <c r="G1382" t="s">
        <v>6949</v>
      </c>
      <c r="H1382" t="s">
        <v>3402</v>
      </c>
    </row>
    <row r="1383" spans="1:9" x14ac:dyDescent="0.25">
      <c r="A1383" t="s">
        <v>6950</v>
      </c>
      <c r="B1383" t="s">
        <v>6950</v>
      </c>
      <c r="C1383" t="s">
        <v>6951</v>
      </c>
      <c r="D1383" t="s">
        <v>3242</v>
      </c>
      <c r="E1383" t="s">
        <v>15710</v>
      </c>
      <c r="F1383" t="s">
        <v>3345</v>
      </c>
      <c r="G1383" t="s">
        <v>6952</v>
      </c>
      <c r="H1383" t="s">
        <v>4045</v>
      </c>
    </row>
    <row r="1384" spans="1:9" x14ac:dyDescent="0.25">
      <c r="A1384" t="s">
        <v>6953</v>
      </c>
      <c r="B1384" t="s">
        <v>6953</v>
      </c>
      <c r="C1384" t="s">
        <v>6954</v>
      </c>
      <c r="D1384" t="s">
        <v>3242</v>
      </c>
      <c r="E1384" t="s">
        <v>15710</v>
      </c>
      <c r="F1384" t="s">
        <v>3257</v>
      </c>
      <c r="G1384" t="s">
        <v>6955</v>
      </c>
      <c r="H1384" t="s">
        <v>3623</v>
      </c>
      <c r="I1384" t="s">
        <v>3694</v>
      </c>
    </row>
    <row r="1385" spans="1:9" x14ac:dyDescent="0.25">
      <c r="A1385" t="s">
        <v>6956</v>
      </c>
      <c r="B1385" t="s">
        <v>6956</v>
      </c>
      <c r="C1385" t="s">
        <v>6957</v>
      </c>
      <c r="D1385" t="s">
        <v>3242</v>
      </c>
      <c r="E1385" t="s">
        <v>15710</v>
      </c>
      <c r="F1385" t="s">
        <v>3243</v>
      </c>
      <c r="G1385" t="s">
        <v>6958</v>
      </c>
      <c r="H1385" t="s">
        <v>3290</v>
      </c>
    </row>
    <row r="1386" spans="1:9" x14ac:dyDescent="0.25">
      <c r="A1386" t="s">
        <v>6959</v>
      </c>
      <c r="B1386" t="s">
        <v>6959</v>
      </c>
      <c r="C1386" t="s">
        <v>6960</v>
      </c>
      <c r="D1386" t="s">
        <v>3242</v>
      </c>
      <c r="E1386" t="s">
        <v>16221</v>
      </c>
      <c r="F1386" t="s">
        <v>3300</v>
      </c>
      <c r="G1386" t="s">
        <v>6961</v>
      </c>
      <c r="H1386" t="s">
        <v>3332</v>
      </c>
      <c r="I1386" t="s">
        <v>3268</v>
      </c>
    </row>
    <row r="1387" spans="1:9" x14ac:dyDescent="0.25">
      <c r="A1387" t="s">
        <v>6962</v>
      </c>
      <c r="B1387" t="s">
        <v>6962</v>
      </c>
      <c r="C1387" t="s">
        <v>6963</v>
      </c>
      <c r="D1387" t="s">
        <v>3242</v>
      </c>
      <c r="E1387" t="s">
        <v>15710</v>
      </c>
      <c r="F1387" t="s">
        <v>3306</v>
      </c>
      <c r="G1387" t="s">
        <v>6964</v>
      </c>
      <c r="H1387" t="s">
        <v>3267</v>
      </c>
    </row>
    <row r="1388" spans="1:9" x14ac:dyDescent="0.25">
      <c r="A1388" t="s">
        <v>6965</v>
      </c>
      <c r="B1388" t="s">
        <v>6965</v>
      </c>
      <c r="C1388" t="s">
        <v>6966</v>
      </c>
      <c r="D1388" t="s">
        <v>3242</v>
      </c>
      <c r="E1388" t="s">
        <v>16222</v>
      </c>
      <c r="F1388" t="s">
        <v>3300</v>
      </c>
      <c r="G1388" t="s">
        <v>6967</v>
      </c>
      <c r="H1388" t="s">
        <v>3323</v>
      </c>
      <c r="I1388" t="s">
        <v>3268</v>
      </c>
    </row>
    <row r="1389" spans="1:9" x14ac:dyDescent="0.25">
      <c r="A1389" t="s">
        <v>6968</v>
      </c>
      <c r="B1389" t="s">
        <v>6968</v>
      </c>
      <c r="C1389" t="s">
        <v>6969</v>
      </c>
      <c r="D1389" t="s">
        <v>3242</v>
      </c>
      <c r="E1389" t="s">
        <v>17637</v>
      </c>
      <c r="F1389" t="s">
        <v>3257</v>
      </c>
      <c r="G1389" t="s">
        <v>5619</v>
      </c>
      <c r="H1389" t="s">
        <v>3332</v>
      </c>
      <c r="I1389" t="s">
        <v>3268</v>
      </c>
    </row>
    <row r="1390" spans="1:9" x14ac:dyDescent="0.25">
      <c r="A1390" t="s">
        <v>6970</v>
      </c>
      <c r="B1390" t="s">
        <v>6970</v>
      </c>
      <c r="C1390" t="s">
        <v>6971</v>
      </c>
      <c r="D1390" t="s">
        <v>3242</v>
      </c>
      <c r="E1390" t="s">
        <v>17234</v>
      </c>
      <c r="F1390" t="s">
        <v>3747</v>
      </c>
      <c r="G1390" t="s">
        <v>6972</v>
      </c>
      <c r="H1390" t="s">
        <v>3594</v>
      </c>
      <c r="I1390" t="s">
        <v>3324</v>
      </c>
    </row>
    <row r="1391" spans="1:9" x14ac:dyDescent="0.25">
      <c r="A1391" t="s">
        <v>6973</v>
      </c>
      <c r="B1391" t="s">
        <v>6973</v>
      </c>
      <c r="C1391" t="s">
        <v>6974</v>
      </c>
      <c r="D1391" t="s">
        <v>3242</v>
      </c>
      <c r="E1391" t="s">
        <v>15710</v>
      </c>
      <c r="F1391" t="s">
        <v>3243</v>
      </c>
      <c r="G1391" t="s">
        <v>6975</v>
      </c>
      <c r="H1391" t="s">
        <v>4035</v>
      </c>
    </row>
    <row r="1392" spans="1:9" x14ac:dyDescent="0.25">
      <c r="A1392" t="s">
        <v>6976</v>
      </c>
      <c r="B1392" t="s">
        <v>6976</v>
      </c>
      <c r="C1392" t="s">
        <v>6977</v>
      </c>
      <c r="D1392" t="s">
        <v>3321</v>
      </c>
      <c r="E1392" t="s">
        <v>15710</v>
      </c>
      <c r="F1392" t="s">
        <v>3306</v>
      </c>
      <c r="G1392" t="s">
        <v>6978</v>
      </c>
      <c r="H1392" t="s">
        <v>3323</v>
      </c>
      <c r="I1392" t="s">
        <v>3324</v>
      </c>
    </row>
    <row r="1393" spans="1:9" x14ac:dyDescent="0.25">
      <c r="A1393" t="s">
        <v>6979</v>
      </c>
      <c r="B1393" t="s">
        <v>6979</v>
      </c>
      <c r="C1393" t="s">
        <v>6980</v>
      </c>
      <c r="D1393" t="s">
        <v>3242</v>
      </c>
      <c r="E1393" t="s">
        <v>15710</v>
      </c>
      <c r="F1393" t="s">
        <v>3300</v>
      </c>
      <c r="G1393" t="s">
        <v>6981</v>
      </c>
      <c r="H1393" t="s">
        <v>3267</v>
      </c>
      <c r="I1393" t="s">
        <v>3268</v>
      </c>
    </row>
    <row r="1394" spans="1:9" x14ac:dyDescent="0.25">
      <c r="A1394" t="s">
        <v>6982</v>
      </c>
      <c r="B1394" t="s">
        <v>6982</v>
      </c>
      <c r="C1394" t="s">
        <v>6983</v>
      </c>
      <c r="D1394" t="s">
        <v>3242</v>
      </c>
      <c r="E1394" t="s">
        <v>15710</v>
      </c>
      <c r="F1394" t="s">
        <v>3288</v>
      </c>
      <c r="G1394" t="s">
        <v>6984</v>
      </c>
      <c r="H1394" t="s">
        <v>6985</v>
      </c>
    </row>
    <row r="1395" spans="1:9" x14ac:dyDescent="0.25">
      <c r="A1395" t="s">
        <v>6986</v>
      </c>
      <c r="B1395" t="s">
        <v>6986</v>
      </c>
      <c r="C1395" t="s">
        <v>6987</v>
      </c>
      <c r="D1395" t="s">
        <v>3242</v>
      </c>
      <c r="E1395" t="s">
        <v>15710</v>
      </c>
      <c r="F1395" t="s">
        <v>3288</v>
      </c>
      <c r="G1395" t="s">
        <v>6988</v>
      </c>
      <c r="H1395" t="s">
        <v>6989</v>
      </c>
    </row>
    <row r="1396" spans="1:9" x14ac:dyDescent="0.25">
      <c r="A1396" t="s">
        <v>6990</v>
      </c>
      <c r="B1396" t="s">
        <v>6990</v>
      </c>
      <c r="C1396" t="s">
        <v>6991</v>
      </c>
      <c r="D1396" t="s">
        <v>3321</v>
      </c>
      <c r="E1396" t="s">
        <v>15710</v>
      </c>
      <c r="F1396" t="s">
        <v>3257</v>
      </c>
      <c r="G1396" t="s">
        <v>6992</v>
      </c>
      <c r="H1396" t="s">
        <v>3267</v>
      </c>
    </row>
    <row r="1397" spans="1:9" x14ac:dyDescent="0.25">
      <c r="A1397" t="s">
        <v>6993</v>
      </c>
      <c r="B1397" t="s">
        <v>6993</v>
      </c>
      <c r="C1397" t="s">
        <v>6994</v>
      </c>
      <c r="D1397" t="s">
        <v>3242</v>
      </c>
      <c r="E1397" t="s">
        <v>16217</v>
      </c>
      <c r="F1397" t="s">
        <v>3257</v>
      </c>
      <c r="G1397" t="s">
        <v>6995</v>
      </c>
      <c r="H1397" t="s">
        <v>3353</v>
      </c>
      <c r="I1397" t="s">
        <v>3324</v>
      </c>
    </row>
    <row r="1398" spans="1:9" x14ac:dyDescent="0.25">
      <c r="A1398" t="s">
        <v>6996</v>
      </c>
      <c r="B1398" t="s">
        <v>6996</v>
      </c>
      <c r="C1398" t="s">
        <v>6997</v>
      </c>
      <c r="D1398" t="s">
        <v>3242</v>
      </c>
      <c r="E1398" t="s">
        <v>17569</v>
      </c>
      <c r="F1398" t="s">
        <v>3306</v>
      </c>
      <c r="G1398" t="s">
        <v>6998</v>
      </c>
      <c r="H1398" t="s">
        <v>3311</v>
      </c>
      <c r="I1398" t="s">
        <v>3254</v>
      </c>
    </row>
    <row r="1399" spans="1:9" x14ac:dyDescent="0.25">
      <c r="A1399" t="s">
        <v>6999</v>
      </c>
      <c r="B1399" t="s">
        <v>6999</v>
      </c>
      <c r="C1399" t="s">
        <v>7000</v>
      </c>
      <c r="D1399" t="s">
        <v>3242</v>
      </c>
      <c r="E1399" t="s">
        <v>17235</v>
      </c>
      <c r="F1399" t="s">
        <v>7001</v>
      </c>
      <c r="G1399" t="s">
        <v>7002</v>
      </c>
      <c r="H1399" t="s">
        <v>4019</v>
      </c>
    </row>
    <row r="1400" spans="1:9" x14ac:dyDescent="0.25">
      <c r="A1400" t="s">
        <v>7003</v>
      </c>
      <c r="B1400" t="s">
        <v>7003</v>
      </c>
      <c r="C1400" t="s">
        <v>7004</v>
      </c>
      <c r="D1400" t="s">
        <v>3242</v>
      </c>
      <c r="E1400" t="s">
        <v>16460</v>
      </c>
      <c r="F1400" t="s">
        <v>3257</v>
      </c>
      <c r="G1400" t="s">
        <v>7005</v>
      </c>
      <c r="H1400" t="s">
        <v>3357</v>
      </c>
      <c r="I1400" t="s">
        <v>3268</v>
      </c>
    </row>
    <row r="1401" spans="1:9" x14ac:dyDescent="0.25">
      <c r="A1401" t="s">
        <v>7006</v>
      </c>
      <c r="B1401" t="s">
        <v>7006</v>
      </c>
      <c r="C1401" t="s">
        <v>7007</v>
      </c>
      <c r="D1401" t="s">
        <v>3242</v>
      </c>
      <c r="E1401" t="s">
        <v>15710</v>
      </c>
      <c r="F1401" t="s">
        <v>5035</v>
      </c>
      <c r="G1401" t="s">
        <v>7008</v>
      </c>
      <c r="H1401" t="s">
        <v>6803</v>
      </c>
      <c r="I1401" t="s">
        <v>3366</v>
      </c>
    </row>
    <row r="1402" spans="1:9" x14ac:dyDescent="0.25">
      <c r="A1402" t="s">
        <v>7009</v>
      </c>
      <c r="B1402" t="s">
        <v>7009</v>
      </c>
      <c r="C1402" t="s">
        <v>7010</v>
      </c>
      <c r="D1402" t="s">
        <v>3242</v>
      </c>
      <c r="E1402" t="s">
        <v>16967</v>
      </c>
      <c r="F1402" t="s">
        <v>3372</v>
      </c>
      <c r="G1402" t="s">
        <v>16968</v>
      </c>
      <c r="H1402" t="s">
        <v>3323</v>
      </c>
      <c r="I1402" t="s">
        <v>3366</v>
      </c>
    </row>
    <row r="1403" spans="1:9" x14ac:dyDescent="0.25">
      <c r="A1403" t="s">
        <v>7011</v>
      </c>
      <c r="B1403" t="s">
        <v>7011</v>
      </c>
      <c r="C1403" t="s">
        <v>7012</v>
      </c>
      <c r="D1403" t="s">
        <v>3321</v>
      </c>
      <c r="E1403" t="s">
        <v>15710</v>
      </c>
      <c r="F1403" t="s">
        <v>3257</v>
      </c>
      <c r="G1403" t="s">
        <v>7013</v>
      </c>
      <c r="H1403" t="s">
        <v>5084</v>
      </c>
      <c r="I1403" t="s">
        <v>3324</v>
      </c>
    </row>
    <row r="1404" spans="1:9" x14ac:dyDescent="0.25">
      <c r="A1404" t="s">
        <v>7014</v>
      </c>
      <c r="B1404" t="s">
        <v>7014</v>
      </c>
      <c r="C1404" t="s">
        <v>7015</v>
      </c>
      <c r="D1404" t="s">
        <v>3242</v>
      </c>
      <c r="E1404" t="s">
        <v>17236</v>
      </c>
      <c r="F1404" t="s">
        <v>3306</v>
      </c>
      <c r="G1404" t="s">
        <v>7016</v>
      </c>
      <c r="H1404" t="s">
        <v>5243</v>
      </c>
      <c r="I1404" t="s">
        <v>3324</v>
      </c>
    </row>
    <row r="1405" spans="1:9" x14ac:dyDescent="0.25">
      <c r="A1405" t="s">
        <v>7017</v>
      </c>
      <c r="B1405" t="s">
        <v>7017</v>
      </c>
      <c r="C1405" t="s">
        <v>7018</v>
      </c>
      <c r="D1405" t="s">
        <v>3242</v>
      </c>
      <c r="E1405" t="s">
        <v>15710</v>
      </c>
      <c r="F1405" t="s">
        <v>5079</v>
      </c>
      <c r="G1405" t="s">
        <v>7019</v>
      </c>
      <c r="H1405" t="s">
        <v>3496</v>
      </c>
    </row>
    <row r="1406" spans="1:9" x14ac:dyDescent="0.25">
      <c r="A1406" t="s">
        <v>7020</v>
      </c>
      <c r="B1406" t="s">
        <v>7020</v>
      </c>
      <c r="C1406" t="s">
        <v>7021</v>
      </c>
      <c r="D1406" t="s">
        <v>3242</v>
      </c>
      <c r="E1406" t="s">
        <v>15854</v>
      </c>
      <c r="F1406" t="s">
        <v>3257</v>
      </c>
      <c r="G1406" t="s">
        <v>7022</v>
      </c>
      <c r="H1406" t="s">
        <v>5151</v>
      </c>
      <c r="I1406" t="s">
        <v>3263</v>
      </c>
    </row>
    <row r="1407" spans="1:9" x14ac:dyDescent="0.25">
      <c r="A1407" t="s">
        <v>7023</v>
      </c>
      <c r="B1407" t="s">
        <v>7023</v>
      </c>
      <c r="C1407" t="s">
        <v>7024</v>
      </c>
      <c r="D1407" t="s">
        <v>3321</v>
      </c>
      <c r="E1407" t="s">
        <v>15710</v>
      </c>
      <c r="F1407" t="s">
        <v>3257</v>
      </c>
      <c r="G1407" t="s">
        <v>7025</v>
      </c>
      <c r="H1407" t="s">
        <v>3267</v>
      </c>
    </row>
    <row r="1408" spans="1:9" x14ac:dyDescent="0.25">
      <c r="A1408" t="s">
        <v>7026</v>
      </c>
      <c r="B1408" t="s">
        <v>7026</v>
      </c>
      <c r="C1408" t="s">
        <v>7027</v>
      </c>
      <c r="D1408" t="s">
        <v>3242</v>
      </c>
      <c r="E1408" t="s">
        <v>15710</v>
      </c>
      <c r="F1408" t="s">
        <v>3257</v>
      </c>
      <c r="G1408" t="s">
        <v>7028</v>
      </c>
      <c r="H1408" t="s">
        <v>4711</v>
      </c>
      <c r="I1408" t="s">
        <v>3254</v>
      </c>
    </row>
    <row r="1409" spans="1:9" x14ac:dyDescent="0.25">
      <c r="A1409" t="s">
        <v>7029</v>
      </c>
      <c r="B1409" t="s">
        <v>7029</v>
      </c>
      <c r="C1409" t="s">
        <v>7030</v>
      </c>
      <c r="D1409" t="s">
        <v>3242</v>
      </c>
      <c r="E1409" t="s">
        <v>16969</v>
      </c>
      <c r="F1409" t="s">
        <v>5035</v>
      </c>
      <c r="G1409" t="s">
        <v>7031</v>
      </c>
      <c r="H1409" t="s">
        <v>6803</v>
      </c>
      <c r="I1409" t="s">
        <v>3366</v>
      </c>
    </row>
    <row r="1410" spans="1:9" x14ac:dyDescent="0.25">
      <c r="A1410" t="s">
        <v>16223</v>
      </c>
      <c r="B1410" t="s">
        <v>16223</v>
      </c>
      <c r="C1410" t="s">
        <v>16224</v>
      </c>
      <c r="D1410" t="s">
        <v>3242</v>
      </c>
      <c r="E1410" t="s">
        <v>15710</v>
      </c>
      <c r="F1410" t="s">
        <v>3243</v>
      </c>
      <c r="G1410" t="s">
        <v>16225</v>
      </c>
      <c r="H1410" t="s">
        <v>3060</v>
      </c>
    </row>
    <row r="1411" spans="1:9" x14ac:dyDescent="0.25">
      <c r="A1411" t="s">
        <v>7032</v>
      </c>
      <c r="B1411" t="s">
        <v>7032</v>
      </c>
      <c r="C1411" t="s">
        <v>7033</v>
      </c>
      <c r="D1411" t="s">
        <v>3242</v>
      </c>
      <c r="E1411" t="s">
        <v>15710</v>
      </c>
      <c r="F1411" t="s">
        <v>15712</v>
      </c>
      <c r="G1411" t="s">
        <v>7034</v>
      </c>
      <c r="H1411" t="s">
        <v>3285</v>
      </c>
    </row>
    <row r="1412" spans="1:9" x14ac:dyDescent="0.25">
      <c r="A1412" t="s">
        <v>7035</v>
      </c>
      <c r="B1412" t="s">
        <v>7035</v>
      </c>
      <c r="C1412" t="s">
        <v>7036</v>
      </c>
      <c r="D1412" t="s">
        <v>3242</v>
      </c>
      <c r="E1412" t="s">
        <v>16892</v>
      </c>
      <c r="F1412" t="s">
        <v>3257</v>
      </c>
      <c r="G1412" t="s">
        <v>7037</v>
      </c>
      <c r="H1412" t="s">
        <v>5243</v>
      </c>
      <c r="I1412" t="s">
        <v>3324</v>
      </c>
    </row>
    <row r="1413" spans="1:9" x14ac:dyDescent="0.25">
      <c r="A1413" t="s">
        <v>7038</v>
      </c>
      <c r="B1413" t="s">
        <v>7038</v>
      </c>
      <c r="C1413" t="s">
        <v>7039</v>
      </c>
      <c r="D1413" t="s">
        <v>3242</v>
      </c>
      <c r="E1413" t="s">
        <v>17570</v>
      </c>
      <c r="F1413" t="s">
        <v>3251</v>
      </c>
      <c r="G1413" t="s">
        <v>7040</v>
      </c>
      <c r="H1413" t="s">
        <v>3421</v>
      </c>
      <c r="I1413" t="s">
        <v>3254</v>
      </c>
    </row>
    <row r="1414" spans="1:9" x14ac:dyDescent="0.25">
      <c r="A1414" t="s">
        <v>7041</v>
      </c>
      <c r="B1414" t="s">
        <v>7041</v>
      </c>
      <c r="C1414" t="s">
        <v>7042</v>
      </c>
      <c r="D1414" t="s">
        <v>3242</v>
      </c>
      <c r="E1414" t="s">
        <v>15855</v>
      </c>
      <c r="F1414" t="s">
        <v>3257</v>
      </c>
      <c r="G1414" t="s">
        <v>7043</v>
      </c>
      <c r="H1414" t="s">
        <v>3262</v>
      </c>
      <c r="I1414" t="s">
        <v>3263</v>
      </c>
    </row>
    <row r="1415" spans="1:9" x14ac:dyDescent="0.25">
      <c r="A1415" t="s">
        <v>15074</v>
      </c>
      <c r="B1415" t="s">
        <v>15074</v>
      </c>
      <c r="C1415" t="s">
        <v>15075</v>
      </c>
      <c r="D1415" t="s">
        <v>3242</v>
      </c>
      <c r="E1415" t="s">
        <v>15710</v>
      </c>
      <c r="F1415" t="s">
        <v>3372</v>
      </c>
      <c r="G1415" t="s">
        <v>15076</v>
      </c>
      <c r="H1415" t="s">
        <v>5239</v>
      </c>
      <c r="I1415" t="s">
        <v>3324</v>
      </c>
    </row>
    <row r="1416" spans="1:9" x14ac:dyDescent="0.25">
      <c r="A1416" t="s">
        <v>7044</v>
      </c>
      <c r="B1416" t="s">
        <v>7044</v>
      </c>
      <c r="C1416" t="s">
        <v>7045</v>
      </c>
      <c r="D1416" t="s">
        <v>3242</v>
      </c>
      <c r="E1416" t="s">
        <v>17028</v>
      </c>
      <c r="F1416" t="s">
        <v>7046</v>
      </c>
      <c r="G1416" t="s">
        <v>7047</v>
      </c>
      <c r="H1416" t="s">
        <v>3267</v>
      </c>
      <c r="I1416" t="s">
        <v>3268</v>
      </c>
    </row>
    <row r="1417" spans="1:9" x14ac:dyDescent="0.25">
      <c r="A1417" t="s">
        <v>7048</v>
      </c>
      <c r="B1417" t="s">
        <v>7048</v>
      </c>
      <c r="C1417" t="s">
        <v>7049</v>
      </c>
      <c r="D1417" t="s">
        <v>3242</v>
      </c>
      <c r="E1417" t="s">
        <v>15710</v>
      </c>
      <c r="F1417" t="s">
        <v>3257</v>
      </c>
      <c r="G1417" t="s">
        <v>7050</v>
      </c>
      <c r="H1417" t="s">
        <v>5665</v>
      </c>
    </row>
    <row r="1418" spans="1:9" x14ac:dyDescent="0.25">
      <c r="A1418" t="s">
        <v>7051</v>
      </c>
      <c r="B1418" t="s">
        <v>7051</v>
      </c>
      <c r="C1418" t="s">
        <v>7052</v>
      </c>
      <c r="D1418" t="s">
        <v>3242</v>
      </c>
      <c r="E1418" t="s">
        <v>15710</v>
      </c>
      <c r="F1418" t="s">
        <v>3257</v>
      </c>
      <c r="G1418" t="s">
        <v>7053</v>
      </c>
      <c r="H1418" t="s">
        <v>5013</v>
      </c>
    </row>
    <row r="1419" spans="1:9" x14ac:dyDescent="0.25">
      <c r="A1419" t="s">
        <v>17638</v>
      </c>
      <c r="B1419" t="s">
        <v>17638</v>
      </c>
      <c r="C1419" t="s">
        <v>17639</v>
      </c>
      <c r="D1419" t="s">
        <v>3242</v>
      </c>
      <c r="E1419" t="s">
        <v>15710</v>
      </c>
      <c r="F1419" t="s">
        <v>3372</v>
      </c>
      <c r="G1419" t="s">
        <v>17640</v>
      </c>
      <c r="H1419" t="s">
        <v>3323</v>
      </c>
      <c r="I1419" t="s">
        <v>3366</v>
      </c>
    </row>
    <row r="1420" spans="1:9" x14ac:dyDescent="0.25">
      <c r="A1420" t="s">
        <v>7054</v>
      </c>
      <c r="B1420" t="s">
        <v>7054</v>
      </c>
      <c r="C1420" t="s">
        <v>7055</v>
      </c>
      <c r="D1420" t="s">
        <v>3242</v>
      </c>
      <c r="E1420" t="s">
        <v>15710</v>
      </c>
      <c r="F1420" t="s">
        <v>4996</v>
      </c>
      <c r="G1420" t="s">
        <v>7056</v>
      </c>
      <c r="H1420" t="s">
        <v>7057</v>
      </c>
      <c r="I1420" t="s">
        <v>3366</v>
      </c>
    </row>
    <row r="1421" spans="1:9" x14ac:dyDescent="0.25">
      <c r="A1421" t="s">
        <v>16218</v>
      </c>
      <c r="B1421" t="s">
        <v>16218</v>
      </c>
      <c r="C1421" t="s">
        <v>16219</v>
      </c>
      <c r="D1421" t="s">
        <v>3242</v>
      </c>
      <c r="E1421" t="s">
        <v>15710</v>
      </c>
      <c r="F1421" t="s">
        <v>14866</v>
      </c>
      <c r="G1421" t="s">
        <v>16220</v>
      </c>
      <c r="H1421" t="s">
        <v>3248</v>
      </c>
      <c r="I1421" t="s">
        <v>3407</v>
      </c>
    </row>
    <row r="1422" spans="1:9" x14ac:dyDescent="0.25">
      <c r="A1422" t="s">
        <v>7058</v>
      </c>
      <c r="B1422" t="s">
        <v>7058</v>
      </c>
      <c r="C1422" t="s">
        <v>7059</v>
      </c>
      <c r="D1422" t="s">
        <v>3242</v>
      </c>
      <c r="E1422" t="s">
        <v>17237</v>
      </c>
      <c r="F1422" t="s">
        <v>3300</v>
      </c>
      <c r="G1422" t="s">
        <v>7060</v>
      </c>
      <c r="H1422" t="s">
        <v>3323</v>
      </c>
      <c r="I1422" t="s">
        <v>3324</v>
      </c>
    </row>
    <row r="1423" spans="1:9" x14ac:dyDescent="0.25">
      <c r="A1423" t="s">
        <v>15077</v>
      </c>
      <c r="B1423" t="s">
        <v>15077</v>
      </c>
      <c r="C1423" t="s">
        <v>15078</v>
      </c>
      <c r="D1423" t="s">
        <v>3242</v>
      </c>
      <c r="E1423" t="s">
        <v>15710</v>
      </c>
      <c r="F1423" t="s">
        <v>3243</v>
      </c>
      <c r="G1423" t="s">
        <v>15079</v>
      </c>
      <c r="H1423" t="s">
        <v>3262</v>
      </c>
      <c r="I1423" t="s">
        <v>3432</v>
      </c>
    </row>
    <row r="1424" spans="1:9" x14ac:dyDescent="0.25">
      <c r="A1424" t="s">
        <v>7061</v>
      </c>
      <c r="B1424" t="s">
        <v>7061</v>
      </c>
      <c r="C1424" t="s">
        <v>7062</v>
      </c>
      <c r="D1424" t="s">
        <v>3242</v>
      </c>
      <c r="E1424" t="s">
        <v>15710</v>
      </c>
      <c r="F1424" t="s">
        <v>15712</v>
      </c>
      <c r="G1424" t="s">
        <v>7063</v>
      </c>
      <c r="H1424" t="s">
        <v>7064</v>
      </c>
    </row>
    <row r="1425" spans="1:9" x14ac:dyDescent="0.25">
      <c r="A1425" t="s">
        <v>7065</v>
      </c>
      <c r="B1425" t="s">
        <v>7065</v>
      </c>
      <c r="C1425" t="s">
        <v>7066</v>
      </c>
      <c r="D1425" t="s">
        <v>3242</v>
      </c>
      <c r="E1425" t="s">
        <v>15710</v>
      </c>
      <c r="F1425" t="s">
        <v>3257</v>
      </c>
      <c r="G1425" t="s">
        <v>5183</v>
      </c>
      <c r="H1425" t="s">
        <v>3267</v>
      </c>
      <c r="I1425" t="s">
        <v>3268</v>
      </c>
    </row>
    <row r="1426" spans="1:9" x14ac:dyDescent="0.25">
      <c r="A1426" t="s">
        <v>7067</v>
      </c>
      <c r="B1426" t="s">
        <v>7068</v>
      </c>
      <c r="C1426" t="s">
        <v>7069</v>
      </c>
      <c r="D1426" t="s">
        <v>3321</v>
      </c>
      <c r="E1426" t="s">
        <v>15856</v>
      </c>
      <c r="F1426" t="s">
        <v>5035</v>
      </c>
      <c r="G1426" t="s">
        <v>7070</v>
      </c>
      <c r="H1426" t="s">
        <v>3379</v>
      </c>
      <c r="I1426" t="s">
        <v>3366</v>
      </c>
    </row>
    <row r="1427" spans="1:9" x14ac:dyDescent="0.25">
      <c r="A1427" t="s">
        <v>7068</v>
      </c>
      <c r="B1427" t="s">
        <v>7068</v>
      </c>
      <c r="C1427" t="s">
        <v>7069</v>
      </c>
      <c r="D1427" t="s">
        <v>3242</v>
      </c>
      <c r="E1427" t="s">
        <v>16970</v>
      </c>
      <c r="F1427" t="s">
        <v>5035</v>
      </c>
      <c r="G1427" t="s">
        <v>7070</v>
      </c>
      <c r="H1427" t="s">
        <v>3379</v>
      </c>
      <c r="I1427" t="s">
        <v>3366</v>
      </c>
    </row>
    <row r="1428" spans="1:9" x14ac:dyDescent="0.25">
      <c r="A1428" t="s">
        <v>7071</v>
      </c>
      <c r="B1428" t="s">
        <v>7071</v>
      </c>
      <c r="C1428" t="s">
        <v>7072</v>
      </c>
      <c r="D1428" t="s">
        <v>3242</v>
      </c>
      <c r="E1428" t="s">
        <v>15710</v>
      </c>
      <c r="F1428" t="s">
        <v>7073</v>
      </c>
      <c r="G1428" t="s">
        <v>7074</v>
      </c>
      <c r="H1428" t="s">
        <v>3262</v>
      </c>
    </row>
    <row r="1429" spans="1:9" x14ac:dyDescent="0.25">
      <c r="A1429" t="s">
        <v>15080</v>
      </c>
      <c r="B1429" t="s">
        <v>15080</v>
      </c>
      <c r="C1429" t="s">
        <v>15081</v>
      </c>
      <c r="D1429" t="s">
        <v>3242</v>
      </c>
      <c r="E1429" t="s">
        <v>15710</v>
      </c>
      <c r="F1429" t="s">
        <v>3243</v>
      </c>
      <c r="G1429" t="s">
        <v>15082</v>
      </c>
      <c r="H1429" t="s">
        <v>15083</v>
      </c>
    </row>
    <row r="1430" spans="1:9" x14ac:dyDescent="0.25">
      <c r="A1430" t="s">
        <v>7075</v>
      </c>
      <c r="B1430" t="s">
        <v>7075</v>
      </c>
      <c r="C1430" t="s">
        <v>7076</v>
      </c>
      <c r="D1430" t="s">
        <v>3242</v>
      </c>
      <c r="E1430" t="s">
        <v>15710</v>
      </c>
      <c r="F1430" t="s">
        <v>3257</v>
      </c>
      <c r="G1430" t="s">
        <v>7077</v>
      </c>
      <c r="H1430" t="s">
        <v>4856</v>
      </c>
      <c r="I1430" t="s">
        <v>3407</v>
      </c>
    </row>
    <row r="1431" spans="1:9" x14ac:dyDescent="0.25">
      <c r="A1431" t="s">
        <v>7078</v>
      </c>
      <c r="B1431" t="s">
        <v>7078</v>
      </c>
      <c r="C1431" t="s">
        <v>7079</v>
      </c>
      <c r="D1431" t="s">
        <v>3242</v>
      </c>
      <c r="E1431" t="s">
        <v>15710</v>
      </c>
      <c r="F1431" t="s">
        <v>5292</v>
      </c>
      <c r="G1431" t="s">
        <v>7080</v>
      </c>
      <c r="H1431" t="s">
        <v>3060</v>
      </c>
    </row>
    <row r="1432" spans="1:9" x14ac:dyDescent="0.25">
      <c r="A1432" t="s">
        <v>7081</v>
      </c>
      <c r="B1432" t="s">
        <v>7081</v>
      </c>
      <c r="C1432" t="s">
        <v>7082</v>
      </c>
      <c r="D1432" t="s">
        <v>3242</v>
      </c>
      <c r="E1432" t="s">
        <v>17238</v>
      </c>
      <c r="F1432" t="s">
        <v>3257</v>
      </c>
      <c r="G1432" t="s">
        <v>7083</v>
      </c>
      <c r="H1432" t="s">
        <v>5084</v>
      </c>
      <c r="I1432" t="s">
        <v>3324</v>
      </c>
    </row>
    <row r="1433" spans="1:9" x14ac:dyDescent="0.25">
      <c r="A1433" t="s">
        <v>7084</v>
      </c>
      <c r="B1433" t="s">
        <v>7084</v>
      </c>
      <c r="C1433" t="s">
        <v>7085</v>
      </c>
      <c r="D1433" t="s">
        <v>3242</v>
      </c>
      <c r="E1433" t="s">
        <v>17571</v>
      </c>
      <c r="F1433" t="s">
        <v>3683</v>
      </c>
      <c r="G1433" t="s">
        <v>7086</v>
      </c>
      <c r="H1433" t="s">
        <v>3421</v>
      </c>
      <c r="I1433" t="s">
        <v>3254</v>
      </c>
    </row>
    <row r="1434" spans="1:9" x14ac:dyDescent="0.25">
      <c r="A1434" t="s">
        <v>7087</v>
      </c>
      <c r="B1434" t="s">
        <v>7087</v>
      </c>
      <c r="C1434" t="s">
        <v>7088</v>
      </c>
      <c r="D1434" t="s">
        <v>3242</v>
      </c>
      <c r="E1434" t="s">
        <v>15710</v>
      </c>
      <c r="F1434" t="s">
        <v>3257</v>
      </c>
      <c r="G1434" t="s">
        <v>7089</v>
      </c>
      <c r="H1434" t="s">
        <v>7090</v>
      </c>
    </row>
    <row r="1435" spans="1:9" x14ac:dyDescent="0.25">
      <c r="A1435" t="s">
        <v>7091</v>
      </c>
      <c r="B1435" t="s">
        <v>7091</v>
      </c>
      <c r="C1435" t="s">
        <v>7092</v>
      </c>
      <c r="D1435" t="s">
        <v>3321</v>
      </c>
      <c r="E1435" t="s">
        <v>15710</v>
      </c>
      <c r="F1435" t="s">
        <v>3257</v>
      </c>
      <c r="G1435" t="s">
        <v>6291</v>
      </c>
      <c r="H1435" t="s">
        <v>3267</v>
      </c>
    </row>
    <row r="1436" spans="1:9" x14ac:dyDescent="0.25">
      <c r="A1436" t="s">
        <v>7093</v>
      </c>
      <c r="B1436" t="s">
        <v>7093</v>
      </c>
      <c r="C1436" t="s">
        <v>7094</v>
      </c>
      <c r="D1436" t="s">
        <v>3242</v>
      </c>
      <c r="E1436" t="s">
        <v>17239</v>
      </c>
      <c r="F1436" t="s">
        <v>3257</v>
      </c>
      <c r="G1436" t="s">
        <v>7095</v>
      </c>
      <c r="H1436" t="s">
        <v>3060</v>
      </c>
      <c r="I1436" t="s">
        <v>4028</v>
      </c>
    </row>
    <row r="1437" spans="1:9" x14ac:dyDescent="0.25">
      <c r="A1437" t="s">
        <v>7096</v>
      </c>
      <c r="B1437" t="s">
        <v>7096</v>
      </c>
      <c r="C1437" t="s">
        <v>7097</v>
      </c>
      <c r="D1437" t="s">
        <v>3242</v>
      </c>
      <c r="E1437" t="s">
        <v>15858</v>
      </c>
      <c r="F1437" t="s">
        <v>3257</v>
      </c>
      <c r="G1437" t="s">
        <v>7098</v>
      </c>
      <c r="H1437" t="s">
        <v>5883</v>
      </c>
      <c r="I1437" t="s">
        <v>3324</v>
      </c>
    </row>
    <row r="1438" spans="1:9" x14ac:dyDescent="0.25">
      <c r="A1438" t="s">
        <v>7099</v>
      </c>
      <c r="B1438" t="s">
        <v>7099</v>
      </c>
      <c r="C1438" t="s">
        <v>7100</v>
      </c>
      <c r="D1438" t="s">
        <v>3242</v>
      </c>
      <c r="E1438" t="s">
        <v>15710</v>
      </c>
      <c r="F1438" t="s">
        <v>3243</v>
      </c>
      <c r="G1438" t="s">
        <v>7101</v>
      </c>
      <c r="H1438" t="s">
        <v>3402</v>
      </c>
    </row>
    <row r="1439" spans="1:9" x14ac:dyDescent="0.25">
      <c r="A1439" t="s">
        <v>7102</v>
      </c>
      <c r="B1439" t="s">
        <v>7102</v>
      </c>
      <c r="C1439" t="s">
        <v>7103</v>
      </c>
      <c r="D1439" t="s">
        <v>3242</v>
      </c>
      <c r="E1439" t="s">
        <v>15710</v>
      </c>
      <c r="F1439" t="s">
        <v>3306</v>
      </c>
      <c r="G1439" t="s">
        <v>7104</v>
      </c>
      <c r="H1439" t="s">
        <v>6830</v>
      </c>
    </row>
    <row r="1440" spans="1:9" x14ac:dyDescent="0.25">
      <c r="A1440" t="s">
        <v>7105</v>
      </c>
      <c r="B1440" t="s">
        <v>7105</v>
      </c>
      <c r="C1440" t="s">
        <v>7106</v>
      </c>
      <c r="D1440" t="s">
        <v>3242</v>
      </c>
      <c r="E1440" t="s">
        <v>15710</v>
      </c>
      <c r="F1440" t="s">
        <v>3251</v>
      </c>
      <c r="G1440" t="s">
        <v>7107</v>
      </c>
      <c r="H1440" t="s">
        <v>3623</v>
      </c>
    </row>
    <row r="1441" spans="1:9" x14ac:dyDescent="0.25">
      <c r="A1441" t="s">
        <v>7108</v>
      </c>
      <c r="B1441" t="s">
        <v>7108</v>
      </c>
      <c r="C1441" t="s">
        <v>7109</v>
      </c>
      <c r="D1441" t="s">
        <v>3242</v>
      </c>
      <c r="E1441" t="s">
        <v>15710</v>
      </c>
      <c r="F1441" t="s">
        <v>3288</v>
      </c>
      <c r="G1441" t="s">
        <v>7110</v>
      </c>
      <c r="H1441" t="s">
        <v>3060</v>
      </c>
    </row>
    <row r="1442" spans="1:9" x14ac:dyDescent="0.25">
      <c r="A1442" t="s">
        <v>7111</v>
      </c>
      <c r="B1442" t="s">
        <v>7111</v>
      </c>
      <c r="C1442" t="s">
        <v>7112</v>
      </c>
      <c r="D1442" t="s">
        <v>3242</v>
      </c>
      <c r="E1442" t="s">
        <v>15710</v>
      </c>
      <c r="F1442" t="s">
        <v>3257</v>
      </c>
      <c r="G1442" t="s">
        <v>7113</v>
      </c>
      <c r="H1442" t="s">
        <v>3267</v>
      </c>
      <c r="I1442" t="s">
        <v>3268</v>
      </c>
    </row>
    <row r="1443" spans="1:9" x14ac:dyDescent="0.25">
      <c r="A1443" t="s">
        <v>7114</v>
      </c>
      <c r="B1443" t="s">
        <v>7114</v>
      </c>
      <c r="C1443" t="s">
        <v>7115</v>
      </c>
      <c r="D1443" t="s">
        <v>3242</v>
      </c>
      <c r="E1443" t="s">
        <v>15859</v>
      </c>
      <c r="F1443" t="s">
        <v>3257</v>
      </c>
      <c r="G1443" t="s">
        <v>7116</v>
      </c>
      <c r="H1443" t="s">
        <v>5665</v>
      </c>
      <c r="I1443" t="s">
        <v>3268</v>
      </c>
    </row>
    <row r="1444" spans="1:9" x14ac:dyDescent="0.25">
      <c r="A1444" t="s">
        <v>7117</v>
      </c>
      <c r="B1444" t="s">
        <v>7117</v>
      </c>
      <c r="C1444" t="s">
        <v>7118</v>
      </c>
      <c r="D1444" t="s">
        <v>3242</v>
      </c>
      <c r="E1444" t="s">
        <v>15710</v>
      </c>
      <c r="F1444" t="s">
        <v>3243</v>
      </c>
      <c r="G1444" t="s">
        <v>7119</v>
      </c>
      <c r="H1444" t="s">
        <v>3402</v>
      </c>
    </row>
    <row r="1445" spans="1:9" x14ac:dyDescent="0.25">
      <c r="A1445" t="s">
        <v>7120</v>
      </c>
      <c r="B1445" t="s">
        <v>7120</v>
      </c>
      <c r="C1445" t="s">
        <v>7121</v>
      </c>
      <c r="D1445" t="s">
        <v>3321</v>
      </c>
      <c r="E1445" t="s">
        <v>15710</v>
      </c>
      <c r="F1445" t="s">
        <v>3257</v>
      </c>
      <c r="G1445" t="s">
        <v>7122</v>
      </c>
      <c r="H1445" t="s">
        <v>3267</v>
      </c>
    </row>
    <row r="1446" spans="1:9" x14ac:dyDescent="0.25">
      <c r="A1446" t="s">
        <v>7123</v>
      </c>
      <c r="B1446" t="s">
        <v>7123</v>
      </c>
      <c r="C1446" t="s">
        <v>7124</v>
      </c>
      <c r="D1446" t="s">
        <v>3242</v>
      </c>
      <c r="E1446" t="s">
        <v>15710</v>
      </c>
      <c r="F1446" t="s">
        <v>3251</v>
      </c>
      <c r="G1446" t="s">
        <v>7125</v>
      </c>
      <c r="H1446" t="s">
        <v>3668</v>
      </c>
      <c r="I1446" t="s">
        <v>4028</v>
      </c>
    </row>
    <row r="1447" spans="1:9" x14ac:dyDescent="0.25">
      <c r="A1447" t="s">
        <v>7126</v>
      </c>
      <c r="B1447" t="s">
        <v>7126</v>
      </c>
      <c r="C1447" t="s">
        <v>7127</v>
      </c>
      <c r="D1447" t="s">
        <v>3242</v>
      </c>
      <c r="E1447" t="s">
        <v>15710</v>
      </c>
      <c r="F1447" t="s">
        <v>3345</v>
      </c>
      <c r="G1447" t="s">
        <v>7128</v>
      </c>
      <c r="H1447" t="s">
        <v>3060</v>
      </c>
    </row>
    <row r="1448" spans="1:9" x14ac:dyDescent="0.25">
      <c r="A1448" t="s">
        <v>7129</v>
      </c>
      <c r="B1448" t="s">
        <v>7129</v>
      </c>
      <c r="C1448" t="s">
        <v>7130</v>
      </c>
      <c r="D1448" t="s">
        <v>3242</v>
      </c>
      <c r="E1448" t="s">
        <v>15710</v>
      </c>
      <c r="F1448" t="s">
        <v>3288</v>
      </c>
      <c r="G1448" t="s">
        <v>7131</v>
      </c>
      <c r="H1448" t="s">
        <v>3060</v>
      </c>
    </row>
    <row r="1449" spans="1:9" x14ac:dyDescent="0.25">
      <c r="A1449" t="s">
        <v>7132</v>
      </c>
      <c r="B1449" t="s">
        <v>7132</v>
      </c>
      <c r="C1449" t="s">
        <v>7133</v>
      </c>
      <c r="D1449" t="s">
        <v>3242</v>
      </c>
      <c r="E1449" t="s">
        <v>15860</v>
      </c>
      <c r="F1449" t="s">
        <v>3306</v>
      </c>
      <c r="G1449" t="s">
        <v>7134</v>
      </c>
      <c r="H1449" t="s">
        <v>3267</v>
      </c>
    </row>
    <row r="1450" spans="1:9" x14ac:dyDescent="0.25">
      <c r="A1450" t="s">
        <v>7135</v>
      </c>
      <c r="B1450" t="s">
        <v>7135</v>
      </c>
      <c r="C1450" t="s">
        <v>7136</v>
      </c>
      <c r="D1450" t="s">
        <v>3242</v>
      </c>
      <c r="E1450" t="s">
        <v>15710</v>
      </c>
      <c r="F1450" t="s">
        <v>3257</v>
      </c>
      <c r="G1450" t="s">
        <v>7137</v>
      </c>
      <c r="H1450" t="s">
        <v>3353</v>
      </c>
      <c r="I1450" t="s">
        <v>3324</v>
      </c>
    </row>
    <row r="1451" spans="1:9" x14ac:dyDescent="0.25">
      <c r="A1451" t="s">
        <v>7138</v>
      </c>
      <c r="B1451" t="s">
        <v>7138</v>
      </c>
      <c r="C1451" t="s">
        <v>7139</v>
      </c>
      <c r="D1451" t="s">
        <v>3242</v>
      </c>
      <c r="E1451" t="s">
        <v>15861</v>
      </c>
      <c r="F1451" t="s">
        <v>3257</v>
      </c>
      <c r="G1451" t="s">
        <v>7140</v>
      </c>
      <c r="H1451" t="s">
        <v>3259</v>
      </c>
      <c r="I1451" t="s">
        <v>3324</v>
      </c>
    </row>
    <row r="1452" spans="1:9" x14ac:dyDescent="0.25">
      <c r="A1452" t="s">
        <v>7141</v>
      </c>
      <c r="B1452" t="s">
        <v>7141</v>
      </c>
      <c r="C1452" t="s">
        <v>7142</v>
      </c>
      <c r="D1452" t="s">
        <v>3242</v>
      </c>
      <c r="E1452" t="s">
        <v>17572</v>
      </c>
      <c r="F1452" t="s">
        <v>3257</v>
      </c>
      <c r="G1452" t="s">
        <v>15084</v>
      </c>
      <c r="H1452" t="s">
        <v>3253</v>
      </c>
      <c r="I1452" t="s">
        <v>14986</v>
      </c>
    </row>
    <row r="1453" spans="1:9" x14ac:dyDescent="0.25">
      <c r="A1453" t="s">
        <v>7144</v>
      </c>
      <c r="B1453" t="s">
        <v>7144</v>
      </c>
      <c r="C1453" t="s">
        <v>7145</v>
      </c>
      <c r="D1453" t="s">
        <v>3242</v>
      </c>
      <c r="E1453" t="s">
        <v>17240</v>
      </c>
      <c r="F1453" t="s">
        <v>3288</v>
      </c>
      <c r="G1453" t="s">
        <v>7146</v>
      </c>
      <c r="H1453" t="s">
        <v>4045</v>
      </c>
      <c r="I1453" t="s">
        <v>5390</v>
      </c>
    </row>
    <row r="1454" spans="1:9" x14ac:dyDescent="0.25">
      <c r="A1454" t="s">
        <v>7147</v>
      </c>
      <c r="B1454" t="s">
        <v>7147</v>
      </c>
      <c r="C1454" t="s">
        <v>7148</v>
      </c>
      <c r="D1454" t="s">
        <v>3242</v>
      </c>
      <c r="E1454" t="s">
        <v>17641</v>
      </c>
      <c r="F1454" t="s">
        <v>3306</v>
      </c>
      <c r="G1454" t="s">
        <v>7149</v>
      </c>
      <c r="H1454" t="s">
        <v>3323</v>
      </c>
      <c r="I1454" t="s">
        <v>3366</v>
      </c>
    </row>
    <row r="1455" spans="1:9" x14ac:dyDescent="0.25">
      <c r="A1455" t="s">
        <v>7150</v>
      </c>
      <c r="B1455" t="s">
        <v>7150</v>
      </c>
      <c r="C1455" t="s">
        <v>7151</v>
      </c>
      <c r="D1455" t="s">
        <v>3242</v>
      </c>
      <c r="E1455" t="s">
        <v>16971</v>
      </c>
      <c r="F1455" t="s">
        <v>3257</v>
      </c>
      <c r="G1455" t="s">
        <v>7152</v>
      </c>
      <c r="H1455" t="s">
        <v>4734</v>
      </c>
      <c r="I1455" t="s">
        <v>3254</v>
      </c>
    </row>
    <row r="1456" spans="1:9" x14ac:dyDescent="0.25">
      <c r="A1456" t="s">
        <v>17642</v>
      </c>
      <c r="B1456" t="s">
        <v>17642</v>
      </c>
      <c r="C1456" t="s">
        <v>17643</v>
      </c>
      <c r="D1456" t="s">
        <v>3242</v>
      </c>
      <c r="E1456" t="s">
        <v>15710</v>
      </c>
      <c r="F1456" t="s">
        <v>3251</v>
      </c>
      <c r="G1456" t="s">
        <v>17644</v>
      </c>
      <c r="H1456" t="s">
        <v>3668</v>
      </c>
      <c r="I1456" t="s">
        <v>3694</v>
      </c>
    </row>
    <row r="1457" spans="1:9" x14ac:dyDescent="0.25">
      <c r="A1457" t="s">
        <v>7153</v>
      </c>
      <c r="B1457" t="s">
        <v>7153</v>
      </c>
      <c r="C1457" t="s">
        <v>7154</v>
      </c>
      <c r="D1457" t="s">
        <v>3242</v>
      </c>
      <c r="E1457" t="s">
        <v>17241</v>
      </c>
      <c r="F1457" t="s">
        <v>3257</v>
      </c>
      <c r="G1457" t="s">
        <v>7155</v>
      </c>
      <c r="H1457" t="s">
        <v>5883</v>
      </c>
      <c r="I1457" t="s">
        <v>3366</v>
      </c>
    </row>
    <row r="1458" spans="1:9" x14ac:dyDescent="0.25">
      <c r="A1458" t="s">
        <v>7156</v>
      </c>
      <c r="B1458" t="s">
        <v>7156</v>
      </c>
      <c r="C1458" t="s">
        <v>7157</v>
      </c>
      <c r="D1458" t="s">
        <v>3242</v>
      </c>
      <c r="E1458" t="s">
        <v>15710</v>
      </c>
      <c r="F1458" t="s">
        <v>3257</v>
      </c>
      <c r="G1458" t="s">
        <v>7158</v>
      </c>
      <c r="H1458" t="s">
        <v>3248</v>
      </c>
    </row>
    <row r="1459" spans="1:9" x14ac:dyDescent="0.25">
      <c r="A1459" t="s">
        <v>7159</v>
      </c>
      <c r="B1459" t="s">
        <v>7159</v>
      </c>
      <c r="C1459" t="s">
        <v>7160</v>
      </c>
      <c r="D1459" t="s">
        <v>3242</v>
      </c>
      <c r="E1459" t="s">
        <v>15710</v>
      </c>
      <c r="F1459" t="s">
        <v>7161</v>
      </c>
      <c r="G1459" t="s">
        <v>7162</v>
      </c>
      <c r="H1459" t="s">
        <v>5151</v>
      </c>
      <c r="I1459" t="s">
        <v>3263</v>
      </c>
    </row>
    <row r="1460" spans="1:9" x14ac:dyDescent="0.25">
      <c r="A1460" t="s">
        <v>7163</v>
      </c>
      <c r="B1460" t="s">
        <v>7163</v>
      </c>
      <c r="C1460" t="s">
        <v>7164</v>
      </c>
      <c r="D1460" t="s">
        <v>3242</v>
      </c>
      <c r="E1460" t="s">
        <v>15710</v>
      </c>
      <c r="F1460" t="s">
        <v>4996</v>
      </c>
      <c r="G1460" t="s">
        <v>7165</v>
      </c>
      <c r="H1460" t="s">
        <v>3267</v>
      </c>
      <c r="I1460" t="s">
        <v>3366</v>
      </c>
    </row>
    <row r="1461" spans="1:9" x14ac:dyDescent="0.25">
      <c r="A1461" t="s">
        <v>7166</v>
      </c>
      <c r="B1461" t="s">
        <v>7166</v>
      </c>
      <c r="C1461" t="s">
        <v>7167</v>
      </c>
      <c r="D1461" t="s">
        <v>3242</v>
      </c>
      <c r="E1461" t="s">
        <v>15710</v>
      </c>
      <c r="F1461" t="s">
        <v>7168</v>
      </c>
      <c r="G1461" t="s">
        <v>7169</v>
      </c>
      <c r="H1461" t="s">
        <v>3496</v>
      </c>
      <c r="I1461" t="s">
        <v>3407</v>
      </c>
    </row>
    <row r="1462" spans="1:9" x14ac:dyDescent="0.25">
      <c r="A1462" t="s">
        <v>15085</v>
      </c>
      <c r="B1462" t="s">
        <v>15085</v>
      </c>
      <c r="C1462" t="s">
        <v>15086</v>
      </c>
      <c r="D1462" t="s">
        <v>3242</v>
      </c>
      <c r="E1462" t="s">
        <v>16461</v>
      </c>
      <c r="F1462" t="s">
        <v>7331</v>
      </c>
      <c r="G1462" t="s">
        <v>15087</v>
      </c>
      <c r="H1462" t="s">
        <v>4502</v>
      </c>
      <c r="I1462" t="s">
        <v>4173</v>
      </c>
    </row>
    <row r="1463" spans="1:9" x14ac:dyDescent="0.25">
      <c r="A1463" t="s">
        <v>7170</v>
      </c>
      <c r="B1463" t="s">
        <v>7170</v>
      </c>
      <c r="C1463" t="s">
        <v>7171</v>
      </c>
      <c r="D1463" t="s">
        <v>3242</v>
      </c>
      <c r="E1463" t="s">
        <v>15710</v>
      </c>
      <c r="F1463" t="s">
        <v>3257</v>
      </c>
      <c r="G1463" t="s">
        <v>7172</v>
      </c>
      <c r="H1463" t="s">
        <v>3365</v>
      </c>
      <c r="I1463" t="s">
        <v>3324</v>
      </c>
    </row>
    <row r="1464" spans="1:9" x14ac:dyDescent="0.25">
      <c r="A1464" t="s">
        <v>7173</v>
      </c>
      <c r="B1464" t="s">
        <v>7173</v>
      </c>
      <c r="C1464" t="s">
        <v>7174</v>
      </c>
      <c r="D1464" t="s">
        <v>3242</v>
      </c>
      <c r="E1464" t="s">
        <v>17242</v>
      </c>
      <c r="F1464" t="s">
        <v>3306</v>
      </c>
      <c r="G1464" t="s">
        <v>7175</v>
      </c>
      <c r="H1464" t="s">
        <v>3259</v>
      </c>
      <c r="I1464" t="s">
        <v>3366</v>
      </c>
    </row>
    <row r="1465" spans="1:9" x14ac:dyDescent="0.25">
      <c r="A1465" t="s">
        <v>16972</v>
      </c>
      <c r="B1465" t="s">
        <v>16972</v>
      </c>
      <c r="C1465" t="s">
        <v>16973</v>
      </c>
      <c r="D1465" t="s">
        <v>3242</v>
      </c>
      <c r="E1465" t="s">
        <v>15960</v>
      </c>
      <c r="F1465" t="s">
        <v>16974</v>
      </c>
      <c r="G1465" t="s">
        <v>16975</v>
      </c>
      <c r="H1465" t="s">
        <v>3248</v>
      </c>
      <c r="I1465" t="s">
        <v>3407</v>
      </c>
    </row>
    <row r="1466" spans="1:9" x14ac:dyDescent="0.25">
      <c r="A1466" t="s">
        <v>7176</v>
      </c>
      <c r="B1466" t="s">
        <v>7176</v>
      </c>
      <c r="C1466" t="s">
        <v>7177</v>
      </c>
      <c r="D1466" t="s">
        <v>3321</v>
      </c>
      <c r="E1466" t="s">
        <v>15710</v>
      </c>
      <c r="F1466" t="s">
        <v>3257</v>
      </c>
      <c r="G1466" t="s">
        <v>7178</v>
      </c>
      <c r="H1466" t="s">
        <v>3267</v>
      </c>
    </row>
    <row r="1467" spans="1:9" x14ac:dyDescent="0.25">
      <c r="A1467" t="s">
        <v>7179</v>
      </c>
      <c r="B1467" t="s">
        <v>7179</v>
      </c>
      <c r="C1467" t="s">
        <v>7180</v>
      </c>
      <c r="D1467" t="s">
        <v>3242</v>
      </c>
      <c r="E1467" t="s">
        <v>15932</v>
      </c>
      <c r="F1467" t="s">
        <v>3257</v>
      </c>
      <c r="G1467" t="s">
        <v>7181</v>
      </c>
      <c r="H1467" t="s">
        <v>4045</v>
      </c>
      <c r="I1467" t="s">
        <v>3694</v>
      </c>
    </row>
    <row r="1468" spans="1:9" x14ac:dyDescent="0.25">
      <c r="A1468" t="s">
        <v>7182</v>
      </c>
      <c r="B1468" t="s">
        <v>7182</v>
      </c>
      <c r="C1468" t="s">
        <v>7183</v>
      </c>
      <c r="D1468" t="s">
        <v>3242</v>
      </c>
      <c r="E1468" t="s">
        <v>15863</v>
      </c>
      <c r="F1468" t="s">
        <v>3306</v>
      </c>
      <c r="G1468" t="s">
        <v>7184</v>
      </c>
      <c r="H1468" t="s">
        <v>6171</v>
      </c>
      <c r="I1468" t="s">
        <v>3324</v>
      </c>
    </row>
    <row r="1469" spans="1:9" x14ac:dyDescent="0.25">
      <c r="A1469" t="s">
        <v>15088</v>
      </c>
      <c r="B1469" t="s">
        <v>15088</v>
      </c>
      <c r="C1469" t="s">
        <v>15089</v>
      </c>
      <c r="D1469" t="s">
        <v>3242</v>
      </c>
      <c r="E1469" t="s">
        <v>15710</v>
      </c>
      <c r="H1469" t="s">
        <v>3060</v>
      </c>
    </row>
    <row r="1470" spans="1:9" x14ac:dyDescent="0.25">
      <c r="A1470" t="s">
        <v>7185</v>
      </c>
      <c r="B1470" t="s">
        <v>7185</v>
      </c>
      <c r="C1470" t="s">
        <v>7186</v>
      </c>
      <c r="D1470" t="s">
        <v>3242</v>
      </c>
      <c r="E1470" t="s">
        <v>15710</v>
      </c>
      <c r="F1470" t="s">
        <v>3257</v>
      </c>
      <c r="G1470" t="s">
        <v>7187</v>
      </c>
      <c r="H1470" t="s">
        <v>3248</v>
      </c>
      <c r="I1470" t="s">
        <v>3263</v>
      </c>
    </row>
    <row r="1471" spans="1:9" x14ac:dyDescent="0.25">
      <c r="A1471" t="s">
        <v>7188</v>
      </c>
      <c r="B1471" t="s">
        <v>7188</v>
      </c>
      <c r="C1471" t="s">
        <v>7189</v>
      </c>
      <c r="D1471" t="s">
        <v>3242</v>
      </c>
      <c r="E1471" t="s">
        <v>16976</v>
      </c>
      <c r="F1471" t="s">
        <v>3257</v>
      </c>
      <c r="G1471" t="s">
        <v>7190</v>
      </c>
      <c r="H1471" t="s">
        <v>5344</v>
      </c>
      <c r="I1471" t="s">
        <v>3694</v>
      </c>
    </row>
    <row r="1472" spans="1:9" x14ac:dyDescent="0.25">
      <c r="A1472" t="s">
        <v>7191</v>
      </c>
      <c r="B1472" t="s">
        <v>7191</v>
      </c>
      <c r="C1472" t="s">
        <v>7192</v>
      </c>
      <c r="D1472" t="s">
        <v>3242</v>
      </c>
      <c r="E1472" t="s">
        <v>17243</v>
      </c>
      <c r="F1472" t="s">
        <v>3257</v>
      </c>
      <c r="G1472" t="s">
        <v>7193</v>
      </c>
      <c r="H1472" t="s">
        <v>4734</v>
      </c>
      <c r="I1472" t="s">
        <v>3254</v>
      </c>
    </row>
    <row r="1473" spans="1:9" x14ac:dyDescent="0.25">
      <c r="A1473" t="s">
        <v>7194</v>
      </c>
      <c r="B1473" t="s">
        <v>7194</v>
      </c>
      <c r="C1473" t="s">
        <v>7195</v>
      </c>
      <c r="D1473" t="s">
        <v>3242</v>
      </c>
      <c r="E1473" t="s">
        <v>16977</v>
      </c>
      <c r="F1473" t="s">
        <v>3257</v>
      </c>
      <c r="G1473" t="s">
        <v>7196</v>
      </c>
      <c r="H1473" t="s">
        <v>3267</v>
      </c>
      <c r="I1473" t="s">
        <v>3268</v>
      </c>
    </row>
    <row r="1474" spans="1:9" x14ac:dyDescent="0.25">
      <c r="A1474" t="s">
        <v>7197</v>
      </c>
      <c r="B1474" t="s">
        <v>7197</v>
      </c>
      <c r="C1474" t="s">
        <v>7198</v>
      </c>
      <c r="D1474" t="s">
        <v>3242</v>
      </c>
      <c r="E1474" t="s">
        <v>15710</v>
      </c>
      <c r="F1474" t="s">
        <v>3257</v>
      </c>
      <c r="G1474" t="s">
        <v>7199</v>
      </c>
      <c r="H1474" t="s">
        <v>3601</v>
      </c>
      <c r="I1474" t="s">
        <v>3407</v>
      </c>
    </row>
    <row r="1475" spans="1:9" x14ac:dyDescent="0.25">
      <c r="A1475" t="s">
        <v>16045</v>
      </c>
      <c r="B1475" t="s">
        <v>16045</v>
      </c>
      <c r="C1475" t="s">
        <v>16046</v>
      </c>
      <c r="D1475" t="s">
        <v>3242</v>
      </c>
      <c r="E1475" t="s">
        <v>17172</v>
      </c>
      <c r="F1475" t="s">
        <v>3306</v>
      </c>
      <c r="G1475" t="s">
        <v>3946</v>
      </c>
      <c r="H1475" t="s">
        <v>4711</v>
      </c>
      <c r="I1475" t="s">
        <v>3254</v>
      </c>
    </row>
    <row r="1476" spans="1:9" x14ac:dyDescent="0.25">
      <c r="A1476" t="s">
        <v>15090</v>
      </c>
      <c r="B1476" t="s">
        <v>15090</v>
      </c>
      <c r="C1476" t="s">
        <v>15091</v>
      </c>
      <c r="D1476" t="s">
        <v>3242</v>
      </c>
      <c r="E1476" t="s">
        <v>15710</v>
      </c>
      <c r="F1476" t="s">
        <v>15018</v>
      </c>
      <c r="G1476" t="s">
        <v>15092</v>
      </c>
      <c r="H1476" t="s">
        <v>12573</v>
      </c>
      <c r="I1476" t="s">
        <v>3432</v>
      </c>
    </row>
    <row r="1477" spans="1:9" x14ac:dyDescent="0.25">
      <c r="A1477" t="s">
        <v>7200</v>
      </c>
      <c r="B1477" t="s">
        <v>7200</v>
      </c>
      <c r="C1477" t="s">
        <v>7201</v>
      </c>
      <c r="D1477" t="s">
        <v>3242</v>
      </c>
      <c r="E1477" t="s">
        <v>15710</v>
      </c>
      <c r="F1477" t="s">
        <v>3257</v>
      </c>
      <c r="G1477" t="s">
        <v>7202</v>
      </c>
      <c r="H1477" t="s">
        <v>3623</v>
      </c>
    </row>
    <row r="1478" spans="1:9" x14ac:dyDescent="0.25">
      <c r="A1478" t="s">
        <v>7203</v>
      </c>
      <c r="B1478" t="s">
        <v>7203</v>
      </c>
      <c r="C1478" t="s">
        <v>7204</v>
      </c>
      <c r="D1478" t="s">
        <v>3242</v>
      </c>
      <c r="E1478" t="s">
        <v>17244</v>
      </c>
      <c r="F1478" t="s">
        <v>3257</v>
      </c>
      <c r="G1478" t="s">
        <v>7205</v>
      </c>
      <c r="H1478" t="s">
        <v>3267</v>
      </c>
      <c r="I1478" t="s">
        <v>3268</v>
      </c>
    </row>
    <row r="1479" spans="1:9" x14ac:dyDescent="0.25">
      <c r="A1479" t="s">
        <v>7206</v>
      </c>
      <c r="B1479" t="s">
        <v>7206</v>
      </c>
      <c r="C1479" t="s">
        <v>7207</v>
      </c>
      <c r="D1479" t="s">
        <v>3242</v>
      </c>
      <c r="E1479" t="s">
        <v>15865</v>
      </c>
      <c r="F1479" t="s">
        <v>3257</v>
      </c>
      <c r="G1479" t="s">
        <v>7208</v>
      </c>
      <c r="H1479" t="s">
        <v>3262</v>
      </c>
      <c r="I1479" t="s">
        <v>3432</v>
      </c>
    </row>
    <row r="1480" spans="1:9" x14ac:dyDescent="0.25">
      <c r="A1480" t="s">
        <v>7209</v>
      </c>
      <c r="B1480" t="s">
        <v>7209</v>
      </c>
      <c r="C1480" t="s">
        <v>7210</v>
      </c>
      <c r="D1480" t="s">
        <v>3242</v>
      </c>
      <c r="E1480" t="s">
        <v>16978</v>
      </c>
      <c r="F1480" t="s">
        <v>3257</v>
      </c>
      <c r="G1480" t="s">
        <v>7211</v>
      </c>
      <c r="H1480" t="s">
        <v>3060</v>
      </c>
      <c r="I1480" t="s">
        <v>4028</v>
      </c>
    </row>
    <row r="1481" spans="1:9" x14ac:dyDescent="0.25">
      <c r="A1481" t="s">
        <v>7212</v>
      </c>
      <c r="B1481" t="s">
        <v>7212</v>
      </c>
      <c r="C1481" t="s">
        <v>7213</v>
      </c>
      <c r="D1481" t="s">
        <v>3242</v>
      </c>
      <c r="E1481" t="s">
        <v>17245</v>
      </c>
      <c r="F1481" t="s">
        <v>3257</v>
      </c>
      <c r="G1481" t="s">
        <v>7214</v>
      </c>
      <c r="H1481" t="s">
        <v>3262</v>
      </c>
      <c r="I1481" t="s">
        <v>3263</v>
      </c>
    </row>
    <row r="1482" spans="1:9" x14ac:dyDescent="0.25">
      <c r="A1482" t="s">
        <v>7215</v>
      </c>
      <c r="B1482" t="s">
        <v>7215</v>
      </c>
      <c r="C1482" t="s">
        <v>7216</v>
      </c>
      <c r="D1482" t="s">
        <v>3242</v>
      </c>
      <c r="E1482" t="s">
        <v>15710</v>
      </c>
      <c r="F1482" t="s">
        <v>3257</v>
      </c>
      <c r="G1482" t="s">
        <v>7217</v>
      </c>
      <c r="H1482" t="s">
        <v>5160</v>
      </c>
      <c r="I1482" t="s">
        <v>3648</v>
      </c>
    </row>
    <row r="1483" spans="1:9" x14ac:dyDescent="0.25">
      <c r="A1483" t="s">
        <v>7218</v>
      </c>
      <c r="B1483" t="s">
        <v>7218</v>
      </c>
      <c r="C1483" t="s">
        <v>7219</v>
      </c>
      <c r="D1483" t="s">
        <v>3242</v>
      </c>
      <c r="E1483" t="s">
        <v>15710</v>
      </c>
      <c r="F1483" t="s">
        <v>3257</v>
      </c>
      <c r="G1483" t="s">
        <v>7220</v>
      </c>
      <c r="H1483" t="s">
        <v>3484</v>
      </c>
      <c r="I1483" t="s">
        <v>3432</v>
      </c>
    </row>
    <row r="1484" spans="1:9" x14ac:dyDescent="0.25">
      <c r="A1484" t="s">
        <v>7221</v>
      </c>
      <c r="B1484" t="s">
        <v>7221</v>
      </c>
      <c r="C1484" t="s">
        <v>7222</v>
      </c>
      <c r="D1484" t="s">
        <v>3242</v>
      </c>
      <c r="E1484" t="s">
        <v>16979</v>
      </c>
      <c r="F1484" t="s">
        <v>7223</v>
      </c>
      <c r="G1484" t="s">
        <v>7224</v>
      </c>
      <c r="H1484" t="s">
        <v>5066</v>
      </c>
      <c r="I1484" t="s">
        <v>3263</v>
      </c>
    </row>
    <row r="1485" spans="1:9" x14ac:dyDescent="0.25">
      <c r="A1485" t="s">
        <v>7225</v>
      </c>
      <c r="B1485" t="s">
        <v>7225</v>
      </c>
      <c r="C1485" t="s">
        <v>7226</v>
      </c>
      <c r="D1485" t="s">
        <v>3242</v>
      </c>
      <c r="E1485" t="s">
        <v>15710</v>
      </c>
      <c r="F1485" t="s">
        <v>3306</v>
      </c>
      <c r="G1485" t="s">
        <v>7227</v>
      </c>
      <c r="H1485" t="s">
        <v>5289</v>
      </c>
    </row>
    <row r="1486" spans="1:9" x14ac:dyDescent="0.25">
      <c r="A1486" t="s">
        <v>7228</v>
      </c>
      <c r="B1486" t="s">
        <v>7228</v>
      </c>
      <c r="C1486" t="s">
        <v>7229</v>
      </c>
      <c r="D1486" t="s">
        <v>3242</v>
      </c>
      <c r="E1486" t="s">
        <v>15866</v>
      </c>
      <c r="F1486" t="s">
        <v>3306</v>
      </c>
      <c r="G1486" t="s">
        <v>7230</v>
      </c>
      <c r="H1486" t="s">
        <v>3323</v>
      </c>
      <c r="I1486" t="s">
        <v>3324</v>
      </c>
    </row>
    <row r="1487" spans="1:9" x14ac:dyDescent="0.25">
      <c r="A1487" t="s">
        <v>7231</v>
      </c>
      <c r="B1487" t="s">
        <v>7231</v>
      </c>
      <c r="C1487" t="s">
        <v>7232</v>
      </c>
      <c r="D1487" t="s">
        <v>3242</v>
      </c>
      <c r="E1487" t="s">
        <v>15710</v>
      </c>
      <c r="F1487" t="s">
        <v>3257</v>
      </c>
      <c r="G1487" t="s">
        <v>7233</v>
      </c>
      <c r="H1487" t="s">
        <v>6617</v>
      </c>
      <c r="I1487" t="s">
        <v>3366</v>
      </c>
    </row>
    <row r="1488" spans="1:9" x14ac:dyDescent="0.25">
      <c r="A1488" t="s">
        <v>7234</v>
      </c>
      <c r="B1488" t="s">
        <v>7234</v>
      </c>
      <c r="C1488" t="s">
        <v>7235</v>
      </c>
      <c r="D1488" t="s">
        <v>3242</v>
      </c>
      <c r="E1488" t="s">
        <v>15710</v>
      </c>
      <c r="F1488" t="s">
        <v>3257</v>
      </c>
      <c r="G1488" t="s">
        <v>7236</v>
      </c>
      <c r="H1488" t="s">
        <v>5815</v>
      </c>
      <c r="I1488" t="s">
        <v>3324</v>
      </c>
    </row>
    <row r="1489" spans="1:9" x14ac:dyDescent="0.25">
      <c r="A1489" t="s">
        <v>7237</v>
      </c>
      <c r="B1489" t="s">
        <v>7237</v>
      </c>
      <c r="C1489" t="s">
        <v>7238</v>
      </c>
      <c r="D1489" t="s">
        <v>3242</v>
      </c>
      <c r="E1489" t="s">
        <v>15710</v>
      </c>
      <c r="F1489" t="s">
        <v>3257</v>
      </c>
      <c r="G1489" t="s">
        <v>7239</v>
      </c>
      <c r="H1489" t="s">
        <v>5151</v>
      </c>
    </row>
    <row r="1490" spans="1:9" x14ac:dyDescent="0.25">
      <c r="A1490" t="s">
        <v>7240</v>
      </c>
      <c r="B1490" t="s">
        <v>7240</v>
      </c>
      <c r="C1490" t="s">
        <v>7241</v>
      </c>
      <c r="D1490" t="s">
        <v>3242</v>
      </c>
      <c r="E1490" t="s">
        <v>15710</v>
      </c>
      <c r="F1490" t="s">
        <v>15712</v>
      </c>
      <c r="G1490" t="s">
        <v>7242</v>
      </c>
      <c r="H1490" t="s">
        <v>7243</v>
      </c>
    </row>
    <row r="1491" spans="1:9" x14ac:dyDescent="0.25">
      <c r="A1491" t="s">
        <v>7244</v>
      </c>
      <c r="B1491" t="s">
        <v>7244</v>
      </c>
      <c r="C1491" t="s">
        <v>7245</v>
      </c>
      <c r="D1491" t="s">
        <v>3242</v>
      </c>
      <c r="E1491" t="s">
        <v>15929</v>
      </c>
      <c r="F1491" t="s">
        <v>3257</v>
      </c>
      <c r="G1491" t="s">
        <v>7246</v>
      </c>
      <c r="H1491" t="s">
        <v>6502</v>
      </c>
      <c r="I1491" t="s">
        <v>3268</v>
      </c>
    </row>
    <row r="1492" spans="1:9" x14ac:dyDescent="0.25">
      <c r="A1492" t="s">
        <v>7247</v>
      </c>
      <c r="B1492" t="s">
        <v>7247</v>
      </c>
      <c r="C1492" t="s">
        <v>7248</v>
      </c>
      <c r="D1492" t="s">
        <v>3242</v>
      </c>
      <c r="E1492" t="s">
        <v>15710</v>
      </c>
      <c r="F1492" t="s">
        <v>3257</v>
      </c>
      <c r="G1492" t="s">
        <v>7249</v>
      </c>
      <c r="H1492" t="s">
        <v>4045</v>
      </c>
      <c r="I1492" t="s">
        <v>3694</v>
      </c>
    </row>
    <row r="1493" spans="1:9" x14ac:dyDescent="0.25">
      <c r="A1493" t="s">
        <v>7250</v>
      </c>
      <c r="B1493" t="s">
        <v>7250</v>
      </c>
      <c r="C1493" t="s">
        <v>7251</v>
      </c>
      <c r="D1493" t="s">
        <v>3242</v>
      </c>
      <c r="E1493" t="s">
        <v>15710</v>
      </c>
      <c r="F1493" t="s">
        <v>3257</v>
      </c>
      <c r="G1493" t="s">
        <v>7252</v>
      </c>
      <c r="H1493" t="s">
        <v>3262</v>
      </c>
      <c r="I1493" t="s">
        <v>3263</v>
      </c>
    </row>
    <row r="1494" spans="1:9" x14ac:dyDescent="0.25">
      <c r="A1494" t="s">
        <v>7253</v>
      </c>
      <c r="B1494" t="s">
        <v>7253</v>
      </c>
      <c r="C1494" t="s">
        <v>7254</v>
      </c>
      <c r="D1494" t="s">
        <v>3242</v>
      </c>
      <c r="E1494" t="s">
        <v>15867</v>
      </c>
      <c r="F1494" t="s">
        <v>5955</v>
      </c>
      <c r="G1494" t="s">
        <v>7255</v>
      </c>
      <c r="H1494" t="s">
        <v>3290</v>
      </c>
      <c r="I1494" t="s">
        <v>3294</v>
      </c>
    </row>
    <row r="1495" spans="1:9" x14ac:dyDescent="0.25">
      <c r="A1495" t="s">
        <v>7256</v>
      </c>
      <c r="B1495" t="s">
        <v>7256</v>
      </c>
      <c r="C1495" t="s">
        <v>7257</v>
      </c>
      <c r="D1495" t="s">
        <v>3242</v>
      </c>
      <c r="E1495" t="s">
        <v>16980</v>
      </c>
      <c r="F1495" t="s">
        <v>3683</v>
      </c>
      <c r="G1495" t="s">
        <v>7258</v>
      </c>
      <c r="H1495" t="s">
        <v>4711</v>
      </c>
      <c r="I1495" t="s">
        <v>3254</v>
      </c>
    </row>
    <row r="1496" spans="1:9" x14ac:dyDescent="0.25">
      <c r="A1496" t="s">
        <v>7259</v>
      </c>
      <c r="B1496" t="s">
        <v>7259</v>
      </c>
      <c r="C1496" t="s">
        <v>7260</v>
      </c>
      <c r="D1496" t="s">
        <v>3242</v>
      </c>
      <c r="E1496" t="s">
        <v>15710</v>
      </c>
      <c r="F1496" t="s">
        <v>3345</v>
      </c>
      <c r="G1496" t="s">
        <v>7261</v>
      </c>
      <c r="H1496" t="s">
        <v>3060</v>
      </c>
    </row>
    <row r="1497" spans="1:9" x14ac:dyDescent="0.25">
      <c r="A1497" t="s">
        <v>7262</v>
      </c>
      <c r="B1497" t="s">
        <v>7262</v>
      </c>
      <c r="C1497" t="s">
        <v>7263</v>
      </c>
      <c r="D1497" t="s">
        <v>3242</v>
      </c>
      <c r="E1497" t="s">
        <v>16829</v>
      </c>
      <c r="F1497" t="s">
        <v>16830</v>
      </c>
      <c r="G1497" t="s">
        <v>16831</v>
      </c>
      <c r="H1497" t="s">
        <v>3413</v>
      </c>
      <c r="I1497" t="s">
        <v>3407</v>
      </c>
    </row>
    <row r="1498" spans="1:9" x14ac:dyDescent="0.25">
      <c r="A1498" t="s">
        <v>7264</v>
      </c>
      <c r="B1498" t="s">
        <v>7264</v>
      </c>
      <c r="C1498" t="s">
        <v>7265</v>
      </c>
      <c r="D1498" t="s">
        <v>3242</v>
      </c>
      <c r="E1498" t="s">
        <v>15710</v>
      </c>
      <c r="F1498" t="s">
        <v>3257</v>
      </c>
      <c r="G1498" t="s">
        <v>7266</v>
      </c>
      <c r="H1498" t="s">
        <v>3262</v>
      </c>
    </row>
    <row r="1499" spans="1:9" x14ac:dyDescent="0.25">
      <c r="A1499" t="s">
        <v>7267</v>
      </c>
      <c r="B1499" t="s">
        <v>7267</v>
      </c>
      <c r="C1499" t="s">
        <v>7268</v>
      </c>
      <c r="D1499" t="s">
        <v>3242</v>
      </c>
      <c r="E1499" t="s">
        <v>15710</v>
      </c>
      <c r="F1499" t="s">
        <v>3243</v>
      </c>
      <c r="G1499" t="s">
        <v>7269</v>
      </c>
      <c r="H1499" t="s">
        <v>3285</v>
      </c>
    </row>
    <row r="1500" spans="1:9" x14ac:dyDescent="0.25">
      <c r="A1500" t="s">
        <v>7270</v>
      </c>
      <c r="B1500" t="s">
        <v>7270</v>
      </c>
      <c r="C1500" t="s">
        <v>7271</v>
      </c>
      <c r="D1500" t="s">
        <v>3242</v>
      </c>
      <c r="E1500" t="s">
        <v>15891</v>
      </c>
      <c r="F1500" t="s">
        <v>15712</v>
      </c>
      <c r="G1500" t="s">
        <v>7272</v>
      </c>
      <c r="H1500" t="s">
        <v>3285</v>
      </c>
    </row>
    <row r="1501" spans="1:9" x14ac:dyDescent="0.25">
      <c r="A1501" t="s">
        <v>7273</v>
      </c>
      <c r="B1501" t="s">
        <v>7273</v>
      </c>
      <c r="C1501" t="s">
        <v>7274</v>
      </c>
      <c r="D1501" t="s">
        <v>3242</v>
      </c>
      <c r="E1501" t="s">
        <v>15710</v>
      </c>
      <c r="F1501" t="s">
        <v>3288</v>
      </c>
      <c r="G1501" t="s">
        <v>3060</v>
      </c>
      <c r="H1501" t="s">
        <v>3285</v>
      </c>
    </row>
    <row r="1502" spans="1:9" x14ac:dyDescent="0.25">
      <c r="A1502" t="s">
        <v>7275</v>
      </c>
      <c r="B1502" t="s">
        <v>7275</v>
      </c>
      <c r="C1502" t="s">
        <v>7276</v>
      </c>
      <c r="D1502" t="s">
        <v>3242</v>
      </c>
      <c r="E1502" t="s">
        <v>15710</v>
      </c>
      <c r="F1502" t="s">
        <v>3257</v>
      </c>
      <c r="G1502" t="s">
        <v>7277</v>
      </c>
      <c r="H1502" t="s">
        <v>6171</v>
      </c>
      <c r="I1502" t="s">
        <v>3324</v>
      </c>
    </row>
    <row r="1503" spans="1:9" x14ac:dyDescent="0.25">
      <c r="A1503" t="s">
        <v>7278</v>
      </c>
      <c r="B1503" t="s">
        <v>7278</v>
      </c>
      <c r="C1503" t="s">
        <v>7279</v>
      </c>
      <c r="D1503" t="s">
        <v>3242</v>
      </c>
      <c r="E1503" t="s">
        <v>17246</v>
      </c>
      <c r="F1503" t="s">
        <v>3251</v>
      </c>
      <c r="G1503" t="s">
        <v>7280</v>
      </c>
      <c r="H1503" t="s">
        <v>3421</v>
      </c>
      <c r="I1503" t="s">
        <v>3254</v>
      </c>
    </row>
    <row r="1504" spans="1:9" x14ac:dyDescent="0.25">
      <c r="A1504" t="s">
        <v>7281</v>
      </c>
      <c r="B1504" t="s">
        <v>7281</v>
      </c>
      <c r="C1504" t="s">
        <v>7282</v>
      </c>
      <c r="D1504" t="s">
        <v>3242</v>
      </c>
      <c r="E1504" t="s">
        <v>15710</v>
      </c>
      <c r="F1504" t="s">
        <v>3257</v>
      </c>
      <c r="G1504" t="s">
        <v>7283</v>
      </c>
      <c r="H1504" t="s">
        <v>3267</v>
      </c>
      <c r="I1504" t="s">
        <v>3268</v>
      </c>
    </row>
    <row r="1505" spans="1:9" x14ac:dyDescent="0.25">
      <c r="A1505" t="s">
        <v>7284</v>
      </c>
      <c r="B1505" t="s">
        <v>7284</v>
      </c>
      <c r="C1505" t="s">
        <v>7285</v>
      </c>
      <c r="D1505" t="s">
        <v>3242</v>
      </c>
      <c r="E1505" t="s">
        <v>17247</v>
      </c>
      <c r="F1505" t="s">
        <v>3306</v>
      </c>
      <c r="G1505" t="s">
        <v>7286</v>
      </c>
      <c r="H1505" t="s">
        <v>4919</v>
      </c>
      <c r="I1505" t="s">
        <v>3324</v>
      </c>
    </row>
    <row r="1506" spans="1:9" x14ac:dyDescent="0.25">
      <c r="A1506" t="s">
        <v>7287</v>
      </c>
      <c r="B1506" t="s">
        <v>7287</v>
      </c>
      <c r="C1506" t="s">
        <v>7288</v>
      </c>
      <c r="D1506" t="s">
        <v>3242</v>
      </c>
      <c r="E1506" t="s">
        <v>15710</v>
      </c>
      <c r="F1506" t="s">
        <v>3257</v>
      </c>
      <c r="G1506" t="s">
        <v>7289</v>
      </c>
      <c r="H1506" t="s">
        <v>4045</v>
      </c>
      <c r="I1506" t="s">
        <v>3694</v>
      </c>
    </row>
    <row r="1507" spans="1:9" x14ac:dyDescent="0.25">
      <c r="A1507" t="s">
        <v>7290</v>
      </c>
      <c r="B1507" t="s">
        <v>7290</v>
      </c>
      <c r="C1507" t="s">
        <v>7291</v>
      </c>
      <c r="D1507" t="s">
        <v>3242</v>
      </c>
      <c r="E1507" t="s">
        <v>15710</v>
      </c>
      <c r="F1507" t="s">
        <v>3306</v>
      </c>
      <c r="G1507" t="s">
        <v>7292</v>
      </c>
      <c r="H1507" t="s">
        <v>3421</v>
      </c>
    </row>
    <row r="1508" spans="1:9" x14ac:dyDescent="0.25">
      <c r="A1508" t="s">
        <v>7293</v>
      </c>
      <c r="B1508" t="s">
        <v>7293</v>
      </c>
      <c r="C1508" t="s">
        <v>7294</v>
      </c>
      <c r="D1508" t="s">
        <v>3242</v>
      </c>
      <c r="E1508" t="s">
        <v>15710</v>
      </c>
      <c r="F1508" t="s">
        <v>3243</v>
      </c>
      <c r="G1508" t="s">
        <v>7295</v>
      </c>
      <c r="H1508" t="s">
        <v>3836</v>
      </c>
    </row>
    <row r="1509" spans="1:9" x14ac:dyDescent="0.25">
      <c r="A1509" t="s">
        <v>7296</v>
      </c>
      <c r="B1509" t="s">
        <v>7296</v>
      </c>
      <c r="C1509" t="s">
        <v>7297</v>
      </c>
      <c r="D1509" t="s">
        <v>3321</v>
      </c>
      <c r="E1509" t="s">
        <v>15710</v>
      </c>
      <c r="F1509" t="s">
        <v>5955</v>
      </c>
      <c r="G1509" t="s">
        <v>7298</v>
      </c>
      <c r="H1509" t="s">
        <v>3259</v>
      </c>
      <c r="I1509" t="s">
        <v>3324</v>
      </c>
    </row>
    <row r="1510" spans="1:9" x14ac:dyDescent="0.25">
      <c r="A1510" t="s">
        <v>7299</v>
      </c>
      <c r="B1510" t="s">
        <v>7299</v>
      </c>
      <c r="C1510" t="s">
        <v>7300</v>
      </c>
      <c r="D1510" t="s">
        <v>3242</v>
      </c>
      <c r="E1510" t="s">
        <v>15710</v>
      </c>
      <c r="F1510" t="s">
        <v>3257</v>
      </c>
      <c r="G1510" t="s">
        <v>4973</v>
      </c>
      <c r="H1510" t="s">
        <v>3267</v>
      </c>
      <c r="I1510" t="s">
        <v>3268</v>
      </c>
    </row>
    <row r="1511" spans="1:9" x14ac:dyDescent="0.25">
      <c r="A1511" t="s">
        <v>7301</v>
      </c>
      <c r="B1511" t="s">
        <v>7301</v>
      </c>
      <c r="C1511" t="s">
        <v>7302</v>
      </c>
      <c r="D1511" t="s">
        <v>3242</v>
      </c>
      <c r="E1511" t="s">
        <v>15710</v>
      </c>
      <c r="F1511" t="s">
        <v>3257</v>
      </c>
      <c r="G1511" t="s">
        <v>7303</v>
      </c>
      <c r="H1511" t="s">
        <v>3280</v>
      </c>
      <c r="I1511" t="s">
        <v>3263</v>
      </c>
    </row>
    <row r="1512" spans="1:9" x14ac:dyDescent="0.25">
      <c r="A1512" t="s">
        <v>7304</v>
      </c>
      <c r="B1512" t="s">
        <v>7304</v>
      </c>
      <c r="C1512" t="s">
        <v>7305</v>
      </c>
      <c r="D1512" t="s">
        <v>3242</v>
      </c>
      <c r="E1512" t="s">
        <v>15710</v>
      </c>
      <c r="F1512" t="s">
        <v>3288</v>
      </c>
      <c r="G1512" t="s">
        <v>7306</v>
      </c>
      <c r="H1512" t="s">
        <v>6843</v>
      </c>
    </row>
    <row r="1513" spans="1:9" x14ac:dyDescent="0.25">
      <c r="A1513" t="s">
        <v>7307</v>
      </c>
      <c r="B1513" t="s">
        <v>7307</v>
      </c>
      <c r="C1513" t="s">
        <v>7308</v>
      </c>
      <c r="D1513" t="s">
        <v>3242</v>
      </c>
      <c r="E1513" t="s">
        <v>15710</v>
      </c>
      <c r="F1513" t="s">
        <v>15712</v>
      </c>
      <c r="G1513" t="s">
        <v>7309</v>
      </c>
      <c r="H1513" t="s">
        <v>3623</v>
      </c>
    </row>
    <row r="1514" spans="1:9" x14ac:dyDescent="0.25">
      <c r="A1514" t="s">
        <v>7310</v>
      </c>
      <c r="B1514" t="s">
        <v>7310</v>
      </c>
      <c r="C1514" t="s">
        <v>7311</v>
      </c>
      <c r="D1514" t="s">
        <v>3242</v>
      </c>
      <c r="E1514" t="s">
        <v>15868</v>
      </c>
      <c r="F1514" t="s">
        <v>3257</v>
      </c>
      <c r="G1514" t="s">
        <v>7312</v>
      </c>
      <c r="H1514" t="s">
        <v>3601</v>
      </c>
      <c r="I1514" t="s">
        <v>3407</v>
      </c>
    </row>
    <row r="1515" spans="1:9" x14ac:dyDescent="0.25">
      <c r="A1515" t="s">
        <v>7313</v>
      </c>
      <c r="B1515" t="s">
        <v>7313</v>
      </c>
      <c r="C1515" t="s">
        <v>7314</v>
      </c>
      <c r="D1515" t="s">
        <v>3242</v>
      </c>
      <c r="E1515" t="s">
        <v>17248</v>
      </c>
      <c r="F1515" t="s">
        <v>3257</v>
      </c>
      <c r="G1515" t="s">
        <v>7315</v>
      </c>
      <c r="H1515" t="s">
        <v>4502</v>
      </c>
      <c r="I1515" t="s">
        <v>3451</v>
      </c>
    </row>
    <row r="1516" spans="1:9" x14ac:dyDescent="0.25">
      <c r="A1516" t="s">
        <v>7316</v>
      </c>
      <c r="B1516" t="s">
        <v>7316</v>
      </c>
      <c r="C1516" t="s">
        <v>7317</v>
      </c>
      <c r="D1516" t="s">
        <v>3242</v>
      </c>
      <c r="E1516" t="s">
        <v>15710</v>
      </c>
      <c r="F1516" t="s">
        <v>3372</v>
      </c>
      <c r="G1516" t="s">
        <v>7318</v>
      </c>
      <c r="H1516" t="s">
        <v>3484</v>
      </c>
      <c r="I1516" t="s">
        <v>3375</v>
      </c>
    </row>
    <row r="1517" spans="1:9" x14ac:dyDescent="0.25">
      <c r="A1517" t="s">
        <v>17249</v>
      </c>
      <c r="B1517" t="s">
        <v>17249</v>
      </c>
      <c r="C1517" t="s">
        <v>17250</v>
      </c>
      <c r="D1517" t="s">
        <v>3242</v>
      </c>
      <c r="E1517" t="s">
        <v>17573</v>
      </c>
      <c r="F1517" t="s">
        <v>15018</v>
      </c>
      <c r="G1517" t="s">
        <v>17251</v>
      </c>
      <c r="H1517" t="s">
        <v>3417</v>
      </c>
      <c r="I1517" t="s">
        <v>15020</v>
      </c>
    </row>
    <row r="1518" spans="1:9" x14ac:dyDescent="0.25">
      <c r="A1518" t="s">
        <v>7319</v>
      </c>
      <c r="B1518" t="s">
        <v>7319</v>
      </c>
      <c r="C1518" t="s">
        <v>7320</v>
      </c>
      <c r="D1518" t="s">
        <v>3242</v>
      </c>
      <c r="E1518" t="s">
        <v>15710</v>
      </c>
      <c r="F1518" t="s">
        <v>4996</v>
      </c>
      <c r="G1518" t="s">
        <v>7321</v>
      </c>
      <c r="H1518" t="s">
        <v>3643</v>
      </c>
      <c r="I1518" t="s">
        <v>3366</v>
      </c>
    </row>
    <row r="1519" spans="1:9" x14ac:dyDescent="0.25">
      <c r="A1519" t="s">
        <v>7322</v>
      </c>
      <c r="B1519" t="s">
        <v>7322</v>
      </c>
      <c r="C1519" t="s">
        <v>7323</v>
      </c>
      <c r="D1519" t="s">
        <v>3242</v>
      </c>
      <c r="E1519" t="s">
        <v>15710</v>
      </c>
      <c r="F1519" t="s">
        <v>3288</v>
      </c>
      <c r="G1519" t="s">
        <v>7324</v>
      </c>
      <c r="H1519" t="s">
        <v>3285</v>
      </c>
    </row>
    <row r="1520" spans="1:9" x14ac:dyDescent="0.25">
      <c r="A1520" t="s">
        <v>7325</v>
      </c>
      <c r="B1520" t="s">
        <v>5716</v>
      </c>
      <c r="C1520" t="s">
        <v>15093</v>
      </c>
      <c r="D1520" t="s">
        <v>3242</v>
      </c>
      <c r="E1520" t="s">
        <v>15869</v>
      </c>
      <c r="F1520" t="s">
        <v>3243</v>
      </c>
      <c r="G1520" t="s">
        <v>3243</v>
      </c>
      <c r="H1520" t="s">
        <v>3267</v>
      </c>
    </row>
    <row r="1521" spans="1:9" x14ac:dyDescent="0.25">
      <c r="A1521" t="s">
        <v>7326</v>
      </c>
      <c r="B1521" t="s">
        <v>7326</v>
      </c>
      <c r="C1521" t="s">
        <v>7327</v>
      </c>
      <c r="D1521" t="s">
        <v>3242</v>
      </c>
      <c r="E1521" t="s">
        <v>15966</v>
      </c>
      <c r="F1521" t="s">
        <v>3257</v>
      </c>
      <c r="G1521" t="s">
        <v>7328</v>
      </c>
      <c r="H1521" t="s">
        <v>5883</v>
      </c>
      <c r="I1521" t="s">
        <v>3324</v>
      </c>
    </row>
    <row r="1522" spans="1:9" x14ac:dyDescent="0.25">
      <c r="A1522" t="s">
        <v>7329</v>
      </c>
      <c r="B1522" t="s">
        <v>7329</v>
      </c>
      <c r="C1522" t="s">
        <v>7330</v>
      </c>
      <c r="D1522" t="s">
        <v>3242</v>
      </c>
      <c r="E1522" t="s">
        <v>15710</v>
      </c>
      <c r="F1522" t="s">
        <v>7331</v>
      </c>
      <c r="G1522" t="s">
        <v>7332</v>
      </c>
      <c r="H1522" t="s">
        <v>5344</v>
      </c>
      <c r="I1522" t="s">
        <v>5269</v>
      </c>
    </row>
    <row r="1523" spans="1:9" x14ac:dyDescent="0.25">
      <c r="A1523" t="s">
        <v>7333</v>
      </c>
      <c r="B1523" t="s">
        <v>7333</v>
      </c>
      <c r="C1523" t="s">
        <v>7334</v>
      </c>
      <c r="D1523" t="s">
        <v>3242</v>
      </c>
      <c r="E1523" t="s">
        <v>15710</v>
      </c>
      <c r="F1523" t="s">
        <v>3243</v>
      </c>
      <c r="G1523" t="s">
        <v>3243</v>
      </c>
      <c r="H1523" t="s">
        <v>3290</v>
      </c>
    </row>
    <row r="1524" spans="1:9" x14ac:dyDescent="0.25">
      <c r="A1524" t="s">
        <v>7335</v>
      </c>
      <c r="B1524" t="s">
        <v>7335</v>
      </c>
      <c r="C1524" t="s">
        <v>7336</v>
      </c>
      <c r="D1524" t="s">
        <v>3242</v>
      </c>
      <c r="E1524" t="s">
        <v>15710</v>
      </c>
      <c r="F1524" t="s">
        <v>3251</v>
      </c>
      <c r="G1524" t="s">
        <v>7337</v>
      </c>
      <c r="H1524" t="s">
        <v>3387</v>
      </c>
      <c r="I1524" t="s">
        <v>4605</v>
      </c>
    </row>
    <row r="1525" spans="1:9" x14ac:dyDescent="0.25">
      <c r="A1525" t="s">
        <v>7338</v>
      </c>
      <c r="B1525" t="s">
        <v>7338</v>
      </c>
      <c r="C1525" t="s">
        <v>7339</v>
      </c>
      <c r="D1525" t="s">
        <v>3242</v>
      </c>
      <c r="E1525" t="s">
        <v>16763</v>
      </c>
      <c r="F1525" t="s">
        <v>3251</v>
      </c>
      <c r="G1525" t="s">
        <v>7340</v>
      </c>
      <c r="H1525" t="s">
        <v>3353</v>
      </c>
      <c r="I1525" t="s">
        <v>3324</v>
      </c>
    </row>
    <row r="1526" spans="1:9" x14ac:dyDescent="0.25">
      <c r="A1526" t="s">
        <v>7341</v>
      </c>
      <c r="B1526" t="s">
        <v>7341</v>
      </c>
      <c r="C1526" t="s">
        <v>7342</v>
      </c>
      <c r="D1526" t="s">
        <v>3242</v>
      </c>
      <c r="E1526" t="s">
        <v>15710</v>
      </c>
      <c r="F1526" t="s">
        <v>3243</v>
      </c>
      <c r="G1526" t="s">
        <v>7343</v>
      </c>
      <c r="H1526" t="s">
        <v>3285</v>
      </c>
    </row>
    <row r="1527" spans="1:9" x14ac:dyDescent="0.25">
      <c r="A1527" t="s">
        <v>7344</v>
      </c>
      <c r="B1527" t="s">
        <v>7344</v>
      </c>
      <c r="C1527" t="s">
        <v>7345</v>
      </c>
      <c r="D1527" t="s">
        <v>3242</v>
      </c>
      <c r="E1527" t="s">
        <v>15710</v>
      </c>
      <c r="F1527" t="s">
        <v>3257</v>
      </c>
      <c r="G1527" t="s">
        <v>7346</v>
      </c>
      <c r="H1527" t="s">
        <v>5944</v>
      </c>
      <c r="I1527" t="s">
        <v>3268</v>
      </c>
    </row>
    <row r="1528" spans="1:9" x14ac:dyDescent="0.25">
      <c r="A1528" t="s">
        <v>7347</v>
      </c>
      <c r="B1528" t="s">
        <v>7347</v>
      </c>
      <c r="C1528" t="s">
        <v>7348</v>
      </c>
      <c r="D1528" t="s">
        <v>3242</v>
      </c>
      <c r="E1528" t="s">
        <v>15710</v>
      </c>
      <c r="F1528" t="s">
        <v>3243</v>
      </c>
      <c r="G1528" t="s">
        <v>3243</v>
      </c>
      <c r="H1528" t="s">
        <v>3290</v>
      </c>
    </row>
    <row r="1529" spans="1:9" x14ac:dyDescent="0.25">
      <c r="A1529" t="s">
        <v>7349</v>
      </c>
      <c r="B1529" t="s">
        <v>7349</v>
      </c>
      <c r="C1529" t="s">
        <v>7350</v>
      </c>
      <c r="D1529" t="s">
        <v>3321</v>
      </c>
      <c r="E1529" t="s">
        <v>15710</v>
      </c>
      <c r="F1529" t="s">
        <v>4996</v>
      </c>
      <c r="G1529" t="s">
        <v>7351</v>
      </c>
      <c r="H1529" t="s">
        <v>7090</v>
      </c>
      <c r="I1529" t="s">
        <v>3324</v>
      </c>
    </row>
    <row r="1530" spans="1:9" x14ac:dyDescent="0.25">
      <c r="A1530" t="s">
        <v>15094</v>
      </c>
      <c r="B1530" t="s">
        <v>15094</v>
      </c>
      <c r="C1530" t="s">
        <v>15095</v>
      </c>
      <c r="D1530" t="s">
        <v>3242</v>
      </c>
      <c r="E1530" t="s">
        <v>15710</v>
      </c>
      <c r="F1530" t="s">
        <v>3243</v>
      </c>
      <c r="G1530" t="s">
        <v>15096</v>
      </c>
      <c r="H1530" t="s">
        <v>3280</v>
      </c>
    </row>
    <row r="1531" spans="1:9" x14ac:dyDescent="0.25">
      <c r="A1531" t="s">
        <v>7352</v>
      </c>
      <c r="B1531" t="s">
        <v>7352</v>
      </c>
      <c r="C1531" t="s">
        <v>7353</v>
      </c>
      <c r="D1531" t="s">
        <v>3321</v>
      </c>
      <c r="E1531" t="s">
        <v>15710</v>
      </c>
      <c r="F1531" t="s">
        <v>3257</v>
      </c>
      <c r="G1531" t="s">
        <v>7354</v>
      </c>
      <c r="H1531" t="s">
        <v>3267</v>
      </c>
    </row>
    <row r="1532" spans="1:9" x14ac:dyDescent="0.25">
      <c r="A1532" t="s">
        <v>7355</v>
      </c>
      <c r="B1532" t="s">
        <v>7355</v>
      </c>
      <c r="C1532" t="s">
        <v>7356</v>
      </c>
      <c r="D1532" t="s">
        <v>3242</v>
      </c>
      <c r="E1532" t="s">
        <v>15710</v>
      </c>
      <c r="F1532" t="s">
        <v>3243</v>
      </c>
      <c r="G1532" t="s">
        <v>7357</v>
      </c>
      <c r="H1532" t="s">
        <v>3402</v>
      </c>
    </row>
    <row r="1533" spans="1:9" x14ac:dyDescent="0.25">
      <c r="A1533" t="s">
        <v>7358</v>
      </c>
      <c r="B1533" t="s">
        <v>7358</v>
      </c>
      <c r="C1533" t="s">
        <v>7359</v>
      </c>
      <c r="D1533" t="s">
        <v>3242</v>
      </c>
      <c r="E1533" t="s">
        <v>15710</v>
      </c>
      <c r="F1533" t="s">
        <v>3257</v>
      </c>
      <c r="G1533" t="s">
        <v>7360</v>
      </c>
      <c r="H1533" t="s">
        <v>5062</v>
      </c>
    </row>
    <row r="1534" spans="1:9" x14ac:dyDescent="0.25">
      <c r="A1534" t="s">
        <v>7361</v>
      </c>
      <c r="B1534" t="s">
        <v>7361</v>
      </c>
      <c r="C1534" t="s">
        <v>7362</v>
      </c>
      <c r="D1534" t="s">
        <v>3242</v>
      </c>
      <c r="E1534" t="s">
        <v>15710</v>
      </c>
      <c r="F1534" t="s">
        <v>3243</v>
      </c>
      <c r="G1534" t="s">
        <v>7363</v>
      </c>
      <c r="H1534" t="s">
        <v>3484</v>
      </c>
    </row>
    <row r="1535" spans="1:9" x14ac:dyDescent="0.25">
      <c r="A1535" t="s">
        <v>7364</v>
      </c>
      <c r="B1535" t="s">
        <v>7364</v>
      </c>
      <c r="C1535" t="s">
        <v>7365</v>
      </c>
      <c r="D1535" t="s">
        <v>3242</v>
      </c>
      <c r="E1535" t="s">
        <v>15710</v>
      </c>
      <c r="F1535" t="s">
        <v>3251</v>
      </c>
      <c r="G1535" t="s">
        <v>7366</v>
      </c>
      <c r="H1535" t="s">
        <v>5769</v>
      </c>
    </row>
    <row r="1536" spans="1:9" x14ac:dyDescent="0.25">
      <c r="A1536" t="s">
        <v>7367</v>
      </c>
      <c r="B1536" t="s">
        <v>7367</v>
      </c>
      <c r="C1536" t="s">
        <v>7368</v>
      </c>
      <c r="D1536" t="s">
        <v>3242</v>
      </c>
      <c r="E1536" t="s">
        <v>15870</v>
      </c>
      <c r="F1536" t="s">
        <v>3251</v>
      </c>
      <c r="G1536" t="s">
        <v>7369</v>
      </c>
      <c r="H1536" t="s">
        <v>3323</v>
      </c>
      <c r="I1536" t="s">
        <v>3366</v>
      </c>
    </row>
    <row r="1537" spans="1:9" x14ac:dyDescent="0.25">
      <c r="A1537" t="s">
        <v>7370</v>
      </c>
      <c r="B1537" t="s">
        <v>7370</v>
      </c>
      <c r="C1537" t="s">
        <v>7371</v>
      </c>
      <c r="D1537" t="s">
        <v>3242</v>
      </c>
      <c r="E1537" t="s">
        <v>15710</v>
      </c>
      <c r="F1537" t="s">
        <v>3243</v>
      </c>
      <c r="G1537" t="s">
        <v>7372</v>
      </c>
      <c r="H1537" t="s">
        <v>3402</v>
      </c>
    </row>
    <row r="1538" spans="1:9" x14ac:dyDescent="0.25">
      <c r="A1538" t="s">
        <v>7373</v>
      </c>
      <c r="B1538" t="s">
        <v>7373</v>
      </c>
      <c r="C1538" t="s">
        <v>7374</v>
      </c>
      <c r="D1538" t="s">
        <v>3242</v>
      </c>
      <c r="E1538" t="s">
        <v>15710</v>
      </c>
      <c r="F1538" t="s">
        <v>3300</v>
      </c>
      <c r="G1538" t="s">
        <v>7375</v>
      </c>
      <c r="H1538" t="s">
        <v>3323</v>
      </c>
      <c r="I1538" t="s">
        <v>3324</v>
      </c>
    </row>
    <row r="1539" spans="1:9" x14ac:dyDescent="0.25">
      <c r="A1539" t="s">
        <v>7376</v>
      </c>
      <c r="B1539" t="s">
        <v>7376</v>
      </c>
      <c r="C1539" t="s">
        <v>7377</v>
      </c>
      <c r="D1539" t="s">
        <v>3242</v>
      </c>
      <c r="E1539" t="s">
        <v>15871</v>
      </c>
      <c r="F1539" t="s">
        <v>3257</v>
      </c>
      <c r="G1539" t="s">
        <v>7378</v>
      </c>
      <c r="H1539" t="s">
        <v>3594</v>
      </c>
      <c r="I1539" t="s">
        <v>3324</v>
      </c>
    </row>
    <row r="1540" spans="1:9" x14ac:dyDescent="0.25">
      <c r="A1540" t="s">
        <v>7379</v>
      </c>
      <c r="B1540" t="s">
        <v>7379</v>
      </c>
      <c r="C1540" t="s">
        <v>7380</v>
      </c>
      <c r="D1540" t="s">
        <v>3242</v>
      </c>
      <c r="E1540" t="s">
        <v>15710</v>
      </c>
      <c r="F1540" t="s">
        <v>3288</v>
      </c>
      <c r="G1540" t="s">
        <v>7381</v>
      </c>
      <c r="H1540" t="s">
        <v>3060</v>
      </c>
    </row>
    <row r="1541" spans="1:9" x14ac:dyDescent="0.25">
      <c r="A1541" t="s">
        <v>7382</v>
      </c>
      <c r="B1541" t="s">
        <v>7382</v>
      </c>
      <c r="C1541" t="s">
        <v>7383</v>
      </c>
      <c r="D1541" t="s">
        <v>3242</v>
      </c>
      <c r="E1541" t="s">
        <v>15710</v>
      </c>
      <c r="F1541" t="s">
        <v>3243</v>
      </c>
      <c r="G1541" t="s">
        <v>3243</v>
      </c>
      <c r="H1541" t="s">
        <v>3290</v>
      </c>
    </row>
    <row r="1542" spans="1:9" x14ac:dyDescent="0.25">
      <c r="A1542" t="s">
        <v>7384</v>
      </c>
      <c r="B1542" t="s">
        <v>7384</v>
      </c>
      <c r="C1542" t="s">
        <v>7385</v>
      </c>
      <c r="D1542" t="s">
        <v>3242</v>
      </c>
      <c r="E1542" t="s">
        <v>15710</v>
      </c>
      <c r="F1542" t="s">
        <v>3257</v>
      </c>
      <c r="G1542" t="s">
        <v>7386</v>
      </c>
      <c r="H1542" t="s">
        <v>3623</v>
      </c>
    </row>
    <row r="1543" spans="1:9" x14ac:dyDescent="0.25">
      <c r="A1543" t="s">
        <v>7387</v>
      </c>
      <c r="B1543" t="s">
        <v>7387</v>
      </c>
      <c r="C1543" t="s">
        <v>7388</v>
      </c>
      <c r="D1543" t="s">
        <v>3242</v>
      </c>
      <c r="E1543" t="s">
        <v>15710</v>
      </c>
      <c r="F1543" t="s">
        <v>6812</v>
      </c>
      <c r="G1543" t="s">
        <v>7389</v>
      </c>
      <c r="H1543" t="s">
        <v>3614</v>
      </c>
      <c r="I1543" t="s">
        <v>3407</v>
      </c>
    </row>
    <row r="1544" spans="1:9" x14ac:dyDescent="0.25">
      <c r="A1544" t="s">
        <v>7390</v>
      </c>
      <c r="B1544" t="s">
        <v>7390</v>
      </c>
      <c r="C1544" t="s">
        <v>7391</v>
      </c>
      <c r="D1544" t="s">
        <v>3242</v>
      </c>
      <c r="E1544" t="s">
        <v>15872</v>
      </c>
      <c r="F1544" t="s">
        <v>3300</v>
      </c>
      <c r="G1544" t="s">
        <v>7392</v>
      </c>
      <c r="H1544" t="s">
        <v>3668</v>
      </c>
      <c r="I1544" t="s">
        <v>4028</v>
      </c>
    </row>
    <row r="1545" spans="1:9" x14ac:dyDescent="0.25">
      <c r="A1545" t="s">
        <v>7393</v>
      </c>
      <c r="B1545" t="s">
        <v>7393</v>
      </c>
      <c r="C1545" t="s">
        <v>7394</v>
      </c>
      <c r="D1545" t="s">
        <v>3242</v>
      </c>
      <c r="E1545" t="s">
        <v>15710</v>
      </c>
      <c r="F1545" t="s">
        <v>3251</v>
      </c>
      <c r="G1545" t="s">
        <v>5576</v>
      </c>
      <c r="H1545" t="s">
        <v>3886</v>
      </c>
    </row>
    <row r="1546" spans="1:9" x14ac:dyDescent="0.25">
      <c r="A1546" t="s">
        <v>7395</v>
      </c>
      <c r="B1546" t="s">
        <v>7395</v>
      </c>
      <c r="C1546" t="s">
        <v>7396</v>
      </c>
      <c r="D1546" t="s">
        <v>3242</v>
      </c>
      <c r="E1546" t="s">
        <v>15710</v>
      </c>
      <c r="F1546" t="s">
        <v>3257</v>
      </c>
      <c r="G1546" t="s">
        <v>7397</v>
      </c>
      <c r="H1546" t="s">
        <v>3668</v>
      </c>
      <c r="I1546" t="s">
        <v>4028</v>
      </c>
    </row>
    <row r="1547" spans="1:9" x14ac:dyDescent="0.25">
      <c r="A1547" t="s">
        <v>7398</v>
      </c>
      <c r="B1547" t="s">
        <v>7398</v>
      </c>
      <c r="C1547" t="s">
        <v>7399</v>
      </c>
      <c r="D1547" t="s">
        <v>3242</v>
      </c>
      <c r="E1547" t="s">
        <v>15710</v>
      </c>
      <c r="F1547" t="s">
        <v>3257</v>
      </c>
      <c r="G1547" t="s">
        <v>7400</v>
      </c>
      <c r="H1547" t="s">
        <v>3594</v>
      </c>
    </row>
    <row r="1548" spans="1:9" x14ac:dyDescent="0.25">
      <c r="A1548" t="s">
        <v>16981</v>
      </c>
      <c r="B1548" t="s">
        <v>16981</v>
      </c>
      <c r="C1548" t="s">
        <v>16982</v>
      </c>
      <c r="D1548" t="s">
        <v>3242</v>
      </c>
      <c r="E1548" t="s">
        <v>16233</v>
      </c>
      <c r="F1548" t="s">
        <v>3243</v>
      </c>
      <c r="G1548" t="s">
        <v>16983</v>
      </c>
      <c r="H1548" t="s">
        <v>3484</v>
      </c>
    </row>
    <row r="1549" spans="1:9" x14ac:dyDescent="0.25">
      <c r="A1549" t="s">
        <v>7401</v>
      </c>
      <c r="B1549" t="s">
        <v>7401</v>
      </c>
      <c r="C1549" t="s">
        <v>7402</v>
      </c>
      <c r="D1549" t="s">
        <v>3242</v>
      </c>
      <c r="E1549" t="s">
        <v>15710</v>
      </c>
      <c r="F1549" t="s">
        <v>3306</v>
      </c>
      <c r="G1549" t="s">
        <v>7403</v>
      </c>
      <c r="H1549" t="s">
        <v>3647</v>
      </c>
    </row>
    <row r="1550" spans="1:9" x14ac:dyDescent="0.25">
      <c r="A1550" t="s">
        <v>7404</v>
      </c>
      <c r="B1550" t="s">
        <v>7404</v>
      </c>
      <c r="C1550" t="s">
        <v>7405</v>
      </c>
      <c r="D1550" t="s">
        <v>3242</v>
      </c>
      <c r="E1550" t="s">
        <v>15710</v>
      </c>
      <c r="F1550" t="s">
        <v>3251</v>
      </c>
      <c r="G1550" t="s">
        <v>7406</v>
      </c>
      <c r="H1550" t="s">
        <v>3387</v>
      </c>
      <c r="I1550" t="s">
        <v>4605</v>
      </c>
    </row>
    <row r="1551" spans="1:9" x14ac:dyDescent="0.25">
      <c r="A1551" t="s">
        <v>7407</v>
      </c>
      <c r="B1551" t="s">
        <v>7407</v>
      </c>
      <c r="C1551" t="s">
        <v>7408</v>
      </c>
      <c r="D1551" t="s">
        <v>3242</v>
      </c>
      <c r="E1551" t="s">
        <v>16984</v>
      </c>
      <c r="F1551" t="s">
        <v>3251</v>
      </c>
      <c r="G1551" t="s">
        <v>7409</v>
      </c>
      <c r="H1551" t="s">
        <v>4642</v>
      </c>
      <c r="I1551" t="s">
        <v>3451</v>
      </c>
    </row>
    <row r="1552" spans="1:9" x14ac:dyDescent="0.25">
      <c r="A1552" t="s">
        <v>7410</v>
      </c>
      <c r="B1552" t="s">
        <v>7410</v>
      </c>
      <c r="C1552" t="s">
        <v>7411</v>
      </c>
      <c r="D1552" t="s">
        <v>3242</v>
      </c>
      <c r="E1552" t="s">
        <v>15710</v>
      </c>
      <c r="F1552" t="s">
        <v>3243</v>
      </c>
      <c r="G1552" t="s">
        <v>3243</v>
      </c>
      <c r="H1552" t="s">
        <v>3290</v>
      </c>
    </row>
    <row r="1553" spans="1:9" x14ac:dyDescent="0.25">
      <c r="A1553" t="s">
        <v>7412</v>
      </c>
      <c r="B1553" t="s">
        <v>7412</v>
      </c>
      <c r="C1553" t="s">
        <v>7413</v>
      </c>
      <c r="D1553" t="s">
        <v>3242</v>
      </c>
      <c r="E1553" t="s">
        <v>15710</v>
      </c>
      <c r="F1553" t="s">
        <v>3257</v>
      </c>
      <c r="G1553" t="s">
        <v>7414</v>
      </c>
      <c r="H1553" t="s">
        <v>3623</v>
      </c>
    </row>
    <row r="1554" spans="1:9" x14ac:dyDescent="0.25">
      <c r="A1554" t="s">
        <v>16229</v>
      </c>
      <c r="B1554" t="s">
        <v>16229</v>
      </c>
      <c r="C1554" t="s">
        <v>16230</v>
      </c>
      <c r="D1554" t="s">
        <v>3242</v>
      </c>
      <c r="E1554" t="s">
        <v>15710</v>
      </c>
      <c r="F1554" t="s">
        <v>3243</v>
      </c>
      <c r="G1554" t="s">
        <v>16231</v>
      </c>
      <c r="H1554" t="s">
        <v>3623</v>
      </c>
    </row>
    <row r="1555" spans="1:9" x14ac:dyDescent="0.25">
      <c r="A1555" t="s">
        <v>7415</v>
      </c>
      <c r="B1555" t="s">
        <v>7415</v>
      </c>
      <c r="C1555" t="s">
        <v>7416</v>
      </c>
      <c r="D1555" t="s">
        <v>3242</v>
      </c>
      <c r="E1555" t="s">
        <v>15710</v>
      </c>
      <c r="F1555" t="s">
        <v>3257</v>
      </c>
      <c r="G1555" t="s">
        <v>7417</v>
      </c>
      <c r="H1555" t="s">
        <v>3280</v>
      </c>
      <c r="I1555" t="s">
        <v>3432</v>
      </c>
    </row>
    <row r="1556" spans="1:9" x14ac:dyDescent="0.25">
      <c r="A1556" t="s">
        <v>15097</v>
      </c>
      <c r="B1556" t="s">
        <v>15097</v>
      </c>
      <c r="C1556" t="s">
        <v>15098</v>
      </c>
      <c r="D1556" t="s">
        <v>3242</v>
      </c>
      <c r="E1556" t="s">
        <v>15710</v>
      </c>
      <c r="F1556" t="s">
        <v>3243</v>
      </c>
      <c r="G1556" t="s">
        <v>15099</v>
      </c>
      <c r="H1556" t="s">
        <v>12573</v>
      </c>
    </row>
    <row r="1557" spans="1:9" x14ac:dyDescent="0.25">
      <c r="A1557" t="s">
        <v>7418</v>
      </c>
      <c r="B1557" t="s">
        <v>7418</v>
      </c>
      <c r="C1557" t="s">
        <v>7419</v>
      </c>
      <c r="D1557" t="s">
        <v>3242</v>
      </c>
      <c r="E1557" t="s">
        <v>15710</v>
      </c>
      <c r="F1557" t="s">
        <v>3257</v>
      </c>
      <c r="G1557" t="s">
        <v>7420</v>
      </c>
      <c r="H1557" t="s">
        <v>3060</v>
      </c>
      <c r="I1557" t="s">
        <v>4028</v>
      </c>
    </row>
    <row r="1558" spans="1:9" x14ac:dyDescent="0.25">
      <c r="A1558" t="s">
        <v>14076</v>
      </c>
      <c r="B1558" t="s">
        <v>14076</v>
      </c>
      <c r="C1558" t="s">
        <v>14077</v>
      </c>
      <c r="D1558" t="s">
        <v>3242</v>
      </c>
      <c r="E1558" t="s">
        <v>15710</v>
      </c>
      <c r="F1558" t="s">
        <v>3257</v>
      </c>
      <c r="G1558" t="s">
        <v>15100</v>
      </c>
      <c r="H1558" t="s">
        <v>3413</v>
      </c>
      <c r="I1558" t="s">
        <v>3407</v>
      </c>
    </row>
    <row r="1559" spans="1:9" x14ac:dyDescent="0.25">
      <c r="A1559" t="s">
        <v>17252</v>
      </c>
      <c r="B1559" t="s">
        <v>17252</v>
      </c>
      <c r="C1559" t="s">
        <v>17253</v>
      </c>
      <c r="D1559" t="s">
        <v>3242</v>
      </c>
      <c r="E1559" t="s">
        <v>15710</v>
      </c>
      <c r="F1559" t="s">
        <v>3257</v>
      </c>
      <c r="G1559" t="s">
        <v>17254</v>
      </c>
      <c r="H1559" t="s">
        <v>3259</v>
      </c>
      <c r="I1559" t="s">
        <v>3324</v>
      </c>
    </row>
    <row r="1560" spans="1:9" x14ac:dyDescent="0.25">
      <c r="A1560" t="s">
        <v>7421</v>
      </c>
      <c r="B1560" t="s">
        <v>7421</v>
      </c>
      <c r="C1560" t="s">
        <v>7422</v>
      </c>
      <c r="D1560" t="s">
        <v>3242</v>
      </c>
      <c r="E1560" t="s">
        <v>17255</v>
      </c>
      <c r="F1560" t="s">
        <v>3306</v>
      </c>
      <c r="G1560" t="s">
        <v>7423</v>
      </c>
      <c r="H1560" t="s">
        <v>3259</v>
      </c>
      <c r="I1560" t="s">
        <v>3324</v>
      </c>
    </row>
    <row r="1561" spans="1:9" x14ac:dyDescent="0.25">
      <c r="A1561" t="s">
        <v>7424</v>
      </c>
      <c r="B1561" t="s">
        <v>7424</v>
      </c>
      <c r="C1561" t="s">
        <v>7425</v>
      </c>
      <c r="D1561" t="s">
        <v>3242</v>
      </c>
      <c r="E1561" t="s">
        <v>15710</v>
      </c>
      <c r="F1561" t="s">
        <v>3257</v>
      </c>
      <c r="G1561" t="s">
        <v>16047</v>
      </c>
      <c r="H1561" t="s">
        <v>3248</v>
      </c>
      <c r="I1561" t="s">
        <v>3407</v>
      </c>
    </row>
    <row r="1562" spans="1:9" x14ac:dyDescent="0.25">
      <c r="A1562" t="s">
        <v>7427</v>
      </c>
      <c r="B1562" t="s">
        <v>7427</v>
      </c>
      <c r="C1562" t="s">
        <v>7428</v>
      </c>
      <c r="D1562" t="s">
        <v>3242</v>
      </c>
      <c r="E1562" t="s">
        <v>17256</v>
      </c>
      <c r="F1562" t="s">
        <v>3257</v>
      </c>
      <c r="G1562" t="s">
        <v>7429</v>
      </c>
      <c r="H1562" t="s">
        <v>4871</v>
      </c>
      <c r="I1562" t="s">
        <v>3324</v>
      </c>
    </row>
    <row r="1563" spans="1:9" x14ac:dyDescent="0.25">
      <c r="A1563" t="s">
        <v>7430</v>
      </c>
      <c r="B1563" t="s">
        <v>7430</v>
      </c>
      <c r="C1563" t="s">
        <v>7431</v>
      </c>
      <c r="D1563" t="s">
        <v>3242</v>
      </c>
      <c r="E1563" t="s">
        <v>15710</v>
      </c>
      <c r="F1563" t="s">
        <v>3345</v>
      </c>
      <c r="G1563" t="s">
        <v>7432</v>
      </c>
      <c r="H1563" t="s">
        <v>3285</v>
      </c>
    </row>
    <row r="1564" spans="1:9" x14ac:dyDescent="0.25">
      <c r="A1564" t="s">
        <v>7433</v>
      </c>
      <c r="B1564" t="s">
        <v>7433</v>
      </c>
      <c r="C1564" t="s">
        <v>7434</v>
      </c>
      <c r="D1564" t="s">
        <v>3242</v>
      </c>
      <c r="E1564" t="s">
        <v>17257</v>
      </c>
      <c r="F1564" t="s">
        <v>3257</v>
      </c>
      <c r="G1564" t="s">
        <v>7435</v>
      </c>
      <c r="H1564" t="s">
        <v>5013</v>
      </c>
      <c r="I1564" t="s">
        <v>3324</v>
      </c>
    </row>
    <row r="1565" spans="1:9" x14ac:dyDescent="0.25">
      <c r="A1565" t="s">
        <v>7436</v>
      </c>
      <c r="B1565" t="s">
        <v>7436</v>
      </c>
      <c r="C1565" t="s">
        <v>7437</v>
      </c>
      <c r="D1565" t="s">
        <v>3242</v>
      </c>
      <c r="E1565" t="s">
        <v>17258</v>
      </c>
      <c r="F1565" t="s">
        <v>3257</v>
      </c>
      <c r="G1565" t="s">
        <v>7438</v>
      </c>
      <c r="H1565" t="s">
        <v>3484</v>
      </c>
      <c r="I1565" t="s">
        <v>7439</v>
      </c>
    </row>
    <row r="1566" spans="1:9" x14ac:dyDescent="0.25">
      <c r="A1566" t="s">
        <v>7440</v>
      </c>
      <c r="B1566" t="s">
        <v>7440</v>
      </c>
      <c r="C1566" t="s">
        <v>7441</v>
      </c>
      <c r="D1566" t="s">
        <v>3242</v>
      </c>
      <c r="E1566" t="s">
        <v>15710</v>
      </c>
      <c r="F1566" t="s">
        <v>3306</v>
      </c>
      <c r="G1566" t="s">
        <v>7442</v>
      </c>
      <c r="H1566" t="s">
        <v>6286</v>
      </c>
    </row>
    <row r="1567" spans="1:9" x14ac:dyDescent="0.25">
      <c r="A1567" t="s">
        <v>7443</v>
      </c>
      <c r="B1567" t="s">
        <v>7443</v>
      </c>
      <c r="C1567" t="s">
        <v>7444</v>
      </c>
      <c r="D1567" t="s">
        <v>3242</v>
      </c>
      <c r="E1567" t="s">
        <v>15710</v>
      </c>
      <c r="F1567" t="s">
        <v>3243</v>
      </c>
      <c r="G1567" t="s">
        <v>7445</v>
      </c>
      <c r="H1567" t="s">
        <v>3285</v>
      </c>
    </row>
    <row r="1568" spans="1:9" x14ac:dyDescent="0.25">
      <c r="A1568" t="s">
        <v>16226</v>
      </c>
      <c r="B1568" t="s">
        <v>16226</v>
      </c>
      <c r="C1568" t="s">
        <v>16227</v>
      </c>
      <c r="D1568" t="s">
        <v>3242</v>
      </c>
      <c r="E1568" t="s">
        <v>15710</v>
      </c>
      <c r="F1568" t="s">
        <v>3243</v>
      </c>
      <c r="G1568" t="s">
        <v>16228</v>
      </c>
      <c r="H1568" t="s">
        <v>16020</v>
      </c>
    </row>
    <row r="1569" spans="1:9" x14ac:dyDescent="0.25">
      <c r="A1569" t="s">
        <v>7446</v>
      </c>
      <c r="B1569" t="s">
        <v>7446</v>
      </c>
      <c r="C1569" t="s">
        <v>7447</v>
      </c>
      <c r="D1569" t="s">
        <v>3242</v>
      </c>
      <c r="E1569" t="s">
        <v>15873</v>
      </c>
      <c r="F1569" t="s">
        <v>5497</v>
      </c>
      <c r="G1569" t="s">
        <v>7448</v>
      </c>
      <c r="H1569" t="s">
        <v>6524</v>
      </c>
      <c r="I1569" t="s">
        <v>3648</v>
      </c>
    </row>
    <row r="1570" spans="1:9" x14ac:dyDescent="0.25">
      <c r="A1570" t="s">
        <v>7449</v>
      </c>
      <c r="B1570" t="s">
        <v>7449</v>
      </c>
      <c r="C1570" t="s">
        <v>7450</v>
      </c>
      <c r="D1570" t="s">
        <v>3242</v>
      </c>
      <c r="E1570" t="s">
        <v>15710</v>
      </c>
      <c r="F1570" t="s">
        <v>3243</v>
      </c>
      <c r="G1570" t="s">
        <v>7451</v>
      </c>
      <c r="H1570" t="s">
        <v>3463</v>
      </c>
    </row>
    <row r="1571" spans="1:9" x14ac:dyDescent="0.25">
      <c r="A1571" t="s">
        <v>7452</v>
      </c>
      <c r="B1571" t="s">
        <v>7452</v>
      </c>
      <c r="C1571" t="s">
        <v>7453</v>
      </c>
      <c r="D1571" t="s">
        <v>3242</v>
      </c>
      <c r="E1571" t="s">
        <v>15710</v>
      </c>
      <c r="F1571" t="s">
        <v>3243</v>
      </c>
      <c r="G1571" t="s">
        <v>7454</v>
      </c>
      <c r="H1571" t="s">
        <v>3060</v>
      </c>
    </row>
    <row r="1572" spans="1:9" x14ac:dyDescent="0.25">
      <c r="A1572" t="s">
        <v>7455</v>
      </c>
      <c r="B1572" t="s">
        <v>7455</v>
      </c>
      <c r="C1572" t="s">
        <v>7456</v>
      </c>
      <c r="D1572" t="s">
        <v>3242</v>
      </c>
      <c r="E1572" t="s">
        <v>15710</v>
      </c>
      <c r="F1572" t="s">
        <v>3243</v>
      </c>
      <c r="G1572" t="s">
        <v>7457</v>
      </c>
      <c r="H1572" t="s">
        <v>3680</v>
      </c>
    </row>
    <row r="1573" spans="1:9" x14ac:dyDescent="0.25">
      <c r="A1573" t="s">
        <v>7458</v>
      </c>
      <c r="B1573" t="s">
        <v>7458</v>
      </c>
      <c r="C1573" t="s">
        <v>7459</v>
      </c>
      <c r="D1573" t="s">
        <v>3321</v>
      </c>
      <c r="E1573" t="s">
        <v>15710</v>
      </c>
      <c r="F1573" t="s">
        <v>3257</v>
      </c>
      <c r="G1573" t="s">
        <v>7460</v>
      </c>
      <c r="H1573" t="s">
        <v>5815</v>
      </c>
    </row>
    <row r="1574" spans="1:9" x14ac:dyDescent="0.25">
      <c r="A1574" t="s">
        <v>7461</v>
      </c>
      <c r="B1574" t="s">
        <v>7461</v>
      </c>
      <c r="C1574" t="s">
        <v>7462</v>
      </c>
      <c r="D1574" t="s">
        <v>3242</v>
      </c>
      <c r="E1574" t="s">
        <v>15710</v>
      </c>
      <c r="F1574" t="s">
        <v>3306</v>
      </c>
      <c r="G1574" t="s">
        <v>7463</v>
      </c>
      <c r="H1574" t="s">
        <v>3643</v>
      </c>
    </row>
    <row r="1575" spans="1:9" x14ac:dyDescent="0.25">
      <c r="A1575" t="s">
        <v>7464</v>
      </c>
      <c r="B1575" t="s">
        <v>7464</v>
      </c>
      <c r="C1575" t="s">
        <v>7465</v>
      </c>
      <c r="D1575" t="s">
        <v>3242</v>
      </c>
      <c r="E1575" t="s">
        <v>15710</v>
      </c>
      <c r="F1575" t="s">
        <v>3243</v>
      </c>
      <c r="G1575" t="s">
        <v>7466</v>
      </c>
      <c r="H1575" t="s">
        <v>3463</v>
      </c>
    </row>
    <row r="1576" spans="1:9" x14ac:dyDescent="0.25">
      <c r="A1576" t="s">
        <v>7467</v>
      </c>
      <c r="B1576" t="s">
        <v>7467</v>
      </c>
      <c r="C1576" t="s">
        <v>7468</v>
      </c>
      <c r="D1576" t="s">
        <v>3242</v>
      </c>
      <c r="E1576" t="s">
        <v>15874</v>
      </c>
      <c r="F1576" t="s">
        <v>3257</v>
      </c>
      <c r="G1576" t="s">
        <v>7469</v>
      </c>
      <c r="H1576" t="s">
        <v>3248</v>
      </c>
      <c r="I1576" t="s">
        <v>3263</v>
      </c>
    </row>
    <row r="1577" spans="1:9" x14ac:dyDescent="0.25">
      <c r="A1577" t="s">
        <v>7470</v>
      </c>
      <c r="B1577" t="s">
        <v>7470</v>
      </c>
      <c r="C1577" t="s">
        <v>15101</v>
      </c>
      <c r="D1577" t="s">
        <v>3242</v>
      </c>
      <c r="E1577" t="s">
        <v>15875</v>
      </c>
      <c r="F1577" t="s">
        <v>3257</v>
      </c>
      <c r="G1577" t="s">
        <v>15102</v>
      </c>
      <c r="H1577" t="s">
        <v>3496</v>
      </c>
      <c r="I1577" t="s">
        <v>3407</v>
      </c>
    </row>
    <row r="1578" spans="1:9" x14ac:dyDescent="0.25">
      <c r="A1578" t="s">
        <v>7473</v>
      </c>
      <c r="B1578" t="s">
        <v>7473</v>
      </c>
      <c r="C1578" t="s">
        <v>7474</v>
      </c>
      <c r="D1578" t="s">
        <v>3242</v>
      </c>
      <c r="E1578" t="s">
        <v>15852</v>
      </c>
      <c r="F1578" t="s">
        <v>3257</v>
      </c>
      <c r="G1578" t="s">
        <v>7475</v>
      </c>
      <c r="H1578" t="s">
        <v>4045</v>
      </c>
      <c r="I1578" t="s">
        <v>3694</v>
      </c>
    </row>
    <row r="1579" spans="1:9" x14ac:dyDescent="0.25">
      <c r="A1579" t="s">
        <v>7476</v>
      </c>
      <c r="B1579" t="s">
        <v>7476</v>
      </c>
      <c r="C1579" t="s">
        <v>7477</v>
      </c>
      <c r="D1579" t="s">
        <v>3321</v>
      </c>
      <c r="E1579" t="s">
        <v>15876</v>
      </c>
      <c r="F1579" t="s">
        <v>3306</v>
      </c>
      <c r="G1579" t="s">
        <v>7478</v>
      </c>
      <c r="H1579" t="s">
        <v>3267</v>
      </c>
      <c r="I1579" t="s">
        <v>3268</v>
      </c>
    </row>
    <row r="1580" spans="1:9" x14ac:dyDescent="0.25">
      <c r="A1580" t="s">
        <v>7479</v>
      </c>
      <c r="B1580" t="s">
        <v>7479</v>
      </c>
      <c r="C1580" t="s">
        <v>7480</v>
      </c>
      <c r="D1580" t="s">
        <v>3242</v>
      </c>
      <c r="E1580" t="s">
        <v>15877</v>
      </c>
      <c r="F1580" t="s">
        <v>3257</v>
      </c>
      <c r="G1580" t="s">
        <v>7481</v>
      </c>
      <c r="H1580" t="s">
        <v>3248</v>
      </c>
      <c r="I1580" t="s">
        <v>3263</v>
      </c>
    </row>
    <row r="1581" spans="1:9" x14ac:dyDescent="0.25">
      <c r="A1581" t="s">
        <v>7482</v>
      </c>
      <c r="B1581" t="s">
        <v>7482</v>
      </c>
      <c r="C1581" t="s">
        <v>7483</v>
      </c>
      <c r="D1581" t="s">
        <v>3242</v>
      </c>
      <c r="E1581" t="s">
        <v>15878</v>
      </c>
      <c r="F1581" t="s">
        <v>3243</v>
      </c>
      <c r="G1581" t="s">
        <v>3243</v>
      </c>
      <c r="H1581" t="s">
        <v>3290</v>
      </c>
    </row>
    <row r="1582" spans="1:9" x14ac:dyDescent="0.25">
      <c r="A1582" t="s">
        <v>7484</v>
      </c>
      <c r="B1582" t="s">
        <v>7484</v>
      </c>
      <c r="C1582" t="s">
        <v>7485</v>
      </c>
      <c r="D1582" t="s">
        <v>3242</v>
      </c>
      <c r="E1582" t="s">
        <v>15710</v>
      </c>
      <c r="F1582" t="s">
        <v>3257</v>
      </c>
      <c r="G1582" t="s">
        <v>5494</v>
      </c>
      <c r="H1582" t="s">
        <v>3060</v>
      </c>
    </row>
    <row r="1583" spans="1:9" x14ac:dyDescent="0.25">
      <c r="A1583" t="s">
        <v>7486</v>
      </c>
      <c r="B1583" t="s">
        <v>7486</v>
      </c>
      <c r="C1583" t="s">
        <v>7487</v>
      </c>
      <c r="D1583" t="s">
        <v>3242</v>
      </c>
      <c r="E1583" t="s">
        <v>15710</v>
      </c>
      <c r="F1583" t="s">
        <v>3243</v>
      </c>
      <c r="G1583" t="s">
        <v>7488</v>
      </c>
      <c r="H1583" t="s">
        <v>3285</v>
      </c>
    </row>
    <row r="1584" spans="1:9" x14ac:dyDescent="0.25">
      <c r="A1584" t="s">
        <v>7489</v>
      </c>
      <c r="B1584" t="s">
        <v>7489</v>
      </c>
      <c r="C1584" t="s">
        <v>7490</v>
      </c>
      <c r="D1584" t="s">
        <v>3242</v>
      </c>
      <c r="E1584" t="s">
        <v>15710</v>
      </c>
      <c r="F1584" t="s">
        <v>3243</v>
      </c>
      <c r="G1584" t="s">
        <v>7491</v>
      </c>
      <c r="H1584" t="s">
        <v>3285</v>
      </c>
    </row>
    <row r="1585" spans="1:9" x14ac:dyDescent="0.25">
      <c r="A1585" t="s">
        <v>7492</v>
      </c>
      <c r="B1585" t="s">
        <v>7492</v>
      </c>
      <c r="C1585" t="s">
        <v>7493</v>
      </c>
      <c r="D1585" t="s">
        <v>3242</v>
      </c>
      <c r="E1585" t="s">
        <v>15710</v>
      </c>
      <c r="F1585" t="s">
        <v>3257</v>
      </c>
      <c r="G1585" t="s">
        <v>7494</v>
      </c>
      <c r="H1585" t="s">
        <v>5829</v>
      </c>
      <c r="I1585" t="s">
        <v>3268</v>
      </c>
    </row>
    <row r="1586" spans="1:9" x14ac:dyDescent="0.25">
      <c r="A1586" t="s">
        <v>7495</v>
      </c>
      <c r="B1586" t="s">
        <v>7495</v>
      </c>
      <c r="C1586" t="s">
        <v>7496</v>
      </c>
      <c r="D1586" t="s">
        <v>3321</v>
      </c>
      <c r="E1586" t="s">
        <v>15710</v>
      </c>
      <c r="F1586" t="s">
        <v>3257</v>
      </c>
      <c r="G1586" t="s">
        <v>7497</v>
      </c>
      <c r="H1586" t="s">
        <v>3267</v>
      </c>
      <c r="I1586" t="s">
        <v>3268</v>
      </c>
    </row>
    <row r="1587" spans="1:9" x14ac:dyDescent="0.25">
      <c r="A1587" t="s">
        <v>7498</v>
      </c>
      <c r="B1587" t="s">
        <v>7498</v>
      </c>
      <c r="C1587" t="s">
        <v>7499</v>
      </c>
      <c r="D1587" t="s">
        <v>3242</v>
      </c>
      <c r="E1587" t="s">
        <v>15710</v>
      </c>
      <c r="F1587" t="s">
        <v>3306</v>
      </c>
      <c r="G1587" t="s">
        <v>7500</v>
      </c>
      <c r="H1587" t="s">
        <v>6286</v>
      </c>
    </row>
    <row r="1588" spans="1:9" x14ac:dyDescent="0.25">
      <c r="A1588" t="s">
        <v>7501</v>
      </c>
      <c r="B1588" t="s">
        <v>7501</v>
      </c>
      <c r="C1588" t="s">
        <v>7502</v>
      </c>
      <c r="D1588" t="s">
        <v>3242</v>
      </c>
      <c r="E1588" t="s">
        <v>15710</v>
      </c>
      <c r="F1588" t="s">
        <v>3288</v>
      </c>
      <c r="G1588" t="s">
        <v>7503</v>
      </c>
      <c r="H1588" t="s">
        <v>3488</v>
      </c>
    </row>
    <row r="1589" spans="1:9" x14ac:dyDescent="0.25">
      <c r="A1589" t="s">
        <v>7504</v>
      </c>
      <c r="B1589" t="s">
        <v>7504</v>
      </c>
      <c r="C1589" t="s">
        <v>7505</v>
      </c>
      <c r="D1589" t="s">
        <v>3321</v>
      </c>
      <c r="E1589" t="s">
        <v>15710</v>
      </c>
      <c r="F1589" t="s">
        <v>3257</v>
      </c>
      <c r="G1589" t="s">
        <v>6468</v>
      </c>
      <c r="H1589" t="s">
        <v>3353</v>
      </c>
      <c r="I1589" t="s">
        <v>3324</v>
      </c>
    </row>
    <row r="1590" spans="1:9" x14ac:dyDescent="0.25">
      <c r="A1590" t="s">
        <v>7506</v>
      </c>
      <c r="B1590" t="s">
        <v>7506</v>
      </c>
      <c r="C1590" t="s">
        <v>7507</v>
      </c>
      <c r="D1590" t="s">
        <v>3242</v>
      </c>
      <c r="E1590" t="s">
        <v>17259</v>
      </c>
      <c r="F1590" t="s">
        <v>3257</v>
      </c>
      <c r="G1590" t="s">
        <v>7508</v>
      </c>
      <c r="H1590" t="s">
        <v>7509</v>
      </c>
      <c r="I1590" t="s">
        <v>3366</v>
      </c>
    </row>
    <row r="1591" spans="1:9" x14ac:dyDescent="0.25">
      <c r="A1591" t="s">
        <v>7510</v>
      </c>
      <c r="B1591" t="s">
        <v>7510</v>
      </c>
      <c r="C1591" t="s">
        <v>7511</v>
      </c>
      <c r="D1591" t="s">
        <v>3242</v>
      </c>
      <c r="E1591" t="s">
        <v>15879</v>
      </c>
      <c r="F1591" t="s">
        <v>3257</v>
      </c>
      <c r="G1591" t="s">
        <v>7512</v>
      </c>
      <c r="H1591" t="s">
        <v>3248</v>
      </c>
      <c r="I1591" t="s">
        <v>3407</v>
      </c>
    </row>
    <row r="1592" spans="1:9" x14ac:dyDescent="0.25">
      <c r="A1592" t="s">
        <v>7513</v>
      </c>
      <c r="B1592" t="s">
        <v>7513</v>
      </c>
      <c r="C1592" t="s">
        <v>7514</v>
      </c>
      <c r="D1592" t="s">
        <v>3242</v>
      </c>
      <c r="E1592" t="s">
        <v>15710</v>
      </c>
      <c r="F1592" t="s">
        <v>3257</v>
      </c>
      <c r="G1592" t="s">
        <v>7515</v>
      </c>
      <c r="H1592" t="s">
        <v>3594</v>
      </c>
    </row>
    <row r="1593" spans="1:9" x14ac:dyDescent="0.25">
      <c r="A1593" t="s">
        <v>7516</v>
      </c>
      <c r="B1593" t="s">
        <v>7516</v>
      </c>
      <c r="C1593" t="s">
        <v>7517</v>
      </c>
      <c r="D1593" t="s">
        <v>3242</v>
      </c>
      <c r="E1593" t="s">
        <v>15809</v>
      </c>
      <c r="F1593" t="s">
        <v>3257</v>
      </c>
      <c r="G1593" t="s">
        <v>7518</v>
      </c>
      <c r="H1593" t="s">
        <v>4919</v>
      </c>
      <c r="I1593" t="s">
        <v>3324</v>
      </c>
    </row>
    <row r="1594" spans="1:9" x14ac:dyDescent="0.25">
      <c r="A1594" t="s">
        <v>7519</v>
      </c>
      <c r="B1594" t="s">
        <v>7519</v>
      </c>
      <c r="C1594" t="s">
        <v>7520</v>
      </c>
      <c r="D1594" t="s">
        <v>3242</v>
      </c>
      <c r="E1594" t="s">
        <v>15710</v>
      </c>
      <c r="F1594" t="s">
        <v>3257</v>
      </c>
      <c r="G1594" t="s">
        <v>7521</v>
      </c>
      <c r="H1594" t="s">
        <v>6524</v>
      </c>
    </row>
    <row r="1595" spans="1:9" x14ac:dyDescent="0.25">
      <c r="A1595" t="s">
        <v>7522</v>
      </c>
      <c r="B1595" t="s">
        <v>7522</v>
      </c>
      <c r="C1595" t="s">
        <v>7523</v>
      </c>
      <c r="D1595" t="s">
        <v>3242</v>
      </c>
      <c r="E1595" t="s">
        <v>15710</v>
      </c>
      <c r="F1595" t="s">
        <v>3306</v>
      </c>
      <c r="G1595" t="s">
        <v>7524</v>
      </c>
      <c r="H1595" t="s">
        <v>3290</v>
      </c>
    </row>
    <row r="1596" spans="1:9" x14ac:dyDescent="0.25">
      <c r="A1596" t="s">
        <v>7525</v>
      </c>
      <c r="B1596" t="s">
        <v>7525</v>
      </c>
      <c r="C1596" t="s">
        <v>7526</v>
      </c>
      <c r="D1596" t="s">
        <v>3242</v>
      </c>
      <c r="E1596" t="s">
        <v>15710</v>
      </c>
      <c r="F1596" t="s">
        <v>3588</v>
      </c>
      <c r="G1596" t="s">
        <v>7527</v>
      </c>
      <c r="H1596" t="s">
        <v>3248</v>
      </c>
      <c r="I1596" t="s">
        <v>3263</v>
      </c>
    </row>
    <row r="1597" spans="1:9" x14ac:dyDescent="0.25">
      <c r="A1597" t="s">
        <v>7528</v>
      </c>
      <c r="B1597" t="s">
        <v>7528</v>
      </c>
      <c r="C1597" t="s">
        <v>7529</v>
      </c>
      <c r="D1597" t="s">
        <v>3242</v>
      </c>
      <c r="E1597" t="s">
        <v>15710</v>
      </c>
      <c r="F1597" t="s">
        <v>3306</v>
      </c>
      <c r="G1597" t="s">
        <v>7530</v>
      </c>
      <c r="H1597" t="s">
        <v>3267</v>
      </c>
      <c r="I1597" t="s">
        <v>3358</v>
      </c>
    </row>
    <row r="1598" spans="1:9" x14ac:dyDescent="0.25">
      <c r="A1598" t="s">
        <v>7531</v>
      </c>
      <c r="B1598" t="s">
        <v>7531</v>
      </c>
      <c r="C1598" t="s">
        <v>7532</v>
      </c>
      <c r="D1598" t="s">
        <v>3242</v>
      </c>
      <c r="E1598" t="s">
        <v>17260</v>
      </c>
      <c r="F1598" t="s">
        <v>3257</v>
      </c>
      <c r="G1598" t="s">
        <v>7533</v>
      </c>
      <c r="H1598" t="s">
        <v>4919</v>
      </c>
      <c r="I1598" t="s">
        <v>3324</v>
      </c>
    </row>
    <row r="1599" spans="1:9" x14ac:dyDescent="0.25">
      <c r="A1599" t="s">
        <v>7534</v>
      </c>
      <c r="B1599" t="s">
        <v>7534</v>
      </c>
      <c r="C1599" t="s">
        <v>7535</v>
      </c>
      <c r="D1599" t="s">
        <v>3242</v>
      </c>
      <c r="E1599" t="s">
        <v>15710</v>
      </c>
      <c r="F1599" t="s">
        <v>3345</v>
      </c>
      <c r="G1599" t="s">
        <v>7536</v>
      </c>
      <c r="H1599" t="s">
        <v>3285</v>
      </c>
    </row>
    <row r="1600" spans="1:9" x14ac:dyDescent="0.25">
      <c r="A1600" t="s">
        <v>7537</v>
      </c>
      <c r="B1600" t="s">
        <v>7537</v>
      </c>
      <c r="C1600" t="s">
        <v>7538</v>
      </c>
      <c r="D1600" t="s">
        <v>3242</v>
      </c>
      <c r="E1600" t="s">
        <v>17574</v>
      </c>
      <c r="F1600" t="s">
        <v>3257</v>
      </c>
      <c r="G1600" t="s">
        <v>7539</v>
      </c>
      <c r="H1600" t="s">
        <v>4711</v>
      </c>
      <c r="I1600" t="s">
        <v>3254</v>
      </c>
    </row>
    <row r="1601" spans="1:9" x14ac:dyDescent="0.25">
      <c r="A1601" t="s">
        <v>7540</v>
      </c>
      <c r="B1601" t="s">
        <v>7540</v>
      </c>
      <c r="C1601" t="s">
        <v>7541</v>
      </c>
      <c r="D1601" t="s">
        <v>3242</v>
      </c>
      <c r="E1601" t="s">
        <v>15710</v>
      </c>
      <c r="F1601" t="s">
        <v>3747</v>
      </c>
      <c r="G1601" t="s">
        <v>7542</v>
      </c>
      <c r="H1601" t="s">
        <v>3519</v>
      </c>
    </row>
    <row r="1602" spans="1:9" x14ac:dyDescent="0.25">
      <c r="A1602" t="s">
        <v>7543</v>
      </c>
      <c r="B1602" t="s">
        <v>7543</v>
      </c>
      <c r="C1602" t="s">
        <v>7544</v>
      </c>
      <c r="D1602" t="s">
        <v>3321</v>
      </c>
      <c r="E1602" t="s">
        <v>15710</v>
      </c>
      <c r="F1602" t="s">
        <v>3257</v>
      </c>
      <c r="G1602" t="s">
        <v>7545</v>
      </c>
      <c r="H1602" t="s">
        <v>3357</v>
      </c>
    </row>
    <row r="1603" spans="1:9" x14ac:dyDescent="0.25">
      <c r="A1603" t="s">
        <v>7546</v>
      </c>
      <c r="B1603" t="s">
        <v>7546</v>
      </c>
      <c r="C1603" t="s">
        <v>7547</v>
      </c>
      <c r="D1603" t="s">
        <v>3242</v>
      </c>
      <c r="E1603" t="s">
        <v>17261</v>
      </c>
      <c r="F1603" t="s">
        <v>3257</v>
      </c>
      <c r="G1603" t="s">
        <v>7548</v>
      </c>
      <c r="H1603" t="s">
        <v>3267</v>
      </c>
      <c r="I1603" t="s">
        <v>3268</v>
      </c>
    </row>
    <row r="1604" spans="1:9" x14ac:dyDescent="0.25">
      <c r="A1604" t="s">
        <v>7549</v>
      </c>
      <c r="B1604" t="s">
        <v>7549</v>
      </c>
      <c r="C1604" t="s">
        <v>7550</v>
      </c>
      <c r="D1604" t="s">
        <v>3242</v>
      </c>
      <c r="E1604" t="s">
        <v>15710</v>
      </c>
      <c r="F1604" t="s">
        <v>3275</v>
      </c>
      <c r="G1604" t="s">
        <v>7551</v>
      </c>
      <c r="H1604" t="s">
        <v>3267</v>
      </c>
    </row>
    <row r="1605" spans="1:9" x14ac:dyDescent="0.25">
      <c r="A1605" t="s">
        <v>7552</v>
      </c>
      <c r="B1605" t="s">
        <v>7552</v>
      </c>
      <c r="C1605" t="s">
        <v>7553</v>
      </c>
      <c r="D1605" t="s">
        <v>3242</v>
      </c>
      <c r="E1605" t="s">
        <v>15710</v>
      </c>
      <c r="F1605" t="s">
        <v>3257</v>
      </c>
      <c r="G1605" t="s">
        <v>7554</v>
      </c>
      <c r="H1605" t="s">
        <v>5944</v>
      </c>
      <c r="I1605" t="s">
        <v>3268</v>
      </c>
    </row>
    <row r="1606" spans="1:9" x14ac:dyDescent="0.25">
      <c r="A1606" t="s">
        <v>7555</v>
      </c>
      <c r="B1606" t="s">
        <v>7555</v>
      </c>
      <c r="C1606" t="s">
        <v>7556</v>
      </c>
      <c r="D1606" t="s">
        <v>3242</v>
      </c>
      <c r="E1606" t="s">
        <v>15710</v>
      </c>
      <c r="F1606" t="s">
        <v>3257</v>
      </c>
      <c r="G1606" t="s">
        <v>7557</v>
      </c>
      <c r="H1606" t="s">
        <v>3323</v>
      </c>
      <c r="I1606" t="s">
        <v>3324</v>
      </c>
    </row>
    <row r="1607" spans="1:9" x14ac:dyDescent="0.25">
      <c r="A1607" t="s">
        <v>14104</v>
      </c>
      <c r="B1607" t="s">
        <v>14104</v>
      </c>
      <c r="C1607" t="s">
        <v>14105</v>
      </c>
      <c r="D1607" t="s">
        <v>3242</v>
      </c>
      <c r="E1607" t="s">
        <v>15710</v>
      </c>
      <c r="F1607" t="s">
        <v>3257</v>
      </c>
      <c r="G1607" t="s">
        <v>15103</v>
      </c>
      <c r="H1607" t="s">
        <v>6524</v>
      </c>
      <c r="I1607" t="s">
        <v>3407</v>
      </c>
    </row>
    <row r="1608" spans="1:9" x14ac:dyDescent="0.25">
      <c r="A1608" t="s">
        <v>7558</v>
      </c>
      <c r="B1608" t="s">
        <v>7558</v>
      </c>
      <c r="C1608" t="s">
        <v>7559</v>
      </c>
      <c r="D1608" t="s">
        <v>3242</v>
      </c>
      <c r="E1608" t="s">
        <v>15880</v>
      </c>
      <c r="F1608" t="s">
        <v>3372</v>
      </c>
      <c r="G1608" t="s">
        <v>7560</v>
      </c>
      <c r="H1608" t="s">
        <v>6524</v>
      </c>
    </row>
    <row r="1609" spans="1:9" x14ac:dyDescent="0.25">
      <c r="A1609" t="s">
        <v>7561</v>
      </c>
      <c r="B1609" t="s">
        <v>7561</v>
      </c>
      <c r="C1609" t="s">
        <v>7562</v>
      </c>
      <c r="D1609" t="s">
        <v>3242</v>
      </c>
      <c r="E1609" t="s">
        <v>15710</v>
      </c>
      <c r="F1609" t="s">
        <v>3243</v>
      </c>
      <c r="G1609" t="s">
        <v>7563</v>
      </c>
      <c r="H1609" t="s">
        <v>3402</v>
      </c>
    </row>
    <row r="1610" spans="1:9" x14ac:dyDescent="0.25">
      <c r="A1610" t="s">
        <v>16676</v>
      </c>
      <c r="B1610" t="s">
        <v>16676</v>
      </c>
      <c r="C1610" t="s">
        <v>16677</v>
      </c>
      <c r="D1610" t="s">
        <v>3242</v>
      </c>
      <c r="E1610" t="s">
        <v>16763</v>
      </c>
      <c r="F1610" t="s">
        <v>15018</v>
      </c>
      <c r="G1610" t="s">
        <v>16678</v>
      </c>
      <c r="H1610" t="s">
        <v>9183</v>
      </c>
      <c r="I1610" t="s">
        <v>15020</v>
      </c>
    </row>
    <row r="1611" spans="1:9" x14ac:dyDescent="0.25">
      <c r="A1611" t="s">
        <v>7564</v>
      </c>
      <c r="B1611" t="s">
        <v>7564</v>
      </c>
      <c r="C1611" t="s">
        <v>7565</v>
      </c>
      <c r="D1611" t="s">
        <v>3242</v>
      </c>
      <c r="E1611" t="s">
        <v>15710</v>
      </c>
      <c r="F1611" t="s">
        <v>3243</v>
      </c>
      <c r="G1611" t="s">
        <v>3243</v>
      </c>
      <c r="H1611" t="s">
        <v>3060</v>
      </c>
    </row>
    <row r="1612" spans="1:9" x14ac:dyDescent="0.25">
      <c r="A1612" t="s">
        <v>7566</v>
      </c>
      <c r="B1612" t="s">
        <v>7566</v>
      </c>
      <c r="C1612" t="s">
        <v>7565</v>
      </c>
      <c r="D1612" t="s">
        <v>3242</v>
      </c>
      <c r="E1612" t="s">
        <v>15710</v>
      </c>
      <c r="F1612" t="s">
        <v>5292</v>
      </c>
      <c r="G1612" t="s">
        <v>7567</v>
      </c>
      <c r="H1612" t="s">
        <v>3060</v>
      </c>
    </row>
    <row r="1613" spans="1:9" x14ac:dyDescent="0.25">
      <c r="A1613" t="s">
        <v>7568</v>
      </c>
      <c r="B1613" t="s">
        <v>7568</v>
      </c>
      <c r="C1613" t="s">
        <v>7569</v>
      </c>
      <c r="D1613" t="s">
        <v>3242</v>
      </c>
      <c r="E1613" t="s">
        <v>15710</v>
      </c>
      <c r="F1613" t="s">
        <v>3257</v>
      </c>
      <c r="G1613" t="s">
        <v>7570</v>
      </c>
      <c r="H1613" t="s">
        <v>3417</v>
      </c>
      <c r="I1613" t="s">
        <v>3648</v>
      </c>
    </row>
    <row r="1614" spans="1:9" x14ac:dyDescent="0.25">
      <c r="A1614" t="s">
        <v>7571</v>
      </c>
      <c r="B1614" t="s">
        <v>7571</v>
      </c>
      <c r="C1614" t="s">
        <v>7572</v>
      </c>
      <c r="D1614" t="s">
        <v>3242</v>
      </c>
      <c r="E1614" t="s">
        <v>15881</v>
      </c>
      <c r="F1614" t="s">
        <v>3243</v>
      </c>
      <c r="G1614" t="s">
        <v>7573</v>
      </c>
      <c r="H1614" t="s">
        <v>3402</v>
      </c>
    </row>
    <row r="1615" spans="1:9" x14ac:dyDescent="0.25">
      <c r="A1615" t="s">
        <v>7574</v>
      </c>
      <c r="B1615" t="s">
        <v>7574</v>
      </c>
      <c r="C1615" t="s">
        <v>7575</v>
      </c>
      <c r="D1615" t="s">
        <v>3242</v>
      </c>
      <c r="E1615" t="s">
        <v>15710</v>
      </c>
      <c r="F1615" t="s">
        <v>5955</v>
      </c>
      <c r="G1615" t="s">
        <v>7576</v>
      </c>
      <c r="H1615" t="s">
        <v>5722</v>
      </c>
      <c r="I1615" t="s">
        <v>3366</v>
      </c>
    </row>
    <row r="1616" spans="1:9" x14ac:dyDescent="0.25">
      <c r="A1616" t="s">
        <v>7577</v>
      </c>
      <c r="B1616" t="s">
        <v>7577</v>
      </c>
      <c r="C1616" t="s">
        <v>7578</v>
      </c>
      <c r="D1616" t="s">
        <v>3242</v>
      </c>
      <c r="E1616" t="s">
        <v>15710</v>
      </c>
      <c r="F1616" t="s">
        <v>3372</v>
      </c>
      <c r="G1616" t="s">
        <v>7579</v>
      </c>
      <c r="H1616" t="s">
        <v>3484</v>
      </c>
      <c r="I1616" t="s">
        <v>3375</v>
      </c>
    </row>
    <row r="1617" spans="1:9" x14ac:dyDescent="0.25">
      <c r="A1617" t="s">
        <v>7580</v>
      </c>
      <c r="B1617" t="s">
        <v>7580</v>
      </c>
      <c r="C1617" t="s">
        <v>7581</v>
      </c>
      <c r="D1617" t="s">
        <v>3242</v>
      </c>
      <c r="E1617" t="s">
        <v>15710</v>
      </c>
      <c r="F1617" t="s">
        <v>3243</v>
      </c>
      <c r="G1617" t="s">
        <v>3243</v>
      </c>
      <c r="H1617" t="s">
        <v>3290</v>
      </c>
    </row>
    <row r="1618" spans="1:9" x14ac:dyDescent="0.25">
      <c r="A1618" t="s">
        <v>7582</v>
      </c>
      <c r="B1618" t="s">
        <v>7582</v>
      </c>
      <c r="C1618" t="s">
        <v>7583</v>
      </c>
      <c r="D1618" t="s">
        <v>3242</v>
      </c>
      <c r="E1618" t="s">
        <v>16985</v>
      </c>
      <c r="F1618" t="s">
        <v>3257</v>
      </c>
      <c r="G1618" t="s">
        <v>7584</v>
      </c>
      <c r="H1618" t="s">
        <v>3060</v>
      </c>
      <c r="I1618" t="s">
        <v>5390</v>
      </c>
    </row>
    <row r="1619" spans="1:9" x14ac:dyDescent="0.25">
      <c r="A1619" t="s">
        <v>16832</v>
      </c>
      <c r="B1619" t="s">
        <v>16832</v>
      </c>
      <c r="C1619" t="s">
        <v>16833</v>
      </c>
      <c r="D1619" t="s">
        <v>3242</v>
      </c>
      <c r="E1619" t="s">
        <v>16834</v>
      </c>
      <c r="F1619" t="s">
        <v>3257</v>
      </c>
      <c r="G1619" t="s">
        <v>16835</v>
      </c>
      <c r="H1619" t="s">
        <v>3357</v>
      </c>
      <c r="I1619" t="s">
        <v>16824</v>
      </c>
    </row>
    <row r="1620" spans="1:9" x14ac:dyDescent="0.25">
      <c r="A1620" t="s">
        <v>7585</v>
      </c>
      <c r="B1620" t="s">
        <v>7585</v>
      </c>
      <c r="C1620" t="s">
        <v>7586</v>
      </c>
      <c r="D1620" t="s">
        <v>3242</v>
      </c>
      <c r="E1620" t="s">
        <v>15710</v>
      </c>
      <c r="F1620" t="s">
        <v>3257</v>
      </c>
      <c r="G1620" t="s">
        <v>7587</v>
      </c>
      <c r="H1620" t="s">
        <v>5062</v>
      </c>
      <c r="I1620" t="s">
        <v>3263</v>
      </c>
    </row>
    <row r="1621" spans="1:9" x14ac:dyDescent="0.25">
      <c r="A1621" t="s">
        <v>7588</v>
      </c>
      <c r="B1621" t="s">
        <v>7588</v>
      </c>
      <c r="C1621" t="s">
        <v>7589</v>
      </c>
      <c r="D1621" t="s">
        <v>3242</v>
      </c>
      <c r="E1621" t="s">
        <v>15775</v>
      </c>
      <c r="F1621" t="s">
        <v>3257</v>
      </c>
      <c r="G1621" t="s">
        <v>7590</v>
      </c>
      <c r="H1621" t="s">
        <v>4926</v>
      </c>
      <c r="I1621" t="s">
        <v>3648</v>
      </c>
    </row>
    <row r="1622" spans="1:9" x14ac:dyDescent="0.25">
      <c r="A1622" t="s">
        <v>7591</v>
      </c>
      <c r="B1622" t="s">
        <v>7591</v>
      </c>
      <c r="C1622" t="s">
        <v>7592</v>
      </c>
      <c r="D1622" t="s">
        <v>3242</v>
      </c>
      <c r="E1622" t="s">
        <v>15710</v>
      </c>
      <c r="F1622" t="s">
        <v>3257</v>
      </c>
      <c r="G1622" t="s">
        <v>7593</v>
      </c>
      <c r="H1622" t="s">
        <v>5344</v>
      </c>
    </row>
    <row r="1623" spans="1:9" x14ac:dyDescent="0.25">
      <c r="A1623" t="s">
        <v>7594</v>
      </c>
      <c r="B1623" t="s">
        <v>7594</v>
      </c>
      <c r="C1623" t="s">
        <v>7595</v>
      </c>
      <c r="D1623" t="s">
        <v>3242</v>
      </c>
      <c r="E1623" t="s">
        <v>15882</v>
      </c>
      <c r="F1623" t="s">
        <v>7596</v>
      </c>
      <c r="G1623" t="s">
        <v>7597</v>
      </c>
      <c r="H1623" t="s">
        <v>3496</v>
      </c>
      <c r="I1623" t="s">
        <v>3407</v>
      </c>
    </row>
    <row r="1624" spans="1:9" x14ac:dyDescent="0.25">
      <c r="A1624" t="s">
        <v>7598</v>
      </c>
      <c r="B1624" t="s">
        <v>7598</v>
      </c>
      <c r="C1624" t="s">
        <v>7599</v>
      </c>
      <c r="D1624" t="s">
        <v>3321</v>
      </c>
      <c r="E1624" t="s">
        <v>15710</v>
      </c>
      <c r="F1624" t="s">
        <v>3306</v>
      </c>
      <c r="G1624" t="s">
        <v>7600</v>
      </c>
      <c r="H1624" t="s">
        <v>3267</v>
      </c>
    </row>
    <row r="1625" spans="1:9" x14ac:dyDescent="0.25">
      <c r="A1625" t="s">
        <v>16048</v>
      </c>
      <c r="B1625" t="s">
        <v>16048</v>
      </c>
      <c r="C1625" t="s">
        <v>16049</v>
      </c>
      <c r="D1625" t="s">
        <v>3242</v>
      </c>
      <c r="E1625" t="s">
        <v>15762</v>
      </c>
      <c r="F1625" t="s">
        <v>3243</v>
      </c>
      <c r="G1625" t="s">
        <v>16050</v>
      </c>
      <c r="H1625" t="s">
        <v>5151</v>
      </c>
      <c r="I1625" t="s">
        <v>3432</v>
      </c>
    </row>
    <row r="1626" spans="1:9" x14ac:dyDescent="0.25">
      <c r="A1626" t="s">
        <v>7601</v>
      </c>
      <c r="B1626" t="s">
        <v>7601</v>
      </c>
      <c r="C1626" t="s">
        <v>7602</v>
      </c>
      <c r="D1626" t="s">
        <v>3242</v>
      </c>
      <c r="E1626" t="s">
        <v>15710</v>
      </c>
      <c r="F1626" t="s">
        <v>3257</v>
      </c>
      <c r="G1626" t="s">
        <v>7603</v>
      </c>
      <c r="H1626" t="s">
        <v>3623</v>
      </c>
    </row>
    <row r="1627" spans="1:9" x14ac:dyDescent="0.25">
      <c r="A1627" t="s">
        <v>7604</v>
      </c>
      <c r="B1627" t="s">
        <v>7604</v>
      </c>
      <c r="C1627" t="s">
        <v>7605</v>
      </c>
      <c r="D1627" t="s">
        <v>3242</v>
      </c>
      <c r="E1627" t="s">
        <v>15710</v>
      </c>
      <c r="F1627" t="s">
        <v>3257</v>
      </c>
      <c r="G1627" t="s">
        <v>7606</v>
      </c>
      <c r="H1627" t="s">
        <v>3267</v>
      </c>
    </row>
    <row r="1628" spans="1:9" x14ac:dyDescent="0.25">
      <c r="A1628" t="s">
        <v>15104</v>
      </c>
      <c r="B1628" t="s">
        <v>15104</v>
      </c>
      <c r="C1628" t="s">
        <v>15105</v>
      </c>
      <c r="D1628" t="s">
        <v>3242</v>
      </c>
      <c r="E1628" t="s">
        <v>15880</v>
      </c>
      <c r="F1628" t="s">
        <v>3257</v>
      </c>
      <c r="G1628" t="s">
        <v>15106</v>
      </c>
      <c r="H1628" t="s">
        <v>3353</v>
      </c>
      <c r="I1628" t="s">
        <v>3324</v>
      </c>
    </row>
    <row r="1629" spans="1:9" x14ac:dyDescent="0.25">
      <c r="A1629" t="s">
        <v>7607</v>
      </c>
      <c r="B1629" t="s">
        <v>7607</v>
      </c>
      <c r="C1629" t="s">
        <v>7608</v>
      </c>
      <c r="D1629" t="s">
        <v>3242</v>
      </c>
      <c r="E1629" t="s">
        <v>17262</v>
      </c>
      <c r="F1629" t="s">
        <v>3306</v>
      </c>
      <c r="G1629" t="s">
        <v>7609</v>
      </c>
      <c r="H1629" t="s">
        <v>5239</v>
      </c>
      <c r="I1629" t="s">
        <v>3324</v>
      </c>
    </row>
    <row r="1630" spans="1:9" x14ac:dyDescent="0.25">
      <c r="A1630" t="s">
        <v>7610</v>
      </c>
      <c r="B1630" t="s">
        <v>7610</v>
      </c>
      <c r="C1630" t="s">
        <v>7611</v>
      </c>
      <c r="D1630" t="s">
        <v>3242</v>
      </c>
      <c r="E1630" t="s">
        <v>17263</v>
      </c>
      <c r="F1630" t="s">
        <v>7612</v>
      </c>
      <c r="G1630" t="s">
        <v>7613</v>
      </c>
      <c r="H1630" t="s">
        <v>3440</v>
      </c>
      <c r="I1630" t="s">
        <v>3407</v>
      </c>
    </row>
    <row r="1631" spans="1:9" x14ac:dyDescent="0.25">
      <c r="A1631" t="s">
        <v>7614</v>
      </c>
      <c r="B1631" t="s">
        <v>7614</v>
      </c>
      <c r="C1631" t="s">
        <v>7615</v>
      </c>
      <c r="D1631" t="s">
        <v>3242</v>
      </c>
      <c r="E1631" t="s">
        <v>15710</v>
      </c>
      <c r="F1631" t="s">
        <v>3257</v>
      </c>
      <c r="G1631" t="s">
        <v>7616</v>
      </c>
      <c r="H1631" t="s">
        <v>5046</v>
      </c>
      <c r="I1631" t="s">
        <v>3324</v>
      </c>
    </row>
    <row r="1632" spans="1:9" x14ac:dyDescent="0.25">
      <c r="A1632" t="s">
        <v>7617</v>
      </c>
      <c r="B1632" t="s">
        <v>7617</v>
      </c>
      <c r="C1632" t="s">
        <v>7618</v>
      </c>
      <c r="D1632" t="s">
        <v>3242</v>
      </c>
      <c r="E1632" t="s">
        <v>16462</v>
      </c>
      <c r="F1632" t="s">
        <v>3257</v>
      </c>
      <c r="G1632" t="s">
        <v>7619</v>
      </c>
      <c r="H1632" t="s">
        <v>3647</v>
      </c>
      <c r="I1632" t="s">
        <v>7620</v>
      </c>
    </row>
    <row r="1633" spans="1:9" x14ac:dyDescent="0.25">
      <c r="A1633" t="s">
        <v>7621</v>
      </c>
      <c r="B1633" t="s">
        <v>7621</v>
      </c>
      <c r="C1633" t="s">
        <v>7622</v>
      </c>
      <c r="D1633" t="s">
        <v>3242</v>
      </c>
      <c r="E1633" t="s">
        <v>15710</v>
      </c>
      <c r="F1633" t="s">
        <v>3372</v>
      </c>
      <c r="G1633" t="s">
        <v>7623</v>
      </c>
      <c r="H1633" t="s">
        <v>3484</v>
      </c>
    </row>
    <row r="1634" spans="1:9" x14ac:dyDescent="0.25">
      <c r="A1634" t="s">
        <v>7624</v>
      </c>
      <c r="B1634" t="s">
        <v>7624</v>
      </c>
      <c r="C1634" t="s">
        <v>7625</v>
      </c>
      <c r="D1634" t="s">
        <v>3242</v>
      </c>
      <c r="E1634" t="s">
        <v>15710</v>
      </c>
      <c r="F1634" t="s">
        <v>3306</v>
      </c>
      <c r="G1634" t="s">
        <v>7626</v>
      </c>
      <c r="H1634" t="s">
        <v>5769</v>
      </c>
    </row>
    <row r="1635" spans="1:9" x14ac:dyDescent="0.25">
      <c r="A1635" t="s">
        <v>7627</v>
      </c>
      <c r="B1635" t="s">
        <v>7627</v>
      </c>
      <c r="C1635" t="s">
        <v>7628</v>
      </c>
      <c r="D1635" t="s">
        <v>3242</v>
      </c>
      <c r="E1635" t="s">
        <v>15885</v>
      </c>
      <c r="F1635" t="s">
        <v>3306</v>
      </c>
      <c r="G1635" t="s">
        <v>7629</v>
      </c>
      <c r="H1635" t="s">
        <v>4179</v>
      </c>
      <c r="I1635" t="s">
        <v>3324</v>
      </c>
    </row>
    <row r="1636" spans="1:9" x14ac:dyDescent="0.25">
      <c r="A1636" t="s">
        <v>7630</v>
      </c>
      <c r="B1636" t="s">
        <v>7630</v>
      </c>
      <c r="C1636" t="s">
        <v>7631</v>
      </c>
      <c r="D1636" t="s">
        <v>3242</v>
      </c>
      <c r="E1636" t="s">
        <v>16986</v>
      </c>
      <c r="F1636" t="s">
        <v>3257</v>
      </c>
      <c r="G1636" t="s">
        <v>7632</v>
      </c>
      <c r="H1636" t="s">
        <v>7090</v>
      </c>
      <c r="I1636" t="s">
        <v>3451</v>
      </c>
    </row>
    <row r="1637" spans="1:9" x14ac:dyDescent="0.25">
      <c r="A1637" t="s">
        <v>7633</v>
      </c>
      <c r="B1637" t="s">
        <v>7633</v>
      </c>
      <c r="C1637" t="s">
        <v>7634</v>
      </c>
      <c r="D1637" t="s">
        <v>3242</v>
      </c>
      <c r="E1637" t="s">
        <v>15710</v>
      </c>
      <c r="H1637" t="s">
        <v>3267</v>
      </c>
    </row>
    <row r="1638" spans="1:9" x14ac:dyDescent="0.25">
      <c r="A1638" t="s">
        <v>7635</v>
      </c>
      <c r="B1638" t="s">
        <v>7635</v>
      </c>
      <c r="C1638" t="s">
        <v>7636</v>
      </c>
      <c r="D1638" t="s">
        <v>3242</v>
      </c>
      <c r="E1638" t="s">
        <v>15710</v>
      </c>
      <c r="F1638" t="s">
        <v>3345</v>
      </c>
      <c r="G1638" t="s">
        <v>7637</v>
      </c>
      <c r="H1638" t="s">
        <v>3285</v>
      </c>
    </row>
    <row r="1639" spans="1:9" x14ac:dyDescent="0.25">
      <c r="A1639" t="s">
        <v>7638</v>
      </c>
      <c r="B1639" t="s">
        <v>7638</v>
      </c>
      <c r="C1639" t="s">
        <v>7639</v>
      </c>
      <c r="D1639" t="s">
        <v>3242</v>
      </c>
      <c r="E1639" t="s">
        <v>15710</v>
      </c>
      <c r="F1639" t="s">
        <v>3257</v>
      </c>
      <c r="G1639" t="s">
        <v>7640</v>
      </c>
      <c r="H1639" t="s">
        <v>6924</v>
      </c>
    </row>
    <row r="1640" spans="1:9" x14ac:dyDescent="0.25">
      <c r="A1640" t="s">
        <v>7641</v>
      </c>
      <c r="B1640" t="s">
        <v>7641</v>
      </c>
      <c r="C1640" t="s">
        <v>7642</v>
      </c>
      <c r="D1640" t="s">
        <v>3242</v>
      </c>
      <c r="E1640" t="s">
        <v>16987</v>
      </c>
      <c r="F1640" t="s">
        <v>5094</v>
      </c>
      <c r="G1640" t="s">
        <v>7643</v>
      </c>
      <c r="H1640" t="s">
        <v>3496</v>
      </c>
      <c r="I1640" t="s">
        <v>3407</v>
      </c>
    </row>
    <row r="1641" spans="1:9" x14ac:dyDescent="0.25">
      <c r="A1641" t="s">
        <v>7644</v>
      </c>
      <c r="B1641" t="s">
        <v>7644</v>
      </c>
      <c r="C1641" t="s">
        <v>7645</v>
      </c>
      <c r="D1641" t="s">
        <v>3242</v>
      </c>
      <c r="E1641" t="s">
        <v>15710</v>
      </c>
      <c r="F1641" t="s">
        <v>3300</v>
      </c>
      <c r="G1641" t="s">
        <v>7646</v>
      </c>
      <c r="H1641" t="s">
        <v>5021</v>
      </c>
    </row>
    <row r="1642" spans="1:9" x14ac:dyDescent="0.25">
      <c r="A1642" t="s">
        <v>7647</v>
      </c>
      <c r="B1642" t="s">
        <v>7647</v>
      </c>
      <c r="C1642" t="s">
        <v>7648</v>
      </c>
      <c r="D1642" t="s">
        <v>3242</v>
      </c>
      <c r="E1642" t="s">
        <v>15710</v>
      </c>
      <c r="F1642" t="s">
        <v>3345</v>
      </c>
      <c r="G1642" t="s">
        <v>4608</v>
      </c>
      <c r="H1642" t="s">
        <v>3618</v>
      </c>
    </row>
    <row r="1643" spans="1:9" x14ac:dyDescent="0.25">
      <c r="A1643" t="s">
        <v>7649</v>
      </c>
      <c r="B1643" t="s">
        <v>7649</v>
      </c>
      <c r="C1643" t="s">
        <v>7650</v>
      </c>
      <c r="D1643" t="s">
        <v>3321</v>
      </c>
      <c r="E1643" t="s">
        <v>15710</v>
      </c>
      <c r="F1643" t="s">
        <v>3257</v>
      </c>
      <c r="G1643" t="s">
        <v>7651</v>
      </c>
      <c r="H1643" t="s">
        <v>5665</v>
      </c>
    </row>
    <row r="1644" spans="1:9" x14ac:dyDescent="0.25">
      <c r="A1644" t="s">
        <v>7652</v>
      </c>
      <c r="B1644" t="s">
        <v>7652</v>
      </c>
      <c r="C1644" t="s">
        <v>7653</v>
      </c>
      <c r="D1644" t="s">
        <v>3242</v>
      </c>
      <c r="E1644" t="s">
        <v>17264</v>
      </c>
      <c r="F1644" t="s">
        <v>3300</v>
      </c>
      <c r="G1644" t="s">
        <v>7654</v>
      </c>
      <c r="H1644" t="s">
        <v>3267</v>
      </c>
      <c r="I1644" t="s">
        <v>3268</v>
      </c>
    </row>
    <row r="1645" spans="1:9" x14ac:dyDescent="0.25">
      <c r="A1645" t="s">
        <v>7655</v>
      </c>
      <c r="B1645" t="s">
        <v>7655</v>
      </c>
      <c r="C1645" t="s">
        <v>7656</v>
      </c>
      <c r="D1645" t="s">
        <v>3321</v>
      </c>
      <c r="E1645" t="s">
        <v>15710</v>
      </c>
      <c r="F1645" t="s">
        <v>4996</v>
      </c>
      <c r="G1645" t="s">
        <v>7657</v>
      </c>
      <c r="H1645" t="s">
        <v>3332</v>
      </c>
      <c r="I1645" t="s">
        <v>3366</v>
      </c>
    </row>
    <row r="1646" spans="1:9" x14ac:dyDescent="0.25">
      <c r="A1646" t="s">
        <v>7658</v>
      </c>
      <c r="B1646" t="s">
        <v>7658</v>
      </c>
      <c r="C1646" t="s">
        <v>7659</v>
      </c>
      <c r="D1646" t="s">
        <v>3242</v>
      </c>
      <c r="E1646" t="s">
        <v>17265</v>
      </c>
      <c r="F1646" t="s">
        <v>7660</v>
      </c>
      <c r="G1646" t="s">
        <v>7661</v>
      </c>
      <c r="H1646" t="s">
        <v>5151</v>
      </c>
      <c r="I1646" t="s">
        <v>3648</v>
      </c>
    </row>
    <row r="1647" spans="1:9" x14ac:dyDescent="0.25">
      <c r="A1647" t="s">
        <v>7662</v>
      </c>
      <c r="B1647" t="s">
        <v>7662</v>
      </c>
      <c r="C1647" t="s">
        <v>7663</v>
      </c>
      <c r="D1647" t="s">
        <v>3242</v>
      </c>
      <c r="E1647" t="s">
        <v>15710</v>
      </c>
      <c r="F1647" t="s">
        <v>4996</v>
      </c>
      <c r="G1647" t="s">
        <v>7664</v>
      </c>
      <c r="H1647" t="s">
        <v>5722</v>
      </c>
      <c r="I1647" t="s">
        <v>3366</v>
      </c>
    </row>
    <row r="1648" spans="1:9" x14ac:dyDescent="0.25">
      <c r="A1648" t="s">
        <v>16679</v>
      </c>
      <c r="B1648" t="s">
        <v>16679</v>
      </c>
      <c r="C1648" t="s">
        <v>16680</v>
      </c>
      <c r="D1648" t="s">
        <v>3242</v>
      </c>
      <c r="E1648" t="s">
        <v>16764</v>
      </c>
      <c r="F1648" t="s">
        <v>16681</v>
      </c>
      <c r="G1648" t="s">
        <v>16682</v>
      </c>
      <c r="H1648" t="s">
        <v>9183</v>
      </c>
      <c r="I1648" t="s">
        <v>15020</v>
      </c>
    </row>
    <row r="1649" spans="1:9" x14ac:dyDescent="0.25">
      <c r="A1649" t="s">
        <v>7665</v>
      </c>
      <c r="B1649" t="s">
        <v>7665</v>
      </c>
      <c r="C1649" t="s">
        <v>7666</v>
      </c>
      <c r="D1649" t="s">
        <v>3242</v>
      </c>
      <c r="E1649" t="s">
        <v>15710</v>
      </c>
      <c r="F1649" t="s">
        <v>3372</v>
      </c>
      <c r="G1649" t="s">
        <v>7667</v>
      </c>
      <c r="H1649" t="s">
        <v>5883</v>
      </c>
      <c r="I1649" t="s">
        <v>3324</v>
      </c>
    </row>
    <row r="1650" spans="1:9" x14ac:dyDescent="0.25">
      <c r="A1650" t="s">
        <v>7668</v>
      </c>
      <c r="B1650" t="s">
        <v>7668</v>
      </c>
      <c r="C1650" t="s">
        <v>7669</v>
      </c>
      <c r="D1650" t="s">
        <v>3242</v>
      </c>
      <c r="E1650" t="s">
        <v>15710</v>
      </c>
      <c r="F1650" t="s">
        <v>7670</v>
      </c>
      <c r="G1650" t="s">
        <v>7671</v>
      </c>
      <c r="H1650" t="s">
        <v>7672</v>
      </c>
      <c r="I1650" t="s">
        <v>7673</v>
      </c>
    </row>
    <row r="1651" spans="1:9" x14ac:dyDescent="0.25">
      <c r="A1651" t="s">
        <v>7674</v>
      </c>
      <c r="B1651" t="s">
        <v>7674</v>
      </c>
      <c r="C1651" t="s">
        <v>7675</v>
      </c>
      <c r="D1651" t="s">
        <v>3242</v>
      </c>
      <c r="E1651" t="s">
        <v>15887</v>
      </c>
      <c r="F1651" t="s">
        <v>5955</v>
      </c>
      <c r="G1651" t="s">
        <v>7676</v>
      </c>
      <c r="H1651" t="s">
        <v>3484</v>
      </c>
      <c r="I1651" t="s">
        <v>3263</v>
      </c>
    </row>
    <row r="1652" spans="1:9" x14ac:dyDescent="0.25">
      <c r="A1652" t="s">
        <v>7677</v>
      </c>
      <c r="B1652" t="s">
        <v>7677</v>
      </c>
      <c r="C1652" t="s">
        <v>7678</v>
      </c>
      <c r="D1652" t="s">
        <v>3242</v>
      </c>
      <c r="E1652" t="s">
        <v>16988</v>
      </c>
      <c r="F1652" t="s">
        <v>5035</v>
      </c>
      <c r="G1652" t="s">
        <v>7679</v>
      </c>
      <c r="H1652" t="s">
        <v>3643</v>
      </c>
      <c r="I1652" t="s">
        <v>3366</v>
      </c>
    </row>
    <row r="1653" spans="1:9" x14ac:dyDescent="0.25">
      <c r="A1653" t="s">
        <v>7680</v>
      </c>
      <c r="B1653" t="s">
        <v>7680</v>
      </c>
      <c r="C1653" t="s">
        <v>7681</v>
      </c>
      <c r="D1653" t="s">
        <v>3242</v>
      </c>
      <c r="E1653" t="s">
        <v>17266</v>
      </c>
      <c r="F1653" t="s">
        <v>3257</v>
      </c>
      <c r="G1653" t="s">
        <v>7682</v>
      </c>
      <c r="H1653" t="s">
        <v>3262</v>
      </c>
      <c r="I1653" t="s">
        <v>3263</v>
      </c>
    </row>
    <row r="1654" spans="1:9" x14ac:dyDescent="0.25">
      <c r="A1654" t="s">
        <v>7683</v>
      </c>
      <c r="B1654" t="s">
        <v>7683</v>
      </c>
      <c r="C1654" t="s">
        <v>7684</v>
      </c>
      <c r="D1654" t="s">
        <v>3242</v>
      </c>
      <c r="E1654" t="s">
        <v>15710</v>
      </c>
      <c r="F1654" t="s">
        <v>3306</v>
      </c>
      <c r="G1654" t="s">
        <v>7685</v>
      </c>
      <c r="H1654" t="s">
        <v>3353</v>
      </c>
      <c r="I1654" t="s">
        <v>3324</v>
      </c>
    </row>
    <row r="1655" spans="1:9" x14ac:dyDescent="0.25">
      <c r="A1655" t="s">
        <v>7686</v>
      </c>
      <c r="B1655" t="s">
        <v>7686</v>
      </c>
      <c r="C1655" t="s">
        <v>7687</v>
      </c>
      <c r="D1655" t="s">
        <v>3242</v>
      </c>
      <c r="E1655" t="s">
        <v>15888</v>
      </c>
      <c r="F1655" t="s">
        <v>3257</v>
      </c>
      <c r="G1655" t="s">
        <v>7688</v>
      </c>
      <c r="H1655" t="s">
        <v>3647</v>
      </c>
      <c r="I1655" t="s">
        <v>3648</v>
      </c>
    </row>
    <row r="1656" spans="1:9" x14ac:dyDescent="0.25">
      <c r="A1656" t="s">
        <v>7689</v>
      </c>
      <c r="B1656" t="s">
        <v>7689</v>
      </c>
      <c r="C1656" t="s">
        <v>7690</v>
      </c>
      <c r="D1656" t="s">
        <v>3242</v>
      </c>
      <c r="E1656" t="s">
        <v>15710</v>
      </c>
      <c r="F1656" t="s">
        <v>3257</v>
      </c>
      <c r="G1656" t="s">
        <v>7691</v>
      </c>
      <c r="H1656" t="s">
        <v>4919</v>
      </c>
    </row>
    <row r="1657" spans="1:9" x14ac:dyDescent="0.25">
      <c r="A1657" t="s">
        <v>7692</v>
      </c>
      <c r="B1657" t="s">
        <v>7692</v>
      </c>
      <c r="C1657" t="s">
        <v>7693</v>
      </c>
      <c r="D1657" t="s">
        <v>3242</v>
      </c>
      <c r="E1657" t="s">
        <v>15710</v>
      </c>
      <c r="F1657" t="s">
        <v>3257</v>
      </c>
      <c r="G1657" t="s">
        <v>7694</v>
      </c>
      <c r="H1657" t="s">
        <v>5883</v>
      </c>
      <c r="I1657" t="s">
        <v>3324</v>
      </c>
    </row>
    <row r="1658" spans="1:9" x14ac:dyDescent="0.25">
      <c r="A1658" t="s">
        <v>7695</v>
      </c>
      <c r="B1658" t="s">
        <v>7695</v>
      </c>
      <c r="C1658" t="s">
        <v>7696</v>
      </c>
      <c r="D1658" t="s">
        <v>3242</v>
      </c>
      <c r="E1658" t="s">
        <v>16232</v>
      </c>
      <c r="F1658" t="s">
        <v>3372</v>
      </c>
      <c r="G1658" t="s">
        <v>7697</v>
      </c>
      <c r="H1658" t="s">
        <v>3484</v>
      </c>
    </row>
    <row r="1659" spans="1:9" x14ac:dyDescent="0.25">
      <c r="A1659" t="s">
        <v>7698</v>
      </c>
      <c r="B1659" t="s">
        <v>7698</v>
      </c>
      <c r="C1659" t="s">
        <v>7699</v>
      </c>
      <c r="D1659" t="s">
        <v>3242</v>
      </c>
      <c r="E1659" t="s">
        <v>15710</v>
      </c>
      <c r="F1659" t="s">
        <v>3243</v>
      </c>
      <c r="G1659" t="s">
        <v>7700</v>
      </c>
      <c r="H1659" t="s">
        <v>3484</v>
      </c>
      <c r="I1659" t="s">
        <v>3375</v>
      </c>
    </row>
    <row r="1660" spans="1:9" x14ac:dyDescent="0.25">
      <c r="A1660" t="s">
        <v>7701</v>
      </c>
      <c r="B1660" t="s">
        <v>7701</v>
      </c>
      <c r="C1660" t="s">
        <v>7702</v>
      </c>
      <c r="D1660" t="s">
        <v>3242</v>
      </c>
      <c r="E1660" t="s">
        <v>15710</v>
      </c>
      <c r="F1660" t="s">
        <v>3257</v>
      </c>
      <c r="G1660" t="s">
        <v>7703</v>
      </c>
      <c r="H1660" t="s">
        <v>5722</v>
      </c>
      <c r="I1660" t="s">
        <v>3366</v>
      </c>
    </row>
    <row r="1661" spans="1:9" x14ac:dyDescent="0.25">
      <c r="A1661" t="s">
        <v>7704</v>
      </c>
      <c r="B1661" t="s">
        <v>7704</v>
      </c>
      <c r="C1661" t="s">
        <v>7705</v>
      </c>
      <c r="D1661" t="s">
        <v>3242</v>
      </c>
      <c r="E1661" t="s">
        <v>15710</v>
      </c>
      <c r="F1661" t="s">
        <v>3257</v>
      </c>
      <c r="G1661" t="s">
        <v>7706</v>
      </c>
      <c r="H1661" t="s">
        <v>4856</v>
      </c>
      <c r="I1661" t="s">
        <v>3407</v>
      </c>
    </row>
    <row r="1662" spans="1:9" x14ac:dyDescent="0.25">
      <c r="A1662" t="s">
        <v>7707</v>
      </c>
      <c r="B1662" t="s">
        <v>7707</v>
      </c>
      <c r="C1662" t="s">
        <v>7708</v>
      </c>
      <c r="D1662" t="s">
        <v>3242</v>
      </c>
      <c r="E1662" t="s">
        <v>17267</v>
      </c>
      <c r="F1662" t="s">
        <v>3257</v>
      </c>
      <c r="G1662" t="s">
        <v>7709</v>
      </c>
      <c r="H1662" t="s">
        <v>5066</v>
      </c>
      <c r="I1662" t="s">
        <v>3432</v>
      </c>
    </row>
    <row r="1663" spans="1:9" x14ac:dyDescent="0.25">
      <c r="A1663" t="s">
        <v>7710</v>
      </c>
      <c r="B1663" t="s">
        <v>7710</v>
      </c>
      <c r="C1663" t="s">
        <v>7711</v>
      </c>
      <c r="D1663" t="s">
        <v>3242</v>
      </c>
      <c r="E1663" t="s">
        <v>15710</v>
      </c>
      <c r="F1663" t="s">
        <v>3288</v>
      </c>
      <c r="G1663" t="s">
        <v>7712</v>
      </c>
      <c r="H1663" t="s">
        <v>3285</v>
      </c>
    </row>
    <row r="1664" spans="1:9" x14ac:dyDescent="0.25">
      <c r="A1664" t="s">
        <v>7713</v>
      </c>
      <c r="B1664" t="s">
        <v>7713</v>
      </c>
      <c r="C1664" t="s">
        <v>7714</v>
      </c>
      <c r="D1664" t="s">
        <v>3242</v>
      </c>
      <c r="E1664" t="s">
        <v>15710</v>
      </c>
      <c r="F1664" t="s">
        <v>3257</v>
      </c>
      <c r="G1664" t="s">
        <v>7715</v>
      </c>
      <c r="H1664" t="s">
        <v>3565</v>
      </c>
      <c r="I1664" t="s">
        <v>3451</v>
      </c>
    </row>
    <row r="1665" spans="1:9" x14ac:dyDescent="0.25">
      <c r="A1665" t="s">
        <v>7716</v>
      </c>
      <c r="B1665" t="s">
        <v>7716</v>
      </c>
      <c r="C1665" t="s">
        <v>7717</v>
      </c>
      <c r="D1665" t="s">
        <v>3242</v>
      </c>
      <c r="E1665" t="s">
        <v>15710</v>
      </c>
      <c r="H1665" t="s">
        <v>3417</v>
      </c>
    </row>
    <row r="1666" spans="1:9" x14ac:dyDescent="0.25">
      <c r="A1666" t="s">
        <v>7718</v>
      </c>
      <c r="B1666" t="s">
        <v>7718</v>
      </c>
      <c r="C1666" t="s">
        <v>7719</v>
      </c>
      <c r="D1666" t="s">
        <v>3242</v>
      </c>
      <c r="E1666" t="s">
        <v>16490</v>
      </c>
      <c r="F1666" t="s">
        <v>3288</v>
      </c>
      <c r="G1666" t="s">
        <v>7720</v>
      </c>
      <c r="H1666" t="s">
        <v>4045</v>
      </c>
    </row>
    <row r="1667" spans="1:9" x14ac:dyDescent="0.25">
      <c r="A1667" t="s">
        <v>7721</v>
      </c>
      <c r="B1667" t="s">
        <v>7721</v>
      </c>
      <c r="C1667" t="s">
        <v>7722</v>
      </c>
      <c r="D1667" t="s">
        <v>3321</v>
      </c>
      <c r="E1667" t="s">
        <v>15710</v>
      </c>
      <c r="F1667" t="s">
        <v>5035</v>
      </c>
      <c r="G1667" t="s">
        <v>7723</v>
      </c>
      <c r="H1667" t="s">
        <v>3357</v>
      </c>
    </row>
    <row r="1668" spans="1:9" x14ac:dyDescent="0.25">
      <c r="A1668" t="s">
        <v>7724</v>
      </c>
      <c r="B1668" t="s">
        <v>7724</v>
      </c>
      <c r="C1668" t="s">
        <v>7725</v>
      </c>
      <c r="D1668" t="s">
        <v>3242</v>
      </c>
      <c r="E1668" t="s">
        <v>15710</v>
      </c>
      <c r="F1668" t="s">
        <v>3251</v>
      </c>
      <c r="G1668" t="s">
        <v>7726</v>
      </c>
      <c r="H1668" t="s">
        <v>4502</v>
      </c>
      <c r="I1668" t="s">
        <v>3451</v>
      </c>
    </row>
    <row r="1669" spans="1:9" x14ac:dyDescent="0.25">
      <c r="A1669" t="s">
        <v>7727</v>
      </c>
      <c r="B1669" t="s">
        <v>7727</v>
      </c>
      <c r="C1669" t="s">
        <v>7728</v>
      </c>
      <c r="D1669" t="s">
        <v>3242</v>
      </c>
      <c r="E1669" t="s">
        <v>15710</v>
      </c>
      <c r="F1669" t="s">
        <v>3243</v>
      </c>
      <c r="G1669" t="s">
        <v>7729</v>
      </c>
      <c r="H1669" t="s">
        <v>3285</v>
      </c>
    </row>
    <row r="1670" spans="1:9" x14ac:dyDescent="0.25">
      <c r="A1670" t="s">
        <v>7730</v>
      </c>
      <c r="B1670" t="s">
        <v>7730</v>
      </c>
      <c r="C1670" t="s">
        <v>7731</v>
      </c>
      <c r="D1670" t="s">
        <v>3242</v>
      </c>
      <c r="E1670" t="s">
        <v>15710</v>
      </c>
      <c r="F1670" t="s">
        <v>3306</v>
      </c>
      <c r="G1670" t="s">
        <v>7732</v>
      </c>
      <c r="H1670" t="s">
        <v>3267</v>
      </c>
      <c r="I1670" t="s">
        <v>3268</v>
      </c>
    </row>
    <row r="1671" spans="1:9" x14ac:dyDescent="0.25">
      <c r="A1671" t="s">
        <v>7733</v>
      </c>
      <c r="B1671" t="s">
        <v>7733</v>
      </c>
      <c r="C1671" t="s">
        <v>7734</v>
      </c>
      <c r="D1671" t="s">
        <v>3242</v>
      </c>
      <c r="E1671" t="s">
        <v>15710</v>
      </c>
      <c r="F1671" t="s">
        <v>3257</v>
      </c>
      <c r="G1671" t="s">
        <v>7735</v>
      </c>
      <c r="H1671" t="s">
        <v>3484</v>
      </c>
      <c r="I1671" t="s">
        <v>3263</v>
      </c>
    </row>
    <row r="1672" spans="1:9" x14ac:dyDescent="0.25">
      <c r="A1672" t="s">
        <v>7736</v>
      </c>
      <c r="B1672" t="s">
        <v>7736</v>
      </c>
      <c r="C1672" t="s">
        <v>7737</v>
      </c>
      <c r="D1672" t="s">
        <v>3242</v>
      </c>
      <c r="E1672" t="s">
        <v>15710</v>
      </c>
      <c r="F1672" t="s">
        <v>3251</v>
      </c>
      <c r="G1672" t="s">
        <v>7738</v>
      </c>
      <c r="H1672" t="s">
        <v>3749</v>
      </c>
    </row>
    <row r="1673" spans="1:9" x14ac:dyDescent="0.25">
      <c r="A1673" t="s">
        <v>7739</v>
      </c>
      <c r="B1673" t="s">
        <v>7739</v>
      </c>
      <c r="C1673" t="s">
        <v>7740</v>
      </c>
      <c r="D1673" t="s">
        <v>3242</v>
      </c>
      <c r="E1673" t="s">
        <v>15710</v>
      </c>
      <c r="F1673" t="s">
        <v>3257</v>
      </c>
      <c r="G1673" t="s">
        <v>7741</v>
      </c>
      <c r="H1673" t="s">
        <v>3060</v>
      </c>
    </row>
    <row r="1674" spans="1:9" x14ac:dyDescent="0.25">
      <c r="A1674" t="s">
        <v>7742</v>
      </c>
      <c r="B1674" t="s">
        <v>7742</v>
      </c>
      <c r="C1674" t="s">
        <v>7743</v>
      </c>
      <c r="D1674" t="s">
        <v>3242</v>
      </c>
      <c r="E1674" t="s">
        <v>15710</v>
      </c>
      <c r="F1674" t="s">
        <v>3257</v>
      </c>
      <c r="G1674" t="s">
        <v>7744</v>
      </c>
      <c r="H1674" t="s">
        <v>3332</v>
      </c>
    </row>
    <row r="1675" spans="1:9" x14ac:dyDescent="0.25">
      <c r="A1675" t="s">
        <v>7745</v>
      </c>
      <c r="B1675" t="s">
        <v>7745</v>
      </c>
      <c r="C1675" t="s">
        <v>7746</v>
      </c>
      <c r="D1675" t="s">
        <v>3242</v>
      </c>
      <c r="E1675" t="s">
        <v>15710</v>
      </c>
      <c r="F1675" t="s">
        <v>7747</v>
      </c>
      <c r="G1675" t="s">
        <v>7748</v>
      </c>
      <c r="H1675" t="s">
        <v>3248</v>
      </c>
      <c r="I1675" t="s">
        <v>3407</v>
      </c>
    </row>
    <row r="1676" spans="1:9" x14ac:dyDescent="0.25">
      <c r="A1676" t="s">
        <v>7749</v>
      </c>
      <c r="B1676" t="s">
        <v>7749</v>
      </c>
      <c r="C1676" t="s">
        <v>7750</v>
      </c>
      <c r="D1676" t="s">
        <v>3242</v>
      </c>
      <c r="E1676" t="s">
        <v>15710</v>
      </c>
      <c r="F1676" t="s">
        <v>3345</v>
      </c>
      <c r="G1676" t="s">
        <v>7751</v>
      </c>
      <c r="H1676" t="s">
        <v>3285</v>
      </c>
    </row>
    <row r="1677" spans="1:9" x14ac:dyDescent="0.25">
      <c r="A1677" t="s">
        <v>7752</v>
      </c>
      <c r="B1677" t="s">
        <v>7752</v>
      </c>
      <c r="C1677" t="s">
        <v>7753</v>
      </c>
      <c r="D1677" t="s">
        <v>3242</v>
      </c>
      <c r="E1677" t="s">
        <v>17575</v>
      </c>
      <c r="F1677" t="s">
        <v>3306</v>
      </c>
      <c r="G1677" t="s">
        <v>7754</v>
      </c>
      <c r="H1677" t="s">
        <v>7755</v>
      </c>
      <c r="I1677" t="s">
        <v>3254</v>
      </c>
    </row>
    <row r="1678" spans="1:9" x14ac:dyDescent="0.25">
      <c r="A1678" t="s">
        <v>7756</v>
      </c>
      <c r="B1678" t="s">
        <v>7756</v>
      </c>
      <c r="C1678" t="s">
        <v>7757</v>
      </c>
      <c r="D1678" t="s">
        <v>3242</v>
      </c>
      <c r="E1678" t="s">
        <v>16234</v>
      </c>
      <c r="F1678" t="s">
        <v>3251</v>
      </c>
      <c r="G1678" t="s">
        <v>4501</v>
      </c>
      <c r="H1678" t="s">
        <v>4502</v>
      </c>
      <c r="I1678" t="s">
        <v>3451</v>
      </c>
    </row>
    <row r="1679" spans="1:9" x14ac:dyDescent="0.25">
      <c r="A1679" t="s">
        <v>7758</v>
      </c>
      <c r="B1679" t="s">
        <v>7758</v>
      </c>
      <c r="C1679" t="s">
        <v>7759</v>
      </c>
      <c r="D1679" t="s">
        <v>3242</v>
      </c>
      <c r="E1679" t="s">
        <v>15710</v>
      </c>
      <c r="F1679" t="s">
        <v>3251</v>
      </c>
      <c r="G1679" t="s">
        <v>7760</v>
      </c>
      <c r="H1679" t="s">
        <v>3749</v>
      </c>
    </row>
    <row r="1680" spans="1:9" x14ac:dyDescent="0.25">
      <c r="A1680" t="s">
        <v>7761</v>
      </c>
      <c r="B1680" t="s">
        <v>7761</v>
      </c>
      <c r="C1680" t="s">
        <v>7762</v>
      </c>
      <c r="D1680" t="s">
        <v>3242</v>
      </c>
      <c r="E1680" t="s">
        <v>17576</v>
      </c>
      <c r="F1680" t="s">
        <v>3300</v>
      </c>
      <c r="G1680" t="s">
        <v>7763</v>
      </c>
      <c r="H1680" t="s">
        <v>3267</v>
      </c>
      <c r="I1680" t="s">
        <v>3268</v>
      </c>
    </row>
    <row r="1681" spans="1:9" x14ac:dyDescent="0.25">
      <c r="A1681" t="s">
        <v>7764</v>
      </c>
      <c r="B1681" t="s">
        <v>7764</v>
      </c>
      <c r="C1681" t="s">
        <v>7765</v>
      </c>
      <c r="D1681" t="s">
        <v>3242</v>
      </c>
      <c r="E1681" t="s">
        <v>17577</v>
      </c>
      <c r="F1681" t="s">
        <v>3306</v>
      </c>
      <c r="G1681" t="s">
        <v>3684</v>
      </c>
      <c r="H1681" t="s">
        <v>3421</v>
      </c>
      <c r="I1681" t="s">
        <v>3254</v>
      </c>
    </row>
    <row r="1682" spans="1:9" x14ac:dyDescent="0.25">
      <c r="A1682" t="s">
        <v>7766</v>
      </c>
      <c r="B1682" t="s">
        <v>7766</v>
      </c>
      <c r="C1682" t="s">
        <v>7767</v>
      </c>
      <c r="D1682" t="s">
        <v>3242</v>
      </c>
      <c r="E1682" t="s">
        <v>15710</v>
      </c>
    </row>
    <row r="1683" spans="1:9" x14ac:dyDescent="0.25">
      <c r="A1683" t="s">
        <v>7768</v>
      </c>
      <c r="B1683" t="s">
        <v>7768</v>
      </c>
      <c r="C1683" t="s">
        <v>7769</v>
      </c>
      <c r="D1683" t="s">
        <v>3242</v>
      </c>
      <c r="E1683" t="s">
        <v>15710</v>
      </c>
      <c r="F1683" t="s">
        <v>3257</v>
      </c>
      <c r="G1683" t="s">
        <v>7770</v>
      </c>
      <c r="H1683" t="s">
        <v>7771</v>
      </c>
      <c r="I1683" t="s">
        <v>3294</v>
      </c>
    </row>
    <row r="1684" spans="1:9" x14ac:dyDescent="0.25">
      <c r="A1684" t="s">
        <v>7772</v>
      </c>
      <c r="B1684" t="s">
        <v>7772</v>
      </c>
      <c r="C1684" t="s">
        <v>7773</v>
      </c>
      <c r="D1684" t="s">
        <v>3242</v>
      </c>
      <c r="E1684" t="s">
        <v>15710</v>
      </c>
      <c r="F1684" t="s">
        <v>7774</v>
      </c>
      <c r="G1684" t="s">
        <v>7775</v>
      </c>
      <c r="H1684" t="s">
        <v>3962</v>
      </c>
    </row>
    <row r="1685" spans="1:9" x14ac:dyDescent="0.25">
      <c r="A1685" t="s">
        <v>7776</v>
      </c>
      <c r="B1685" t="s">
        <v>7776</v>
      </c>
      <c r="C1685" t="s">
        <v>7777</v>
      </c>
      <c r="D1685" t="s">
        <v>3321</v>
      </c>
      <c r="E1685" t="s">
        <v>15710</v>
      </c>
      <c r="F1685" t="s">
        <v>3306</v>
      </c>
      <c r="G1685" t="s">
        <v>7778</v>
      </c>
      <c r="H1685" t="s">
        <v>4884</v>
      </c>
      <c r="I1685" t="s">
        <v>3268</v>
      </c>
    </row>
    <row r="1686" spans="1:9" x14ac:dyDescent="0.25">
      <c r="A1686" t="s">
        <v>15107</v>
      </c>
      <c r="B1686" t="s">
        <v>15107</v>
      </c>
      <c r="C1686" t="s">
        <v>15108</v>
      </c>
      <c r="D1686" t="s">
        <v>3242</v>
      </c>
      <c r="E1686" t="s">
        <v>15710</v>
      </c>
      <c r="F1686" t="s">
        <v>3243</v>
      </c>
      <c r="G1686" t="s">
        <v>15109</v>
      </c>
      <c r="H1686" t="s">
        <v>3060</v>
      </c>
    </row>
    <row r="1687" spans="1:9" x14ac:dyDescent="0.25">
      <c r="A1687" t="s">
        <v>7779</v>
      </c>
      <c r="B1687" t="s">
        <v>7779</v>
      </c>
      <c r="C1687" t="s">
        <v>7780</v>
      </c>
      <c r="D1687" t="s">
        <v>3242</v>
      </c>
      <c r="E1687" t="s">
        <v>15710</v>
      </c>
      <c r="F1687" t="s">
        <v>3251</v>
      </c>
      <c r="G1687" t="s">
        <v>7781</v>
      </c>
      <c r="H1687" t="s">
        <v>3668</v>
      </c>
      <c r="I1687" t="s">
        <v>4028</v>
      </c>
    </row>
    <row r="1688" spans="1:9" x14ac:dyDescent="0.25">
      <c r="A1688" t="s">
        <v>7782</v>
      </c>
      <c r="B1688" t="s">
        <v>7782</v>
      </c>
      <c r="C1688" t="s">
        <v>7783</v>
      </c>
      <c r="D1688" t="s">
        <v>3242</v>
      </c>
      <c r="E1688" t="s">
        <v>15710</v>
      </c>
      <c r="F1688" t="s">
        <v>3243</v>
      </c>
      <c r="G1688" t="s">
        <v>7784</v>
      </c>
      <c r="H1688" t="s">
        <v>3060</v>
      </c>
    </row>
    <row r="1689" spans="1:9" x14ac:dyDescent="0.25">
      <c r="A1689" t="s">
        <v>7785</v>
      </c>
      <c r="B1689" t="s">
        <v>7785</v>
      </c>
      <c r="C1689" t="s">
        <v>7786</v>
      </c>
      <c r="D1689" t="s">
        <v>3242</v>
      </c>
      <c r="E1689" t="s">
        <v>16989</v>
      </c>
      <c r="F1689" t="s">
        <v>3306</v>
      </c>
      <c r="G1689" t="s">
        <v>7787</v>
      </c>
      <c r="H1689" t="s">
        <v>7788</v>
      </c>
      <c r="I1689" t="s">
        <v>3294</v>
      </c>
    </row>
    <row r="1690" spans="1:9" x14ac:dyDescent="0.25">
      <c r="A1690" t="s">
        <v>7789</v>
      </c>
      <c r="B1690" t="s">
        <v>7789</v>
      </c>
      <c r="C1690" t="s">
        <v>7790</v>
      </c>
      <c r="D1690" t="s">
        <v>3242</v>
      </c>
      <c r="E1690" t="s">
        <v>15710</v>
      </c>
      <c r="F1690" t="s">
        <v>3243</v>
      </c>
      <c r="G1690" t="s">
        <v>7784</v>
      </c>
      <c r="H1690" t="s">
        <v>3060</v>
      </c>
    </row>
    <row r="1691" spans="1:9" x14ac:dyDescent="0.25">
      <c r="A1691" t="s">
        <v>7791</v>
      </c>
      <c r="B1691" t="s">
        <v>7791</v>
      </c>
      <c r="C1691" t="s">
        <v>7792</v>
      </c>
      <c r="D1691" t="s">
        <v>3242</v>
      </c>
      <c r="E1691" t="s">
        <v>15710</v>
      </c>
      <c r="F1691" t="s">
        <v>3251</v>
      </c>
      <c r="G1691" t="s">
        <v>7793</v>
      </c>
      <c r="H1691" t="s">
        <v>3668</v>
      </c>
    </row>
    <row r="1692" spans="1:9" x14ac:dyDescent="0.25">
      <c r="A1692" t="s">
        <v>7794</v>
      </c>
      <c r="B1692" t="s">
        <v>7794</v>
      </c>
      <c r="C1692" t="s">
        <v>7795</v>
      </c>
      <c r="D1692" t="s">
        <v>3242</v>
      </c>
      <c r="E1692" t="s">
        <v>15710</v>
      </c>
      <c r="F1692" t="s">
        <v>3306</v>
      </c>
      <c r="G1692" t="s">
        <v>15110</v>
      </c>
      <c r="H1692" t="s">
        <v>3877</v>
      </c>
      <c r="I1692" t="s">
        <v>3366</v>
      </c>
    </row>
    <row r="1693" spans="1:9" x14ac:dyDescent="0.25">
      <c r="A1693" t="s">
        <v>16236</v>
      </c>
      <c r="B1693" t="s">
        <v>16236</v>
      </c>
      <c r="C1693" t="s">
        <v>16237</v>
      </c>
      <c r="D1693" t="s">
        <v>3242</v>
      </c>
      <c r="E1693" t="s">
        <v>15710</v>
      </c>
      <c r="F1693" t="s">
        <v>3288</v>
      </c>
      <c r="G1693" t="s">
        <v>3060</v>
      </c>
      <c r="H1693" t="s">
        <v>3285</v>
      </c>
    </row>
    <row r="1694" spans="1:9" x14ac:dyDescent="0.25">
      <c r="A1694" t="s">
        <v>7796</v>
      </c>
      <c r="B1694" t="s">
        <v>7796</v>
      </c>
      <c r="C1694" t="s">
        <v>7797</v>
      </c>
      <c r="D1694" t="s">
        <v>3242</v>
      </c>
      <c r="E1694" t="s">
        <v>15710</v>
      </c>
      <c r="F1694" t="s">
        <v>3243</v>
      </c>
      <c r="G1694" t="s">
        <v>7798</v>
      </c>
      <c r="H1694" t="s">
        <v>7799</v>
      </c>
    </row>
    <row r="1695" spans="1:9" x14ac:dyDescent="0.25">
      <c r="A1695" t="s">
        <v>7800</v>
      </c>
      <c r="B1695" t="s">
        <v>7800</v>
      </c>
      <c r="C1695" t="s">
        <v>7801</v>
      </c>
      <c r="D1695" t="s">
        <v>3242</v>
      </c>
      <c r="E1695" t="s">
        <v>15710</v>
      </c>
      <c r="F1695" t="s">
        <v>3306</v>
      </c>
      <c r="G1695" t="s">
        <v>7802</v>
      </c>
      <c r="H1695" t="s">
        <v>3267</v>
      </c>
    </row>
    <row r="1696" spans="1:9" x14ac:dyDescent="0.25">
      <c r="A1696" t="s">
        <v>15111</v>
      </c>
      <c r="B1696" t="s">
        <v>15111</v>
      </c>
      <c r="C1696" t="s">
        <v>15112</v>
      </c>
      <c r="D1696" t="s">
        <v>3242</v>
      </c>
      <c r="E1696" t="s">
        <v>15710</v>
      </c>
      <c r="F1696" t="s">
        <v>11078</v>
      </c>
      <c r="G1696" t="s">
        <v>13922</v>
      </c>
      <c r="H1696" t="s">
        <v>3417</v>
      </c>
      <c r="I1696" t="s">
        <v>3432</v>
      </c>
    </row>
    <row r="1697" spans="1:9" x14ac:dyDescent="0.25">
      <c r="A1697" t="s">
        <v>7803</v>
      </c>
      <c r="B1697" t="s">
        <v>7803</v>
      </c>
      <c r="C1697" t="s">
        <v>7804</v>
      </c>
      <c r="D1697" t="s">
        <v>3242</v>
      </c>
      <c r="E1697" t="s">
        <v>16683</v>
      </c>
      <c r="F1697" t="s">
        <v>3257</v>
      </c>
      <c r="G1697" t="s">
        <v>7280</v>
      </c>
      <c r="H1697" t="s">
        <v>3936</v>
      </c>
      <c r="I1697" t="s">
        <v>3254</v>
      </c>
    </row>
    <row r="1698" spans="1:9" x14ac:dyDescent="0.25">
      <c r="A1698" t="s">
        <v>7805</v>
      </c>
      <c r="B1698" t="s">
        <v>7805</v>
      </c>
      <c r="C1698" t="s">
        <v>7806</v>
      </c>
      <c r="D1698" t="s">
        <v>3242</v>
      </c>
      <c r="E1698" t="s">
        <v>15710</v>
      </c>
      <c r="F1698" t="s">
        <v>3515</v>
      </c>
      <c r="G1698" t="s">
        <v>7807</v>
      </c>
      <c r="H1698" t="s">
        <v>3417</v>
      </c>
      <c r="I1698" t="s">
        <v>3648</v>
      </c>
    </row>
    <row r="1699" spans="1:9" x14ac:dyDescent="0.25">
      <c r="A1699" t="s">
        <v>7808</v>
      </c>
      <c r="B1699" t="s">
        <v>7808</v>
      </c>
      <c r="C1699" t="s">
        <v>7809</v>
      </c>
      <c r="D1699" t="s">
        <v>3242</v>
      </c>
      <c r="E1699" t="s">
        <v>15774</v>
      </c>
      <c r="F1699" t="s">
        <v>3257</v>
      </c>
      <c r="G1699" t="s">
        <v>7810</v>
      </c>
      <c r="H1699" t="s">
        <v>3413</v>
      </c>
      <c r="I1699" t="s">
        <v>3407</v>
      </c>
    </row>
    <row r="1700" spans="1:9" x14ac:dyDescent="0.25">
      <c r="A1700" t="s">
        <v>7811</v>
      </c>
      <c r="B1700" t="s">
        <v>7811</v>
      </c>
      <c r="C1700" t="s">
        <v>7812</v>
      </c>
      <c r="D1700" t="s">
        <v>3242</v>
      </c>
      <c r="E1700" t="s">
        <v>16990</v>
      </c>
      <c r="F1700" t="s">
        <v>3257</v>
      </c>
      <c r="G1700" t="s">
        <v>7813</v>
      </c>
      <c r="H1700" t="s">
        <v>4856</v>
      </c>
      <c r="I1700" t="s">
        <v>3407</v>
      </c>
    </row>
    <row r="1701" spans="1:9" x14ac:dyDescent="0.25">
      <c r="A1701" t="s">
        <v>7814</v>
      </c>
      <c r="B1701" t="s">
        <v>7814</v>
      </c>
      <c r="C1701" t="s">
        <v>7815</v>
      </c>
      <c r="D1701" t="s">
        <v>3242</v>
      </c>
      <c r="E1701" t="s">
        <v>16235</v>
      </c>
      <c r="F1701" t="s">
        <v>3257</v>
      </c>
      <c r="G1701" t="s">
        <v>7816</v>
      </c>
      <c r="H1701" t="s">
        <v>7817</v>
      </c>
      <c r="I1701" t="s">
        <v>3432</v>
      </c>
    </row>
    <row r="1702" spans="1:9" x14ac:dyDescent="0.25">
      <c r="A1702" t="s">
        <v>7818</v>
      </c>
      <c r="B1702" t="s">
        <v>7818</v>
      </c>
      <c r="C1702" t="s">
        <v>7819</v>
      </c>
      <c r="D1702" t="s">
        <v>3242</v>
      </c>
      <c r="E1702" t="s">
        <v>15710</v>
      </c>
      <c r="F1702" t="s">
        <v>3257</v>
      </c>
      <c r="G1702" t="s">
        <v>7820</v>
      </c>
      <c r="H1702" t="s">
        <v>3323</v>
      </c>
      <c r="I1702" t="s">
        <v>3366</v>
      </c>
    </row>
    <row r="1703" spans="1:9" x14ac:dyDescent="0.25">
      <c r="A1703" t="s">
        <v>7821</v>
      </c>
      <c r="B1703" t="s">
        <v>7821</v>
      </c>
      <c r="C1703" t="s">
        <v>7822</v>
      </c>
      <c r="D1703" t="s">
        <v>3242</v>
      </c>
      <c r="E1703" t="s">
        <v>15890</v>
      </c>
      <c r="F1703" t="s">
        <v>3257</v>
      </c>
      <c r="G1703" t="s">
        <v>7823</v>
      </c>
      <c r="H1703" t="s">
        <v>3262</v>
      </c>
      <c r="I1703" t="s">
        <v>3263</v>
      </c>
    </row>
    <row r="1704" spans="1:9" x14ac:dyDescent="0.25">
      <c r="A1704" t="s">
        <v>7824</v>
      </c>
      <c r="B1704" t="s">
        <v>7824</v>
      </c>
      <c r="C1704" t="s">
        <v>7825</v>
      </c>
      <c r="D1704" t="s">
        <v>3242</v>
      </c>
      <c r="E1704" t="s">
        <v>15710</v>
      </c>
      <c r="F1704" t="s">
        <v>3372</v>
      </c>
      <c r="G1704" t="s">
        <v>7826</v>
      </c>
      <c r="H1704" t="s">
        <v>3553</v>
      </c>
    </row>
    <row r="1705" spans="1:9" x14ac:dyDescent="0.25">
      <c r="A1705" t="s">
        <v>7827</v>
      </c>
      <c r="B1705" t="s">
        <v>7827</v>
      </c>
      <c r="C1705" t="s">
        <v>7828</v>
      </c>
      <c r="D1705" t="s">
        <v>3242</v>
      </c>
      <c r="E1705" t="s">
        <v>15710</v>
      </c>
      <c r="F1705" t="s">
        <v>3372</v>
      </c>
      <c r="G1705" t="s">
        <v>3876</v>
      </c>
      <c r="H1705" t="s">
        <v>3877</v>
      </c>
      <c r="I1705" t="s">
        <v>3366</v>
      </c>
    </row>
    <row r="1706" spans="1:9" x14ac:dyDescent="0.25">
      <c r="A1706" t="s">
        <v>7829</v>
      </c>
      <c r="B1706" t="s">
        <v>7829</v>
      </c>
      <c r="C1706" t="s">
        <v>16464</v>
      </c>
      <c r="D1706" t="s">
        <v>3242</v>
      </c>
      <c r="E1706" t="s">
        <v>16465</v>
      </c>
      <c r="F1706" t="s">
        <v>3251</v>
      </c>
      <c r="G1706" t="s">
        <v>7830</v>
      </c>
      <c r="H1706" t="s">
        <v>3749</v>
      </c>
      <c r="I1706" t="s">
        <v>4605</v>
      </c>
    </row>
    <row r="1707" spans="1:9" x14ac:dyDescent="0.25">
      <c r="A1707" t="s">
        <v>7831</v>
      </c>
      <c r="B1707" t="s">
        <v>7831</v>
      </c>
      <c r="C1707" t="s">
        <v>7832</v>
      </c>
      <c r="D1707" t="s">
        <v>3242</v>
      </c>
      <c r="E1707" t="s">
        <v>15789</v>
      </c>
      <c r="F1707" t="s">
        <v>3251</v>
      </c>
      <c r="G1707" t="s">
        <v>6368</v>
      </c>
      <c r="H1707" t="s">
        <v>3565</v>
      </c>
      <c r="I1707" t="s">
        <v>3451</v>
      </c>
    </row>
    <row r="1708" spans="1:9" x14ac:dyDescent="0.25">
      <c r="A1708" t="s">
        <v>7833</v>
      </c>
      <c r="B1708" t="s">
        <v>7833</v>
      </c>
      <c r="C1708" t="s">
        <v>7834</v>
      </c>
      <c r="D1708" t="s">
        <v>3242</v>
      </c>
      <c r="E1708" t="s">
        <v>15710</v>
      </c>
      <c r="F1708" t="s">
        <v>3345</v>
      </c>
      <c r="G1708" t="s">
        <v>7835</v>
      </c>
      <c r="H1708" t="s">
        <v>3060</v>
      </c>
    </row>
    <row r="1709" spans="1:9" x14ac:dyDescent="0.25">
      <c r="A1709" t="s">
        <v>7836</v>
      </c>
      <c r="B1709" t="s">
        <v>7836</v>
      </c>
      <c r="C1709" t="s">
        <v>7837</v>
      </c>
      <c r="D1709" t="s">
        <v>3242</v>
      </c>
      <c r="E1709" t="s">
        <v>15710</v>
      </c>
      <c r="F1709" t="s">
        <v>3257</v>
      </c>
      <c r="G1709" t="s">
        <v>7838</v>
      </c>
      <c r="H1709" t="s">
        <v>3262</v>
      </c>
    </row>
    <row r="1710" spans="1:9" x14ac:dyDescent="0.25">
      <c r="A1710" t="s">
        <v>7839</v>
      </c>
      <c r="B1710" t="s">
        <v>7839</v>
      </c>
      <c r="C1710" t="s">
        <v>7840</v>
      </c>
      <c r="D1710" t="s">
        <v>3242</v>
      </c>
      <c r="E1710" t="s">
        <v>16466</v>
      </c>
      <c r="F1710" t="s">
        <v>7841</v>
      </c>
      <c r="G1710" t="s">
        <v>7842</v>
      </c>
      <c r="H1710" t="s">
        <v>3248</v>
      </c>
    </row>
    <row r="1711" spans="1:9" x14ac:dyDescent="0.25">
      <c r="A1711" t="s">
        <v>7843</v>
      </c>
      <c r="B1711" t="s">
        <v>7843</v>
      </c>
      <c r="C1711" t="s">
        <v>7844</v>
      </c>
      <c r="D1711" t="s">
        <v>3242</v>
      </c>
      <c r="E1711" t="s">
        <v>15710</v>
      </c>
      <c r="F1711" t="s">
        <v>3257</v>
      </c>
      <c r="G1711" t="s">
        <v>7845</v>
      </c>
      <c r="H1711" t="s">
        <v>5151</v>
      </c>
    </row>
    <row r="1712" spans="1:9" x14ac:dyDescent="0.25">
      <c r="A1712" t="s">
        <v>7846</v>
      </c>
      <c r="B1712" t="s">
        <v>7846</v>
      </c>
      <c r="C1712" t="s">
        <v>7847</v>
      </c>
      <c r="D1712" t="s">
        <v>3242</v>
      </c>
      <c r="E1712" t="s">
        <v>15710</v>
      </c>
      <c r="F1712" t="s">
        <v>5158</v>
      </c>
      <c r="G1712" t="s">
        <v>7848</v>
      </c>
      <c r="H1712" t="s">
        <v>3417</v>
      </c>
      <c r="I1712" t="s">
        <v>3648</v>
      </c>
    </row>
    <row r="1713" spans="1:9" x14ac:dyDescent="0.25">
      <c r="A1713" t="s">
        <v>7849</v>
      </c>
      <c r="B1713" t="s">
        <v>7849</v>
      </c>
      <c r="C1713" t="s">
        <v>7850</v>
      </c>
      <c r="D1713" t="s">
        <v>3242</v>
      </c>
      <c r="E1713" t="s">
        <v>15710</v>
      </c>
      <c r="F1713" t="s">
        <v>3243</v>
      </c>
      <c r="G1713" t="s">
        <v>7851</v>
      </c>
      <c r="H1713" t="s">
        <v>3402</v>
      </c>
    </row>
    <row r="1714" spans="1:9" x14ac:dyDescent="0.25">
      <c r="A1714" t="s">
        <v>7852</v>
      </c>
      <c r="B1714" t="s">
        <v>7852</v>
      </c>
      <c r="C1714" t="s">
        <v>7853</v>
      </c>
      <c r="D1714" t="s">
        <v>3242</v>
      </c>
      <c r="E1714" t="s">
        <v>15710</v>
      </c>
      <c r="F1714" t="s">
        <v>3251</v>
      </c>
      <c r="G1714" t="s">
        <v>7854</v>
      </c>
      <c r="H1714" t="s">
        <v>3553</v>
      </c>
    </row>
    <row r="1715" spans="1:9" x14ac:dyDescent="0.25">
      <c r="A1715" t="s">
        <v>7855</v>
      </c>
      <c r="B1715" t="s">
        <v>7855</v>
      </c>
      <c r="C1715" t="s">
        <v>7856</v>
      </c>
      <c r="D1715" t="s">
        <v>3242</v>
      </c>
      <c r="E1715" t="s">
        <v>15710</v>
      </c>
      <c r="F1715" t="s">
        <v>3243</v>
      </c>
      <c r="G1715" t="s">
        <v>7857</v>
      </c>
      <c r="H1715" t="s">
        <v>3285</v>
      </c>
    </row>
    <row r="1716" spans="1:9" x14ac:dyDescent="0.25">
      <c r="A1716" t="s">
        <v>7858</v>
      </c>
      <c r="B1716" t="s">
        <v>7858</v>
      </c>
      <c r="C1716" t="s">
        <v>7859</v>
      </c>
      <c r="D1716" t="s">
        <v>3242</v>
      </c>
      <c r="E1716" t="s">
        <v>15710</v>
      </c>
      <c r="F1716" t="s">
        <v>3306</v>
      </c>
      <c r="G1716" t="s">
        <v>7860</v>
      </c>
      <c r="H1716" t="s">
        <v>6803</v>
      </c>
    </row>
    <row r="1717" spans="1:9" x14ac:dyDescent="0.25">
      <c r="A1717" t="s">
        <v>7861</v>
      </c>
      <c r="B1717" t="s">
        <v>7861</v>
      </c>
      <c r="C1717" t="s">
        <v>7862</v>
      </c>
      <c r="D1717" t="s">
        <v>3242</v>
      </c>
      <c r="E1717" t="s">
        <v>16467</v>
      </c>
      <c r="F1717" t="s">
        <v>3257</v>
      </c>
      <c r="G1717" t="s">
        <v>7863</v>
      </c>
      <c r="H1717" t="s">
        <v>6286</v>
      </c>
      <c r="I1717" t="s">
        <v>3324</v>
      </c>
    </row>
    <row r="1718" spans="1:9" x14ac:dyDescent="0.25">
      <c r="A1718" t="s">
        <v>15113</v>
      </c>
      <c r="B1718" t="s">
        <v>15113</v>
      </c>
      <c r="C1718" t="s">
        <v>15114</v>
      </c>
      <c r="D1718" t="s">
        <v>3242</v>
      </c>
      <c r="E1718" t="s">
        <v>15710</v>
      </c>
      <c r="F1718" t="s">
        <v>3243</v>
      </c>
      <c r="G1718" t="s">
        <v>15115</v>
      </c>
      <c r="H1718" t="s">
        <v>3402</v>
      </c>
    </row>
    <row r="1719" spans="1:9" x14ac:dyDescent="0.25">
      <c r="A1719" t="s">
        <v>7864</v>
      </c>
      <c r="B1719" t="s">
        <v>7864</v>
      </c>
      <c r="C1719" t="s">
        <v>7865</v>
      </c>
      <c r="D1719" t="s">
        <v>3242</v>
      </c>
      <c r="E1719" t="s">
        <v>15710</v>
      </c>
      <c r="F1719" t="s">
        <v>3243</v>
      </c>
      <c r="G1719" t="s">
        <v>7866</v>
      </c>
      <c r="H1719" t="s">
        <v>7867</v>
      </c>
      <c r="I1719" t="s">
        <v>7673</v>
      </c>
    </row>
    <row r="1720" spans="1:9" x14ac:dyDescent="0.25">
      <c r="A1720" t="s">
        <v>7868</v>
      </c>
      <c r="B1720" t="s">
        <v>7868</v>
      </c>
      <c r="C1720" t="s">
        <v>7869</v>
      </c>
      <c r="D1720" t="s">
        <v>3242</v>
      </c>
      <c r="E1720" t="s">
        <v>15710</v>
      </c>
      <c r="F1720" t="s">
        <v>3243</v>
      </c>
      <c r="G1720" t="s">
        <v>7870</v>
      </c>
      <c r="H1720" t="s">
        <v>7867</v>
      </c>
    </row>
    <row r="1721" spans="1:9" x14ac:dyDescent="0.25">
      <c r="A1721" t="s">
        <v>7871</v>
      </c>
      <c r="B1721" t="s">
        <v>7871</v>
      </c>
      <c r="C1721" t="s">
        <v>7872</v>
      </c>
      <c r="D1721" t="s">
        <v>3242</v>
      </c>
      <c r="E1721" t="s">
        <v>15710</v>
      </c>
      <c r="F1721" t="s">
        <v>3345</v>
      </c>
      <c r="G1721" t="s">
        <v>7873</v>
      </c>
      <c r="H1721" t="s">
        <v>3285</v>
      </c>
    </row>
    <row r="1722" spans="1:9" x14ac:dyDescent="0.25">
      <c r="A1722" t="s">
        <v>7874</v>
      </c>
      <c r="B1722" t="s">
        <v>7874</v>
      </c>
      <c r="C1722" t="s">
        <v>7875</v>
      </c>
      <c r="D1722" t="s">
        <v>3242</v>
      </c>
      <c r="E1722" t="s">
        <v>15710</v>
      </c>
      <c r="F1722" t="s">
        <v>3243</v>
      </c>
      <c r="G1722" t="s">
        <v>7876</v>
      </c>
      <c r="H1722" t="s">
        <v>3060</v>
      </c>
    </row>
    <row r="1723" spans="1:9" x14ac:dyDescent="0.25">
      <c r="A1723" t="s">
        <v>7877</v>
      </c>
      <c r="B1723" t="s">
        <v>7877</v>
      </c>
      <c r="C1723" t="s">
        <v>7875</v>
      </c>
      <c r="D1723" t="s">
        <v>3242</v>
      </c>
      <c r="E1723" t="s">
        <v>15884</v>
      </c>
      <c r="F1723" t="s">
        <v>3243</v>
      </c>
      <c r="G1723" t="s">
        <v>7878</v>
      </c>
      <c r="H1723" t="s">
        <v>3060</v>
      </c>
    </row>
    <row r="1724" spans="1:9" x14ac:dyDescent="0.25">
      <c r="A1724" t="s">
        <v>16765</v>
      </c>
      <c r="B1724" t="s">
        <v>16765</v>
      </c>
      <c r="C1724" t="s">
        <v>16766</v>
      </c>
      <c r="D1724" t="s">
        <v>3242</v>
      </c>
      <c r="E1724" t="s">
        <v>16836</v>
      </c>
      <c r="F1724" t="s">
        <v>3257</v>
      </c>
      <c r="G1724" t="s">
        <v>16767</v>
      </c>
      <c r="H1724" t="s">
        <v>3060</v>
      </c>
      <c r="I1724" t="s">
        <v>3694</v>
      </c>
    </row>
    <row r="1725" spans="1:9" x14ac:dyDescent="0.25">
      <c r="A1725" t="s">
        <v>7879</v>
      </c>
      <c r="B1725" t="s">
        <v>7879</v>
      </c>
      <c r="C1725" t="s">
        <v>7880</v>
      </c>
      <c r="D1725" t="s">
        <v>3242</v>
      </c>
      <c r="E1725" t="s">
        <v>15710</v>
      </c>
      <c r="F1725" t="s">
        <v>3345</v>
      </c>
      <c r="G1725" t="s">
        <v>7881</v>
      </c>
      <c r="H1725" t="s">
        <v>3060</v>
      </c>
    </row>
    <row r="1726" spans="1:9" x14ac:dyDescent="0.25">
      <c r="A1726" t="s">
        <v>7882</v>
      </c>
      <c r="B1726" t="s">
        <v>7882</v>
      </c>
      <c r="C1726" t="s">
        <v>7883</v>
      </c>
      <c r="D1726" t="s">
        <v>3242</v>
      </c>
      <c r="E1726" t="s">
        <v>15710</v>
      </c>
      <c r="F1726" t="s">
        <v>3243</v>
      </c>
      <c r="G1726" t="s">
        <v>7884</v>
      </c>
      <c r="H1726" t="s">
        <v>3285</v>
      </c>
    </row>
    <row r="1727" spans="1:9" x14ac:dyDescent="0.25">
      <c r="A1727" t="s">
        <v>7885</v>
      </c>
      <c r="B1727" t="s">
        <v>7885</v>
      </c>
      <c r="C1727" t="s">
        <v>7886</v>
      </c>
      <c r="D1727" t="s">
        <v>3242</v>
      </c>
      <c r="E1727" t="s">
        <v>15710</v>
      </c>
      <c r="F1727" t="s">
        <v>7887</v>
      </c>
      <c r="G1727" t="s">
        <v>7888</v>
      </c>
      <c r="H1727" t="s">
        <v>3060</v>
      </c>
      <c r="I1727" t="s">
        <v>4028</v>
      </c>
    </row>
    <row r="1728" spans="1:9" x14ac:dyDescent="0.25">
      <c r="A1728" t="s">
        <v>7889</v>
      </c>
      <c r="B1728" t="s">
        <v>7889</v>
      </c>
      <c r="C1728" t="s">
        <v>7890</v>
      </c>
      <c r="D1728" t="s">
        <v>3242</v>
      </c>
      <c r="E1728" t="s">
        <v>15710</v>
      </c>
      <c r="F1728" t="s">
        <v>3243</v>
      </c>
      <c r="G1728" t="s">
        <v>7891</v>
      </c>
      <c r="H1728" t="s">
        <v>4953</v>
      </c>
    </row>
    <row r="1729" spans="1:9" x14ac:dyDescent="0.25">
      <c r="A1729" t="s">
        <v>7892</v>
      </c>
      <c r="B1729" t="s">
        <v>7892</v>
      </c>
      <c r="C1729" t="s">
        <v>7893</v>
      </c>
      <c r="D1729" t="s">
        <v>3242</v>
      </c>
      <c r="E1729" t="s">
        <v>16991</v>
      </c>
      <c r="F1729" t="s">
        <v>3243</v>
      </c>
      <c r="G1729" t="s">
        <v>7894</v>
      </c>
      <c r="H1729" t="s">
        <v>3060</v>
      </c>
    </row>
    <row r="1730" spans="1:9" x14ac:dyDescent="0.25">
      <c r="A1730" t="s">
        <v>7895</v>
      </c>
      <c r="B1730" t="s">
        <v>7895</v>
      </c>
      <c r="C1730" t="s">
        <v>7896</v>
      </c>
      <c r="D1730" t="s">
        <v>3242</v>
      </c>
      <c r="E1730" t="s">
        <v>17268</v>
      </c>
      <c r="F1730" t="s">
        <v>3372</v>
      </c>
      <c r="G1730" t="s">
        <v>7897</v>
      </c>
      <c r="H1730" t="s">
        <v>3267</v>
      </c>
      <c r="I1730" t="s">
        <v>14986</v>
      </c>
    </row>
    <row r="1731" spans="1:9" x14ac:dyDescent="0.25">
      <c r="A1731" t="s">
        <v>7898</v>
      </c>
      <c r="B1731" t="s">
        <v>7898</v>
      </c>
      <c r="C1731" t="s">
        <v>7899</v>
      </c>
      <c r="D1731" t="s">
        <v>3242</v>
      </c>
      <c r="E1731" t="s">
        <v>15710</v>
      </c>
      <c r="F1731" t="s">
        <v>6162</v>
      </c>
      <c r="G1731" t="s">
        <v>7900</v>
      </c>
      <c r="H1731" t="s">
        <v>3248</v>
      </c>
      <c r="I1731" t="s">
        <v>3263</v>
      </c>
    </row>
    <row r="1732" spans="1:9" x14ac:dyDescent="0.25">
      <c r="A1732" t="s">
        <v>7901</v>
      </c>
      <c r="B1732" t="s">
        <v>7901</v>
      </c>
      <c r="C1732" t="s">
        <v>7902</v>
      </c>
      <c r="D1732" t="s">
        <v>3242</v>
      </c>
      <c r="E1732" t="s">
        <v>15710</v>
      </c>
      <c r="F1732" t="s">
        <v>3243</v>
      </c>
      <c r="G1732" t="s">
        <v>7903</v>
      </c>
      <c r="H1732" t="s">
        <v>7904</v>
      </c>
    </row>
    <row r="1733" spans="1:9" x14ac:dyDescent="0.25">
      <c r="A1733" t="s">
        <v>16468</v>
      </c>
      <c r="B1733" t="s">
        <v>16468</v>
      </c>
      <c r="C1733" t="s">
        <v>16469</v>
      </c>
      <c r="D1733" t="s">
        <v>3242</v>
      </c>
      <c r="E1733" t="s">
        <v>15710</v>
      </c>
      <c r="F1733" t="s">
        <v>3243</v>
      </c>
      <c r="G1733" t="s">
        <v>16470</v>
      </c>
      <c r="H1733" t="s">
        <v>3267</v>
      </c>
    </row>
    <row r="1734" spans="1:9" x14ac:dyDescent="0.25">
      <c r="A1734" t="s">
        <v>7905</v>
      </c>
      <c r="B1734" t="s">
        <v>7905</v>
      </c>
      <c r="C1734" t="s">
        <v>7906</v>
      </c>
      <c r="D1734" t="s">
        <v>3242</v>
      </c>
      <c r="E1734" t="s">
        <v>15710</v>
      </c>
      <c r="F1734" t="s">
        <v>3345</v>
      </c>
      <c r="G1734" t="s">
        <v>7907</v>
      </c>
      <c r="H1734" t="s">
        <v>7908</v>
      </c>
    </row>
    <row r="1735" spans="1:9" x14ac:dyDescent="0.25">
      <c r="A1735" t="s">
        <v>7909</v>
      </c>
      <c r="B1735" t="s">
        <v>7909</v>
      </c>
      <c r="C1735" t="s">
        <v>7910</v>
      </c>
      <c r="D1735" t="s">
        <v>3242</v>
      </c>
      <c r="E1735" t="s">
        <v>15710</v>
      </c>
      <c r="F1735" t="s">
        <v>3345</v>
      </c>
      <c r="G1735" t="s">
        <v>7911</v>
      </c>
      <c r="H1735" t="s">
        <v>3285</v>
      </c>
    </row>
    <row r="1736" spans="1:9" x14ac:dyDescent="0.25">
      <c r="A1736" t="s">
        <v>7912</v>
      </c>
      <c r="B1736" t="s">
        <v>7912</v>
      </c>
      <c r="C1736" t="s">
        <v>7913</v>
      </c>
      <c r="D1736" t="s">
        <v>3242</v>
      </c>
      <c r="E1736" t="s">
        <v>15710</v>
      </c>
      <c r="F1736" t="s">
        <v>3243</v>
      </c>
      <c r="G1736" t="s">
        <v>7914</v>
      </c>
      <c r="H1736" t="s">
        <v>3668</v>
      </c>
    </row>
    <row r="1737" spans="1:9" x14ac:dyDescent="0.25">
      <c r="A1737" t="s">
        <v>7915</v>
      </c>
      <c r="B1737" t="s">
        <v>7915</v>
      </c>
      <c r="C1737" t="s">
        <v>7916</v>
      </c>
      <c r="D1737" t="s">
        <v>3242</v>
      </c>
      <c r="E1737" t="s">
        <v>15710</v>
      </c>
      <c r="F1737" t="s">
        <v>3288</v>
      </c>
      <c r="G1737" t="s">
        <v>7917</v>
      </c>
      <c r="H1737" t="s">
        <v>7918</v>
      </c>
    </row>
    <row r="1738" spans="1:9" x14ac:dyDescent="0.25">
      <c r="A1738" t="s">
        <v>7919</v>
      </c>
      <c r="B1738" t="s">
        <v>7919</v>
      </c>
      <c r="C1738" t="s">
        <v>7920</v>
      </c>
      <c r="D1738" t="s">
        <v>3242</v>
      </c>
      <c r="E1738" t="s">
        <v>15710</v>
      </c>
      <c r="F1738" t="s">
        <v>3243</v>
      </c>
      <c r="G1738" t="s">
        <v>7921</v>
      </c>
      <c r="H1738" t="s">
        <v>7922</v>
      </c>
    </row>
    <row r="1739" spans="1:9" x14ac:dyDescent="0.25">
      <c r="A1739" t="s">
        <v>7923</v>
      </c>
      <c r="B1739" t="s">
        <v>7923</v>
      </c>
      <c r="C1739" t="s">
        <v>7924</v>
      </c>
      <c r="D1739" t="s">
        <v>3242</v>
      </c>
      <c r="E1739" t="s">
        <v>15710</v>
      </c>
      <c r="F1739" t="s">
        <v>3243</v>
      </c>
      <c r="G1739" t="s">
        <v>7925</v>
      </c>
      <c r="H1739" t="s">
        <v>7926</v>
      </c>
    </row>
    <row r="1740" spans="1:9" x14ac:dyDescent="0.25">
      <c r="A1740" t="s">
        <v>15116</v>
      </c>
      <c r="B1740" t="s">
        <v>15116</v>
      </c>
      <c r="C1740" t="s">
        <v>15117</v>
      </c>
      <c r="D1740" t="s">
        <v>3242</v>
      </c>
      <c r="E1740" t="s">
        <v>15710</v>
      </c>
      <c r="F1740" t="s">
        <v>3243</v>
      </c>
      <c r="G1740" t="s">
        <v>15118</v>
      </c>
      <c r="H1740" t="s">
        <v>15119</v>
      </c>
    </row>
    <row r="1741" spans="1:9" x14ac:dyDescent="0.25">
      <c r="A1741" t="s">
        <v>7927</v>
      </c>
      <c r="B1741" t="s">
        <v>7927</v>
      </c>
      <c r="C1741" t="s">
        <v>7928</v>
      </c>
      <c r="D1741" t="s">
        <v>3242</v>
      </c>
      <c r="E1741" t="s">
        <v>15710</v>
      </c>
      <c r="F1741" t="s">
        <v>5275</v>
      </c>
      <c r="G1741" t="s">
        <v>7929</v>
      </c>
      <c r="H1741" t="s">
        <v>3463</v>
      </c>
    </row>
    <row r="1742" spans="1:9" x14ac:dyDescent="0.25">
      <c r="A1742" t="s">
        <v>7930</v>
      </c>
      <c r="B1742" t="s">
        <v>7930</v>
      </c>
      <c r="C1742" t="s">
        <v>7931</v>
      </c>
      <c r="D1742" t="s">
        <v>3242</v>
      </c>
      <c r="E1742" t="s">
        <v>15710</v>
      </c>
      <c r="F1742" t="s">
        <v>3243</v>
      </c>
      <c r="G1742" t="s">
        <v>7932</v>
      </c>
      <c r="H1742" t="s">
        <v>7867</v>
      </c>
    </row>
    <row r="1743" spans="1:9" x14ac:dyDescent="0.25">
      <c r="A1743" t="s">
        <v>16992</v>
      </c>
      <c r="B1743" t="s">
        <v>16992</v>
      </c>
      <c r="C1743" t="s">
        <v>16993</v>
      </c>
      <c r="D1743" t="s">
        <v>3242</v>
      </c>
      <c r="E1743" t="s">
        <v>16994</v>
      </c>
      <c r="F1743" t="s">
        <v>16995</v>
      </c>
      <c r="G1743" t="s">
        <v>16996</v>
      </c>
      <c r="H1743" t="s">
        <v>3537</v>
      </c>
      <c r="I1743" t="s">
        <v>4605</v>
      </c>
    </row>
    <row r="1744" spans="1:9" x14ac:dyDescent="0.25">
      <c r="A1744" t="s">
        <v>7933</v>
      </c>
      <c r="B1744" t="s">
        <v>7933</v>
      </c>
      <c r="C1744" t="s">
        <v>7934</v>
      </c>
      <c r="D1744" t="s">
        <v>3242</v>
      </c>
      <c r="E1744" t="s">
        <v>15710</v>
      </c>
      <c r="F1744" t="s">
        <v>3243</v>
      </c>
      <c r="G1744" t="s">
        <v>7935</v>
      </c>
      <c r="H1744" t="s">
        <v>3285</v>
      </c>
    </row>
    <row r="1745" spans="1:9" x14ac:dyDescent="0.25">
      <c r="A1745" t="s">
        <v>7936</v>
      </c>
      <c r="B1745" t="s">
        <v>7936</v>
      </c>
      <c r="C1745" t="s">
        <v>7937</v>
      </c>
      <c r="D1745" t="s">
        <v>3242</v>
      </c>
      <c r="E1745" t="s">
        <v>15710</v>
      </c>
      <c r="F1745" t="s">
        <v>3243</v>
      </c>
      <c r="G1745" t="s">
        <v>7938</v>
      </c>
      <c r="H1745" t="s">
        <v>3285</v>
      </c>
    </row>
    <row r="1746" spans="1:9" x14ac:dyDescent="0.25">
      <c r="A1746" t="s">
        <v>7939</v>
      </c>
      <c r="B1746" t="s">
        <v>7939</v>
      </c>
      <c r="C1746" t="s">
        <v>7940</v>
      </c>
      <c r="D1746" t="s">
        <v>3242</v>
      </c>
      <c r="E1746" t="s">
        <v>15710</v>
      </c>
      <c r="F1746" t="s">
        <v>3243</v>
      </c>
      <c r="G1746" t="s">
        <v>7941</v>
      </c>
      <c r="H1746" t="s">
        <v>3402</v>
      </c>
    </row>
    <row r="1747" spans="1:9" x14ac:dyDescent="0.25">
      <c r="A1747" t="s">
        <v>7942</v>
      </c>
      <c r="B1747" t="s">
        <v>7942</v>
      </c>
      <c r="C1747" t="s">
        <v>7943</v>
      </c>
      <c r="D1747" t="s">
        <v>3242</v>
      </c>
      <c r="E1747" t="s">
        <v>15710</v>
      </c>
      <c r="F1747" t="s">
        <v>7944</v>
      </c>
      <c r="G1747" t="s">
        <v>7945</v>
      </c>
      <c r="H1747" t="s">
        <v>5151</v>
      </c>
    </row>
    <row r="1748" spans="1:9" x14ac:dyDescent="0.25">
      <c r="A1748" t="s">
        <v>7946</v>
      </c>
      <c r="B1748" t="s">
        <v>7946</v>
      </c>
      <c r="C1748" t="s">
        <v>7947</v>
      </c>
      <c r="D1748" t="s">
        <v>3242</v>
      </c>
      <c r="E1748" t="s">
        <v>15710</v>
      </c>
      <c r="F1748" t="s">
        <v>3243</v>
      </c>
      <c r="G1748" t="s">
        <v>7948</v>
      </c>
      <c r="H1748" t="s">
        <v>3936</v>
      </c>
    </row>
    <row r="1749" spans="1:9" x14ac:dyDescent="0.25">
      <c r="A1749" t="s">
        <v>7949</v>
      </c>
      <c r="B1749" t="s">
        <v>7949</v>
      </c>
      <c r="C1749" t="s">
        <v>7950</v>
      </c>
      <c r="D1749" t="s">
        <v>3242</v>
      </c>
      <c r="E1749" t="s">
        <v>15883</v>
      </c>
      <c r="F1749" t="s">
        <v>3345</v>
      </c>
      <c r="G1749" t="s">
        <v>7951</v>
      </c>
      <c r="H1749" t="s">
        <v>4045</v>
      </c>
    </row>
    <row r="1750" spans="1:9" x14ac:dyDescent="0.25">
      <c r="A1750" t="s">
        <v>7952</v>
      </c>
      <c r="B1750" t="s">
        <v>7952</v>
      </c>
      <c r="C1750" t="s">
        <v>7953</v>
      </c>
      <c r="D1750" t="s">
        <v>3242</v>
      </c>
      <c r="E1750" t="s">
        <v>15710</v>
      </c>
      <c r="F1750" t="s">
        <v>3243</v>
      </c>
      <c r="G1750" t="s">
        <v>7954</v>
      </c>
      <c r="H1750" t="s">
        <v>3463</v>
      </c>
    </row>
    <row r="1751" spans="1:9" x14ac:dyDescent="0.25">
      <c r="A1751" t="s">
        <v>17269</v>
      </c>
      <c r="B1751" t="s">
        <v>17269</v>
      </c>
      <c r="C1751" t="s">
        <v>17270</v>
      </c>
      <c r="D1751" t="s">
        <v>3242</v>
      </c>
      <c r="E1751" t="s">
        <v>15710</v>
      </c>
      <c r="F1751" t="s">
        <v>3288</v>
      </c>
      <c r="G1751" t="s">
        <v>17271</v>
      </c>
      <c r="H1751" t="s">
        <v>3060</v>
      </c>
    </row>
    <row r="1752" spans="1:9" x14ac:dyDescent="0.25">
      <c r="A1752" t="s">
        <v>7955</v>
      </c>
      <c r="B1752" t="s">
        <v>7955</v>
      </c>
      <c r="C1752" t="s">
        <v>7956</v>
      </c>
      <c r="D1752" t="s">
        <v>3242</v>
      </c>
      <c r="E1752" t="s">
        <v>15710</v>
      </c>
      <c r="F1752" t="s">
        <v>3345</v>
      </c>
      <c r="G1752" t="s">
        <v>7957</v>
      </c>
      <c r="H1752" t="s">
        <v>3285</v>
      </c>
    </row>
    <row r="1753" spans="1:9" x14ac:dyDescent="0.25">
      <c r="A1753" t="s">
        <v>7958</v>
      </c>
      <c r="B1753" t="s">
        <v>7958</v>
      </c>
      <c r="C1753" t="s">
        <v>7959</v>
      </c>
      <c r="D1753" t="s">
        <v>3242</v>
      </c>
      <c r="E1753" t="s">
        <v>15710</v>
      </c>
      <c r="F1753" t="s">
        <v>3243</v>
      </c>
      <c r="G1753" t="s">
        <v>7960</v>
      </c>
      <c r="H1753" t="s">
        <v>3060</v>
      </c>
    </row>
    <row r="1754" spans="1:9" x14ac:dyDescent="0.25">
      <c r="A1754" t="s">
        <v>7961</v>
      </c>
      <c r="B1754" t="s">
        <v>7961</v>
      </c>
      <c r="C1754" t="s">
        <v>7962</v>
      </c>
      <c r="D1754" t="s">
        <v>3242</v>
      </c>
      <c r="E1754" t="s">
        <v>15710</v>
      </c>
      <c r="F1754" t="s">
        <v>3243</v>
      </c>
      <c r="G1754" t="s">
        <v>7963</v>
      </c>
      <c r="H1754" t="s">
        <v>3623</v>
      </c>
    </row>
    <row r="1755" spans="1:9" x14ac:dyDescent="0.25">
      <c r="A1755" t="s">
        <v>7964</v>
      </c>
      <c r="B1755" t="s">
        <v>7964</v>
      </c>
      <c r="C1755" t="s">
        <v>7965</v>
      </c>
      <c r="D1755" t="s">
        <v>3242</v>
      </c>
      <c r="E1755" t="s">
        <v>15710</v>
      </c>
      <c r="F1755" t="s">
        <v>3243</v>
      </c>
      <c r="G1755" t="s">
        <v>7966</v>
      </c>
      <c r="H1755" t="s">
        <v>3285</v>
      </c>
    </row>
    <row r="1756" spans="1:9" x14ac:dyDescent="0.25">
      <c r="A1756" t="s">
        <v>7967</v>
      </c>
      <c r="B1756" t="s">
        <v>7967</v>
      </c>
      <c r="C1756" t="s">
        <v>7968</v>
      </c>
      <c r="D1756" t="s">
        <v>3242</v>
      </c>
      <c r="E1756" t="s">
        <v>16997</v>
      </c>
      <c r="F1756" t="s">
        <v>3288</v>
      </c>
      <c r="G1756" t="s">
        <v>7969</v>
      </c>
      <c r="H1756" t="s">
        <v>6843</v>
      </c>
    </row>
    <row r="1757" spans="1:9" x14ac:dyDescent="0.25">
      <c r="A1757" t="s">
        <v>7970</v>
      </c>
      <c r="B1757" t="s">
        <v>7970</v>
      </c>
      <c r="C1757" t="s">
        <v>7971</v>
      </c>
      <c r="D1757" t="s">
        <v>3242</v>
      </c>
      <c r="E1757" t="s">
        <v>15710</v>
      </c>
      <c r="F1757" t="s">
        <v>3345</v>
      </c>
      <c r="G1757" t="s">
        <v>7972</v>
      </c>
      <c r="H1757" t="s">
        <v>3285</v>
      </c>
    </row>
    <row r="1758" spans="1:9" x14ac:dyDescent="0.25">
      <c r="A1758" t="s">
        <v>7973</v>
      </c>
      <c r="B1758" t="s">
        <v>7973</v>
      </c>
      <c r="C1758" t="s">
        <v>7974</v>
      </c>
      <c r="D1758" t="s">
        <v>3242</v>
      </c>
      <c r="E1758" t="s">
        <v>15710</v>
      </c>
      <c r="F1758" t="s">
        <v>3243</v>
      </c>
      <c r="G1758" t="s">
        <v>7975</v>
      </c>
      <c r="H1758" t="s">
        <v>3285</v>
      </c>
    </row>
    <row r="1759" spans="1:9" x14ac:dyDescent="0.25">
      <c r="A1759" t="s">
        <v>7976</v>
      </c>
      <c r="B1759" t="s">
        <v>7976</v>
      </c>
      <c r="C1759" t="s">
        <v>7977</v>
      </c>
      <c r="D1759" t="s">
        <v>3242</v>
      </c>
      <c r="E1759" t="s">
        <v>15710</v>
      </c>
      <c r="F1759" t="s">
        <v>3243</v>
      </c>
      <c r="G1759" t="s">
        <v>7978</v>
      </c>
      <c r="H1759" t="s">
        <v>3285</v>
      </c>
    </row>
    <row r="1760" spans="1:9" x14ac:dyDescent="0.25">
      <c r="A1760" t="s">
        <v>7979</v>
      </c>
      <c r="B1760" t="s">
        <v>7979</v>
      </c>
      <c r="C1760" t="s">
        <v>7980</v>
      </c>
      <c r="D1760" t="s">
        <v>3242</v>
      </c>
      <c r="E1760" t="s">
        <v>15710</v>
      </c>
      <c r="F1760" t="s">
        <v>3257</v>
      </c>
      <c r="G1760" t="s">
        <v>7981</v>
      </c>
      <c r="H1760" t="s">
        <v>3267</v>
      </c>
      <c r="I1760" t="s">
        <v>3268</v>
      </c>
    </row>
    <row r="1761" spans="1:9" x14ac:dyDescent="0.25">
      <c r="A1761" t="s">
        <v>7982</v>
      </c>
      <c r="B1761" t="s">
        <v>7982</v>
      </c>
      <c r="C1761" t="s">
        <v>7983</v>
      </c>
      <c r="D1761" t="s">
        <v>3242</v>
      </c>
      <c r="E1761" t="s">
        <v>15710</v>
      </c>
      <c r="F1761" t="s">
        <v>3288</v>
      </c>
      <c r="G1761" t="s">
        <v>7984</v>
      </c>
      <c r="H1761" t="s">
        <v>7985</v>
      </c>
    </row>
    <row r="1762" spans="1:9" x14ac:dyDescent="0.25">
      <c r="A1762" t="s">
        <v>7986</v>
      </c>
      <c r="B1762" t="s">
        <v>7986</v>
      </c>
      <c r="C1762" t="s">
        <v>7987</v>
      </c>
      <c r="D1762" t="s">
        <v>3242</v>
      </c>
      <c r="E1762" t="s">
        <v>15710</v>
      </c>
      <c r="F1762" t="s">
        <v>3243</v>
      </c>
      <c r="G1762" t="s">
        <v>7988</v>
      </c>
      <c r="H1762" t="s">
        <v>3463</v>
      </c>
    </row>
    <row r="1763" spans="1:9" x14ac:dyDescent="0.25">
      <c r="A1763" t="s">
        <v>7989</v>
      </c>
      <c r="B1763" t="s">
        <v>7989</v>
      </c>
      <c r="C1763" t="s">
        <v>7990</v>
      </c>
      <c r="D1763" t="s">
        <v>3242</v>
      </c>
      <c r="E1763" t="s">
        <v>15710</v>
      </c>
      <c r="F1763" t="s">
        <v>3243</v>
      </c>
      <c r="G1763" t="s">
        <v>7991</v>
      </c>
      <c r="H1763" t="s">
        <v>3402</v>
      </c>
    </row>
    <row r="1764" spans="1:9" x14ac:dyDescent="0.25">
      <c r="A1764" t="s">
        <v>7992</v>
      </c>
      <c r="B1764" t="s">
        <v>7992</v>
      </c>
      <c r="C1764" t="s">
        <v>7993</v>
      </c>
      <c r="D1764" t="s">
        <v>3242</v>
      </c>
      <c r="E1764" t="s">
        <v>15710</v>
      </c>
      <c r="F1764" t="s">
        <v>3243</v>
      </c>
      <c r="G1764" t="s">
        <v>7994</v>
      </c>
      <c r="H1764" t="s">
        <v>3285</v>
      </c>
    </row>
    <row r="1765" spans="1:9" x14ac:dyDescent="0.25">
      <c r="A1765" t="s">
        <v>7995</v>
      </c>
      <c r="B1765" t="s">
        <v>7995</v>
      </c>
      <c r="C1765" t="s">
        <v>7996</v>
      </c>
      <c r="D1765" t="s">
        <v>3242</v>
      </c>
      <c r="E1765" t="s">
        <v>15710</v>
      </c>
      <c r="F1765" t="s">
        <v>3243</v>
      </c>
      <c r="G1765" t="s">
        <v>7997</v>
      </c>
      <c r="H1765" t="s">
        <v>3402</v>
      </c>
    </row>
    <row r="1766" spans="1:9" x14ac:dyDescent="0.25">
      <c r="A1766" t="s">
        <v>7998</v>
      </c>
      <c r="B1766" t="s">
        <v>7998</v>
      </c>
      <c r="C1766" t="s">
        <v>7999</v>
      </c>
      <c r="D1766" t="s">
        <v>3242</v>
      </c>
      <c r="E1766" t="s">
        <v>15710</v>
      </c>
      <c r="F1766" t="s">
        <v>3345</v>
      </c>
      <c r="G1766" t="s">
        <v>8000</v>
      </c>
      <c r="H1766" t="s">
        <v>8001</v>
      </c>
    </row>
    <row r="1767" spans="1:9" x14ac:dyDescent="0.25">
      <c r="A1767" t="s">
        <v>8002</v>
      </c>
      <c r="B1767" t="s">
        <v>8002</v>
      </c>
      <c r="C1767" t="s">
        <v>8003</v>
      </c>
      <c r="D1767" t="s">
        <v>3242</v>
      </c>
      <c r="E1767" t="s">
        <v>15910</v>
      </c>
      <c r="F1767" t="s">
        <v>3257</v>
      </c>
      <c r="G1767" t="s">
        <v>8004</v>
      </c>
      <c r="H1767" t="s">
        <v>6502</v>
      </c>
      <c r="I1767" t="s">
        <v>3268</v>
      </c>
    </row>
    <row r="1768" spans="1:9" x14ac:dyDescent="0.25">
      <c r="A1768" t="s">
        <v>15120</v>
      </c>
      <c r="B1768" t="s">
        <v>15120</v>
      </c>
      <c r="C1768" t="s">
        <v>15121</v>
      </c>
      <c r="D1768" t="s">
        <v>3242</v>
      </c>
      <c r="E1768" t="s">
        <v>15710</v>
      </c>
      <c r="F1768" t="s">
        <v>3243</v>
      </c>
      <c r="G1768" t="s">
        <v>15122</v>
      </c>
      <c r="H1768" t="s">
        <v>15123</v>
      </c>
    </row>
    <row r="1769" spans="1:9" x14ac:dyDescent="0.25">
      <c r="A1769" t="s">
        <v>8005</v>
      </c>
      <c r="B1769" t="s">
        <v>8005</v>
      </c>
      <c r="C1769" t="s">
        <v>8006</v>
      </c>
      <c r="D1769" t="s">
        <v>3242</v>
      </c>
      <c r="E1769" t="s">
        <v>15710</v>
      </c>
      <c r="F1769" t="s">
        <v>3243</v>
      </c>
      <c r="G1769" t="s">
        <v>8007</v>
      </c>
      <c r="H1769" t="s">
        <v>3285</v>
      </c>
    </row>
    <row r="1770" spans="1:9" x14ac:dyDescent="0.25">
      <c r="A1770" t="s">
        <v>16471</v>
      </c>
      <c r="B1770" t="s">
        <v>16471</v>
      </c>
      <c r="C1770" t="s">
        <v>16472</v>
      </c>
      <c r="D1770" t="s">
        <v>3242</v>
      </c>
      <c r="E1770" t="s">
        <v>15710</v>
      </c>
      <c r="F1770" t="s">
        <v>3243</v>
      </c>
      <c r="G1770" t="s">
        <v>16473</v>
      </c>
      <c r="H1770" t="s">
        <v>16020</v>
      </c>
    </row>
    <row r="1771" spans="1:9" x14ac:dyDescent="0.25">
      <c r="A1771" t="s">
        <v>8008</v>
      </c>
      <c r="B1771" t="s">
        <v>8008</v>
      </c>
      <c r="C1771" t="s">
        <v>8009</v>
      </c>
      <c r="D1771" t="s">
        <v>3242</v>
      </c>
      <c r="E1771" t="s">
        <v>15710</v>
      </c>
      <c r="F1771" t="s">
        <v>3257</v>
      </c>
      <c r="G1771" t="s">
        <v>8010</v>
      </c>
      <c r="H1771" t="s">
        <v>3267</v>
      </c>
      <c r="I1771" t="s">
        <v>3268</v>
      </c>
    </row>
    <row r="1772" spans="1:9" x14ac:dyDescent="0.25">
      <c r="A1772" t="s">
        <v>8011</v>
      </c>
      <c r="B1772" t="s">
        <v>8011</v>
      </c>
      <c r="C1772" t="s">
        <v>8012</v>
      </c>
      <c r="D1772" t="s">
        <v>3242</v>
      </c>
      <c r="E1772" t="s">
        <v>15710</v>
      </c>
      <c r="F1772" t="s">
        <v>3243</v>
      </c>
      <c r="G1772" t="s">
        <v>8013</v>
      </c>
      <c r="H1772" t="s">
        <v>3285</v>
      </c>
    </row>
    <row r="1773" spans="1:9" x14ac:dyDescent="0.25">
      <c r="A1773" t="s">
        <v>8014</v>
      </c>
      <c r="B1773" t="s">
        <v>8014</v>
      </c>
      <c r="C1773" t="s">
        <v>8015</v>
      </c>
      <c r="D1773" t="s">
        <v>3242</v>
      </c>
      <c r="E1773" t="s">
        <v>15710</v>
      </c>
      <c r="F1773" t="s">
        <v>3243</v>
      </c>
      <c r="G1773" t="s">
        <v>8016</v>
      </c>
      <c r="H1773" t="s">
        <v>4740</v>
      </c>
    </row>
    <row r="1774" spans="1:9" x14ac:dyDescent="0.25">
      <c r="A1774" t="s">
        <v>15124</v>
      </c>
      <c r="B1774" t="s">
        <v>15124</v>
      </c>
      <c r="C1774" t="s">
        <v>15125</v>
      </c>
      <c r="D1774" t="s">
        <v>3242</v>
      </c>
      <c r="E1774" t="s">
        <v>15710</v>
      </c>
      <c r="F1774" t="s">
        <v>3257</v>
      </c>
      <c r="G1774" t="s">
        <v>15126</v>
      </c>
      <c r="H1774" t="s">
        <v>3060</v>
      </c>
      <c r="I1774" t="s">
        <v>3694</v>
      </c>
    </row>
    <row r="1775" spans="1:9" x14ac:dyDescent="0.25">
      <c r="A1775" t="s">
        <v>8017</v>
      </c>
      <c r="B1775" t="s">
        <v>8017</v>
      </c>
      <c r="C1775" t="s">
        <v>8018</v>
      </c>
      <c r="D1775" t="s">
        <v>3242</v>
      </c>
      <c r="E1775" t="s">
        <v>17272</v>
      </c>
      <c r="F1775" t="s">
        <v>3257</v>
      </c>
      <c r="G1775" t="s">
        <v>8019</v>
      </c>
      <c r="H1775" t="s">
        <v>3417</v>
      </c>
      <c r="I1775" t="s">
        <v>3648</v>
      </c>
    </row>
    <row r="1776" spans="1:9" x14ac:dyDescent="0.25">
      <c r="A1776" t="s">
        <v>8020</v>
      </c>
      <c r="B1776" t="s">
        <v>8020</v>
      </c>
      <c r="C1776" t="s">
        <v>8021</v>
      </c>
      <c r="D1776" t="s">
        <v>3321</v>
      </c>
      <c r="E1776" t="s">
        <v>15710</v>
      </c>
      <c r="F1776" t="s">
        <v>3257</v>
      </c>
      <c r="G1776" t="s">
        <v>8022</v>
      </c>
      <c r="H1776" t="s">
        <v>3267</v>
      </c>
      <c r="I1776" t="s">
        <v>3268</v>
      </c>
    </row>
    <row r="1777" spans="1:9" x14ac:dyDescent="0.25">
      <c r="A1777" t="s">
        <v>8023</v>
      </c>
      <c r="B1777" t="s">
        <v>8023</v>
      </c>
      <c r="C1777" t="s">
        <v>8024</v>
      </c>
      <c r="D1777" t="s">
        <v>3242</v>
      </c>
      <c r="E1777" t="s">
        <v>15710</v>
      </c>
      <c r="F1777" t="s">
        <v>4996</v>
      </c>
      <c r="G1777" t="s">
        <v>8025</v>
      </c>
      <c r="H1777" t="s">
        <v>3267</v>
      </c>
      <c r="I1777" t="s">
        <v>3268</v>
      </c>
    </row>
    <row r="1778" spans="1:9" x14ac:dyDescent="0.25">
      <c r="A1778" t="s">
        <v>8026</v>
      </c>
      <c r="B1778" t="s">
        <v>8026</v>
      </c>
      <c r="C1778" t="s">
        <v>8027</v>
      </c>
      <c r="D1778" t="s">
        <v>3321</v>
      </c>
      <c r="E1778" t="s">
        <v>15710</v>
      </c>
      <c r="F1778" t="s">
        <v>3257</v>
      </c>
      <c r="G1778" t="s">
        <v>8028</v>
      </c>
      <c r="H1778" t="s">
        <v>3267</v>
      </c>
      <c r="I1778" t="s">
        <v>3268</v>
      </c>
    </row>
    <row r="1779" spans="1:9" x14ac:dyDescent="0.25">
      <c r="A1779" t="s">
        <v>8029</v>
      </c>
      <c r="B1779" t="s">
        <v>8029</v>
      </c>
      <c r="C1779" t="s">
        <v>8030</v>
      </c>
      <c r="D1779" t="s">
        <v>3242</v>
      </c>
      <c r="E1779" t="s">
        <v>15710</v>
      </c>
      <c r="F1779" t="s">
        <v>3257</v>
      </c>
      <c r="G1779" t="s">
        <v>8031</v>
      </c>
      <c r="H1779" t="s">
        <v>5021</v>
      </c>
      <c r="I1779" t="s">
        <v>3324</v>
      </c>
    </row>
    <row r="1780" spans="1:9" x14ac:dyDescent="0.25">
      <c r="A1780" t="s">
        <v>8032</v>
      </c>
      <c r="B1780" t="s">
        <v>8032</v>
      </c>
      <c r="C1780" t="s">
        <v>8033</v>
      </c>
      <c r="D1780" t="s">
        <v>3242</v>
      </c>
      <c r="E1780" t="s">
        <v>15710</v>
      </c>
      <c r="F1780" t="s">
        <v>3243</v>
      </c>
      <c r="G1780" t="s">
        <v>8034</v>
      </c>
      <c r="H1780" t="s">
        <v>8035</v>
      </c>
    </row>
    <row r="1781" spans="1:9" x14ac:dyDescent="0.25">
      <c r="A1781" t="s">
        <v>15127</v>
      </c>
      <c r="B1781" t="s">
        <v>15127</v>
      </c>
      <c r="C1781" t="s">
        <v>15128</v>
      </c>
      <c r="D1781" t="s">
        <v>3242</v>
      </c>
      <c r="E1781" t="s">
        <v>15710</v>
      </c>
      <c r="F1781" t="s">
        <v>3243</v>
      </c>
      <c r="G1781" t="s">
        <v>15129</v>
      </c>
      <c r="H1781" t="s">
        <v>5394</v>
      </c>
    </row>
    <row r="1782" spans="1:9" x14ac:dyDescent="0.25">
      <c r="A1782" t="s">
        <v>8036</v>
      </c>
      <c r="B1782" t="s">
        <v>8036</v>
      </c>
      <c r="C1782" t="s">
        <v>8037</v>
      </c>
      <c r="D1782" t="s">
        <v>3242</v>
      </c>
      <c r="E1782" t="s">
        <v>15710</v>
      </c>
      <c r="F1782" t="s">
        <v>4996</v>
      </c>
      <c r="G1782" t="s">
        <v>8038</v>
      </c>
      <c r="H1782" t="s">
        <v>3267</v>
      </c>
      <c r="I1782" t="s">
        <v>3366</v>
      </c>
    </row>
    <row r="1783" spans="1:9" x14ac:dyDescent="0.25">
      <c r="A1783" t="s">
        <v>8039</v>
      </c>
      <c r="B1783" t="s">
        <v>8039</v>
      </c>
      <c r="C1783" t="s">
        <v>8040</v>
      </c>
      <c r="D1783" t="s">
        <v>3242</v>
      </c>
      <c r="E1783" t="s">
        <v>15710</v>
      </c>
      <c r="F1783" t="s">
        <v>3257</v>
      </c>
      <c r="G1783" t="s">
        <v>8041</v>
      </c>
      <c r="H1783" t="s">
        <v>3267</v>
      </c>
      <c r="I1783" t="s">
        <v>3268</v>
      </c>
    </row>
    <row r="1784" spans="1:9" x14ac:dyDescent="0.25">
      <c r="A1784" t="s">
        <v>8042</v>
      </c>
      <c r="B1784" t="s">
        <v>8042</v>
      </c>
      <c r="C1784" t="s">
        <v>8043</v>
      </c>
      <c r="D1784" t="s">
        <v>3242</v>
      </c>
      <c r="E1784" t="s">
        <v>15710</v>
      </c>
      <c r="F1784" t="s">
        <v>3257</v>
      </c>
      <c r="G1784" t="s">
        <v>8044</v>
      </c>
      <c r="H1784" t="s">
        <v>3267</v>
      </c>
      <c r="I1784" t="s">
        <v>3268</v>
      </c>
    </row>
    <row r="1785" spans="1:9" x14ac:dyDescent="0.25">
      <c r="A1785" t="s">
        <v>8045</v>
      </c>
      <c r="B1785" t="s">
        <v>8045</v>
      </c>
      <c r="C1785" t="s">
        <v>8046</v>
      </c>
      <c r="D1785" t="s">
        <v>3242</v>
      </c>
      <c r="E1785" t="s">
        <v>15710</v>
      </c>
      <c r="F1785" t="s">
        <v>3257</v>
      </c>
      <c r="G1785" t="s">
        <v>8047</v>
      </c>
      <c r="H1785" t="s">
        <v>3267</v>
      </c>
      <c r="I1785" t="s">
        <v>3268</v>
      </c>
    </row>
    <row r="1786" spans="1:9" x14ac:dyDescent="0.25">
      <c r="A1786" t="s">
        <v>15130</v>
      </c>
      <c r="B1786" t="s">
        <v>15130</v>
      </c>
      <c r="C1786" t="s">
        <v>15131</v>
      </c>
      <c r="D1786" t="s">
        <v>3242</v>
      </c>
      <c r="E1786" t="s">
        <v>17273</v>
      </c>
      <c r="F1786" t="s">
        <v>3306</v>
      </c>
      <c r="G1786" t="s">
        <v>15132</v>
      </c>
      <c r="H1786" t="s">
        <v>3267</v>
      </c>
      <c r="I1786" t="s">
        <v>3294</v>
      </c>
    </row>
    <row r="1787" spans="1:9" x14ac:dyDescent="0.25">
      <c r="A1787" t="s">
        <v>8048</v>
      </c>
      <c r="B1787" t="s">
        <v>8048</v>
      </c>
      <c r="C1787" t="s">
        <v>8049</v>
      </c>
      <c r="D1787" t="s">
        <v>3242</v>
      </c>
      <c r="E1787" t="s">
        <v>15710</v>
      </c>
      <c r="F1787" t="s">
        <v>3243</v>
      </c>
      <c r="G1787" t="s">
        <v>8050</v>
      </c>
      <c r="H1787" t="s">
        <v>3463</v>
      </c>
    </row>
    <row r="1788" spans="1:9" x14ac:dyDescent="0.25">
      <c r="A1788" t="s">
        <v>8051</v>
      </c>
      <c r="B1788" t="s">
        <v>8051</v>
      </c>
      <c r="C1788" t="s">
        <v>8052</v>
      </c>
      <c r="D1788" t="s">
        <v>3242</v>
      </c>
      <c r="E1788" t="s">
        <v>15710</v>
      </c>
      <c r="F1788" t="s">
        <v>3372</v>
      </c>
      <c r="G1788" t="s">
        <v>8053</v>
      </c>
      <c r="H1788" t="s">
        <v>3267</v>
      </c>
      <c r="I1788" t="s">
        <v>3268</v>
      </c>
    </row>
    <row r="1789" spans="1:9" x14ac:dyDescent="0.25">
      <c r="A1789" t="s">
        <v>8054</v>
      </c>
      <c r="B1789" t="s">
        <v>8054</v>
      </c>
      <c r="C1789" t="s">
        <v>8055</v>
      </c>
      <c r="D1789" t="s">
        <v>3242</v>
      </c>
      <c r="E1789" t="s">
        <v>17578</v>
      </c>
      <c r="F1789" t="s">
        <v>3257</v>
      </c>
      <c r="G1789" t="s">
        <v>8056</v>
      </c>
      <c r="H1789" t="s">
        <v>3267</v>
      </c>
      <c r="I1789" t="s">
        <v>3268</v>
      </c>
    </row>
    <row r="1790" spans="1:9" x14ac:dyDescent="0.25">
      <c r="A1790" t="s">
        <v>8057</v>
      </c>
      <c r="B1790" t="s">
        <v>8057</v>
      </c>
      <c r="C1790" t="s">
        <v>8058</v>
      </c>
      <c r="D1790" t="s">
        <v>3242</v>
      </c>
      <c r="E1790" t="s">
        <v>15710</v>
      </c>
      <c r="F1790" t="s">
        <v>3306</v>
      </c>
      <c r="G1790" t="s">
        <v>8059</v>
      </c>
      <c r="H1790" t="s">
        <v>3267</v>
      </c>
      <c r="I1790" t="s">
        <v>3328</v>
      </c>
    </row>
    <row r="1791" spans="1:9" x14ac:dyDescent="0.25">
      <c r="A1791" t="s">
        <v>8060</v>
      </c>
      <c r="B1791" t="s">
        <v>8060</v>
      </c>
      <c r="C1791" t="s">
        <v>8061</v>
      </c>
      <c r="D1791" t="s">
        <v>3242</v>
      </c>
      <c r="E1791" t="s">
        <v>15893</v>
      </c>
      <c r="F1791" t="s">
        <v>3257</v>
      </c>
      <c r="G1791" t="s">
        <v>8062</v>
      </c>
      <c r="H1791" t="s">
        <v>5021</v>
      </c>
      <c r="I1791" t="s">
        <v>3324</v>
      </c>
    </row>
    <row r="1792" spans="1:9" x14ac:dyDescent="0.25">
      <c r="A1792" t="s">
        <v>15133</v>
      </c>
      <c r="B1792" t="s">
        <v>15133</v>
      </c>
      <c r="C1792" t="s">
        <v>15134</v>
      </c>
      <c r="D1792" t="s">
        <v>3242</v>
      </c>
      <c r="E1792" t="s">
        <v>15894</v>
      </c>
      <c r="F1792" t="s">
        <v>3257</v>
      </c>
      <c r="G1792" t="s">
        <v>15135</v>
      </c>
      <c r="H1792" t="s">
        <v>6803</v>
      </c>
      <c r="I1792" t="s">
        <v>3366</v>
      </c>
    </row>
    <row r="1793" spans="1:9" x14ac:dyDescent="0.25">
      <c r="A1793" t="s">
        <v>8063</v>
      </c>
      <c r="B1793" t="s">
        <v>8063</v>
      </c>
      <c r="C1793" t="s">
        <v>8064</v>
      </c>
      <c r="D1793" t="s">
        <v>3242</v>
      </c>
      <c r="E1793" t="s">
        <v>17274</v>
      </c>
      <c r="F1793" t="s">
        <v>3257</v>
      </c>
      <c r="G1793" t="s">
        <v>8065</v>
      </c>
      <c r="H1793" t="s">
        <v>3267</v>
      </c>
      <c r="I1793" t="s">
        <v>3268</v>
      </c>
    </row>
    <row r="1794" spans="1:9" x14ac:dyDescent="0.25">
      <c r="A1794" t="s">
        <v>8066</v>
      </c>
      <c r="B1794" t="s">
        <v>8066</v>
      </c>
      <c r="C1794" t="s">
        <v>8067</v>
      </c>
      <c r="D1794" t="s">
        <v>3242</v>
      </c>
      <c r="E1794" t="s">
        <v>15710</v>
      </c>
      <c r="F1794" t="s">
        <v>3243</v>
      </c>
      <c r="G1794" t="s">
        <v>8068</v>
      </c>
      <c r="H1794" t="s">
        <v>4035</v>
      </c>
    </row>
    <row r="1795" spans="1:9" x14ac:dyDescent="0.25">
      <c r="A1795" t="s">
        <v>8069</v>
      </c>
      <c r="B1795" t="s">
        <v>8069</v>
      </c>
      <c r="C1795" t="s">
        <v>8070</v>
      </c>
      <c r="D1795" t="s">
        <v>3242</v>
      </c>
      <c r="E1795" t="s">
        <v>17275</v>
      </c>
      <c r="F1795" t="s">
        <v>3257</v>
      </c>
      <c r="G1795" t="s">
        <v>8071</v>
      </c>
      <c r="H1795" t="s">
        <v>3332</v>
      </c>
      <c r="I1795" t="s">
        <v>3268</v>
      </c>
    </row>
    <row r="1796" spans="1:9" x14ac:dyDescent="0.25">
      <c r="A1796" t="s">
        <v>8072</v>
      </c>
      <c r="B1796" t="s">
        <v>8072</v>
      </c>
      <c r="C1796" t="s">
        <v>8073</v>
      </c>
      <c r="D1796" t="s">
        <v>3242</v>
      </c>
      <c r="E1796" t="s">
        <v>17276</v>
      </c>
      <c r="F1796" t="s">
        <v>3243</v>
      </c>
      <c r="G1796" t="s">
        <v>8074</v>
      </c>
      <c r="H1796" t="s">
        <v>3332</v>
      </c>
    </row>
    <row r="1797" spans="1:9" x14ac:dyDescent="0.25">
      <c r="A1797" t="s">
        <v>15136</v>
      </c>
      <c r="B1797" t="s">
        <v>15136</v>
      </c>
      <c r="C1797" t="s">
        <v>15137</v>
      </c>
      <c r="D1797" t="s">
        <v>3242</v>
      </c>
      <c r="E1797" t="s">
        <v>15710</v>
      </c>
      <c r="F1797" t="s">
        <v>3929</v>
      </c>
      <c r="G1797" t="s">
        <v>15138</v>
      </c>
      <c r="H1797" t="s">
        <v>5394</v>
      </c>
    </row>
    <row r="1798" spans="1:9" x14ac:dyDescent="0.25">
      <c r="A1798" t="s">
        <v>16474</v>
      </c>
      <c r="B1798" t="s">
        <v>16474</v>
      </c>
      <c r="C1798" t="s">
        <v>16475</v>
      </c>
      <c r="D1798" t="s">
        <v>3242</v>
      </c>
      <c r="E1798" t="s">
        <v>15710</v>
      </c>
      <c r="F1798" t="s">
        <v>3257</v>
      </c>
      <c r="G1798" t="s">
        <v>16476</v>
      </c>
      <c r="H1798" t="s">
        <v>3267</v>
      </c>
      <c r="I1798" t="s">
        <v>3268</v>
      </c>
    </row>
    <row r="1799" spans="1:9" x14ac:dyDescent="0.25">
      <c r="A1799" t="s">
        <v>8075</v>
      </c>
      <c r="B1799" t="s">
        <v>8075</v>
      </c>
      <c r="C1799" t="s">
        <v>8076</v>
      </c>
      <c r="D1799" t="s">
        <v>3242</v>
      </c>
      <c r="E1799" t="s">
        <v>16998</v>
      </c>
      <c r="F1799" t="s">
        <v>3372</v>
      </c>
      <c r="G1799" t="s">
        <v>8077</v>
      </c>
      <c r="H1799" t="s">
        <v>3643</v>
      </c>
      <c r="I1799" t="s">
        <v>3366</v>
      </c>
    </row>
    <row r="1800" spans="1:9" x14ac:dyDescent="0.25">
      <c r="A1800" t="s">
        <v>8078</v>
      </c>
      <c r="B1800" t="s">
        <v>8078</v>
      </c>
      <c r="C1800" t="s">
        <v>8079</v>
      </c>
      <c r="D1800" t="s">
        <v>3242</v>
      </c>
      <c r="E1800" t="s">
        <v>17277</v>
      </c>
      <c r="F1800" t="s">
        <v>3306</v>
      </c>
      <c r="G1800" t="s">
        <v>8080</v>
      </c>
      <c r="H1800" t="s">
        <v>3267</v>
      </c>
      <c r="I1800" t="s">
        <v>3268</v>
      </c>
    </row>
    <row r="1801" spans="1:9" x14ac:dyDescent="0.25">
      <c r="A1801" t="s">
        <v>8081</v>
      </c>
      <c r="B1801" t="s">
        <v>8081</v>
      </c>
      <c r="C1801" t="s">
        <v>8082</v>
      </c>
      <c r="D1801" t="s">
        <v>3242</v>
      </c>
      <c r="E1801" t="s">
        <v>17278</v>
      </c>
      <c r="F1801" t="s">
        <v>5955</v>
      </c>
      <c r="G1801" t="s">
        <v>8083</v>
      </c>
      <c r="H1801" t="s">
        <v>3332</v>
      </c>
      <c r="I1801" t="s">
        <v>3294</v>
      </c>
    </row>
    <row r="1802" spans="1:9" x14ac:dyDescent="0.25">
      <c r="A1802" t="s">
        <v>8084</v>
      </c>
      <c r="B1802" t="s">
        <v>8084</v>
      </c>
      <c r="C1802" t="s">
        <v>8085</v>
      </c>
      <c r="D1802" t="s">
        <v>3242</v>
      </c>
      <c r="E1802" t="s">
        <v>15896</v>
      </c>
      <c r="F1802" t="s">
        <v>3257</v>
      </c>
      <c r="G1802" t="s">
        <v>8086</v>
      </c>
      <c r="H1802" t="s">
        <v>3357</v>
      </c>
      <c r="I1802" t="s">
        <v>3268</v>
      </c>
    </row>
    <row r="1803" spans="1:9" x14ac:dyDescent="0.25">
      <c r="A1803" t="s">
        <v>8087</v>
      </c>
      <c r="B1803" t="s">
        <v>8087</v>
      </c>
      <c r="C1803" t="s">
        <v>8088</v>
      </c>
      <c r="D1803" t="s">
        <v>3242</v>
      </c>
      <c r="E1803" t="s">
        <v>16999</v>
      </c>
      <c r="F1803" t="s">
        <v>5955</v>
      </c>
      <c r="G1803" t="s">
        <v>8089</v>
      </c>
      <c r="H1803" t="s">
        <v>3267</v>
      </c>
      <c r="I1803" t="s">
        <v>3294</v>
      </c>
    </row>
    <row r="1804" spans="1:9" x14ac:dyDescent="0.25">
      <c r="A1804" t="s">
        <v>8090</v>
      </c>
      <c r="B1804" t="s">
        <v>8090</v>
      </c>
      <c r="C1804" t="s">
        <v>8091</v>
      </c>
      <c r="D1804" t="s">
        <v>3242</v>
      </c>
      <c r="E1804" t="s">
        <v>15897</v>
      </c>
      <c r="F1804" t="s">
        <v>3372</v>
      </c>
      <c r="G1804" t="s">
        <v>8092</v>
      </c>
      <c r="H1804" t="s">
        <v>3323</v>
      </c>
      <c r="I1804" t="s">
        <v>3366</v>
      </c>
    </row>
    <row r="1805" spans="1:9" x14ac:dyDescent="0.25">
      <c r="A1805" t="s">
        <v>8093</v>
      </c>
      <c r="B1805" t="s">
        <v>8093</v>
      </c>
      <c r="C1805" t="s">
        <v>8094</v>
      </c>
      <c r="D1805" t="s">
        <v>3242</v>
      </c>
      <c r="E1805" t="s">
        <v>17279</v>
      </c>
      <c r="F1805" t="s">
        <v>8095</v>
      </c>
      <c r="G1805" t="s">
        <v>8096</v>
      </c>
      <c r="H1805" t="s">
        <v>3267</v>
      </c>
      <c r="I1805" t="s">
        <v>3294</v>
      </c>
    </row>
    <row r="1806" spans="1:9" x14ac:dyDescent="0.25">
      <c r="A1806" t="s">
        <v>8097</v>
      </c>
      <c r="B1806" t="s">
        <v>8097</v>
      </c>
      <c r="C1806" t="s">
        <v>8098</v>
      </c>
      <c r="D1806" t="s">
        <v>3242</v>
      </c>
      <c r="E1806" t="s">
        <v>15710</v>
      </c>
      <c r="F1806" t="s">
        <v>3257</v>
      </c>
      <c r="G1806" t="s">
        <v>8099</v>
      </c>
      <c r="H1806" t="s">
        <v>3357</v>
      </c>
      <c r="I1806" t="s">
        <v>3268</v>
      </c>
    </row>
    <row r="1807" spans="1:9" x14ac:dyDescent="0.25">
      <c r="A1807" t="s">
        <v>8100</v>
      </c>
      <c r="B1807" t="s">
        <v>8100</v>
      </c>
      <c r="C1807" t="s">
        <v>8101</v>
      </c>
      <c r="D1807" t="s">
        <v>3242</v>
      </c>
      <c r="E1807" t="s">
        <v>15710</v>
      </c>
      <c r="F1807" t="s">
        <v>3345</v>
      </c>
      <c r="G1807" t="s">
        <v>8102</v>
      </c>
      <c r="H1807" t="s">
        <v>8103</v>
      </c>
    </row>
    <row r="1808" spans="1:9" x14ac:dyDescent="0.25">
      <c r="A1808" t="s">
        <v>8104</v>
      </c>
      <c r="B1808" t="s">
        <v>8104</v>
      </c>
      <c r="C1808" t="s">
        <v>8105</v>
      </c>
      <c r="D1808" t="s">
        <v>3242</v>
      </c>
      <c r="E1808" t="s">
        <v>15710</v>
      </c>
      <c r="F1808" t="s">
        <v>3243</v>
      </c>
      <c r="G1808" t="s">
        <v>8106</v>
      </c>
      <c r="H1808" t="s">
        <v>3248</v>
      </c>
      <c r="I1808" t="s">
        <v>3432</v>
      </c>
    </row>
    <row r="1809" spans="1:9" x14ac:dyDescent="0.25">
      <c r="A1809" t="s">
        <v>8107</v>
      </c>
      <c r="B1809" t="s">
        <v>8107</v>
      </c>
      <c r="C1809" t="s">
        <v>8108</v>
      </c>
      <c r="D1809" t="s">
        <v>3242</v>
      </c>
      <c r="E1809" t="s">
        <v>17000</v>
      </c>
      <c r="F1809" t="s">
        <v>8109</v>
      </c>
      <c r="G1809" t="s">
        <v>8110</v>
      </c>
      <c r="H1809" t="s">
        <v>4856</v>
      </c>
      <c r="I1809" t="s">
        <v>3407</v>
      </c>
    </row>
    <row r="1810" spans="1:9" x14ac:dyDescent="0.25">
      <c r="A1810" t="s">
        <v>8111</v>
      </c>
      <c r="B1810" t="s">
        <v>8111</v>
      </c>
      <c r="C1810" t="s">
        <v>8112</v>
      </c>
      <c r="D1810" t="s">
        <v>3242</v>
      </c>
      <c r="E1810" t="s">
        <v>15710</v>
      </c>
      <c r="F1810" t="s">
        <v>3243</v>
      </c>
      <c r="G1810" t="s">
        <v>8113</v>
      </c>
      <c r="H1810" t="s">
        <v>8114</v>
      </c>
    </row>
    <row r="1811" spans="1:9" x14ac:dyDescent="0.25">
      <c r="A1811" t="s">
        <v>8115</v>
      </c>
      <c r="B1811" t="s">
        <v>8115</v>
      </c>
      <c r="C1811" t="s">
        <v>8116</v>
      </c>
      <c r="D1811" t="s">
        <v>3242</v>
      </c>
      <c r="E1811" t="s">
        <v>15710</v>
      </c>
      <c r="F1811" t="s">
        <v>3243</v>
      </c>
      <c r="G1811" t="s">
        <v>8117</v>
      </c>
      <c r="H1811" t="s">
        <v>3623</v>
      </c>
    </row>
    <row r="1812" spans="1:9" x14ac:dyDescent="0.25">
      <c r="A1812" t="s">
        <v>15139</v>
      </c>
      <c r="B1812" t="s">
        <v>15139</v>
      </c>
      <c r="C1812" t="s">
        <v>15140</v>
      </c>
      <c r="D1812" t="s">
        <v>3242</v>
      </c>
      <c r="E1812" t="s">
        <v>15710</v>
      </c>
      <c r="F1812" t="s">
        <v>3243</v>
      </c>
      <c r="G1812" t="s">
        <v>15141</v>
      </c>
      <c r="H1812" t="s">
        <v>3060</v>
      </c>
    </row>
    <row r="1813" spans="1:9" x14ac:dyDescent="0.25">
      <c r="A1813" t="s">
        <v>8118</v>
      </c>
      <c r="B1813" t="s">
        <v>8118</v>
      </c>
      <c r="C1813" t="s">
        <v>8119</v>
      </c>
      <c r="D1813" t="s">
        <v>3242</v>
      </c>
      <c r="E1813" t="s">
        <v>15710</v>
      </c>
      <c r="F1813" t="s">
        <v>3288</v>
      </c>
      <c r="G1813" t="s">
        <v>8120</v>
      </c>
      <c r="H1813" t="s">
        <v>3744</v>
      </c>
    </row>
    <row r="1814" spans="1:9" x14ac:dyDescent="0.25">
      <c r="A1814" t="s">
        <v>8121</v>
      </c>
      <c r="B1814" t="s">
        <v>8121</v>
      </c>
      <c r="C1814" t="s">
        <v>8122</v>
      </c>
      <c r="D1814" t="s">
        <v>3242</v>
      </c>
      <c r="E1814" t="s">
        <v>15710</v>
      </c>
      <c r="F1814" t="s">
        <v>3243</v>
      </c>
      <c r="G1814" t="s">
        <v>8123</v>
      </c>
      <c r="H1814" t="s">
        <v>3402</v>
      </c>
    </row>
    <row r="1815" spans="1:9" x14ac:dyDescent="0.25">
      <c r="A1815" t="s">
        <v>8124</v>
      </c>
      <c r="B1815" t="s">
        <v>8124</v>
      </c>
      <c r="C1815" t="s">
        <v>8125</v>
      </c>
      <c r="D1815" t="s">
        <v>3242</v>
      </c>
      <c r="E1815" t="s">
        <v>15710</v>
      </c>
      <c r="F1815" t="s">
        <v>3243</v>
      </c>
      <c r="G1815" t="s">
        <v>8126</v>
      </c>
      <c r="H1815" t="s">
        <v>3623</v>
      </c>
    </row>
    <row r="1816" spans="1:9" x14ac:dyDescent="0.25">
      <c r="A1816" t="s">
        <v>8127</v>
      </c>
      <c r="B1816" t="s">
        <v>8127</v>
      </c>
      <c r="C1816" t="s">
        <v>8128</v>
      </c>
      <c r="D1816" t="s">
        <v>3242</v>
      </c>
      <c r="E1816" t="s">
        <v>15710</v>
      </c>
      <c r="F1816" t="s">
        <v>3257</v>
      </c>
      <c r="G1816" t="s">
        <v>8129</v>
      </c>
      <c r="H1816" t="s">
        <v>3267</v>
      </c>
    </row>
    <row r="1817" spans="1:9" x14ac:dyDescent="0.25">
      <c r="A1817" t="s">
        <v>8130</v>
      </c>
      <c r="B1817" t="s">
        <v>8130</v>
      </c>
      <c r="C1817" t="s">
        <v>8131</v>
      </c>
      <c r="D1817" t="s">
        <v>3242</v>
      </c>
      <c r="E1817" t="s">
        <v>15710</v>
      </c>
      <c r="F1817" t="s">
        <v>3257</v>
      </c>
      <c r="G1817" t="s">
        <v>8132</v>
      </c>
      <c r="H1817" t="s">
        <v>3417</v>
      </c>
      <c r="I1817" t="s">
        <v>3648</v>
      </c>
    </row>
    <row r="1818" spans="1:9" x14ac:dyDescent="0.25">
      <c r="A1818" t="s">
        <v>8133</v>
      </c>
      <c r="B1818" t="s">
        <v>8133</v>
      </c>
      <c r="C1818" t="s">
        <v>8134</v>
      </c>
      <c r="D1818" t="s">
        <v>3242</v>
      </c>
      <c r="E1818" t="s">
        <v>15710</v>
      </c>
      <c r="F1818" t="s">
        <v>3257</v>
      </c>
      <c r="G1818" t="s">
        <v>8135</v>
      </c>
      <c r="H1818" t="s">
        <v>3248</v>
      </c>
      <c r="I1818" t="s">
        <v>3263</v>
      </c>
    </row>
    <row r="1819" spans="1:9" x14ac:dyDescent="0.25">
      <c r="A1819" t="s">
        <v>16239</v>
      </c>
      <c r="B1819" t="s">
        <v>16239</v>
      </c>
      <c r="C1819" t="s">
        <v>16240</v>
      </c>
      <c r="D1819" t="s">
        <v>3242</v>
      </c>
      <c r="E1819" t="s">
        <v>15710</v>
      </c>
      <c r="F1819" t="s">
        <v>16241</v>
      </c>
      <c r="G1819" t="s">
        <v>16242</v>
      </c>
      <c r="H1819" t="s">
        <v>16243</v>
      </c>
    </row>
    <row r="1820" spans="1:9" x14ac:dyDescent="0.25">
      <c r="A1820" t="s">
        <v>8136</v>
      </c>
      <c r="B1820" t="s">
        <v>8136</v>
      </c>
      <c r="C1820" t="s">
        <v>8137</v>
      </c>
      <c r="D1820" t="s">
        <v>3242</v>
      </c>
      <c r="E1820" t="s">
        <v>15710</v>
      </c>
      <c r="F1820" t="s">
        <v>3243</v>
      </c>
      <c r="G1820" t="s">
        <v>8138</v>
      </c>
      <c r="H1820" t="s">
        <v>3374</v>
      </c>
    </row>
    <row r="1821" spans="1:9" x14ac:dyDescent="0.25">
      <c r="A1821" t="s">
        <v>8139</v>
      </c>
      <c r="B1821" t="s">
        <v>8139</v>
      </c>
      <c r="C1821" t="s">
        <v>8140</v>
      </c>
      <c r="D1821" t="s">
        <v>3242</v>
      </c>
      <c r="E1821" t="s">
        <v>15710</v>
      </c>
      <c r="F1821" t="s">
        <v>8141</v>
      </c>
      <c r="G1821" t="s">
        <v>8142</v>
      </c>
      <c r="H1821" t="s">
        <v>5151</v>
      </c>
      <c r="I1821" t="s">
        <v>3648</v>
      </c>
    </row>
    <row r="1822" spans="1:9" x14ac:dyDescent="0.25">
      <c r="A1822" t="s">
        <v>8143</v>
      </c>
      <c r="B1822" t="s">
        <v>8143</v>
      </c>
      <c r="C1822" t="s">
        <v>8144</v>
      </c>
      <c r="D1822" t="s">
        <v>3242</v>
      </c>
      <c r="E1822" t="s">
        <v>17280</v>
      </c>
      <c r="F1822" t="s">
        <v>15142</v>
      </c>
      <c r="G1822" t="s">
        <v>8145</v>
      </c>
      <c r="H1822" t="s">
        <v>3413</v>
      </c>
      <c r="I1822" t="s">
        <v>3407</v>
      </c>
    </row>
    <row r="1823" spans="1:9" x14ac:dyDescent="0.25">
      <c r="A1823" t="s">
        <v>8146</v>
      </c>
      <c r="B1823" t="s">
        <v>8146</v>
      </c>
      <c r="C1823" t="s">
        <v>8147</v>
      </c>
      <c r="D1823" t="s">
        <v>3242</v>
      </c>
      <c r="E1823" t="s">
        <v>15710</v>
      </c>
      <c r="F1823" t="s">
        <v>6458</v>
      </c>
      <c r="G1823" t="s">
        <v>8148</v>
      </c>
      <c r="H1823" t="s">
        <v>3248</v>
      </c>
    </row>
    <row r="1824" spans="1:9" x14ac:dyDescent="0.25">
      <c r="A1824" t="s">
        <v>8149</v>
      </c>
      <c r="B1824" t="s">
        <v>8149</v>
      </c>
      <c r="C1824" t="s">
        <v>8150</v>
      </c>
      <c r="D1824" t="s">
        <v>3242</v>
      </c>
      <c r="E1824" t="s">
        <v>15710</v>
      </c>
      <c r="F1824" t="s">
        <v>6162</v>
      </c>
      <c r="G1824" t="s">
        <v>8151</v>
      </c>
      <c r="H1824" t="s">
        <v>5160</v>
      </c>
      <c r="I1824" t="s">
        <v>3648</v>
      </c>
    </row>
    <row r="1825" spans="1:9" x14ac:dyDescent="0.25">
      <c r="A1825" t="s">
        <v>8152</v>
      </c>
      <c r="B1825" t="s">
        <v>8152</v>
      </c>
      <c r="C1825" t="s">
        <v>8153</v>
      </c>
      <c r="D1825" t="s">
        <v>3242</v>
      </c>
      <c r="E1825" t="s">
        <v>15710</v>
      </c>
      <c r="F1825" t="s">
        <v>3243</v>
      </c>
      <c r="G1825" t="s">
        <v>8154</v>
      </c>
      <c r="H1825" t="s">
        <v>3285</v>
      </c>
    </row>
    <row r="1826" spans="1:9" x14ac:dyDescent="0.25">
      <c r="A1826" t="s">
        <v>8155</v>
      </c>
      <c r="B1826" t="s">
        <v>8155</v>
      </c>
      <c r="C1826" t="s">
        <v>8156</v>
      </c>
      <c r="D1826" t="s">
        <v>3242</v>
      </c>
      <c r="E1826" t="s">
        <v>15710</v>
      </c>
      <c r="F1826" t="s">
        <v>5490</v>
      </c>
      <c r="G1826" t="s">
        <v>8157</v>
      </c>
      <c r="H1826" t="s">
        <v>4856</v>
      </c>
      <c r="I1826" t="s">
        <v>3407</v>
      </c>
    </row>
    <row r="1827" spans="1:9" x14ac:dyDescent="0.25">
      <c r="A1827" t="s">
        <v>8158</v>
      </c>
      <c r="B1827" t="s">
        <v>8158</v>
      </c>
      <c r="C1827" t="s">
        <v>8159</v>
      </c>
      <c r="D1827" t="s">
        <v>3242</v>
      </c>
      <c r="E1827" t="s">
        <v>15710</v>
      </c>
      <c r="F1827" t="s">
        <v>3288</v>
      </c>
      <c r="G1827" t="s">
        <v>8160</v>
      </c>
      <c r="H1827" t="s">
        <v>3480</v>
      </c>
    </row>
    <row r="1828" spans="1:9" x14ac:dyDescent="0.25">
      <c r="A1828" t="s">
        <v>8161</v>
      </c>
      <c r="B1828" t="s">
        <v>8161</v>
      </c>
      <c r="C1828" t="s">
        <v>8162</v>
      </c>
      <c r="D1828" t="s">
        <v>3242</v>
      </c>
      <c r="E1828" t="s">
        <v>15710</v>
      </c>
      <c r="F1828" t="s">
        <v>3243</v>
      </c>
      <c r="G1828" t="s">
        <v>8163</v>
      </c>
      <c r="H1828" t="s">
        <v>4953</v>
      </c>
    </row>
    <row r="1829" spans="1:9" x14ac:dyDescent="0.25">
      <c r="A1829" t="s">
        <v>15143</v>
      </c>
      <c r="B1829" t="s">
        <v>15143</v>
      </c>
      <c r="C1829" t="s">
        <v>15144</v>
      </c>
      <c r="D1829" t="s">
        <v>3242</v>
      </c>
      <c r="E1829" t="s">
        <v>15710</v>
      </c>
      <c r="F1829" t="s">
        <v>3288</v>
      </c>
      <c r="G1829" t="s">
        <v>15145</v>
      </c>
      <c r="H1829" t="s">
        <v>3463</v>
      </c>
    </row>
    <row r="1830" spans="1:9" x14ac:dyDescent="0.25">
      <c r="A1830" t="s">
        <v>8164</v>
      </c>
      <c r="B1830" t="s">
        <v>8164</v>
      </c>
      <c r="C1830" t="s">
        <v>8165</v>
      </c>
      <c r="D1830" t="s">
        <v>3242</v>
      </c>
      <c r="E1830" t="s">
        <v>15778</v>
      </c>
      <c r="F1830" t="s">
        <v>3251</v>
      </c>
      <c r="G1830" t="s">
        <v>8166</v>
      </c>
      <c r="H1830" t="s">
        <v>3668</v>
      </c>
      <c r="I1830" t="s">
        <v>3694</v>
      </c>
    </row>
    <row r="1831" spans="1:9" x14ac:dyDescent="0.25">
      <c r="A1831" t="s">
        <v>8167</v>
      </c>
      <c r="B1831" t="s">
        <v>8167</v>
      </c>
      <c r="C1831" t="s">
        <v>8168</v>
      </c>
      <c r="D1831" t="s">
        <v>3242</v>
      </c>
      <c r="E1831" t="s">
        <v>15710</v>
      </c>
      <c r="F1831" t="s">
        <v>3283</v>
      </c>
      <c r="G1831" t="s">
        <v>8169</v>
      </c>
      <c r="H1831" t="s">
        <v>3836</v>
      </c>
    </row>
    <row r="1832" spans="1:9" x14ac:dyDescent="0.25">
      <c r="A1832" t="s">
        <v>8170</v>
      </c>
      <c r="B1832" t="s">
        <v>8170</v>
      </c>
      <c r="C1832" t="s">
        <v>8171</v>
      </c>
      <c r="D1832" t="s">
        <v>3242</v>
      </c>
      <c r="E1832" t="s">
        <v>17001</v>
      </c>
      <c r="F1832" t="s">
        <v>3257</v>
      </c>
      <c r="G1832" t="s">
        <v>8172</v>
      </c>
      <c r="H1832" t="s">
        <v>3060</v>
      </c>
      <c r="I1832" t="s">
        <v>4028</v>
      </c>
    </row>
    <row r="1833" spans="1:9" x14ac:dyDescent="0.25">
      <c r="A1833" t="s">
        <v>8173</v>
      </c>
      <c r="B1833" t="s">
        <v>8173</v>
      </c>
      <c r="C1833" t="s">
        <v>8174</v>
      </c>
      <c r="D1833" t="s">
        <v>3242</v>
      </c>
      <c r="E1833" t="s">
        <v>17281</v>
      </c>
      <c r="F1833" t="s">
        <v>3257</v>
      </c>
      <c r="G1833" t="s">
        <v>8175</v>
      </c>
      <c r="H1833" t="s">
        <v>3060</v>
      </c>
      <c r="I1833" t="s">
        <v>4028</v>
      </c>
    </row>
    <row r="1834" spans="1:9" x14ac:dyDescent="0.25">
      <c r="A1834" t="s">
        <v>8176</v>
      </c>
      <c r="B1834" t="s">
        <v>8176</v>
      </c>
      <c r="C1834" t="s">
        <v>8177</v>
      </c>
      <c r="D1834" t="s">
        <v>3242</v>
      </c>
      <c r="E1834" t="s">
        <v>15710</v>
      </c>
      <c r="F1834" t="s">
        <v>3243</v>
      </c>
      <c r="G1834" t="s">
        <v>8178</v>
      </c>
      <c r="H1834" t="s">
        <v>3285</v>
      </c>
    </row>
    <row r="1835" spans="1:9" x14ac:dyDescent="0.25">
      <c r="A1835" t="s">
        <v>8179</v>
      </c>
      <c r="B1835" t="s">
        <v>8179</v>
      </c>
      <c r="C1835" t="s">
        <v>8180</v>
      </c>
      <c r="D1835" t="s">
        <v>3242</v>
      </c>
      <c r="E1835" t="s">
        <v>17002</v>
      </c>
      <c r="F1835" t="s">
        <v>3257</v>
      </c>
      <c r="G1835" t="s">
        <v>8181</v>
      </c>
      <c r="H1835" t="s">
        <v>3311</v>
      </c>
      <c r="I1835" t="s">
        <v>3254</v>
      </c>
    </row>
    <row r="1836" spans="1:9" x14ac:dyDescent="0.25">
      <c r="A1836" t="s">
        <v>8182</v>
      </c>
      <c r="B1836" t="s">
        <v>8182</v>
      </c>
      <c r="C1836" t="s">
        <v>8183</v>
      </c>
      <c r="D1836" t="s">
        <v>3242</v>
      </c>
      <c r="E1836" t="s">
        <v>15710</v>
      </c>
      <c r="F1836" t="s">
        <v>3588</v>
      </c>
      <c r="G1836" t="s">
        <v>8184</v>
      </c>
      <c r="H1836" t="s">
        <v>3060</v>
      </c>
      <c r="I1836" t="s">
        <v>4028</v>
      </c>
    </row>
    <row r="1837" spans="1:9" x14ac:dyDescent="0.25">
      <c r="A1837" t="s">
        <v>8185</v>
      </c>
      <c r="B1837" t="s">
        <v>8185</v>
      </c>
      <c r="C1837" t="s">
        <v>8186</v>
      </c>
      <c r="D1837" t="s">
        <v>3242</v>
      </c>
      <c r="E1837" t="s">
        <v>15710</v>
      </c>
      <c r="F1837" t="s">
        <v>3243</v>
      </c>
      <c r="G1837" t="s">
        <v>8187</v>
      </c>
      <c r="H1837" t="s">
        <v>3060</v>
      </c>
    </row>
    <row r="1838" spans="1:9" x14ac:dyDescent="0.25">
      <c r="A1838" t="s">
        <v>8188</v>
      </c>
      <c r="B1838" t="s">
        <v>8188</v>
      </c>
      <c r="C1838" t="s">
        <v>8189</v>
      </c>
      <c r="D1838" t="s">
        <v>3242</v>
      </c>
      <c r="E1838" t="s">
        <v>15710</v>
      </c>
      <c r="F1838" t="s">
        <v>3345</v>
      </c>
      <c r="G1838" t="s">
        <v>8190</v>
      </c>
      <c r="H1838" t="s">
        <v>3285</v>
      </c>
    </row>
    <row r="1839" spans="1:9" x14ac:dyDescent="0.25">
      <c r="A1839" t="s">
        <v>8191</v>
      </c>
      <c r="B1839" t="s">
        <v>8191</v>
      </c>
      <c r="C1839" t="s">
        <v>8192</v>
      </c>
      <c r="D1839" t="s">
        <v>3242</v>
      </c>
      <c r="E1839" t="s">
        <v>15710</v>
      </c>
      <c r="F1839" t="s">
        <v>3243</v>
      </c>
      <c r="G1839" t="s">
        <v>8193</v>
      </c>
      <c r="H1839" t="s">
        <v>3463</v>
      </c>
    </row>
    <row r="1840" spans="1:9" x14ac:dyDescent="0.25">
      <c r="A1840" t="s">
        <v>8194</v>
      </c>
      <c r="B1840" t="s">
        <v>8194</v>
      </c>
      <c r="C1840" t="s">
        <v>8195</v>
      </c>
      <c r="D1840" t="s">
        <v>3242</v>
      </c>
      <c r="E1840" t="s">
        <v>15710</v>
      </c>
      <c r="F1840" t="s">
        <v>3243</v>
      </c>
      <c r="G1840" t="s">
        <v>8196</v>
      </c>
      <c r="H1840" t="s">
        <v>8197</v>
      </c>
    </row>
    <row r="1841" spans="1:9" x14ac:dyDescent="0.25">
      <c r="A1841" t="s">
        <v>8198</v>
      </c>
      <c r="B1841" t="s">
        <v>8198</v>
      </c>
      <c r="C1841" t="s">
        <v>8199</v>
      </c>
      <c r="D1841" t="s">
        <v>3242</v>
      </c>
      <c r="E1841" t="s">
        <v>15710</v>
      </c>
      <c r="F1841" t="s">
        <v>3288</v>
      </c>
      <c r="G1841" t="s">
        <v>8200</v>
      </c>
      <c r="H1841" t="s">
        <v>3771</v>
      </c>
    </row>
    <row r="1842" spans="1:9" x14ac:dyDescent="0.25">
      <c r="A1842" t="s">
        <v>8201</v>
      </c>
      <c r="B1842" t="s">
        <v>8201</v>
      </c>
      <c r="C1842" t="s">
        <v>8202</v>
      </c>
      <c r="D1842" t="s">
        <v>3242</v>
      </c>
      <c r="E1842" t="s">
        <v>15710</v>
      </c>
      <c r="F1842" t="s">
        <v>3243</v>
      </c>
      <c r="G1842" t="s">
        <v>8203</v>
      </c>
      <c r="H1842" t="s">
        <v>8204</v>
      </c>
    </row>
    <row r="1843" spans="1:9" x14ac:dyDescent="0.25">
      <c r="A1843" t="s">
        <v>8205</v>
      </c>
      <c r="B1843" t="s">
        <v>8205</v>
      </c>
      <c r="C1843" t="s">
        <v>8206</v>
      </c>
      <c r="D1843" t="s">
        <v>3242</v>
      </c>
      <c r="E1843" t="s">
        <v>15710</v>
      </c>
      <c r="F1843" t="s">
        <v>3243</v>
      </c>
      <c r="G1843" t="s">
        <v>8207</v>
      </c>
      <c r="H1843" t="s">
        <v>3946</v>
      </c>
    </row>
    <row r="1844" spans="1:9" x14ac:dyDescent="0.25">
      <c r="A1844" t="s">
        <v>15146</v>
      </c>
      <c r="B1844" t="s">
        <v>15146</v>
      </c>
      <c r="C1844" t="s">
        <v>15147</v>
      </c>
      <c r="D1844" t="s">
        <v>3242</v>
      </c>
      <c r="E1844" t="s">
        <v>15900</v>
      </c>
      <c r="F1844" t="s">
        <v>6077</v>
      </c>
      <c r="G1844" t="s">
        <v>15148</v>
      </c>
      <c r="H1844" t="s">
        <v>3417</v>
      </c>
      <c r="I1844" t="s">
        <v>15020</v>
      </c>
    </row>
    <row r="1845" spans="1:9" x14ac:dyDescent="0.25">
      <c r="A1845" t="s">
        <v>8208</v>
      </c>
      <c r="B1845" t="s">
        <v>8208</v>
      </c>
      <c r="C1845" t="s">
        <v>8209</v>
      </c>
      <c r="D1845" t="s">
        <v>3242</v>
      </c>
      <c r="E1845" t="s">
        <v>17282</v>
      </c>
      <c r="F1845" t="s">
        <v>5490</v>
      </c>
      <c r="G1845" t="s">
        <v>8210</v>
      </c>
      <c r="H1845" t="s">
        <v>3417</v>
      </c>
      <c r="I1845" t="s">
        <v>3648</v>
      </c>
    </row>
    <row r="1846" spans="1:9" x14ac:dyDescent="0.25">
      <c r="A1846" t="s">
        <v>8211</v>
      </c>
      <c r="B1846" t="s">
        <v>8211</v>
      </c>
      <c r="C1846" t="s">
        <v>8212</v>
      </c>
      <c r="D1846" t="s">
        <v>3242</v>
      </c>
      <c r="E1846" t="s">
        <v>15901</v>
      </c>
      <c r="F1846" t="s">
        <v>3257</v>
      </c>
      <c r="G1846" t="s">
        <v>8213</v>
      </c>
      <c r="H1846" t="s">
        <v>6547</v>
      </c>
      <c r="I1846" t="s">
        <v>3648</v>
      </c>
    </row>
    <row r="1847" spans="1:9" x14ac:dyDescent="0.25">
      <c r="A1847" t="s">
        <v>8214</v>
      </c>
      <c r="B1847" t="s">
        <v>8214</v>
      </c>
      <c r="C1847" t="s">
        <v>8215</v>
      </c>
      <c r="D1847" t="s">
        <v>3242</v>
      </c>
      <c r="E1847" t="s">
        <v>15902</v>
      </c>
      <c r="F1847" t="s">
        <v>3257</v>
      </c>
      <c r="G1847" t="s">
        <v>8216</v>
      </c>
      <c r="H1847" t="s">
        <v>4926</v>
      </c>
      <c r="I1847" t="s">
        <v>3648</v>
      </c>
    </row>
    <row r="1848" spans="1:9" x14ac:dyDescent="0.25">
      <c r="A1848" t="s">
        <v>17283</v>
      </c>
      <c r="B1848" t="s">
        <v>17283</v>
      </c>
      <c r="C1848" t="s">
        <v>17284</v>
      </c>
      <c r="D1848" t="s">
        <v>3242</v>
      </c>
      <c r="E1848" t="s">
        <v>17579</v>
      </c>
      <c r="F1848" t="s">
        <v>6077</v>
      </c>
      <c r="G1848" t="s">
        <v>17285</v>
      </c>
      <c r="H1848" t="s">
        <v>3417</v>
      </c>
      <c r="I1848" t="s">
        <v>15020</v>
      </c>
    </row>
    <row r="1849" spans="1:9" x14ac:dyDescent="0.25">
      <c r="A1849" t="s">
        <v>8217</v>
      </c>
      <c r="B1849" t="s">
        <v>8217</v>
      </c>
      <c r="C1849" t="s">
        <v>8218</v>
      </c>
      <c r="D1849" t="s">
        <v>3242</v>
      </c>
      <c r="E1849" t="s">
        <v>15903</v>
      </c>
      <c r="F1849" t="s">
        <v>3243</v>
      </c>
      <c r="G1849" t="s">
        <v>8219</v>
      </c>
      <c r="H1849" t="s">
        <v>3417</v>
      </c>
    </row>
    <row r="1850" spans="1:9" x14ac:dyDescent="0.25">
      <c r="A1850" t="s">
        <v>8220</v>
      </c>
      <c r="B1850" t="s">
        <v>8220</v>
      </c>
      <c r="C1850" t="s">
        <v>8221</v>
      </c>
      <c r="D1850" t="s">
        <v>3242</v>
      </c>
      <c r="E1850" t="s">
        <v>15710</v>
      </c>
      <c r="F1850" t="s">
        <v>3243</v>
      </c>
      <c r="G1850" t="s">
        <v>8222</v>
      </c>
      <c r="H1850" t="s">
        <v>3290</v>
      </c>
    </row>
    <row r="1851" spans="1:9" x14ac:dyDescent="0.25">
      <c r="A1851" t="s">
        <v>8223</v>
      </c>
      <c r="B1851" t="s">
        <v>8223</v>
      </c>
      <c r="C1851" t="s">
        <v>8224</v>
      </c>
      <c r="D1851" t="s">
        <v>3242</v>
      </c>
      <c r="E1851" t="s">
        <v>16238</v>
      </c>
      <c r="F1851" t="s">
        <v>3243</v>
      </c>
      <c r="G1851" t="s">
        <v>8225</v>
      </c>
      <c r="H1851" t="s">
        <v>6773</v>
      </c>
    </row>
    <row r="1852" spans="1:9" x14ac:dyDescent="0.25">
      <c r="A1852" t="s">
        <v>8226</v>
      </c>
      <c r="B1852" t="s">
        <v>8226</v>
      </c>
      <c r="C1852" t="s">
        <v>8227</v>
      </c>
      <c r="D1852" t="s">
        <v>3242</v>
      </c>
      <c r="E1852" t="s">
        <v>15904</v>
      </c>
      <c r="F1852" t="s">
        <v>3243</v>
      </c>
      <c r="G1852" t="s">
        <v>8228</v>
      </c>
      <c r="H1852" t="s">
        <v>3417</v>
      </c>
    </row>
    <row r="1853" spans="1:9" x14ac:dyDescent="0.25">
      <c r="A1853" t="s">
        <v>8229</v>
      </c>
      <c r="B1853" t="s">
        <v>8229</v>
      </c>
      <c r="C1853" t="s">
        <v>8230</v>
      </c>
      <c r="D1853" t="s">
        <v>3242</v>
      </c>
      <c r="E1853" t="s">
        <v>17286</v>
      </c>
      <c r="F1853" t="s">
        <v>3257</v>
      </c>
      <c r="G1853" t="s">
        <v>15149</v>
      </c>
      <c r="H1853" t="s">
        <v>3647</v>
      </c>
      <c r="I1853" t="s">
        <v>15020</v>
      </c>
    </row>
    <row r="1854" spans="1:9" x14ac:dyDescent="0.25">
      <c r="A1854" t="s">
        <v>8231</v>
      </c>
      <c r="B1854" t="s">
        <v>8231</v>
      </c>
      <c r="C1854" t="s">
        <v>8232</v>
      </c>
      <c r="D1854" t="s">
        <v>3242</v>
      </c>
      <c r="E1854" t="s">
        <v>17580</v>
      </c>
      <c r="F1854" t="s">
        <v>3257</v>
      </c>
      <c r="G1854" t="s">
        <v>8233</v>
      </c>
      <c r="H1854" t="s">
        <v>5289</v>
      </c>
      <c r="I1854" t="s">
        <v>3451</v>
      </c>
    </row>
    <row r="1855" spans="1:9" x14ac:dyDescent="0.25">
      <c r="A1855" t="s">
        <v>8234</v>
      </c>
      <c r="B1855" t="s">
        <v>8234</v>
      </c>
      <c r="C1855" t="s">
        <v>8235</v>
      </c>
      <c r="D1855" t="s">
        <v>3242</v>
      </c>
      <c r="E1855" t="s">
        <v>15710</v>
      </c>
      <c r="F1855" t="s">
        <v>3345</v>
      </c>
      <c r="G1855" t="s">
        <v>8236</v>
      </c>
      <c r="H1855" t="s">
        <v>8237</v>
      </c>
    </row>
    <row r="1856" spans="1:9" x14ac:dyDescent="0.25">
      <c r="A1856" t="s">
        <v>8238</v>
      </c>
      <c r="B1856" t="s">
        <v>8238</v>
      </c>
      <c r="C1856" t="s">
        <v>8239</v>
      </c>
      <c r="D1856" t="s">
        <v>3242</v>
      </c>
      <c r="E1856" t="s">
        <v>15710</v>
      </c>
      <c r="F1856" t="s">
        <v>3257</v>
      </c>
      <c r="G1856" t="s">
        <v>8240</v>
      </c>
      <c r="H1856" t="s">
        <v>3519</v>
      </c>
    </row>
    <row r="1857" spans="1:9" x14ac:dyDescent="0.25">
      <c r="A1857" t="s">
        <v>8241</v>
      </c>
      <c r="B1857" t="s">
        <v>8241</v>
      </c>
      <c r="C1857" t="s">
        <v>8242</v>
      </c>
      <c r="D1857" t="s">
        <v>3242</v>
      </c>
      <c r="E1857" t="s">
        <v>15710</v>
      </c>
      <c r="F1857" t="s">
        <v>3243</v>
      </c>
      <c r="G1857" t="s">
        <v>8243</v>
      </c>
      <c r="H1857" t="s">
        <v>8204</v>
      </c>
    </row>
    <row r="1858" spans="1:9" x14ac:dyDescent="0.25">
      <c r="A1858" t="s">
        <v>8244</v>
      </c>
      <c r="B1858" t="s">
        <v>8244</v>
      </c>
      <c r="C1858" t="s">
        <v>8245</v>
      </c>
      <c r="D1858" t="s">
        <v>3242</v>
      </c>
      <c r="E1858" t="s">
        <v>15710</v>
      </c>
      <c r="F1858" t="s">
        <v>3243</v>
      </c>
      <c r="G1858" t="s">
        <v>8246</v>
      </c>
      <c r="H1858" t="s">
        <v>3259</v>
      </c>
    </row>
    <row r="1859" spans="1:9" x14ac:dyDescent="0.25">
      <c r="A1859" t="s">
        <v>8247</v>
      </c>
      <c r="B1859" t="s">
        <v>8247</v>
      </c>
      <c r="C1859" t="s">
        <v>8248</v>
      </c>
      <c r="D1859" t="s">
        <v>3242</v>
      </c>
      <c r="E1859" t="s">
        <v>16247</v>
      </c>
      <c r="F1859" t="s">
        <v>3372</v>
      </c>
      <c r="G1859" t="s">
        <v>8249</v>
      </c>
      <c r="H1859" t="s">
        <v>6617</v>
      </c>
      <c r="I1859" t="s">
        <v>3324</v>
      </c>
    </row>
    <row r="1860" spans="1:9" x14ac:dyDescent="0.25">
      <c r="A1860" t="s">
        <v>8250</v>
      </c>
      <c r="B1860" t="s">
        <v>8250</v>
      </c>
      <c r="C1860" t="s">
        <v>8251</v>
      </c>
      <c r="D1860" t="s">
        <v>3242</v>
      </c>
      <c r="E1860" t="s">
        <v>15710</v>
      </c>
      <c r="F1860" t="s">
        <v>3243</v>
      </c>
      <c r="G1860" t="s">
        <v>8252</v>
      </c>
      <c r="H1860" t="s">
        <v>8253</v>
      </c>
    </row>
    <row r="1861" spans="1:9" x14ac:dyDescent="0.25">
      <c r="A1861" t="s">
        <v>8254</v>
      </c>
      <c r="B1861" t="s">
        <v>8254</v>
      </c>
      <c r="C1861" t="s">
        <v>8255</v>
      </c>
      <c r="D1861" t="s">
        <v>3242</v>
      </c>
      <c r="E1861" t="s">
        <v>15710</v>
      </c>
      <c r="F1861" t="s">
        <v>3257</v>
      </c>
      <c r="G1861" t="s">
        <v>8256</v>
      </c>
      <c r="H1861" t="s">
        <v>5239</v>
      </c>
      <c r="I1861" t="s">
        <v>3324</v>
      </c>
    </row>
    <row r="1862" spans="1:9" x14ac:dyDescent="0.25">
      <c r="A1862" t="s">
        <v>8257</v>
      </c>
      <c r="B1862" t="s">
        <v>8257</v>
      </c>
      <c r="C1862" t="s">
        <v>8258</v>
      </c>
      <c r="D1862" t="s">
        <v>3242</v>
      </c>
      <c r="E1862" t="s">
        <v>16477</v>
      </c>
      <c r="F1862" t="s">
        <v>3257</v>
      </c>
      <c r="G1862" t="s">
        <v>8259</v>
      </c>
      <c r="H1862" t="s">
        <v>4179</v>
      </c>
      <c r="I1862" t="s">
        <v>3324</v>
      </c>
    </row>
    <row r="1863" spans="1:9" x14ac:dyDescent="0.25">
      <c r="A1863" t="s">
        <v>8260</v>
      </c>
      <c r="B1863" t="s">
        <v>8260</v>
      </c>
      <c r="C1863" t="s">
        <v>8261</v>
      </c>
      <c r="D1863" t="s">
        <v>3242</v>
      </c>
      <c r="E1863" t="s">
        <v>15892</v>
      </c>
      <c r="F1863" t="s">
        <v>3306</v>
      </c>
      <c r="G1863" t="s">
        <v>8262</v>
      </c>
      <c r="H1863" t="s">
        <v>4919</v>
      </c>
      <c r="I1863" t="s">
        <v>3294</v>
      </c>
    </row>
    <row r="1864" spans="1:9" x14ac:dyDescent="0.25">
      <c r="A1864" t="s">
        <v>8263</v>
      </c>
      <c r="B1864" t="s">
        <v>8263</v>
      </c>
      <c r="C1864" t="s">
        <v>8264</v>
      </c>
      <c r="D1864" t="s">
        <v>3321</v>
      </c>
      <c r="E1864" t="s">
        <v>15710</v>
      </c>
      <c r="F1864" t="s">
        <v>4996</v>
      </c>
      <c r="G1864" t="s">
        <v>8265</v>
      </c>
      <c r="H1864" t="s">
        <v>5239</v>
      </c>
      <c r="I1864" t="s">
        <v>3366</v>
      </c>
    </row>
    <row r="1865" spans="1:9" x14ac:dyDescent="0.25">
      <c r="A1865" t="s">
        <v>8266</v>
      </c>
      <c r="B1865" t="s">
        <v>8266</v>
      </c>
      <c r="C1865" t="s">
        <v>8267</v>
      </c>
      <c r="D1865" t="s">
        <v>3242</v>
      </c>
      <c r="E1865" t="s">
        <v>15710</v>
      </c>
      <c r="F1865" t="s">
        <v>5955</v>
      </c>
      <c r="G1865" t="s">
        <v>8268</v>
      </c>
      <c r="H1865" t="s">
        <v>4871</v>
      </c>
      <c r="I1865" t="s">
        <v>3324</v>
      </c>
    </row>
    <row r="1866" spans="1:9" x14ac:dyDescent="0.25">
      <c r="A1866" t="s">
        <v>8269</v>
      </c>
      <c r="B1866" t="s">
        <v>8269</v>
      </c>
      <c r="C1866" t="s">
        <v>8270</v>
      </c>
      <c r="D1866" t="s">
        <v>3321</v>
      </c>
      <c r="E1866" t="s">
        <v>15710</v>
      </c>
      <c r="F1866" t="s">
        <v>4996</v>
      </c>
      <c r="G1866" t="s">
        <v>8271</v>
      </c>
      <c r="H1866" t="s">
        <v>4871</v>
      </c>
      <c r="I1866" t="s">
        <v>3366</v>
      </c>
    </row>
    <row r="1867" spans="1:9" x14ac:dyDescent="0.25">
      <c r="A1867" t="s">
        <v>8272</v>
      </c>
      <c r="B1867" t="s">
        <v>8272</v>
      </c>
      <c r="C1867" t="s">
        <v>15150</v>
      </c>
      <c r="D1867" t="s">
        <v>3242</v>
      </c>
      <c r="E1867" t="s">
        <v>15710</v>
      </c>
      <c r="F1867" t="s">
        <v>3257</v>
      </c>
      <c r="G1867" t="s">
        <v>8273</v>
      </c>
      <c r="H1867" t="s">
        <v>5243</v>
      </c>
      <c r="I1867" t="s">
        <v>3324</v>
      </c>
    </row>
    <row r="1868" spans="1:9" x14ac:dyDescent="0.25">
      <c r="A1868" t="s">
        <v>15151</v>
      </c>
      <c r="B1868" t="s">
        <v>15151</v>
      </c>
      <c r="C1868" t="s">
        <v>15152</v>
      </c>
      <c r="D1868" t="s">
        <v>3242</v>
      </c>
      <c r="E1868" t="s">
        <v>15863</v>
      </c>
      <c r="F1868" t="s">
        <v>7747</v>
      </c>
      <c r="G1868" t="s">
        <v>15153</v>
      </c>
      <c r="H1868" t="s">
        <v>5700</v>
      </c>
      <c r="I1868" t="s">
        <v>15020</v>
      </c>
    </row>
    <row r="1869" spans="1:9" x14ac:dyDescent="0.25">
      <c r="A1869" t="s">
        <v>16244</v>
      </c>
      <c r="B1869" t="s">
        <v>16244</v>
      </c>
      <c r="C1869" t="s">
        <v>16245</v>
      </c>
      <c r="D1869" t="s">
        <v>3242</v>
      </c>
      <c r="E1869" t="s">
        <v>15710</v>
      </c>
      <c r="F1869" t="s">
        <v>9371</v>
      </c>
      <c r="G1869" t="s">
        <v>16246</v>
      </c>
      <c r="H1869" t="s">
        <v>5700</v>
      </c>
      <c r="I1869" t="s">
        <v>15020</v>
      </c>
    </row>
    <row r="1870" spans="1:9" x14ac:dyDescent="0.25">
      <c r="A1870" t="s">
        <v>8274</v>
      </c>
      <c r="B1870" t="s">
        <v>8274</v>
      </c>
      <c r="C1870" t="s">
        <v>8275</v>
      </c>
      <c r="D1870" t="s">
        <v>3242</v>
      </c>
      <c r="E1870" t="s">
        <v>15710</v>
      </c>
      <c r="F1870" t="s">
        <v>7841</v>
      </c>
      <c r="G1870" t="s">
        <v>8276</v>
      </c>
      <c r="H1870" t="s">
        <v>3417</v>
      </c>
    </row>
    <row r="1871" spans="1:9" x14ac:dyDescent="0.25">
      <c r="A1871" t="s">
        <v>8277</v>
      </c>
      <c r="B1871" t="s">
        <v>8277</v>
      </c>
      <c r="C1871" t="s">
        <v>8278</v>
      </c>
      <c r="D1871" t="s">
        <v>3242</v>
      </c>
      <c r="E1871" t="s">
        <v>17003</v>
      </c>
      <c r="F1871" t="s">
        <v>8279</v>
      </c>
      <c r="G1871" t="s">
        <v>8280</v>
      </c>
      <c r="H1871" t="s">
        <v>6547</v>
      </c>
      <c r="I1871" t="s">
        <v>3648</v>
      </c>
    </row>
    <row r="1872" spans="1:9" x14ac:dyDescent="0.25">
      <c r="A1872" t="s">
        <v>8281</v>
      </c>
      <c r="B1872" t="s">
        <v>8281</v>
      </c>
      <c r="C1872" t="s">
        <v>8282</v>
      </c>
      <c r="D1872" t="s">
        <v>3242</v>
      </c>
      <c r="E1872" t="s">
        <v>15710</v>
      </c>
      <c r="F1872" t="s">
        <v>3288</v>
      </c>
      <c r="G1872" t="s">
        <v>8283</v>
      </c>
      <c r="H1872" t="s">
        <v>4258</v>
      </c>
    </row>
    <row r="1873" spans="1:9" x14ac:dyDescent="0.25">
      <c r="A1873" t="s">
        <v>8284</v>
      </c>
      <c r="B1873" t="s">
        <v>8284</v>
      </c>
      <c r="C1873" t="s">
        <v>8285</v>
      </c>
      <c r="D1873" t="s">
        <v>3242</v>
      </c>
      <c r="E1873" t="s">
        <v>15710</v>
      </c>
      <c r="F1873" t="s">
        <v>3243</v>
      </c>
      <c r="G1873" t="s">
        <v>8286</v>
      </c>
      <c r="H1873" t="s">
        <v>3248</v>
      </c>
    </row>
    <row r="1874" spans="1:9" x14ac:dyDescent="0.25">
      <c r="A1874" t="s">
        <v>8287</v>
      </c>
      <c r="B1874" t="s">
        <v>8287</v>
      </c>
      <c r="C1874" t="s">
        <v>8288</v>
      </c>
      <c r="D1874" t="s">
        <v>3242</v>
      </c>
      <c r="E1874" t="s">
        <v>15792</v>
      </c>
      <c r="F1874" t="s">
        <v>3372</v>
      </c>
      <c r="G1874" t="s">
        <v>15154</v>
      </c>
      <c r="H1874" t="s">
        <v>3484</v>
      </c>
      <c r="I1874" t="s">
        <v>3375</v>
      </c>
    </row>
    <row r="1875" spans="1:9" x14ac:dyDescent="0.25">
      <c r="A1875" t="s">
        <v>8289</v>
      </c>
      <c r="B1875" t="s">
        <v>8289</v>
      </c>
      <c r="C1875" t="s">
        <v>8290</v>
      </c>
      <c r="D1875" t="s">
        <v>3242</v>
      </c>
      <c r="E1875" t="s">
        <v>15710</v>
      </c>
      <c r="F1875" t="s">
        <v>3288</v>
      </c>
      <c r="G1875" t="s">
        <v>8291</v>
      </c>
      <c r="H1875" t="s">
        <v>8292</v>
      </c>
    </row>
    <row r="1876" spans="1:9" x14ac:dyDescent="0.25">
      <c r="A1876" t="s">
        <v>8293</v>
      </c>
      <c r="B1876" t="s">
        <v>8293</v>
      </c>
      <c r="C1876" t="s">
        <v>8294</v>
      </c>
      <c r="D1876" t="s">
        <v>3242</v>
      </c>
      <c r="E1876" t="s">
        <v>15710</v>
      </c>
      <c r="F1876" t="s">
        <v>3243</v>
      </c>
      <c r="G1876" t="s">
        <v>8295</v>
      </c>
      <c r="H1876" t="s">
        <v>8296</v>
      </c>
    </row>
    <row r="1877" spans="1:9" x14ac:dyDescent="0.25">
      <c r="A1877" t="s">
        <v>16478</v>
      </c>
      <c r="B1877" t="s">
        <v>16478</v>
      </c>
      <c r="C1877" t="s">
        <v>16479</v>
      </c>
      <c r="D1877" t="s">
        <v>3242</v>
      </c>
      <c r="E1877" t="s">
        <v>15710</v>
      </c>
      <c r="F1877" t="s">
        <v>3243</v>
      </c>
      <c r="G1877" t="s">
        <v>16480</v>
      </c>
      <c r="H1877" t="s">
        <v>15119</v>
      </c>
    </row>
    <row r="1878" spans="1:9" x14ac:dyDescent="0.25">
      <c r="A1878" t="s">
        <v>8297</v>
      </c>
      <c r="B1878" t="s">
        <v>8297</v>
      </c>
      <c r="C1878" t="s">
        <v>8298</v>
      </c>
      <c r="D1878" t="s">
        <v>3242</v>
      </c>
      <c r="E1878" t="s">
        <v>15710</v>
      </c>
      <c r="F1878" t="s">
        <v>3288</v>
      </c>
      <c r="G1878" t="s">
        <v>8299</v>
      </c>
      <c r="H1878" t="s">
        <v>3463</v>
      </c>
    </row>
    <row r="1879" spans="1:9" x14ac:dyDescent="0.25">
      <c r="A1879" t="s">
        <v>16248</v>
      </c>
      <c r="B1879" t="s">
        <v>16248</v>
      </c>
      <c r="C1879" t="s">
        <v>16249</v>
      </c>
      <c r="D1879" t="s">
        <v>3242</v>
      </c>
      <c r="E1879" t="s">
        <v>15710</v>
      </c>
      <c r="F1879" t="s">
        <v>3243</v>
      </c>
      <c r="G1879" t="s">
        <v>16250</v>
      </c>
      <c r="H1879" t="s">
        <v>3623</v>
      </c>
    </row>
    <row r="1880" spans="1:9" x14ac:dyDescent="0.25">
      <c r="A1880" t="s">
        <v>16481</v>
      </c>
      <c r="B1880" t="s">
        <v>16481</v>
      </c>
      <c r="C1880" t="s">
        <v>16482</v>
      </c>
      <c r="D1880" t="s">
        <v>3242</v>
      </c>
      <c r="E1880" t="s">
        <v>15710</v>
      </c>
      <c r="F1880" t="s">
        <v>3243</v>
      </c>
      <c r="G1880" t="s">
        <v>16483</v>
      </c>
      <c r="H1880" t="s">
        <v>3618</v>
      </c>
    </row>
    <row r="1881" spans="1:9" x14ac:dyDescent="0.25">
      <c r="A1881" t="s">
        <v>8300</v>
      </c>
      <c r="B1881" t="s">
        <v>8300</v>
      </c>
      <c r="C1881" t="s">
        <v>8301</v>
      </c>
      <c r="D1881" t="s">
        <v>3242</v>
      </c>
      <c r="E1881" t="s">
        <v>15710</v>
      </c>
      <c r="F1881" t="s">
        <v>3288</v>
      </c>
      <c r="G1881" t="s">
        <v>8302</v>
      </c>
      <c r="H1881" t="s">
        <v>3060</v>
      </c>
    </row>
    <row r="1882" spans="1:9" x14ac:dyDescent="0.25">
      <c r="A1882" t="s">
        <v>8303</v>
      </c>
      <c r="B1882" t="s">
        <v>8303</v>
      </c>
      <c r="C1882" t="s">
        <v>8304</v>
      </c>
      <c r="D1882" t="s">
        <v>3242</v>
      </c>
      <c r="E1882" t="s">
        <v>15710</v>
      </c>
      <c r="F1882" t="s">
        <v>3345</v>
      </c>
      <c r="G1882" t="s">
        <v>8305</v>
      </c>
      <c r="H1882" t="s">
        <v>8306</v>
      </c>
    </row>
    <row r="1883" spans="1:9" x14ac:dyDescent="0.25">
      <c r="A1883" t="s">
        <v>8307</v>
      </c>
      <c r="B1883" t="s">
        <v>8307</v>
      </c>
      <c r="C1883" t="s">
        <v>8308</v>
      </c>
      <c r="D1883" t="s">
        <v>3242</v>
      </c>
      <c r="E1883" t="s">
        <v>15710</v>
      </c>
      <c r="F1883" t="s">
        <v>3243</v>
      </c>
      <c r="G1883" t="s">
        <v>8309</v>
      </c>
      <c r="H1883" t="s">
        <v>4697</v>
      </c>
    </row>
    <row r="1884" spans="1:9" x14ac:dyDescent="0.25">
      <c r="A1884" t="s">
        <v>16051</v>
      </c>
      <c r="B1884" t="s">
        <v>16051</v>
      </c>
      <c r="C1884" t="s">
        <v>16052</v>
      </c>
      <c r="D1884" t="s">
        <v>3242</v>
      </c>
      <c r="E1884" t="s">
        <v>15710</v>
      </c>
      <c r="F1884" t="s">
        <v>3257</v>
      </c>
      <c r="G1884" t="s">
        <v>16053</v>
      </c>
      <c r="H1884" t="s">
        <v>3332</v>
      </c>
      <c r="I1884" t="s">
        <v>3268</v>
      </c>
    </row>
    <row r="1885" spans="1:9" x14ac:dyDescent="0.25">
      <c r="A1885" t="s">
        <v>8310</v>
      </c>
      <c r="B1885" t="s">
        <v>8310</v>
      </c>
      <c r="C1885" t="s">
        <v>8311</v>
      </c>
      <c r="D1885" t="s">
        <v>3242</v>
      </c>
      <c r="E1885" t="s">
        <v>15710</v>
      </c>
      <c r="F1885" t="s">
        <v>3288</v>
      </c>
      <c r="G1885" t="s">
        <v>8312</v>
      </c>
      <c r="H1885" t="s">
        <v>3463</v>
      </c>
    </row>
    <row r="1886" spans="1:9" x14ac:dyDescent="0.25">
      <c r="A1886" t="s">
        <v>8313</v>
      </c>
      <c r="B1886" t="s">
        <v>8313</v>
      </c>
      <c r="C1886" t="s">
        <v>8314</v>
      </c>
      <c r="D1886" t="s">
        <v>3242</v>
      </c>
      <c r="E1886" t="s">
        <v>15710</v>
      </c>
      <c r="F1886" t="s">
        <v>3288</v>
      </c>
      <c r="G1886" t="s">
        <v>8315</v>
      </c>
      <c r="H1886" t="s">
        <v>3463</v>
      </c>
    </row>
    <row r="1887" spans="1:9" x14ac:dyDescent="0.25">
      <c r="A1887" t="s">
        <v>8316</v>
      </c>
      <c r="B1887" t="s">
        <v>8316</v>
      </c>
      <c r="C1887" t="s">
        <v>8317</v>
      </c>
      <c r="D1887" t="s">
        <v>3242</v>
      </c>
      <c r="E1887" t="s">
        <v>15710</v>
      </c>
      <c r="F1887" t="s">
        <v>3243</v>
      </c>
      <c r="G1887" t="s">
        <v>8318</v>
      </c>
      <c r="H1887" t="s">
        <v>3060</v>
      </c>
    </row>
    <row r="1888" spans="1:9" x14ac:dyDescent="0.25">
      <c r="A1888" t="s">
        <v>8319</v>
      </c>
      <c r="B1888" t="s">
        <v>8319</v>
      </c>
      <c r="C1888" t="s">
        <v>8320</v>
      </c>
      <c r="D1888" t="s">
        <v>3242</v>
      </c>
      <c r="E1888" t="s">
        <v>15837</v>
      </c>
      <c r="F1888" t="s">
        <v>3760</v>
      </c>
      <c r="G1888" t="s">
        <v>8321</v>
      </c>
      <c r="H1888" t="s">
        <v>3060</v>
      </c>
      <c r="I1888" t="s">
        <v>4028</v>
      </c>
    </row>
    <row r="1889" spans="1:9" x14ac:dyDescent="0.25">
      <c r="A1889" t="s">
        <v>8322</v>
      </c>
      <c r="B1889" t="s">
        <v>8322</v>
      </c>
      <c r="C1889" t="s">
        <v>8323</v>
      </c>
      <c r="D1889" t="s">
        <v>3242</v>
      </c>
      <c r="E1889" t="s">
        <v>15710</v>
      </c>
      <c r="F1889" t="s">
        <v>3243</v>
      </c>
      <c r="G1889" t="s">
        <v>8324</v>
      </c>
      <c r="H1889" t="s">
        <v>3285</v>
      </c>
    </row>
    <row r="1890" spans="1:9" x14ac:dyDescent="0.25">
      <c r="A1890" t="s">
        <v>8325</v>
      </c>
      <c r="B1890" t="s">
        <v>8325</v>
      </c>
      <c r="C1890" t="s">
        <v>8326</v>
      </c>
      <c r="D1890" t="s">
        <v>3242</v>
      </c>
      <c r="E1890" t="s">
        <v>15710</v>
      </c>
      <c r="F1890" t="s">
        <v>3345</v>
      </c>
      <c r="G1890" t="s">
        <v>8327</v>
      </c>
      <c r="H1890" t="s">
        <v>3680</v>
      </c>
    </row>
    <row r="1891" spans="1:9" x14ac:dyDescent="0.25">
      <c r="A1891" t="s">
        <v>8328</v>
      </c>
      <c r="B1891" t="s">
        <v>8328</v>
      </c>
      <c r="C1891" t="s">
        <v>8329</v>
      </c>
      <c r="D1891" t="s">
        <v>3242</v>
      </c>
      <c r="E1891" t="s">
        <v>15710</v>
      </c>
      <c r="F1891" t="s">
        <v>3243</v>
      </c>
      <c r="G1891" t="s">
        <v>8330</v>
      </c>
      <c r="H1891" t="s">
        <v>3060</v>
      </c>
    </row>
    <row r="1892" spans="1:9" x14ac:dyDescent="0.25">
      <c r="A1892" t="s">
        <v>8331</v>
      </c>
      <c r="B1892" t="s">
        <v>8331</v>
      </c>
      <c r="C1892" t="s">
        <v>8332</v>
      </c>
      <c r="D1892" t="s">
        <v>3242</v>
      </c>
      <c r="E1892" t="s">
        <v>15710</v>
      </c>
      <c r="F1892" t="s">
        <v>3251</v>
      </c>
      <c r="G1892" t="s">
        <v>8333</v>
      </c>
      <c r="H1892" t="s">
        <v>3668</v>
      </c>
      <c r="I1892" t="s">
        <v>5250</v>
      </c>
    </row>
    <row r="1893" spans="1:9" x14ac:dyDescent="0.25">
      <c r="A1893" t="s">
        <v>8334</v>
      </c>
      <c r="B1893" t="s">
        <v>8334</v>
      </c>
      <c r="C1893" t="s">
        <v>8335</v>
      </c>
      <c r="D1893" t="s">
        <v>3242</v>
      </c>
      <c r="E1893" t="s">
        <v>15710</v>
      </c>
      <c r="F1893" t="s">
        <v>3345</v>
      </c>
      <c r="G1893" t="s">
        <v>8336</v>
      </c>
      <c r="H1893" t="s">
        <v>3680</v>
      </c>
    </row>
    <row r="1894" spans="1:9" x14ac:dyDescent="0.25">
      <c r="A1894" t="s">
        <v>8337</v>
      </c>
      <c r="B1894" t="s">
        <v>8337</v>
      </c>
      <c r="C1894" t="s">
        <v>8338</v>
      </c>
      <c r="D1894" t="s">
        <v>3242</v>
      </c>
      <c r="E1894" t="s">
        <v>15710</v>
      </c>
      <c r="F1894" t="s">
        <v>3243</v>
      </c>
      <c r="G1894" t="s">
        <v>8339</v>
      </c>
      <c r="H1894" t="s">
        <v>3680</v>
      </c>
    </row>
    <row r="1895" spans="1:9" x14ac:dyDescent="0.25">
      <c r="A1895" t="s">
        <v>8340</v>
      </c>
      <c r="B1895" t="s">
        <v>8340</v>
      </c>
      <c r="C1895" t="s">
        <v>8341</v>
      </c>
      <c r="D1895" t="s">
        <v>3242</v>
      </c>
      <c r="E1895" t="s">
        <v>15710</v>
      </c>
      <c r="F1895" t="s">
        <v>3243</v>
      </c>
      <c r="G1895" t="s">
        <v>8342</v>
      </c>
      <c r="H1895" t="s">
        <v>3285</v>
      </c>
    </row>
    <row r="1896" spans="1:9" x14ac:dyDescent="0.25">
      <c r="A1896" t="s">
        <v>8343</v>
      </c>
      <c r="B1896" t="s">
        <v>8343</v>
      </c>
      <c r="C1896" t="s">
        <v>8344</v>
      </c>
      <c r="D1896" t="s">
        <v>3242</v>
      </c>
      <c r="E1896" t="s">
        <v>15710</v>
      </c>
      <c r="F1896" t="s">
        <v>3345</v>
      </c>
      <c r="G1896" t="s">
        <v>8345</v>
      </c>
      <c r="H1896" t="s">
        <v>3285</v>
      </c>
    </row>
    <row r="1897" spans="1:9" x14ac:dyDescent="0.25">
      <c r="A1897" t="s">
        <v>17287</v>
      </c>
      <c r="B1897" t="s">
        <v>17287</v>
      </c>
      <c r="C1897" t="s">
        <v>17288</v>
      </c>
      <c r="D1897" t="s">
        <v>3242</v>
      </c>
      <c r="E1897" t="s">
        <v>17581</v>
      </c>
      <c r="F1897" t="s">
        <v>3251</v>
      </c>
      <c r="G1897" t="s">
        <v>17289</v>
      </c>
      <c r="H1897" t="s">
        <v>3623</v>
      </c>
      <c r="I1897" t="s">
        <v>5390</v>
      </c>
    </row>
    <row r="1898" spans="1:9" x14ac:dyDescent="0.25">
      <c r="A1898" t="s">
        <v>15155</v>
      </c>
      <c r="B1898" t="s">
        <v>15155</v>
      </c>
      <c r="C1898" t="s">
        <v>15156</v>
      </c>
      <c r="D1898" t="s">
        <v>3242</v>
      </c>
      <c r="E1898" t="s">
        <v>15710</v>
      </c>
      <c r="F1898" t="s">
        <v>3243</v>
      </c>
      <c r="G1898" t="s">
        <v>15157</v>
      </c>
      <c r="H1898" t="s">
        <v>8489</v>
      </c>
    </row>
    <row r="1899" spans="1:9" x14ac:dyDescent="0.25">
      <c r="A1899" t="s">
        <v>8346</v>
      </c>
      <c r="B1899" t="s">
        <v>8346</v>
      </c>
      <c r="C1899" t="s">
        <v>8347</v>
      </c>
      <c r="D1899" t="s">
        <v>3242</v>
      </c>
      <c r="E1899" t="s">
        <v>15710</v>
      </c>
      <c r="F1899" t="s">
        <v>3243</v>
      </c>
      <c r="G1899" t="s">
        <v>8348</v>
      </c>
      <c r="H1899" t="s">
        <v>4045</v>
      </c>
    </row>
    <row r="1900" spans="1:9" x14ac:dyDescent="0.25">
      <c r="A1900" t="s">
        <v>8349</v>
      </c>
      <c r="B1900" t="s">
        <v>8349</v>
      </c>
      <c r="C1900" t="s">
        <v>8350</v>
      </c>
      <c r="D1900" t="s">
        <v>3242</v>
      </c>
      <c r="E1900" t="s">
        <v>15710</v>
      </c>
      <c r="F1900" t="s">
        <v>3243</v>
      </c>
      <c r="G1900" t="s">
        <v>8351</v>
      </c>
      <c r="H1900" t="s">
        <v>3060</v>
      </c>
    </row>
    <row r="1901" spans="1:9" x14ac:dyDescent="0.25">
      <c r="A1901" t="s">
        <v>8352</v>
      </c>
      <c r="B1901" t="s">
        <v>8352</v>
      </c>
      <c r="C1901" t="s">
        <v>8353</v>
      </c>
      <c r="D1901" t="s">
        <v>3242</v>
      </c>
      <c r="E1901" t="s">
        <v>15710</v>
      </c>
      <c r="F1901" t="s">
        <v>3243</v>
      </c>
      <c r="G1901" t="s">
        <v>8354</v>
      </c>
      <c r="H1901" t="s">
        <v>3285</v>
      </c>
    </row>
    <row r="1902" spans="1:9" x14ac:dyDescent="0.25">
      <c r="A1902" t="s">
        <v>14835</v>
      </c>
      <c r="B1902" t="s">
        <v>14835</v>
      </c>
      <c r="C1902" t="s">
        <v>16837</v>
      </c>
      <c r="D1902" t="s">
        <v>3242</v>
      </c>
      <c r="E1902" t="s">
        <v>15710</v>
      </c>
      <c r="F1902" t="s">
        <v>3243</v>
      </c>
      <c r="G1902" t="s">
        <v>16838</v>
      </c>
      <c r="H1902" t="s">
        <v>3285</v>
      </c>
    </row>
    <row r="1903" spans="1:9" x14ac:dyDescent="0.25">
      <c r="A1903" t="s">
        <v>8355</v>
      </c>
      <c r="B1903" t="s">
        <v>8355</v>
      </c>
      <c r="C1903" t="s">
        <v>8356</v>
      </c>
      <c r="D1903" t="s">
        <v>3242</v>
      </c>
      <c r="E1903" t="s">
        <v>15710</v>
      </c>
      <c r="F1903" t="s">
        <v>3243</v>
      </c>
      <c r="G1903" t="s">
        <v>8357</v>
      </c>
      <c r="H1903" t="s">
        <v>3285</v>
      </c>
    </row>
    <row r="1904" spans="1:9" x14ac:dyDescent="0.25">
      <c r="A1904" t="s">
        <v>8358</v>
      </c>
      <c r="B1904" t="s">
        <v>8358</v>
      </c>
      <c r="C1904" t="s">
        <v>8359</v>
      </c>
      <c r="D1904" t="s">
        <v>3242</v>
      </c>
      <c r="E1904" t="s">
        <v>15710</v>
      </c>
      <c r="F1904" t="s">
        <v>8360</v>
      </c>
      <c r="G1904" t="s">
        <v>8361</v>
      </c>
      <c r="H1904" t="s">
        <v>3060</v>
      </c>
      <c r="I1904" t="s">
        <v>3694</v>
      </c>
    </row>
    <row r="1905" spans="1:9" x14ac:dyDescent="0.25">
      <c r="A1905" t="s">
        <v>8362</v>
      </c>
      <c r="B1905" t="s">
        <v>8362</v>
      </c>
      <c r="C1905" t="s">
        <v>8363</v>
      </c>
      <c r="D1905" t="s">
        <v>3242</v>
      </c>
      <c r="E1905" t="s">
        <v>15710</v>
      </c>
      <c r="F1905" t="s">
        <v>3288</v>
      </c>
      <c r="G1905" t="s">
        <v>8364</v>
      </c>
      <c r="H1905" t="s">
        <v>3285</v>
      </c>
    </row>
    <row r="1906" spans="1:9" x14ac:dyDescent="0.25">
      <c r="A1906" t="s">
        <v>8365</v>
      </c>
      <c r="B1906" t="s">
        <v>8365</v>
      </c>
      <c r="C1906" t="s">
        <v>8366</v>
      </c>
      <c r="D1906" t="s">
        <v>3242</v>
      </c>
      <c r="E1906" t="s">
        <v>15710</v>
      </c>
      <c r="F1906" t="s">
        <v>3283</v>
      </c>
      <c r="G1906" t="s">
        <v>8367</v>
      </c>
      <c r="H1906" t="s">
        <v>3623</v>
      </c>
    </row>
    <row r="1907" spans="1:9" x14ac:dyDescent="0.25">
      <c r="A1907" t="s">
        <v>8368</v>
      </c>
      <c r="B1907" t="s">
        <v>8368</v>
      </c>
      <c r="C1907" t="s">
        <v>8369</v>
      </c>
      <c r="D1907" t="s">
        <v>3242</v>
      </c>
      <c r="E1907" t="s">
        <v>15710</v>
      </c>
      <c r="F1907" t="s">
        <v>3257</v>
      </c>
      <c r="G1907" t="s">
        <v>8370</v>
      </c>
      <c r="H1907" t="s">
        <v>4711</v>
      </c>
      <c r="I1907" t="s">
        <v>3254</v>
      </c>
    </row>
    <row r="1908" spans="1:9" x14ac:dyDescent="0.25">
      <c r="A1908" t="s">
        <v>8371</v>
      </c>
      <c r="B1908" t="s">
        <v>8371</v>
      </c>
      <c r="C1908" t="s">
        <v>8372</v>
      </c>
      <c r="D1908" t="s">
        <v>3242</v>
      </c>
      <c r="E1908" t="s">
        <v>15710</v>
      </c>
      <c r="F1908" t="s">
        <v>3288</v>
      </c>
      <c r="G1908" t="s">
        <v>8373</v>
      </c>
      <c r="H1908" t="s">
        <v>3744</v>
      </c>
    </row>
    <row r="1909" spans="1:9" x14ac:dyDescent="0.25">
      <c r="A1909" t="s">
        <v>8374</v>
      </c>
      <c r="B1909" t="s">
        <v>8374</v>
      </c>
      <c r="C1909" t="s">
        <v>8375</v>
      </c>
      <c r="D1909" t="s">
        <v>3242</v>
      </c>
      <c r="E1909" t="s">
        <v>15710</v>
      </c>
      <c r="F1909" t="s">
        <v>3243</v>
      </c>
      <c r="G1909" t="s">
        <v>8376</v>
      </c>
      <c r="H1909" t="s">
        <v>8377</v>
      </c>
    </row>
    <row r="1910" spans="1:9" x14ac:dyDescent="0.25">
      <c r="A1910" t="s">
        <v>8378</v>
      </c>
      <c r="B1910" t="s">
        <v>8378</v>
      </c>
      <c r="C1910" t="s">
        <v>8379</v>
      </c>
      <c r="D1910" t="s">
        <v>3242</v>
      </c>
      <c r="E1910" t="s">
        <v>15710</v>
      </c>
      <c r="F1910" t="s">
        <v>3257</v>
      </c>
      <c r="G1910" t="s">
        <v>8380</v>
      </c>
      <c r="H1910" t="s">
        <v>4711</v>
      </c>
      <c r="I1910" t="s">
        <v>3254</v>
      </c>
    </row>
    <row r="1911" spans="1:9" x14ac:dyDescent="0.25">
      <c r="A1911" t="s">
        <v>8381</v>
      </c>
      <c r="B1911" t="s">
        <v>8381</v>
      </c>
      <c r="C1911" t="s">
        <v>8382</v>
      </c>
      <c r="D1911" t="s">
        <v>3242</v>
      </c>
      <c r="E1911" t="s">
        <v>15710</v>
      </c>
      <c r="F1911" t="s">
        <v>3288</v>
      </c>
      <c r="G1911" t="s">
        <v>8383</v>
      </c>
      <c r="H1911" t="s">
        <v>3285</v>
      </c>
    </row>
    <row r="1912" spans="1:9" x14ac:dyDescent="0.25">
      <c r="A1912" t="s">
        <v>8384</v>
      </c>
      <c r="B1912" t="s">
        <v>8384</v>
      </c>
      <c r="C1912" t="s">
        <v>8385</v>
      </c>
      <c r="D1912" t="s">
        <v>3242</v>
      </c>
      <c r="E1912" t="s">
        <v>17004</v>
      </c>
      <c r="F1912" t="s">
        <v>3257</v>
      </c>
      <c r="G1912" t="s">
        <v>8386</v>
      </c>
      <c r="H1912" t="s">
        <v>4711</v>
      </c>
      <c r="I1912" t="s">
        <v>3254</v>
      </c>
    </row>
    <row r="1913" spans="1:9" x14ac:dyDescent="0.25">
      <c r="A1913" t="s">
        <v>17005</v>
      </c>
      <c r="B1913" t="s">
        <v>17005</v>
      </c>
      <c r="C1913" t="s">
        <v>17006</v>
      </c>
      <c r="D1913" t="s">
        <v>3242</v>
      </c>
      <c r="E1913" t="s">
        <v>16451</v>
      </c>
      <c r="F1913" t="s">
        <v>3372</v>
      </c>
      <c r="G1913" t="s">
        <v>17007</v>
      </c>
      <c r="H1913" t="s">
        <v>3537</v>
      </c>
      <c r="I1913" t="s">
        <v>4605</v>
      </c>
    </row>
    <row r="1914" spans="1:9" x14ac:dyDescent="0.25">
      <c r="A1914" t="s">
        <v>8387</v>
      </c>
      <c r="B1914" t="s">
        <v>8387</v>
      </c>
      <c r="C1914" t="s">
        <v>8388</v>
      </c>
      <c r="D1914" t="s">
        <v>3242</v>
      </c>
      <c r="E1914" t="s">
        <v>15710</v>
      </c>
      <c r="F1914" t="s">
        <v>3283</v>
      </c>
      <c r="G1914" t="s">
        <v>8389</v>
      </c>
      <c r="H1914" t="s">
        <v>3285</v>
      </c>
    </row>
    <row r="1915" spans="1:9" x14ac:dyDescent="0.25">
      <c r="A1915" t="s">
        <v>8390</v>
      </c>
      <c r="B1915" t="s">
        <v>8390</v>
      </c>
      <c r="C1915" t="s">
        <v>8391</v>
      </c>
      <c r="D1915" t="s">
        <v>3242</v>
      </c>
      <c r="E1915" t="s">
        <v>17582</v>
      </c>
      <c r="F1915" t="s">
        <v>3257</v>
      </c>
      <c r="G1915" t="s">
        <v>8392</v>
      </c>
      <c r="H1915" t="s">
        <v>3253</v>
      </c>
      <c r="I1915" t="s">
        <v>3451</v>
      </c>
    </row>
    <row r="1916" spans="1:9" x14ac:dyDescent="0.25">
      <c r="A1916" t="s">
        <v>8393</v>
      </c>
      <c r="B1916" t="s">
        <v>8393</v>
      </c>
      <c r="C1916" t="s">
        <v>8394</v>
      </c>
      <c r="D1916" t="s">
        <v>3242</v>
      </c>
      <c r="E1916" t="s">
        <v>15710</v>
      </c>
      <c r="F1916" t="s">
        <v>3257</v>
      </c>
      <c r="G1916" t="s">
        <v>8395</v>
      </c>
      <c r="H1916" t="s">
        <v>3060</v>
      </c>
      <c r="I1916" t="s">
        <v>5250</v>
      </c>
    </row>
    <row r="1917" spans="1:9" x14ac:dyDescent="0.25">
      <c r="A1917" t="s">
        <v>8396</v>
      </c>
      <c r="B1917" t="s">
        <v>8396</v>
      </c>
      <c r="C1917" t="s">
        <v>8397</v>
      </c>
      <c r="D1917" t="s">
        <v>3242</v>
      </c>
      <c r="E1917" t="s">
        <v>15710</v>
      </c>
      <c r="F1917" t="s">
        <v>3257</v>
      </c>
      <c r="G1917" t="s">
        <v>8398</v>
      </c>
      <c r="H1917" t="s">
        <v>4045</v>
      </c>
      <c r="I1917" t="s">
        <v>3254</v>
      </c>
    </row>
    <row r="1918" spans="1:9" x14ac:dyDescent="0.25">
      <c r="A1918" t="s">
        <v>8399</v>
      </c>
      <c r="B1918" t="s">
        <v>8399</v>
      </c>
      <c r="C1918" t="s">
        <v>8400</v>
      </c>
      <c r="D1918" t="s">
        <v>3242</v>
      </c>
      <c r="E1918" t="s">
        <v>15764</v>
      </c>
      <c r="F1918" t="s">
        <v>8401</v>
      </c>
      <c r="G1918" t="s">
        <v>8402</v>
      </c>
      <c r="H1918" t="s">
        <v>3496</v>
      </c>
      <c r="I1918" t="s">
        <v>3407</v>
      </c>
    </row>
    <row r="1919" spans="1:9" x14ac:dyDescent="0.25">
      <c r="A1919" t="s">
        <v>15158</v>
      </c>
      <c r="B1919" t="s">
        <v>15158</v>
      </c>
      <c r="C1919" t="s">
        <v>15159</v>
      </c>
      <c r="D1919" t="s">
        <v>3242</v>
      </c>
      <c r="E1919" t="s">
        <v>15793</v>
      </c>
      <c r="F1919" t="s">
        <v>15160</v>
      </c>
      <c r="G1919" t="s">
        <v>15161</v>
      </c>
      <c r="H1919" t="s">
        <v>3496</v>
      </c>
      <c r="I1919" t="s">
        <v>3407</v>
      </c>
    </row>
    <row r="1920" spans="1:9" x14ac:dyDescent="0.25">
      <c r="A1920" t="s">
        <v>8403</v>
      </c>
      <c r="B1920" t="s">
        <v>8403</v>
      </c>
      <c r="C1920" t="s">
        <v>8404</v>
      </c>
      <c r="D1920" t="s">
        <v>3242</v>
      </c>
      <c r="E1920" t="s">
        <v>15864</v>
      </c>
      <c r="F1920" t="s">
        <v>6332</v>
      </c>
      <c r="G1920" t="s">
        <v>8405</v>
      </c>
      <c r="H1920" t="s">
        <v>5103</v>
      </c>
      <c r="I1920" t="s">
        <v>3407</v>
      </c>
    </row>
    <row r="1921" spans="1:9" x14ac:dyDescent="0.25">
      <c r="A1921" t="s">
        <v>8406</v>
      </c>
      <c r="B1921" t="s">
        <v>8406</v>
      </c>
      <c r="C1921" t="s">
        <v>8407</v>
      </c>
      <c r="D1921" t="s">
        <v>3242</v>
      </c>
      <c r="E1921" t="s">
        <v>15801</v>
      </c>
      <c r="F1921" t="s">
        <v>3243</v>
      </c>
      <c r="G1921" t="s">
        <v>8408</v>
      </c>
      <c r="H1921" t="s">
        <v>5160</v>
      </c>
    </row>
    <row r="1922" spans="1:9" x14ac:dyDescent="0.25">
      <c r="A1922" t="s">
        <v>8409</v>
      </c>
      <c r="B1922" t="s">
        <v>8410</v>
      </c>
      <c r="C1922" t="s">
        <v>8411</v>
      </c>
      <c r="D1922" t="s">
        <v>3242</v>
      </c>
      <c r="E1922" t="s">
        <v>15710</v>
      </c>
      <c r="F1922" t="s">
        <v>3243</v>
      </c>
      <c r="G1922" t="s">
        <v>8412</v>
      </c>
      <c r="H1922" t="s">
        <v>3402</v>
      </c>
    </row>
    <row r="1923" spans="1:9" x14ac:dyDescent="0.25">
      <c r="A1923" t="s">
        <v>8413</v>
      </c>
      <c r="B1923" t="s">
        <v>8413</v>
      </c>
      <c r="C1923" t="s">
        <v>8414</v>
      </c>
      <c r="D1923" t="s">
        <v>3242</v>
      </c>
      <c r="E1923" t="s">
        <v>15710</v>
      </c>
      <c r="F1923" t="s">
        <v>3243</v>
      </c>
      <c r="G1923" t="s">
        <v>8415</v>
      </c>
      <c r="H1923" t="s">
        <v>3402</v>
      </c>
    </row>
    <row r="1924" spans="1:9" x14ac:dyDescent="0.25">
      <c r="A1924" t="s">
        <v>8416</v>
      </c>
      <c r="B1924" t="s">
        <v>8416</v>
      </c>
      <c r="C1924" t="s">
        <v>8417</v>
      </c>
      <c r="D1924" t="s">
        <v>3242</v>
      </c>
      <c r="E1924" t="s">
        <v>15710</v>
      </c>
      <c r="F1924" t="s">
        <v>8418</v>
      </c>
      <c r="G1924" t="s">
        <v>8419</v>
      </c>
      <c r="H1924" t="s">
        <v>3280</v>
      </c>
      <c r="I1924" t="s">
        <v>3407</v>
      </c>
    </row>
    <row r="1925" spans="1:9" x14ac:dyDescent="0.25">
      <c r="A1925" t="s">
        <v>8420</v>
      </c>
      <c r="B1925" t="s">
        <v>8420</v>
      </c>
      <c r="C1925" t="s">
        <v>8421</v>
      </c>
      <c r="D1925" t="s">
        <v>3242</v>
      </c>
      <c r="E1925" t="s">
        <v>15710</v>
      </c>
      <c r="F1925" t="s">
        <v>15712</v>
      </c>
      <c r="G1925" t="s">
        <v>8422</v>
      </c>
      <c r="H1925" t="s">
        <v>3680</v>
      </c>
    </row>
    <row r="1926" spans="1:9" x14ac:dyDescent="0.25">
      <c r="A1926" t="s">
        <v>8423</v>
      </c>
      <c r="B1926" t="s">
        <v>8423</v>
      </c>
      <c r="C1926" t="s">
        <v>8424</v>
      </c>
      <c r="D1926" t="s">
        <v>3242</v>
      </c>
      <c r="E1926" t="s">
        <v>16485</v>
      </c>
      <c r="F1926" t="s">
        <v>3257</v>
      </c>
      <c r="G1926" t="s">
        <v>8425</v>
      </c>
      <c r="H1926" t="s">
        <v>3262</v>
      </c>
      <c r="I1926" t="s">
        <v>3263</v>
      </c>
    </row>
    <row r="1927" spans="1:9" x14ac:dyDescent="0.25">
      <c r="A1927" t="s">
        <v>8426</v>
      </c>
      <c r="B1927" t="s">
        <v>8426</v>
      </c>
      <c r="C1927" t="s">
        <v>8427</v>
      </c>
      <c r="D1927" t="s">
        <v>3242</v>
      </c>
      <c r="E1927" t="s">
        <v>15710</v>
      </c>
      <c r="F1927" t="s">
        <v>3243</v>
      </c>
      <c r="G1927" t="s">
        <v>8428</v>
      </c>
      <c r="H1927" t="s">
        <v>3402</v>
      </c>
    </row>
    <row r="1928" spans="1:9" x14ac:dyDescent="0.25">
      <c r="A1928" t="s">
        <v>8429</v>
      </c>
      <c r="B1928" t="s">
        <v>8429</v>
      </c>
      <c r="C1928" t="s">
        <v>8430</v>
      </c>
      <c r="D1928" t="s">
        <v>3242</v>
      </c>
      <c r="E1928" t="s">
        <v>15907</v>
      </c>
      <c r="F1928" t="s">
        <v>3257</v>
      </c>
      <c r="G1928" t="s">
        <v>8431</v>
      </c>
      <c r="H1928" t="s">
        <v>3484</v>
      </c>
      <c r="I1928" t="s">
        <v>3432</v>
      </c>
    </row>
    <row r="1929" spans="1:9" x14ac:dyDescent="0.25">
      <c r="A1929" t="s">
        <v>8432</v>
      </c>
      <c r="B1929" t="s">
        <v>8432</v>
      </c>
      <c r="C1929" t="s">
        <v>8433</v>
      </c>
      <c r="D1929" t="s">
        <v>3242</v>
      </c>
      <c r="E1929" t="s">
        <v>15710</v>
      </c>
      <c r="F1929" t="s">
        <v>8434</v>
      </c>
      <c r="G1929" t="s">
        <v>8435</v>
      </c>
      <c r="H1929" t="s">
        <v>3496</v>
      </c>
      <c r="I1929" t="s">
        <v>3407</v>
      </c>
    </row>
    <row r="1930" spans="1:9" x14ac:dyDescent="0.25">
      <c r="A1930" t="s">
        <v>8436</v>
      </c>
      <c r="B1930" t="s">
        <v>8436</v>
      </c>
      <c r="C1930" t="s">
        <v>8437</v>
      </c>
      <c r="D1930" t="s">
        <v>3242</v>
      </c>
      <c r="E1930" t="s">
        <v>15908</v>
      </c>
      <c r="F1930" t="s">
        <v>8438</v>
      </c>
      <c r="G1930" t="s">
        <v>8439</v>
      </c>
      <c r="H1930" t="s">
        <v>5151</v>
      </c>
    </row>
    <row r="1931" spans="1:9" x14ac:dyDescent="0.25">
      <c r="A1931" t="s">
        <v>8440</v>
      </c>
      <c r="B1931" t="s">
        <v>8440</v>
      </c>
      <c r="C1931" t="s">
        <v>8441</v>
      </c>
      <c r="D1931" t="s">
        <v>3242</v>
      </c>
      <c r="E1931" t="s">
        <v>15710</v>
      </c>
      <c r="F1931" t="s">
        <v>3243</v>
      </c>
      <c r="G1931" t="s">
        <v>8442</v>
      </c>
      <c r="H1931" t="s">
        <v>8443</v>
      </c>
    </row>
    <row r="1932" spans="1:9" x14ac:dyDescent="0.25">
      <c r="A1932" t="s">
        <v>8444</v>
      </c>
      <c r="B1932" t="s">
        <v>8444</v>
      </c>
      <c r="C1932" t="s">
        <v>8445</v>
      </c>
      <c r="D1932" t="s">
        <v>3242</v>
      </c>
      <c r="E1932" t="s">
        <v>16486</v>
      </c>
      <c r="F1932" t="s">
        <v>3257</v>
      </c>
      <c r="G1932" t="s">
        <v>8446</v>
      </c>
      <c r="H1932" t="s">
        <v>5151</v>
      </c>
    </row>
    <row r="1933" spans="1:9" x14ac:dyDescent="0.25">
      <c r="A1933" t="s">
        <v>8447</v>
      </c>
      <c r="B1933" t="s">
        <v>8447</v>
      </c>
      <c r="C1933" t="s">
        <v>8448</v>
      </c>
      <c r="D1933" t="s">
        <v>3242</v>
      </c>
      <c r="E1933" t="s">
        <v>15710</v>
      </c>
      <c r="F1933" t="s">
        <v>8401</v>
      </c>
      <c r="G1933" t="s">
        <v>8449</v>
      </c>
      <c r="H1933" t="s">
        <v>4913</v>
      </c>
      <c r="I1933" t="s">
        <v>3407</v>
      </c>
    </row>
    <row r="1934" spans="1:9" x14ac:dyDescent="0.25">
      <c r="A1934" t="s">
        <v>8450</v>
      </c>
      <c r="B1934" t="s">
        <v>8450</v>
      </c>
      <c r="C1934" t="s">
        <v>8451</v>
      </c>
      <c r="D1934" t="s">
        <v>3242</v>
      </c>
      <c r="E1934" t="s">
        <v>15710</v>
      </c>
      <c r="F1934" t="s">
        <v>3243</v>
      </c>
      <c r="G1934" t="s">
        <v>8452</v>
      </c>
      <c r="H1934" t="s">
        <v>8453</v>
      </c>
    </row>
    <row r="1935" spans="1:9" x14ac:dyDescent="0.25">
      <c r="A1935" t="s">
        <v>8454</v>
      </c>
      <c r="B1935" t="s">
        <v>8454</v>
      </c>
      <c r="C1935" t="s">
        <v>8455</v>
      </c>
      <c r="D1935" t="s">
        <v>3242</v>
      </c>
      <c r="E1935" t="s">
        <v>15710</v>
      </c>
      <c r="F1935" t="s">
        <v>3243</v>
      </c>
      <c r="G1935" t="s">
        <v>8456</v>
      </c>
      <c r="H1935" t="s">
        <v>5976</v>
      </c>
    </row>
    <row r="1936" spans="1:9" x14ac:dyDescent="0.25">
      <c r="A1936" t="s">
        <v>8457</v>
      </c>
      <c r="B1936" t="s">
        <v>8457</v>
      </c>
      <c r="C1936" t="s">
        <v>8458</v>
      </c>
      <c r="D1936" t="s">
        <v>3242</v>
      </c>
      <c r="E1936" t="s">
        <v>15909</v>
      </c>
      <c r="F1936" t="s">
        <v>3243</v>
      </c>
      <c r="G1936" t="s">
        <v>8459</v>
      </c>
      <c r="H1936" t="s">
        <v>5976</v>
      </c>
    </row>
    <row r="1937" spans="1:9" x14ac:dyDescent="0.25">
      <c r="A1937" t="s">
        <v>8460</v>
      </c>
      <c r="B1937" t="s">
        <v>8460</v>
      </c>
      <c r="C1937" t="s">
        <v>8461</v>
      </c>
      <c r="D1937" t="s">
        <v>3242</v>
      </c>
      <c r="E1937" t="s">
        <v>15710</v>
      </c>
      <c r="F1937" t="s">
        <v>3243</v>
      </c>
      <c r="G1937" t="s">
        <v>8462</v>
      </c>
      <c r="H1937" t="s">
        <v>3402</v>
      </c>
    </row>
    <row r="1938" spans="1:9" x14ac:dyDescent="0.25">
      <c r="A1938" t="s">
        <v>8463</v>
      </c>
      <c r="B1938" t="s">
        <v>8463</v>
      </c>
      <c r="C1938" t="s">
        <v>8464</v>
      </c>
      <c r="D1938" t="s">
        <v>3242</v>
      </c>
      <c r="E1938" t="s">
        <v>15710</v>
      </c>
      <c r="F1938" t="s">
        <v>3345</v>
      </c>
      <c r="G1938" t="s">
        <v>8465</v>
      </c>
      <c r="H1938" t="s">
        <v>8466</v>
      </c>
    </row>
    <row r="1939" spans="1:9" x14ac:dyDescent="0.25">
      <c r="A1939" t="s">
        <v>8467</v>
      </c>
      <c r="B1939" t="s">
        <v>8467</v>
      </c>
      <c r="C1939" t="s">
        <v>8468</v>
      </c>
      <c r="D1939" t="s">
        <v>3242</v>
      </c>
      <c r="E1939" t="s">
        <v>15710</v>
      </c>
      <c r="F1939" t="s">
        <v>3243</v>
      </c>
      <c r="G1939" t="s">
        <v>8469</v>
      </c>
      <c r="H1939" t="s">
        <v>8470</v>
      </c>
    </row>
    <row r="1940" spans="1:9" x14ac:dyDescent="0.25">
      <c r="A1940" t="s">
        <v>8471</v>
      </c>
      <c r="B1940" t="s">
        <v>8471</v>
      </c>
      <c r="C1940" t="s">
        <v>8472</v>
      </c>
      <c r="D1940" t="s">
        <v>3242</v>
      </c>
      <c r="E1940" t="s">
        <v>15710</v>
      </c>
      <c r="F1940" t="s">
        <v>3243</v>
      </c>
      <c r="G1940" t="s">
        <v>8473</v>
      </c>
      <c r="H1940" t="s">
        <v>3946</v>
      </c>
    </row>
    <row r="1941" spans="1:9" x14ac:dyDescent="0.25">
      <c r="A1941" t="s">
        <v>8474</v>
      </c>
      <c r="B1941" t="s">
        <v>8474</v>
      </c>
      <c r="C1941" t="s">
        <v>8475</v>
      </c>
      <c r="D1941" t="s">
        <v>3242</v>
      </c>
      <c r="E1941" t="s">
        <v>15710</v>
      </c>
      <c r="F1941" t="s">
        <v>3243</v>
      </c>
      <c r="G1941" t="s">
        <v>8476</v>
      </c>
      <c r="H1941" t="s">
        <v>8253</v>
      </c>
    </row>
    <row r="1942" spans="1:9" x14ac:dyDescent="0.25">
      <c r="A1942" t="s">
        <v>8477</v>
      </c>
      <c r="B1942" t="s">
        <v>8477</v>
      </c>
      <c r="C1942" t="s">
        <v>8478</v>
      </c>
      <c r="D1942" t="s">
        <v>3242</v>
      </c>
      <c r="E1942" t="s">
        <v>16251</v>
      </c>
      <c r="F1942" t="s">
        <v>3243</v>
      </c>
      <c r="G1942" t="s">
        <v>16252</v>
      </c>
      <c r="H1942" t="s">
        <v>6455</v>
      </c>
    </row>
    <row r="1943" spans="1:9" x14ac:dyDescent="0.25">
      <c r="A1943" t="s">
        <v>8479</v>
      </c>
      <c r="B1943" t="s">
        <v>8479</v>
      </c>
      <c r="C1943" t="s">
        <v>8480</v>
      </c>
      <c r="D1943" t="s">
        <v>3242</v>
      </c>
      <c r="E1943" t="s">
        <v>17645</v>
      </c>
      <c r="F1943" t="s">
        <v>3243</v>
      </c>
      <c r="G1943" t="s">
        <v>8481</v>
      </c>
      <c r="H1943" t="s">
        <v>8482</v>
      </c>
    </row>
    <row r="1944" spans="1:9" x14ac:dyDescent="0.25">
      <c r="A1944" t="s">
        <v>8483</v>
      </c>
      <c r="B1944" t="s">
        <v>8483</v>
      </c>
      <c r="C1944" t="s">
        <v>8484</v>
      </c>
      <c r="D1944" t="s">
        <v>3242</v>
      </c>
      <c r="E1944" t="s">
        <v>17438</v>
      </c>
      <c r="F1944" t="s">
        <v>3251</v>
      </c>
      <c r="G1944" t="s">
        <v>8485</v>
      </c>
      <c r="H1944" t="s">
        <v>3537</v>
      </c>
      <c r="I1944" t="s">
        <v>4605</v>
      </c>
    </row>
    <row r="1945" spans="1:9" x14ac:dyDescent="0.25">
      <c r="A1945" t="s">
        <v>8486</v>
      </c>
      <c r="B1945" t="s">
        <v>8486</v>
      </c>
      <c r="C1945" t="s">
        <v>8487</v>
      </c>
      <c r="D1945" t="s">
        <v>3242</v>
      </c>
      <c r="E1945" t="s">
        <v>17290</v>
      </c>
      <c r="F1945" t="s">
        <v>3345</v>
      </c>
      <c r="G1945" t="s">
        <v>8488</v>
      </c>
      <c r="H1945" t="s">
        <v>4502</v>
      </c>
    </row>
    <row r="1946" spans="1:9" x14ac:dyDescent="0.25">
      <c r="A1946" t="s">
        <v>8490</v>
      </c>
      <c r="B1946" t="s">
        <v>8490</v>
      </c>
      <c r="C1946" t="s">
        <v>8491</v>
      </c>
      <c r="D1946" t="s">
        <v>3242</v>
      </c>
      <c r="E1946" t="s">
        <v>15710</v>
      </c>
      <c r="F1946" t="s">
        <v>3257</v>
      </c>
      <c r="G1946" t="s">
        <v>8492</v>
      </c>
      <c r="H1946" t="s">
        <v>3262</v>
      </c>
      <c r="I1946" t="s">
        <v>3263</v>
      </c>
    </row>
    <row r="1947" spans="1:9" x14ac:dyDescent="0.25">
      <c r="A1947" t="s">
        <v>8493</v>
      </c>
      <c r="B1947" t="s">
        <v>8493</v>
      </c>
      <c r="C1947" t="s">
        <v>8494</v>
      </c>
      <c r="D1947" t="s">
        <v>3242</v>
      </c>
      <c r="E1947" t="s">
        <v>15710</v>
      </c>
      <c r="F1947" t="s">
        <v>3243</v>
      </c>
      <c r="G1947" t="s">
        <v>8495</v>
      </c>
      <c r="H1947" t="s">
        <v>3060</v>
      </c>
    </row>
    <row r="1948" spans="1:9" x14ac:dyDescent="0.25">
      <c r="A1948" t="s">
        <v>8496</v>
      </c>
      <c r="B1948" t="s">
        <v>8496</v>
      </c>
      <c r="C1948" t="s">
        <v>8497</v>
      </c>
      <c r="D1948" t="s">
        <v>3242</v>
      </c>
      <c r="E1948" t="s">
        <v>15710</v>
      </c>
      <c r="F1948" t="s">
        <v>3288</v>
      </c>
      <c r="G1948" t="s">
        <v>8498</v>
      </c>
      <c r="H1948" t="s">
        <v>4045</v>
      </c>
    </row>
    <row r="1949" spans="1:9" x14ac:dyDescent="0.25">
      <c r="A1949" t="s">
        <v>8499</v>
      </c>
      <c r="B1949" t="s">
        <v>8499</v>
      </c>
      <c r="C1949" t="s">
        <v>8500</v>
      </c>
      <c r="D1949" t="s">
        <v>3242</v>
      </c>
      <c r="E1949" t="s">
        <v>15710</v>
      </c>
      <c r="F1949" t="s">
        <v>3288</v>
      </c>
      <c r="G1949" t="s">
        <v>8501</v>
      </c>
      <c r="H1949" t="s">
        <v>3463</v>
      </c>
    </row>
    <row r="1950" spans="1:9" x14ac:dyDescent="0.25">
      <c r="A1950" t="s">
        <v>8502</v>
      </c>
      <c r="B1950" t="s">
        <v>8502</v>
      </c>
      <c r="C1950" t="s">
        <v>8503</v>
      </c>
      <c r="D1950" t="s">
        <v>3242</v>
      </c>
      <c r="E1950" t="s">
        <v>15710</v>
      </c>
      <c r="F1950" t="s">
        <v>3345</v>
      </c>
      <c r="G1950" t="s">
        <v>8504</v>
      </c>
      <c r="H1950" t="s">
        <v>3680</v>
      </c>
    </row>
    <row r="1951" spans="1:9" x14ac:dyDescent="0.25">
      <c r="A1951" t="s">
        <v>8505</v>
      </c>
      <c r="B1951" t="s">
        <v>8505</v>
      </c>
      <c r="C1951" t="s">
        <v>8506</v>
      </c>
      <c r="D1951" t="s">
        <v>3242</v>
      </c>
      <c r="E1951" t="s">
        <v>15710</v>
      </c>
      <c r="F1951" t="s">
        <v>3288</v>
      </c>
      <c r="G1951" t="s">
        <v>8507</v>
      </c>
      <c r="H1951" t="s">
        <v>3488</v>
      </c>
    </row>
    <row r="1952" spans="1:9" x14ac:dyDescent="0.25">
      <c r="A1952" t="s">
        <v>8508</v>
      </c>
      <c r="B1952" t="s">
        <v>8508</v>
      </c>
      <c r="C1952" t="s">
        <v>8509</v>
      </c>
      <c r="D1952" t="s">
        <v>3242</v>
      </c>
      <c r="E1952" t="s">
        <v>15710</v>
      </c>
      <c r="F1952" t="s">
        <v>3251</v>
      </c>
      <c r="G1952" t="s">
        <v>8510</v>
      </c>
      <c r="H1952" t="s">
        <v>3668</v>
      </c>
      <c r="I1952" t="s">
        <v>5250</v>
      </c>
    </row>
    <row r="1953" spans="1:9" x14ac:dyDescent="0.25">
      <c r="A1953" t="s">
        <v>8511</v>
      </c>
      <c r="B1953" t="s">
        <v>8511</v>
      </c>
      <c r="C1953" t="s">
        <v>8512</v>
      </c>
      <c r="D1953" t="s">
        <v>3242</v>
      </c>
      <c r="E1953" t="s">
        <v>15710</v>
      </c>
      <c r="F1953" t="s">
        <v>15712</v>
      </c>
      <c r="G1953" t="s">
        <v>8513</v>
      </c>
      <c r="H1953" t="s">
        <v>3680</v>
      </c>
    </row>
    <row r="1954" spans="1:9" x14ac:dyDescent="0.25">
      <c r="A1954" t="s">
        <v>8514</v>
      </c>
      <c r="B1954" t="s">
        <v>8514</v>
      </c>
      <c r="C1954" t="s">
        <v>8515</v>
      </c>
      <c r="D1954" t="s">
        <v>3242</v>
      </c>
      <c r="E1954" t="s">
        <v>15710</v>
      </c>
      <c r="F1954" t="s">
        <v>5275</v>
      </c>
      <c r="G1954" t="s">
        <v>8516</v>
      </c>
      <c r="H1954" t="s">
        <v>3463</v>
      </c>
    </row>
    <row r="1955" spans="1:9" x14ac:dyDescent="0.25">
      <c r="A1955" t="s">
        <v>8517</v>
      </c>
      <c r="B1955" t="s">
        <v>8517</v>
      </c>
      <c r="C1955" t="s">
        <v>8518</v>
      </c>
      <c r="D1955" t="s">
        <v>3242</v>
      </c>
      <c r="E1955" t="s">
        <v>15710</v>
      </c>
      <c r="F1955" t="s">
        <v>3288</v>
      </c>
      <c r="G1955" t="s">
        <v>8519</v>
      </c>
      <c r="H1955" t="s">
        <v>3285</v>
      </c>
    </row>
    <row r="1956" spans="1:9" x14ac:dyDescent="0.25">
      <c r="A1956" t="s">
        <v>8520</v>
      </c>
      <c r="B1956" t="s">
        <v>8520</v>
      </c>
      <c r="C1956" t="s">
        <v>8521</v>
      </c>
      <c r="D1956" t="s">
        <v>3242</v>
      </c>
      <c r="E1956" t="s">
        <v>15710</v>
      </c>
      <c r="F1956" t="s">
        <v>3345</v>
      </c>
      <c r="G1956" t="s">
        <v>8522</v>
      </c>
      <c r="H1956" t="s">
        <v>3285</v>
      </c>
    </row>
    <row r="1957" spans="1:9" x14ac:dyDescent="0.25">
      <c r="A1957" t="s">
        <v>8523</v>
      </c>
      <c r="B1957" t="s">
        <v>8523</v>
      </c>
      <c r="C1957" t="s">
        <v>8524</v>
      </c>
      <c r="D1957" t="s">
        <v>3242</v>
      </c>
      <c r="E1957" t="s">
        <v>17096</v>
      </c>
      <c r="F1957" t="s">
        <v>3257</v>
      </c>
      <c r="G1957" t="s">
        <v>8525</v>
      </c>
      <c r="H1957" t="s">
        <v>6286</v>
      </c>
      <c r="I1957" t="s">
        <v>3324</v>
      </c>
    </row>
    <row r="1958" spans="1:9" x14ac:dyDescent="0.25">
      <c r="A1958" t="s">
        <v>15162</v>
      </c>
      <c r="B1958" t="s">
        <v>15162</v>
      </c>
      <c r="C1958" t="s">
        <v>15163</v>
      </c>
      <c r="D1958" t="s">
        <v>3242</v>
      </c>
      <c r="E1958" t="s">
        <v>15710</v>
      </c>
      <c r="F1958" t="s">
        <v>3243</v>
      </c>
      <c r="G1958" t="s">
        <v>15164</v>
      </c>
      <c r="H1958" t="s">
        <v>3060</v>
      </c>
    </row>
    <row r="1959" spans="1:9" x14ac:dyDescent="0.25">
      <c r="A1959" t="s">
        <v>8526</v>
      </c>
      <c r="B1959" t="s">
        <v>8526</v>
      </c>
      <c r="C1959" t="s">
        <v>8527</v>
      </c>
      <c r="D1959" t="s">
        <v>3242</v>
      </c>
      <c r="E1959" t="s">
        <v>15710</v>
      </c>
      <c r="F1959" t="s">
        <v>3345</v>
      </c>
      <c r="G1959" t="s">
        <v>8528</v>
      </c>
      <c r="H1959" t="s">
        <v>3060</v>
      </c>
    </row>
    <row r="1960" spans="1:9" x14ac:dyDescent="0.25">
      <c r="A1960" t="s">
        <v>8529</v>
      </c>
      <c r="B1960" t="s">
        <v>8529</v>
      </c>
      <c r="C1960" t="s">
        <v>8530</v>
      </c>
      <c r="D1960" t="s">
        <v>3242</v>
      </c>
      <c r="E1960" t="s">
        <v>15710</v>
      </c>
      <c r="F1960" t="s">
        <v>3372</v>
      </c>
      <c r="G1960" t="s">
        <v>8531</v>
      </c>
      <c r="H1960" t="s">
        <v>5228</v>
      </c>
      <c r="I1960" t="s">
        <v>3375</v>
      </c>
    </row>
    <row r="1961" spans="1:9" x14ac:dyDescent="0.25">
      <c r="A1961" t="s">
        <v>8532</v>
      </c>
      <c r="B1961" t="s">
        <v>8532</v>
      </c>
      <c r="C1961" t="s">
        <v>8533</v>
      </c>
      <c r="D1961" t="s">
        <v>3242</v>
      </c>
      <c r="E1961" t="s">
        <v>17291</v>
      </c>
      <c r="F1961" t="s">
        <v>8360</v>
      </c>
      <c r="G1961" t="s">
        <v>8534</v>
      </c>
      <c r="H1961" t="s">
        <v>3060</v>
      </c>
    </row>
    <row r="1962" spans="1:9" x14ac:dyDescent="0.25">
      <c r="A1962" t="s">
        <v>8535</v>
      </c>
      <c r="B1962" t="s">
        <v>8535</v>
      </c>
      <c r="C1962" t="s">
        <v>8536</v>
      </c>
      <c r="D1962" t="s">
        <v>3242</v>
      </c>
      <c r="E1962" t="s">
        <v>15710</v>
      </c>
      <c r="F1962" t="s">
        <v>3243</v>
      </c>
      <c r="G1962" t="s">
        <v>8537</v>
      </c>
      <c r="H1962" t="s">
        <v>3623</v>
      </c>
    </row>
    <row r="1963" spans="1:9" x14ac:dyDescent="0.25">
      <c r="A1963" t="s">
        <v>8538</v>
      </c>
      <c r="B1963" t="s">
        <v>8538</v>
      </c>
      <c r="C1963" t="s">
        <v>8539</v>
      </c>
      <c r="D1963" t="s">
        <v>3242</v>
      </c>
      <c r="E1963" t="s">
        <v>15710</v>
      </c>
      <c r="F1963" t="s">
        <v>3288</v>
      </c>
      <c r="G1963" t="s">
        <v>8540</v>
      </c>
      <c r="H1963" t="s">
        <v>3285</v>
      </c>
    </row>
    <row r="1964" spans="1:9" x14ac:dyDescent="0.25">
      <c r="A1964" t="s">
        <v>8541</v>
      </c>
      <c r="B1964" t="s">
        <v>8541</v>
      </c>
      <c r="C1964" t="s">
        <v>8542</v>
      </c>
      <c r="D1964" t="s">
        <v>3242</v>
      </c>
      <c r="E1964" t="s">
        <v>15710</v>
      </c>
      <c r="F1964" t="s">
        <v>3243</v>
      </c>
      <c r="G1964" t="s">
        <v>8543</v>
      </c>
      <c r="H1964" t="s">
        <v>3285</v>
      </c>
    </row>
    <row r="1965" spans="1:9" x14ac:dyDescent="0.25">
      <c r="A1965" t="s">
        <v>8544</v>
      </c>
      <c r="B1965" t="s">
        <v>8544</v>
      </c>
      <c r="C1965" t="s">
        <v>8545</v>
      </c>
      <c r="D1965" t="s">
        <v>3242</v>
      </c>
      <c r="E1965" t="s">
        <v>16487</v>
      </c>
      <c r="F1965" t="s">
        <v>8360</v>
      </c>
      <c r="G1965" t="s">
        <v>8546</v>
      </c>
      <c r="H1965" t="s">
        <v>3060</v>
      </c>
      <c r="I1965" t="s">
        <v>3694</v>
      </c>
    </row>
    <row r="1966" spans="1:9" x14ac:dyDescent="0.25">
      <c r="A1966" t="s">
        <v>8547</v>
      </c>
      <c r="B1966" t="s">
        <v>8547</v>
      </c>
      <c r="C1966" t="s">
        <v>8548</v>
      </c>
      <c r="D1966" t="s">
        <v>3242</v>
      </c>
      <c r="E1966" t="s">
        <v>15710</v>
      </c>
      <c r="F1966" t="s">
        <v>3288</v>
      </c>
      <c r="G1966" t="s">
        <v>8549</v>
      </c>
      <c r="H1966" t="s">
        <v>3290</v>
      </c>
    </row>
    <row r="1967" spans="1:9" x14ac:dyDescent="0.25">
      <c r="A1967" t="s">
        <v>8550</v>
      </c>
      <c r="B1967" t="s">
        <v>8550</v>
      </c>
      <c r="C1967" t="s">
        <v>8551</v>
      </c>
      <c r="D1967" t="s">
        <v>3242</v>
      </c>
      <c r="E1967" t="s">
        <v>15710</v>
      </c>
      <c r="F1967" t="s">
        <v>3306</v>
      </c>
      <c r="G1967" t="s">
        <v>8552</v>
      </c>
      <c r="H1967" t="s">
        <v>3623</v>
      </c>
      <c r="I1967" t="s">
        <v>3254</v>
      </c>
    </row>
    <row r="1968" spans="1:9" x14ac:dyDescent="0.25">
      <c r="A1968" t="s">
        <v>8553</v>
      </c>
      <c r="B1968" t="s">
        <v>8553</v>
      </c>
      <c r="C1968" t="s">
        <v>8554</v>
      </c>
      <c r="D1968" t="s">
        <v>3242</v>
      </c>
      <c r="E1968" t="s">
        <v>16717</v>
      </c>
      <c r="F1968" t="s">
        <v>3243</v>
      </c>
      <c r="G1968" t="s">
        <v>8555</v>
      </c>
      <c r="H1968" t="s">
        <v>3285</v>
      </c>
    </row>
    <row r="1969" spans="1:9" x14ac:dyDescent="0.25">
      <c r="A1969" t="s">
        <v>8556</v>
      </c>
      <c r="B1969" t="s">
        <v>8556</v>
      </c>
      <c r="C1969" t="s">
        <v>8557</v>
      </c>
      <c r="D1969" t="s">
        <v>3242</v>
      </c>
      <c r="E1969" t="s">
        <v>15710</v>
      </c>
      <c r="F1969" t="s">
        <v>3243</v>
      </c>
      <c r="G1969" t="s">
        <v>8558</v>
      </c>
      <c r="H1969" t="s">
        <v>3623</v>
      </c>
    </row>
    <row r="1970" spans="1:9" x14ac:dyDescent="0.25">
      <c r="A1970" t="s">
        <v>8559</v>
      </c>
      <c r="B1970" t="s">
        <v>8559</v>
      </c>
      <c r="C1970" t="s">
        <v>8560</v>
      </c>
      <c r="D1970" t="s">
        <v>3242</v>
      </c>
      <c r="E1970" t="s">
        <v>15710</v>
      </c>
      <c r="F1970" t="s">
        <v>3345</v>
      </c>
      <c r="G1970" t="s">
        <v>8561</v>
      </c>
      <c r="H1970" t="s">
        <v>3537</v>
      </c>
    </row>
    <row r="1971" spans="1:9" x14ac:dyDescent="0.25">
      <c r="A1971" t="s">
        <v>15165</v>
      </c>
      <c r="B1971" t="s">
        <v>15165</v>
      </c>
      <c r="C1971" t="s">
        <v>15166</v>
      </c>
      <c r="D1971" t="s">
        <v>3242</v>
      </c>
      <c r="E1971" t="s">
        <v>15710</v>
      </c>
      <c r="F1971" t="s">
        <v>3345</v>
      </c>
      <c r="G1971" t="s">
        <v>15167</v>
      </c>
      <c r="H1971" t="s">
        <v>3285</v>
      </c>
    </row>
    <row r="1972" spans="1:9" x14ac:dyDescent="0.25">
      <c r="A1972" t="s">
        <v>8562</v>
      </c>
      <c r="B1972" t="s">
        <v>8562</v>
      </c>
      <c r="C1972" t="s">
        <v>8563</v>
      </c>
      <c r="D1972" t="s">
        <v>3242</v>
      </c>
      <c r="E1972" t="s">
        <v>15710</v>
      </c>
      <c r="F1972" t="s">
        <v>3306</v>
      </c>
      <c r="G1972" t="s">
        <v>8564</v>
      </c>
      <c r="H1972" t="s">
        <v>3623</v>
      </c>
      <c r="I1972" t="s">
        <v>3254</v>
      </c>
    </row>
    <row r="1973" spans="1:9" x14ac:dyDescent="0.25">
      <c r="A1973" t="s">
        <v>8565</v>
      </c>
      <c r="B1973" t="s">
        <v>8565</v>
      </c>
      <c r="C1973" t="s">
        <v>8566</v>
      </c>
      <c r="D1973" t="s">
        <v>3242</v>
      </c>
      <c r="E1973" t="s">
        <v>17292</v>
      </c>
      <c r="F1973" t="s">
        <v>3257</v>
      </c>
      <c r="G1973" t="s">
        <v>8567</v>
      </c>
      <c r="H1973" t="s">
        <v>3060</v>
      </c>
      <c r="I1973" t="s">
        <v>3694</v>
      </c>
    </row>
    <row r="1974" spans="1:9" x14ac:dyDescent="0.25">
      <c r="A1974" t="s">
        <v>8568</v>
      </c>
      <c r="B1974" t="s">
        <v>8568</v>
      </c>
      <c r="C1974" t="s">
        <v>8569</v>
      </c>
      <c r="D1974" t="s">
        <v>3242</v>
      </c>
      <c r="E1974" t="s">
        <v>15710</v>
      </c>
      <c r="F1974" t="s">
        <v>3288</v>
      </c>
      <c r="G1974" t="s">
        <v>8570</v>
      </c>
      <c r="H1974" t="s">
        <v>3285</v>
      </c>
    </row>
    <row r="1975" spans="1:9" x14ac:dyDescent="0.25">
      <c r="A1975" t="s">
        <v>8571</v>
      </c>
      <c r="B1975" t="s">
        <v>8571</v>
      </c>
      <c r="C1975" t="s">
        <v>8572</v>
      </c>
      <c r="D1975" t="s">
        <v>3242</v>
      </c>
      <c r="E1975" t="s">
        <v>15710</v>
      </c>
      <c r="F1975" t="s">
        <v>3243</v>
      </c>
      <c r="G1975" t="s">
        <v>8573</v>
      </c>
      <c r="H1975" t="s">
        <v>3060</v>
      </c>
    </row>
    <row r="1976" spans="1:9" x14ac:dyDescent="0.25">
      <c r="A1976" t="s">
        <v>8574</v>
      </c>
      <c r="B1976" t="s">
        <v>8574</v>
      </c>
      <c r="C1976" t="s">
        <v>8575</v>
      </c>
      <c r="D1976" t="s">
        <v>3242</v>
      </c>
      <c r="E1976" t="s">
        <v>15710</v>
      </c>
      <c r="F1976" t="s">
        <v>3243</v>
      </c>
      <c r="G1976" t="s">
        <v>8576</v>
      </c>
      <c r="H1976" t="s">
        <v>3668</v>
      </c>
    </row>
    <row r="1977" spans="1:9" x14ac:dyDescent="0.25">
      <c r="A1977" t="s">
        <v>8577</v>
      </c>
      <c r="B1977" t="s">
        <v>8577</v>
      </c>
      <c r="C1977" t="s">
        <v>8578</v>
      </c>
      <c r="D1977" t="s">
        <v>3242</v>
      </c>
      <c r="E1977" t="s">
        <v>15710</v>
      </c>
      <c r="F1977" t="s">
        <v>3257</v>
      </c>
      <c r="G1977" t="s">
        <v>8579</v>
      </c>
      <c r="H1977" t="s">
        <v>3060</v>
      </c>
      <c r="I1977" t="s">
        <v>4028</v>
      </c>
    </row>
    <row r="1978" spans="1:9" x14ac:dyDescent="0.25">
      <c r="A1978" t="s">
        <v>8580</v>
      </c>
      <c r="B1978" t="s">
        <v>8580</v>
      </c>
      <c r="C1978" t="s">
        <v>8581</v>
      </c>
      <c r="D1978" t="s">
        <v>3242</v>
      </c>
      <c r="E1978" t="s">
        <v>15710</v>
      </c>
      <c r="F1978" t="s">
        <v>3283</v>
      </c>
      <c r="G1978" t="s">
        <v>8582</v>
      </c>
      <c r="H1978" t="s">
        <v>3285</v>
      </c>
    </row>
    <row r="1979" spans="1:9" x14ac:dyDescent="0.25">
      <c r="A1979" t="s">
        <v>8583</v>
      </c>
      <c r="B1979" t="s">
        <v>8583</v>
      </c>
      <c r="C1979" t="s">
        <v>8584</v>
      </c>
      <c r="D1979" t="s">
        <v>3242</v>
      </c>
      <c r="E1979" t="s">
        <v>15710</v>
      </c>
      <c r="F1979" t="s">
        <v>3288</v>
      </c>
      <c r="G1979" t="s">
        <v>8585</v>
      </c>
      <c r="H1979" t="s">
        <v>3488</v>
      </c>
    </row>
    <row r="1980" spans="1:9" x14ac:dyDescent="0.25">
      <c r="A1980" t="s">
        <v>8586</v>
      </c>
      <c r="B1980" t="s">
        <v>8586</v>
      </c>
      <c r="C1980" t="s">
        <v>8587</v>
      </c>
      <c r="D1980" t="s">
        <v>3242</v>
      </c>
      <c r="E1980" t="s">
        <v>15710</v>
      </c>
      <c r="F1980" t="s">
        <v>3288</v>
      </c>
      <c r="G1980" t="s">
        <v>8588</v>
      </c>
      <c r="H1980" t="s">
        <v>3285</v>
      </c>
    </row>
    <row r="1981" spans="1:9" x14ac:dyDescent="0.25">
      <c r="A1981" t="s">
        <v>8589</v>
      </c>
      <c r="B1981" t="s">
        <v>8589</v>
      </c>
      <c r="C1981" t="s">
        <v>8590</v>
      </c>
      <c r="D1981" t="s">
        <v>3242</v>
      </c>
      <c r="E1981" t="s">
        <v>15710</v>
      </c>
      <c r="F1981" t="s">
        <v>4996</v>
      </c>
      <c r="G1981" t="s">
        <v>8591</v>
      </c>
      <c r="H1981" t="s">
        <v>5883</v>
      </c>
      <c r="I1981" t="s">
        <v>3366</v>
      </c>
    </row>
    <row r="1982" spans="1:9" x14ac:dyDescent="0.25">
      <c r="A1982" t="s">
        <v>8592</v>
      </c>
      <c r="B1982" t="s">
        <v>8592</v>
      </c>
      <c r="C1982" t="s">
        <v>8593</v>
      </c>
      <c r="D1982" t="s">
        <v>3242</v>
      </c>
      <c r="E1982" t="s">
        <v>15710</v>
      </c>
      <c r="F1982" t="s">
        <v>3288</v>
      </c>
      <c r="G1982" t="s">
        <v>8594</v>
      </c>
      <c r="H1982" t="s">
        <v>8595</v>
      </c>
    </row>
    <row r="1983" spans="1:9" x14ac:dyDescent="0.25">
      <c r="A1983" t="s">
        <v>8596</v>
      </c>
      <c r="B1983" t="s">
        <v>8596</v>
      </c>
      <c r="C1983" t="s">
        <v>8597</v>
      </c>
      <c r="D1983" t="s">
        <v>3242</v>
      </c>
      <c r="E1983" t="s">
        <v>15710</v>
      </c>
      <c r="F1983" t="s">
        <v>3243</v>
      </c>
      <c r="G1983" t="s">
        <v>8598</v>
      </c>
      <c r="H1983" t="s">
        <v>3402</v>
      </c>
    </row>
    <row r="1984" spans="1:9" x14ac:dyDescent="0.25">
      <c r="A1984" t="s">
        <v>8599</v>
      </c>
      <c r="B1984" t="s">
        <v>8599</v>
      </c>
      <c r="C1984" t="s">
        <v>8600</v>
      </c>
      <c r="D1984" t="s">
        <v>3242</v>
      </c>
      <c r="E1984" t="s">
        <v>15710</v>
      </c>
      <c r="F1984" t="s">
        <v>5490</v>
      </c>
      <c r="G1984" t="s">
        <v>8601</v>
      </c>
      <c r="H1984" t="s">
        <v>7817</v>
      </c>
      <c r="I1984" t="s">
        <v>3648</v>
      </c>
    </row>
    <row r="1985" spans="1:9" x14ac:dyDescent="0.25">
      <c r="A1985" t="s">
        <v>8602</v>
      </c>
      <c r="B1985" t="s">
        <v>8602</v>
      </c>
      <c r="C1985" t="s">
        <v>8603</v>
      </c>
      <c r="D1985" t="s">
        <v>3242</v>
      </c>
      <c r="E1985" t="s">
        <v>15710</v>
      </c>
      <c r="F1985" t="s">
        <v>3243</v>
      </c>
      <c r="G1985" t="s">
        <v>8604</v>
      </c>
      <c r="H1985" t="s">
        <v>3248</v>
      </c>
    </row>
    <row r="1986" spans="1:9" x14ac:dyDescent="0.25">
      <c r="A1986" t="s">
        <v>8605</v>
      </c>
      <c r="B1986" t="s">
        <v>8605</v>
      </c>
      <c r="C1986" t="s">
        <v>8606</v>
      </c>
      <c r="D1986" t="s">
        <v>3242</v>
      </c>
      <c r="E1986" t="s">
        <v>16054</v>
      </c>
      <c r="F1986" t="s">
        <v>8607</v>
      </c>
      <c r="G1986" t="s">
        <v>8608</v>
      </c>
      <c r="H1986" t="s">
        <v>3248</v>
      </c>
      <c r="I1986" t="s">
        <v>3407</v>
      </c>
    </row>
    <row r="1987" spans="1:9" x14ac:dyDescent="0.25">
      <c r="A1987" t="s">
        <v>8609</v>
      </c>
      <c r="B1987" t="s">
        <v>8609</v>
      </c>
      <c r="C1987" t="s">
        <v>8610</v>
      </c>
      <c r="D1987" t="s">
        <v>3242</v>
      </c>
      <c r="E1987" t="s">
        <v>15710</v>
      </c>
      <c r="F1987" t="s">
        <v>3257</v>
      </c>
      <c r="G1987" t="s">
        <v>8611</v>
      </c>
      <c r="H1987" t="s">
        <v>3484</v>
      </c>
      <c r="I1987" t="s">
        <v>14986</v>
      </c>
    </row>
    <row r="1988" spans="1:9" x14ac:dyDescent="0.25">
      <c r="A1988" t="s">
        <v>8612</v>
      </c>
      <c r="B1988" t="s">
        <v>8612</v>
      </c>
      <c r="C1988" t="s">
        <v>8613</v>
      </c>
      <c r="D1988" t="s">
        <v>3242</v>
      </c>
      <c r="E1988" t="s">
        <v>15710</v>
      </c>
      <c r="F1988" t="s">
        <v>3257</v>
      </c>
      <c r="G1988" t="s">
        <v>8614</v>
      </c>
      <c r="H1988" t="s">
        <v>3594</v>
      </c>
      <c r="I1988" t="s">
        <v>3324</v>
      </c>
    </row>
    <row r="1989" spans="1:9" x14ac:dyDescent="0.25">
      <c r="A1989" t="s">
        <v>8615</v>
      </c>
      <c r="B1989" t="s">
        <v>8615</v>
      </c>
      <c r="C1989" t="s">
        <v>8616</v>
      </c>
      <c r="D1989" t="s">
        <v>3242</v>
      </c>
      <c r="E1989" t="s">
        <v>17293</v>
      </c>
      <c r="F1989" t="s">
        <v>3243</v>
      </c>
      <c r="G1989" t="s">
        <v>8617</v>
      </c>
      <c r="H1989" t="s">
        <v>4730</v>
      </c>
    </row>
    <row r="1990" spans="1:9" x14ac:dyDescent="0.25">
      <c r="A1990" t="s">
        <v>8618</v>
      </c>
      <c r="B1990" t="s">
        <v>8618</v>
      </c>
      <c r="C1990" t="s">
        <v>8619</v>
      </c>
      <c r="D1990" t="s">
        <v>3242</v>
      </c>
      <c r="E1990" t="s">
        <v>17294</v>
      </c>
      <c r="F1990" t="s">
        <v>3243</v>
      </c>
      <c r="G1990" t="s">
        <v>8620</v>
      </c>
      <c r="H1990" t="s">
        <v>8621</v>
      </c>
    </row>
    <row r="1991" spans="1:9" x14ac:dyDescent="0.25">
      <c r="A1991" t="s">
        <v>8622</v>
      </c>
      <c r="B1991" t="s">
        <v>8622</v>
      </c>
      <c r="C1991" t="s">
        <v>8623</v>
      </c>
      <c r="D1991" t="s">
        <v>3242</v>
      </c>
      <c r="E1991" t="s">
        <v>15710</v>
      </c>
      <c r="F1991" t="s">
        <v>3243</v>
      </c>
      <c r="G1991" t="s">
        <v>8624</v>
      </c>
      <c r="H1991" t="s">
        <v>8625</v>
      </c>
    </row>
    <row r="1992" spans="1:9" x14ac:dyDescent="0.25">
      <c r="A1992" t="s">
        <v>8626</v>
      </c>
      <c r="B1992" t="s">
        <v>8626</v>
      </c>
      <c r="C1992" t="s">
        <v>8627</v>
      </c>
      <c r="D1992" t="s">
        <v>3242</v>
      </c>
      <c r="E1992" t="s">
        <v>17295</v>
      </c>
      <c r="F1992" t="s">
        <v>3306</v>
      </c>
      <c r="G1992" t="s">
        <v>8628</v>
      </c>
      <c r="H1992" t="s">
        <v>5243</v>
      </c>
      <c r="I1992" t="s">
        <v>3324</v>
      </c>
    </row>
    <row r="1993" spans="1:9" x14ac:dyDescent="0.25">
      <c r="A1993" t="s">
        <v>8629</v>
      </c>
      <c r="B1993" t="s">
        <v>8629</v>
      </c>
      <c r="C1993" t="s">
        <v>8630</v>
      </c>
      <c r="D1993" t="s">
        <v>3242</v>
      </c>
      <c r="E1993" t="s">
        <v>15710</v>
      </c>
      <c r="F1993" t="s">
        <v>8631</v>
      </c>
      <c r="G1993" t="s">
        <v>8632</v>
      </c>
      <c r="H1993" t="s">
        <v>5700</v>
      </c>
      <c r="I1993" t="s">
        <v>3648</v>
      </c>
    </row>
    <row r="1994" spans="1:9" x14ac:dyDescent="0.25">
      <c r="A1994" t="s">
        <v>15168</v>
      </c>
      <c r="B1994" t="s">
        <v>15168</v>
      </c>
      <c r="C1994" t="s">
        <v>15169</v>
      </c>
      <c r="D1994" t="s">
        <v>3242</v>
      </c>
      <c r="E1994" t="s">
        <v>15710</v>
      </c>
      <c r="F1994" t="s">
        <v>3243</v>
      </c>
      <c r="G1994" t="s">
        <v>15170</v>
      </c>
      <c r="H1994" t="s">
        <v>3519</v>
      </c>
    </row>
    <row r="1995" spans="1:9" x14ac:dyDescent="0.25">
      <c r="A1995" t="s">
        <v>8633</v>
      </c>
      <c r="B1995" t="s">
        <v>8633</v>
      </c>
      <c r="C1995" t="s">
        <v>8634</v>
      </c>
      <c r="D1995" t="s">
        <v>3242</v>
      </c>
      <c r="E1995" t="s">
        <v>16488</v>
      </c>
      <c r="F1995" t="s">
        <v>3243</v>
      </c>
      <c r="G1995" t="s">
        <v>8635</v>
      </c>
      <c r="H1995" t="s">
        <v>3647</v>
      </c>
    </row>
    <row r="1996" spans="1:9" x14ac:dyDescent="0.25">
      <c r="A1996" t="s">
        <v>16768</v>
      </c>
      <c r="B1996" t="s">
        <v>16768</v>
      </c>
      <c r="C1996" t="s">
        <v>16769</v>
      </c>
      <c r="D1996" t="s">
        <v>3242</v>
      </c>
      <c r="E1996" t="s">
        <v>15910</v>
      </c>
      <c r="F1996" t="s">
        <v>6077</v>
      </c>
      <c r="G1996" t="s">
        <v>16770</v>
      </c>
      <c r="H1996" t="s">
        <v>6062</v>
      </c>
      <c r="I1996" t="s">
        <v>15020</v>
      </c>
    </row>
    <row r="1997" spans="1:9" x14ac:dyDescent="0.25">
      <c r="A1997" t="s">
        <v>17008</v>
      </c>
      <c r="B1997" t="s">
        <v>17008</v>
      </c>
      <c r="C1997" t="s">
        <v>17009</v>
      </c>
      <c r="D1997" t="s">
        <v>3242</v>
      </c>
      <c r="E1997" t="s">
        <v>17010</v>
      </c>
      <c r="F1997" t="s">
        <v>3251</v>
      </c>
      <c r="G1997" t="s">
        <v>17011</v>
      </c>
      <c r="H1997" t="s">
        <v>3060</v>
      </c>
      <c r="I1997" t="s">
        <v>5390</v>
      </c>
    </row>
    <row r="1998" spans="1:9" x14ac:dyDescent="0.25">
      <c r="A1998" t="s">
        <v>8636</v>
      </c>
      <c r="B1998" t="s">
        <v>8636</v>
      </c>
      <c r="C1998" t="s">
        <v>8637</v>
      </c>
      <c r="D1998" t="s">
        <v>3242</v>
      </c>
      <c r="E1998" t="s">
        <v>17296</v>
      </c>
      <c r="F1998" t="s">
        <v>3243</v>
      </c>
      <c r="G1998" t="s">
        <v>8638</v>
      </c>
      <c r="H1998" t="s">
        <v>3060</v>
      </c>
    </row>
    <row r="1999" spans="1:9" x14ac:dyDescent="0.25">
      <c r="A1999" t="s">
        <v>8639</v>
      </c>
      <c r="B1999" t="s">
        <v>8639</v>
      </c>
      <c r="C1999" t="s">
        <v>8640</v>
      </c>
      <c r="D1999" t="s">
        <v>3242</v>
      </c>
      <c r="E1999" t="s">
        <v>15710</v>
      </c>
      <c r="F1999" t="s">
        <v>3283</v>
      </c>
      <c r="G1999" t="s">
        <v>8641</v>
      </c>
      <c r="H1999" t="s">
        <v>3680</v>
      </c>
    </row>
    <row r="2000" spans="1:9" x14ac:dyDescent="0.25">
      <c r="A2000" t="s">
        <v>15171</v>
      </c>
      <c r="B2000" t="s">
        <v>15171</v>
      </c>
      <c r="C2000" t="s">
        <v>15172</v>
      </c>
      <c r="D2000" t="s">
        <v>3242</v>
      </c>
      <c r="E2000" t="s">
        <v>15710</v>
      </c>
      <c r="F2000" t="s">
        <v>3243</v>
      </c>
      <c r="G2000" t="s">
        <v>15173</v>
      </c>
      <c r="H2000" t="s">
        <v>3285</v>
      </c>
    </row>
    <row r="2001" spans="1:9" x14ac:dyDescent="0.25">
      <c r="A2001" t="s">
        <v>8642</v>
      </c>
      <c r="B2001" t="s">
        <v>8642</v>
      </c>
      <c r="C2001" t="s">
        <v>8643</v>
      </c>
      <c r="D2001" t="s">
        <v>3242</v>
      </c>
      <c r="E2001" t="s">
        <v>15710</v>
      </c>
      <c r="F2001" t="s">
        <v>3251</v>
      </c>
      <c r="G2001" t="s">
        <v>8644</v>
      </c>
      <c r="H2001" t="s">
        <v>3668</v>
      </c>
      <c r="I2001" t="s">
        <v>3254</v>
      </c>
    </row>
    <row r="2002" spans="1:9" x14ac:dyDescent="0.25">
      <c r="A2002" t="s">
        <v>8645</v>
      </c>
      <c r="B2002" t="s">
        <v>8645</v>
      </c>
      <c r="C2002" t="s">
        <v>8646</v>
      </c>
      <c r="D2002" t="s">
        <v>3242</v>
      </c>
      <c r="E2002" t="s">
        <v>15710</v>
      </c>
      <c r="F2002" t="s">
        <v>15712</v>
      </c>
      <c r="G2002" t="s">
        <v>8647</v>
      </c>
      <c r="H2002" t="s">
        <v>3680</v>
      </c>
    </row>
    <row r="2003" spans="1:9" x14ac:dyDescent="0.25">
      <c r="A2003" t="s">
        <v>15174</v>
      </c>
      <c r="B2003" t="s">
        <v>15174</v>
      </c>
      <c r="C2003" t="s">
        <v>15175</v>
      </c>
      <c r="D2003" t="s">
        <v>3242</v>
      </c>
      <c r="E2003" t="s">
        <v>15710</v>
      </c>
      <c r="F2003" t="s">
        <v>3288</v>
      </c>
      <c r="G2003" t="s">
        <v>15176</v>
      </c>
      <c r="H2003" t="s">
        <v>3285</v>
      </c>
    </row>
    <row r="2004" spans="1:9" x14ac:dyDescent="0.25">
      <c r="A2004" t="s">
        <v>16254</v>
      </c>
      <c r="B2004" t="s">
        <v>16254</v>
      </c>
      <c r="C2004" t="s">
        <v>16255</v>
      </c>
      <c r="D2004" t="s">
        <v>3242</v>
      </c>
      <c r="E2004" t="s">
        <v>15710</v>
      </c>
      <c r="F2004" t="s">
        <v>3288</v>
      </c>
      <c r="G2004" t="s">
        <v>16256</v>
      </c>
      <c r="H2004" t="s">
        <v>3285</v>
      </c>
    </row>
    <row r="2005" spans="1:9" x14ac:dyDescent="0.25">
      <c r="A2005" t="s">
        <v>15177</v>
      </c>
      <c r="B2005" t="s">
        <v>15177</v>
      </c>
      <c r="C2005" t="s">
        <v>15178</v>
      </c>
      <c r="D2005" t="s">
        <v>3242</v>
      </c>
      <c r="E2005" t="s">
        <v>15710</v>
      </c>
      <c r="F2005" t="s">
        <v>3243</v>
      </c>
      <c r="G2005" t="s">
        <v>15179</v>
      </c>
      <c r="H2005" t="s">
        <v>3060</v>
      </c>
    </row>
    <row r="2006" spans="1:9" x14ac:dyDescent="0.25">
      <c r="A2006" t="s">
        <v>8648</v>
      </c>
      <c r="B2006" t="s">
        <v>8648</v>
      </c>
      <c r="C2006" t="s">
        <v>8649</v>
      </c>
      <c r="D2006" t="s">
        <v>3242</v>
      </c>
      <c r="E2006" t="s">
        <v>15710</v>
      </c>
      <c r="F2006" t="s">
        <v>3243</v>
      </c>
      <c r="G2006" t="s">
        <v>8650</v>
      </c>
      <c r="H2006" t="s">
        <v>3623</v>
      </c>
    </row>
    <row r="2007" spans="1:9" x14ac:dyDescent="0.25">
      <c r="A2007" t="s">
        <v>15180</v>
      </c>
      <c r="B2007" t="s">
        <v>15180</v>
      </c>
      <c r="C2007" t="s">
        <v>15181</v>
      </c>
      <c r="D2007" t="s">
        <v>3242</v>
      </c>
      <c r="E2007" t="s">
        <v>17297</v>
      </c>
      <c r="F2007" t="s">
        <v>3243</v>
      </c>
      <c r="G2007" t="s">
        <v>15182</v>
      </c>
      <c r="H2007" t="s">
        <v>3060</v>
      </c>
    </row>
    <row r="2008" spans="1:9" x14ac:dyDescent="0.25">
      <c r="A2008" t="s">
        <v>8651</v>
      </c>
      <c r="B2008" t="s">
        <v>8651</v>
      </c>
      <c r="C2008" t="s">
        <v>8652</v>
      </c>
      <c r="D2008" t="s">
        <v>3242</v>
      </c>
      <c r="E2008" t="s">
        <v>17583</v>
      </c>
      <c r="F2008" t="s">
        <v>3372</v>
      </c>
      <c r="G2008" t="s">
        <v>8653</v>
      </c>
      <c r="H2008" t="s">
        <v>3267</v>
      </c>
      <c r="I2008" t="s">
        <v>3268</v>
      </c>
    </row>
    <row r="2009" spans="1:9" x14ac:dyDescent="0.25">
      <c r="A2009" t="s">
        <v>8654</v>
      </c>
      <c r="B2009" t="s">
        <v>8654</v>
      </c>
      <c r="C2009" t="s">
        <v>8655</v>
      </c>
      <c r="D2009" t="s">
        <v>3242</v>
      </c>
      <c r="E2009" t="s">
        <v>17298</v>
      </c>
      <c r="F2009" t="s">
        <v>3306</v>
      </c>
      <c r="G2009" t="s">
        <v>8656</v>
      </c>
      <c r="H2009" t="s">
        <v>3311</v>
      </c>
      <c r="I2009" t="s">
        <v>3254</v>
      </c>
    </row>
    <row r="2010" spans="1:9" x14ac:dyDescent="0.25">
      <c r="A2010" t="s">
        <v>8657</v>
      </c>
      <c r="B2010" t="s">
        <v>8657</v>
      </c>
      <c r="C2010" t="s">
        <v>8658</v>
      </c>
      <c r="D2010" t="s">
        <v>3242</v>
      </c>
      <c r="E2010" t="s">
        <v>15710</v>
      </c>
      <c r="F2010" t="s">
        <v>3288</v>
      </c>
      <c r="G2010" t="s">
        <v>8659</v>
      </c>
      <c r="H2010" t="s">
        <v>3680</v>
      </c>
    </row>
    <row r="2011" spans="1:9" x14ac:dyDescent="0.25">
      <c r="A2011" t="s">
        <v>8660</v>
      </c>
      <c r="B2011" t="s">
        <v>8660</v>
      </c>
      <c r="C2011" t="s">
        <v>8661</v>
      </c>
      <c r="D2011" t="s">
        <v>3242</v>
      </c>
      <c r="E2011" t="s">
        <v>15710</v>
      </c>
      <c r="F2011" t="s">
        <v>3288</v>
      </c>
      <c r="G2011" t="s">
        <v>8662</v>
      </c>
      <c r="H2011" t="s">
        <v>3488</v>
      </c>
    </row>
    <row r="2012" spans="1:9" x14ac:dyDescent="0.25">
      <c r="A2012" t="s">
        <v>8663</v>
      </c>
      <c r="B2012" t="s">
        <v>8663</v>
      </c>
      <c r="C2012" t="s">
        <v>8664</v>
      </c>
      <c r="D2012" t="s">
        <v>3242</v>
      </c>
      <c r="E2012" t="s">
        <v>15710</v>
      </c>
      <c r="F2012" t="s">
        <v>3257</v>
      </c>
      <c r="G2012" t="s">
        <v>8665</v>
      </c>
      <c r="H2012" t="s">
        <v>4919</v>
      </c>
      <c r="I2012" t="s">
        <v>3324</v>
      </c>
    </row>
    <row r="2013" spans="1:9" x14ac:dyDescent="0.25">
      <c r="A2013" t="s">
        <v>8666</v>
      </c>
      <c r="B2013" t="s">
        <v>8666</v>
      </c>
      <c r="C2013" t="s">
        <v>13494</v>
      </c>
      <c r="D2013" t="s">
        <v>3242</v>
      </c>
      <c r="E2013" t="s">
        <v>15710</v>
      </c>
      <c r="F2013" t="s">
        <v>3257</v>
      </c>
      <c r="G2013" t="s">
        <v>8667</v>
      </c>
      <c r="H2013" t="s">
        <v>4919</v>
      </c>
      <c r="I2013" t="s">
        <v>3294</v>
      </c>
    </row>
    <row r="2014" spans="1:9" x14ac:dyDescent="0.25">
      <c r="A2014" t="s">
        <v>8668</v>
      </c>
      <c r="B2014" t="s">
        <v>8668</v>
      </c>
      <c r="C2014" t="s">
        <v>8669</v>
      </c>
      <c r="D2014" t="s">
        <v>3242</v>
      </c>
      <c r="E2014" t="s">
        <v>15710</v>
      </c>
      <c r="F2014" t="s">
        <v>8401</v>
      </c>
      <c r="G2014" t="s">
        <v>8670</v>
      </c>
      <c r="H2014" t="s">
        <v>3455</v>
      </c>
      <c r="I2014" t="s">
        <v>3407</v>
      </c>
    </row>
    <row r="2015" spans="1:9" x14ac:dyDescent="0.25">
      <c r="A2015" t="s">
        <v>8671</v>
      </c>
      <c r="B2015" t="s">
        <v>8671</v>
      </c>
      <c r="C2015" t="s">
        <v>8672</v>
      </c>
      <c r="D2015" t="s">
        <v>3242</v>
      </c>
      <c r="E2015" t="s">
        <v>16839</v>
      </c>
      <c r="F2015" t="s">
        <v>8673</v>
      </c>
      <c r="G2015" t="s">
        <v>8674</v>
      </c>
      <c r="H2015" t="s">
        <v>3440</v>
      </c>
      <c r="I2015" t="s">
        <v>3407</v>
      </c>
    </row>
    <row r="2016" spans="1:9" x14ac:dyDescent="0.25">
      <c r="A2016" t="s">
        <v>8675</v>
      </c>
      <c r="B2016" t="s">
        <v>8675</v>
      </c>
      <c r="C2016" t="s">
        <v>8676</v>
      </c>
      <c r="D2016" t="s">
        <v>3242</v>
      </c>
      <c r="E2016" t="s">
        <v>15710</v>
      </c>
      <c r="F2016" t="s">
        <v>3243</v>
      </c>
      <c r="G2016" t="s">
        <v>8677</v>
      </c>
      <c r="H2016" t="s">
        <v>3262</v>
      </c>
    </row>
    <row r="2017" spans="1:9" x14ac:dyDescent="0.25">
      <c r="A2017" t="s">
        <v>8678</v>
      </c>
      <c r="B2017" t="s">
        <v>8678</v>
      </c>
      <c r="C2017" t="s">
        <v>8679</v>
      </c>
      <c r="D2017" t="s">
        <v>3242</v>
      </c>
      <c r="E2017" t="s">
        <v>15710</v>
      </c>
      <c r="F2017" t="s">
        <v>3257</v>
      </c>
      <c r="G2017" t="s">
        <v>8680</v>
      </c>
      <c r="H2017" t="s">
        <v>4856</v>
      </c>
      <c r="I2017" t="s">
        <v>3407</v>
      </c>
    </row>
    <row r="2018" spans="1:9" x14ac:dyDescent="0.25">
      <c r="A2018" t="s">
        <v>8681</v>
      </c>
      <c r="B2018" t="s">
        <v>8681</v>
      </c>
      <c r="C2018" t="s">
        <v>8682</v>
      </c>
      <c r="D2018" t="s">
        <v>3242</v>
      </c>
      <c r="E2018" t="s">
        <v>16840</v>
      </c>
      <c r="F2018" t="s">
        <v>6458</v>
      </c>
      <c r="G2018" t="s">
        <v>8683</v>
      </c>
      <c r="H2018" t="s">
        <v>3496</v>
      </c>
      <c r="I2018" t="s">
        <v>3407</v>
      </c>
    </row>
    <row r="2019" spans="1:9" x14ac:dyDescent="0.25">
      <c r="A2019" t="s">
        <v>8684</v>
      </c>
      <c r="B2019" t="s">
        <v>8684</v>
      </c>
      <c r="C2019" t="s">
        <v>8685</v>
      </c>
      <c r="D2019" t="s">
        <v>3242</v>
      </c>
      <c r="E2019" t="s">
        <v>15710</v>
      </c>
      <c r="F2019" t="s">
        <v>3243</v>
      </c>
      <c r="G2019" t="s">
        <v>8686</v>
      </c>
      <c r="H2019" t="s">
        <v>8687</v>
      </c>
    </row>
    <row r="2020" spans="1:9" x14ac:dyDescent="0.25">
      <c r="A2020" t="s">
        <v>8688</v>
      </c>
      <c r="B2020" t="s">
        <v>8688</v>
      </c>
      <c r="C2020" t="s">
        <v>8689</v>
      </c>
      <c r="D2020" t="s">
        <v>3242</v>
      </c>
      <c r="E2020" t="s">
        <v>17299</v>
      </c>
      <c r="F2020" t="s">
        <v>8401</v>
      </c>
      <c r="G2020" t="s">
        <v>8690</v>
      </c>
      <c r="H2020" t="s">
        <v>3496</v>
      </c>
      <c r="I2020" t="s">
        <v>3407</v>
      </c>
    </row>
    <row r="2021" spans="1:9" x14ac:dyDescent="0.25">
      <c r="A2021" t="s">
        <v>8691</v>
      </c>
      <c r="B2021" t="s">
        <v>8691</v>
      </c>
      <c r="C2021" t="s">
        <v>8692</v>
      </c>
      <c r="D2021" t="s">
        <v>3242</v>
      </c>
      <c r="E2021" t="s">
        <v>15710</v>
      </c>
      <c r="F2021" t="s">
        <v>3243</v>
      </c>
      <c r="G2021" t="s">
        <v>8693</v>
      </c>
      <c r="H2021" t="s">
        <v>7817</v>
      </c>
    </row>
    <row r="2022" spans="1:9" x14ac:dyDescent="0.25">
      <c r="A2022" t="s">
        <v>17300</v>
      </c>
      <c r="B2022" t="s">
        <v>17300</v>
      </c>
      <c r="C2022" t="s">
        <v>17301</v>
      </c>
      <c r="D2022" t="s">
        <v>3242</v>
      </c>
      <c r="E2022" t="s">
        <v>15710</v>
      </c>
      <c r="F2022" t="s">
        <v>3243</v>
      </c>
      <c r="G2022" t="s">
        <v>17302</v>
      </c>
      <c r="H2022" t="s">
        <v>5160</v>
      </c>
    </row>
    <row r="2023" spans="1:9" x14ac:dyDescent="0.25">
      <c r="A2023" t="s">
        <v>8694</v>
      </c>
      <c r="B2023" t="s">
        <v>8694</v>
      </c>
      <c r="C2023" t="s">
        <v>8695</v>
      </c>
      <c r="D2023" t="s">
        <v>3242</v>
      </c>
      <c r="E2023" t="s">
        <v>15710</v>
      </c>
      <c r="F2023" t="s">
        <v>3243</v>
      </c>
      <c r="G2023" t="s">
        <v>8696</v>
      </c>
      <c r="H2023" t="s">
        <v>8697</v>
      </c>
    </row>
    <row r="2024" spans="1:9" x14ac:dyDescent="0.25">
      <c r="A2024" t="s">
        <v>8698</v>
      </c>
      <c r="B2024" t="s">
        <v>8698</v>
      </c>
      <c r="C2024" t="s">
        <v>8699</v>
      </c>
      <c r="D2024" t="s">
        <v>3242</v>
      </c>
      <c r="E2024" t="s">
        <v>15710</v>
      </c>
      <c r="F2024" t="s">
        <v>3257</v>
      </c>
      <c r="G2024" t="s">
        <v>8700</v>
      </c>
      <c r="H2024" t="s">
        <v>8701</v>
      </c>
      <c r="I2024" t="s">
        <v>7673</v>
      </c>
    </row>
    <row r="2025" spans="1:9" x14ac:dyDescent="0.25">
      <c r="A2025" t="s">
        <v>16841</v>
      </c>
      <c r="B2025" t="s">
        <v>16841</v>
      </c>
      <c r="C2025" t="s">
        <v>16842</v>
      </c>
      <c r="D2025" t="s">
        <v>3242</v>
      </c>
      <c r="E2025" t="s">
        <v>15710</v>
      </c>
      <c r="F2025" t="s">
        <v>3243</v>
      </c>
      <c r="G2025" t="s">
        <v>16843</v>
      </c>
      <c r="H2025" t="s">
        <v>16844</v>
      </c>
    </row>
    <row r="2026" spans="1:9" x14ac:dyDescent="0.25">
      <c r="A2026" t="s">
        <v>17303</v>
      </c>
      <c r="B2026" t="s">
        <v>17303</v>
      </c>
      <c r="C2026" t="s">
        <v>17304</v>
      </c>
      <c r="D2026" t="s">
        <v>3242</v>
      </c>
      <c r="E2026" t="s">
        <v>17305</v>
      </c>
      <c r="F2026" t="s">
        <v>3288</v>
      </c>
      <c r="G2026" t="s">
        <v>17306</v>
      </c>
      <c r="H2026" t="s">
        <v>17307</v>
      </c>
    </row>
    <row r="2027" spans="1:9" x14ac:dyDescent="0.25">
      <c r="A2027" t="s">
        <v>8702</v>
      </c>
      <c r="B2027" t="s">
        <v>8702</v>
      </c>
      <c r="C2027" t="s">
        <v>8703</v>
      </c>
      <c r="D2027" t="s">
        <v>3242</v>
      </c>
      <c r="E2027" t="s">
        <v>15710</v>
      </c>
      <c r="F2027" t="s">
        <v>3243</v>
      </c>
      <c r="G2027" t="s">
        <v>8704</v>
      </c>
      <c r="H2027" t="s">
        <v>3290</v>
      </c>
    </row>
    <row r="2028" spans="1:9" x14ac:dyDescent="0.25">
      <c r="A2028" t="s">
        <v>8705</v>
      </c>
      <c r="B2028" t="s">
        <v>8705</v>
      </c>
      <c r="C2028" t="s">
        <v>8706</v>
      </c>
      <c r="D2028" t="s">
        <v>3242</v>
      </c>
      <c r="E2028" t="s">
        <v>15911</v>
      </c>
      <c r="F2028" t="s">
        <v>3243</v>
      </c>
      <c r="G2028" t="s">
        <v>8707</v>
      </c>
      <c r="H2028" t="s">
        <v>8708</v>
      </c>
    </row>
    <row r="2029" spans="1:9" x14ac:dyDescent="0.25">
      <c r="A2029" t="s">
        <v>8709</v>
      </c>
      <c r="B2029" t="s">
        <v>8709</v>
      </c>
      <c r="C2029" t="s">
        <v>8710</v>
      </c>
      <c r="D2029" t="s">
        <v>3242</v>
      </c>
      <c r="E2029" t="s">
        <v>15710</v>
      </c>
      <c r="F2029" t="s">
        <v>15712</v>
      </c>
      <c r="G2029" t="s">
        <v>8711</v>
      </c>
      <c r="H2029" t="s">
        <v>8466</v>
      </c>
    </row>
    <row r="2030" spans="1:9" x14ac:dyDescent="0.25">
      <c r="A2030" t="s">
        <v>8712</v>
      </c>
      <c r="B2030" t="s">
        <v>8712</v>
      </c>
      <c r="C2030" t="s">
        <v>8713</v>
      </c>
      <c r="D2030" t="s">
        <v>3242</v>
      </c>
      <c r="E2030" t="s">
        <v>15710</v>
      </c>
      <c r="F2030" t="s">
        <v>3243</v>
      </c>
      <c r="G2030" t="s">
        <v>8714</v>
      </c>
      <c r="H2030" t="s">
        <v>7867</v>
      </c>
    </row>
    <row r="2031" spans="1:9" x14ac:dyDescent="0.25">
      <c r="A2031" t="s">
        <v>8715</v>
      </c>
      <c r="B2031" t="s">
        <v>8715</v>
      </c>
      <c r="C2031" t="s">
        <v>8716</v>
      </c>
      <c r="D2031" t="s">
        <v>3242</v>
      </c>
      <c r="E2031" t="s">
        <v>15710</v>
      </c>
      <c r="F2031" t="s">
        <v>3288</v>
      </c>
      <c r="G2031" t="s">
        <v>8717</v>
      </c>
      <c r="H2031" t="s">
        <v>8001</v>
      </c>
    </row>
    <row r="2032" spans="1:9" x14ac:dyDescent="0.25">
      <c r="A2032" t="s">
        <v>8718</v>
      </c>
      <c r="B2032" t="s">
        <v>8718</v>
      </c>
      <c r="C2032" t="s">
        <v>8719</v>
      </c>
      <c r="D2032" t="s">
        <v>3242</v>
      </c>
      <c r="E2032" t="s">
        <v>17308</v>
      </c>
      <c r="F2032" t="s">
        <v>3243</v>
      </c>
      <c r="G2032" t="s">
        <v>8720</v>
      </c>
      <c r="H2032" t="s">
        <v>7867</v>
      </c>
    </row>
    <row r="2033" spans="1:9" x14ac:dyDescent="0.25">
      <c r="A2033" t="s">
        <v>8721</v>
      </c>
      <c r="B2033" t="s">
        <v>8721</v>
      </c>
      <c r="C2033" t="s">
        <v>8722</v>
      </c>
      <c r="D2033" t="s">
        <v>3242</v>
      </c>
      <c r="E2033" t="s">
        <v>17309</v>
      </c>
      <c r="F2033" t="s">
        <v>3243</v>
      </c>
      <c r="G2033" t="s">
        <v>8723</v>
      </c>
      <c r="H2033" t="s">
        <v>8204</v>
      </c>
    </row>
    <row r="2034" spans="1:9" x14ac:dyDescent="0.25">
      <c r="A2034" t="s">
        <v>8724</v>
      </c>
      <c r="B2034" t="s">
        <v>8724</v>
      </c>
      <c r="C2034" t="s">
        <v>8725</v>
      </c>
      <c r="D2034" t="s">
        <v>3242</v>
      </c>
      <c r="E2034" t="s">
        <v>17310</v>
      </c>
      <c r="F2034" t="s">
        <v>3243</v>
      </c>
      <c r="G2034" t="s">
        <v>8726</v>
      </c>
      <c r="H2034" t="s">
        <v>5758</v>
      </c>
    </row>
    <row r="2035" spans="1:9" x14ac:dyDescent="0.25">
      <c r="A2035" t="s">
        <v>8727</v>
      </c>
      <c r="B2035" t="s">
        <v>8727</v>
      </c>
      <c r="C2035" t="s">
        <v>8728</v>
      </c>
      <c r="D2035" t="s">
        <v>3242</v>
      </c>
      <c r="E2035" t="s">
        <v>15710</v>
      </c>
      <c r="F2035" t="s">
        <v>8729</v>
      </c>
      <c r="G2035" t="s">
        <v>8730</v>
      </c>
      <c r="H2035" t="s">
        <v>5700</v>
      </c>
      <c r="I2035" t="s">
        <v>3648</v>
      </c>
    </row>
    <row r="2036" spans="1:9" x14ac:dyDescent="0.25">
      <c r="A2036" t="s">
        <v>8731</v>
      </c>
      <c r="B2036" t="s">
        <v>8731</v>
      </c>
      <c r="C2036" t="s">
        <v>8732</v>
      </c>
      <c r="D2036" t="s">
        <v>3242</v>
      </c>
      <c r="E2036" t="s">
        <v>15710</v>
      </c>
      <c r="F2036" t="s">
        <v>3257</v>
      </c>
      <c r="G2036" t="s">
        <v>8733</v>
      </c>
      <c r="H2036" t="s">
        <v>5700</v>
      </c>
      <c r="I2036" t="s">
        <v>3648</v>
      </c>
    </row>
    <row r="2037" spans="1:9" x14ac:dyDescent="0.25">
      <c r="A2037" t="s">
        <v>8734</v>
      </c>
      <c r="B2037" t="s">
        <v>8734</v>
      </c>
      <c r="C2037" t="s">
        <v>8735</v>
      </c>
      <c r="D2037" t="s">
        <v>3242</v>
      </c>
      <c r="E2037" t="s">
        <v>15710</v>
      </c>
      <c r="F2037" t="s">
        <v>3257</v>
      </c>
      <c r="G2037" t="s">
        <v>5940</v>
      </c>
      <c r="H2037" t="s">
        <v>3323</v>
      </c>
      <c r="I2037" t="s">
        <v>3366</v>
      </c>
    </row>
    <row r="2038" spans="1:9" x14ac:dyDescent="0.25">
      <c r="A2038" t="s">
        <v>8736</v>
      </c>
      <c r="B2038" t="s">
        <v>8736</v>
      </c>
      <c r="C2038" t="s">
        <v>8737</v>
      </c>
      <c r="D2038" t="s">
        <v>3242</v>
      </c>
      <c r="E2038" t="s">
        <v>15710</v>
      </c>
      <c r="F2038" t="s">
        <v>3243</v>
      </c>
      <c r="G2038" t="s">
        <v>8738</v>
      </c>
      <c r="H2038" t="s">
        <v>7867</v>
      </c>
    </row>
    <row r="2039" spans="1:9" x14ac:dyDescent="0.25">
      <c r="A2039" t="s">
        <v>8739</v>
      </c>
      <c r="B2039" t="s">
        <v>8739</v>
      </c>
      <c r="C2039" t="s">
        <v>8740</v>
      </c>
      <c r="D2039" t="s">
        <v>3242</v>
      </c>
      <c r="E2039" t="s">
        <v>15710</v>
      </c>
      <c r="F2039" t="s">
        <v>3288</v>
      </c>
      <c r="G2039" t="s">
        <v>8741</v>
      </c>
      <c r="H2039" t="s">
        <v>3285</v>
      </c>
    </row>
    <row r="2040" spans="1:9" x14ac:dyDescent="0.25">
      <c r="A2040" t="s">
        <v>8742</v>
      </c>
      <c r="B2040" t="s">
        <v>8742</v>
      </c>
      <c r="C2040" t="s">
        <v>8743</v>
      </c>
      <c r="D2040" t="s">
        <v>3242</v>
      </c>
      <c r="E2040" t="s">
        <v>15710</v>
      </c>
      <c r="F2040" t="s">
        <v>3306</v>
      </c>
      <c r="G2040" t="s">
        <v>8744</v>
      </c>
      <c r="H2040" t="s">
        <v>3060</v>
      </c>
    </row>
    <row r="2041" spans="1:9" x14ac:dyDescent="0.25">
      <c r="A2041" t="s">
        <v>8745</v>
      </c>
      <c r="B2041" t="s">
        <v>8745</v>
      </c>
      <c r="C2041" t="s">
        <v>8746</v>
      </c>
      <c r="D2041" t="s">
        <v>3242</v>
      </c>
      <c r="E2041" t="s">
        <v>15710</v>
      </c>
      <c r="F2041" t="s">
        <v>3288</v>
      </c>
      <c r="G2041" t="s">
        <v>8747</v>
      </c>
      <c r="H2041" t="s">
        <v>3680</v>
      </c>
    </row>
    <row r="2042" spans="1:9" x14ac:dyDescent="0.25">
      <c r="A2042" t="s">
        <v>8748</v>
      </c>
      <c r="B2042" t="s">
        <v>8748</v>
      </c>
      <c r="C2042" t="s">
        <v>8749</v>
      </c>
      <c r="D2042" t="s">
        <v>3242</v>
      </c>
      <c r="E2042" t="s">
        <v>15710</v>
      </c>
      <c r="F2042" t="s">
        <v>3288</v>
      </c>
      <c r="G2042" t="s">
        <v>8750</v>
      </c>
      <c r="H2042" t="s">
        <v>3463</v>
      </c>
    </row>
    <row r="2043" spans="1:9" x14ac:dyDescent="0.25">
      <c r="A2043" t="s">
        <v>8751</v>
      </c>
      <c r="B2043" t="s">
        <v>8751</v>
      </c>
      <c r="C2043" t="s">
        <v>8752</v>
      </c>
      <c r="D2043" t="s">
        <v>3242</v>
      </c>
      <c r="E2043" t="s">
        <v>17012</v>
      </c>
      <c r="F2043" t="s">
        <v>3257</v>
      </c>
      <c r="G2043" t="s">
        <v>8753</v>
      </c>
      <c r="H2043" t="s">
        <v>4045</v>
      </c>
      <c r="I2043" t="s">
        <v>4028</v>
      </c>
    </row>
    <row r="2044" spans="1:9" x14ac:dyDescent="0.25">
      <c r="A2044" t="s">
        <v>8754</v>
      </c>
      <c r="B2044" t="s">
        <v>8754</v>
      </c>
      <c r="C2044" t="s">
        <v>8755</v>
      </c>
      <c r="D2044" t="s">
        <v>3242</v>
      </c>
      <c r="E2044" t="s">
        <v>15710</v>
      </c>
      <c r="F2044" t="s">
        <v>3243</v>
      </c>
      <c r="G2044" t="s">
        <v>8756</v>
      </c>
      <c r="H2044" t="s">
        <v>3680</v>
      </c>
    </row>
    <row r="2045" spans="1:9" x14ac:dyDescent="0.25">
      <c r="A2045" t="s">
        <v>8757</v>
      </c>
      <c r="B2045" t="s">
        <v>8757</v>
      </c>
      <c r="C2045" t="s">
        <v>8758</v>
      </c>
      <c r="D2045" t="s">
        <v>3242</v>
      </c>
      <c r="E2045" t="s">
        <v>15710</v>
      </c>
      <c r="F2045" t="s">
        <v>3243</v>
      </c>
      <c r="G2045" t="s">
        <v>8555</v>
      </c>
      <c r="H2045" t="s">
        <v>3060</v>
      </c>
    </row>
    <row r="2046" spans="1:9" x14ac:dyDescent="0.25">
      <c r="A2046" t="s">
        <v>8759</v>
      </c>
      <c r="B2046" t="s">
        <v>8759</v>
      </c>
      <c r="C2046" t="s">
        <v>8760</v>
      </c>
      <c r="D2046" t="s">
        <v>3242</v>
      </c>
      <c r="E2046" t="s">
        <v>16489</v>
      </c>
      <c r="F2046" t="s">
        <v>3257</v>
      </c>
      <c r="G2046" t="s">
        <v>8761</v>
      </c>
      <c r="H2046" t="s">
        <v>4711</v>
      </c>
      <c r="I2046" t="s">
        <v>3254</v>
      </c>
    </row>
    <row r="2047" spans="1:9" x14ac:dyDescent="0.25">
      <c r="A2047" t="s">
        <v>8762</v>
      </c>
      <c r="B2047" t="s">
        <v>8762</v>
      </c>
      <c r="C2047" t="s">
        <v>8763</v>
      </c>
      <c r="D2047" t="s">
        <v>3242</v>
      </c>
      <c r="E2047" t="s">
        <v>15710</v>
      </c>
      <c r="F2047" t="s">
        <v>3243</v>
      </c>
      <c r="G2047" t="s">
        <v>8764</v>
      </c>
      <c r="H2047" t="s">
        <v>3285</v>
      </c>
    </row>
    <row r="2048" spans="1:9" x14ac:dyDescent="0.25">
      <c r="A2048" t="s">
        <v>8765</v>
      </c>
      <c r="B2048" t="s">
        <v>8765</v>
      </c>
      <c r="C2048" t="s">
        <v>8766</v>
      </c>
      <c r="D2048" t="s">
        <v>3242</v>
      </c>
      <c r="E2048" t="s">
        <v>15710</v>
      </c>
      <c r="F2048" t="s">
        <v>3288</v>
      </c>
      <c r="G2048" t="s">
        <v>8767</v>
      </c>
      <c r="H2048" t="s">
        <v>3488</v>
      </c>
    </row>
    <row r="2049" spans="1:9" x14ac:dyDescent="0.25">
      <c r="A2049" t="s">
        <v>15183</v>
      </c>
      <c r="B2049" t="s">
        <v>15183</v>
      </c>
      <c r="C2049" t="s">
        <v>15184</v>
      </c>
      <c r="D2049" t="s">
        <v>3242</v>
      </c>
      <c r="E2049" t="s">
        <v>15710</v>
      </c>
      <c r="F2049" t="s">
        <v>3288</v>
      </c>
      <c r="G2049" t="s">
        <v>15185</v>
      </c>
      <c r="H2049" t="s">
        <v>3463</v>
      </c>
    </row>
    <row r="2050" spans="1:9" x14ac:dyDescent="0.25">
      <c r="A2050" t="s">
        <v>8768</v>
      </c>
      <c r="B2050" t="s">
        <v>8768</v>
      </c>
      <c r="C2050" t="s">
        <v>8769</v>
      </c>
      <c r="D2050" t="s">
        <v>3242</v>
      </c>
      <c r="E2050" t="s">
        <v>17584</v>
      </c>
      <c r="F2050" t="s">
        <v>3251</v>
      </c>
      <c r="G2050" t="s">
        <v>8770</v>
      </c>
      <c r="H2050" t="s">
        <v>3668</v>
      </c>
      <c r="I2050" t="s">
        <v>3254</v>
      </c>
    </row>
    <row r="2051" spans="1:9" x14ac:dyDescent="0.25">
      <c r="A2051" t="s">
        <v>8771</v>
      </c>
      <c r="B2051" t="s">
        <v>8771</v>
      </c>
      <c r="C2051" t="s">
        <v>8772</v>
      </c>
      <c r="D2051" t="s">
        <v>3242</v>
      </c>
      <c r="E2051" t="s">
        <v>17013</v>
      </c>
      <c r="F2051" t="s">
        <v>3251</v>
      </c>
      <c r="G2051" t="s">
        <v>8773</v>
      </c>
      <c r="H2051" t="s">
        <v>3421</v>
      </c>
      <c r="I2051" t="s">
        <v>3254</v>
      </c>
    </row>
    <row r="2052" spans="1:9" x14ac:dyDescent="0.25">
      <c r="A2052" t="s">
        <v>8774</v>
      </c>
      <c r="B2052" t="s">
        <v>8774</v>
      </c>
      <c r="C2052" t="s">
        <v>8775</v>
      </c>
      <c r="D2052" t="s">
        <v>3242</v>
      </c>
      <c r="E2052" t="s">
        <v>17311</v>
      </c>
      <c r="F2052" t="s">
        <v>3288</v>
      </c>
      <c r="G2052" t="s">
        <v>8776</v>
      </c>
      <c r="H2052" t="s">
        <v>3060</v>
      </c>
    </row>
    <row r="2053" spans="1:9" x14ac:dyDescent="0.25">
      <c r="A2053" t="s">
        <v>8777</v>
      </c>
      <c r="B2053" t="s">
        <v>8777</v>
      </c>
      <c r="C2053" t="s">
        <v>8778</v>
      </c>
      <c r="D2053" t="s">
        <v>3242</v>
      </c>
      <c r="E2053" t="s">
        <v>15710</v>
      </c>
      <c r="F2053" t="s">
        <v>3243</v>
      </c>
      <c r="G2053" t="s">
        <v>8779</v>
      </c>
      <c r="H2053" t="s">
        <v>3290</v>
      </c>
    </row>
    <row r="2054" spans="1:9" x14ac:dyDescent="0.25">
      <c r="A2054" t="s">
        <v>8780</v>
      </c>
      <c r="B2054" t="s">
        <v>8780</v>
      </c>
      <c r="C2054" t="s">
        <v>8781</v>
      </c>
      <c r="D2054" t="s">
        <v>3242</v>
      </c>
      <c r="E2054" t="s">
        <v>15710</v>
      </c>
      <c r="F2054" t="s">
        <v>3288</v>
      </c>
      <c r="G2054" t="s">
        <v>8782</v>
      </c>
      <c r="H2054" t="s">
        <v>3623</v>
      </c>
    </row>
    <row r="2055" spans="1:9" x14ac:dyDescent="0.25">
      <c r="A2055" t="s">
        <v>8783</v>
      </c>
      <c r="B2055" t="s">
        <v>8783</v>
      </c>
      <c r="C2055" t="s">
        <v>8784</v>
      </c>
      <c r="D2055" t="s">
        <v>3242</v>
      </c>
      <c r="E2055" t="s">
        <v>15710</v>
      </c>
      <c r="F2055" t="s">
        <v>3306</v>
      </c>
      <c r="G2055" t="s">
        <v>8785</v>
      </c>
      <c r="H2055" t="s">
        <v>4619</v>
      </c>
      <c r="I2055" t="s">
        <v>3254</v>
      </c>
    </row>
    <row r="2056" spans="1:9" x14ac:dyDescent="0.25">
      <c r="A2056" t="s">
        <v>8786</v>
      </c>
      <c r="B2056" t="s">
        <v>8786</v>
      </c>
      <c r="C2056" t="s">
        <v>8787</v>
      </c>
      <c r="D2056" t="s">
        <v>3242</v>
      </c>
      <c r="E2056" t="s">
        <v>17312</v>
      </c>
      <c r="F2056" t="s">
        <v>3257</v>
      </c>
      <c r="G2056" t="s">
        <v>8788</v>
      </c>
      <c r="H2056" t="s">
        <v>3623</v>
      </c>
      <c r="I2056" t="s">
        <v>4028</v>
      </c>
    </row>
    <row r="2057" spans="1:9" x14ac:dyDescent="0.25">
      <c r="A2057" t="s">
        <v>8789</v>
      </c>
      <c r="B2057" t="s">
        <v>8789</v>
      </c>
      <c r="C2057" t="s">
        <v>8790</v>
      </c>
      <c r="D2057" t="s">
        <v>3242</v>
      </c>
      <c r="E2057" t="s">
        <v>15710</v>
      </c>
      <c r="F2057" t="s">
        <v>3345</v>
      </c>
      <c r="G2057" t="s">
        <v>8791</v>
      </c>
      <c r="H2057" t="s">
        <v>3623</v>
      </c>
    </row>
    <row r="2058" spans="1:9" x14ac:dyDescent="0.25">
      <c r="A2058" t="s">
        <v>8792</v>
      </c>
      <c r="B2058" t="s">
        <v>8792</v>
      </c>
      <c r="C2058" t="s">
        <v>8793</v>
      </c>
      <c r="D2058" t="s">
        <v>3242</v>
      </c>
      <c r="E2058" t="s">
        <v>15710</v>
      </c>
      <c r="F2058" t="s">
        <v>3257</v>
      </c>
      <c r="G2058" t="s">
        <v>8794</v>
      </c>
      <c r="H2058" t="s">
        <v>3060</v>
      </c>
      <c r="I2058" t="s">
        <v>4028</v>
      </c>
    </row>
    <row r="2059" spans="1:9" x14ac:dyDescent="0.25">
      <c r="A2059" t="s">
        <v>8795</v>
      </c>
      <c r="B2059" t="s">
        <v>8795</v>
      </c>
      <c r="C2059" t="s">
        <v>8796</v>
      </c>
      <c r="D2059" t="s">
        <v>3242</v>
      </c>
      <c r="E2059" t="s">
        <v>15710</v>
      </c>
      <c r="F2059" t="s">
        <v>3243</v>
      </c>
      <c r="G2059" t="s">
        <v>8797</v>
      </c>
      <c r="H2059" t="s">
        <v>4800</v>
      </c>
    </row>
    <row r="2060" spans="1:9" x14ac:dyDescent="0.25">
      <c r="A2060" t="s">
        <v>8798</v>
      </c>
      <c r="B2060" t="s">
        <v>8798</v>
      </c>
      <c r="C2060" t="s">
        <v>8799</v>
      </c>
      <c r="D2060" t="s">
        <v>3242</v>
      </c>
      <c r="E2060" t="s">
        <v>15710</v>
      </c>
      <c r="F2060" t="s">
        <v>3243</v>
      </c>
      <c r="G2060" t="s">
        <v>8800</v>
      </c>
      <c r="H2060" t="s">
        <v>4045</v>
      </c>
    </row>
    <row r="2061" spans="1:9" x14ac:dyDescent="0.25">
      <c r="A2061" t="s">
        <v>8801</v>
      </c>
      <c r="B2061" t="s">
        <v>8801</v>
      </c>
      <c r="C2061" t="s">
        <v>8802</v>
      </c>
      <c r="D2061" t="s">
        <v>3242</v>
      </c>
      <c r="E2061" t="s">
        <v>15710</v>
      </c>
      <c r="F2061" t="s">
        <v>3345</v>
      </c>
      <c r="G2061" t="s">
        <v>8803</v>
      </c>
      <c r="H2061" t="s">
        <v>3680</v>
      </c>
    </row>
    <row r="2062" spans="1:9" x14ac:dyDescent="0.25">
      <c r="A2062" t="s">
        <v>8804</v>
      </c>
      <c r="B2062" t="s">
        <v>8804</v>
      </c>
      <c r="C2062" t="s">
        <v>8805</v>
      </c>
      <c r="D2062" t="s">
        <v>3242</v>
      </c>
      <c r="E2062" t="s">
        <v>15710</v>
      </c>
      <c r="F2062" t="s">
        <v>3345</v>
      </c>
      <c r="G2062" t="s">
        <v>8806</v>
      </c>
      <c r="H2062" t="s">
        <v>3285</v>
      </c>
    </row>
    <row r="2063" spans="1:9" x14ac:dyDescent="0.25">
      <c r="A2063" t="s">
        <v>8807</v>
      </c>
      <c r="B2063" t="s">
        <v>8807</v>
      </c>
      <c r="C2063" t="s">
        <v>8808</v>
      </c>
      <c r="D2063" t="s">
        <v>3242</v>
      </c>
      <c r="E2063" t="s">
        <v>17313</v>
      </c>
      <c r="F2063" t="s">
        <v>5955</v>
      </c>
      <c r="G2063" t="s">
        <v>16491</v>
      </c>
      <c r="H2063" t="s">
        <v>5013</v>
      </c>
      <c r="I2063" t="s">
        <v>3324</v>
      </c>
    </row>
    <row r="2064" spans="1:9" x14ac:dyDescent="0.25">
      <c r="A2064" t="s">
        <v>8809</v>
      </c>
      <c r="B2064" t="s">
        <v>8809</v>
      </c>
      <c r="C2064" t="s">
        <v>8810</v>
      </c>
      <c r="D2064" t="s">
        <v>3242</v>
      </c>
      <c r="E2064" t="s">
        <v>17314</v>
      </c>
      <c r="F2064" t="s">
        <v>3257</v>
      </c>
      <c r="G2064" t="s">
        <v>8811</v>
      </c>
      <c r="H2064" t="s">
        <v>5013</v>
      </c>
      <c r="I2064" t="s">
        <v>3324</v>
      </c>
    </row>
    <row r="2065" spans="1:9" x14ac:dyDescent="0.25">
      <c r="A2065" t="s">
        <v>8812</v>
      </c>
      <c r="B2065" t="s">
        <v>8812</v>
      </c>
      <c r="C2065" t="s">
        <v>8813</v>
      </c>
      <c r="D2065" t="s">
        <v>3242</v>
      </c>
      <c r="E2065" t="s">
        <v>15710</v>
      </c>
      <c r="F2065" t="s">
        <v>3243</v>
      </c>
      <c r="G2065" t="s">
        <v>8814</v>
      </c>
      <c r="H2065" t="s">
        <v>6617</v>
      </c>
    </row>
    <row r="2066" spans="1:9" x14ac:dyDescent="0.25">
      <c r="A2066" t="s">
        <v>8815</v>
      </c>
      <c r="B2066" t="s">
        <v>8815</v>
      </c>
      <c r="C2066" t="s">
        <v>8816</v>
      </c>
      <c r="D2066" t="s">
        <v>3242</v>
      </c>
      <c r="E2066" t="s">
        <v>15724</v>
      </c>
      <c r="F2066" t="s">
        <v>3257</v>
      </c>
      <c r="G2066" t="s">
        <v>8817</v>
      </c>
      <c r="H2066" t="s">
        <v>5243</v>
      </c>
      <c r="I2066" t="s">
        <v>3324</v>
      </c>
    </row>
    <row r="2067" spans="1:9" x14ac:dyDescent="0.25">
      <c r="A2067" t="s">
        <v>8818</v>
      </c>
      <c r="B2067" t="s">
        <v>8818</v>
      </c>
      <c r="C2067" t="s">
        <v>8819</v>
      </c>
      <c r="D2067" t="s">
        <v>3242</v>
      </c>
      <c r="E2067" t="s">
        <v>15710</v>
      </c>
      <c r="F2067" t="s">
        <v>3243</v>
      </c>
      <c r="G2067" t="s">
        <v>8820</v>
      </c>
      <c r="H2067" t="s">
        <v>3290</v>
      </c>
    </row>
    <row r="2068" spans="1:9" x14ac:dyDescent="0.25">
      <c r="A2068" t="s">
        <v>8821</v>
      </c>
      <c r="B2068" t="s">
        <v>8821</v>
      </c>
      <c r="C2068" t="s">
        <v>8822</v>
      </c>
      <c r="D2068" t="s">
        <v>3242</v>
      </c>
      <c r="E2068" t="s">
        <v>15710</v>
      </c>
      <c r="F2068" t="s">
        <v>3372</v>
      </c>
      <c r="G2068" t="s">
        <v>8823</v>
      </c>
      <c r="H2068" t="s">
        <v>5895</v>
      </c>
      <c r="I2068" t="s">
        <v>3366</v>
      </c>
    </row>
    <row r="2069" spans="1:9" x14ac:dyDescent="0.25">
      <c r="A2069" t="s">
        <v>8824</v>
      </c>
      <c r="B2069" t="s">
        <v>8824</v>
      </c>
      <c r="C2069" t="s">
        <v>8825</v>
      </c>
      <c r="D2069" t="s">
        <v>3242</v>
      </c>
      <c r="E2069" t="s">
        <v>15710</v>
      </c>
      <c r="F2069" t="s">
        <v>3257</v>
      </c>
      <c r="G2069" t="s">
        <v>8826</v>
      </c>
      <c r="H2069" t="s">
        <v>4179</v>
      </c>
      <c r="I2069" t="s">
        <v>3324</v>
      </c>
    </row>
    <row r="2070" spans="1:9" x14ac:dyDescent="0.25">
      <c r="A2070" t="s">
        <v>8827</v>
      </c>
      <c r="B2070" t="s">
        <v>8827</v>
      </c>
      <c r="C2070" t="s">
        <v>8828</v>
      </c>
      <c r="D2070" t="s">
        <v>3242</v>
      </c>
      <c r="E2070" t="s">
        <v>15710</v>
      </c>
      <c r="F2070" t="s">
        <v>3257</v>
      </c>
      <c r="G2070" t="s">
        <v>8829</v>
      </c>
      <c r="H2070" t="s">
        <v>3519</v>
      </c>
      <c r="I2070" t="s">
        <v>3648</v>
      </c>
    </row>
    <row r="2071" spans="1:9" x14ac:dyDescent="0.25">
      <c r="A2071" t="s">
        <v>15186</v>
      </c>
      <c r="B2071" t="s">
        <v>15186</v>
      </c>
      <c r="C2071" t="s">
        <v>15187</v>
      </c>
      <c r="D2071" t="s">
        <v>3242</v>
      </c>
      <c r="E2071" t="s">
        <v>15710</v>
      </c>
      <c r="F2071" t="s">
        <v>15188</v>
      </c>
      <c r="G2071" t="s">
        <v>15189</v>
      </c>
      <c r="H2071" t="s">
        <v>3519</v>
      </c>
      <c r="I2071" t="s">
        <v>15020</v>
      </c>
    </row>
    <row r="2072" spans="1:9" x14ac:dyDescent="0.25">
      <c r="A2072" t="s">
        <v>8830</v>
      </c>
      <c r="B2072" t="s">
        <v>8830</v>
      </c>
      <c r="C2072" t="s">
        <v>8831</v>
      </c>
      <c r="D2072" t="s">
        <v>3242</v>
      </c>
      <c r="E2072" t="s">
        <v>15710</v>
      </c>
      <c r="F2072" t="s">
        <v>17646</v>
      </c>
      <c r="G2072" t="s">
        <v>8832</v>
      </c>
      <c r="H2072" t="s">
        <v>3417</v>
      </c>
      <c r="I2072" t="s">
        <v>15020</v>
      </c>
    </row>
    <row r="2073" spans="1:9" x14ac:dyDescent="0.25">
      <c r="A2073" t="s">
        <v>8833</v>
      </c>
      <c r="B2073" t="s">
        <v>8833</v>
      </c>
      <c r="C2073" t="s">
        <v>8834</v>
      </c>
      <c r="D2073" t="s">
        <v>3242</v>
      </c>
      <c r="E2073" t="s">
        <v>15912</v>
      </c>
      <c r="F2073" t="s">
        <v>3243</v>
      </c>
      <c r="G2073" t="s">
        <v>8835</v>
      </c>
      <c r="H2073" t="s">
        <v>3519</v>
      </c>
    </row>
    <row r="2074" spans="1:9" x14ac:dyDescent="0.25">
      <c r="A2074" t="s">
        <v>8836</v>
      </c>
      <c r="B2074" t="s">
        <v>8836</v>
      </c>
      <c r="C2074" t="s">
        <v>8837</v>
      </c>
      <c r="D2074" t="s">
        <v>3242</v>
      </c>
      <c r="E2074" t="s">
        <v>15913</v>
      </c>
      <c r="F2074" t="s">
        <v>8838</v>
      </c>
      <c r="G2074" t="s">
        <v>8839</v>
      </c>
      <c r="H2074" t="s">
        <v>3417</v>
      </c>
      <c r="I2074" t="s">
        <v>3648</v>
      </c>
    </row>
    <row r="2075" spans="1:9" x14ac:dyDescent="0.25">
      <c r="A2075" t="s">
        <v>8840</v>
      </c>
      <c r="B2075" t="s">
        <v>8840</v>
      </c>
      <c r="C2075" t="s">
        <v>8841</v>
      </c>
      <c r="D2075" t="s">
        <v>3242</v>
      </c>
      <c r="E2075" t="s">
        <v>15710</v>
      </c>
      <c r="F2075" t="s">
        <v>3345</v>
      </c>
      <c r="G2075" t="s">
        <v>8842</v>
      </c>
      <c r="H2075" t="s">
        <v>8377</v>
      </c>
    </row>
    <row r="2076" spans="1:9" x14ac:dyDescent="0.25">
      <c r="A2076" t="s">
        <v>8843</v>
      </c>
      <c r="B2076" t="s">
        <v>8843</v>
      </c>
      <c r="C2076" t="s">
        <v>8844</v>
      </c>
      <c r="D2076" t="s">
        <v>3242</v>
      </c>
      <c r="E2076" t="s">
        <v>17315</v>
      </c>
      <c r="F2076" t="s">
        <v>8845</v>
      </c>
      <c r="G2076" t="s">
        <v>8846</v>
      </c>
      <c r="H2076" t="s">
        <v>3413</v>
      </c>
      <c r="I2076" t="s">
        <v>3407</v>
      </c>
    </row>
    <row r="2077" spans="1:9" x14ac:dyDescent="0.25">
      <c r="A2077" t="s">
        <v>8847</v>
      </c>
      <c r="B2077" t="s">
        <v>8847</v>
      </c>
      <c r="C2077" t="s">
        <v>8848</v>
      </c>
      <c r="D2077" t="s">
        <v>3242</v>
      </c>
      <c r="E2077" t="s">
        <v>15710</v>
      </c>
      <c r="F2077" t="s">
        <v>3243</v>
      </c>
      <c r="G2077" t="s">
        <v>8849</v>
      </c>
      <c r="H2077" t="s">
        <v>3402</v>
      </c>
    </row>
    <row r="2078" spans="1:9" x14ac:dyDescent="0.25">
      <c r="A2078" t="s">
        <v>8850</v>
      </c>
      <c r="B2078" t="s">
        <v>8850</v>
      </c>
      <c r="C2078" t="s">
        <v>8851</v>
      </c>
      <c r="D2078" t="s">
        <v>3242</v>
      </c>
      <c r="E2078" t="s">
        <v>15710</v>
      </c>
      <c r="F2078" t="s">
        <v>3257</v>
      </c>
      <c r="G2078" t="s">
        <v>8852</v>
      </c>
      <c r="H2078" t="s">
        <v>3484</v>
      </c>
    </row>
    <row r="2079" spans="1:9" x14ac:dyDescent="0.25">
      <c r="A2079" t="s">
        <v>8853</v>
      </c>
      <c r="B2079" t="s">
        <v>8853</v>
      </c>
      <c r="C2079" t="s">
        <v>8854</v>
      </c>
      <c r="D2079" t="s">
        <v>3242</v>
      </c>
      <c r="E2079" t="s">
        <v>15710</v>
      </c>
      <c r="F2079" t="s">
        <v>8855</v>
      </c>
      <c r="G2079" t="s">
        <v>8856</v>
      </c>
      <c r="H2079" t="s">
        <v>3496</v>
      </c>
      <c r="I2079" t="s">
        <v>3407</v>
      </c>
    </row>
    <row r="2080" spans="1:9" x14ac:dyDescent="0.25">
      <c r="A2080" t="s">
        <v>8857</v>
      </c>
      <c r="B2080" t="s">
        <v>8857</v>
      </c>
      <c r="C2080" t="s">
        <v>8858</v>
      </c>
      <c r="D2080" t="s">
        <v>3242</v>
      </c>
      <c r="E2080" t="s">
        <v>15710</v>
      </c>
      <c r="F2080" t="s">
        <v>3243</v>
      </c>
      <c r="G2080" t="s">
        <v>8859</v>
      </c>
      <c r="H2080" t="s">
        <v>3484</v>
      </c>
    </row>
    <row r="2081" spans="1:9" x14ac:dyDescent="0.25">
      <c r="A2081" t="s">
        <v>8860</v>
      </c>
      <c r="B2081" t="s">
        <v>8860</v>
      </c>
      <c r="C2081" t="s">
        <v>8861</v>
      </c>
      <c r="D2081" t="s">
        <v>3242</v>
      </c>
      <c r="E2081" t="s">
        <v>15710</v>
      </c>
      <c r="F2081" t="s">
        <v>3306</v>
      </c>
      <c r="G2081" t="s">
        <v>8862</v>
      </c>
      <c r="H2081" t="s">
        <v>3253</v>
      </c>
      <c r="I2081" t="s">
        <v>3451</v>
      </c>
    </row>
    <row r="2082" spans="1:9" x14ac:dyDescent="0.25">
      <c r="A2082" t="s">
        <v>8863</v>
      </c>
      <c r="B2082" t="s">
        <v>8863</v>
      </c>
      <c r="C2082" t="s">
        <v>8864</v>
      </c>
      <c r="D2082" t="s">
        <v>3242</v>
      </c>
      <c r="E2082" t="s">
        <v>15784</v>
      </c>
      <c r="F2082" t="s">
        <v>5761</v>
      </c>
      <c r="G2082" t="s">
        <v>8865</v>
      </c>
      <c r="H2082" t="s">
        <v>3413</v>
      </c>
      <c r="I2082" t="s">
        <v>3407</v>
      </c>
    </row>
    <row r="2083" spans="1:9" x14ac:dyDescent="0.25">
      <c r="A2083" t="s">
        <v>8866</v>
      </c>
      <c r="B2083" t="s">
        <v>8866</v>
      </c>
      <c r="C2083" t="s">
        <v>8867</v>
      </c>
      <c r="D2083" t="s">
        <v>3242</v>
      </c>
      <c r="E2083" t="s">
        <v>15710</v>
      </c>
      <c r="F2083" t="s">
        <v>3257</v>
      </c>
      <c r="G2083" t="s">
        <v>8868</v>
      </c>
      <c r="H2083" t="s">
        <v>3353</v>
      </c>
      <c r="I2083" t="s">
        <v>3324</v>
      </c>
    </row>
    <row r="2084" spans="1:9" x14ac:dyDescent="0.25">
      <c r="A2084" t="s">
        <v>8869</v>
      </c>
      <c r="B2084" t="s">
        <v>8869</v>
      </c>
      <c r="C2084" t="s">
        <v>8870</v>
      </c>
      <c r="D2084" t="s">
        <v>3242</v>
      </c>
      <c r="E2084" t="s">
        <v>16492</v>
      </c>
      <c r="F2084" t="s">
        <v>3257</v>
      </c>
      <c r="G2084" t="s">
        <v>8871</v>
      </c>
      <c r="H2084" t="s">
        <v>3323</v>
      </c>
      <c r="I2084" t="s">
        <v>3366</v>
      </c>
    </row>
    <row r="2085" spans="1:9" x14ac:dyDescent="0.25">
      <c r="A2085" t="s">
        <v>8872</v>
      </c>
      <c r="B2085" t="s">
        <v>8872</v>
      </c>
      <c r="C2085" t="s">
        <v>8873</v>
      </c>
      <c r="D2085" t="s">
        <v>3242</v>
      </c>
      <c r="E2085" t="s">
        <v>15710</v>
      </c>
      <c r="F2085" t="s">
        <v>3306</v>
      </c>
      <c r="G2085" t="s">
        <v>8874</v>
      </c>
      <c r="H2085" t="s">
        <v>4919</v>
      </c>
    </row>
    <row r="2086" spans="1:9" x14ac:dyDescent="0.25">
      <c r="A2086" t="s">
        <v>8875</v>
      </c>
      <c r="B2086" t="s">
        <v>8875</v>
      </c>
      <c r="C2086" t="s">
        <v>8876</v>
      </c>
      <c r="D2086" t="s">
        <v>3242</v>
      </c>
      <c r="E2086" t="s">
        <v>15710</v>
      </c>
      <c r="F2086" t="s">
        <v>3243</v>
      </c>
      <c r="G2086" t="s">
        <v>8877</v>
      </c>
      <c r="H2086" t="s">
        <v>3285</v>
      </c>
    </row>
    <row r="2087" spans="1:9" x14ac:dyDescent="0.25">
      <c r="A2087" t="s">
        <v>8878</v>
      </c>
      <c r="B2087" t="s">
        <v>8878</v>
      </c>
      <c r="C2087" t="s">
        <v>8879</v>
      </c>
      <c r="D2087" t="s">
        <v>3242</v>
      </c>
      <c r="E2087" t="s">
        <v>15710</v>
      </c>
      <c r="F2087" t="s">
        <v>3243</v>
      </c>
      <c r="G2087" t="s">
        <v>8880</v>
      </c>
      <c r="H2087" t="s">
        <v>3668</v>
      </c>
    </row>
    <row r="2088" spans="1:9" x14ac:dyDescent="0.25">
      <c r="A2088" t="s">
        <v>8881</v>
      </c>
      <c r="B2088" t="s">
        <v>8881</v>
      </c>
      <c r="C2088" t="s">
        <v>8882</v>
      </c>
      <c r="D2088" t="s">
        <v>3242</v>
      </c>
      <c r="E2088" t="s">
        <v>15710</v>
      </c>
      <c r="F2088" t="s">
        <v>5497</v>
      </c>
      <c r="G2088" t="s">
        <v>8883</v>
      </c>
      <c r="H2088" t="s">
        <v>3060</v>
      </c>
      <c r="I2088" t="s">
        <v>5250</v>
      </c>
    </row>
    <row r="2089" spans="1:9" x14ac:dyDescent="0.25">
      <c r="A2089" t="s">
        <v>8884</v>
      </c>
      <c r="B2089" t="s">
        <v>8884</v>
      </c>
      <c r="C2089" t="s">
        <v>8885</v>
      </c>
      <c r="D2089" t="s">
        <v>3242</v>
      </c>
      <c r="E2089" t="s">
        <v>17014</v>
      </c>
      <c r="F2089" t="s">
        <v>3257</v>
      </c>
      <c r="G2089" t="s">
        <v>8886</v>
      </c>
      <c r="H2089" t="s">
        <v>8887</v>
      </c>
      <c r="I2089" t="s">
        <v>3694</v>
      </c>
    </row>
    <row r="2090" spans="1:9" x14ac:dyDescent="0.25">
      <c r="A2090" t="s">
        <v>8888</v>
      </c>
      <c r="B2090" t="s">
        <v>8888</v>
      </c>
      <c r="C2090" t="s">
        <v>8889</v>
      </c>
      <c r="D2090" t="s">
        <v>3242</v>
      </c>
      <c r="E2090" t="s">
        <v>15914</v>
      </c>
      <c r="F2090" t="s">
        <v>5158</v>
      </c>
      <c r="G2090" t="s">
        <v>8890</v>
      </c>
      <c r="H2090" t="s">
        <v>5160</v>
      </c>
    </row>
    <row r="2091" spans="1:9" x14ac:dyDescent="0.25">
      <c r="A2091" t="s">
        <v>8891</v>
      </c>
      <c r="B2091" t="s">
        <v>8891</v>
      </c>
      <c r="C2091" t="s">
        <v>8892</v>
      </c>
      <c r="D2091" t="s">
        <v>3242</v>
      </c>
      <c r="E2091" t="s">
        <v>15710</v>
      </c>
      <c r="F2091" t="s">
        <v>3243</v>
      </c>
      <c r="G2091" t="s">
        <v>8893</v>
      </c>
      <c r="H2091" t="s">
        <v>3417</v>
      </c>
    </row>
    <row r="2092" spans="1:9" x14ac:dyDescent="0.25">
      <c r="A2092" t="s">
        <v>8894</v>
      </c>
      <c r="B2092" t="s">
        <v>8894</v>
      </c>
      <c r="C2092" t="s">
        <v>8895</v>
      </c>
      <c r="D2092" t="s">
        <v>3242</v>
      </c>
      <c r="E2092" t="s">
        <v>15710</v>
      </c>
      <c r="F2092" t="s">
        <v>3288</v>
      </c>
      <c r="G2092" t="s">
        <v>8896</v>
      </c>
      <c r="H2092" t="s">
        <v>3285</v>
      </c>
    </row>
    <row r="2093" spans="1:9" x14ac:dyDescent="0.25">
      <c r="A2093" t="s">
        <v>8897</v>
      </c>
      <c r="B2093" t="s">
        <v>8897</v>
      </c>
      <c r="C2093" t="s">
        <v>8898</v>
      </c>
      <c r="D2093" t="s">
        <v>3242</v>
      </c>
      <c r="E2093" t="s">
        <v>15710</v>
      </c>
      <c r="F2093" t="s">
        <v>4996</v>
      </c>
      <c r="G2093" t="s">
        <v>8899</v>
      </c>
      <c r="H2093" t="s">
        <v>5883</v>
      </c>
      <c r="I2093" t="s">
        <v>3366</v>
      </c>
    </row>
    <row r="2094" spans="1:9" x14ac:dyDescent="0.25">
      <c r="A2094" t="s">
        <v>15190</v>
      </c>
      <c r="B2094" t="s">
        <v>15190</v>
      </c>
      <c r="C2094" t="s">
        <v>15191</v>
      </c>
      <c r="D2094" t="s">
        <v>3242</v>
      </c>
      <c r="E2094" t="s">
        <v>15710</v>
      </c>
      <c r="F2094" t="s">
        <v>3243</v>
      </c>
      <c r="G2094" t="s">
        <v>15192</v>
      </c>
      <c r="H2094" t="s">
        <v>7867</v>
      </c>
    </row>
    <row r="2095" spans="1:9" x14ac:dyDescent="0.25">
      <c r="A2095" t="s">
        <v>8900</v>
      </c>
      <c r="B2095" t="s">
        <v>8900</v>
      </c>
      <c r="C2095" t="s">
        <v>8901</v>
      </c>
      <c r="D2095" t="s">
        <v>3242</v>
      </c>
      <c r="E2095" t="s">
        <v>15992</v>
      </c>
      <c r="F2095" t="s">
        <v>3243</v>
      </c>
      <c r="G2095" t="s">
        <v>8902</v>
      </c>
      <c r="H2095" t="s">
        <v>3290</v>
      </c>
    </row>
    <row r="2096" spans="1:9" x14ac:dyDescent="0.25">
      <c r="A2096" t="s">
        <v>17585</v>
      </c>
      <c r="B2096" t="s">
        <v>17585</v>
      </c>
      <c r="C2096" t="s">
        <v>17586</v>
      </c>
      <c r="D2096" t="s">
        <v>3242</v>
      </c>
      <c r="E2096" t="s">
        <v>15710</v>
      </c>
      <c r="F2096" t="s">
        <v>3243</v>
      </c>
      <c r="G2096" t="s">
        <v>17587</v>
      </c>
      <c r="H2096" t="s">
        <v>3484</v>
      </c>
    </row>
    <row r="2097" spans="1:9" x14ac:dyDescent="0.25">
      <c r="A2097" t="s">
        <v>8903</v>
      </c>
      <c r="B2097" t="s">
        <v>8903</v>
      </c>
      <c r="C2097" t="s">
        <v>8904</v>
      </c>
      <c r="D2097" t="s">
        <v>3242</v>
      </c>
      <c r="E2097" t="s">
        <v>15710</v>
      </c>
      <c r="F2097" t="s">
        <v>3243</v>
      </c>
      <c r="G2097" t="s">
        <v>8905</v>
      </c>
      <c r="H2097" t="s">
        <v>3374</v>
      </c>
    </row>
    <row r="2098" spans="1:9" x14ac:dyDescent="0.25">
      <c r="A2098" t="s">
        <v>8906</v>
      </c>
      <c r="B2098" t="s">
        <v>8906</v>
      </c>
      <c r="C2098" t="s">
        <v>8907</v>
      </c>
      <c r="D2098" t="s">
        <v>3242</v>
      </c>
      <c r="E2098" t="s">
        <v>15710</v>
      </c>
      <c r="F2098" t="s">
        <v>3283</v>
      </c>
      <c r="G2098" t="s">
        <v>8908</v>
      </c>
      <c r="H2098" t="s">
        <v>3623</v>
      </c>
    </row>
    <row r="2099" spans="1:9" x14ac:dyDescent="0.25">
      <c r="A2099" t="s">
        <v>8909</v>
      </c>
      <c r="B2099" t="s">
        <v>8909</v>
      </c>
      <c r="C2099" t="s">
        <v>8910</v>
      </c>
      <c r="D2099" t="s">
        <v>3242</v>
      </c>
      <c r="E2099" t="s">
        <v>15710</v>
      </c>
      <c r="F2099" t="s">
        <v>5497</v>
      </c>
      <c r="G2099" t="s">
        <v>8911</v>
      </c>
      <c r="H2099" t="s">
        <v>6524</v>
      </c>
    </row>
    <row r="2100" spans="1:9" x14ac:dyDescent="0.25">
      <c r="A2100" t="s">
        <v>8912</v>
      </c>
      <c r="B2100" t="s">
        <v>8912</v>
      </c>
      <c r="C2100" t="s">
        <v>8913</v>
      </c>
      <c r="D2100" t="s">
        <v>3321</v>
      </c>
      <c r="E2100" t="s">
        <v>15710</v>
      </c>
      <c r="F2100" t="s">
        <v>3251</v>
      </c>
      <c r="G2100" t="s">
        <v>8914</v>
      </c>
      <c r="H2100" t="s">
        <v>3323</v>
      </c>
      <c r="I2100" t="s">
        <v>3324</v>
      </c>
    </row>
    <row r="2101" spans="1:9" x14ac:dyDescent="0.25">
      <c r="A2101" t="s">
        <v>8915</v>
      </c>
      <c r="B2101" t="s">
        <v>8915</v>
      </c>
      <c r="C2101" t="s">
        <v>8916</v>
      </c>
      <c r="D2101" t="s">
        <v>3242</v>
      </c>
      <c r="E2101" t="s">
        <v>15915</v>
      </c>
      <c r="F2101" t="s">
        <v>3257</v>
      </c>
      <c r="G2101" t="s">
        <v>8917</v>
      </c>
      <c r="H2101" t="s">
        <v>5013</v>
      </c>
      <c r="I2101" t="s">
        <v>3324</v>
      </c>
    </row>
    <row r="2102" spans="1:9" x14ac:dyDescent="0.25">
      <c r="A2102" t="s">
        <v>8918</v>
      </c>
      <c r="B2102" t="s">
        <v>8918</v>
      </c>
      <c r="C2102" t="s">
        <v>8919</v>
      </c>
      <c r="D2102" t="s">
        <v>3242</v>
      </c>
      <c r="E2102" t="s">
        <v>17015</v>
      </c>
      <c r="F2102" t="s">
        <v>3251</v>
      </c>
      <c r="G2102" t="s">
        <v>8920</v>
      </c>
      <c r="H2102" t="s">
        <v>3668</v>
      </c>
      <c r="I2102" t="s">
        <v>4028</v>
      </c>
    </row>
    <row r="2103" spans="1:9" x14ac:dyDescent="0.25">
      <c r="A2103" t="s">
        <v>8921</v>
      </c>
      <c r="B2103" t="s">
        <v>8921</v>
      </c>
      <c r="C2103" t="s">
        <v>8922</v>
      </c>
      <c r="D2103" t="s">
        <v>3242</v>
      </c>
      <c r="E2103" t="s">
        <v>15710</v>
      </c>
      <c r="F2103" t="s">
        <v>3243</v>
      </c>
      <c r="G2103" t="s">
        <v>8923</v>
      </c>
      <c r="H2103" t="s">
        <v>3402</v>
      </c>
    </row>
    <row r="2104" spans="1:9" x14ac:dyDescent="0.25">
      <c r="A2104" t="s">
        <v>16845</v>
      </c>
      <c r="B2104" t="s">
        <v>16845</v>
      </c>
      <c r="C2104" t="s">
        <v>16846</v>
      </c>
      <c r="D2104" t="s">
        <v>3242</v>
      </c>
      <c r="E2104" t="s">
        <v>16847</v>
      </c>
      <c r="F2104" t="s">
        <v>3243</v>
      </c>
      <c r="G2104" t="s">
        <v>16848</v>
      </c>
      <c r="H2104" t="s">
        <v>3262</v>
      </c>
    </row>
    <row r="2105" spans="1:9" x14ac:dyDescent="0.25">
      <c r="A2105" t="s">
        <v>8924</v>
      </c>
      <c r="B2105" t="s">
        <v>8924</v>
      </c>
      <c r="C2105" t="s">
        <v>8925</v>
      </c>
      <c r="D2105" t="s">
        <v>3242</v>
      </c>
      <c r="E2105" t="s">
        <v>15710</v>
      </c>
      <c r="F2105" t="s">
        <v>8926</v>
      </c>
      <c r="G2105" t="s">
        <v>8927</v>
      </c>
      <c r="H2105" t="s">
        <v>3262</v>
      </c>
      <c r="I2105" t="s">
        <v>3263</v>
      </c>
    </row>
    <row r="2106" spans="1:9" x14ac:dyDescent="0.25">
      <c r="A2106" t="s">
        <v>15193</v>
      </c>
      <c r="B2106" t="s">
        <v>15193</v>
      </c>
      <c r="C2106" t="s">
        <v>15194</v>
      </c>
      <c r="D2106" t="s">
        <v>3242</v>
      </c>
      <c r="E2106" t="s">
        <v>15710</v>
      </c>
      <c r="F2106" t="s">
        <v>6077</v>
      </c>
      <c r="G2106" t="s">
        <v>15195</v>
      </c>
      <c r="H2106" t="s">
        <v>3647</v>
      </c>
      <c r="I2106" t="s">
        <v>15020</v>
      </c>
    </row>
    <row r="2107" spans="1:9" x14ac:dyDescent="0.25">
      <c r="A2107" t="s">
        <v>8928</v>
      </c>
      <c r="B2107" t="s">
        <v>8928</v>
      </c>
      <c r="C2107" t="s">
        <v>8929</v>
      </c>
      <c r="D2107" t="s">
        <v>3242</v>
      </c>
      <c r="E2107" t="s">
        <v>15710</v>
      </c>
      <c r="F2107" t="s">
        <v>3251</v>
      </c>
      <c r="G2107" t="s">
        <v>8930</v>
      </c>
      <c r="H2107" t="s">
        <v>3668</v>
      </c>
      <c r="I2107" t="s">
        <v>4028</v>
      </c>
    </row>
    <row r="2108" spans="1:9" x14ac:dyDescent="0.25">
      <c r="A2108" t="s">
        <v>8931</v>
      </c>
      <c r="B2108" t="s">
        <v>8931</v>
      </c>
      <c r="C2108" t="s">
        <v>8932</v>
      </c>
      <c r="D2108" t="s">
        <v>3242</v>
      </c>
      <c r="E2108" t="s">
        <v>15916</v>
      </c>
      <c r="F2108" t="s">
        <v>6162</v>
      </c>
      <c r="G2108" t="s">
        <v>15196</v>
      </c>
      <c r="H2108" t="s">
        <v>3519</v>
      </c>
      <c r="I2108" t="s">
        <v>15020</v>
      </c>
    </row>
    <row r="2109" spans="1:9" x14ac:dyDescent="0.25">
      <c r="A2109" t="s">
        <v>8933</v>
      </c>
      <c r="B2109" t="s">
        <v>8933</v>
      </c>
      <c r="C2109" t="s">
        <v>8934</v>
      </c>
      <c r="D2109" t="s">
        <v>3242</v>
      </c>
      <c r="E2109" t="s">
        <v>15917</v>
      </c>
      <c r="F2109" t="s">
        <v>3243</v>
      </c>
      <c r="G2109" t="s">
        <v>8935</v>
      </c>
      <c r="H2109" t="s">
        <v>7867</v>
      </c>
    </row>
    <row r="2110" spans="1:9" x14ac:dyDescent="0.25">
      <c r="A2110" t="s">
        <v>8936</v>
      </c>
      <c r="B2110" t="s">
        <v>8936</v>
      </c>
      <c r="C2110" t="s">
        <v>8937</v>
      </c>
      <c r="D2110" t="s">
        <v>3242</v>
      </c>
      <c r="E2110" t="s">
        <v>15710</v>
      </c>
      <c r="F2110" t="s">
        <v>3243</v>
      </c>
      <c r="G2110" t="s">
        <v>8938</v>
      </c>
      <c r="H2110" t="s">
        <v>3488</v>
      </c>
    </row>
    <row r="2111" spans="1:9" x14ac:dyDescent="0.25">
      <c r="A2111" t="s">
        <v>8939</v>
      </c>
      <c r="B2111" t="s">
        <v>8939</v>
      </c>
      <c r="C2111" t="s">
        <v>8940</v>
      </c>
      <c r="D2111" t="s">
        <v>3242</v>
      </c>
      <c r="E2111" t="s">
        <v>15710</v>
      </c>
      <c r="F2111" t="s">
        <v>3243</v>
      </c>
      <c r="G2111" t="s">
        <v>8941</v>
      </c>
      <c r="H2111" t="s">
        <v>3402</v>
      </c>
    </row>
    <row r="2112" spans="1:9" x14ac:dyDescent="0.25">
      <c r="A2112" t="s">
        <v>16007</v>
      </c>
      <c r="B2112" t="s">
        <v>16007</v>
      </c>
      <c r="C2112" t="s">
        <v>16008</v>
      </c>
      <c r="D2112" t="s">
        <v>3242</v>
      </c>
      <c r="E2112" t="s">
        <v>15710</v>
      </c>
      <c r="F2112" t="s">
        <v>3243</v>
      </c>
      <c r="G2112" t="s">
        <v>16009</v>
      </c>
      <c r="H2112" t="s">
        <v>4045</v>
      </c>
    </row>
    <row r="2113" spans="1:9" x14ac:dyDescent="0.25">
      <c r="A2113" t="s">
        <v>8942</v>
      </c>
      <c r="B2113" t="s">
        <v>8942</v>
      </c>
      <c r="C2113" t="s">
        <v>8943</v>
      </c>
      <c r="D2113" t="s">
        <v>3242</v>
      </c>
      <c r="E2113" t="s">
        <v>17316</v>
      </c>
      <c r="F2113" t="s">
        <v>7596</v>
      </c>
      <c r="G2113" t="s">
        <v>8944</v>
      </c>
      <c r="H2113" t="s">
        <v>4913</v>
      </c>
      <c r="I2113" t="s">
        <v>3407</v>
      </c>
    </row>
    <row r="2114" spans="1:9" x14ac:dyDescent="0.25">
      <c r="A2114" t="s">
        <v>8945</v>
      </c>
      <c r="B2114" t="s">
        <v>8945</v>
      </c>
      <c r="C2114" t="s">
        <v>8946</v>
      </c>
      <c r="D2114" t="s">
        <v>3242</v>
      </c>
      <c r="E2114" t="s">
        <v>15710</v>
      </c>
      <c r="F2114" t="s">
        <v>3306</v>
      </c>
      <c r="G2114" t="s">
        <v>8947</v>
      </c>
      <c r="H2114" t="s">
        <v>3290</v>
      </c>
      <c r="I2114" t="s">
        <v>3254</v>
      </c>
    </row>
    <row r="2115" spans="1:9" x14ac:dyDescent="0.25">
      <c r="A2115" t="s">
        <v>8948</v>
      </c>
      <c r="B2115" t="s">
        <v>8948</v>
      </c>
      <c r="C2115" t="s">
        <v>8949</v>
      </c>
      <c r="D2115" t="s">
        <v>3242</v>
      </c>
      <c r="E2115" t="s">
        <v>15710</v>
      </c>
      <c r="F2115" t="s">
        <v>3306</v>
      </c>
      <c r="G2115" t="s">
        <v>8950</v>
      </c>
      <c r="H2115" t="s">
        <v>8951</v>
      </c>
      <c r="I2115" t="s">
        <v>3294</v>
      </c>
    </row>
    <row r="2116" spans="1:9" x14ac:dyDescent="0.25">
      <c r="A2116" t="s">
        <v>16684</v>
      </c>
      <c r="B2116" t="s">
        <v>16684</v>
      </c>
      <c r="C2116" t="s">
        <v>16685</v>
      </c>
      <c r="D2116" t="s">
        <v>3242</v>
      </c>
      <c r="E2116" t="s">
        <v>16686</v>
      </c>
      <c r="F2116" t="s">
        <v>3306</v>
      </c>
      <c r="G2116" t="s">
        <v>16687</v>
      </c>
      <c r="H2116" t="s">
        <v>3643</v>
      </c>
      <c r="I2116" t="s">
        <v>3294</v>
      </c>
    </row>
    <row r="2117" spans="1:9" x14ac:dyDescent="0.25">
      <c r="A2117" t="s">
        <v>8952</v>
      </c>
      <c r="B2117" t="s">
        <v>8952</v>
      </c>
      <c r="C2117" t="s">
        <v>8953</v>
      </c>
      <c r="D2117" t="s">
        <v>3242</v>
      </c>
      <c r="E2117" t="s">
        <v>17317</v>
      </c>
      <c r="F2117" t="s">
        <v>3243</v>
      </c>
      <c r="G2117" t="s">
        <v>8954</v>
      </c>
      <c r="H2117" t="s">
        <v>3060</v>
      </c>
    </row>
    <row r="2118" spans="1:9" x14ac:dyDescent="0.25">
      <c r="A2118" t="s">
        <v>8955</v>
      </c>
      <c r="B2118" t="s">
        <v>8955</v>
      </c>
      <c r="C2118" t="s">
        <v>8956</v>
      </c>
      <c r="D2118" t="s">
        <v>3242</v>
      </c>
      <c r="E2118" t="s">
        <v>15793</v>
      </c>
      <c r="F2118" t="s">
        <v>8434</v>
      </c>
      <c r="G2118" t="s">
        <v>8957</v>
      </c>
      <c r="H2118" t="s">
        <v>5160</v>
      </c>
      <c r="I2118" t="s">
        <v>3648</v>
      </c>
    </row>
    <row r="2119" spans="1:9" x14ac:dyDescent="0.25">
      <c r="A2119" t="s">
        <v>8958</v>
      </c>
      <c r="B2119" t="s">
        <v>8958</v>
      </c>
      <c r="C2119" t="s">
        <v>8959</v>
      </c>
      <c r="D2119" t="s">
        <v>3242</v>
      </c>
      <c r="E2119" t="s">
        <v>15717</v>
      </c>
      <c r="F2119" t="s">
        <v>3243</v>
      </c>
      <c r="G2119" t="s">
        <v>8960</v>
      </c>
      <c r="H2119" t="s">
        <v>5700</v>
      </c>
    </row>
    <row r="2120" spans="1:9" x14ac:dyDescent="0.25">
      <c r="A2120" t="s">
        <v>8961</v>
      </c>
      <c r="B2120" t="s">
        <v>8961</v>
      </c>
      <c r="C2120" t="s">
        <v>8962</v>
      </c>
      <c r="D2120" t="s">
        <v>3242</v>
      </c>
      <c r="E2120" t="s">
        <v>17016</v>
      </c>
      <c r="F2120" t="s">
        <v>8360</v>
      </c>
      <c r="G2120" t="s">
        <v>8963</v>
      </c>
      <c r="H2120" t="s">
        <v>4045</v>
      </c>
      <c r="I2120" t="s">
        <v>4028</v>
      </c>
    </row>
    <row r="2121" spans="1:9" x14ac:dyDescent="0.25">
      <c r="A2121" t="s">
        <v>8964</v>
      </c>
      <c r="B2121" t="s">
        <v>8964</v>
      </c>
      <c r="C2121" t="s">
        <v>8965</v>
      </c>
      <c r="D2121" t="s">
        <v>3242</v>
      </c>
      <c r="E2121" t="s">
        <v>17318</v>
      </c>
      <c r="F2121" t="s">
        <v>8966</v>
      </c>
      <c r="G2121" t="s">
        <v>8967</v>
      </c>
      <c r="H2121" t="s">
        <v>5883</v>
      </c>
      <c r="I2121" t="s">
        <v>3324</v>
      </c>
    </row>
    <row r="2122" spans="1:9" x14ac:dyDescent="0.25">
      <c r="A2122" t="s">
        <v>8968</v>
      </c>
      <c r="B2122" t="s">
        <v>8968</v>
      </c>
      <c r="C2122" t="s">
        <v>8969</v>
      </c>
      <c r="D2122" t="s">
        <v>3242</v>
      </c>
      <c r="E2122" t="s">
        <v>15710</v>
      </c>
      <c r="F2122" t="s">
        <v>3251</v>
      </c>
      <c r="G2122" t="s">
        <v>8970</v>
      </c>
      <c r="H2122" t="s">
        <v>3060</v>
      </c>
      <c r="I2122" t="s">
        <v>4028</v>
      </c>
    </row>
    <row r="2123" spans="1:9" x14ac:dyDescent="0.25">
      <c r="A2123" t="s">
        <v>8971</v>
      </c>
      <c r="B2123" t="s">
        <v>8971</v>
      </c>
      <c r="C2123" t="s">
        <v>8972</v>
      </c>
      <c r="D2123" t="s">
        <v>3242</v>
      </c>
      <c r="E2123" t="s">
        <v>15918</v>
      </c>
      <c r="F2123" t="s">
        <v>3243</v>
      </c>
      <c r="G2123" t="s">
        <v>8973</v>
      </c>
      <c r="H2123" t="s">
        <v>5700</v>
      </c>
    </row>
    <row r="2124" spans="1:9" x14ac:dyDescent="0.25">
      <c r="A2124" t="s">
        <v>8974</v>
      </c>
      <c r="B2124" t="s">
        <v>8974</v>
      </c>
      <c r="C2124" t="s">
        <v>8975</v>
      </c>
      <c r="D2124" t="s">
        <v>3242</v>
      </c>
      <c r="E2124" t="s">
        <v>15919</v>
      </c>
      <c r="F2124" t="s">
        <v>3243</v>
      </c>
      <c r="G2124" t="s">
        <v>8976</v>
      </c>
      <c r="H2124" t="s">
        <v>5758</v>
      </c>
    </row>
    <row r="2125" spans="1:9" x14ac:dyDescent="0.25">
      <c r="A2125" t="s">
        <v>8977</v>
      </c>
      <c r="B2125" t="s">
        <v>8977</v>
      </c>
      <c r="C2125" t="s">
        <v>8978</v>
      </c>
      <c r="D2125" t="s">
        <v>3242</v>
      </c>
      <c r="E2125" t="s">
        <v>15710</v>
      </c>
      <c r="F2125" t="s">
        <v>5292</v>
      </c>
      <c r="G2125" t="s">
        <v>8979</v>
      </c>
      <c r="H2125" t="s">
        <v>4045</v>
      </c>
    </row>
    <row r="2126" spans="1:9" x14ac:dyDescent="0.25">
      <c r="A2126" t="s">
        <v>8980</v>
      </c>
      <c r="B2126" t="s">
        <v>8980</v>
      </c>
      <c r="C2126" t="s">
        <v>8981</v>
      </c>
      <c r="D2126" t="s">
        <v>3242</v>
      </c>
      <c r="E2126" t="s">
        <v>17319</v>
      </c>
      <c r="F2126" t="s">
        <v>3257</v>
      </c>
      <c r="G2126" t="s">
        <v>8982</v>
      </c>
      <c r="H2126" t="s">
        <v>3267</v>
      </c>
      <c r="I2126" t="s">
        <v>3268</v>
      </c>
    </row>
    <row r="2127" spans="1:9" x14ac:dyDescent="0.25">
      <c r="A2127" t="s">
        <v>8983</v>
      </c>
      <c r="B2127" t="s">
        <v>8983</v>
      </c>
      <c r="C2127" t="s">
        <v>8984</v>
      </c>
      <c r="D2127" t="s">
        <v>3242</v>
      </c>
      <c r="E2127" t="s">
        <v>17320</v>
      </c>
      <c r="F2127" t="s">
        <v>3243</v>
      </c>
      <c r="G2127" t="s">
        <v>8985</v>
      </c>
      <c r="H2127" t="s">
        <v>5700</v>
      </c>
    </row>
    <row r="2128" spans="1:9" x14ac:dyDescent="0.25">
      <c r="A2128" t="s">
        <v>8986</v>
      </c>
      <c r="B2128" t="s">
        <v>8986</v>
      </c>
      <c r="C2128" t="s">
        <v>8987</v>
      </c>
      <c r="D2128" t="s">
        <v>3242</v>
      </c>
      <c r="E2128" t="s">
        <v>15710</v>
      </c>
      <c r="F2128" t="s">
        <v>3251</v>
      </c>
      <c r="G2128" t="s">
        <v>8988</v>
      </c>
      <c r="H2128" t="s">
        <v>4711</v>
      </c>
      <c r="I2128" t="s">
        <v>3254</v>
      </c>
    </row>
    <row r="2129" spans="1:9" x14ac:dyDescent="0.25">
      <c r="A2129" t="s">
        <v>8989</v>
      </c>
      <c r="B2129" t="s">
        <v>8989</v>
      </c>
      <c r="C2129" t="s">
        <v>8990</v>
      </c>
      <c r="D2129" t="s">
        <v>3242</v>
      </c>
      <c r="E2129" t="s">
        <v>16484</v>
      </c>
      <c r="F2129" t="s">
        <v>3257</v>
      </c>
      <c r="G2129" t="s">
        <v>8991</v>
      </c>
      <c r="H2129" t="s">
        <v>3357</v>
      </c>
      <c r="I2129" t="s">
        <v>3268</v>
      </c>
    </row>
    <row r="2130" spans="1:9" x14ac:dyDescent="0.25">
      <c r="A2130" t="s">
        <v>8992</v>
      </c>
      <c r="B2130" t="s">
        <v>8992</v>
      </c>
      <c r="C2130" t="s">
        <v>8993</v>
      </c>
      <c r="D2130" t="s">
        <v>3242</v>
      </c>
      <c r="E2130" t="s">
        <v>16688</v>
      </c>
      <c r="F2130" t="s">
        <v>4996</v>
      </c>
      <c r="G2130" t="s">
        <v>8994</v>
      </c>
      <c r="H2130" t="s">
        <v>3643</v>
      </c>
      <c r="I2130" t="s">
        <v>3366</v>
      </c>
    </row>
    <row r="2131" spans="1:9" x14ac:dyDescent="0.25">
      <c r="A2131" t="s">
        <v>8995</v>
      </c>
      <c r="B2131" t="s">
        <v>8995</v>
      </c>
      <c r="C2131" t="s">
        <v>8996</v>
      </c>
      <c r="D2131" t="s">
        <v>3242</v>
      </c>
      <c r="E2131" t="s">
        <v>17647</v>
      </c>
      <c r="F2131" t="s">
        <v>6858</v>
      </c>
      <c r="G2131" t="s">
        <v>8997</v>
      </c>
      <c r="H2131" t="s">
        <v>3060</v>
      </c>
      <c r="I2131" t="s">
        <v>5390</v>
      </c>
    </row>
    <row r="2132" spans="1:9" x14ac:dyDescent="0.25">
      <c r="A2132" t="s">
        <v>8998</v>
      </c>
      <c r="B2132" t="s">
        <v>8998</v>
      </c>
      <c r="C2132" t="s">
        <v>8999</v>
      </c>
      <c r="D2132" t="s">
        <v>3242</v>
      </c>
      <c r="E2132" t="s">
        <v>15710</v>
      </c>
      <c r="F2132" t="s">
        <v>4996</v>
      </c>
      <c r="G2132" t="s">
        <v>9000</v>
      </c>
      <c r="H2132" t="s">
        <v>3643</v>
      </c>
      <c r="I2132" t="s">
        <v>3366</v>
      </c>
    </row>
    <row r="2133" spans="1:9" x14ac:dyDescent="0.25">
      <c r="A2133" t="s">
        <v>16010</v>
      </c>
      <c r="B2133" t="s">
        <v>16010</v>
      </c>
      <c r="C2133" t="s">
        <v>16011</v>
      </c>
      <c r="D2133" t="s">
        <v>3242</v>
      </c>
      <c r="E2133" t="s">
        <v>17017</v>
      </c>
      <c r="F2133" t="s">
        <v>16012</v>
      </c>
      <c r="G2133" t="s">
        <v>16013</v>
      </c>
      <c r="H2133" t="s">
        <v>3248</v>
      </c>
      <c r="I2133" t="s">
        <v>3407</v>
      </c>
    </row>
    <row r="2134" spans="1:9" x14ac:dyDescent="0.25">
      <c r="A2134" t="s">
        <v>9001</v>
      </c>
      <c r="B2134" t="s">
        <v>9001</v>
      </c>
      <c r="C2134" t="s">
        <v>9002</v>
      </c>
      <c r="D2134" t="s">
        <v>3321</v>
      </c>
      <c r="E2134" t="s">
        <v>15710</v>
      </c>
      <c r="F2134" t="s">
        <v>4996</v>
      </c>
      <c r="G2134" t="s">
        <v>9003</v>
      </c>
      <c r="H2134" t="s">
        <v>3323</v>
      </c>
      <c r="I2134" t="s">
        <v>3324</v>
      </c>
    </row>
    <row r="2135" spans="1:9" x14ac:dyDescent="0.25">
      <c r="A2135" t="s">
        <v>15197</v>
      </c>
      <c r="B2135" t="s">
        <v>15197</v>
      </c>
      <c r="C2135" t="s">
        <v>15198</v>
      </c>
      <c r="D2135" t="s">
        <v>3242</v>
      </c>
      <c r="E2135" t="s">
        <v>17321</v>
      </c>
      <c r="F2135" t="s">
        <v>5490</v>
      </c>
      <c r="G2135" t="s">
        <v>15199</v>
      </c>
      <c r="H2135" t="s">
        <v>3417</v>
      </c>
      <c r="I2135" t="s">
        <v>15020</v>
      </c>
    </row>
    <row r="2136" spans="1:9" x14ac:dyDescent="0.25">
      <c r="A2136" t="s">
        <v>9004</v>
      </c>
      <c r="B2136" t="s">
        <v>9004</v>
      </c>
      <c r="C2136" t="s">
        <v>9005</v>
      </c>
      <c r="D2136" t="s">
        <v>3242</v>
      </c>
      <c r="E2136" t="s">
        <v>17588</v>
      </c>
      <c r="F2136" t="s">
        <v>3243</v>
      </c>
      <c r="G2136" t="s">
        <v>9006</v>
      </c>
      <c r="H2136" t="s">
        <v>7867</v>
      </c>
      <c r="I2136" t="s">
        <v>3294</v>
      </c>
    </row>
    <row r="2137" spans="1:9" x14ac:dyDescent="0.25">
      <c r="A2137" t="s">
        <v>9007</v>
      </c>
      <c r="B2137" t="s">
        <v>9007</v>
      </c>
      <c r="C2137" t="s">
        <v>9008</v>
      </c>
      <c r="D2137" t="s">
        <v>3242</v>
      </c>
      <c r="E2137" t="s">
        <v>15710</v>
      </c>
      <c r="F2137" t="s">
        <v>3243</v>
      </c>
      <c r="G2137" t="s">
        <v>9009</v>
      </c>
      <c r="H2137" t="s">
        <v>3402</v>
      </c>
    </row>
    <row r="2138" spans="1:9" x14ac:dyDescent="0.25">
      <c r="A2138" t="s">
        <v>9010</v>
      </c>
      <c r="B2138" t="s">
        <v>9010</v>
      </c>
      <c r="C2138" t="s">
        <v>9011</v>
      </c>
      <c r="D2138" t="s">
        <v>3242</v>
      </c>
      <c r="E2138" t="s">
        <v>15920</v>
      </c>
      <c r="F2138" t="s">
        <v>3243</v>
      </c>
      <c r="G2138" t="s">
        <v>9012</v>
      </c>
      <c r="H2138" t="s">
        <v>3248</v>
      </c>
    </row>
    <row r="2139" spans="1:9" x14ac:dyDescent="0.25">
      <c r="A2139" t="s">
        <v>9013</v>
      </c>
      <c r="B2139" t="s">
        <v>9013</v>
      </c>
      <c r="C2139" t="s">
        <v>9014</v>
      </c>
      <c r="D2139" t="s">
        <v>3242</v>
      </c>
      <c r="E2139" t="s">
        <v>15710</v>
      </c>
      <c r="F2139" t="s">
        <v>3243</v>
      </c>
      <c r="G2139" t="s">
        <v>9015</v>
      </c>
      <c r="H2139" t="s">
        <v>3259</v>
      </c>
    </row>
    <row r="2140" spans="1:9" x14ac:dyDescent="0.25">
      <c r="A2140" t="s">
        <v>9016</v>
      </c>
      <c r="B2140" t="s">
        <v>9016</v>
      </c>
      <c r="C2140" t="s">
        <v>9017</v>
      </c>
      <c r="D2140" t="s">
        <v>3242</v>
      </c>
      <c r="E2140" t="s">
        <v>15921</v>
      </c>
      <c r="F2140" t="s">
        <v>3257</v>
      </c>
      <c r="G2140" t="s">
        <v>9018</v>
      </c>
      <c r="H2140" t="s">
        <v>3417</v>
      </c>
      <c r="I2140" t="s">
        <v>3648</v>
      </c>
    </row>
    <row r="2141" spans="1:9" x14ac:dyDescent="0.25">
      <c r="A2141" t="s">
        <v>9019</v>
      </c>
      <c r="B2141" t="s">
        <v>9019</v>
      </c>
      <c r="C2141" t="s">
        <v>9020</v>
      </c>
      <c r="D2141" t="s">
        <v>3242</v>
      </c>
      <c r="E2141" t="s">
        <v>17322</v>
      </c>
      <c r="F2141" t="s">
        <v>3372</v>
      </c>
      <c r="G2141" t="s">
        <v>9021</v>
      </c>
      <c r="H2141" t="s">
        <v>6617</v>
      </c>
      <c r="I2141" t="s">
        <v>3366</v>
      </c>
    </row>
    <row r="2142" spans="1:9" x14ac:dyDescent="0.25">
      <c r="A2142" t="s">
        <v>9022</v>
      </c>
      <c r="B2142" t="s">
        <v>9022</v>
      </c>
      <c r="C2142" t="s">
        <v>9023</v>
      </c>
      <c r="D2142" t="s">
        <v>3242</v>
      </c>
      <c r="E2142" t="s">
        <v>15922</v>
      </c>
      <c r="F2142" t="s">
        <v>3243</v>
      </c>
      <c r="G2142" t="s">
        <v>9024</v>
      </c>
      <c r="H2142" t="s">
        <v>3417</v>
      </c>
    </row>
    <row r="2143" spans="1:9" x14ac:dyDescent="0.25">
      <c r="A2143" t="s">
        <v>9025</v>
      </c>
      <c r="B2143" t="s">
        <v>9025</v>
      </c>
      <c r="C2143" t="s">
        <v>9026</v>
      </c>
      <c r="D2143" t="s">
        <v>3242</v>
      </c>
      <c r="E2143" t="s">
        <v>15710</v>
      </c>
      <c r="F2143" t="s">
        <v>3243</v>
      </c>
      <c r="G2143" t="s">
        <v>9027</v>
      </c>
      <c r="H2143" t="s">
        <v>4953</v>
      </c>
    </row>
    <row r="2144" spans="1:9" x14ac:dyDescent="0.25">
      <c r="A2144" t="s">
        <v>9028</v>
      </c>
      <c r="B2144" t="s">
        <v>9028</v>
      </c>
      <c r="C2144" t="s">
        <v>9029</v>
      </c>
      <c r="D2144" t="s">
        <v>3242</v>
      </c>
      <c r="E2144" t="s">
        <v>15710</v>
      </c>
      <c r="F2144" t="s">
        <v>9030</v>
      </c>
      <c r="G2144" t="s">
        <v>9031</v>
      </c>
      <c r="H2144" t="s">
        <v>7817</v>
      </c>
      <c r="I2144" t="s">
        <v>3407</v>
      </c>
    </row>
    <row r="2145" spans="1:9" x14ac:dyDescent="0.25">
      <c r="A2145" t="s">
        <v>9032</v>
      </c>
      <c r="B2145" t="s">
        <v>9032</v>
      </c>
      <c r="C2145" t="s">
        <v>9033</v>
      </c>
      <c r="D2145" t="s">
        <v>3242</v>
      </c>
      <c r="E2145" t="s">
        <v>15923</v>
      </c>
      <c r="F2145" t="s">
        <v>3257</v>
      </c>
      <c r="G2145" t="s">
        <v>9034</v>
      </c>
      <c r="H2145" t="s">
        <v>3267</v>
      </c>
      <c r="I2145" t="s">
        <v>3268</v>
      </c>
    </row>
    <row r="2146" spans="1:9" x14ac:dyDescent="0.25">
      <c r="A2146" t="s">
        <v>9035</v>
      </c>
      <c r="B2146" t="s">
        <v>9035</v>
      </c>
      <c r="C2146" t="s">
        <v>9036</v>
      </c>
      <c r="D2146" t="s">
        <v>3242</v>
      </c>
      <c r="E2146" t="s">
        <v>15710</v>
      </c>
      <c r="F2146" t="s">
        <v>3306</v>
      </c>
      <c r="G2146" t="s">
        <v>9037</v>
      </c>
      <c r="H2146" t="s">
        <v>3623</v>
      </c>
      <c r="I2146" t="s">
        <v>3254</v>
      </c>
    </row>
    <row r="2147" spans="1:9" x14ac:dyDescent="0.25">
      <c r="A2147" t="s">
        <v>9038</v>
      </c>
      <c r="B2147" t="s">
        <v>9038</v>
      </c>
      <c r="C2147" t="s">
        <v>9039</v>
      </c>
      <c r="D2147" t="s">
        <v>3242</v>
      </c>
      <c r="E2147" t="s">
        <v>15710</v>
      </c>
      <c r="F2147" t="s">
        <v>3306</v>
      </c>
      <c r="G2147" t="s">
        <v>9040</v>
      </c>
      <c r="H2147" t="s">
        <v>3623</v>
      </c>
      <c r="I2147" t="s">
        <v>3254</v>
      </c>
    </row>
    <row r="2148" spans="1:9" x14ac:dyDescent="0.25">
      <c r="A2148" t="s">
        <v>9041</v>
      </c>
      <c r="B2148" t="s">
        <v>9041</v>
      </c>
      <c r="C2148" t="s">
        <v>9042</v>
      </c>
      <c r="D2148" t="s">
        <v>3242</v>
      </c>
      <c r="E2148" t="s">
        <v>15710</v>
      </c>
      <c r="F2148" t="s">
        <v>4996</v>
      </c>
      <c r="G2148" t="s">
        <v>9043</v>
      </c>
      <c r="H2148" t="s">
        <v>3357</v>
      </c>
      <c r="I2148" t="s">
        <v>3268</v>
      </c>
    </row>
    <row r="2149" spans="1:9" x14ac:dyDescent="0.25">
      <c r="A2149" t="s">
        <v>9044</v>
      </c>
      <c r="B2149" t="s">
        <v>9044</v>
      </c>
      <c r="C2149" t="s">
        <v>9045</v>
      </c>
      <c r="D2149" t="s">
        <v>3242</v>
      </c>
      <c r="E2149" t="s">
        <v>15710</v>
      </c>
      <c r="F2149" t="s">
        <v>3243</v>
      </c>
      <c r="G2149" t="s">
        <v>9046</v>
      </c>
      <c r="H2149" t="s">
        <v>3285</v>
      </c>
    </row>
    <row r="2150" spans="1:9" x14ac:dyDescent="0.25">
      <c r="A2150" t="s">
        <v>16771</v>
      </c>
      <c r="B2150" t="s">
        <v>16771</v>
      </c>
      <c r="C2150" t="s">
        <v>16772</v>
      </c>
      <c r="D2150" t="s">
        <v>3242</v>
      </c>
      <c r="E2150" t="s">
        <v>16849</v>
      </c>
      <c r="F2150" t="s">
        <v>3257</v>
      </c>
      <c r="G2150" t="s">
        <v>16773</v>
      </c>
      <c r="H2150" t="s">
        <v>3060</v>
      </c>
      <c r="I2150" t="s">
        <v>3694</v>
      </c>
    </row>
    <row r="2151" spans="1:9" x14ac:dyDescent="0.25">
      <c r="A2151" t="s">
        <v>9047</v>
      </c>
      <c r="B2151" t="s">
        <v>9047</v>
      </c>
      <c r="C2151" t="s">
        <v>9048</v>
      </c>
      <c r="D2151" t="s">
        <v>3242</v>
      </c>
      <c r="E2151" t="s">
        <v>15710</v>
      </c>
      <c r="F2151" t="s">
        <v>3288</v>
      </c>
      <c r="G2151" t="s">
        <v>9049</v>
      </c>
      <c r="H2151" t="s">
        <v>3680</v>
      </c>
    </row>
    <row r="2152" spans="1:9" x14ac:dyDescent="0.25">
      <c r="A2152" t="s">
        <v>9050</v>
      </c>
      <c r="B2152" t="s">
        <v>9050</v>
      </c>
      <c r="C2152" t="s">
        <v>9051</v>
      </c>
      <c r="D2152" t="s">
        <v>3242</v>
      </c>
      <c r="E2152" t="s">
        <v>16257</v>
      </c>
      <c r="F2152" t="s">
        <v>3251</v>
      </c>
      <c r="G2152" t="s">
        <v>9052</v>
      </c>
      <c r="H2152" t="s">
        <v>3668</v>
      </c>
      <c r="I2152" t="s">
        <v>5250</v>
      </c>
    </row>
    <row r="2153" spans="1:9" x14ac:dyDescent="0.25">
      <c r="A2153" t="s">
        <v>15200</v>
      </c>
      <c r="B2153" t="s">
        <v>15200</v>
      </c>
      <c r="C2153" t="s">
        <v>15201</v>
      </c>
      <c r="D2153" t="s">
        <v>3242</v>
      </c>
      <c r="E2153" t="s">
        <v>15710</v>
      </c>
      <c r="F2153" t="s">
        <v>3288</v>
      </c>
      <c r="G2153" t="s">
        <v>15202</v>
      </c>
      <c r="H2153" t="s">
        <v>3285</v>
      </c>
    </row>
    <row r="2154" spans="1:9" x14ac:dyDescent="0.25">
      <c r="A2154" t="s">
        <v>9053</v>
      </c>
      <c r="B2154" t="s">
        <v>9053</v>
      </c>
      <c r="C2154" t="s">
        <v>9054</v>
      </c>
      <c r="D2154" t="s">
        <v>3242</v>
      </c>
      <c r="E2154" t="s">
        <v>17323</v>
      </c>
      <c r="F2154" t="s">
        <v>3251</v>
      </c>
      <c r="G2154" t="s">
        <v>9055</v>
      </c>
      <c r="H2154" t="s">
        <v>3668</v>
      </c>
      <c r="I2154" t="s">
        <v>3694</v>
      </c>
    </row>
    <row r="2155" spans="1:9" x14ac:dyDescent="0.25">
      <c r="A2155" t="s">
        <v>16258</v>
      </c>
      <c r="B2155" t="s">
        <v>16258</v>
      </c>
      <c r="C2155" t="s">
        <v>16259</v>
      </c>
      <c r="D2155" t="s">
        <v>3242</v>
      </c>
      <c r="E2155" t="s">
        <v>15710</v>
      </c>
      <c r="F2155" t="s">
        <v>3243</v>
      </c>
      <c r="G2155" t="s">
        <v>16260</v>
      </c>
      <c r="H2155" t="s">
        <v>8292</v>
      </c>
    </row>
    <row r="2156" spans="1:9" x14ac:dyDescent="0.25">
      <c r="A2156" t="s">
        <v>9056</v>
      </c>
      <c r="B2156" t="s">
        <v>9056</v>
      </c>
      <c r="C2156" t="s">
        <v>9057</v>
      </c>
      <c r="D2156" t="s">
        <v>3242</v>
      </c>
      <c r="E2156" t="s">
        <v>17324</v>
      </c>
      <c r="F2156" t="s">
        <v>3243</v>
      </c>
      <c r="G2156" t="s">
        <v>9058</v>
      </c>
      <c r="H2156" t="s">
        <v>7817</v>
      </c>
    </row>
    <row r="2157" spans="1:9" x14ac:dyDescent="0.25">
      <c r="A2157" t="s">
        <v>9059</v>
      </c>
      <c r="B2157" t="s">
        <v>9059</v>
      </c>
      <c r="C2157" t="s">
        <v>9060</v>
      </c>
      <c r="D2157" t="s">
        <v>3242</v>
      </c>
      <c r="E2157" t="s">
        <v>15710</v>
      </c>
      <c r="F2157" t="s">
        <v>3251</v>
      </c>
      <c r="G2157" t="s">
        <v>9061</v>
      </c>
      <c r="H2157" t="s">
        <v>3668</v>
      </c>
      <c r="I2157" t="s">
        <v>5250</v>
      </c>
    </row>
    <row r="2158" spans="1:9" x14ac:dyDescent="0.25">
      <c r="A2158" t="s">
        <v>9062</v>
      </c>
      <c r="B2158" t="s">
        <v>9062</v>
      </c>
      <c r="C2158" t="s">
        <v>9063</v>
      </c>
      <c r="D2158" t="s">
        <v>3242</v>
      </c>
      <c r="E2158" t="s">
        <v>15710</v>
      </c>
      <c r="F2158" t="s">
        <v>3257</v>
      </c>
      <c r="G2158" t="s">
        <v>9064</v>
      </c>
      <c r="H2158" t="s">
        <v>3060</v>
      </c>
      <c r="I2158" t="s">
        <v>4028</v>
      </c>
    </row>
    <row r="2159" spans="1:9" x14ac:dyDescent="0.25">
      <c r="A2159" t="s">
        <v>9065</v>
      </c>
      <c r="B2159" t="s">
        <v>9065</v>
      </c>
      <c r="C2159" t="s">
        <v>9066</v>
      </c>
      <c r="D2159" t="s">
        <v>3242</v>
      </c>
      <c r="E2159" t="s">
        <v>15710</v>
      </c>
      <c r="F2159" t="s">
        <v>3372</v>
      </c>
      <c r="G2159" t="s">
        <v>9067</v>
      </c>
      <c r="H2159" t="s">
        <v>6830</v>
      </c>
      <c r="I2159" t="s">
        <v>3366</v>
      </c>
    </row>
    <row r="2160" spans="1:9" x14ac:dyDescent="0.25">
      <c r="A2160" t="s">
        <v>9068</v>
      </c>
      <c r="B2160" t="s">
        <v>9068</v>
      </c>
      <c r="C2160" t="s">
        <v>9069</v>
      </c>
      <c r="D2160" t="s">
        <v>3242</v>
      </c>
      <c r="E2160" t="s">
        <v>15924</v>
      </c>
      <c r="F2160" t="s">
        <v>3243</v>
      </c>
      <c r="G2160" t="s">
        <v>9070</v>
      </c>
      <c r="H2160" t="s">
        <v>3594</v>
      </c>
    </row>
    <row r="2161" spans="1:9" x14ac:dyDescent="0.25">
      <c r="A2161" t="s">
        <v>9071</v>
      </c>
      <c r="B2161" t="s">
        <v>9071</v>
      </c>
      <c r="C2161" t="s">
        <v>9072</v>
      </c>
      <c r="D2161" t="s">
        <v>3242</v>
      </c>
      <c r="E2161" t="s">
        <v>15710</v>
      </c>
      <c r="F2161" t="s">
        <v>3243</v>
      </c>
      <c r="G2161" t="s">
        <v>9073</v>
      </c>
      <c r="H2161" t="s">
        <v>3285</v>
      </c>
    </row>
    <row r="2162" spans="1:9" x14ac:dyDescent="0.25">
      <c r="A2162" t="s">
        <v>9074</v>
      </c>
      <c r="B2162" t="s">
        <v>9074</v>
      </c>
      <c r="C2162" t="s">
        <v>9075</v>
      </c>
      <c r="D2162" t="s">
        <v>3242</v>
      </c>
      <c r="E2162" t="s">
        <v>15710</v>
      </c>
      <c r="F2162" t="s">
        <v>9076</v>
      </c>
      <c r="G2162" t="s">
        <v>9077</v>
      </c>
      <c r="H2162" t="s">
        <v>6617</v>
      </c>
      <c r="I2162" t="s">
        <v>3366</v>
      </c>
    </row>
    <row r="2163" spans="1:9" x14ac:dyDescent="0.25">
      <c r="A2163" t="s">
        <v>9078</v>
      </c>
      <c r="B2163" t="s">
        <v>9078</v>
      </c>
      <c r="C2163" t="s">
        <v>9079</v>
      </c>
      <c r="D2163" t="s">
        <v>3242</v>
      </c>
      <c r="E2163" t="s">
        <v>15710</v>
      </c>
      <c r="F2163" t="s">
        <v>9080</v>
      </c>
      <c r="G2163" t="s">
        <v>9081</v>
      </c>
      <c r="H2163" t="s">
        <v>5722</v>
      </c>
      <c r="I2163" t="s">
        <v>3366</v>
      </c>
    </row>
    <row r="2164" spans="1:9" x14ac:dyDescent="0.25">
      <c r="A2164" t="s">
        <v>16493</v>
      </c>
      <c r="B2164" t="s">
        <v>16493</v>
      </c>
      <c r="C2164" t="s">
        <v>16494</v>
      </c>
      <c r="D2164" t="s">
        <v>3242</v>
      </c>
      <c r="E2164" t="s">
        <v>15744</v>
      </c>
      <c r="F2164" t="s">
        <v>3372</v>
      </c>
      <c r="G2164" t="s">
        <v>16495</v>
      </c>
      <c r="H2164" t="s">
        <v>3484</v>
      </c>
      <c r="I2164" t="s">
        <v>14986</v>
      </c>
    </row>
    <row r="2165" spans="1:9" x14ac:dyDescent="0.25">
      <c r="A2165" t="s">
        <v>9082</v>
      </c>
      <c r="B2165" t="s">
        <v>9082</v>
      </c>
      <c r="C2165" t="s">
        <v>9083</v>
      </c>
      <c r="D2165" t="s">
        <v>3242</v>
      </c>
      <c r="E2165" t="s">
        <v>17648</v>
      </c>
      <c r="F2165" t="s">
        <v>3257</v>
      </c>
      <c r="G2165" t="s">
        <v>9084</v>
      </c>
      <c r="H2165" t="s">
        <v>3267</v>
      </c>
      <c r="I2165" t="s">
        <v>3268</v>
      </c>
    </row>
    <row r="2166" spans="1:9" x14ac:dyDescent="0.25">
      <c r="A2166" t="s">
        <v>9085</v>
      </c>
      <c r="B2166" t="s">
        <v>9085</v>
      </c>
      <c r="C2166" t="s">
        <v>9086</v>
      </c>
      <c r="D2166" t="s">
        <v>3242</v>
      </c>
      <c r="E2166" t="s">
        <v>15710</v>
      </c>
      <c r="F2166" t="s">
        <v>9087</v>
      </c>
      <c r="G2166" t="s">
        <v>9088</v>
      </c>
      <c r="H2166" t="s">
        <v>3496</v>
      </c>
      <c r="I2166" t="s">
        <v>3407</v>
      </c>
    </row>
    <row r="2167" spans="1:9" x14ac:dyDescent="0.25">
      <c r="A2167" t="s">
        <v>9089</v>
      </c>
      <c r="B2167" t="s">
        <v>9089</v>
      </c>
      <c r="C2167" t="s">
        <v>9090</v>
      </c>
      <c r="D2167" t="s">
        <v>3242</v>
      </c>
      <c r="E2167" t="s">
        <v>17325</v>
      </c>
      <c r="F2167" t="s">
        <v>3251</v>
      </c>
      <c r="G2167" t="s">
        <v>9091</v>
      </c>
      <c r="H2167" t="s">
        <v>3668</v>
      </c>
      <c r="I2167" t="s">
        <v>3694</v>
      </c>
    </row>
    <row r="2168" spans="1:9" x14ac:dyDescent="0.25">
      <c r="A2168" t="s">
        <v>9092</v>
      </c>
      <c r="B2168" t="s">
        <v>9092</v>
      </c>
      <c r="C2168" t="s">
        <v>9093</v>
      </c>
      <c r="D2168" t="s">
        <v>3242</v>
      </c>
      <c r="E2168" t="s">
        <v>15710</v>
      </c>
      <c r="F2168" t="s">
        <v>3257</v>
      </c>
      <c r="G2168" t="s">
        <v>9094</v>
      </c>
      <c r="H2168" t="s">
        <v>5665</v>
      </c>
      <c r="I2168" t="s">
        <v>3268</v>
      </c>
    </row>
    <row r="2169" spans="1:9" x14ac:dyDescent="0.25">
      <c r="A2169" t="s">
        <v>9095</v>
      </c>
      <c r="B2169" t="s">
        <v>9095</v>
      </c>
      <c r="C2169" t="s">
        <v>9096</v>
      </c>
      <c r="D2169" t="s">
        <v>3242</v>
      </c>
      <c r="E2169" t="s">
        <v>15710</v>
      </c>
      <c r="F2169" t="s">
        <v>3345</v>
      </c>
      <c r="G2169" t="s">
        <v>9097</v>
      </c>
      <c r="H2169" t="s">
        <v>3285</v>
      </c>
    </row>
    <row r="2170" spans="1:9" x14ac:dyDescent="0.25">
      <c r="A2170" t="s">
        <v>9098</v>
      </c>
      <c r="B2170" t="s">
        <v>9098</v>
      </c>
      <c r="C2170" t="s">
        <v>9099</v>
      </c>
      <c r="D2170" t="s">
        <v>3242</v>
      </c>
      <c r="E2170" t="s">
        <v>15710</v>
      </c>
      <c r="F2170" t="s">
        <v>3257</v>
      </c>
      <c r="G2170" t="s">
        <v>9100</v>
      </c>
      <c r="H2170" t="s">
        <v>3060</v>
      </c>
      <c r="I2170" t="s">
        <v>3254</v>
      </c>
    </row>
    <row r="2171" spans="1:9" x14ac:dyDescent="0.25">
      <c r="A2171" t="s">
        <v>9101</v>
      </c>
      <c r="B2171" t="s">
        <v>9101</v>
      </c>
      <c r="C2171" t="s">
        <v>9102</v>
      </c>
      <c r="D2171" t="s">
        <v>3242</v>
      </c>
      <c r="E2171" t="s">
        <v>15710</v>
      </c>
      <c r="F2171" t="s">
        <v>4102</v>
      </c>
      <c r="G2171" t="s">
        <v>9103</v>
      </c>
      <c r="H2171" t="s">
        <v>4045</v>
      </c>
    </row>
    <row r="2172" spans="1:9" x14ac:dyDescent="0.25">
      <c r="A2172" t="s">
        <v>9104</v>
      </c>
      <c r="B2172" t="s">
        <v>9104</v>
      </c>
      <c r="C2172" t="s">
        <v>9105</v>
      </c>
      <c r="D2172" t="s">
        <v>3242</v>
      </c>
      <c r="E2172" t="s">
        <v>15710</v>
      </c>
      <c r="F2172" t="s">
        <v>3243</v>
      </c>
      <c r="G2172" t="s">
        <v>9106</v>
      </c>
      <c r="H2172" t="s">
        <v>3402</v>
      </c>
    </row>
    <row r="2173" spans="1:9" x14ac:dyDescent="0.25">
      <c r="A2173" t="s">
        <v>9107</v>
      </c>
      <c r="B2173" t="s">
        <v>9107</v>
      </c>
      <c r="C2173" t="s">
        <v>9108</v>
      </c>
      <c r="D2173" t="s">
        <v>3242</v>
      </c>
      <c r="E2173" t="s">
        <v>15710</v>
      </c>
      <c r="F2173" t="s">
        <v>3288</v>
      </c>
      <c r="G2173" t="s">
        <v>9109</v>
      </c>
      <c r="H2173" t="s">
        <v>3463</v>
      </c>
    </row>
    <row r="2174" spans="1:9" x14ac:dyDescent="0.25">
      <c r="A2174" t="s">
        <v>15203</v>
      </c>
      <c r="B2174" t="s">
        <v>15203</v>
      </c>
      <c r="C2174" t="s">
        <v>15204</v>
      </c>
      <c r="D2174" t="s">
        <v>3242</v>
      </c>
      <c r="E2174" t="s">
        <v>15710</v>
      </c>
      <c r="F2174" t="s">
        <v>3306</v>
      </c>
      <c r="G2174" t="s">
        <v>15205</v>
      </c>
      <c r="H2174" t="s">
        <v>15206</v>
      </c>
      <c r="I2174" t="s">
        <v>3328</v>
      </c>
    </row>
    <row r="2175" spans="1:9" x14ac:dyDescent="0.25">
      <c r="A2175" t="s">
        <v>9110</v>
      </c>
      <c r="B2175" t="s">
        <v>9110</v>
      </c>
      <c r="C2175" t="s">
        <v>9111</v>
      </c>
      <c r="D2175" t="s">
        <v>3242</v>
      </c>
      <c r="E2175" t="s">
        <v>15710</v>
      </c>
      <c r="F2175" t="s">
        <v>8360</v>
      </c>
      <c r="G2175" t="s">
        <v>9112</v>
      </c>
      <c r="H2175" t="s">
        <v>3060</v>
      </c>
    </row>
    <row r="2176" spans="1:9" x14ac:dyDescent="0.25">
      <c r="A2176" t="s">
        <v>9113</v>
      </c>
      <c r="B2176" t="s">
        <v>9113</v>
      </c>
      <c r="C2176" t="s">
        <v>9114</v>
      </c>
      <c r="D2176" t="s">
        <v>3242</v>
      </c>
      <c r="E2176" t="s">
        <v>15710</v>
      </c>
      <c r="F2176" t="s">
        <v>3243</v>
      </c>
      <c r="G2176" t="s">
        <v>9115</v>
      </c>
      <c r="H2176" t="s">
        <v>3285</v>
      </c>
    </row>
    <row r="2177" spans="1:9" x14ac:dyDescent="0.25">
      <c r="A2177" t="s">
        <v>9116</v>
      </c>
      <c r="B2177" t="s">
        <v>9116</v>
      </c>
      <c r="C2177" t="s">
        <v>9117</v>
      </c>
      <c r="D2177" t="s">
        <v>3242</v>
      </c>
      <c r="E2177" t="s">
        <v>15710</v>
      </c>
      <c r="F2177" t="s">
        <v>3243</v>
      </c>
      <c r="G2177" t="s">
        <v>9118</v>
      </c>
      <c r="H2177" t="s">
        <v>3285</v>
      </c>
    </row>
    <row r="2178" spans="1:9" x14ac:dyDescent="0.25">
      <c r="A2178" t="s">
        <v>9119</v>
      </c>
      <c r="B2178" t="s">
        <v>9119</v>
      </c>
      <c r="C2178" t="s">
        <v>9120</v>
      </c>
      <c r="D2178" t="s">
        <v>3242</v>
      </c>
      <c r="E2178" t="s">
        <v>15710</v>
      </c>
      <c r="F2178" t="s">
        <v>3257</v>
      </c>
      <c r="G2178" t="s">
        <v>9121</v>
      </c>
      <c r="H2178" t="s">
        <v>3060</v>
      </c>
      <c r="I2178" t="s">
        <v>4028</v>
      </c>
    </row>
    <row r="2179" spans="1:9" x14ac:dyDescent="0.25">
      <c r="A2179" t="s">
        <v>9122</v>
      </c>
      <c r="B2179" t="s">
        <v>9122</v>
      </c>
      <c r="C2179" t="s">
        <v>9123</v>
      </c>
      <c r="D2179" t="s">
        <v>3242</v>
      </c>
      <c r="E2179" t="s">
        <v>17326</v>
      </c>
      <c r="F2179" t="s">
        <v>3372</v>
      </c>
      <c r="G2179" t="s">
        <v>15207</v>
      </c>
      <c r="H2179" t="s">
        <v>5883</v>
      </c>
      <c r="I2179" t="s">
        <v>3324</v>
      </c>
    </row>
    <row r="2180" spans="1:9" x14ac:dyDescent="0.25">
      <c r="A2180" t="s">
        <v>9124</v>
      </c>
      <c r="B2180" t="s">
        <v>9124</v>
      </c>
      <c r="C2180" t="s">
        <v>9125</v>
      </c>
      <c r="D2180" t="s">
        <v>3242</v>
      </c>
      <c r="E2180" t="s">
        <v>17327</v>
      </c>
      <c r="F2180" t="s">
        <v>6458</v>
      </c>
      <c r="G2180" t="s">
        <v>9126</v>
      </c>
      <c r="H2180" t="s">
        <v>3440</v>
      </c>
      <c r="I2180" t="s">
        <v>3407</v>
      </c>
    </row>
    <row r="2181" spans="1:9" x14ac:dyDescent="0.25">
      <c r="A2181" t="s">
        <v>9127</v>
      </c>
      <c r="B2181" t="s">
        <v>9127</v>
      </c>
      <c r="C2181" t="s">
        <v>9128</v>
      </c>
      <c r="D2181" t="s">
        <v>3242</v>
      </c>
      <c r="E2181" t="s">
        <v>15710</v>
      </c>
      <c r="F2181" t="s">
        <v>3251</v>
      </c>
      <c r="G2181" t="s">
        <v>9129</v>
      </c>
      <c r="H2181" t="s">
        <v>3668</v>
      </c>
      <c r="I2181" t="s">
        <v>4028</v>
      </c>
    </row>
    <row r="2182" spans="1:9" x14ac:dyDescent="0.25">
      <c r="A2182" t="s">
        <v>9130</v>
      </c>
      <c r="B2182" t="s">
        <v>9130</v>
      </c>
      <c r="C2182" t="s">
        <v>9131</v>
      </c>
      <c r="D2182" t="s">
        <v>3242</v>
      </c>
      <c r="E2182" t="s">
        <v>17018</v>
      </c>
      <c r="F2182" t="s">
        <v>3251</v>
      </c>
      <c r="G2182" t="s">
        <v>9132</v>
      </c>
      <c r="H2182" t="s">
        <v>3668</v>
      </c>
      <c r="I2182" t="s">
        <v>4028</v>
      </c>
    </row>
    <row r="2183" spans="1:9" x14ac:dyDescent="0.25">
      <c r="A2183" t="s">
        <v>9133</v>
      </c>
      <c r="B2183" t="s">
        <v>9133</v>
      </c>
      <c r="C2183" t="s">
        <v>9134</v>
      </c>
      <c r="D2183" t="s">
        <v>3242</v>
      </c>
      <c r="E2183" t="s">
        <v>17019</v>
      </c>
      <c r="F2183" t="s">
        <v>3251</v>
      </c>
      <c r="G2183" t="s">
        <v>9135</v>
      </c>
      <c r="H2183" t="s">
        <v>3060</v>
      </c>
      <c r="I2183" t="s">
        <v>4028</v>
      </c>
    </row>
    <row r="2184" spans="1:9" x14ac:dyDescent="0.25">
      <c r="A2184" t="s">
        <v>16774</v>
      </c>
      <c r="B2184" t="s">
        <v>16774</v>
      </c>
      <c r="C2184" t="s">
        <v>16775</v>
      </c>
      <c r="D2184" t="s">
        <v>3242</v>
      </c>
      <c r="E2184" t="s">
        <v>15710</v>
      </c>
      <c r="F2184" t="s">
        <v>6077</v>
      </c>
      <c r="G2184" t="s">
        <v>16776</v>
      </c>
      <c r="H2184" t="s">
        <v>3614</v>
      </c>
      <c r="I2184" t="s">
        <v>3432</v>
      </c>
    </row>
    <row r="2185" spans="1:9" x14ac:dyDescent="0.25">
      <c r="A2185" t="s">
        <v>9136</v>
      </c>
      <c r="B2185" t="s">
        <v>9136</v>
      </c>
      <c r="C2185" t="s">
        <v>9137</v>
      </c>
      <c r="D2185" t="s">
        <v>3242</v>
      </c>
      <c r="E2185" t="s">
        <v>15710</v>
      </c>
      <c r="F2185" t="s">
        <v>3251</v>
      </c>
      <c r="G2185" t="s">
        <v>9138</v>
      </c>
      <c r="H2185" t="s">
        <v>3668</v>
      </c>
      <c r="I2185" t="s">
        <v>3694</v>
      </c>
    </row>
    <row r="2186" spans="1:9" x14ac:dyDescent="0.25">
      <c r="A2186" t="s">
        <v>9139</v>
      </c>
      <c r="B2186" t="s">
        <v>9139</v>
      </c>
      <c r="C2186" t="s">
        <v>9140</v>
      </c>
      <c r="D2186" t="s">
        <v>3242</v>
      </c>
      <c r="E2186" t="s">
        <v>15710</v>
      </c>
      <c r="F2186" t="s">
        <v>3257</v>
      </c>
      <c r="G2186" t="s">
        <v>9141</v>
      </c>
      <c r="H2186" t="s">
        <v>4711</v>
      </c>
      <c r="I2186" t="s">
        <v>3254</v>
      </c>
    </row>
    <row r="2187" spans="1:9" x14ac:dyDescent="0.25">
      <c r="A2187" t="s">
        <v>9142</v>
      </c>
      <c r="B2187" t="s">
        <v>9142</v>
      </c>
      <c r="C2187" t="s">
        <v>9143</v>
      </c>
      <c r="D2187" t="s">
        <v>3242</v>
      </c>
      <c r="E2187" t="s">
        <v>15710</v>
      </c>
      <c r="F2187" t="s">
        <v>8401</v>
      </c>
      <c r="G2187" t="s">
        <v>9144</v>
      </c>
      <c r="H2187" t="s">
        <v>3311</v>
      </c>
      <c r="I2187" t="s">
        <v>3407</v>
      </c>
    </row>
    <row r="2188" spans="1:9" x14ac:dyDescent="0.25">
      <c r="A2188" t="s">
        <v>15208</v>
      </c>
      <c r="B2188" t="s">
        <v>15208</v>
      </c>
      <c r="C2188" t="s">
        <v>15209</v>
      </c>
      <c r="D2188" t="s">
        <v>3242</v>
      </c>
      <c r="E2188" t="s">
        <v>15710</v>
      </c>
      <c r="F2188" t="s">
        <v>3243</v>
      </c>
      <c r="G2188" t="s">
        <v>15210</v>
      </c>
      <c r="H2188" t="s">
        <v>8621</v>
      </c>
    </row>
    <row r="2189" spans="1:9" x14ac:dyDescent="0.25">
      <c r="A2189" t="s">
        <v>9145</v>
      </c>
      <c r="B2189" t="s">
        <v>9145</v>
      </c>
      <c r="C2189" t="s">
        <v>9146</v>
      </c>
      <c r="D2189" t="s">
        <v>3242</v>
      </c>
      <c r="E2189" t="s">
        <v>15710</v>
      </c>
      <c r="F2189" t="s">
        <v>3257</v>
      </c>
      <c r="G2189" t="s">
        <v>9147</v>
      </c>
      <c r="H2189" t="s">
        <v>5883</v>
      </c>
    </row>
    <row r="2190" spans="1:9" x14ac:dyDescent="0.25">
      <c r="A2190" t="s">
        <v>16261</v>
      </c>
      <c r="B2190" t="s">
        <v>16261</v>
      </c>
      <c r="C2190" t="s">
        <v>16262</v>
      </c>
      <c r="D2190" t="s">
        <v>3242</v>
      </c>
      <c r="E2190" t="s">
        <v>15710</v>
      </c>
      <c r="F2190" t="s">
        <v>3243</v>
      </c>
      <c r="G2190" t="s">
        <v>16263</v>
      </c>
      <c r="H2190" t="s">
        <v>3484</v>
      </c>
    </row>
    <row r="2191" spans="1:9" x14ac:dyDescent="0.25">
      <c r="A2191" t="s">
        <v>9148</v>
      </c>
      <c r="B2191" t="s">
        <v>9148</v>
      </c>
      <c r="C2191" t="s">
        <v>9149</v>
      </c>
      <c r="D2191" t="s">
        <v>3242</v>
      </c>
      <c r="E2191" t="s">
        <v>15710</v>
      </c>
      <c r="F2191" t="s">
        <v>3251</v>
      </c>
      <c r="G2191" t="s">
        <v>9150</v>
      </c>
      <c r="H2191" t="s">
        <v>3060</v>
      </c>
      <c r="I2191" t="s">
        <v>4028</v>
      </c>
    </row>
    <row r="2192" spans="1:9" x14ac:dyDescent="0.25">
      <c r="A2192" t="s">
        <v>9151</v>
      </c>
      <c r="B2192" t="s">
        <v>9151</v>
      </c>
      <c r="C2192" t="s">
        <v>9152</v>
      </c>
      <c r="D2192" t="s">
        <v>3242</v>
      </c>
      <c r="E2192" t="s">
        <v>15710</v>
      </c>
      <c r="F2192" t="s">
        <v>3251</v>
      </c>
      <c r="G2192" t="s">
        <v>9153</v>
      </c>
      <c r="H2192" t="s">
        <v>3668</v>
      </c>
      <c r="I2192" t="s">
        <v>4028</v>
      </c>
    </row>
    <row r="2193" spans="1:9" x14ac:dyDescent="0.25">
      <c r="A2193" t="s">
        <v>9154</v>
      </c>
      <c r="B2193" t="s">
        <v>9154</v>
      </c>
      <c r="C2193" t="s">
        <v>9155</v>
      </c>
      <c r="D2193" t="s">
        <v>3242</v>
      </c>
      <c r="E2193" t="s">
        <v>15710</v>
      </c>
      <c r="F2193" t="s">
        <v>9156</v>
      </c>
      <c r="G2193" t="s">
        <v>9157</v>
      </c>
      <c r="H2193" t="s">
        <v>7867</v>
      </c>
      <c r="I2193" t="s">
        <v>3328</v>
      </c>
    </row>
    <row r="2194" spans="1:9" x14ac:dyDescent="0.25">
      <c r="A2194" t="s">
        <v>9158</v>
      </c>
      <c r="B2194" t="s">
        <v>9158</v>
      </c>
      <c r="C2194" t="s">
        <v>9159</v>
      </c>
      <c r="D2194" t="s">
        <v>3242</v>
      </c>
      <c r="E2194" t="s">
        <v>15710</v>
      </c>
      <c r="F2194" t="s">
        <v>3243</v>
      </c>
      <c r="G2194" t="s">
        <v>9160</v>
      </c>
      <c r="H2194" t="s">
        <v>3060</v>
      </c>
    </row>
    <row r="2195" spans="1:9" x14ac:dyDescent="0.25">
      <c r="A2195" t="s">
        <v>9161</v>
      </c>
      <c r="B2195" t="s">
        <v>9161</v>
      </c>
      <c r="C2195" t="s">
        <v>9162</v>
      </c>
      <c r="D2195" t="s">
        <v>3242</v>
      </c>
      <c r="E2195" t="s">
        <v>15710</v>
      </c>
      <c r="F2195" t="s">
        <v>3251</v>
      </c>
      <c r="G2195" t="s">
        <v>9163</v>
      </c>
      <c r="H2195" t="s">
        <v>3060</v>
      </c>
      <c r="I2195" t="s">
        <v>5250</v>
      </c>
    </row>
    <row r="2196" spans="1:9" x14ac:dyDescent="0.25">
      <c r="A2196" t="s">
        <v>9164</v>
      </c>
      <c r="B2196" t="s">
        <v>9164</v>
      </c>
      <c r="C2196" t="s">
        <v>9165</v>
      </c>
      <c r="D2196" t="s">
        <v>3242</v>
      </c>
      <c r="E2196" t="s">
        <v>15710</v>
      </c>
      <c r="F2196" t="s">
        <v>3372</v>
      </c>
      <c r="G2196" t="s">
        <v>9166</v>
      </c>
      <c r="H2196" t="s">
        <v>6924</v>
      </c>
      <c r="I2196" t="s">
        <v>3366</v>
      </c>
    </row>
    <row r="2197" spans="1:9" x14ac:dyDescent="0.25">
      <c r="A2197" t="s">
        <v>9167</v>
      </c>
      <c r="B2197" t="s">
        <v>9167</v>
      </c>
      <c r="C2197" t="s">
        <v>9168</v>
      </c>
      <c r="D2197" t="s">
        <v>3321</v>
      </c>
      <c r="E2197" t="s">
        <v>15710</v>
      </c>
      <c r="F2197" t="s">
        <v>3372</v>
      </c>
      <c r="G2197" t="s">
        <v>9169</v>
      </c>
      <c r="H2197" t="s">
        <v>3332</v>
      </c>
    </row>
    <row r="2198" spans="1:9" x14ac:dyDescent="0.25">
      <c r="A2198" t="s">
        <v>9170</v>
      </c>
      <c r="B2198" t="s">
        <v>9170</v>
      </c>
      <c r="C2198" t="s">
        <v>9171</v>
      </c>
      <c r="D2198" t="s">
        <v>3242</v>
      </c>
      <c r="E2198" t="s">
        <v>15710</v>
      </c>
      <c r="F2198" t="s">
        <v>15712</v>
      </c>
      <c r="G2198" t="s">
        <v>9172</v>
      </c>
      <c r="H2198" t="s">
        <v>8306</v>
      </c>
    </row>
    <row r="2199" spans="1:9" x14ac:dyDescent="0.25">
      <c r="A2199" t="s">
        <v>9173</v>
      </c>
      <c r="B2199" t="s">
        <v>9173</v>
      </c>
      <c r="C2199" t="s">
        <v>9174</v>
      </c>
      <c r="D2199" t="s">
        <v>3242</v>
      </c>
      <c r="E2199" t="s">
        <v>15710</v>
      </c>
      <c r="F2199" t="s">
        <v>3345</v>
      </c>
      <c r="G2199" t="s">
        <v>9175</v>
      </c>
      <c r="H2199" t="s">
        <v>3285</v>
      </c>
    </row>
    <row r="2200" spans="1:9" x14ac:dyDescent="0.25">
      <c r="A2200" t="s">
        <v>9176</v>
      </c>
      <c r="B2200" t="s">
        <v>9176</v>
      </c>
      <c r="C2200" t="s">
        <v>9177</v>
      </c>
      <c r="D2200" t="s">
        <v>3321</v>
      </c>
      <c r="E2200" t="s">
        <v>15710</v>
      </c>
      <c r="F2200" t="s">
        <v>9178</v>
      </c>
      <c r="G2200" t="s">
        <v>9179</v>
      </c>
      <c r="H2200" t="s">
        <v>5758</v>
      </c>
    </row>
    <row r="2201" spans="1:9" x14ac:dyDescent="0.25">
      <c r="A2201" t="s">
        <v>9180</v>
      </c>
      <c r="B2201" t="s">
        <v>9180</v>
      </c>
      <c r="C2201" t="s">
        <v>9181</v>
      </c>
      <c r="D2201" t="s">
        <v>3242</v>
      </c>
      <c r="E2201" t="s">
        <v>15925</v>
      </c>
      <c r="F2201" t="s">
        <v>3243</v>
      </c>
      <c r="G2201" t="s">
        <v>9182</v>
      </c>
      <c r="H2201" t="s">
        <v>9183</v>
      </c>
    </row>
    <row r="2202" spans="1:9" x14ac:dyDescent="0.25">
      <c r="A2202" t="s">
        <v>9184</v>
      </c>
      <c r="B2202" t="s">
        <v>9184</v>
      </c>
      <c r="C2202" t="s">
        <v>9185</v>
      </c>
      <c r="D2202" t="s">
        <v>3242</v>
      </c>
      <c r="E2202" t="s">
        <v>17328</v>
      </c>
      <c r="F2202" t="s">
        <v>3300</v>
      </c>
      <c r="G2202" t="s">
        <v>9186</v>
      </c>
      <c r="H2202" t="s">
        <v>7755</v>
      </c>
      <c r="I2202" t="s">
        <v>3648</v>
      </c>
    </row>
    <row r="2203" spans="1:9" x14ac:dyDescent="0.25">
      <c r="A2203" t="s">
        <v>9187</v>
      </c>
      <c r="B2203" t="s">
        <v>9187</v>
      </c>
      <c r="C2203" t="s">
        <v>9188</v>
      </c>
      <c r="D2203" t="s">
        <v>3242</v>
      </c>
      <c r="E2203" t="s">
        <v>15710</v>
      </c>
      <c r="F2203" t="s">
        <v>3592</v>
      </c>
      <c r="G2203" t="s">
        <v>9189</v>
      </c>
      <c r="H2203" t="s">
        <v>3353</v>
      </c>
      <c r="I2203" t="s">
        <v>3324</v>
      </c>
    </row>
    <row r="2204" spans="1:9" x14ac:dyDescent="0.25">
      <c r="A2204" t="s">
        <v>9190</v>
      </c>
      <c r="B2204" t="s">
        <v>9190</v>
      </c>
      <c r="C2204" t="s">
        <v>9191</v>
      </c>
      <c r="D2204" t="s">
        <v>3242</v>
      </c>
      <c r="E2204" t="s">
        <v>15710</v>
      </c>
      <c r="F2204" t="s">
        <v>3243</v>
      </c>
      <c r="G2204" t="s">
        <v>9192</v>
      </c>
      <c r="H2204" t="s">
        <v>3060</v>
      </c>
    </row>
    <row r="2205" spans="1:9" x14ac:dyDescent="0.25">
      <c r="A2205" t="s">
        <v>9193</v>
      </c>
      <c r="B2205" t="s">
        <v>9193</v>
      </c>
      <c r="C2205" t="s">
        <v>9194</v>
      </c>
      <c r="D2205" t="s">
        <v>3242</v>
      </c>
      <c r="E2205" t="s">
        <v>15710</v>
      </c>
      <c r="F2205" t="s">
        <v>5292</v>
      </c>
      <c r="G2205" t="s">
        <v>9195</v>
      </c>
      <c r="H2205" t="s">
        <v>3060</v>
      </c>
    </row>
    <row r="2206" spans="1:9" x14ac:dyDescent="0.25">
      <c r="A2206" t="s">
        <v>9196</v>
      </c>
      <c r="B2206" t="s">
        <v>9196</v>
      </c>
      <c r="C2206" t="s">
        <v>9197</v>
      </c>
      <c r="D2206" t="s">
        <v>3242</v>
      </c>
      <c r="E2206" t="s">
        <v>17329</v>
      </c>
      <c r="F2206" t="s">
        <v>8845</v>
      </c>
      <c r="G2206" t="s">
        <v>17020</v>
      </c>
      <c r="H2206" t="s">
        <v>3496</v>
      </c>
      <c r="I2206" t="s">
        <v>3407</v>
      </c>
    </row>
    <row r="2207" spans="1:9" x14ac:dyDescent="0.25">
      <c r="A2207" t="s">
        <v>9198</v>
      </c>
      <c r="B2207" t="s">
        <v>9198</v>
      </c>
      <c r="C2207" t="s">
        <v>9199</v>
      </c>
      <c r="D2207" t="s">
        <v>3242</v>
      </c>
      <c r="E2207" t="s">
        <v>15876</v>
      </c>
      <c r="F2207" t="s">
        <v>3257</v>
      </c>
      <c r="G2207" t="s">
        <v>9200</v>
      </c>
      <c r="H2207" t="s">
        <v>5021</v>
      </c>
      <c r="I2207" t="s">
        <v>3324</v>
      </c>
    </row>
    <row r="2208" spans="1:9" x14ac:dyDescent="0.25">
      <c r="A2208" t="s">
        <v>17330</v>
      </c>
      <c r="B2208" t="s">
        <v>17330</v>
      </c>
      <c r="C2208" t="s">
        <v>17331</v>
      </c>
      <c r="D2208" t="s">
        <v>3242</v>
      </c>
      <c r="E2208" t="s">
        <v>15710</v>
      </c>
      <c r="F2208" t="s">
        <v>3243</v>
      </c>
      <c r="G2208" t="s">
        <v>17332</v>
      </c>
      <c r="H2208" t="s">
        <v>3285</v>
      </c>
    </row>
    <row r="2209" spans="1:9" x14ac:dyDescent="0.25">
      <c r="A2209" t="s">
        <v>9201</v>
      </c>
      <c r="B2209" t="s">
        <v>9201</v>
      </c>
      <c r="C2209" t="s">
        <v>9202</v>
      </c>
      <c r="D2209" t="s">
        <v>3242</v>
      </c>
      <c r="E2209" t="s">
        <v>15710</v>
      </c>
      <c r="F2209" t="s">
        <v>3243</v>
      </c>
      <c r="G2209" t="s">
        <v>9203</v>
      </c>
      <c r="H2209" t="s">
        <v>3647</v>
      </c>
    </row>
    <row r="2210" spans="1:9" x14ac:dyDescent="0.25">
      <c r="A2210" t="s">
        <v>9204</v>
      </c>
      <c r="B2210" t="s">
        <v>9204</v>
      </c>
      <c r="C2210" t="s">
        <v>9205</v>
      </c>
      <c r="D2210" t="s">
        <v>3242</v>
      </c>
      <c r="E2210" t="s">
        <v>16266</v>
      </c>
      <c r="F2210" t="s">
        <v>9206</v>
      </c>
      <c r="G2210" t="s">
        <v>9207</v>
      </c>
      <c r="H2210" t="s">
        <v>3647</v>
      </c>
      <c r="I2210" t="s">
        <v>3648</v>
      </c>
    </row>
    <row r="2211" spans="1:9" x14ac:dyDescent="0.25">
      <c r="A2211" t="s">
        <v>9208</v>
      </c>
      <c r="B2211" t="s">
        <v>9208</v>
      </c>
      <c r="C2211" t="s">
        <v>9209</v>
      </c>
      <c r="D2211" t="s">
        <v>3242</v>
      </c>
      <c r="E2211" t="s">
        <v>17589</v>
      </c>
      <c r="F2211" t="s">
        <v>3257</v>
      </c>
      <c r="G2211" t="s">
        <v>9210</v>
      </c>
      <c r="H2211" t="s">
        <v>3537</v>
      </c>
      <c r="I2211" t="s">
        <v>3451</v>
      </c>
    </row>
    <row r="2212" spans="1:9" x14ac:dyDescent="0.25">
      <c r="A2212" t="s">
        <v>9211</v>
      </c>
      <c r="B2212" t="s">
        <v>9211</v>
      </c>
      <c r="C2212" t="s">
        <v>9212</v>
      </c>
      <c r="D2212" t="s">
        <v>3242</v>
      </c>
      <c r="E2212" t="s">
        <v>15710</v>
      </c>
      <c r="F2212" t="s">
        <v>7168</v>
      </c>
      <c r="G2212" t="s">
        <v>9213</v>
      </c>
      <c r="H2212" t="s">
        <v>3311</v>
      </c>
      <c r="I2212" t="s">
        <v>3407</v>
      </c>
    </row>
    <row r="2213" spans="1:9" x14ac:dyDescent="0.25">
      <c r="A2213" t="s">
        <v>9214</v>
      </c>
      <c r="B2213" t="s">
        <v>9214</v>
      </c>
      <c r="C2213" t="s">
        <v>9215</v>
      </c>
      <c r="D2213" t="s">
        <v>3242</v>
      </c>
      <c r="E2213" t="s">
        <v>15710</v>
      </c>
      <c r="F2213" t="s">
        <v>3288</v>
      </c>
      <c r="G2213" t="s">
        <v>9216</v>
      </c>
      <c r="H2213" t="s">
        <v>3668</v>
      </c>
    </row>
    <row r="2214" spans="1:9" x14ac:dyDescent="0.25">
      <c r="A2214" t="s">
        <v>9217</v>
      </c>
      <c r="B2214" t="s">
        <v>9217</v>
      </c>
      <c r="C2214" t="s">
        <v>9218</v>
      </c>
      <c r="D2214" t="s">
        <v>3242</v>
      </c>
      <c r="E2214" t="s">
        <v>15710</v>
      </c>
      <c r="F2214" t="s">
        <v>3288</v>
      </c>
      <c r="G2214" t="s">
        <v>9219</v>
      </c>
      <c r="H2214" t="s">
        <v>3680</v>
      </c>
    </row>
    <row r="2215" spans="1:9" x14ac:dyDescent="0.25">
      <c r="A2215" t="s">
        <v>9220</v>
      </c>
      <c r="B2215" t="s">
        <v>9220</v>
      </c>
      <c r="C2215" t="s">
        <v>9221</v>
      </c>
      <c r="D2215" t="s">
        <v>3242</v>
      </c>
      <c r="E2215" t="s">
        <v>17021</v>
      </c>
      <c r="F2215" t="s">
        <v>3257</v>
      </c>
      <c r="G2215" t="s">
        <v>9222</v>
      </c>
      <c r="H2215" t="s">
        <v>3484</v>
      </c>
      <c r="I2215" t="s">
        <v>14986</v>
      </c>
    </row>
    <row r="2216" spans="1:9" x14ac:dyDescent="0.25">
      <c r="A2216" t="s">
        <v>16496</v>
      </c>
      <c r="B2216" t="s">
        <v>16496</v>
      </c>
      <c r="C2216" t="s">
        <v>16497</v>
      </c>
      <c r="D2216" t="s">
        <v>3242</v>
      </c>
      <c r="E2216" t="s">
        <v>15710</v>
      </c>
      <c r="F2216" t="s">
        <v>3243</v>
      </c>
      <c r="G2216" t="s">
        <v>16498</v>
      </c>
      <c r="H2216" t="s">
        <v>3285</v>
      </c>
    </row>
    <row r="2217" spans="1:9" x14ac:dyDescent="0.25">
      <c r="A2217" t="s">
        <v>15211</v>
      </c>
      <c r="B2217" t="s">
        <v>15211</v>
      </c>
      <c r="C2217" t="s">
        <v>15212</v>
      </c>
      <c r="D2217" t="s">
        <v>3242</v>
      </c>
      <c r="E2217" t="s">
        <v>15710</v>
      </c>
      <c r="F2217" t="s">
        <v>3288</v>
      </c>
      <c r="G2217" t="s">
        <v>15213</v>
      </c>
      <c r="H2217" t="s">
        <v>3488</v>
      </c>
    </row>
    <row r="2218" spans="1:9" x14ac:dyDescent="0.25">
      <c r="A2218" t="s">
        <v>15214</v>
      </c>
      <c r="B2218" t="s">
        <v>15214</v>
      </c>
      <c r="C2218" t="s">
        <v>15215</v>
      </c>
      <c r="D2218" t="s">
        <v>3242</v>
      </c>
      <c r="E2218" t="s">
        <v>15710</v>
      </c>
      <c r="F2218" t="s">
        <v>3345</v>
      </c>
      <c r="G2218" t="s">
        <v>15216</v>
      </c>
      <c r="H2218" t="s">
        <v>3680</v>
      </c>
    </row>
    <row r="2219" spans="1:9" x14ac:dyDescent="0.25">
      <c r="A2219" t="s">
        <v>9223</v>
      </c>
      <c r="B2219" t="s">
        <v>9223</v>
      </c>
      <c r="C2219" t="s">
        <v>9224</v>
      </c>
      <c r="D2219" t="s">
        <v>3242</v>
      </c>
      <c r="E2219" t="s">
        <v>15710</v>
      </c>
      <c r="F2219" t="s">
        <v>8434</v>
      </c>
      <c r="G2219" t="s">
        <v>9225</v>
      </c>
      <c r="H2219" t="s">
        <v>3496</v>
      </c>
      <c r="I2219" t="s">
        <v>3407</v>
      </c>
    </row>
    <row r="2220" spans="1:9" x14ac:dyDescent="0.25">
      <c r="A2220" t="s">
        <v>9226</v>
      </c>
      <c r="B2220" t="s">
        <v>9226</v>
      </c>
      <c r="C2220" t="s">
        <v>9227</v>
      </c>
      <c r="D2220" t="s">
        <v>3242</v>
      </c>
      <c r="E2220" t="s">
        <v>15710</v>
      </c>
      <c r="F2220" t="s">
        <v>15712</v>
      </c>
      <c r="G2220" t="s">
        <v>9228</v>
      </c>
      <c r="H2220" t="s">
        <v>3285</v>
      </c>
    </row>
    <row r="2221" spans="1:9" x14ac:dyDescent="0.25">
      <c r="A2221" t="s">
        <v>9229</v>
      </c>
      <c r="B2221" t="s">
        <v>9229</v>
      </c>
      <c r="C2221" t="s">
        <v>9230</v>
      </c>
      <c r="D2221" t="s">
        <v>3242</v>
      </c>
      <c r="E2221" t="s">
        <v>15710</v>
      </c>
      <c r="F2221" t="s">
        <v>9231</v>
      </c>
      <c r="G2221" t="s">
        <v>9232</v>
      </c>
      <c r="H2221" t="s">
        <v>3496</v>
      </c>
      <c r="I2221" t="s">
        <v>3407</v>
      </c>
    </row>
    <row r="2222" spans="1:9" x14ac:dyDescent="0.25">
      <c r="A2222" t="s">
        <v>9233</v>
      </c>
      <c r="B2222" t="s">
        <v>9233</v>
      </c>
      <c r="C2222" t="s">
        <v>9234</v>
      </c>
      <c r="D2222" t="s">
        <v>3242</v>
      </c>
      <c r="E2222" t="s">
        <v>15926</v>
      </c>
      <c r="F2222" t="s">
        <v>4996</v>
      </c>
      <c r="G2222" t="s">
        <v>9235</v>
      </c>
      <c r="H2222" t="s">
        <v>3643</v>
      </c>
      <c r="I2222" t="s">
        <v>3366</v>
      </c>
    </row>
    <row r="2223" spans="1:9" x14ac:dyDescent="0.25">
      <c r="A2223" t="s">
        <v>9236</v>
      </c>
      <c r="B2223" t="s">
        <v>9236</v>
      </c>
      <c r="C2223" t="s">
        <v>9237</v>
      </c>
      <c r="D2223" t="s">
        <v>3242</v>
      </c>
      <c r="E2223" t="s">
        <v>15927</v>
      </c>
      <c r="F2223" t="s">
        <v>3257</v>
      </c>
      <c r="G2223" t="s">
        <v>9238</v>
      </c>
      <c r="H2223" t="s">
        <v>5883</v>
      </c>
      <c r="I2223" t="s">
        <v>3324</v>
      </c>
    </row>
    <row r="2224" spans="1:9" x14ac:dyDescent="0.25">
      <c r="A2224" t="s">
        <v>9239</v>
      </c>
      <c r="B2224" t="s">
        <v>9239</v>
      </c>
      <c r="C2224" t="s">
        <v>9240</v>
      </c>
      <c r="D2224" t="s">
        <v>3242</v>
      </c>
      <c r="E2224" t="s">
        <v>15710</v>
      </c>
      <c r="F2224" t="s">
        <v>3283</v>
      </c>
      <c r="G2224" t="s">
        <v>9241</v>
      </c>
      <c r="H2224" t="s">
        <v>4045</v>
      </c>
    </row>
    <row r="2225" spans="1:9" x14ac:dyDescent="0.25">
      <c r="A2225" t="s">
        <v>9242</v>
      </c>
      <c r="B2225" t="s">
        <v>9242</v>
      </c>
      <c r="C2225" t="s">
        <v>9243</v>
      </c>
      <c r="D2225" t="s">
        <v>3242</v>
      </c>
      <c r="E2225" t="s">
        <v>17022</v>
      </c>
      <c r="F2225" t="s">
        <v>3257</v>
      </c>
      <c r="G2225" t="s">
        <v>9244</v>
      </c>
      <c r="H2225" t="s">
        <v>3060</v>
      </c>
      <c r="I2225" t="s">
        <v>3254</v>
      </c>
    </row>
    <row r="2226" spans="1:9" x14ac:dyDescent="0.25">
      <c r="A2226" t="s">
        <v>15217</v>
      </c>
      <c r="B2226" t="s">
        <v>15217</v>
      </c>
      <c r="C2226" t="s">
        <v>15218</v>
      </c>
      <c r="D2226" t="s">
        <v>3242</v>
      </c>
      <c r="E2226" t="s">
        <v>15710</v>
      </c>
      <c r="F2226" t="s">
        <v>3288</v>
      </c>
      <c r="G2226" t="s">
        <v>15219</v>
      </c>
      <c r="H2226" t="s">
        <v>3680</v>
      </c>
    </row>
    <row r="2227" spans="1:9" x14ac:dyDescent="0.25">
      <c r="A2227" t="s">
        <v>9245</v>
      </c>
      <c r="B2227" t="s">
        <v>9245</v>
      </c>
      <c r="C2227" t="s">
        <v>9246</v>
      </c>
      <c r="D2227" t="s">
        <v>3242</v>
      </c>
      <c r="E2227" t="s">
        <v>15710</v>
      </c>
      <c r="F2227" t="s">
        <v>3251</v>
      </c>
      <c r="G2227" t="s">
        <v>9247</v>
      </c>
      <c r="H2227" t="s">
        <v>3668</v>
      </c>
    </row>
    <row r="2228" spans="1:9" x14ac:dyDescent="0.25">
      <c r="A2228" t="s">
        <v>9248</v>
      </c>
      <c r="B2228" t="s">
        <v>9248</v>
      </c>
      <c r="C2228" t="s">
        <v>9249</v>
      </c>
      <c r="D2228" t="s">
        <v>3242</v>
      </c>
      <c r="E2228" t="s">
        <v>16267</v>
      </c>
      <c r="F2228" t="s">
        <v>3257</v>
      </c>
      <c r="G2228" t="s">
        <v>9250</v>
      </c>
      <c r="H2228" t="s">
        <v>4502</v>
      </c>
      <c r="I2228" t="s">
        <v>3451</v>
      </c>
    </row>
    <row r="2229" spans="1:9" x14ac:dyDescent="0.25">
      <c r="A2229" t="s">
        <v>9251</v>
      </c>
      <c r="B2229" t="s">
        <v>9251</v>
      </c>
      <c r="C2229" t="s">
        <v>9252</v>
      </c>
      <c r="D2229" t="s">
        <v>3242</v>
      </c>
      <c r="E2229" t="s">
        <v>15710</v>
      </c>
      <c r="F2229" t="s">
        <v>3243</v>
      </c>
      <c r="G2229" t="s">
        <v>9253</v>
      </c>
      <c r="H2229" t="s">
        <v>3463</v>
      </c>
    </row>
    <row r="2230" spans="1:9" x14ac:dyDescent="0.25">
      <c r="A2230" t="s">
        <v>9254</v>
      </c>
      <c r="B2230" t="s">
        <v>9254</v>
      </c>
      <c r="C2230" t="s">
        <v>9255</v>
      </c>
      <c r="D2230" t="s">
        <v>3242</v>
      </c>
      <c r="E2230" t="s">
        <v>17333</v>
      </c>
      <c r="F2230" t="s">
        <v>3257</v>
      </c>
      <c r="G2230" t="s">
        <v>9256</v>
      </c>
      <c r="H2230" t="s">
        <v>3267</v>
      </c>
      <c r="I2230" t="s">
        <v>3268</v>
      </c>
    </row>
    <row r="2231" spans="1:9" x14ac:dyDescent="0.25">
      <c r="A2231" t="s">
        <v>9257</v>
      </c>
      <c r="B2231" t="s">
        <v>9257</v>
      </c>
      <c r="C2231" t="s">
        <v>9258</v>
      </c>
      <c r="D2231" t="s">
        <v>3242</v>
      </c>
      <c r="E2231" t="s">
        <v>16055</v>
      </c>
      <c r="F2231" t="s">
        <v>3257</v>
      </c>
      <c r="G2231" t="s">
        <v>9259</v>
      </c>
      <c r="H2231" t="s">
        <v>3262</v>
      </c>
      <c r="I2231" t="s">
        <v>3432</v>
      </c>
    </row>
    <row r="2232" spans="1:9" x14ac:dyDescent="0.25">
      <c r="A2232" t="s">
        <v>17334</v>
      </c>
      <c r="B2232" t="s">
        <v>17334</v>
      </c>
      <c r="C2232" t="s">
        <v>17335</v>
      </c>
      <c r="D2232" t="s">
        <v>3242</v>
      </c>
      <c r="E2232" t="s">
        <v>17336</v>
      </c>
      <c r="F2232" t="s">
        <v>3243</v>
      </c>
      <c r="G2232" t="s">
        <v>17337</v>
      </c>
      <c r="H2232" t="s">
        <v>5151</v>
      </c>
      <c r="I2232" t="s">
        <v>3432</v>
      </c>
    </row>
    <row r="2233" spans="1:9" x14ac:dyDescent="0.25">
      <c r="A2233" t="s">
        <v>9260</v>
      </c>
      <c r="B2233" t="s">
        <v>9260</v>
      </c>
      <c r="C2233" t="s">
        <v>9261</v>
      </c>
      <c r="D2233" t="s">
        <v>3242</v>
      </c>
      <c r="E2233" t="s">
        <v>15710</v>
      </c>
      <c r="F2233" t="s">
        <v>3588</v>
      </c>
      <c r="G2233" t="s">
        <v>9262</v>
      </c>
      <c r="H2233" t="s">
        <v>3262</v>
      </c>
      <c r="I2233" t="s">
        <v>3263</v>
      </c>
    </row>
    <row r="2234" spans="1:9" x14ac:dyDescent="0.25">
      <c r="A2234" t="s">
        <v>9263</v>
      </c>
      <c r="B2234" t="s">
        <v>9263</v>
      </c>
      <c r="C2234" t="s">
        <v>9264</v>
      </c>
      <c r="D2234" t="s">
        <v>3242</v>
      </c>
      <c r="E2234" t="s">
        <v>16268</v>
      </c>
      <c r="F2234" t="s">
        <v>3257</v>
      </c>
      <c r="G2234" t="s">
        <v>9265</v>
      </c>
      <c r="H2234" t="s">
        <v>4502</v>
      </c>
      <c r="I2234" t="s">
        <v>3451</v>
      </c>
    </row>
    <row r="2235" spans="1:9" x14ac:dyDescent="0.25">
      <c r="A2235" t="s">
        <v>9266</v>
      </c>
      <c r="B2235" t="s">
        <v>9266</v>
      </c>
      <c r="C2235" t="s">
        <v>9267</v>
      </c>
      <c r="D2235" t="s">
        <v>3242</v>
      </c>
      <c r="E2235" t="s">
        <v>15710</v>
      </c>
      <c r="F2235" t="s">
        <v>15712</v>
      </c>
      <c r="G2235" t="s">
        <v>9268</v>
      </c>
      <c r="H2235" t="s">
        <v>7985</v>
      </c>
    </row>
    <row r="2236" spans="1:9" x14ac:dyDescent="0.25">
      <c r="A2236" t="s">
        <v>9269</v>
      </c>
      <c r="B2236" t="s">
        <v>9269</v>
      </c>
      <c r="C2236" t="s">
        <v>9270</v>
      </c>
      <c r="D2236" t="s">
        <v>3242</v>
      </c>
      <c r="E2236" t="s">
        <v>15710</v>
      </c>
      <c r="F2236" t="s">
        <v>3243</v>
      </c>
      <c r="G2236" t="s">
        <v>9271</v>
      </c>
      <c r="H2236" t="s">
        <v>4953</v>
      </c>
    </row>
    <row r="2237" spans="1:9" x14ac:dyDescent="0.25">
      <c r="A2237" t="s">
        <v>16264</v>
      </c>
      <c r="B2237" t="s">
        <v>16264</v>
      </c>
      <c r="C2237" t="s">
        <v>16265</v>
      </c>
      <c r="D2237" t="s">
        <v>3242</v>
      </c>
      <c r="E2237" t="s">
        <v>15710</v>
      </c>
      <c r="H2237" t="s">
        <v>3332</v>
      </c>
    </row>
    <row r="2238" spans="1:9" x14ac:dyDescent="0.25">
      <c r="A2238" t="s">
        <v>9272</v>
      </c>
      <c r="B2238" t="s">
        <v>9272</v>
      </c>
      <c r="C2238" t="s">
        <v>9273</v>
      </c>
      <c r="D2238" t="s">
        <v>3242</v>
      </c>
      <c r="E2238" t="s">
        <v>15710</v>
      </c>
      <c r="F2238" t="s">
        <v>3251</v>
      </c>
      <c r="G2238" t="s">
        <v>9274</v>
      </c>
      <c r="H2238" t="s">
        <v>3668</v>
      </c>
      <c r="I2238" t="s">
        <v>5250</v>
      </c>
    </row>
    <row r="2239" spans="1:9" x14ac:dyDescent="0.25">
      <c r="A2239" t="s">
        <v>9275</v>
      </c>
      <c r="B2239" t="s">
        <v>9275</v>
      </c>
      <c r="C2239" t="s">
        <v>9276</v>
      </c>
      <c r="D2239" t="s">
        <v>3242</v>
      </c>
      <c r="E2239" t="s">
        <v>15818</v>
      </c>
      <c r="F2239" t="s">
        <v>3257</v>
      </c>
      <c r="G2239" t="s">
        <v>9277</v>
      </c>
      <c r="H2239" t="s">
        <v>3248</v>
      </c>
      <c r="I2239" t="s">
        <v>3263</v>
      </c>
    </row>
    <row r="2240" spans="1:9" x14ac:dyDescent="0.25">
      <c r="A2240" t="s">
        <v>9278</v>
      </c>
      <c r="B2240" t="s">
        <v>9278</v>
      </c>
      <c r="C2240" t="s">
        <v>9279</v>
      </c>
      <c r="D2240" t="s">
        <v>3242</v>
      </c>
      <c r="E2240" t="s">
        <v>15710</v>
      </c>
      <c r="F2240" t="s">
        <v>7747</v>
      </c>
      <c r="G2240" t="s">
        <v>9280</v>
      </c>
      <c r="H2240" t="s">
        <v>3496</v>
      </c>
      <c r="I2240" t="s">
        <v>3407</v>
      </c>
    </row>
    <row r="2241" spans="1:9" x14ac:dyDescent="0.25">
      <c r="A2241" t="s">
        <v>9281</v>
      </c>
      <c r="B2241" t="s">
        <v>9281</v>
      </c>
      <c r="C2241" t="s">
        <v>9282</v>
      </c>
      <c r="D2241" t="s">
        <v>3242</v>
      </c>
      <c r="E2241" t="s">
        <v>15710</v>
      </c>
      <c r="F2241" t="s">
        <v>3257</v>
      </c>
      <c r="G2241" t="s">
        <v>9283</v>
      </c>
      <c r="H2241" t="s">
        <v>5151</v>
      </c>
      <c r="I2241" t="s">
        <v>3648</v>
      </c>
    </row>
    <row r="2242" spans="1:9" x14ac:dyDescent="0.25">
      <c r="A2242" t="s">
        <v>17649</v>
      </c>
      <c r="B2242" t="s">
        <v>17649</v>
      </c>
      <c r="C2242" t="s">
        <v>17650</v>
      </c>
      <c r="D2242" t="s">
        <v>3242</v>
      </c>
      <c r="E2242" t="s">
        <v>15710</v>
      </c>
      <c r="F2242" t="s">
        <v>3288</v>
      </c>
      <c r="G2242" t="s">
        <v>17651</v>
      </c>
      <c r="H2242" t="s">
        <v>3060</v>
      </c>
    </row>
    <row r="2243" spans="1:9" x14ac:dyDescent="0.25">
      <c r="A2243" t="s">
        <v>17338</v>
      </c>
      <c r="B2243" t="s">
        <v>17338</v>
      </c>
      <c r="C2243" t="s">
        <v>17339</v>
      </c>
      <c r="D2243" t="s">
        <v>3242</v>
      </c>
      <c r="E2243" t="s">
        <v>15788</v>
      </c>
      <c r="F2243" t="s">
        <v>3243</v>
      </c>
      <c r="G2243" t="s">
        <v>17340</v>
      </c>
      <c r="H2243" t="s">
        <v>3285</v>
      </c>
    </row>
    <row r="2244" spans="1:9" x14ac:dyDescent="0.25">
      <c r="A2244" t="s">
        <v>9284</v>
      </c>
      <c r="B2244" t="s">
        <v>9284</v>
      </c>
      <c r="C2244" t="s">
        <v>9285</v>
      </c>
      <c r="D2244" t="s">
        <v>3242</v>
      </c>
      <c r="E2244" t="s">
        <v>17341</v>
      </c>
      <c r="F2244" t="s">
        <v>3257</v>
      </c>
      <c r="G2244" t="s">
        <v>9286</v>
      </c>
      <c r="H2244" t="s">
        <v>3060</v>
      </c>
      <c r="I2244" t="s">
        <v>4028</v>
      </c>
    </row>
    <row r="2245" spans="1:9" x14ac:dyDescent="0.25">
      <c r="A2245" t="s">
        <v>9287</v>
      </c>
      <c r="B2245" t="s">
        <v>9287</v>
      </c>
      <c r="C2245" t="s">
        <v>9288</v>
      </c>
      <c r="D2245" t="s">
        <v>3242</v>
      </c>
      <c r="E2245" t="s">
        <v>17590</v>
      </c>
      <c r="F2245" t="s">
        <v>9289</v>
      </c>
      <c r="G2245" t="s">
        <v>9290</v>
      </c>
      <c r="H2245" t="s">
        <v>9291</v>
      </c>
      <c r="I2245" t="s">
        <v>3407</v>
      </c>
    </row>
    <row r="2246" spans="1:9" x14ac:dyDescent="0.25">
      <c r="A2246" t="s">
        <v>9292</v>
      </c>
      <c r="B2246" t="s">
        <v>9292</v>
      </c>
      <c r="C2246" t="s">
        <v>9293</v>
      </c>
      <c r="D2246" t="s">
        <v>3242</v>
      </c>
      <c r="E2246" t="s">
        <v>17023</v>
      </c>
      <c r="F2246" t="s">
        <v>3372</v>
      </c>
      <c r="G2246" t="s">
        <v>15220</v>
      </c>
      <c r="H2246" t="s">
        <v>3484</v>
      </c>
      <c r="I2246" t="s">
        <v>14986</v>
      </c>
    </row>
    <row r="2247" spans="1:9" x14ac:dyDescent="0.25">
      <c r="A2247" t="s">
        <v>9294</v>
      </c>
      <c r="B2247" t="s">
        <v>9294</v>
      </c>
      <c r="C2247" t="s">
        <v>9295</v>
      </c>
      <c r="D2247" t="s">
        <v>3242</v>
      </c>
      <c r="E2247" t="s">
        <v>15710</v>
      </c>
      <c r="F2247" t="s">
        <v>4996</v>
      </c>
      <c r="G2247" t="s">
        <v>9296</v>
      </c>
      <c r="H2247" t="s">
        <v>3643</v>
      </c>
      <c r="I2247" t="s">
        <v>3366</v>
      </c>
    </row>
    <row r="2248" spans="1:9" x14ac:dyDescent="0.25">
      <c r="A2248" t="s">
        <v>9297</v>
      </c>
      <c r="B2248" t="s">
        <v>9297</v>
      </c>
      <c r="C2248" t="s">
        <v>9298</v>
      </c>
      <c r="D2248" t="s">
        <v>3242</v>
      </c>
      <c r="E2248" t="s">
        <v>15710</v>
      </c>
      <c r="F2248" t="s">
        <v>3257</v>
      </c>
      <c r="G2248" t="s">
        <v>9299</v>
      </c>
      <c r="H2248" t="s">
        <v>3060</v>
      </c>
      <c r="I2248" t="s">
        <v>4028</v>
      </c>
    </row>
    <row r="2249" spans="1:9" x14ac:dyDescent="0.25">
      <c r="A2249" t="s">
        <v>9300</v>
      </c>
      <c r="B2249" t="s">
        <v>9300</v>
      </c>
      <c r="C2249" t="s">
        <v>9301</v>
      </c>
      <c r="D2249" t="s">
        <v>3242</v>
      </c>
      <c r="E2249" t="s">
        <v>15710</v>
      </c>
      <c r="F2249" t="s">
        <v>3243</v>
      </c>
      <c r="G2249" t="s">
        <v>9302</v>
      </c>
      <c r="H2249" t="s">
        <v>3285</v>
      </c>
    </row>
    <row r="2250" spans="1:9" x14ac:dyDescent="0.25">
      <c r="A2250" t="s">
        <v>9303</v>
      </c>
      <c r="B2250" t="s">
        <v>9303</v>
      </c>
      <c r="C2250" t="s">
        <v>9304</v>
      </c>
      <c r="D2250" t="s">
        <v>3242</v>
      </c>
      <c r="E2250" t="s">
        <v>17024</v>
      </c>
      <c r="F2250" t="s">
        <v>3257</v>
      </c>
      <c r="G2250" t="s">
        <v>9305</v>
      </c>
      <c r="H2250" t="s">
        <v>7817</v>
      </c>
      <c r="I2250" t="s">
        <v>3432</v>
      </c>
    </row>
    <row r="2251" spans="1:9" x14ac:dyDescent="0.25">
      <c r="A2251" t="s">
        <v>9306</v>
      </c>
      <c r="B2251" t="s">
        <v>9306</v>
      </c>
      <c r="C2251" t="s">
        <v>9307</v>
      </c>
      <c r="D2251" t="s">
        <v>3242</v>
      </c>
      <c r="E2251" t="s">
        <v>15710</v>
      </c>
      <c r="F2251" t="s">
        <v>3243</v>
      </c>
      <c r="G2251" t="s">
        <v>9308</v>
      </c>
      <c r="H2251" t="s">
        <v>3285</v>
      </c>
    </row>
    <row r="2252" spans="1:9" x14ac:dyDescent="0.25">
      <c r="A2252" t="s">
        <v>9309</v>
      </c>
      <c r="B2252" t="s">
        <v>9309</v>
      </c>
      <c r="C2252" t="s">
        <v>9310</v>
      </c>
      <c r="D2252" t="s">
        <v>3242</v>
      </c>
      <c r="E2252" t="s">
        <v>15710</v>
      </c>
      <c r="F2252" t="s">
        <v>3243</v>
      </c>
      <c r="G2252" t="s">
        <v>9311</v>
      </c>
      <c r="H2252" t="s">
        <v>3060</v>
      </c>
    </row>
    <row r="2253" spans="1:9" x14ac:dyDescent="0.25">
      <c r="A2253" t="s">
        <v>9312</v>
      </c>
      <c r="B2253" t="s">
        <v>9312</v>
      </c>
      <c r="C2253" t="s">
        <v>9313</v>
      </c>
      <c r="D2253" t="s">
        <v>3242</v>
      </c>
      <c r="E2253" t="s">
        <v>15710</v>
      </c>
      <c r="F2253" t="s">
        <v>3288</v>
      </c>
      <c r="G2253" t="s">
        <v>9314</v>
      </c>
      <c r="H2253" t="s">
        <v>3285</v>
      </c>
    </row>
    <row r="2254" spans="1:9" x14ac:dyDescent="0.25">
      <c r="A2254" t="s">
        <v>9315</v>
      </c>
      <c r="B2254" t="s">
        <v>9315</v>
      </c>
      <c r="C2254" t="s">
        <v>9316</v>
      </c>
      <c r="D2254" t="s">
        <v>3242</v>
      </c>
      <c r="E2254" t="s">
        <v>15710</v>
      </c>
      <c r="F2254" t="s">
        <v>3288</v>
      </c>
      <c r="G2254" t="s">
        <v>9317</v>
      </c>
      <c r="H2254" t="s">
        <v>3285</v>
      </c>
    </row>
    <row r="2255" spans="1:9" x14ac:dyDescent="0.25">
      <c r="A2255" t="s">
        <v>9318</v>
      </c>
      <c r="B2255" t="s">
        <v>9318</v>
      </c>
      <c r="C2255" t="s">
        <v>9319</v>
      </c>
      <c r="D2255" t="s">
        <v>3242</v>
      </c>
      <c r="E2255" t="s">
        <v>15710</v>
      </c>
      <c r="F2255" t="s">
        <v>3257</v>
      </c>
      <c r="G2255" t="s">
        <v>9320</v>
      </c>
      <c r="H2255" t="s">
        <v>3267</v>
      </c>
      <c r="I2255" t="s">
        <v>3268</v>
      </c>
    </row>
    <row r="2256" spans="1:9" x14ac:dyDescent="0.25">
      <c r="A2256" t="s">
        <v>9321</v>
      </c>
      <c r="B2256" t="s">
        <v>9321</v>
      </c>
      <c r="C2256" t="s">
        <v>9322</v>
      </c>
      <c r="D2256" t="s">
        <v>3242</v>
      </c>
      <c r="E2256" t="s">
        <v>15801</v>
      </c>
      <c r="F2256" t="s">
        <v>3372</v>
      </c>
      <c r="G2256" t="s">
        <v>9323</v>
      </c>
      <c r="H2256" t="s">
        <v>3267</v>
      </c>
      <c r="I2256" t="s">
        <v>3268</v>
      </c>
    </row>
    <row r="2257" spans="1:9" x14ac:dyDescent="0.25">
      <c r="A2257" t="s">
        <v>9324</v>
      </c>
      <c r="B2257" t="s">
        <v>9324</v>
      </c>
      <c r="C2257" t="s">
        <v>9325</v>
      </c>
      <c r="D2257" t="s">
        <v>3242</v>
      </c>
      <c r="E2257" t="s">
        <v>15928</v>
      </c>
      <c r="F2257" t="s">
        <v>3243</v>
      </c>
      <c r="G2257" t="s">
        <v>9326</v>
      </c>
      <c r="H2257" t="s">
        <v>3417</v>
      </c>
    </row>
    <row r="2258" spans="1:9" x14ac:dyDescent="0.25">
      <c r="A2258" t="s">
        <v>9327</v>
      </c>
      <c r="B2258" t="s">
        <v>9327</v>
      </c>
      <c r="C2258" t="s">
        <v>9328</v>
      </c>
      <c r="D2258" t="s">
        <v>3242</v>
      </c>
      <c r="E2258" t="s">
        <v>15710</v>
      </c>
      <c r="F2258" t="s">
        <v>3243</v>
      </c>
      <c r="G2258" t="s">
        <v>9329</v>
      </c>
      <c r="H2258" t="s">
        <v>3285</v>
      </c>
    </row>
    <row r="2259" spans="1:9" x14ac:dyDescent="0.25">
      <c r="A2259" t="s">
        <v>9330</v>
      </c>
      <c r="B2259" t="s">
        <v>9330</v>
      </c>
      <c r="C2259" t="s">
        <v>9331</v>
      </c>
      <c r="D2259" t="s">
        <v>3242</v>
      </c>
      <c r="E2259" t="s">
        <v>15710</v>
      </c>
      <c r="F2259" t="s">
        <v>3243</v>
      </c>
      <c r="G2259" t="s">
        <v>9332</v>
      </c>
      <c r="H2259" t="s">
        <v>3623</v>
      </c>
    </row>
    <row r="2260" spans="1:9" x14ac:dyDescent="0.25">
      <c r="A2260" t="s">
        <v>16777</v>
      </c>
      <c r="B2260" t="s">
        <v>16777</v>
      </c>
      <c r="C2260" t="s">
        <v>16778</v>
      </c>
      <c r="D2260" t="s">
        <v>3242</v>
      </c>
      <c r="E2260" t="s">
        <v>15710</v>
      </c>
      <c r="F2260" t="s">
        <v>3243</v>
      </c>
      <c r="G2260" t="s">
        <v>16779</v>
      </c>
      <c r="H2260" t="s">
        <v>3285</v>
      </c>
    </row>
    <row r="2261" spans="1:9" x14ac:dyDescent="0.25">
      <c r="A2261" t="s">
        <v>9333</v>
      </c>
      <c r="B2261" t="s">
        <v>9333</v>
      </c>
      <c r="C2261" t="s">
        <v>9334</v>
      </c>
      <c r="D2261" t="s">
        <v>3242</v>
      </c>
      <c r="E2261" t="s">
        <v>15710</v>
      </c>
      <c r="F2261" t="s">
        <v>5158</v>
      </c>
      <c r="G2261" t="s">
        <v>9335</v>
      </c>
      <c r="H2261" t="s">
        <v>3519</v>
      </c>
    </row>
    <row r="2262" spans="1:9" x14ac:dyDescent="0.25">
      <c r="A2262" t="s">
        <v>9336</v>
      </c>
      <c r="B2262" t="s">
        <v>9336</v>
      </c>
      <c r="C2262" t="s">
        <v>9337</v>
      </c>
      <c r="D2262" t="s">
        <v>3242</v>
      </c>
      <c r="E2262" t="s">
        <v>15710</v>
      </c>
      <c r="F2262" t="s">
        <v>5158</v>
      </c>
      <c r="G2262" t="s">
        <v>9338</v>
      </c>
      <c r="H2262" t="s">
        <v>6547</v>
      </c>
    </row>
    <row r="2263" spans="1:9" x14ac:dyDescent="0.25">
      <c r="A2263" t="s">
        <v>9339</v>
      </c>
      <c r="B2263" t="s">
        <v>9339</v>
      </c>
      <c r="C2263" t="s">
        <v>9340</v>
      </c>
      <c r="D2263" t="s">
        <v>3242</v>
      </c>
      <c r="E2263" t="s">
        <v>15710</v>
      </c>
      <c r="F2263" t="s">
        <v>3243</v>
      </c>
      <c r="G2263" t="s">
        <v>9341</v>
      </c>
      <c r="H2263" t="s">
        <v>4871</v>
      </c>
    </row>
    <row r="2264" spans="1:9" x14ac:dyDescent="0.25">
      <c r="A2264" t="s">
        <v>9342</v>
      </c>
      <c r="B2264" t="s">
        <v>9342</v>
      </c>
      <c r="C2264" t="s">
        <v>9343</v>
      </c>
      <c r="D2264" t="s">
        <v>3242</v>
      </c>
      <c r="E2264" t="s">
        <v>15710</v>
      </c>
      <c r="F2264" t="s">
        <v>3372</v>
      </c>
      <c r="G2264" t="s">
        <v>9344</v>
      </c>
      <c r="H2264" t="s">
        <v>3267</v>
      </c>
      <c r="I2264" t="s">
        <v>3366</v>
      </c>
    </row>
    <row r="2265" spans="1:9" x14ac:dyDescent="0.25">
      <c r="A2265" t="s">
        <v>16269</v>
      </c>
      <c r="B2265" t="s">
        <v>16269</v>
      </c>
      <c r="C2265" t="s">
        <v>16270</v>
      </c>
      <c r="D2265" t="s">
        <v>3242</v>
      </c>
      <c r="E2265" t="s">
        <v>15710</v>
      </c>
      <c r="F2265" t="s">
        <v>3257</v>
      </c>
      <c r="G2265" t="s">
        <v>16271</v>
      </c>
      <c r="H2265" t="s">
        <v>3332</v>
      </c>
      <c r="I2265" t="s">
        <v>3268</v>
      </c>
    </row>
    <row r="2266" spans="1:9" x14ac:dyDescent="0.25">
      <c r="A2266" t="s">
        <v>9345</v>
      </c>
      <c r="B2266" t="s">
        <v>9345</v>
      </c>
      <c r="C2266" t="s">
        <v>9346</v>
      </c>
      <c r="D2266" t="s">
        <v>3242</v>
      </c>
      <c r="E2266" t="s">
        <v>17342</v>
      </c>
      <c r="F2266" t="s">
        <v>3306</v>
      </c>
      <c r="G2266" t="s">
        <v>9347</v>
      </c>
      <c r="H2266" t="s">
        <v>3060</v>
      </c>
    </row>
    <row r="2267" spans="1:9" x14ac:dyDescent="0.25">
      <c r="A2267" t="s">
        <v>9348</v>
      </c>
      <c r="B2267" t="s">
        <v>9348</v>
      </c>
      <c r="C2267" t="s">
        <v>9349</v>
      </c>
      <c r="D2267" t="s">
        <v>3242</v>
      </c>
      <c r="E2267" t="s">
        <v>15710</v>
      </c>
      <c r="F2267" t="s">
        <v>3288</v>
      </c>
      <c r="G2267" t="s">
        <v>9350</v>
      </c>
      <c r="H2267" t="s">
        <v>3668</v>
      </c>
    </row>
    <row r="2268" spans="1:9" x14ac:dyDescent="0.25">
      <c r="A2268" t="s">
        <v>9351</v>
      </c>
      <c r="B2268" t="s">
        <v>9351</v>
      </c>
      <c r="C2268" t="s">
        <v>9352</v>
      </c>
      <c r="D2268" t="s">
        <v>3242</v>
      </c>
      <c r="E2268" t="s">
        <v>15768</v>
      </c>
      <c r="F2268" t="s">
        <v>3257</v>
      </c>
      <c r="G2268" t="s">
        <v>9353</v>
      </c>
      <c r="H2268" t="s">
        <v>7817</v>
      </c>
    </row>
    <row r="2269" spans="1:9" x14ac:dyDescent="0.25">
      <c r="A2269" t="s">
        <v>9354</v>
      </c>
      <c r="B2269" t="s">
        <v>9354</v>
      </c>
      <c r="C2269" t="s">
        <v>9355</v>
      </c>
      <c r="D2269" t="s">
        <v>3242</v>
      </c>
      <c r="E2269" t="s">
        <v>15710</v>
      </c>
      <c r="F2269" t="s">
        <v>3243</v>
      </c>
      <c r="G2269" t="s">
        <v>9356</v>
      </c>
      <c r="H2269" t="s">
        <v>5243</v>
      </c>
    </row>
    <row r="2270" spans="1:9" x14ac:dyDescent="0.25">
      <c r="A2270" t="s">
        <v>9357</v>
      </c>
      <c r="B2270" t="s">
        <v>9357</v>
      </c>
      <c r="C2270" t="s">
        <v>9358</v>
      </c>
      <c r="D2270" t="s">
        <v>3242</v>
      </c>
      <c r="E2270" t="s">
        <v>17343</v>
      </c>
      <c r="F2270" t="s">
        <v>3257</v>
      </c>
      <c r="G2270" t="s">
        <v>9359</v>
      </c>
      <c r="H2270" t="s">
        <v>3353</v>
      </c>
      <c r="I2270" t="s">
        <v>3324</v>
      </c>
    </row>
    <row r="2271" spans="1:9" x14ac:dyDescent="0.25">
      <c r="A2271" t="s">
        <v>9360</v>
      </c>
      <c r="B2271" t="s">
        <v>9360</v>
      </c>
      <c r="C2271" t="s">
        <v>9361</v>
      </c>
      <c r="D2271" t="s">
        <v>3321</v>
      </c>
      <c r="E2271" t="s">
        <v>15710</v>
      </c>
      <c r="F2271" t="s">
        <v>3257</v>
      </c>
      <c r="G2271" t="s">
        <v>9362</v>
      </c>
      <c r="H2271" t="s">
        <v>3332</v>
      </c>
      <c r="I2271" t="s">
        <v>3268</v>
      </c>
    </row>
    <row r="2272" spans="1:9" x14ac:dyDescent="0.25">
      <c r="A2272" t="s">
        <v>9363</v>
      </c>
      <c r="B2272" t="s">
        <v>9363</v>
      </c>
      <c r="C2272" t="s">
        <v>9364</v>
      </c>
      <c r="D2272" t="s">
        <v>3242</v>
      </c>
      <c r="E2272" t="s">
        <v>15710</v>
      </c>
      <c r="F2272" t="s">
        <v>3592</v>
      </c>
      <c r="G2272" t="s">
        <v>9365</v>
      </c>
      <c r="H2272" t="s">
        <v>4179</v>
      </c>
      <c r="I2272" t="s">
        <v>3324</v>
      </c>
    </row>
    <row r="2273" spans="1:9" x14ac:dyDescent="0.25">
      <c r="A2273" t="s">
        <v>9366</v>
      </c>
      <c r="B2273" t="s">
        <v>9366</v>
      </c>
      <c r="C2273" t="s">
        <v>9367</v>
      </c>
      <c r="D2273" t="s">
        <v>3242</v>
      </c>
      <c r="E2273" t="s">
        <v>15710</v>
      </c>
      <c r="F2273" t="s">
        <v>3300</v>
      </c>
      <c r="G2273" t="s">
        <v>9368</v>
      </c>
      <c r="H2273" t="s">
        <v>3668</v>
      </c>
      <c r="I2273" t="s">
        <v>4028</v>
      </c>
    </row>
    <row r="2274" spans="1:9" x14ac:dyDescent="0.25">
      <c r="A2274" t="s">
        <v>9369</v>
      </c>
      <c r="B2274" t="s">
        <v>9369</v>
      </c>
      <c r="C2274" t="s">
        <v>9370</v>
      </c>
      <c r="D2274" t="s">
        <v>3242</v>
      </c>
      <c r="E2274" t="s">
        <v>15710</v>
      </c>
      <c r="F2274" t="s">
        <v>9371</v>
      </c>
      <c r="G2274" t="s">
        <v>9372</v>
      </c>
      <c r="H2274" t="s">
        <v>5700</v>
      </c>
      <c r="I2274" t="s">
        <v>3648</v>
      </c>
    </row>
    <row r="2275" spans="1:9" x14ac:dyDescent="0.25">
      <c r="A2275" t="s">
        <v>16689</v>
      </c>
      <c r="B2275" t="s">
        <v>16689</v>
      </c>
      <c r="C2275" t="s">
        <v>16690</v>
      </c>
      <c r="D2275" t="s">
        <v>3242</v>
      </c>
      <c r="E2275" t="s">
        <v>17344</v>
      </c>
      <c r="F2275" t="s">
        <v>16691</v>
      </c>
      <c r="G2275" t="s">
        <v>16692</v>
      </c>
      <c r="H2275" t="s">
        <v>3253</v>
      </c>
    </row>
    <row r="2276" spans="1:9" x14ac:dyDescent="0.25">
      <c r="A2276" t="s">
        <v>9373</v>
      </c>
      <c r="B2276" t="s">
        <v>9373</v>
      </c>
      <c r="C2276" t="s">
        <v>9374</v>
      </c>
      <c r="D2276" t="s">
        <v>3242</v>
      </c>
      <c r="E2276" t="s">
        <v>16272</v>
      </c>
      <c r="F2276" t="s">
        <v>9375</v>
      </c>
      <c r="G2276" t="s">
        <v>9376</v>
      </c>
      <c r="H2276" t="s">
        <v>4856</v>
      </c>
      <c r="I2276" t="s">
        <v>3407</v>
      </c>
    </row>
    <row r="2277" spans="1:9" x14ac:dyDescent="0.25">
      <c r="A2277" t="s">
        <v>17591</v>
      </c>
      <c r="B2277" t="s">
        <v>17591</v>
      </c>
      <c r="C2277" t="s">
        <v>17592</v>
      </c>
      <c r="D2277" t="s">
        <v>3242</v>
      </c>
      <c r="E2277" t="s">
        <v>15710</v>
      </c>
      <c r="F2277" t="s">
        <v>17593</v>
      </c>
      <c r="G2277" t="s">
        <v>17594</v>
      </c>
      <c r="H2277" t="s">
        <v>3623</v>
      </c>
    </row>
    <row r="2278" spans="1:9" x14ac:dyDescent="0.25">
      <c r="A2278" t="s">
        <v>9377</v>
      </c>
      <c r="B2278" t="s">
        <v>9377</v>
      </c>
      <c r="C2278" t="s">
        <v>9378</v>
      </c>
      <c r="D2278" t="s">
        <v>3242</v>
      </c>
      <c r="E2278" t="s">
        <v>15710</v>
      </c>
      <c r="F2278" t="s">
        <v>4996</v>
      </c>
      <c r="G2278" t="s">
        <v>9379</v>
      </c>
      <c r="H2278" t="s">
        <v>3383</v>
      </c>
      <c r="I2278" t="s">
        <v>3366</v>
      </c>
    </row>
    <row r="2279" spans="1:9" x14ac:dyDescent="0.25">
      <c r="A2279" t="s">
        <v>9380</v>
      </c>
      <c r="B2279" t="s">
        <v>9380</v>
      </c>
      <c r="C2279" t="s">
        <v>9381</v>
      </c>
      <c r="D2279" t="s">
        <v>3242</v>
      </c>
      <c r="E2279" t="s">
        <v>15760</v>
      </c>
      <c r="F2279" t="s">
        <v>3251</v>
      </c>
      <c r="G2279" t="s">
        <v>9382</v>
      </c>
      <c r="H2279" t="s">
        <v>6171</v>
      </c>
      <c r="I2279" t="s">
        <v>3324</v>
      </c>
    </row>
    <row r="2280" spans="1:9" x14ac:dyDescent="0.25">
      <c r="A2280" t="s">
        <v>15221</v>
      </c>
      <c r="B2280" t="s">
        <v>15221</v>
      </c>
      <c r="C2280" t="s">
        <v>15222</v>
      </c>
      <c r="D2280" t="s">
        <v>3242</v>
      </c>
      <c r="E2280" t="s">
        <v>15710</v>
      </c>
      <c r="F2280" t="s">
        <v>3243</v>
      </c>
      <c r="G2280" t="s">
        <v>15223</v>
      </c>
      <c r="H2280" t="s">
        <v>3285</v>
      </c>
    </row>
    <row r="2281" spans="1:9" x14ac:dyDescent="0.25">
      <c r="A2281" t="s">
        <v>9383</v>
      </c>
      <c r="B2281" t="s">
        <v>9383</v>
      </c>
      <c r="C2281" t="s">
        <v>9384</v>
      </c>
      <c r="D2281" t="s">
        <v>3242</v>
      </c>
      <c r="E2281" t="s">
        <v>17595</v>
      </c>
      <c r="F2281" t="s">
        <v>9385</v>
      </c>
      <c r="G2281" t="s">
        <v>9386</v>
      </c>
      <c r="H2281" t="s">
        <v>3253</v>
      </c>
      <c r="I2281" t="s">
        <v>14986</v>
      </c>
    </row>
    <row r="2282" spans="1:9" x14ac:dyDescent="0.25">
      <c r="A2282" t="s">
        <v>9387</v>
      </c>
      <c r="B2282" t="s">
        <v>9387</v>
      </c>
      <c r="C2282" t="s">
        <v>9388</v>
      </c>
      <c r="D2282" t="s">
        <v>3242</v>
      </c>
      <c r="E2282" t="s">
        <v>15710</v>
      </c>
      <c r="F2282" t="s">
        <v>3288</v>
      </c>
      <c r="G2282" t="s">
        <v>9389</v>
      </c>
      <c r="H2282" t="s">
        <v>3285</v>
      </c>
    </row>
    <row r="2283" spans="1:9" x14ac:dyDescent="0.25">
      <c r="A2283" t="s">
        <v>9390</v>
      </c>
      <c r="B2283" t="s">
        <v>9390</v>
      </c>
      <c r="C2283" t="s">
        <v>9391</v>
      </c>
      <c r="D2283" t="s">
        <v>3242</v>
      </c>
      <c r="E2283" t="s">
        <v>15710</v>
      </c>
      <c r="F2283" t="s">
        <v>3243</v>
      </c>
      <c r="G2283" t="s">
        <v>9392</v>
      </c>
      <c r="H2283" t="s">
        <v>3285</v>
      </c>
    </row>
    <row r="2284" spans="1:9" x14ac:dyDescent="0.25">
      <c r="A2284" t="s">
        <v>9393</v>
      </c>
      <c r="B2284" t="s">
        <v>9393</v>
      </c>
      <c r="C2284" t="s">
        <v>9394</v>
      </c>
      <c r="D2284" t="s">
        <v>3242</v>
      </c>
      <c r="E2284" t="s">
        <v>15710</v>
      </c>
      <c r="F2284" t="s">
        <v>3288</v>
      </c>
      <c r="G2284" t="s">
        <v>9395</v>
      </c>
      <c r="H2284" t="s">
        <v>3285</v>
      </c>
    </row>
    <row r="2285" spans="1:9" x14ac:dyDescent="0.25">
      <c r="A2285" t="s">
        <v>9396</v>
      </c>
      <c r="B2285" t="s">
        <v>9396</v>
      </c>
      <c r="C2285" t="s">
        <v>9397</v>
      </c>
      <c r="D2285" t="s">
        <v>3242</v>
      </c>
      <c r="E2285" t="s">
        <v>15710</v>
      </c>
      <c r="F2285" t="s">
        <v>3243</v>
      </c>
      <c r="G2285" t="s">
        <v>9398</v>
      </c>
      <c r="H2285" t="s">
        <v>7090</v>
      </c>
    </row>
    <row r="2286" spans="1:9" x14ac:dyDescent="0.25">
      <c r="A2286" t="s">
        <v>9399</v>
      </c>
      <c r="B2286" t="s">
        <v>9399</v>
      </c>
      <c r="C2286" t="s">
        <v>9400</v>
      </c>
      <c r="D2286" t="s">
        <v>3242</v>
      </c>
      <c r="E2286" t="s">
        <v>15930</v>
      </c>
      <c r="F2286" t="s">
        <v>9401</v>
      </c>
      <c r="G2286" t="s">
        <v>9402</v>
      </c>
      <c r="H2286" t="s">
        <v>5151</v>
      </c>
      <c r="I2286" t="s">
        <v>3648</v>
      </c>
    </row>
    <row r="2287" spans="1:9" x14ac:dyDescent="0.25">
      <c r="A2287" t="s">
        <v>9403</v>
      </c>
      <c r="B2287" t="s">
        <v>9403</v>
      </c>
      <c r="C2287" t="s">
        <v>9404</v>
      </c>
      <c r="D2287" t="s">
        <v>3242</v>
      </c>
      <c r="E2287" t="s">
        <v>15710</v>
      </c>
      <c r="F2287" t="s">
        <v>3283</v>
      </c>
      <c r="G2287" t="s">
        <v>9405</v>
      </c>
      <c r="H2287" t="s">
        <v>3680</v>
      </c>
    </row>
    <row r="2288" spans="1:9" x14ac:dyDescent="0.25">
      <c r="A2288" t="s">
        <v>9406</v>
      </c>
      <c r="B2288" t="s">
        <v>9406</v>
      </c>
      <c r="C2288" t="s">
        <v>9407</v>
      </c>
      <c r="D2288" t="s">
        <v>3242</v>
      </c>
      <c r="E2288" t="s">
        <v>17345</v>
      </c>
      <c r="F2288" t="s">
        <v>3257</v>
      </c>
      <c r="G2288" t="s">
        <v>9408</v>
      </c>
      <c r="H2288" t="s">
        <v>3060</v>
      </c>
      <c r="I2288" t="s">
        <v>4028</v>
      </c>
    </row>
    <row r="2289" spans="1:9" x14ac:dyDescent="0.25">
      <c r="A2289" t="s">
        <v>9409</v>
      </c>
      <c r="B2289" t="s">
        <v>9409</v>
      </c>
      <c r="C2289" t="s">
        <v>9410</v>
      </c>
      <c r="D2289" t="s">
        <v>3242</v>
      </c>
      <c r="E2289" t="s">
        <v>17652</v>
      </c>
      <c r="F2289" t="s">
        <v>6858</v>
      </c>
      <c r="G2289" t="s">
        <v>9411</v>
      </c>
      <c r="H2289" t="s">
        <v>3060</v>
      </c>
      <c r="I2289" t="s">
        <v>3694</v>
      </c>
    </row>
    <row r="2290" spans="1:9" x14ac:dyDescent="0.25">
      <c r="A2290" t="s">
        <v>9412</v>
      </c>
      <c r="B2290" t="s">
        <v>9412</v>
      </c>
      <c r="C2290" t="s">
        <v>9413</v>
      </c>
      <c r="D2290" t="s">
        <v>3242</v>
      </c>
      <c r="E2290" t="s">
        <v>17596</v>
      </c>
      <c r="F2290" t="s">
        <v>3251</v>
      </c>
      <c r="G2290" t="s">
        <v>9414</v>
      </c>
      <c r="H2290" t="s">
        <v>3668</v>
      </c>
      <c r="I2290" t="s">
        <v>4028</v>
      </c>
    </row>
    <row r="2291" spans="1:9" x14ac:dyDescent="0.25">
      <c r="A2291" t="s">
        <v>15224</v>
      </c>
      <c r="B2291" t="s">
        <v>15224</v>
      </c>
      <c r="C2291" t="s">
        <v>15225</v>
      </c>
      <c r="D2291" t="s">
        <v>3242</v>
      </c>
      <c r="E2291" t="s">
        <v>15710</v>
      </c>
      <c r="F2291" t="s">
        <v>3243</v>
      </c>
      <c r="G2291" t="s">
        <v>15226</v>
      </c>
      <c r="H2291" t="s">
        <v>3749</v>
      </c>
    </row>
    <row r="2292" spans="1:9" x14ac:dyDescent="0.25">
      <c r="A2292" t="s">
        <v>9415</v>
      </c>
      <c r="B2292" t="s">
        <v>9415</v>
      </c>
      <c r="C2292" t="s">
        <v>9416</v>
      </c>
      <c r="D2292" t="s">
        <v>3242</v>
      </c>
      <c r="E2292" t="s">
        <v>17346</v>
      </c>
      <c r="F2292" t="s">
        <v>3306</v>
      </c>
      <c r="G2292" t="s">
        <v>9417</v>
      </c>
      <c r="H2292" t="s">
        <v>3417</v>
      </c>
      <c r="I2292" t="s">
        <v>3648</v>
      </c>
    </row>
    <row r="2293" spans="1:9" x14ac:dyDescent="0.25">
      <c r="A2293" t="s">
        <v>9418</v>
      </c>
      <c r="B2293" t="s">
        <v>9418</v>
      </c>
      <c r="C2293" t="s">
        <v>9419</v>
      </c>
      <c r="D2293" t="s">
        <v>3242</v>
      </c>
      <c r="E2293" t="s">
        <v>15710</v>
      </c>
      <c r="F2293" t="s">
        <v>5094</v>
      </c>
      <c r="G2293" t="s">
        <v>9420</v>
      </c>
      <c r="H2293" t="s">
        <v>3455</v>
      </c>
      <c r="I2293" t="s">
        <v>3407</v>
      </c>
    </row>
    <row r="2294" spans="1:9" x14ac:dyDescent="0.25">
      <c r="A2294" t="s">
        <v>9421</v>
      </c>
      <c r="B2294" t="s">
        <v>9421</v>
      </c>
      <c r="C2294" t="s">
        <v>9422</v>
      </c>
      <c r="D2294" t="s">
        <v>3242</v>
      </c>
      <c r="E2294" t="s">
        <v>17347</v>
      </c>
      <c r="F2294" t="s">
        <v>4996</v>
      </c>
      <c r="G2294" t="s">
        <v>9423</v>
      </c>
      <c r="H2294" t="s">
        <v>6803</v>
      </c>
      <c r="I2294" t="s">
        <v>3366</v>
      </c>
    </row>
    <row r="2295" spans="1:9" x14ac:dyDescent="0.25">
      <c r="A2295" t="s">
        <v>9424</v>
      </c>
      <c r="B2295" t="s">
        <v>9424</v>
      </c>
      <c r="C2295" t="s">
        <v>9425</v>
      </c>
      <c r="D2295" t="s">
        <v>3242</v>
      </c>
      <c r="E2295" t="s">
        <v>15710</v>
      </c>
      <c r="F2295" t="s">
        <v>5094</v>
      </c>
      <c r="G2295" t="s">
        <v>9426</v>
      </c>
      <c r="H2295" t="s">
        <v>3248</v>
      </c>
      <c r="I2295" t="s">
        <v>3407</v>
      </c>
    </row>
    <row r="2296" spans="1:9" x14ac:dyDescent="0.25">
      <c r="A2296" t="s">
        <v>15227</v>
      </c>
      <c r="B2296" t="s">
        <v>15227</v>
      </c>
      <c r="C2296" t="s">
        <v>15228</v>
      </c>
      <c r="D2296" t="s">
        <v>3242</v>
      </c>
      <c r="E2296" t="s">
        <v>15710</v>
      </c>
      <c r="F2296" t="s">
        <v>6162</v>
      </c>
      <c r="G2296" t="s">
        <v>15229</v>
      </c>
      <c r="H2296" t="s">
        <v>3519</v>
      </c>
      <c r="I2296" t="s">
        <v>15020</v>
      </c>
    </row>
    <row r="2297" spans="1:9" x14ac:dyDescent="0.25">
      <c r="A2297" t="s">
        <v>9427</v>
      </c>
      <c r="B2297" t="s">
        <v>9427</v>
      </c>
      <c r="C2297" t="s">
        <v>9428</v>
      </c>
      <c r="D2297" t="s">
        <v>3242</v>
      </c>
      <c r="E2297" t="s">
        <v>15931</v>
      </c>
      <c r="F2297" t="s">
        <v>9429</v>
      </c>
      <c r="G2297" t="s">
        <v>9430</v>
      </c>
      <c r="H2297" t="s">
        <v>3455</v>
      </c>
      <c r="I2297" t="s">
        <v>3407</v>
      </c>
    </row>
    <row r="2298" spans="1:9" x14ac:dyDescent="0.25">
      <c r="A2298" t="s">
        <v>9431</v>
      </c>
      <c r="B2298" t="s">
        <v>9431</v>
      </c>
      <c r="C2298" t="s">
        <v>9432</v>
      </c>
      <c r="D2298" t="s">
        <v>3242</v>
      </c>
      <c r="E2298" t="s">
        <v>15710</v>
      </c>
      <c r="F2298" t="s">
        <v>3372</v>
      </c>
      <c r="G2298" t="s">
        <v>9433</v>
      </c>
      <c r="H2298" t="s">
        <v>3877</v>
      </c>
      <c r="I2298" t="s">
        <v>3366</v>
      </c>
    </row>
    <row r="2299" spans="1:9" x14ac:dyDescent="0.25">
      <c r="A2299" t="s">
        <v>9434</v>
      </c>
      <c r="B2299" t="s">
        <v>9434</v>
      </c>
      <c r="C2299" t="s">
        <v>9435</v>
      </c>
      <c r="D2299" t="s">
        <v>3242</v>
      </c>
      <c r="E2299" t="s">
        <v>15710</v>
      </c>
      <c r="F2299" t="s">
        <v>3257</v>
      </c>
      <c r="G2299" t="s">
        <v>9436</v>
      </c>
      <c r="H2299" t="s">
        <v>3417</v>
      </c>
      <c r="I2299" t="s">
        <v>3648</v>
      </c>
    </row>
    <row r="2300" spans="1:9" x14ac:dyDescent="0.25">
      <c r="A2300" t="s">
        <v>9437</v>
      </c>
      <c r="B2300" t="s">
        <v>9437</v>
      </c>
      <c r="C2300" t="s">
        <v>9438</v>
      </c>
      <c r="D2300" t="s">
        <v>3242</v>
      </c>
      <c r="E2300" t="s">
        <v>15710</v>
      </c>
      <c r="F2300" t="s">
        <v>3288</v>
      </c>
      <c r="G2300" t="s">
        <v>9439</v>
      </c>
      <c r="H2300" t="s">
        <v>3680</v>
      </c>
    </row>
    <row r="2301" spans="1:9" x14ac:dyDescent="0.25">
      <c r="A2301" t="s">
        <v>9440</v>
      </c>
      <c r="B2301" t="s">
        <v>9440</v>
      </c>
      <c r="C2301" t="s">
        <v>9441</v>
      </c>
      <c r="D2301" t="s">
        <v>3242</v>
      </c>
      <c r="E2301" t="s">
        <v>15710</v>
      </c>
      <c r="F2301" t="s">
        <v>3345</v>
      </c>
      <c r="G2301" t="s">
        <v>9442</v>
      </c>
      <c r="H2301" t="s">
        <v>4619</v>
      </c>
    </row>
    <row r="2302" spans="1:9" x14ac:dyDescent="0.25">
      <c r="A2302" t="s">
        <v>16850</v>
      </c>
      <c r="B2302" t="s">
        <v>16850</v>
      </c>
      <c r="C2302" t="s">
        <v>16851</v>
      </c>
      <c r="D2302" t="s">
        <v>3242</v>
      </c>
      <c r="E2302" t="s">
        <v>16729</v>
      </c>
      <c r="F2302" t="s">
        <v>3257</v>
      </c>
      <c r="G2302" t="s">
        <v>16852</v>
      </c>
      <c r="H2302" t="s">
        <v>3357</v>
      </c>
      <c r="I2302" t="s">
        <v>16824</v>
      </c>
    </row>
    <row r="2303" spans="1:9" x14ac:dyDescent="0.25">
      <c r="A2303" t="s">
        <v>16276</v>
      </c>
      <c r="B2303" t="s">
        <v>16276</v>
      </c>
      <c r="C2303" t="s">
        <v>16277</v>
      </c>
      <c r="D2303" t="s">
        <v>3242</v>
      </c>
      <c r="E2303" t="s">
        <v>16499</v>
      </c>
      <c r="F2303" t="s">
        <v>9371</v>
      </c>
      <c r="G2303" t="s">
        <v>16278</v>
      </c>
      <c r="H2303" t="s">
        <v>5700</v>
      </c>
      <c r="I2303" t="s">
        <v>15020</v>
      </c>
    </row>
    <row r="2304" spans="1:9" x14ac:dyDescent="0.25">
      <c r="A2304" t="s">
        <v>9443</v>
      </c>
      <c r="B2304" t="s">
        <v>9443</v>
      </c>
      <c r="C2304" t="s">
        <v>9444</v>
      </c>
      <c r="D2304" t="s">
        <v>3321</v>
      </c>
      <c r="E2304" t="s">
        <v>15710</v>
      </c>
      <c r="F2304" t="s">
        <v>9445</v>
      </c>
      <c r="G2304" t="s">
        <v>9446</v>
      </c>
      <c r="H2304" t="s">
        <v>3353</v>
      </c>
      <c r="I2304" t="s">
        <v>3324</v>
      </c>
    </row>
    <row r="2305" spans="1:9" x14ac:dyDescent="0.25">
      <c r="A2305" t="s">
        <v>9447</v>
      </c>
      <c r="B2305" t="s">
        <v>9447</v>
      </c>
      <c r="C2305" t="s">
        <v>9448</v>
      </c>
      <c r="D2305" t="s">
        <v>3242</v>
      </c>
      <c r="E2305" t="s">
        <v>15710</v>
      </c>
      <c r="F2305" t="s">
        <v>3243</v>
      </c>
      <c r="G2305" t="s">
        <v>9449</v>
      </c>
      <c r="H2305" t="s">
        <v>3623</v>
      </c>
    </row>
    <row r="2306" spans="1:9" x14ac:dyDescent="0.25">
      <c r="A2306" t="s">
        <v>9450</v>
      </c>
      <c r="B2306" t="s">
        <v>9450</v>
      </c>
      <c r="C2306" t="s">
        <v>9451</v>
      </c>
      <c r="D2306" t="s">
        <v>3242</v>
      </c>
      <c r="E2306" t="s">
        <v>15710</v>
      </c>
      <c r="F2306" t="s">
        <v>5955</v>
      </c>
      <c r="G2306" t="s">
        <v>9452</v>
      </c>
      <c r="H2306" t="s">
        <v>3267</v>
      </c>
      <c r="I2306" t="s">
        <v>3294</v>
      </c>
    </row>
    <row r="2307" spans="1:9" x14ac:dyDescent="0.25">
      <c r="A2307" t="s">
        <v>9453</v>
      </c>
      <c r="B2307" t="s">
        <v>9453</v>
      </c>
      <c r="C2307" t="s">
        <v>9454</v>
      </c>
      <c r="D2307" t="s">
        <v>3242</v>
      </c>
      <c r="E2307" t="s">
        <v>17348</v>
      </c>
      <c r="F2307" t="s">
        <v>9455</v>
      </c>
      <c r="G2307" t="s">
        <v>9456</v>
      </c>
      <c r="H2307" t="s">
        <v>3594</v>
      </c>
      <c r="I2307" t="s">
        <v>3324</v>
      </c>
    </row>
    <row r="2308" spans="1:9" x14ac:dyDescent="0.25">
      <c r="A2308" t="s">
        <v>9457</v>
      </c>
      <c r="B2308" t="s">
        <v>9457</v>
      </c>
      <c r="C2308" t="s">
        <v>9458</v>
      </c>
      <c r="D2308" t="s">
        <v>3242</v>
      </c>
      <c r="E2308" t="s">
        <v>15710</v>
      </c>
      <c r="F2308" t="s">
        <v>3243</v>
      </c>
      <c r="G2308" t="s">
        <v>9459</v>
      </c>
      <c r="H2308" t="s">
        <v>3680</v>
      </c>
    </row>
    <row r="2309" spans="1:9" x14ac:dyDescent="0.25">
      <c r="A2309" t="s">
        <v>9460</v>
      </c>
      <c r="B2309" t="s">
        <v>9460</v>
      </c>
      <c r="C2309" t="s">
        <v>9461</v>
      </c>
      <c r="D2309" t="s">
        <v>3242</v>
      </c>
      <c r="E2309" t="s">
        <v>15710</v>
      </c>
      <c r="F2309" t="s">
        <v>9462</v>
      </c>
      <c r="G2309" t="s">
        <v>9463</v>
      </c>
      <c r="H2309" t="s">
        <v>7817</v>
      </c>
    </row>
    <row r="2310" spans="1:9" x14ac:dyDescent="0.25">
      <c r="A2310" t="s">
        <v>9464</v>
      </c>
      <c r="B2310" t="s">
        <v>9464</v>
      </c>
      <c r="C2310" t="s">
        <v>9465</v>
      </c>
      <c r="D2310" t="s">
        <v>3242</v>
      </c>
      <c r="E2310" t="s">
        <v>15932</v>
      </c>
      <c r="F2310" t="s">
        <v>3592</v>
      </c>
      <c r="G2310" t="s">
        <v>9466</v>
      </c>
      <c r="H2310" t="s">
        <v>3353</v>
      </c>
      <c r="I2310" t="s">
        <v>3324</v>
      </c>
    </row>
    <row r="2311" spans="1:9" x14ac:dyDescent="0.25">
      <c r="A2311" t="s">
        <v>9467</v>
      </c>
      <c r="B2311" t="s">
        <v>9467</v>
      </c>
      <c r="C2311" t="s">
        <v>9468</v>
      </c>
      <c r="D2311" t="s">
        <v>3242</v>
      </c>
      <c r="E2311" t="s">
        <v>15710</v>
      </c>
      <c r="F2311" t="s">
        <v>3288</v>
      </c>
      <c r="G2311" t="s">
        <v>9469</v>
      </c>
      <c r="H2311" t="s">
        <v>3332</v>
      </c>
    </row>
    <row r="2312" spans="1:9" x14ac:dyDescent="0.25">
      <c r="A2312" t="s">
        <v>9470</v>
      </c>
      <c r="B2312" t="s">
        <v>9470</v>
      </c>
      <c r="C2312" t="s">
        <v>9471</v>
      </c>
      <c r="D2312" t="s">
        <v>3242</v>
      </c>
      <c r="E2312" t="s">
        <v>15710</v>
      </c>
      <c r="F2312" t="s">
        <v>3251</v>
      </c>
      <c r="G2312" t="s">
        <v>9472</v>
      </c>
      <c r="H2312" t="s">
        <v>3668</v>
      </c>
    </row>
    <row r="2313" spans="1:9" x14ac:dyDescent="0.25">
      <c r="A2313" t="s">
        <v>9473</v>
      </c>
      <c r="B2313" t="s">
        <v>9473</v>
      </c>
      <c r="C2313" t="s">
        <v>9474</v>
      </c>
      <c r="D2313" t="s">
        <v>3242</v>
      </c>
      <c r="E2313" t="s">
        <v>15710</v>
      </c>
      <c r="F2313" t="s">
        <v>3251</v>
      </c>
      <c r="G2313" t="s">
        <v>9475</v>
      </c>
      <c r="H2313" t="s">
        <v>3060</v>
      </c>
      <c r="I2313" t="s">
        <v>5250</v>
      </c>
    </row>
    <row r="2314" spans="1:9" x14ac:dyDescent="0.25">
      <c r="A2314" t="s">
        <v>9476</v>
      </c>
      <c r="B2314" t="s">
        <v>9476</v>
      </c>
      <c r="C2314" t="s">
        <v>9477</v>
      </c>
      <c r="D2314" t="s">
        <v>3242</v>
      </c>
      <c r="E2314" t="s">
        <v>15710</v>
      </c>
      <c r="F2314" t="s">
        <v>3243</v>
      </c>
      <c r="G2314" t="s">
        <v>9478</v>
      </c>
      <c r="H2314" t="s">
        <v>3285</v>
      </c>
    </row>
    <row r="2315" spans="1:9" x14ac:dyDescent="0.25">
      <c r="A2315" t="s">
        <v>9479</v>
      </c>
      <c r="B2315" t="s">
        <v>9479</v>
      </c>
      <c r="C2315" t="s">
        <v>9480</v>
      </c>
      <c r="D2315" t="s">
        <v>3242</v>
      </c>
      <c r="E2315" t="s">
        <v>15710</v>
      </c>
      <c r="F2315" t="s">
        <v>3300</v>
      </c>
      <c r="G2315" t="s">
        <v>9481</v>
      </c>
      <c r="H2315" t="s">
        <v>3332</v>
      </c>
      <c r="I2315" t="s">
        <v>3324</v>
      </c>
    </row>
    <row r="2316" spans="1:9" x14ac:dyDescent="0.25">
      <c r="A2316" t="s">
        <v>9482</v>
      </c>
      <c r="B2316" t="s">
        <v>9482</v>
      </c>
      <c r="C2316" t="s">
        <v>9483</v>
      </c>
      <c r="D2316" t="s">
        <v>3242</v>
      </c>
      <c r="E2316" t="s">
        <v>17349</v>
      </c>
      <c r="F2316" t="s">
        <v>3372</v>
      </c>
      <c r="G2316" t="s">
        <v>15230</v>
      </c>
      <c r="H2316" t="s">
        <v>3484</v>
      </c>
      <c r="I2316" t="s">
        <v>14986</v>
      </c>
    </row>
    <row r="2317" spans="1:9" x14ac:dyDescent="0.25">
      <c r="A2317" t="s">
        <v>9484</v>
      </c>
      <c r="B2317" t="s">
        <v>9484</v>
      </c>
      <c r="C2317" t="s">
        <v>9485</v>
      </c>
      <c r="D2317" t="s">
        <v>3242</v>
      </c>
      <c r="E2317" t="s">
        <v>15710</v>
      </c>
      <c r="F2317" t="s">
        <v>3243</v>
      </c>
      <c r="G2317" t="s">
        <v>9486</v>
      </c>
      <c r="H2317" t="s">
        <v>3285</v>
      </c>
    </row>
    <row r="2318" spans="1:9" x14ac:dyDescent="0.25">
      <c r="A2318" t="s">
        <v>17025</v>
      </c>
      <c r="B2318" t="s">
        <v>17025</v>
      </c>
      <c r="C2318" t="s">
        <v>17026</v>
      </c>
      <c r="D2318" t="s">
        <v>3242</v>
      </c>
      <c r="E2318" t="s">
        <v>17350</v>
      </c>
      <c r="F2318" t="s">
        <v>6077</v>
      </c>
      <c r="G2318" t="s">
        <v>17027</v>
      </c>
      <c r="H2318" t="s">
        <v>5785</v>
      </c>
      <c r="I2318" t="s">
        <v>15020</v>
      </c>
    </row>
    <row r="2319" spans="1:9" x14ac:dyDescent="0.25">
      <c r="A2319" t="s">
        <v>9487</v>
      </c>
      <c r="B2319" t="s">
        <v>9487</v>
      </c>
      <c r="C2319" t="s">
        <v>9488</v>
      </c>
      <c r="D2319" t="s">
        <v>3242</v>
      </c>
      <c r="E2319" t="s">
        <v>15710</v>
      </c>
      <c r="F2319" t="s">
        <v>8845</v>
      </c>
      <c r="G2319" t="s">
        <v>9489</v>
      </c>
      <c r="H2319" t="s">
        <v>3496</v>
      </c>
      <c r="I2319" t="s">
        <v>3407</v>
      </c>
    </row>
    <row r="2320" spans="1:9" x14ac:dyDescent="0.25">
      <c r="A2320" t="s">
        <v>9490</v>
      </c>
      <c r="B2320" t="s">
        <v>9490</v>
      </c>
      <c r="C2320" t="s">
        <v>9491</v>
      </c>
      <c r="D2320" t="s">
        <v>3242</v>
      </c>
      <c r="E2320" t="s">
        <v>17653</v>
      </c>
      <c r="F2320" t="s">
        <v>6458</v>
      </c>
      <c r="G2320" t="s">
        <v>9492</v>
      </c>
      <c r="H2320" t="s">
        <v>3496</v>
      </c>
      <c r="I2320" t="s">
        <v>3407</v>
      </c>
    </row>
    <row r="2321" spans="1:9" x14ac:dyDescent="0.25">
      <c r="A2321" t="s">
        <v>9493</v>
      </c>
      <c r="B2321" t="s">
        <v>9493</v>
      </c>
      <c r="C2321" t="s">
        <v>9494</v>
      </c>
      <c r="D2321" t="s">
        <v>3242</v>
      </c>
      <c r="E2321" t="s">
        <v>15710</v>
      </c>
      <c r="F2321" t="s">
        <v>3243</v>
      </c>
      <c r="G2321" t="s">
        <v>9495</v>
      </c>
      <c r="H2321" t="s">
        <v>3060</v>
      </c>
    </row>
    <row r="2322" spans="1:9" x14ac:dyDescent="0.25">
      <c r="A2322" t="s">
        <v>9496</v>
      </c>
      <c r="B2322" t="s">
        <v>9496</v>
      </c>
      <c r="C2322" t="s">
        <v>9497</v>
      </c>
      <c r="D2322" t="s">
        <v>3242</v>
      </c>
      <c r="E2322" t="s">
        <v>15710</v>
      </c>
      <c r="F2322" t="s">
        <v>3257</v>
      </c>
      <c r="G2322" t="s">
        <v>9498</v>
      </c>
      <c r="H2322" t="s">
        <v>7755</v>
      </c>
      <c r="I2322" t="s">
        <v>3451</v>
      </c>
    </row>
    <row r="2323" spans="1:9" x14ac:dyDescent="0.25">
      <c r="A2323" t="s">
        <v>9499</v>
      </c>
      <c r="B2323" t="s">
        <v>9499</v>
      </c>
      <c r="C2323" t="s">
        <v>9500</v>
      </c>
      <c r="D2323" t="s">
        <v>3321</v>
      </c>
      <c r="E2323" t="s">
        <v>15710</v>
      </c>
      <c r="F2323" t="s">
        <v>5881</v>
      </c>
      <c r="G2323" t="s">
        <v>9501</v>
      </c>
      <c r="H2323" t="s">
        <v>3290</v>
      </c>
      <c r="I2323" t="s">
        <v>3451</v>
      </c>
    </row>
    <row r="2324" spans="1:9" x14ac:dyDescent="0.25">
      <c r="A2324" t="s">
        <v>9502</v>
      </c>
      <c r="B2324" t="s">
        <v>9502</v>
      </c>
      <c r="C2324" t="s">
        <v>9503</v>
      </c>
      <c r="D2324" t="s">
        <v>3242</v>
      </c>
      <c r="E2324" t="s">
        <v>15710</v>
      </c>
      <c r="F2324" t="s">
        <v>8434</v>
      </c>
      <c r="G2324" t="s">
        <v>9504</v>
      </c>
      <c r="H2324" t="s">
        <v>3262</v>
      </c>
      <c r="I2324" t="s">
        <v>3648</v>
      </c>
    </row>
    <row r="2325" spans="1:9" x14ac:dyDescent="0.25">
      <c r="A2325" t="s">
        <v>9505</v>
      </c>
      <c r="B2325" t="s">
        <v>9505</v>
      </c>
      <c r="C2325" t="s">
        <v>9506</v>
      </c>
      <c r="D2325" t="s">
        <v>3242</v>
      </c>
      <c r="E2325" t="s">
        <v>17028</v>
      </c>
      <c r="F2325" t="s">
        <v>9507</v>
      </c>
      <c r="G2325" t="s">
        <v>9508</v>
      </c>
      <c r="H2325" t="s">
        <v>3060</v>
      </c>
      <c r="I2325" t="s">
        <v>3694</v>
      </c>
    </row>
    <row r="2326" spans="1:9" x14ac:dyDescent="0.25">
      <c r="A2326" t="s">
        <v>9509</v>
      </c>
      <c r="B2326" t="s">
        <v>9509</v>
      </c>
      <c r="C2326" t="s">
        <v>9510</v>
      </c>
      <c r="D2326" t="s">
        <v>3242</v>
      </c>
      <c r="E2326" t="s">
        <v>15933</v>
      </c>
      <c r="F2326" t="s">
        <v>3251</v>
      </c>
      <c r="G2326" t="s">
        <v>9511</v>
      </c>
      <c r="H2326" t="s">
        <v>5289</v>
      </c>
      <c r="I2326" t="s">
        <v>3451</v>
      </c>
    </row>
    <row r="2327" spans="1:9" x14ac:dyDescent="0.25">
      <c r="A2327" t="s">
        <v>9512</v>
      </c>
      <c r="B2327" t="s">
        <v>9512</v>
      </c>
      <c r="C2327" t="s">
        <v>9513</v>
      </c>
      <c r="D2327" t="s">
        <v>3242</v>
      </c>
      <c r="E2327" t="s">
        <v>16500</v>
      </c>
      <c r="F2327" t="s">
        <v>3257</v>
      </c>
      <c r="G2327" t="s">
        <v>9514</v>
      </c>
      <c r="H2327" t="s">
        <v>3417</v>
      </c>
      <c r="I2327" t="s">
        <v>3648</v>
      </c>
    </row>
    <row r="2328" spans="1:9" x14ac:dyDescent="0.25">
      <c r="A2328" t="s">
        <v>15231</v>
      </c>
      <c r="B2328" t="s">
        <v>15231</v>
      </c>
      <c r="C2328" t="s">
        <v>15232</v>
      </c>
      <c r="D2328" t="s">
        <v>3242</v>
      </c>
      <c r="E2328" t="s">
        <v>15710</v>
      </c>
      <c r="F2328" t="s">
        <v>3257</v>
      </c>
      <c r="G2328" t="s">
        <v>15233</v>
      </c>
      <c r="H2328" t="s">
        <v>3668</v>
      </c>
      <c r="I2328" t="s">
        <v>3694</v>
      </c>
    </row>
    <row r="2329" spans="1:9" x14ac:dyDescent="0.25">
      <c r="A2329" t="s">
        <v>9515</v>
      </c>
      <c r="B2329" t="s">
        <v>9515</v>
      </c>
      <c r="C2329" t="s">
        <v>9516</v>
      </c>
      <c r="D2329" t="s">
        <v>3242</v>
      </c>
      <c r="E2329" t="s">
        <v>17029</v>
      </c>
      <c r="F2329" t="s">
        <v>3372</v>
      </c>
      <c r="G2329" t="s">
        <v>9517</v>
      </c>
      <c r="H2329" t="s">
        <v>3267</v>
      </c>
      <c r="I2329" t="s">
        <v>3268</v>
      </c>
    </row>
    <row r="2330" spans="1:9" x14ac:dyDescent="0.25">
      <c r="A2330" t="s">
        <v>9518</v>
      </c>
      <c r="B2330" t="s">
        <v>9518</v>
      </c>
      <c r="C2330" t="s">
        <v>9519</v>
      </c>
      <c r="D2330" t="s">
        <v>3242</v>
      </c>
      <c r="E2330" t="s">
        <v>15934</v>
      </c>
      <c r="F2330" t="s">
        <v>3257</v>
      </c>
      <c r="G2330" t="s">
        <v>9520</v>
      </c>
      <c r="H2330" t="s">
        <v>5151</v>
      </c>
    </row>
    <row r="2331" spans="1:9" x14ac:dyDescent="0.25">
      <c r="A2331" t="s">
        <v>9521</v>
      </c>
      <c r="B2331" t="s">
        <v>9521</v>
      </c>
      <c r="C2331" t="s">
        <v>9522</v>
      </c>
      <c r="D2331" t="s">
        <v>3242</v>
      </c>
      <c r="E2331" t="s">
        <v>15710</v>
      </c>
      <c r="F2331" t="s">
        <v>3306</v>
      </c>
      <c r="G2331" t="s">
        <v>9523</v>
      </c>
      <c r="H2331" t="s">
        <v>3417</v>
      </c>
      <c r="I2331" t="s">
        <v>3648</v>
      </c>
    </row>
    <row r="2332" spans="1:9" x14ac:dyDescent="0.25">
      <c r="A2332" t="s">
        <v>9524</v>
      </c>
      <c r="B2332" t="s">
        <v>9524</v>
      </c>
      <c r="C2332" t="s">
        <v>9525</v>
      </c>
      <c r="D2332" t="s">
        <v>3242</v>
      </c>
      <c r="E2332" t="s">
        <v>15710</v>
      </c>
      <c r="F2332" t="s">
        <v>3243</v>
      </c>
      <c r="G2332" t="s">
        <v>9526</v>
      </c>
      <c r="H2332" t="s">
        <v>3060</v>
      </c>
    </row>
    <row r="2333" spans="1:9" x14ac:dyDescent="0.25">
      <c r="A2333" t="s">
        <v>9527</v>
      </c>
      <c r="B2333" t="s">
        <v>9527</v>
      </c>
      <c r="C2333" t="s">
        <v>9528</v>
      </c>
      <c r="D2333" t="s">
        <v>3242</v>
      </c>
      <c r="E2333" t="s">
        <v>15710</v>
      </c>
      <c r="F2333" t="s">
        <v>3345</v>
      </c>
      <c r="G2333" t="s">
        <v>9529</v>
      </c>
      <c r="H2333" t="s">
        <v>3402</v>
      </c>
    </row>
    <row r="2334" spans="1:9" x14ac:dyDescent="0.25">
      <c r="A2334" t="s">
        <v>9530</v>
      </c>
      <c r="B2334" t="s">
        <v>9530</v>
      </c>
      <c r="C2334" t="s">
        <v>9531</v>
      </c>
      <c r="D2334" t="s">
        <v>3242</v>
      </c>
      <c r="E2334" t="s">
        <v>15710</v>
      </c>
      <c r="F2334" t="s">
        <v>3243</v>
      </c>
      <c r="G2334" t="s">
        <v>9532</v>
      </c>
      <c r="H2334" t="s">
        <v>9533</v>
      </c>
    </row>
    <row r="2335" spans="1:9" x14ac:dyDescent="0.25">
      <c r="A2335" t="s">
        <v>16273</v>
      </c>
      <c r="B2335" t="s">
        <v>16273</v>
      </c>
      <c r="C2335" t="s">
        <v>16274</v>
      </c>
      <c r="D2335" t="s">
        <v>3242</v>
      </c>
      <c r="E2335" t="s">
        <v>15710</v>
      </c>
      <c r="F2335" t="s">
        <v>3243</v>
      </c>
      <c r="G2335" t="s">
        <v>16275</v>
      </c>
      <c r="H2335" t="s">
        <v>3332</v>
      </c>
    </row>
    <row r="2336" spans="1:9" x14ac:dyDescent="0.25">
      <c r="A2336" t="s">
        <v>9534</v>
      </c>
      <c r="B2336" t="s">
        <v>9534</v>
      </c>
      <c r="C2336" t="s">
        <v>9535</v>
      </c>
      <c r="D2336" t="s">
        <v>3242</v>
      </c>
      <c r="E2336" t="s">
        <v>17351</v>
      </c>
      <c r="F2336" t="s">
        <v>3257</v>
      </c>
      <c r="G2336" t="s">
        <v>9536</v>
      </c>
      <c r="H2336" t="s">
        <v>3594</v>
      </c>
      <c r="I2336" t="s">
        <v>3366</v>
      </c>
    </row>
    <row r="2337" spans="1:9" x14ac:dyDescent="0.25">
      <c r="A2337" t="s">
        <v>9537</v>
      </c>
      <c r="B2337" t="s">
        <v>9537</v>
      </c>
      <c r="C2337" t="s">
        <v>9538</v>
      </c>
      <c r="D2337" t="s">
        <v>3242</v>
      </c>
      <c r="E2337" t="s">
        <v>16501</v>
      </c>
      <c r="F2337" t="s">
        <v>3372</v>
      </c>
      <c r="G2337" t="s">
        <v>9539</v>
      </c>
      <c r="H2337" t="s">
        <v>3267</v>
      </c>
      <c r="I2337" t="s">
        <v>3268</v>
      </c>
    </row>
    <row r="2338" spans="1:9" x14ac:dyDescent="0.25">
      <c r="A2338" t="s">
        <v>9540</v>
      </c>
      <c r="B2338" t="s">
        <v>9540</v>
      </c>
      <c r="C2338" t="s">
        <v>9541</v>
      </c>
      <c r="D2338" t="s">
        <v>3242</v>
      </c>
      <c r="E2338" t="s">
        <v>15710</v>
      </c>
      <c r="F2338" t="s">
        <v>3243</v>
      </c>
      <c r="G2338" t="s">
        <v>9542</v>
      </c>
      <c r="H2338" t="s">
        <v>3496</v>
      </c>
    </row>
    <row r="2339" spans="1:9" x14ac:dyDescent="0.25">
      <c r="A2339" t="s">
        <v>9543</v>
      </c>
      <c r="B2339" t="s">
        <v>9543</v>
      </c>
      <c r="C2339" t="s">
        <v>9544</v>
      </c>
      <c r="D2339" t="s">
        <v>3242</v>
      </c>
      <c r="E2339" t="s">
        <v>15935</v>
      </c>
      <c r="F2339" t="s">
        <v>5955</v>
      </c>
      <c r="G2339" t="s">
        <v>9545</v>
      </c>
      <c r="H2339" t="s">
        <v>4179</v>
      </c>
      <c r="I2339" t="s">
        <v>3324</v>
      </c>
    </row>
    <row r="2340" spans="1:9" x14ac:dyDescent="0.25">
      <c r="A2340" t="s">
        <v>9546</v>
      </c>
      <c r="B2340" t="s">
        <v>9546</v>
      </c>
      <c r="C2340" t="s">
        <v>9547</v>
      </c>
      <c r="D2340" t="s">
        <v>3242</v>
      </c>
      <c r="E2340" t="s">
        <v>15710</v>
      </c>
      <c r="F2340" t="s">
        <v>3243</v>
      </c>
      <c r="G2340" t="s">
        <v>8941</v>
      </c>
      <c r="H2340" t="s">
        <v>3402</v>
      </c>
    </row>
    <row r="2341" spans="1:9" x14ac:dyDescent="0.25">
      <c r="A2341" t="s">
        <v>16014</v>
      </c>
      <c r="B2341" t="s">
        <v>16014</v>
      </c>
      <c r="C2341" t="s">
        <v>16015</v>
      </c>
      <c r="D2341" t="s">
        <v>3242</v>
      </c>
      <c r="E2341" t="s">
        <v>15881</v>
      </c>
      <c r="F2341" t="s">
        <v>3243</v>
      </c>
      <c r="G2341" t="s">
        <v>16016</v>
      </c>
      <c r="H2341" t="s">
        <v>3332</v>
      </c>
    </row>
    <row r="2342" spans="1:9" x14ac:dyDescent="0.25">
      <c r="A2342" t="s">
        <v>9548</v>
      </c>
      <c r="B2342" t="s">
        <v>9548</v>
      </c>
      <c r="C2342" t="s">
        <v>9549</v>
      </c>
      <c r="D2342" t="s">
        <v>3242</v>
      </c>
      <c r="E2342" t="s">
        <v>15710</v>
      </c>
      <c r="F2342" t="s">
        <v>9550</v>
      </c>
      <c r="G2342" t="s">
        <v>9551</v>
      </c>
      <c r="H2342" t="s">
        <v>3417</v>
      </c>
    </row>
    <row r="2343" spans="1:9" x14ac:dyDescent="0.25">
      <c r="A2343" t="s">
        <v>9552</v>
      </c>
      <c r="B2343" t="s">
        <v>9552</v>
      </c>
      <c r="C2343" t="s">
        <v>9553</v>
      </c>
      <c r="D2343" t="s">
        <v>3242</v>
      </c>
      <c r="E2343" t="s">
        <v>15710</v>
      </c>
      <c r="F2343" t="s">
        <v>3243</v>
      </c>
      <c r="G2343" t="s">
        <v>9554</v>
      </c>
      <c r="H2343" t="s">
        <v>3267</v>
      </c>
      <c r="I2343" t="s">
        <v>3268</v>
      </c>
    </row>
    <row r="2344" spans="1:9" x14ac:dyDescent="0.25">
      <c r="A2344" t="s">
        <v>9555</v>
      </c>
      <c r="B2344" t="s">
        <v>9555</v>
      </c>
      <c r="C2344" t="s">
        <v>9556</v>
      </c>
      <c r="D2344" t="s">
        <v>3242</v>
      </c>
      <c r="E2344" t="s">
        <v>15710</v>
      </c>
      <c r="F2344" t="s">
        <v>6162</v>
      </c>
      <c r="G2344" t="s">
        <v>9557</v>
      </c>
      <c r="H2344" t="s">
        <v>3262</v>
      </c>
      <c r="I2344" t="s">
        <v>3263</v>
      </c>
    </row>
    <row r="2345" spans="1:9" x14ac:dyDescent="0.25">
      <c r="A2345" t="s">
        <v>9558</v>
      </c>
      <c r="B2345" t="s">
        <v>9558</v>
      </c>
      <c r="C2345" t="s">
        <v>9559</v>
      </c>
      <c r="D2345" t="s">
        <v>3242</v>
      </c>
      <c r="E2345" t="s">
        <v>15710</v>
      </c>
      <c r="F2345" t="s">
        <v>3288</v>
      </c>
      <c r="G2345" t="s">
        <v>9560</v>
      </c>
      <c r="H2345" t="s">
        <v>3285</v>
      </c>
    </row>
    <row r="2346" spans="1:9" x14ac:dyDescent="0.25">
      <c r="A2346" t="s">
        <v>9561</v>
      </c>
      <c r="B2346" t="s">
        <v>9561</v>
      </c>
      <c r="C2346" t="s">
        <v>9562</v>
      </c>
      <c r="D2346" t="s">
        <v>3321</v>
      </c>
      <c r="E2346" t="s">
        <v>15710</v>
      </c>
      <c r="F2346" t="s">
        <v>3257</v>
      </c>
      <c r="G2346" t="s">
        <v>9563</v>
      </c>
      <c r="H2346" t="s">
        <v>3267</v>
      </c>
      <c r="I2346" t="s">
        <v>3268</v>
      </c>
    </row>
    <row r="2347" spans="1:9" x14ac:dyDescent="0.25">
      <c r="A2347" t="s">
        <v>9564</v>
      </c>
      <c r="B2347" t="s">
        <v>9564</v>
      </c>
      <c r="C2347" t="s">
        <v>9565</v>
      </c>
      <c r="D2347" t="s">
        <v>3242</v>
      </c>
      <c r="E2347" t="s">
        <v>15710</v>
      </c>
      <c r="F2347" t="s">
        <v>3243</v>
      </c>
      <c r="G2347" t="s">
        <v>9566</v>
      </c>
      <c r="H2347" t="s">
        <v>3285</v>
      </c>
    </row>
    <row r="2348" spans="1:9" x14ac:dyDescent="0.25">
      <c r="A2348" t="s">
        <v>9567</v>
      </c>
      <c r="B2348" t="s">
        <v>9567</v>
      </c>
      <c r="C2348" t="s">
        <v>9568</v>
      </c>
      <c r="D2348" t="s">
        <v>3242</v>
      </c>
      <c r="E2348" t="s">
        <v>17352</v>
      </c>
      <c r="F2348" t="s">
        <v>3257</v>
      </c>
      <c r="G2348" t="s">
        <v>9569</v>
      </c>
      <c r="H2348" t="s">
        <v>3417</v>
      </c>
      <c r="I2348" t="s">
        <v>3648</v>
      </c>
    </row>
    <row r="2349" spans="1:9" x14ac:dyDescent="0.25">
      <c r="A2349" t="s">
        <v>9570</v>
      </c>
      <c r="B2349" t="s">
        <v>9570</v>
      </c>
      <c r="C2349" t="s">
        <v>9571</v>
      </c>
      <c r="D2349" t="s">
        <v>3242</v>
      </c>
      <c r="E2349" t="s">
        <v>15710</v>
      </c>
      <c r="F2349" t="s">
        <v>8360</v>
      </c>
      <c r="G2349" t="s">
        <v>9572</v>
      </c>
      <c r="H2349" t="s">
        <v>3060</v>
      </c>
      <c r="I2349" t="s">
        <v>4028</v>
      </c>
    </row>
    <row r="2350" spans="1:9" x14ac:dyDescent="0.25">
      <c r="A2350" t="s">
        <v>9573</v>
      </c>
      <c r="B2350" t="s">
        <v>9573</v>
      </c>
      <c r="C2350" t="s">
        <v>9574</v>
      </c>
      <c r="D2350" t="s">
        <v>3242</v>
      </c>
      <c r="E2350" t="s">
        <v>15936</v>
      </c>
      <c r="F2350" t="s">
        <v>6162</v>
      </c>
      <c r="G2350" t="s">
        <v>9575</v>
      </c>
      <c r="H2350" t="s">
        <v>5151</v>
      </c>
      <c r="I2350" t="s">
        <v>3648</v>
      </c>
    </row>
    <row r="2351" spans="1:9" x14ac:dyDescent="0.25">
      <c r="A2351" t="s">
        <v>9576</v>
      </c>
      <c r="B2351" t="s">
        <v>9576</v>
      </c>
      <c r="C2351" t="s">
        <v>9577</v>
      </c>
      <c r="D2351" t="s">
        <v>3242</v>
      </c>
      <c r="E2351" t="s">
        <v>17353</v>
      </c>
      <c r="F2351" t="s">
        <v>3257</v>
      </c>
      <c r="G2351" t="s">
        <v>9578</v>
      </c>
      <c r="H2351" t="s">
        <v>4871</v>
      </c>
      <c r="I2351" t="s">
        <v>3324</v>
      </c>
    </row>
    <row r="2352" spans="1:9" x14ac:dyDescent="0.25">
      <c r="A2352" t="s">
        <v>9579</v>
      </c>
      <c r="B2352" t="s">
        <v>9579</v>
      </c>
      <c r="C2352" t="s">
        <v>9580</v>
      </c>
      <c r="D2352" t="s">
        <v>3242</v>
      </c>
      <c r="E2352" t="s">
        <v>15710</v>
      </c>
      <c r="F2352" t="s">
        <v>3288</v>
      </c>
      <c r="G2352" t="s">
        <v>9581</v>
      </c>
      <c r="H2352" t="s">
        <v>3285</v>
      </c>
    </row>
    <row r="2353" spans="1:9" x14ac:dyDescent="0.25">
      <c r="A2353" t="s">
        <v>9582</v>
      </c>
      <c r="B2353" t="s">
        <v>9582</v>
      </c>
      <c r="C2353" t="s">
        <v>9583</v>
      </c>
      <c r="D2353" t="s">
        <v>3242</v>
      </c>
      <c r="E2353" t="s">
        <v>15710</v>
      </c>
      <c r="F2353" t="s">
        <v>3257</v>
      </c>
      <c r="G2353" t="s">
        <v>9584</v>
      </c>
      <c r="H2353" t="s">
        <v>3248</v>
      </c>
      <c r="I2353" t="s">
        <v>3263</v>
      </c>
    </row>
    <row r="2354" spans="1:9" x14ac:dyDescent="0.25">
      <c r="A2354" t="s">
        <v>9585</v>
      </c>
      <c r="B2354" t="s">
        <v>9585</v>
      </c>
      <c r="C2354" t="s">
        <v>9586</v>
      </c>
      <c r="D2354" t="s">
        <v>3242</v>
      </c>
      <c r="E2354" t="s">
        <v>15710</v>
      </c>
      <c r="F2354" t="s">
        <v>3243</v>
      </c>
      <c r="G2354" t="s">
        <v>9587</v>
      </c>
      <c r="H2354" t="s">
        <v>3285</v>
      </c>
    </row>
    <row r="2355" spans="1:9" x14ac:dyDescent="0.25">
      <c r="A2355" t="s">
        <v>9588</v>
      </c>
      <c r="B2355" t="s">
        <v>9588</v>
      </c>
      <c r="C2355" t="s">
        <v>9589</v>
      </c>
      <c r="D2355" t="s">
        <v>3242</v>
      </c>
      <c r="E2355" t="s">
        <v>17354</v>
      </c>
      <c r="F2355" t="s">
        <v>3372</v>
      </c>
      <c r="G2355" t="s">
        <v>9590</v>
      </c>
      <c r="H2355" t="s">
        <v>4835</v>
      </c>
      <c r="I2355" t="s">
        <v>3366</v>
      </c>
    </row>
    <row r="2356" spans="1:9" x14ac:dyDescent="0.25">
      <c r="A2356" t="s">
        <v>9591</v>
      </c>
      <c r="B2356" t="s">
        <v>9591</v>
      </c>
      <c r="C2356" t="s">
        <v>9592</v>
      </c>
      <c r="D2356" t="s">
        <v>3242</v>
      </c>
      <c r="E2356" t="s">
        <v>15710</v>
      </c>
      <c r="F2356" t="s">
        <v>3243</v>
      </c>
      <c r="G2356" t="s">
        <v>9593</v>
      </c>
      <c r="H2356" t="s">
        <v>3484</v>
      </c>
    </row>
    <row r="2357" spans="1:9" x14ac:dyDescent="0.25">
      <c r="A2357" t="s">
        <v>9594</v>
      </c>
      <c r="B2357" t="s">
        <v>9594</v>
      </c>
      <c r="C2357" t="s">
        <v>9595</v>
      </c>
      <c r="D2357" t="s">
        <v>3242</v>
      </c>
      <c r="E2357" t="s">
        <v>15899</v>
      </c>
      <c r="F2357" t="s">
        <v>3257</v>
      </c>
      <c r="G2357" t="s">
        <v>9596</v>
      </c>
      <c r="H2357" t="s">
        <v>3647</v>
      </c>
      <c r="I2357" t="s">
        <v>3648</v>
      </c>
    </row>
    <row r="2358" spans="1:9" x14ac:dyDescent="0.25">
      <c r="A2358" t="s">
        <v>9597</v>
      </c>
      <c r="B2358" t="s">
        <v>9597</v>
      </c>
      <c r="C2358" t="s">
        <v>9598</v>
      </c>
      <c r="D2358" t="s">
        <v>3242</v>
      </c>
      <c r="E2358" t="s">
        <v>15710</v>
      </c>
      <c r="F2358" t="s">
        <v>3257</v>
      </c>
      <c r="G2358" t="s">
        <v>9599</v>
      </c>
      <c r="H2358" t="s">
        <v>3357</v>
      </c>
      <c r="I2358" t="s">
        <v>3268</v>
      </c>
    </row>
    <row r="2359" spans="1:9" x14ac:dyDescent="0.25">
      <c r="A2359" t="s">
        <v>9600</v>
      </c>
      <c r="B2359" t="s">
        <v>9600</v>
      </c>
      <c r="C2359" t="s">
        <v>9601</v>
      </c>
      <c r="D2359" t="s">
        <v>3242</v>
      </c>
      <c r="E2359" t="s">
        <v>15710</v>
      </c>
      <c r="F2359" t="s">
        <v>3257</v>
      </c>
      <c r="G2359" t="s">
        <v>9602</v>
      </c>
      <c r="H2359" t="s">
        <v>3484</v>
      </c>
      <c r="I2359" t="s">
        <v>3263</v>
      </c>
    </row>
    <row r="2360" spans="1:9" x14ac:dyDescent="0.25">
      <c r="A2360" t="s">
        <v>9603</v>
      </c>
      <c r="B2360" t="s">
        <v>9603</v>
      </c>
      <c r="C2360" t="s">
        <v>9604</v>
      </c>
      <c r="D2360" t="s">
        <v>3242</v>
      </c>
      <c r="E2360" t="s">
        <v>17597</v>
      </c>
      <c r="F2360" t="s">
        <v>6458</v>
      </c>
      <c r="G2360" t="s">
        <v>9605</v>
      </c>
      <c r="H2360" t="s">
        <v>4856</v>
      </c>
      <c r="I2360" t="s">
        <v>3407</v>
      </c>
    </row>
    <row r="2361" spans="1:9" x14ac:dyDescent="0.25">
      <c r="A2361" t="s">
        <v>9606</v>
      </c>
      <c r="B2361" t="s">
        <v>9606</v>
      </c>
      <c r="C2361" t="s">
        <v>9607</v>
      </c>
      <c r="D2361" t="s">
        <v>3242</v>
      </c>
      <c r="E2361" t="s">
        <v>15710</v>
      </c>
      <c r="F2361" t="s">
        <v>3251</v>
      </c>
      <c r="G2361" t="s">
        <v>9608</v>
      </c>
      <c r="H2361" t="s">
        <v>3060</v>
      </c>
      <c r="I2361" t="s">
        <v>4028</v>
      </c>
    </row>
    <row r="2362" spans="1:9" x14ac:dyDescent="0.25">
      <c r="A2362" t="s">
        <v>17030</v>
      </c>
      <c r="B2362" t="s">
        <v>17030</v>
      </c>
      <c r="C2362" t="s">
        <v>17031</v>
      </c>
      <c r="D2362" t="s">
        <v>3242</v>
      </c>
      <c r="E2362" t="s">
        <v>15710</v>
      </c>
      <c r="F2362" t="s">
        <v>3243</v>
      </c>
      <c r="G2362" t="s">
        <v>17032</v>
      </c>
      <c r="H2362" t="s">
        <v>5394</v>
      </c>
    </row>
    <row r="2363" spans="1:9" x14ac:dyDescent="0.25">
      <c r="A2363" t="s">
        <v>9609</v>
      </c>
      <c r="B2363" t="s">
        <v>9609</v>
      </c>
      <c r="C2363" t="s">
        <v>9610</v>
      </c>
      <c r="D2363" t="s">
        <v>3242</v>
      </c>
      <c r="E2363" t="s">
        <v>15710</v>
      </c>
      <c r="F2363" t="s">
        <v>3243</v>
      </c>
      <c r="G2363" t="s">
        <v>9611</v>
      </c>
      <c r="H2363" t="s">
        <v>7799</v>
      </c>
    </row>
    <row r="2364" spans="1:9" x14ac:dyDescent="0.25">
      <c r="A2364" t="s">
        <v>9612</v>
      </c>
      <c r="B2364" t="s">
        <v>9612</v>
      </c>
      <c r="C2364" t="s">
        <v>9613</v>
      </c>
      <c r="D2364" t="s">
        <v>3242</v>
      </c>
      <c r="E2364" t="s">
        <v>15710</v>
      </c>
      <c r="F2364" t="s">
        <v>3243</v>
      </c>
      <c r="G2364" t="s">
        <v>9614</v>
      </c>
      <c r="H2364" t="s">
        <v>3566</v>
      </c>
    </row>
    <row r="2365" spans="1:9" x14ac:dyDescent="0.25">
      <c r="A2365" t="s">
        <v>9615</v>
      </c>
      <c r="B2365" t="s">
        <v>9615</v>
      </c>
      <c r="C2365" t="s">
        <v>9616</v>
      </c>
      <c r="D2365" t="s">
        <v>3242</v>
      </c>
      <c r="E2365" t="s">
        <v>15710</v>
      </c>
      <c r="F2365" t="s">
        <v>6858</v>
      </c>
      <c r="G2365" t="s">
        <v>9617</v>
      </c>
      <c r="H2365" t="s">
        <v>7817</v>
      </c>
    </row>
    <row r="2366" spans="1:9" x14ac:dyDescent="0.25">
      <c r="A2366" t="s">
        <v>9618</v>
      </c>
      <c r="B2366" t="s">
        <v>9618</v>
      </c>
      <c r="C2366" t="s">
        <v>9619</v>
      </c>
      <c r="D2366" t="s">
        <v>3242</v>
      </c>
      <c r="E2366" t="s">
        <v>15710</v>
      </c>
      <c r="F2366" t="s">
        <v>3372</v>
      </c>
      <c r="G2366" t="s">
        <v>9620</v>
      </c>
      <c r="H2366" t="s">
        <v>3267</v>
      </c>
      <c r="I2366" t="s">
        <v>3268</v>
      </c>
    </row>
    <row r="2367" spans="1:9" x14ac:dyDescent="0.25">
      <c r="A2367" t="s">
        <v>15234</v>
      </c>
      <c r="B2367" t="s">
        <v>15234</v>
      </c>
      <c r="C2367" t="s">
        <v>15235</v>
      </c>
      <c r="D2367" t="s">
        <v>3242</v>
      </c>
      <c r="E2367" t="s">
        <v>15710</v>
      </c>
      <c r="F2367" t="s">
        <v>3306</v>
      </c>
      <c r="G2367" t="s">
        <v>15236</v>
      </c>
      <c r="H2367" t="s">
        <v>3267</v>
      </c>
      <c r="I2367" t="s">
        <v>3328</v>
      </c>
    </row>
    <row r="2368" spans="1:9" x14ac:dyDescent="0.25">
      <c r="A2368" t="s">
        <v>9621</v>
      </c>
      <c r="B2368" t="s">
        <v>9621</v>
      </c>
      <c r="C2368" t="s">
        <v>9622</v>
      </c>
      <c r="D2368" t="s">
        <v>3242</v>
      </c>
      <c r="E2368" t="s">
        <v>15710</v>
      </c>
      <c r="F2368" t="s">
        <v>3826</v>
      </c>
      <c r="G2368" t="s">
        <v>9623</v>
      </c>
      <c r="H2368" t="s">
        <v>3285</v>
      </c>
    </row>
    <row r="2369" spans="1:9" x14ac:dyDescent="0.25">
      <c r="A2369" t="s">
        <v>9624</v>
      </c>
      <c r="B2369" t="s">
        <v>9624</v>
      </c>
      <c r="C2369" t="s">
        <v>9625</v>
      </c>
      <c r="D2369" t="s">
        <v>3242</v>
      </c>
      <c r="E2369" t="s">
        <v>15710</v>
      </c>
      <c r="F2369" t="s">
        <v>8360</v>
      </c>
      <c r="G2369" t="s">
        <v>9626</v>
      </c>
      <c r="H2369" t="s">
        <v>3060</v>
      </c>
      <c r="I2369" t="s">
        <v>3451</v>
      </c>
    </row>
    <row r="2370" spans="1:9" x14ac:dyDescent="0.25">
      <c r="A2370" t="s">
        <v>16853</v>
      </c>
      <c r="B2370" t="s">
        <v>16853</v>
      </c>
      <c r="C2370" t="s">
        <v>16854</v>
      </c>
      <c r="D2370" t="s">
        <v>3242</v>
      </c>
      <c r="E2370" t="s">
        <v>17033</v>
      </c>
      <c r="F2370" t="s">
        <v>3243</v>
      </c>
      <c r="G2370" t="s">
        <v>16855</v>
      </c>
      <c r="H2370" t="s">
        <v>3262</v>
      </c>
    </row>
    <row r="2371" spans="1:9" x14ac:dyDescent="0.25">
      <c r="A2371" t="s">
        <v>9627</v>
      </c>
      <c r="B2371" t="s">
        <v>9627</v>
      </c>
      <c r="C2371" t="s">
        <v>9628</v>
      </c>
      <c r="D2371" t="s">
        <v>3242</v>
      </c>
      <c r="E2371" t="s">
        <v>17355</v>
      </c>
      <c r="F2371" t="s">
        <v>9629</v>
      </c>
      <c r="G2371" t="s">
        <v>9630</v>
      </c>
      <c r="H2371" t="s">
        <v>4856</v>
      </c>
      <c r="I2371" t="s">
        <v>3407</v>
      </c>
    </row>
    <row r="2372" spans="1:9" x14ac:dyDescent="0.25">
      <c r="A2372" t="s">
        <v>9631</v>
      </c>
      <c r="B2372" t="s">
        <v>9631</v>
      </c>
      <c r="C2372" t="s">
        <v>9632</v>
      </c>
      <c r="D2372" t="s">
        <v>3242</v>
      </c>
      <c r="E2372" t="s">
        <v>15710</v>
      </c>
      <c r="F2372" t="s">
        <v>3251</v>
      </c>
      <c r="G2372" t="s">
        <v>9633</v>
      </c>
      <c r="H2372" t="s">
        <v>3668</v>
      </c>
      <c r="I2372" t="s">
        <v>5250</v>
      </c>
    </row>
    <row r="2373" spans="1:9" x14ac:dyDescent="0.25">
      <c r="A2373" t="s">
        <v>9634</v>
      </c>
      <c r="B2373" t="s">
        <v>9634</v>
      </c>
      <c r="C2373" t="s">
        <v>9635</v>
      </c>
      <c r="D2373" t="s">
        <v>3242</v>
      </c>
      <c r="E2373" t="s">
        <v>15863</v>
      </c>
      <c r="F2373" t="s">
        <v>3243</v>
      </c>
      <c r="G2373" t="s">
        <v>9636</v>
      </c>
      <c r="H2373" t="s">
        <v>3290</v>
      </c>
    </row>
    <row r="2374" spans="1:9" x14ac:dyDescent="0.25">
      <c r="A2374" t="s">
        <v>9637</v>
      </c>
      <c r="B2374" t="s">
        <v>9637</v>
      </c>
      <c r="C2374" t="s">
        <v>9638</v>
      </c>
      <c r="D2374" t="s">
        <v>3242</v>
      </c>
      <c r="E2374" t="s">
        <v>17598</v>
      </c>
      <c r="F2374" t="s">
        <v>5158</v>
      </c>
      <c r="G2374" t="s">
        <v>9639</v>
      </c>
      <c r="H2374" t="s">
        <v>5289</v>
      </c>
      <c r="I2374" t="s">
        <v>3648</v>
      </c>
    </row>
    <row r="2375" spans="1:9" x14ac:dyDescent="0.25">
      <c r="A2375" t="s">
        <v>9640</v>
      </c>
      <c r="B2375" t="s">
        <v>9640</v>
      </c>
      <c r="C2375" t="s">
        <v>9641</v>
      </c>
      <c r="D2375" t="s">
        <v>3242</v>
      </c>
      <c r="E2375" t="s">
        <v>16780</v>
      </c>
      <c r="F2375" t="s">
        <v>3243</v>
      </c>
      <c r="G2375" t="s">
        <v>9642</v>
      </c>
      <c r="H2375" t="s">
        <v>3290</v>
      </c>
    </row>
    <row r="2376" spans="1:9" x14ac:dyDescent="0.25">
      <c r="A2376" t="s">
        <v>9643</v>
      </c>
      <c r="B2376" t="s">
        <v>9643</v>
      </c>
      <c r="C2376" t="s">
        <v>9644</v>
      </c>
      <c r="D2376" t="s">
        <v>3242</v>
      </c>
      <c r="E2376" t="s">
        <v>17356</v>
      </c>
      <c r="F2376" t="s">
        <v>8434</v>
      </c>
      <c r="G2376" t="s">
        <v>9645</v>
      </c>
      <c r="H2376" t="s">
        <v>3647</v>
      </c>
      <c r="I2376" t="s">
        <v>3648</v>
      </c>
    </row>
    <row r="2377" spans="1:9" x14ac:dyDescent="0.25">
      <c r="A2377" t="s">
        <v>9646</v>
      </c>
      <c r="B2377" t="s">
        <v>9646</v>
      </c>
      <c r="C2377" t="s">
        <v>9647</v>
      </c>
      <c r="D2377" t="s">
        <v>3242</v>
      </c>
      <c r="E2377" t="s">
        <v>15710</v>
      </c>
      <c r="F2377" t="s">
        <v>3257</v>
      </c>
      <c r="G2377" t="s">
        <v>9648</v>
      </c>
      <c r="H2377" t="s">
        <v>3417</v>
      </c>
      <c r="I2377" t="s">
        <v>3648</v>
      </c>
    </row>
    <row r="2378" spans="1:9" x14ac:dyDescent="0.25">
      <c r="A2378" t="s">
        <v>9649</v>
      </c>
      <c r="B2378" t="s">
        <v>9649</v>
      </c>
      <c r="C2378" t="s">
        <v>9650</v>
      </c>
      <c r="D2378" t="s">
        <v>3242</v>
      </c>
      <c r="E2378" t="s">
        <v>15710</v>
      </c>
      <c r="F2378" t="s">
        <v>3243</v>
      </c>
      <c r="G2378" t="s">
        <v>9651</v>
      </c>
      <c r="H2378" t="s">
        <v>3417</v>
      </c>
    </row>
    <row r="2379" spans="1:9" x14ac:dyDescent="0.25">
      <c r="A2379" t="s">
        <v>9652</v>
      </c>
      <c r="B2379" t="s">
        <v>9652</v>
      </c>
      <c r="C2379" t="s">
        <v>9653</v>
      </c>
      <c r="D2379" t="s">
        <v>3242</v>
      </c>
      <c r="E2379" t="s">
        <v>16439</v>
      </c>
      <c r="F2379" t="s">
        <v>9231</v>
      </c>
      <c r="G2379" t="s">
        <v>9654</v>
      </c>
      <c r="H2379" t="s">
        <v>7817</v>
      </c>
      <c r="I2379" t="s">
        <v>3358</v>
      </c>
    </row>
    <row r="2380" spans="1:9" x14ac:dyDescent="0.25">
      <c r="A2380" t="s">
        <v>9655</v>
      </c>
      <c r="B2380" t="s">
        <v>9655</v>
      </c>
      <c r="C2380" t="s">
        <v>9656</v>
      </c>
      <c r="D2380" t="s">
        <v>3242</v>
      </c>
      <c r="E2380" t="s">
        <v>15710</v>
      </c>
      <c r="F2380" t="s">
        <v>3345</v>
      </c>
      <c r="G2380" t="s">
        <v>9657</v>
      </c>
      <c r="H2380" t="s">
        <v>3285</v>
      </c>
    </row>
    <row r="2381" spans="1:9" x14ac:dyDescent="0.25">
      <c r="A2381" t="s">
        <v>9658</v>
      </c>
      <c r="B2381" t="s">
        <v>9658</v>
      </c>
      <c r="C2381" t="s">
        <v>9659</v>
      </c>
      <c r="D2381" t="s">
        <v>3242</v>
      </c>
      <c r="E2381" t="s">
        <v>17357</v>
      </c>
      <c r="F2381" t="s">
        <v>3257</v>
      </c>
      <c r="G2381" t="s">
        <v>9660</v>
      </c>
      <c r="H2381" t="s">
        <v>3060</v>
      </c>
      <c r="I2381" t="s">
        <v>4028</v>
      </c>
    </row>
    <row r="2382" spans="1:9" x14ac:dyDescent="0.25">
      <c r="A2382" t="s">
        <v>9661</v>
      </c>
      <c r="B2382" t="s">
        <v>9661</v>
      </c>
      <c r="C2382" t="s">
        <v>9662</v>
      </c>
      <c r="D2382" t="s">
        <v>3242</v>
      </c>
      <c r="E2382" t="s">
        <v>15710</v>
      </c>
      <c r="F2382" t="s">
        <v>3288</v>
      </c>
      <c r="G2382" t="s">
        <v>9663</v>
      </c>
      <c r="H2382" t="s">
        <v>4045</v>
      </c>
    </row>
    <row r="2383" spans="1:9" x14ac:dyDescent="0.25">
      <c r="A2383" t="s">
        <v>9664</v>
      </c>
      <c r="B2383" t="s">
        <v>9664</v>
      </c>
      <c r="C2383" t="s">
        <v>9665</v>
      </c>
      <c r="D2383" t="s">
        <v>3242</v>
      </c>
      <c r="E2383" t="s">
        <v>15710</v>
      </c>
      <c r="F2383" t="s">
        <v>3243</v>
      </c>
      <c r="G2383" t="s">
        <v>9666</v>
      </c>
      <c r="H2383" t="s">
        <v>9667</v>
      </c>
    </row>
    <row r="2384" spans="1:9" x14ac:dyDescent="0.25">
      <c r="A2384" t="s">
        <v>9668</v>
      </c>
      <c r="B2384" t="s">
        <v>9668</v>
      </c>
      <c r="C2384" t="s">
        <v>9669</v>
      </c>
      <c r="D2384" t="s">
        <v>3242</v>
      </c>
      <c r="E2384" t="s">
        <v>15937</v>
      </c>
      <c r="F2384" t="s">
        <v>3243</v>
      </c>
      <c r="G2384" t="s">
        <v>9670</v>
      </c>
      <c r="H2384" t="s">
        <v>9671</v>
      </c>
    </row>
    <row r="2385" spans="1:9" x14ac:dyDescent="0.25">
      <c r="A2385" t="s">
        <v>9672</v>
      </c>
      <c r="B2385" t="s">
        <v>9672</v>
      </c>
      <c r="C2385" t="s">
        <v>9673</v>
      </c>
      <c r="D2385" t="s">
        <v>3242</v>
      </c>
      <c r="E2385" t="s">
        <v>15710</v>
      </c>
      <c r="F2385" t="s">
        <v>4996</v>
      </c>
      <c r="G2385" t="s">
        <v>9674</v>
      </c>
      <c r="H2385" t="s">
        <v>6617</v>
      </c>
      <c r="I2385" t="s">
        <v>3366</v>
      </c>
    </row>
    <row r="2386" spans="1:9" x14ac:dyDescent="0.25">
      <c r="A2386" t="s">
        <v>9675</v>
      </c>
      <c r="B2386" t="s">
        <v>9675</v>
      </c>
      <c r="C2386" t="s">
        <v>9676</v>
      </c>
      <c r="D2386" t="s">
        <v>3242</v>
      </c>
      <c r="E2386" t="s">
        <v>15710</v>
      </c>
      <c r="F2386" t="s">
        <v>3283</v>
      </c>
      <c r="G2386" t="s">
        <v>9677</v>
      </c>
      <c r="H2386" t="s">
        <v>8306</v>
      </c>
    </row>
    <row r="2387" spans="1:9" x14ac:dyDescent="0.25">
      <c r="A2387" t="s">
        <v>9678</v>
      </c>
      <c r="B2387" t="s">
        <v>9678</v>
      </c>
      <c r="C2387" t="s">
        <v>9679</v>
      </c>
      <c r="D2387" t="s">
        <v>3242</v>
      </c>
      <c r="E2387" t="s">
        <v>15710</v>
      </c>
      <c r="F2387" t="s">
        <v>5497</v>
      </c>
      <c r="G2387" t="s">
        <v>9680</v>
      </c>
      <c r="H2387" t="s">
        <v>3537</v>
      </c>
      <c r="I2387" t="s">
        <v>3451</v>
      </c>
    </row>
    <row r="2388" spans="1:9" x14ac:dyDescent="0.25">
      <c r="A2388" t="s">
        <v>9681</v>
      </c>
      <c r="B2388" t="s">
        <v>9681</v>
      </c>
      <c r="C2388" t="s">
        <v>9682</v>
      </c>
      <c r="D2388" t="s">
        <v>3242</v>
      </c>
      <c r="E2388" t="s">
        <v>15710</v>
      </c>
      <c r="F2388" t="s">
        <v>3243</v>
      </c>
      <c r="G2388" t="s">
        <v>9683</v>
      </c>
      <c r="H2388" t="s">
        <v>4045</v>
      </c>
    </row>
    <row r="2389" spans="1:9" x14ac:dyDescent="0.25">
      <c r="A2389" t="s">
        <v>9684</v>
      </c>
      <c r="B2389" t="s">
        <v>9684</v>
      </c>
      <c r="C2389" t="s">
        <v>9685</v>
      </c>
      <c r="D2389" t="s">
        <v>3242</v>
      </c>
      <c r="E2389" t="s">
        <v>15710</v>
      </c>
      <c r="F2389" t="s">
        <v>3243</v>
      </c>
      <c r="G2389" t="s">
        <v>9686</v>
      </c>
      <c r="H2389" t="s">
        <v>3285</v>
      </c>
    </row>
    <row r="2390" spans="1:9" x14ac:dyDescent="0.25">
      <c r="A2390" t="s">
        <v>9687</v>
      </c>
      <c r="B2390" t="s">
        <v>9687</v>
      </c>
      <c r="C2390" t="s">
        <v>9688</v>
      </c>
      <c r="D2390" t="s">
        <v>3242</v>
      </c>
      <c r="E2390" t="s">
        <v>15710</v>
      </c>
      <c r="F2390" t="s">
        <v>3243</v>
      </c>
      <c r="G2390" t="s">
        <v>9689</v>
      </c>
      <c r="H2390" t="s">
        <v>3285</v>
      </c>
    </row>
    <row r="2391" spans="1:9" x14ac:dyDescent="0.25">
      <c r="A2391" t="s">
        <v>9690</v>
      </c>
      <c r="B2391" t="s">
        <v>9690</v>
      </c>
      <c r="C2391" t="s">
        <v>9691</v>
      </c>
      <c r="D2391" t="s">
        <v>3242</v>
      </c>
      <c r="E2391" t="s">
        <v>15710</v>
      </c>
      <c r="F2391" t="s">
        <v>3243</v>
      </c>
      <c r="G2391" t="s">
        <v>9692</v>
      </c>
      <c r="H2391" t="s">
        <v>3060</v>
      </c>
    </row>
    <row r="2392" spans="1:9" x14ac:dyDescent="0.25">
      <c r="A2392" t="s">
        <v>9693</v>
      </c>
      <c r="B2392" t="s">
        <v>9693</v>
      </c>
      <c r="C2392" t="s">
        <v>9694</v>
      </c>
      <c r="D2392" t="s">
        <v>3242</v>
      </c>
      <c r="E2392" t="s">
        <v>15710</v>
      </c>
      <c r="F2392" t="s">
        <v>3243</v>
      </c>
      <c r="G2392" t="s">
        <v>9695</v>
      </c>
      <c r="H2392" t="s">
        <v>3402</v>
      </c>
    </row>
    <row r="2393" spans="1:9" x14ac:dyDescent="0.25">
      <c r="A2393" t="s">
        <v>17034</v>
      </c>
      <c r="B2393" t="s">
        <v>17034</v>
      </c>
      <c r="C2393" t="s">
        <v>17035</v>
      </c>
      <c r="D2393" t="s">
        <v>3242</v>
      </c>
      <c r="E2393" t="s">
        <v>15710</v>
      </c>
      <c r="F2393" t="s">
        <v>3243</v>
      </c>
      <c r="G2393" t="s">
        <v>17036</v>
      </c>
      <c r="H2393" t="s">
        <v>3387</v>
      </c>
    </row>
    <row r="2394" spans="1:9" x14ac:dyDescent="0.25">
      <c r="A2394" t="s">
        <v>9696</v>
      </c>
      <c r="B2394" t="s">
        <v>9696</v>
      </c>
      <c r="C2394" t="s">
        <v>9697</v>
      </c>
      <c r="D2394" t="s">
        <v>3242</v>
      </c>
      <c r="E2394" t="s">
        <v>15710</v>
      </c>
      <c r="F2394" t="s">
        <v>3245</v>
      </c>
      <c r="G2394" t="s">
        <v>9698</v>
      </c>
      <c r="H2394" t="s">
        <v>3413</v>
      </c>
    </row>
    <row r="2395" spans="1:9" x14ac:dyDescent="0.25">
      <c r="A2395" t="s">
        <v>9699</v>
      </c>
      <c r="B2395" t="s">
        <v>9699</v>
      </c>
      <c r="C2395" t="s">
        <v>9700</v>
      </c>
      <c r="D2395" t="s">
        <v>3242</v>
      </c>
      <c r="E2395" t="s">
        <v>17599</v>
      </c>
      <c r="F2395" t="s">
        <v>8360</v>
      </c>
      <c r="G2395" t="s">
        <v>9701</v>
      </c>
      <c r="H2395" t="s">
        <v>3060</v>
      </c>
      <c r="I2395" t="s">
        <v>3694</v>
      </c>
    </row>
    <row r="2396" spans="1:9" x14ac:dyDescent="0.25">
      <c r="A2396" t="s">
        <v>16781</v>
      </c>
      <c r="B2396" t="s">
        <v>16781</v>
      </c>
      <c r="C2396" t="s">
        <v>16782</v>
      </c>
      <c r="D2396" t="s">
        <v>3242</v>
      </c>
      <c r="E2396" t="s">
        <v>16856</v>
      </c>
      <c r="F2396" t="s">
        <v>16783</v>
      </c>
      <c r="G2396" t="s">
        <v>16784</v>
      </c>
      <c r="H2396" t="s">
        <v>6276</v>
      </c>
      <c r="I2396" t="s">
        <v>3407</v>
      </c>
    </row>
    <row r="2397" spans="1:9" x14ac:dyDescent="0.25">
      <c r="A2397" t="s">
        <v>9702</v>
      </c>
      <c r="B2397" t="s">
        <v>9702</v>
      </c>
      <c r="C2397" t="s">
        <v>9703</v>
      </c>
      <c r="D2397" t="s">
        <v>3242</v>
      </c>
      <c r="E2397" t="s">
        <v>15710</v>
      </c>
      <c r="F2397" t="s">
        <v>3243</v>
      </c>
      <c r="G2397" t="s">
        <v>9704</v>
      </c>
      <c r="H2397" t="s">
        <v>3488</v>
      </c>
    </row>
    <row r="2398" spans="1:9" x14ac:dyDescent="0.25">
      <c r="A2398" t="s">
        <v>9705</v>
      </c>
      <c r="B2398" t="s">
        <v>9705</v>
      </c>
      <c r="C2398" t="s">
        <v>9706</v>
      </c>
      <c r="D2398" t="s">
        <v>3242</v>
      </c>
      <c r="E2398" t="s">
        <v>15710</v>
      </c>
      <c r="F2398" t="s">
        <v>3288</v>
      </c>
      <c r="G2398" t="s">
        <v>9707</v>
      </c>
      <c r="H2398" t="s">
        <v>3285</v>
      </c>
    </row>
    <row r="2399" spans="1:9" x14ac:dyDescent="0.25">
      <c r="A2399" t="s">
        <v>9708</v>
      </c>
      <c r="B2399" t="s">
        <v>9708</v>
      </c>
      <c r="C2399" t="s">
        <v>9709</v>
      </c>
      <c r="D2399" t="s">
        <v>3242</v>
      </c>
      <c r="E2399" t="s">
        <v>17037</v>
      </c>
      <c r="F2399" t="s">
        <v>9710</v>
      </c>
      <c r="G2399" t="s">
        <v>17038</v>
      </c>
      <c r="H2399" t="s">
        <v>3537</v>
      </c>
      <c r="I2399" t="s">
        <v>4605</v>
      </c>
    </row>
    <row r="2400" spans="1:9" x14ac:dyDescent="0.25">
      <c r="A2400" t="s">
        <v>9711</v>
      </c>
      <c r="B2400" t="s">
        <v>9711</v>
      </c>
      <c r="C2400" t="s">
        <v>9712</v>
      </c>
      <c r="D2400" t="s">
        <v>3242</v>
      </c>
      <c r="E2400" t="s">
        <v>15895</v>
      </c>
      <c r="F2400" t="s">
        <v>3257</v>
      </c>
      <c r="G2400" t="s">
        <v>9713</v>
      </c>
      <c r="H2400" t="s">
        <v>3248</v>
      </c>
      <c r="I2400" t="s">
        <v>3263</v>
      </c>
    </row>
    <row r="2401" spans="1:9" x14ac:dyDescent="0.25">
      <c r="A2401" t="s">
        <v>9714</v>
      </c>
      <c r="B2401" t="s">
        <v>9714</v>
      </c>
      <c r="C2401" t="s">
        <v>9715</v>
      </c>
      <c r="D2401" t="s">
        <v>3242</v>
      </c>
      <c r="E2401" t="s">
        <v>15710</v>
      </c>
      <c r="F2401" t="s">
        <v>6077</v>
      </c>
      <c r="G2401" t="s">
        <v>9716</v>
      </c>
      <c r="H2401" t="s">
        <v>3417</v>
      </c>
      <c r="I2401" t="s">
        <v>3648</v>
      </c>
    </row>
    <row r="2402" spans="1:9" x14ac:dyDescent="0.25">
      <c r="A2402" t="s">
        <v>9717</v>
      </c>
      <c r="B2402" t="s">
        <v>9717</v>
      </c>
      <c r="C2402" t="s">
        <v>9718</v>
      </c>
      <c r="D2402" t="s">
        <v>3242</v>
      </c>
      <c r="E2402" t="s">
        <v>15938</v>
      </c>
      <c r="F2402" t="s">
        <v>6858</v>
      </c>
      <c r="G2402" t="s">
        <v>9719</v>
      </c>
      <c r="H2402" t="s">
        <v>3417</v>
      </c>
    </row>
    <row r="2403" spans="1:9" x14ac:dyDescent="0.25">
      <c r="A2403" t="s">
        <v>9720</v>
      </c>
      <c r="B2403" t="s">
        <v>9720</v>
      </c>
      <c r="C2403" t="s">
        <v>9721</v>
      </c>
      <c r="D2403" t="s">
        <v>3242</v>
      </c>
      <c r="E2403" t="s">
        <v>15710</v>
      </c>
      <c r="F2403" t="s">
        <v>3257</v>
      </c>
      <c r="G2403" t="s">
        <v>9722</v>
      </c>
      <c r="H2403" t="s">
        <v>5665</v>
      </c>
      <c r="I2403" t="s">
        <v>3268</v>
      </c>
    </row>
    <row r="2404" spans="1:9" x14ac:dyDescent="0.25">
      <c r="A2404" t="s">
        <v>15237</v>
      </c>
      <c r="B2404" t="s">
        <v>15237</v>
      </c>
      <c r="C2404" t="s">
        <v>15238</v>
      </c>
      <c r="D2404" t="s">
        <v>3242</v>
      </c>
      <c r="E2404" t="s">
        <v>15710</v>
      </c>
      <c r="F2404" t="s">
        <v>3345</v>
      </c>
      <c r="G2404" t="s">
        <v>15239</v>
      </c>
      <c r="H2404" t="s">
        <v>4035</v>
      </c>
    </row>
    <row r="2405" spans="1:9" x14ac:dyDescent="0.25">
      <c r="A2405" t="s">
        <v>9723</v>
      </c>
      <c r="B2405" t="s">
        <v>9723</v>
      </c>
      <c r="C2405" t="s">
        <v>9724</v>
      </c>
      <c r="D2405" t="s">
        <v>3242</v>
      </c>
      <c r="E2405" t="s">
        <v>15710</v>
      </c>
      <c r="F2405" t="s">
        <v>5447</v>
      </c>
      <c r="G2405" t="s">
        <v>9725</v>
      </c>
      <c r="H2405" t="s">
        <v>4045</v>
      </c>
    </row>
    <row r="2406" spans="1:9" x14ac:dyDescent="0.25">
      <c r="A2406" t="s">
        <v>9726</v>
      </c>
      <c r="B2406" t="s">
        <v>9726</v>
      </c>
      <c r="C2406" t="s">
        <v>9727</v>
      </c>
      <c r="D2406" t="s">
        <v>3242</v>
      </c>
      <c r="E2406" t="s">
        <v>15710</v>
      </c>
      <c r="F2406" t="s">
        <v>3288</v>
      </c>
      <c r="G2406" t="s">
        <v>9728</v>
      </c>
      <c r="H2406" t="s">
        <v>3285</v>
      </c>
    </row>
    <row r="2407" spans="1:9" x14ac:dyDescent="0.25">
      <c r="A2407" t="s">
        <v>15240</v>
      </c>
      <c r="B2407" t="s">
        <v>15240</v>
      </c>
      <c r="C2407" t="s">
        <v>15241</v>
      </c>
      <c r="D2407" t="s">
        <v>3242</v>
      </c>
      <c r="E2407" t="s">
        <v>17358</v>
      </c>
      <c r="F2407" t="s">
        <v>3243</v>
      </c>
      <c r="G2407" t="s">
        <v>15242</v>
      </c>
      <c r="H2407" t="s">
        <v>4871</v>
      </c>
      <c r="I2407" t="s">
        <v>3366</v>
      </c>
    </row>
    <row r="2408" spans="1:9" x14ac:dyDescent="0.25">
      <c r="A2408" t="s">
        <v>9729</v>
      </c>
      <c r="B2408" t="s">
        <v>9729</v>
      </c>
      <c r="C2408" t="s">
        <v>9730</v>
      </c>
      <c r="D2408" t="s">
        <v>3242</v>
      </c>
      <c r="E2408" t="s">
        <v>15710</v>
      </c>
      <c r="F2408" t="s">
        <v>3243</v>
      </c>
      <c r="G2408" t="s">
        <v>9731</v>
      </c>
      <c r="H2408" t="s">
        <v>9732</v>
      </c>
    </row>
    <row r="2409" spans="1:9" x14ac:dyDescent="0.25">
      <c r="A2409" t="s">
        <v>9733</v>
      </c>
      <c r="B2409" t="s">
        <v>9733</v>
      </c>
      <c r="C2409" t="s">
        <v>9734</v>
      </c>
      <c r="D2409" t="s">
        <v>3242</v>
      </c>
      <c r="E2409" t="s">
        <v>15710</v>
      </c>
      <c r="F2409" t="s">
        <v>3257</v>
      </c>
      <c r="G2409" t="s">
        <v>9735</v>
      </c>
      <c r="H2409" t="s">
        <v>3332</v>
      </c>
      <c r="I2409" t="s">
        <v>3268</v>
      </c>
    </row>
    <row r="2410" spans="1:9" x14ac:dyDescent="0.25">
      <c r="A2410" t="s">
        <v>9736</v>
      </c>
      <c r="B2410" t="s">
        <v>9736</v>
      </c>
      <c r="C2410" t="s">
        <v>9737</v>
      </c>
      <c r="D2410" t="s">
        <v>3242</v>
      </c>
      <c r="E2410" t="s">
        <v>17039</v>
      </c>
      <c r="F2410" t="s">
        <v>5497</v>
      </c>
      <c r="G2410" t="s">
        <v>9738</v>
      </c>
      <c r="H2410" t="s">
        <v>3537</v>
      </c>
      <c r="I2410" t="s">
        <v>3451</v>
      </c>
    </row>
    <row r="2411" spans="1:9" x14ac:dyDescent="0.25">
      <c r="A2411" t="s">
        <v>9739</v>
      </c>
      <c r="B2411" t="s">
        <v>9739</v>
      </c>
      <c r="C2411" t="s">
        <v>9740</v>
      </c>
      <c r="D2411" t="s">
        <v>3321</v>
      </c>
      <c r="E2411" t="s">
        <v>15710</v>
      </c>
      <c r="F2411" t="s">
        <v>3243</v>
      </c>
      <c r="G2411" t="s">
        <v>9741</v>
      </c>
      <c r="H2411" t="s">
        <v>7867</v>
      </c>
    </row>
    <row r="2412" spans="1:9" x14ac:dyDescent="0.25">
      <c r="A2412" t="s">
        <v>9742</v>
      </c>
      <c r="B2412" t="s">
        <v>9742</v>
      </c>
      <c r="C2412" t="s">
        <v>9743</v>
      </c>
      <c r="D2412" t="s">
        <v>3242</v>
      </c>
      <c r="E2412" t="s">
        <v>15710</v>
      </c>
      <c r="F2412" t="s">
        <v>3251</v>
      </c>
      <c r="G2412" t="s">
        <v>9744</v>
      </c>
      <c r="H2412" t="s">
        <v>4711</v>
      </c>
      <c r="I2412" t="s">
        <v>3254</v>
      </c>
    </row>
    <row r="2413" spans="1:9" x14ac:dyDescent="0.25">
      <c r="A2413" t="s">
        <v>9745</v>
      </c>
      <c r="B2413" t="s">
        <v>9745</v>
      </c>
      <c r="C2413" t="s">
        <v>9746</v>
      </c>
      <c r="D2413" t="s">
        <v>3242</v>
      </c>
      <c r="E2413" t="s">
        <v>15710</v>
      </c>
      <c r="F2413" t="s">
        <v>3288</v>
      </c>
      <c r="G2413" t="s">
        <v>9747</v>
      </c>
      <c r="H2413" t="s">
        <v>3488</v>
      </c>
    </row>
    <row r="2414" spans="1:9" x14ac:dyDescent="0.25">
      <c r="A2414" t="s">
        <v>9748</v>
      </c>
      <c r="B2414" t="s">
        <v>9748</v>
      </c>
      <c r="C2414" t="s">
        <v>9749</v>
      </c>
      <c r="D2414" t="s">
        <v>3321</v>
      </c>
      <c r="E2414" t="s">
        <v>15710</v>
      </c>
      <c r="F2414" t="s">
        <v>3306</v>
      </c>
      <c r="G2414" t="s">
        <v>9750</v>
      </c>
      <c r="H2414" t="s">
        <v>3267</v>
      </c>
      <c r="I2414" t="s">
        <v>3268</v>
      </c>
    </row>
    <row r="2415" spans="1:9" x14ac:dyDescent="0.25">
      <c r="A2415" t="s">
        <v>17040</v>
      </c>
      <c r="B2415" t="s">
        <v>17040</v>
      </c>
      <c r="C2415" t="s">
        <v>17041</v>
      </c>
      <c r="D2415" t="s">
        <v>3242</v>
      </c>
      <c r="E2415" t="s">
        <v>15710</v>
      </c>
      <c r="F2415" t="s">
        <v>3243</v>
      </c>
      <c r="G2415" t="s">
        <v>17042</v>
      </c>
      <c r="H2415" t="s">
        <v>3463</v>
      </c>
    </row>
    <row r="2416" spans="1:9" x14ac:dyDescent="0.25">
      <c r="A2416" t="s">
        <v>9751</v>
      </c>
      <c r="B2416" t="s">
        <v>9751</v>
      </c>
      <c r="C2416" t="s">
        <v>9752</v>
      </c>
      <c r="D2416" t="s">
        <v>3242</v>
      </c>
      <c r="E2416" t="s">
        <v>15710</v>
      </c>
      <c r="F2416" t="s">
        <v>3243</v>
      </c>
      <c r="G2416" t="s">
        <v>9753</v>
      </c>
      <c r="H2416" t="s">
        <v>3417</v>
      </c>
    </row>
    <row r="2417" spans="1:9" x14ac:dyDescent="0.25">
      <c r="A2417" t="s">
        <v>9754</v>
      </c>
      <c r="B2417" t="s">
        <v>9754</v>
      </c>
      <c r="C2417" t="s">
        <v>9755</v>
      </c>
      <c r="D2417" t="s">
        <v>3242</v>
      </c>
      <c r="E2417" t="s">
        <v>15710</v>
      </c>
      <c r="F2417" t="s">
        <v>3257</v>
      </c>
      <c r="G2417" t="s">
        <v>9756</v>
      </c>
      <c r="H2417" t="s">
        <v>3267</v>
      </c>
      <c r="I2417" t="s">
        <v>3407</v>
      </c>
    </row>
    <row r="2418" spans="1:9" x14ac:dyDescent="0.25">
      <c r="A2418" t="s">
        <v>9757</v>
      </c>
      <c r="B2418" t="s">
        <v>9757</v>
      </c>
      <c r="C2418" t="s">
        <v>9758</v>
      </c>
      <c r="D2418" t="s">
        <v>3242</v>
      </c>
      <c r="E2418" t="s">
        <v>15710</v>
      </c>
      <c r="F2418" t="s">
        <v>3288</v>
      </c>
      <c r="G2418" t="s">
        <v>9759</v>
      </c>
      <c r="H2418" t="s">
        <v>3285</v>
      </c>
    </row>
    <row r="2419" spans="1:9" x14ac:dyDescent="0.25">
      <c r="A2419" t="s">
        <v>16279</v>
      </c>
      <c r="B2419" t="s">
        <v>16279</v>
      </c>
      <c r="C2419" t="s">
        <v>16280</v>
      </c>
      <c r="D2419" t="s">
        <v>3242</v>
      </c>
      <c r="E2419" t="s">
        <v>15710</v>
      </c>
      <c r="F2419" t="s">
        <v>16281</v>
      </c>
      <c r="G2419" t="s">
        <v>16282</v>
      </c>
      <c r="H2419" t="s">
        <v>12573</v>
      </c>
      <c r="I2419" t="s">
        <v>3407</v>
      </c>
    </row>
    <row r="2420" spans="1:9" x14ac:dyDescent="0.25">
      <c r="A2420" t="s">
        <v>9760</v>
      </c>
      <c r="B2420" t="s">
        <v>9760</v>
      </c>
      <c r="C2420" t="s">
        <v>9761</v>
      </c>
      <c r="D2420" t="s">
        <v>3242</v>
      </c>
      <c r="E2420" t="s">
        <v>15710</v>
      </c>
      <c r="F2420" t="s">
        <v>3243</v>
      </c>
      <c r="G2420" t="s">
        <v>9762</v>
      </c>
      <c r="H2420" t="s">
        <v>3285</v>
      </c>
    </row>
    <row r="2421" spans="1:9" x14ac:dyDescent="0.25">
      <c r="A2421" t="s">
        <v>9763</v>
      </c>
      <c r="B2421" t="s">
        <v>9763</v>
      </c>
      <c r="C2421" t="s">
        <v>9764</v>
      </c>
      <c r="D2421" t="s">
        <v>3242</v>
      </c>
      <c r="E2421" t="s">
        <v>15710</v>
      </c>
      <c r="F2421" t="s">
        <v>3243</v>
      </c>
      <c r="G2421" t="s">
        <v>9765</v>
      </c>
      <c r="H2421" t="s">
        <v>8621</v>
      </c>
    </row>
    <row r="2422" spans="1:9" x14ac:dyDescent="0.25">
      <c r="A2422" t="s">
        <v>15243</v>
      </c>
      <c r="B2422" t="s">
        <v>15243</v>
      </c>
      <c r="C2422" t="s">
        <v>15244</v>
      </c>
      <c r="D2422" t="s">
        <v>3242</v>
      </c>
      <c r="E2422" t="s">
        <v>15710</v>
      </c>
      <c r="F2422" t="s">
        <v>3288</v>
      </c>
      <c r="G2422" t="s">
        <v>15245</v>
      </c>
      <c r="H2422" t="s">
        <v>3285</v>
      </c>
    </row>
    <row r="2423" spans="1:9" x14ac:dyDescent="0.25">
      <c r="A2423" t="s">
        <v>9766</v>
      </c>
      <c r="B2423" t="s">
        <v>9766</v>
      </c>
      <c r="C2423" t="s">
        <v>9767</v>
      </c>
      <c r="D2423" t="s">
        <v>3321</v>
      </c>
      <c r="E2423" t="s">
        <v>15710</v>
      </c>
      <c r="F2423" t="s">
        <v>3257</v>
      </c>
      <c r="G2423" t="s">
        <v>9768</v>
      </c>
      <c r="H2423" t="s">
        <v>3357</v>
      </c>
      <c r="I2423" t="s">
        <v>3324</v>
      </c>
    </row>
    <row r="2424" spans="1:9" x14ac:dyDescent="0.25">
      <c r="A2424" t="s">
        <v>9769</v>
      </c>
      <c r="B2424" t="s">
        <v>9769</v>
      </c>
      <c r="C2424" t="s">
        <v>9770</v>
      </c>
      <c r="D2424" t="s">
        <v>3242</v>
      </c>
      <c r="E2424" t="s">
        <v>15710</v>
      </c>
      <c r="F2424" t="s">
        <v>3243</v>
      </c>
      <c r="G2424" t="s">
        <v>9771</v>
      </c>
      <c r="H2424" t="s">
        <v>3285</v>
      </c>
    </row>
    <row r="2425" spans="1:9" x14ac:dyDescent="0.25">
      <c r="A2425" t="s">
        <v>9772</v>
      </c>
      <c r="B2425" t="s">
        <v>9772</v>
      </c>
      <c r="C2425" t="s">
        <v>9773</v>
      </c>
      <c r="D2425" t="s">
        <v>3242</v>
      </c>
      <c r="E2425" t="s">
        <v>15710</v>
      </c>
      <c r="F2425" t="s">
        <v>3306</v>
      </c>
      <c r="G2425" t="s">
        <v>9774</v>
      </c>
      <c r="H2425" t="s">
        <v>3267</v>
      </c>
      <c r="I2425" t="s">
        <v>3268</v>
      </c>
    </row>
    <row r="2426" spans="1:9" x14ac:dyDescent="0.25">
      <c r="A2426" t="s">
        <v>15246</v>
      </c>
      <c r="B2426" t="s">
        <v>15246</v>
      </c>
      <c r="C2426" t="s">
        <v>15247</v>
      </c>
      <c r="D2426" t="s">
        <v>3242</v>
      </c>
      <c r="E2426" t="s">
        <v>15710</v>
      </c>
      <c r="F2426" t="s">
        <v>3243</v>
      </c>
      <c r="G2426" t="s">
        <v>15248</v>
      </c>
      <c r="H2426" t="s">
        <v>3488</v>
      </c>
    </row>
    <row r="2427" spans="1:9" x14ac:dyDescent="0.25">
      <c r="A2427" t="s">
        <v>16502</v>
      </c>
      <c r="B2427" t="s">
        <v>16502</v>
      </c>
      <c r="C2427" t="s">
        <v>16503</v>
      </c>
      <c r="D2427" t="s">
        <v>3242</v>
      </c>
      <c r="E2427" t="s">
        <v>15710</v>
      </c>
      <c r="F2427" t="s">
        <v>3288</v>
      </c>
      <c r="G2427" t="s">
        <v>16504</v>
      </c>
      <c r="H2427" t="s">
        <v>8466</v>
      </c>
    </row>
    <row r="2428" spans="1:9" x14ac:dyDescent="0.25">
      <c r="A2428" t="s">
        <v>9775</v>
      </c>
      <c r="B2428" t="s">
        <v>9775</v>
      </c>
      <c r="C2428" t="s">
        <v>9776</v>
      </c>
      <c r="D2428" t="s">
        <v>3242</v>
      </c>
      <c r="E2428" t="s">
        <v>15710</v>
      </c>
      <c r="F2428" t="s">
        <v>3251</v>
      </c>
      <c r="G2428" t="s">
        <v>9777</v>
      </c>
      <c r="H2428" t="s">
        <v>3668</v>
      </c>
      <c r="I2428" t="s">
        <v>5250</v>
      </c>
    </row>
    <row r="2429" spans="1:9" x14ac:dyDescent="0.25">
      <c r="A2429" t="s">
        <v>16693</v>
      </c>
      <c r="B2429" t="s">
        <v>16693</v>
      </c>
      <c r="C2429" t="s">
        <v>16694</v>
      </c>
      <c r="D2429" t="s">
        <v>3242</v>
      </c>
      <c r="E2429" t="s">
        <v>16857</v>
      </c>
      <c r="F2429" t="s">
        <v>3257</v>
      </c>
      <c r="G2429" t="s">
        <v>16695</v>
      </c>
      <c r="H2429" t="s">
        <v>3060</v>
      </c>
      <c r="I2429" t="s">
        <v>3694</v>
      </c>
    </row>
    <row r="2430" spans="1:9" x14ac:dyDescent="0.25">
      <c r="A2430" t="s">
        <v>9778</v>
      </c>
      <c r="B2430" t="s">
        <v>9778</v>
      </c>
      <c r="C2430" t="s">
        <v>9779</v>
      </c>
      <c r="D2430" t="s">
        <v>3242</v>
      </c>
      <c r="E2430" t="s">
        <v>15710</v>
      </c>
      <c r="F2430" t="s">
        <v>3243</v>
      </c>
      <c r="G2430" t="s">
        <v>9780</v>
      </c>
      <c r="H2430" t="s">
        <v>3402</v>
      </c>
    </row>
    <row r="2431" spans="1:9" x14ac:dyDescent="0.25">
      <c r="A2431" t="s">
        <v>9781</v>
      </c>
      <c r="B2431" t="s">
        <v>9781</v>
      </c>
      <c r="C2431" t="s">
        <v>9782</v>
      </c>
      <c r="D2431" t="s">
        <v>3242</v>
      </c>
      <c r="E2431" t="s">
        <v>15710</v>
      </c>
      <c r="F2431" t="s">
        <v>3372</v>
      </c>
      <c r="G2431" t="s">
        <v>15249</v>
      </c>
      <c r="H2431" t="s">
        <v>3253</v>
      </c>
      <c r="I2431" t="s">
        <v>3375</v>
      </c>
    </row>
    <row r="2432" spans="1:9" x14ac:dyDescent="0.25">
      <c r="A2432" t="s">
        <v>9783</v>
      </c>
      <c r="B2432" t="s">
        <v>9783</v>
      </c>
      <c r="C2432" t="s">
        <v>9784</v>
      </c>
      <c r="D2432" t="s">
        <v>3242</v>
      </c>
      <c r="E2432" t="s">
        <v>15710</v>
      </c>
      <c r="F2432" t="s">
        <v>3243</v>
      </c>
      <c r="G2432" t="s">
        <v>9785</v>
      </c>
      <c r="H2432" t="s">
        <v>3285</v>
      </c>
    </row>
    <row r="2433" spans="1:9" x14ac:dyDescent="0.25">
      <c r="A2433" t="s">
        <v>17359</v>
      </c>
      <c r="B2433" t="s">
        <v>17359</v>
      </c>
      <c r="C2433" t="s">
        <v>17360</v>
      </c>
      <c r="D2433" t="s">
        <v>3242</v>
      </c>
      <c r="E2433" t="s">
        <v>15788</v>
      </c>
      <c r="F2433" t="s">
        <v>3243</v>
      </c>
      <c r="G2433" t="s">
        <v>17361</v>
      </c>
      <c r="H2433" t="s">
        <v>8306</v>
      </c>
    </row>
    <row r="2434" spans="1:9" x14ac:dyDescent="0.25">
      <c r="A2434" t="s">
        <v>9786</v>
      </c>
      <c r="B2434" t="s">
        <v>9786</v>
      </c>
      <c r="C2434" t="s">
        <v>9787</v>
      </c>
      <c r="D2434" t="s">
        <v>3242</v>
      </c>
      <c r="E2434" t="s">
        <v>17600</v>
      </c>
      <c r="F2434" t="s">
        <v>9788</v>
      </c>
      <c r="G2434" t="s">
        <v>9789</v>
      </c>
      <c r="H2434" t="s">
        <v>3248</v>
      </c>
      <c r="I2434" t="s">
        <v>3407</v>
      </c>
    </row>
    <row r="2435" spans="1:9" x14ac:dyDescent="0.25">
      <c r="A2435" t="s">
        <v>9790</v>
      </c>
      <c r="B2435" t="s">
        <v>9790</v>
      </c>
      <c r="C2435" t="s">
        <v>9791</v>
      </c>
      <c r="D2435" t="s">
        <v>3242</v>
      </c>
      <c r="E2435" t="s">
        <v>15710</v>
      </c>
      <c r="F2435" t="s">
        <v>3243</v>
      </c>
      <c r="G2435" t="s">
        <v>9792</v>
      </c>
      <c r="H2435" t="s">
        <v>3680</v>
      </c>
    </row>
    <row r="2436" spans="1:9" x14ac:dyDescent="0.25">
      <c r="A2436" t="s">
        <v>9793</v>
      </c>
      <c r="B2436" t="s">
        <v>9793</v>
      </c>
      <c r="C2436" t="s">
        <v>9794</v>
      </c>
      <c r="D2436" t="s">
        <v>3242</v>
      </c>
      <c r="E2436" t="s">
        <v>15710</v>
      </c>
      <c r="F2436" t="s">
        <v>9795</v>
      </c>
      <c r="G2436" t="s">
        <v>9796</v>
      </c>
      <c r="H2436" t="s">
        <v>5289</v>
      </c>
      <c r="I2436" t="s">
        <v>3648</v>
      </c>
    </row>
    <row r="2437" spans="1:9" x14ac:dyDescent="0.25">
      <c r="A2437" t="s">
        <v>9797</v>
      </c>
      <c r="B2437" t="s">
        <v>9797</v>
      </c>
      <c r="C2437" t="s">
        <v>9798</v>
      </c>
      <c r="D2437" t="s">
        <v>3242</v>
      </c>
      <c r="E2437" t="s">
        <v>15710</v>
      </c>
      <c r="F2437" t="s">
        <v>3345</v>
      </c>
      <c r="G2437" t="s">
        <v>9799</v>
      </c>
      <c r="H2437" t="s">
        <v>3680</v>
      </c>
    </row>
    <row r="2438" spans="1:9" x14ac:dyDescent="0.25">
      <c r="A2438" t="s">
        <v>15250</v>
      </c>
      <c r="B2438" t="s">
        <v>15250</v>
      </c>
      <c r="C2438" t="s">
        <v>15251</v>
      </c>
      <c r="D2438" t="s">
        <v>3242</v>
      </c>
      <c r="E2438" t="s">
        <v>17362</v>
      </c>
      <c r="F2438" t="s">
        <v>3243</v>
      </c>
      <c r="G2438" t="s">
        <v>15252</v>
      </c>
      <c r="H2438" t="s">
        <v>3060</v>
      </c>
    </row>
    <row r="2439" spans="1:9" x14ac:dyDescent="0.25">
      <c r="A2439" t="s">
        <v>9800</v>
      </c>
      <c r="B2439" t="s">
        <v>9800</v>
      </c>
      <c r="C2439" t="s">
        <v>9801</v>
      </c>
      <c r="D2439" t="s">
        <v>3242</v>
      </c>
      <c r="E2439" t="s">
        <v>15710</v>
      </c>
      <c r="F2439" t="s">
        <v>3257</v>
      </c>
      <c r="G2439" t="s">
        <v>9802</v>
      </c>
      <c r="H2439" t="s">
        <v>3357</v>
      </c>
      <c r="I2439" t="s">
        <v>3268</v>
      </c>
    </row>
    <row r="2440" spans="1:9" x14ac:dyDescent="0.25">
      <c r="A2440" t="s">
        <v>9803</v>
      </c>
      <c r="B2440" t="s">
        <v>9803</v>
      </c>
      <c r="C2440" t="s">
        <v>9804</v>
      </c>
      <c r="D2440" t="s">
        <v>3242</v>
      </c>
      <c r="E2440" t="s">
        <v>15939</v>
      </c>
      <c r="F2440" t="s">
        <v>5955</v>
      </c>
      <c r="G2440" t="s">
        <v>9805</v>
      </c>
      <c r="H2440" t="s">
        <v>4871</v>
      </c>
      <c r="I2440" t="s">
        <v>3294</v>
      </c>
    </row>
    <row r="2441" spans="1:9" x14ac:dyDescent="0.25">
      <c r="A2441" t="s">
        <v>9806</v>
      </c>
      <c r="B2441" t="s">
        <v>9806</v>
      </c>
      <c r="C2441" t="s">
        <v>9807</v>
      </c>
      <c r="D2441" t="s">
        <v>3242</v>
      </c>
      <c r="E2441" t="s">
        <v>15710</v>
      </c>
      <c r="F2441" t="s">
        <v>3257</v>
      </c>
      <c r="G2441" t="s">
        <v>9808</v>
      </c>
      <c r="H2441" t="s">
        <v>3936</v>
      </c>
      <c r="I2441" t="s">
        <v>3694</v>
      </c>
    </row>
    <row r="2442" spans="1:9" x14ac:dyDescent="0.25">
      <c r="A2442" t="s">
        <v>9809</v>
      </c>
      <c r="B2442" t="s">
        <v>9809</v>
      </c>
      <c r="C2442" t="s">
        <v>9810</v>
      </c>
      <c r="D2442" t="s">
        <v>3242</v>
      </c>
      <c r="E2442" t="s">
        <v>17258</v>
      </c>
      <c r="F2442" t="s">
        <v>3251</v>
      </c>
      <c r="G2442" t="s">
        <v>9811</v>
      </c>
      <c r="H2442" t="s">
        <v>3668</v>
      </c>
      <c r="I2442" t="s">
        <v>4028</v>
      </c>
    </row>
    <row r="2443" spans="1:9" x14ac:dyDescent="0.25">
      <c r="A2443" t="s">
        <v>9812</v>
      </c>
      <c r="B2443" t="s">
        <v>9812</v>
      </c>
      <c r="C2443" t="s">
        <v>9813</v>
      </c>
      <c r="D2443" t="s">
        <v>3242</v>
      </c>
      <c r="E2443" t="s">
        <v>17043</v>
      </c>
      <c r="F2443" t="s">
        <v>3257</v>
      </c>
      <c r="G2443" t="s">
        <v>9814</v>
      </c>
      <c r="H2443" t="s">
        <v>3623</v>
      </c>
      <c r="I2443" t="s">
        <v>3694</v>
      </c>
    </row>
    <row r="2444" spans="1:9" x14ac:dyDescent="0.25">
      <c r="A2444" t="s">
        <v>9815</v>
      </c>
      <c r="B2444" t="s">
        <v>9815</v>
      </c>
      <c r="C2444" t="s">
        <v>9816</v>
      </c>
      <c r="D2444" t="s">
        <v>3242</v>
      </c>
      <c r="E2444" t="s">
        <v>15710</v>
      </c>
      <c r="F2444" t="s">
        <v>3345</v>
      </c>
      <c r="G2444" t="s">
        <v>9817</v>
      </c>
      <c r="H2444" t="s">
        <v>3285</v>
      </c>
    </row>
    <row r="2445" spans="1:9" x14ac:dyDescent="0.25">
      <c r="A2445" t="s">
        <v>9818</v>
      </c>
      <c r="B2445" t="s">
        <v>9818</v>
      </c>
      <c r="C2445" t="s">
        <v>9819</v>
      </c>
      <c r="D2445" t="s">
        <v>3242</v>
      </c>
      <c r="E2445" t="s">
        <v>15710</v>
      </c>
      <c r="F2445" t="s">
        <v>3257</v>
      </c>
      <c r="G2445" t="s">
        <v>9820</v>
      </c>
      <c r="H2445" t="s">
        <v>4502</v>
      </c>
      <c r="I2445" t="s">
        <v>3451</v>
      </c>
    </row>
    <row r="2446" spans="1:9" x14ac:dyDescent="0.25">
      <c r="A2446" t="s">
        <v>9821</v>
      </c>
      <c r="B2446" t="s">
        <v>9821</v>
      </c>
      <c r="C2446" t="s">
        <v>9822</v>
      </c>
      <c r="D2446" t="s">
        <v>3242</v>
      </c>
      <c r="E2446" t="s">
        <v>15979</v>
      </c>
      <c r="F2446" t="s">
        <v>3243</v>
      </c>
      <c r="G2446" t="s">
        <v>9823</v>
      </c>
      <c r="H2446" t="s">
        <v>5151</v>
      </c>
    </row>
    <row r="2447" spans="1:9" x14ac:dyDescent="0.25">
      <c r="A2447" t="s">
        <v>9824</v>
      </c>
      <c r="B2447" t="s">
        <v>9824</v>
      </c>
      <c r="C2447" t="s">
        <v>9825</v>
      </c>
      <c r="D2447" t="s">
        <v>3242</v>
      </c>
      <c r="E2447" t="s">
        <v>17654</v>
      </c>
      <c r="F2447" t="s">
        <v>3306</v>
      </c>
      <c r="G2447" t="s">
        <v>9826</v>
      </c>
      <c r="H2447" t="s">
        <v>3060</v>
      </c>
    </row>
    <row r="2448" spans="1:9" x14ac:dyDescent="0.25">
      <c r="A2448" t="s">
        <v>9827</v>
      </c>
      <c r="B2448" t="s">
        <v>9827</v>
      </c>
      <c r="C2448" t="s">
        <v>9828</v>
      </c>
      <c r="D2448" t="s">
        <v>3242</v>
      </c>
      <c r="E2448" t="s">
        <v>16291</v>
      </c>
      <c r="F2448" t="s">
        <v>9829</v>
      </c>
      <c r="G2448" t="s">
        <v>9830</v>
      </c>
      <c r="H2448" t="s">
        <v>5700</v>
      </c>
      <c r="I2448" t="s">
        <v>3648</v>
      </c>
    </row>
    <row r="2449" spans="1:9" x14ac:dyDescent="0.25">
      <c r="A2449" t="s">
        <v>9831</v>
      </c>
      <c r="B2449" t="s">
        <v>9831</v>
      </c>
      <c r="C2449" t="s">
        <v>9832</v>
      </c>
      <c r="D2449" t="s">
        <v>3242</v>
      </c>
      <c r="E2449" t="s">
        <v>16283</v>
      </c>
      <c r="F2449" t="s">
        <v>7841</v>
      </c>
      <c r="G2449" t="s">
        <v>9833</v>
      </c>
      <c r="H2449" t="s">
        <v>3417</v>
      </c>
    </row>
    <row r="2450" spans="1:9" x14ac:dyDescent="0.25">
      <c r="A2450" t="s">
        <v>9834</v>
      </c>
      <c r="B2450" t="s">
        <v>9834</v>
      </c>
      <c r="C2450" t="s">
        <v>9835</v>
      </c>
      <c r="D2450" t="s">
        <v>3242</v>
      </c>
      <c r="E2450" t="s">
        <v>17363</v>
      </c>
      <c r="F2450" t="s">
        <v>8401</v>
      </c>
      <c r="G2450" t="s">
        <v>9836</v>
      </c>
      <c r="H2450" t="s">
        <v>3496</v>
      </c>
      <c r="I2450" t="s">
        <v>3407</v>
      </c>
    </row>
    <row r="2451" spans="1:9" x14ac:dyDescent="0.25">
      <c r="A2451" t="s">
        <v>9837</v>
      </c>
      <c r="B2451" t="s">
        <v>9837</v>
      </c>
      <c r="C2451" t="s">
        <v>9838</v>
      </c>
      <c r="D2451" t="s">
        <v>3242</v>
      </c>
      <c r="E2451" t="s">
        <v>15710</v>
      </c>
      <c r="F2451" t="s">
        <v>3243</v>
      </c>
      <c r="G2451" t="s">
        <v>9839</v>
      </c>
      <c r="H2451" t="s">
        <v>3614</v>
      </c>
    </row>
    <row r="2452" spans="1:9" x14ac:dyDescent="0.25">
      <c r="A2452" t="s">
        <v>9840</v>
      </c>
      <c r="B2452" t="s">
        <v>9840</v>
      </c>
      <c r="C2452" t="s">
        <v>9841</v>
      </c>
      <c r="D2452" t="s">
        <v>3242</v>
      </c>
      <c r="E2452" t="s">
        <v>15940</v>
      </c>
      <c r="F2452" t="s">
        <v>6858</v>
      </c>
      <c r="G2452" t="s">
        <v>9842</v>
      </c>
      <c r="H2452" t="s">
        <v>4045</v>
      </c>
      <c r="I2452" t="s">
        <v>3694</v>
      </c>
    </row>
    <row r="2453" spans="1:9" x14ac:dyDescent="0.25">
      <c r="A2453" t="s">
        <v>15253</v>
      </c>
      <c r="B2453" t="s">
        <v>15253</v>
      </c>
      <c r="C2453" t="s">
        <v>15254</v>
      </c>
      <c r="D2453" t="s">
        <v>3242</v>
      </c>
      <c r="E2453" t="s">
        <v>15710</v>
      </c>
      <c r="F2453" t="s">
        <v>3288</v>
      </c>
      <c r="G2453" t="s">
        <v>15255</v>
      </c>
      <c r="H2453" t="s">
        <v>15256</v>
      </c>
    </row>
    <row r="2454" spans="1:9" x14ac:dyDescent="0.25">
      <c r="A2454" t="s">
        <v>9843</v>
      </c>
      <c r="B2454" t="s">
        <v>9843</v>
      </c>
      <c r="C2454" t="s">
        <v>9844</v>
      </c>
      <c r="D2454" t="s">
        <v>3242</v>
      </c>
      <c r="E2454" t="s">
        <v>15710</v>
      </c>
      <c r="F2454" t="s">
        <v>6162</v>
      </c>
      <c r="G2454" t="s">
        <v>9845</v>
      </c>
      <c r="H2454" t="s">
        <v>3248</v>
      </c>
      <c r="I2454" t="s">
        <v>3263</v>
      </c>
    </row>
    <row r="2455" spans="1:9" x14ac:dyDescent="0.25">
      <c r="A2455" t="s">
        <v>16505</v>
      </c>
      <c r="B2455" t="s">
        <v>16505</v>
      </c>
      <c r="C2455" t="s">
        <v>16506</v>
      </c>
      <c r="D2455" t="s">
        <v>3242</v>
      </c>
      <c r="E2455" t="s">
        <v>17044</v>
      </c>
      <c r="F2455" t="s">
        <v>3306</v>
      </c>
      <c r="G2455" t="s">
        <v>16507</v>
      </c>
      <c r="H2455" t="s">
        <v>5289</v>
      </c>
      <c r="I2455" t="s">
        <v>3268</v>
      </c>
    </row>
    <row r="2456" spans="1:9" x14ac:dyDescent="0.25">
      <c r="A2456" t="s">
        <v>9846</v>
      </c>
      <c r="B2456" t="s">
        <v>9846</v>
      </c>
      <c r="C2456" t="s">
        <v>9847</v>
      </c>
      <c r="D2456" t="s">
        <v>3242</v>
      </c>
      <c r="E2456" t="s">
        <v>17364</v>
      </c>
      <c r="F2456" t="s">
        <v>9848</v>
      </c>
      <c r="G2456" t="s">
        <v>9088</v>
      </c>
      <c r="H2456" t="s">
        <v>3496</v>
      </c>
      <c r="I2456" t="s">
        <v>3407</v>
      </c>
    </row>
    <row r="2457" spans="1:9" x14ac:dyDescent="0.25">
      <c r="A2457" t="s">
        <v>9849</v>
      </c>
      <c r="B2457" t="s">
        <v>9849</v>
      </c>
      <c r="C2457" t="s">
        <v>9850</v>
      </c>
      <c r="D2457" t="s">
        <v>3242</v>
      </c>
      <c r="E2457" t="s">
        <v>15710</v>
      </c>
      <c r="F2457" t="s">
        <v>15712</v>
      </c>
      <c r="G2457" t="s">
        <v>9851</v>
      </c>
      <c r="H2457" t="s">
        <v>3290</v>
      </c>
    </row>
    <row r="2458" spans="1:9" x14ac:dyDescent="0.25">
      <c r="A2458" t="s">
        <v>9852</v>
      </c>
      <c r="B2458" t="s">
        <v>9852</v>
      </c>
      <c r="C2458" t="s">
        <v>9853</v>
      </c>
      <c r="D2458" t="s">
        <v>3242</v>
      </c>
      <c r="E2458" t="s">
        <v>15710</v>
      </c>
      <c r="F2458" t="s">
        <v>3243</v>
      </c>
      <c r="G2458" t="s">
        <v>9854</v>
      </c>
      <c r="H2458" t="s">
        <v>3402</v>
      </c>
    </row>
    <row r="2459" spans="1:9" x14ac:dyDescent="0.25">
      <c r="A2459" t="s">
        <v>9855</v>
      </c>
      <c r="B2459" t="s">
        <v>9855</v>
      </c>
      <c r="C2459" t="s">
        <v>9856</v>
      </c>
      <c r="D2459" t="s">
        <v>3242</v>
      </c>
      <c r="E2459" t="s">
        <v>15710</v>
      </c>
      <c r="F2459" t="s">
        <v>3288</v>
      </c>
      <c r="G2459" t="s">
        <v>9857</v>
      </c>
      <c r="H2459" t="s">
        <v>3463</v>
      </c>
    </row>
    <row r="2460" spans="1:9" x14ac:dyDescent="0.25">
      <c r="A2460" t="s">
        <v>9858</v>
      </c>
      <c r="B2460" t="s">
        <v>9858</v>
      </c>
      <c r="C2460" t="s">
        <v>9859</v>
      </c>
      <c r="D2460" t="s">
        <v>3242</v>
      </c>
      <c r="E2460" t="s">
        <v>15912</v>
      </c>
      <c r="F2460" t="s">
        <v>3243</v>
      </c>
      <c r="G2460" t="s">
        <v>9860</v>
      </c>
      <c r="H2460" t="s">
        <v>3290</v>
      </c>
    </row>
    <row r="2461" spans="1:9" x14ac:dyDescent="0.25">
      <c r="A2461" t="s">
        <v>9861</v>
      </c>
      <c r="B2461" t="s">
        <v>9861</v>
      </c>
      <c r="C2461" t="s">
        <v>9862</v>
      </c>
      <c r="D2461" t="s">
        <v>3242</v>
      </c>
      <c r="E2461" t="s">
        <v>17365</v>
      </c>
      <c r="F2461" t="s">
        <v>3257</v>
      </c>
      <c r="G2461" t="s">
        <v>9863</v>
      </c>
      <c r="H2461" t="s">
        <v>3267</v>
      </c>
      <c r="I2461" t="s">
        <v>3268</v>
      </c>
    </row>
    <row r="2462" spans="1:9" x14ac:dyDescent="0.25">
      <c r="A2462" t="s">
        <v>9864</v>
      </c>
      <c r="B2462" t="s">
        <v>9864</v>
      </c>
      <c r="C2462" t="s">
        <v>9865</v>
      </c>
      <c r="D2462" t="s">
        <v>3242</v>
      </c>
      <c r="E2462" t="s">
        <v>15941</v>
      </c>
      <c r="F2462" t="s">
        <v>3257</v>
      </c>
      <c r="G2462" t="s">
        <v>9866</v>
      </c>
      <c r="H2462" t="s">
        <v>3323</v>
      </c>
      <c r="I2462" t="s">
        <v>3324</v>
      </c>
    </row>
    <row r="2463" spans="1:9" x14ac:dyDescent="0.25">
      <c r="A2463" t="s">
        <v>9867</v>
      </c>
      <c r="B2463" t="s">
        <v>9867</v>
      </c>
      <c r="C2463" t="s">
        <v>9868</v>
      </c>
      <c r="D2463" t="s">
        <v>3242</v>
      </c>
      <c r="E2463" t="s">
        <v>15710</v>
      </c>
      <c r="F2463" t="s">
        <v>3243</v>
      </c>
      <c r="G2463" t="s">
        <v>9869</v>
      </c>
      <c r="H2463" t="s">
        <v>9870</v>
      </c>
    </row>
    <row r="2464" spans="1:9" x14ac:dyDescent="0.25">
      <c r="A2464" t="s">
        <v>9871</v>
      </c>
      <c r="B2464" t="s">
        <v>9871</v>
      </c>
      <c r="C2464" t="s">
        <v>9872</v>
      </c>
      <c r="D2464" t="s">
        <v>3242</v>
      </c>
      <c r="E2464" t="s">
        <v>17045</v>
      </c>
      <c r="F2464" t="s">
        <v>3306</v>
      </c>
      <c r="G2464" t="s">
        <v>9873</v>
      </c>
      <c r="H2464" t="s">
        <v>3060</v>
      </c>
      <c r="I2464" t="s">
        <v>3254</v>
      </c>
    </row>
    <row r="2465" spans="1:9" x14ac:dyDescent="0.25">
      <c r="A2465" t="s">
        <v>9874</v>
      </c>
      <c r="B2465" t="s">
        <v>9874</v>
      </c>
      <c r="C2465" t="s">
        <v>9875</v>
      </c>
      <c r="D2465" t="s">
        <v>3242</v>
      </c>
      <c r="E2465" t="s">
        <v>15710</v>
      </c>
      <c r="F2465" t="s">
        <v>4996</v>
      </c>
      <c r="G2465" t="s">
        <v>9876</v>
      </c>
      <c r="H2465" t="s">
        <v>5883</v>
      </c>
      <c r="I2465" t="s">
        <v>3324</v>
      </c>
    </row>
    <row r="2466" spans="1:9" x14ac:dyDescent="0.25">
      <c r="A2466" t="s">
        <v>16696</v>
      </c>
      <c r="B2466" t="s">
        <v>16696</v>
      </c>
      <c r="C2466" t="s">
        <v>16697</v>
      </c>
      <c r="D2466" t="s">
        <v>3242</v>
      </c>
      <c r="E2466" t="s">
        <v>15749</v>
      </c>
      <c r="F2466" t="s">
        <v>3243</v>
      </c>
      <c r="G2466" t="s">
        <v>16698</v>
      </c>
      <c r="H2466" t="s">
        <v>3060</v>
      </c>
    </row>
    <row r="2467" spans="1:9" x14ac:dyDescent="0.25">
      <c r="A2467" t="s">
        <v>9877</v>
      </c>
      <c r="B2467" t="s">
        <v>9877</v>
      </c>
      <c r="C2467" t="s">
        <v>9878</v>
      </c>
      <c r="D2467" t="s">
        <v>3242</v>
      </c>
      <c r="E2467" t="s">
        <v>15710</v>
      </c>
      <c r="F2467" t="s">
        <v>3243</v>
      </c>
      <c r="G2467" t="s">
        <v>9879</v>
      </c>
      <c r="H2467" t="s">
        <v>3248</v>
      </c>
    </row>
    <row r="2468" spans="1:9" x14ac:dyDescent="0.25">
      <c r="A2468" t="s">
        <v>9880</v>
      </c>
      <c r="B2468" t="s">
        <v>9880</v>
      </c>
      <c r="C2468" t="s">
        <v>9881</v>
      </c>
      <c r="D2468" t="s">
        <v>3242</v>
      </c>
      <c r="E2468" t="s">
        <v>17046</v>
      </c>
      <c r="F2468" t="s">
        <v>3257</v>
      </c>
      <c r="G2468" t="s">
        <v>9882</v>
      </c>
      <c r="H2468" t="s">
        <v>9883</v>
      </c>
      <c r="I2468" t="s">
        <v>3451</v>
      </c>
    </row>
    <row r="2469" spans="1:9" x14ac:dyDescent="0.25">
      <c r="A2469" t="s">
        <v>9884</v>
      </c>
      <c r="B2469" t="s">
        <v>9884</v>
      </c>
      <c r="C2469" t="s">
        <v>9885</v>
      </c>
      <c r="D2469" t="s">
        <v>3242</v>
      </c>
      <c r="E2469" t="s">
        <v>15912</v>
      </c>
      <c r="F2469" t="s">
        <v>6162</v>
      </c>
      <c r="G2469" t="s">
        <v>9886</v>
      </c>
      <c r="H2469" t="s">
        <v>3647</v>
      </c>
      <c r="I2469" t="s">
        <v>3648</v>
      </c>
    </row>
    <row r="2470" spans="1:9" x14ac:dyDescent="0.25">
      <c r="A2470" t="s">
        <v>9887</v>
      </c>
      <c r="B2470" t="s">
        <v>9887</v>
      </c>
      <c r="C2470" t="s">
        <v>9888</v>
      </c>
      <c r="D2470" t="s">
        <v>3242</v>
      </c>
      <c r="E2470" t="s">
        <v>17047</v>
      </c>
      <c r="F2470" t="s">
        <v>3243</v>
      </c>
      <c r="G2470" t="s">
        <v>9889</v>
      </c>
      <c r="H2470" t="s">
        <v>3060</v>
      </c>
      <c r="I2470" t="s">
        <v>3694</v>
      </c>
    </row>
    <row r="2471" spans="1:9" x14ac:dyDescent="0.25">
      <c r="A2471" t="s">
        <v>17366</v>
      </c>
      <c r="B2471" t="s">
        <v>17366</v>
      </c>
      <c r="C2471" t="s">
        <v>17367</v>
      </c>
      <c r="D2471" t="s">
        <v>3242</v>
      </c>
      <c r="E2471" t="s">
        <v>15795</v>
      </c>
      <c r="F2471" t="s">
        <v>3257</v>
      </c>
      <c r="G2471" t="s">
        <v>17368</v>
      </c>
      <c r="H2471" t="s">
        <v>3365</v>
      </c>
      <c r="I2471" t="s">
        <v>3268</v>
      </c>
    </row>
    <row r="2472" spans="1:9" x14ac:dyDescent="0.25">
      <c r="A2472" t="s">
        <v>9890</v>
      </c>
      <c r="B2472" t="s">
        <v>9890</v>
      </c>
      <c r="C2472" t="s">
        <v>9891</v>
      </c>
      <c r="D2472" t="s">
        <v>3242</v>
      </c>
      <c r="E2472" t="s">
        <v>15710</v>
      </c>
      <c r="F2472" t="s">
        <v>3243</v>
      </c>
      <c r="G2472" t="s">
        <v>9892</v>
      </c>
      <c r="H2472" t="s">
        <v>3060</v>
      </c>
    </row>
    <row r="2473" spans="1:9" x14ac:dyDescent="0.25">
      <c r="A2473" t="s">
        <v>9893</v>
      </c>
      <c r="B2473" t="s">
        <v>9893</v>
      </c>
      <c r="C2473" t="s">
        <v>9894</v>
      </c>
      <c r="D2473" t="s">
        <v>3242</v>
      </c>
      <c r="E2473" t="s">
        <v>15710</v>
      </c>
      <c r="F2473" t="s">
        <v>3345</v>
      </c>
      <c r="G2473" t="s">
        <v>9895</v>
      </c>
      <c r="H2473" t="s">
        <v>3623</v>
      </c>
    </row>
    <row r="2474" spans="1:9" x14ac:dyDescent="0.25">
      <c r="A2474" t="s">
        <v>9896</v>
      </c>
      <c r="B2474" t="s">
        <v>9896</v>
      </c>
      <c r="C2474" t="s">
        <v>9897</v>
      </c>
      <c r="D2474" t="s">
        <v>3242</v>
      </c>
      <c r="E2474" t="s">
        <v>15710</v>
      </c>
      <c r="F2474" t="s">
        <v>3243</v>
      </c>
      <c r="G2474" t="s">
        <v>9898</v>
      </c>
      <c r="H2474" t="s">
        <v>4035</v>
      </c>
    </row>
    <row r="2475" spans="1:9" x14ac:dyDescent="0.25">
      <c r="A2475" t="s">
        <v>9899</v>
      </c>
      <c r="B2475" t="s">
        <v>9899</v>
      </c>
      <c r="C2475" t="s">
        <v>9900</v>
      </c>
      <c r="D2475" t="s">
        <v>3242</v>
      </c>
      <c r="E2475" t="s">
        <v>17369</v>
      </c>
      <c r="F2475" t="s">
        <v>6458</v>
      </c>
      <c r="G2475" t="s">
        <v>9901</v>
      </c>
      <c r="H2475" t="s">
        <v>7817</v>
      </c>
      <c r="I2475" t="s">
        <v>3648</v>
      </c>
    </row>
    <row r="2476" spans="1:9" x14ac:dyDescent="0.25">
      <c r="A2476" t="s">
        <v>9902</v>
      </c>
      <c r="B2476" t="s">
        <v>9902</v>
      </c>
      <c r="C2476" t="s">
        <v>9903</v>
      </c>
      <c r="D2476" t="s">
        <v>3242</v>
      </c>
      <c r="E2476" t="s">
        <v>17601</v>
      </c>
      <c r="F2476" t="s">
        <v>3257</v>
      </c>
      <c r="G2476" t="s">
        <v>9904</v>
      </c>
      <c r="H2476" t="s">
        <v>3060</v>
      </c>
      <c r="I2476" t="s">
        <v>4028</v>
      </c>
    </row>
    <row r="2477" spans="1:9" x14ac:dyDescent="0.25">
      <c r="A2477" t="s">
        <v>9905</v>
      </c>
      <c r="B2477" t="s">
        <v>9905</v>
      </c>
      <c r="C2477" t="s">
        <v>9906</v>
      </c>
      <c r="D2477" t="s">
        <v>3242</v>
      </c>
      <c r="E2477" t="s">
        <v>15710</v>
      </c>
      <c r="F2477" t="s">
        <v>3257</v>
      </c>
      <c r="G2477" t="s">
        <v>9907</v>
      </c>
      <c r="H2477" t="s">
        <v>3353</v>
      </c>
      <c r="I2477" t="s">
        <v>3324</v>
      </c>
    </row>
    <row r="2478" spans="1:9" x14ac:dyDescent="0.25">
      <c r="A2478" t="s">
        <v>9908</v>
      </c>
      <c r="B2478" t="s">
        <v>9908</v>
      </c>
      <c r="C2478" t="s">
        <v>9909</v>
      </c>
      <c r="D2478" t="s">
        <v>3242</v>
      </c>
      <c r="E2478" t="s">
        <v>15710</v>
      </c>
      <c r="F2478" t="s">
        <v>9087</v>
      </c>
      <c r="G2478" t="s">
        <v>9910</v>
      </c>
      <c r="H2478" t="s">
        <v>3496</v>
      </c>
      <c r="I2478" t="s">
        <v>3263</v>
      </c>
    </row>
    <row r="2479" spans="1:9" x14ac:dyDescent="0.25">
      <c r="A2479" t="s">
        <v>9911</v>
      </c>
      <c r="B2479" t="s">
        <v>9911</v>
      </c>
      <c r="C2479" t="s">
        <v>9912</v>
      </c>
      <c r="D2479" t="s">
        <v>3242</v>
      </c>
      <c r="E2479" t="s">
        <v>15942</v>
      </c>
      <c r="F2479" t="s">
        <v>3243</v>
      </c>
      <c r="G2479" t="s">
        <v>9913</v>
      </c>
      <c r="H2479" t="s">
        <v>5289</v>
      </c>
    </row>
    <row r="2480" spans="1:9" x14ac:dyDescent="0.25">
      <c r="A2480" t="s">
        <v>9914</v>
      </c>
      <c r="B2480" t="s">
        <v>9914</v>
      </c>
      <c r="C2480" t="s">
        <v>9915</v>
      </c>
      <c r="D2480" t="s">
        <v>3242</v>
      </c>
      <c r="E2480" t="s">
        <v>17370</v>
      </c>
      <c r="F2480" t="s">
        <v>3243</v>
      </c>
      <c r="G2480" t="s">
        <v>17048</v>
      </c>
      <c r="H2480" t="s">
        <v>5758</v>
      </c>
    </row>
    <row r="2481" spans="1:9" x14ac:dyDescent="0.25">
      <c r="A2481" t="s">
        <v>9916</v>
      </c>
      <c r="B2481" t="s">
        <v>9916</v>
      </c>
      <c r="C2481" t="s">
        <v>9917</v>
      </c>
      <c r="D2481" t="s">
        <v>3242</v>
      </c>
      <c r="E2481" t="s">
        <v>15710</v>
      </c>
      <c r="F2481" t="s">
        <v>3243</v>
      </c>
      <c r="G2481" t="s">
        <v>9918</v>
      </c>
      <c r="H2481" t="s">
        <v>3623</v>
      </c>
    </row>
    <row r="2482" spans="1:9" x14ac:dyDescent="0.25">
      <c r="A2482" t="s">
        <v>9919</v>
      </c>
      <c r="B2482" t="s">
        <v>9919</v>
      </c>
      <c r="C2482" t="s">
        <v>9920</v>
      </c>
      <c r="D2482" t="s">
        <v>3242</v>
      </c>
      <c r="E2482" t="s">
        <v>15710</v>
      </c>
      <c r="F2482" t="s">
        <v>3257</v>
      </c>
      <c r="G2482" t="s">
        <v>9921</v>
      </c>
      <c r="H2482" t="s">
        <v>4179</v>
      </c>
      <c r="I2482" t="s">
        <v>3324</v>
      </c>
    </row>
    <row r="2483" spans="1:9" x14ac:dyDescent="0.25">
      <c r="A2483" t="s">
        <v>9922</v>
      </c>
      <c r="B2483" t="s">
        <v>9922</v>
      </c>
      <c r="C2483" t="s">
        <v>9923</v>
      </c>
      <c r="D2483" t="s">
        <v>3242</v>
      </c>
      <c r="E2483" t="s">
        <v>15710</v>
      </c>
      <c r="F2483" t="s">
        <v>3257</v>
      </c>
      <c r="G2483" t="s">
        <v>9924</v>
      </c>
      <c r="H2483" t="s">
        <v>3262</v>
      </c>
      <c r="I2483" t="s">
        <v>3263</v>
      </c>
    </row>
    <row r="2484" spans="1:9" x14ac:dyDescent="0.25">
      <c r="A2484" t="s">
        <v>9925</v>
      </c>
      <c r="B2484" t="s">
        <v>9925</v>
      </c>
      <c r="C2484" t="s">
        <v>9926</v>
      </c>
      <c r="D2484" t="s">
        <v>3242</v>
      </c>
      <c r="E2484" t="s">
        <v>15943</v>
      </c>
      <c r="F2484" t="s">
        <v>3243</v>
      </c>
      <c r="G2484" t="s">
        <v>9927</v>
      </c>
      <c r="H2484" t="s">
        <v>4045</v>
      </c>
    </row>
    <row r="2485" spans="1:9" x14ac:dyDescent="0.25">
      <c r="A2485" t="s">
        <v>9928</v>
      </c>
      <c r="B2485" t="s">
        <v>9928</v>
      </c>
      <c r="C2485" t="s">
        <v>9929</v>
      </c>
      <c r="D2485" t="s">
        <v>3242</v>
      </c>
      <c r="E2485" t="s">
        <v>15710</v>
      </c>
      <c r="F2485" t="s">
        <v>3345</v>
      </c>
      <c r="G2485" t="s">
        <v>9930</v>
      </c>
      <c r="H2485" t="s">
        <v>3285</v>
      </c>
    </row>
    <row r="2486" spans="1:9" x14ac:dyDescent="0.25">
      <c r="A2486" t="s">
        <v>16284</v>
      </c>
      <c r="B2486" t="s">
        <v>16284</v>
      </c>
      <c r="C2486" t="s">
        <v>16285</v>
      </c>
      <c r="D2486" t="s">
        <v>3242</v>
      </c>
      <c r="E2486" t="s">
        <v>17602</v>
      </c>
      <c r="F2486" t="s">
        <v>3243</v>
      </c>
      <c r="G2486" t="s">
        <v>16286</v>
      </c>
      <c r="H2486" t="s">
        <v>16287</v>
      </c>
    </row>
    <row r="2487" spans="1:9" x14ac:dyDescent="0.25">
      <c r="A2487" t="s">
        <v>9931</v>
      </c>
      <c r="B2487" t="s">
        <v>9931</v>
      </c>
      <c r="C2487" t="s">
        <v>9932</v>
      </c>
      <c r="D2487" t="s">
        <v>3242</v>
      </c>
      <c r="E2487" t="s">
        <v>15710</v>
      </c>
      <c r="F2487" t="s">
        <v>9933</v>
      </c>
      <c r="G2487" t="s">
        <v>9934</v>
      </c>
      <c r="H2487" t="s">
        <v>5151</v>
      </c>
      <c r="I2487" t="s">
        <v>3648</v>
      </c>
    </row>
    <row r="2488" spans="1:9" x14ac:dyDescent="0.25">
      <c r="A2488" t="s">
        <v>9935</v>
      </c>
      <c r="B2488" t="s">
        <v>9935</v>
      </c>
      <c r="C2488" t="s">
        <v>9936</v>
      </c>
      <c r="D2488" t="s">
        <v>3242</v>
      </c>
      <c r="E2488" t="s">
        <v>15710</v>
      </c>
      <c r="F2488" t="s">
        <v>3306</v>
      </c>
      <c r="G2488" t="s">
        <v>9937</v>
      </c>
      <c r="H2488" t="s">
        <v>5239</v>
      </c>
      <c r="I2488" t="s">
        <v>3294</v>
      </c>
    </row>
    <row r="2489" spans="1:9" x14ac:dyDescent="0.25">
      <c r="A2489" t="s">
        <v>9938</v>
      </c>
      <c r="B2489" t="s">
        <v>9938</v>
      </c>
      <c r="C2489" t="s">
        <v>9939</v>
      </c>
      <c r="D2489" t="s">
        <v>3242</v>
      </c>
      <c r="E2489" t="s">
        <v>15944</v>
      </c>
      <c r="F2489" t="s">
        <v>6162</v>
      </c>
      <c r="G2489" t="s">
        <v>9940</v>
      </c>
      <c r="H2489" t="s">
        <v>3647</v>
      </c>
      <c r="I2489" t="s">
        <v>3648</v>
      </c>
    </row>
    <row r="2490" spans="1:9" x14ac:dyDescent="0.25">
      <c r="A2490" t="s">
        <v>9941</v>
      </c>
      <c r="B2490" t="s">
        <v>9941</v>
      </c>
      <c r="C2490" t="s">
        <v>9942</v>
      </c>
      <c r="D2490" t="s">
        <v>3242</v>
      </c>
      <c r="E2490" t="s">
        <v>15710</v>
      </c>
      <c r="F2490" t="s">
        <v>3257</v>
      </c>
      <c r="G2490" t="s">
        <v>9943</v>
      </c>
      <c r="H2490" t="s">
        <v>3365</v>
      </c>
      <c r="I2490" t="s">
        <v>3324</v>
      </c>
    </row>
    <row r="2491" spans="1:9" x14ac:dyDescent="0.25">
      <c r="A2491" t="s">
        <v>9944</v>
      </c>
      <c r="B2491" t="s">
        <v>9944</v>
      </c>
      <c r="C2491" t="s">
        <v>9945</v>
      </c>
      <c r="D2491" t="s">
        <v>3242</v>
      </c>
      <c r="E2491" t="s">
        <v>15710</v>
      </c>
      <c r="F2491" t="s">
        <v>3243</v>
      </c>
      <c r="G2491" t="s">
        <v>9946</v>
      </c>
      <c r="H2491" t="s">
        <v>4711</v>
      </c>
    </row>
    <row r="2492" spans="1:9" x14ac:dyDescent="0.25">
      <c r="A2492" t="s">
        <v>9947</v>
      </c>
      <c r="B2492" t="s">
        <v>9947</v>
      </c>
      <c r="C2492" t="s">
        <v>9948</v>
      </c>
      <c r="D2492" t="s">
        <v>3242</v>
      </c>
      <c r="E2492" t="s">
        <v>16984</v>
      </c>
      <c r="F2492" t="s">
        <v>3372</v>
      </c>
      <c r="G2492" t="s">
        <v>9949</v>
      </c>
      <c r="H2492" t="s">
        <v>3357</v>
      </c>
      <c r="I2492" t="s">
        <v>3268</v>
      </c>
    </row>
    <row r="2493" spans="1:9" x14ac:dyDescent="0.25">
      <c r="A2493" t="s">
        <v>9950</v>
      </c>
      <c r="B2493" t="s">
        <v>9950</v>
      </c>
      <c r="C2493" t="s">
        <v>9951</v>
      </c>
      <c r="D2493" t="s">
        <v>3242</v>
      </c>
      <c r="E2493" t="s">
        <v>15710</v>
      </c>
      <c r="F2493" t="s">
        <v>3257</v>
      </c>
      <c r="G2493" t="s">
        <v>9952</v>
      </c>
      <c r="H2493" t="s">
        <v>3594</v>
      </c>
      <c r="I2493" t="s">
        <v>3324</v>
      </c>
    </row>
    <row r="2494" spans="1:9" x14ac:dyDescent="0.25">
      <c r="A2494" t="s">
        <v>9953</v>
      </c>
      <c r="B2494" t="s">
        <v>9953</v>
      </c>
      <c r="C2494" t="s">
        <v>9954</v>
      </c>
      <c r="D2494" t="s">
        <v>3242</v>
      </c>
      <c r="E2494" t="s">
        <v>17371</v>
      </c>
      <c r="F2494" t="s">
        <v>3300</v>
      </c>
      <c r="G2494" t="s">
        <v>9955</v>
      </c>
      <c r="H2494" t="s">
        <v>3332</v>
      </c>
      <c r="I2494" t="s">
        <v>3268</v>
      </c>
    </row>
    <row r="2495" spans="1:9" x14ac:dyDescent="0.25">
      <c r="A2495" t="s">
        <v>15257</v>
      </c>
      <c r="B2495" t="s">
        <v>15257</v>
      </c>
      <c r="C2495" t="s">
        <v>15258</v>
      </c>
      <c r="D2495" t="s">
        <v>3242</v>
      </c>
      <c r="E2495" t="s">
        <v>15710</v>
      </c>
      <c r="F2495" t="s">
        <v>3257</v>
      </c>
      <c r="G2495" t="s">
        <v>15259</v>
      </c>
      <c r="H2495" t="s">
        <v>3267</v>
      </c>
      <c r="I2495" t="s">
        <v>3268</v>
      </c>
    </row>
    <row r="2496" spans="1:9" x14ac:dyDescent="0.25">
      <c r="A2496" t="s">
        <v>9956</v>
      </c>
      <c r="B2496" t="s">
        <v>9956</v>
      </c>
      <c r="C2496" t="s">
        <v>9957</v>
      </c>
      <c r="D2496" t="s">
        <v>3242</v>
      </c>
      <c r="E2496" t="s">
        <v>15710</v>
      </c>
      <c r="F2496" t="s">
        <v>3243</v>
      </c>
      <c r="G2496" t="s">
        <v>9958</v>
      </c>
      <c r="H2496" t="s">
        <v>4953</v>
      </c>
    </row>
    <row r="2497" spans="1:9" x14ac:dyDescent="0.25">
      <c r="A2497" t="s">
        <v>9959</v>
      </c>
      <c r="B2497" t="s">
        <v>9959</v>
      </c>
      <c r="C2497" t="s">
        <v>9960</v>
      </c>
      <c r="D2497" t="s">
        <v>3242</v>
      </c>
      <c r="E2497" t="s">
        <v>15945</v>
      </c>
      <c r="F2497" t="s">
        <v>3243</v>
      </c>
      <c r="G2497" t="s">
        <v>9961</v>
      </c>
      <c r="H2497" t="s">
        <v>8204</v>
      </c>
    </row>
    <row r="2498" spans="1:9" x14ac:dyDescent="0.25">
      <c r="A2498" t="s">
        <v>9962</v>
      </c>
      <c r="B2498" t="s">
        <v>9962</v>
      </c>
      <c r="C2498" t="s">
        <v>9963</v>
      </c>
      <c r="D2498" t="s">
        <v>3242</v>
      </c>
      <c r="E2498" t="s">
        <v>17372</v>
      </c>
      <c r="F2498" t="s">
        <v>7596</v>
      </c>
      <c r="G2498" t="s">
        <v>9964</v>
      </c>
      <c r="H2498" t="s">
        <v>3417</v>
      </c>
      <c r="I2498" t="s">
        <v>3648</v>
      </c>
    </row>
    <row r="2499" spans="1:9" x14ac:dyDescent="0.25">
      <c r="A2499" t="s">
        <v>9965</v>
      </c>
      <c r="B2499" t="s">
        <v>9965</v>
      </c>
      <c r="C2499" t="s">
        <v>9966</v>
      </c>
      <c r="D2499" t="s">
        <v>3242</v>
      </c>
      <c r="E2499" t="s">
        <v>15710</v>
      </c>
      <c r="F2499" t="s">
        <v>3243</v>
      </c>
      <c r="G2499" t="s">
        <v>9967</v>
      </c>
      <c r="H2499" t="s">
        <v>3285</v>
      </c>
    </row>
    <row r="2500" spans="1:9" x14ac:dyDescent="0.25">
      <c r="A2500" t="s">
        <v>9968</v>
      </c>
      <c r="B2500" t="s">
        <v>9968</v>
      </c>
      <c r="C2500" t="s">
        <v>9969</v>
      </c>
      <c r="D2500" t="s">
        <v>3242</v>
      </c>
      <c r="E2500" t="s">
        <v>15710</v>
      </c>
      <c r="F2500" t="s">
        <v>3257</v>
      </c>
      <c r="G2500" t="s">
        <v>9970</v>
      </c>
      <c r="H2500" t="s">
        <v>3060</v>
      </c>
      <c r="I2500" t="s">
        <v>4028</v>
      </c>
    </row>
    <row r="2501" spans="1:9" x14ac:dyDescent="0.25">
      <c r="A2501" t="s">
        <v>9971</v>
      </c>
      <c r="B2501" t="s">
        <v>9971</v>
      </c>
      <c r="C2501" t="s">
        <v>9972</v>
      </c>
      <c r="D2501" t="s">
        <v>3242</v>
      </c>
      <c r="E2501" t="s">
        <v>15710</v>
      </c>
      <c r="F2501" t="s">
        <v>3288</v>
      </c>
      <c r="G2501" t="s">
        <v>9973</v>
      </c>
      <c r="H2501" t="s">
        <v>3680</v>
      </c>
    </row>
    <row r="2502" spans="1:9" x14ac:dyDescent="0.25">
      <c r="A2502" t="s">
        <v>9974</v>
      </c>
      <c r="B2502" t="s">
        <v>9974</v>
      </c>
      <c r="C2502" t="s">
        <v>9975</v>
      </c>
      <c r="D2502" t="s">
        <v>3242</v>
      </c>
      <c r="E2502" t="s">
        <v>15711</v>
      </c>
      <c r="F2502" t="s">
        <v>3257</v>
      </c>
      <c r="G2502" t="s">
        <v>9976</v>
      </c>
      <c r="H2502" t="s">
        <v>6547</v>
      </c>
      <c r="I2502" t="s">
        <v>3648</v>
      </c>
    </row>
    <row r="2503" spans="1:9" x14ac:dyDescent="0.25">
      <c r="A2503" t="s">
        <v>9977</v>
      </c>
      <c r="B2503" t="s">
        <v>9977</v>
      </c>
      <c r="C2503" t="s">
        <v>9978</v>
      </c>
      <c r="D2503" t="s">
        <v>3242</v>
      </c>
      <c r="E2503" t="s">
        <v>15710</v>
      </c>
      <c r="F2503" t="s">
        <v>3243</v>
      </c>
      <c r="G2503" t="s">
        <v>9979</v>
      </c>
      <c r="H2503" t="s">
        <v>4179</v>
      </c>
    </row>
    <row r="2504" spans="1:9" x14ac:dyDescent="0.25">
      <c r="A2504" t="s">
        <v>17049</v>
      </c>
      <c r="B2504" t="s">
        <v>17049</v>
      </c>
      <c r="C2504" t="s">
        <v>17050</v>
      </c>
      <c r="D2504" t="s">
        <v>3242</v>
      </c>
      <c r="E2504" t="s">
        <v>15710</v>
      </c>
      <c r="F2504" t="s">
        <v>3243</v>
      </c>
      <c r="G2504" t="s">
        <v>17051</v>
      </c>
      <c r="H2504" t="s">
        <v>3060</v>
      </c>
    </row>
    <row r="2505" spans="1:9" x14ac:dyDescent="0.25">
      <c r="A2505" t="s">
        <v>9980</v>
      </c>
      <c r="B2505" t="s">
        <v>9980</v>
      </c>
      <c r="C2505" t="s">
        <v>9981</v>
      </c>
      <c r="D2505" t="s">
        <v>3242</v>
      </c>
      <c r="E2505" t="s">
        <v>15710</v>
      </c>
      <c r="F2505" t="s">
        <v>6505</v>
      </c>
      <c r="G2505" t="s">
        <v>9982</v>
      </c>
      <c r="H2505" t="s">
        <v>3060</v>
      </c>
    </row>
    <row r="2506" spans="1:9" x14ac:dyDescent="0.25">
      <c r="A2506" t="s">
        <v>9983</v>
      </c>
      <c r="B2506" t="s">
        <v>9983</v>
      </c>
      <c r="C2506" t="s">
        <v>9984</v>
      </c>
      <c r="D2506" t="s">
        <v>3242</v>
      </c>
      <c r="E2506" t="s">
        <v>15710</v>
      </c>
      <c r="F2506" t="s">
        <v>3243</v>
      </c>
      <c r="G2506" t="s">
        <v>9985</v>
      </c>
      <c r="H2506" t="s">
        <v>3285</v>
      </c>
    </row>
    <row r="2507" spans="1:9" x14ac:dyDescent="0.25">
      <c r="A2507" t="s">
        <v>9986</v>
      </c>
      <c r="B2507" t="s">
        <v>9986</v>
      </c>
      <c r="C2507" t="s">
        <v>15260</v>
      </c>
      <c r="D2507" t="s">
        <v>3242</v>
      </c>
      <c r="E2507" t="s">
        <v>16056</v>
      </c>
      <c r="F2507" t="s">
        <v>3257</v>
      </c>
      <c r="G2507" t="s">
        <v>9988</v>
      </c>
      <c r="H2507" t="s">
        <v>3060</v>
      </c>
      <c r="I2507" t="s">
        <v>3694</v>
      </c>
    </row>
    <row r="2508" spans="1:9" x14ac:dyDescent="0.25">
      <c r="A2508" t="s">
        <v>9989</v>
      </c>
      <c r="B2508" t="s">
        <v>9989</v>
      </c>
      <c r="C2508" t="s">
        <v>9990</v>
      </c>
      <c r="D2508" t="s">
        <v>3242</v>
      </c>
      <c r="E2508" t="s">
        <v>15710</v>
      </c>
      <c r="F2508" t="s">
        <v>5275</v>
      </c>
      <c r="G2508" t="s">
        <v>9991</v>
      </c>
      <c r="H2508" t="s">
        <v>3463</v>
      </c>
    </row>
    <row r="2509" spans="1:9" x14ac:dyDescent="0.25">
      <c r="A2509" t="s">
        <v>9992</v>
      </c>
      <c r="B2509" t="s">
        <v>9992</v>
      </c>
      <c r="C2509" t="s">
        <v>9993</v>
      </c>
      <c r="D2509" t="s">
        <v>3242</v>
      </c>
      <c r="E2509" t="s">
        <v>15710</v>
      </c>
      <c r="F2509" t="s">
        <v>3257</v>
      </c>
      <c r="G2509" t="s">
        <v>9994</v>
      </c>
      <c r="H2509" t="s">
        <v>6455</v>
      </c>
    </row>
    <row r="2510" spans="1:9" x14ac:dyDescent="0.25">
      <c r="A2510" t="s">
        <v>9995</v>
      </c>
      <c r="B2510" t="s">
        <v>9995</v>
      </c>
      <c r="C2510" t="s">
        <v>9996</v>
      </c>
      <c r="D2510" t="s">
        <v>3242</v>
      </c>
      <c r="E2510" t="s">
        <v>17373</v>
      </c>
      <c r="F2510" t="s">
        <v>9997</v>
      </c>
      <c r="G2510" t="s">
        <v>9998</v>
      </c>
      <c r="H2510" t="s">
        <v>3262</v>
      </c>
    </row>
    <row r="2511" spans="1:9" x14ac:dyDescent="0.25">
      <c r="A2511" t="s">
        <v>9999</v>
      </c>
      <c r="B2511" t="s">
        <v>9999</v>
      </c>
      <c r="C2511" t="s">
        <v>10000</v>
      </c>
      <c r="D2511" t="s">
        <v>3242</v>
      </c>
      <c r="E2511" t="s">
        <v>15710</v>
      </c>
      <c r="F2511" t="s">
        <v>3257</v>
      </c>
      <c r="G2511" t="s">
        <v>10001</v>
      </c>
      <c r="H2511" t="s">
        <v>3484</v>
      </c>
      <c r="I2511" t="s">
        <v>3263</v>
      </c>
    </row>
    <row r="2512" spans="1:9" x14ac:dyDescent="0.25">
      <c r="A2512" t="s">
        <v>10002</v>
      </c>
      <c r="B2512" t="s">
        <v>10002</v>
      </c>
      <c r="C2512" t="s">
        <v>10003</v>
      </c>
      <c r="D2512" t="s">
        <v>3242</v>
      </c>
      <c r="E2512" t="s">
        <v>15710</v>
      </c>
      <c r="F2512" t="s">
        <v>3345</v>
      </c>
      <c r="G2512" t="s">
        <v>10004</v>
      </c>
      <c r="H2512" t="s">
        <v>3285</v>
      </c>
    </row>
    <row r="2513" spans="1:9" x14ac:dyDescent="0.25">
      <c r="A2513" t="s">
        <v>10005</v>
      </c>
      <c r="B2513" t="s">
        <v>10005</v>
      </c>
      <c r="C2513" t="s">
        <v>10006</v>
      </c>
      <c r="D2513" t="s">
        <v>3242</v>
      </c>
      <c r="E2513" t="s">
        <v>17374</v>
      </c>
      <c r="F2513" t="s">
        <v>3257</v>
      </c>
      <c r="G2513" t="s">
        <v>10007</v>
      </c>
      <c r="H2513" t="s">
        <v>3060</v>
      </c>
      <c r="I2513" t="s">
        <v>3694</v>
      </c>
    </row>
    <row r="2514" spans="1:9" x14ac:dyDescent="0.25">
      <c r="A2514" t="s">
        <v>10008</v>
      </c>
      <c r="B2514" t="s">
        <v>10008</v>
      </c>
      <c r="C2514" t="s">
        <v>10009</v>
      </c>
      <c r="D2514" t="s">
        <v>3242</v>
      </c>
      <c r="E2514" t="s">
        <v>15710</v>
      </c>
      <c r="F2514" t="s">
        <v>3345</v>
      </c>
      <c r="G2514" t="s">
        <v>10010</v>
      </c>
      <c r="H2514" t="s">
        <v>3290</v>
      </c>
    </row>
    <row r="2515" spans="1:9" x14ac:dyDescent="0.25">
      <c r="A2515" t="s">
        <v>10011</v>
      </c>
      <c r="B2515" t="s">
        <v>10011</v>
      </c>
      <c r="C2515" t="s">
        <v>10012</v>
      </c>
      <c r="D2515" t="s">
        <v>3242</v>
      </c>
      <c r="E2515" t="s">
        <v>15946</v>
      </c>
      <c r="F2515" t="s">
        <v>4996</v>
      </c>
      <c r="G2515" t="s">
        <v>10013</v>
      </c>
      <c r="H2515" t="s">
        <v>3267</v>
      </c>
      <c r="I2515" t="s">
        <v>3366</v>
      </c>
    </row>
    <row r="2516" spans="1:9" x14ac:dyDescent="0.25">
      <c r="A2516" t="s">
        <v>10014</v>
      </c>
      <c r="B2516" t="s">
        <v>10014</v>
      </c>
      <c r="C2516" t="s">
        <v>10015</v>
      </c>
      <c r="D2516" t="s">
        <v>3242</v>
      </c>
      <c r="E2516" t="s">
        <v>15710</v>
      </c>
      <c r="F2516" t="s">
        <v>5158</v>
      </c>
      <c r="G2516" t="s">
        <v>10016</v>
      </c>
      <c r="H2516" t="s">
        <v>10017</v>
      </c>
    </row>
    <row r="2517" spans="1:9" x14ac:dyDescent="0.25">
      <c r="A2517" t="s">
        <v>10018</v>
      </c>
      <c r="B2517" t="s">
        <v>10018</v>
      </c>
      <c r="C2517" t="s">
        <v>10019</v>
      </c>
      <c r="D2517" t="s">
        <v>3242</v>
      </c>
      <c r="E2517" t="s">
        <v>15710</v>
      </c>
      <c r="F2517" t="s">
        <v>7596</v>
      </c>
      <c r="G2517" t="s">
        <v>10020</v>
      </c>
      <c r="H2517" t="s">
        <v>3496</v>
      </c>
    </row>
    <row r="2518" spans="1:9" x14ac:dyDescent="0.25">
      <c r="A2518" t="s">
        <v>10021</v>
      </c>
      <c r="B2518" t="s">
        <v>10021</v>
      </c>
      <c r="C2518" t="s">
        <v>10022</v>
      </c>
      <c r="D2518" t="s">
        <v>3242</v>
      </c>
      <c r="E2518" t="s">
        <v>17375</v>
      </c>
      <c r="F2518" t="s">
        <v>3306</v>
      </c>
      <c r="G2518" t="s">
        <v>10023</v>
      </c>
      <c r="H2518" t="s">
        <v>3262</v>
      </c>
      <c r="I2518" t="s">
        <v>3263</v>
      </c>
    </row>
    <row r="2519" spans="1:9" x14ac:dyDescent="0.25">
      <c r="A2519" t="s">
        <v>10024</v>
      </c>
      <c r="B2519" t="s">
        <v>10024</v>
      </c>
      <c r="C2519" t="s">
        <v>10025</v>
      </c>
      <c r="D2519" t="s">
        <v>3242</v>
      </c>
      <c r="E2519" t="s">
        <v>15710</v>
      </c>
      <c r="F2519" t="s">
        <v>3588</v>
      </c>
      <c r="G2519" t="s">
        <v>10026</v>
      </c>
      <c r="H2519" t="s">
        <v>10027</v>
      </c>
      <c r="I2519" t="s">
        <v>3268</v>
      </c>
    </row>
    <row r="2520" spans="1:9" x14ac:dyDescent="0.25">
      <c r="A2520" t="s">
        <v>10028</v>
      </c>
      <c r="B2520" t="s">
        <v>10028</v>
      </c>
      <c r="C2520" t="s">
        <v>10029</v>
      </c>
      <c r="D2520" t="s">
        <v>3242</v>
      </c>
      <c r="E2520" t="s">
        <v>15710</v>
      </c>
      <c r="F2520" t="s">
        <v>3257</v>
      </c>
      <c r="G2520" t="s">
        <v>10030</v>
      </c>
      <c r="H2520" t="s">
        <v>4926</v>
      </c>
      <c r="I2520" t="s">
        <v>3648</v>
      </c>
    </row>
    <row r="2521" spans="1:9" x14ac:dyDescent="0.25">
      <c r="A2521" t="s">
        <v>10031</v>
      </c>
      <c r="B2521" t="s">
        <v>10031</v>
      </c>
      <c r="C2521" t="s">
        <v>10032</v>
      </c>
      <c r="D2521" t="s">
        <v>3242</v>
      </c>
      <c r="E2521" t="s">
        <v>15710</v>
      </c>
      <c r="F2521" t="s">
        <v>9087</v>
      </c>
      <c r="G2521" t="s">
        <v>10033</v>
      </c>
      <c r="H2521" t="s">
        <v>3496</v>
      </c>
      <c r="I2521" t="s">
        <v>3407</v>
      </c>
    </row>
    <row r="2522" spans="1:9" x14ac:dyDescent="0.25">
      <c r="A2522" t="s">
        <v>10034</v>
      </c>
      <c r="B2522" t="s">
        <v>10034</v>
      </c>
      <c r="C2522" t="s">
        <v>10035</v>
      </c>
      <c r="D2522" t="s">
        <v>3242</v>
      </c>
      <c r="E2522" t="s">
        <v>17376</v>
      </c>
      <c r="F2522" t="s">
        <v>3257</v>
      </c>
      <c r="G2522" t="s">
        <v>10036</v>
      </c>
      <c r="H2522" t="s">
        <v>5013</v>
      </c>
      <c r="I2522" t="s">
        <v>3324</v>
      </c>
    </row>
    <row r="2523" spans="1:9" x14ac:dyDescent="0.25">
      <c r="A2523" t="s">
        <v>10037</v>
      </c>
      <c r="B2523" t="s">
        <v>10037</v>
      </c>
      <c r="C2523" t="s">
        <v>10038</v>
      </c>
      <c r="D2523" t="s">
        <v>3242</v>
      </c>
      <c r="E2523" t="s">
        <v>15710</v>
      </c>
      <c r="F2523" t="s">
        <v>3243</v>
      </c>
      <c r="G2523" t="s">
        <v>10039</v>
      </c>
      <c r="H2523" t="s">
        <v>3417</v>
      </c>
    </row>
    <row r="2524" spans="1:9" x14ac:dyDescent="0.25">
      <c r="A2524" t="s">
        <v>16288</v>
      </c>
      <c r="B2524" t="s">
        <v>16288</v>
      </c>
      <c r="C2524" t="s">
        <v>16289</v>
      </c>
      <c r="D2524" t="s">
        <v>3242</v>
      </c>
      <c r="E2524" t="s">
        <v>15710</v>
      </c>
      <c r="F2524" t="s">
        <v>3288</v>
      </c>
      <c r="G2524" t="s">
        <v>16290</v>
      </c>
      <c r="H2524" t="s">
        <v>8306</v>
      </c>
    </row>
    <row r="2525" spans="1:9" x14ac:dyDescent="0.25">
      <c r="A2525" t="s">
        <v>10040</v>
      </c>
      <c r="B2525" t="s">
        <v>10040</v>
      </c>
      <c r="C2525" t="s">
        <v>10041</v>
      </c>
      <c r="D2525" t="s">
        <v>3242</v>
      </c>
      <c r="E2525" t="s">
        <v>15710</v>
      </c>
      <c r="F2525" t="s">
        <v>3257</v>
      </c>
      <c r="G2525" t="s">
        <v>10042</v>
      </c>
      <c r="H2525" t="s">
        <v>3060</v>
      </c>
      <c r="I2525" t="s">
        <v>4028</v>
      </c>
    </row>
    <row r="2526" spans="1:9" x14ac:dyDescent="0.25">
      <c r="A2526" t="s">
        <v>10043</v>
      </c>
      <c r="B2526" t="s">
        <v>10043</v>
      </c>
      <c r="C2526" t="s">
        <v>10044</v>
      </c>
      <c r="D2526" t="s">
        <v>3242</v>
      </c>
      <c r="E2526" t="s">
        <v>15947</v>
      </c>
      <c r="F2526" t="s">
        <v>3243</v>
      </c>
      <c r="G2526" t="s">
        <v>10045</v>
      </c>
      <c r="H2526" t="s">
        <v>3290</v>
      </c>
    </row>
    <row r="2527" spans="1:9" x14ac:dyDescent="0.25">
      <c r="A2527" t="s">
        <v>10046</v>
      </c>
      <c r="B2527" t="s">
        <v>10046</v>
      </c>
      <c r="C2527" t="s">
        <v>10047</v>
      </c>
      <c r="D2527" t="s">
        <v>3321</v>
      </c>
      <c r="E2527" t="s">
        <v>15710</v>
      </c>
      <c r="F2527" t="s">
        <v>3372</v>
      </c>
      <c r="G2527" t="s">
        <v>10048</v>
      </c>
      <c r="H2527" t="s">
        <v>5883</v>
      </c>
      <c r="I2527" t="s">
        <v>3366</v>
      </c>
    </row>
    <row r="2528" spans="1:9" x14ac:dyDescent="0.25">
      <c r="A2528" t="s">
        <v>10049</v>
      </c>
      <c r="B2528" t="s">
        <v>10049</v>
      </c>
      <c r="C2528" t="s">
        <v>10050</v>
      </c>
      <c r="D2528" t="s">
        <v>3242</v>
      </c>
      <c r="E2528" t="s">
        <v>16903</v>
      </c>
      <c r="F2528" t="s">
        <v>3257</v>
      </c>
      <c r="G2528" t="s">
        <v>10051</v>
      </c>
      <c r="H2528" t="s">
        <v>3248</v>
      </c>
      <c r="I2528" t="s">
        <v>3407</v>
      </c>
    </row>
    <row r="2529" spans="1:9" x14ac:dyDescent="0.25">
      <c r="A2529" t="s">
        <v>10052</v>
      </c>
      <c r="B2529" t="s">
        <v>10052</v>
      </c>
      <c r="C2529" t="s">
        <v>10053</v>
      </c>
      <c r="D2529" t="s">
        <v>3242</v>
      </c>
      <c r="E2529" t="s">
        <v>15710</v>
      </c>
      <c r="F2529" t="s">
        <v>3345</v>
      </c>
      <c r="G2529" t="s">
        <v>10054</v>
      </c>
      <c r="H2529" t="s">
        <v>3463</v>
      </c>
    </row>
    <row r="2530" spans="1:9" x14ac:dyDescent="0.25">
      <c r="A2530" t="s">
        <v>10055</v>
      </c>
      <c r="B2530" t="s">
        <v>10055</v>
      </c>
      <c r="C2530" t="s">
        <v>10056</v>
      </c>
      <c r="D2530" t="s">
        <v>3242</v>
      </c>
      <c r="E2530" t="s">
        <v>15710</v>
      </c>
      <c r="F2530" t="s">
        <v>3345</v>
      </c>
      <c r="G2530" t="s">
        <v>10057</v>
      </c>
      <c r="H2530" t="s">
        <v>3285</v>
      </c>
    </row>
    <row r="2531" spans="1:9" x14ac:dyDescent="0.25">
      <c r="A2531" t="s">
        <v>10058</v>
      </c>
      <c r="B2531" t="s">
        <v>10058</v>
      </c>
      <c r="C2531" t="s">
        <v>10059</v>
      </c>
      <c r="D2531" t="s">
        <v>3242</v>
      </c>
      <c r="E2531" t="s">
        <v>15710</v>
      </c>
      <c r="F2531" t="s">
        <v>3288</v>
      </c>
      <c r="G2531" t="s">
        <v>10060</v>
      </c>
      <c r="H2531" t="s">
        <v>3463</v>
      </c>
    </row>
    <row r="2532" spans="1:9" x14ac:dyDescent="0.25">
      <c r="A2532" t="s">
        <v>10061</v>
      </c>
      <c r="B2532" t="s">
        <v>10061</v>
      </c>
      <c r="C2532" t="s">
        <v>10062</v>
      </c>
      <c r="D2532" t="s">
        <v>3242</v>
      </c>
      <c r="E2532" t="s">
        <v>17377</v>
      </c>
      <c r="F2532" t="s">
        <v>4002</v>
      </c>
      <c r="G2532" t="s">
        <v>10063</v>
      </c>
      <c r="H2532" t="s">
        <v>3668</v>
      </c>
      <c r="I2532" t="s">
        <v>3694</v>
      </c>
    </row>
    <row r="2533" spans="1:9" x14ac:dyDescent="0.25">
      <c r="A2533" t="s">
        <v>10064</v>
      </c>
      <c r="B2533" t="s">
        <v>10064</v>
      </c>
      <c r="C2533" t="s">
        <v>10065</v>
      </c>
      <c r="D2533" t="s">
        <v>3242</v>
      </c>
      <c r="E2533" t="s">
        <v>17378</v>
      </c>
      <c r="F2533" t="s">
        <v>5497</v>
      </c>
      <c r="G2533" t="s">
        <v>10066</v>
      </c>
      <c r="H2533" t="s">
        <v>3267</v>
      </c>
      <c r="I2533" t="s">
        <v>3366</v>
      </c>
    </row>
    <row r="2534" spans="1:9" x14ac:dyDescent="0.25">
      <c r="A2534" t="s">
        <v>16057</v>
      </c>
      <c r="B2534" t="s">
        <v>16057</v>
      </c>
      <c r="C2534" t="s">
        <v>16058</v>
      </c>
      <c r="D2534" t="s">
        <v>3242</v>
      </c>
      <c r="E2534" t="s">
        <v>15710</v>
      </c>
      <c r="F2534" t="s">
        <v>3243</v>
      </c>
      <c r="G2534" t="s">
        <v>16059</v>
      </c>
      <c r="H2534" t="s">
        <v>3402</v>
      </c>
    </row>
    <row r="2535" spans="1:9" x14ac:dyDescent="0.25">
      <c r="A2535" t="s">
        <v>10067</v>
      </c>
      <c r="B2535" t="s">
        <v>10067</v>
      </c>
      <c r="C2535" t="s">
        <v>10068</v>
      </c>
      <c r="D2535" t="s">
        <v>3242</v>
      </c>
      <c r="E2535" t="s">
        <v>15710</v>
      </c>
      <c r="F2535" t="s">
        <v>3243</v>
      </c>
      <c r="G2535" t="s">
        <v>10069</v>
      </c>
      <c r="H2535" t="s">
        <v>3280</v>
      </c>
      <c r="I2535" t="s">
        <v>3432</v>
      </c>
    </row>
    <row r="2536" spans="1:9" x14ac:dyDescent="0.25">
      <c r="A2536" t="s">
        <v>10070</v>
      </c>
      <c r="B2536" t="s">
        <v>10070</v>
      </c>
      <c r="C2536" t="s">
        <v>10071</v>
      </c>
      <c r="D2536" t="s">
        <v>3242</v>
      </c>
      <c r="E2536" t="s">
        <v>15710</v>
      </c>
      <c r="F2536" t="s">
        <v>15712</v>
      </c>
      <c r="G2536" t="s">
        <v>10072</v>
      </c>
      <c r="H2536" t="s">
        <v>3488</v>
      </c>
    </row>
    <row r="2537" spans="1:9" x14ac:dyDescent="0.25">
      <c r="A2537" t="s">
        <v>10073</v>
      </c>
      <c r="B2537" t="s">
        <v>10073</v>
      </c>
      <c r="C2537" t="s">
        <v>10074</v>
      </c>
      <c r="D2537" t="s">
        <v>3242</v>
      </c>
      <c r="E2537" t="s">
        <v>15710</v>
      </c>
      <c r="F2537" t="s">
        <v>3288</v>
      </c>
      <c r="G2537" t="s">
        <v>10075</v>
      </c>
      <c r="H2537" t="s">
        <v>4045</v>
      </c>
    </row>
    <row r="2538" spans="1:9" x14ac:dyDescent="0.25">
      <c r="A2538" t="s">
        <v>10076</v>
      </c>
      <c r="B2538" t="s">
        <v>10076</v>
      </c>
      <c r="C2538" t="s">
        <v>10077</v>
      </c>
      <c r="D2538" t="s">
        <v>3242</v>
      </c>
      <c r="E2538" t="s">
        <v>15710</v>
      </c>
      <c r="F2538" t="s">
        <v>3288</v>
      </c>
      <c r="G2538" t="s">
        <v>10078</v>
      </c>
      <c r="H2538" t="s">
        <v>3060</v>
      </c>
    </row>
    <row r="2539" spans="1:9" x14ac:dyDescent="0.25">
      <c r="A2539" t="s">
        <v>10079</v>
      </c>
      <c r="B2539" t="s">
        <v>10079</v>
      </c>
      <c r="C2539" t="s">
        <v>10080</v>
      </c>
      <c r="D2539" t="s">
        <v>3242</v>
      </c>
      <c r="E2539" t="s">
        <v>15710</v>
      </c>
      <c r="F2539" t="s">
        <v>3257</v>
      </c>
      <c r="G2539" t="s">
        <v>10081</v>
      </c>
      <c r="H2539" t="s">
        <v>3248</v>
      </c>
      <c r="I2539" t="s">
        <v>3263</v>
      </c>
    </row>
    <row r="2540" spans="1:9" x14ac:dyDescent="0.25">
      <c r="A2540" t="s">
        <v>15261</v>
      </c>
      <c r="B2540" t="s">
        <v>15261</v>
      </c>
      <c r="C2540" t="s">
        <v>15262</v>
      </c>
      <c r="D2540" t="s">
        <v>3242</v>
      </c>
      <c r="E2540" t="s">
        <v>15972</v>
      </c>
      <c r="F2540" t="s">
        <v>3257</v>
      </c>
      <c r="G2540" t="s">
        <v>15263</v>
      </c>
      <c r="H2540" t="s">
        <v>5883</v>
      </c>
      <c r="I2540" t="s">
        <v>3324</v>
      </c>
    </row>
    <row r="2541" spans="1:9" x14ac:dyDescent="0.25">
      <c r="A2541" t="s">
        <v>10082</v>
      </c>
      <c r="B2541" t="s">
        <v>10082</v>
      </c>
      <c r="C2541" t="s">
        <v>10083</v>
      </c>
      <c r="D2541" t="s">
        <v>3242</v>
      </c>
      <c r="E2541" t="s">
        <v>15710</v>
      </c>
      <c r="F2541" t="s">
        <v>3243</v>
      </c>
      <c r="G2541" t="s">
        <v>10084</v>
      </c>
      <c r="H2541" t="s">
        <v>4045</v>
      </c>
    </row>
    <row r="2542" spans="1:9" x14ac:dyDescent="0.25">
      <c r="A2542" t="s">
        <v>10085</v>
      </c>
      <c r="B2542" t="s">
        <v>10085</v>
      </c>
      <c r="C2542" t="s">
        <v>10086</v>
      </c>
      <c r="D2542" t="s">
        <v>3242</v>
      </c>
      <c r="E2542" t="s">
        <v>17379</v>
      </c>
      <c r="F2542" t="s">
        <v>4996</v>
      </c>
      <c r="G2542" t="s">
        <v>15264</v>
      </c>
      <c r="H2542" t="s">
        <v>3484</v>
      </c>
      <c r="I2542" t="s">
        <v>14986</v>
      </c>
    </row>
    <row r="2543" spans="1:9" x14ac:dyDescent="0.25">
      <c r="A2543" t="s">
        <v>15265</v>
      </c>
      <c r="B2543" t="s">
        <v>15265</v>
      </c>
      <c r="C2543" t="s">
        <v>15266</v>
      </c>
      <c r="D2543" t="s">
        <v>3242</v>
      </c>
      <c r="E2543" t="s">
        <v>15710</v>
      </c>
      <c r="F2543" t="s">
        <v>3243</v>
      </c>
      <c r="G2543" t="s">
        <v>15267</v>
      </c>
      <c r="H2543" t="s">
        <v>5151</v>
      </c>
      <c r="I2543" t="s">
        <v>3432</v>
      </c>
    </row>
    <row r="2544" spans="1:9" x14ac:dyDescent="0.25">
      <c r="A2544" t="s">
        <v>10087</v>
      </c>
      <c r="B2544" t="s">
        <v>10087</v>
      </c>
      <c r="C2544" t="s">
        <v>10088</v>
      </c>
      <c r="D2544" t="s">
        <v>3242</v>
      </c>
      <c r="E2544" t="s">
        <v>15710</v>
      </c>
      <c r="F2544" t="s">
        <v>10089</v>
      </c>
      <c r="G2544" t="s">
        <v>10090</v>
      </c>
      <c r="H2544" t="s">
        <v>3248</v>
      </c>
      <c r="I2544" t="s">
        <v>3407</v>
      </c>
    </row>
    <row r="2545" spans="1:9" x14ac:dyDescent="0.25">
      <c r="A2545" t="s">
        <v>10091</v>
      </c>
      <c r="B2545" t="s">
        <v>10091</v>
      </c>
      <c r="C2545" t="s">
        <v>10092</v>
      </c>
      <c r="D2545" t="s">
        <v>3242</v>
      </c>
      <c r="E2545" t="s">
        <v>17380</v>
      </c>
      <c r="F2545" t="s">
        <v>3306</v>
      </c>
      <c r="G2545" t="s">
        <v>10093</v>
      </c>
      <c r="H2545" t="s">
        <v>3311</v>
      </c>
      <c r="I2545" t="s">
        <v>3254</v>
      </c>
    </row>
    <row r="2546" spans="1:9" x14ac:dyDescent="0.25">
      <c r="A2546" t="s">
        <v>10094</v>
      </c>
      <c r="B2546" t="s">
        <v>10094</v>
      </c>
      <c r="C2546" t="s">
        <v>10095</v>
      </c>
      <c r="D2546" t="s">
        <v>3242</v>
      </c>
      <c r="E2546" t="s">
        <v>15710</v>
      </c>
      <c r="F2546" t="s">
        <v>3243</v>
      </c>
      <c r="G2546" t="s">
        <v>10096</v>
      </c>
      <c r="H2546" t="s">
        <v>10097</v>
      </c>
    </row>
    <row r="2547" spans="1:9" x14ac:dyDescent="0.25">
      <c r="A2547" t="s">
        <v>17381</v>
      </c>
      <c r="B2547" t="s">
        <v>17381</v>
      </c>
      <c r="C2547" t="s">
        <v>17382</v>
      </c>
      <c r="D2547" t="s">
        <v>3242</v>
      </c>
      <c r="E2547" t="s">
        <v>15710</v>
      </c>
      <c r="F2547" t="s">
        <v>17383</v>
      </c>
      <c r="G2547" t="s">
        <v>17384</v>
      </c>
      <c r="H2547" t="s">
        <v>8701</v>
      </c>
      <c r="I2547" t="s">
        <v>3432</v>
      </c>
    </row>
    <row r="2548" spans="1:9" x14ac:dyDescent="0.25">
      <c r="A2548" t="s">
        <v>10098</v>
      </c>
      <c r="B2548" t="s">
        <v>10098</v>
      </c>
      <c r="C2548" t="s">
        <v>10099</v>
      </c>
      <c r="D2548" t="s">
        <v>3242</v>
      </c>
      <c r="E2548" t="s">
        <v>15819</v>
      </c>
      <c r="F2548" t="s">
        <v>3257</v>
      </c>
      <c r="G2548" t="s">
        <v>10100</v>
      </c>
      <c r="H2548" t="s">
        <v>5151</v>
      </c>
      <c r="I2548" t="s">
        <v>3648</v>
      </c>
    </row>
    <row r="2549" spans="1:9" x14ac:dyDescent="0.25">
      <c r="A2549" t="s">
        <v>10101</v>
      </c>
      <c r="B2549" t="s">
        <v>10101</v>
      </c>
      <c r="C2549" t="s">
        <v>10102</v>
      </c>
      <c r="D2549" t="s">
        <v>3242</v>
      </c>
      <c r="E2549" t="s">
        <v>15710</v>
      </c>
      <c r="F2549" t="s">
        <v>3345</v>
      </c>
      <c r="G2549" t="s">
        <v>10103</v>
      </c>
      <c r="H2549" t="s">
        <v>3060</v>
      </c>
    </row>
    <row r="2550" spans="1:9" x14ac:dyDescent="0.25">
      <c r="A2550" t="s">
        <v>10104</v>
      </c>
      <c r="B2550" t="s">
        <v>10104</v>
      </c>
      <c r="C2550" t="s">
        <v>10105</v>
      </c>
      <c r="D2550" t="s">
        <v>3242</v>
      </c>
      <c r="E2550" t="s">
        <v>15710</v>
      </c>
      <c r="F2550" t="s">
        <v>15712</v>
      </c>
      <c r="G2550" t="s">
        <v>10106</v>
      </c>
      <c r="H2550" t="s">
        <v>10107</v>
      </c>
    </row>
    <row r="2551" spans="1:9" x14ac:dyDescent="0.25">
      <c r="A2551" t="s">
        <v>10108</v>
      </c>
      <c r="B2551" t="s">
        <v>10108</v>
      </c>
      <c r="C2551" t="s">
        <v>10109</v>
      </c>
      <c r="D2551" t="s">
        <v>3242</v>
      </c>
      <c r="E2551" t="s">
        <v>15710</v>
      </c>
      <c r="F2551" t="s">
        <v>3243</v>
      </c>
      <c r="G2551" t="s">
        <v>10110</v>
      </c>
      <c r="H2551" t="s">
        <v>3614</v>
      </c>
    </row>
    <row r="2552" spans="1:9" x14ac:dyDescent="0.25">
      <c r="A2552" t="s">
        <v>10111</v>
      </c>
      <c r="B2552" t="s">
        <v>10111</v>
      </c>
      <c r="C2552" t="s">
        <v>10112</v>
      </c>
      <c r="D2552" t="s">
        <v>3242</v>
      </c>
      <c r="E2552" t="s">
        <v>15710</v>
      </c>
      <c r="F2552" t="s">
        <v>3288</v>
      </c>
      <c r="G2552" t="s">
        <v>10113</v>
      </c>
      <c r="H2552" t="s">
        <v>3285</v>
      </c>
    </row>
    <row r="2553" spans="1:9" x14ac:dyDescent="0.25">
      <c r="A2553" t="s">
        <v>10114</v>
      </c>
      <c r="B2553" t="s">
        <v>10114</v>
      </c>
      <c r="C2553" t="s">
        <v>10115</v>
      </c>
      <c r="D2553" t="s">
        <v>3242</v>
      </c>
      <c r="E2553" t="s">
        <v>15948</v>
      </c>
      <c r="F2553" t="s">
        <v>3257</v>
      </c>
      <c r="G2553" t="s">
        <v>10116</v>
      </c>
      <c r="H2553" t="s">
        <v>3353</v>
      </c>
      <c r="I2553" t="s">
        <v>3324</v>
      </c>
    </row>
    <row r="2554" spans="1:9" x14ac:dyDescent="0.25">
      <c r="A2554" t="s">
        <v>15268</v>
      </c>
      <c r="B2554" t="s">
        <v>15268</v>
      </c>
      <c r="C2554" t="s">
        <v>15269</v>
      </c>
      <c r="D2554" t="s">
        <v>3242</v>
      </c>
      <c r="E2554" t="s">
        <v>15710</v>
      </c>
      <c r="F2554" t="s">
        <v>3306</v>
      </c>
      <c r="G2554" t="s">
        <v>15270</v>
      </c>
      <c r="H2554" t="s">
        <v>3421</v>
      </c>
      <c r="I2554" t="s">
        <v>3254</v>
      </c>
    </row>
    <row r="2555" spans="1:9" x14ac:dyDescent="0.25">
      <c r="A2555" t="s">
        <v>16785</v>
      </c>
      <c r="B2555" t="s">
        <v>16785</v>
      </c>
      <c r="C2555" t="s">
        <v>16786</v>
      </c>
      <c r="D2555" t="s">
        <v>3242</v>
      </c>
      <c r="E2555" t="s">
        <v>15710</v>
      </c>
      <c r="F2555" t="s">
        <v>3243</v>
      </c>
      <c r="G2555" t="s">
        <v>16787</v>
      </c>
      <c r="H2555" t="s">
        <v>3285</v>
      </c>
    </row>
    <row r="2556" spans="1:9" x14ac:dyDescent="0.25">
      <c r="A2556" t="s">
        <v>10117</v>
      </c>
      <c r="B2556" t="s">
        <v>10117</v>
      </c>
      <c r="C2556" t="s">
        <v>10118</v>
      </c>
      <c r="D2556" t="s">
        <v>3242</v>
      </c>
      <c r="E2556" t="s">
        <v>15710</v>
      </c>
      <c r="F2556" t="s">
        <v>3257</v>
      </c>
      <c r="G2556" t="s">
        <v>10119</v>
      </c>
      <c r="H2556" t="s">
        <v>3484</v>
      </c>
    </row>
    <row r="2557" spans="1:9" x14ac:dyDescent="0.25">
      <c r="A2557" t="s">
        <v>10120</v>
      </c>
      <c r="B2557" t="s">
        <v>10120</v>
      </c>
      <c r="C2557" t="s">
        <v>10121</v>
      </c>
      <c r="D2557" t="s">
        <v>3242</v>
      </c>
      <c r="E2557" t="s">
        <v>15949</v>
      </c>
      <c r="F2557" t="s">
        <v>3306</v>
      </c>
      <c r="G2557" t="s">
        <v>10122</v>
      </c>
      <c r="H2557" t="s">
        <v>3594</v>
      </c>
      <c r="I2557" t="s">
        <v>3324</v>
      </c>
    </row>
    <row r="2558" spans="1:9" x14ac:dyDescent="0.25">
      <c r="A2558" t="s">
        <v>10123</v>
      </c>
      <c r="B2558" t="s">
        <v>10123</v>
      </c>
      <c r="C2558" t="s">
        <v>10124</v>
      </c>
      <c r="D2558" t="s">
        <v>3242</v>
      </c>
      <c r="E2558" t="s">
        <v>15710</v>
      </c>
      <c r="F2558" t="s">
        <v>10125</v>
      </c>
      <c r="G2558" t="s">
        <v>10126</v>
      </c>
      <c r="H2558" t="s">
        <v>3280</v>
      </c>
      <c r="I2558" t="s">
        <v>3263</v>
      </c>
    </row>
    <row r="2559" spans="1:9" x14ac:dyDescent="0.25">
      <c r="A2559" t="s">
        <v>10127</v>
      </c>
      <c r="B2559" t="s">
        <v>10127</v>
      </c>
      <c r="C2559" t="s">
        <v>10128</v>
      </c>
      <c r="D2559" t="s">
        <v>3242</v>
      </c>
      <c r="E2559" t="s">
        <v>16519</v>
      </c>
      <c r="F2559" t="s">
        <v>9087</v>
      </c>
      <c r="G2559" t="s">
        <v>10129</v>
      </c>
      <c r="H2559" t="s">
        <v>4856</v>
      </c>
      <c r="I2559" t="s">
        <v>3407</v>
      </c>
    </row>
    <row r="2560" spans="1:9" x14ac:dyDescent="0.25">
      <c r="A2560" t="s">
        <v>16508</v>
      </c>
      <c r="B2560" t="s">
        <v>16508</v>
      </c>
      <c r="C2560" t="s">
        <v>16509</v>
      </c>
      <c r="D2560" t="s">
        <v>3242</v>
      </c>
      <c r="E2560" t="s">
        <v>17385</v>
      </c>
      <c r="F2560" t="s">
        <v>3288</v>
      </c>
      <c r="G2560" t="s">
        <v>16510</v>
      </c>
      <c r="H2560" t="s">
        <v>3285</v>
      </c>
    </row>
    <row r="2561" spans="1:9" x14ac:dyDescent="0.25">
      <c r="A2561" t="s">
        <v>15271</v>
      </c>
      <c r="B2561" t="s">
        <v>15271</v>
      </c>
      <c r="C2561" t="s">
        <v>15272</v>
      </c>
      <c r="D2561" t="s">
        <v>3242</v>
      </c>
      <c r="E2561" t="s">
        <v>15710</v>
      </c>
      <c r="F2561" t="s">
        <v>3243</v>
      </c>
      <c r="G2561" t="s">
        <v>15273</v>
      </c>
      <c r="H2561" t="s">
        <v>3402</v>
      </c>
    </row>
    <row r="2562" spans="1:9" x14ac:dyDescent="0.25">
      <c r="A2562" t="s">
        <v>10130</v>
      </c>
      <c r="B2562" t="s">
        <v>10130</v>
      </c>
      <c r="C2562" t="s">
        <v>10131</v>
      </c>
      <c r="D2562" t="s">
        <v>3242</v>
      </c>
      <c r="E2562" t="s">
        <v>15710</v>
      </c>
      <c r="F2562" t="s">
        <v>3306</v>
      </c>
      <c r="G2562" t="s">
        <v>10132</v>
      </c>
      <c r="H2562" t="s">
        <v>3267</v>
      </c>
      <c r="I2562" t="s">
        <v>3294</v>
      </c>
    </row>
    <row r="2563" spans="1:9" x14ac:dyDescent="0.25">
      <c r="A2563" t="s">
        <v>10133</v>
      </c>
      <c r="B2563" t="s">
        <v>10133</v>
      </c>
      <c r="C2563" t="s">
        <v>10134</v>
      </c>
      <c r="D2563" t="s">
        <v>3242</v>
      </c>
      <c r="E2563" t="s">
        <v>17386</v>
      </c>
      <c r="F2563" t="s">
        <v>4996</v>
      </c>
      <c r="G2563" t="s">
        <v>10135</v>
      </c>
      <c r="H2563" t="s">
        <v>3379</v>
      </c>
      <c r="I2563" t="s">
        <v>3366</v>
      </c>
    </row>
    <row r="2564" spans="1:9" x14ac:dyDescent="0.25">
      <c r="A2564" t="s">
        <v>10136</v>
      </c>
      <c r="B2564" t="s">
        <v>10136</v>
      </c>
      <c r="C2564" t="s">
        <v>10137</v>
      </c>
      <c r="D2564" t="s">
        <v>3242</v>
      </c>
      <c r="E2564" t="s">
        <v>15710</v>
      </c>
      <c r="F2564" t="s">
        <v>4996</v>
      </c>
      <c r="G2564" t="s">
        <v>10138</v>
      </c>
      <c r="H2564" t="s">
        <v>10139</v>
      </c>
      <c r="I2564" t="s">
        <v>3366</v>
      </c>
    </row>
    <row r="2565" spans="1:9" x14ac:dyDescent="0.25">
      <c r="A2565" t="s">
        <v>10140</v>
      </c>
      <c r="B2565" t="s">
        <v>10140</v>
      </c>
      <c r="C2565" t="s">
        <v>10141</v>
      </c>
      <c r="D2565" t="s">
        <v>3242</v>
      </c>
      <c r="E2565" t="s">
        <v>15710</v>
      </c>
      <c r="F2565" t="s">
        <v>3257</v>
      </c>
      <c r="G2565" t="s">
        <v>10142</v>
      </c>
      <c r="H2565" t="s">
        <v>10143</v>
      </c>
      <c r="I2565" t="s">
        <v>3451</v>
      </c>
    </row>
    <row r="2566" spans="1:9" x14ac:dyDescent="0.25">
      <c r="A2566" t="s">
        <v>10144</v>
      </c>
      <c r="B2566" t="s">
        <v>10144</v>
      </c>
      <c r="C2566" t="s">
        <v>10145</v>
      </c>
      <c r="D2566" t="s">
        <v>3242</v>
      </c>
      <c r="E2566" t="s">
        <v>15710</v>
      </c>
      <c r="F2566" t="s">
        <v>3288</v>
      </c>
      <c r="G2566" t="s">
        <v>10146</v>
      </c>
      <c r="H2566" t="s">
        <v>4800</v>
      </c>
    </row>
    <row r="2567" spans="1:9" x14ac:dyDescent="0.25">
      <c r="A2567" t="s">
        <v>10147</v>
      </c>
      <c r="B2567" t="s">
        <v>10147</v>
      </c>
      <c r="C2567" t="s">
        <v>10148</v>
      </c>
      <c r="D2567" t="s">
        <v>3242</v>
      </c>
      <c r="E2567" t="s">
        <v>15710</v>
      </c>
      <c r="F2567" t="s">
        <v>3257</v>
      </c>
      <c r="G2567" t="s">
        <v>10149</v>
      </c>
      <c r="H2567" t="s">
        <v>3262</v>
      </c>
    </row>
    <row r="2568" spans="1:9" x14ac:dyDescent="0.25">
      <c r="A2568" t="s">
        <v>10150</v>
      </c>
      <c r="B2568" t="s">
        <v>10150</v>
      </c>
      <c r="C2568" t="s">
        <v>10151</v>
      </c>
      <c r="D2568" t="s">
        <v>3242</v>
      </c>
      <c r="E2568" t="s">
        <v>15950</v>
      </c>
      <c r="F2568" t="s">
        <v>3243</v>
      </c>
      <c r="G2568" t="s">
        <v>10152</v>
      </c>
      <c r="H2568" t="s">
        <v>6547</v>
      </c>
    </row>
    <row r="2569" spans="1:9" x14ac:dyDescent="0.25">
      <c r="A2569" t="s">
        <v>10153</v>
      </c>
      <c r="B2569" t="s">
        <v>10153</v>
      </c>
      <c r="C2569" t="s">
        <v>10154</v>
      </c>
      <c r="D2569" t="s">
        <v>3242</v>
      </c>
      <c r="E2569" t="s">
        <v>15951</v>
      </c>
      <c r="F2569" t="s">
        <v>5490</v>
      </c>
      <c r="G2569" t="s">
        <v>10155</v>
      </c>
      <c r="H2569" t="s">
        <v>3417</v>
      </c>
      <c r="I2569" t="s">
        <v>3648</v>
      </c>
    </row>
    <row r="2570" spans="1:9" x14ac:dyDescent="0.25">
      <c r="A2570" t="s">
        <v>10156</v>
      </c>
      <c r="B2570" t="s">
        <v>10156</v>
      </c>
      <c r="C2570" t="s">
        <v>10157</v>
      </c>
      <c r="D2570" t="s">
        <v>3242</v>
      </c>
      <c r="E2570" t="s">
        <v>15710</v>
      </c>
      <c r="F2570" t="s">
        <v>3372</v>
      </c>
      <c r="G2570" t="s">
        <v>10158</v>
      </c>
      <c r="H2570" t="s">
        <v>5228</v>
      </c>
      <c r="I2570" t="s">
        <v>3375</v>
      </c>
    </row>
    <row r="2571" spans="1:9" x14ac:dyDescent="0.25">
      <c r="A2571" t="s">
        <v>10159</v>
      </c>
      <c r="B2571" t="s">
        <v>10159</v>
      </c>
      <c r="C2571" t="s">
        <v>10160</v>
      </c>
      <c r="D2571" t="s">
        <v>3242</v>
      </c>
      <c r="E2571" t="s">
        <v>15710</v>
      </c>
      <c r="F2571" t="s">
        <v>3257</v>
      </c>
      <c r="G2571" t="s">
        <v>10161</v>
      </c>
      <c r="H2571" t="s">
        <v>3248</v>
      </c>
      <c r="I2571" t="s">
        <v>3407</v>
      </c>
    </row>
    <row r="2572" spans="1:9" x14ac:dyDescent="0.25">
      <c r="A2572" t="s">
        <v>10162</v>
      </c>
      <c r="B2572" t="s">
        <v>10162</v>
      </c>
      <c r="C2572" t="s">
        <v>10163</v>
      </c>
      <c r="D2572" t="s">
        <v>3242</v>
      </c>
      <c r="E2572" t="s">
        <v>15952</v>
      </c>
      <c r="F2572" t="s">
        <v>9087</v>
      </c>
      <c r="G2572" t="s">
        <v>8670</v>
      </c>
      <c r="H2572" t="s">
        <v>3455</v>
      </c>
      <c r="I2572" t="s">
        <v>3407</v>
      </c>
    </row>
    <row r="2573" spans="1:9" x14ac:dyDescent="0.25">
      <c r="A2573" t="s">
        <v>10164</v>
      </c>
      <c r="B2573" t="s">
        <v>10164</v>
      </c>
      <c r="C2573" t="s">
        <v>10165</v>
      </c>
      <c r="D2573" t="s">
        <v>3242</v>
      </c>
      <c r="E2573" t="s">
        <v>15825</v>
      </c>
      <c r="F2573" t="s">
        <v>3257</v>
      </c>
      <c r="G2573" t="s">
        <v>10166</v>
      </c>
      <c r="H2573" t="s">
        <v>5013</v>
      </c>
      <c r="I2573" t="s">
        <v>3324</v>
      </c>
    </row>
    <row r="2574" spans="1:9" x14ac:dyDescent="0.25">
      <c r="A2574" t="s">
        <v>10167</v>
      </c>
      <c r="B2574" t="s">
        <v>10167</v>
      </c>
      <c r="C2574" t="s">
        <v>10168</v>
      </c>
      <c r="D2574" t="s">
        <v>3242</v>
      </c>
      <c r="E2574" t="s">
        <v>15953</v>
      </c>
      <c r="F2574" t="s">
        <v>3372</v>
      </c>
      <c r="G2574" t="s">
        <v>10169</v>
      </c>
      <c r="H2574" t="s">
        <v>4835</v>
      </c>
      <c r="I2574" t="s">
        <v>3366</v>
      </c>
    </row>
    <row r="2575" spans="1:9" x14ac:dyDescent="0.25">
      <c r="A2575" t="s">
        <v>10170</v>
      </c>
      <c r="B2575" t="s">
        <v>10170</v>
      </c>
      <c r="C2575" t="s">
        <v>10171</v>
      </c>
      <c r="D2575" t="s">
        <v>3242</v>
      </c>
      <c r="E2575" t="s">
        <v>15710</v>
      </c>
      <c r="F2575" t="s">
        <v>3243</v>
      </c>
      <c r="G2575" t="s">
        <v>10172</v>
      </c>
      <c r="H2575" t="s">
        <v>3647</v>
      </c>
    </row>
    <row r="2576" spans="1:9" x14ac:dyDescent="0.25">
      <c r="A2576" t="s">
        <v>10173</v>
      </c>
      <c r="B2576" t="s">
        <v>10173</v>
      </c>
      <c r="C2576" t="s">
        <v>10174</v>
      </c>
      <c r="D2576" t="s">
        <v>3242</v>
      </c>
      <c r="E2576" t="s">
        <v>17052</v>
      </c>
      <c r="F2576" t="s">
        <v>3300</v>
      </c>
      <c r="G2576" t="s">
        <v>10175</v>
      </c>
      <c r="H2576" t="s">
        <v>3668</v>
      </c>
      <c r="I2576" t="s">
        <v>3694</v>
      </c>
    </row>
    <row r="2577" spans="1:9" x14ac:dyDescent="0.25">
      <c r="A2577" t="s">
        <v>15274</v>
      </c>
      <c r="B2577" t="s">
        <v>15274</v>
      </c>
      <c r="C2577" t="s">
        <v>15275</v>
      </c>
      <c r="D2577" t="s">
        <v>3242</v>
      </c>
      <c r="E2577" t="s">
        <v>15710</v>
      </c>
      <c r="F2577" t="s">
        <v>3306</v>
      </c>
      <c r="G2577" t="s">
        <v>15276</v>
      </c>
      <c r="H2577" t="s">
        <v>3267</v>
      </c>
      <c r="I2577" t="s">
        <v>3328</v>
      </c>
    </row>
    <row r="2578" spans="1:9" x14ac:dyDescent="0.25">
      <c r="A2578" t="s">
        <v>10176</v>
      </c>
      <c r="B2578" t="s">
        <v>10176</v>
      </c>
      <c r="C2578" t="s">
        <v>10177</v>
      </c>
      <c r="D2578" t="s">
        <v>3242</v>
      </c>
      <c r="E2578" t="s">
        <v>15710</v>
      </c>
      <c r="F2578" t="s">
        <v>3288</v>
      </c>
      <c r="G2578" t="s">
        <v>10178</v>
      </c>
      <c r="H2578" t="s">
        <v>3060</v>
      </c>
    </row>
    <row r="2579" spans="1:9" x14ac:dyDescent="0.25">
      <c r="A2579" t="s">
        <v>10179</v>
      </c>
      <c r="B2579" t="s">
        <v>10179</v>
      </c>
      <c r="C2579" t="s">
        <v>10180</v>
      </c>
      <c r="D2579" t="s">
        <v>3242</v>
      </c>
      <c r="E2579" t="s">
        <v>15710</v>
      </c>
      <c r="F2579" t="s">
        <v>3257</v>
      </c>
      <c r="G2579" t="s">
        <v>10181</v>
      </c>
      <c r="H2579" t="s">
        <v>3280</v>
      </c>
      <c r="I2579" t="s">
        <v>3407</v>
      </c>
    </row>
    <row r="2580" spans="1:9" x14ac:dyDescent="0.25">
      <c r="A2580" t="s">
        <v>10182</v>
      </c>
      <c r="B2580" t="s">
        <v>10182</v>
      </c>
      <c r="C2580" t="s">
        <v>10183</v>
      </c>
      <c r="D2580" t="s">
        <v>3242</v>
      </c>
      <c r="E2580" t="s">
        <v>15710</v>
      </c>
      <c r="F2580" t="s">
        <v>3257</v>
      </c>
      <c r="G2580" t="s">
        <v>10184</v>
      </c>
      <c r="H2580" t="s">
        <v>9732</v>
      </c>
      <c r="I2580" t="s">
        <v>3407</v>
      </c>
    </row>
    <row r="2581" spans="1:9" x14ac:dyDescent="0.25">
      <c r="A2581" t="s">
        <v>10185</v>
      </c>
      <c r="B2581" t="s">
        <v>10185</v>
      </c>
      <c r="C2581" t="s">
        <v>10186</v>
      </c>
      <c r="D2581" t="s">
        <v>3242</v>
      </c>
      <c r="E2581" t="s">
        <v>15710</v>
      </c>
      <c r="F2581" t="s">
        <v>4996</v>
      </c>
      <c r="G2581" t="s">
        <v>10187</v>
      </c>
      <c r="H2581" t="s">
        <v>5883</v>
      </c>
      <c r="I2581" t="s">
        <v>3366</v>
      </c>
    </row>
    <row r="2582" spans="1:9" x14ac:dyDescent="0.25">
      <c r="A2582" t="s">
        <v>10188</v>
      </c>
      <c r="B2582" t="s">
        <v>10188</v>
      </c>
      <c r="C2582" t="s">
        <v>10189</v>
      </c>
      <c r="D2582" t="s">
        <v>3242</v>
      </c>
      <c r="E2582" t="s">
        <v>15710</v>
      </c>
      <c r="F2582" t="s">
        <v>3243</v>
      </c>
      <c r="G2582" t="s">
        <v>10190</v>
      </c>
      <c r="H2582" t="s">
        <v>5151</v>
      </c>
      <c r="I2582" t="s">
        <v>3648</v>
      </c>
    </row>
    <row r="2583" spans="1:9" x14ac:dyDescent="0.25">
      <c r="A2583" t="s">
        <v>10191</v>
      </c>
      <c r="B2583" t="s">
        <v>10191</v>
      </c>
      <c r="C2583" t="s">
        <v>16060</v>
      </c>
      <c r="D2583" t="s">
        <v>3242</v>
      </c>
      <c r="E2583" t="s">
        <v>16292</v>
      </c>
      <c r="F2583" t="s">
        <v>3243</v>
      </c>
      <c r="G2583" t="s">
        <v>16061</v>
      </c>
      <c r="H2583" t="s">
        <v>7755</v>
      </c>
      <c r="I2583" t="s">
        <v>15020</v>
      </c>
    </row>
    <row r="2584" spans="1:9" x14ac:dyDescent="0.25">
      <c r="A2584" t="s">
        <v>10192</v>
      </c>
      <c r="B2584" t="s">
        <v>10192</v>
      </c>
      <c r="C2584" t="s">
        <v>10193</v>
      </c>
      <c r="D2584" t="s">
        <v>3242</v>
      </c>
      <c r="E2584" t="s">
        <v>15710</v>
      </c>
      <c r="F2584" t="s">
        <v>3288</v>
      </c>
      <c r="G2584" t="s">
        <v>10194</v>
      </c>
      <c r="H2584" t="s">
        <v>3060</v>
      </c>
    </row>
    <row r="2585" spans="1:9" x14ac:dyDescent="0.25">
      <c r="A2585" t="s">
        <v>10195</v>
      </c>
      <c r="B2585" t="s">
        <v>10195</v>
      </c>
      <c r="C2585" t="s">
        <v>10196</v>
      </c>
      <c r="D2585" t="s">
        <v>3242</v>
      </c>
      <c r="E2585" t="s">
        <v>15710</v>
      </c>
      <c r="F2585" t="s">
        <v>7747</v>
      </c>
      <c r="G2585" t="s">
        <v>10197</v>
      </c>
      <c r="H2585" t="s">
        <v>3496</v>
      </c>
      <c r="I2585" t="s">
        <v>3407</v>
      </c>
    </row>
    <row r="2586" spans="1:9" x14ac:dyDescent="0.25">
      <c r="A2586" t="s">
        <v>10198</v>
      </c>
      <c r="B2586" t="s">
        <v>10198</v>
      </c>
      <c r="C2586" t="s">
        <v>10199</v>
      </c>
      <c r="D2586" t="s">
        <v>3242</v>
      </c>
      <c r="E2586" t="s">
        <v>15710</v>
      </c>
      <c r="F2586" t="s">
        <v>6077</v>
      </c>
      <c r="G2586" t="s">
        <v>10200</v>
      </c>
      <c r="H2586" t="s">
        <v>5151</v>
      </c>
      <c r="I2586" t="s">
        <v>3648</v>
      </c>
    </row>
    <row r="2587" spans="1:9" x14ac:dyDescent="0.25">
      <c r="A2587" t="s">
        <v>10201</v>
      </c>
      <c r="B2587" t="s">
        <v>10201</v>
      </c>
      <c r="C2587" t="s">
        <v>10202</v>
      </c>
      <c r="D2587" t="s">
        <v>3242</v>
      </c>
      <c r="E2587" t="s">
        <v>15710</v>
      </c>
      <c r="F2587" t="s">
        <v>3257</v>
      </c>
      <c r="G2587" t="s">
        <v>10203</v>
      </c>
      <c r="H2587" t="s">
        <v>3357</v>
      </c>
      <c r="I2587" t="s">
        <v>3268</v>
      </c>
    </row>
    <row r="2588" spans="1:9" x14ac:dyDescent="0.25">
      <c r="A2588" t="s">
        <v>15277</v>
      </c>
      <c r="B2588" t="s">
        <v>15277</v>
      </c>
      <c r="C2588" t="s">
        <v>15278</v>
      </c>
      <c r="D2588" t="s">
        <v>3242</v>
      </c>
      <c r="E2588" t="s">
        <v>15710</v>
      </c>
      <c r="F2588" t="s">
        <v>3243</v>
      </c>
      <c r="G2588" t="s">
        <v>15279</v>
      </c>
      <c r="H2588" t="s">
        <v>3387</v>
      </c>
    </row>
    <row r="2589" spans="1:9" x14ac:dyDescent="0.25">
      <c r="A2589" t="s">
        <v>16788</v>
      </c>
      <c r="B2589" t="s">
        <v>16788</v>
      </c>
      <c r="C2589" t="s">
        <v>16789</v>
      </c>
      <c r="D2589" t="s">
        <v>3242</v>
      </c>
      <c r="E2589" t="s">
        <v>15710</v>
      </c>
      <c r="F2589" t="s">
        <v>3243</v>
      </c>
      <c r="G2589" t="s">
        <v>16790</v>
      </c>
      <c r="H2589" t="s">
        <v>8306</v>
      </c>
    </row>
    <row r="2590" spans="1:9" x14ac:dyDescent="0.25">
      <c r="A2590" t="s">
        <v>16699</v>
      </c>
      <c r="B2590" t="s">
        <v>16699</v>
      </c>
      <c r="C2590" t="s">
        <v>16700</v>
      </c>
      <c r="D2590" t="s">
        <v>3242</v>
      </c>
      <c r="E2590" t="s">
        <v>16701</v>
      </c>
      <c r="F2590" t="s">
        <v>16702</v>
      </c>
      <c r="G2590" t="s">
        <v>16703</v>
      </c>
      <c r="H2590" t="s">
        <v>7867</v>
      </c>
    </row>
    <row r="2591" spans="1:9" x14ac:dyDescent="0.25">
      <c r="A2591" t="s">
        <v>10204</v>
      </c>
      <c r="B2591" t="s">
        <v>10204</v>
      </c>
      <c r="C2591" t="s">
        <v>10205</v>
      </c>
      <c r="D2591" t="s">
        <v>3242</v>
      </c>
      <c r="E2591" t="s">
        <v>17655</v>
      </c>
      <c r="F2591" t="s">
        <v>3372</v>
      </c>
      <c r="G2591" t="s">
        <v>10206</v>
      </c>
      <c r="H2591" t="s">
        <v>3267</v>
      </c>
      <c r="I2591" t="s">
        <v>3268</v>
      </c>
    </row>
    <row r="2592" spans="1:9" x14ac:dyDescent="0.25">
      <c r="A2592" t="s">
        <v>10207</v>
      </c>
      <c r="B2592" t="s">
        <v>10207</v>
      </c>
      <c r="C2592" t="s">
        <v>10208</v>
      </c>
      <c r="D2592" t="s">
        <v>3242</v>
      </c>
      <c r="E2592" t="s">
        <v>16293</v>
      </c>
      <c r="F2592" t="s">
        <v>6077</v>
      </c>
      <c r="G2592" t="s">
        <v>10209</v>
      </c>
      <c r="H2592" t="s">
        <v>3417</v>
      </c>
      <c r="I2592" t="s">
        <v>3648</v>
      </c>
    </row>
    <row r="2593" spans="1:9" x14ac:dyDescent="0.25">
      <c r="A2593" t="s">
        <v>15280</v>
      </c>
      <c r="B2593" t="s">
        <v>15280</v>
      </c>
      <c r="C2593" t="s">
        <v>15281</v>
      </c>
      <c r="D2593" t="s">
        <v>3242</v>
      </c>
      <c r="E2593" t="s">
        <v>15710</v>
      </c>
      <c r="F2593" t="s">
        <v>3288</v>
      </c>
      <c r="G2593" t="s">
        <v>15282</v>
      </c>
      <c r="H2593" t="s">
        <v>3680</v>
      </c>
    </row>
    <row r="2594" spans="1:9" x14ac:dyDescent="0.25">
      <c r="A2594" t="s">
        <v>10210</v>
      </c>
      <c r="B2594" t="s">
        <v>10210</v>
      </c>
      <c r="C2594" t="s">
        <v>10211</v>
      </c>
      <c r="D2594" t="s">
        <v>3242</v>
      </c>
      <c r="E2594" t="s">
        <v>17656</v>
      </c>
      <c r="F2594" t="s">
        <v>6858</v>
      </c>
      <c r="G2594" t="s">
        <v>10212</v>
      </c>
      <c r="H2594" t="s">
        <v>3060</v>
      </c>
      <c r="I2594" t="s">
        <v>5390</v>
      </c>
    </row>
    <row r="2595" spans="1:9" x14ac:dyDescent="0.25">
      <c r="A2595" t="s">
        <v>10213</v>
      </c>
      <c r="B2595" t="s">
        <v>10213</v>
      </c>
      <c r="C2595" t="s">
        <v>10214</v>
      </c>
      <c r="D2595" t="s">
        <v>3242</v>
      </c>
      <c r="E2595" t="s">
        <v>15798</v>
      </c>
      <c r="F2595" t="s">
        <v>3257</v>
      </c>
      <c r="G2595" t="s">
        <v>10215</v>
      </c>
      <c r="H2595" t="s">
        <v>5151</v>
      </c>
      <c r="I2595" t="s">
        <v>3648</v>
      </c>
    </row>
    <row r="2596" spans="1:9" x14ac:dyDescent="0.25">
      <c r="A2596" t="s">
        <v>10216</v>
      </c>
      <c r="B2596" t="s">
        <v>10216</v>
      </c>
      <c r="C2596" t="s">
        <v>10217</v>
      </c>
      <c r="D2596" t="s">
        <v>3242</v>
      </c>
      <c r="E2596" t="s">
        <v>15954</v>
      </c>
      <c r="F2596" t="s">
        <v>3306</v>
      </c>
      <c r="G2596" t="s">
        <v>10218</v>
      </c>
      <c r="H2596" t="s">
        <v>7817</v>
      </c>
    </row>
    <row r="2597" spans="1:9" x14ac:dyDescent="0.25">
      <c r="A2597" t="s">
        <v>10219</v>
      </c>
      <c r="B2597" t="s">
        <v>10219</v>
      </c>
      <c r="C2597" t="s">
        <v>10220</v>
      </c>
      <c r="D2597" t="s">
        <v>3242</v>
      </c>
      <c r="E2597" t="s">
        <v>15710</v>
      </c>
      <c r="F2597" t="s">
        <v>4996</v>
      </c>
      <c r="G2597" t="s">
        <v>10221</v>
      </c>
      <c r="H2597" t="s">
        <v>6803</v>
      </c>
      <c r="I2597" t="s">
        <v>3366</v>
      </c>
    </row>
    <row r="2598" spans="1:9" x14ac:dyDescent="0.25">
      <c r="A2598" t="s">
        <v>10222</v>
      </c>
      <c r="B2598" t="s">
        <v>10222</v>
      </c>
      <c r="C2598" t="s">
        <v>10223</v>
      </c>
      <c r="D2598" t="s">
        <v>3242</v>
      </c>
      <c r="E2598" t="s">
        <v>17387</v>
      </c>
      <c r="F2598" t="s">
        <v>3257</v>
      </c>
      <c r="G2598" t="s">
        <v>10224</v>
      </c>
      <c r="H2598" t="s">
        <v>4045</v>
      </c>
      <c r="I2598" t="s">
        <v>4028</v>
      </c>
    </row>
    <row r="2599" spans="1:9" x14ac:dyDescent="0.25">
      <c r="A2599" t="s">
        <v>10225</v>
      </c>
      <c r="B2599" t="s">
        <v>10225</v>
      </c>
      <c r="C2599" t="s">
        <v>10226</v>
      </c>
      <c r="D2599" t="s">
        <v>3242</v>
      </c>
      <c r="E2599" t="s">
        <v>15710</v>
      </c>
      <c r="F2599" t="s">
        <v>3372</v>
      </c>
      <c r="G2599" t="s">
        <v>15283</v>
      </c>
      <c r="H2599" t="s">
        <v>3484</v>
      </c>
      <c r="I2599" t="s">
        <v>14986</v>
      </c>
    </row>
    <row r="2600" spans="1:9" x14ac:dyDescent="0.25">
      <c r="A2600" t="s">
        <v>15284</v>
      </c>
      <c r="B2600" t="s">
        <v>15284</v>
      </c>
      <c r="C2600" t="s">
        <v>15285</v>
      </c>
      <c r="D2600" t="s">
        <v>3242</v>
      </c>
      <c r="E2600" t="s">
        <v>15710</v>
      </c>
      <c r="F2600" t="s">
        <v>3243</v>
      </c>
      <c r="G2600" t="s">
        <v>15286</v>
      </c>
      <c r="H2600" t="s">
        <v>3285</v>
      </c>
    </row>
    <row r="2601" spans="1:9" x14ac:dyDescent="0.25">
      <c r="A2601" t="s">
        <v>10227</v>
      </c>
      <c r="B2601" t="s">
        <v>10227</v>
      </c>
      <c r="C2601" t="s">
        <v>10228</v>
      </c>
      <c r="D2601" t="s">
        <v>3242</v>
      </c>
      <c r="E2601" t="s">
        <v>15710</v>
      </c>
      <c r="F2601" t="s">
        <v>3243</v>
      </c>
      <c r="G2601" t="s">
        <v>10229</v>
      </c>
      <c r="H2601" t="s">
        <v>3421</v>
      </c>
    </row>
    <row r="2602" spans="1:9" x14ac:dyDescent="0.25">
      <c r="A2602" t="s">
        <v>10230</v>
      </c>
      <c r="B2602" t="s">
        <v>10230</v>
      </c>
      <c r="C2602" t="s">
        <v>10231</v>
      </c>
      <c r="D2602" t="s">
        <v>3242</v>
      </c>
      <c r="E2602" t="s">
        <v>15710</v>
      </c>
      <c r="F2602" t="s">
        <v>3243</v>
      </c>
      <c r="G2602" t="s">
        <v>10232</v>
      </c>
      <c r="H2602" t="s">
        <v>3290</v>
      </c>
    </row>
    <row r="2603" spans="1:9" x14ac:dyDescent="0.25">
      <c r="A2603" t="s">
        <v>10233</v>
      </c>
      <c r="B2603" t="s">
        <v>10233</v>
      </c>
      <c r="C2603" t="s">
        <v>10234</v>
      </c>
      <c r="D2603" t="s">
        <v>3242</v>
      </c>
      <c r="E2603" t="s">
        <v>17603</v>
      </c>
      <c r="F2603" t="s">
        <v>3306</v>
      </c>
      <c r="G2603" t="s">
        <v>10235</v>
      </c>
      <c r="H2603" t="s">
        <v>3357</v>
      </c>
      <c r="I2603" t="s">
        <v>3366</v>
      </c>
    </row>
    <row r="2604" spans="1:9" x14ac:dyDescent="0.25">
      <c r="A2604" t="s">
        <v>10236</v>
      </c>
      <c r="B2604" t="s">
        <v>10236</v>
      </c>
      <c r="C2604" t="s">
        <v>10237</v>
      </c>
      <c r="D2604" t="s">
        <v>3242</v>
      </c>
      <c r="E2604" t="s">
        <v>15710</v>
      </c>
      <c r="F2604" t="s">
        <v>3257</v>
      </c>
      <c r="G2604" t="s">
        <v>10238</v>
      </c>
      <c r="H2604" t="s">
        <v>3262</v>
      </c>
    </row>
    <row r="2605" spans="1:9" x14ac:dyDescent="0.25">
      <c r="A2605" t="s">
        <v>10239</v>
      </c>
      <c r="B2605" t="s">
        <v>10239</v>
      </c>
      <c r="C2605" t="s">
        <v>10240</v>
      </c>
      <c r="D2605" t="s">
        <v>3242</v>
      </c>
      <c r="E2605" t="s">
        <v>15710</v>
      </c>
      <c r="F2605" t="s">
        <v>3288</v>
      </c>
      <c r="G2605" t="s">
        <v>10241</v>
      </c>
      <c r="H2605" t="s">
        <v>3680</v>
      </c>
    </row>
    <row r="2606" spans="1:9" x14ac:dyDescent="0.25">
      <c r="A2606" t="s">
        <v>10242</v>
      </c>
      <c r="B2606" t="s">
        <v>10242</v>
      </c>
      <c r="C2606" t="s">
        <v>10243</v>
      </c>
      <c r="D2606" t="s">
        <v>3242</v>
      </c>
      <c r="E2606" t="s">
        <v>15710</v>
      </c>
      <c r="F2606" t="s">
        <v>3288</v>
      </c>
      <c r="G2606" t="s">
        <v>10244</v>
      </c>
      <c r="H2606" t="s">
        <v>3285</v>
      </c>
    </row>
    <row r="2607" spans="1:9" x14ac:dyDescent="0.25">
      <c r="A2607" t="s">
        <v>10245</v>
      </c>
      <c r="B2607" t="s">
        <v>10245</v>
      </c>
      <c r="C2607" t="s">
        <v>10246</v>
      </c>
      <c r="D2607" t="s">
        <v>3242</v>
      </c>
      <c r="E2607" t="s">
        <v>17388</v>
      </c>
      <c r="F2607" t="s">
        <v>3257</v>
      </c>
      <c r="G2607" t="s">
        <v>10247</v>
      </c>
      <c r="H2607" t="s">
        <v>3658</v>
      </c>
      <c r="I2607" t="s">
        <v>3268</v>
      </c>
    </row>
    <row r="2608" spans="1:9" x14ac:dyDescent="0.25">
      <c r="A2608" t="s">
        <v>10248</v>
      </c>
      <c r="B2608" t="s">
        <v>10248</v>
      </c>
      <c r="C2608" t="s">
        <v>10249</v>
      </c>
      <c r="D2608" t="s">
        <v>3242</v>
      </c>
      <c r="E2608" t="s">
        <v>17389</v>
      </c>
      <c r="F2608" t="s">
        <v>10250</v>
      </c>
      <c r="G2608" t="s">
        <v>15287</v>
      </c>
      <c r="H2608" t="s">
        <v>3484</v>
      </c>
      <c r="I2608" t="s">
        <v>14986</v>
      </c>
    </row>
    <row r="2609" spans="1:9" x14ac:dyDescent="0.25">
      <c r="A2609" t="s">
        <v>10251</v>
      </c>
      <c r="B2609" t="s">
        <v>10251</v>
      </c>
      <c r="C2609" t="s">
        <v>10252</v>
      </c>
      <c r="D2609" t="s">
        <v>3242</v>
      </c>
      <c r="E2609" t="s">
        <v>17604</v>
      </c>
      <c r="F2609" t="s">
        <v>8360</v>
      </c>
      <c r="G2609" t="s">
        <v>10253</v>
      </c>
      <c r="H2609" t="s">
        <v>3060</v>
      </c>
      <c r="I2609" t="s">
        <v>5390</v>
      </c>
    </row>
    <row r="2610" spans="1:9" x14ac:dyDescent="0.25">
      <c r="A2610" t="s">
        <v>10254</v>
      </c>
      <c r="B2610" t="s">
        <v>10254</v>
      </c>
      <c r="C2610" t="s">
        <v>10255</v>
      </c>
      <c r="D2610" t="s">
        <v>3242</v>
      </c>
      <c r="E2610" t="s">
        <v>17605</v>
      </c>
      <c r="F2610" t="s">
        <v>3257</v>
      </c>
      <c r="G2610" t="s">
        <v>10256</v>
      </c>
      <c r="H2610" t="s">
        <v>3417</v>
      </c>
      <c r="I2610" t="s">
        <v>3648</v>
      </c>
    </row>
    <row r="2611" spans="1:9" x14ac:dyDescent="0.25">
      <c r="A2611" t="s">
        <v>10257</v>
      </c>
      <c r="B2611" t="s">
        <v>10257</v>
      </c>
      <c r="C2611" t="s">
        <v>10258</v>
      </c>
      <c r="D2611" t="s">
        <v>3242</v>
      </c>
      <c r="E2611" t="s">
        <v>15955</v>
      </c>
      <c r="F2611" t="s">
        <v>3243</v>
      </c>
      <c r="G2611" t="s">
        <v>10259</v>
      </c>
      <c r="H2611" t="s">
        <v>3387</v>
      </c>
    </row>
    <row r="2612" spans="1:9" x14ac:dyDescent="0.25">
      <c r="A2612" t="s">
        <v>10260</v>
      </c>
      <c r="B2612" t="s">
        <v>10260</v>
      </c>
      <c r="C2612" t="s">
        <v>10261</v>
      </c>
      <c r="D2612" t="s">
        <v>3242</v>
      </c>
      <c r="E2612" t="s">
        <v>15710</v>
      </c>
      <c r="F2612" t="s">
        <v>3257</v>
      </c>
      <c r="G2612" t="s">
        <v>9572</v>
      </c>
      <c r="H2612" t="s">
        <v>3060</v>
      </c>
      <c r="I2612" t="s">
        <v>4028</v>
      </c>
    </row>
    <row r="2613" spans="1:9" x14ac:dyDescent="0.25">
      <c r="A2613" t="s">
        <v>10262</v>
      </c>
      <c r="B2613" t="s">
        <v>10262</v>
      </c>
      <c r="C2613" t="s">
        <v>10263</v>
      </c>
      <c r="D2613" t="s">
        <v>3242</v>
      </c>
      <c r="E2613" t="s">
        <v>15710</v>
      </c>
      <c r="F2613" t="s">
        <v>3288</v>
      </c>
      <c r="G2613" t="s">
        <v>10264</v>
      </c>
      <c r="H2613" t="s">
        <v>3463</v>
      </c>
    </row>
    <row r="2614" spans="1:9" x14ac:dyDescent="0.25">
      <c r="A2614" t="s">
        <v>16062</v>
      </c>
      <c r="B2614" t="s">
        <v>16062</v>
      </c>
      <c r="C2614" t="s">
        <v>16063</v>
      </c>
      <c r="D2614" t="s">
        <v>3242</v>
      </c>
      <c r="E2614" t="s">
        <v>15710</v>
      </c>
      <c r="F2614" t="s">
        <v>3243</v>
      </c>
      <c r="G2614" t="s">
        <v>16064</v>
      </c>
      <c r="H2614" t="s">
        <v>3060</v>
      </c>
    </row>
    <row r="2615" spans="1:9" x14ac:dyDescent="0.25">
      <c r="A2615" t="s">
        <v>10265</v>
      </c>
      <c r="B2615" t="s">
        <v>10265</v>
      </c>
      <c r="C2615" t="s">
        <v>10266</v>
      </c>
      <c r="D2615" t="s">
        <v>3242</v>
      </c>
      <c r="E2615" t="s">
        <v>17390</v>
      </c>
      <c r="F2615" t="s">
        <v>3257</v>
      </c>
      <c r="G2615" t="s">
        <v>10267</v>
      </c>
      <c r="H2615" t="s">
        <v>5084</v>
      </c>
      <c r="I2615" t="s">
        <v>3324</v>
      </c>
    </row>
    <row r="2616" spans="1:9" x14ac:dyDescent="0.25">
      <c r="A2616" t="s">
        <v>10268</v>
      </c>
      <c r="B2616" t="s">
        <v>10268</v>
      </c>
      <c r="C2616" t="s">
        <v>10269</v>
      </c>
      <c r="D2616" t="s">
        <v>3242</v>
      </c>
      <c r="E2616" t="s">
        <v>15710</v>
      </c>
      <c r="F2616" t="s">
        <v>3288</v>
      </c>
      <c r="G2616" t="s">
        <v>10270</v>
      </c>
      <c r="H2616" t="s">
        <v>3680</v>
      </c>
    </row>
    <row r="2617" spans="1:9" x14ac:dyDescent="0.25">
      <c r="A2617" t="s">
        <v>15288</v>
      </c>
      <c r="B2617" t="s">
        <v>15288</v>
      </c>
      <c r="C2617" t="s">
        <v>15289</v>
      </c>
      <c r="D2617" t="s">
        <v>3242</v>
      </c>
      <c r="E2617" t="s">
        <v>17391</v>
      </c>
      <c r="F2617" t="s">
        <v>3243</v>
      </c>
      <c r="G2617" t="s">
        <v>15290</v>
      </c>
      <c r="H2617" t="s">
        <v>3285</v>
      </c>
    </row>
    <row r="2618" spans="1:9" x14ac:dyDescent="0.25">
      <c r="A2618" t="s">
        <v>10271</v>
      </c>
      <c r="B2618" t="s">
        <v>10271</v>
      </c>
      <c r="C2618" t="s">
        <v>10272</v>
      </c>
      <c r="D2618" t="s">
        <v>3242</v>
      </c>
      <c r="E2618" t="s">
        <v>15710</v>
      </c>
      <c r="F2618" t="s">
        <v>3243</v>
      </c>
      <c r="G2618" t="s">
        <v>10273</v>
      </c>
      <c r="H2618" t="s">
        <v>3402</v>
      </c>
    </row>
    <row r="2619" spans="1:9" x14ac:dyDescent="0.25">
      <c r="A2619" t="s">
        <v>10274</v>
      </c>
      <c r="B2619" t="s">
        <v>10274</v>
      </c>
      <c r="C2619" t="s">
        <v>10275</v>
      </c>
      <c r="D2619" t="s">
        <v>3242</v>
      </c>
      <c r="E2619" t="s">
        <v>15710</v>
      </c>
      <c r="F2619" t="s">
        <v>3243</v>
      </c>
      <c r="G2619" t="s">
        <v>10276</v>
      </c>
      <c r="H2619" t="s">
        <v>3623</v>
      </c>
    </row>
    <row r="2620" spans="1:9" x14ac:dyDescent="0.25">
      <c r="A2620" t="s">
        <v>10277</v>
      </c>
      <c r="B2620" t="s">
        <v>10277</v>
      </c>
      <c r="C2620" t="s">
        <v>10278</v>
      </c>
      <c r="D2620" t="s">
        <v>3242</v>
      </c>
      <c r="E2620" t="s">
        <v>15710</v>
      </c>
      <c r="F2620" t="s">
        <v>5497</v>
      </c>
      <c r="G2620" t="s">
        <v>10279</v>
      </c>
      <c r="H2620" t="s">
        <v>5700</v>
      </c>
    </row>
    <row r="2621" spans="1:9" x14ac:dyDescent="0.25">
      <c r="A2621" t="s">
        <v>10280</v>
      </c>
      <c r="B2621" t="s">
        <v>10280</v>
      </c>
      <c r="C2621" t="s">
        <v>10281</v>
      </c>
      <c r="D2621" t="s">
        <v>3242</v>
      </c>
      <c r="E2621" t="s">
        <v>15710</v>
      </c>
      <c r="F2621" t="s">
        <v>3288</v>
      </c>
      <c r="G2621" t="s">
        <v>10282</v>
      </c>
      <c r="H2621" t="s">
        <v>3285</v>
      </c>
    </row>
    <row r="2622" spans="1:9" x14ac:dyDescent="0.25">
      <c r="A2622" t="s">
        <v>10283</v>
      </c>
      <c r="B2622" t="s">
        <v>10283</v>
      </c>
      <c r="C2622" t="s">
        <v>10284</v>
      </c>
      <c r="D2622" t="s">
        <v>3242</v>
      </c>
      <c r="E2622" t="s">
        <v>17392</v>
      </c>
      <c r="F2622" t="s">
        <v>10285</v>
      </c>
      <c r="G2622" t="s">
        <v>10286</v>
      </c>
      <c r="H2622" t="s">
        <v>3614</v>
      </c>
      <c r="I2622" t="s">
        <v>3407</v>
      </c>
    </row>
    <row r="2623" spans="1:9" x14ac:dyDescent="0.25">
      <c r="A2623" t="s">
        <v>15291</v>
      </c>
      <c r="B2623" t="s">
        <v>15291</v>
      </c>
      <c r="C2623" t="s">
        <v>15292</v>
      </c>
      <c r="D2623" t="s">
        <v>3242</v>
      </c>
      <c r="E2623" t="s">
        <v>15993</v>
      </c>
      <c r="F2623" t="s">
        <v>3251</v>
      </c>
      <c r="G2623" t="s">
        <v>15293</v>
      </c>
      <c r="H2623" t="s">
        <v>3749</v>
      </c>
      <c r="I2623" t="s">
        <v>4605</v>
      </c>
    </row>
    <row r="2624" spans="1:9" x14ac:dyDescent="0.25">
      <c r="A2624" t="s">
        <v>10287</v>
      </c>
      <c r="B2624" t="s">
        <v>10287</v>
      </c>
      <c r="C2624" t="s">
        <v>10288</v>
      </c>
      <c r="D2624" t="s">
        <v>3242</v>
      </c>
      <c r="E2624" t="s">
        <v>17393</v>
      </c>
      <c r="F2624" t="s">
        <v>6077</v>
      </c>
      <c r="G2624" t="s">
        <v>10289</v>
      </c>
      <c r="H2624" t="s">
        <v>3417</v>
      </c>
      <c r="I2624" t="s">
        <v>15020</v>
      </c>
    </row>
    <row r="2625" spans="1:9" x14ac:dyDescent="0.25">
      <c r="A2625" t="s">
        <v>10290</v>
      </c>
      <c r="B2625" t="s">
        <v>10290</v>
      </c>
      <c r="C2625" t="s">
        <v>10291</v>
      </c>
      <c r="D2625" t="s">
        <v>3242</v>
      </c>
      <c r="E2625" t="s">
        <v>15710</v>
      </c>
      <c r="F2625" t="s">
        <v>3345</v>
      </c>
      <c r="G2625" t="s">
        <v>10292</v>
      </c>
      <c r="H2625" t="s">
        <v>3285</v>
      </c>
    </row>
    <row r="2626" spans="1:9" x14ac:dyDescent="0.25">
      <c r="A2626" t="s">
        <v>10293</v>
      </c>
      <c r="B2626" t="s">
        <v>10294</v>
      </c>
      <c r="C2626" t="s">
        <v>10295</v>
      </c>
      <c r="D2626" t="s">
        <v>3242</v>
      </c>
      <c r="E2626" t="s">
        <v>15710</v>
      </c>
      <c r="F2626" t="s">
        <v>3243</v>
      </c>
      <c r="G2626" t="s">
        <v>10296</v>
      </c>
      <c r="H2626" t="s">
        <v>3402</v>
      </c>
    </row>
    <row r="2627" spans="1:9" x14ac:dyDescent="0.25">
      <c r="A2627" t="s">
        <v>10297</v>
      </c>
      <c r="B2627" t="s">
        <v>10297</v>
      </c>
      <c r="C2627" t="s">
        <v>10298</v>
      </c>
      <c r="D2627" t="s">
        <v>3242</v>
      </c>
      <c r="E2627" t="s">
        <v>15710</v>
      </c>
      <c r="F2627" t="s">
        <v>3257</v>
      </c>
      <c r="G2627" t="s">
        <v>10299</v>
      </c>
      <c r="H2627" t="s">
        <v>4179</v>
      </c>
      <c r="I2627" t="s">
        <v>3324</v>
      </c>
    </row>
    <row r="2628" spans="1:9" x14ac:dyDescent="0.25">
      <c r="A2628" t="s">
        <v>10300</v>
      </c>
      <c r="B2628" t="s">
        <v>10300</v>
      </c>
      <c r="C2628" t="s">
        <v>10301</v>
      </c>
      <c r="D2628" t="s">
        <v>3242</v>
      </c>
      <c r="E2628" t="s">
        <v>15710</v>
      </c>
      <c r="F2628" t="s">
        <v>3257</v>
      </c>
      <c r="G2628" t="s">
        <v>10302</v>
      </c>
      <c r="H2628" t="s">
        <v>3280</v>
      </c>
      <c r="I2628" t="s">
        <v>3263</v>
      </c>
    </row>
    <row r="2629" spans="1:9" x14ac:dyDescent="0.25">
      <c r="A2629" t="s">
        <v>10303</v>
      </c>
      <c r="B2629" t="s">
        <v>10303</v>
      </c>
      <c r="C2629" t="s">
        <v>10304</v>
      </c>
      <c r="D2629" t="s">
        <v>3242</v>
      </c>
      <c r="E2629" t="s">
        <v>15710</v>
      </c>
      <c r="F2629" t="s">
        <v>3257</v>
      </c>
      <c r="G2629" t="s">
        <v>10305</v>
      </c>
      <c r="H2629" t="s">
        <v>3060</v>
      </c>
      <c r="I2629" t="s">
        <v>4028</v>
      </c>
    </row>
    <row r="2630" spans="1:9" x14ac:dyDescent="0.25">
      <c r="A2630" t="s">
        <v>16065</v>
      </c>
      <c r="B2630" t="s">
        <v>16065</v>
      </c>
      <c r="C2630" t="s">
        <v>16066</v>
      </c>
      <c r="D2630" t="s">
        <v>3242</v>
      </c>
      <c r="E2630" t="s">
        <v>15710</v>
      </c>
      <c r="F2630" t="s">
        <v>16067</v>
      </c>
      <c r="G2630" t="s">
        <v>16068</v>
      </c>
      <c r="H2630" t="s">
        <v>3484</v>
      </c>
      <c r="I2630" t="s">
        <v>3407</v>
      </c>
    </row>
    <row r="2631" spans="1:9" x14ac:dyDescent="0.25">
      <c r="A2631" t="s">
        <v>10306</v>
      </c>
      <c r="B2631" t="s">
        <v>10306</v>
      </c>
      <c r="C2631" t="s">
        <v>10307</v>
      </c>
      <c r="D2631" t="s">
        <v>3242</v>
      </c>
      <c r="E2631" t="s">
        <v>15710</v>
      </c>
      <c r="F2631" t="s">
        <v>3243</v>
      </c>
      <c r="G2631" t="s">
        <v>10308</v>
      </c>
      <c r="H2631" t="s">
        <v>3285</v>
      </c>
    </row>
    <row r="2632" spans="1:9" x14ac:dyDescent="0.25">
      <c r="A2632" t="s">
        <v>16511</v>
      </c>
      <c r="B2632" t="s">
        <v>16511</v>
      </c>
      <c r="C2632" t="s">
        <v>16512</v>
      </c>
      <c r="D2632" t="s">
        <v>3242</v>
      </c>
      <c r="E2632" t="s">
        <v>15710</v>
      </c>
      <c r="F2632" t="s">
        <v>3288</v>
      </c>
      <c r="G2632" t="s">
        <v>16513</v>
      </c>
      <c r="H2632" t="s">
        <v>3285</v>
      </c>
    </row>
    <row r="2633" spans="1:9" x14ac:dyDescent="0.25">
      <c r="A2633" t="s">
        <v>10309</v>
      </c>
      <c r="B2633" t="s">
        <v>10309</v>
      </c>
      <c r="C2633" t="s">
        <v>10310</v>
      </c>
      <c r="D2633" t="s">
        <v>3321</v>
      </c>
      <c r="E2633" t="s">
        <v>15710</v>
      </c>
      <c r="F2633" t="s">
        <v>3243</v>
      </c>
      <c r="G2633" t="s">
        <v>10311</v>
      </c>
      <c r="H2633" t="s">
        <v>3267</v>
      </c>
    </row>
    <row r="2634" spans="1:9" x14ac:dyDescent="0.25">
      <c r="A2634" t="s">
        <v>15294</v>
      </c>
      <c r="B2634" t="s">
        <v>15294</v>
      </c>
      <c r="C2634" t="s">
        <v>15295</v>
      </c>
      <c r="D2634" t="s">
        <v>3242</v>
      </c>
      <c r="E2634" t="s">
        <v>15964</v>
      </c>
      <c r="F2634" t="s">
        <v>3683</v>
      </c>
      <c r="G2634" t="s">
        <v>15296</v>
      </c>
      <c r="H2634" t="s">
        <v>3421</v>
      </c>
      <c r="I2634" t="s">
        <v>3254</v>
      </c>
    </row>
    <row r="2635" spans="1:9" x14ac:dyDescent="0.25">
      <c r="A2635" t="s">
        <v>10312</v>
      </c>
      <c r="B2635" t="s">
        <v>10312</v>
      </c>
      <c r="C2635" t="s">
        <v>10313</v>
      </c>
      <c r="D2635" t="s">
        <v>3242</v>
      </c>
      <c r="E2635" t="s">
        <v>17394</v>
      </c>
      <c r="F2635" t="s">
        <v>10314</v>
      </c>
      <c r="G2635" t="s">
        <v>10315</v>
      </c>
      <c r="H2635" t="s">
        <v>3060</v>
      </c>
      <c r="I2635" t="s">
        <v>3694</v>
      </c>
    </row>
    <row r="2636" spans="1:9" x14ac:dyDescent="0.25">
      <c r="A2636" t="s">
        <v>10316</v>
      </c>
      <c r="B2636" t="s">
        <v>10316</v>
      </c>
      <c r="C2636" t="s">
        <v>10317</v>
      </c>
      <c r="D2636" t="s">
        <v>3242</v>
      </c>
      <c r="E2636" t="s">
        <v>17395</v>
      </c>
      <c r="F2636" t="s">
        <v>3257</v>
      </c>
      <c r="G2636" t="s">
        <v>10318</v>
      </c>
      <c r="H2636" t="s">
        <v>5084</v>
      </c>
      <c r="I2636" t="s">
        <v>3324</v>
      </c>
    </row>
    <row r="2637" spans="1:9" x14ac:dyDescent="0.25">
      <c r="A2637" t="s">
        <v>10319</v>
      </c>
      <c r="B2637" t="s">
        <v>10319</v>
      </c>
      <c r="C2637" t="s">
        <v>10320</v>
      </c>
      <c r="D2637" t="s">
        <v>3242</v>
      </c>
      <c r="E2637" t="s">
        <v>15889</v>
      </c>
      <c r="F2637" t="s">
        <v>3345</v>
      </c>
      <c r="G2637" t="s">
        <v>10321</v>
      </c>
      <c r="H2637" t="s">
        <v>3285</v>
      </c>
    </row>
    <row r="2638" spans="1:9" x14ac:dyDescent="0.25">
      <c r="A2638" t="s">
        <v>15297</v>
      </c>
      <c r="B2638" t="s">
        <v>15297</v>
      </c>
      <c r="C2638" t="s">
        <v>15298</v>
      </c>
      <c r="D2638" t="s">
        <v>3242</v>
      </c>
      <c r="E2638" t="s">
        <v>15956</v>
      </c>
      <c r="F2638" t="s">
        <v>3257</v>
      </c>
      <c r="G2638" t="s">
        <v>15299</v>
      </c>
      <c r="H2638" t="s">
        <v>3417</v>
      </c>
      <c r="I2638" t="s">
        <v>15020</v>
      </c>
    </row>
    <row r="2639" spans="1:9" x14ac:dyDescent="0.25">
      <c r="A2639" t="s">
        <v>15300</v>
      </c>
      <c r="B2639" t="s">
        <v>15300</v>
      </c>
      <c r="C2639" t="s">
        <v>15301</v>
      </c>
      <c r="D2639" t="s">
        <v>3242</v>
      </c>
      <c r="E2639" t="s">
        <v>17396</v>
      </c>
      <c r="F2639" t="s">
        <v>7841</v>
      </c>
      <c r="G2639" t="s">
        <v>15302</v>
      </c>
      <c r="H2639" t="s">
        <v>3417</v>
      </c>
    </row>
    <row r="2640" spans="1:9" x14ac:dyDescent="0.25">
      <c r="A2640" t="s">
        <v>15303</v>
      </c>
      <c r="B2640" t="s">
        <v>15303</v>
      </c>
      <c r="C2640" t="s">
        <v>15304</v>
      </c>
      <c r="D2640" t="s">
        <v>3242</v>
      </c>
      <c r="E2640" t="s">
        <v>15710</v>
      </c>
      <c r="F2640" t="s">
        <v>3288</v>
      </c>
      <c r="G2640" t="s">
        <v>15305</v>
      </c>
      <c r="H2640" t="s">
        <v>3285</v>
      </c>
    </row>
    <row r="2641" spans="1:9" x14ac:dyDescent="0.25">
      <c r="A2641" t="s">
        <v>10322</v>
      </c>
      <c r="B2641" t="s">
        <v>10322</v>
      </c>
      <c r="C2641" t="s">
        <v>10323</v>
      </c>
      <c r="D2641" t="s">
        <v>3242</v>
      </c>
      <c r="E2641" t="s">
        <v>17397</v>
      </c>
      <c r="F2641" t="s">
        <v>3243</v>
      </c>
      <c r="G2641" t="s">
        <v>10324</v>
      </c>
      <c r="H2641" t="s">
        <v>3262</v>
      </c>
    </row>
    <row r="2642" spans="1:9" x14ac:dyDescent="0.25">
      <c r="A2642" t="s">
        <v>10325</v>
      </c>
      <c r="B2642" t="s">
        <v>10325</v>
      </c>
      <c r="C2642" t="s">
        <v>10326</v>
      </c>
      <c r="D2642" t="s">
        <v>3242</v>
      </c>
      <c r="E2642" t="s">
        <v>15710</v>
      </c>
      <c r="F2642" t="s">
        <v>3243</v>
      </c>
      <c r="G2642" t="s">
        <v>10327</v>
      </c>
      <c r="H2642" t="s">
        <v>3248</v>
      </c>
    </row>
    <row r="2643" spans="1:9" x14ac:dyDescent="0.25">
      <c r="A2643" t="s">
        <v>15306</v>
      </c>
      <c r="B2643" t="s">
        <v>15306</v>
      </c>
      <c r="C2643" t="s">
        <v>15307</v>
      </c>
      <c r="D2643" t="s">
        <v>3242</v>
      </c>
      <c r="E2643" t="s">
        <v>15710</v>
      </c>
      <c r="F2643" t="s">
        <v>15308</v>
      </c>
      <c r="G2643" t="s">
        <v>15309</v>
      </c>
      <c r="H2643" t="s">
        <v>3417</v>
      </c>
      <c r="I2643" t="s">
        <v>15020</v>
      </c>
    </row>
    <row r="2644" spans="1:9" x14ac:dyDescent="0.25">
      <c r="A2644" t="s">
        <v>16294</v>
      </c>
      <c r="B2644" t="s">
        <v>16294</v>
      </c>
      <c r="C2644" t="s">
        <v>16295</v>
      </c>
      <c r="D2644" t="s">
        <v>3242</v>
      </c>
      <c r="E2644" t="s">
        <v>15710</v>
      </c>
      <c r="F2644" t="s">
        <v>3243</v>
      </c>
      <c r="G2644" t="s">
        <v>16296</v>
      </c>
      <c r="H2644" t="s">
        <v>3463</v>
      </c>
    </row>
    <row r="2645" spans="1:9" x14ac:dyDescent="0.25">
      <c r="A2645" t="s">
        <v>10328</v>
      </c>
      <c r="B2645" t="s">
        <v>10328</v>
      </c>
      <c r="C2645" t="s">
        <v>5820</v>
      </c>
      <c r="D2645" t="s">
        <v>3242</v>
      </c>
      <c r="E2645" t="s">
        <v>15710</v>
      </c>
      <c r="F2645" t="s">
        <v>10329</v>
      </c>
      <c r="G2645" t="s">
        <v>10330</v>
      </c>
      <c r="H2645" t="s">
        <v>3496</v>
      </c>
      <c r="I2645" t="s">
        <v>3407</v>
      </c>
    </row>
    <row r="2646" spans="1:9" x14ac:dyDescent="0.25">
      <c r="A2646" t="s">
        <v>10331</v>
      </c>
      <c r="B2646" t="s">
        <v>10331</v>
      </c>
      <c r="C2646" t="s">
        <v>3514</v>
      </c>
      <c r="D2646" t="s">
        <v>3242</v>
      </c>
      <c r="E2646" t="s">
        <v>15710</v>
      </c>
      <c r="F2646" t="s">
        <v>3300</v>
      </c>
      <c r="G2646" t="s">
        <v>10332</v>
      </c>
      <c r="H2646" t="s">
        <v>4871</v>
      </c>
    </row>
    <row r="2647" spans="1:9" x14ac:dyDescent="0.25">
      <c r="A2647" t="s">
        <v>10333</v>
      </c>
      <c r="B2647" t="s">
        <v>10333</v>
      </c>
      <c r="C2647" t="s">
        <v>10334</v>
      </c>
      <c r="D2647" t="s">
        <v>3242</v>
      </c>
      <c r="E2647" t="s">
        <v>17606</v>
      </c>
      <c r="F2647" t="s">
        <v>3251</v>
      </c>
      <c r="G2647" t="s">
        <v>10335</v>
      </c>
      <c r="H2647" t="s">
        <v>4004</v>
      </c>
      <c r="I2647" t="s">
        <v>4605</v>
      </c>
    </row>
    <row r="2648" spans="1:9" x14ac:dyDescent="0.25">
      <c r="A2648" t="s">
        <v>10336</v>
      </c>
      <c r="B2648" t="s">
        <v>10336</v>
      </c>
      <c r="C2648" t="s">
        <v>10337</v>
      </c>
      <c r="D2648" t="s">
        <v>3242</v>
      </c>
      <c r="E2648" t="s">
        <v>15710</v>
      </c>
      <c r="F2648" t="s">
        <v>3243</v>
      </c>
      <c r="G2648" t="s">
        <v>10338</v>
      </c>
      <c r="H2648" t="s">
        <v>3290</v>
      </c>
    </row>
    <row r="2649" spans="1:9" x14ac:dyDescent="0.25">
      <c r="A2649" t="s">
        <v>10339</v>
      </c>
      <c r="B2649" t="s">
        <v>10339</v>
      </c>
      <c r="C2649" t="s">
        <v>10340</v>
      </c>
      <c r="D2649" t="s">
        <v>3242</v>
      </c>
      <c r="E2649" t="s">
        <v>15710</v>
      </c>
      <c r="F2649" t="s">
        <v>3257</v>
      </c>
      <c r="G2649" t="s">
        <v>10341</v>
      </c>
      <c r="H2649" t="s">
        <v>3537</v>
      </c>
    </row>
    <row r="2650" spans="1:9" x14ac:dyDescent="0.25">
      <c r="A2650" t="s">
        <v>10342</v>
      </c>
      <c r="B2650" t="s">
        <v>10342</v>
      </c>
      <c r="C2650" t="s">
        <v>10343</v>
      </c>
      <c r="D2650" t="s">
        <v>3242</v>
      </c>
      <c r="E2650" t="s">
        <v>17398</v>
      </c>
      <c r="F2650" t="s">
        <v>3257</v>
      </c>
      <c r="G2650" t="s">
        <v>10344</v>
      </c>
      <c r="H2650" t="s">
        <v>6286</v>
      </c>
      <c r="I2650" t="s">
        <v>3324</v>
      </c>
    </row>
    <row r="2651" spans="1:9" x14ac:dyDescent="0.25">
      <c r="A2651" t="s">
        <v>15310</v>
      </c>
      <c r="B2651" t="s">
        <v>15310</v>
      </c>
      <c r="C2651" t="s">
        <v>15311</v>
      </c>
      <c r="D2651" t="s">
        <v>3242</v>
      </c>
      <c r="E2651" t="s">
        <v>15710</v>
      </c>
      <c r="F2651" t="s">
        <v>3306</v>
      </c>
      <c r="G2651" t="s">
        <v>7802</v>
      </c>
      <c r="H2651" t="s">
        <v>3267</v>
      </c>
      <c r="I2651" t="s">
        <v>3328</v>
      </c>
    </row>
    <row r="2652" spans="1:9" x14ac:dyDescent="0.25">
      <c r="A2652" t="s">
        <v>10345</v>
      </c>
      <c r="B2652" t="s">
        <v>10345</v>
      </c>
      <c r="C2652" t="s">
        <v>10346</v>
      </c>
      <c r="D2652" t="s">
        <v>3242</v>
      </c>
      <c r="E2652" t="s">
        <v>15710</v>
      </c>
      <c r="F2652" t="s">
        <v>3257</v>
      </c>
      <c r="G2652" t="s">
        <v>10347</v>
      </c>
      <c r="H2652" t="s">
        <v>3267</v>
      </c>
    </row>
    <row r="2653" spans="1:9" x14ac:dyDescent="0.25">
      <c r="A2653" t="s">
        <v>10348</v>
      </c>
      <c r="B2653" t="s">
        <v>10348</v>
      </c>
      <c r="C2653" t="s">
        <v>10349</v>
      </c>
      <c r="D2653" t="s">
        <v>3242</v>
      </c>
      <c r="E2653" t="s">
        <v>15710</v>
      </c>
      <c r="F2653" t="s">
        <v>3257</v>
      </c>
      <c r="G2653" t="s">
        <v>10350</v>
      </c>
      <c r="H2653" t="s">
        <v>6561</v>
      </c>
      <c r="I2653" t="s">
        <v>3324</v>
      </c>
    </row>
    <row r="2654" spans="1:9" x14ac:dyDescent="0.25">
      <c r="A2654" t="s">
        <v>15312</v>
      </c>
      <c r="B2654" t="s">
        <v>15312</v>
      </c>
      <c r="C2654" t="s">
        <v>15313</v>
      </c>
      <c r="D2654" t="s">
        <v>3242</v>
      </c>
      <c r="E2654" t="s">
        <v>15710</v>
      </c>
      <c r="F2654" t="s">
        <v>3306</v>
      </c>
      <c r="G2654" t="s">
        <v>15314</v>
      </c>
      <c r="H2654" t="s">
        <v>5944</v>
      </c>
      <c r="I2654" t="s">
        <v>3328</v>
      </c>
    </row>
    <row r="2655" spans="1:9" x14ac:dyDescent="0.25">
      <c r="A2655" t="s">
        <v>10351</v>
      </c>
      <c r="B2655" t="s">
        <v>10351</v>
      </c>
      <c r="C2655" t="s">
        <v>10352</v>
      </c>
      <c r="D2655" t="s">
        <v>3242</v>
      </c>
      <c r="E2655" t="s">
        <v>15958</v>
      </c>
      <c r="F2655" t="s">
        <v>3257</v>
      </c>
      <c r="G2655" t="s">
        <v>10353</v>
      </c>
      <c r="H2655" t="s">
        <v>3262</v>
      </c>
      <c r="I2655" t="s">
        <v>3263</v>
      </c>
    </row>
    <row r="2656" spans="1:9" x14ac:dyDescent="0.25">
      <c r="A2656" t="s">
        <v>10354</v>
      </c>
      <c r="B2656" t="s">
        <v>10354</v>
      </c>
      <c r="C2656" t="s">
        <v>10355</v>
      </c>
      <c r="D2656" t="s">
        <v>3242</v>
      </c>
      <c r="E2656" t="s">
        <v>15710</v>
      </c>
      <c r="F2656" t="s">
        <v>3288</v>
      </c>
      <c r="G2656" t="s">
        <v>3060</v>
      </c>
      <c r="H2656" t="s">
        <v>3488</v>
      </c>
    </row>
    <row r="2657" spans="1:9" x14ac:dyDescent="0.25">
      <c r="A2657" t="s">
        <v>10356</v>
      </c>
      <c r="B2657" t="s">
        <v>10356</v>
      </c>
      <c r="C2657" t="s">
        <v>10357</v>
      </c>
      <c r="D2657" t="s">
        <v>3242</v>
      </c>
      <c r="E2657" t="s">
        <v>15710</v>
      </c>
      <c r="F2657" t="s">
        <v>3300</v>
      </c>
      <c r="G2657" t="s">
        <v>10358</v>
      </c>
      <c r="H2657" t="s">
        <v>3267</v>
      </c>
    </row>
    <row r="2658" spans="1:9" x14ac:dyDescent="0.25">
      <c r="A2658" t="s">
        <v>10359</v>
      </c>
      <c r="B2658" t="s">
        <v>10359</v>
      </c>
      <c r="C2658" t="s">
        <v>10360</v>
      </c>
      <c r="D2658" t="s">
        <v>3321</v>
      </c>
      <c r="E2658" t="s">
        <v>15710</v>
      </c>
      <c r="F2658" t="s">
        <v>5615</v>
      </c>
      <c r="G2658" t="s">
        <v>10361</v>
      </c>
      <c r="H2658" t="s">
        <v>3353</v>
      </c>
      <c r="I2658" t="s">
        <v>3366</v>
      </c>
    </row>
    <row r="2659" spans="1:9" x14ac:dyDescent="0.25">
      <c r="A2659" t="s">
        <v>10362</v>
      </c>
      <c r="B2659" t="s">
        <v>10362</v>
      </c>
      <c r="C2659" t="s">
        <v>10363</v>
      </c>
      <c r="D2659" t="s">
        <v>3242</v>
      </c>
      <c r="E2659" t="s">
        <v>15710</v>
      </c>
      <c r="F2659" t="s">
        <v>3257</v>
      </c>
      <c r="G2659" t="s">
        <v>10364</v>
      </c>
      <c r="H2659" t="s">
        <v>7057</v>
      </c>
      <c r="I2659" t="s">
        <v>3366</v>
      </c>
    </row>
    <row r="2660" spans="1:9" x14ac:dyDescent="0.25">
      <c r="A2660" t="s">
        <v>15315</v>
      </c>
      <c r="B2660" t="s">
        <v>15315</v>
      </c>
      <c r="C2660" t="s">
        <v>15316</v>
      </c>
      <c r="D2660" t="s">
        <v>3242</v>
      </c>
      <c r="E2660" t="s">
        <v>15710</v>
      </c>
      <c r="F2660" t="s">
        <v>15317</v>
      </c>
      <c r="G2660" t="s">
        <v>10373</v>
      </c>
      <c r="H2660" t="s">
        <v>4697</v>
      </c>
    </row>
    <row r="2661" spans="1:9" x14ac:dyDescent="0.25">
      <c r="A2661" t="s">
        <v>10365</v>
      </c>
      <c r="B2661" t="s">
        <v>10365</v>
      </c>
      <c r="C2661" t="s">
        <v>3514</v>
      </c>
      <c r="D2661" t="s">
        <v>3242</v>
      </c>
      <c r="E2661" t="s">
        <v>15710</v>
      </c>
      <c r="F2661" t="s">
        <v>3306</v>
      </c>
      <c r="G2661" t="s">
        <v>10366</v>
      </c>
      <c r="H2661" t="s">
        <v>3267</v>
      </c>
      <c r="I2661" t="s">
        <v>3328</v>
      </c>
    </row>
    <row r="2662" spans="1:9" x14ac:dyDescent="0.25">
      <c r="A2662" t="s">
        <v>10367</v>
      </c>
      <c r="B2662" t="s">
        <v>10367</v>
      </c>
      <c r="C2662" t="s">
        <v>10368</v>
      </c>
      <c r="D2662" t="s">
        <v>3242</v>
      </c>
      <c r="E2662" t="s">
        <v>17657</v>
      </c>
      <c r="F2662" t="s">
        <v>3306</v>
      </c>
      <c r="G2662" t="s">
        <v>10369</v>
      </c>
      <c r="H2662" t="s">
        <v>10370</v>
      </c>
      <c r="I2662" t="s">
        <v>3294</v>
      </c>
    </row>
    <row r="2663" spans="1:9" x14ac:dyDescent="0.25">
      <c r="A2663" t="s">
        <v>10371</v>
      </c>
      <c r="B2663" t="s">
        <v>10371</v>
      </c>
      <c r="C2663" t="s">
        <v>10372</v>
      </c>
      <c r="D2663" t="s">
        <v>3242</v>
      </c>
      <c r="E2663" t="s">
        <v>15710</v>
      </c>
      <c r="F2663" t="s">
        <v>3257</v>
      </c>
      <c r="G2663" t="s">
        <v>10373</v>
      </c>
      <c r="H2663" t="s">
        <v>3311</v>
      </c>
      <c r="I2663" t="s">
        <v>3254</v>
      </c>
    </row>
    <row r="2664" spans="1:9" x14ac:dyDescent="0.25">
      <c r="A2664" t="s">
        <v>10374</v>
      </c>
      <c r="B2664" t="s">
        <v>10374</v>
      </c>
      <c r="C2664" t="s">
        <v>10375</v>
      </c>
      <c r="D2664" t="s">
        <v>3242</v>
      </c>
      <c r="E2664" t="s">
        <v>15710</v>
      </c>
      <c r="F2664" t="s">
        <v>3288</v>
      </c>
      <c r="G2664" t="s">
        <v>4225</v>
      </c>
      <c r="H2664" t="s">
        <v>4697</v>
      </c>
    </row>
    <row r="2665" spans="1:9" x14ac:dyDescent="0.25">
      <c r="A2665" t="s">
        <v>15318</v>
      </c>
      <c r="B2665" t="s">
        <v>15318</v>
      </c>
      <c r="C2665" t="s">
        <v>15319</v>
      </c>
      <c r="D2665" t="s">
        <v>3242</v>
      </c>
      <c r="E2665" t="s">
        <v>15710</v>
      </c>
      <c r="F2665" t="s">
        <v>3306</v>
      </c>
      <c r="G2665" t="s">
        <v>15320</v>
      </c>
      <c r="H2665" t="s">
        <v>3267</v>
      </c>
      <c r="I2665" t="s">
        <v>14850</v>
      </c>
    </row>
    <row r="2666" spans="1:9" x14ac:dyDescent="0.25">
      <c r="A2666" t="s">
        <v>10376</v>
      </c>
      <c r="B2666" t="s">
        <v>10376</v>
      </c>
      <c r="C2666" t="s">
        <v>10377</v>
      </c>
      <c r="D2666" t="s">
        <v>3321</v>
      </c>
      <c r="E2666" t="s">
        <v>15710</v>
      </c>
      <c r="F2666" t="s">
        <v>3306</v>
      </c>
      <c r="G2666" t="s">
        <v>10378</v>
      </c>
      <c r="H2666" t="s">
        <v>3267</v>
      </c>
      <c r="I2666" t="s">
        <v>3366</v>
      </c>
    </row>
    <row r="2667" spans="1:9" x14ac:dyDescent="0.25">
      <c r="A2667" t="s">
        <v>10379</v>
      </c>
      <c r="B2667" t="s">
        <v>10379</v>
      </c>
      <c r="C2667" t="s">
        <v>10380</v>
      </c>
      <c r="D2667" t="s">
        <v>3242</v>
      </c>
      <c r="E2667" t="s">
        <v>15710</v>
      </c>
      <c r="F2667" t="s">
        <v>3288</v>
      </c>
      <c r="G2667" t="s">
        <v>4608</v>
      </c>
      <c r="H2667" t="s">
        <v>3726</v>
      </c>
    </row>
    <row r="2668" spans="1:9" x14ac:dyDescent="0.25">
      <c r="A2668" t="s">
        <v>10381</v>
      </c>
      <c r="B2668" t="s">
        <v>10381</v>
      </c>
      <c r="C2668" t="s">
        <v>10382</v>
      </c>
      <c r="D2668" t="s">
        <v>3242</v>
      </c>
      <c r="E2668" t="s">
        <v>15710</v>
      </c>
      <c r="F2668" t="s">
        <v>3588</v>
      </c>
      <c r="G2668" t="s">
        <v>10383</v>
      </c>
      <c r="H2668" t="s">
        <v>3417</v>
      </c>
      <c r="I2668" t="s">
        <v>3432</v>
      </c>
    </row>
    <row r="2669" spans="1:9" x14ac:dyDescent="0.25">
      <c r="A2669" t="s">
        <v>10384</v>
      </c>
      <c r="B2669" t="s">
        <v>10384</v>
      </c>
      <c r="C2669" t="s">
        <v>10385</v>
      </c>
      <c r="D2669" t="s">
        <v>3242</v>
      </c>
      <c r="E2669" t="s">
        <v>15710</v>
      </c>
      <c r="F2669" t="s">
        <v>3243</v>
      </c>
      <c r="G2669" t="s">
        <v>10386</v>
      </c>
      <c r="H2669" t="s">
        <v>10387</v>
      </c>
    </row>
    <row r="2670" spans="1:9" x14ac:dyDescent="0.25">
      <c r="A2670" t="s">
        <v>10388</v>
      </c>
      <c r="B2670" t="s">
        <v>10388</v>
      </c>
      <c r="C2670" t="s">
        <v>10389</v>
      </c>
      <c r="D2670" t="s">
        <v>3242</v>
      </c>
      <c r="E2670" t="s">
        <v>15710</v>
      </c>
      <c r="F2670" t="s">
        <v>3251</v>
      </c>
      <c r="G2670" t="s">
        <v>10390</v>
      </c>
      <c r="H2670" t="s">
        <v>4502</v>
      </c>
      <c r="I2670" t="s">
        <v>3451</v>
      </c>
    </row>
    <row r="2671" spans="1:9" x14ac:dyDescent="0.25">
      <c r="A2671" t="s">
        <v>10391</v>
      </c>
      <c r="B2671" t="s">
        <v>10391</v>
      </c>
      <c r="C2671" t="s">
        <v>10392</v>
      </c>
      <c r="D2671" t="s">
        <v>3242</v>
      </c>
      <c r="E2671" t="s">
        <v>15710</v>
      </c>
      <c r="F2671" t="s">
        <v>15745</v>
      </c>
      <c r="G2671" t="s">
        <v>10393</v>
      </c>
      <c r="H2671" t="s">
        <v>3290</v>
      </c>
    </row>
    <row r="2672" spans="1:9" x14ac:dyDescent="0.25">
      <c r="A2672" t="s">
        <v>10394</v>
      </c>
      <c r="B2672" t="s">
        <v>10394</v>
      </c>
      <c r="C2672" t="s">
        <v>10395</v>
      </c>
      <c r="D2672" t="s">
        <v>3242</v>
      </c>
      <c r="E2672" t="s">
        <v>15710</v>
      </c>
      <c r="F2672" t="s">
        <v>3306</v>
      </c>
      <c r="G2672" t="s">
        <v>10396</v>
      </c>
      <c r="H2672" t="s">
        <v>4919</v>
      </c>
    </row>
    <row r="2673" spans="1:9" x14ac:dyDescent="0.25">
      <c r="A2673" t="s">
        <v>10397</v>
      </c>
      <c r="B2673" t="s">
        <v>3343</v>
      </c>
      <c r="C2673" t="s">
        <v>3344</v>
      </c>
      <c r="D2673" t="s">
        <v>3242</v>
      </c>
      <c r="E2673" t="s">
        <v>15710</v>
      </c>
      <c r="F2673" t="s">
        <v>3345</v>
      </c>
      <c r="G2673" t="s">
        <v>3346</v>
      </c>
      <c r="H2673" t="s">
        <v>4697</v>
      </c>
    </row>
    <row r="2674" spans="1:9" x14ac:dyDescent="0.25">
      <c r="A2674" t="s">
        <v>10398</v>
      </c>
      <c r="B2674" t="s">
        <v>10398</v>
      </c>
      <c r="C2674" t="s">
        <v>10399</v>
      </c>
      <c r="D2674" t="s">
        <v>3242</v>
      </c>
      <c r="E2674" t="s">
        <v>15710</v>
      </c>
      <c r="F2674" t="s">
        <v>3306</v>
      </c>
      <c r="G2674" t="s">
        <v>10400</v>
      </c>
      <c r="H2674" t="s">
        <v>3421</v>
      </c>
      <c r="I2674" t="s">
        <v>3254</v>
      </c>
    </row>
    <row r="2675" spans="1:9" x14ac:dyDescent="0.25">
      <c r="A2675" t="s">
        <v>10401</v>
      </c>
      <c r="B2675" t="s">
        <v>10401</v>
      </c>
      <c r="C2675" t="s">
        <v>10402</v>
      </c>
      <c r="D2675" t="s">
        <v>3242</v>
      </c>
      <c r="E2675" t="s">
        <v>15710</v>
      </c>
      <c r="F2675" t="s">
        <v>3306</v>
      </c>
      <c r="G2675" t="s">
        <v>10403</v>
      </c>
      <c r="H2675" t="s">
        <v>7867</v>
      </c>
    </row>
    <row r="2676" spans="1:9" x14ac:dyDescent="0.25">
      <c r="A2676" t="s">
        <v>10404</v>
      </c>
      <c r="B2676" t="s">
        <v>10404</v>
      </c>
      <c r="C2676" t="s">
        <v>10405</v>
      </c>
      <c r="D2676" t="s">
        <v>3242</v>
      </c>
      <c r="E2676" t="s">
        <v>15710</v>
      </c>
      <c r="F2676" t="s">
        <v>3257</v>
      </c>
      <c r="G2676" t="s">
        <v>3470</v>
      </c>
      <c r="H2676" t="s">
        <v>3406</v>
      </c>
      <c r="I2676" t="s">
        <v>3407</v>
      </c>
    </row>
    <row r="2677" spans="1:9" x14ac:dyDescent="0.25">
      <c r="A2677" t="s">
        <v>10406</v>
      </c>
      <c r="B2677" t="s">
        <v>10406</v>
      </c>
      <c r="C2677" t="s">
        <v>10407</v>
      </c>
      <c r="D2677" t="s">
        <v>3242</v>
      </c>
      <c r="E2677" t="s">
        <v>15710</v>
      </c>
      <c r="F2677" t="s">
        <v>10408</v>
      </c>
      <c r="G2677" t="s">
        <v>10409</v>
      </c>
      <c r="H2677" t="s">
        <v>5160</v>
      </c>
    </row>
    <row r="2678" spans="1:9" x14ac:dyDescent="0.25">
      <c r="A2678" t="s">
        <v>10410</v>
      </c>
      <c r="B2678" t="s">
        <v>10410</v>
      </c>
      <c r="C2678" t="s">
        <v>10411</v>
      </c>
      <c r="D2678" t="s">
        <v>3242</v>
      </c>
      <c r="E2678" t="s">
        <v>15710</v>
      </c>
      <c r="F2678" t="s">
        <v>3257</v>
      </c>
      <c r="G2678" t="s">
        <v>10412</v>
      </c>
      <c r="H2678" t="s">
        <v>3647</v>
      </c>
      <c r="I2678" t="s">
        <v>3648</v>
      </c>
    </row>
    <row r="2679" spans="1:9" x14ac:dyDescent="0.25">
      <c r="A2679" t="s">
        <v>10413</v>
      </c>
      <c r="B2679" t="s">
        <v>10413</v>
      </c>
      <c r="C2679" t="s">
        <v>10414</v>
      </c>
      <c r="D2679" t="s">
        <v>3242</v>
      </c>
      <c r="E2679" t="s">
        <v>15710</v>
      </c>
      <c r="F2679" t="s">
        <v>3243</v>
      </c>
      <c r="G2679" t="s">
        <v>10415</v>
      </c>
      <c r="H2679" t="s">
        <v>3459</v>
      </c>
    </row>
    <row r="2680" spans="1:9" x14ac:dyDescent="0.25">
      <c r="A2680" t="s">
        <v>10416</v>
      </c>
      <c r="B2680" t="s">
        <v>10416</v>
      </c>
      <c r="C2680" t="s">
        <v>10417</v>
      </c>
      <c r="D2680" t="s">
        <v>3242</v>
      </c>
      <c r="E2680" t="s">
        <v>15710</v>
      </c>
      <c r="F2680" t="s">
        <v>3257</v>
      </c>
      <c r="G2680" t="s">
        <v>10418</v>
      </c>
      <c r="H2680" t="s">
        <v>6489</v>
      </c>
    </row>
    <row r="2681" spans="1:9" x14ac:dyDescent="0.25">
      <c r="A2681" t="s">
        <v>10419</v>
      </c>
      <c r="B2681" t="s">
        <v>10419</v>
      </c>
      <c r="C2681" t="s">
        <v>10420</v>
      </c>
      <c r="D2681" t="s">
        <v>3242</v>
      </c>
      <c r="E2681" t="s">
        <v>15710</v>
      </c>
      <c r="F2681" t="s">
        <v>3251</v>
      </c>
      <c r="G2681" t="s">
        <v>5314</v>
      </c>
      <c r="H2681" t="s">
        <v>3421</v>
      </c>
      <c r="I2681" t="s">
        <v>3254</v>
      </c>
    </row>
    <row r="2682" spans="1:9" x14ac:dyDescent="0.25">
      <c r="A2682" t="s">
        <v>10421</v>
      </c>
      <c r="B2682" t="s">
        <v>10421</v>
      </c>
      <c r="C2682" t="s">
        <v>15321</v>
      </c>
      <c r="D2682" t="s">
        <v>3242</v>
      </c>
      <c r="E2682" t="s">
        <v>15710</v>
      </c>
      <c r="F2682" t="s">
        <v>3306</v>
      </c>
      <c r="G2682" t="s">
        <v>10422</v>
      </c>
      <c r="H2682" t="s">
        <v>6489</v>
      </c>
      <c r="I2682" t="s">
        <v>4605</v>
      </c>
    </row>
    <row r="2683" spans="1:9" x14ac:dyDescent="0.25">
      <c r="A2683" t="s">
        <v>10423</v>
      </c>
      <c r="B2683" t="s">
        <v>10423</v>
      </c>
      <c r="C2683" t="s">
        <v>10424</v>
      </c>
      <c r="D2683" t="s">
        <v>3242</v>
      </c>
      <c r="E2683" t="s">
        <v>15710</v>
      </c>
      <c r="F2683" t="s">
        <v>3251</v>
      </c>
      <c r="G2683" t="s">
        <v>10425</v>
      </c>
      <c r="H2683" t="s">
        <v>3290</v>
      </c>
      <c r="I2683" t="s">
        <v>3451</v>
      </c>
    </row>
    <row r="2684" spans="1:9" x14ac:dyDescent="0.25">
      <c r="A2684" t="s">
        <v>10426</v>
      </c>
      <c r="B2684" t="s">
        <v>10426</v>
      </c>
      <c r="C2684" t="s">
        <v>10427</v>
      </c>
      <c r="D2684" t="s">
        <v>3242</v>
      </c>
      <c r="E2684" t="s">
        <v>15710</v>
      </c>
      <c r="F2684" t="s">
        <v>3243</v>
      </c>
      <c r="G2684" t="s">
        <v>10428</v>
      </c>
      <c r="H2684" t="s">
        <v>3402</v>
      </c>
    </row>
    <row r="2685" spans="1:9" x14ac:dyDescent="0.25">
      <c r="A2685" t="s">
        <v>10429</v>
      </c>
      <c r="B2685" t="s">
        <v>10429</v>
      </c>
      <c r="C2685" t="s">
        <v>10430</v>
      </c>
      <c r="D2685" t="s">
        <v>3242</v>
      </c>
      <c r="E2685" t="s">
        <v>16514</v>
      </c>
      <c r="F2685" t="s">
        <v>3251</v>
      </c>
      <c r="G2685" t="s">
        <v>10431</v>
      </c>
      <c r="H2685" t="s">
        <v>3253</v>
      </c>
      <c r="I2685" t="s">
        <v>3451</v>
      </c>
    </row>
    <row r="2686" spans="1:9" x14ac:dyDescent="0.25">
      <c r="A2686" t="s">
        <v>10432</v>
      </c>
      <c r="B2686" t="s">
        <v>10432</v>
      </c>
      <c r="C2686" t="s">
        <v>10433</v>
      </c>
      <c r="D2686" t="s">
        <v>3242</v>
      </c>
      <c r="E2686" t="s">
        <v>15710</v>
      </c>
      <c r="F2686" t="s">
        <v>3257</v>
      </c>
      <c r="G2686" t="s">
        <v>10434</v>
      </c>
      <c r="H2686" t="s">
        <v>3248</v>
      </c>
      <c r="I2686" t="s">
        <v>3407</v>
      </c>
    </row>
    <row r="2687" spans="1:9" x14ac:dyDescent="0.25">
      <c r="A2687" t="s">
        <v>10435</v>
      </c>
      <c r="B2687" t="s">
        <v>10435</v>
      </c>
      <c r="C2687" t="s">
        <v>10436</v>
      </c>
      <c r="D2687" t="s">
        <v>3242</v>
      </c>
      <c r="E2687" t="s">
        <v>15710</v>
      </c>
      <c r="F2687" t="s">
        <v>3257</v>
      </c>
      <c r="G2687" t="s">
        <v>10437</v>
      </c>
      <c r="H2687" t="s">
        <v>3553</v>
      </c>
    </row>
    <row r="2688" spans="1:9" x14ac:dyDescent="0.25">
      <c r="A2688" t="s">
        <v>10438</v>
      </c>
      <c r="B2688" t="s">
        <v>10438</v>
      </c>
      <c r="C2688" t="s">
        <v>10439</v>
      </c>
      <c r="D2688" t="s">
        <v>3242</v>
      </c>
      <c r="E2688" t="s">
        <v>15961</v>
      </c>
      <c r="F2688" t="s">
        <v>3257</v>
      </c>
      <c r="G2688" t="s">
        <v>10440</v>
      </c>
      <c r="H2688" t="s">
        <v>3553</v>
      </c>
    </row>
    <row r="2689" spans="1:9" x14ac:dyDescent="0.25">
      <c r="A2689" t="s">
        <v>10441</v>
      </c>
      <c r="B2689" t="s">
        <v>10441</v>
      </c>
      <c r="C2689" t="s">
        <v>10442</v>
      </c>
      <c r="D2689" t="s">
        <v>3242</v>
      </c>
      <c r="E2689" t="s">
        <v>15710</v>
      </c>
      <c r="F2689" t="s">
        <v>3345</v>
      </c>
      <c r="G2689" t="s">
        <v>10443</v>
      </c>
      <c r="H2689" t="s">
        <v>3285</v>
      </c>
    </row>
    <row r="2690" spans="1:9" x14ac:dyDescent="0.25">
      <c r="A2690" t="s">
        <v>15322</v>
      </c>
      <c r="B2690" t="s">
        <v>15322</v>
      </c>
      <c r="C2690" t="s">
        <v>15323</v>
      </c>
      <c r="D2690" t="s">
        <v>3242</v>
      </c>
      <c r="E2690" t="s">
        <v>15710</v>
      </c>
      <c r="F2690" t="s">
        <v>3251</v>
      </c>
      <c r="G2690" t="s">
        <v>15324</v>
      </c>
      <c r="H2690" t="s">
        <v>4642</v>
      </c>
      <c r="I2690" t="s">
        <v>3451</v>
      </c>
    </row>
    <row r="2691" spans="1:9" x14ac:dyDescent="0.25">
      <c r="A2691" t="s">
        <v>10444</v>
      </c>
      <c r="B2691" t="s">
        <v>10445</v>
      </c>
      <c r="C2691" t="s">
        <v>10446</v>
      </c>
      <c r="D2691" t="s">
        <v>3242</v>
      </c>
      <c r="E2691" t="s">
        <v>15710</v>
      </c>
      <c r="F2691" t="s">
        <v>3257</v>
      </c>
      <c r="G2691" t="s">
        <v>10447</v>
      </c>
      <c r="H2691" t="s">
        <v>3519</v>
      </c>
    </row>
    <row r="2692" spans="1:9" x14ac:dyDescent="0.25">
      <c r="A2692" t="s">
        <v>10448</v>
      </c>
      <c r="B2692" t="s">
        <v>10448</v>
      </c>
      <c r="C2692" t="s">
        <v>10449</v>
      </c>
      <c r="D2692" t="s">
        <v>3242</v>
      </c>
      <c r="E2692" t="s">
        <v>15710</v>
      </c>
      <c r="F2692" t="s">
        <v>3243</v>
      </c>
      <c r="G2692" t="s">
        <v>10450</v>
      </c>
      <c r="H2692" t="s">
        <v>3285</v>
      </c>
    </row>
    <row r="2693" spans="1:9" x14ac:dyDescent="0.25">
      <c r="A2693" t="s">
        <v>10451</v>
      </c>
      <c r="B2693" t="s">
        <v>10451</v>
      </c>
      <c r="C2693" t="s">
        <v>10452</v>
      </c>
      <c r="D2693" t="s">
        <v>3242</v>
      </c>
      <c r="E2693" t="s">
        <v>15710</v>
      </c>
      <c r="F2693" t="s">
        <v>3747</v>
      </c>
      <c r="G2693" t="s">
        <v>10453</v>
      </c>
      <c r="H2693" t="s">
        <v>3519</v>
      </c>
    </row>
    <row r="2694" spans="1:9" x14ac:dyDescent="0.25">
      <c r="A2694" t="s">
        <v>10454</v>
      </c>
      <c r="B2694" t="s">
        <v>10454</v>
      </c>
      <c r="C2694" t="s">
        <v>10455</v>
      </c>
      <c r="D2694" t="s">
        <v>3242</v>
      </c>
      <c r="E2694" t="s">
        <v>15710</v>
      </c>
      <c r="F2694" t="s">
        <v>3251</v>
      </c>
      <c r="G2694" t="s">
        <v>10456</v>
      </c>
      <c r="H2694" t="s">
        <v>3421</v>
      </c>
      <c r="I2694" t="s">
        <v>3254</v>
      </c>
    </row>
    <row r="2695" spans="1:9" x14ac:dyDescent="0.25">
      <c r="A2695" t="s">
        <v>10457</v>
      </c>
      <c r="B2695" t="s">
        <v>10457</v>
      </c>
      <c r="C2695" t="s">
        <v>10458</v>
      </c>
      <c r="D2695" t="s">
        <v>3242</v>
      </c>
      <c r="E2695" t="s">
        <v>17399</v>
      </c>
      <c r="F2695" t="s">
        <v>3257</v>
      </c>
      <c r="G2695" t="s">
        <v>10459</v>
      </c>
      <c r="H2695" t="s">
        <v>3455</v>
      </c>
      <c r="I2695" t="s">
        <v>3407</v>
      </c>
    </row>
    <row r="2696" spans="1:9" x14ac:dyDescent="0.25">
      <c r="A2696" t="s">
        <v>15325</v>
      </c>
      <c r="B2696" t="s">
        <v>15325</v>
      </c>
      <c r="C2696" t="s">
        <v>15326</v>
      </c>
      <c r="D2696" t="s">
        <v>3242</v>
      </c>
      <c r="E2696" t="s">
        <v>15710</v>
      </c>
      <c r="F2696" t="s">
        <v>3243</v>
      </c>
      <c r="G2696" t="s">
        <v>15327</v>
      </c>
      <c r="H2696" t="s">
        <v>15328</v>
      </c>
    </row>
    <row r="2697" spans="1:9" x14ac:dyDescent="0.25">
      <c r="A2697" t="s">
        <v>15329</v>
      </c>
      <c r="B2697" t="s">
        <v>15329</v>
      </c>
      <c r="C2697" t="s">
        <v>15330</v>
      </c>
      <c r="D2697" t="s">
        <v>3242</v>
      </c>
      <c r="E2697" t="s">
        <v>15710</v>
      </c>
      <c r="F2697" t="s">
        <v>3243</v>
      </c>
      <c r="G2697" t="s">
        <v>15331</v>
      </c>
      <c r="H2697" t="s">
        <v>3290</v>
      </c>
    </row>
    <row r="2698" spans="1:9" x14ac:dyDescent="0.25">
      <c r="A2698" t="s">
        <v>10460</v>
      </c>
      <c r="B2698" t="s">
        <v>10460</v>
      </c>
      <c r="C2698" t="s">
        <v>10461</v>
      </c>
      <c r="D2698" t="s">
        <v>3242</v>
      </c>
      <c r="E2698" t="s">
        <v>15710</v>
      </c>
      <c r="F2698" t="s">
        <v>3243</v>
      </c>
      <c r="G2698" t="s">
        <v>10462</v>
      </c>
      <c r="H2698" t="s">
        <v>3402</v>
      </c>
    </row>
    <row r="2699" spans="1:9" x14ac:dyDescent="0.25">
      <c r="A2699" t="s">
        <v>10463</v>
      </c>
      <c r="B2699" t="s">
        <v>10463</v>
      </c>
      <c r="C2699" t="s">
        <v>10464</v>
      </c>
      <c r="D2699" t="s">
        <v>3242</v>
      </c>
      <c r="E2699" t="s">
        <v>15710</v>
      </c>
      <c r="F2699" t="s">
        <v>3288</v>
      </c>
      <c r="G2699" t="s">
        <v>10465</v>
      </c>
      <c r="H2699" t="s">
        <v>3060</v>
      </c>
    </row>
    <row r="2700" spans="1:9" x14ac:dyDescent="0.25">
      <c r="A2700" t="s">
        <v>10466</v>
      </c>
      <c r="B2700" t="s">
        <v>10466</v>
      </c>
      <c r="C2700" t="s">
        <v>10467</v>
      </c>
      <c r="D2700" t="s">
        <v>3242</v>
      </c>
      <c r="E2700" t="s">
        <v>15710</v>
      </c>
      <c r="F2700" t="s">
        <v>3243</v>
      </c>
      <c r="G2700" t="s">
        <v>10468</v>
      </c>
      <c r="H2700" t="s">
        <v>3402</v>
      </c>
    </row>
    <row r="2701" spans="1:9" x14ac:dyDescent="0.25">
      <c r="A2701" t="s">
        <v>10469</v>
      </c>
      <c r="B2701" t="s">
        <v>10469</v>
      </c>
      <c r="C2701" t="s">
        <v>10470</v>
      </c>
      <c r="D2701" t="s">
        <v>3242</v>
      </c>
      <c r="E2701" t="s">
        <v>15710</v>
      </c>
      <c r="F2701" t="s">
        <v>3288</v>
      </c>
      <c r="G2701" t="s">
        <v>10471</v>
      </c>
      <c r="H2701" t="s">
        <v>4035</v>
      </c>
    </row>
    <row r="2702" spans="1:9" x14ac:dyDescent="0.25">
      <c r="A2702" t="s">
        <v>10472</v>
      </c>
      <c r="B2702" t="s">
        <v>10472</v>
      </c>
      <c r="C2702" t="s">
        <v>10473</v>
      </c>
      <c r="D2702" t="s">
        <v>3242</v>
      </c>
      <c r="E2702" t="s">
        <v>15710</v>
      </c>
      <c r="F2702" t="s">
        <v>3243</v>
      </c>
      <c r="G2702" t="s">
        <v>10474</v>
      </c>
      <c r="H2702" t="s">
        <v>8621</v>
      </c>
    </row>
    <row r="2703" spans="1:9" x14ac:dyDescent="0.25">
      <c r="A2703" t="s">
        <v>10475</v>
      </c>
      <c r="B2703" t="s">
        <v>10475</v>
      </c>
      <c r="C2703" t="s">
        <v>10476</v>
      </c>
      <c r="D2703" t="s">
        <v>3242</v>
      </c>
      <c r="E2703" t="s">
        <v>15710</v>
      </c>
      <c r="F2703" t="s">
        <v>3251</v>
      </c>
      <c r="G2703" t="s">
        <v>10477</v>
      </c>
      <c r="H2703" t="s">
        <v>4045</v>
      </c>
      <c r="I2703" t="s">
        <v>3694</v>
      </c>
    </row>
    <row r="2704" spans="1:9" x14ac:dyDescent="0.25">
      <c r="A2704" t="s">
        <v>10478</v>
      </c>
      <c r="B2704" t="s">
        <v>10478</v>
      </c>
      <c r="C2704" t="s">
        <v>10479</v>
      </c>
      <c r="D2704" t="s">
        <v>3242</v>
      </c>
      <c r="E2704" t="s">
        <v>15710</v>
      </c>
      <c r="F2704" t="s">
        <v>3345</v>
      </c>
      <c r="G2704" t="s">
        <v>10480</v>
      </c>
      <c r="H2704" t="s">
        <v>4697</v>
      </c>
    </row>
    <row r="2705" spans="1:9" x14ac:dyDescent="0.25">
      <c r="A2705" t="s">
        <v>10481</v>
      </c>
      <c r="B2705" t="s">
        <v>10481</v>
      </c>
      <c r="C2705" t="s">
        <v>10482</v>
      </c>
      <c r="D2705" t="s">
        <v>3242</v>
      </c>
      <c r="E2705" t="s">
        <v>15710</v>
      </c>
      <c r="F2705" t="s">
        <v>5035</v>
      </c>
      <c r="G2705" t="s">
        <v>10483</v>
      </c>
      <c r="H2705" t="s">
        <v>7057</v>
      </c>
    </row>
    <row r="2706" spans="1:9" x14ac:dyDescent="0.25">
      <c r="A2706" t="s">
        <v>15332</v>
      </c>
      <c r="B2706" t="s">
        <v>15332</v>
      </c>
      <c r="C2706" t="s">
        <v>15333</v>
      </c>
      <c r="D2706" t="s">
        <v>3242</v>
      </c>
      <c r="E2706" t="s">
        <v>15710</v>
      </c>
      <c r="F2706" t="s">
        <v>3243</v>
      </c>
      <c r="G2706" t="s">
        <v>15334</v>
      </c>
      <c r="H2706" t="s">
        <v>3285</v>
      </c>
    </row>
    <row r="2707" spans="1:9" x14ac:dyDescent="0.25">
      <c r="A2707" t="s">
        <v>16515</v>
      </c>
      <c r="B2707" t="s">
        <v>16515</v>
      </c>
      <c r="C2707" t="s">
        <v>16516</v>
      </c>
      <c r="D2707" t="s">
        <v>3242</v>
      </c>
      <c r="E2707" t="s">
        <v>16791</v>
      </c>
      <c r="F2707" t="s">
        <v>3243</v>
      </c>
      <c r="G2707" t="s">
        <v>16517</v>
      </c>
      <c r="H2707" t="s">
        <v>6455</v>
      </c>
    </row>
    <row r="2708" spans="1:9" x14ac:dyDescent="0.25">
      <c r="A2708" t="s">
        <v>10484</v>
      </c>
      <c r="B2708" t="s">
        <v>10484</v>
      </c>
      <c r="C2708" t="s">
        <v>10485</v>
      </c>
      <c r="D2708" t="s">
        <v>3242</v>
      </c>
      <c r="E2708" t="s">
        <v>16704</v>
      </c>
      <c r="F2708" t="s">
        <v>3306</v>
      </c>
      <c r="G2708" t="s">
        <v>16705</v>
      </c>
      <c r="H2708" t="s">
        <v>6547</v>
      </c>
      <c r="I2708" t="s">
        <v>3268</v>
      </c>
    </row>
    <row r="2709" spans="1:9" x14ac:dyDescent="0.25">
      <c r="A2709" t="s">
        <v>10486</v>
      </c>
      <c r="B2709" t="s">
        <v>10486</v>
      </c>
      <c r="C2709" t="s">
        <v>10487</v>
      </c>
      <c r="D2709" t="s">
        <v>3242</v>
      </c>
      <c r="E2709" t="s">
        <v>15962</v>
      </c>
      <c r="F2709" t="s">
        <v>7841</v>
      </c>
      <c r="G2709" t="s">
        <v>10488</v>
      </c>
      <c r="H2709" t="s">
        <v>3647</v>
      </c>
    </row>
    <row r="2710" spans="1:9" x14ac:dyDescent="0.25">
      <c r="A2710" t="s">
        <v>10489</v>
      </c>
      <c r="B2710" t="s">
        <v>10489</v>
      </c>
      <c r="C2710" t="s">
        <v>10490</v>
      </c>
      <c r="D2710" t="s">
        <v>3242</v>
      </c>
      <c r="E2710" t="s">
        <v>15710</v>
      </c>
      <c r="F2710" t="s">
        <v>3306</v>
      </c>
      <c r="G2710" t="s">
        <v>10491</v>
      </c>
      <c r="H2710" t="s">
        <v>3267</v>
      </c>
      <c r="I2710" t="s">
        <v>3328</v>
      </c>
    </row>
    <row r="2711" spans="1:9" x14ac:dyDescent="0.25">
      <c r="A2711" t="s">
        <v>16858</v>
      </c>
      <c r="B2711" t="s">
        <v>16858</v>
      </c>
      <c r="C2711" t="s">
        <v>16859</v>
      </c>
      <c r="D2711" t="s">
        <v>3242</v>
      </c>
      <c r="E2711" t="s">
        <v>15711</v>
      </c>
      <c r="F2711" t="s">
        <v>3243</v>
      </c>
      <c r="G2711" t="s">
        <v>16860</v>
      </c>
      <c r="H2711" t="s">
        <v>4926</v>
      </c>
    </row>
    <row r="2712" spans="1:9" x14ac:dyDescent="0.25">
      <c r="A2712" t="s">
        <v>10492</v>
      </c>
      <c r="B2712" t="s">
        <v>10492</v>
      </c>
      <c r="C2712" t="s">
        <v>6070</v>
      </c>
      <c r="D2712" t="s">
        <v>3242</v>
      </c>
      <c r="E2712" t="s">
        <v>16518</v>
      </c>
      <c r="F2712" t="s">
        <v>3251</v>
      </c>
      <c r="G2712" t="s">
        <v>10493</v>
      </c>
      <c r="H2712" t="s">
        <v>5289</v>
      </c>
      <c r="I2712" t="s">
        <v>3451</v>
      </c>
    </row>
    <row r="2713" spans="1:9" x14ac:dyDescent="0.25">
      <c r="A2713" t="s">
        <v>10494</v>
      </c>
      <c r="B2713" t="s">
        <v>10494</v>
      </c>
      <c r="C2713" t="s">
        <v>10495</v>
      </c>
      <c r="D2713" t="s">
        <v>3242</v>
      </c>
      <c r="E2713" t="s">
        <v>15710</v>
      </c>
      <c r="F2713" t="s">
        <v>3306</v>
      </c>
      <c r="G2713" t="s">
        <v>3684</v>
      </c>
      <c r="H2713" t="s">
        <v>3421</v>
      </c>
      <c r="I2713" t="s">
        <v>3254</v>
      </c>
    </row>
    <row r="2714" spans="1:9" x14ac:dyDescent="0.25">
      <c r="A2714" t="s">
        <v>17400</v>
      </c>
      <c r="B2714" t="s">
        <v>17400</v>
      </c>
      <c r="C2714" t="s">
        <v>17401</v>
      </c>
      <c r="D2714" t="s">
        <v>3242</v>
      </c>
      <c r="E2714" t="s">
        <v>15710</v>
      </c>
      <c r="F2714" t="s">
        <v>3243</v>
      </c>
      <c r="G2714" t="s">
        <v>7802</v>
      </c>
      <c r="H2714" t="s">
        <v>16020</v>
      </c>
    </row>
    <row r="2715" spans="1:9" x14ac:dyDescent="0.25">
      <c r="A2715" t="s">
        <v>10496</v>
      </c>
      <c r="B2715" t="s">
        <v>10496</v>
      </c>
      <c r="C2715" t="s">
        <v>10497</v>
      </c>
      <c r="D2715" t="s">
        <v>3242</v>
      </c>
      <c r="E2715" t="s">
        <v>15710</v>
      </c>
      <c r="F2715" t="s">
        <v>3251</v>
      </c>
      <c r="G2715" t="s">
        <v>10498</v>
      </c>
      <c r="H2715" t="s">
        <v>3623</v>
      </c>
      <c r="I2715" t="s">
        <v>3694</v>
      </c>
    </row>
    <row r="2716" spans="1:9" x14ac:dyDescent="0.25">
      <c r="A2716" t="s">
        <v>10499</v>
      </c>
      <c r="B2716" t="s">
        <v>10499</v>
      </c>
      <c r="C2716" t="s">
        <v>10500</v>
      </c>
      <c r="D2716" t="s">
        <v>3242</v>
      </c>
      <c r="E2716" t="s">
        <v>15710</v>
      </c>
      <c r="F2716" t="s">
        <v>3283</v>
      </c>
      <c r="G2716" t="s">
        <v>10501</v>
      </c>
      <c r="H2716" t="s">
        <v>3836</v>
      </c>
    </row>
    <row r="2717" spans="1:9" x14ac:dyDescent="0.25">
      <c r="A2717" t="s">
        <v>10502</v>
      </c>
      <c r="B2717" t="s">
        <v>10502</v>
      </c>
      <c r="C2717" t="s">
        <v>10503</v>
      </c>
      <c r="D2717" t="s">
        <v>3242</v>
      </c>
      <c r="E2717" t="s">
        <v>15710</v>
      </c>
      <c r="F2717" t="s">
        <v>3243</v>
      </c>
      <c r="G2717" t="s">
        <v>10504</v>
      </c>
      <c r="H2717" t="s">
        <v>4035</v>
      </c>
    </row>
    <row r="2718" spans="1:9" x14ac:dyDescent="0.25">
      <c r="A2718" t="s">
        <v>16303</v>
      </c>
      <c r="B2718" t="s">
        <v>16303</v>
      </c>
      <c r="C2718" t="s">
        <v>16304</v>
      </c>
      <c r="D2718" t="s">
        <v>3242</v>
      </c>
      <c r="E2718" t="s">
        <v>15710</v>
      </c>
      <c r="F2718" t="s">
        <v>3288</v>
      </c>
      <c r="G2718" t="s">
        <v>3060</v>
      </c>
      <c r="H2718" t="s">
        <v>3285</v>
      </c>
    </row>
    <row r="2719" spans="1:9" x14ac:dyDescent="0.25">
      <c r="A2719" t="s">
        <v>10505</v>
      </c>
      <c r="B2719" t="s">
        <v>10505</v>
      </c>
      <c r="C2719" t="s">
        <v>10506</v>
      </c>
      <c r="D2719" t="s">
        <v>3242</v>
      </c>
      <c r="E2719" t="s">
        <v>15710</v>
      </c>
      <c r="F2719" t="s">
        <v>3288</v>
      </c>
      <c r="G2719" t="s">
        <v>10507</v>
      </c>
      <c r="H2719" t="s">
        <v>3488</v>
      </c>
    </row>
    <row r="2720" spans="1:9" x14ac:dyDescent="0.25">
      <c r="A2720" t="s">
        <v>10508</v>
      </c>
      <c r="B2720" t="s">
        <v>10508</v>
      </c>
      <c r="C2720" t="s">
        <v>10509</v>
      </c>
      <c r="D2720" t="s">
        <v>3242</v>
      </c>
      <c r="E2720" t="s">
        <v>15710</v>
      </c>
      <c r="F2720" t="s">
        <v>3683</v>
      </c>
      <c r="G2720" t="s">
        <v>10510</v>
      </c>
      <c r="H2720" t="s">
        <v>3267</v>
      </c>
    </row>
    <row r="2721" spans="1:9" x14ac:dyDescent="0.25">
      <c r="A2721" t="s">
        <v>10511</v>
      </c>
      <c r="B2721" t="s">
        <v>10511</v>
      </c>
      <c r="C2721" t="s">
        <v>10512</v>
      </c>
      <c r="D2721" t="s">
        <v>3242</v>
      </c>
      <c r="E2721" t="s">
        <v>17658</v>
      </c>
      <c r="F2721" t="s">
        <v>3300</v>
      </c>
      <c r="G2721" t="s">
        <v>10513</v>
      </c>
      <c r="H2721" t="s">
        <v>3267</v>
      </c>
      <c r="I2721" t="s">
        <v>3268</v>
      </c>
    </row>
    <row r="2722" spans="1:9" x14ac:dyDescent="0.25">
      <c r="A2722" t="s">
        <v>10514</v>
      </c>
      <c r="B2722" t="s">
        <v>10514</v>
      </c>
      <c r="C2722" t="s">
        <v>10515</v>
      </c>
      <c r="D2722" t="s">
        <v>3242</v>
      </c>
      <c r="E2722" t="s">
        <v>15710</v>
      </c>
      <c r="F2722" t="s">
        <v>3288</v>
      </c>
      <c r="G2722" t="s">
        <v>10516</v>
      </c>
      <c r="H2722" t="s">
        <v>3285</v>
      </c>
    </row>
    <row r="2723" spans="1:9" x14ac:dyDescent="0.25">
      <c r="A2723" t="s">
        <v>10517</v>
      </c>
      <c r="B2723" t="s">
        <v>10517</v>
      </c>
      <c r="C2723" t="s">
        <v>10518</v>
      </c>
      <c r="D2723" t="s">
        <v>3242</v>
      </c>
      <c r="E2723" t="s">
        <v>15710</v>
      </c>
      <c r="F2723" t="s">
        <v>3251</v>
      </c>
      <c r="G2723" t="s">
        <v>10519</v>
      </c>
      <c r="H2723" t="s">
        <v>5141</v>
      </c>
      <c r="I2723" t="s">
        <v>3451</v>
      </c>
    </row>
    <row r="2724" spans="1:9" x14ac:dyDescent="0.25">
      <c r="A2724" t="s">
        <v>10520</v>
      </c>
      <c r="B2724" t="s">
        <v>10520</v>
      </c>
      <c r="C2724" t="s">
        <v>10521</v>
      </c>
      <c r="D2724" t="s">
        <v>3242</v>
      </c>
      <c r="E2724" t="s">
        <v>15710</v>
      </c>
      <c r="F2724" t="s">
        <v>3288</v>
      </c>
      <c r="G2724" t="s">
        <v>3311</v>
      </c>
      <c r="H2724" t="s">
        <v>6843</v>
      </c>
    </row>
    <row r="2725" spans="1:9" x14ac:dyDescent="0.25">
      <c r="A2725" t="s">
        <v>10522</v>
      </c>
      <c r="B2725" t="s">
        <v>10522</v>
      </c>
      <c r="C2725" t="s">
        <v>10523</v>
      </c>
      <c r="D2725" t="s">
        <v>3242</v>
      </c>
      <c r="E2725" t="s">
        <v>15710</v>
      </c>
      <c r="F2725" t="s">
        <v>3243</v>
      </c>
      <c r="G2725" t="s">
        <v>10524</v>
      </c>
      <c r="H2725" t="s">
        <v>3962</v>
      </c>
    </row>
    <row r="2726" spans="1:9" x14ac:dyDescent="0.25">
      <c r="A2726" t="s">
        <v>10525</v>
      </c>
      <c r="B2726" t="s">
        <v>10525</v>
      </c>
      <c r="C2726" t="s">
        <v>10526</v>
      </c>
      <c r="D2726" t="s">
        <v>3242</v>
      </c>
      <c r="E2726" t="s">
        <v>15710</v>
      </c>
      <c r="F2726" t="s">
        <v>3288</v>
      </c>
      <c r="G2726" t="s">
        <v>10527</v>
      </c>
      <c r="H2726" t="s">
        <v>3290</v>
      </c>
    </row>
    <row r="2727" spans="1:9" x14ac:dyDescent="0.25">
      <c r="A2727" t="s">
        <v>15335</v>
      </c>
      <c r="B2727" t="s">
        <v>15335</v>
      </c>
      <c r="C2727" t="s">
        <v>15336</v>
      </c>
      <c r="D2727" t="s">
        <v>3242</v>
      </c>
      <c r="E2727" t="s">
        <v>15710</v>
      </c>
      <c r="F2727" t="s">
        <v>3243</v>
      </c>
      <c r="G2727" t="s">
        <v>15337</v>
      </c>
      <c r="H2727" t="s">
        <v>3285</v>
      </c>
    </row>
    <row r="2728" spans="1:9" x14ac:dyDescent="0.25">
      <c r="A2728" t="s">
        <v>15338</v>
      </c>
      <c r="B2728" t="s">
        <v>15338</v>
      </c>
      <c r="C2728" t="s">
        <v>15339</v>
      </c>
      <c r="D2728" t="s">
        <v>3242</v>
      </c>
      <c r="E2728" t="s">
        <v>15710</v>
      </c>
      <c r="F2728" t="s">
        <v>3243</v>
      </c>
      <c r="G2728" t="s">
        <v>15340</v>
      </c>
      <c r="H2728" t="s">
        <v>3285</v>
      </c>
    </row>
    <row r="2729" spans="1:9" x14ac:dyDescent="0.25">
      <c r="A2729" t="s">
        <v>15341</v>
      </c>
      <c r="B2729" t="s">
        <v>15341</v>
      </c>
      <c r="C2729" t="s">
        <v>15342</v>
      </c>
      <c r="D2729" t="s">
        <v>3242</v>
      </c>
      <c r="E2729" t="s">
        <v>15710</v>
      </c>
      <c r="F2729" t="s">
        <v>3288</v>
      </c>
      <c r="G2729" t="s">
        <v>3060</v>
      </c>
      <c r="H2729" t="s">
        <v>3285</v>
      </c>
    </row>
    <row r="2730" spans="1:9" x14ac:dyDescent="0.25">
      <c r="A2730" t="s">
        <v>10528</v>
      </c>
      <c r="B2730" t="s">
        <v>10528</v>
      </c>
      <c r="C2730" t="s">
        <v>10529</v>
      </c>
      <c r="D2730" t="s">
        <v>3321</v>
      </c>
      <c r="E2730" t="s">
        <v>15710</v>
      </c>
      <c r="F2730" t="s">
        <v>3257</v>
      </c>
      <c r="G2730" t="s">
        <v>10530</v>
      </c>
      <c r="H2730" t="s">
        <v>3267</v>
      </c>
      <c r="I2730" t="s">
        <v>3268</v>
      </c>
    </row>
    <row r="2731" spans="1:9" x14ac:dyDescent="0.25">
      <c r="A2731" t="s">
        <v>10531</v>
      </c>
      <c r="B2731" t="s">
        <v>10531</v>
      </c>
      <c r="C2731" t="s">
        <v>10532</v>
      </c>
      <c r="D2731" t="s">
        <v>3242</v>
      </c>
      <c r="E2731" t="s">
        <v>15710</v>
      </c>
      <c r="F2731" t="s">
        <v>3826</v>
      </c>
      <c r="G2731" t="s">
        <v>10533</v>
      </c>
      <c r="H2731" t="s">
        <v>3290</v>
      </c>
    </row>
    <row r="2732" spans="1:9" x14ac:dyDescent="0.25">
      <c r="A2732" t="s">
        <v>10534</v>
      </c>
      <c r="B2732" t="s">
        <v>10534</v>
      </c>
      <c r="C2732" t="s">
        <v>10535</v>
      </c>
      <c r="D2732" t="s">
        <v>3242</v>
      </c>
      <c r="E2732" t="s">
        <v>15710</v>
      </c>
      <c r="F2732" t="s">
        <v>3288</v>
      </c>
      <c r="G2732" t="s">
        <v>4608</v>
      </c>
      <c r="H2732" t="s">
        <v>10536</v>
      </c>
    </row>
    <row r="2733" spans="1:9" x14ac:dyDescent="0.25">
      <c r="A2733" t="s">
        <v>15343</v>
      </c>
      <c r="B2733" t="s">
        <v>15343</v>
      </c>
      <c r="C2733" t="s">
        <v>15344</v>
      </c>
      <c r="D2733" t="s">
        <v>3242</v>
      </c>
      <c r="E2733" t="s">
        <v>15710</v>
      </c>
      <c r="F2733" t="s">
        <v>4102</v>
      </c>
      <c r="G2733" t="s">
        <v>15345</v>
      </c>
      <c r="H2733" t="s">
        <v>4045</v>
      </c>
    </row>
    <row r="2734" spans="1:9" x14ac:dyDescent="0.25">
      <c r="A2734" t="s">
        <v>16297</v>
      </c>
      <c r="B2734" t="s">
        <v>16297</v>
      </c>
      <c r="C2734" t="s">
        <v>16298</v>
      </c>
      <c r="D2734" t="s">
        <v>3242</v>
      </c>
      <c r="E2734" t="s">
        <v>15710</v>
      </c>
      <c r="F2734" t="s">
        <v>3243</v>
      </c>
      <c r="G2734" t="s">
        <v>16299</v>
      </c>
      <c r="H2734" t="s">
        <v>3285</v>
      </c>
    </row>
    <row r="2735" spans="1:9" x14ac:dyDescent="0.25">
      <c r="A2735" t="s">
        <v>10537</v>
      </c>
      <c r="B2735" t="s">
        <v>10537</v>
      </c>
      <c r="C2735" t="s">
        <v>8128</v>
      </c>
      <c r="D2735" t="s">
        <v>3242</v>
      </c>
      <c r="E2735" t="s">
        <v>15710</v>
      </c>
      <c r="F2735" t="s">
        <v>3257</v>
      </c>
      <c r="G2735" t="s">
        <v>10538</v>
      </c>
      <c r="H2735" t="s">
        <v>3553</v>
      </c>
    </row>
    <row r="2736" spans="1:9" x14ac:dyDescent="0.25">
      <c r="A2736" t="s">
        <v>15346</v>
      </c>
      <c r="B2736" t="s">
        <v>15346</v>
      </c>
      <c r="C2736" t="s">
        <v>15347</v>
      </c>
      <c r="D2736" t="s">
        <v>3242</v>
      </c>
      <c r="E2736" t="s">
        <v>15710</v>
      </c>
      <c r="F2736" t="s">
        <v>5158</v>
      </c>
      <c r="G2736" t="s">
        <v>15348</v>
      </c>
      <c r="H2736" t="s">
        <v>3496</v>
      </c>
    </row>
    <row r="2737" spans="1:9" x14ac:dyDescent="0.25">
      <c r="A2737" t="s">
        <v>10539</v>
      </c>
      <c r="B2737" t="s">
        <v>10539</v>
      </c>
      <c r="C2737" t="s">
        <v>10540</v>
      </c>
      <c r="D2737" t="s">
        <v>3242</v>
      </c>
      <c r="E2737" t="s">
        <v>15710</v>
      </c>
      <c r="F2737" t="s">
        <v>3288</v>
      </c>
      <c r="G2737" t="s">
        <v>3943</v>
      </c>
      <c r="H2737" t="s">
        <v>3361</v>
      </c>
    </row>
    <row r="2738" spans="1:9" x14ac:dyDescent="0.25">
      <c r="A2738" t="s">
        <v>10541</v>
      </c>
      <c r="B2738" t="s">
        <v>10541</v>
      </c>
      <c r="C2738" t="s">
        <v>10542</v>
      </c>
      <c r="D2738" t="s">
        <v>3242</v>
      </c>
      <c r="E2738" t="s">
        <v>15710</v>
      </c>
      <c r="F2738" t="s">
        <v>3288</v>
      </c>
      <c r="G2738" t="s">
        <v>10543</v>
      </c>
      <c r="H2738" t="s">
        <v>3618</v>
      </c>
    </row>
    <row r="2739" spans="1:9" x14ac:dyDescent="0.25">
      <c r="A2739" t="s">
        <v>16300</v>
      </c>
      <c r="B2739" t="s">
        <v>16300</v>
      </c>
      <c r="C2739" t="s">
        <v>16301</v>
      </c>
      <c r="D2739" t="s">
        <v>3242</v>
      </c>
      <c r="E2739" t="s">
        <v>15710</v>
      </c>
      <c r="F2739" t="s">
        <v>3243</v>
      </c>
      <c r="G2739" t="s">
        <v>16302</v>
      </c>
      <c r="H2739" t="s">
        <v>3402</v>
      </c>
    </row>
    <row r="2740" spans="1:9" x14ac:dyDescent="0.25">
      <c r="A2740" t="s">
        <v>15349</v>
      </c>
      <c r="B2740" t="s">
        <v>15349</v>
      </c>
      <c r="C2740" t="s">
        <v>15350</v>
      </c>
      <c r="D2740" t="s">
        <v>3242</v>
      </c>
      <c r="E2740" t="s">
        <v>15710</v>
      </c>
      <c r="F2740" t="s">
        <v>3243</v>
      </c>
      <c r="G2740" t="s">
        <v>15351</v>
      </c>
      <c r="H2740" t="s">
        <v>4268</v>
      </c>
    </row>
    <row r="2741" spans="1:9" x14ac:dyDescent="0.25">
      <c r="A2741" t="s">
        <v>10544</v>
      </c>
      <c r="B2741" t="s">
        <v>10544</v>
      </c>
      <c r="C2741" t="s">
        <v>10545</v>
      </c>
      <c r="D2741" t="s">
        <v>3242</v>
      </c>
      <c r="E2741" t="s">
        <v>15710</v>
      </c>
      <c r="F2741" t="s">
        <v>3826</v>
      </c>
      <c r="G2741" t="s">
        <v>10546</v>
      </c>
      <c r="H2741" t="s">
        <v>3290</v>
      </c>
    </row>
    <row r="2742" spans="1:9" x14ac:dyDescent="0.25">
      <c r="A2742" t="s">
        <v>10547</v>
      </c>
      <c r="B2742" t="s">
        <v>10547</v>
      </c>
      <c r="C2742" t="s">
        <v>10548</v>
      </c>
      <c r="D2742" t="s">
        <v>3242</v>
      </c>
      <c r="E2742" t="s">
        <v>15710</v>
      </c>
      <c r="F2742" t="s">
        <v>4102</v>
      </c>
      <c r="G2742" t="s">
        <v>10549</v>
      </c>
      <c r="H2742" t="s">
        <v>3962</v>
      </c>
    </row>
    <row r="2743" spans="1:9" x14ac:dyDescent="0.25">
      <c r="A2743" t="s">
        <v>10550</v>
      </c>
      <c r="B2743" t="s">
        <v>10550</v>
      </c>
      <c r="C2743" t="s">
        <v>10551</v>
      </c>
      <c r="D2743" t="s">
        <v>3242</v>
      </c>
      <c r="E2743" t="s">
        <v>15963</v>
      </c>
      <c r="F2743" t="s">
        <v>3257</v>
      </c>
      <c r="G2743" t="s">
        <v>10552</v>
      </c>
      <c r="H2743" t="s">
        <v>10553</v>
      </c>
    </row>
    <row r="2744" spans="1:9" x14ac:dyDescent="0.25">
      <c r="A2744" t="s">
        <v>15352</v>
      </c>
      <c r="B2744" t="s">
        <v>15352</v>
      </c>
      <c r="C2744" t="s">
        <v>15353</v>
      </c>
      <c r="D2744" t="s">
        <v>3242</v>
      </c>
      <c r="E2744" t="s">
        <v>15710</v>
      </c>
      <c r="F2744" t="s">
        <v>3288</v>
      </c>
      <c r="G2744" t="s">
        <v>15354</v>
      </c>
      <c r="H2744" t="s">
        <v>3285</v>
      </c>
    </row>
    <row r="2745" spans="1:9" x14ac:dyDescent="0.25">
      <c r="A2745" t="s">
        <v>10554</v>
      </c>
      <c r="B2745" t="s">
        <v>10554</v>
      </c>
      <c r="C2745" t="s">
        <v>10555</v>
      </c>
      <c r="D2745" t="s">
        <v>3242</v>
      </c>
      <c r="E2745" t="s">
        <v>15972</v>
      </c>
      <c r="F2745" t="s">
        <v>3257</v>
      </c>
      <c r="G2745" t="s">
        <v>10556</v>
      </c>
      <c r="H2745" t="s">
        <v>6286</v>
      </c>
      <c r="I2745" t="s">
        <v>3324</v>
      </c>
    </row>
    <row r="2746" spans="1:9" x14ac:dyDescent="0.25">
      <c r="A2746" t="s">
        <v>16305</v>
      </c>
      <c r="B2746" t="s">
        <v>16305</v>
      </c>
      <c r="C2746" t="s">
        <v>16306</v>
      </c>
      <c r="D2746" t="s">
        <v>3242</v>
      </c>
      <c r="E2746" t="s">
        <v>15710</v>
      </c>
      <c r="F2746" t="s">
        <v>3243</v>
      </c>
      <c r="G2746" t="s">
        <v>4004</v>
      </c>
      <c r="H2746" t="s">
        <v>3285</v>
      </c>
    </row>
    <row r="2747" spans="1:9" x14ac:dyDescent="0.25">
      <c r="A2747" t="s">
        <v>10557</v>
      </c>
      <c r="B2747" t="s">
        <v>10557</v>
      </c>
      <c r="C2747" t="s">
        <v>10558</v>
      </c>
      <c r="D2747" t="s">
        <v>3242</v>
      </c>
      <c r="E2747" t="s">
        <v>15710</v>
      </c>
      <c r="F2747" t="s">
        <v>3243</v>
      </c>
      <c r="G2747" t="s">
        <v>3566</v>
      </c>
      <c r="H2747" t="s">
        <v>3566</v>
      </c>
    </row>
    <row r="2748" spans="1:9" x14ac:dyDescent="0.25">
      <c r="A2748" t="s">
        <v>10559</v>
      </c>
      <c r="B2748" t="s">
        <v>10559</v>
      </c>
      <c r="C2748" t="s">
        <v>10560</v>
      </c>
      <c r="D2748" t="s">
        <v>3242</v>
      </c>
      <c r="E2748" t="s">
        <v>15710</v>
      </c>
      <c r="F2748" t="s">
        <v>3288</v>
      </c>
      <c r="G2748" t="s">
        <v>6121</v>
      </c>
      <c r="H2748" t="s">
        <v>4740</v>
      </c>
    </row>
    <row r="2749" spans="1:9" x14ac:dyDescent="0.25">
      <c r="A2749" t="s">
        <v>10561</v>
      </c>
      <c r="B2749" t="s">
        <v>10561</v>
      </c>
      <c r="C2749" t="s">
        <v>10562</v>
      </c>
      <c r="D2749" t="s">
        <v>3242</v>
      </c>
      <c r="E2749" t="s">
        <v>15710</v>
      </c>
      <c r="F2749" t="s">
        <v>3251</v>
      </c>
      <c r="G2749" t="s">
        <v>4768</v>
      </c>
      <c r="H2749" t="s">
        <v>4769</v>
      </c>
    </row>
    <row r="2750" spans="1:9" x14ac:dyDescent="0.25">
      <c r="A2750" t="s">
        <v>10563</v>
      </c>
      <c r="B2750" t="s">
        <v>10563</v>
      </c>
      <c r="C2750" t="s">
        <v>10564</v>
      </c>
      <c r="D2750" t="s">
        <v>3242</v>
      </c>
      <c r="E2750" t="s">
        <v>15710</v>
      </c>
      <c r="F2750" t="s">
        <v>3251</v>
      </c>
      <c r="G2750" t="s">
        <v>10565</v>
      </c>
      <c r="H2750" t="s">
        <v>3553</v>
      </c>
    </row>
    <row r="2751" spans="1:9" x14ac:dyDescent="0.25">
      <c r="A2751" t="s">
        <v>10566</v>
      </c>
      <c r="B2751" t="s">
        <v>10566</v>
      </c>
      <c r="C2751" t="s">
        <v>10567</v>
      </c>
      <c r="D2751" t="s">
        <v>3242</v>
      </c>
      <c r="E2751" t="s">
        <v>15710</v>
      </c>
      <c r="F2751" t="s">
        <v>3251</v>
      </c>
      <c r="G2751" t="s">
        <v>10568</v>
      </c>
      <c r="H2751" t="s">
        <v>3900</v>
      </c>
    </row>
    <row r="2752" spans="1:9" x14ac:dyDescent="0.25">
      <c r="A2752" t="s">
        <v>10569</v>
      </c>
      <c r="B2752" t="s">
        <v>10569</v>
      </c>
      <c r="C2752" t="s">
        <v>10570</v>
      </c>
      <c r="D2752" t="s">
        <v>3242</v>
      </c>
      <c r="E2752" t="s">
        <v>15710</v>
      </c>
      <c r="F2752" t="s">
        <v>3288</v>
      </c>
      <c r="G2752" t="s">
        <v>10571</v>
      </c>
      <c r="H2752" t="s">
        <v>3623</v>
      </c>
    </row>
    <row r="2753" spans="1:9" x14ac:dyDescent="0.25">
      <c r="A2753" t="s">
        <v>10572</v>
      </c>
      <c r="B2753" t="s">
        <v>10572</v>
      </c>
      <c r="C2753" t="s">
        <v>10573</v>
      </c>
      <c r="D2753" t="s">
        <v>3242</v>
      </c>
      <c r="E2753" t="s">
        <v>15710</v>
      </c>
      <c r="F2753" t="s">
        <v>3288</v>
      </c>
      <c r="G2753" t="s">
        <v>10574</v>
      </c>
      <c r="H2753" t="s">
        <v>4800</v>
      </c>
    </row>
    <row r="2754" spans="1:9" x14ac:dyDescent="0.25">
      <c r="A2754" t="s">
        <v>10575</v>
      </c>
      <c r="B2754" t="s">
        <v>10575</v>
      </c>
      <c r="C2754" t="s">
        <v>10576</v>
      </c>
      <c r="D2754" t="s">
        <v>3242</v>
      </c>
      <c r="E2754" t="s">
        <v>15964</v>
      </c>
      <c r="F2754" t="s">
        <v>3243</v>
      </c>
      <c r="G2754" t="s">
        <v>3243</v>
      </c>
      <c r="H2754" t="s">
        <v>3290</v>
      </c>
    </row>
    <row r="2755" spans="1:9" x14ac:dyDescent="0.25">
      <c r="A2755" t="s">
        <v>10577</v>
      </c>
      <c r="B2755" t="s">
        <v>10577</v>
      </c>
      <c r="C2755" t="s">
        <v>10578</v>
      </c>
      <c r="D2755" t="s">
        <v>3242</v>
      </c>
      <c r="E2755" t="s">
        <v>15710</v>
      </c>
      <c r="F2755" t="s">
        <v>3515</v>
      </c>
      <c r="G2755" t="s">
        <v>10579</v>
      </c>
      <c r="H2755" t="s">
        <v>10580</v>
      </c>
      <c r="I2755" t="s">
        <v>3263</v>
      </c>
    </row>
    <row r="2756" spans="1:9" x14ac:dyDescent="0.25">
      <c r="A2756" t="s">
        <v>10581</v>
      </c>
      <c r="B2756" t="s">
        <v>10581</v>
      </c>
      <c r="C2756" t="s">
        <v>10582</v>
      </c>
      <c r="D2756" t="s">
        <v>3242</v>
      </c>
      <c r="E2756" t="s">
        <v>17659</v>
      </c>
      <c r="F2756" t="s">
        <v>3251</v>
      </c>
      <c r="G2756" t="s">
        <v>10583</v>
      </c>
      <c r="H2756" t="s">
        <v>3323</v>
      </c>
      <c r="I2756" t="s">
        <v>3366</v>
      </c>
    </row>
    <row r="2757" spans="1:9" x14ac:dyDescent="0.25">
      <c r="A2757" t="s">
        <v>10584</v>
      </c>
      <c r="B2757" t="s">
        <v>10584</v>
      </c>
      <c r="C2757" t="s">
        <v>10585</v>
      </c>
      <c r="D2757" t="s">
        <v>3242</v>
      </c>
      <c r="E2757" t="s">
        <v>15912</v>
      </c>
      <c r="F2757" t="s">
        <v>3251</v>
      </c>
      <c r="G2757" t="s">
        <v>10586</v>
      </c>
      <c r="H2757" t="s">
        <v>4045</v>
      </c>
      <c r="I2757" t="s">
        <v>3694</v>
      </c>
    </row>
    <row r="2758" spans="1:9" x14ac:dyDescent="0.25">
      <c r="A2758" t="s">
        <v>10587</v>
      </c>
      <c r="B2758" t="s">
        <v>10587</v>
      </c>
      <c r="C2758" t="s">
        <v>10588</v>
      </c>
      <c r="D2758" t="s">
        <v>3242</v>
      </c>
      <c r="E2758" t="s">
        <v>15710</v>
      </c>
      <c r="F2758" t="s">
        <v>3345</v>
      </c>
      <c r="G2758" t="s">
        <v>10589</v>
      </c>
      <c r="H2758" t="s">
        <v>4320</v>
      </c>
    </row>
    <row r="2759" spans="1:9" x14ac:dyDescent="0.25">
      <c r="A2759" t="s">
        <v>10590</v>
      </c>
      <c r="B2759" t="s">
        <v>10590</v>
      </c>
      <c r="C2759" t="s">
        <v>10591</v>
      </c>
      <c r="D2759" t="s">
        <v>3242</v>
      </c>
      <c r="E2759" t="s">
        <v>15710</v>
      </c>
      <c r="F2759" t="s">
        <v>5955</v>
      </c>
      <c r="G2759" t="s">
        <v>10592</v>
      </c>
      <c r="H2759" t="s">
        <v>4179</v>
      </c>
      <c r="I2759" t="s">
        <v>3324</v>
      </c>
    </row>
    <row r="2760" spans="1:9" x14ac:dyDescent="0.25">
      <c r="A2760" t="s">
        <v>17402</v>
      </c>
      <c r="B2760" t="s">
        <v>17402</v>
      </c>
      <c r="C2760" t="s">
        <v>17403</v>
      </c>
      <c r="D2760" t="s">
        <v>3242</v>
      </c>
      <c r="E2760" t="s">
        <v>15710</v>
      </c>
      <c r="F2760" t="s">
        <v>3345</v>
      </c>
      <c r="G2760" t="s">
        <v>3346</v>
      </c>
      <c r="H2760" t="s">
        <v>4697</v>
      </c>
    </row>
    <row r="2761" spans="1:9" x14ac:dyDescent="0.25">
      <c r="A2761" t="s">
        <v>10593</v>
      </c>
      <c r="B2761" t="s">
        <v>10593</v>
      </c>
      <c r="C2761" t="s">
        <v>10594</v>
      </c>
      <c r="D2761" t="s">
        <v>3242</v>
      </c>
      <c r="E2761" t="s">
        <v>15710</v>
      </c>
      <c r="F2761" t="s">
        <v>3283</v>
      </c>
      <c r="G2761" t="s">
        <v>10595</v>
      </c>
      <c r="H2761" t="s">
        <v>3060</v>
      </c>
    </row>
    <row r="2762" spans="1:9" x14ac:dyDescent="0.25">
      <c r="A2762" t="s">
        <v>10596</v>
      </c>
      <c r="B2762" t="s">
        <v>10596</v>
      </c>
      <c r="C2762" t="s">
        <v>10597</v>
      </c>
      <c r="D2762" t="s">
        <v>3242</v>
      </c>
      <c r="E2762" t="s">
        <v>15710</v>
      </c>
      <c r="F2762" t="s">
        <v>3257</v>
      </c>
      <c r="G2762" t="s">
        <v>10598</v>
      </c>
      <c r="H2762" t="s">
        <v>3421</v>
      </c>
      <c r="I2762" t="s">
        <v>3254</v>
      </c>
    </row>
    <row r="2763" spans="1:9" x14ac:dyDescent="0.25">
      <c r="A2763" t="s">
        <v>10599</v>
      </c>
      <c r="B2763" t="s">
        <v>10599</v>
      </c>
      <c r="C2763" t="s">
        <v>10600</v>
      </c>
      <c r="D2763" t="s">
        <v>3242</v>
      </c>
      <c r="E2763" t="s">
        <v>15710</v>
      </c>
      <c r="F2763" t="s">
        <v>3288</v>
      </c>
      <c r="G2763" t="s">
        <v>10601</v>
      </c>
      <c r="H2763" t="s">
        <v>3463</v>
      </c>
    </row>
    <row r="2764" spans="1:9" x14ac:dyDescent="0.25">
      <c r="A2764" t="s">
        <v>10602</v>
      </c>
      <c r="B2764" t="s">
        <v>10602</v>
      </c>
      <c r="C2764" t="s">
        <v>10603</v>
      </c>
      <c r="D2764" t="s">
        <v>3242</v>
      </c>
      <c r="E2764" t="s">
        <v>15710</v>
      </c>
      <c r="F2764" t="s">
        <v>3243</v>
      </c>
      <c r="G2764" t="s">
        <v>10604</v>
      </c>
      <c r="H2764" t="s">
        <v>5700</v>
      </c>
    </row>
    <row r="2765" spans="1:9" x14ac:dyDescent="0.25">
      <c r="A2765" t="s">
        <v>10605</v>
      </c>
      <c r="B2765" t="s">
        <v>10605</v>
      </c>
      <c r="C2765" t="s">
        <v>10606</v>
      </c>
      <c r="D2765" t="s">
        <v>3242</v>
      </c>
      <c r="E2765" t="s">
        <v>15710</v>
      </c>
      <c r="F2765" t="s">
        <v>3243</v>
      </c>
      <c r="G2765" t="s">
        <v>10607</v>
      </c>
      <c r="H2765" t="s">
        <v>3402</v>
      </c>
    </row>
    <row r="2766" spans="1:9" x14ac:dyDescent="0.25">
      <c r="A2766" t="s">
        <v>10608</v>
      </c>
      <c r="B2766" t="s">
        <v>10608</v>
      </c>
      <c r="C2766" t="s">
        <v>10609</v>
      </c>
      <c r="D2766" t="s">
        <v>3242</v>
      </c>
      <c r="E2766" t="s">
        <v>15710</v>
      </c>
      <c r="F2766" t="s">
        <v>3243</v>
      </c>
      <c r="G2766" t="s">
        <v>10610</v>
      </c>
      <c r="H2766" t="s">
        <v>3402</v>
      </c>
    </row>
    <row r="2767" spans="1:9" x14ac:dyDescent="0.25">
      <c r="A2767" t="s">
        <v>10611</v>
      </c>
      <c r="B2767" t="s">
        <v>10611</v>
      </c>
      <c r="C2767" t="s">
        <v>10612</v>
      </c>
      <c r="D2767" t="s">
        <v>3242</v>
      </c>
      <c r="E2767" t="s">
        <v>15710</v>
      </c>
      <c r="F2767" t="s">
        <v>3257</v>
      </c>
      <c r="G2767" t="s">
        <v>10613</v>
      </c>
      <c r="H2767" t="s">
        <v>6062</v>
      </c>
      <c r="I2767" t="s">
        <v>3648</v>
      </c>
    </row>
    <row r="2768" spans="1:9" x14ac:dyDescent="0.25">
      <c r="A2768" t="s">
        <v>10614</v>
      </c>
      <c r="B2768" t="s">
        <v>10614</v>
      </c>
      <c r="C2768" t="s">
        <v>10615</v>
      </c>
      <c r="D2768" t="s">
        <v>3242</v>
      </c>
      <c r="E2768" t="s">
        <v>15710</v>
      </c>
      <c r="F2768" t="s">
        <v>3372</v>
      </c>
      <c r="G2768" t="s">
        <v>10616</v>
      </c>
      <c r="H2768" t="s">
        <v>3374</v>
      </c>
      <c r="I2768" t="s">
        <v>3375</v>
      </c>
    </row>
    <row r="2769" spans="1:9" x14ac:dyDescent="0.25">
      <c r="A2769" t="s">
        <v>10617</v>
      </c>
      <c r="B2769" t="s">
        <v>10617</v>
      </c>
      <c r="C2769" t="s">
        <v>10618</v>
      </c>
      <c r="D2769" t="s">
        <v>3242</v>
      </c>
      <c r="E2769" t="s">
        <v>15710</v>
      </c>
      <c r="F2769" t="s">
        <v>3243</v>
      </c>
      <c r="G2769" t="s">
        <v>10619</v>
      </c>
      <c r="H2769" t="s">
        <v>3402</v>
      </c>
    </row>
    <row r="2770" spans="1:9" x14ac:dyDescent="0.25">
      <c r="A2770" t="s">
        <v>10620</v>
      </c>
      <c r="B2770" t="s">
        <v>10620</v>
      </c>
      <c r="C2770" t="s">
        <v>10621</v>
      </c>
      <c r="D2770" t="s">
        <v>3242</v>
      </c>
      <c r="E2770" t="s">
        <v>15811</v>
      </c>
      <c r="F2770" t="s">
        <v>3300</v>
      </c>
      <c r="G2770" t="s">
        <v>10622</v>
      </c>
      <c r="H2770" t="s">
        <v>3668</v>
      </c>
      <c r="I2770" t="s">
        <v>4028</v>
      </c>
    </row>
    <row r="2771" spans="1:9" x14ac:dyDescent="0.25">
      <c r="A2771" t="s">
        <v>10623</v>
      </c>
      <c r="B2771" t="s">
        <v>10623</v>
      </c>
      <c r="C2771" t="s">
        <v>10624</v>
      </c>
      <c r="D2771" t="s">
        <v>3242</v>
      </c>
      <c r="E2771" t="s">
        <v>15710</v>
      </c>
      <c r="F2771" t="s">
        <v>3251</v>
      </c>
      <c r="G2771" t="s">
        <v>3420</v>
      </c>
      <c r="H2771" t="s">
        <v>3421</v>
      </c>
    </row>
    <row r="2772" spans="1:9" x14ac:dyDescent="0.25">
      <c r="A2772" t="s">
        <v>10625</v>
      </c>
      <c r="B2772" t="s">
        <v>10625</v>
      </c>
      <c r="C2772" t="s">
        <v>10626</v>
      </c>
      <c r="D2772" t="s">
        <v>3242</v>
      </c>
      <c r="E2772" t="s">
        <v>15710</v>
      </c>
      <c r="F2772" t="s">
        <v>3300</v>
      </c>
      <c r="G2772" t="s">
        <v>10627</v>
      </c>
      <c r="H2772" t="s">
        <v>4045</v>
      </c>
    </row>
    <row r="2773" spans="1:9" x14ac:dyDescent="0.25">
      <c r="A2773" t="s">
        <v>10628</v>
      </c>
      <c r="B2773" t="s">
        <v>10628</v>
      </c>
      <c r="C2773" t="s">
        <v>10629</v>
      </c>
      <c r="D2773" t="s">
        <v>3242</v>
      </c>
      <c r="E2773" t="s">
        <v>15710</v>
      </c>
      <c r="F2773" t="s">
        <v>3243</v>
      </c>
      <c r="G2773" t="s">
        <v>10630</v>
      </c>
      <c r="H2773" t="s">
        <v>3402</v>
      </c>
    </row>
    <row r="2774" spans="1:9" x14ac:dyDescent="0.25">
      <c r="A2774" t="s">
        <v>10631</v>
      </c>
      <c r="B2774" t="s">
        <v>10631</v>
      </c>
      <c r="C2774" t="s">
        <v>10632</v>
      </c>
      <c r="D2774" t="s">
        <v>3242</v>
      </c>
      <c r="E2774" t="s">
        <v>15710</v>
      </c>
      <c r="F2774" t="s">
        <v>3288</v>
      </c>
      <c r="G2774" t="s">
        <v>10633</v>
      </c>
      <c r="H2774" t="s">
        <v>10634</v>
      </c>
    </row>
    <row r="2775" spans="1:9" x14ac:dyDescent="0.25">
      <c r="A2775" t="s">
        <v>10635</v>
      </c>
      <c r="B2775" t="s">
        <v>10635</v>
      </c>
      <c r="C2775" t="s">
        <v>10636</v>
      </c>
      <c r="D2775" t="s">
        <v>3242</v>
      </c>
      <c r="E2775" t="s">
        <v>15710</v>
      </c>
      <c r="F2775" t="s">
        <v>3345</v>
      </c>
      <c r="G2775" t="s">
        <v>10637</v>
      </c>
      <c r="H2775" t="s">
        <v>3060</v>
      </c>
    </row>
    <row r="2776" spans="1:9" x14ac:dyDescent="0.25">
      <c r="A2776" t="s">
        <v>10638</v>
      </c>
      <c r="B2776" t="s">
        <v>10638</v>
      </c>
      <c r="C2776" t="s">
        <v>10639</v>
      </c>
      <c r="D2776" t="s">
        <v>3242</v>
      </c>
      <c r="E2776" t="s">
        <v>15710</v>
      </c>
      <c r="F2776" t="s">
        <v>3243</v>
      </c>
      <c r="G2776" t="s">
        <v>10640</v>
      </c>
      <c r="H2776" t="s">
        <v>3290</v>
      </c>
    </row>
    <row r="2777" spans="1:9" x14ac:dyDescent="0.25">
      <c r="A2777" t="s">
        <v>10641</v>
      </c>
      <c r="B2777" t="s">
        <v>10641</v>
      </c>
      <c r="C2777" t="s">
        <v>10642</v>
      </c>
      <c r="D2777" t="s">
        <v>3242</v>
      </c>
      <c r="E2777" t="s">
        <v>15710</v>
      </c>
      <c r="F2777" t="s">
        <v>3288</v>
      </c>
      <c r="G2777" t="s">
        <v>10643</v>
      </c>
      <c r="H2777" t="s">
        <v>3285</v>
      </c>
    </row>
    <row r="2778" spans="1:9" x14ac:dyDescent="0.25">
      <c r="A2778" t="s">
        <v>10644</v>
      </c>
      <c r="B2778" t="s">
        <v>10644</v>
      </c>
      <c r="C2778" t="s">
        <v>10645</v>
      </c>
      <c r="D2778" t="s">
        <v>3242</v>
      </c>
      <c r="E2778" t="s">
        <v>15710</v>
      </c>
      <c r="F2778" t="s">
        <v>3288</v>
      </c>
      <c r="G2778" t="s">
        <v>10646</v>
      </c>
      <c r="H2778" t="s">
        <v>3623</v>
      </c>
    </row>
    <row r="2779" spans="1:9" x14ac:dyDescent="0.25">
      <c r="A2779" t="s">
        <v>10647</v>
      </c>
      <c r="B2779" t="s">
        <v>10647</v>
      </c>
      <c r="C2779" t="s">
        <v>10648</v>
      </c>
      <c r="D2779" t="s">
        <v>3242</v>
      </c>
      <c r="E2779" t="s">
        <v>15710</v>
      </c>
      <c r="F2779" t="s">
        <v>3288</v>
      </c>
      <c r="G2779" t="s">
        <v>3060</v>
      </c>
      <c r="H2779" t="s">
        <v>3285</v>
      </c>
    </row>
    <row r="2780" spans="1:9" x14ac:dyDescent="0.25">
      <c r="A2780" t="s">
        <v>10649</v>
      </c>
      <c r="B2780" t="s">
        <v>10649</v>
      </c>
      <c r="C2780" t="s">
        <v>10650</v>
      </c>
      <c r="D2780" t="s">
        <v>3242</v>
      </c>
      <c r="E2780" t="s">
        <v>15710</v>
      </c>
      <c r="F2780" t="s">
        <v>3243</v>
      </c>
      <c r="G2780" t="s">
        <v>10651</v>
      </c>
      <c r="H2780" t="s">
        <v>3402</v>
      </c>
    </row>
    <row r="2781" spans="1:9" x14ac:dyDescent="0.25">
      <c r="A2781" t="s">
        <v>15355</v>
      </c>
      <c r="B2781" t="s">
        <v>15355</v>
      </c>
      <c r="C2781" t="s">
        <v>15356</v>
      </c>
      <c r="D2781" t="s">
        <v>3242</v>
      </c>
      <c r="E2781" t="s">
        <v>15710</v>
      </c>
      <c r="F2781" t="s">
        <v>3243</v>
      </c>
      <c r="G2781" t="s">
        <v>15357</v>
      </c>
      <c r="H2781" t="s">
        <v>3402</v>
      </c>
    </row>
    <row r="2782" spans="1:9" x14ac:dyDescent="0.25">
      <c r="A2782" t="s">
        <v>10652</v>
      </c>
      <c r="B2782" t="s">
        <v>10652</v>
      </c>
      <c r="C2782" t="s">
        <v>10653</v>
      </c>
      <c r="D2782" t="s">
        <v>3242</v>
      </c>
      <c r="E2782" t="s">
        <v>17053</v>
      </c>
      <c r="F2782" t="s">
        <v>3251</v>
      </c>
      <c r="G2782" t="s">
        <v>10654</v>
      </c>
      <c r="H2782" t="s">
        <v>3668</v>
      </c>
      <c r="I2782" t="s">
        <v>4028</v>
      </c>
    </row>
    <row r="2783" spans="1:9" x14ac:dyDescent="0.25">
      <c r="A2783" t="s">
        <v>10655</v>
      </c>
      <c r="B2783" t="s">
        <v>10655</v>
      </c>
      <c r="C2783" t="s">
        <v>10656</v>
      </c>
      <c r="D2783" t="s">
        <v>3242</v>
      </c>
      <c r="E2783" t="s">
        <v>15710</v>
      </c>
      <c r="F2783" t="s">
        <v>4996</v>
      </c>
      <c r="G2783" t="s">
        <v>10657</v>
      </c>
      <c r="H2783" t="s">
        <v>5883</v>
      </c>
      <c r="I2783" t="s">
        <v>3366</v>
      </c>
    </row>
    <row r="2784" spans="1:9" x14ac:dyDescent="0.25">
      <c r="A2784" t="s">
        <v>10658</v>
      </c>
      <c r="B2784" t="s">
        <v>10658</v>
      </c>
      <c r="C2784" t="s">
        <v>10659</v>
      </c>
      <c r="D2784" t="s">
        <v>3242</v>
      </c>
      <c r="E2784" t="s">
        <v>15710</v>
      </c>
      <c r="F2784" t="s">
        <v>3288</v>
      </c>
      <c r="G2784" t="s">
        <v>3060</v>
      </c>
      <c r="H2784" t="s">
        <v>3285</v>
      </c>
    </row>
    <row r="2785" spans="1:9" x14ac:dyDescent="0.25">
      <c r="A2785" t="s">
        <v>15358</v>
      </c>
      <c r="B2785" t="s">
        <v>15358</v>
      </c>
      <c r="C2785" t="s">
        <v>15359</v>
      </c>
      <c r="D2785" t="s">
        <v>3242</v>
      </c>
      <c r="E2785" t="s">
        <v>15710</v>
      </c>
      <c r="F2785" t="s">
        <v>3243</v>
      </c>
      <c r="G2785" t="s">
        <v>15360</v>
      </c>
      <c r="H2785" t="s">
        <v>3285</v>
      </c>
    </row>
    <row r="2786" spans="1:9" x14ac:dyDescent="0.25">
      <c r="A2786" t="s">
        <v>10660</v>
      </c>
      <c r="B2786" t="s">
        <v>10660</v>
      </c>
      <c r="C2786" t="s">
        <v>10661</v>
      </c>
      <c r="D2786" t="s">
        <v>3242</v>
      </c>
      <c r="E2786" t="s">
        <v>15710</v>
      </c>
      <c r="F2786" t="s">
        <v>3243</v>
      </c>
      <c r="G2786" t="s">
        <v>10662</v>
      </c>
      <c r="H2786" t="s">
        <v>3402</v>
      </c>
    </row>
    <row r="2787" spans="1:9" x14ac:dyDescent="0.25">
      <c r="A2787" t="s">
        <v>16706</v>
      </c>
      <c r="B2787" t="s">
        <v>16706</v>
      </c>
      <c r="C2787" t="s">
        <v>16707</v>
      </c>
      <c r="D2787" t="s">
        <v>3242</v>
      </c>
      <c r="E2787" t="s">
        <v>15994</v>
      </c>
      <c r="F2787" t="s">
        <v>3243</v>
      </c>
      <c r="G2787" t="s">
        <v>16708</v>
      </c>
      <c r="H2787" t="s">
        <v>3290</v>
      </c>
      <c r="I2787" t="s">
        <v>3324</v>
      </c>
    </row>
    <row r="2788" spans="1:9" x14ac:dyDescent="0.25">
      <c r="A2788" t="s">
        <v>15361</v>
      </c>
      <c r="B2788" t="s">
        <v>15361</v>
      </c>
      <c r="C2788" t="s">
        <v>15362</v>
      </c>
      <c r="D2788" t="s">
        <v>3242</v>
      </c>
      <c r="E2788" t="s">
        <v>15710</v>
      </c>
      <c r="F2788" t="s">
        <v>3243</v>
      </c>
      <c r="G2788" t="s">
        <v>15363</v>
      </c>
      <c r="H2788" t="s">
        <v>3285</v>
      </c>
    </row>
    <row r="2789" spans="1:9" x14ac:dyDescent="0.25">
      <c r="A2789" t="s">
        <v>10663</v>
      </c>
      <c r="B2789" t="s">
        <v>10663</v>
      </c>
      <c r="C2789" t="s">
        <v>10664</v>
      </c>
      <c r="D2789" t="s">
        <v>3242</v>
      </c>
      <c r="E2789" t="s">
        <v>15710</v>
      </c>
      <c r="F2789" t="s">
        <v>3243</v>
      </c>
      <c r="G2789" t="s">
        <v>3060</v>
      </c>
      <c r="H2789" t="s">
        <v>3285</v>
      </c>
    </row>
    <row r="2790" spans="1:9" x14ac:dyDescent="0.25">
      <c r="A2790" t="s">
        <v>10665</v>
      </c>
      <c r="B2790" t="s">
        <v>10665</v>
      </c>
      <c r="C2790" t="s">
        <v>10666</v>
      </c>
      <c r="D2790" t="s">
        <v>3242</v>
      </c>
      <c r="E2790" t="s">
        <v>15710</v>
      </c>
      <c r="F2790" t="s">
        <v>3257</v>
      </c>
      <c r="G2790" t="s">
        <v>10667</v>
      </c>
      <c r="H2790" t="s">
        <v>5722</v>
      </c>
      <c r="I2790" t="s">
        <v>3366</v>
      </c>
    </row>
    <row r="2791" spans="1:9" x14ac:dyDescent="0.25">
      <c r="A2791" t="s">
        <v>15364</v>
      </c>
      <c r="B2791" t="s">
        <v>15364</v>
      </c>
      <c r="C2791" t="s">
        <v>15365</v>
      </c>
      <c r="D2791" t="s">
        <v>3242</v>
      </c>
      <c r="E2791" t="s">
        <v>15710</v>
      </c>
      <c r="F2791" t="s">
        <v>3243</v>
      </c>
      <c r="G2791" t="s">
        <v>15366</v>
      </c>
      <c r="H2791" t="s">
        <v>3744</v>
      </c>
    </row>
    <row r="2792" spans="1:9" x14ac:dyDescent="0.25">
      <c r="A2792" t="s">
        <v>10668</v>
      </c>
      <c r="B2792" t="s">
        <v>10668</v>
      </c>
      <c r="C2792" t="s">
        <v>10669</v>
      </c>
      <c r="D2792" t="s">
        <v>3242</v>
      </c>
      <c r="E2792" t="s">
        <v>15710</v>
      </c>
      <c r="F2792" t="s">
        <v>3251</v>
      </c>
      <c r="G2792" t="s">
        <v>10670</v>
      </c>
      <c r="H2792" t="s">
        <v>3537</v>
      </c>
    </row>
    <row r="2793" spans="1:9" x14ac:dyDescent="0.25">
      <c r="A2793" t="s">
        <v>10671</v>
      </c>
      <c r="B2793" t="s">
        <v>10671</v>
      </c>
      <c r="C2793" t="s">
        <v>10672</v>
      </c>
      <c r="D2793" t="s">
        <v>3242</v>
      </c>
      <c r="E2793" t="s">
        <v>15710</v>
      </c>
      <c r="F2793" t="s">
        <v>7073</v>
      </c>
      <c r="G2793" t="s">
        <v>10673</v>
      </c>
      <c r="H2793" t="s">
        <v>3594</v>
      </c>
    </row>
    <row r="2794" spans="1:9" x14ac:dyDescent="0.25">
      <c r="A2794" t="s">
        <v>10674</v>
      </c>
      <c r="B2794" t="s">
        <v>10674</v>
      </c>
      <c r="C2794" t="s">
        <v>7825</v>
      </c>
      <c r="D2794" t="s">
        <v>3242</v>
      </c>
      <c r="E2794" t="s">
        <v>15710</v>
      </c>
      <c r="F2794" t="s">
        <v>3251</v>
      </c>
      <c r="G2794" t="s">
        <v>3420</v>
      </c>
      <c r="H2794" t="s">
        <v>3421</v>
      </c>
    </row>
    <row r="2795" spans="1:9" x14ac:dyDescent="0.25">
      <c r="A2795" t="s">
        <v>10675</v>
      </c>
      <c r="B2795" t="s">
        <v>10675</v>
      </c>
      <c r="C2795" t="s">
        <v>10676</v>
      </c>
      <c r="D2795" t="s">
        <v>3242</v>
      </c>
      <c r="E2795" t="s">
        <v>15710</v>
      </c>
      <c r="F2795" t="s">
        <v>3257</v>
      </c>
      <c r="G2795" t="s">
        <v>10677</v>
      </c>
      <c r="H2795" t="s">
        <v>4871</v>
      </c>
      <c r="I2795" t="s">
        <v>3268</v>
      </c>
    </row>
    <row r="2796" spans="1:9" x14ac:dyDescent="0.25">
      <c r="A2796" t="s">
        <v>10678</v>
      </c>
      <c r="B2796" t="s">
        <v>10678</v>
      </c>
      <c r="C2796" t="s">
        <v>10679</v>
      </c>
      <c r="D2796" t="s">
        <v>3242</v>
      </c>
      <c r="E2796" t="s">
        <v>15710</v>
      </c>
      <c r="F2796" t="s">
        <v>3243</v>
      </c>
      <c r="G2796" t="s">
        <v>10680</v>
      </c>
      <c r="H2796" t="s">
        <v>3290</v>
      </c>
    </row>
    <row r="2797" spans="1:9" x14ac:dyDescent="0.25">
      <c r="A2797" t="s">
        <v>17054</v>
      </c>
      <c r="B2797" t="s">
        <v>17054</v>
      </c>
      <c r="C2797" t="s">
        <v>17055</v>
      </c>
      <c r="D2797" t="s">
        <v>3242</v>
      </c>
      <c r="E2797" t="s">
        <v>17056</v>
      </c>
      <c r="F2797" t="s">
        <v>4102</v>
      </c>
      <c r="G2797" t="s">
        <v>17057</v>
      </c>
      <c r="H2797" t="s">
        <v>3060</v>
      </c>
    </row>
    <row r="2798" spans="1:9" x14ac:dyDescent="0.25">
      <c r="A2798" t="s">
        <v>10681</v>
      </c>
      <c r="B2798" t="s">
        <v>10681</v>
      </c>
      <c r="C2798" t="s">
        <v>10682</v>
      </c>
      <c r="D2798" t="s">
        <v>3242</v>
      </c>
      <c r="E2798" t="s">
        <v>15710</v>
      </c>
      <c r="F2798" t="s">
        <v>3243</v>
      </c>
      <c r="G2798" t="s">
        <v>10683</v>
      </c>
      <c r="H2798" t="s">
        <v>3290</v>
      </c>
    </row>
    <row r="2799" spans="1:9" x14ac:dyDescent="0.25">
      <c r="A2799" t="s">
        <v>10684</v>
      </c>
      <c r="B2799" t="s">
        <v>10684</v>
      </c>
      <c r="C2799" t="s">
        <v>10685</v>
      </c>
      <c r="D2799" t="s">
        <v>3242</v>
      </c>
      <c r="E2799" t="s">
        <v>17058</v>
      </c>
      <c r="F2799" t="s">
        <v>3251</v>
      </c>
      <c r="G2799" t="s">
        <v>10686</v>
      </c>
      <c r="H2799" t="s">
        <v>4734</v>
      </c>
      <c r="I2799" t="s">
        <v>3254</v>
      </c>
    </row>
    <row r="2800" spans="1:9" x14ac:dyDescent="0.25">
      <c r="A2800" t="s">
        <v>10687</v>
      </c>
      <c r="B2800" t="s">
        <v>10687</v>
      </c>
      <c r="C2800" t="s">
        <v>10688</v>
      </c>
      <c r="D2800" t="s">
        <v>3242</v>
      </c>
      <c r="E2800" t="s">
        <v>15710</v>
      </c>
      <c r="F2800" t="s">
        <v>3257</v>
      </c>
      <c r="G2800" t="s">
        <v>10565</v>
      </c>
      <c r="H2800" t="s">
        <v>3553</v>
      </c>
    </row>
    <row r="2801" spans="1:9" x14ac:dyDescent="0.25">
      <c r="A2801" t="s">
        <v>10689</v>
      </c>
      <c r="B2801" t="s">
        <v>10689</v>
      </c>
      <c r="C2801" t="s">
        <v>10690</v>
      </c>
      <c r="D2801" t="s">
        <v>3242</v>
      </c>
      <c r="E2801" t="s">
        <v>15710</v>
      </c>
      <c r="F2801" t="s">
        <v>3288</v>
      </c>
      <c r="G2801" t="s">
        <v>10691</v>
      </c>
      <c r="H2801" t="s">
        <v>3680</v>
      </c>
    </row>
    <row r="2802" spans="1:9" x14ac:dyDescent="0.25">
      <c r="A2802" t="s">
        <v>10692</v>
      </c>
      <c r="B2802" t="s">
        <v>10692</v>
      </c>
      <c r="C2802" t="s">
        <v>10693</v>
      </c>
      <c r="D2802" t="s">
        <v>3242</v>
      </c>
      <c r="E2802" t="s">
        <v>15710</v>
      </c>
      <c r="F2802" t="s">
        <v>5275</v>
      </c>
      <c r="G2802" t="s">
        <v>10694</v>
      </c>
      <c r="H2802" t="s">
        <v>3285</v>
      </c>
    </row>
    <row r="2803" spans="1:9" x14ac:dyDescent="0.25">
      <c r="A2803" t="s">
        <v>10695</v>
      </c>
      <c r="B2803" t="s">
        <v>10695</v>
      </c>
      <c r="C2803" t="s">
        <v>10696</v>
      </c>
      <c r="D2803" t="s">
        <v>3242</v>
      </c>
      <c r="E2803" t="s">
        <v>15710</v>
      </c>
      <c r="F2803" t="s">
        <v>3306</v>
      </c>
      <c r="G2803" t="s">
        <v>10697</v>
      </c>
      <c r="H2803" t="s">
        <v>3267</v>
      </c>
    </row>
    <row r="2804" spans="1:9" x14ac:dyDescent="0.25">
      <c r="A2804" t="s">
        <v>10698</v>
      </c>
      <c r="B2804" t="s">
        <v>10698</v>
      </c>
      <c r="C2804" t="s">
        <v>10699</v>
      </c>
      <c r="D2804" t="s">
        <v>3242</v>
      </c>
      <c r="E2804" t="s">
        <v>15710</v>
      </c>
      <c r="F2804" t="s">
        <v>3251</v>
      </c>
      <c r="G2804" t="s">
        <v>10700</v>
      </c>
      <c r="H2804" t="s">
        <v>3421</v>
      </c>
    </row>
    <row r="2805" spans="1:9" x14ac:dyDescent="0.25">
      <c r="A2805" t="s">
        <v>10701</v>
      </c>
      <c r="B2805" t="s">
        <v>10701</v>
      </c>
      <c r="C2805" t="s">
        <v>10702</v>
      </c>
      <c r="D2805" t="s">
        <v>3242</v>
      </c>
      <c r="E2805" t="s">
        <v>15710</v>
      </c>
      <c r="F2805" t="s">
        <v>3288</v>
      </c>
      <c r="G2805" t="s">
        <v>10703</v>
      </c>
      <c r="H2805" t="s">
        <v>3285</v>
      </c>
    </row>
    <row r="2806" spans="1:9" x14ac:dyDescent="0.25">
      <c r="A2806" t="s">
        <v>10704</v>
      </c>
      <c r="B2806" t="s">
        <v>10704</v>
      </c>
      <c r="C2806" t="s">
        <v>10705</v>
      </c>
      <c r="D2806" t="s">
        <v>3242</v>
      </c>
      <c r="E2806" t="s">
        <v>17059</v>
      </c>
      <c r="F2806" t="s">
        <v>3251</v>
      </c>
      <c r="G2806" t="s">
        <v>10706</v>
      </c>
      <c r="H2806" t="s">
        <v>3290</v>
      </c>
      <c r="I2806" t="s">
        <v>3254</v>
      </c>
    </row>
    <row r="2807" spans="1:9" x14ac:dyDescent="0.25">
      <c r="A2807" t="s">
        <v>10707</v>
      </c>
      <c r="B2807" t="s">
        <v>10707</v>
      </c>
      <c r="C2807" t="s">
        <v>10708</v>
      </c>
      <c r="D2807" t="s">
        <v>3242</v>
      </c>
      <c r="E2807" t="s">
        <v>15710</v>
      </c>
      <c r="F2807" t="s">
        <v>3288</v>
      </c>
      <c r="G2807" t="s">
        <v>10709</v>
      </c>
      <c r="H2807" t="s">
        <v>3290</v>
      </c>
    </row>
    <row r="2808" spans="1:9" x14ac:dyDescent="0.25">
      <c r="A2808" t="s">
        <v>15367</v>
      </c>
      <c r="B2808" t="s">
        <v>15367</v>
      </c>
      <c r="C2808" t="s">
        <v>15368</v>
      </c>
      <c r="D2808" t="s">
        <v>3242</v>
      </c>
      <c r="E2808" t="s">
        <v>15710</v>
      </c>
      <c r="F2808" t="s">
        <v>3306</v>
      </c>
      <c r="G2808" t="s">
        <v>15369</v>
      </c>
      <c r="H2808" t="s">
        <v>3643</v>
      </c>
      <c r="I2808" t="s">
        <v>3328</v>
      </c>
    </row>
    <row r="2809" spans="1:9" x14ac:dyDescent="0.25">
      <c r="A2809" t="s">
        <v>16307</v>
      </c>
      <c r="B2809" t="s">
        <v>16307</v>
      </c>
      <c r="C2809" t="s">
        <v>16308</v>
      </c>
      <c r="D2809" t="s">
        <v>3242</v>
      </c>
      <c r="E2809" t="s">
        <v>15710</v>
      </c>
      <c r="F2809" t="s">
        <v>3243</v>
      </c>
      <c r="G2809" t="s">
        <v>16309</v>
      </c>
      <c r="H2809" t="s">
        <v>3285</v>
      </c>
    </row>
    <row r="2810" spans="1:9" x14ac:dyDescent="0.25">
      <c r="A2810" t="s">
        <v>17060</v>
      </c>
      <c r="B2810" t="s">
        <v>17060</v>
      </c>
      <c r="C2810" t="s">
        <v>17061</v>
      </c>
      <c r="D2810" t="s">
        <v>3242</v>
      </c>
      <c r="E2810" t="s">
        <v>15874</v>
      </c>
      <c r="F2810" t="s">
        <v>3826</v>
      </c>
      <c r="G2810" t="s">
        <v>17062</v>
      </c>
      <c r="H2810" t="s">
        <v>3413</v>
      </c>
    </row>
    <row r="2811" spans="1:9" x14ac:dyDescent="0.25">
      <c r="A2811" t="s">
        <v>10710</v>
      </c>
      <c r="B2811" t="s">
        <v>10710</v>
      </c>
      <c r="C2811" t="s">
        <v>10711</v>
      </c>
      <c r="D2811" t="s">
        <v>3242</v>
      </c>
      <c r="E2811" t="s">
        <v>15710</v>
      </c>
      <c r="F2811" t="s">
        <v>3243</v>
      </c>
      <c r="G2811" t="s">
        <v>10712</v>
      </c>
      <c r="H2811" t="s">
        <v>3484</v>
      </c>
    </row>
    <row r="2812" spans="1:9" x14ac:dyDescent="0.25">
      <c r="A2812" t="s">
        <v>10713</v>
      </c>
      <c r="B2812" t="s">
        <v>10713</v>
      </c>
      <c r="C2812" t="s">
        <v>10714</v>
      </c>
      <c r="D2812" t="s">
        <v>3242</v>
      </c>
      <c r="E2812" t="s">
        <v>16519</v>
      </c>
      <c r="F2812" t="s">
        <v>3306</v>
      </c>
      <c r="G2812" t="s">
        <v>10715</v>
      </c>
      <c r="H2812" t="s">
        <v>3421</v>
      </c>
      <c r="I2812" t="s">
        <v>3254</v>
      </c>
    </row>
    <row r="2813" spans="1:9" x14ac:dyDescent="0.25">
      <c r="A2813" t="s">
        <v>17404</v>
      </c>
      <c r="B2813" t="s">
        <v>17404</v>
      </c>
      <c r="C2813" t="s">
        <v>17405</v>
      </c>
      <c r="D2813" t="s">
        <v>3242</v>
      </c>
      <c r="E2813" t="s">
        <v>15851</v>
      </c>
      <c r="F2813" t="s">
        <v>3288</v>
      </c>
      <c r="G2813" t="s">
        <v>3060</v>
      </c>
      <c r="H2813" t="s">
        <v>3285</v>
      </c>
    </row>
    <row r="2814" spans="1:9" x14ac:dyDescent="0.25">
      <c r="A2814" t="s">
        <v>10716</v>
      </c>
      <c r="B2814" t="s">
        <v>10716</v>
      </c>
      <c r="C2814" t="s">
        <v>10717</v>
      </c>
      <c r="D2814" t="s">
        <v>3242</v>
      </c>
      <c r="E2814" t="s">
        <v>15710</v>
      </c>
      <c r="F2814" t="s">
        <v>3345</v>
      </c>
      <c r="G2814" t="s">
        <v>10536</v>
      </c>
      <c r="H2814" t="s">
        <v>3915</v>
      </c>
    </row>
    <row r="2815" spans="1:9" x14ac:dyDescent="0.25">
      <c r="A2815" t="s">
        <v>10718</v>
      </c>
      <c r="B2815" t="s">
        <v>10718</v>
      </c>
      <c r="C2815" t="s">
        <v>10719</v>
      </c>
      <c r="D2815" t="s">
        <v>3242</v>
      </c>
      <c r="E2815" t="s">
        <v>15710</v>
      </c>
      <c r="F2815" t="s">
        <v>3300</v>
      </c>
      <c r="G2815" t="s">
        <v>10720</v>
      </c>
      <c r="H2815" t="s">
        <v>3332</v>
      </c>
    </row>
    <row r="2816" spans="1:9" x14ac:dyDescent="0.25">
      <c r="A2816" t="s">
        <v>10721</v>
      </c>
      <c r="B2816" t="s">
        <v>10721</v>
      </c>
      <c r="C2816" t="s">
        <v>10722</v>
      </c>
      <c r="D2816" t="s">
        <v>3242</v>
      </c>
      <c r="E2816" t="s">
        <v>15710</v>
      </c>
      <c r="F2816" t="s">
        <v>3243</v>
      </c>
      <c r="G2816" t="s">
        <v>10723</v>
      </c>
      <c r="H2816" t="s">
        <v>3290</v>
      </c>
    </row>
    <row r="2817" spans="1:9" x14ac:dyDescent="0.25">
      <c r="A2817" t="s">
        <v>10724</v>
      </c>
      <c r="B2817" t="s">
        <v>10724</v>
      </c>
      <c r="C2817" t="s">
        <v>10725</v>
      </c>
      <c r="D2817" t="s">
        <v>3242</v>
      </c>
      <c r="E2817" t="s">
        <v>15710</v>
      </c>
      <c r="F2817" t="s">
        <v>3243</v>
      </c>
      <c r="G2817" t="s">
        <v>10726</v>
      </c>
      <c r="H2817" t="s">
        <v>3290</v>
      </c>
    </row>
    <row r="2818" spans="1:9" x14ac:dyDescent="0.25">
      <c r="A2818" t="s">
        <v>10727</v>
      </c>
      <c r="B2818" t="s">
        <v>10727</v>
      </c>
      <c r="C2818" t="s">
        <v>10728</v>
      </c>
      <c r="D2818" t="s">
        <v>3242</v>
      </c>
      <c r="E2818" t="s">
        <v>15710</v>
      </c>
      <c r="F2818" t="s">
        <v>3243</v>
      </c>
      <c r="G2818" t="s">
        <v>3060</v>
      </c>
      <c r="H2818" t="s">
        <v>3285</v>
      </c>
    </row>
    <row r="2819" spans="1:9" x14ac:dyDescent="0.25">
      <c r="A2819" t="s">
        <v>10729</v>
      </c>
      <c r="B2819" t="s">
        <v>10729</v>
      </c>
      <c r="C2819" t="s">
        <v>10730</v>
      </c>
      <c r="D2819" t="s">
        <v>3242</v>
      </c>
      <c r="E2819" t="s">
        <v>15710</v>
      </c>
      <c r="F2819" t="s">
        <v>3251</v>
      </c>
      <c r="G2819" t="s">
        <v>10731</v>
      </c>
      <c r="H2819" t="s">
        <v>3749</v>
      </c>
      <c r="I2819" t="s">
        <v>3451</v>
      </c>
    </row>
    <row r="2820" spans="1:9" x14ac:dyDescent="0.25">
      <c r="A2820" t="s">
        <v>10732</v>
      </c>
      <c r="B2820" t="s">
        <v>10732</v>
      </c>
      <c r="C2820" t="s">
        <v>10733</v>
      </c>
      <c r="D2820" t="s">
        <v>3242</v>
      </c>
      <c r="E2820" t="s">
        <v>15710</v>
      </c>
      <c r="F2820" t="s">
        <v>3243</v>
      </c>
      <c r="G2820" t="s">
        <v>3943</v>
      </c>
      <c r="H2820" t="s">
        <v>3290</v>
      </c>
    </row>
    <row r="2821" spans="1:9" x14ac:dyDescent="0.25">
      <c r="A2821" t="s">
        <v>17063</v>
      </c>
      <c r="B2821" t="s">
        <v>17063</v>
      </c>
      <c r="C2821" t="s">
        <v>17064</v>
      </c>
      <c r="D2821" t="s">
        <v>3242</v>
      </c>
      <c r="E2821" t="s">
        <v>15710</v>
      </c>
      <c r="F2821" t="s">
        <v>3243</v>
      </c>
      <c r="G2821" t="s">
        <v>3346</v>
      </c>
      <c r="H2821" t="s">
        <v>4697</v>
      </c>
    </row>
    <row r="2822" spans="1:9" x14ac:dyDescent="0.25">
      <c r="A2822" t="s">
        <v>10734</v>
      </c>
      <c r="B2822" t="s">
        <v>10734</v>
      </c>
      <c r="C2822" t="s">
        <v>10735</v>
      </c>
      <c r="D2822" t="s">
        <v>3242</v>
      </c>
      <c r="E2822" t="s">
        <v>15710</v>
      </c>
      <c r="F2822" t="s">
        <v>3243</v>
      </c>
      <c r="G2822" t="s">
        <v>10736</v>
      </c>
      <c r="H2822" t="s">
        <v>3311</v>
      </c>
    </row>
    <row r="2823" spans="1:9" x14ac:dyDescent="0.25">
      <c r="A2823" t="s">
        <v>10737</v>
      </c>
      <c r="B2823" t="s">
        <v>10737</v>
      </c>
      <c r="C2823" t="s">
        <v>10738</v>
      </c>
      <c r="D2823" t="s">
        <v>3242</v>
      </c>
      <c r="E2823" t="s">
        <v>15710</v>
      </c>
      <c r="F2823" t="s">
        <v>3257</v>
      </c>
      <c r="G2823" t="s">
        <v>10739</v>
      </c>
      <c r="H2823" t="s">
        <v>3365</v>
      </c>
    </row>
    <row r="2824" spans="1:9" x14ac:dyDescent="0.25">
      <c r="A2824" t="s">
        <v>16520</v>
      </c>
      <c r="B2824" t="s">
        <v>16520</v>
      </c>
      <c r="C2824" t="s">
        <v>16521</v>
      </c>
      <c r="D2824" t="s">
        <v>3242</v>
      </c>
      <c r="E2824" t="s">
        <v>16792</v>
      </c>
      <c r="F2824" t="s">
        <v>3243</v>
      </c>
      <c r="G2824" t="s">
        <v>16522</v>
      </c>
      <c r="H2824" t="s">
        <v>6094</v>
      </c>
    </row>
    <row r="2825" spans="1:9" x14ac:dyDescent="0.25">
      <c r="A2825" t="s">
        <v>10740</v>
      </c>
      <c r="B2825" t="s">
        <v>10740</v>
      </c>
      <c r="C2825" t="s">
        <v>10741</v>
      </c>
      <c r="D2825" t="s">
        <v>3242</v>
      </c>
      <c r="E2825" t="s">
        <v>15710</v>
      </c>
      <c r="F2825" t="s">
        <v>3257</v>
      </c>
      <c r="G2825" t="s">
        <v>10742</v>
      </c>
      <c r="H2825" t="s">
        <v>5013</v>
      </c>
    </row>
    <row r="2826" spans="1:9" x14ac:dyDescent="0.25">
      <c r="A2826" t="s">
        <v>10743</v>
      </c>
      <c r="B2826" t="s">
        <v>10743</v>
      </c>
      <c r="C2826" t="s">
        <v>10744</v>
      </c>
      <c r="D2826" t="s">
        <v>3242</v>
      </c>
      <c r="E2826" t="s">
        <v>15710</v>
      </c>
      <c r="F2826" t="s">
        <v>3257</v>
      </c>
      <c r="G2826" t="s">
        <v>10745</v>
      </c>
      <c r="H2826" t="s">
        <v>4919</v>
      </c>
    </row>
    <row r="2827" spans="1:9" x14ac:dyDescent="0.25">
      <c r="A2827" t="s">
        <v>15370</v>
      </c>
      <c r="B2827" t="s">
        <v>15370</v>
      </c>
      <c r="C2827" t="s">
        <v>15371</v>
      </c>
      <c r="D2827" t="s">
        <v>3242</v>
      </c>
      <c r="E2827" t="s">
        <v>15710</v>
      </c>
      <c r="F2827" t="s">
        <v>3243</v>
      </c>
      <c r="G2827" t="s">
        <v>15372</v>
      </c>
      <c r="H2827" t="s">
        <v>3402</v>
      </c>
    </row>
    <row r="2828" spans="1:9" x14ac:dyDescent="0.25">
      <c r="A2828" t="s">
        <v>10746</v>
      </c>
      <c r="B2828" t="s">
        <v>10746</v>
      </c>
      <c r="C2828" t="s">
        <v>10747</v>
      </c>
      <c r="D2828" t="s">
        <v>3242</v>
      </c>
      <c r="E2828" t="s">
        <v>15710</v>
      </c>
      <c r="F2828" t="s">
        <v>3243</v>
      </c>
      <c r="G2828" t="s">
        <v>10748</v>
      </c>
      <c r="H2828" t="s">
        <v>3402</v>
      </c>
    </row>
    <row r="2829" spans="1:9" x14ac:dyDescent="0.25">
      <c r="A2829" t="s">
        <v>10749</v>
      </c>
      <c r="B2829" t="s">
        <v>10749</v>
      </c>
      <c r="C2829" t="s">
        <v>10750</v>
      </c>
      <c r="D2829" t="s">
        <v>3242</v>
      </c>
      <c r="E2829" t="s">
        <v>15710</v>
      </c>
      <c r="F2829" t="s">
        <v>3345</v>
      </c>
      <c r="G2829" t="s">
        <v>10751</v>
      </c>
      <c r="H2829" t="s">
        <v>3680</v>
      </c>
    </row>
    <row r="2830" spans="1:9" x14ac:dyDescent="0.25">
      <c r="A2830" t="s">
        <v>10752</v>
      </c>
      <c r="B2830" t="s">
        <v>10752</v>
      </c>
      <c r="C2830" t="s">
        <v>10753</v>
      </c>
      <c r="D2830" t="s">
        <v>3242</v>
      </c>
      <c r="E2830" t="s">
        <v>15710</v>
      </c>
      <c r="F2830" t="s">
        <v>3243</v>
      </c>
      <c r="G2830" t="s">
        <v>10754</v>
      </c>
      <c r="H2830" t="s">
        <v>3496</v>
      </c>
      <c r="I2830" t="s">
        <v>3432</v>
      </c>
    </row>
    <row r="2831" spans="1:9" x14ac:dyDescent="0.25">
      <c r="A2831" t="s">
        <v>10755</v>
      </c>
      <c r="B2831" t="s">
        <v>10755</v>
      </c>
      <c r="C2831" t="s">
        <v>10756</v>
      </c>
      <c r="D2831" t="s">
        <v>3242</v>
      </c>
      <c r="E2831" t="s">
        <v>15710</v>
      </c>
      <c r="F2831" t="s">
        <v>3243</v>
      </c>
      <c r="G2831" t="s">
        <v>10757</v>
      </c>
      <c r="H2831" t="s">
        <v>10758</v>
      </c>
    </row>
    <row r="2832" spans="1:9" x14ac:dyDescent="0.25">
      <c r="A2832" t="s">
        <v>10759</v>
      </c>
      <c r="B2832" t="s">
        <v>10759</v>
      </c>
      <c r="C2832" t="s">
        <v>10760</v>
      </c>
      <c r="D2832" t="s">
        <v>3242</v>
      </c>
      <c r="E2832" t="s">
        <v>15710</v>
      </c>
      <c r="F2832" t="s">
        <v>3288</v>
      </c>
      <c r="G2832" t="s">
        <v>10761</v>
      </c>
      <c r="H2832" t="s">
        <v>3060</v>
      </c>
    </row>
    <row r="2833" spans="1:9" x14ac:dyDescent="0.25">
      <c r="A2833" t="s">
        <v>10762</v>
      </c>
      <c r="B2833" t="s">
        <v>10762</v>
      </c>
      <c r="C2833" t="s">
        <v>10763</v>
      </c>
      <c r="D2833" t="s">
        <v>3242</v>
      </c>
      <c r="E2833" t="s">
        <v>15710</v>
      </c>
      <c r="F2833" t="s">
        <v>3243</v>
      </c>
      <c r="G2833" t="s">
        <v>3243</v>
      </c>
      <c r="H2833" t="s">
        <v>3290</v>
      </c>
    </row>
    <row r="2834" spans="1:9" x14ac:dyDescent="0.25">
      <c r="A2834" t="s">
        <v>10764</v>
      </c>
      <c r="B2834" t="s">
        <v>10764</v>
      </c>
      <c r="C2834" t="s">
        <v>10765</v>
      </c>
      <c r="D2834" t="s">
        <v>3242</v>
      </c>
      <c r="E2834" t="s">
        <v>15710</v>
      </c>
      <c r="F2834" t="s">
        <v>3251</v>
      </c>
      <c r="G2834" t="s">
        <v>15373</v>
      </c>
      <c r="H2834" t="s">
        <v>3565</v>
      </c>
      <c r="I2834" t="s">
        <v>3451</v>
      </c>
    </row>
    <row r="2835" spans="1:9" x14ac:dyDescent="0.25">
      <c r="A2835" t="s">
        <v>10766</v>
      </c>
      <c r="B2835" t="s">
        <v>10766</v>
      </c>
      <c r="C2835" t="s">
        <v>10767</v>
      </c>
      <c r="D2835" t="s">
        <v>3242</v>
      </c>
      <c r="E2835" t="s">
        <v>15710</v>
      </c>
      <c r="F2835" t="s">
        <v>3306</v>
      </c>
      <c r="G2835" t="s">
        <v>10768</v>
      </c>
      <c r="H2835" t="s">
        <v>3318</v>
      </c>
      <c r="I2835" t="s">
        <v>3294</v>
      </c>
    </row>
    <row r="2836" spans="1:9" x14ac:dyDescent="0.25">
      <c r="A2836" t="s">
        <v>10769</v>
      </c>
      <c r="B2836" t="s">
        <v>10769</v>
      </c>
      <c r="C2836" t="s">
        <v>10770</v>
      </c>
      <c r="D2836" t="s">
        <v>3242</v>
      </c>
      <c r="E2836" t="s">
        <v>15710</v>
      </c>
      <c r="F2836" t="s">
        <v>3243</v>
      </c>
      <c r="G2836" t="s">
        <v>10771</v>
      </c>
      <c r="H2836" t="s">
        <v>3402</v>
      </c>
    </row>
    <row r="2837" spans="1:9" x14ac:dyDescent="0.25">
      <c r="A2837" t="s">
        <v>10772</v>
      </c>
      <c r="B2837" t="s">
        <v>10772</v>
      </c>
      <c r="C2837" t="s">
        <v>10773</v>
      </c>
      <c r="D2837" t="s">
        <v>3242</v>
      </c>
      <c r="E2837" t="s">
        <v>15710</v>
      </c>
      <c r="F2837" t="s">
        <v>3243</v>
      </c>
      <c r="G2837" t="s">
        <v>10774</v>
      </c>
      <c r="H2837" t="s">
        <v>3285</v>
      </c>
    </row>
    <row r="2838" spans="1:9" x14ac:dyDescent="0.25">
      <c r="A2838" t="s">
        <v>10775</v>
      </c>
      <c r="B2838" t="s">
        <v>10775</v>
      </c>
      <c r="C2838" t="s">
        <v>10776</v>
      </c>
      <c r="D2838" t="s">
        <v>3242</v>
      </c>
      <c r="E2838" t="s">
        <v>15710</v>
      </c>
      <c r="F2838" t="s">
        <v>3243</v>
      </c>
      <c r="G2838" t="s">
        <v>10777</v>
      </c>
      <c r="H2838" t="s">
        <v>3402</v>
      </c>
    </row>
    <row r="2839" spans="1:9" x14ac:dyDescent="0.25">
      <c r="A2839" t="s">
        <v>10778</v>
      </c>
      <c r="B2839" t="s">
        <v>10778</v>
      </c>
      <c r="C2839" t="s">
        <v>10779</v>
      </c>
      <c r="D2839" t="s">
        <v>3242</v>
      </c>
      <c r="E2839" t="s">
        <v>17099</v>
      </c>
      <c r="F2839" t="s">
        <v>3257</v>
      </c>
      <c r="G2839" t="s">
        <v>10780</v>
      </c>
      <c r="H2839" t="s">
        <v>4856</v>
      </c>
      <c r="I2839" t="s">
        <v>3407</v>
      </c>
    </row>
    <row r="2840" spans="1:9" x14ac:dyDescent="0.25">
      <c r="A2840" t="s">
        <v>10781</v>
      </c>
      <c r="B2840" t="s">
        <v>10781</v>
      </c>
      <c r="C2840" t="s">
        <v>10782</v>
      </c>
      <c r="D2840" t="s">
        <v>3242</v>
      </c>
      <c r="E2840" t="s">
        <v>15710</v>
      </c>
      <c r="F2840" t="s">
        <v>3243</v>
      </c>
      <c r="G2840" t="s">
        <v>10783</v>
      </c>
      <c r="H2840" t="s">
        <v>3402</v>
      </c>
    </row>
    <row r="2841" spans="1:9" x14ac:dyDescent="0.25">
      <c r="A2841" t="s">
        <v>10784</v>
      </c>
      <c r="B2841" t="s">
        <v>10784</v>
      </c>
      <c r="C2841" t="s">
        <v>10785</v>
      </c>
      <c r="D2841" t="s">
        <v>3242</v>
      </c>
      <c r="E2841" t="s">
        <v>15710</v>
      </c>
      <c r="F2841" t="s">
        <v>3243</v>
      </c>
      <c r="G2841" t="s">
        <v>10786</v>
      </c>
      <c r="H2841" t="s">
        <v>3402</v>
      </c>
    </row>
    <row r="2842" spans="1:9" x14ac:dyDescent="0.25">
      <c r="A2842" t="s">
        <v>10787</v>
      </c>
      <c r="B2842" t="s">
        <v>10787</v>
      </c>
      <c r="C2842" t="s">
        <v>10788</v>
      </c>
      <c r="D2842" t="s">
        <v>3242</v>
      </c>
      <c r="E2842" t="s">
        <v>15710</v>
      </c>
      <c r="F2842" t="s">
        <v>3243</v>
      </c>
      <c r="G2842" t="s">
        <v>10789</v>
      </c>
      <c r="H2842" t="s">
        <v>4284</v>
      </c>
    </row>
    <row r="2843" spans="1:9" x14ac:dyDescent="0.25">
      <c r="A2843" t="s">
        <v>10790</v>
      </c>
      <c r="B2843" t="s">
        <v>10790</v>
      </c>
      <c r="C2843" t="s">
        <v>10791</v>
      </c>
      <c r="D2843" t="s">
        <v>3242</v>
      </c>
      <c r="E2843" t="s">
        <v>15749</v>
      </c>
      <c r="F2843" t="s">
        <v>3683</v>
      </c>
      <c r="G2843" t="s">
        <v>3484</v>
      </c>
      <c r="H2843" t="s">
        <v>3726</v>
      </c>
      <c r="I2843" t="s">
        <v>3328</v>
      </c>
    </row>
    <row r="2844" spans="1:9" x14ac:dyDescent="0.25">
      <c r="A2844" t="s">
        <v>10792</v>
      </c>
      <c r="B2844" t="s">
        <v>10792</v>
      </c>
      <c r="C2844" t="s">
        <v>10793</v>
      </c>
      <c r="D2844" t="s">
        <v>3242</v>
      </c>
      <c r="E2844" t="s">
        <v>15710</v>
      </c>
      <c r="F2844" t="s">
        <v>3257</v>
      </c>
      <c r="G2844" t="s">
        <v>10794</v>
      </c>
      <c r="H2844" t="s">
        <v>3267</v>
      </c>
    </row>
    <row r="2845" spans="1:9" x14ac:dyDescent="0.25">
      <c r="A2845" t="s">
        <v>10795</v>
      </c>
      <c r="B2845" t="s">
        <v>10795</v>
      </c>
      <c r="C2845" t="s">
        <v>10796</v>
      </c>
      <c r="D2845" t="s">
        <v>3242</v>
      </c>
      <c r="E2845" t="s">
        <v>15710</v>
      </c>
      <c r="F2845" t="s">
        <v>3826</v>
      </c>
      <c r="G2845" t="s">
        <v>10797</v>
      </c>
      <c r="H2845" t="s">
        <v>3290</v>
      </c>
    </row>
    <row r="2846" spans="1:9" x14ac:dyDescent="0.25">
      <c r="A2846" t="s">
        <v>10798</v>
      </c>
      <c r="B2846" t="s">
        <v>10798</v>
      </c>
      <c r="C2846" t="s">
        <v>10799</v>
      </c>
      <c r="D2846" t="s">
        <v>3242</v>
      </c>
      <c r="E2846" t="s">
        <v>15710</v>
      </c>
      <c r="F2846" t="s">
        <v>3288</v>
      </c>
      <c r="G2846" t="s">
        <v>3060</v>
      </c>
      <c r="H2846" t="s">
        <v>3285</v>
      </c>
    </row>
    <row r="2847" spans="1:9" x14ac:dyDescent="0.25">
      <c r="A2847" t="s">
        <v>10800</v>
      </c>
      <c r="B2847" t="s">
        <v>10800</v>
      </c>
      <c r="C2847" t="s">
        <v>10801</v>
      </c>
      <c r="D2847" t="s">
        <v>3242</v>
      </c>
      <c r="E2847" t="s">
        <v>15710</v>
      </c>
      <c r="F2847" t="s">
        <v>3283</v>
      </c>
      <c r="G2847" t="s">
        <v>3346</v>
      </c>
      <c r="H2847" t="s">
        <v>3623</v>
      </c>
    </row>
    <row r="2848" spans="1:9" x14ac:dyDescent="0.25">
      <c r="A2848" t="s">
        <v>15374</v>
      </c>
      <c r="B2848" t="s">
        <v>15374</v>
      </c>
      <c r="C2848" t="s">
        <v>15375</v>
      </c>
      <c r="D2848" t="s">
        <v>3242</v>
      </c>
      <c r="E2848" t="s">
        <v>15710</v>
      </c>
      <c r="F2848" t="s">
        <v>15376</v>
      </c>
      <c r="G2848" t="s">
        <v>3262</v>
      </c>
      <c r="H2848" t="s">
        <v>3262</v>
      </c>
      <c r="I2848" t="s">
        <v>3432</v>
      </c>
    </row>
    <row r="2849" spans="1:9" x14ac:dyDescent="0.25">
      <c r="A2849" t="s">
        <v>10802</v>
      </c>
      <c r="B2849" t="s">
        <v>10802</v>
      </c>
      <c r="C2849" t="s">
        <v>10803</v>
      </c>
      <c r="D2849" t="s">
        <v>3242</v>
      </c>
      <c r="E2849" t="s">
        <v>15710</v>
      </c>
      <c r="F2849" t="s">
        <v>3257</v>
      </c>
      <c r="G2849" t="s">
        <v>10804</v>
      </c>
      <c r="H2849" t="s">
        <v>5722</v>
      </c>
      <c r="I2849" t="s">
        <v>3366</v>
      </c>
    </row>
    <row r="2850" spans="1:9" x14ac:dyDescent="0.25">
      <c r="A2850" t="s">
        <v>10805</v>
      </c>
      <c r="B2850" t="s">
        <v>10805</v>
      </c>
      <c r="C2850" t="s">
        <v>10806</v>
      </c>
      <c r="D2850" t="s">
        <v>3242</v>
      </c>
      <c r="E2850" t="s">
        <v>15881</v>
      </c>
      <c r="F2850" t="s">
        <v>10807</v>
      </c>
      <c r="G2850" t="s">
        <v>10808</v>
      </c>
      <c r="H2850" t="s">
        <v>3623</v>
      </c>
      <c r="I2850" t="s">
        <v>3694</v>
      </c>
    </row>
    <row r="2851" spans="1:9" x14ac:dyDescent="0.25">
      <c r="A2851" t="s">
        <v>15377</v>
      </c>
      <c r="B2851" t="s">
        <v>15377</v>
      </c>
      <c r="C2851" t="s">
        <v>15378</v>
      </c>
      <c r="D2851" t="s">
        <v>3242</v>
      </c>
      <c r="E2851" t="s">
        <v>15710</v>
      </c>
      <c r="F2851" t="s">
        <v>3243</v>
      </c>
      <c r="G2851" t="s">
        <v>15379</v>
      </c>
      <c r="H2851" t="s">
        <v>3285</v>
      </c>
    </row>
    <row r="2852" spans="1:9" x14ac:dyDescent="0.25">
      <c r="A2852" t="s">
        <v>14151</v>
      </c>
      <c r="B2852" t="s">
        <v>14151</v>
      </c>
      <c r="C2852" t="s">
        <v>16310</v>
      </c>
      <c r="D2852" t="s">
        <v>3242</v>
      </c>
      <c r="E2852" t="s">
        <v>15710</v>
      </c>
      <c r="F2852" t="s">
        <v>3372</v>
      </c>
      <c r="G2852" t="s">
        <v>14153</v>
      </c>
      <c r="H2852" t="s">
        <v>3484</v>
      </c>
      <c r="I2852" t="s">
        <v>14986</v>
      </c>
    </row>
    <row r="2853" spans="1:9" x14ac:dyDescent="0.25">
      <c r="A2853" t="s">
        <v>10809</v>
      </c>
      <c r="B2853" t="s">
        <v>10809</v>
      </c>
      <c r="C2853" t="s">
        <v>10810</v>
      </c>
      <c r="D2853" t="s">
        <v>3242</v>
      </c>
      <c r="E2853" t="s">
        <v>15710</v>
      </c>
      <c r="F2853" t="s">
        <v>3288</v>
      </c>
      <c r="G2853" t="s">
        <v>3060</v>
      </c>
      <c r="H2853" t="s">
        <v>3060</v>
      </c>
    </row>
    <row r="2854" spans="1:9" x14ac:dyDescent="0.25">
      <c r="A2854" t="s">
        <v>10811</v>
      </c>
      <c r="B2854" t="s">
        <v>10811</v>
      </c>
      <c r="C2854" t="s">
        <v>10812</v>
      </c>
      <c r="D2854" t="s">
        <v>3242</v>
      </c>
      <c r="E2854" t="s">
        <v>15710</v>
      </c>
      <c r="F2854" t="s">
        <v>15967</v>
      </c>
      <c r="G2854" t="s">
        <v>10813</v>
      </c>
      <c r="H2854" t="s">
        <v>3290</v>
      </c>
    </row>
    <row r="2855" spans="1:9" x14ac:dyDescent="0.25">
      <c r="A2855" t="s">
        <v>10814</v>
      </c>
      <c r="B2855" t="s">
        <v>10814</v>
      </c>
      <c r="C2855" t="s">
        <v>10815</v>
      </c>
      <c r="D2855" t="s">
        <v>3242</v>
      </c>
      <c r="E2855" t="s">
        <v>15710</v>
      </c>
      <c r="F2855" t="s">
        <v>3345</v>
      </c>
      <c r="G2855" t="s">
        <v>10816</v>
      </c>
      <c r="H2855" t="s">
        <v>3285</v>
      </c>
    </row>
    <row r="2856" spans="1:9" x14ac:dyDescent="0.25">
      <c r="A2856" t="s">
        <v>10817</v>
      </c>
      <c r="B2856" t="s">
        <v>10817</v>
      </c>
      <c r="C2856" t="s">
        <v>10818</v>
      </c>
      <c r="D2856" t="s">
        <v>3242</v>
      </c>
      <c r="E2856" t="s">
        <v>16321</v>
      </c>
      <c r="F2856" t="s">
        <v>3257</v>
      </c>
      <c r="G2856" t="s">
        <v>10819</v>
      </c>
      <c r="H2856" t="s">
        <v>4045</v>
      </c>
    </row>
    <row r="2857" spans="1:9" x14ac:dyDescent="0.25">
      <c r="A2857" t="s">
        <v>15380</v>
      </c>
      <c r="B2857" t="s">
        <v>15380</v>
      </c>
      <c r="C2857" t="s">
        <v>15381</v>
      </c>
      <c r="D2857" t="s">
        <v>3242</v>
      </c>
      <c r="E2857" t="s">
        <v>15710</v>
      </c>
      <c r="F2857" t="s">
        <v>3243</v>
      </c>
      <c r="G2857" t="s">
        <v>15382</v>
      </c>
      <c r="H2857" t="s">
        <v>3285</v>
      </c>
    </row>
    <row r="2858" spans="1:9" x14ac:dyDescent="0.25">
      <c r="A2858" t="s">
        <v>10820</v>
      </c>
      <c r="B2858" t="s">
        <v>10820</v>
      </c>
      <c r="C2858" t="s">
        <v>10821</v>
      </c>
      <c r="D2858" t="s">
        <v>3242</v>
      </c>
      <c r="E2858" t="s">
        <v>15710</v>
      </c>
      <c r="F2858" t="s">
        <v>3288</v>
      </c>
      <c r="G2858" t="s">
        <v>10822</v>
      </c>
      <c r="H2858" t="s">
        <v>3463</v>
      </c>
    </row>
    <row r="2859" spans="1:9" x14ac:dyDescent="0.25">
      <c r="A2859" t="s">
        <v>10823</v>
      </c>
      <c r="B2859" t="s">
        <v>10823</v>
      </c>
      <c r="C2859" t="s">
        <v>10824</v>
      </c>
      <c r="D2859" t="s">
        <v>3242</v>
      </c>
      <c r="E2859" t="s">
        <v>15710</v>
      </c>
      <c r="F2859" t="s">
        <v>3288</v>
      </c>
      <c r="G2859" t="s">
        <v>4734</v>
      </c>
      <c r="H2859" t="s">
        <v>4715</v>
      </c>
    </row>
    <row r="2860" spans="1:9" x14ac:dyDescent="0.25">
      <c r="A2860" t="s">
        <v>10825</v>
      </c>
      <c r="B2860" t="s">
        <v>10825</v>
      </c>
      <c r="C2860" t="s">
        <v>10826</v>
      </c>
      <c r="D2860" t="s">
        <v>3242</v>
      </c>
      <c r="E2860" t="s">
        <v>15710</v>
      </c>
      <c r="F2860" t="s">
        <v>3288</v>
      </c>
      <c r="G2860" t="s">
        <v>4251</v>
      </c>
      <c r="H2860" t="s">
        <v>4344</v>
      </c>
    </row>
    <row r="2861" spans="1:9" x14ac:dyDescent="0.25">
      <c r="A2861" t="s">
        <v>10827</v>
      </c>
      <c r="B2861" t="s">
        <v>10827</v>
      </c>
      <c r="C2861" t="s">
        <v>10828</v>
      </c>
      <c r="D2861" t="s">
        <v>3242</v>
      </c>
      <c r="E2861" t="s">
        <v>15710</v>
      </c>
      <c r="F2861" t="s">
        <v>3243</v>
      </c>
      <c r="G2861" t="s">
        <v>10829</v>
      </c>
      <c r="H2861" t="s">
        <v>3402</v>
      </c>
    </row>
    <row r="2862" spans="1:9" x14ac:dyDescent="0.25">
      <c r="A2862" t="s">
        <v>10830</v>
      </c>
      <c r="B2862" t="s">
        <v>10830</v>
      </c>
      <c r="C2862" t="s">
        <v>10831</v>
      </c>
      <c r="D2862" t="s">
        <v>3242</v>
      </c>
      <c r="E2862" t="s">
        <v>15710</v>
      </c>
      <c r="F2862" t="s">
        <v>3251</v>
      </c>
      <c r="G2862" t="s">
        <v>10832</v>
      </c>
      <c r="H2862" t="s">
        <v>3060</v>
      </c>
      <c r="I2862" t="s">
        <v>4605</v>
      </c>
    </row>
    <row r="2863" spans="1:9" x14ac:dyDescent="0.25">
      <c r="A2863" t="s">
        <v>10833</v>
      </c>
      <c r="B2863" t="s">
        <v>10833</v>
      </c>
      <c r="C2863" t="s">
        <v>10834</v>
      </c>
      <c r="D2863" t="s">
        <v>3242</v>
      </c>
      <c r="E2863" t="s">
        <v>15710</v>
      </c>
      <c r="F2863" t="s">
        <v>3288</v>
      </c>
      <c r="G2863" t="s">
        <v>10835</v>
      </c>
      <c r="H2863" t="s">
        <v>3060</v>
      </c>
    </row>
    <row r="2864" spans="1:9" x14ac:dyDescent="0.25">
      <c r="A2864" t="s">
        <v>10836</v>
      </c>
      <c r="B2864" t="s">
        <v>10836</v>
      </c>
      <c r="C2864" t="s">
        <v>10837</v>
      </c>
      <c r="D2864" t="s">
        <v>3242</v>
      </c>
      <c r="E2864" t="s">
        <v>15968</v>
      </c>
      <c r="F2864" t="s">
        <v>3257</v>
      </c>
      <c r="G2864" t="s">
        <v>10838</v>
      </c>
      <c r="H2864" t="s">
        <v>6171</v>
      </c>
      <c r="I2864" t="s">
        <v>3324</v>
      </c>
    </row>
    <row r="2865" spans="1:9" x14ac:dyDescent="0.25">
      <c r="A2865" t="s">
        <v>10839</v>
      </c>
      <c r="B2865" t="s">
        <v>10839</v>
      </c>
      <c r="C2865" t="s">
        <v>10840</v>
      </c>
      <c r="D2865" t="s">
        <v>3242</v>
      </c>
      <c r="E2865" t="s">
        <v>15710</v>
      </c>
      <c r="F2865" t="s">
        <v>15969</v>
      </c>
      <c r="G2865" t="s">
        <v>10841</v>
      </c>
      <c r="H2865" t="s">
        <v>3402</v>
      </c>
    </row>
    <row r="2866" spans="1:9" x14ac:dyDescent="0.25">
      <c r="A2866" t="s">
        <v>10842</v>
      </c>
      <c r="B2866" t="s">
        <v>10842</v>
      </c>
      <c r="C2866" t="s">
        <v>10843</v>
      </c>
      <c r="D2866" t="s">
        <v>3242</v>
      </c>
      <c r="E2866" t="s">
        <v>15710</v>
      </c>
      <c r="F2866" t="s">
        <v>3345</v>
      </c>
      <c r="G2866" t="s">
        <v>10844</v>
      </c>
      <c r="H2866" t="s">
        <v>4715</v>
      </c>
    </row>
    <row r="2867" spans="1:9" x14ac:dyDescent="0.25">
      <c r="A2867" t="s">
        <v>10845</v>
      </c>
      <c r="B2867" t="s">
        <v>10845</v>
      </c>
      <c r="C2867" t="s">
        <v>10846</v>
      </c>
      <c r="D2867" t="s">
        <v>3321</v>
      </c>
      <c r="E2867" t="s">
        <v>15710</v>
      </c>
      <c r="F2867" t="s">
        <v>3257</v>
      </c>
      <c r="G2867" t="s">
        <v>10847</v>
      </c>
      <c r="H2867" t="s">
        <v>4871</v>
      </c>
      <c r="I2867" t="s">
        <v>3268</v>
      </c>
    </row>
    <row r="2868" spans="1:9" x14ac:dyDescent="0.25">
      <c r="A2868" t="s">
        <v>10848</v>
      </c>
      <c r="B2868" t="s">
        <v>10848</v>
      </c>
      <c r="C2868" t="s">
        <v>10849</v>
      </c>
      <c r="D2868" t="s">
        <v>3242</v>
      </c>
      <c r="E2868" t="s">
        <v>15710</v>
      </c>
      <c r="F2868" t="s">
        <v>3257</v>
      </c>
      <c r="G2868" t="s">
        <v>10850</v>
      </c>
      <c r="H2868" t="s">
        <v>5151</v>
      </c>
    </row>
    <row r="2869" spans="1:9" x14ac:dyDescent="0.25">
      <c r="A2869" t="s">
        <v>15383</v>
      </c>
      <c r="B2869" t="s">
        <v>15383</v>
      </c>
      <c r="C2869" t="s">
        <v>15384</v>
      </c>
      <c r="D2869" t="s">
        <v>3242</v>
      </c>
      <c r="E2869" t="s">
        <v>15710</v>
      </c>
      <c r="F2869" t="s">
        <v>15385</v>
      </c>
      <c r="G2869" t="s">
        <v>15386</v>
      </c>
      <c r="H2869" t="s">
        <v>3290</v>
      </c>
      <c r="I2869" t="s">
        <v>14850</v>
      </c>
    </row>
    <row r="2870" spans="1:9" x14ac:dyDescent="0.25">
      <c r="A2870" t="s">
        <v>10851</v>
      </c>
      <c r="B2870" t="s">
        <v>10851</v>
      </c>
      <c r="C2870" t="s">
        <v>10852</v>
      </c>
      <c r="D2870" t="s">
        <v>3242</v>
      </c>
      <c r="E2870" t="s">
        <v>15710</v>
      </c>
      <c r="F2870" t="s">
        <v>3243</v>
      </c>
      <c r="G2870" t="s">
        <v>10853</v>
      </c>
      <c r="H2870" t="s">
        <v>4284</v>
      </c>
    </row>
    <row r="2871" spans="1:9" x14ac:dyDescent="0.25">
      <c r="A2871" t="s">
        <v>10854</v>
      </c>
      <c r="B2871" t="s">
        <v>10854</v>
      </c>
      <c r="C2871" t="s">
        <v>10855</v>
      </c>
      <c r="D2871" t="s">
        <v>3242</v>
      </c>
      <c r="E2871" t="s">
        <v>15710</v>
      </c>
      <c r="F2871" t="s">
        <v>3257</v>
      </c>
      <c r="G2871" t="s">
        <v>10856</v>
      </c>
      <c r="H2871" t="s">
        <v>5021</v>
      </c>
    </row>
    <row r="2872" spans="1:9" x14ac:dyDescent="0.25">
      <c r="A2872" t="s">
        <v>10857</v>
      </c>
      <c r="B2872" t="s">
        <v>10857</v>
      </c>
      <c r="C2872" t="s">
        <v>10858</v>
      </c>
      <c r="D2872" t="s">
        <v>3242</v>
      </c>
      <c r="E2872" t="s">
        <v>15710</v>
      </c>
      <c r="F2872" t="s">
        <v>3257</v>
      </c>
      <c r="G2872" t="s">
        <v>10859</v>
      </c>
      <c r="H2872" t="s">
        <v>7057</v>
      </c>
    </row>
    <row r="2873" spans="1:9" x14ac:dyDescent="0.25">
      <c r="A2873" t="s">
        <v>10860</v>
      </c>
      <c r="B2873" t="s">
        <v>10860</v>
      </c>
      <c r="C2873" t="s">
        <v>10861</v>
      </c>
      <c r="D2873" t="s">
        <v>3242</v>
      </c>
      <c r="E2873" t="s">
        <v>15710</v>
      </c>
      <c r="F2873" t="s">
        <v>3288</v>
      </c>
      <c r="G2873" t="s">
        <v>10862</v>
      </c>
      <c r="H2873" t="s">
        <v>3680</v>
      </c>
    </row>
    <row r="2874" spans="1:9" x14ac:dyDescent="0.25">
      <c r="A2874" t="s">
        <v>10863</v>
      </c>
      <c r="B2874" t="s">
        <v>10863</v>
      </c>
      <c r="C2874" t="s">
        <v>10864</v>
      </c>
      <c r="D2874" t="s">
        <v>3242</v>
      </c>
      <c r="E2874" t="s">
        <v>15710</v>
      </c>
      <c r="F2874" t="s">
        <v>15712</v>
      </c>
      <c r="G2874" t="s">
        <v>10865</v>
      </c>
      <c r="H2874" t="s">
        <v>3488</v>
      </c>
    </row>
    <row r="2875" spans="1:9" x14ac:dyDescent="0.25">
      <c r="A2875" t="s">
        <v>16312</v>
      </c>
      <c r="B2875" t="s">
        <v>16312</v>
      </c>
      <c r="C2875" t="s">
        <v>16313</v>
      </c>
      <c r="D2875" t="s">
        <v>3242</v>
      </c>
      <c r="E2875" t="s">
        <v>15710</v>
      </c>
      <c r="F2875" t="s">
        <v>3288</v>
      </c>
      <c r="G2875" t="s">
        <v>16314</v>
      </c>
      <c r="H2875" t="s">
        <v>3285</v>
      </c>
    </row>
    <row r="2876" spans="1:9" x14ac:dyDescent="0.25">
      <c r="A2876" t="s">
        <v>10866</v>
      </c>
      <c r="B2876" t="s">
        <v>10866</v>
      </c>
      <c r="C2876" t="s">
        <v>10867</v>
      </c>
      <c r="D2876" t="s">
        <v>3242</v>
      </c>
      <c r="E2876" t="s">
        <v>15970</v>
      </c>
      <c r="F2876" t="s">
        <v>4102</v>
      </c>
      <c r="G2876" t="s">
        <v>4102</v>
      </c>
      <c r="H2876" t="s">
        <v>3623</v>
      </c>
    </row>
    <row r="2877" spans="1:9" x14ac:dyDescent="0.25">
      <c r="A2877" t="s">
        <v>10868</v>
      </c>
      <c r="B2877" t="s">
        <v>10868</v>
      </c>
      <c r="C2877" t="s">
        <v>10869</v>
      </c>
      <c r="D2877" t="s">
        <v>3242</v>
      </c>
      <c r="E2877" t="s">
        <v>15710</v>
      </c>
      <c r="F2877" t="s">
        <v>3288</v>
      </c>
      <c r="G2877" t="s">
        <v>3060</v>
      </c>
      <c r="H2877" t="s">
        <v>3285</v>
      </c>
    </row>
    <row r="2878" spans="1:9" x14ac:dyDescent="0.25">
      <c r="A2878" t="s">
        <v>10870</v>
      </c>
      <c r="B2878" t="s">
        <v>10870</v>
      </c>
      <c r="C2878" t="s">
        <v>10871</v>
      </c>
      <c r="D2878" t="s">
        <v>3242</v>
      </c>
      <c r="E2878" t="s">
        <v>15710</v>
      </c>
      <c r="F2878" t="s">
        <v>3345</v>
      </c>
      <c r="G2878" t="s">
        <v>10872</v>
      </c>
      <c r="H2878" t="s">
        <v>3060</v>
      </c>
    </row>
    <row r="2879" spans="1:9" x14ac:dyDescent="0.25">
      <c r="A2879" t="s">
        <v>10873</v>
      </c>
      <c r="B2879" t="s">
        <v>10873</v>
      </c>
      <c r="C2879" t="s">
        <v>10874</v>
      </c>
      <c r="D2879" t="s">
        <v>3242</v>
      </c>
      <c r="E2879" t="s">
        <v>15710</v>
      </c>
      <c r="F2879" t="s">
        <v>3345</v>
      </c>
      <c r="G2879" t="s">
        <v>10875</v>
      </c>
      <c r="H2879" t="s">
        <v>3290</v>
      </c>
    </row>
    <row r="2880" spans="1:9" x14ac:dyDescent="0.25">
      <c r="A2880" t="s">
        <v>17065</v>
      </c>
      <c r="B2880" t="s">
        <v>17065</v>
      </c>
      <c r="C2880" t="s">
        <v>17066</v>
      </c>
      <c r="D2880" t="s">
        <v>3242</v>
      </c>
      <c r="E2880" t="s">
        <v>15710</v>
      </c>
      <c r="F2880" t="s">
        <v>3243</v>
      </c>
      <c r="G2880" t="s">
        <v>17067</v>
      </c>
      <c r="H2880" t="s">
        <v>3402</v>
      </c>
    </row>
    <row r="2881" spans="1:9" x14ac:dyDescent="0.25">
      <c r="A2881" t="s">
        <v>10876</v>
      </c>
      <c r="B2881" t="s">
        <v>10876</v>
      </c>
      <c r="C2881" t="s">
        <v>10877</v>
      </c>
      <c r="D2881" t="s">
        <v>3242</v>
      </c>
      <c r="E2881" t="s">
        <v>15710</v>
      </c>
      <c r="F2881" t="s">
        <v>3257</v>
      </c>
      <c r="G2881" t="s">
        <v>10878</v>
      </c>
      <c r="H2881" t="s">
        <v>5046</v>
      </c>
    </row>
    <row r="2882" spans="1:9" x14ac:dyDescent="0.25">
      <c r="A2882" t="s">
        <v>10879</v>
      </c>
      <c r="B2882" t="s">
        <v>10879</v>
      </c>
      <c r="C2882" t="s">
        <v>10880</v>
      </c>
      <c r="D2882" t="s">
        <v>3242</v>
      </c>
      <c r="E2882" t="s">
        <v>15710</v>
      </c>
      <c r="F2882" t="s">
        <v>3257</v>
      </c>
      <c r="G2882" t="s">
        <v>10881</v>
      </c>
      <c r="H2882" t="s">
        <v>5829</v>
      </c>
      <c r="I2882" t="s">
        <v>3268</v>
      </c>
    </row>
    <row r="2883" spans="1:9" x14ac:dyDescent="0.25">
      <c r="A2883" t="s">
        <v>10882</v>
      </c>
      <c r="B2883" t="s">
        <v>10882</v>
      </c>
      <c r="C2883" t="s">
        <v>10883</v>
      </c>
      <c r="D2883" t="s">
        <v>3242</v>
      </c>
      <c r="E2883" t="s">
        <v>15710</v>
      </c>
      <c r="F2883" t="s">
        <v>15712</v>
      </c>
      <c r="G2883" t="s">
        <v>10884</v>
      </c>
      <c r="H2883" t="s">
        <v>3290</v>
      </c>
    </row>
    <row r="2884" spans="1:9" x14ac:dyDescent="0.25">
      <c r="A2884" t="s">
        <v>16523</v>
      </c>
      <c r="B2884" t="s">
        <v>16523</v>
      </c>
      <c r="C2884" t="s">
        <v>16524</v>
      </c>
      <c r="D2884" t="s">
        <v>3242</v>
      </c>
      <c r="E2884" t="s">
        <v>15710</v>
      </c>
      <c r="F2884" t="s">
        <v>3243</v>
      </c>
      <c r="G2884" t="s">
        <v>16525</v>
      </c>
      <c r="H2884" t="s">
        <v>16287</v>
      </c>
    </row>
    <row r="2885" spans="1:9" x14ac:dyDescent="0.25">
      <c r="A2885" t="s">
        <v>10885</v>
      </c>
      <c r="B2885" t="s">
        <v>10885</v>
      </c>
      <c r="C2885" t="s">
        <v>10886</v>
      </c>
      <c r="D2885" t="s">
        <v>3242</v>
      </c>
      <c r="E2885" t="s">
        <v>15710</v>
      </c>
      <c r="F2885" t="s">
        <v>3243</v>
      </c>
      <c r="G2885" t="s">
        <v>10887</v>
      </c>
      <c r="H2885" t="s">
        <v>3290</v>
      </c>
    </row>
    <row r="2886" spans="1:9" x14ac:dyDescent="0.25">
      <c r="A2886" t="s">
        <v>15387</v>
      </c>
      <c r="B2886" t="s">
        <v>15387</v>
      </c>
      <c r="C2886" t="s">
        <v>15388</v>
      </c>
      <c r="D2886" t="s">
        <v>3242</v>
      </c>
      <c r="E2886" t="s">
        <v>15710</v>
      </c>
      <c r="F2886" t="s">
        <v>3306</v>
      </c>
      <c r="G2886" t="s">
        <v>7802</v>
      </c>
      <c r="H2886" t="s">
        <v>3290</v>
      </c>
      <c r="I2886" t="s">
        <v>3328</v>
      </c>
    </row>
    <row r="2887" spans="1:9" x14ac:dyDescent="0.25">
      <c r="A2887" t="s">
        <v>10888</v>
      </c>
      <c r="B2887" t="s">
        <v>10888</v>
      </c>
      <c r="C2887" t="s">
        <v>10889</v>
      </c>
      <c r="D2887" t="s">
        <v>3242</v>
      </c>
      <c r="E2887" t="s">
        <v>15710</v>
      </c>
      <c r="F2887" t="s">
        <v>3243</v>
      </c>
      <c r="G2887" t="s">
        <v>10890</v>
      </c>
      <c r="H2887" t="s">
        <v>3285</v>
      </c>
    </row>
    <row r="2888" spans="1:9" x14ac:dyDescent="0.25">
      <c r="A2888" t="s">
        <v>10891</v>
      </c>
      <c r="B2888" t="s">
        <v>10891</v>
      </c>
      <c r="C2888" t="s">
        <v>10892</v>
      </c>
      <c r="D2888" t="s">
        <v>3242</v>
      </c>
      <c r="E2888" t="s">
        <v>15710</v>
      </c>
      <c r="F2888" t="s">
        <v>3288</v>
      </c>
      <c r="G2888" t="s">
        <v>10893</v>
      </c>
      <c r="H2888" t="s">
        <v>3290</v>
      </c>
    </row>
    <row r="2889" spans="1:9" x14ac:dyDescent="0.25">
      <c r="A2889" t="s">
        <v>10894</v>
      </c>
      <c r="B2889" t="s">
        <v>10894</v>
      </c>
      <c r="C2889" t="s">
        <v>10895</v>
      </c>
      <c r="D2889" t="s">
        <v>3242</v>
      </c>
      <c r="E2889" t="s">
        <v>15710</v>
      </c>
      <c r="F2889" t="s">
        <v>3251</v>
      </c>
      <c r="G2889" t="s">
        <v>10896</v>
      </c>
      <c r="H2889" t="s">
        <v>3623</v>
      </c>
      <c r="I2889" t="s">
        <v>3694</v>
      </c>
    </row>
    <row r="2890" spans="1:9" x14ac:dyDescent="0.25">
      <c r="A2890" t="s">
        <v>10897</v>
      </c>
      <c r="B2890" t="s">
        <v>10897</v>
      </c>
      <c r="C2890" t="s">
        <v>10898</v>
      </c>
      <c r="D2890" t="s">
        <v>3242</v>
      </c>
      <c r="E2890" t="s">
        <v>15710</v>
      </c>
      <c r="F2890" t="s">
        <v>3243</v>
      </c>
      <c r="G2890" t="s">
        <v>3673</v>
      </c>
      <c r="H2890" t="s">
        <v>3290</v>
      </c>
    </row>
    <row r="2891" spans="1:9" x14ac:dyDescent="0.25">
      <c r="A2891" t="s">
        <v>15389</v>
      </c>
      <c r="B2891" t="s">
        <v>15389</v>
      </c>
      <c r="C2891" t="s">
        <v>15390</v>
      </c>
      <c r="D2891" t="s">
        <v>3242</v>
      </c>
      <c r="E2891" t="s">
        <v>15710</v>
      </c>
      <c r="F2891" t="s">
        <v>3243</v>
      </c>
      <c r="G2891" t="s">
        <v>15391</v>
      </c>
      <c r="H2891" t="s">
        <v>3402</v>
      </c>
    </row>
    <row r="2892" spans="1:9" x14ac:dyDescent="0.25">
      <c r="A2892" t="s">
        <v>15392</v>
      </c>
      <c r="B2892" t="s">
        <v>15392</v>
      </c>
      <c r="C2892" t="s">
        <v>15393</v>
      </c>
      <c r="D2892" t="s">
        <v>3242</v>
      </c>
      <c r="E2892" t="s">
        <v>15710</v>
      </c>
      <c r="F2892" t="s">
        <v>14914</v>
      </c>
      <c r="G2892" t="s">
        <v>15394</v>
      </c>
      <c r="H2892" t="s">
        <v>3915</v>
      </c>
    </row>
    <row r="2893" spans="1:9" x14ac:dyDescent="0.25">
      <c r="A2893" t="s">
        <v>10899</v>
      </c>
      <c r="B2893" t="s">
        <v>10899</v>
      </c>
      <c r="C2893" t="s">
        <v>10900</v>
      </c>
      <c r="D2893" t="s">
        <v>3242</v>
      </c>
      <c r="E2893" t="s">
        <v>15710</v>
      </c>
      <c r="F2893" t="s">
        <v>3300</v>
      </c>
      <c r="G2893" t="s">
        <v>10901</v>
      </c>
      <c r="H2893" t="s">
        <v>4045</v>
      </c>
      <c r="I2893" t="s">
        <v>3694</v>
      </c>
    </row>
    <row r="2894" spans="1:9" x14ac:dyDescent="0.25">
      <c r="A2894" t="s">
        <v>10902</v>
      </c>
      <c r="B2894" t="s">
        <v>10902</v>
      </c>
      <c r="C2894" t="s">
        <v>10903</v>
      </c>
      <c r="D2894" t="s">
        <v>3242</v>
      </c>
      <c r="E2894" t="s">
        <v>15912</v>
      </c>
      <c r="F2894" t="s">
        <v>3251</v>
      </c>
      <c r="G2894" t="s">
        <v>10904</v>
      </c>
      <c r="H2894" t="s">
        <v>3668</v>
      </c>
      <c r="I2894" t="s">
        <v>4028</v>
      </c>
    </row>
    <row r="2895" spans="1:9" x14ac:dyDescent="0.25">
      <c r="A2895" t="s">
        <v>10905</v>
      </c>
      <c r="B2895" t="s">
        <v>10905</v>
      </c>
      <c r="C2895" t="s">
        <v>10906</v>
      </c>
      <c r="D2895" t="s">
        <v>3242</v>
      </c>
      <c r="E2895" t="s">
        <v>16401</v>
      </c>
      <c r="F2895" t="s">
        <v>3251</v>
      </c>
      <c r="G2895" t="s">
        <v>10907</v>
      </c>
      <c r="H2895" t="s">
        <v>4045</v>
      </c>
      <c r="I2895" t="s">
        <v>3694</v>
      </c>
    </row>
    <row r="2896" spans="1:9" x14ac:dyDescent="0.25">
      <c r="A2896" t="s">
        <v>10908</v>
      </c>
      <c r="B2896" t="s">
        <v>10908</v>
      </c>
      <c r="C2896" t="s">
        <v>10909</v>
      </c>
      <c r="D2896" t="s">
        <v>3242</v>
      </c>
      <c r="E2896" t="s">
        <v>15710</v>
      </c>
      <c r="F2896" t="s">
        <v>3288</v>
      </c>
      <c r="G2896" t="s">
        <v>3346</v>
      </c>
      <c r="H2896" t="s">
        <v>3285</v>
      </c>
    </row>
    <row r="2897" spans="1:9" x14ac:dyDescent="0.25">
      <c r="A2897" t="s">
        <v>15395</v>
      </c>
      <c r="B2897" t="s">
        <v>15395</v>
      </c>
      <c r="C2897" t="s">
        <v>15396</v>
      </c>
      <c r="D2897" t="s">
        <v>3242</v>
      </c>
      <c r="E2897" t="s">
        <v>15710</v>
      </c>
      <c r="F2897" t="s">
        <v>5158</v>
      </c>
      <c r="G2897" t="s">
        <v>12982</v>
      </c>
      <c r="H2897" t="s">
        <v>3496</v>
      </c>
    </row>
    <row r="2898" spans="1:9" x14ac:dyDescent="0.25">
      <c r="A2898" t="s">
        <v>10910</v>
      </c>
      <c r="B2898" t="s">
        <v>10910</v>
      </c>
      <c r="C2898" t="s">
        <v>10911</v>
      </c>
      <c r="D2898" t="s">
        <v>3242</v>
      </c>
      <c r="E2898" t="s">
        <v>15710</v>
      </c>
      <c r="F2898" t="s">
        <v>3345</v>
      </c>
      <c r="G2898" t="s">
        <v>4251</v>
      </c>
      <c r="H2898" t="s">
        <v>3060</v>
      </c>
    </row>
    <row r="2899" spans="1:9" x14ac:dyDescent="0.25">
      <c r="A2899" t="s">
        <v>10912</v>
      </c>
      <c r="B2899" t="s">
        <v>10912</v>
      </c>
      <c r="C2899" t="s">
        <v>10913</v>
      </c>
      <c r="D2899" t="s">
        <v>3242</v>
      </c>
      <c r="E2899" t="s">
        <v>15710</v>
      </c>
      <c r="F2899" t="s">
        <v>3251</v>
      </c>
      <c r="G2899" t="s">
        <v>10914</v>
      </c>
      <c r="H2899" t="s">
        <v>4642</v>
      </c>
      <c r="I2899" t="s">
        <v>3451</v>
      </c>
    </row>
    <row r="2900" spans="1:9" x14ac:dyDescent="0.25">
      <c r="A2900" t="s">
        <v>10915</v>
      </c>
      <c r="B2900" t="s">
        <v>10915</v>
      </c>
      <c r="C2900" t="s">
        <v>10916</v>
      </c>
      <c r="D2900" t="s">
        <v>3242</v>
      </c>
      <c r="E2900" t="s">
        <v>17406</v>
      </c>
      <c r="F2900" t="s">
        <v>3251</v>
      </c>
      <c r="G2900" t="s">
        <v>10917</v>
      </c>
      <c r="H2900" t="s">
        <v>3267</v>
      </c>
      <c r="I2900" t="s">
        <v>3268</v>
      </c>
    </row>
    <row r="2901" spans="1:9" x14ac:dyDescent="0.25">
      <c r="A2901" t="s">
        <v>15397</v>
      </c>
      <c r="B2901" t="s">
        <v>15397</v>
      </c>
      <c r="C2901" t="s">
        <v>15398</v>
      </c>
      <c r="D2901" t="s">
        <v>3242</v>
      </c>
      <c r="E2901" t="s">
        <v>15710</v>
      </c>
      <c r="F2901" t="s">
        <v>3306</v>
      </c>
      <c r="G2901" t="s">
        <v>15399</v>
      </c>
      <c r="H2901" t="s">
        <v>3290</v>
      </c>
      <c r="I2901" t="s">
        <v>3268</v>
      </c>
    </row>
    <row r="2902" spans="1:9" x14ac:dyDescent="0.25">
      <c r="A2902" t="s">
        <v>10918</v>
      </c>
      <c r="B2902" t="s">
        <v>10918</v>
      </c>
      <c r="C2902" t="s">
        <v>10919</v>
      </c>
      <c r="D2902" t="s">
        <v>3242</v>
      </c>
      <c r="E2902" t="s">
        <v>15710</v>
      </c>
      <c r="F2902" t="s">
        <v>3288</v>
      </c>
      <c r="G2902" t="s">
        <v>10920</v>
      </c>
      <c r="H2902" t="s">
        <v>4740</v>
      </c>
    </row>
    <row r="2903" spans="1:9" x14ac:dyDescent="0.25">
      <c r="A2903" t="s">
        <v>10921</v>
      </c>
      <c r="B2903" t="s">
        <v>10921</v>
      </c>
      <c r="C2903" t="s">
        <v>10922</v>
      </c>
      <c r="D2903" t="s">
        <v>3242</v>
      </c>
      <c r="E2903" t="s">
        <v>15710</v>
      </c>
      <c r="F2903" t="s">
        <v>3243</v>
      </c>
      <c r="G2903" t="s">
        <v>10923</v>
      </c>
      <c r="H2903" t="s">
        <v>3285</v>
      </c>
    </row>
    <row r="2904" spans="1:9" x14ac:dyDescent="0.25">
      <c r="A2904" t="s">
        <v>10924</v>
      </c>
      <c r="B2904" t="s">
        <v>10924</v>
      </c>
      <c r="C2904" t="s">
        <v>10925</v>
      </c>
      <c r="D2904" t="s">
        <v>3242</v>
      </c>
      <c r="E2904" t="s">
        <v>15710</v>
      </c>
      <c r="F2904" t="s">
        <v>3288</v>
      </c>
      <c r="G2904" t="s">
        <v>3060</v>
      </c>
      <c r="H2904" t="s">
        <v>3285</v>
      </c>
    </row>
    <row r="2905" spans="1:9" x14ac:dyDescent="0.25">
      <c r="A2905" t="s">
        <v>10926</v>
      </c>
      <c r="B2905" t="s">
        <v>10926</v>
      </c>
      <c r="C2905" t="s">
        <v>10927</v>
      </c>
      <c r="D2905" t="s">
        <v>3242</v>
      </c>
      <c r="E2905" t="s">
        <v>17068</v>
      </c>
      <c r="F2905" t="s">
        <v>3251</v>
      </c>
      <c r="G2905" t="s">
        <v>10928</v>
      </c>
      <c r="H2905" t="s">
        <v>4045</v>
      </c>
      <c r="I2905" t="s">
        <v>3694</v>
      </c>
    </row>
    <row r="2906" spans="1:9" x14ac:dyDescent="0.25">
      <c r="A2906" t="s">
        <v>10929</v>
      </c>
      <c r="B2906" t="s">
        <v>10929</v>
      </c>
      <c r="C2906" t="s">
        <v>10930</v>
      </c>
      <c r="D2906" t="s">
        <v>3242</v>
      </c>
      <c r="E2906" t="s">
        <v>15710</v>
      </c>
      <c r="F2906" t="s">
        <v>3243</v>
      </c>
      <c r="G2906" t="s">
        <v>10931</v>
      </c>
      <c r="H2906" t="s">
        <v>3402</v>
      </c>
    </row>
    <row r="2907" spans="1:9" x14ac:dyDescent="0.25">
      <c r="A2907" t="s">
        <v>10932</v>
      </c>
      <c r="B2907" t="s">
        <v>10932</v>
      </c>
      <c r="C2907" t="s">
        <v>10933</v>
      </c>
      <c r="D2907" t="s">
        <v>3242</v>
      </c>
      <c r="E2907" t="s">
        <v>15710</v>
      </c>
      <c r="F2907" t="s">
        <v>3243</v>
      </c>
      <c r="G2907" t="s">
        <v>10934</v>
      </c>
      <c r="H2907" t="s">
        <v>3402</v>
      </c>
    </row>
    <row r="2908" spans="1:9" x14ac:dyDescent="0.25">
      <c r="A2908" t="s">
        <v>10935</v>
      </c>
      <c r="B2908" t="s">
        <v>10935</v>
      </c>
      <c r="C2908" t="s">
        <v>10936</v>
      </c>
      <c r="D2908" t="s">
        <v>3242</v>
      </c>
      <c r="E2908" t="s">
        <v>15710</v>
      </c>
      <c r="F2908" t="s">
        <v>3257</v>
      </c>
      <c r="G2908" t="s">
        <v>10937</v>
      </c>
      <c r="H2908" t="s">
        <v>3484</v>
      </c>
    </row>
    <row r="2909" spans="1:9" x14ac:dyDescent="0.25">
      <c r="A2909" t="s">
        <v>10938</v>
      </c>
      <c r="B2909" t="s">
        <v>10938</v>
      </c>
      <c r="C2909" t="s">
        <v>10939</v>
      </c>
      <c r="D2909" t="s">
        <v>3242</v>
      </c>
      <c r="E2909" t="s">
        <v>15710</v>
      </c>
      <c r="F2909" t="s">
        <v>3288</v>
      </c>
      <c r="G2909" t="s">
        <v>10940</v>
      </c>
      <c r="H2909" t="s">
        <v>3060</v>
      </c>
    </row>
    <row r="2910" spans="1:9" x14ac:dyDescent="0.25">
      <c r="A2910" t="s">
        <v>3254</v>
      </c>
      <c r="B2910" t="s">
        <v>3254</v>
      </c>
      <c r="C2910" t="s">
        <v>10941</v>
      </c>
      <c r="D2910" t="s">
        <v>3242</v>
      </c>
      <c r="E2910" t="s">
        <v>15710</v>
      </c>
      <c r="F2910" t="s">
        <v>3257</v>
      </c>
      <c r="G2910" t="s">
        <v>10942</v>
      </c>
      <c r="H2910" t="s">
        <v>3060</v>
      </c>
      <c r="I2910" t="s">
        <v>3254</v>
      </c>
    </row>
    <row r="2911" spans="1:9" x14ac:dyDescent="0.25">
      <c r="A2911" t="s">
        <v>15400</v>
      </c>
      <c r="B2911" t="s">
        <v>15400</v>
      </c>
      <c r="C2911" t="s">
        <v>15401</v>
      </c>
      <c r="D2911" t="s">
        <v>3242</v>
      </c>
      <c r="E2911" t="s">
        <v>15710</v>
      </c>
      <c r="F2911" t="s">
        <v>3288</v>
      </c>
      <c r="G2911" t="s">
        <v>3060</v>
      </c>
      <c r="H2911" t="s">
        <v>3285</v>
      </c>
    </row>
    <row r="2912" spans="1:9" x14ac:dyDescent="0.25">
      <c r="A2912" t="s">
        <v>10943</v>
      </c>
      <c r="B2912" t="s">
        <v>10943</v>
      </c>
      <c r="C2912" t="s">
        <v>10944</v>
      </c>
      <c r="D2912" t="s">
        <v>3321</v>
      </c>
      <c r="E2912" t="s">
        <v>15710</v>
      </c>
      <c r="F2912" t="s">
        <v>3372</v>
      </c>
      <c r="G2912" t="s">
        <v>4895</v>
      </c>
      <c r="H2912" t="s">
        <v>3877</v>
      </c>
      <c r="I2912" t="s">
        <v>3366</v>
      </c>
    </row>
    <row r="2913" spans="1:9" x14ac:dyDescent="0.25">
      <c r="A2913" t="s">
        <v>10945</v>
      </c>
      <c r="B2913" t="s">
        <v>10945</v>
      </c>
      <c r="C2913" t="s">
        <v>10946</v>
      </c>
      <c r="D2913" t="s">
        <v>3242</v>
      </c>
      <c r="E2913" t="s">
        <v>15710</v>
      </c>
      <c r="F2913" t="s">
        <v>3257</v>
      </c>
      <c r="G2913" t="s">
        <v>10947</v>
      </c>
      <c r="H2913" t="s">
        <v>3332</v>
      </c>
    </row>
    <row r="2914" spans="1:9" x14ac:dyDescent="0.25">
      <c r="A2914" t="s">
        <v>10948</v>
      </c>
      <c r="B2914" t="s">
        <v>10948</v>
      </c>
      <c r="C2914" t="s">
        <v>10949</v>
      </c>
      <c r="D2914" t="s">
        <v>3242</v>
      </c>
      <c r="E2914" t="s">
        <v>15710</v>
      </c>
      <c r="F2914" t="s">
        <v>3306</v>
      </c>
      <c r="G2914" t="s">
        <v>10950</v>
      </c>
      <c r="H2914" t="s">
        <v>3290</v>
      </c>
      <c r="I2914" t="s">
        <v>3254</v>
      </c>
    </row>
    <row r="2915" spans="1:9" x14ac:dyDescent="0.25">
      <c r="A2915" t="s">
        <v>15402</v>
      </c>
      <c r="B2915" t="s">
        <v>15402</v>
      </c>
      <c r="C2915" t="s">
        <v>15403</v>
      </c>
      <c r="D2915" t="s">
        <v>3242</v>
      </c>
      <c r="E2915" t="s">
        <v>15710</v>
      </c>
      <c r="F2915" t="s">
        <v>11078</v>
      </c>
      <c r="G2915" t="s">
        <v>15404</v>
      </c>
      <c r="H2915" t="s">
        <v>9183</v>
      </c>
      <c r="I2915" t="s">
        <v>15020</v>
      </c>
    </row>
    <row r="2916" spans="1:9" x14ac:dyDescent="0.25">
      <c r="A2916" t="s">
        <v>10951</v>
      </c>
      <c r="B2916" t="s">
        <v>10951</v>
      </c>
      <c r="C2916" t="s">
        <v>10952</v>
      </c>
      <c r="D2916" t="s">
        <v>3242</v>
      </c>
      <c r="E2916" t="s">
        <v>15710</v>
      </c>
      <c r="F2916" t="s">
        <v>3345</v>
      </c>
      <c r="G2916" t="s">
        <v>10953</v>
      </c>
      <c r="H2916" t="s">
        <v>3680</v>
      </c>
    </row>
    <row r="2917" spans="1:9" x14ac:dyDescent="0.25">
      <c r="A2917" t="s">
        <v>17069</v>
      </c>
      <c r="B2917" t="s">
        <v>17069</v>
      </c>
      <c r="C2917" t="s">
        <v>17070</v>
      </c>
      <c r="D2917" t="s">
        <v>3242</v>
      </c>
      <c r="E2917" t="s">
        <v>15710</v>
      </c>
      <c r="F2917" t="s">
        <v>3288</v>
      </c>
      <c r="G2917" t="s">
        <v>17071</v>
      </c>
      <c r="H2917" t="s">
        <v>4615</v>
      </c>
    </row>
    <row r="2918" spans="1:9" x14ac:dyDescent="0.25">
      <c r="A2918" t="s">
        <v>10954</v>
      </c>
      <c r="B2918" t="s">
        <v>10954</v>
      </c>
      <c r="C2918" t="s">
        <v>10955</v>
      </c>
      <c r="D2918" t="s">
        <v>3242</v>
      </c>
      <c r="E2918" t="s">
        <v>15710</v>
      </c>
      <c r="F2918" t="s">
        <v>3243</v>
      </c>
      <c r="G2918" t="s">
        <v>10956</v>
      </c>
      <c r="H2918" t="s">
        <v>3402</v>
      </c>
    </row>
    <row r="2919" spans="1:9" x14ac:dyDescent="0.25">
      <c r="A2919" t="s">
        <v>10957</v>
      </c>
      <c r="B2919" t="s">
        <v>10957</v>
      </c>
      <c r="C2919" t="s">
        <v>10958</v>
      </c>
      <c r="D2919" t="s">
        <v>3242</v>
      </c>
      <c r="E2919" t="s">
        <v>15710</v>
      </c>
      <c r="F2919" t="s">
        <v>3257</v>
      </c>
      <c r="G2919" t="s">
        <v>3484</v>
      </c>
      <c r="H2919" t="s">
        <v>3484</v>
      </c>
    </row>
    <row r="2920" spans="1:9" x14ac:dyDescent="0.25">
      <c r="A2920" t="s">
        <v>10959</v>
      </c>
      <c r="B2920" t="s">
        <v>10959</v>
      </c>
      <c r="C2920" t="s">
        <v>10960</v>
      </c>
      <c r="D2920" t="s">
        <v>3242</v>
      </c>
      <c r="E2920" t="s">
        <v>15710</v>
      </c>
      <c r="F2920" t="s">
        <v>3288</v>
      </c>
      <c r="G2920" t="s">
        <v>10961</v>
      </c>
      <c r="H2920" t="s">
        <v>3915</v>
      </c>
    </row>
    <row r="2921" spans="1:9" x14ac:dyDescent="0.25">
      <c r="A2921" t="s">
        <v>10962</v>
      </c>
      <c r="B2921" t="s">
        <v>10962</v>
      </c>
      <c r="C2921" t="s">
        <v>10963</v>
      </c>
      <c r="D2921" t="s">
        <v>3242</v>
      </c>
      <c r="E2921" t="s">
        <v>15710</v>
      </c>
      <c r="F2921" t="s">
        <v>5275</v>
      </c>
      <c r="G2921" t="s">
        <v>10964</v>
      </c>
      <c r="H2921" t="s">
        <v>3680</v>
      </c>
    </row>
    <row r="2922" spans="1:9" x14ac:dyDescent="0.25">
      <c r="A2922" t="s">
        <v>10965</v>
      </c>
      <c r="B2922" t="s">
        <v>10965</v>
      </c>
      <c r="C2922" t="s">
        <v>10966</v>
      </c>
      <c r="D2922" t="s">
        <v>3242</v>
      </c>
      <c r="E2922" t="s">
        <v>15710</v>
      </c>
      <c r="F2922" t="s">
        <v>3288</v>
      </c>
      <c r="G2922" t="s">
        <v>10967</v>
      </c>
      <c r="H2922" t="s">
        <v>3285</v>
      </c>
    </row>
    <row r="2923" spans="1:9" x14ac:dyDescent="0.25">
      <c r="A2923" t="s">
        <v>10968</v>
      </c>
      <c r="B2923" t="s">
        <v>10968</v>
      </c>
      <c r="C2923" t="s">
        <v>10969</v>
      </c>
      <c r="D2923" t="s">
        <v>3242</v>
      </c>
      <c r="E2923" t="s">
        <v>15710</v>
      </c>
      <c r="F2923" t="s">
        <v>3251</v>
      </c>
      <c r="G2923" t="s">
        <v>10970</v>
      </c>
      <c r="H2923" t="s">
        <v>5905</v>
      </c>
      <c r="I2923" t="s">
        <v>3451</v>
      </c>
    </row>
    <row r="2924" spans="1:9" x14ac:dyDescent="0.25">
      <c r="A2924" t="s">
        <v>10971</v>
      </c>
      <c r="B2924" t="s">
        <v>10971</v>
      </c>
      <c r="C2924" t="s">
        <v>10972</v>
      </c>
      <c r="D2924" t="s">
        <v>3242</v>
      </c>
      <c r="E2924" t="s">
        <v>15710</v>
      </c>
      <c r="F2924" t="s">
        <v>3243</v>
      </c>
      <c r="G2924" t="s">
        <v>10973</v>
      </c>
      <c r="H2924" t="s">
        <v>3290</v>
      </c>
    </row>
    <row r="2925" spans="1:9" x14ac:dyDescent="0.25">
      <c r="A2925" t="s">
        <v>16315</v>
      </c>
      <c r="B2925" t="s">
        <v>16315</v>
      </c>
      <c r="C2925" t="s">
        <v>16316</v>
      </c>
      <c r="D2925" t="s">
        <v>3242</v>
      </c>
      <c r="E2925" t="s">
        <v>15710</v>
      </c>
      <c r="F2925" t="s">
        <v>3288</v>
      </c>
      <c r="G2925" t="s">
        <v>3737</v>
      </c>
      <c r="H2925" t="s">
        <v>3285</v>
      </c>
    </row>
    <row r="2926" spans="1:9" x14ac:dyDescent="0.25">
      <c r="A2926" t="s">
        <v>10974</v>
      </c>
      <c r="B2926" t="s">
        <v>10974</v>
      </c>
      <c r="C2926" t="s">
        <v>10975</v>
      </c>
      <c r="D2926" t="s">
        <v>3242</v>
      </c>
      <c r="E2926" t="s">
        <v>15710</v>
      </c>
      <c r="F2926" t="s">
        <v>3251</v>
      </c>
      <c r="G2926" t="s">
        <v>10976</v>
      </c>
      <c r="H2926" t="s">
        <v>5289</v>
      </c>
      <c r="I2926" t="s">
        <v>3451</v>
      </c>
    </row>
    <row r="2927" spans="1:9" x14ac:dyDescent="0.25">
      <c r="A2927" t="s">
        <v>10977</v>
      </c>
      <c r="B2927" t="s">
        <v>10977</v>
      </c>
      <c r="C2927" t="s">
        <v>10978</v>
      </c>
      <c r="D2927" t="s">
        <v>3242</v>
      </c>
      <c r="E2927" t="s">
        <v>15710</v>
      </c>
      <c r="F2927" t="s">
        <v>3288</v>
      </c>
      <c r="G2927" t="s">
        <v>10979</v>
      </c>
      <c r="H2927" t="s">
        <v>4800</v>
      </c>
    </row>
    <row r="2928" spans="1:9" x14ac:dyDescent="0.25">
      <c r="A2928" t="s">
        <v>10980</v>
      </c>
      <c r="B2928" t="s">
        <v>10980</v>
      </c>
      <c r="C2928" t="s">
        <v>10981</v>
      </c>
      <c r="D2928" t="s">
        <v>3242</v>
      </c>
      <c r="E2928" t="s">
        <v>15710</v>
      </c>
      <c r="F2928" t="s">
        <v>15712</v>
      </c>
      <c r="G2928" t="s">
        <v>4765</v>
      </c>
      <c r="H2928" t="s">
        <v>3290</v>
      </c>
    </row>
    <row r="2929" spans="1:9" x14ac:dyDescent="0.25">
      <c r="A2929" t="s">
        <v>10982</v>
      </c>
      <c r="B2929" t="s">
        <v>10982</v>
      </c>
      <c r="C2929" t="s">
        <v>10983</v>
      </c>
      <c r="D2929" t="s">
        <v>3242</v>
      </c>
      <c r="E2929" t="s">
        <v>15710</v>
      </c>
      <c r="F2929" t="s">
        <v>3243</v>
      </c>
      <c r="G2929" t="s">
        <v>10984</v>
      </c>
      <c r="H2929" t="s">
        <v>3402</v>
      </c>
    </row>
    <row r="2930" spans="1:9" x14ac:dyDescent="0.25">
      <c r="A2930" t="s">
        <v>10985</v>
      </c>
      <c r="B2930" t="s">
        <v>10985</v>
      </c>
      <c r="C2930" t="s">
        <v>10986</v>
      </c>
      <c r="D2930" t="s">
        <v>3242</v>
      </c>
      <c r="E2930" t="s">
        <v>15710</v>
      </c>
      <c r="F2930" t="s">
        <v>3243</v>
      </c>
      <c r="G2930" t="s">
        <v>10987</v>
      </c>
      <c r="H2930" t="s">
        <v>3402</v>
      </c>
    </row>
    <row r="2931" spans="1:9" x14ac:dyDescent="0.25">
      <c r="A2931" t="s">
        <v>10988</v>
      </c>
      <c r="B2931" t="s">
        <v>10988</v>
      </c>
      <c r="C2931" t="s">
        <v>10989</v>
      </c>
      <c r="D2931" t="s">
        <v>3242</v>
      </c>
      <c r="E2931" t="s">
        <v>15710</v>
      </c>
      <c r="F2931" t="s">
        <v>3345</v>
      </c>
      <c r="G2931" t="s">
        <v>4608</v>
      </c>
      <c r="H2931" t="s">
        <v>3618</v>
      </c>
    </row>
    <row r="2932" spans="1:9" x14ac:dyDescent="0.25">
      <c r="A2932" t="s">
        <v>10990</v>
      </c>
      <c r="B2932" t="s">
        <v>10990</v>
      </c>
      <c r="C2932" t="s">
        <v>10991</v>
      </c>
      <c r="D2932" t="s">
        <v>3242</v>
      </c>
      <c r="E2932" t="s">
        <v>15710</v>
      </c>
      <c r="F2932" t="s">
        <v>3257</v>
      </c>
      <c r="G2932" t="s">
        <v>10992</v>
      </c>
      <c r="H2932" t="s">
        <v>4919</v>
      </c>
      <c r="I2932" t="s">
        <v>3324</v>
      </c>
    </row>
    <row r="2933" spans="1:9" x14ac:dyDescent="0.25">
      <c r="A2933" t="s">
        <v>7620</v>
      </c>
      <c r="B2933" t="s">
        <v>7620</v>
      </c>
      <c r="C2933" t="s">
        <v>10993</v>
      </c>
      <c r="D2933" t="s">
        <v>3242</v>
      </c>
      <c r="E2933" t="s">
        <v>15710</v>
      </c>
      <c r="F2933" t="s">
        <v>3257</v>
      </c>
    </row>
    <row r="2934" spans="1:9" x14ac:dyDescent="0.25">
      <c r="A2934" t="s">
        <v>10994</v>
      </c>
      <c r="B2934" t="s">
        <v>10994</v>
      </c>
      <c r="C2934" t="s">
        <v>10995</v>
      </c>
      <c r="D2934" t="s">
        <v>3242</v>
      </c>
      <c r="E2934" t="s">
        <v>17072</v>
      </c>
      <c r="F2934" t="s">
        <v>3300</v>
      </c>
      <c r="G2934" t="s">
        <v>10996</v>
      </c>
      <c r="H2934" t="s">
        <v>5141</v>
      </c>
      <c r="I2934" t="s">
        <v>4605</v>
      </c>
    </row>
    <row r="2935" spans="1:9" x14ac:dyDescent="0.25">
      <c r="A2935" t="s">
        <v>10997</v>
      </c>
      <c r="B2935" t="s">
        <v>10997</v>
      </c>
      <c r="C2935" t="s">
        <v>10998</v>
      </c>
      <c r="D2935" t="s">
        <v>3242</v>
      </c>
      <c r="E2935" t="s">
        <v>15710</v>
      </c>
      <c r="F2935" t="s">
        <v>3257</v>
      </c>
      <c r="G2935" t="s">
        <v>10999</v>
      </c>
      <c r="H2935" t="s">
        <v>3248</v>
      </c>
    </row>
    <row r="2936" spans="1:9" x14ac:dyDescent="0.25">
      <c r="A2936" t="s">
        <v>11000</v>
      </c>
      <c r="B2936" t="s">
        <v>11000</v>
      </c>
      <c r="C2936" t="s">
        <v>11001</v>
      </c>
      <c r="D2936" t="s">
        <v>3242</v>
      </c>
      <c r="E2936" t="s">
        <v>15710</v>
      </c>
      <c r="F2936" t="s">
        <v>3345</v>
      </c>
      <c r="G2936" t="s">
        <v>4775</v>
      </c>
      <c r="H2936" t="s">
        <v>3836</v>
      </c>
    </row>
    <row r="2937" spans="1:9" x14ac:dyDescent="0.25">
      <c r="A2937" t="s">
        <v>17607</v>
      </c>
      <c r="B2937" t="s">
        <v>17607</v>
      </c>
      <c r="C2937" t="s">
        <v>17608</v>
      </c>
      <c r="D2937" t="s">
        <v>3242</v>
      </c>
      <c r="E2937" t="s">
        <v>17609</v>
      </c>
      <c r="F2937" t="s">
        <v>3288</v>
      </c>
      <c r="G2937" t="s">
        <v>17610</v>
      </c>
      <c r="H2937" t="s">
        <v>3387</v>
      </c>
    </row>
    <row r="2938" spans="1:9" x14ac:dyDescent="0.25">
      <c r="A2938" t="s">
        <v>11002</v>
      </c>
      <c r="B2938" t="s">
        <v>11002</v>
      </c>
      <c r="C2938" t="s">
        <v>11003</v>
      </c>
      <c r="D2938" t="s">
        <v>3242</v>
      </c>
      <c r="E2938" t="s">
        <v>15710</v>
      </c>
      <c r="F2938" t="s">
        <v>3300</v>
      </c>
      <c r="G2938" t="s">
        <v>11004</v>
      </c>
      <c r="H2938" t="s">
        <v>3267</v>
      </c>
    </row>
    <row r="2939" spans="1:9" x14ac:dyDescent="0.25">
      <c r="A2939" t="s">
        <v>11005</v>
      </c>
      <c r="B2939" t="s">
        <v>11005</v>
      </c>
      <c r="C2939" t="s">
        <v>11006</v>
      </c>
      <c r="D2939" t="s">
        <v>3242</v>
      </c>
      <c r="E2939" t="s">
        <v>15710</v>
      </c>
      <c r="F2939" t="s">
        <v>3243</v>
      </c>
      <c r="G2939" t="s">
        <v>3243</v>
      </c>
      <c r="H2939" t="s">
        <v>3290</v>
      </c>
    </row>
    <row r="2940" spans="1:9" x14ac:dyDescent="0.25">
      <c r="A2940" t="s">
        <v>11007</v>
      </c>
      <c r="B2940" t="s">
        <v>11007</v>
      </c>
      <c r="C2940" t="s">
        <v>11008</v>
      </c>
      <c r="D2940" t="s">
        <v>3242</v>
      </c>
      <c r="E2940" t="s">
        <v>15710</v>
      </c>
      <c r="F2940" t="s">
        <v>3288</v>
      </c>
      <c r="G2940" t="s">
        <v>11009</v>
      </c>
      <c r="H2940" t="s">
        <v>3290</v>
      </c>
    </row>
    <row r="2941" spans="1:9" x14ac:dyDescent="0.25">
      <c r="A2941" t="s">
        <v>11010</v>
      </c>
      <c r="B2941" t="s">
        <v>11010</v>
      </c>
      <c r="C2941" t="s">
        <v>11011</v>
      </c>
      <c r="D2941" t="s">
        <v>3242</v>
      </c>
      <c r="E2941" t="s">
        <v>15710</v>
      </c>
      <c r="F2941" t="s">
        <v>3243</v>
      </c>
      <c r="G2941" t="s">
        <v>11012</v>
      </c>
      <c r="H2941" t="s">
        <v>11013</v>
      </c>
    </row>
    <row r="2942" spans="1:9" x14ac:dyDescent="0.25">
      <c r="A2942" t="s">
        <v>11014</v>
      </c>
      <c r="B2942" t="s">
        <v>11014</v>
      </c>
      <c r="C2942" t="s">
        <v>11015</v>
      </c>
      <c r="D2942" t="s">
        <v>3242</v>
      </c>
      <c r="E2942" t="s">
        <v>15710</v>
      </c>
      <c r="F2942" t="s">
        <v>3243</v>
      </c>
      <c r="G2942" t="s">
        <v>11016</v>
      </c>
      <c r="H2942" t="s">
        <v>3402</v>
      </c>
    </row>
    <row r="2943" spans="1:9" x14ac:dyDescent="0.25">
      <c r="A2943" t="s">
        <v>11017</v>
      </c>
      <c r="B2943" t="s">
        <v>11017</v>
      </c>
      <c r="C2943" t="s">
        <v>11018</v>
      </c>
      <c r="D2943" t="s">
        <v>3242</v>
      </c>
      <c r="E2943" t="s">
        <v>15710</v>
      </c>
      <c r="F2943" t="s">
        <v>3243</v>
      </c>
      <c r="G2943" t="s">
        <v>11019</v>
      </c>
      <c r="H2943" t="s">
        <v>4284</v>
      </c>
    </row>
    <row r="2944" spans="1:9" x14ac:dyDescent="0.25">
      <c r="A2944" t="s">
        <v>11020</v>
      </c>
      <c r="B2944" t="s">
        <v>11020</v>
      </c>
      <c r="C2944" t="s">
        <v>11021</v>
      </c>
      <c r="D2944" t="s">
        <v>3242</v>
      </c>
      <c r="E2944" t="s">
        <v>15710</v>
      </c>
      <c r="F2944" t="s">
        <v>3243</v>
      </c>
      <c r="G2944" t="s">
        <v>11022</v>
      </c>
      <c r="H2944" t="s">
        <v>4035</v>
      </c>
    </row>
    <row r="2945" spans="1:9" x14ac:dyDescent="0.25">
      <c r="A2945" t="s">
        <v>15405</v>
      </c>
      <c r="B2945" t="s">
        <v>15405</v>
      </c>
      <c r="C2945" t="s">
        <v>15406</v>
      </c>
      <c r="D2945" t="s">
        <v>3242</v>
      </c>
      <c r="E2945" t="s">
        <v>16526</v>
      </c>
      <c r="F2945" t="s">
        <v>5158</v>
      </c>
      <c r="G2945" t="s">
        <v>12982</v>
      </c>
      <c r="H2945" t="s">
        <v>3496</v>
      </c>
    </row>
    <row r="2946" spans="1:9" x14ac:dyDescent="0.25">
      <c r="A2946" t="s">
        <v>11023</v>
      </c>
      <c r="B2946" t="s">
        <v>11023</v>
      </c>
      <c r="C2946" t="s">
        <v>11024</v>
      </c>
      <c r="D2946" t="s">
        <v>3242</v>
      </c>
      <c r="E2946" t="s">
        <v>15710</v>
      </c>
      <c r="F2946" t="s">
        <v>3288</v>
      </c>
      <c r="G2946" t="s">
        <v>11025</v>
      </c>
      <c r="H2946" t="s">
        <v>4166</v>
      </c>
    </row>
    <row r="2947" spans="1:9" x14ac:dyDescent="0.25">
      <c r="A2947" t="s">
        <v>17407</v>
      </c>
      <c r="B2947" t="s">
        <v>17407</v>
      </c>
      <c r="C2947" t="s">
        <v>17408</v>
      </c>
      <c r="D2947" t="s">
        <v>3242</v>
      </c>
      <c r="E2947" t="s">
        <v>17409</v>
      </c>
      <c r="F2947" t="s">
        <v>3257</v>
      </c>
      <c r="G2947" t="s">
        <v>17410</v>
      </c>
      <c r="H2947" t="s">
        <v>3379</v>
      </c>
    </row>
    <row r="2948" spans="1:9" x14ac:dyDescent="0.25">
      <c r="A2948" t="s">
        <v>11026</v>
      </c>
      <c r="B2948" t="s">
        <v>11026</v>
      </c>
      <c r="C2948" t="s">
        <v>11027</v>
      </c>
      <c r="D2948" t="s">
        <v>3242</v>
      </c>
      <c r="E2948" t="s">
        <v>15710</v>
      </c>
      <c r="F2948" t="s">
        <v>3251</v>
      </c>
      <c r="G2948" t="s">
        <v>11028</v>
      </c>
      <c r="H2948" t="s">
        <v>4769</v>
      </c>
      <c r="I2948" t="s">
        <v>4605</v>
      </c>
    </row>
    <row r="2949" spans="1:9" x14ac:dyDescent="0.25">
      <c r="A2949" t="s">
        <v>15407</v>
      </c>
      <c r="B2949" t="s">
        <v>15407</v>
      </c>
      <c r="C2949" t="s">
        <v>15408</v>
      </c>
      <c r="D2949" t="s">
        <v>3242</v>
      </c>
      <c r="E2949" t="s">
        <v>15710</v>
      </c>
      <c r="F2949" t="s">
        <v>5158</v>
      </c>
      <c r="G2949" t="s">
        <v>12982</v>
      </c>
      <c r="H2949" t="s">
        <v>3496</v>
      </c>
    </row>
    <row r="2950" spans="1:9" x14ac:dyDescent="0.25">
      <c r="A2950" t="s">
        <v>11029</v>
      </c>
      <c r="B2950" t="s">
        <v>11029</v>
      </c>
      <c r="C2950" t="s">
        <v>11030</v>
      </c>
      <c r="D2950" t="s">
        <v>3242</v>
      </c>
      <c r="E2950" t="s">
        <v>15710</v>
      </c>
      <c r="F2950" t="s">
        <v>3257</v>
      </c>
      <c r="G2950" t="s">
        <v>11031</v>
      </c>
      <c r="H2950" t="s">
        <v>11032</v>
      </c>
    </row>
    <row r="2951" spans="1:9" x14ac:dyDescent="0.25">
      <c r="A2951" t="s">
        <v>11033</v>
      </c>
      <c r="B2951" t="s">
        <v>11033</v>
      </c>
      <c r="C2951" t="s">
        <v>11034</v>
      </c>
      <c r="D2951" t="s">
        <v>3242</v>
      </c>
      <c r="E2951" t="s">
        <v>15710</v>
      </c>
      <c r="F2951" t="s">
        <v>3288</v>
      </c>
      <c r="G2951" t="s">
        <v>11035</v>
      </c>
      <c r="H2951" t="s">
        <v>3060</v>
      </c>
    </row>
    <row r="2952" spans="1:9" x14ac:dyDescent="0.25">
      <c r="A2952" t="s">
        <v>11036</v>
      </c>
      <c r="B2952" t="s">
        <v>11036</v>
      </c>
      <c r="C2952" t="s">
        <v>11037</v>
      </c>
      <c r="D2952" t="s">
        <v>3242</v>
      </c>
      <c r="E2952" t="s">
        <v>15710</v>
      </c>
      <c r="F2952" t="s">
        <v>3345</v>
      </c>
      <c r="G2952" t="s">
        <v>10553</v>
      </c>
      <c r="H2952" t="s">
        <v>3060</v>
      </c>
    </row>
    <row r="2953" spans="1:9" x14ac:dyDescent="0.25">
      <c r="A2953" t="s">
        <v>11038</v>
      </c>
      <c r="B2953" t="s">
        <v>11038</v>
      </c>
      <c r="C2953" t="s">
        <v>11039</v>
      </c>
      <c r="D2953" t="s">
        <v>3242</v>
      </c>
      <c r="E2953" t="s">
        <v>15710</v>
      </c>
      <c r="F2953" t="s">
        <v>3243</v>
      </c>
      <c r="G2953" t="s">
        <v>11040</v>
      </c>
      <c r="H2953" t="s">
        <v>4284</v>
      </c>
    </row>
    <row r="2954" spans="1:9" x14ac:dyDescent="0.25">
      <c r="A2954" t="s">
        <v>11041</v>
      </c>
      <c r="B2954" t="s">
        <v>11041</v>
      </c>
      <c r="C2954" t="s">
        <v>11042</v>
      </c>
      <c r="D2954" t="s">
        <v>3242</v>
      </c>
      <c r="E2954" t="s">
        <v>15710</v>
      </c>
      <c r="F2954" t="s">
        <v>3243</v>
      </c>
      <c r="G2954" t="s">
        <v>11043</v>
      </c>
      <c r="H2954" t="s">
        <v>4284</v>
      </c>
    </row>
    <row r="2955" spans="1:9" x14ac:dyDescent="0.25">
      <c r="A2955" t="s">
        <v>11044</v>
      </c>
      <c r="B2955" t="s">
        <v>11044</v>
      </c>
      <c r="C2955" t="s">
        <v>6553</v>
      </c>
      <c r="D2955" t="s">
        <v>3242</v>
      </c>
      <c r="E2955" t="s">
        <v>15710</v>
      </c>
      <c r="F2955" t="s">
        <v>3257</v>
      </c>
      <c r="G2955" t="s">
        <v>6554</v>
      </c>
      <c r="H2955" t="s">
        <v>4711</v>
      </c>
      <c r="I2955" t="s">
        <v>3254</v>
      </c>
    </row>
    <row r="2956" spans="1:9" x14ac:dyDescent="0.25">
      <c r="A2956" t="s">
        <v>11045</v>
      </c>
      <c r="B2956" t="s">
        <v>11045</v>
      </c>
      <c r="C2956" t="s">
        <v>11046</v>
      </c>
      <c r="D2956" t="s">
        <v>3242</v>
      </c>
      <c r="E2956" t="s">
        <v>15710</v>
      </c>
      <c r="F2956" t="s">
        <v>3243</v>
      </c>
      <c r="G2956" t="s">
        <v>11047</v>
      </c>
      <c r="H2956" t="s">
        <v>4284</v>
      </c>
    </row>
    <row r="2957" spans="1:9" x14ac:dyDescent="0.25">
      <c r="A2957" t="s">
        <v>11048</v>
      </c>
      <c r="B2957" t="s">
        <v>11048</v>
      </c>
      <c r="C2957" t="s">
        <v>11049</v>
      </c>
      <c r="D2957" t="s">
        <v>3242</v>
      </c>
      <c r="E2957" t="s">
        <v>15710</v>
      </c>
      <c r="F2957" t="s">
        <v>3345</v>
      </c>
      <c r="G2957" t="s">
        <v>11050</v>
      </c>
      <c r="H2957" t="s">
        <v>3623</v>
      </c>
    </row>
    <row r="2958" spans="1:9" x14ac:dyDescent="0.25">
      <c r="A2958" t="s">
        <v>17611</v>
      </c>
      <c r="B2958" t="s">
        <v>17611</v>
      </c>
      <c r="C2958" t="s">
        <v>17612</v>
      </c>
      <c r="D2958" t="s">
        <v>3242</v>
      </c>
      <c r="E2958" t="s">
        <v>15710</v>
      </c>
      <c r="F2958" t="s">
        <v>3243</v>
      </c>
      <c r="G2958" t="s">
        <v>17613</v>
      </c>
      <c r="H2958" t="s">
        <v>3285</v>
      </c>
    </row>
    <row r="2959" spans="1:9" x14ac:dyDescent="0.25">
      <c r="A2959" t="s">
        <v>11051</v>
      </c>
      <c r="B2959" t="s">
        <v>11051</v>
      </c>
      <c r="C2959" t="s">
        <v>11052</v>
      </c>
      <c r="D2959" t="s">
        <v>3321</v>
      </c>
      <c r="E2959" t="s">
        <v>15710</v>
      </c>
      <c r="F2959" t="s">
        <v>3257</v>
      </c>
      <c r="G2959" t="s">
        <v>11053</v>
      </c>
      <c r="H2959" t="s">
        <v>6561</v>
      </c>
      <c r="I2959" t="s">
        <v>3366</v>
      </c>
    </row>
    <row r="2960" spans="1:9" x14ac:dyDescent="0.25">
      <c r="A2960" t="s">
        <v>11054</v>
      </c>
      <c r="B2960" t="s">
        <v>11054</v>
      </c>
      <c r="C2960" t="s">
        <v>11055</v>
      </c>
      <c r="D2960" t="s">
        <v>3242</v>
      </c>
      <c r="E2960" t="s">
        <v>15710</v>
      </c>
      <c r="F2960" t="s">
        <v>3243</v>
      </c>
      <c r="G2960" t="s">
        <v>11056</v>
      </c>
      <c r="H2960" t="s">
        <v>3402</v>
      </c>
    </row>
    <row r="2961" spans="1:9" x14ac:dyDescent="0.25">
      <c r="A2961" t="s">
        <v>11057</v>
      </c>
      <c r="B2961" t="s">
        <v>11057</v>
      </c>
      <c r="C2961" t="s">
        <v>11058</v>
      </c>
      <c r="D2961" t="s">
        <v>3242</v>
      </c>
      <c r="E2961" t="s">
        <v>15710</v>
      </c>
      <c r="F2961" t="s">
        <v>3251</v>
      </c>
      <c r="G2961" t="s">
        <v>10686</v>
      </c>
      <c r="H2961" t="s">
        <v>4734</v>
      </c>
      <c r="I2961" t="s">
        <v>3254</v>
      </c>
    </row>
    <row r="2962" spans="1:9" x14ac:dyDescent="0.25">
      <c r="A2962" t="s">
        <v>11059</v>
      </c>
      <c r="B2962" t="s">
        <v>11059</v>
      </c>
      <c r="C2962" t="s">
        <v>11060</v>
      </c>
      <c r="D2962" t="s">
        <v>3242</v>
      </c>
      <c r="E2962" t="s">
        <v>15710</v>
      </c>
      <c r="F2962" t="s">
        <v>3288</v>
      </c>
      <c r="G2962" t="s">
        <v>11061</v>
      </c>
      <c r="H2962" t="s">
        <v>3463</v>
      </c>
    </row>
    <row r="2963" spans="1:9" x14ac:dyDescent="0.25">
      <c r="A2963" t="s">
        <v>16069</v>
      </c>
      <c r="B2963" t="s">
        <v>16069</v>
      </c>
      <c r="C2963" t="s">
        <v>16070</v>
      </c>
      <c r="D2963" t="s">
        <v>3242</v>
      </c>
      <c r="E2963" t="s">
        <v>15710</v>
      </c>
      <c r="F2963" t="s">
        <v>3243</v>
      </c>
      <c r="G2963" t="s">
        <v>16071</v>
      </c>
      <c r="H2963" t="s">
        <v>16020</v>
      </c>
    </row>
    <row r="2964" spans="1:9" x14ac:dyDescent="0.25">
      <c r="A2964" t="s">
        <v>11062</v>
      </c>
      <c r="B2964" t="s">
        <v>11062</v>
      </c>
      <c r="C2964" t="s">
        <v>11063</v>
      </c>
      <c r="D2964" t="s">
        <v>3242</v>
      </c>
      <c r="E2964" t="s">
        <v>17073</v>
      </c>
      <c r="F2964" t="s">
        <v>3288</v>
      </c>
    </row>
    <row r="2965" spans="1:9" x14ac:dyDescent="0.25">
      <c r="A2965" t="s">
        <v>11064</v>
      </c>
      <c r="B2965" t="s">
        <v>11064</v>
      </c>
      <c r="C2965" t="s">
        <v>11065</v>
      </c>
      <c r="D2965" t="s">
        <v>3242</v>
      </c>
      <c r="E2965" t="s">
        <v>15710</v>
      </c>
      <c r="F2965" t="s">
        <v>4102</v>
      </c>
      <c r="G2965" t="s">
        <v>11066</v>
      </c>
      <c r="H2965" t="s">
        <v>4711</v>
      </c>
    </row>
    <row r="2966" spans="1:9" x14ac:dyDescent="0.25">
      <c r="A2966" t="s">
        <v>11067</v>
      </c>
      <c r="B2966" t="s">
        <v>11067</v>
      </c>
      <c r="C2966" t="s">
        <v>11068</v>
      </c>
      <c r="D2966" t="s">
        <v>3242</v>
      </c>
      <c r="E2966" t="s">
        <v>15710</v>
      </c>
      <c r="F2966" t="s">
        <v>3288</v>
      </c>
      <c r="G2966" t="s">
        <v>11069</v>
      </c>
      <c r="H2966" t="s">
        <v>3285</v>
      </c>
    </row>
    <row r="2967" spans="1:9" x14ac:dyDescent="0.25">
      <c r="A2967" t="s">
        <v>11070</v>
      </c>
      <c r="B2967" t="s">
        <v>11070</v>
      </c>
      <c r="C2967" t="s">
        <v>11071</v>
      </c>
      <c r="D2967" t="s">
        <v>3242</v>
      </c>
      <c r="E2967" t="s">
        <v>15710</v>
      </c>
      <c r="F2967" t="s">
        <v>3251</v>
      </c>
      <c r="G2967" t="s">
        <v>11072</v>
      </c>
      <c r="H2967" t="s">
        <v>3749</v>
      </c>
    </row>
    <row r="2968" spans="1:9" x14ac:dyDescent="0.25">
      <c r="A2968" t="s">
        <v>11073</v>
      </c>
      <c r="B2968" t="s">
        <v>11073</v>
      </c>
      <c r="C2968" t="s">
        <v>11074</v>
      </c>
      <c r="D2968" t="s">
        <v>3242</v>
      </c>
      <c r="E2968" t="s">
        <v>15710</v>
      </c>
      <c r="F2968" t="s">
        <v>3257</v>
      </c>
      <c r="G2968" t="s">
        <v>11075</v>
      </c>
      <c r="H2968" t="s">
        <v>4919</v>
      </c>
    </row>
    <row r="2969" spans="1:9" x14ac:dyDescent="0.25">
      <c r="A2969" t="s">
        <v>16317</v>
      </c>
      <c r="B2969" t="s">
        <v>16317</v>
      </c>
      <c r="C2969" t="s">
        <v>16318</v>
      </c>
      <c r="D2969" t="s">
        <v>3242</v>
      </c>
      <c r="E2969" t="s">
        <v>15710</v>
      </c>
      <c r="F2969" t="s">
        <v>3288</v>
      </c>
      <c r="G2969" t="s">
        <v>3060</v>
      </c>
      <c r="H2969" t="s">
        <v>3285</v>
      </c>
    </row>
    <row r="2970" spans="1:9" x14ac:dyDescent="0.25">
      <c r="A2970" t="s">
        <v>15409</v>
      </c>
      <c r="B2970" t="s">
        <v>15409</v>
      </c>
      <c r="C2970" t="s">
        <v>15410</v>
      </c>
      <c r="D2970" t="s">
        <v>3242</v>
      </c>
      <c r="E2970" t="s">
        <v>15710</v>
      </c>
      <c r="F2970" t="s">
        <v>3306</v>
      </c>
      <c r="G2970" t="s">
        <v>15411</v>
      </c>
      <c r="H2970" t="s">
        <v>15411</v>
      </c>
      <c r="I2970" t="s">
        <v>3328</v>
      </c>
    </row>
    <row r="2971" spans="1:9" x14ac:dyDescent="0.25">
      <c r="A2971" t="s">
        <v>11076</v>
      </c>
      <c r="B2971" t="s">
        <v>11076</v>
      </c>
      <c r="C2971" t="s">
        <v>11077</v>
      </c>
      <c r="D2971" t="s">
        <v>3242</v>
      </c>
      <c r="E2971" t="s">
        <v>15710</v>
      </c>
      <c r="F2971" t="s">
        <v>11078</v>
      </c>
      <c r="G2971" t="s">
        <v>11079</v>
      </c>
      <c r="H2971" t="s">
        <v>3248</v>
      </c>
      <c r="I2971" t="s">
        <v>3263</v>
      </c>
    </row>
    <row r="2972" spans="1:9" x14ac:dyDescent="0.25">
      <c r="A2972" t="s">
        <v>11080</v>
      </c>
      <c r="B2972" t="s">
        <v>11080</v>
      </c>
      <c r="C2972" t="s">
        <v>11081</v>
      </c>
      <c r="D2972" t="s">
        <v>3242</v>
      </c>
      <c r="E2972" t="s">
        <v>15710</v>
      </c>
      <c r="F2972" t="s">
        <v>3288</v>
      </c>
      <c r="G2972" t="s">
        <v>11082</v>
      </c>
      <c r="H2972" t="s">
        <v>3290</v>
      </c>
    </row>
    <row r="2973" spans="1:9" x14ac:dyDescent="0.25">
      <c r="A2973" t="s">
        <v>11083</v>
      </c>
      <c r="B2973" t="s">
        <v>11083</v>
      </c>
      <c r="C2973" t="s">
        <v>11084</v>
      </c>
      <c r="D2973" t="s">
        <v>3242</v>
      </c>
      <c r="E2973" t="s">
        <v>15710</v>
      </c>
      <c r="F2973" t="s">
        <v>3257</v>
      </c>
      <c r="G2973" t="s">
        <v>11085</v>
      </c>
      <c r="H2973" t="s">
        <v>3332</v>
      </c>
    </row>
    <row r="2974" spans="1:9" x14ac:dyDescent="0.25">
      <c r="A2974" t="s">
        <v>11086</v>
      </c>
      <c r="B2974" t="s">
        <v>11086</v>
      </c>
      <c r="C2974" t="s">
        <v>11087</v>
      </c>
      <c r="D2974" t="s">
        <v>3242</v>
      </c>
      <c r="E2974" t="s">
        <v>15710</v>
      </c>
      <c r="F2974" t="s">
        <v>11088</v>
      </c>
      <c r="G2974" t="s">
        <v>11089</v>
      </c>
      <c r="H2974" t="s">
        <v>3285</v>
      </c>
    </row>
    <row r="2975" spans="1:9" x14ac:dyDescent="0.25">
      <c r="A2975" t="s">
        <v>11090</v>
      </c>
      <c r="B2975" t="s">
        <v>11090</v>
      </c>
      <c r="C2975" t="s">
        <v>11091</v>
      </c>
      <c r="D2975" t="s">
        <v>3242</v>
      </c>
      <c r="E2975" t="s">
        <v>15710</v>
      </c>
      <c r="F2975" t="s">
        <v>3288</v>
      </c>
      <c r="G2975" t="s">
        <v>4696</v>
      </c>
      <c r="H2975" t="s">
        <v>4697</v>
      </c>
    </row>
    <row r="2976" spans="1:9" x14ac:dyDescent="0.25">
      <c r="A2976" t="s">
        <v>11092</v>
      </c>
      <c r="B2976" t="s">
        <v>11092</v>
      </c>
      <c r="C2976" t="s">
        <v>11093</v>
      </c>
      <c r="D2976" t="s">
        <v>3242</v>
      </c>
      <c r="E2976" t="s">
        <v>15710</v>
      </c>
      <c r="F2976" t="s">
        <v>3288</v>
      </c>
      <c r="G2976" t="s">
        <v>11094</v>
      </c>
      <c r="H2976" t="s">
        <v>3962</v>
      </c>
    </row>
    <row r="2977" spans="1:9" x14ac:dyDescent="0.25">
      <c r="A2977" t="s">
        <v>11095</v>
      </c>
      <c r="B2977" t="s">
        <v>11095</v>
      </c>
      <c r="C2977" t="s">
        <v>11096</v>
      </c>
      <c r="D2977" t="s">
        <v>3242</v>
      </c>
      <c r="E2977" t="s">
        <v>15710</v>
      </c>
      <c r="F2977" t="s">
        <v>3243</v>
      </c>
      <c r="G2977" t="s">
        <v>11097</v>
      </c>
      <c r="H2977" t="s">
        <v>3290</v>
      </c>
    </row>
    <row r="2978" spans="1:9" x14ac:dyDescent="0.25">
      <c r="A2978" t="s">
        <v>11098</v>
      </c>
      <c r="B2978" t="s">
        <v>11098</v>
      </c>
      <c r="C2978" t="s">
        <v>11099</v>
      </c>
      <c r="D2978" t="s">
        <v>3242</v>
      </c>
      <c r="E2978" t="s">
        <v>15710</v>
      </c>
      <c r="F2978" t="s">
        <v>3257</v>
      </c>
      <c r="G2978" t="s">
        <v>11100</v>
      </c>
      <c r="H2978" t="s">
        <v>5883</v>
      </c>
      <c r="I2978" t="s">
        <v>3366</v>
      </c>
    </row>
    <row r="2979" spans="1:9" x14ac:dyDescent="0.25">
      <c r="A2979" t="s">
        <v>11101</v>
      </c>
      <c r="B2979" t="s">
        <v>11101</v>
      </c>
      <c r="C2979" t="s">
        <v>11102</v>
      </c>
      <c r="D2979" t="s">
        <v>3242</v>
      </c>
      <c r="E2979" t="s">
        <v>15710</v>
      </c>
      <c r="F2979" t="s">
        <v>3257</v>
      </c>
      <c r="G2979" t="s">
        <v>11103</v>
      </c>
      <c r="H2979" t="s">
        <v>3537</v>
      </c>
    </row>
    <row r="2980" spans="1:9" x14ac:dyDescent="0.25">
      <c r="A2980" t="s">
        <v>11104</v>
      </c>
      <c r="B2980" t="s">
        <v>11104</v>
      </c>
      <c r="C2980" t="s">
        <v>11105</v>
      </c>
      <c r="D2980" t="s">
        <v>3242</v>
      </c>
      <c r="E2980" t="s">
        <v>15710</v>
      </c>
      <c r="F2980" t="s">
        <v>3345</v>
      </c>
      <c r="G2980" t="s">
        <v>11106</v>
      </c>
      <c r="H2980" t="s">
        <v>3285</v>
      </c>
    </row>
    <row r="2981" spans="1:9" x14ac:dyDescent="0.25">
      <c r="A2981" t="s">
        <v>11107</v>
      </c>
      <c r="B2981" t="s">
        <v>11107</v>
      </c>
      <c r="C2981" t="s">
        <v>11108</v>
      </c>
      <c r="D2981" t="s">
        <v>3242</v>
      </c>
      <c r="E2981" t="s">
        <v>17411</v>
      </c>
      <c r="F2981" t="s">
        <v>3257</v>
      </c>
      <c r="G2981" t="s">
        <v>11109</v>
      </c>
      <c r="H2981" t="s">
        <v>5066</v>
      </c>
      <c r="I2981" t="s">
        <v>3263</v>
      </c>
    </row>
    <row r="2982" spans="1:9" x14ac:dyDescent="0.25">
      <c r="A2982" t="s">
        <v>11110</v>
      </c>
      <c r="B2982" t="s">
        <v>11110</v>
      </c>
      <c r="C2982" t="s">
        <v>11111</v>
      </c>
      <c r="D2982" t="s">
        <v>3242</v>
      </c>
      <c r="E2982" t="s">
        <v>15710</v>
      </c>
      <c r="F2982" t="s">
        <v>3288</v>
      </c>
      <c r="G2982" t="s">
        <v>11112</v>
      </c>
      <c r="H2982" t="s">
        <v>8625</v>
      </c>
    </row>
    <row r="2983" spans="1:9" x14ac:dyDescent="0.25">
      <c r="A2983" t="s">
        <v>11113</v>
      </c>
      <c r="B2983" t="s">
        <v>11113</v>
      </c>
      <c r="C2983" t="s">
        <v>11114</v>
      </c>
      <c r="D2983" t="s">
        <v>3242</v>
      </c>
      <c r="E2983" t="s">
        <v>15710</v>
      </c>
      <c r="F2983" t="s">
        <v>3288</v>
      </c>
      <c r="G2983" t="s">
        <v>11115</v>
      </c>
      <c r="H2983" t="s">
        <v>11116</v>
      </c>
    </row>
    <row r="2984" spans="1:9" x14ac:dyDescent="0.25">
      <c r="A2984" t="s">
        <v>11117</v>
      </c>
      <c r="B2984" t="s">
        <v>11117</v>
      </c>
      <c r="C2984" t="s">
        <v>15971</v>
      </c>
      <c r="D2984" t="s">
        <v>3242</v>
      </c>
      <c r="E2984" t="s">
        <v>15710</v>
      </c>
      <c r="F2984" t="s">
        <v>3251</v>
      </c>
      <c r="G2984" t="s">
        <v>11118</v>
      </c>
      <c r="H2984" t="s">
        <v>3421</v>
      </c>
      <c r="I2984" t="s">
        <v>3254</v>
      </c>
    </row>
    <row r="2985" spans="1:9" x14ac:dyDescent="0.25">
      <c r="A2985" t="s">
        <v>11119</v>
      </c>
      <c r="B2985" t="s">
        <v>11119</v>
      </c>
      <c r="C2985" t="s">
        <v>11120</v>
      </c>
      <c r="D2985" t="s">
        <v>3242</v>
      </c>
      <c r="E2985" t="s">
        <v>15710</v>
      </c>
      <c r="F2985" t="s">
        <v>3243</v>
      </c>
      <c r="G2985" t="s">
        <v>11121</v>
      </c>
      <c r="H2985" t="s">
        <v>4284</v>
      </c>
    </row>
    <row r="2986" spans="1:9" x14ac:dyDescent="0.25">
      <c r="A2986" t="s">
        <v>11122</v>
      </c>
      <c r="B2986" t="s">
        <v>11122</v>
      </c>
      <c r="C2986" t="s">
        <v>11123</v>
      </c>
      <c r="D2986" t="s">
        <v>3242</v>
      </c>
      <c r="E2986" t="s">
        <v>15710</v>
      </c>
      <c r="F2986" t="s">
        <v>3243</v>
      </c>
      <c r="G2986" t="s">
        <v>11124</v>
      </c>
      <c r="H2986" t="s">
        <v>3290</v>
      </c>
    </row>
    <row r="2987" spans="1:9" x14ac:dyDescent="0.25">
      <c r="A2987" t="s">
        <v>11125</v>
      </c>
      <c r="B2987" t="s">
        <v>11125</v>
      </c>
      <c r="C2987" t="s">
        <v>11126</v>
      </c>
      <c r="D2987" t="s">
        <v>3242</v>
      </c>
      <c r="E2987" t="s">
        <v>15710</v>
      </c>
      <c r="F2987" t="s">
        <v>3826</v>
      </c>
      <c r="G2987" t="s">
        <v>11127</v>
      </c>
      <c r="H2987" t="s">
        <v>3463</v>
      </c>
    </row>
    <row r="2988" spans="1:9" x14ac:dyDescent="0.25">
      <c r="A2988" t="s">
        <v>11128</v>
      </c>
      <c r="B2988" t="s">
        <v>11128</v>
      </c>
      <c r="C2988" t="s">
        <v>11129</v>
      </c>
      <c r="D2988" t="s">
        <v>3242</v>
      </c>
      <c r="E2988" t="s">
        <v>17412</v>
      </c>
      <c r="F2988" t="s">
        <v>3257</v>
      </c>
      <c r="G2988" t="s">
        <v>11130</v>
      </c>
      <c r="H2988" t="s">
        <v>3353</v>
      </c>
      <c r="I2988" t="s">
        <v>3324</v>
      </c>
    </row>
    <row r="2989" spans="1:9" x14ac:dyDescent="0.25">
      <c r="A2989" t="s">
        <v>11131</v>
      </c>
      <c r="B2989" t="s">
        <v>11131</v>
      </c>
      <c r="C2989" t="s">
        <v>11132</v>
      </c>
      <c r="D2989" t="s">
        <v>3242</v>
      </c>
      <c r="E2989" t="s">
        <v>15710</v>
      </c>
      <c r="F2989" t="s">
        <v>3345</v>
      </c>
      <c r="G2989" t="s">
        <v>4459</v>
      </c>
      <c r="H2989" t="s">
        <v>8377</v>
      </c>
    </row>
    <row r="2990" spans="1:9" x14ac:dyDescent="0.25">
      <c r="A2990" t="s">
        <v>11133</v>
      </c>
      <c r="B2990" t="s">
        <v>11133</v>
      </c>
      <c r="C2990" t="s">
        <v>11134</v>
      </c>
      <c r="D2990" t="s">
        <v>3242</v>
      </c>
      <c r="E2990" t="s">
        <v>15710</v>
      </c>
      <c r="F2990" t="s">
        <v>3243</v>
      </c>
      <c r="G2990" t="s">
        <v>3483</v>
      </c>
      <c r="H2990" t="s">
        <v>3402</v>
      </c>
    </row>
    <row r="2991" spans="1:9" x14ac:dyDescent="0.25">
      <c r="A2991" t="s">
        <v>11135</v>
      </c>
      <c r="B2991" t="s">
        <v>11135</v>
      </c>
      <c r="C2991" t="s">
        <v>11136</v>
      </c>
      <c r="D2991" t="s">
        <v>3242</v>
      </c>
      <c r="E2991" t="s">
        <v>15710</v>
      </c>
      <c r="F2991" t="s">
        <v>11137</v>
      </c>
      <c r="G2991" t="s">
        <v>11138</v>
      </c>
      <c r="H2991" t="s">
        <v>3417</v>
      </c>
      <c r="I2991" t="s">
        <v>3407</v>
      </c>
    </row>
    <row r="2992" spans="1:9" x14ac:dyDescent="0.25">
      <c r="A2992" t="s">
        <v>11139</v>
      </c>
      <c r="B2992" t="s">
        <v>11139</v>
      </c>
      <c r="C2992" t="s">
        <v>11140</v>
      </c>
      <c r="D2992" t="s">
        <v>3242</v>
      </c>
      <c r="E2992" t="s">
        <v>15710</v>
      </c>
      <c r="F2992" t="s">
        <v>3243</v>
      </c>
      <c r="G2992" t="s">
        <v>11141</v>
      </c>
      <c r="H2992" t="s">
        <v>3484</v>
      </c>
    </row>
    <row r="2993" spans="1:9" x14ac:dyDescent="0.25">
      <c r="A2993" t="s">
        <v>11142</v>
      </c>
      <c r="B2993" t="s">
        <v>11142</v>
      </c>
      <c r="C2993" t="s">
        <v>11143</v>
      </c>
      <c r="D2993" t="s">
        <v>3242</v>
      </c>
      <c r="E2993" t="s">
        <v>15710</v>
      </c>
      <c r="F2993" t="s">
        <v>3251</v>
      </c>
      <c r="G2993" t="s">
        <v>11144</v>
      </c>
      <c r="H2993" t="s">
        <v>6489</v>
      </c>
    </row>
    <row r="2994" spans="1:9" x14ac:dyDescent="0.25">
      <c r="A2994" t="s">
        <v>11145</v>
      </c>
      <c r="B2994" t="s">
        <v>11145</v>
      </c>
      <c r="C2994" t="s">
        <v>11146</v>
      </c>
      <c r="D2994" t="s">
        <v>3242</v>
      </c>
      <c r="E2994" t="s">
        <v>15710</v>
      </c>
      <c r="F2994" t="s">
        <v>3257</v>
      </c>
      <c r="G2994" t="s">
        <v>11147</v>
      </c>
      <c r="H2994" t="s">
        <v>4734</v>
      </c>
      <c r="I2994" t="s">
        <v>3254</v>
      </c>
    </row>
    <row r="2995" spans="1:9" x14ac:dyDescent="0.25">
      <c r="A2995" t="s">
        <v>11148</v>
      </c>
      <c r="B2995" t="s">
        <v>11148</v>
      </c>
      <c r="C2995" t="s">
        <v>11149</v>
      </c>
      <c r="D2995" t="s">
        <v>3242</v>
      </c>
      <c r="E2995" t="s">
        <v>15710</v>
      </c>
      <c r="F2995" t="s">
        <v>3288</v>
      </c>
      <c r="G2995" t="s">
        <v>11150</v>
      </c>
      <c r="H2995" t="s">
        <v>3285</v>
      </c>
    </row>
    <row r="2996" spans="1:9" x14ac:dyDescent="0.25">
      <c r="A2996" t="s">
        <v>11151</v>
      </c>
      <c r="B2996" t="s">
        <v>11151</v>
      </c>
      <c r="C2996" t="s">
        <v>11152</v>
      </c>
      <c r="D2996" t="s">
        <v>3242</v>
      </c>
      <c r="E2996" t="s">
        <v>15710</v>
      </c>
      <c r="F2996" t="s">
        <v>3243</v>
      </c>
      <c r="G2996" t="s">
        <v>11153</v>
      </c>
      <c r="H2996" t="s">
        <v>4800</v>
      </c>
    </row>
    <row r="2997" spans="1:9" x14ac:dyDescent="0.25">
      <c r="A2997" t="s">
        <v>15412</v>
      </c>
      <c r="B2997" t="s">
        <v>15412</v>
      </c>
      <c r="C2997" t="s">
        <v>15413</v>
      </c>
      <c r="D2997" t="s">
        <v>3242</v>
      </c>
      <c r="E2997" t="s">
        <v>15710</v>
      </c>
      <c r="F2997" t="s">
        <v>3243</v>
      </c>
      <c r="G2997" t="s">
        <v>4019</v>
      </c>
      <c r="H2997" t="s">
        <v>3285</v>
      </c>
    </row>
    <row r="2998" spans="1:9" x14ac:dyDescent="0.25">
      <c r="A2998" t="s">
        <v>16861</v>
      </c>
      <c r="B2998" t="s">
        <v>16861</v>
      </c>
      <c r="C2998" t="s">
        <v>16862</v>
      </c>
      <c r="D2998" t="s">
        <v>3242</v>
      </c>
      <c r="E2998" t="s">
        <v>15710</v>
      </c>
      <c r="F2998" t="s">
        <v>3288</v>
      </c>
      <c r="G2998" t="s">
        <v>16863</v>
      </c>
      <c r="H2998" t="s">
        <v>10634</v>
      </c>
    </row>
    <row r="2999" spans="1:9" x14ac:dyDescent="0.25">
      <c r="A2999" t="s">
        <v>11154</v>
      </c>
      <c r="B2999" t="s">
        <v>11154</v>
      </c>
      <c r="C2999" t="s">
        <v>11155</v>
      </c>
      <c r="D2999" t="s">
        <v>3242</v>
      </c>
      <c r="E2999" t="s">
        <v>15710</v>
      </c>
      <c r="F2999" t="s">
        <v>3288</v>
      </c>
      <c r="G2999" t="s">
        <v>11156</v>
      </c>
      <c r="H2999" t="s">
        <v>4800</v>
      </c>
    </row>
    <row r="3000" spans="1:9" x14ac:dyDescent="0.25">
      <c r="A3000" t="s">
        <v>17074</v>
      </c>
      <c r="B3000" t="s">
        <v>17074</v>
      </c>
      <c r="C3000" t="s">
        <v>17075</v>
      </c>
      <c r="D3000" t="s">
        <v>3242</v>
      </c>
      <c r="E3000" t="s">
        <v>17076</v>
      </c>
      <c r="F3000" t="s">
        <v>3243</v>
      </c>
      <c r="G3000" t="s">
        <v>17077</v>
      </c>
      <c r="H3000" t="s">
        <v>10553</v>
      </c>
    </row>
    <row r="3001" spans="1:9" x14ac:dyDescent="0.25">
      <c r="A3001" t="s">
        <v>11157</v>
      </c>
      <c r="B3001" t="s">
        <v>11157</v>
      </c>
      <c r="C3001" t="s">
        <v>11158</v>
      </c>
      <c r="D3001" t="s">
        <v>3242</v>
      </c>
      <c r="E3001" t="s">
        <v>15710</v>
      </c>
      <c r="F3001" t="s">
        <v>3288</v>
      </c>
      <c r="G3001" t="s">
        <v>11159</v>
      </c>
      <c r="H3001" t="s">
        <v>11160</v>
      </c>
    </row>
    <row r="3002" spans="1:9" x14ac:dyDescent="0.25">
      <c r="A3002" t="s">
        <v>11161</v>
      </c>
      <c r="B3002" t="s">
        <v>11161</v>
      </c>
      <c r="C3002" t="s">
        <v>11162</v>
      </c>
      <c r="D3002" t="s">
        <v>3242</v>
      </c>
      <c r="E3002" t="s">
        <v>16527</v>
      </c>
      <c r="F3002" t="s">
        <v>3251</v>
      </c>
      <c r="G3002" t="s">
        <v>11163</v>
      </c>
      <c r="H3002" t="s">
        <v>4831</v>
      </c>
      <c r="I3002" t="s">
        <v>3451</v>
      </c>
    </row>
    <row r="3003" spans="1:9" x14ac:dyDescent="0.25">
      <c r="A3003" t="s">
        <v>11164</v>
      </c>
      <c r="B3003" t="s">
        <v>11164</v>
      </c>
      <c r="C3003" t="s">
        <v>11165</v>
      </c>
      <c r="D3003" t="s">
        <v>3242</v>
      </c>
      <c r="E3003" t="s">
        <v>15710</v>
      </c>
      <c r="F3003" t="s">
        <v>3257</v>
      </c>
      <c r="G3003" t="s">
        <v>11166</v>
      </c>
      <c r="H3003" t="s">
        <v>3406</v>
      </c>
      <c r="I3003" t="s">
        <v>3407</v>
      </c>
    </row>
    <row r="3004" spans="1:9" x14ac:dyDescent="0.25">
      <c r="A3004" t="s">
        <v>11167</v>
      </c>
      <c r="B3004" t="s">
        <v>11167</v>
      </c>
      <c r="C3004" t="s">
        <v>11168</v>
      </c>
      <c r="D3004" t="s">
        <v>3242</v>
      </c>
      <c r="E3004" t="s">
        <v>15710</v>
      </c>
      <c r="F3004" t="s">
        <v>3288</v>
      </c>
      <c r="G3004" t="s">
        <v>3060</v>
      </c>
      <c r="H3004" t="s">
        <v>3285</v>
      </c>
    </row>
    <row r="3005" spans="1:9" x14ac:dyDescent="0.25">
      <c r="A3005" t="s">
        <v>11169</v>
      </c>
      <c r="B3005" t="s">
        <v>11169</v>
      </c>
      <c r="C3005" t="s">
        <v>11170</v>
      </c>
      <c r="D3005" t="s">
        <v>3242</v>
      </c>
      <c r="E3005" t="s">
        <v>15710</v>
      </c>
      <c r="F3005" t="s">
        <v>3257</v>
      </c>
      <c r="G3005" t="s">
        <v>11171</v>
      </c>
      <c r="H3005" t="s">
        <v>3332</v>
      </c>
    </row>
    <row r="3006" spans="1:9" x14ac:dyDescent="0.25">
      <c r="A3006" t="s">
        <v>11172</v>
      </c>
      <c r="B3006" t="s">
        <v>11172</v>
      </c>
      <c r="C3006" t="s">
        <v>11173</v>
      </c>
      <c r="D3006" t="s">
        <v>3242</v>
      </c>
      <c r="E3006" t="s">
        <v>15710</v>
      </c>
      <c r="F3006" t="s">
        <v>3345</v>
      </c>
      <c r="G3006" t="s">
        <v>11174</v>
      </c>
      <c r="H3006" t="s">
        <v>3387</v>
      </c>
    </row>
    <row r="3007" spans="1:9" x14ac:dyDescent="0.25">
      <c r="A3007" t="s">
        <v>11175</v>
      </c>
      <c r="B3007" t="s">
        <v>11175</v>
      </c>
      <c r="C3007" t="s">
        <v>11176</v>
      </c>
      <c r="D3007" t="s">
        <v>3242</v>
      </c>
      <c r="E3007" t="s">
        <v>15710</v>
      </c>
      <c r="F3007" t="s">
        <v>3243</v>
      </c>
      <c r="G3007" t="s">
        <v>11177</v>
      </c>
      <c r="H3007" t="s">
        <v>3290</v>
      </c>
    </row>
    <row r="3008" spans="1:9" x14ac:dyDescent="0.25">
      <c r="A3008" t="s">
        <v>11178</v>
      </c>
      <c r="B3008" t="s">
        <v>11178</v>
      </c>
      <c r="C3008" t="s">
        <v>11179</v>
      </c>
      <c r="D3008" t="s">
        <v>3242</v>
      </c>
      <c r="E3008" t="s">
        <v>15710</v>
      </c>
      <c r="F3008" t="s">
        <v>3288</v>
      </c>
      <c r="G3008" t="s">
        <v>11180</v>
      </c>
      <c r="H3008" t="s">
        <v>3463</v>
      </c>
    </row>
    <row r="3009" spans="1:9" x14ac:dyDescent="0.25">
      <c r="A3009" t="s">
        <v>11181</v>
      </c>
      <c r="B3009" t="s">
        <v>11181</v>
      </c>
      <c r="C3009" t="s">
        <v>11182</v>
      </c>
      <c r="D3009" t="s">
        <v>3242</v>
      </c>
      <c r="E3009" t="s">
        <v>15710</v>
      </c>
      <c r="F3009" t="s">
        <v>3257</v>
      </c>
      <c r="G3009" t="s">
        <v>11183</v>
      </c>
      <c r="H3009" t="s">
        <v>3290</v>
      </c>
      <c r="I3009" t="s">
        <v>3407</v>
      </c>
    </row>
    <row r="3010" spans="1:9" x14ac:dyDescent="0.25">
      <c r="A3010" t="s">
        <v>15414</v>
      </c>
      <c r="B3010" t="s">
        <v>15414</v>
      </c>
      <c r="C3010" t="s">
        <v>15415</v>
      </c>
      <c r="D3010" t="s">
        <v>3242</v>
      </c>
      <c r="E3010" t="s">
        <v>15710</v>
      </c>
      <c r="F3010" t="s">
        <v>3288</v>
      </c>
      <c r="G3010" t="s">
        <v>15416</v>
      </c>
      <c r="H3010" t="s">
        <v>3726</v>
      </c>
    </row>
    <row r="3011" spans="1:9" x14ac:dyDescent="0.25">
      <c r="A3011" t="s">
        <v>17413</v>
      </c>
      <c r="B3011" t="s">
        <v>17413</v>
      </c>
      <c r="C3011" t="s">
        <v>17414</v>
      </c>
      <c r="D3011" t="s">
        <v>3242</v>
      </c>
      <c r="E3011" t="s">
        <v>17415</v>
      </c>
      <c r="F3011" t="s">
        <v>3345</v>
      </c>
      <c r="G3011" t="s">
        <v>17416</v>
      </c>
      <c r="H3011" t="s">
        <v>4615</v>
      </c>
    </row>
    <row r="3012" spans="1:9" x14ac:dyDescent="0.25">
      <c r="A3012" t="s">
        <v>16864</v>
      </c>
      <c r="B3012" t="s">
        <v>16864</v>
      </c>
      <c r="C3012" t="s">
        <v>16865</v>
      </c>
      <c r="D3012" t="s">
        <v>3242</v>
      </c>
      <c r="E3012" t="s">
        <v>15710</v>
      </c>
      <c r="F3012" t="s">
        <v>3288</v>
      </c>
      <c r="G3012" t="s">
        <v>3060</v>
      </c>
      <c r="H3012" t="s">
        <v>3285</v>
      </c>
    </row>
    <row r="3013" spans="1:9" x14ac:dyDescent="0.25">
      <c r="A3013" t="s">
        <v>11184</v>
      </c>
      <c r="B3013" t="s">
        <v>11184</v>
      </c>
      <c r="C3013" t="s">
        <v>11185</v>
      </c>
      <c r="D3013" t="s">
        <v>3242</v>
      </c>
      <c r="E3013" t="s">
        <v>15710</v>
      </c>
      <c r="F3013" t="s">
        <v>3288</v>
      </c>
      <c r="G3013" t="s">
        <v>10143</v>
      </c>
      <c r="H3013" t="s">
        <v>4166</v>
      </c>
    </row>
    <row r="3014" spans="1:9" x14ac:dyDescent="0.25">
      <c r="A3014" t="s">
        <v>11186</v>
      </c>
      <c r="B3014" t="s">
        <v>11186</v>
      </c>
      <c r="C3014" t="s">
        <v>11187</v>
      </c>
      <c r="D3014" t="s">
        <v>3242</v>
      </c>
      <c r="E3014" t="s">
        <v>15710</v>
      </c>
      <c r="F3014" t="s">
        <v>3243</v>
      </c>
      <c r="G3014" t="s">
        <v>11188</v>
      </c>
      <c r="H3014" t="s">
        <v>3484</v>
      </c>
    </row>
    <row r="3015" spans="1:9" x14ac:dyDescent="0.25">
      <c r="A3015" t="s">
        <v>16866</v>
      </c>
      <c r="B3015" t="s">
        <v>16866</v>
      </c>
      <c r="C3015" t="s">
        <v>16867</v>
      </c>
      <c r="D3015" t="s">
        <v>3242</v>
      </c>
      <c r="E3015" t="s">
        <v>15710</v>
      </c>
      <c r="F3015" t="s">
        <v>3243</v>
      </c>
      <c r="G3015" t="s">
        <v>16868</v>
      </c>
      <c r="H3015" t="s">
        <v>3285</v>
      </c>
    </row>
    <row r="3016" spans="1:9" x14ac:dyDescent="0.25">
      <c r="A3016" t="s">
        <v>15417</v>
      </c>
      <c r="B3016" t="s">
        <v>15417</v>
      </c>
      <c r="C3016" t="s">
        <v>15418</v>
      </c>
      <c r="D3016" t="s">
        <v>3242</v>
      </c>
      <c r="E3016" t="s">
        <v>15710</v>
      </c>
      <c r="F3016" t="s">
        <v>3243</v>
      </c>
      <c r="G3016" t="s">
        <v>15419</v>
      </c>
      <c r="H3016" t="s">
        <v>3680</v>
      </c>
    </row>
    <row r="3017" spans="1:9" x14ac:dyDescent="0.25">
      <c r="A3017" t="s">
        <v>11189</v>
      </c>
      <c r="B3017" t="s">
        <v>11189</v>
      </c>
      <c r="C3017" t="s">
        <v>11190</v>
      </c>
      <c r="D3017" t="s">
        <v>3242</v>
      </c>
      <c r="E3017" t="s">
        <v>15710</v>
      </c>
      <c r="F3017" t="s">
        <v>3283</v>
      </c>
      <c r="G3017" t="s">
        <v>11191</v>
      </c>
      <c r="H3017" t="s">
        <v>3285</v>
      </c>
    </row>
    <row r="3018" spans="1:9" x14ac:dyDescent="0.25">
      <c r="A3018" t="s">
        <v>11192</v>
      </c>
      <c r="B3018" t="s">
        <v>11192</v>
      </c>
      <c r="C3018" t="s">
        <v>11193</v>
      </c>
      <c r="D3018" t="s">
        <v>3242</v>
      </c>
      <c r="E3018" t="s">
        <v>15710</v>
      </c>
      <c r="F3018" t="s">
        <v>3288</v>
      </c>
      <c r="G3018" t="s">
        <v>11194</v>
      </c>
      <c r="H3018" t="s">
        <v>3814</v>
      </c>
    </row>
    <row r="3019" spans="1:9" x14ac:dyDescent="0.25">
      <c r="A3019" t="s">
        <v>11195</v>
      </c>
      <c r="B3019" t="s">
        <v>11195</v>
      </c>
      <c r="C3019" t="s">
        <v>11196</v>
      </c>
      <c r="D3019" t="s">
        <v>3321</v>
      </c>
      <c r="E3019" t="s">
        <v>15710</v>
      </c>
      <c r="F3019" t="s">
        <v>3306</v>
      </c>
      <c r="G3019" t="s">
        <v>11197</v>
      </c>
      <c r="H3019" t="s">
        <v>6502</v>
      </c>
      <c r="I3019" t="s">
        <v>3268</v>
      </c>
    </row>
    <row r="3020" spans="1:9" x14ac:dyDescent="0.25">
      <c r="A3020" t="s">
        <v>11198</v>
      </c>
      <c r="B3020" t="s">
        <v>11198</v>
      </c>
      <c r="C3020" t="s">
        <v>11199</v>
      </c>
      <c r="D3020" t="s">
        <v>3242</v>
      </c>
      <c r="E3020" t="s">
        <v>15710</v>
      </c>
      <c r="F3020" t="s">
        <v>3288</v>
      </c>
      <c r="G3020" t="s">
        <v>11200</v>
      </c>
      <c r="H3020" t="s">
        <v>3290</v>
      </c>
    </row>
    <row r="3021" spans="1:9" x14ac:dyDescent="0.25">
      <c r="A3021" t="s">
        <v>11201</v>
      </c>
      <c r="B3021" t="s">
        <v>11201</v>
      </c>
      <c r="C3021" t="s">
        <v>11202</v>
      </c>
      <c r="D3021" t="s">
        <v>3242</v>
      </c>
      <c r="E3021" t="s">
        <v>15710</v>
      </c>
      <c r="F3021" t="s">
        <v>3243</v>
      </c>
      <c r="G3021" t="s">
        <v>11203</v>
      </c>
      <c r="H3021" t="s">
        <v>3290</v>
      </c>
    </row>
    <row r="3022" spans="1:9" x14ac:dyDescent="0.25">
      <c r="A3022" t="s">
        <v>11204</v>
      </c>
      <c r="B3022" t="s">
        <v>11204</v>
      </c>
      <c r="C3022" t="s">
        <v>11205</v>
      </c>
      <c r="D3022" t="s">
        <v>3242</v>
      </c>
      <c r="E3022" t="s">
        <v>15937</v>
      </c>
      <c r="F3022" t="s">
        <v>3306</v>
      </c>
      <c r="G3022" t="s">
        <v>11206</v>
      </c>
      <c r="H3022" t="s">
        <v>3267</v>
      </c>
      <c r="I3022" t="s">
        <v>3268</v>
      </c>
    </row>
    <row r="3023" spans="1:9" x14ac:dyDescent="0.25">
      <c r="A3023" t="s">
        <v>11207</v>
      </c>
      <c r="B3023" t="s">
        <v>11207</v>
      </c>
      <c r="C3023" t="s">
        <v>11208</v>
      </c>
      <c r="D3023" t="s">
        <v>3242</v>
      </c>
      <c r="E3023" t="s">
        <v>15710</v>
      </c>
      <c r="F3023" t="s">
        <v>3345</v>
      </c>
      <c r="G3023" t="s">
        <v>11209</v>
      </c>
      <c r="H3023" t="s">
        <v>3060</v>
      </c>
    </row>
    <row r="3024" spans="1:9" x14ac:dyDescent="0.25">
      <c r="A3024" t="s">
        <v>11210</v>
      </c>
      <c r="B3024" t="s">
        <v>11210</v>
      </c>
      <c r="C3024" t="s">
        <v>11211</v>
      </c>
      <c r="D3024" t="s">
        <v>3242</v>
      </c>
      <c r="E3024" t="s">
        <v>15710</v>
      </c>
      <c r="F3024" t="s">
        <v>3288</v>
      </c>
      <c r="G3024" t="s">
        <v>11212</v>
      </c>
      <c r="H3024" t="s">
        <v>3744</v>
      </c>
    </row>
    <row r="3025" spans="1:9" x14ac:dyDescent="0.25">
      <c r="A3025" t="s">
        <v>11213</v>
      </c>
      <c r="B3025" t="s">
        <v>11213</v>
      </c>
      <c r="C3025" t="s">
        <v>11214</v>
      </c>
      <c r="D3025" t="s">
        <v>3242</v>
      </c>
      <c r="E3025" t="s">
        <v>15710</v>
      </c>
      <c r="F3025" t="s">
        <v>3288</v>
      </c>
      <c r="G3025" t="s">
        <v>11215</v>
      </c>
      <c r="H3025" t="s">
        <v>3290</v>
      </c>
    </row>
    <row r="3026" spans="1:9" x14ac:dyDescent="0.25">
      <c r="A3026" t="s">
        <v>11216</v>
      </c>
      <c r="B3026" t="s">
        <v>11216</v>
      </c>
      <c r="C3026" t="s">
        <v>11217</v>
      </c>
      <c r="D3026" t="s">
        <v>3242</v>
      </c>
      <c r="E3026" t="s">
        <v>17417</v>
      </c>
      <c r="F3026" t="s">
        <v>3243</v>
      </c>
      <c r="G3026" t="s">
        <v>11218</v>
      </c>
      <c r="H3026" t="s">
        <v>3406</v>
      </c>
    </row>
    <row r="3027" spans="1:9" x14ac:dyDescent="0.25">
      <c r="A3027" t="s">
        <v>16709</v>
      </c>
      <c r="B3027" t="s">
        <v>16709</v>
      </c>
      <c r="C3027" t="s">
        <v>16710</v>
      </c>
      <c r="D3027" t="s">
        <v>3242</v>
      </c>
      <c r="E3027" t="s">
        <v>15710</v>
      </c>
      <c r="F3027" t="s">
        <v>3243</v>
      </c>
      <c r="G3027" t="s">
        <v>16711</v>
      </c>
      <c r="H3027" t="s">
        <v>4284</v>
      </c>
    </row>
    <row r="3028" spans="1:9" x14ac:dyDescent="0.25">
      <c r="A3028" t="s">
        <v>11219</v>
      </c>
      <c r="B3028" t="s">
        <v>11219</v>
      </c>
      <c r="C3028" t="s">
        <v>11220</v>
      </c>
      <c r="D3028" t="s">
        <v>3242</v>
      </c>
      <c r="E3028" t="s">
        <v>15710</v>
      </c>
      <c r="F3028" t="s">
        <v>3300</v>
      </c>
      <c r="G3028" t="s">
        <v>11221</v>
      </c>
      <c r="H3028" t="s">
        <v>3332</v>
      </c>
    </row>
    <row r="3029" spans="1:9" x14ac:dyDescent="0.25">
      <c r="A3029" t="s">
        <v>11222</v>
      </c>
      <c r="B3029" t="s">
        <v>11222</v>
      </c>
      <c r="C3029" t="s">
        <v>11223</v>
      </c>
      <c r="D3029" t="s">
        <v>3242</v>
      </c>
      <c r="E3029" t="s">
        <v>17418</v>
      </c>
      <c r="F3029" t="s">
        <v>3257</v>
      </c>
      <c r="G3029" t="s">
        <v>11224</v>
      </c>
      <c r="H3029" t="s">
        <v>4179</v>
      </c>
      <c r="I3029" t="s">
        <v>3324</v>
      </c>
    </row>
    <row r="3030" spans="1:9" x14ac:dyDescent="0.25">
      <c r="A3030" t="s">
        <v>11225</v>
      </c>
      <c r="B3030" t="s">
        <v>11225</v>
      </c>
      <c r="C3030" t="s">
        <v>11226</v>
      </c>
      <c r="D3030" t="s">
        <v>3242</v>
      </c>
      <c r="E3030" t="s">
        <v>15710</v>
      </c>
      <c r="F3030" t="s">
        <v>15726</v>
      </c>
      <c r="G3030" t="s">
        <v>11227</v>
      </c>
      <c r="H3030" t="s">
        <v>3402</v>
      </c>
    </row>
    <row r="3031" spans="1:9" x14ac:dyDescent="0.25">
      <c r="A3031" t="s">
        <v>11228</v>
      </c>
      <c r="B3031" t="s">
        <v>11228</v>
      </c>
      <c r="C3031" t="s">
        <v>11229</v>
      </c>
      <c r="D3031" t="s">
        <v>3242</v>
      </c>
      <c r="E3031" t="s">
        <v>15710</v>
      </c>
      <c r="F3031" t="s">
        <v>3251</v>
      </c>
      <c r="G3031" t="s">
        <v>3748</v>
      </c>
      <c r="H3031" t="s">
        <v>3749</v>
      </c>
    </row>
    <row r="3032" spans="1:9" x14ac:dyDescent="0.25">
      <c r="A3032" t="s">
        <v>11230</v>
      </c>
      <c r="B3032" t="s">
        <v>11230</v>
      </c>
      <c r="C3032" t="s">
        <v>11231</v>
      </c>
      <c r="D3032" t="s">
        <v>3242</v>
      </c>
      <c r="E3032" t="s">
        <v>15710</v>
      </c>
      <c r="F3032" t="s">
        <v>3288</v>
      </c>
      <c r="G3032" t="s">
        <v>3060</v>
      </c>
      <c r="H3032" t="s">
        <v>3285</v>
      </c>
    </row>
    <row r="3033" spans="1:9" x14ac:dyDescent="0.25">
      <c r="A3033" t="s">
        <v>11232</v>
      </c>
      <c r="B3033" t="s">
        <v>11232</v>
      </c>
      <c r="C3033" t="s">
        <v>11233</v>
      </c>
      <c r="D3033" t="s">
        <v>3242</v>
      </c>
      <c r="E3033" t="s">
        <v>15710</v>
      </c>
      <c r="F3033" t="s">
        <v>11234</v>
      </c>
      <c r="G3033" t="s">
        <v>3060</v>
      </c>
      <c r="H3033" t="s">
        <v>3285</v>
      </c>
    </row>
    <row r="3034" spans="1:9" x14ac:dyDescent="0.25">
      <c r="A3034" t="s">
        <v>11235</v>
      </c>
      <c r="B3034" t="s">
        <v>11235</v>
      </c>
      <c r="C3034" t="s">
        <v>11236</v>
      </c>
      <c r="D3034" t="s">
        <v>3242</v>
      </c>
      <c r="E3034" t="s">
        <v>15710</v>
      </c>
      <c r="F3034" t="s">
        <v>3251</v>
      </c>
      <c r="G3034" t="s">
        <v>11237</v>
      </c>
      <c r="H3034" t="s">
        <v>3886</v>
      </c>
    </row>
    <row r="3035" spans="1:9" x14ac:dyDescent="0.25">
      <c r="A3035" t="s">
        <v>11238</v>
      </c>
      <c r="B3035" t="s">
        <v>11238</v>
      </c>
      <c r="C3035" t="s">
        <v>11239</v>
      </c>
      <c r="D3035" t="s">
        <v>3242</v>
      </c>
      <c r="E3035" t="s">
        <v>15710</v>
      </c>
      <c r="F3035" t="s">
        <v>3345</v>
      </c>
      <c r="G3035" t="s">
        <v>11240</v>
      </c>
      <c r="H3035" t="s">
        <v>11116</v>
      </c>
    </row>
    <row r="3036" spans="1:9" x14ac:dyDescent="0.25">
      <c r="A3036" t="s">
        <v>11241</v>
      </c>
      <c r="B3036" t="s">
        <v>11241</v>
      </c>
      <c r="C3036" t="s">
        <v>11242</v>
      </c>
      <c r="D3036" t="s">
        <v>3242</v>
      </c>
      <c r="E3036" t="s">
        <v>15710</v>
      </c>
      <c r="F3036" t="s">
        <v>4102</v>
      </c>
      <c r="G3036" t="s">
        <v>7775</v>
      </c>
      <c r="H3036" t="s">
        <v>3962</v>
      </c>
    </row>
    <row r="3037" spans="1:9" x14ac:dyDescent="0.25">
      <c r="A3037" t="s">
        <v>16528</v>
      </c>
      <c r="B3037" t="s">
        <v>16528</v>
      </c>
      <c r="C3037" t="s">
        <v>16529</v>
      </c>
      <c r="D3037" t="s">
        <v>3242</v>
      </c>
      <c r="E3037" t="s">
        <v>15710</v>
      </c>
      <c r="F3037" t="s">
        <v>3243</v>
      </c>
      <c r="G3037" t="s">
        <v>16530</v>
      </c>
      <c r="H3037" t="s">
        <v>3285</v>
      </c>
    </row>
    <row r="3038" spans="1:9" x14ac:dyDescent="0.25">
      <c r="A3038" t="s">
        <v>15420</v>
      </c>
      <c r="B3038" t="s">
        <v>15420</v>
      </c>
      <c r="C3038" t="s">
        <v>15421</v>
      </c>
      <c r="D3038" t="s">
        <v>3242</v>
      </c>
      <c r="E3038" t="s">
        <v>15710</v>
      </c>
      <c r="F3038" t="s">
        <v>3243</v>
      </c>
      <c r="G3038" t="s">
        <v>15422</v>
      </c>
      <c r="H3038" t="s">
        <v>3285</v>
      </c>
    </row>
    <row r="3039" spans="1:9" x14ac:dyDescent="0.25">
      <c r="A3039" t="s">
        <v>15423</v>
      </c>
      <c r="B3039" t="s">
        <v>15423</v>
      </c>
      <c r="C3039" t="s">
        <v>15424</v>
      </c>
      <c r="D3039" t="s">
        <v>3242</v>
      </c>
      <c r="E3039" t="s">
        <v>15710</v>
      </c>
      <c r="F3039" t="s">
        <v>3288</v>
      </c>
      <c r="G3039" t="s">
        <v>3060</v>
      </c>
      <c r="H3039" t="s">
        <v>3285</v>
      </c>
    </row>
    <row r="3040" spans="1:9" x14ac:dyDescent="0.25">
      <c r="A3040" t="s">
        <v>11243</v>
      </c>
      <c r="B3040" t="s">
        <v>11243</v>
      </c>
      <c r="C3040" t="s">
        <v>11244</v>
      </c>
      <c r="D3040" t="s">
        <v>3242</v>
      </c>
      <c r="E3040" t="s">
        <v>15710</v>
      </c>
      <c r="F3040" t="s">
        <v>3243</v>
      </c>
      <c r="G3040" t="s">
        <v>11245</v>
      </c>
      <c r="H3040" t="s">
        <v>3285</v>
      </c>
    </row>
    <row r="3041" spans="1:9" x14ac:dyDescent="0.25">
      <c r="A3041" t="s">
        <v>11246</v>
      </c>
      <c r="B3041" t="s">
        <v>11246</v>
      </c>
      <c r="C3041" t="s">
        <v>11247</v>
      </c>
      <c r="D3041" t="s">
        <v>3242</v>
      </c>
      <c r="E3041" t="s">
        <v>15710</v>
      </c>
      <c r="F3041" t="s">
        <v>3251</v>
      </c>
      <c r="G3041" t="s">
        <v>11248</v>
      </c>
      <c r="H3041" t="s">
        <v>3290</v>
      </c>
      <c r="I3041" t="s">
        <v>3451</v>
      </c>
    </row>
    <row r="3042" spans="1:9" x14ac:dyDescent="0.25">
      <c r="A3042" t="s">
        <v>11249</v>
      </c>
      <c r="B3042" t="s">
        <v>11249</v>
      </c>
      <c r="C3042" t="s">
        <v>11250</v>
      </c>
      <c r="D3042" t="s">
        <v>3242</v>
      </c>
      <c r="E3042" t="s">
        <v>15710</v>
      </c>
      <c r="F3042" t="s">
        <v>3345</v>
      </c>
      <c r="G3042" t="s">
        <v>4642</v>
      </c>
      <c r="H3042" t="s">
        <v>3285</v>
      </c>
    </row>
    <row r="3043" spans="1:9" x14ac:dyDescent="0.25">
      <c r="A3043" t="s">
        <v>11251</v>
      </c>
      <c r="B3043" t="s">
        <v>11251</v>
      </c>
      <c r="C3043" t="s">
        <v>11252</v>
      </c>
      <c r="D3043" t="s">
        <v>3242</v>
      </c>
      <c r="E3043" t="s">
        <v>15710</v>
      </c>
      <c r="F3043" t="s">
        <v>3288</v>
      </c>
      <c r="G3043" t="s">
        <v>11253</v>
      </c>
      <c r="H3043" t="s">
        <v>3488</v>
      </c>
    </row>
    <row r="3044" spans="1:9" x14ac:dyDescent="0.25">
      <c r="A3044" t="s">
        <v>11254</v>
      </c>
      <c r="B3044" t="s">
        <v>11254</v>
      </c>
      <c r="C3044" t="s">
        <v>11255</v>
      </c>
      <c r="D3044" t="s">
        <v>3242</v>
      </c>
      <c r="E3044" t="s">
        <v>15710</v>
      </c>
      <c r="F3044" t="s">
        <v>3288</v>
      </c>
      <c r="G3044" t="s">
        <v>11256</v>
      </c>
      <c r="H3044" t="s">
        <v>3060</v>
      </c>
    </row>
    <row r="3045" spans="1:9" x14ac:dyDescent="0.25">
      <c r="A3045" t="s">
        <v>11257</v>
      </c>
      <c r="B3045" t="s">
        <v>11257</v>
      </c>
      <c r="C3045" t="s">
        <v>11258</v>
      </c>
      <c r="D3045" t="s">
        <v>3242</v>
      </c>
      <c r="E3045" t="s">
        <v>15710</v>
      </c>
      <c r="F3045" t="s">
        <v>3306</v>
      </c>
      <c r="G3045" t="s">
        <v>11259</v>
      </c>
      <c r="H3045" t="s">
        <v>3060</v>
      </c>
    </row>
    <row r="3046" spans="1:9" x14ac:dyDescent="0.25">
      <c r="A3046" t="s">
        <v>11260</v>
      </c>
      <c r="B3046" t="s">
        <v>11260</v>
      </c>
      <c r="C3046" t="s">
        <v>11261</v>
      </c>
      <c r="D3046" t="s">
        <v>3242</v>
      </c>
      <c r="E3046" t="s">
        <v>15710</v>
      </c>
      <c r="F3046" t="s">
        <v>3288</v>
      </c>
      <c r="G3046" t="s">
        <v>11262</v>
      </c>
      <c r="H3046" t="s">
        <v>3361</v>
      </c>
    </row>
    <row r="3047" spans="1:9" x14ac:dyDescent="0.25">
      <c r="A3047" t="s">
        <v>11263</v>
      </c>
      <c r="B3047" t="s">
        <v>11263</v>
      </c>
      <c r="C3047" t="s">
        <v>11264</v>
      </c>
      <c r="D3047" t="s">
        <v>3242</v>
      </c>
      <c r="E3047" t="s">
        <v>15710</v>
      </c>
      <c r="F3047" t="s">
        <v>3345</v>
      </c>
      <c r="G3047" t="s">
        <v>11265</v>
      </c>
      <c r="H3047" t="s">
        <v>10634</v>
      </c>
    </row>
    <row r="3048" spans="1:9" x14ac:dyDescent="0.25">
      <c r="A3048" t="s">
        <v>11266</v>
      </c>
      <c r="B3048" t="s">
        <v>11266</v>
      </c>
      <c r="C3048" t="s">
        <v>11267</v>
      </c>
      <c r="D3048" t="s">
        <v>3242</v>
      </c>
      <c r="E3048" t="s">
        <v>15710</v>
      </c>
      <c r="F3048" t="s">
        <v>3243</v>
      </c>
      <c r="G3048" t="s">
        <v>3243</v>
      </c>
      <c r="H3048" t="s">
        <v>3290</v>
      </c>
    </row>
    <row r="3049" spans="1:9" x14ac:dyDescent="0.25">
      <c r="A3049" t="s">
        <v>11268</v>
      </c>
      <c r="B3049" t="s">
        <v>11268</v>
      </c>
      <c r="C3049" t="s">
        <v>11269</v>
      </c>
      <c r="D3049" t="s">
        <v>3242</v>
      </c>
      <c r="E3049" t="s">
        <v>15710</v>
      </c>
      <c r="F3049" t="s">
        <v>3288</v>
      </c>
      <c r="G3049" t="s">
        <v>3060</v>
      </c>
      <c r="H3049" t="s">
        <v>3285</v>
      </c>
    </row>
    <row r="3050" spans="1:9" x14ac:dyDescent="0.25">
      <c r="A3050" t="s">
        <v>11270</v>
      </c>
      <c r="B3050" t="s">
        <v>11270</v>
      </c>
      <c r="C3050" t="s">
        <v>11271</v>
      </c>
      <c r="D3050" t="s">
        <v>3242</v>
      </c>
      <c r="E3050" t="s">
        <v>15710</v>
      </c>
      <c r="F3050" t="s">
        <v>3251</v>
      </c>
      <c r="G3050" t="s">
        <v>11272</v>
      </c>
      <c r="H3050" t="s">
        <v>3623</v>
      </c>
    </row>
    <row r="3051" spans="1:9" x14ac:dyDescent="0.25">
      <c r="A3051" t="s">
        <v>11273</v>
      </c>
      <c r="B3051" t="s">
        <v>11273</v>
      </c>
      <c r="C3051" t="s">
        <v>11274</v>
      </c>
      <c r="D3051" t="s">
        <v>3242</v>
      </c>
      <c r="E3051" t="s">
        <v>15710</v>
      </c>
      <c r="F3051" t="s">
        <v>3288</v>
      </c>
      <c r="G3051" t="s">
        <v>11275</v>
      </c>
      <c r="H3051" t="s">
        <v>3726</v>
      </c>
    </row>
    <row r="3052" spans="1:9" x14ac:dyDescent="0.25">
      <c r="A3052" t="s">
        <v>11276</v>
      </c>
      <c r="B3052" t="s">
        <v>11276</v>
      </c>
      <c r="C3052" t="s">
        <v>11277</v>
      </c>
      <c r="D3052" t="s">
        <v>3242</v>
      </c>
      <c r="E3052" t="s">
        <v>15710</v>
      </c>
      <c r="F3052" t="s">
        <v>3257</v>
      </c>
      <c r="G3052" t="s">
        <v>11278</v>
      </c>
      <c r="H3052" t="s">
        <v>5062</v>
      </c>
      <c r="I3052" t="s">
        <v>3263</v>
      </c>
    </row>
    <row r="3053" spans="1:9" x14ac:dyDescent="0.25">
      <c r="A3053" t="s">
        <v>11279</v>
      </c>
      <c r="B3053" t="s">
        <v>11276</v>
      </c>
      <c r="C3053" t="s">
        <v>11277</v>
      </c>
      <c r="D3053" t="s">
        <v>3242</v>
      </c>
      <c r="E3053" t="s">
        <v>15710</v>
      </c>
      <c r="F3053" t="s">
        <v>3257</v>
      </c>
      <c r="G3053" t="s">
        <v>11278</v>
      </c>
      <c r="H3053" t="s">
        <v>5062</v>
      </c>
    </row>
    <row r="3054" spans="1:9" x14ac:dyDescent="0.25">
      <c r="A3054" t="s">
        <v>11280</v>
      </c>
      <c r="B3054" t="s">
        <v>11280</v>
      </c>
      <c r="C3054" t="s">
        <v>11281</v>
      </c>
      <c r="D3054" t="s">
        <v>3242</v>
      </c>
      <c r="E3054" t="s">
        <v>15710</v>
      </c>
      <c r="F3054" t="s">
        <v>3345</v>
      </c>
      <c r="G3054" t="s">
        <v>11282</v>
      </c>
      <c r="H3054" t="s">
        <v>3285</v>
      </c>
    </row>
    <row r="3055" spans="1:9" x14ac:dyDescent="0.25">
      <c r="A3055" t="s">
        <v>15425</v>
      </c>
      <c r="B3055" t="s">
        <v>15425</v>
      </c>
      <c r="C3055" t="s">
        <v>15426</v>
      </c>
      <c r="D3055" t="s">
        <v>3242</v>
      </c>
      <c r="E3055" t="s">
        <v>15710</v>
      </c>
      <c r="F3055" t="s">
        <v>3243</v>
      </c>
      <c r="G3055" t="s">
        <v>15427</v>
      </c>
      <c r="H3055" t="s">
        <v>3566</v>
      </c>
    </row>
    <row r="3056" spans="1:9" x14ac:dyDescent="0.25">
      <c r="A3056" t="s">
        <v>11283</v>
      </c>
      <c r="B3056" t="s">
        <v>11283</v>
      </c>
      <c r="C3056" t="s">
        <v>11284</v>
      </c>
      <c r="D3056" t="s">
        <v>3242</v>
      </c>
      <c r="E3056" t="s">
        <v>15710</v>
      </c>
      <c r="F3056" t="s">
        <v>3345</v>
      </c>
      <c r="G3056" t="s">
        <v>3749</v>
      </c>
      <c r="H3056" t="s">
        <v>4615</v>
      </c>
    </row>
    <row r="3057" spans="1:9" x14ac:dyDescent="0.25">
      <c r="A3057" t="s">
        <v>11285</v>
      </c>
      <c r="B3057" t="s">
        <v>11285</v>
      </c>
      <c r="C3057" t="s">
        <v>11286</v>
      </c>
      <c r="D3057" t="s">
        <v>3242</v>
      </c>
      <c r="E3057" t="s">
        <v>15710</v>
      </c>
      <c r="F3057" t="s">
        <v>3300</v>
      </c>
      <c r="G3057" t="s">
        <v>11171</v>
      </c>
      <c r="H3057" t="s">
        <v>3332</v>
      </c>
    </row>
    <row r="3058" spans="1:9" x14ac:dyDescent="0.25">
      <c r="A3058" t="s">
        <v>11287</v>
      </c>
      <c r="B3058" t="s">
        <v>11287</v>
      </c>
      <c r="C3058" t="s">
        <v>11288</v>
      </c>
      <c r="D3058" t="s">
        <v>3242</v>
      </c>
      <c r="E3058" t="s">
        <v>15710</v>
      </c>
      <c r="F3058" t="s">
        <v>3288</v>
      </c>
      <c r="G3058" t="s">
        <v>11289</v>
      </c>
      <c r="H3058" t="s">
        <v>6843</v>
      </c>
    </row>
    <row r="3059" spans="1:9" x14ac:dyDescent="0.25">
      <c r="A3059" t="s">
        <v>11290</v>
      </c>
      <c r="B3059" t="s">
        <v>11290</v>
      </c>
      <c r="C3059" t="s">
        <v>11291</v>
      </c>
      <c r="D3059" t="s">
        <v>3242</v>
      </c>
      <c r="E3059" t="s">
        <v>15710</v>
      </c>
      <c r="F3059" t="s">
        <v>3243</v>
      </c>
      <c r="G3059" t="s">
        <v>11292</v>
      </c>
      <c r="H3059" t="s">
        <v>4268</v>
      </c>
    </row>
    <row r="3060" spans="1:9" x14ac:dyDescent="0.25">
      <c r="A3060" t="s">
        <v>11293</v>
      </c>
      <c r="B3060" t="s">
        <v>11293</v>
      </c>
      <c r="C3060" t="s">
        <v>11294</v>
      </c>
      <c r="D3060" t="s">
        <v>3242</v>
      </c>
      <c r="E3060" t="s">
        <v>15710</v>
      </c>
      <c r="F3060" t="s">
        <v>3243</v>
      </c>
      <c r="G3060" t="s">
        <v>11295</v>
      </c>
      <c r="H3060" t="s">
        <v>3623</v>
      </c>
    </row>
    <row r="3061" spans="1:9" x14ac:dyDescent="0.25">
      <c r="A3061" t="s">
        <v>11296</v>
      </c>
      <c r="B3061" t="s">
        <v>11296</v>
      </c>
      <c r="C3061" t="s">
        <v>11297</v>
      </c>
      <c r="D3061" t="s">
        <v>3242</v>
      </c>
      <c r="E3061" t="s">
        <v>15710</v>
      </c>
      <c r="F3061" t="s">
        <v>3243</v>
      </c>
      <c r="G3061" t="s">
        <v>11298</v>
      </c>
      <c r="H3061" t="s">
        <v>4953</v>
      </c>
    </row>
    <row r="3062" spans="1:9" x14ac:dyDescent="0.25">
      <c r="A3062" t="s">
        <v>11299</v>
      </c>
      <c r="B3062" t="s">
        <v>11299</v>
      </c>
      <c r="C3062" t="s">
        <v>11300</v>
      </c>
      <c r="D3062" t="s">
        <v>3242</v>
      </c>
      <c r="E3062" t="s">
        <v>15710</v>
      </c>
      <c r="F3062" t="s">
        <v>3345</v>
      </c>
      <c r="G3062" t="s">
        <v>11301</v>
      </c>
      <c r="H3062" t="s">
        <v>4715</v>
      </c>
    </row>
    <row r="3063" spans="1:9" x14ac:dyDescent="0.25">
      <c r="A3063" t="s">
        <v>11302</v>
      </c>
      <c r="B3063" t="s">
        <v>11302</v>
      </c>
      <c r="C3063" t="s">
        <v>11303</v>
      </c>
      <c r="D3063" t="s">
        <v>3242</v>
      </c>
      <c r="E3063" t="s">
        <v>15710</v>
      </c>
      <c r="F3063" t="s">
        <v>3288</v>
      </c>
      <c r="G3063" t="s">
        <v>11304</v>
      </c>
      <c r="H3063" t="s">
        <v>11305</v>
      </c>
    </row>
    <row r="3064" spans="1:9" x14ac:dyDescent="0.25">
      <c r="A3064" t="s">
        <v>11306</v>
      </c>
      <c r="B3064" t="s">
        <v>11306</v>
      </c>
      <c r="C3064" t="s">
        <v>11307</v>
      </c>
      <c r="D3064" t="s">
        <v>3242</v>
      </c>
      <c r="E3064" t="s">
        <v>15710</v>
      </c>
      <c r="F3064" t="s">
        <v>3288</v>
      </c>
      <c r="G3064" t="s">
        <v>11308</v>
      </c>
      <c r="H3064" t="s">
        <v>4800</v>
      </c>
    </row>
    <row r="3065" spans="1:9" x14ac:dyDescent="0.25">
      <c r="A3065" t="s">
        <v>16319</v>
      </c>
      <c r="B3065" t="s">
        <v>16319</v>
      </c>
      <c r="C3065" t="s">
        <v>16320</v>
      </c>
      <c r="D3065" t="s">
        <v>3242</v>
      </c>
      <c r="E3065" t="s">
        <v>15710</v>
      </c>
      <c r="F3065" t="s">
        <v>3288</v>
      </c>
      <c r="G3065" t="s">
        <v>3060</v>
      </c>
      <c r="H3065" t="s">
        <v>3285</v>
      </c>
    </row>
    <row r="3066" spans="1:9" x14ac:dyDescent="0.25">
      <c r="A3066" t="s">
        <v>11309</v>
      </c>
      <c r="B3066" t="s">
        <v>11309</v>
      </c>
      <c r="C3066" t="s">
        <v>11310</v>
      </c>
      <c r="D3066" t="s">
        <v>3242</v>
      </c>
      <c r="E3066" t="s">
        <v>15710</v>
      </c>
      <c r="F3066" t="s">
        <v>3288</v>
      </c>
      <c r="G3066" t="s">
        <v>11311</v>
      </c>
      <c r="H3066" t="s">
        <v>11116</v>
      </c>
    </row>
    <row r="3067" spans="1:9" x14ac:dyDescent="0.25">
      <c r="A3067" t="s">
        <v>11312</v>
      </c>
      <c r="B3067" t="s">
        <v>11312</v>
      </c>
      <c r="C3067" t="s">
        <v>11313</v>
      </c>
      <c r="D3067" t="s">
        <v>3242</v>
      </c>
      <c r="E3067" t="s">
        <v>15710</v>
      </c>
      <c r="F3067" t="s">
        <v>3345</v>
      </c>
      <c r="G3067" t="s">
        <v>4696</v>
      </c>
      <c r="H3067" t="s">
        <v>3618</v>
      </c>
    </row>
    <row r="3068" spans="1:9" x14ac:dyDescent="0.25">
      <c r="A3068" t="s">
        <v>11314</v>
      </c>
      <c r="B3068" t="s">
        <v>11314</v>
      </c>
      <c r="C3068" t="s">
        <v>11315</v>
      </c>
      <c r="D3068" t="s">
        <v>3242</v>
      </c>
      <c r="E3068" t="s">
        <v>15710</v>
      </c>
      <c r="F3068" t="s">
        <v>4102</v>
      </c>
      <c r="G3068" t="s">
        <v>11316</v>
      </c>
      <c r="H3068" t="s">
        <v>6428</v>
      </c>
    </row>
    <row r="3069" spans="1:9" x14ac:dyDescent="0.25">
      <c r="A3069" t="s">
        <v>11317</v>
      </c>
      <c r="B3069" t="s">
        <v>11317</v>
      </c>
      <c r="C3069" t="s">
        <v>11318</v>
      </c>
      <c r="D3069" t="s">
        <v>3242</v>
      </c>
      <c r="E3069" t="s">
        <v>15710</v>
      </c>
      <c r="F3069" t="s">
        <v>3288</v>
      </c>
      <c r="G3069" t="s">
        <v>11319</v>
      </c>
      <c r="H3069" t="s">
        <v>3285</v>
      </c>
    </row>
    <row r="3070" spans="1:9" x14ac:dyDescent="0.25">
      <c r="A3070" t="s">
        <v>11320</v>
      </c>
      <c r="B3070" t="s">
        <v>11320</v>
      </c>
      <c r="C3070" t="s">
        <v>11321</v>
      </c>
      <c r="D3070" t="s">
        <v>3242</v>
      </c>
      <c r="E3070" t="s">
        <v>15710</v>
      </c>
      <c r="F3070" t="s">
        <v>3345</v>
      </c>
      <c r="G3070" t="s">
        <v>11322</v>
      </c>
      <c r="H3070" t="s">
        <v>3290</v>
      </c>
    </row>
    <row r="3071" spans="1:9" x14ac:dyDescent="0.25">
      <c r="A3071" t="s">
        <v>11323</v>
      </c>
      <c r="B3071" t="s">
        <v>11323</v>
      </c>
      <c r="C3071" t="s">
        <v>11324</v>
      </c>
      <c r="D3071" t="s">
        <v>3242</v>
      </c>
      <c r="E3071" t="s">
        <v>15710</v>
      </c>
      <c r="F3071" t="s">
        <v>3257</v>
      </c>
      <c r="G3071" t="s">
        <v>11325</v>
      </c>
      <c r="H3071" t="s">
        <v>3323</v>
      </c>
      <c r="I3071" t="s">
        <v>3324</v>
      </c>
    </row>
    <row r="3072" spans="1:9" x14ac:dyDescent="0.25">
      <c r="A3072" t="s">
        <v>11326</v>
      </c>
      <c r="B3072" t="s">
        <v>11326</v>
      </c>
      <c r="C3072" t="s">
        <v>11327</v>
      </c>
      <c r="D3072" t="s">
        <v>3242</v>
      </c>
      <c r="E3072" t="s">
        <v>15710</v>
      </c>
      <c r="F3072" t="s">
        <v>3243</v>
      </c>
      <c r="G3072" t="s">
        <v>11328</v>
      </c>
      <c r="H3072" t="s">
        <v>3402</v>
      </c>
    </row>
    <row r="3073" spans="1:9" x14ac:dyDescent="0.25">
      <c r="A3073" t="s">
        <v>11329</v>
      </c>
      <c r="B3073" t="s">
        <v>11329</v>
      </c>
      <c r="C3073" t="s">
        <v>11330</v>
      </c>
      <c r="D3073" t="s">
        <v>3242</v>
      </c>
      <c r="E3073" t="s">
        <v>15710</v>
      </c>
      <c r="F3073" t="s">
        <v>3288</v>
      </c>
      <c r="G3073" t="s">
        <v>3346</v>
      </c>
      <c r="H3073" t="s">
        <v>4697</v>
      </c>
    </row>
    <row r="3074" spans="1:9" x14ac:dyDescent="0.25">
      <c r="A3074" t="s">
        <v>11331</v>
      </c>
      <c r="B3074" t="s">
        <v>11331</v>
      </c>
      <c r="C3074" t="s">
        <v>11332</v>
      </c>
      <c r="D3074" t="s">
        <v>3242</v>
      </c>
      <c r="E3074" t="s">
        <v>15710</v>
      </c>
      <c r="F3074" t="s">
        <v>3288</v>
      </c>
      <c r="G3074" t="s">
        <v>11333</v>
      </c>
      <c r="H3074" t="s">
        <v>6843</v>
      </c>
    </row>
    <row r="3075" spans="1:9" x14ac:dyDescent="0.25">
      <c r="A3075" t="s">
        <v>11334</v>
      </c>
      <c r="B3075" t="s">
        <v>11334</v>
      </c>
      <c r="C3075" t="s">
        <v>11335</v>
      </c>
      <c r="D3075" t="s">
        <v>3242</v>
      </c>
      <c r="E3075" t="s">
        <v>15710</v>
      </c>
      <c r="F3075" t="s">
        <v>3243</v>
      </c>
      <c r="G3075" t="s">
        <v>11336</v>
      </c>
      <c r="H3075" t="s">
        <v>3402</v>
      </c>
    </row>
    <row r="3076" spans="1:9" x14ac:dyDescent="0.25">
      <c r="A3076" t="s">
        <v>15428</v>
      </c>
      <c r="B3076" t="s">
        <v>15428</v>
      </c>
      <c r="C3076" t="s">
        <v>15429</v>
      </c>
      <c r="D3076" t="s">
        <v>3242</v>
      </c>
      <c r="E3076" t="s">
        <v>15710</v>
      </c>
      <c r="F3076" t="s">
        <v>3243</v>
      </c>
      <c r="G3076" t="s">
        <v>13017</v>
      </c>
      <c r="H3076" t="s">
        <v>3402</v>
      </c>
    </row>
    <row r="3077" spans="1:9" x14ac:dyDescent="0.25">
      <c r="A3077" t="s">
        <v>11337</v>
      </c>
      <c r="B3077" t="s">
        <v>11337</v>
      </c>
      <c r="C3077" t="s">
        <v>11338</v>
      </c>
      <c r="D3077" t="s">
        <v>3242</v>
      </c>
      <c r="E3077" t="s">
        <v>15710</v>
      </c>
      <c r="F3077" t="s">
        <v>3243</v>
      </c>
      <c r="G3077" t="s">
        <v>4019</v>
      </c>
      <c r="H3077" t="s">
        <v>3285</v>
      </c>
    </row>
    <row r="3078" spans="1:9" x14ac:dyDescent="0.25">
      <c r="A3078" t="s">
        <v>11339</v>
      </c>
      <c r="B3078" t="s">
        <v>11339</v>
      </c>
      <c r="C3078" t="s">
        <v>4203</v>
      </c>
      <c r="D3078" t="s">
        <v>3242</v>
      </c>
      <c r="E3078" t="s">
        <v>15710</v>
      </c>
      <c r="F3078" t="s">
        <v>3251</v>
      </c>
      <c r="G3078" t="s">
        <v>11340</v>
      </c>
      <c r="H3078" t="s">
        <v>5905</v>
      </c>
    </row>
    <row r="3079" spans="1:9" x14ac:dyDescent="0.25">
      <c r="A3079" t="s">
        <v>15430</v>
      </c>
      <c r="B3079" t="s">
        <v>15430</v>
      </c>
      <c r="C3079" t="s">
        <v>15431</v>
      </c>
      <c r="D3079" t="s">
        <v>3242</v>
      </c>
      <c r="E3079" t="s">
        <v>15710</v>
      </c>
      <c r="F3079" t="s">
        <v>3288</v>
      </c>
      <c r="G3079" t="s">
        <v>4459</v>
      </c>
      <c r="H3079" t="s">
        <v>3896</v>
      </c>
    </row>
    <row r="3080" spans="1:9" x14ac:dyDescent="0.25">
      <c r="A3080" t="s">
        <v>11341</v>
      </c>
      <c r="B3080" t="s">
        <v>11341</v>
      </c>
      <c r="C3080" t="s">
        <v>11342</v>
      </c>
      <c r="D3080" t="s">
        <v>3242</v>
      </c>
      <c r="E3080" t="s">
        <v>15710</v>
      </c>
      <c r="F3080" t="s">
        <v>3306</v>
      </c>
      <c r="G3080" t="s">
        <v>11343</v>
      </c>
      <c r="H3080" t="s">
        <v>3267</v>
      </c>
    </row>
    <row r="3081" spans="1:9" x14ac:dyDescent="0.25">
      <c r="A3081" t="s">
        <v>11344</v>
      </c>
      <c r="B3081" t="s">
        <v>11344</v>
      </c>
      <c r="C3081" t="s">
        <v>11345</v>
      </c>
      <c r="D3081" t="s">
        <v>3242</v>
      </c>
      <c r="E3081" t="s">
        <v>15886</v>
      </c>
      <c r="F3081" t="s">
        <v>5158</v>
      </c>
      <c r="G3081" t="s">
        <v>11346</v>
      </c>
      <c r="H3081" t="s">
        <v>3519</v>
      </c>
    </row>
    <row r="3082" spans="1:9" x14ac:dyDescent="0.25">
      <c r="A3082" t="s">
        <v>11347</v>
      </c>
      <c r="B3082" t="s">
        <v>11347</v>
      </c>
      <c r="C3082" t="s">
        <v>11348</v>
      </c>
      <c r="D3082" t="s">
        <v>3242</v>
      </c>
      <c r="E3082" t="s">
        <v>15974</v>
      </c>
      <c r="F3082" t="s">
        <v>3243</v>
      </c>
      <c r="G3082" t="s">
        <v>11349</v>
      </c>
      <c r="H3082" t="s">
        <v>4320</v>
      </c>
    </row>
    <row r="3083" spans="1:9" x14ac:dyDescent="0.25">
      <c r="A3083" t="s">
        <v>11350</v>
      </c>
      <c r="B3083" t="s">
        <v>11350</v>
      </c>
      <c r="C3083" t="s">
        <v>11351</v>
      </c>
      <c r="D3083" t="s">
        <v>3242</v>
      </c>
      <c r="E3083" t="s">
        <v>15710</v>
      </c>
      <c r="F3083" t="s">
        <v>3243</v>
      </c>
      <c r="G3083" t="s">
        <v>11352</v>
      </c>
      <c r="H3083" t="s">
        <v>3290</v>
      </c>
    </row>
    <row r="3084" spans="1:9" x14ac:dyDescent="0.25">
      <c r="A3084" t="s">
        <v>11353</v>
      </c>
      <c r="B3084" t="s">
        <v>11353</v>
      </c>
      <c r="C3084" t="s">
        <v>11354</v>
      </c>
      <c r="D3084" t="s">
        <v>3242</v>
      </c>
      <c r="E3084" t="s">
        <v>15710</v>
      </c>
      <c r="F3084" t="s">
        <v>3257</v>
      </c>
      <c r="G3084" t="s">
        <v>11355</v>
      </c>
      <c r="H3084" t="s">
        <v>4045</v>
      </c>
      <c r="I3084" t="s">
        <v>3694</v>
      </c>
    </row>
    <row r="3085" spans="1:9" x14ac:dyDescent="0.25">
      <c r="A3085" t="s">
        <v>11356</v>
      </c>
      <c r="B3085" t="s">
        <v>11356</v>
      </c>
      <c r="C3085" t="s">
        <v>11357</v>
      </c>
      <c r="D3085" t="s">
        <v>3242</v>
      </c>
      <c r="E3085" t="s">
        <v>15710</v>
      </c>
      <c r="F3085" t="s">
        <v>3243</v>
      </c>
      <c r="G3085" t="s">
        <v>11358</v>
      </c>
      <c r="H3085" t="s">
        <v>11359</v>
      </c>
    </row>
    <row r="3086" spans="1:9" x14ac:dyDescent="0.25">
      <c r="A3086" t="s">
        <v>11360</v>
      </c>
      <c r="B3086" t="s">
        <v>11360</v>
      </c>
      <c r="C3086" t="s">
        <v>11361</v>
      </c>
      <c r="D3086" t="s">
        <v>3242</v>
      </c>
      <c r="E3086" t="s">
        <v>15710</v>
      </c>
      <c r="F3086" t="s">
        <v>3243</v>
      </c>
      <c r="G3086" t="s">
        <v>11362</v>
      </c>
      <c r="H3086" t="s">
        <v>4619</v>
      </c>
    </row>
    <row r="3087" spans="1:9" x14ac:dyDescent="0.25">
      <c r="A3087" t="s">
        <v>11363</v>
      </c>
      <c r="B3087" t="s">
        <v>11363</v>
      </c>
      <c r="C3087" t="s">
        <v>11364</v>
      </c>
      <c r="D3087" t="s">
        <v>3242</v>
      </c>
      <c r="E3087" t="s">
        <v>15710</v>
      </c>
      <c r="F3087" t="s">
        <v>15712</v>
      </c>
      <c r="G3087" t="s">
        <v>11365</v>
      </c>
      <c r="H3087" t="s">
        <v>3290</v>
      </c>
    </row>
    <row r="3088" spans="1:9" x14ac:dyDescent="0.25">
      <c r="A3088" t="s">
        <v>11366</v>
      </c>
      <c r="B3088" t="s">
        <v>11366</v>
      </c>
      <c r="C3088" t="s">
        <v>11367</v>
      </c>
      <c r="D3088" t="s">
        <v>3242</v>
      </c>
      <c r="E3088" t="s">
        <v>15710</v>
      </c>
      <c r="F3088" t="s">
        <v>3288</v>
      </c>
      <c r="G3088" t="s">
        <v>11368</v>
      </c>
      <c r="H3088" t="s">
        <v>3285</v>
      </c>
    </row>
    <row r="3089" spans="1:8" x14ac:dyDescent="0.25">
      <c r="A3089" t="s">
        <v>15432</v>
      </c>
      <c r="B3089" t="s">
        <v>15432</v>
      </c>
      <c r="C3089" t="s">
        <v>15433</v>
      </c>
      <c r="D3089" t="s">
        <v>3242</v>
      </c>
      <c r="E3089" t="s">
        <v>15710</v>
      </c>
      <c r="F3089" t="s">
        <v>3243</v>
      </c>
      <c r="G3089" t="s">
        <v>15434</v>
      </c>
      <c r="H3089" t="s">
        <v>3285</v>
      </c>
    </row>
    <row r="3090" spans="1:8" x14ac:dyDescent="0.25">
      <c r="A3090" t="s">
        <v>11369</v>
      </c>
      <c r="B3090" t="s">
        <v>11369</v>
      </c>
      <c r="C3090" t="s">
        <v>11370</v>
      </c>
      <c r="D3090" t="s">
        <v>3242</v>
      </c>
      <c r="E3090" t="s">
        <v>15710</v>
      </c>
      <c r="F3090" t="s">
        <v>3345</v>
      </c>
      <c r="G3090" t="s">
        <v>11371</v>
      </c>
      <c r="H3090" t="s">
        <v>3285</v>
      </c>
    </row>
    <row r="3091" spans="1:8" x14ac:dyDescent="0.25">
      <c r="A3091" t="s">
        <v>15435</v>
      </c>
      <c r="B3091" t="s">
        <v>15435</v>
      </c>
      <c r="C3091" t="s">
        <v>15436</v>
      </c>
      <c r="D3091" t="s">
        <v>3242</v>
      </c>
      <c r="E3091" t="s">
        <v>15710</v>
      </c>
      <c r="F3091" t="s">
        <v>3243</v>
      </c>
      <c r="G3091" t="s">
        <v>15437</v>
      </c>
      <c r="H3091" t="s">
        <v>3285</v>
      </c>
    </row>
    <row r="3092" spans="1:8" x14ac:dyDescent="0.25">
      <c r="A3092" t="s">
        <v>16322</v>
      </c>
      <c r="B3092" t="s">
        <v>16322</v>
      </c>
      <c r="C3092" t="s">
        <v>16323</v>
      </c>
      <c r="D3092" t="s">
        <v>3242</v>
      </c>
      <c r="E3092" t="s">
        <v>15710</v>
      </c>
      <c r="F3092" t="s">
        <v>3288</v>
      </c>
      <c r="G3092" t="s">
        <v>16324</v>
      </c>
      <c r="H3092" t="s">
        <v>3285</v>
      </c>
    </row>
    <row r="3093" spans="1:8" x14ac:dyDescent="0.25">
      <c r="A3093" t="s">
        <v>15438</v>
      </c>
      <c r="B3093" t="s">
        <v>15438</v>
      </c>
      <c r="C3093" t="s">
        <v>15439</v>
      </c>
      <c r="D3093" t="s">
        <v>3242</v>
      </c>
      <c r="E3093" t="s">
        <v>15710</v>
      </c>
      <c r="F3093" t="s">
        <v>3243</v>
      </c>
      <c r="G3093" t="s">
        <v>15440</v>
      </c>
      <c r="H3093" t="s">
        <v>3285</v>
      </c>
    </row>
    <row r="3094" spans="1:8" x14ac:dyDescent="0.25">
      <c r="A3094" t="s">
        <v>15441</v>
      </c>
      <c r="B3094" t="s">
        <v>15441</v>
      </c>
      <c r="C3094" t="s">
        <v>15442</v>
      </c>
      <c r="D3094" t="s">
        <v>3242</v>
      </c>
      <c r="E3094" t="s">
        <v>15710</v>
      </c>
      <c r="F3094" t="s">
        <v>3243</v>
      </c>
      <c r="G3094" t="s">
        <v>15443</v>
      </c>
      <c r="H3094" t="s">
        <v>3402</v>
      </c>
    </row>
    <row r="3095" spans="1:8" x14ac:dyDescent="0.25">
      <c r="A3095" t="s">
        <v>15444</v>
      </c>
      <c r="B3095" t="s">
        <v>15444</v>
      </c>
      <c r="C3095" t="s">
        <v>15445</v>
      </c>
      <c r="D3095" t="s">
        <v>3242</v>
      </c>
      <c r="E3095" t="s">
        <v>15710</v>
      </c>
      <c r="F3095" t="s">
        <v>3288</v>
      </c>
      <c r="G3095" t="s">
        <v>15446</v>
      </c>
      <c r="H3095" t="s">
        <v>3290</v>
      </c>
    </row>
    <row r="3096" spans="1:8" x14ac:dyDescent="0.25">
      <c r="A3096" t="s">
        <v>11372</v>
      </c>
      <c r="B3096" t="s">
        <v>11372</v>
      </c>
      <c r="C3096" t="s">
        <v>11373</v>
      </c>
      <c r="D3096" t="s">
        <v>3242</v>
      </c>
      <c r="E3096" t="s">
        <v>15710</v>
      </c>
      <c r="F3096" t="s">
        <v>3243</v>
      </c>
      <c r="G3096" t="s">
        <v>11374</v>
      </c>
      <c r="H3096" t="s">
        <v>4268</v>
      </c>
    </row>
    <row r="3097" spans="1:8" x14ac:dyDescent="0.25">
      <c r="A3097" t="s">
        <v>11375</v>
      </c>
      <c r="B3097" t="s">
        <v>11375</v>
      </c>
      <c r="C3097" t="s">
        <v>11376</v>
      </c>
      <c r="D3097" t="s">
        <v>3242</v>
      </c>
      <c r="E3097" t="s">
        <v>15710</v>
      </c>
      <c r="F3097" t="s">
        <v>3243</v>
      </c>
      <c r="G3097" t="s">
        <v>11377</v>
      </c>
      <c r="H3097" t="s">
        <v>3290</v>
      </c>
    </row>
    <row r="3098" spans="1:8" x14ac:dyDescent="0.25">
      <c r="A3098" t="s">
        <v>17419</v>
      </c>
      <c r="B3098" t="s">
        <v>17419</v>
      </c>
      <c r="C3098" t="s">
        <v>17420</v>
      </c>
      <c r="D3098" t="s">
        <v>3242</v>
      </c>
      <c r="E3098" t="s">
        <v>15710</v>
      </c>
      <c r="F3098" t="s">
        <v>3243</v>
      </c>
      <c r="G3098" t="s">
        <v>17421</v>
      </c>
      <c r="H3098" t="s">
        <v>16020</v>
      </c>
    </row>
    <row r="3099" spans="1:8" x14ac:dyDescent="0.25">
      <c r="A3099" t="s">
        <v>11378</v>
      </c>
      <c r="B3099" t="s">
        <v>11378</v>
      </c>
      <c r="C3099" t="s">
        <v>11379</v>
      </c>
      <c r="D3099" t="s">
        <v>3242</v>
      </c>
      <c r="E3099" t="s">
        <v>15710</v>
      </c>
      <c r="F3099" t="s">
        <v>3243</v>
      </c>
      <c r="G3099" t="s">
        <v>4539</v>
      </c>
      <c r="H3099" t="s">
        <v>4486</v>
      </c>
    </row>
    <row r="3100" spans="1:8" x14ac:dyDescent="0.25">
      <c r="A3100" t="s">
        <v>11380</v>
      </c>
      <c r="B3100" t="s">
        <v>11380</v>
      </c>
      <c r="C3100" t="s">
        <v>11381</v>
      </c>
      <c r="D3100" t="s">
        <v>3242</v>
      </c>
      <c r="E3100" t="s">
        <v>15710</v>
      </c>
      <c r="F3100" t="s">
        <v>3288</v>
      </c>
      <c r="G3100" t="s">
        <v>11382</v>
      </c>
      <c r="H3100" t="s">
        <v>3680</v>
      </c>
    </row>
    <row r="3101" spans="1:8" x14ac:dyDescent="0.25">
      <c r="A3101" t="s">
        <v>11383</v>
      </c>
      <c r="B3101" t="s">
        <v>11383</v>
      </c>
      <c r="C3101" t="s">
        <v>11384</v>
      </c>
      <c r="D3101" t="s">
        <v>3242</v>
      </c>
      <c r="E3101" t="s">
        <v>15710</v>
      </c>
      <c r="F3101" t="s">
        <v>3257</v>
      </c>
      <c r="G3101" t="s">
        <v>11385</v>
      </c>
      <c r="H3101" t="s">
        <v>3553</v>
      </c>
    </row>
    <row r="3102" spans="1:8" x14ac:dyDescent="0.25">
      <c r="A3102" t="s">
        <v>11386</v>
      </c>
      <c r="B3102" t="s">
        <v>11386</v>
      </c>
      <c r="C3102" t="s">
        <v>11387</v>
      </c>
      <c r="D3102" t="s">
        <v>3242</v>
      </c>
      <c r="E3102" t="s">
        <v>15710</v>
      </c>
      <c r="F3102" t="s">
        <v>3345</v>
      </c>
      <c r="G3102" t="s">
        <v>11388</v>
      </c>
      <c r="H3102" t="s">
        <v>11116</v>
      </c>
    </row>
    <row r="3103" spans="1:8" x14ac:dyDescent="0.25">
      <c r="A3103" t="s">
        <v>11389</v>
      </c>
      <c r="B3103" t="s">
        <v>11389</v>
      </c>
      <c r="C3103" t="s">
        <v>11390</v>
      </c>
      <c r="D3103" t="s">
        <v>3242</v>
      </c>
      <c r="E3103" t="s">
        <v>15710</v>
      </c>
      <c r="F3103" t="s">
        <v>3243</v>
      </c>
      <c r="G3103" t="s">
        <v>3243</v>
      </c>
      <c r="H3103" t="s">
        <v>3290</v>
      </c>
    </row>
    <row r="3104" spans="1:8" x14ac:dyDescent="0.25">
      <c r="A3104" t="s">
        <v>11391</v>
      </c>
      <c r="B3104" t="s">
        <v>11391</v>
      </c>
      <c r="C3104" t="s">
        <v>11392</v>
      </c>
      <c r="D3104" t="s">
        <v>3242</v>
      </c>
      <c r="E3104" t="s">
        <v>15710</v>
      </c>
      <c r="F3104" t="s">
        <v>3243</v>
      </c>
      <c r="G3104" t="s">
        <v>11393</v>
      </c>
      <c r="H3104" t="s">
        <v>3402</v>
      </c>
    </row>
    <row r="3105" spans="1:9" x14ac:dyDescent="0.25">
      <c r="A3105" t="s">
        <v>15447</v>
      </c>
      <c r="B3105" t="s">
        <v>15447</v>
      </c>
      <c r="C3105" t="s">
        <v>15448</v>
      </c>
      <c r="D3105" t="s">
        <v>3242</v>
      </c>
      <c r="E3105" t="s">
        <v>15710</v>
      </c>
      <c r="F3105" t="s">
        <v>3288</v>
      </c>
      <c r="G3105" t="s">
        <v>3060</v>
      </c>
      <c r="H3105" t="s">
        <v>3285</v>
      </c>
    </row>
    <row r="3106" spans="1:9" x14ac:dyDescent="0.25">
      <c r="A3106" t="s">
        <v>11394</v>
      </c>
      <c r="B3106" t="s">
        <v>11394</v>
      </c>
      <c r="C3106" t="s">
        <v>11395</v>
      </c>
      <c r="D3106" t="s">
        <v>3242</v>
      </c>
      <c r="E3106" t="s">
        <v>15710</v>
      </c>
      <c r="F3106" t="s">
        <v>3288</v>
      </c>
      <c r="G3106" t="s">
        <v>11396</v>
      </c>
      <c r="H3106" t="s">
        <v>3680</v>
      </c>
    </row>
    <row r="3107" spans="1:9" x14ac:dyDescent="0.25">
      <c r="A3107" t="s">
        <v>11397</v>
      </c>
      <c r="B3107" t="s">
        <v>11397</v>
      </c>
      <c r="C3107" t="s">
        <v>11398</v>
      </c>
      <c r="D3107" t="s">
        <v>3242</v>
      </c>
      <c r="E3107" t="s">
        <v>15710</v>
      </c>
      <c r="F3107" t="s">
        <v>3288</v>
      </c>
      <c r="G3107" t="s">
        <v>3936</v>
      </c>
      <c r="H3107" t="s">
        <v>3937</v>
      </c>
    </row>
    <row r="3108" spans="1:9" x14ac:dyDescent="0.25">
      <c r="A3108" t="s">
        <v>11399</v>
      </c>
      <c r="B3108" t="s">
        <v>11399</v>
      </c>
      <c r="C3108" t="s">
        <v>11400</v>
      </c>
      <c r="D3108" t="s">
        <v>3242</v>
      </c>
      <c r="E3108" t="s">
        <v>15976</v>
      </c>
      <c r="F3108" t="s">
        <v>3243</v>
      </c>
      <c r="G3108" t="s">
        <v>3507</v>
      </c>
      <c r="H3108" t="s">
        <v>3290</v>
      </c>
    </row>
    <row r="3109" spans="1:9" x14ac:dyDescent="0.25">
      <c r="A3109" t="s">
        <v>11401</v>
      </c>
      <c r="B3109" t="s">
        <v>11401</v>
      </c>
      <c r="C3109" t="s">
        <v>11402</v>
      </c>
      <c r="D3109" t="s">
        <v>3242</v>
      </c>
      <c r="E3109" t="s">
        <v>15710</v>
      </c>
      <c r="F3109" t="s">
        <v>3345</v>
      </c>
      <c r="G3109" t="s">
        <v>11403</v>
      </c>
      <c r="H3109" t="s">
        <v>4004</v>
      </c>
    </row>
    <row r="3110" spans="1:9" x14ac:dyDescent="0.25">
      <c r="A3110" t="s">
        <v>11404</v>
      </c>
      <c r="B3110" t="s">
        <v>11404</v>
      </c>
      <c r="C3110" t="s">
        <v>11405</v>
      </c>
      <c r="D3110" t="s">
        <v>3242</v>
      </c>
      <c r="E3110" t="s">
        <v>15710</v>
      </c>
      <c r="F3110" t="s">
        <v>3345</v>
      </c>
      <c r="G3110" t="s">
        <v>11406</v>
      </c>
      <c r="H3110" t="s">
        <v>3290</v>
      </c>
    </row>
    <row r="3111" spans="1:9" x14ac:dyDescent="0.25">
      <c r="A3111" t="s">
        <v>11407</v>
      </c>
      <c r="B3111" t="s">
        <v>11407</v>
      </c>
      <c r="C3111" t="s">
        <v>11408</v>
      </c>
      <c r="D3111" t="s">
        <v>3242</v>
      </c>
      <c r="E3111" t="s">
        <v>15710</v>
      </c>
      <c r="F3111" t="s">
        <v>3288</v>
      </c>
      <c r="G3111" t="s">
        <v>11409</v>
      </c>
      <c r="H3111" t="s">
        <v>4797</v>
      </c>
    </row>
    <row r="3112" spans="1:9" x14ac:dyDescent="0.25">
      <c r="A3112" t="s">
        <v>17078</v>
      </c>
      <c r="B3112" t="s">
        <v>17078</v>
      </c>
      <c r="C3112" t="s">
        <v>17079</v>
      </c>
      <c r="D3112" t="s">
        <v>3242</v>
      </c>
      <c r="E3112" t="s">
        <v>17080</v>
      </c>
      <c r="F3112" t="s">
        <v>3243</v>
      </c>
      <c r="G3112" t="s">
        <v>17081</v>
      </c>
      <c r="H3112" t="s">
        <v>3647</v>
      </c>
    </row>
    <row r="3113" spans="1:9" x14ac:dyDescent="0.25">
      <c r="A3113" t="s">
        <v>11410</v>
      </c>
      <c r="B3113" t="s">
        <v>11410</v>
      </c>
      <c r="C3113" t="s">
        <v>11411</v>
      </c>
      <c r="D3113" t="s">
        <v>3242</v>
      </c>
      <c r="E3113" t="s">
        <v>15710</v>
      </c>
      <c r="F3113" t="s">
        <v>3372</v>
      </c>
      <c r="G3113" t="s">
        <v>11412</v>
      </c>
      <c r="H3113" t="s">
        <v>3253</v>
      </c>
      <c r="I3113" t="s">
        <v>3375</v>
      </c>
    </row>
    <row r="3114" spans="1:9" x14ac:dyDescent="0.25">
      <c r="A3114" t="s">
        <v>11413</v>
      </c>
      <c r="B3114" t="s">
        <v>11413</v>
      </c>
      <c r="C3114" t="s">
        <v>11414</v>
      </c>
      <c r="D3114" t="s">
        <v>3242</v>
      </c>
      <c r="E3114" t="s">
        <v>15710</v>
      </c>
      <c r="F3114" t="s">
        <v>3345</v>
      </c>
      <c r="G3114" t="s">
        <v>3346</v>
      </c>
      <c r="H3114" t="s">
        <v>3421</v>
      </c>
    </row>
    <row r="3115" spans="1:9" x14ac:dyDescent="0.25">
      <c r="A3115" t="s">
        <v>11415</v>
      </c>
      <c r="B3115" t="s">
        <v>11415</v>
      </c>
      <c r="C3115" t="s">
        <v>11416</v>
      </c>
      <c r="D3115" t="s">
        <v>3242</v>
      </c>
      <c r="E3115" t="s">
        <v>15710</v>
      </c>
      <c r="F3115" t="s">
        <v>3243</v>
      </c>
      <c r="G3115" t="s">
        <v>3507</v>
      </c>
      <c r="H3115" t="s">
        <v>3290</v>
      </c>
    </row>
    <row r="3116" spans="1:9" x14ac:dyDescent="0.25">
      <c r="A3116" t="s">
        <v>11417</v>
      </c>
      <c r="B3116" t="s">
        <v>11417</v>
      </c>
      <c r="C3116" t="s">
        <v>11418</v>
      </c>
      <c r="D3116" t="s">
        <v>3242</v>
      </c>
      <c r="E3116" t="s">
        <v>15710</v>
      </c>
      <c r="F3116" t="s">
        <v>3345</v>
      </c>
      <c r="G3116" t="s">
        <v>3867</v>
      </c>
      <c r="H3116" t="s">
        <v>3680</v>
      </c>
    </row>
    <row r="3117" spans="1:9" x14ac:dyDescent="0.25">
      <c r="A3117" t="s">
        <v>11419</v>
      </c>
      <c r="B3117" t="s">
        <v>11419</v>
      </c>
      <c r="C3117" t="s">
        <v>11342</v>
      </c>
      <c r="D3117" t="s">
        <v>3321</v>
      </c>
      <c r="E3117" t="s">
        <v>15710</v>
      </c>
      <c r="F3117" t="s">
        <v>3306</v>
      </c>
      <c r="G3117" t="s">
        <v>11420</v>
      </c>
      <c r="H3117" t="s">
        <v>5829</v>
      </c>
    </row>
    <row r="3118" spans="1:9" x14ac:dyDescent="0.25">
      <c r="A3118" t="s">
        <v>11421</v>
      </c>
      <c r="B3118" t="s">
        <v>11421</v>
      </c>
      <c r="C3118" t="s">
        <v>11422</v>
      </c>
      <c r="D3118" t="s">
        <v>3242</v>
      </c>
      <c r="E3118" t="s">
        <v>16531</v>
      </c>
      <c r="F3118" t="s">
        <v>3251</v>
      </c>
      <c r="G3118" t="s">
        <v>11423</v>
      </c>
      <c r="H3118" t="s">
        <v>3387</v>
      </c>
      <c r="I3118" t="s">
        <v>3694</v>
      </c>
    </row>
    <row r="3119" spans="1:9" x14ac:dyDescent="0.25">
      <c r="A3119" t="s">
        <v>11424</v>
      </c>
      <c r="B3119" t="s">
        <v>11424</v>
      </c>
      <c r="C3119" t="s">
        <v>11425</v>
      </c>
      <c r="D3119" t="s">
        <v>3242</v>
      </c>
      <c r="E3119" t="s">
        <v>15710</v>
      </c>
      <c r="F3119" t="s">
        <v>3288</v>
      </c>
      <c r="G3119" t="s">
        <v>3537</v>
      </c>
      <c r="H3119" t="s">
        <v>3915</v>
      </c>
    </row>
    <row r="3120" spans="1:9" x14ac:dyDescent="0.25">
      <c r="A3120" t="s">
        <v>11426</v>
      </c>
      <c r="B3120" t="s">
        <v>11426</v>
      </c>
      <c r="C3120" t="s">
        <v>11427</v>
      </c>
      <c r="D3120" t="s">
        <v>3242</v>
      </c>
      <c r="E3120" t="s">
        <v>15710</v>
      </c>
      <c r="F3120" t="s">
        <v>3257</v>
      </c>
      <c r="G3120" t="s">
        <v>11428</v>
      </c>
      <c r="H3120" t="s">
        <v>3379</v>
      </c>
    </row>
    <row r="3121" spans="1:9" x14ac:dyDescent="0.25">
      <c r="A3121" t="s">
        <v>11429</v>
      </c>
      <c r="B3121" t="s">
        <v>11429</v>
      </c>
      <c r="C3121" t="s">
        <v>11430</v>
      </c>
      <c r="D3121" t="s">
        <v>3242</v>
      </c>
      <c r="E3121" t="s">
        <v>15710</v>
      </c>
      <c r="F3121" t="s">
        <v>11431</v>
      </c>
      <c r="G3121" t="s">
        <v>11432</v>
      </c>
      <c r="H3121" t="s">
        <v>3623</v>
      </c>
    </row>
    <row r="3122" spans="1:9" x14ac:dyDescent="0.25">
      <c r="A3122" t="s">
        <v>11433</v>
      </c>
      <c r="B3122" t="s">
        <v>11433</v>
      </c>
      <c r="C3122" t="s">
        <v>11434</v>
      </c>
      <c r="D3122" t="s">
        <v>3242</v>
      </c>
      <c r="E3122" t="s">
        <v>15710</v>
      </c>
      <c r="F3122" t="s">
        <v>3257</v>
      </c>
      <c r="G3122" t="s">
        <v>11435</v>
      </c>
      <c r="H3122" t="s">
        <v>4919</v>
      </c>
    </row>
    <row r="3123" spans="1:9" x14ac:dyDescent="0.25">
      <c r="A3123" t="s">
        <v>11436</v>
      </c>
      <c r="B3123" t="s">
        <v>11436</v>
      </c>
      <c r="C3123" t="s">
        <v>11437</v>
      </c>
      <c r="D3123" t="s">
        <v>3242</v>
      </c>
      <c r="E3123" t="s">
        <v>15710</v>
      </c>
      <c r="F3123" t="s">
        <v>15712</v>
      </c>
      <c r="G3123" t="s">
        <v>4796</v>
      </c>
      <c r="H3123" t="s">
        <v>3290</v>
      </c>
    </row>
    <row r="3124" spans="1:9" x14ac:dyDescent="0.25">
      <c r="A3124" t="s">
        <v>11438</v>
      </c>
      <c r="B3124" t="s">
        <v>11438</v>
      </c>
      <c r="C3124" t="s">
        <v>11439</v>
      </c>
      <c r="D3124" t="s">
        <v>3242</v>
      </c>
      <c r="E3124" t="s">
        <v>15710</v>
      </c>
      <c r="F3124" t="s">
        <v>3300</v>
      </c>
      <c r="G3124" t="s">
        <v>11440</v>
      </c>
      <c r="H3124" t="s">
        <v>3484</v>
      </c>
    </row>
    <row r="3125" spans="1:9" x14ac:dyDescent="0.25">
      <c r="A3125" t="s">
        <v>15449</v>
      </c>
      <c r="B3125" t="s">
        <v>15449</v>
      </c>
      <c r="C3125" t="s">
        <v>15450</v>
      </c>
      <c r="D3125" t="s">
        <v>3242</v>
      </c>
      <c r="E3125" t="s">
        <v>15710</v>
      </c>
      <c r="F3125" t="s">
        <v>3243</v>
      </c>
      <c r="G3125" t="s">
        <v>15451</v>
      </c>
      <c r="H3125" t="s">
        <v>3402</v>
      </c>
    </row>
    <row r="3126" spans="1:9" x14ac:dyDescent="0.25">
      <c r="A3126" t="s">
        <v>11441</v>
      </c>
      <c r="B3126" t="s">
        <v>11441</v>
      </c>
      <c r="C3126" t="s">
        <v>11442</v>
      </c>
      <c r="D3126" t="s">
        <v>3242</v>
      </c>
      <c r="E3126" t="s">
        <v>15710</v>
      </c>
      <c r="F3126" t="s">
        <v>3288</v>
      </c>
      <c r="G3126" t="s">
        <v>11443</v>
      </c>
      <c r="H3126" t="s">
        <v>3680</v>
      </c>
    </row>
    <row r="3127" spans="1:9" x14ac:dyDescent="0.25">
      <c r="A3127" t="s">
        <v>16326</v>
      </c>
      <c r="B3127" t="s">
        <v>16326</v>
      </c>
      <c r="C3127" t="s">
        <v>16327</v>
      </c>
      <c r="D3127" t="s">
        <v>3242</v>
      </c>
      <c r="E3127" t="s">
        <v>15710</v>
      </c>
      <c r="F3127" t="s">
        <v>3288</v>
      </c>
      <c r="G3127" t="s">
        <v>16328</v>
      </c>
      <c r="H3127" t="s">
        <v>3618</v>
      </c>
    </row>
    <row r="3128" spans="1:9" x14ac:dyDescent="0.25">
      <c r="A3128" t="s">
        <v>16329</v>
      </c>
      <c r="B3128" t="s">
        <v>16329</v>
      </c>
      <c r="C3128" t="s">
        <v>16330</v>
      </c>
      <c r="D3128" t="s">
        <v>3242</v>
      </c>
      <c r="E3128" t="s">
        <v>15710</v>
      </c>
      <c r="F3128" t="s">
        <v>3243</v>
      </c>
      <c r="G3128" t="s">
        <v>16331</v>
      </c>
      <c r="H3128" t="s">
        <v>16332</v>
      </c>
    </row>
    <row r="3129" spans="1:9" x14ac:dyDescent="0.25">
      <c r="A3129" t="s">
        <v>11444</v>
      </c>
      <c r="B3129" t="s">
        <v>11444</v>
      </c>
      <c r="C3129" t="s">
        <v>11445</v>
      </c>
      <c r="D3129" t="s">
        <v>3242</v>
      </c>
      <c r="E3129" t="s">
        <v>15710</v>
      </c>
      <c r="F3129" t="s">
        <v>3243</v>
      </c>
      <c r="G3129" t="s">
        <v>3507</v>
      </c>
      <c r="H3129" t="s">
        <v>3290</v>
      </c>
    </row>
    <row r="3130" spans="1:9" x14ac:dyDescent="0.25">
      <c r="A3130" t="s">
        <v>11446</v>
      </c>
      <c r="B3130" t="s">
        <v>11446</v>
      </c>
      <c r="C3130" t="s">
        <v>11258</v>
      </c>
      <c r="D3130" t="s">
        <v>3242</v>
      </c>
      <c r="E3130" t="s">
        <v>15710</v>
      </c>
      <c r="F3130" t="s">
        <v>3257</v>
      </c>
      <c r="G3130" t="s">
        <v>11447</v>
      </c>
      <c r="H3130" t="s">
        <v>3353</v>
      </c>
    </row>
    <row r="3131" spans="1:9" x14ac:dyDescent="0.25">
      <c r="A3131" t="s">
        <v>11448</v>
      </c>
      <c r="B3131" t="s">
        <v>11448</v>
      </c>
      <c r="C3131" t="s">
        <v>11449</v>
      </c>
      <c r="D3131" t="s">
        <v>3242</v>
      </c>
      <c r="E3131" t="s">
        <v>15710</v>
      </c>
      <c r="F3131" t="s">
        <v>3257</v>
      </c>
      <c r="G3131" t="s">
        <v>11450</v>
      </c>
      <c r="H3131" t="s">
        <v>5021</v>
      </c>
    </row>
    <row r="3132" spans="1:9" x14ac:dyDescent="0.25">
      <c r="A3132" t="s">
        <v>11451</v>
      </c>
      <c r="B3132" t="s">
        <v>11451</v>
      </c>
      <c r="C3132" t="s">
        <v>11452</v>
      </c>
      <c r="D3132" t="s">
        <v>3242</v>
      </c>
      <c r="E3132" t="s">
        <v>15710</v>
      </c>
      <c r="F3132" t="s">
        <v>3288</v>
      </c>
      <c r="G3132" t="s">
        <v>4856</v>
      </c>
      <c r="H3132" t="s">
        <v>3285</v>
      </c>
    </row>
    <row r="3133" spans="1:9" x14ac:dyDescent="0.25">
      <c r="A3133" t="s">
        <v>11453</v>
      </c>
      <c r="B3133" t="s">
        <v>11453</v>
      </c>
      <c r="C3133" t="s">
        <v>11454</v>
      </c>
      <c r="D3133" t="s">
        <v>3242</v>
      </c>
      <c r="E3133" t="s">
        <v>15710</v>
      </c>
      <c r="F3133" t="s">
        <v>3257</v>
      </c>
      <c r="G3133" t="s">
        <v>11455</v>
      </c>
      <c r="H3133" t="s">
        <v>3484</v>
      </c>
      <c r="I3133" t="s">
        <v>3263</v>
      </c>
    </row>
    <row r="3134" spans="1:9" x14ac:dyDescent="0.25">
      <c r="A3134" t="s">
        <v>11456</v>
      </c>
      <c r="B3134" t="s">
        <v>11456</v>
      </c>
      <c r="C3134" t="s">
        <v>11457</v>
      </c>
      <c r="D3134" t="s">
        <v>3242</v>
      </c>
      <c r="E3134" t="s">
        <v>15710</v>
      </c>
      <c r="F3134" t="s">
        <v>3257</v>
      </c>
      <c r="G3134" t="s">
        <v>11458</v>
      </c>
      <c r="H3134" t="s">
        <v>3455</v>
      </c>
      <c r="I3134" t="s">
        <v>3407</v>
      </c>
    </row>
    <row r="3135" spans="1:9" x14ac:dyDescent="0.25">
      <c r="A3135" t="s">
        <v>15452</v>
      </c>
      <c r="B3135" t="s">
        <v>15452</v>
      </c>
      <c r="C3135" t="s">
        <v>15453</v>
      </c>
      <c r="D3135" t="s">
        <v>3242</v>
      </c>
      <c r="E3135" t="s">
        <v>15710</v>
      </c>
      <c r="F3135" t="s">
        <v>5158</v>
      </c>
      <c r="G3135" t="s">
        <v>15454</v>
      </c>
      <c r="H3135" t="s">
        <v>3496</v>
      </c>
    </row>
    <row r="3136" spans="1:9" x14ac:dyDescent="0.25">
      <c r="A3136" t="s">
        <v>17422</v>
      </c>
      <c r="B3136" t="s">
        <v>17422</v>
      </c>
      <c r="C3136" t="s">
        <v>17423</v>
      </c>
      <c r="D3136" t="s">
        <v>3242</v>
      </c>
      <c r="E3136" t="s">
        <v>15749</v>
      </c>
      <c r="F3136" t="s">
        <v>3288</v>
      </c>
      <c r="G3136" t="s">
        <v>17424</v>
      </c>
      <c r="H3136" t="s">
        <v>3680</v>
      </c>
    </row>
    <row r="3137" spans="1:9" x14ac:dyDescent="0.25">
      <c r="A3137" t="s">
        <v>11459</v>
      </c>
      <c r="B3137" t="s">
        <v>11459</v>
      </c>
      <c r="C3137" t="s">
        <v>11460</v>
      </c>
      <c r="D3137" t="s">
        <v>3242</v>
      </c>
      <c r="E3137" t="s">
        <v>15977</v>
      </c>
      <c r="F3137" t="s">
        <v>3257</v>
      </c>
      <c r="G3137" t="s">
        <v>11461</v>
      </c>
      <c r="H3137" t="s">
        <v>10143</v>
      </c>
      <c r="I3137" t="s">
        <v>3451</v>
      </c>
    </row>
    <row r="3138" spans="1:9" x14ac:dyDescent="0.25">
      <c r="A3138" t="s">
        <v>11462</v>
      </c>
      <c r="B3138" t="s">
        <v>11462</v>
      </c>
      <c r="C3138" t="s">
        <v>11463</v>
      </c>
      <c r="D3138" t="s">
        <v>3242</v>
      </c>
      <c r="E3138" t="s">
        <v>17082</v>
      </c>
      <c r="F3138" t="s">
        <v>10807</v>
      </c>
      <c r="G3138" t="s">
        <v>11464</v>
      </c>
      <c r="H3138" t="s">
        <v>3668</v>
      </c>
      <c r="I3138" t="s">
        <v>4028</v>
      </c>
    </row>
    <row r="3139" spans="1:9" x14ac:dyDescent="0.25">
      <c r="A3139" t="s">
        <v>11465</v>
      </c>
      <c r="B3139" t="s">
        <v>11465</v>
      </c>
      <c r="C3139" t="s">
        <v>11466</v>
      </c>
      <c r="D3139" t="s">
        <v>3242</v>
      </c>
      <c r="E3139" t="s">
        <v>15710</v>
      </c>
      <c r="F3139" t="s">
        <v>3257</v>
      </c>
      <c r="G3139" t="s">
        <v>11467</v>
      </c>
      <c r="H3139" t="s">
        <v>16325</v>
      </c>
      <c r="I3139" t="s">
        <v>3407</v>
      </c>
    </row>
    <row r="3140" spans="1:9" x14ac:dyDescent="0.25">
      <c r="A3140" t="s">
        <v>11468</v>
      </c>
      <c r="B3140" t="s">
        <v>11468</v>
      </c>
      <c r="C3140" t="s">
        <v>11469</v>
      </c>
      <c r="D3140" t="s">
        <v>3242</v>
      </c>
      <c r="E3140" t="s">
        <v>15710</v>
      </c>
      <c r="F3140" t="s">
        <v>3243</v>
      </c>
      <c r="G3140" t="s">
        <v>11470</v>
      </c>
      <c r="H3140" t="s">
        <v>3290</v>
      </c>
    </row>
    <row r="3141" spans="1:9" x14ac:dyDescent="0.25">
      <c r="A3141" t="s">
        <v>11471</v>
      </c>
      <c r="B3141" t="s">
        <v>11471</v>
      </c>
      <c r="C3141" t="s">
        <v>11472</v>
      </c>
      <c r="D3141" t="s">
        <v>3242</v>
      </c>
      <c r="E3141" t="s">
        <v>15710</v>
      </c>
      <c r="F3141" t="s">
        <v>3257</v>
      </c>
      <c r="G3141" t="s">
        <v>11473</v>
      </c>
      <c r="H3141" t="s">
        <v>3421</v>
      </c>
      <c r="I3141" t="s">
        <v>3254</v>
      </c>
    </row>
    <row r="3142" spans="1:9" x14ac:dyDescent="0.25">
      <c r="A3142" t="s">
        <v>11474</v>
      </c>
      <c r="B3142" t="s">
        <v>11474</v>
      </c>
      <c r="C3142" t="s">
        <v>11475</v>
      </c>
      <c r="D3142" t="s">
        <v>3242</v>
      </c>
      <c r="E3142" t="s">
        <v>15710</v>
      </c>
      <c r="F3142" t="s">
        <v>3288</v>
      </c>
      <c r="G3142" t="s">
        <v>4007</v>
      </c>
      <c r="H3142" t="s">
        <v>3285</v>
      </c>
    </row>
    <row r="3143" spans="1:9" x14ac:dyDescent="0.25">
      <c r="A3143" t="s">
        <v>11476</v>
      </c>
      <c r="B3143" t="s">
        <v>11476</v>
      </c>
      <c r="C3143" t="s">
        <v>11477</v>
      </c>
      <c r="D3143" t="s">
        <v>3242</v>
      </c>
      <c r="E3143" t="s">
        <v>15710</v>
      </c>
      <c r="F3143" t="s">
        <v>3288</v>
      </c>
      <c r="G3143" t="s">
        <v>11478</v>
      </c>
      <c r="H3143" t="s">
        <v>3060</v>
      </c>
    </row>
    <row r="3144" spans="1:9" x14ac:dyDescent="0.25">
      <c r="A3144" t="s">
        <v>11479</v>
      </c>
      <c r="B3144" t="s">
        <v>11479</v>
      </c>
      <c r="C3144" t="s">
        <v>11480</v>
      </c>
      <c r="D3144" t="s">
        <v>3242</v>
      </c>
      <c r="E3144" t="s">
        <v>15710</v>
      </c>
      <c r="F3144" t="s">
        <v>15712</v>
      </c>
      <c r="G3144" t="s">
        <v>11481</v>
      </c>
      <c r="H3144" t="s">
        <v>3290</v>
      </c>
    </row>
    <row r="3145" spans="1:9" x14ac:dyDescent="0.25">
      <c r="A3145" t="s">
        <v>11482</v>
      </c>
      <c r="B3145" t="s">
        <v>11482</v>
      </c>
      <c r="C3145" t="s">
        <v>11483</v>
      </c>
      <c r="D3145" t="s">
        <v>3242</v>
      </c>
      <c r="E3145" t="s">
        <v>15978</v>
      </c>
      <c r="F3145" t="s">
        <v>3243</v>
      </c>
    </row>
    <row r="3146" spans="1:9" x14ac:dyDescent="0.25">
      <c r="A3146" t="s">
        <v>15455</v>
      </c>
      <c r="B3146" t="s">
        <v>15455</v>
      </c>
      <c r="C3146" t="s">
        <v>15456</v>
      </c>
      <c r="D3146" t="s">
        <v>3242</v>
      </c>
      <c r="E3146" t="s">
        <v>15710</v>
      </c>
      <c r="F3146" t="s">
        <v>3243</v>
      </c>
      <c r="G3146" t="s">
        <v>4344</v>
      </c>
      <c r="H3146" t="s">
        <v>3285</v>
      </c>
    </row>
    <row r="3147" spans="1:9" x14ac:dyDescent="0.25">
      <c r="A3147" t="s">
        <v>11484</v>
      </c>
      <c r="B3147" t="s">
        <v>11484</v>
      </c>
      <c r="C3147" t="s">
        <v>11485</v>
      </c>
      <c r="D3147" t="s">
        <v>3242</v>
      </c>
      <c r="E3147" t="s">
        <v>15710</v>
      </c>
      <c r="F3147" t="s">
        <v>3288</v>
      </c>
      <c r="G3147" t="s">
        <v>4652</v>
      </c>
      <c r="H3147" t="s">
        <v>3749</v>
      </c>
    </row>
    <row r="3148" spans="1:9" x14ac:dyDescent="0.25">
      <c r="A3148" t="s">
        <v>11486</v>
      </c>
      <c r="B3148" t="s">
        <v>11486</v>
      </c>
      <c r="C3148" t="s">
        <v>11487</v>
      </c>
      <c r="D3148" t="s">
        <v>3242</v>
      </c>
      <c r="E3148" t="s">
        <v>15710</v>
      </c>
      <c r="F3148" t="s">
        <v>3288</v>
      </c>
      <c r="G3148" t="s">
        <v>4696</v>
      </c>
      <c r="H3148" t="s">
        <v>3421</v>
      </c>
    </row>
    <row r="3149" spans="1:9" x14ac:dyDescent="0.25">
      <c r="A3149" t="s">
        <v>11488</v>
      </c>
      <c r="B3149" t="s">
        <v>11488</v>
      </c>
      <c r="C3149" t="s">
        <v>11489</v>
      </c>
      <c r="D3149" t="s">
        <v>3242</v>
      </c>
      <c r="E3149" t="s">
        <v>15710</v>
      </c>
      <c r="F3149" t="s">
        <v>11490</v>
      </c>
      <c r="G3149" t="s">
        <v>11491</v>
      </c>
      <c r="H3149" t="s">
        <v>3668</v>
      </c>
    </row>
    <row r="3150" spans="1:9" x14ac:dyDescent="0.25">
      <c r="A3150" t="s">
        <v>16532</v>
      </c>
      <c r="B3150" t="s">
        <v>16532</v>
      </c>
      <c r="C3150" t="s">
        <v>16533</v>
      </c>
      <c r="D3150" t="s">
        <v>3242</v>
      </c>
      <c r="E3150" t="s">
        <v>15710</v>
      </c>
      <c r="F3150" t="s">
        <v>3288</v>
      </c>
      <c r="G3150" t="s">
        <v>3060</v>
      </c>
      <c r="H3150" t="s">
        <v>3285</v>
      </c>
    </row>
    <row r="3151" spans="1:9" x14ac:dyDescent="0.25">
      <c r="A3151" t="s">
        <v>11492</v>
      </c>
      <c r="B3151" t="s">
        <v>11492</v>
      </c>
      <c r="C3151" t="s">
        <v>11493</v>
      </c>
      <c r="D3151" t="s">
        <v>3242</v>
      </c>
      <c r="E3151" t="s">
        <v>15979</v>
      </c>
      <c r="F3151" t="s">
        <v>3257</v>
      </c>
      <c r="G3151" t="s">
        <v>11494</v>
      </c>
      <c r="H3151" t="s">
        <v>3496</v>
      </c>
      <c r="I3151" t="s">
        <v>3263</v>
      </c>
    </row>
    <row r="3152" spans="1:9" x14ac:dyDescent="0.25">
      <c r="A3152" t="s">
        <v>11495</v>
      </c>
      <c r="B3152" t="s">
        <v>11495</v>
      </c>
      <c r="C3152" t="s">
        <v>11496</v>
      </c>
      <c r="D3152" t="s">
        <v>3242</v>
      </c>
      <c r="E3152" t="s">
        <v>15710</v>
      </c>
      <c r="F3152" t="s">
        <v>3243</v>
      </c>
      <c r="G3152" t="s">
        <v>3507</v>
      </c>
      <c r="H3152" t="s">
        <v>3290</v>
      </c>
    </row>
    <row r="3153" spans="1:9" x14ac:dyDescent="0.25">
      <c r="A3153" t="s">
        <v>11497</v>
      </c>
      <c r="B3153" t="s">
        <v>11497</v>
      </c>
      <c r="C3153" t="s">
        <v>11498</v>
      </c>
      <c r="D3153" t="s">
        <v>3321</v>
      </c>
      <c r="E3153" t="s">
        <v>15710</v>
      </c>
      <c r="F3153" t="s">
        <v>3288</v>
      </c>
      <c r="G3153" t="s">
        <v>11499</v>
      </c>
      <c r="H3153" t="s">
        <v>11500</v>
      </c>
    </row>
    <row r="3154" spans="1:9" x14ac:dyDescent="0.25">
      <c r="A3154" t="s">
        <v>15457</v>
      </c>
      <c r="B3154" t="s">
        <v>15457</v>
      </c>
      <c r="C3154" t="s">
        <v>15458</v>
      </c>
      <c r="D3154" t="s">
        <v>3242</v>
      </c>
      <c r="E3154" t="s">
        <v>15710</v>
      </c>
      <c r="F3154" t="s">
        <v>3288</v>
      </c>
      <c r="G3154" t="s">
        <v>15459</v>
      </c>
      <c r="H3154" t="s">
        <v>10634</v>
      </c>
    </row>
    <row r="3155" spans="1:9" x14ac:dyDescent="0.25">
      <c r="A3155" t="s">
        <v>16712</v>
      </c>
      <c r="B3155" t="s">
        <v>16712</v>
      </c>
      <c r="C3155" t="s">
        <v>16713</v>
      </c>
      <c r="D3155" t="s">
        <v>3242</v>
      </c>
      <c r="E3155" t="s">
        <v>15710</v>
      </c>
      <c r="F3155" t="s">
        <v>3243</v>
      </c>
      <c r="G3155" t="s">
        <v>16714</v>
      </c>
      <c r="H3155" t="s">
        <v>3463</v>
      </c>
    </row>
    <row r="3156" spans="1:9" x14ac:dyDescent="0.25">
      <c r="A3156" t="s">
        <v>11501</v>
      </c>
      <c r="B3156" t="s">
        <v>11501</v>
      </c>
      <c r="C3156" t="s">
        <v>11502</v>
      </c>
      <c r="D3156" t="s">
        <v>3242</v>
      </c>
      <c r="E3156" t="s">
        <v>15710</v>
      </c>
      <c r="F3156" t="s">
        <v>3288</v>
      </c>
      <c r="G3156" t="s">
        <v>11503</v>
      </c>
      <c r="H3156" t="s">
        <v>3680</v>
      </c>
    </row>
    <row r="3157" spans="1:9" x14ac:dyDescent="0.25">
      <c r="A3157" t="s">
        <v>11504</v>
      </c>
      <c r="B3157" t="s">
        <v>11504</v>
      </c>
      <c r="C3157" t="s">
        <v>11505</v>
      </c>
      <c r="D3157" t="s">
        <v>3242</v>
      </c>
      <c r="E3157" t="s">
        <v>15710</v>
      </c>
      <c r="F3157" t="s">
        <v>3306</v>
      </c>
      <c r="G3157" t="s">
        <v>4919</v>
      </c>
      <c r="H3157" t="s">
        <v>3259</v>
      </c>
      <c r="I3157" t="s">
        <v>3294</v>
      </c>
    </row>
    <row r="3158" spans="1:9" x14ac:dyDescent="0.25">
      <c r="A3158" t="s">
        <v>11506</v>
      </c>
      <c r="B3158" t="s">
        <v>11506</v>
      </c>
      <c r="C3158" t="s">
        <v>11507</v>
      </c>
      <c r="D3158" t="s">
        <v>3242</v>
      </c>
      <c r="E3158" t="s">
        <v>15710</v>
      </c>
      <c r="F3158" t="s">
        <v>3243</v>
      </c>
      <c r="G3158" t="s">
        <v>11508</v>
      </c>
      <c r="H3158" t="s">
        <v>3402</v>
      </c>
    </row>
    <row r="3159" spans="1:9" x14ac:dyDescent="0.25">
      <c r="A3159" t="s">
        <v>11509</v>
      </c>
      <c r="B3159" t="s">
        <v>11509</v>
      </c>
      <c r="C3159" t="s">
        <v>11510</v>
      </c>
      <c r="D3159" t="s">
        <v>3242</v>
      </c>
      <c r="E3159" t="s">
        <v>15710</v>
      </c>
      <c r="F3159" t="s">
        <v>3243</v>
      </c>
      <c r="G3159" t="s">
        <v>7788</v>
      </c>
      <c r="H3159" t="s">
        <v>3290</v>
      </c>
    </row>
    <row r="3160" spans="1:9" x14ac:dyDescent="0.25">
      <c r="A3160" t="s">
        <v>11511</v>
      </c>
      <c r="B3160" t="s">
        <v>11511</v>
      </c>
      <c r="C3160" t="s">
        <v>11512</v>
      </c>
      <c r="D3160" t="s">
        <v>3242</v>
      </c>
      <c r="E3160" t="s">
        <v>15710</v>
      </c>
      <c r="F3160" t="s">
        <v>3251</v>
      </c>
      <c r="G3160" t="s">
        <v>10706</v>
      </c>
      <c r="H3160" t="s">
        <v>3311</v>
      </c>
    </row>
    <row r="3161" spans="1:9" x14ac:dyDescent="0.25">
      <c r="A3161" t="s">
        <v>11513</v>
      </c>
      <c r="B3161" t="s">
        <v>11513</v>
      </c>
      <c r="C3161" t="s">
        <v>11514</v>
      </c>
      <c r="D3161" t="s">
        <v>3242</v>
      </c>
      <c r="E3161" t="s">
        <v>15710</v>
      </c>
      <c r="F3161" t="s">
        <v>3288</v>
      </c>
      <c r="G3161" t="s">
        <v>3060</v>
      </c>
      <c r="H3161" t="s">
        <v>3285</v>
      </c>
    </row>
    <row r="3162" spans="1:9" x14ac:dyDescent="0.25">
      <c r="A3162" t="s">
        <v>11515</v>
      </c>
      <c r="B3162" t="s">
        <v>11515</v>
      </c>
      <c r="C3162" t="s">
        <v>11516</v>
      </c>
      <c r="D3162" t="s">
        <v>3242</v>
      </c>
      <c r="E3162" t="s">
        <v>15710</v>
      </c>
      <c r="F3162" t="s">
        <v>3243</v>
      </c>
      <c r="G3162" t="s">
        <v>4287</v>
      </c>
      <c r="H3162" t="s">
        <v>11517</v>
      </c>
    </row>
    <row r="3163" spans="1:9" x14ac:dyDescent="0.25">
      <c r="A3163" t="s">
        <v>15460</v>
      </c>
      <c r="B3163" t="s">
        <v>15460</v>
      </c>
      <c r="C3163" t="s">
        <v>15461</v>
      </c>
      <c r="D3163" t="s">
        <v>3242</v>
      </c>
      <c r="E3163" t="s">
        <v>15710</v>
      </c>
      <c r="F3163" t="s">
        <v>3243</v>
      </c>
      <c r="G3163" t="s">
        <v>15462</v>
      </c>
      <c r="H3163" t="s">
        <v>3290</v>
      </c>
      <c r="I3163" t="s">
        <v>3432</v>
      </c>
    </row>
    <row r="3164" spans="1:9" x14ac:dyDescent="0.25">
      <c r="A3164" t="s">
        <v>11518</v>
      </c>
      <c r="B3164" t="s">
        <v>11518</v>
      </c>
      <c r="C3164" t="s">
        <v>11519</v>
      </c>
      <c r="D3164" t="s">
        <v>3242</v>
      </c>
      <c r="E3164" t="s">
        <v>15710</v>
      </c>
      <c r="F3164" t="s">
        <v>3306</v>
      </c>
      <c r="G3164" t="s">
        <v>11520</v>
      </c>
      <c r="H3164" t="s">
        <v>4711</v>
      </c>
      <c r="I3164" t="s">
        <v>3254</v>
      </c>
    </row>
    <row r="3165" spans="1:9" x14ac:dyDescent="0.25">
      <c r="A3165" t="s">
        <v>11521</v>
      </c>
      <c r="B3165" t="s">
        <v>11521</v>
      </c>
      <c r="C3165" t="s">
        <v>11522</v>
      </c>
      <c r="D3165" t="s">
        <v>3242</v>
      </c>
      <c r="E3165" t="s">
        <v>15710</v>
      </c>
      <c r="F3165" t="s">
        <v>3283</v>
      </c>
      <c r="G3165" t="s">
        <v>11523</v>
      </c>
      <c r="H3165" t="s">
        <v>4320</v>
      </c>
    </row>
    <row r="3166" spans="1:9" x14ac:dyDescent="0.25">
      <c r="A3166" t="s">
        <v>11524</v>
      </c>
      <c r="B3166" t="s">
        <v>11524</v>
      </c>
      <c r="C3166" t="s">
        <v>11525</v>
      </c>
      <c r="D3166" t="s">
        <v>3242</v>
      </c>
      <c r="E3166" t="s">
        <v>15710</v>
      </c>
      <c r="F3166" t="s">
        <v>3288</v>
      </c>
      <c r="G3166" t="s">
        <v>4642</v>
      </c>
      <c r="H3166" t="s">
        <v>4320</v>
      </c>
    </row>
    <row r="3167" spans="1:9" x14ac:dyDescent="0.25">
      <c r="A3167" t="s">
        <v>11526</v>
      </c>
      <c r="B3167" t="s">
        <v>11526</v>
      </c>
      <c r="C3167" t="s">
        <v>11527</v>
      </c>
      <c r="D3167" t="s">
        <v>3242</v>
      </c>
      <c r="E3167" t="s">
        <v>15710</v>
      </c>
      <c r="F3167" t="s">
        <v>3345</v>
      </c>
      <c r="G3167" t="s">
        <v>11528</v>
      </c>
      <c r="H3167" t="s">
        <v>3290</v>
      </c>
    </row>
    <row r="3168" spans="1:9" x14ac:dyDescent="0.25">
      <c r="A3168" t="s">
        <v>11529</v>
      </c>
      <c r="B3168" t="s">
        <v>11529</v>
      </c>
      <c r="C3168" t="s">
        <v>11530</v>
      </c>
      <c r="D3168" t="s">
        <v>3242</v>
      </c>
      <c r="E3168" t="s">
        <v>15710</v>
      </c>
      <c r="F3168" t="s">
        <v>3288</v>
      </c>
      <c r="G3168" t="s">
        <v>11531</v>
      </c>
      <c r="H3168" t="s">
        <v>3060</v>
      </c>
    </row>
    <row r="3169" spans="1:9" x14ac:dyDescent="0.25">
      <c r="A3169" t="s">
        <v>11532</v>
      </c>
      <c r="B3169" t="s">
        <v>11532</v>
      </c>
      <c r="C3169" t="s">
        <v>11533</v>
      </c>
      <c r="D3169" t="s">
        <v>3242</v>
      </c>
      <c r="E3169" t="s">
        <v>15710</v>
      </c>
      <c r="F3169" t="s">
        <v>3683</v>
      </c>
      <c r="G3169" t="s">
        <v>3684</v>
      </c>
      <c r="H3169" t="s">
        <v>3421</v>
      </c>
      <c r="I3169" t="s">
        <v>3254</v>
      </c>
    </row>
    <row r="3170" spans="1:9" x14ac:dyDescent="0.25">
      <c r="A3170" t="s">
        <v>11534</v>
      </c>
      <c r="B3170" t="s">
        <v>11534</v>
      </c>
      <c r="C3170" t="s">
        <v>11535</v>
      </c>
      <c r="D3170" t="s">
        <v>3242</v>
      </c>
      <c r="E3170" t="s">
        <v>15710</v>
      </c>
      <c r="F3170" t="s">
        <v>3288</v>
      </c>
      <c r="G3170" t="s">
        <v>11528</v>
      </c>
      <c r="H3170" t="s">
        <v>4697</v>
      </c>
    </row>
    <row r="3171" spans="1:9" x14ac:dyDescent="0.25">
      <c r="A3171" t="s">
        <v>11536</v>
      </c>
      <c r="B3171" t="s">
        <v>11536</v>
      </c>
      <c r="C3171" t="s">
        <v>11537</v>
      </c>
      <c r="D3171" t="s">
        <v>3242</v>
      </c>
      <c r="E3171" t="s">
        <v>15710</v>
      </c>
      <c r="F3171" t="s">
        <v>3288</v>
      </c>
      <c r="G3171" t="s">
        <v>11538</v>
      </c>
      <c r="H3171" t="s">
        <v>3311</v>
      </c>
    </row>
    <row r="3172" spans="1:9" x14ac:dyDescent="0.25">
      <c r="A3172" t="s">
        <v>11539</v>
      </c>
      <c r="B3172" t="s">
        <v>11539</v>
      </c>
      <c r="C3172" t="s">
        <v>11540</v>
      </c>
      <c r="D3172" t="s">
        <v>3242</v>
      </c>
      <c r="E3172" t="s">
        <v>15710</v>
      </c>
      <c r="F3172" t="s">
        <v>3288</v>
      </c>
      <c r="G3172" t="s">
        <v>3060</v>
      </c>
      <c r="H3172" t="s">
        <v>3285</v>
      </c>
    </row>
    <row r="3173" spans="1:9" x14ac:dyDescent="0.25">
      <c r="A3173" t="s">
        <v>11541</v>
      </c>
      <c r="B3173" t="s">
        <v>11541</v>
      </c>
      <c r="C3173" t="s">
        <v>11542</v>
      </c>
      <c r="D3173" t="s">
        <v>3242</v>
      </c>
      <c r="E3173" t="s">
        <v>15710</v>
      </c>
      <c r="F3173" t="s">
        <v>3345</v>
      </c>
      <c r="G3173" t="s">
        <v>11543</v>
      </c>
      <c r="H3173" t="s">
        <v>3915</v>
      </c>
    </row>
    <row r="3174" spans="1:9" x14ac:dyDescent="0.25">
      <c r="A3174" t="s">
        <v>11544</v>
      </c>
      <c r="B3174" t="s">
        <v>11544</v>
      </c>
      <c r="C3174" t="s">
        <v>11545</v>
      </c>
      <c r="D3174" t="s">
        <v>3321</v>
      </c>
      <c r="E3174" t="s">
        <v>15710</v>
      </c>
      <c r="F3174" t="s">
        <v>3257</v>
      </c>
      <c r="G3174" t="s">
        <v>11546</v>
      </c>
      <c r="H3174" t="s">
        <v>3267</v>
      </c>
    </row>
    <row r="3175" spans="1:9" x14ac:dyDescent="0.25">
      <c r="A3175" t="s">
        <v>11547</v>
      </c>
      <c r="B3175" t="s">
        <v>11547</v>
      </c>
      <c r="C3175" t="s">
        <v>11548</v>
      </c>
      <c r="D3175" t="s">
        <v>3242</v>
      </c>
      <c r="E3175" t="s">
        <v>15710</v>
      </c>
      <c r="F3175" t="s">
        <v>3243</v>
      </c>
      <c r="G3175" t="s">
        <v>11549</v>
      </c>
      <c r="H3175" t="s">
        <v>3402</v>
      </c>
    </row>
    <row r="3176" spans="1:9" x14ac:dyDescent="0.25">
      <c r="A3176" t="s">
        <v>11550</v>
      </c>
      <c r="B3176" t="s">
        <v>11550</v>
      </c>
      <c r="C3176" t="s">
        <v>11551</v>
      </c>
      <c r="D3176" t="s">
        <v>3242</v>
      </c>
      <c r="E3176" t="s">
        <v>15710</v>
      </c>
      <c r="F3176" t="s">
        <v>3243</v>
      </c>
      <c r="G3176" t="s">
        <v>11552</v>
      </c>
      <c r="H3176" t="s">
        <v>3402</v>
      </c>
    </row>
    <row r="3177" spans="1:9" x14ac:dyDescent="0.25">
      <c r="A3177" t="s">
        <v>11553</v>
      </c>
      <c r="B3177" t="s">
        <v>11553</v>
      </c>
      <c r="C3177" t="s">
        <v>11554</v>
      </c>
      <c r="D3177" t="s">
        <v>3242</v>
      </c>
      <c r="E3177" t="s">
        <v>15710</v>
      </c>
      <c r="F3177" t="s">
        <v>3288</v>
      </c>
      <c r="G3177" t="s">
        <v>11555</v>
      </c>
      <c r="H3177" t="s">
        <v>3285</v>
      </c>
    </row>
    <row r="3178" spans="1:9" x14ac:dyDescent="0.25">
      <c r="A3178" t="s">
        <v>11556</v>
      </c>
      <c r="B3178" t="s">
        <v>11556</v>
      </c>
      <c r="C3178" t="s">
        <v>11557</v>
      </c>
      <c r="D3178" t="s">
        <v>3242</v>
      </c>
      <c r="E3178" t="s">
        <v>15710</v>
      </c>
      <c r="F3178" t="s">
        <v>3288</v>
      </c>
      <c r="G3178" t="s">
        <v>3060</v>
      </c>
      <c r="H3178" t="s">
        <v>3285</v>
      </c>
    </row>
    <row r="3179" spans="1:9" x14ac:dyDescent="0.25">
      <c r="A3179" t="s">
        <v>11558</v>
      </c>
      <c r="B3179" t="s">
        <v>11558</v>
      </c>
      <c r="C3179" t="s">
        <v>11559</v>
      </c>
      <c r="D3179" t="s">
        <v>3242</v>
      </c>
      <c r="E3179" t="s">
        <v>15710</v>
      </c>
      <c r="F3179" t="s">
        <v>3243</v>
      </c>
      <c r="G3179" t="s">
        <v>11560</v>
      </c>
      <c r="H3179" t="s">
        <v>3402</v>
      </c>
    </row>
    <row r="3180" spans="1:9" x14ac:dyDescent="0.25">
      <c r="A3180" t="s">
        <v>11561</v>
      </c>
      <c r="B3180" t="s">
        <v>11561</v>
      </c>
      <c r="C3180" t="s">
        <v>11562</v>
      </c>
      <c r="D3180" t="s">
        <v>3242</v>
      </c>
      <c r="E3180" t="s">
        <v>15710</v>
      </c>
      <c r="F3180" t="s">
        <v>3345</v>
      </c>
      <c r="G3180" t="s">
        <v>11563</v>
      </c>
      <c r="H3180" t="s">
        <v>3680</v>
      </c>
    </row>
    <row r="3181" spans="1:9" x14ac:dyDescent="0.25">
      <c r="A3181" t="s">
        <v>11564</v>
      </c>
      <c r="B3181" t="s">
        <v>11564</v>
      </c>
      <c r="C3181" t="s">
        <v>11565</v>
      </c>
      <c r="D3181" t="s">
        <v>3242</v>
      </c>
      <c r="E3181" t="s">
        <v>15710</v>
      </c>
      <c r="F3181" t="s">
        <v>3288</v>
      </c>
      <c r="G3181" t="s">
        <v>4887</v>
      </c>
      <c r="H3181" t="s">
        <v>3290</v>
      </c>
    </row>
    <row r="3182" spans="1:9" x14ac:dyDescent="0.25">
      <c r="A3182" t="s">
        <v>15463</v>
      </c>
      <c r="B3182" t="s">
        <v>15463</v>
      </c>
      <c r="C3182" t="s">
        <v>15464</v>
      </c>
      <c r="D3182" t="s">
        <v>3242</v>
      </c>
      <c r="E3182" t="s">
        <v>15710</v>
      </c>
      <c r="F3182" t="s">
        <v>3243</v>
      </c>
      <c r="G3182" t="s">
        <v>13232</v>
      </c>
      <c r="H3182" t="s">
        <v>4284</v>
      </c>
    </row>
    <row r="3183" spans="1:9" x14ac:dyDescent="0.25">
      <c r="A3183" t="s">
        <v>11566</v>
      </c>
      <c r="B3183" t="s">
        <v>11566</v>
      </c>
      <c r="C3183" t="s">
        <v>11567</v>
      </c>
      <c r="D3183" t="s">
        <v>3242</v>
      </c>
      <c r="E3183" t="s">
        <v>15972</v>
      </c>
      <c r="F3183" t="s">
        <v>3251</v>
      </c>
      <c r="G3183" t="s">
        <v>11568</v>
      </c>
      <c r="H3183" t="s">
        <v>5013</v>
      </c>
      <c r="I3183" t="s">
        <v>3324</v>
      </c>
    </row>
    <row r="3184" spans="1:9" x14ac:dyDescent="0.25">
      <c r="A3184" t="s">
        <v>11569</v>
      </c>
      <c r="B3184" t="s">
        <v>11569</v>
      </c>
      <c r="C3184" t="s">
        <v>11570</v>
      </c>
      <c r="D3184" t="s">
        <v>3242</v>
      </c>
      <c r="E3184" t="s">
        <v>15968</v>
      </c>
      <c r="F3184" t="s">
        <v>11571</v>
      </c>
      <c r="G3184" t="s">
        <v>10378</v>
      </c>
      <c r="H3184" t="s">
        <v>3267</v>
      </c>
      <c r="I3184" t="s">
        <v>3366</v>
      </c>
    </row>
    <row r="3185" spans="1:9" x14ac:dyDescent="0.25">
      <c r="A3185" t="s">
        <v>11572</v>
      </c>
      <c r="B3185" t="s">
        <v>11572</v>
      </c>
      <c r="C3185" t="s">
        <v>11573</v>
      </c>
      <c r="D3185" t="s">
        <v>3242</v>
      </c>
      <c r="E3185" t="s">
        <v>15710</v>
      </c>
      <c r="F3185" t="s">
        <v>3288</v>
      </c>
      <c r="G3185" t="s">
        <v>3060</v>
      </c>
      <c r="H3185" t="s">
        <v>3060</v>
      </c>
    </row>
    <row r="3186" spans="1:9" x14ac:dyDescent="0.25">
      <c r="A3186" t="s">
        <v>11574</v>
      </c>
      <c r="B3186" t="s">
        <v>11574</v>
      </c>
      <c r="C3186" t="s">
        <v>11575</v>
      </c>
      <c r="D3186" t="s">
        <v>3242</v>
      </c>
      <c r="E3186" t="s">
        <v>15710</v>
      </c>
      <c r="F3186" t="s">
        <v>3288</v>
      </c>
      <c r="G3186" t="s">
        <v>11576</v>
      </c>
      <c r="H3186" t="s">
        <v>3361</v>
      </c>
    </row>
    <row r="3187" spans="1:9" x14ac:dyDescent="0.25">
      <c r="A3187" t="s">
        <v>11577</v>
      </c>
      <c r="B3187" t="s">
        <v>11577</v>
      </c>
      <c r="C3187" t="s">
        <v>11578</v>
      </c>
      <c r="D3187" t="s">
        <v>3242</v>
      </c>
      <c r="E3187" t="s">
        <v>15710</v>
      </c>
      <c r="F3187" t="s">
        <v>3257</v>
      </c>
      <c r="G3187" t="s">
        <v>11579</v>
      </c>
      <c r="H3187" t="s">
        <v>4871</v>
      </c>
    </row>
    <row r="3188" spans="1:9" x14ac:dyDescent="0.25">
      <c r="A3188" t="s">
        <v>11580</v>
      </c>
      <c r="B3188" t="s">
        <v>11580</v>
      </c>
      <c r="C3188" t="s">
        <v>11581</v>
      </c>
      <c r="D3188" t="s">
        <v>3242</v>
      </c>
      <c r="E3188" t="s">
        <v>15710</v>
      </c>
      <c r="F3188" t="s">
        <v>3251</v>
      </c>
      <c r="G3188" t="s">
        <v>11582</v>
      </c>
      <c r="H3188" t="s">
        <v>3900</v>
      </c>
    </row>
    <row r="3189" spans="1:9" x14ac:dyDescent="0.25">
      <c r="A3189" t="s">
        <v>15465</v>
      </c>
      <c r="B3189" t="s">
        <v>15465</v>
      </c>
      <c r="C3189" t="s">
        <v>15466</v>
      </c>
      <c r="D3189" t="s">
        <v>3242</v>
      </c>
      <c r="E3189" t="s">
        <v>17660</v>
      </c>
      <c r="F3189" t="s">
        <v>3372</v>
      </c>
      <c r="G3189" t="s">
        <v>15467</v>
      </c>
      <c r="H3189" t="s">
        <v>7509</v>
      </c>
      <c r="I3189" t="s">
        <v>3366</v>
      </c>
    </row>
    <row r="3190" spans="1:9" x14ac:dyDescent="0.25">
      <c r="A3190" t="s">
        <v>11583</v>
      </c>
      <c r="B3190" t="s">
        <v>11583</v>
      </c>
      <c r="C3190" t="s">
        <v>11584</v>
      </c>
      <c r="D3190" t="s">
        <v>3242</v>
      </c>
      <c r="E3190" t="s">
        <v>15710</v>
      </c>
      <c r="F3190" t="s">
        <v>3257</v>
      </c>
      <c r="G3190" t="s">
        <v>5198</v>
      </c>
      <c r="H3190" t="s">
        <v>3565</v>
      </c>
    </row>
    <row r="3191" spans="1:9" x14ac:dyDescent="0.25">
      <c r="A3191" t="s">
        <v>11585</v>
      </c>
      <c r="B3191" t="s">
        <v>11585</v>
      </c>
      <c r="C3191" t="s">
        <v>11586</v>
      </c>
      <c r="D3191" t="s">
        <v>3242</v>
      </c>
      <c r="E3191" t="s">
        <v>15710</v>
      </c>
      <c r="F3191" t="s">
        <v>3288</v>
      </c>
      <c r="G3191" t="s">
        <v>11587</v>
      </c>
      <c r="H3191" t="s">
        <v>3749</v>
      </c>
    </row>
    <row r="3192" spans="1:9" x14ac:dyDescent="0.25">
      <c r="A3192" t="s">
        <v>11588</v>
      </c>
      <c r="B3192" t="s">
        <v>11588</v>
      </c>
      <c r="C3192" t="s">
        <v>11589</v>
      </c>
      <c r="D3192" t="s">
        <v>3242</v>
      </c>
      <c r="E3192" t="s">
        <v>15710</v>
      </c>
      <c r="F3192" t="s">
        <v>3243</v>
      </c>
      <c r="G3192" t="s">
        <v>11590</v>
      </c>
      <c r="H3192" t="s">
        <v>3402</v>
      </c>
    </row>
    <row r="3193" spans="1:9" x14ac:dyDescent="0.25">
      <c r="A3193" t="s">
        <v>16072</v>
      </c>
      <c r="B3193" t="s">
        <v>16072</v>
      </c>
      <c r="C3193" t="s">
        <v>16073</v>
      </c>
      <c r="D3193" t="s">
        <v>3242</v>
      </c>
      <c r="E3193" t="s">
        <v>15710</v>
      </c>
      <c r="F3193" t="s">
        <v>3243</v>
      </c>
      <c r="G3193" t="s">
        <v>7802</v>
      </c>
      <c r="H3193" t="s">
        <v>16020</v>
      </c>
    </row>
    <row r="3194" spans="1:9" x14ac:dyDescent="0.25">
      <c r="A3194" t="s">
        <v>11591</v>
      </c>
      <c r="B3194" t="s">
        <v>11591</v>
      </c>
      <c r="C3194" t="s">
        <v>11592</v>
      </c>
      <c r="D3194" t="s">
        <v>3242</v>
      </c>
      <c r="E3194" t="s">
        <v>15710</v>
      </c>
      <c r="F3194" t="s">
        <v>3243</v>
      </c>
      <c r="G3194" t="s">
        <v>3243</v>
      </c>
      <c r="H3194" t="s">
        <v>3290</v>
      </c>
    </row>
    <row r="3195" spans="1:9" x14ac:dyDescent="0.25">
      <c r="A3195" t="s">
        <v>11593</v>
      </c>
      <c r="B3195" t="s">
        <v>11593</v>
      </c>
      <c r="C3195" t="s">
        <v>11594</v>
      </c>
      <c r="D3195" t="s">
        <v>3242</v>
      </c>
      <c r="E3195" t="s">
        <v>15710</v>
      </c>
      <c r="F3195" t="s">
        <v>3288</v>
      </c>
      <c r="G3195" t="s">
        <v>3060</v>
      </c>
      <c r="H3195" t="s">
        <v>3060</v>
      </c>
    </row>
    <row r="3196" spans="1:9" x14ac:dyDescent="0.25">
      <c r="A3196" t="s">
        <v>15468</v>
      </c>
      <c r="B3196" t="s">
        <v>15468</v>
      </c>
      <c r="C3196" t="s">
        <v>15469</v>
      </c>
      <c r="D3196" t="s">
        <v>3242</v>
      </c>
      <c r="E3196" t="s">
        <v>15710</v>
      </c>
      <c r="F3196" t="s">
        <v>3288</v>
      </c>
      <c r="G3196" t="s">
        <v>15470</v>
      </c>
      <c r="H3196" t="s">
        <v>3962</v>
      </c>
    </row>
    <row r="3197" spans="1:9" x14ac:dyDescent="0.25">
      <c r="A3197" t="s">
        <v>15471</v>
      </c>
      <c r="B3197" t="s">
        <v>15471</v>
      </c>
      <c r="C3197" t="s">
        <v>15472</v>
      </c>
      <c r="D3197" t="s">
        <v>3242</v>
      </c>
      <c r="E3197" t="s">
        <v>15710</v>
      </c>
      <c r="F3197" t="s">
        <v>3243</v>
      </c>
      <c r="G3197" t="s">
        <v>15473</v>
      </c>
      <c r="H3197" t="s">
        <v>3285</v>
      </c>
    </row>
    <row r="3198" spans="1:9" x14ac:dyDescent="0.25">
      <c r="A3198" t="s">
        <v>11595</v>
      </c>
      <c r="B3198" t="s">
        <v>11595</v>
      </c>
      <c r="C3198" t="s">
        <v>11596</v>
      </c>
      <c r="D3198" t="s">
        <v>3242</v>
      </c>
      <c r="E3198" t="s">
        <v>15710</v>
      </c>
      <c r="F3198" t="s">
        <v>11597</v>
      </c>
      <c r="G3198" t="s">
        <v>11598</v>
      </c>
      <c r="H3198" t="s">
        <v>3614</v>
      </c>
      <c r="I3198" t="s">
        <v>7620</v>
      </c>
    </row>
    <row r="3199" spans="1:9" x14ac:dyDescent="0.25">
      <c r="A3199" t="s">
        <v>17083</v>
      </c>
      <c r="B3199" t="s">
        <v>17083</v>
      </c>
      <c r="C3199" t="s">
        <v>17084</v>
      </c>
      <c r="D3199" t="s">
        <v>3242</v>
      </c>
      <c r="E3199" t="s">
        <v>17085</v>
      </c>
      <c r="F3199" t="s">
        <v>3243</v>
      </c>
      <c r="G3199" t="s">
        <v>17086</v>
      </c>
      <c r="H3199" t="s">
        <v>3285</v>
      </c>
    </row>
    <row r="3200" spans="1:9" x14ac:dyDescent="0.25">
      <c r="A3200" t="s">
        <v>17425</v>
      </c>
      <c r="B3200" t="s">
        <v>17425</v>
      </c>
      <c r="C3200" t="s">
        <v>17426</v>
      </c>
      <c r="D3200" t="s">
        <v>3242</v>
      </c>
      <c r="E3200" t="s">
        <v>15710</v>
      </c>
      <c r="F3200" t="s">
        <v>3243</v>
      </c>
      <c r="G3200" t="s">
        <v>17427</v>
      </c>
      <c r="H3200" t="s">
        <v>3402</v>
      </c>
    </row>
    <row r="3201" spans="1:9" x14ac:dyDescent="0.25">
      <c r="A3201" t="s">
        <v>11599</v>
      </c>
      <c r="B3201" t="s">
        <v>11599</v>
      </c>
      <c r="C3201" t="s">
        <v>11600</v>
      </c>
      <c r="D3201" t="s">
        <v>3242</v>
      </c>
      <c r="E3201" t="s">
        <v>15710</v>
      </c>
      <c r="F3201" t="s">
        <v>3372</v>
      </c>
      <c r="G3201" t="s">
        <v>11601</v>
      </c>
      <c r="H3201" t="s">
        <v>3643</v>
      </c>
      <c r="I3201" t="s">
        <v>3366</v>
      </c>
    </row>
    <row r="3202" spans="1:9" x14ac:dyDescent="0.25">
      <c r="A3202" t="s">
        <v>11602</v>
      </c>
      <c r="B3202" t="s">
        <v>11602</v>
      </c>
      <c r="C3202" t="s">
        <v>11603</v>
      </c>
      <c r="D3202" t="s">
        <v>3242</v>
      </c>
      <c r="E3202" t="s">
        <v>15710</v>
      </c>
      <c r="F3202" t="s">
        <v>3283</v>
      </c>
      <c r="G3202" t="s">
        <v>11604</v>
      </c>
      <c r="H3202" t="s">
        <v>3285</v>
      </c>
    </row>
    <row r="3203" spans="1:9" x14ac:dyDescent="0.25">
      <c r="A3203" t="s">
        <v>11605</v>
      </c>
      <c r="B3203" t="s">
        <v>11605</v>
      </c>
      <c r="C3203" t="s">
        <v>11606</v>
      </c>
      <c r="D3203" t="s">
        <v>3242</v>
      </c>
      <c r="E3203" t="s">
        <v>15710</v>
      </c>
      <c r="F3203" t="s">
        <v>3372</v>
      </c>
      <c r="G3203" t="s">
        <v>11607</v>
      </c>
      <c r="H3203" t="s">
        <v>3290</v>
      </c>
    </row>
    <row r="3204" spans="1:9" x14ac:dyDescent="0.25">
      <c r="A3204" t="s">
        <v>11608</v>
      </c>
      <c r="B3204" t="s">
        <v>11608</v>
      </c>
      <c r="C3204" t="s">
        <v>11609</v>
      </c>
      <c r="D3204" t="s">
        <v>3242</v>
      </c>
      <c r="E3204" t="s">
        <v>15710</v>
      </c>
      <c r="F3204" t="s">
        <v>3251</v>
      </c>
      <c r="G3204" t="s">
        <v>11610</v>
      </c>
      <c r="H3204" t="s">
        <v>5905</v>
      </c>
    </row>
    <row r="3205" spans="1:9" x14ac:dyDescent="0.25">
      <c r="A3205" t="s">
        <v>11611</v>
      </c>
      <c r="B3205" t="s">
        <v>11611</v>
      </c>
      <c r="C3205" t="s">
        <v>11612</v>
      </c>
      <c r="D3205" t="s">
        <v>3242</v>
      </c>
      <c r="E3205" t="s">
        <v>15710</v>
      </c>
      <c r="F3205" t="s">
        <v>3345</v>
      </c>
      <c r="G3205" t="s">
        <v>11613</v>
      </c>
      <c r="H3205" t="s">
        <v>4045</v>
      </c>
    </row>
    <row r="3206" spans="1:9" x14ac:dyDescent="0.25">
      <c r="A3206" t="s">
        <v>11614</v>
      </c>
      <c r="B3206" t="s">
        <v>11614</v>
      </c>
      <c r="C3206" t="s">
        <v>11615</v>
      </c>
      <c r="D3206" t="s">
        <v>3242</v>
      </c>
      <c r="E3206" t="s">
        <v>17614</v>
      </c>
      <c r="F3206" t="s">
        <v>11616</v>
      </c>
      <c r="G3206" t="s">
        <v>11617</v>
      </c>
      <c r="H3206" t="s">
        <v>3280</v>
      </c>
    </row>
    <row r="3207" spans="1:9" x14ac:dyDescent="0.25">
      <c r="A3207" t="s">
        <v>11618</v>
      </c>
      <c r="B3207" t="s">
        <v>11618</v>
      </c>
      <c r="C3207" t="s">
        <v>11619</v>
      </c>
      <c r="D3207" t="s">
        <v>3242</v>
      </c>
      <c r="E3207" t="s">
        <v>15710</v>
      </c>
      <c r="F3207" t="s">
        <v>3243</v>
      </c>
      <c r="G3207" t="s">
        <v>11620</v>
      </c>
      <c r="H3207" t="s">
        <v>10536</v>
      </c>
    </row>
    <row r="3208" spans="1:9" x14ac:dyDescent="0.25">
      <c r="A3208" t="s">
        <v>11621</v>
      </c>
      <c r="B3208" t="s">
        <v>11621</v>
      </c>
      <c r="C3208" t="s">
        <v>11622</v>
      </c>
      <c r="D3208" t="s">
        <v>3242</v>
      </c>
      <c r="E3208" t="s">
        <v>15710</v>
      </c>
      <c r="F3208" t="s">
        <v>3288</v>
      </c>
      <c r="G3208" t="s">
        <v>11623</v>
      </c>
      <c r="H3208" t="s">
        <v>3463</v>
      </c>
    </row>
    <row r="3209" spans="1:9" x14ac:dyDescent="0.25">
      <c r="A3209" t="s">
        <v>11624</v>
      </c>
      <c r="B3209" t="s">
        <v>11624</v>
      </c>
      <c r="C3209" t="s">
        <v>11625</v>
      </c>
      <c r="D3209" t="s">
        <v>3242</v>
      </c>
      <c r="E3209" t="s">
        <v>15710</v>
      </c>
      <c r="F3209" t="s">
        <v>3345</v>
      </c>
      <c r="G3209" t="s">
        <v>11626</v>
      </c>
      <c r="H3209" t="s">
        <v>3290</v>
      </c>
    </row>
    <row r="3210" spans="1:9" x14ac:dyDescent="0.25">
      <c r="A3210" t="s">
        <v>11627</v>
      </c>
      <c r="B3210" t="s">
        <v>11627</v>
      </c>
      <c r="C3210" t="s">
        <v>11628</v>
      </c>
      <c r="D3210" t="s">
        <v>3242</v>
      </c>
      <c r="E3210" t="s">
        <v>15710</v>
      </c>
      <c r="F3210" t="s">
        <v>3243</v>
      </c>
      <c r="G3210" t="s">
        <v>3243</v>
      </c>
      <c r="H3210" t="s">
        <v>3290</v>
      </c>
    </row>
    <row r="3211" spans="1:9" x14ac:dyDescent="0.25">
      <c r="A3211" t="s">
        <v>11629</v>
      </c>
      <c r="B3211" t="s">
        <v>11629</v>
      </c>
      <c r="C3211" t="s">
        <v>11630</v>
      </c>
      <c r="D3211" t="s">
        <v>3242</v>
      </c>
      <c r="E3211" t="s">
        <v>17087</v>
      </c>
      <c r="F3211" t="s">
        <v>8966</v>
      </c>
      <c r="G3211" t="s">
        <v>11631</v>
      </c>
      <c r="H3211" t="s">
        <v>3484</v>
      </c>
      <c r="I3211" t="s">
        <v>14986</v>
      </c>
    </row>
    <row r="3212" spans="1:9" x14ac:dyDescent="0.25">
      <c r="A3212" t="s">
        <v>11632</v>
      </c>
      <c r="B3212" t="s">
        <v>11632</v>
      </c>
      <c r="C3212" t="s">
        <v>11633</v>
      </c>
      <c r="D3212" t="s">
        <v>3242</v>
      </c>
      <c r="E3212" t="s">
        <v>15710</v>
      </c>
      <c r="F3212" t="s">
        <v>3288</v>
      </c>
      <c r="G3212" t="s">
        <v>5561</v>
      </c>
      <c r="H3212" t="s">
        <v>3290</v>
      </c>
    </row>
    <row r="3213" spans="1:9" x14ac:dyDescent="0.25">
      <c r="A3213" t="s">
        <v>11634</v>
      </c>
      <c r="B3213" t="s">
        <v>11634</v>
      </c>
      <c r="C3213" t="s">
        <v>11635</v>
      </c>
      <c r="D3213" t="s">
        <v>3242</v>
      </c>
      <c r="E3213" t="s">
        <v>15710</v>
      </c>
      <c r="F3213" t="s">
        <v>3345</v>
      </c>
      <c r="G3213" t="s">
        <v>10553</v>
      </c>
      <c r="H3213" t="s">
        <v>3285</v>
      </c>
    </row>
    <row r="3214" spans="1:9" x14ac:dyDescent="0.25">
      <c r="A3214" t="s">
        <v>16715</v>
      </c>
      <c r="B3214" t="s">
        <v>16715</v>
      </c>
      <c r="C3214" t="s">
        <v>16716</v>
      </c>
      <c r="D3214" t="s">
        <v>3242</v>
      </c>
      <c r="E3214" t="s">
        <v>15710</v>
      </c>
      <c r="F3214" t="s">
        <v>3288</v>
      </c>
      <c r="G3214" t="s">
        <v>3060</v>
      </c>
      <c r="H3214" t="s">
        <v>3285</v>
      </c>
    </row>
    <row r="3215" spans="1:9" x14ac:dyDescent="0.25">
      <c r="A3215" t="s">
        <v>11636</v>
      </c>
      <c r="B3215" t="s">
        <v>11636</v>
      </c>
      <c r="C3215" t="s">
        <v>11637</v>
      </c>
      <c r="D3215" t="s">
        <v>3242</v>
      </c>
      <c r="E3215" t="s">
        <v>15710</v>
      </c>
      <c r="F3215" t="s">
        <v>3243</v>
      </c>
      <c r="G3215" t="s">
        <v>11638</v>
      </c>
      <c r="H3215" t="s">
        <v>3402</v>
      </c>
    </row>
    <row r="3216" spans="1:9" x14ac:dyDescent="0.25">
      <c r="A3216" t="s">
        <v>11639</v>
      </c>
      <c r="B3216" t="s">
        <v>11640</v>
      </c>
      <c r="C3216" t="s">
        <v>11641</v>
      </c>
      <c r="D3216" t="s">
        <v>3242</v>
      </c>
      <c r="E3216" t="s">
        <v>15710</v>
      </c>
      <c r="F3216" t="s">
        <v>4102</v>
      </c>
      <c r="G3216" t="s">
        <v>11642</v>
      </c>
      <c r="H3216" t="s">
        <v>3749</v>
      </c>
    </row>
    <row r="3217" spans="1:9" x14ac:dyDescent="0.25">
      <c r="A3217" t="s">
        <v>11643</v>
      </c>
      <c r="B3217" t="s">
        <v>11643</v>
      </c>
      <c r="C3217" t="s">
        <v>11644</v>
      </c>
      <c r="D3217" t="s">
        <v>3242</v>
      </c>
      <c r="E3217" t="s">
        <v>15710</v>
      </c>
      <c r="F3217" t="s">
        <v>3243</v>
      </c>
      <c r="G3217" t="s">
        <v>11645</v>
      </c>
      <c r="H3217" t="s">
        <v>3290</v>
      </c>
    </row>
    <row r="3218" spans="1:9" x14ac:dyDescent="0.25">
      <c r="A3218" t="s">
        <v>11646</v>
      </c>
      <c r="B3218" t="s">
        <v>11646</v>
      </c>
      <c r="C3218" t="s">
        <v>11647</v>
      </c>
      <c r="D3218" t="s">
        <v>3242</v>
      </c>
      <c r="E3218" t="s">
        <v>15710</v>
      </c>
      <c r="F3218" t="s">
        <v>3243</v>
      </c>
      <c r="G3218" t="s">
        <v>11648</v>
      </c>
      <c r="H3218" t="s">
        <v>11649</v>
      </c>
    </row>
    <row r="3219" spans="1:9" x14ac:dyDescent="0.25">
      <c r="A3219" t="s">
        <v>11650</v>
      </c>
      <c r="B3219" t="s">
        <v>11650</v>
      </c>
      <c r="C3219" t="s">
        <v>11651</v>
      </c>
      <c r="D3219" t="s">
        <v>3242</v>
      </c>
      <c r="E3219" t="s">
        <v>15710</v>
      </c>
      <c r="F3219" t="s">
        <v>3288</v>
      </c>
      <c r="G3219" t="s">
        <v>11652</v>
      </c>
      <c r="H3219" t="s">
        <v>3290</v>
      </c>
    </row>
    <row r="3220" spans="1:9" x14ac:dyDescent="0.25">
      <c r="A3220" t="s">
        <v>16333</v>
      </c>
      <c r="B3220" t="s">
        <v>16333</v>
      </c>
      <c r="C3220" t="s">
        <v>16334</v>
      </c>
      <c r="D3220" t="s">
        <v>3242</v>
      </c>
      <c r="E3220" t="s">
        <v>15710</v>
      </c>
      <c r="F3220" t="s">
        <v>3288</v>
      </c>
      <c r="G3220" t="s">
        <v>3060</v>
      </c>
      <c r="H3220" t="s">
        <v>3285</v>
      </c>
    </row>
    <row r="3221" spans="1:9" x14ac:dyDescent="0.25">
      <c r="A3221" t="s">
        <v>15980</v>
      </c>
      <c r="B3221" t="s">
        <v>15980</v>
      </c>
      <c r="C3221" t="s">
        <v>15981</v>
      </c>
      <c r="D3221" t="s">
        <v>3242</v>
      </c>
      <c r="E3221" t="s">
        <v>15710</v>
      </c>
      <c r="F3221" t="s">
        <v>3288</v>
      </c>
      <c r="G3221" t="s">
        <v>3060</v>
      </c>
      <c r="H3221" t="s">
        <v>3285</v>
      </c>
    </row>
    <row r="3222" spans="1:9" x14ac:dyDescent="0.25">
      <c r="A3222" t="s">
        <v>11653</v>
      </c>
      <c r="B3222" t="s">
        <v>11653</v>
      </c>
      <c r="C3222" t="s">
        <v>11654</v>
      </c>
      <c r="D3222" t="s">
        <v>3242</v>
      </c>
      <c r="E3222" t="s">
        <v>15710</v>
      </c>
      <c r="F3222" t="s">
        <v>3243</v>
      </c>
      <c r="G3222" t="s">
        <v>11655</v>
      </c>
      <c r="H3222" t="s">
        <v>3290</v>
      </c>
    </row>
    <row r="3223" spans="1:9" x14ac:dyDescent="0.25">
      <c r="A3223" t="s">
        <v>11656</v>
      </c>
      <c r="B3223" t="s">
        <v>11656</v>
      </c>
      <c r="C3223" t="s">
        <v>11657</v>
      </c>
      <c r="D3223" t="s">
        <v>3242</v>
      </c>
      <c r="E3223" t="s">
        <v>15710</v>
      </c>
      <c r="F3223" t="s">
        <v>3243</v>
      </c>
      <c r="G3223" t="s">
        <v>4486</v>
      </c>
      <c r="H3223" t="s">
        <v>4486</v>
      </c>
    </row>
    <row r="3224" spans="1:9" x14ac:dyDescent="0.25">
      <c r="A3224" t="s">
        <v>11658</v>
      </c>
      <c r="B3224" t="s">
        <v>11658</v>
      </c>
      <c r="C3224" t="s">
        <v>11659</v>
      </c>
      <c r="D3224" t="s">
        <v>3242</v>
      </c>
      <c r="E3224" t="s">
        <v>17318</v>
      </c>
      <c r="F3224" t="s">
        <v>15712</v>
      </c>
      <c r="G3224" t="s">
        <v>17428</v>
      </c>
      <c r="H3224" t="s">
        <v>3668</v>
      </c>
    </row>
    <row r="3225" spans="1:9" x14ac:dyDescent="0.25">
      <c r="A3225" t="s">
        <v>11660</v>
      </c>
      <c r="B3225" t="s">
        <v>11660</v>
      </c>
      <c r="C3225" t="s">
        <v>11661</v>
      </c>
      <c r="D3225" t="s">
        <v>3321</v>
      </c>
      <c r="E3225" t="s">
        <v>15710</v>
      </c>
      <c r="F3225" t="s">
        <v>3372</v>
      </c>
      <c r="G3225" t="s">
        <v>11662</v>
      </c>
      <c r="H3225" t="s">
        <v>5883</v>
      </c>
      <c r="I3225" t="s">
        <v>3366</v>
      </c>
    </row>
    <row r="3226" spans="1:9" x14ac:dyDescent="0.25">
      <c r="A3226" t="s">
        <v>11663</v>
      </c>
      <c r="B3226" t="s">
        <v>11663</v>
      </c>
      <c r="C3226" t="s">
        <v>11664</v>
      </c>
      <c r="D3226" t="s">
        <v>3242</v>
      </c>
      <c r="E3226" t="s">
        <v>15710</v>
      </c>
      <c r="F3226" t="s">
        <v>3288</v>
      </c>
      <c r="G3226" t="s">
        <v>11665</v>
      </c>
      <c r="H3226" t="s">
        <v>3680</v>
      </c>
    </row>
    <row r="3227" spans="1:9" x14ac:dyDescent="0.25">
      <c r="A3227" t="s">
        <v>11666</v>
      </c>
      <c r="B3227" t="s">
        <v>11666</v>
      </c>
      <c r="C3227" t="s">
        <v>11667</v>
      </c>
      <c r="D3227" t="s">
        <v>3242</v>
      </c>
      <c r="E3227" t="s">
        <v>15710</v>
      </c>
      <c r="F3227" t="s">
        <v>3257</v>
      </c>
      <c r="G3227" t="s">
        <v>11668</v>
      </c>
      <c r="H3227" t="s">
        <v>3332</v>
      </c>
    </row>
    <row r="3228" spans="1:9" x14ac:dyDescent="0.25">
      <c r="A3228" t="s">
        <v>11669</v>
      </c>
      <c r="B3228" t="s">
        <v>11669</v>
      </c>
      <c r="C3228" t="s">
        <v>11670</v>
      </c>
      <c r="D3228" t="s">
        <v>3242</v>
      </c>
      <c r="E3228" t="s">
        <v>15710</v>
      </c>
      <c r="F3228" t="s">
        <v>3345</v>
      </c>
      <c r="G3228" t="s">
        <v>11671</v>
      </c>
      <c r="H3228" t="s">
        <v>4035</v>
      </c>
    </row>
    <row r="3229" spans="1:9" x14ac:dyDescent="0.25">
      <c r="A3229" t="s">
        <v>15474</v>
      </c>
      <c r="B3229" t="s">
        <v>15474</v>
      </c>
      <c r="C3229" t="s">
        <v>15475</v>
      </c>
      <c r="D3229" t="s">
        <v>3242</v>
      </c>
      <c r="E3229" t="s">
        <v>15710</v>
      </c>
      <c r="F3229" t="s">
        <v>3243</v>
      </c>
      <c r="G3229" t="s">
        <v>15476</v>
      </c>
      <c r="H3229" t="s">
        <v>4284</v>
      </c>
    </row>
    <row r="3230" spans="1:9" x14ac:dyDescent="0.25">
      <c r="A3230" t="s">
        <v>11672</v>
      </c>
      <c r="B3230" t="s">
        <v>11672</v>
      </c>
      <c r="C3230" t="s">
        <v>11673</v>
      </c>
      <c r="D3230" t="s">
        <v>3242</v>
      </c>
      <c r="E3230" t="s">
        <v>15710</v>
      </c>
      <c r="F3230" t="s">
        <v>3288</v>
      </c>
      <c r="G3230" t="s">
        <v>11674</v>
      </c>
      <c r="H3230" t="s">
        <v>3285</v>
      </c>
    </row>
    <row r="3231" spans="1:9" x14ac:dyDescent="0.25">
      <c r="A3231" t="s">
        <v>11675</v>
      </c>
      <c r="B3231" t="s">
        <v>11675</v>
      </c>
      <c r="C3231" t="s">
        <v>11676</v>
      </c>
      <c r="D3231" t="s">
        <v>3242</v>
      </c>
      <c r="E3231" t="s">
        <v>15710</v>
      </c>
      <c r="F3231" t="s">
        <v>3243</v>
      </c>
      <c r="G3231" t="s">
        <v>11677</v>
      </c>
      <c r="H3231" t="s">
        <v>3402</v>
      </c>
    </row>
    <row r="3232" spans="1:9" x14ac:dyDescent="0.25">
      <c r="A3232" t="s">
        <v>11678</v>
      </c>
      <c r="B3232" t="s">
        <v>11678</v>
      </c>
      <c r="C3232" t="s">
        <v>11679</v>
      </c>
      <c r="D3232" t="s">
        <v>3242</v>
      </c>
      <c r="E3232" t="s">
        <v>15710</v>
      </c>
      <c r="F3232" t="s">
        <v>3243</v>
      </c>
      <c r="G3232" t="s">
        <v>11680</v>
      </c>
      <c r="H3232" t="s">
        <v>3402</v>
      </c>
    </row>
    <row r="3233" spans="1:9" x14ac:dyDescent="0.25">
      <c r="A3233" t="s">
        <v>15477</v>
      </c>
      <c r="B3233" t="s">
        <v>15477</v>
      </c>
      <c r="C3233" t="s">
        <v>15478</v>
      </c>
      <c r="D3233" t="s">
        <v>3242</v>
      </c>
      <c r="E3233" t="s">
        <v>15710</v>
      </c>
      <c r="F3233" t="s">
        <v>3243</v>
      </c>
      <c r="G3233" t="s">
        <v>15479</v>
      </c>
      <c r="H3233" t="s">
        <v>3285</v>
      </c>
    </row>
    <row r="3234" spans="1:9" x14ac:dyDescent="0.25">
      <c r="A3234" t="s">
        <v>17429</v>
      </c>
      <c r="B3234" t="s">
        <v>17429</v>
      </c>
      <c r="C3234" t="s">
        <v>17430</v>
      </c>
      <c r="D3234" t="s">
        <v>3242</v>
      </c>
      <c r="E3234" t="s">
        <v>17431</v>
      </c>
      <c r="F3234" t="s">
        <v>3243</v>
      </c>
      <c r="G3234" t="s">
        <v>6830</v>
      </c>
      <c r="H3234" t="s">
        <v>16020</v>
      </c>
    </row>
    <row r="3235" spans="1:9" x14ac:dyDescent="0.25">
      <c r="A3235" t="s">
        <v>11681</v>
      </c>
      <c r="B3235" t="s">
        <v>11681</v>
      </c>
      <c r="C3235" t="s">
        <v>11682</v>
      </c>
      <c r="D3235" t="s">
        <v>3242</v>
      </c>
      <c r="E3235" t="s">
        <v>15710</v>
      </c>
      <c r="F3235" t="s">
        <v>3243</v>
      </c>
      <c r="G3235" t="s">
        <v>11683</v>
      </c>
      <c r="H3235" t="s">
        <v>3290</v>
      </c>
    </row>
    <row r="3236" spans="1:9" x14ac:dyDescent="0.25">
      <c r="A3236" t="s">
        <v>15480</v>
      </c>
      <c r="B3236" t="s">
        <v>15480</v>
      </c>
      <c r="C3236" t="s">
        <v>15481</v>
      </c>
      <c r="D3236" t="s">
        <v>3242</v>
      </c>
      <c r="E3236" t="s">
        <v>15710</v>
      </c>
      <c r="F3236" t="s">
        <v>3243</v>
      </c>
      <c r="G3236" t="s">
        <v>15482</v>
      </c>
      <c r="H3236" t="s">
        <v>3285</v>
      </c>
    </row>
    <row r="3237" spans="1:9" x14ac:dyDescent="0.25">
      <c r="A3237" t="s">
        <v>11684</v>
      </c>
      <c r="B3237" t="s">
        <v>11684</v>
      </c>
      <c r="C3237" t="s">
        <v>11685</v>
      </c>
      <c r="D3237" t="s">
        <v>3242</v>
      </c>
      <c r="E3237" t="s">
        <v>15710</v>
      </c>
      <c r="F3237" t="s">
        <v>3306</v>
      </c>
      <c r="G3237" t="s">
        <v>3420</v>
      </c>
      <c r="H3237" t="s">
        <v>3421</v>
      </c>
      <c r="I3237" t="s">
        <v>3254</v>
      </c>
    </row>
    <row r="3238" spans="1:9" x14ac:dyDescent="0.25">
      <c r="A3238" t="s">
        <v>11686</v>
      </c>
      <c r="B3238" t="s">
        <v>11686</v>
      </c>
      <c r="C3238" t="s">
        <v>11687</v>
      </c>
      <c r="D3238" t="s">
        <v>3242</v>
      </c>
      <c r="E3238" t="s">
        <v>15822</v>
      </c>
      <c r="F3238" t="s">
        <v>3257</v>
      </c>
      <c r="G3238" t="s">
        <v>11688</v>
      </c>
      <c r="H3238" t="s">
        <v>4856</v>
      </c>
      <c r="I3238" t="s">
        <v>3407</v>
      </c>
    </row>
    <row r="3239" spans="1:9" x14ac:dyDescent="0.25">
      <c r="A3239" t="s">
        <v>11689</v>
      </c>
      <c r="B3239" t="s">
        <v>11689</v>
      </c>
      <c r="C3239" t="s">
        <v>11690</v>
      </c>
      <c r="D3239" t="s">
        <v>3242</v>
      </c>
      <c r="E3239" t="s">
        <v>15710</v>
      </c>
      <c r="F3239" t="s">
        <v>15712</v>
      </c>
      <c r="G3239" t="s">
        <v>11691</v>
      </c>
      <c r="H3239" t="s">
        <v>3290</v>
      </c>
    </row>
    <row r="3240" spans="1:9" x14ac:dyDescent="0.25">
      <c r="A3240" t="s">
        <v>11692</v>
      </c>
      <c r="B3240" t="s">
        <v>11692</v>
      </c>
      <c r="C3240" t="s">
        <v>11693</v>
      </c>
      <c r="D3240" t="s">
        <v>3242</v>
      </c>
      <c r="E3240" t="s">
        <v>15710</v>
      </c>
      <c r="F3240" t="s">
        <v>3306</v>
      </c>
      <c r="G3240" t="s">
        <v>11694</v>
      </c>
      <c r="H3240" t="s">
        <v>4711</v>
      </c>
      <c r="I3240" t="s">
        <v>3254</v>
      </c>
    </row>
    <row r="3241" spans="1:9" x14ac:dyDescent="0.25">
      <c r="A3241" t="s">
        <v>17432</v>
      </c>
      <c r="B3241" t="s">
        <v>17432</v>
      </c>
      <c r="C3241" t="s">
        <v>17433</v>
      </c>
      <c r="D3241" t="s">
        <v>3242</v>
      </c>
      <c r="E3241" t="s">
        <v>15710</v>
      </c>
      <c r="F3241" t="s">
        <v>3288</v>
      </c>
      <c r="G3241" t="s">
        <v>3060</v>
      </c>
      <c r="H3241" t="s">
        <v>3285</v>
      </c>
    </row>
    <row r="3242" spans="1:9" x14ac:dyDescent="0.25">
      <c r="A3242" t="s">
        <v>11695</v>
      </c>
      <c r="B3242" t="s">
        <v>11695</v>
      </c>
      <c r="C3242" t="s">
        <v>11696</v>
      </c>
      <c r="D3242" t="s">
        <v>3242</v>
      </c>
      <c r="E3242" t="s">
        <v>15710</v>
      </c>
      <c r="F3242" t="s">
        <v>3243</v>
      </c>
      <c r="G3242" t="s">
        <v>11697</v>
      </c>
      <c r="H3242" t="s">
        <v>4284</v>
      </c>
    </row>
    <row r="3243" spans="1:9" x14ac:dyDescent="0.25">
      <c r="A3243" t="s">
        <v>11698</v>
      </c>
      <c r="B3243" t="s">
        <v>11698</v>
      </c>
      <c r="C3243" t="s">
        <v>11699</v>
      </c>
      <c r="D3243" t="s">
        <v>3242</v>
      </c>
      <c r="E3243" t="s">
        <v>15710</v>
      </c>
      <c r="F3243" t="s">
        <v>3288</v>
      </c>
      <c r="G3243" t="s">
        <v>11700</v>
      </c>
      <c r="H3243" t="s">
        <v>3290</v>
      </c>
    </row>
    <row r="3244" spans="1:9" x14ac:dyDescent="0.25">
      <c r="A3244" t="s">
        <v>11701</v>
      </c>
      <c r="B3244" t="s">
        <v>11701</v>
      </c>
      <c r="C3244" t="s">
        <v>11702</v>
      </c>
      <c r="D3244" t="s">
        <v>3242</v>
      </c>
      <c r="E3244" t="s">
        <v>15710</v>
      </c>
      <c r="F3244" t="s">
        <v>3306</v>
      </c>
      <c r="G3244" t="s">
        <v>11703</v>
      </c>
      <c r="H3244" t="s">
        <v>3060</v>
      </c>
      <c r="I3244" t="s">
        <v>3254</v>
      </c>
    </row>
    <row r="3245" spans="1:9" x14ac:dyDescent="0.25">
      <c r="A3245" t="s">
        <v>11704</v>
      </c>
      <c r="B3245" t="s">
        <v>11704</v>
      </c>
      <c r="C3245" t="s">
        <v>11705</v>
      </c>
      <c r="D3245" t="s">
        <v>3242</v>
      </c>
      <c r="E3245" t="s">
        <v>15710</v>
      </c>
      <c r="F3245" t="s">
        <v>3243</v>
      </c>
      <c r="G3245" t="s">
        <v>3243</v>
      </c>
      <c r="H3245" t="s">
        <v>3290</v>
      </c>
    </row>
    <row r="3246" spans="1:9" x14ac:dyDescent="0.25">
      <c r="A3246" t="s">
        <v>11706</v>
      </c>
      <c r="B3246" t="s">
        <v>11706</v>
      </c>
      <c r="C3246" t="s">
        <v>11707</v>
      </c>
      <c r="D3246" t="s">
        <v>3242</v>
      </c>
      <c r="E3246" t="s">
        <v>15710</v>
      </c>
      <c r="F3246" t="s">
        <v>3288</v>
      </c>
      <c r="G3246" t="s">
        <v>11708</v>
      </c>
      <c r="H3246" t="s">
        <v>3290</v>
      </c>
    </row>
    <row r="3247" spans="1:9" x14ac:dyDescent="0.25">
      <c r="A3247" t="s">
        <v>11709</v>
      </c>
      <c r="B3247" t="s">
        <v>11709</v>
      </c>
      <c r="C3247" t="s">
        <v>11710</v>
      </c>
      <c r="D3247" t="s">
        <v>3242</v>
      </c>
      <c r="E3247" t="s">
        <v>15710</v>
      </c>
      <c r="F3247" t="s">
        <v>3243</v>
      </c>
      <c r="G3247" t="s">
        <v>11711</v>
      </c>
      <c r="H3247" t="s">
        <v>3290</v>
      </c>
    </row>
    <row r="3248" spans="1:9" x14ac:dyDescent="0.25">
      <c r="A3248" t="s">
        <v>17434</v>
      </c>
      <c r="B3248" t="s">
        <v>17434</v>
      </c>
      <c r="C3248" t="s">
        <v>17435</v>
      </c>
      <c r="D3248" t="s">
        <v>3242</v>
      </c>
      <c r="E3248" t="s">
        <v>15710</v>
      </c>
      <c r="F3248" t="s">
        <v>3243</v>
      </c>
      <c r="G3248" t="s">
        <v>17436</v>
      </c>
      <c r="H3248" t="s">
        <v>3459</v>
      </c>
    </row>
    <row r="3249" spans="1:9" x14ac:dyDescent="0.25">
      <c r="A3249" t="s">
        <v>16534</v>
      </c>
      <c r="B3249" t="s">
        <v>16534</v>
      </c>
      <c r="C3249" t="s">
        <v>16535</v>
      </c>
      <c r="D3249" t="s">
        <v>3242</v>
      </c>
      <c r="E3249" t="s">
        <v>17437</v>
      </c>
      <c r="F3249" t="s">
        <v>3288</v>
      </c>
      <c r="G3249" t="s">
        <v>3060</v>
      </c>
      <c r="H3249" t="s">
        <v>3285</v>
      </c>
    </row>
    <row r="3250" spans="1:9" x14ac:dyDescent="0.25">
      <c r="A3250" t="s">
        <v>11712</v>
      </c>
      <c r="B3250" t="s">
        <v>11712</v>
      </c>
      <c r="C3250" t="s">
        <v>11713</v>
      </c>
      <c r="D3250" t="s">
        <v>3242</v>
      </c>
      <c r="E3250" t="s">
        <v>15710</v>
      </c>
      <c r="F3250" t="s">
        <v>3243</v>
      </c>
      <c r="G3250" t="s">
        <v>11714</v>
      </c>
      <c r="H3250" t="s">
        <v>3402</v>
      </c>
    </row>
    <row r="3251" spans="1:9" x14ac:dyDescent="0.25">
      <c r="A3251" t="s">
        <v>11715</v>
      </c>
      <c r="B3251" t="s">
        <v>11715</v>
      </c>
      <c r="C3251" t="s">
        <v>11716</v>
      </c>
      <c r="D3251" t="s">
        <v>3242</v>
      </c>
      <c r="E3251" t="s">
        <v>15710</v>
      </c>
      <c r="F3251" t="s">
        <v>3243</v>
      </c>
      <c r="G3251" t="s">
        <v>4486</v>
      </c>
      <c r="H3251" t="s">
        <v>3402</v>
      </c>
    </row>
    <row r="3252" spans="1:9" x14ac:dyDescent="0.25">
      <c r="A3252" t="s">
        <v>15483</v>
      </c>
      <c r="B3252" t="s">
        <v>15483</v>
      </c>
      <c r="C3252" t="s">
        <v>15484</v>
      </c>
      <c r="D3252" t="s">
        <v>3242</v>
      </c>
      <c r="E3252" t="s">
        <v>15710</v>
      </c>
      <c r="F3252" t="s">
        <v>3243</v>
      </c>
      <c r="G3252" t="s">
        <v>15485</v>
      </c>
      <c r="H3252" t="s">
        <v>3285</v>
      </c>
    </row>
    <row r="3253" spans="1:9" x14ac:dyDescent="0.25">
      <c r="A3253" t="s">
        <v>15486</v>
      </c>
      <c r="B3253" t="s">
        <v>15486</v>
      </c>
      <c r="C3253" t="s">
        <v>15487</v>
      </c>
      <c r="D3253" t="s">
        <v>3242</v>
      </c>
      <c r="E3253" t="s">
        <v>15710</v>
      </c>
      <c r="F3253" t="s">
        <v>3243</v>
      </c>
      <c r="G3253" t="s">
        <v>15488</v>
      </c>
      <c r="H3253" t="s">
        <v>3285</v>
      </c>
    </row>
    <row r="3254" spans="1:9" x14ac:dyDescent="0.25">
      <c r="A3254" t="s">
        <v>11717</v>
      </c>
      <c r="B3254" t="s">
        <v>11717</v>
      </c>
      <c r="C3254" t="s">
        <v>11718</v>
      </c>
      <c r="D3254" t="s">
        <v>3242</v>
      </c>
      <c r="E3254" t="s">
        <v>15710</v>
      </c>
      <c r="F3254" t="s">
        <v>3345</v>
      </c>
      <c r="G3254" t="s">
        <v>11719</v>
      </c>
      <c r="H3254" t="s">
        <v>3290</v>
      </c>
    </row>
    <row r="3255" spans="1:9" x14ac:dyDescent="0.25">
      <c r="A3255" t="s">
        <v>11720</v>
      </c>
      <c r="B3255" t="s">
        <v>11720</v>
      </c>
      <c r="C3255" t="s">
        <v>11721</v>
      </c>
      <c r="D3255" t="s">
        <v>3242</v>
      </c>
      <c r="E3255" t="s">
        <v>15710</v>
      </c>
      <c r="F3255" t="s">
        <v>8360</v>
      </c>
      <c r="G3255" t="s">
        <v>11722</v>
      </c>
      <c r="H3255" t="s">
        <v>3060</v>
      </c>
      <c r="I3255" t="s">
        <v>4028</v>
      </c>
    </row>
    <row r="3256" spans="1:9" x14ac:dyDescent="0.25">
      <c r="A3256" t="s">
        <v>11723</v>
      </c>
      <c r="B3256" t="s">
        <v>11723</v>
      </c>
      <c r="C3256" t="s">
        <v>11724</v>
      </c>
      <c r="D3256" t="s">
        <v>3242</v>
      </c>
      <c r="E3256" t="s">
        <v>15710</v>
      </c>
      <c r="F3256" t="s">
        <v>3251</v>
      </c>
      <c r="G3256" t="s">
        <v>11725</v>
      </c>
      <c r="H3256" t="s">
        <v>6489</v>
      </c>
    </row>
    <row r="3257" spans="1:9" x14ac:dyDescent="0.25">
      <c r="A3257" t="s">
        <v>15489</v>
      </c>
      <c r="B3257" t="s">
        <v>15489</v>
      </c>
      <c r="C3257" t="s">
        <v>15490</v>
      </c>
      <c r="D3257" t="s">
        <v>3242</v>
      </c>
      <c r="E3257" t="s">
        <v>15710</v>
      </c>
      <c r="F3257" t="s">
        <v>3243</v>
      </c>
      <c r="G3257" t="s">
        <v>15491</v>
      </c>
      <c r="H3257" t="s">
        <v>3285</v>
      </c>
    </row>
    <row r="3258" spans="1:9" x14ac:dyDescent="0.25">
      <c r="A3258" t="s">
        <v>11726</v>
      </c>
      <c r="B3258" t="s">
        <v>11726</v>
      </c>
      <c r="C3258" t="s">
        <v>11727</v>
      </c>
      <c r="D3258" t="s">
        <v>3242</v>
      </c>
      <c r="E3258" t="s">
        <v>15710</v>
      </c>
      <c r="F3258" t="s">
        <v>3288</v>
      </c>
      <c r="G3258" t="s">
        <v>6121</v>
      </c>
      <c r="H3258" t="s">
        <v>6122</v>
      </c>
    </row>
    <row r="3259" spans="1:9" x14ac:dyDescent="0.25">
      <c r="A3259" t="s">
        <v>11728</v>
      </c>
      <c r="B3259" t="s">
        <v>11728</v>
      </c>
      <c r="C3259" t="s">
        <v>11729</v>
      </c>
      <c r="D3259" t="s">
        <v>3242</v>
      </c>
      <c r="E3259" t="s">
        <v>15710</v>
      </c>
      <c r="F3259" t="s">
        <v>3257</v>
      </c>
      <c r="G3259" t="s">
        <v>11730</v>
      </c>
      <c r="H3259" t="s">
        <v>3290</v>
      </c>
    </row>
    <row r="3260" spans="1:9" x14ac:dyDescent="0.25">
      <c r="A3260" t="s">
        <v>11731</v>
      </c>
      <c r="B3260" t="s">
        <v>11731</v>
      </c>
      <c r="C3260" t="s">
        <v>11732</v>
      </c>
      <c r="D3260" t="s">
        <v>3242</v>
      </c>
      <c r="E3260" t="s">
        <v>15710</v>
      </c>
      <c r="F3260" t="s">
        <v>3243</v>
      </c>
      <c r="G3260" t="s">
        <v>11733</v>
      </c>
      <c r="H3260" t="s">
        <v>4284</v>
      </c>
    </row>
    <row r="3261" spans="1:9" x14ac:dyDescent="0.25">
      <c r="A3261" t="s">
        <v>11734</v>
      </c>
      <c r="B3261" t="s">
        <v>11734</v>
      </c>
      <c r="C3261" t="s">
        <v>11735</v>
      </c>
      <c r="D3261" t="s">
        <v>3242</v>
      </c>
      <c r="E3261" t="s">
        <v>17088</v>
      </c>
      <c r="F3261" t="s">
        <v>3251</v>
      </c>
      <c r="G3261" t="s">
        <v>11736</v>
      </c>
      <c r="H3261" t="s">
        <v>3623</v>
      </c>
      <c r="I3261" t="s">
        <v>3694</v>
      </c>
    </row>
    <row r="3262" spans="1:9" x14ac:dyDescent="0.25">
      <c r="A3262" t="s">
        <v>11737</v>
      </c>
      <c r="B3262" t="s">
        <v>11737</v>
      </c>
      <c r="C3262" t="s">
        <v>11738</v>
      </c>
      <c r="D3262" t="s">
        <v>3242</v>
      </c>
      <c r="E3262" t="s">
        <v>17438</v>
      </c>
      <c r="F3262" t="s">
        <v>3251</v>
      </c>
      <c r="G3262" t="s">
        <v>11739</v>
      </c>
      <c r="H3262" t="s">
        <v>3537</v>
      </c>
      <c r="I3262" t="s">
        <v>4605</v>
      </c>
    </row>
    <row r="3263" spans="1:9" x14ac:dyDescent="0.25">
      <c r="A3263" t="s">
        <v>15492</v>
      </c>
      <c r="B3263" t="s">
        <v>15492</v>
      </c>
      <c r="C3263" t="s">
        <v>15493</v>
      </c>
      <c r="D3263" t="s">
        <v>3242</v>
      </c>
      <c r="E3263" t="s">
        <v>15710</v>
      </c>
      <c r="F3263" t="s">
        <v>3288</v>
      </c>
      <c r="G3263" t="s">
        <v>15494</v>
      </c>
      <c r="H3263" t="s">
        <v>3285</v>
      </c>
    </row>
    <row r="3264" spans="1:9" x14ac:dyDescent="0.25">
      <c r="A3264" t="s">
        <v>11740</v>
      </c>
      <c r="B3264" t="s">
        <v>11740</v>
      </c>
      <c r="C3264" t="s">
        <v>11741</v>
      </c>
      <c r="D3264" t="s">
        <v>3242</v>
      </c>
      <c r="E3264" t="s">
        <v>15710</v>
      </c>
      <c r="F3264" t="s">
        <v>3288</v>
      </c>
      <c r="G3264" t="s">
        <v>11742</v>
      </c>
      <c r="H3264" t="s">
        <v>3290</v>
      </c>
    </row>
    <row r="3265" spans="1:9" x14ac:dyDescent="0.25">
      <c r="A3265" t="s">
        <v>15495</v>
      </c>
      <c r="B3265" t="s">
        <v>15495</v>
      </c>
      <c r="C3265" t="s">
        <v>15496</v>
      </c>
      <c r="D3265" t="s">
        <v>3242</v>
      </c>
      <c r="E3265" t="s">
        <v>15710</v>
      </c>
      <c r="F3265" t="s">
        <v>3288</v>
      </c>
      <c r="G3265" t="s">
        <v>3060</v>
      </c>
      <c r="H3265" t="s">
        <v>3285</v>
      </c>
    </row>
    <row r="3266" spans="1:9" x14ac:dyDescent="0.25">
      <c r="A3266" t="s">
        <v>11743</v>
      </c>
      <c r="B3266" t="s">
        <v>11743</v>
      </c>
      <c r="C3266" t="s">
        <v>11744</v>
      </c>
      <c r="D3266" t="s">
        <v>3242</v>
      </c>
      <c r="E3266" t="s">
        <v>15710</v>
      </c>
      <c r="F3266" t="s">
        <v>3288</v>
      </c>
      <c r="G3266" t="s">
        <v>11745</v>
      </c>
      <c r="H3266" t="s">
        <v>3290</v>
      </c>
    </row>
    <row r="3267" spans="1:9" x14ac:dyDescent="0.25">
      <c r="A3267" t="s">
        <v>11746</v>
      </c>
      <c r="B3267" t="s">
        <v>11746</v>
      </c>
      <c r="C3267" t="s">
        <v>11747</v>
      </c>
      <c r="D3267" t="s">
        <v>3242</v>
      </c>
      <c r="E3267" t="s">
        <v>15710</v>
      </c>
      <c r="F3267" t="s">
        <v>3288</v>
      </c>
      <c r="G3267" t="s">
        <v>11748</v>
      </c>
      <c r="H3267" t="s">
        <v>3361</v>
      </c>
    </row>
    <row r="3268" spans="1:9" x14ac:dyDescent="0.25">
      <c r="A3268" t="s">
        <v>11749</v>
      </c>
      <c r="B3268" t="s">
        <v>11749</v>
      </c>
      <c r="C3268" t="s">
        <v>11750</v>
      </c>
      <c r="D3268" t="s">
        <v>3242</v>
      </c>
      <c r="E3268" t="s">
        <v>15710</v>
      </c>
      <c r="F3268" t="s">
        <v>3257</v>
      </c>
      <c r="G3268" t="s">
        <v>11751</v>
      </c>
      <c r="H3268" t="s">
        <v>3267</v>
      </c>
      <c r="I3268" t="s">
        <v>3268</v>
      </c>
    </row>
    <row r="3269" spans="1:9" x14ac:dyDescent="0.25">
      <c r="A3269" t="s">
        <v>15497</v>
      </c>
      <c r="B3269" t="s">
        <v>15497</v>
      </c>
      <c r="C3269" t="s">
        <v>15498</v>
      </c>
      <c r="D3269" t="s">
        <v>3242</v>
      </c>
      <c r="E3269" t="s">
        <v>15710</v>
      </c>
      <c r="F3269" t="s">
        <v>3288</v>
      </c>
      <c r="G3269" t="s">
        <v>3060</v>
      </c>
      <c r="H3269" t="s">
        <v>3285</v>
      </c>
    </row>
    <row r="3270" spans="1:9" x14ac:dyDescent="0.25">
      <c r="A3270" t="s">
        <v>11752</v>
      </c>
      <c r="B3270" t="s">
        <v>11752</v>
      </c>
      <c r="C3270" t="s">
        <v>11753</v>
      </c>
      <c r="D3270" t="s">
        <v>3242</v>
      </c>
      <c r="E3270" t="s">
        <v>15710</v>
      </c>
      <c r="F3270" t="s">
        <v>3288</v>
      </c>
      <c r="G3270" t="s">
        <v>11754</v>
      </c>
      <c r="H3270" t="s">
        <v>3361</v>
      </c>
    </row>
    <row r="3271" spans="1:9" x14ac:dyDescent="0.25">
      <c r="A3271" t="s">
        <v>15499</v>
      </c>
      <c r="B3271" t="s">
        <v>15499</v>
      </c>
      <c r="C3271" t="s">
        <v>15500</v>
      </c>
      <c r="D3271" t="s">
        <v>3242</v>
      </c>
      <c r="E3271" t="s">
        <v>15710</v>
      </c>
      <c r="F3271" t="s">
        <v>3243</v>
      </c>
      <c r="G3271" t="s">
        <v>15501</v>
      </c>
      <c r="H3271" t="s">
        <v>3290</v>
      </c>
    </row>
    <row r="3272" spans="1:9" x14ac:dyDescent="0.25">
      <c r="A3272" t="s">
        <v>15502</v>
      </c>
      <c r="B3272" t="s">
        <v>15502</v>
      </c>
      <c r="C3272" t="s">
        <v>15503</v>
      </c>
      <c r="D3272" t="s">
        <v>3242</v>
      </c>
      <c r="E3272" t="s">
        <v>15710</v>
      </c>
      <c r="F3272" t="s">
        <v>3288</v>
      </c>
      <c r="G3272" t="s">
        <v>3060</v>
      </c>
      <c r="H3272" t="s">
        <v>3285</v>
      </c>
    </row>
    <row r="3273" spans="1:9" x14ac:dyDescent="0.25">
      <c r="A3273" t="s">
        <v>16536</v>
      </c>
      <c r="B3273" t="s">
        <v>16536</v>
      </c>
      <c r="C3273" t="s">
        <v>16537</v>
      </c>
      <c r="D3273" t="s">
        <v>3242</v>
      </c>
      <c r="E3273" t="s">
        <v>15710</v>
      </c>
      <c r="F3273" t="s">
        <v>3243</v>
      </c>
      <c r="G3273" t="s">
        <v>16538</v>
      </c>
      <c r="H3273" t="s">
        <v>4284</v>
      </c>
    </row>
    <row r="3274" spans="1:9" x14ac:dyDescent="0.25">
      <c r="A3274" t="s">
        <v>11755</v>
      </c>
      <c r="B3274" t="s">
        <v>11755</v>
      </c>
      <c r="C3274" t="s">
        <v>11756</v>
      </c>
      <c r="D3274" t="s">
        <v>3242</v>
      </c>
      <c r="E3274" t="s">
        <v>15710</v>
      </c>
      <c r="F3274" t="s">
        <v>3243</v>
      </c>
      <c r="G3274" t="s">
        <v>11757</v>
      </c>
      <c r="H3274" t="s">
        <v>3290</v>
      </c>
    </row>
    <row r="3275" spans="1:9" x14ac:dyDescent="0.25">
      <c r="A3275" t="s">
        <v>15504</v>
      </c>
      <c r="B3275" t="s">
        <v>15504</v>
      </c>
      <c r="C3275" t="s">
        <v>15505</v>
      </c>
      <c r="D3275" t="s">
        <v>3242</v>
      </c>
      <c r="E3275" t="s">
        <v>15710</v>
      </c>
      <c r="F3275" t="s">
        <v>3288</v>
      </c>
      <c r="G3275" t="s">
        <v>15506</v>
      </c>
      <c r="H3275" t="s">
        <v>3744</v>
      </c>
    </row>
    <row r="3276" spans="1:9" x14ac:dyDescent="0.25">
      <c r="A3276" t="s">
        <v>11758</v>
      </c>
      <c r="B3276" t="s">
        <v>11758</v>
      </c>
      <c r="C3276" t="s">
        <v>11759</v>
      </c>
      <c r="D3276" t="s">
        <v>3242</v>
      </c>
      <c r="E3276" t="s">
        <v>15710</v>
      </c>
      <c r="F3276" t="s">
        <v>3288</v>
      </c>
      <c r="G3276" t="s">
        <v>3060</v>
      </c>
      <c r="H3276" t="s">
        <v>3285</v>
      </c>
    </row>
    <row r="3277" spans="1:9" x14ac:dyDescent="0.25">
      <c r="A3277" t="s">
        <v>11760</v>
      </c>
      <c r="B3277" t="s">
        <v>11760</v>
      </c>
      <c r="C3277" t="s">
        <v>11761</v>
      </c>
      <c r="D3277" t="s">
        <v>3242</v>
      </c>
      <c r="E3277" t="s">
        <v>15710</v>
      </c>
      <c r="F3277" t="s">
        <v>3300</v>
      </c>
      <c r="G3277" t="s">
        <v>11762</v>
      </c>
      <c r="H3277" t="s">
        <v>5046</v>
      </c>
    </row>
    <row r="3278" spans="1:9" x14ac:dyDescent="0.25">
      <c r="A3278" t="s">
        <v>11763</v>
      </c>
      <c r="B3278" t="s">
        <v>11763</v>
      </c>
      <c r="C3278" t="s">
        <v>11764</v>
      </c>
      <c r="D3278" t="s">
        <v>3242</v>
      </c>
      <c r="E3278" t="s">
        <v>15710</v>
      </c>
      <c r="F3278" t="s">
        <v>3372</v>
      </c>
      <c r="G3278" t="s">
        <v>11765</v>
      </c>
      <c r="H3278" t="s">
        <v>3484</v>
      </c>
    </row>
    <row r="3279" spans="1:9" x14ac:dyDescent="0.25">
      <c r="A3279" t="s">
        <v>11766</v>
      </c>
      <c r="B3279" t="s">
        <v>11766</v>
      </c>
      <c r="C3279" t="s">
        <v>11767</v>
      </c>
      <c r="D3279" t="s">
        <v>3242</v>
      </c>
      <c r="E3279" t="s">
        <v>15710</v>
      </c>
      <c r="F3279" t="s">
        <v>3826</v>
      </c>
      <c r="G3279" t="s">
        <v>11768</v>
      </c>
      <c r="H3279" t="s">
        <v>3290</v>
      </c>
    </row>
    <row r="3280" spans="1:9" x14ac:dyDescent="0.25">
      <c r="A3280" t="s">
        <v>15507</v>
      </c>
      <c r="B3280" t="s">
        <v>15507</v>
      </c>
      <c r="C3280" t="s">
        <v>15508</v>
      </c>
      <c r="D3280" t="s">
        <v>3242</v>
      </c>
      <c r="E3280" t="s">
        <v>15710</v>
      </c>
      <c r="F3280" t="s">
        <v>3243</v>
      </c>
      <c r="G3280" t="s">
        <v>4645</v>
      </c>
      <c r="H3280" t="s">
        <v>3744</v>
      </c>
    </row>
    <row r="3281" spans="1:9" x14ac:dyDescent="0.25">
      <c r="A3281" t="s">
        <v>11769</v>
      </c>
      <c r="B3281" t="s">
        <v>11769</v>
      </c>
      <c r="C3281" t="s">
        <v>11770</v>
      </c>
      <c r="D3281" t="s">
        <v>3242</v>
      </c>
      <c r="E3281" t="s">
        <v>15710</v>
      </c>
      <c r="F3281" t="s">
        <v>3345</v>
      </c>
      <c r="G3281" t="s">
        <v>8253</v>
      </c>
      <c r="H3281" t="s">
        <v>3387</v>
      </c>
    </row>
    <row r="3282" spans="1:9" x14ac:dyDescent="0.25">
      <c r="A3282" t="s">
        <v>16539</v>
      </c>
      <c r="B3282" t="s">
        <v>16539</v>
      </c>
      <c r="C3282" t="s">
        <v>16540</v>
      </c>
      <c r="D3282" t="s">
        <v>3242</v>
      </c>
      <c r="E3282" t="s">
        <v>15982</v>
      </c>
      <c r="F3282" t="s">
        <v>3243</v>
      </c>
      <c r="G3282" t="s">
        <v>16541</v>
      </c>
      <c r="H3282" t="s">
        <v>3285</v>
      </c>
    </row>
    <row r="3283" spans="1:9" x14ac:dyDescent="0.25">
      <c r="A3283" t="s">
        <v>11771</v>
      </c>
      <c r="B3283" t="s">
        <v>11771</v>
      </c>
      <c r="C3283" t="s">
        <v>11772</v>
      </c>
      <c r="D3283" t="s">
        <v>3242</v>
      </c>
      <c r="E3283" t="s">
        <v>15710</v>
      </c>
      <c r="F3283" t="s">
        <v>3288</v>
      </c>
      <c r="G3283" t="s">
        <v>3060</v>
      </c>
      <c r="H3283" t="s">
        <v>3285</v>
      </c>
    </row>
    <row r="3284" spans="1:9" x14ac:dyDescent="0.25">
      <c r="A3284" t="s">
        <v>11773</v>
      </c>
      <c r="B3284" t="s">
        <v>11773</v>
      </c>
      <c r="C3284" t="s">
        <v>11774</v>
      </c>
      <c r="D3284" t="s">
        <v>3242</v>
      </c>
      <c r="E3284" t="s">
        <v>15710</v>
      </c>
      <c r="F3284" t="s">
        <v>11088</v>
      </c>
      <c r="G3284" t="s">
        <v>11775</v>
      </c>
      <c r="H3284" t="s">
        <v>3285</v>
      </c>
    </row>
    <row r="3285" spans="1:9" x14ac:dyDescent="0.25">
      <c r="A3285" t="s">
        <v>15509</v>
      </c>
      <c r="B3285" t="s">
        <v>15509</v>
      </c>
      <c r="C3285" t="s">
        <v>15510</v>
      </c>
      <c r="D3285" t="s">
        <v>3242</v>
      </c>
      <c r="E3285" t="s">
        <v>15710</v>
      </c>
      <c r="F3285" t="s">
        <v>3288</v>
      </c>
      <c r="G3285" t="s">
        <v>3060</v>
      </c>
      <c r="H3285" t="s">
        <v>3285</v>
      </c>
    </row>
    <row r="3286" spans="1:9" x14ac:dyDescent="0.25">
      <c r="A3286" t="s">
        <v>11776</v>
      </c>
      <c r="B3286" t="s">
        <v>11776</v>
      </c>
      <c r="C3286" t="s">
        <v>11777</v>
      </c>
      <c r="D3286" t="s">
        <v>3242</v>
      </c>
      <c r="E3286" t="s">
        <v>15710</v>
      </c>
      <c r="F3286" t="s">
        <v>3345</v>
      </c>
      <c r="G3286" t="s">
        <v>11778</v>
      </c>
      <c r="H3286" t="s">
        <v>3060</v>
      </c>
    </row>
    <row r="3287" spans="1:9" x14ac:dyDescent="0.25">
      <c r="A3287" t="s">
        <v>11779</v>
      </c>
      <c r="B3287" t="s">
        <v>11779</v>
      </c>
      <c r="C3287" t="s">
        <v>11780</v>
      </c>
      <c r="D3287" t="s">
        <v>3242</v>
      </c>
      <c r="E3287" t="s">
        <v>15710</v>
      </c>
      <c r="F3287" t="s">
        <v>3243</v>
      </c>
      <c r="G3287" t="s">
        <v>11781</v>
      </c>
      <c r="H3287" t="s">
        <v>3463</v>
      </c>
    </row>
    <row r="3288" spans="1:9" x14ac:dyDescent="0.25">
      <c r="A3288" t="s">
        <v>11782</v>
      </c>
      <c r="B3288" t="s">
        <v>11782</v>
      </c>
      <c r="C3288" t="s">
        <v>6867</v>
      </c>
      <c r="D3288" t="s">
        <v>3321</v>
      </c>
      <c r="E3288" t="s">
        <v>15710</v>
      </c>
      <c r="F3288" t="s">
        <v>3257</v>
      </c>
      <c r="G3288" t="s">
        <v>11783</v>
      </c>
      <c r="H3288" t="s">
        <v>5084</v>
      </c>
      <c r="I3288" t="s">
        <v>3324</v>
      </c>
    </row>
    <row r="3289" spans="1:9" x14ac:dyDescent="0.25">
      <c r="A3289" t="s">
        <v>11784</v>
      </c>
      <c r="B3289" t="s">
        <v>11784</v>
      </c>
      <c r="C3289" t="s">
        <v>11785</v>
      </c>
      <c r="D3289" t="s">
        <v>3242</v>
      </c>
      <c r="E3289" t="s">
        <v>15710</v>
      </c>
      <c r="F3289" t="s">
        <v>3288</v>
      </c>
      <c r="G3289" t="s">
        <v>3060</v>
      </c>
      <c r="H3289" t="s">
        <v>3285</v>
      </c>
    </row>
    <row r="3290" spans="1:9" x14ac:dyDescent="0.25">
      <c r="A3290" t="s">
        <v>11786</v>
      </c>
      <c r="B3290" t="s">
        <v>11786</v>
      </c>
      <c r="C3290" t="s">
        <v>6997</v>
      </c>
      <c r="D3290" t="s">
        <v>3242</v>
      </c>
      <c r="E3290" t="s">
        <v>15710</v>
      </c>
      <c r="F3290" t="s">
        <v>3306</v>
      </c>
      <c r="G3290" t="s">
        <v>11787</v>
      </c>
      <c r="H3290" t="s">
        <v>4711</v>
      </c>
      <c r="I3290" t="s">
        <v>3254</v>
      </c>
    </row>
    <row r="3291" spans="1:9" x14ac:dyDescent="0.25">
      <c r="A3291" t="s">
        <v>11788</v>
      </c>
      <c r="B3291" t="s">
        <v>11788</v>
      </c>
      <c r="C3291" t="s">
        <v>11789</v>
      </c>
      <c r="D3291" t="s">
        <v>3242</v>
      </c>
      <c r="E3291" t="s">
        <v>15710</v>
      </c>
      <c r="F3291" t="s">
        <v>3345</v>
      </c>
      <c r="G3291" t="s">
        <v>11790</v>
      </c>
      <c r="H3291" t="s">
        <v>3285</v>
      </c>
    </row>
    <row r="3292" spans="1:9" x14ac:dyDescent="0.25">
      <c r="A3292" t="s">
        <v>16335</v>
      </c>
      <c r="B3292" t="s">
        <v>16335</v>
      </c>
      <c r="C3292" t="s">
        <v>16336</v>
      </c>
      <c r="D3292" t="s">
        <v>3242</v>
      </c>
      <c r="E3292" t="s">
        <v>15710</v>
      </c>
      <c r="F3292" t="s">
        <v>3243</v>
      </c>
      <c r="G3292" t="s">
        <v>16337</v>
      </c>
      <c r="H3292" t="s">
        <v>3402</v>
      </c>
    </row>
    <row r="3293" spans="1:9" x14ac:dyDescent="0.25">
      <c r="A3293" t="s">
        <v>11791</v>
      </c>
      <c r="B3293" t="s">
        <v>11791</v>
      </c>
      <c r="C3293" t="s">
        <v>11792</v>
      </c>
      <c r="D3293" t="s">
        <v>3242</v>
      </c>
      <c r="E3293" t="s">
        <v>15710</v>
      </c>
      <c r="F3293" t="s">
        <v>3243</v>
      </c>
      <c r="G3293" t="s">
        <v>11793</v>
      </c>
      <c r="H3293" t="s">
        <v>3402</v>
      </c>
    </row>
    <row r="3294" spans="1:9" x14ac:dyDescent="0.25">
      <c r="A3294" t="s">
        <v>11794</v>
      </c>
      <c r="B3294" t="s">
        <v>11794</v>
      </c>
      <c r="C3294" t="s">
        <v>11795</v>
      </c>
      <c r="D3294" t="s">
        <v>3242</v>
      </c>
      <c r="E3294" t="s">
        <v>15710</v>
      </c>
      <c r="F3294" t="s">
        <v>3243</v>
      </c>
      <c r="G3294" t="s">
        <v>11796</v>
      </c>
      <c r="H3294" t="s">
        <v>3402</v>
      </c>
    </row>
    <row r="3295" spans="1:9" x14ac:dyDescent="0.25">
      <c r="A3295" t="s">
        <v>11797</v>
      </c>
      <c r="B3295" t="s">
        <v>11797</v>
      </c>
      <c r="C3295" t="s">
        <v>11798</v>
      </c>
      <c r="D3295" t="s">
        <v>3242</v>
      </c>
      <c r="E3295" t="s">
        <v>15710</v>
      </c>
      <c r="F3295" t="s">
        <v>3288</v>
      </c>
      <c r="G3295" t="s">
        <v>3060</v>
      </c>
      <c r="H3295" t="s">
        <v>3285</v>
      </c>
    </row>
    <row r="3296" spans="1:9" x14ac:dyDescent="0.25">
      <c r="A3296" t="s">
        <v>3451</v>
      </c>
      <c r="B3296" t="s">
        <v>3451</v>
      </c>
      <c r="C3296" t="s">
        <v>11799</v>
      </c>
      <c r="D3296" t="s">
        <v>3242</v>
      </c>
      <c r="E3296" t="s">
        <v>15983</v>
      </c>
      <c r="F3296" t="s">
        <v>3251</v>
      </c>
      <c r="G3296" t="s">
        <v>11800</v>
      </c>
      <c r="H3296" t="s">
        <v>3060</v>
      </c>
      <c r="I3296" t="s">
        <v>3451</v>
      </c>
    </row>
    <row r="3297" spans="1:9" x14ac:dyDescent="0.25">
      <c r="A3297" t="s">
        <v>11801</v>
      </c>
      <c r="B3297" t="s">
        <v>11801</v>
      </c>
      <c r="C3297" t="s">
        <v>11802</v>
      </c>
      <c r="D3297" t="s">
        <v>3242</v>
      </c>
      <c r="E3297" t="s">
        <v>15710</v>
      </c>
      <c r="F3297" t="s">
        <v>3283</v>
      </c>
      <c r="G3297" t="s">
        <v>11803</v>
      </c>
      <c r="H3297" t="s">
        <v>3488</v>
      </c>
    </row>
    <row r="3298" spans="1:9" x14ac:dyDescent="0.25">
      <c r="A3298" t="s">
        <v>15511</v>
      </c>
      <c r="B3298" t="s">
        <v>15511</v>
      </c>
      <c r="C3298" t="s">
        <v>15512</v>
      </c>
      <c r="D3298" t="s">
        <v>3242</v>
      </c>
      <c r="E3298" t="s">
        <v>15710</v>
      </c>
      <c r="F3298" t="s">
        <v>3345</v>
      </c>
      <c r="G3298" t="s">
        <v>15513</v>
      </c>
      <c r="H3298" t="s">
        <v>3285</v>
      </c>
    </row>
    <row r="3299" spans="1:9" x14ac:dyDescent="0.25">
      <c r="A3299" t="s">
        <v>16793</v>
      </c>
      <c r="B3299" t="s">
        <v>16793</v>
      </c>
      <c r="C3299" t="s">
        <v>16794</v>
      </c>
      <c r="D3299" t="s">
        <v>3242</v>
      </c>
      <c r="E3299" t="s">
        <v>15710</v>
      </c>
      <c r="F3299" t="s">
        <v>3288</v>
      </c>
      <c r="G3299" t="s">
        <v>4608</v>
      </c>
      <c r="H3299" t="s">
        <v>3618</v>
      </c>
    </row>
    <row r="3300" spans="1:9" x14ac:dyDescent="0.25">
      <c r="A3300" t="s">
        <v>15514</v>
      </c>
      <c r="B3300" t="s">
        <v>15514</v>
      </c>
      <c r="C3300" t="s">
        <v>15515</v>
      </c>
      <c r="D3300" t="s">
        <v>3242</v>
      </c>
      <c r="E3300" t="s">
        <v>15710</v>
      </c>
      <c r="F3300" t="s">
        <v>3243</v>
      </c>
      <c r="G3300" t="s">
        <v>15516</v>
      </c>
      <c r="H3300" t="s">
        <v>3290</v>
      </c>
    </row>
    <row r="3301" spans="1:9" x14ac:dyDescent="0.25">
      <c r="A3301" t="s">
        <v>11804</v>
      </c>
      <c r="B3301" t="s">
        <v>11804</v>
      </c>
      <c r="C3301" t="s">
        <v>11805</v>
      </c>
      <c r="D3301" t="s">
        <v>3242</v>
      </c>
      <c r="E3301" t="s">
        <v>15710</v>
      </c>
      <c r="F3301" t="s">
        <v>3345</v>
      </c>
      <c r="G3301" t="s">
        <v>11806</v>
      </c>
      <c r="H3301" t="s">
        <v>3463</v>
      </c>
    </row>
    <row r="3302" spans="1:9" x14ac:dyDescent="0.25">
      <c r="A3302" t="s">
        <v>11807</v>
      </c>
      <c r="B3302" t="s">
        <v>11807</v>
      </c>
      <c r="C3302" t="s">
        <v>11808</v>
      </c>
      <c r="D3302" t="s">
        <v>3242</v>
      </c>
      <c r="E3302" t="s">
        <v>15710</v>
      </c>
      <c r="F3302" t="s">
        <v>3288</v>
      </c>
      <c r="G3302" t="s">
        <v>11809</v>
      </c>
      <c r="H3302" t="s">
        <v>3937</v>
      </c>
    </row>
    <row r="3303" spans="1:9" x14ac:dyDescent="0.25">
      <c r="A3303" t="s">
        <v>11810</v>
      </c>
      <c r="B3303" t="s">
        <v>11810</v>
      </c>
      <c r="C3303" t="s">
        <v>11811</v>
      </c>
      <c r="D3303" t="s">
        <v>3242</v>
      </c>
      <c r="E3303" t="s">
        <v>15710</v>
      </c>
      <c r="F3303" t="s">
        <v>3345</v>
      </c>
      <c r="G3303" t="s">
        <v>11812</v>
      </c>
      <c r="H3303" t="s">
        <v>3936</v>
      </c>
    </row>
    <row r="3304" spans="1:9" x14ac:dyDescent="0.25">
      <c r="A3304" t="s">
        <v>11813</v>
      </c>
      <c r="B3304" t="s">
        <v>11813</v>
      </c>
      <c r="C3304" t="s">
        <v>11814</v>
      </c>
      <c r="D3304" t="s">
        <v>3242</v>
      </c>
      <c r="E3304" t="s">
        <v>15710</v>
      </c>
      <c r="F3304" t="s">
        <v>3306</v>
      </c>
      <c r="G3304" t="s">
        <v>3684</v>
      </c>
      <c r="H3304" t="s">
        <v>3421</v>
      </c>
      <c r="I3304" t="s">
        <v>3254</v>
      </c>
    </row>
    <row r="3305" spans="1:9" x14ac:dyDescent="0.25">
      <c r="A3305" t="s">
        <v>11815</v>
      </c>
      <c r="B3305" t="s">
        <v>11815</v>
      </c>
      <c r="C3305" t="s">
        <v>11816</v>
      </c>
      <c r="D3305" t="s">
        <v>3242</v>
      </c>
      <c r="E3305" t="s">
        <v>15710</v>
      </c>
      <c r="F3305" t="s">
        <v>3288</v>
      </c>
      <c r="G3305" t="s">
        <v>11817</v>
      </c>
      <c r="H3305" t="s">
        <v>3361</v>
      </c>
    </row>
    <row r="3306" spans="1:9" x14ac:dyDescent="0.25">
      <c r="A3306" t="s">
        <v>11818</v>
      </c>
      <c r="B3306" t="s">
        <v>11818</v>
      </c>
      <c r="C3306" t="s">
        <v>11819</v>
      </c>
      <c r="D3306" t="s">
        <v>3242</v>
      </c>
      <c r="E3306" t="s">
        <v>15710</v>
      </c>
      <c r="F3306" t="s">
        <v>15712</v>
      </c>
      <c r="G3306" t="s">
        <v>4734</v>
      </c>
      <c r="H3306" t="s">
        <v>3290</v>
      </c>
    </row>
    <row r="3307" spans="1:9" x14ac:dyDescent="0.25">
      <c r="A3307" t="s">
        <v>15517</v>
      </c>
      <c r="B3307" t="s">
        <v>15517</v>
      </c>
      <c r="C3307" t="s">
        <v>15518</v>
      </c>
      <c r="D3307" t="s">
        <v>3242</v>
      </c>
      <c r="E3307" t="s">
        <v>15710</v>
      </c>
      <c r="F3307" t="s">
        <v>3288</v>
      </c>
      <c r="G3307" t="s">
        <v>15519</v>
      </c>
      <c r="H3307" t="s">
        <v>3618</v>
      </c>
    </row>
    <row r="3308" spans="1:9" x14ac:dyDescent="0.25">
      <c r="A3308" t="s">
        <v>11820</v>
      </c>
      <c r="B3308" t="s">
        <v>11820</v>
      </c>
      <c r="C3308" t="s">
        <v>11821</v>
      </c>
      <c r="D3308" t="s">
        <v>3242</v>
      </c>
      <c r="E3308" t="s">
        <v>15710</v>
      </c>
      <c r="F3308" t="s">
        <v>15712</v>
      </c>
      <c r="G3308" t="s">
        <v>11543</v>
      </c>
      <c r="H3308" t="s">
        <v>3488</v>
      </c>
    </row>
    <row r="3309" spans="1:9" x14ac:dyDescent="0.25">
      <c r="A3309" t="s">
        <v>11822</v>
      </c>
      <c r="B3309" t="s">
        <v>11822</v>
      </c>
      <c r="C3309" t="s">
        <v>11823</v>
      </c>
      <c r="D3309" t="s">
        <v>3242</v>
      </c>
      <c r="E3309" t="s">
        <v>15710</v>
      </c>
      <c r="F3309" t="s">
        <v>3243</v>
      </c>
      <c r="G3309" t="s">
        <v>3507</v>
      </c>
      <c r="H3309" t="s">
        <v>3290</v>
      </c>
    </row>
    <row r="3310" spans="1:9" x14ac:dyDescent="0.25">
      <c r="A3310" t="s">
        <v>11824</v>
      </c>
      <c r="B3310" t="s">
        <v>11824</v>
      </c>
      <c r="C3310" t="s">
        <v>11825</v>
      </c>
      <c r="D3310" t="s">
        <v>3242</v>
      </c>
      <c r="E3310" t="s">
        <v>15710</v>
      </c>
      <c r="F3310" t="s">
        <v>3251</v>
      </c>
      <c r="G3310" t="s">
        <v>11826</v>
      </c>
      <c r="H3310" t="s">
        <v>4831</v>
      </c>
      <c r="I3310" t="s">
        <v>3451</v>
      </c>
    </row>
    <row r="3311" spans="1:9" x14ac:dyDescent="0.25">
      <c r="A3311" t="s">
        <v>15520</v>
      </c>
      <c r="B3311" t="s">
        <v>15520</v>
      </c>
      <c r="C3311" t="s">
        <v>15521</v>
      </c>
      <c r="D3311" t="s">
        <v>3242</v>
      </c>
      <c r="E3311" t="s">
        <v>15710</v>
      </c>
      <c r="F3311" t="s">
        <v>15522</v>
      </c>
      <c r="G3311" t="s">
        <v>3060</v>
      </c>
      <c r="H3311" t="s">
        <v>3285</v>
      </c>
    </row>
    <row r="3312" spans="1:9" x14ac:dyDescent="0.25">
      <c r="A3312" t="s">
        <v>15523</v>
      </c>
      <c r="B3312" t="s">
        <v>15523</v>
      </c>
      <c r="C3312" t="s">
        <v>15524</v>
      </c>
      <c r="D3312" t="s">
        <v>3242</v>
      </c>
      <c r="E3312" t="s">
        <v>15710</v>
      </c>
      <c r="F3312" t="s">
        <v>3288</v>
      </c>
      <c r="G3312" t="s">
        <v>3060</v>
      </c>
      <c r="H3312" t="s">
        <v>3285</v>
      </c>
    </row>
    <row r="3313" spans="1:9" x14ac:dyDescent="0.25">
      <c r="A3313" t="s">
        <v>11827</v>
      </c>
      <c r="B3313" t="s">
        <v>11827</v>
      </c>
      <c r="C3313" t="s">
        <v>11828</v>
      </c>
      <c r="D3313" t="s">
        <v>3242</v>
      </c>
      <c r="E3313" t="s">
        <v>15710</v>
      </c>
      <c r="F3313" t="s">
        <v>3243</v>
      </c>
      <c r="G3313" t="s">
        <v>11829</v>
      </c>
      <c r="H3313" t="s">
        <v>3259</v>
      </c>
    </row>
    <row r="3314" spans="1:9" x14ac:dyDescent="0.25">
      <c r="A3314" t="s">
        <v>17089</v>
      </c>
      <c r="B3314" t="s">
        <v>17089</v>
      </c>
      <c r="C3314" t="s">
        <v>17090</v>
      </c>
      <c r="D3314" t="s">
        <v>3242</v>
      </c>
      <c r="E3314" t="s">
        <v>16892</v>
      </c>
      <c r="F3314" t="s">
        <v>3257</v>
      </c>
      <c r="G3314" t="s">
        <v>17091</v>
      </c>
      <c r="H3314" t="s">
        <v>3267</v>
      </c>
      <c r="I3314" t="s">
        <v>16824</v>
      </c>
    </row>
    <row r="3315" spans="1:9" x14ac:dyDescent="0.25">
      <c r="A3315" t="s">
        <v>11830</v>
      </c>
      <c r="B3315" t="s">
        <v>11830</v>
      </c>
      <c r="C3315" t="s">
        <v>11831</v>
      </c>
      <c r="D3315" t="s">
        <v>3242</v>
      </c>
      <c r="E3315" t="s">
        <v>15710</v>
      </c>
      <c r="F3315" t="s">
        <v>3345</v>
      </c>
      <c r="G3315" t="s">
        <v>4645</v>
      </c>
      <c r="H3315" t="s">
        <v>4646</v>
      </c>
    </row>
    <row r="3316" spans="1:9" x14ac:dyDescent="0.25">
      <c r="A3316" t="s">
        <v>11832</v>
      </c>
      <c r="B3316" t="s">
        <v>11832</v>
      </c>
      <c r="C3316" t="s">
        <v>3514</v>
      </c>
      <c r="D3316" t="s">
        <v>3242</v>
      </c>
      <c r="E3316" t="s">
        <v>15710</v>
      </c>
      <c r="F3316" t="s">
        <v>3251</v>
      </c>
      <c r="G3316" t="s">
        <v>4501</v>
      </c>
      <c r="H3316" t="s">
        <v>4502</v>
      </c>
    </row>
    <row r="3317" spans="1:9" x14ac:dyDescent="0.25">
      <c r="A3317" t="s">
        <v>11833</v>
      </c>
      <c r="B3317" t="s">
        <v>11833</v>
      </c>
      <c r="C3317" t="s">
        <v>11834</v>
      </c>
      <c r="D3317" t="s">
        <v>3242</v>
      </c>
      <c r="E3317" t="s">
        <v>15710</v>
      </c>
      <c r="F3317" t="s">
        <v>3288</v>
      </c>
      <c r="G3317" t="s">
        <v>11835</v>
      </c>
      <c r="H3317" t="s">
        <v>3488</v>
      </c>
    </row>
    <row r="3318" spans="1:9" x14ac:dyDescent="0.25">
      <c r="A3318" t="s">
        <v>11836</v>
      </c>
      <c r="B3318" t="s">
        <v>11836</v>
      </c>
      <c r="C3318" t="s">
        <v>11837</v>
      </c>
      <c r="D3318" t="s">
        <v>3242</v>
      </c>
      <c r="E3318" t="s">
        <v>15710</v>
      </c>
      <c r="F3318" t="s">
        <v>15712</v>
      </c>
      <c r="G3318" t="s">
        <v>11838</v>
      </c>
      <c r="H3318" t="s">
        <v>3290</v>
      </c>
    </row>
    <row r="3319" spans="1:9" x14ac:dyDescent="0.25">
      <c r="A3319" t="s">
        <v>11839</v>
      </c>
      <c r="B3319" t="s">
        <v>11839</v>
      </c>
      <c r="C3319" t="s">
        <v>11840</v>
      </c>
      <c r="D3319" t="s">
        <v>3242</v>
      </c>
      <c r="E3319" t="s">
        <v>17092</v>
      </c>
      <c r="F3319" t="s">
        <v>3760</v>
      </c>
      <c r="G3319" t="s">
        <v>11841</v>
      </c>
      <c r="H3319" t="s">
        <v>3484</v>
      </c>
      <c r="I3319" t="s">
        <v>3375</v>
      </c>
    </row>
    <row r="3320" spans="1:9" x14ac:dyDescent="0.25">
      <c r="A3320" t="s">
        <v>11842</v>
      </c>
      <c r="B3320" t="s">
        <v>11842</v>
      </c>
      <c r="C3320" t="s">
        <v>11843</v>
      </c>
      <c r="D3320" t="s">
        <v>3242</v>
      </c>
      <c r="E3320" t="s">
        <v>15710</v>
      </c>
      <c r="F3320" t="s">
        <v>15712</v>
      </c>
      <c r="G3320" t="s">
        <v>11844</v>
      </c>
      <c r="H3320" t="s">
        <v>3290</v>
      </c>
    </row>
    <row r="3321" spans="1:9" x14ac:dyDescent="0.25">
      <c r="A3321" t="s">
        <v>11845</v>
      </c>
      <c r="B3321" t="s">
        <v>11845</v>
      </c>
      <c r="C3321" t="s">
        <v>11846</v>
      </c>
      <c r="D3321" t="s">
        <v>3242</v>
      </c>
      <c r="E3321" t="s">
        <v>15710</v>
      </c>
      <c r="F3321" t="s">
        <v>3243</v>
      </c>
      <c r="G3321" t="s">
        <v>11847</v>
      </c>
      <c r="H3321" t="s">
        <v>11848</v>
      </c>
    </row>
    <row r="3322" spans="1:9" x14ac:dyDescent="0.25">
      <c r="A3322" t="s">
        <v>11849</v>
      </c>
      <c r="B3322" t="s">
        <v>11849</v>
      </c>
      <c r="C3322" t="s">
        <v>11850</v>
      </c>
      <c r="D3322" t="s">
        <v>3242</v>
      </c>
      <c r="E3322" t="s">
        <v>17439</v>
      </c>
      <c r="F3322" t="s">
        <v>3257</v>
      </c>
      <c r="G3322" t="s">
        <v>11851</v>
      </c>
      <c r="H3322" t="s">
        <v>3253</v>
      </c>
      <c r="I3322" t="s">
        <v>3451</v>
      </c>
    </row>
    <row r="3323" spans="1:9" x14ac:dyDescent="0.25">
      <c r="A3323" t="s">
        <v>16338</v>
      </c>
      <c r="B3323" t="s">
        <v>16338</v>
      </c>
      <c r="C3323" t="s">
        <v>16339</v>
      </c>
      <c r="D3323" t="s">
        <v>3242</v>
      </c>
      <c r="E3323" t="s">
        <v>15710</v>
      </c>
      <c r="F3323" t="s">
        <v>3243</v>
      </c>
      <c r="G3323" t="s">
        <v>16340</v>
      </c>
      <c r="H3323" t="s">
        <v>4284</v>
      </c>
    </row>
    <row r="3324" spans="1:9" x14ac:dyDescent="0.25">
      <c r="A3324" t="s">
        <v>11852</v>
      </c>
      <c r="B3324" t="s">
        <v>11852</v>
      </c>
      <c r="C3324" t="s">
        <v>11853</v>
      </c>
      <c r="D3324" t="s">
        <v>3242</v>
      </c>
      <c r="E3324" t="s">
        <v>15710</v>
      </c>
      <c r="F3324" t="s">
        <v>3243</v>
      </c>
      <c r="G3324" t="s">
        <v>11854</v>
      </c>
      <c r="H3324" t="s">
        <v>3402</v>
      </c>
    </row>
    <row r="3325" spans="1:9" x14ac:dyDescent="0.25">
      <c r="A3325" t="s">
        <v>11855</v>
      </c>
      <c r="B3325" t="s">
        <v>11855</v>
      </c>
      <c r="C3325" t="s">
        <v>11856</v>
      </c>
      <c r="D3325" t="s">
        <v>3242</v>
      </c>
      <c r="E3325" t="s">
        <v>15710</v>
      </c>
      <c r="F3325" t="s">
        <v>3257</v>
      </c>
      <c r="G3325" t="s">
        <v>11857</v>
      </c>
      <c r="H3325" t="s">
        <v>3406</v>
      </c>
      <c r="I3325" t="s">
        <v>3407</v>
      </c>
    </row>
    <row r="3326" spans="1:9" x14ac:dyDescent="0.25">
      <c r="A3326" t="s">
        <v>11858</v>
      </c>
      <c r="B3326" t="s">
        <v>11858</v>
      </c>
      <c r="C3326" t="s">
        <v>11859</v>
      </c>
      <c r="D3326" t="s">
        <v>3242</v>
      </c>
      <c r="E3326" t="s">
        <v>15710</v>
      </c>
      <c r="F3326" t="s">
        <v>3243</v>
      </c>
      <c r="G3326" t="s">
        <v>11860</v>
      </c>
      <c r="H3326" t="s">
        <v>4284</v>
      </c>
    </row>
    <row r="3327" spans="1:9" x14ac:dyDescent="0.25">
      <c r="A3327" t="s">
        <v>11861</v>
      </c>
      <c r="B3327" t="s">
        <v>11861</v>
      </c>
      <c r="C3327" t="s">
        <v>11862</v>
      </c>
      <c r="D3327" t="s">
        <v>3242</v>
      </c>
      <c r="E3327" t="s">
        <v>16460</v>
      </c>
      <c r="F3327" t="s">
        <v>11863</v>
      </c>
      <c r="G3327" t="s">
        <v>11864</v>
      </c>
      <c r="H3327" t="s">
        <v>3060</v>
      </c>
    </row>
    <row r="3328" spans="1:9" x14ac:dyDescent="0.25">
      <c r="A3328" t="s">
        <v>11865</v>
      </c>
      <c r="B3328" t="s">
        <v>11865</v>
      </c>
      <c r="C3328" t="s">
        <v>11866</v>
      </c>
      <c r="D3328" t="s">
        <v>3242</v>
      </c>
      <c r="E3328" t="s">
        <v>15710</v>
      </c>
      <c r="F3328" t="s">
        <v>3243</v>
      </c>
      <c r="G3328" t="s">
        <v>3243</v>
      </c>
      <c r="H3328" t="s">
        <v>3290</v>
      </c>
    </row>
    <row r="3329" spans="1:9" x14ac:dyDescent="0.25">
      <c r="A3329" t="s">
        <v>11867</v>
      </c>
      <c r="B3329" t="s">
        <v>11867</v>
      </c>
      <c r="C3329" t="s">
        <v>11868</v>
      </c>
      <c r="D3329" t="s">
        <v>3242</v>
      </c>
      <c r="E3329" t="s">
        <v>15710</v>
      </c>
      <c r="F3329" t="s">
        <v>3288</v>
      </c>
      <c r="G3329" t="s">
        <v>4730</v>
      </c>
      <c r="H3329" t="s">
        <v>3290</v>
      </c>
    </row>
    <row r="3330" spans="1:9" x14ac:dyDescent="0.25">
      <c r="A3330" t="s">
        <v>11869</v>
      </c>
      <c r="B3330" t="s">
        <v>11869</v>
      </c>
      <c r="C3330" t="s">
        <v>11870</v>
      </c>
      <c r="D3330" t="s">
        <v>3242</v>
      </c>
      <c r="E3330" t="s">
        <v>15710</v>
      </c>
      <c r="F3330" t="s">
        <v>3243</v>
      </c>
      <c r="G3330" t="s">
        <v>11871</v>
      </c>
      <c r="H3330" t="s">
        <v>3402</v>
      </c>
    </row>
    <row r="3331" spans="1:9" x14ac:dyDescent="0.25">
      <c r="A3331" t="s">
        <v>11872</v>
      </c>
      <c r="B3331" t="s">
        <v>11872</v>
      </c>
      <c r="C3331" t="s">
        <v>11873</v>
      </c>
      <c r="D3331" t="s">
        <v>3242</v>
      </c>
      <c r="E3331" t="s">
        <v>15710</v>
      </c>
      <c r="F3331" t="s">
        <v>3243</v>
      </c>
      <c r="G3331" t="s">
        <v>11874</v>
      </c>
      <c r="H3331" t="s">
        <v>3402</v>
      </c>
    </row>
    <row r="3332" spans="1:9" x14ac:dyDescent="0.25">
      <c r="A3332" t="s">
        <v>11875</v>
      </c>
      <c r="B3332" t="s">
        <v>11875</v>
      </c>
      <c r="C3332" t="s">
        <v>11876</v>
      </c>
      <c r="D3332" t="s">
        <v>3242</v>
      </c>
      <c r="E3332" t="s">
        <v>15710</v>
      </c>
      <c r="F3332" t="s">
        <v>3345</v>
      </c>
      <c r="G3332" t="s">
        <v>11877</v>
      </c>
      <c r="H3332" t="s">
        <v>3680</v>
      </c>
    </row>
    <row r="3333" spans="1:9" x14ac:dyDescent="0.25">
      <c r="A3333" t="s">
        <v>11878</v>
      </c>
      <c r="B3333" t="s">
        <v>11878</v>
      </c>
      <c r="C3333" t="s">
        <v>11879</v>
      </c>
      <c r="D3333" t="s">
        <v>3242</v>
      </c>
      <c r="E3333" t="s">
        <v>15710</v>
      </c>
      <c r="F3333" t="s">
        <v>3243</v>
      </c>
      <c r="G3333" t="s">
        <v>3243</v>
      </c>
      <c r="H3333" t="s">
        <v>3290</v>
      </c>
    </row>
    <row r="3334" spans="1:9" x14ac:dyDescent="0.25">
      <c r="A3334" t="s">
        <v>11880</v>
      </c>
      <c r="B3334" t="s">
        <v>11880</v>
      </c>
      <c r="C3334" t="s">
        <v>11881</v>
      </c>
      <c r="D3334" t="s">
        <v>3242</v>
      </c>
      <c r="E3334" t="s">
        <v>15710</v>
      </c>
      <c r="F3334" t="s">
        <v>3243</v>
      </c>
      <c r="G3334" t="s">
        <v>11882</v>
      </c>
      <c r="H3334" t="s">
        <v>11883</v>
      </c>
    </row>
    <row r="3335" spans="1:9" x14ac:dyDescent="0.25">
      <c r="A3335" t="s">
        <v>11884</v>
      </c>
      <c r="B3335" t="s">
        <v>11884</v>
      </c>
      <c r="C3335" t="s">
        <v>11885</v>
      </c>
      <c r="D3335" t="s">
        <v>3242</v>
      </c>
      <c r="E3335" t="s">
        <v>15710</v>
      </c>
      <c r="F3335" t="s">
        <v>3257</v>
      </c>
      <c r="G3335" t="s">
        <v>11886</v>
      </c>
      <c r="H3335" t="s">
        <v>4045</v>
      </c>
      <c r="I3335" t="s">
        <v>3694</v>
      </c>
    </row>
    <row r="3336" spans="1:9" x14ac:dyDescent="0.25">
      <c r="A3336" t="s">
        <v>11887</v>
      </c>
      <c r="B3336" t="s">
        <v>11887</v>
      </c>
      <c r="C3336" t="s">
        <v>11888</v>
      </c>
      <c r="D3336" t="s">
        <v>3242</v>
      </c>
      <c r="E3336" t="s">
        <v>15710</v>
      </c>
      <c r="F3336" t="s">
        <v>3345</v>
      </c>
      <c r="G3336" t="s">
        <v>11889</v>
      </c>
      <c r="H3336" t="s">
        <v>3285</v>
      </c>
    </row>
    <row r="3337" spans="1:9" x14ac:dyDescent="0.25">
      <c r="A3337" t="s">
        <v>11890</v>
      </c>
      <c r="B3337" t="s">
        <v>11890</v>
      </c>
      <c r="C3337" t="s">
        <v>11891</v>
      </c>
      <c r="D3337" t="s">
        <v>3242</v>
      </c>
      <c r="E3337" t="s">
        <v>15710</v>
      </c>
      <c r="F3337" t="s">
        <v>3345</v>
      </c>
      <c r="G3337" t="s">
        <v>11892</v>
      </c>
      <c r="H3337" t="s">
        <v>3285</v>
      </c>
    </row>
    <row r="3338" spans="1:9" x14ac:dyDescent="0.25">
      <c r="A3338" t="s">
        <v>11893</v>
      </c>
      <c r="B3338" t="s">
        <v>11893</v>
      </c>
      <c r="C3338" t="s">
        <v>11894</v>
      </c>
      <c r="D3338" t="s">
        <v>3242</v>
      </c>
      <c r="E3338" t="s">
        <v>17093</v>
      </c>
      <c r="F3338" t="s">
        <v>3251</v>
      </c>
      <c r="G3338" t="s">
        <v>11895</v>
      </c>
      <c r="H3338" t="s">
        <v>3421</v>
      </c>
      <c r="I3338" t="s">
        <v>3254</v>
      </c>
    </row>
    <row r="3339" spans="1:9" x14ac:dyDescent="0.25">
      <c r="A3339" t="s">
        <v>17440</v>
      </c>
      <c r="B3339" t="s">
        <v>17440</v>
      </c>
      <c r="C3339" t="s">
        <v>17441</v>
      </c>
      <c r="D3339" t="s">
        <v>3242</v>
      </c>
      <c r="E3339" t="s">
        <v>15710</v>
      </c>
      <c r="F3339" t="s">
        <v>3243</v>
      </c>
      <c r="G3339" t="s">
        <v>17442</v>
      </c>
      <c r="H3339" t="s">
        <v>17443</v>
      </c>
    </row>
    <row r="3340" spans="1:9" x14ac:dyDescent="0.25">
      <c r="A3340" t="s">
        <v>16718</v>
      </c>
      <c r="B3340" t="s">
        <v>16718</v>
      </c>
      <c r="C3340" t="s">
        <v>16719</v>
      </c>
      <c r="D3340" t="s">
        <v>3242</v>
      </c>
      <c r="E3340" t="s">
        <v>15710</v>
      </c>
      <c r="F3340" t="s">
        <v>3243</v>
      </c>
      <c r="G3340" t="s">
        <v>16720</v>
      </c>
      <c r="H3340" t="s">
        <v>10536</v>
      </c>
    </row>
    <row r="3341" spans="1:9" x14ac:dyDescent="0.25">
      <c r="A3341" t="s">
        <v>15525</v>
      </c>
      <c r="B3341" t="s">
        <v>15525</v>
      </c>
      <c r="C3341" t="s">
        <v>15526</v>
      </c>
      <c r="D3341" t="s">
        <v>3242</v>
      </c>
      <c r="E3341" t="s">
        <v>15710</v>
      </c>
      <c r="F3341" t="s">
        <v>3243</v>
      </c>
      <c r="G3341" t="s">
        <v>3982</v>
      </c>
      <c r="H3341" t="s">
        <v>3285</v>
      </c>
    </row>
    <row r="3342" spans="1:9" x14ac:dyDescent="0.25">
      <c r="A3342" t="s">
        <v>11896</v>
      </c>
      <c r="B3342" t="s">
        <v>11896</v>
      </c>
      <c r="C3342" t="s">
        <v>11897</v>
      </c>
      <c r="D3342" t="s">
        <v>3242</v>
      </c>
      <c r="E3342" t="s">
        <v>15710</v>
      </c>
      <c r="F3342" t="s">
        <v>3243</v>
      </c>
      <c r="G3342" t="s">
        <v>11898</v>
      </c>
      <c r="H3342" t="s">
        <v>3488</v>
      </c>
    </row>
    <row r="3343" spans="1:9" x14ac:dyDescent="0.25">
      <c r="A3343" t="s">
        <v>11899</v>
      </c>
      <c r="B3343" t="s">
        <v>11899</v>
      </c>
      <c r="C3343" t="s">
        <v>11900</v>
      </c>
      <c r="D3343" t="s">
        <v>3242</v>
      </c>
      <c r="E3343" t="s">
        <v>15710</v>
      </c>
      <c r="F3343" t="s">
        <v>3345</v>
      </c>
      <c r="G3343" t="s">
        <v>11901</v>
      </c>
      <c r="H3343" t="s">
        <v>4320</v>
      </c>
    </row>
    <row r="3344" spans="1:9" x14ac:dyDescent="0.25">
      <c r="A3344" t="s">
        <v>11902</v>
      </c>
      <c r="B3344" t="s">
        <v>11902</v>
      </c>
      <c r="C3344" t="s">
        <v>11903</v>
      </c>
      <c r="D3344" t="s">
        <v>3242</v>
      </c>
      <c r="E3344" t="s">
        <v>15710</v>
      </c>
      <c r="F3344" t="s">
        <v>3288</v>
      </c>
      <c r="G3344" t="s">
        <v>11904</v>
      </c>
      <c r="H3344" t="s">
        <v>3618</v>
      </c>
    </row>
    <row r="3345" spans="1:9" x14ac:dyDescent="0.25">
      <c r="A3345" t="s">
        <v>11905</v>
      </c>
      <c r="B3345" t="s">
        <v>11905</v>
      </c>
      <c r="C3345" t="s">
        <v>11906</v>
      </c>
      <c r="D3345" t="s">
        <v>3242</v>
      </c>
      <c r="E3345" t="s">
        <v>15710</v>
      </c>
      <c r="F3345" t="s">
        <v>3288</v>
      </c>
      <c r="G3345" t="s">
        <v>11907</v>
      </c>
      <c r="H3345" t="s">
        <v>3488</v>
      </c>
    </row>
    <row r="3346" spans="1:9" x14ac:dyDescent="0.25">
      <c r="A3346" t="s">
        <v>11908</v>
      </c>
      <c r="B3346" t="s">
        <v>11908</v>
      </c>
      <c r="C3346" t="s">
        <v>11909</v>
      </c>
      <c r="D3346" t="s">
        <v>3242</v>
      </c>
      <c r="E3346" t="s">
        <v>15710</v>
      </c>
      <c r="F3346" t="s">
        <v>3243</v>
      </c>
      <c r="G3346" t="s">
        <v>11910</v>
      </c>
      <c r="H3346" t="s">
        <v>3402</v>
      </c>
    </row>
    <row r="3347" spans="1:9" x14ac:dyDescent="0.25">
      <c r="A3347" t="s">
        <v>11911</v>
      </c>
      <c r="B3347" t="s">
        <v>11911</v>
      </c>
      <c r="C3347" t="s">
        <v>11912</v>
      </c>
      <c r="D3347" t="s">
        <v>3242</v>
      </c>
      <c r="E3347" t="s">
        <v>15710</v>
      </c>
      <c r="F3347" t="s">
        <v>3345</v>
      </c>
      <c r="G3347" t="s">
        <v>11913</v>
      </c>
      <c r="H3347" t="s">
        <v>3285</v>
      </c>
    </row>
    <row r="3348" spans="1:9" x14ac:dyDescent="0.25">
      <c r="A3348" t="s">
        <v>11914</v>
      </c>
      <c r="B3348" t="s">
        <v>11914</v>
      </c>
      <c r="C3348" t="s">
        <v>11915</v>
      </c>
      <c r="D3348" t="s">
        <v>3242</v>
      </c>
      <c r="E3348" t="s">
        <v>15710</v>
      </c>
      <c r="F3348" t="s">
        <v>3243</v>
      </c>
      <c r="G3348" t="s">
        <v>3507</v>
      </c>
      <c r="H3348" t="s">
        <v>3290</v>
      </c>
    </row>
    <row r="3349" spans="1:9" x14ac:dyDescent="0.25">
      <c r="A3349" t="s">
        <v>11916</v>
      </c>
      <c r="B3349" t="s">
        <v>11916</v>
      </c>
      <c r="C3349" t="s">
        <v>11917</v>
      </c>
      <c r="D3349" t="s">
        <v>3242</v>
      </c>
      <c r="E3349" t="s">
        <v>15710</v>
      </c>
      <c r="F3349" t="s">
        <v>3345</v>
      </c>
      <c r="G3349" t="s">
        <v>11918</v>
      </c>
      <c r="H3349" t="s">
        <v>3680</v>
      </c>
    </row>
    <row r="3350" spans="1:9" x14ac:dyDescent="0.25">
      <c r="A3350" t="s">
        <v>15527</v>
      </c>
      <c r="B3350" t="s">
        <v>15527</v>
      </c>
      <c r="C3350" t="s">
        <v>15528</v>
      </c>
      <c r="D3350" t="s">
        <v>3242</v>
      </c>
      <c r="E3350" t="s">
        <v>15710</v>
      </c>
      <c r="F3350" t="s">
        <v>3243</v>
      </c>
      <c r="G3350" t="s">
        <v>15529</v>
      </c>
      <c r="H3350" t="s">
        <v>3285</v>
      </c>
    </row>
    <row r="3351" spans="1:9" x14ac:dyDescent="0.25">
      <c r="A3351" t="s">
        <v>17615</v>
      </c>
      <c r="B3351" t="s">
        <v>17615</v>
      </c>
      <c r="C3351" t="s">
        <v>17616</v>
      </c>
      <c r="D3351" t="s">
        <v>3242</v>
      </c>
      <c r="E3351" t="s">
        <v>15710</v>
      </c>
      <c r="F3351" t="s">
        <v>3243</v>
      </c>
      <c r="G3351" t="s">
        <v>17617</v>
      </c>
      <c r="H3351" t="s">
        <v>3459</v>
      </c>
    </row>
    <row r="3352" spans="1:9" x14ac:dyDescent="0.25">
      <c r="A3352" t="s">
        <v>11919</v>
      </c>
      <c r="B3352" t="s">
        <v>11919</v>
      </c>
      <c r="C3352" t="s">
        <v>11920</v>
      </c>
      <c r="D3352" t="s">
        <v>3242</v>
      </c>
      <c r="E3352" t="s">
        <v>17190</v>
      </c>
      <c r="F3352" t="s">
        <v>11921</v>
      </c>
      <c r="G3352" t="s">
        <v>11922</v>
      </c>
      <c r="H3352" t="s">
        <v>3290</v>
      </c>
      <c r="I3352" t="s">
        <v>3268</v>
      </c>
    </row>
    <row r="3353" spans="1:9" x14ac:dyDescent="0.25">
      <c r="A3353" t="s">
        <v>11923</v>
      </c>
      <c r="B3353" t="s">
        <v>11923</v>
      </c>
      <c r="C3353" t="s">
        <v>11924</v>
      </c>
      <c r="D3353" t="s">
        <v>3242</v>
      </c>
      <c r="E3353" t="s">
        <v>15710</v>
      </c>
      <c r="F3353" t="s">
        <v>3243</v>
      </c>
      <c r="G3353" t="s">
        <v>11925</v>
      </c>
      <c r="H3353" t="s">
        <v>4800</v>
      </c>
    </row>
    <row r="3354" spans="1:9" x14ac:dyDescent="0.25">
      <c r="A3354" t="s">
        <v>11926</v>
      </c>
      <c r="B3354" t="s">
        <v>11926</v>
      </c>
      <c r="C3354" t="s">
        <v>11927</v>
      </c>
      <c r="D3354" t="s">
        <v>3242</v>
      </c>
      <c r="E3354" t="s">
        <v>15710</v>
      </c>
      <c r="F3354" t="s">
        <v>3243</v>
      </c>
      <c r="G3354" t="s">
        <v>11928</v>
      </c>
      <c r="H3354" t="s">
        <v>3402</v>
      </c>
    </row>
    <row r="3355" spans="1:9" x14ac:dyDescent="0.25">
      <c r="A3355" t="s">
        <v>15530</v>
      </c>
      <c r="B3355" t="s">
        <v>15530</v>
      </c>
      <c r="C3355" t="s">
        <v>15531</v>
      </c>
      <c r="D3355" t="s">
        <v>3242</v>
      </c>
      <c r="E3355" t="s">
        <v>15710</v>
      </c>
      <c r="F3355" t="s">
        <v>3243</v>
      </c>
      <c r="G3355" t="s">
        <v>15532</v>
      </c>
      <c r="H3355" t="s">
        <v>4284</v>
      </c>
    </row>
    <row r="3356" spans="1:9" x14ac:dyDescent="0.25">
      <c r="A3356" t="s">
        <v>17094</v>
      </c>
      <c r="B3356" t="s">
        <v>17094</v>
      </c>
      <c r="C3356" t="s">
        <v>17095</v>
      </c>
      <c r="D3356" t="s">
        <v>3242</v>
      </c>
      <c r="E3356" t="s">
        <v>17096</v>
      </c>
      <c r="F3356" t="s">
        <v>3257</v>
      </c>
      <c r="G3356" t="s">
        <v>17097</v>
      </c>
      <c r="H3356" t="s">
        <v>3357</v>
      </c>
      <c r="I3356" t="s">
        <v>16824</v>
      </c>
    </row>
    <row r="3357" spans="1:9" x14ac:dyDescent="0.25">
      <c r="A3357" t="s">
        <v>11929</v>
      </c>
      <c r="B3357" t="s">
        <v>11929</v>
      </c>
      <c r="C3357" t="s">
        <v>11930</v>
      </c>
      <c r="D3357" t="s">
        <v>3242</v>
      </c>
      <c r="E3357" t="s">
        <v>15710</v>
      </c>
      <c r="F3357" t="s">
        <v>3288</v>
      </c>
      <c r="G3357" t="s">
        <v>4251</v>
      </c>
      <c r="H3357" t="s">
        <v>4800</v>
      </c>
    </row>
    <row r="3358" spans="1:9" x14ac:dyDescent="0.25">
      <c r="A3358" t="s">
        <v>11931</v>
      </c>
      <c r="B3358" t="s">
        <v>11931</v>
      </c>
      <c r="C3358" t="s">
        <v>11932</v>
      </c>
      <c r="D3358" t="s">
        <v>3242</v>
      </c>
      <c r="E3358" t="s">
        <v>15710</v>
      </c>
      <c r="F3358" t="s">
        <v>3251</v>
      </c>
      <c r="G3358" t="s">
        <v>11933</v>
      </c>
      <c r="H3358" t="s">
        <v>3060</v>
      </c>
      <c r="I3358" t="s">
        <v>5250</v>
      </c>
    </row>
    <row r="3359" spans="1:9" x14ac:dyDescent="0.25">
      <c r="A3359" t="s">
        <v>16542</v>
      </c>
      <c r="B3359" t="s">
        <v>16542</v>
      </c>
      <c r="C3359" t="s">
        <v>16543</v>
      </c>
      <c r="D3359" t="s">
        <v>3242</v>
      </c>
      <c r="E3359" t="s">
        <v>15710</v>
      </c>
      <c r="F3359" t="s">
        <v>3243</v>
      </c>
      <c r="G3359" t="s">
        <v>16544</v>
      </c>
      <c r="H3359" t="s">
        <v>3402</v>
      </c>
    </row>
    <row r="3360" spans="1:9" x14ac:dyDescent="0.25">
      <c r="A3360" t="s">
        <v>11934</v>
      </c>
      <c r="B3360" t="s">
        <v>11934</v>
      </c>
      <c r="C3360" t="s">
        <v>11935</v>
      </c>
      <c r="D3360" t="s">
        <v>3242</v>
      </c>
      <c r="E3360" t="s">
        <v>15710</v>
      </c>
      <c r="F3360" t="s">
        <v>3251</v>
      </c>
      <c r="G3360" t="s">
        <v>11936</v>
      </c>
      <c r="H3360" t="s">
        <v>5386</v>
      </c>
      <c r="I3360" t="s">
        <v>3694</v>
      </c>
    </row>
    <row r="3361" spans="1:9" x14ac:dyDescent="0.25">
      <c r="A3361" t="s">
        <v>11937</v>
      </c>
      <c r="B3361" t="s">
        <v>11937</v>
      </c>
      <c r="C3361" t="s">
        <v>11938</v>
      </c>
      <c r="D3361" t="s">
        <v>3242</v>
      </c>
      <c r="E3361" t="s">
        <v>15710</v>
      </c>
      <c r="F3361" t="s">
        <v>3288</v>
      </c>
      <c r="G3361" t="s">
        <v>11025</v>
      </c>
      <c r="H3361" t="s">
        <v>4166</v>
      </c>
    </row>
    <row r="3362" spans="1:9" x14ac:dyDescent="0.25">
      <c r="A3362" t="s">
        <v>16353</v>
      </c>
      <c r="B3362" t="s">
        <v>16353</v>
      </c>
      <c r="C3362" t="s">
        <v>16354</v>
      </c>
      <c r="D3362" t="s">
        <v>3242</v>
      </c>
      <c r="E3362" t="s">
        <v>16208</v>
      </c>
      <c r="F3362" t="s">
        <v>3257</v>
      </c>
      <c r="G3362" t="s">
        <v>16355</v>
      </c>
      <c r="H3362" t="s">
        <v>6924</v>
      </c>
      <c r="I3362" t="s">
        <v>3366</v>
      </c>
    </row>
    <row r="3363" spans="1:9" x14ac:dyDescent="0.25">
      <c r="A3363" t="s">
        <v>11939</v>
      </c>
      <c r="B3363" t="s">
        <v>11939</v>
      </c>
      <c r="C3363" t="s">
        <v>11940</v>
      </c>
      <c r="D3363" t="s">
        <v>3242</v>
      </c>
      <c r="E3363" t="s">
        <v>15710</v>
      </c>
      <c r="F3363" t="s">
        <v>3288</v>
      </c>
      <c r="G3363" t="s">
        <v>11941</v>
      </c>
      <c r="H3363" t="s">
        <v>4642</v>
      </c>
    </row>
    <row r="3364" spans="1:9" x14ac:dyDescent="0.25">
      <c r="A3364" t="s">
        <v>11942</v>
      </c>
      <c r="B3364" t="s">
        <v>11942</v>
      </c>
      <c r="C3364" t="s">
        <v>11943</v>
      </c>
      <c r="D3364" t="s">
        <v>3242</v>
      </c>
      <c r="E3364" t="s">
        <v>15710</v>
      </c>
      <c r="F3364" t="s">
        <v>3243</v>
      </c>
      <c r="G3364" t="s">
        <v>11944</v>
      </c>
      <c r="H3364" t="s">
        <v>11945</v>
      </c>
    </row>
    <row r="3365" spans="1:9" x14ac:dyDescent="0.25">
      <c r="A3365" t="s">
        <v>11946</v>
      </c>
      <c r="B3365" t="s">
        <v>11946</v>
      </c>
      <c r="C3365" t="s">
        <v>11947</v>
      </c>
      <c r="D3365" t="s">
        <v>3242</v>
      </c>
      <c r="E3365" t="s">
        <v>15710</v>
      </c>
      <c r="F3365" t="s">
        <v>3288</v>
      </c>
      <c r="G3365" t="s">
        <v>11948</v>
      </c>
      <c r="H3365" t="s">
        <v>3680</v>
      </c>
    </row>
    <row r="3366" spans="1:9" x14ac:dyDescent="0.25">
      <c r="A3366" t="s">
        <v>11949</v>
      </c>
      <c r="B3366" t="s">
        <v>11949</v>
      </c>
      <c r="C3366" t="s">
        <v>11950</v>
      </c>
      <c r="D3366" t="s">
        <v>3242</v>
      </c>
      <c r="E3366" t="s">
        <v>15710</v>
      </c>
      <c r="F3366" t="s">
        <v>3288</v>
      </c>
      <c r="G3366" t="s">
        <v>11951</v>
      </c>
      <c r="H3366" t="s">
        <v>3285</v>
      </c>
    </row>
    <row r="3367" spans="1:9" x14ac:dyDescent="0.25">
      <c r="A3367" t="s">
        <v>11952</v>
      </c>
      <c r="B3367" t="s">
        <v>11952</v>
      </c>
      <c r="C3367" t="s">
        <v>11953</v>
      </c>
      <c r="D3367" t="s">
        <v>3242</v>
      </c>
      <c r="E3367" t="s">
        <v>15710</v>
      </c>
      <c r="F3367" t="s">
        <v>3243</v>
      </c>
      <c r="G3367" t="s">
        <v>3243</v>
      </c>
      <c r="H3367" t="s">
        <v>3290</v>
      </c>
    </row>
    <row r="3368" spans="1:9" x14ac:dyDescent="0.25">
      <c r="A3368" t="s">
        <v>15533</v>
      </c>
      <c r="B3368" t="s">
        <v>15533</v>
      </c>
      <c r="C3368" t="s">
        <v>15534</v>
      </c>
      <c r="D3368" t="s">
        <v>3242</v>
      </c>
      <c r="E3368" t="s">
        <v>15710</v>
      </c>
      <c r="F3368" t="s">
        <v>3243</v>
      </c>
      <c r="G3368" t="s">
        <v>15535</v>
      </c>
      <c r="H3368" t="s">
        <v>4769</v>
      </c>
      <c r="I3368" t="s">
        <v>4605</v>
      </c>
    </row>
    <row r="3369" spans="1:9" x14ac:dyDescent="0.25">
      <c r="A3369" t="s">
        <v>11954</v>
      </c>
      <c r="B3369" t="s">
        <v>11954</v>
      </c>
      <c r="C3369" t="s">
        <v>11955</v>
      </c>
      <c r="D3369" t="s">
        <v>3242</v>
      </c>
      <c r="E3369" t="s">
        <v>15710</v>
      </c>
      <c r="F3369" t="s">
        <v>10250</v>
      </c>
      <c r="G3369" t="s">
        <v>11956</v>
      </c>
      <c r="H3369" t="s">
        <v>3749</v>
      </c>
      <c r="I3369" t="s">
        <v>3375</v>
      </c>
    </row>
    <row r="3370" spans="1:9" x14ac:dyDescent="0.25">
      <c r="A3370" t="s">
        <v>11957</v>
      </c>
      <c r="B3370" t="s">
        <v>11957</v>
      </c>
      <c r="C3370" t="s">
        <v>11958</v>
      </c>
      <c r="D3370" t="s">
        <v>3242</v>
      </c>
      <c r="E3370" t="s">
        <v>15710</v>
      </c>
      <c r="F3370" t="s">
        <v>3243</v>
      </c>
      <c r="G3370" t="s">
        <v>11959</v>
      </c>
      <c r="H3370" t="s">
        <v>4284</v>
      </c>
    </row>
    <row r="3371" spans="1:9" x14ac:dyDescent="0.25">
      <c r="A3371" t="s">
        <v>11960</v>
      </c>
      <c r="B3371" t="s">
        <v>11960</v>
      </c>
      <c r="C3371" t="s">
        <v>11961</v>
      </c>
      <c r="D3371" t="s">
        <v>3242</v>
      </c>
      <c r="E3371" t="s">
        <v>15710</v>
      </c>
      <c r="F3371" t="s">
        <v>3288</v>
      </c>
      <c r="G3371" t="s">
        <v>11962</v>
      </c>
      <c r="H3371" t="s">
        <v>3290</v>
      </c>
    </row>
    <row r="3372" spans="1:9" x14ac:dyDescent="0.25">
      <c r="A3372" t="s">
        <v>11963</v>
      </c>
      <c r="B3372" t="s">
        <v>11963</v>
      </c>
      <c r="C3372" t="s">
        <v>11964</v>
      </c>
      <c r="D3372" t="s">
        <v>3242</v>
      </c>
      <c r="E3372" t="s">
        <v>15710</v>
      </c>
      <c r="F3372" t="s">
        <v>3257</v>
      </c>
      <c r="G3372" t="s">
        <v>11965</v>
      </c>
      <c r="H3372" t="s">
        <v>3259</v>
      </c>
    </row>
    <row r="3373" spans="1:9" x14ac:dyDescent="0.25">
      <c r="A3373" t="s">
        <v>11966</v>
      </c>
      <c r="B3373" t="s">
        <v>11966</v>
      </c>
      <c r="C3373" t="s">
        <v>11967</v>
      </c>
      <c r="D3373" t="s">
        <v>3242</v>
      </c>
      <c r="E3373" t="s">
        <v>15710</v>
      </c>
      <c r="F3373" t="s">
        <v>3288</v>
      </c>
      <c r="G3373" t="s">
        <v>11265</v>
      </c>
      <c r="H3373" t="s">
        <v>3744</v>
      </c>
    </row>
    <row r="3374" spans="1:9" x14ac:dyDescent="0.25">
      <c r="A3374" t="s">
        <v>16721</v>
      </c>
      <c r="B3374" t="s">
        <v>16721</v>
      </c>
      <c r="C3374" t="s">
        <v>16722</v>
      </c>
      <c r="D3374" t="s">
        <v>3242</v>
      </c>
      <c r="E3374" t="s">
        <v>15710</v>
      </c>
      <c r="F3374" t="s">
        <v>3243</v>
      </c>
      <c r="G3374" t="s">
        <v>16723</v>
      </c>
      <c r="H3374" t="s">
        <v>10634</v>
      </c>
    </row>
    <row r="3375" spans="1:9" x14ac:dyDescent="0.25">
      <c r="A3375" t="s">
        <v>11968</v>
      </c>
      <c r="B3375" t="s">
        <v>11968</v>
      </c>
      <c r="C3375" t="s">
        <v>11969</v>
      </c>
      <c r="D3375" t="s">
        <v>3242</v>
      </c>
      <c r="E3375" t="s">
        <v>15710</v>
      </c>
      <c r="F3375" t="s">
        <v>3345</v>
      </c>
      <c r="G3375" t="s">
        <v>4652</v>
      </c>
      <c r="H3375" t="s">
        <v>4615</v>
      </c>
    </row>
    <row r="3376" spans="1:9" x14ac:dyDescent="0.25">
      <c r="A3376" t="s">
        <v>11970</v>
      </c>
      <c r="B3376" t="s">
        <v>11970</v>
      </c>
      <c r="C3376" t="s">
        <v>11971</v>
      </c>
      <c r="D3376" t="s">
        <v>3242</v>
      </c>
      <c r="E3376" t="s">
        <v>15710</v>
      </c>
      <c r="F3376" t="s">
        <v>3306</v>
      </c>
      <c r="G3376" t="s">
        <v>11374</v>
      </c>
      <c r="H3376" t="s">
        <v>5084</v>
      </c>
      <c r="I3376" t="s">
        <v>3328</v>
      </c>
    </row>
    <row r="3377" spans="1:9" x14ac:dyDescent="0.25">
      <c r="A3377" t="s">
        <v>11972</v>
      </c>
      <c r="B3377" t="s">
        <v>11972</v>
      </c>
      <c r="C3377" t="s">
        <v>11973</v>
      </c>
      <c r="D3377" t="s">
        <v>3242</v>
      </c>
      <c r="E3377" t="s">
        <v>15710</v>
      </c>
      <c r="F3377" t="s">
        <v>3243</v>
      </c>
      <c r="G3377" t="s">
        <v>11974</v>
      </c>
      <c r="H3377" t="s">
        <v>3290</v>
      </c>
    </row>
    <row r="3378" spans="1:9" x14ac:dyDescent="0.25">
      <c r="A3378" t="s">
        <v>11975</v>
      </c>
      <c r="B3378" t="s">
        <v>11975</v>
      </c>
      <c r="C3378" t="s">
        <v>11976</v>
      </c>
      <c r="D3378" t="s">
        <v>3242</v>
      </c>
      <c r="E3378" t="s">
        <v>15710</v>
      </c>
      <c r="F3378" t="s">
        <v>3257</v>
      </c>
      <c r="G3378" t="s">
        <v>11977</v>
      </c>
      <c r="H3378" t="s">
        <v>3290</v>
      </c>
      <c r="I3378" t="s">
        <v>3451</v>
      </c>
    </row>
    <row r="3379" spans="1:9" x14ac:dyDescent="0.25">
      <c r="A3379" t="s">
        <v>11978</v>
      </c>
      <c r="B3379" t="s">
        <v>11978</v>
      </c>
      <c r="C3379" t="s">
        <v>11979</v>
      </c>
      <c r="D3379" t="s">
        <v>3242</v>
      </c>
      <c r="E3379" t="s">
        <v>15710</v>
      </c>
      <c r="F3379" t="s">
        <v>3243</v>
      </c>
      <c r="G3379" t="s">
        <v>11980</v>
      </c>
      <c r="H3379" t="s">
        <v>4284</v>
      </c>
    </row>
    <row r="3380" spans="1:9" x14ac:dyDescent="0.25">
      <c r="A3380" t="s">
        <v>11981</v>
      </c>
      <c r="B3380" t="s">
        <v>11981</v>
      </c>
      <c r="C3380" t="s">
        <v>11982</v>
      </c>
      <c r="D3380" t="s">
        <v>3242</v>
      </c>
      <c r="E3380" t="s">
        <v>15710</v>
      </c>
      <c r="F3380" t="s">
        <v>3288</v>
      </c>
      <c r="G3380" t="s">
        <v>11983</v>
      </c>
      <c r="H3380" t="s">
        <v>3290</v>
      </c>
    </row>
    <row r="3381" spans="1:9" x14ac:dyDescent="0.25">
      <c r="A3381" t="s">
        <v>11984</v>
      </c>
      <c r="B3381" t="s">
        <v>11984</v>
      </c>
      <c r="C3381" t="s">
        <v>11985</v>
      </c>
      <c r="D3381" t="s">
        <v>3242</v>
      </c>
      <c r="E3381" t="s">
        <v>15710</v>
      </c>
      <c r="F3381" t="s">
        <v>3306</v>
      </c>
      <c r="G3381" t="s">
        <v>11986</v>
      </c>
      <c r="H3381" t="s">
        <v>5289</v>
      </c>
    </row>
    <row r="3382" spans="1:9" x14ac:dyDescent="0.25">
      <c r="A3382" t="s">
        <v>16545</v>
      </c>
      <c r="B3382" t="s">
        <v>16545</v>
      </c>
      <c r="C3382" t="s">
        <v>16546</v>
      </c>
      <c r="D3382" t="s">
        <v>3242</v>
      </c>
      <c r="E3382" t="s">
        <v>15992</v>
      </c>
      <c r="F3382" t="s">
        <v>3243</v>
      </c>
      <c r="G3382" t="s">
        <v>16547</v>
      </c>
      <c r="H3382" t="s">
        <v>3285</v>
      </c>
    </row>
    <row r="3383" spans="1:9" x14ac:dyDescent="0.25">
      <c r="A3383" t="s">
        <v>15536</v>
      </c>
      <c r="B3383" t="s">
        <v>15536</v>
      </c>
      <c r="C3383" t="s">
        <v>15537</v>
      </c>
      <c r="D3383" t="s">
        <v>3242</v>
      </c>
      <c r="E3383" t="s">
        <v>15710</v>
      </c>
      <c r="F3383" t="s">
        <v>5158</v>
      </c>
      <c r="G3383" t="s">
        <v>15538</v>
      </c>
      <c r="H3383" t="s">
        <v>3496</v>
      </c>
    </row>
    <row r="3384" spans="1:9" x14ac:dyDescent="0.25">
      <c r="A3384" t="s">
        <v>11987</v>
      </c>
      <c r="B3384" t="s">
        <v>11987</v>
      </c>
      <c r="C3384" t="s">
        <v>11988</v>
      </c>
      <c r="D3384" t="s">
        <v>3242</v>
      </c>
      <c r="E3384" t="s">
        <v>16548</v>
      </c>
      <c r="F3384" t="s">
        <v>3306</v>
      </c>
      <c r="G3384" t="s">
        <v>11989</v>
      </c>
      <c r="H3384" t="s">
        <v>4734</v>
      </c>
      <c r="I3384" t="s">
        <v>3254</v>
      </c>
    </row>
    <row r="3385" spans="1:9" x14ac:dyDescent="0.25">
      <c r="A3385" t="s">
        <v>11990</v>
      </c>
      <c r="B3385" t="s">
        <v>11990</v>
      </c>
      <c r="C3385" t="s">
        <v>11991</v>
      </c>
      <c r="D3385" t="s">
        <v>3242</v>
      </c>
      <c r="E3385" t="s">
        <v>17661</v>
      </c>
      <c r="F3385" t="s">
        <v>3257</v>
      </c>
      <c r="G3385" t="s">
        <v>11992</v>
      </c>
      <c r="H3385" t="s">
        <v>3357</v>
      </c>
      <c r="I3385" t="s">
        <v>16824</v>
      </c>
    </row>
    <row r="3386" spans="1:9" x14ac:dyDescent="0.25">
      <c r="A3386" t="s">
        <v>11993</v>
      </c>
      <c r="B3386" t="s">
        <v>11993</v>
      </c>
      <c r="C3386" t="s">
        <v>15539</v>
      </c>
      <c r="D3386" t="s">
        <v>3242</v>
      </c>
      <c r="E3386" t="s">
        <v>15710</v>
      </c>
      <c r="F3386" t="s">
        <v>3257</v>
      </c>
      <c r="G3386" t="s">
        <v>11994</v>
      </c>
      <c r="H3386" t="s">
        <v>5046</v>
      </c>
      <c r="I3386" t="s">
        <v>3366</v>
      </c>
    </row>
    <row r="3387" spans="1:9" x14ac:dyDescent="0.25">
      <c r="A3387" t="s">
        <v>11995</v>
      </c>
      <c r="B3387" t="s">
        <v>11995</v>
      </c>
      <c r="C3387" t="s">
        <v>11996</v>
      </c>
      <c r="D3387" t="s">
        <v>3242</v>
      </c>
      <c r="E3387" t="s">
        <v>15710</v>
      </c>
      <c r="F3387" t="s">
        <v>3306</v>
      </c>
      <c r="G3387" t="s">
        <v>3684</v>
      </c>
      <c r="H3387" t="s">
        <v>3421</v>
      </c>
      <c r="I3387" t="s">
        <v>3254</v>
      </c>
    </row>
    <row r="3388" spans="1:9" x14ac:dyDescent="0.25">
      <c r="A3388" t="s">
        <v>11997</v>
      </c>
      <c r="B3388" t="s">
        <v>11997</v>
      </c>
      <c r="C3388" t="s">
        <v>11998</v>
      </c>
      <c r="D3388" t="s">
        <v>3242</v>
      </c>
      <c r="E3388" t="s">
        <v>15710</v>
      </c>
      <c r="F3388" t="s">
        <v>3243</v>
      </c>
      <c r="G3388" t="s">
        <v>3892</v>
      </c>
      <c r="H3388" t="s">
        <v>3680</v>
      </c>
    </row>
    <row r="3389" spans="1:9" x14ac:dyDescent="0.25">
      <c r="A3389" t="s">
        <v>15540</v>
      </c>
      <c r="B3389" t="s">
        <v>15540</v>
      </c>
      <c r="C3389" t="s">
        <v>15541</v>
      </c>
      <c r="D3389" t="s">
        <v>3242</v>
      </c>
      <c r="E3389" t="s">
        <v>15928</v>
      </c>
      <c r="F3389" t="s">
        <v>3257</v>
      </c>
      <c r="G3389" t="s">
        <v>15542</v>
      </c>
      <c r="H3389" t="s">
        <v>6502</v>
      </c>
      <c r="I3389" t="s">
        <v>3268</v>
      </c>
    </row>
    <row r="3390" spans="1:9" x14ac:dyDescent="0.25">
      <c r="A3390" t="s">
        <v>16724</v>
      </c>
      <c r="B3390" t="s">
        <v>16724</v>
      </c>
      <c r="C3390" t="s">
        <v>16725</v>
      </c>
      <c r="D3390" t="s">
        <v>3242</v>
      </c>
      <c r="E3390" t="s">
        <v>15710</v>
      </c>
      <c r="F3390" t="s">
        <v>3288</v>
      </c>
      <c r="G3390" t="s">
        <v>16726</v>
      </c>
      <c r="H3390" t="s">
        <v>3285</v>
      </c>
    </row>
    <row r="3391" spans="1:9" x14ac:dyDescent="0.25">
      <c r="A3391" t="s">
        <v>11999</v>
      </c>
      <c r="B3391" t="s">
        <v>11999</v>
      </c>
      <c r="C3391" t="s">
        <v>12000</v>
      </c>
      <c r="D3391" t="s">
        <v>3242</v>
      </c>
      <c r="E3391" t="s">
        <v>15710</v>
      </c>
      <c r="F3391" t="s">
        <v>3288</v>
      </c>
      <c r="G3391" t="s">
        <v>12001</v>
      </c>
      <c r="H3391" t="s">
        <v>5957</v>
      </c>
    </row>
    <row r="3392" spans="1:9" x14ac:dyDescent="0.25">
      <c r="A3392" t="s">
        <v>12002</v>
      </c>
      <c r="B3392" t="s">
        <v>12002</v>
      </c>
      <c r="C3392" t="s">
        <v>12003</v>
      </c>
      <c r="D3392" t="s">
        <v>3242</v>
      </c>
      <c r="E3392" t="s">
        <v>15710</v>
      </c>
      <c r="F3392" t="s">
        <v>3243</v>
      </c>
      <c r="G3392" t="s">
        <v>12004</v>
      </c>
      <c r="H3392" t="s">
        <v>3285</v>
      </c>
    </row>
    <row r="3393" spans="1:9" x14ac:dyDescent="0.25">
      <c r="A3393" t="s">
        <v>12005</v>
      </c>
      <c r="B3393" t="s">
        <v>12005</v>
      </c>
      <c r="C3393" t="s">
        <v>12006</v>
      </c>
      <c r="D3393" t="s">
        <v>3242</v>
      </c>
      <c r="E3393" t="s">
        <v>17618</v>
      </c>
      <c r="F3393" t="s">
        <v>3251</v>
      </c>
      <c r="G3393" t="s">
        <v>12007</v>
      </c>
      <c r="H3393" t="s">
        <v>4711</v>
      </c>
      <c r="I3393" t="s">
        <v>3254</v>
      </c>
    </row>
    <row r="3394" spans="1:9" x14ac:dyDescent="0.25">
      <c r="A3394" t="s">
        <v>12008</v>
      </c>
      <c r="B3394" t="s">
        <v>12008</v>
      </c>
      <c r="C3394" t="s">
        <v>12009</v>
      </c>
      <c r="D3394" t="s">
        <v>3242</v>
      </c>
      <c r="E3394" t="s">
        <v>15710</v>
      </c>
      <c r="F3394" t="s">
        <v>3345</v>
      </c>
      <c r="G3394" t="s">
        <v>6121</v>
      </c>
      <c r="H3394" t="s">
        <v>6843</v>
      </c>
    </row>
    <row r="3395" spans="1:9" x14ac:dyDescent="0.25">
      <c r="A3395" t="s">
        <v>12010</v>
      </c>
      <c r="B3395" t="s">
        <v>12010</v>
      </c>
      <c r="C3395" t="s">
        <v>12011</v>
      </c>
      <c r="D3395" t="s">
        <v>3242</v>
      </c>
      <c r="E3395" t="s">
        <v>15710</v>
      </c>
      <c r="F3395" t="s">
        <v>15985</v>
      </c>
      <c r="G3395" t="s">
        <v>12012</v>
      </c>
      <c r="H3395" t="s">
        <v>3290</v>
      </c>
    </row>
    <row r="3396" spans="1:9" x14ac:dyDescent="0.25">
      <c r="A3396" t="s">
        <v>12013</v>
      </c>
      <c r="B3396" t="s">
        <v>12013</v>
      </c>
      <c r="C3396" t="s">
        <v>3351</v>
      </c>
      <c r="D3396" t="s">
        <v>3242</v>
      </c>
      <c r="E3396" t="s">
        <v>15935</v>
      </c>
      <c r="F3396" t="s">
        <v>3257</v>
      </c>
      <c r="G3396" t="s">
        <v>3352</v>
      </c>
      <c r="H3396" t="s">
        <v>3353</v>
      </c>
      <c r="I3396" t="s">
        <v>3324</v>
      </c>
    </row>
    <row r="3397" spans="1:9" x14ac:dyDescent="0.25">
      <c r="A3397" t="s">
        <v>15543</v>
      </c>
      <c r="B3397" t="s">
        <v>15543</v>
      </c>
      <c r="C3397" t="s">
        <v>15544</v>
      </c>
      <c r="D3397" t="s">
        <v>3242</v>
      </c>
      <c r="E3397" t="s">
        <v>15710</v>
      </c>
      <c r="F3397" t="s">
        <v>3243</v>
      </c>
      <c r="G3397" t="s">
        <v>15545</v>
      </c>
      <c r="H3397" t="s">
        <v>11945</v>
      </c>
    </row>
    <row r="3398" spans="1:9" x14ac:dyDescent="0.25">
      <c r="A3398" t="s">
        <v>12014</v>
      </c>
      <c r="B3398" t="s">
        <v>12014</v>
      </c>
      <c r="C3398" t="s">
        <v>12015</v>
      </c>
      <c r="D3398" t="s">
        <v>3242</v>
      </c>
      <c r="E3398" t="s">
        <v>15710</v>
      </c>
      <c r="F3398" t="s">
        <v>3306</v>
      </c>
      <c r="G3398" t="s">
        <v>12016</v>
      </c>
      <c r="H3398" t="s">
        <v>3267</v>
      </c>
      <c r="I3398" t="s">
        <v>3268</v>
      </c>
    </row>
    <row r="3399" spans="1:9" x14ac:dyDescent="0.25">
      <c r="A3399" t="s">
        <v>12017</v>
      </c>
      <c r="B3399" t="s">
        <v>12017</v>
      </c>
      <c r="C3399" t="s">
        <v>12018</v>
      </c>
      <c r="D3399" t="s">
        <v>3242</v>
      </c>
      <c r="E3399" t="s">
        <v>15710</v>
      </c>
      <c r="F3399" t="s">
        <v>3243</v>
      </c>
      <c r="G3399" t="s">
        <v>12019</v>
      </c>
      <c r="H3399" t="s">
        <v>3285</v>
      </c>
    </row>
    <row r="3400" spans="1:9" x14ac:dyDescent="0.25">
      <c r="A3400" t="s">
        <v>12020</v>
      </c>
      <c r="B3400" t="s">
        <v>12020</v>
      </c>
      <c r="C3400" t="s">
        <v>12021</v>
      </c>
      <c r="D3400" t="s">
        <v>3242</v>
      </c>
      <c r="E3400" t="s">
        <v>15710</v>
      </c>
      <c r="F3400" t="s">
        <v>15986</v>
      </c>
      <c r="G3400" t="s">
        <v>12022</v>
      </c>
      <c r="H3400" t="s">
        <v>3402</v>
      </c>
    </row>
    <row r="3401" spans="1:9" x14ac:dyDescent="0.25">
      <c r="A3401" t="s">
        <v>12023</v>
      </c>
      <c r="B3401" t="s">
        <v>12023</v>
      </c>
      <c r="C3401" t="s">
        <v>12024</v>
      </c>
      <c r="D3401" t="s">
        <v>3242</v>
      </c>
      <c r="E3401" t="s">
        <v>15710</v>
      </c>
      <c r="F3401" t="s">
        <v>3243</v>
      </c>
      <c r="G3401" t="s">
        <v>12025</v>
      </c>
      <c r="H3401" t="s">
        <v>4045</v>
      </c>
    </row>
    <row r="3402" spans="1:9" x14ac:dyDescent="0.25">
      <c r="A3402" t="s">
        <v>12026</v>
      </c>
      <c r="B3402" t="s">
        <v>12026</v>
      </c>
      <c r="C3402" t="s">
        <v>12027</v>
      </c>
      <c r="D3402" t="s">
        <v>3242</v>
      </c>
      <c r="E3402" t="s">
        <v>15710</v>
      </c>
      <c r="F3402" t="s">
        <v>3257</v>
      </c>
      <c r="G3402" t="s">
        <v>11857</v>
      </c>
      <c r="H3402" t="s">
        <v>3406</v>
      </c>
      <c r="I3402" t="s">
        <v>3407</v>
      </c>
    </row>
    <row r="3403" spans="1:9" x14ac:dyDescent="0.25">
      <c r="A3403" t="s">
        <v>12028</v>
      </c>
      <c r="B3403" t="s">
        <v>12028</v>
      </c>
      <c r="C3403" t="s">
        <v>12029</v>
      </c>
      <c r="D3403" t="s">
        <v>3242</v>
      </c>
      <c r="E3403" t="s">
        <v>15710</v>
      </c>
      <c r="F3403" t="s">
        <v>3345</v>
      </c>
      <c r="G3403" t="s">
        <v>12030</v>
      </c>
      <c r="H3403" t="s">
        <v>3060</v>
      </c>
    </row>
    <row r="3404" spans="1:9" x14ac:dyDescent="0.25">
      <c r="A3404" t="s">
        <v>12031</v>
      </c>
      <c r="B3404" t="s">
        <v>12031</v>
      </c>
      <c r="C3404" t="s">
        <v>12032</v>
      </c>
      <c r="D3404" t="s">
        <v>3242</v>
      </c>
      <c r="E3404" t="s">
        <v>15844</v>
      </c>
      <c r="F3404" t="s">
        <v>3243</v>
      </c>
      <c r="G3404" t="s">
        <v>3243</v>
      </c>
      <c r="H3404" t="s">
        <v>3290</v>
      </c>
    </row>
    <row r="3405" spans="1:9" x14ac:dyDescent="0.25">
      <c r="A3405" t="s">
        <v>15546</v>
      </c>
      <c r="B3405" t="s">
        <v>15546</v>
      </c>
      <c r="C3405" t="s">
        <v>15547</v>
      </c>
      <c r="D3405" t="s">
        <v>3242</v>
      </c>
      <c r="E3405" t="s">
        <v>15710</v>
      </c>
      <c r="F3405" t="s">
        <v>3243</v>
      </c>
      <c r="G3405" t="s">
        <v>15548</v>
      </c>
      <c r="H3405" t="s">
        <v>3402</v>
      </c>
    </row>
    <row r="3406" spans="1:9" x14ac:dyDescent="0.25">
      <c r="A3406" t="s">
        <v>16795</v>
      </c>
      <c r="B3406" t="s">
        <v>16795</v>
      </c>
      <c r="C3406" t="s">
        <v>16796</v>
      </c>
      <c r="D3406" t="s">
        <v>3242</v>
      </c>
      <c r="E3406" t="s">
        <v>15710</v>
      </c>
      <c r="F3406" t="s">
        <v>3288</v>
      </c>
      <c r="G3406" t="s">
        <v>3060</v>
      </c>
      <c r="H3406" t="s">
        <v>3285</v>
      </c>
    </row>
    <row r="3407" spans="1:9" x14ac:dyDescent="0.25">
      <c r="A3407" t="s">
        <v>12033</v>
      </c>
      <c r="B3407" t="s">
        <v>12033</v>
      </c>
      <c r="C3407" t="s">
        <v>12034</v>
      </c>
      <c r="D3407" t="s">
        <v>3242</v>
      </c>
      <c r="E3407" t="s">
        <v>15710</v>
      </c>
      <c r="F3407" t="s">
        <v>3288</v>
      </c>
      <c r="G3407" t="s">
        <v>4608</v>
      </c>
      <c r="H3407" t="s">
        <v>3290</v>
      </c>
    </row>
    <row r="3408" spans="1:9" x14ac:dyDescent="0.25">
      <c r="A3408" t="s">
        <v>12035</v>
      </c>
      <c r="B3408" t="s">
        <v>12035</v>
      </c>
      <c r="C3408" t="s">
        <v>12036</v>
      </c>
      <c r="D3408" t="s">
        <v>3242</v>
      </c>
      <c r="E3408" t="s">
        <v>15710</v>
      </c>
      <c r="F3408" t="s">
        <v>4102</v>
      </c>
      <c r="G3408" t="s">
        <v>12037</v>
      </c>
      <c r="H3408" t="s">
        <v>4045</v>
      </c>
    </row>
    <row r="3409" spans="1:9" x14ac:dyDescent="0.25">
      <c r="A3409" t="s">
        <v>12038</v>
      </c>
      <c r="B3409" t="s">
        <v>12038</v>
      </c>
      <c r="C3409" t="s">
        <v>7160</v>
      </c>
      <c r="D3409" t="s">
        <v>3242</v>
      </c>
      <c r="E3409" t="s">
        <v>17662</v>
      </c>
      <c r="F3409" t="s">
        <v>12039</v>
      </c>
      <c r="G3409" t="s">
        <v>12040</v>
      </c>
      <c r="H3409" t="s">
        <v>3483</v>
      </c>
      <c r="I3409" t="s">
        <v>3263</v>
      </c>
    </row>
    <row r="3410" spans="1:9" x14ac:dyDescent="0.25">
      <c r="A3410" t="s">
        <v>16549</v>
      </c>
      <c r="B3410" t="s">
        <v>16549</v>
      </c>
      <c r="C3410" t="s">
        <v>16550</v>
      </c>
      <c r="D3410" t="s">
        <v>3242</v>
      </c>
      <c r="E3410" t="s">
        <v>15710</v>
      </c>
      <c r="F3410" t="s">
        <v>3243</v>
      </c>
      <c r="G3410" t="s">
        <v>16551</v>
      </c>
      <c r="H3410" t="s">
        <v>11945</v>
      </c>
    </row>
    <row r="3411" spans="1:9" x14ac:dyDescent="0.25">
      <c r="A3411" t="s">
        <v>15549</v>
      </c>
      <c r="B3411" t="s">
        <v>15549</v>
      </c>
      <c r="C3411" t="s">
        <v>15550</v>
      </c>
      <c r="D3411" t="s">
        <v>3242</v>
      </c>
      <c r="E3411" t="s">
        <v>15710</v>
      </c>
      <c r="F3411" t="s">
        <v>3288</v>
      </c>
      <c r="G3411" t="s">
        <v>3060</v>
      </c>
      <c r="H3411" t="s">
        <v>3285</v>
      </c>
    </row>
    <row r="3412" spans="1:9" x14ac:dyDescent="0.25">
      <c r="A3412" t="s">
        <v>12041</v>
      </c>
      <c r="B3412" t="s">
        <v>12041</v>
      </c>
      <c r="C3412" t="s">
        <v>12042</v>
      </c>
      <c r="D3412" t="s">
        <v>3242</v>
      </c>
      <c r="E3412" t="s">
        <v>15710</v>
      </c>
      <c r="F3412" t="s">
        <v>3288</v>
      </c>
      <c r="G3412" t="s">
        <v>4730</v>
      </c>
      <c r="H3412" t="s">
        <v>3618</v>
      </c>
    </row>
    <row r="3413" spans="1:9" x14ac:dyDescent="0.25">
      <c r="A3413" t="s">
        <v>12043</v>
      </c>
      <c r="B3413" t="s">
        <v>12043</v>
      </c>
      <c r="C3413" t="s">
        <v>12044</v>
      </c>
      <c r="D3413" t="s">
        <v>3242</v>
      </c>
      <c r="E3413" t="s">
        <v>15710</v>
      </c>
      <c r="F3413" t="s">
        <v>3243</v>
      </c>
      <c r="G3413" t="s">
        <v>3243</v>
      </c>
      <c r="H3413" t="s">
        <v>3332</v>
      </c>
    </row>
    <row r="3414" spans="1:9" x14ac:dyDescent="0.25">
      <c r="A3414" t="s">
        <v>12045</v>
      </c>
      <c r="B3414" t="s">
        <v>12045</v>
      </c>
      <c r="C3414" t="s">
        <v>12046</v>
      </c>
      <c r="D3414" t="s">
        <v>3242</v>
      </c>
      <c r="E3414" t="s">
        <v>15710</v>
      </c>
      <c r="F3414" t="s">
        <v>3283</v>
      </c>
      <c r="G3414" t="s">
        <v>12047</v>
      </c>
      <c r="H3414" t="s">
        <v>3060</v>
      </c>
    </row>
    <row r="3415" spans="1:9" x14ac:dyDescent="0.25">
      <c r="A3415" t="s">
        <v>12048</v>
      </c>
      <c r="B3415" t="s">
        <v>12048</v>
      </c>
      <c r="C3415" t="s">
        <v>12049</v>
      </c>
      <c r="D3415" t="s">
        <v>3242</v>
      </c>
      <c r="E3415" t="s">
        <v>15710</v>
      </c>
      <c r="F3415" t="s">
        <v>3243</v>
      </c>
    </row>
    <row r="3416" spans="1:9" x14ac:dyDescent="0.25">
      <c r="A3416" t="s">
        <v>16356</v>
      </c>
      <c r="B3416" t="s">
        <v>16356</v>
      </c>
      <c r="C3416" t="s">
        <v>16357</v>
      </c>
      <c r="D3416" t="s">
        <v>3242</v>
      </c>
      <c r="E3416" t="s">
        <v>15710</v>
      </c>
      <c r="F3416" t="s">
        <v>3288</v>
      </c>
      <c r="G3416" t="s">
        <v>3060</v>
      </c>
      <c r="H3416" t="s">
        <v>3060</v>
      </c>
    </row>
    <row r="3417" spans="1:9" x14ac:dyDescent="0.25">
      <c r="A3417" t="s">
        <v>12050</v>
      </c>
      <c r="B3417" t="s">
        <v>12050</v>
      </c>
      <c r="C3417" t="s">
        <v>12051</v>
      </c>
      <c r="D3417" t="s">
        <v>3242</v>
      </c>
      <c r="E3417" t="s">
        <v>15710</v>
      </c>
      <c r="F3417" t="s">
        <v>3243</v>
      </c>
      <c r="G3417" t="s">
        <v>12052</v>
      </c>
      <c r="H3417" t="s">
        <v>3566</v>
      </c>
    </row>
    <row r="3418" spans="1:9" x14ac:dyDescent="0.25">
      <c r="A3418" t="s">
        <v>12053</v>
      </c>
      <c r="B3418" t="s">
        <v>12053</v>
      </c>
      <c r="C3418" t="s">
        <v>12054</v>
      </c>
      <c r="D3418" t="s">
        <v>3242</v>
      </c>
      <c r="E3418" t="s">
        <v>17619</v>
      </c>
      <c r="F3418" t="s">
        <v>3306</v>
      </c>
      <c r="G3418" t="s">
        <v>12055</v>
      </c>
      <c r="H3418" t="s">
        <v>5829</v>
      </c>
      <c r="I3418" t="s">
        <v>3268</v>
      </c>
    </row>
    <row r="3419" spans="1:9" x14ac:dyDescent="0.25">
      <c r="A3419" t="s">
        <v>12056</v>
      </c>
      <c r="B3419" t="s">
        <v>12056</v>
      </c>
      <c r="C3419" t="s">
        <v>12057</v>
      </c>
      <c r="D3419" t="s">
        <v>3242</v>
      </c>
      <c r="E3419" t="s">
        <v>15710</v>
      </c>
      <c r="F3419" t="s">
        <v>3306</v>
      </c>
      <c r="G3419" t="s">
        <v>12058</v>
      </c>
      <c r="H3419" t="s">
        <v>3323</v>
      </c>
      <c r="I3419" t="s">
        <v>3366</v>
      </c>
    </row>
    <row r="3420" spans="1:9" x14ac:dyDescent="0.25">
      <c r="A3420" t="s">
        <v>12059</v>
      </c>
      <c r="B3420" t="s">
        <v>12059</v>
      </c>
      <c r="C3420" t="s">
        <v>12060</v>
      </c>
      <c r="D3420" t="s">
        <v>3242</v>
      </c>
      <c r="E3420" t="s">
        <v>15710</v>
      </c>
      <c r="F3420" t="s">
        <v>12061</v>
      </c>
      <c r="G3420" t="s">
        <v>12062</v>
      </c>
      <c r="H3420" t="s">
        <v>12063</v>
      </c>
    </row>
    <row r="3421" spans="1:9" x14ac:dyDescent="0.25">
      <c r="A3421" t="s">
        <v>12064</v>
      </c>
      <c r="B3421" t="s">
        <v>12064</v>
      </c>
      <c r="C3421" t="s">
        <v>12065</v>
      </c>
      <c r="D3421" t="s">
        <v>3242</v>
      </c>
      <c r="E3421" t="s">
        <v>15710</v>
      </c>
      <c r="F3421" t="s">
        <v>3288</v>
      </c>
      <c r="G3421" t="s">
        <v>12066</v>
      </c>
      <c r="H3421" t="s">
        <v>3618</v>
      </c>
    </row>
    <row r="3422" spans="1:9" x14ac:dyDescent="0.25">
      <c r="A3422" t="s">
        <v>12067</v>
      </c>
      <c r="B3422" t="s">
        <v>12067</v>
      </c>
      <c r="C3422" t="s">
        <v>12068</v>
      </c>
      <c r="D3422" t="s">
        <v>3242</v>
      </c>
      <c r="E3422" t="s">
        <v>15710</v>
      </c>
      <c r="F3422" t="s">
        <v>4102</v>
      </c>
      <c r="G3422" t="s">
        <v>12069</v>
      </c>
      <c r="H3422" t="s">
        <v>3290</v>
      </c>
    </row>
    <row r="3423" spans="1:9" x14ac:dyDescent="0.25">
      <c r="A3423" t="s">
        <v>12070</v>
      </c>
      <c r="B3423" t="s">
        <v>12070</v>
      </c>
      <c r="C3423" t="s">
        <v>12071</v>
      </c>
      <c r="D3423" t="s">
        <v>3242</v>
      </c>
      <c r="E3423" t="s">
        <v>15710</v>
      </c>
      <c r="F3423" t="s">
        <v>3243</v>
      </c>
    </row>
    <row r="3424" spans="1:9" x14ac:dyDescent="0.25">
      <c r="A3424" t="s">
        <v>16341</v>
      </c>
      <c r="B3424" t="s">
        <v>16341</v>
      </c>
      <c r="C3424" t="s">
        <v>16342</v>
      </c>
      <c r="D3424" t="s">
        <v>3242</v>
      </c>
      <c r="E3424" t="s">
        <v>15710</v>
      </c>
      <c r="F3424" t="s">
        <v>3288</v>
      </c>
      <c r="G3424" t="s">
        <v>3060</v>
      </c>
      <c r="H3424" t="s">
        <v>3060</v>
      </c>
    </row>
    <row r="3425" spans="1:9" x14ac:dyDescent="0.25">
      <c r="A3425" t="s">
        <v>12072</v>
      </c>
      <c r="B3425" t="s">
        <v>12072</v>
      </c>
      <c r="C3425" t="s">
        <v>12073</v>
      </c>
      <c r="D3425" t="s">
        <v>3321</v>
      </c>
      <c r="E3425" t="s">
        <v>15710</v>
      </c>
      <c r="F3425" t="s">
        <v>3257</v>
      </c>
      <c r="G3425" t="s">
        <v>12074</v>
      </c>
      <c r="H3425" t="s">
        <v>3357</v>
      </c>
    </row>
    <row r="3426" spans="1:9" x14ac:dyDescent="0.25">
      <c r="A3426" t="s">
        <v>12075</v>
      </c>
      <c r="B3426" t="s">
        <v>12075</v>
      </c>
      <c r="C3426" t="s">
        <v>12076</v>
      </c>
      <c r="D3426" t="s">
        <v>3242</v>
      </c>
      <c r="E3426" t="s">
        <v>15710</v>
      </c>
      <c r="F3426" t="s">
        <v>3345</v>
      </c>
      <c r="G3426" t="s">
        <v>12077</v>
      </c>
      <c r="H3426" t="s">
        <v>3285</v>
      </c>
    </row>
    <row r="3427" spans="1:9" x14ac:dyDescent="0.25">
      <c r="A3427" t="s">
        <v>12078</v>
      </c>
      <c r="B3427" t="s">
        <v>12078</v>
      </c>
      <c r="C3427" t="s">
        <v>12079</v>
      </c>
      <c r="D3427" t="s">
        <v>3242</v>
      </c>
      <c r="E3427" t="s">
        <v>15710</v>
      </c>
      <c r="F3427" t="s">
        <v>3243</v>
      </c>
      <c r="G3427" t="s">
        <v>10428</v>
      </c>
      <c r="H3427" t="s">
        <v>3402</v>
      </c>
    </row>
    <row r="3428" spans="1:9" x14ac:dyDescent="0.25">
      <c r="A3428" t="s">
        <v>12080</v>
      </c>
      <c r="B3428" t="s">
        <v>12080</v>
      </c>
      <c r="C3428" t="s">
        <v>12081</v>
      </c>
      <c r="D3428" t="s">
        <v>3242</v>
      </c>
      <c r="E3428" t="s">
        <v>15710</v>
      </c>
      <c r="F3428" t="s">
        <v>3257</v>
      </c>
      <c r="G3428" t="s">
        <v>12082</v>
      </c>
      <c r="H3428" t="s">
        <v>3267</v>
      </c>
      <c r="I3428" t="s">
        <v>3366</v>
      </c>
    </row>
    <row r="3429" spans="1:9" x14ac:dyDescent="0.25">
      <c r="A3429" t="s">
        <v>16343</v>
      </c>
      <c r="B3429" t="s">
        <v>16343</v>
      </c>
      <c r="C3429" t="s">
        <v>16344</v>
      </c>
      <c r="D3429" t="s">
        <v>3242</v>
      </c>
      <c r="E3429" t="s">
        <v>15710</v>
      </c>
      <c r="F3429" t="s">
        <v>3243</v>
      </c>
      <c r="G3429" t="s">
        <v>16345</v>
      </c>
      <c r="H3429" t="s">
        <v>3402</v>
      </c>
    </row>
    <row r="3430" spans="1:9" x14ac:dyDescent="0.25">
      <c r="A3430" t="s">
        <v>12083</v>
      </c>
      <c r="B3430" t="s">
        <v>12083</v>
      </c>
      <c r="C3430" t="s">
        <v>12084</v>
      </c>
      <c r="D3430" t="s">
        <v>3242</v>
      </c>
      <c r="E3430" t="s">
        <v>15710</v>
      </c>
      <c r="F3430" t="s">
        <v>3243</v>
      </c>
      <c r="G3430" t="s">
        <v>12085</v>
      </c>
      <c r="H3430" t="s">
        <v>3402</v>
      </c>
    </row>
    <row r="3431" spans="1:9" x14ac:dyDescent="0.25">
      <c r="A3431" t="s">
        <v>16727</v>
      </c>
      <c r="B3431" t="s">
        <v>16727</v>
      </c>
      <c r="C3431" t="s">
        <v>16728</v>
      </c>
      <c r="D3431" t="s">
        <v>3242</v>
      </c>
      <c r="E3431" t="s">
        <v>16729</v>
      </c>
      <c r="F3431" t="s">
        <v>3243</v>
      </c>
      <c r="G3431" t="s">
        <v>16309</v>
      </c>
      <c r="H3431" t="s">
        <v>3285</v>
      </c>
    </row>
    <row r="3432" spans="1:9" x14ac:dyDescent="0.25">
      <c r="A3432" t="s">
        <v>12086</v>
      </c>
      <c r="B3432" t="s">
        <v>12086</v>
      </c>
      <c r="C3432" t="s">
        <v>12087</v>
      </c>
      <c r="D3432" t="s">
        <v>3242</v>
      </c>
      <c r="E3432" t="s">
        <v>15710</v>
      </c>
      <c r="F3432" t="s">
        <v>3257</v>
      </c>
      <c r="G3432" t="s">
        <v>12088</v>
      </c>
      <c r="H3432" t="s">
        <v>3353</v>
      </c>
    </row>
    <row r="3433" spans="1:9" x14ac:dyDescent="0.25">
      <c r="A3433" t="s">
        <v>12089</v>
      </c>
      <c r="B3433" t="s">
        <v>12089</v>
      </c>
      <c r="C3433" t="s">
        <v>12090</v>
      </c>
      <c r="D3433" t="s">
        <v>3242</v>
      </c>
      <c r="E3433" t="s">
        <v>15710</v>
      </c>
      <c r="F3433" t="s">
        <v>3243</v>
      </c>
      <c r="G3433" t="s">
        <v>12091</v>
      </c>
      <c r="H3433" t="s">
        <v>3290</v>
      </c>
    </row>
    <row r="3434" spans="1:9" x14ac:dyDescent="0.25">
      <c r="A3434" t="s">
        <v>16552</v>
      </c>
      <c r="B3434" t="s">
        <v>16552</v>
      </c>
      <c r="C3434" t="s">
        <v>16553</v>
      </c>
      <c r="D3434" t="s">
        <v>3242</v>
      </c>
      <c r="E3434" t="s">
        <v>15710</v>
      </c>
      <c r="F3434" t="s">
        <v>3288</v>
      </c>
      <c r="G3434" t="s">
        <v>4645</v>
      </c>
      <c r="H3434" t="s">
        <v>3744</v>
      </c>
    </row>
    <row r="3435" spans="1:9" x14ac:dyDescent="0.25">
      <c r="A3435" t="s">
        <v>16346</v>
      </c>
      <c r="B3435" t="s">
        <v>16346</v>
      </c>
      <c r="C3435" t="s">
        <v>16347</v>
      </c>
      <c r="D3435" t="s">
        <v>3242</v>
      </c>
      <c r="E3435" t="s">
        <v>15710</v>
      </c>
      <c r="F3435" t="s">
        <v>16348</v>
      </c>
      <c r="G3435" t="s">
        <v>16349</v>
      </c>
      <c r="H3435" t="s">
        <v>3248</v>
      </c>
      <c r="I3435" t="s">
        <v>3407</v>
      </c>
    </row>
    <row r="3436" spans="1:9" x14ac:dyDescent="0.25">
      <c r="A3436" t="s">
        <v>12092</v>
      </c>
      <c r="B3436" t="s">
        <v>12092</v>
      </c>
      <c r="C3436" t="s">
        <v>12093</v>
      </c>
      <c r="D3436" t="s">
        <v>3242</v>
      </c>
      <c r="E3436" t="s">
        <v>15710</v>
      </c>
      <c r="F3436" t="s">
        <v>3243</v>
      </c>
      <c r="G3436" t="s">
        <v>12094</v>
      </c>
      <c r="H3436" t="s">
        <v>3402</v>
      </c>
    </row>
    <row r="3437" spans="1:9" x14ac:dyDescent="0.25">
      <c r="A3437" t="s">
        <v>12095</v>
      </c>
      <c r="B3437" t="s">
        <v>12095</v>
      </c>
      <c r="C3437" t="s">
        <v>12096</v>
      </c>
      <c r="D3437" t="s">
        <v>3242</v>
      </c>
      <c r="E3437" t="s">
        <v>17098</v>
      </c>
      <c r="F3437" t="s">
        <v>3306</v>
      </c>
      <c r="G3437" t="s">
        <v>12097</v>
      </c>
      <c r="H3437" t="s">
        <v>3290</v>
      </c>
      <c r="I3437" t="s">
        <v>3328</v>
      </c>
    </row>
    <row r="3438" spans="1:9" x14ac:dyDescent="0.25">
      <c r="A3438" t="s">
        <v>12098</v>
      </c>
      <c r="B3438" t="s">
        <v>12098</v>
      </c>
      <c r="C3438" t="s">
        <v>12099</v>
      </c>
      <c r="D3438" t="s">
        <v>3242</v>
      </c>
      <c r="E3438" t="s">
        <v>15710</v>
      </c>
      <c r="F3438" t="s">
        <v>3288</v>
      </c>
      <c r="G3438" t="s">
        <v>12100</v>
      </c>
      <c r="H3438" t="s">
        <v>3285</v>
      </c>
    </row>
    <row r="3439" spans="1:9" x14ac:dyDescent="0.25">
      <c r="A3439" t="s">
        <v>12101</v>
      </c>
      <c r="B3439" t="s">
        <v>12101</v>
      </c>
      <c r="C3439" t="s">
        <v>12102</v>
      </c>
      <c r="D3439" t="s">
        <v>3242</v>
      </c>
      <c r="E3439" t="s">
        <v>15710</v>
      </c>
      <c r="F3439" t="s">
        <v>3288</v>
      </c>
      <c r="G3439" t="s">
        <v>3536</v>
      </c>
      <c r="H3439" t="s">
        <v>4740</v>
      </c>
    </row>
    <row r="3440" spans="1:9" x14ac:dyDescent="0.25">
      <c r="A3440" t="s">
        <v>16554</v>
      </c>
      <c r="B3440" t="s">
        <v>16554</v>
      </c>
      <c r="C3440" t="s">
        <v>16555</v>
      </c>
      <c r="D3440" t="s">
        <v>3242</v>
      </c>
      <c r="E3440" t="s">
        <v>15710</v>
      </c>
      <c r="F3440" t="s">
        <v>3243</v>
      </c>
      <c r="G3440" t="s">
        <v>16556</v>
      </c>
      <c r="H3440" t="s">
        <v>16557</v>
      </c>
    </row>
    <row r="3441" spans="1:9" x14ac:dyDescent="0.25">
      <c r="A3441" t="s">
        <v>12103</v>
      </c>
      <c r="B3441" t="s">
        <v>12103</v>
      </c>
      <c r="C3441" t="s">
        <v>12104</v>
      </c>
      <c r="D3441" t="s">
        <v>3242</v>
      </c>
      <c r="E3441" t="s">
        <v>15710</v>
      </c>
      <c r="F3441" t="s">
        <v>15712</v>
      </c>
      <c r="G3441" t="s">
        <v>12105</v>
      </c>
      <c r="H3441" t="s">
        <v>3290</v>
      </c>
    </row>
    <row r="3442" spans="1:9" x14ac:dyDescent="0.25">
      <c r="A3442" t="s">
        <v>12106</v>
      </c>
      <c r="B3442" t="s">
        <v>12106</v>
      </c>
      <c r="C3442" t="s">
        <v>12107</v>
      </c>
      <c r="D3442" t="s">
        <v>3242</v>
      </c>
      <c r="E3442" t="s">
        <v>15710</v>
      </c>
      <c r="F3442" t="s">
        <v>12108</v>
      </c>
      <c r="G3442" t="s">
        <v>12109</v>
      </c>
      <c r="H3442" t="s">
        <v>3496</v>
      </c>
      <c r="I3442" t="s">
        <v>3407</v>
      </c>
    </row>
    <row r="3443" spans="1:9" x14ac:dyDescent="0.25">
      <c r="A3443" t="s">
        <v>16350</v>
      </c>
      <c r="B3443" t="s">
        <v>16350</v>
      </c>
      <c r="C3443" t="s">
        <v>16351</v>
      </c>
      <c r="D3443" t="s">
        <v>3242</v>
      </c>
      <c r="E3443" t="s">
        <v>15710</v>
      </c>
      <c r="F3443" t="s">
        <v>3243</v>
      </c>
      <c r="G3443" t="s">
        <v>16352</v>
      </c>
      <c r="H3443" t="s">
        <v>3285</v>
      </c>
    </row>
    <row r="3444" spans="1:9" x14ac:dyDescent="0.25">
      <c r="A3444" t="s">
        <v>12110</v>
      </c>
      <c r="B3444" t="s">
        <v>12110</v>
      </c>
      <c r="C3444" t="s">
        <v>12111</v>
      </c>
      <c r="D3444" t="s">
        <v>3242</v>
      </c>
      <c r="E3444" t="s">
        <v>15710</v>
      </c>
      <c r="F3444" t="s">
        <v>3345</v>
      </c>
      <c r="G3444" t="s">
        <v>10589</v>
      </c>
      <c r="H3444" t="s">
        <v>3285</v>
      </c>
    </row>
    <row r="3445" spans="1:9" x14ac:dyDescent="0.25">
      <c r="A3445" t="s">
        <v>12112</v>
      </c>
      <c r="B3445" t="s">
        <v>12113</v>
      </c>
      <c r="C3445" t="s">
        <v>12114</v>
      </c>
      <c r="D3445" t="s">
        <v>3242</v>
      </c>
      <c r="E3445" t="s">
        <v>15710</v>
      </c>
      <c r="F3445" t="s">
        <v>3243</v>
      </c>
      <c r="G3445" t="s">
        <v>12115</v>
      </c>
      <c r="H3445" t="s">
        <v>4486</v>
      </c>
    </row>
    <row r="3446" spans="1:9" x14ac:dyDescent="0.25">
      <c r="A3446" t="s">
        <v>12116</v>
      </c>
      <c r="B3446" t="s">
        <v>12116</v>
      </c>
      <c r="C3446" t="s">
        <v>12117</v>
      </c>
      <c r="D3446" t="s">
        <v>3242</v>
      </c>
      <c r="E3446" t="s">
        <v>15710</v>
      </c>
      <c r="F3446" t="s">
        <v>3288</v>
      </c>
      <c r="G3446" t="s">
        <v>12047</v>
      </c>
      <c r="H3446" t="s">
        <v>3285</v>
      </c>
    </row>
    <row r="3447" spans="1:9" x14ac:dyDescent="0.25">
      <c r="A3447" t="s">
        <v>12118</v>
      </c>
      <c r="B3447" t="s">
        <v>12118</v>
      </c>
      <c r="C3447" t="s">
        <v>12119</v>
      </c>
      <c r="D3447" t="s">
        <v>3242</v>
      </c>
      <c r="E3447" t="s">
        <v>17099</v>
      </c>
      <c r="F3447" t="s">
        <v>3300</v>
      </c>
      <c r="G3447" t="s">
        <v>12120</v>
      </c>
      <c r="H3447" t="s">
        <v>3060</v>
      </c>
      <c r="I3447" t="s">
        <v>3694</v>
      </c>
    </row>
    <row r="3448" spans="1:9" x14ac:dyDescent="0.25">
      <c r="A3448" t="s">
        <v>12121</v>
      </c>
      <c r="B3448" t="s">
        <v>12121</v>
      </c>
      <c r="C3448" t="s">
        <v>12122</v>
      </c>
      <c r="D3448" t="s">
        <v>3242</v>
      </c>
      <c r="E3448" t="s">
        <v>15710</v>
      </c>
      <c r="F3448" t="s">
        <v>3300</v>
      </c>
      <c r="G3448" t="s">
        <v>12123</v>
      </c>
      <c r="H3448" t="s">
        <v>3332</v>
      </c>
    </row>
    <row r="3449" spans="1:9" x14ac:dyDescent="0.25">
      <c r="A3449" t="s">
        <v>12124</v>
      </c>
      <c r="B3449" t="s">
        <v>12124</v>
      </c>
      <c r="C3449" t="s">
        <v>12125</v>
      </c>
      <c r="D3449" t="s">
        <v>3242</v>
      </c>
      <c r="E3449" t="s">
        <v>15710</v>
      </c>
      <c r="F3449" t="s">
        <v>3257</v>
      </c>
      <c r="G3449" t="s">
        <v>12126</v>
      </c>
      <c r="H3449" t="s">
        <v>3353</v>
      </c>
    </row>
    <row r="3450" spans="1:9" x14ac:dyDescent="0.25">
      <c r="A3450" t="s">
        <v>12127</v>
      </c>
      <c r="B3450" t="s">
        <v>12127</v>
      </c>
      <c r="C3450" t="s">
        <v>12128</v>
      </c>
      <c r="D3450" t="s">
        <v>3242</v>
      </c>
      <c r="E3450" t="s">
        <v>17100</v>
      </c>
      <c r="F3450" t="s">
        <v>3306</v>
      </c>
      <c r="G3450" t="s">
        <v>12129</v>
      </c>
      <c r="H3450" t="s">
        <v>5829</v>
      </c>
      <c r="I3450" t="s">
        <v>3268</v>
      </c>
    </row>
    <row r="3451" spans="1:9" x14ac:dyDescent="0.25">
      <c r="A3451" t="s">
        <v>12130</v>
      </c>
      <c r="B3451" t="s">
        <v>12130</v>
      </c>
      <c r="C3451" t="s">
        <v>12131</v>
      </c>
      <c r="D3451" t="s">
        <v>3242</v>
      </c>
      <c r="E3451" t="s">
        <v>15710</v>
      </c>
      <c r="F3451" t="s">
        <v>3243</v>
      </c>
      <c r="G3451" t="s">
        <v>12132</v>
      </c>
      <c r="H3451" t="s">
        <v>3402</v>
      </c>
    </row>
    <row r="3452" spans="1:9" x14ac:dyDescent="0.25">
      <c r="A3452" t="s">
        <v>12133</v>
      </c>
      <c r="B3452" t="s">
        <v>12133</v>
      </c>
      <c r="C3452" t="s">
        <v>12134</v>
      </c>
      <c r="D3452" t="s">
        <v>3242</v>
      </c>
      <c r="E3452" t="s">
        <v>15710</v>
      </c>
      <c r="F3452" t="s">
        <v>3345</v>
      </c>
      <c r="G3452" t="s">
        <v>12135</v>
      </c>
      <c r="H3452" t="s">
        <v>3937</v>
      </c>
    </row>
    <row r="3453" spans="1:9" x14ac:dyDescent="0.25">
      <c r="A3453" t="s">
        <v>12136</v>
      </c>
      <c r="B3453" t="s">
        <v>12136</v>
      </c>
      <c r="C3453" t="s">
        <v>12137</v>
      </c>
      <c r="D3453" t="s">
        <v>3242</v>
      </c>
      <c r="E3453" t="s">
        <v>15710</v>
      </c>
      <c r="F3453" t="s">
        <v>3243</v>
      </c>
      <c r="G3453" t="s">
        <v>12138</v>
      </c>
      <c r="H3453" t="s">
        <v>3285</v>
      </c>
    </row>
    <row r="3454" spans="1:9" x14ac:dyDescent="0.25">
      <c r="A3454" t="s">
        <v>15551</v>
      </c>
      <c r="B3454" t="s">
        <v>15551</v>
      </c>
      <c r="C3454" t="s">
        <v>15552</v>
      </c>
      <c r="D3454" t="s">
        <v>3242</v>
      </c>
      <c r="E3454" t="s">
        <v>15710</v>
      </c>
      <c r="F3454" t="s">
        <v>3288</v>
      </c>
      <c r="G3454" t="s">
        <v>15553</v>
      </c>
      <c r="H3454" t="s">
        <v>12539</v>
      </c>
    </row>
    <row r="3455" spans="1:9" x14ac:dyDescent="0.25">
      <c r="A3455" t="s">
        <v>12139</v>
      </c>
      <c r="B3455" t="s">
        <v>12139</v>
      </c>
      <c r="C3455" t="s">
        <v>12140</v>
      </c>
      <c r="D3455" t="s">
        <v>3242</v>
      </c>
      <c r="E3455" t="s">
        <v>15710</v>
      </c>
      <c r="F3455" t="s">
        <v>3288</v>
      </c>
      <c r="G3455" t="s">
        <v>3060</v>
      </c>
      <c r="H3455" t="s">
        <v>3285</v>
      </c>
    </row>
    <row r="3456" spans="1:9" x14ac:dyDescent="0.25">
      <c r="A3456" t="s">
        <v>12141</v>
      </c>
      <c r="B3456" t="s">
        <v>12141</v>
      </c>
      <c r="C3456" t="s">
        <v>12142</v>
      </c>
      <c r="D3456" t="s">
        <v>3242</v>
      </c>
      <c r="E3456" t="s">
        <v>15710</v>
      </c>
      <c r="F3456" t="s">
        <v>3243</v>
      </c>
      <c r="G3456" t="s">
        <v>12143</v>
      </c>
      <c r="H3456" t="s">
        <v>3402</v>
      </c>
    </row>
    <row r="3457" spans="1:9" x14ac:dyDescent="0.25">
      <c r="A3457" t="s">
        <v>12144</v>
      </c>
      <c r="B3457" t="s">
        <v>12144</v>
      </c>
      <c r="C3457" t="s">
        <v>12145</v>
      </c>
      <c r="D3457" t="s">
        <v>3242</v>
      </c>
      <c r="E3457" t="s">
        <v>15710</v>
      </c>
      <c r="F3457" t="s">
        <v>3288</v>
      </c>
      <c r="G3457" t="s">
        <v>3725</v>
      </c>
      <c r="H3457" t="s">
        <v>3285</v>
      </c>
    </row>
    <row r="3458" spans="1:9" x14ac:dyDescent="0.25">
      <c r="A3458" t="s">
        <v>12146</v>
      </c>
      <c r="B3458" t="s">
        <v>12146</v>
      </c>
      <c r="C3458" t="s">
        <v>12147</v>
      </c>
      <c r="D3458" t="s">
        <v>3242</v>
      </c>
      <c r="E3458" t="s">
        <v>15710</v>
      </c>
      <c r="F3458" t="s">
        <v>3288</v>
      </c>
      <c r="G3458" t="s">
        <v>12148</v>
      </c>
      <c r="H3458" t="s">
        <v>3744</v>
      </c>
    </row>
    <row r="3459" spans="1:9" x14ac:dyDescent="0.25">
      <c r="A3459" t="s">
        <v>12149</v>
      </c>
      <c r="B3459" t="s">
        <v>12149</v>
      </c>
      <c r="C3459" t="s">
        <v>12150</v>
      </c>
      <c r="D3459" t="s">
        <v>3242</v>
      </c>
      <c r="E3459" t="s">
        <v>15710</v>
      </c>
      <c r="F3459" t="s">
        <v>3257</v>
      </c>
      <c r="G3459" t="s">
        <v>12151</v>
      </c>
      <c r="H3459" t="s">
        <v>3643</v>
      </c>
    </row>
    <row r="3460" spans="1:9" x14ac:dyDescent="0.25">
      <c r="A3460" t="s">
        <v>12152</v>
      </c>
      <c r="B3460" t="s">
        <v>12152</v>
      </c>
      <c r="C3460" t="s">
        <v>12153</v>
      </c>
      <c r="D3460" t="s">
        <v>3242</v>
      </c>
      <c r="E3460" t="s">
        <v>15710</v>
      </c>
      <c r="F3460" t="s">
        <v>15712</v>
      </c>
      <c r="G3460" t="s">
        <v>12148</v>
      </c>
      <c r="H3460" t="s">
        <v>3290</v>
      </c>
    </row>
    <row r="3461" spans="1:9" x14ac:dyDescent="0.25">
      <c r="A3461" t="s">
        <v>12154</v>
      </c>
      <c r="B3461" t="s">
        <v>12154</v>
      </c>
      <c r="C3461" t="s">
        <v>12155</v>
      </c>
      <c r="D3461" t="s">
        <v>3242</v>
      </c>
      <c r="E3461" t="s">
        <v>15710</v>
      </c>
      <c r="F3461" t="s">
        <v>3243</v>
      </c>
      <c r="G3461" t="s">
        <v>3243</v>
      </c>
      <c r="H3461" t="s">
        <v>3290</v>
      </c>
    </row>
    <row r="3462" spans="1:9" x14ac:dyDescent="0.25">
      <c r="A3462" t="s">
        <v>17444</v>
      </c>
      <c r="B3462" t="s">
        <v>17444</v>
      </c>
      <c r="C3462" t="s">
        <v>17445</v>
      </c>
      <c r="D3462" t="s">
        <v>3242</v>
      </c>
      <c r="E3462" t="s">
        <v>15710</v>
      </c>
      <c r="F3462" t="s">
        <v>3288</v>
      </c>
      <c r="G3462" t="s">
        <v>17446</v>
      </c>
      <c r="H3462" t="s">
        <v>3937</v>
      </c>
    </row>
    <row r="3463" spans="1:9" x14ac:dyDescent="0.25">
      <c r="A3463" t="s">
        <v>12156</v>
      </c>
      <c r="B3463" t="s">
        <v>12156</v>
      </c>
      <c r="C3463" t="s">
        <v>15554</v>
      </c>
      <c r="D3463" t="s">
        <v>3242</v>
      </c>
      <c r="E3463" t="s">
        <v>15710</v>
      </c>
      <c r="F3463" t="s">
        <v>3251</v>
      </c>
      <c r="G3463" t="s">
        <v>12157</v>
      </c>
      <c r="H3463" t="s">
        <v>4619</v>
      </c>
      <c r="I3463" t="s">
        <v>3451</v>
      </c>
    </row>
    <row r="3464" spans="1:9" x14ac:dyDescent="0.25">
      <c r="A3464" t="s">
        <v>12158</v>
      </c>
      <c r="B3464" t="s">
        <v>12158</v>
      </c>
      <c r="C3464" t="s">
        <v>12159</v>
      </c>
      <c r="D3464" t="s">
        <v>3242</v>
      </c>
      <c r="E3464" t="s">
        <v>15710</v>
      </c>
      <c r="F3464" t="s">
        <v>3288</v>
      </c>
      <c r="G3464" t="s">
        <v>12160</v>
      </c>
      <c r="H3464" t="s">
        <v>3285</v>
      </c>
    </row>
    <row r="3465" spans="1:9" x14ac:dyDescent="0.25">
      <c r="A3465" t="s">
        <v>15555</v>
      </c>
      <c r="B3465" t="s">
        <v>15555</v>
      </c>
      <c r="C3465" t="s">
        <v>15556</v>
      </c>
      <c r="D3465" t="s">
        <v>3242</v>
      </c>
      <c r="E3465" t="s">
        <v>15788</v>
      </c>
      <c r="F3465" t="s">
        <v>3306</v>
      </c>
      <c r="G3465" t="s">
        <v>15557</v>
      </c>
      <c r="H3465" t="s">
        <v>3290</v>
      </c>
      <c r="I3465" t="s">
        <v>3328</v>
      </c>
    </row>
    <row r="3466" spans="1:9" x14ac:dyDescent="0.25">
      <c r="A3466" t="s">
        <v>12161</v>
      </c>
      <c r="B3466" t="s">
        <v>12161</v>
      </c>
      <c r="C3466" t="s">
        <v>12162</v>
      </c>
      <c r="D3466" t="s">
        <v>3321</v>
      </c>
      <c r="E3466" t="s">
        <v>15710</v>
      </c>
      <c r="F3466" t="s">
        <v>3257</v>
      </c>
      <c r="G3466" t="s">
        <v>12163</v>
      </c>
      <c r="H3466" t="s">
        <v>3332</v>
      </c>
      <c r="I3466" t="s">
        <v>3268</v>
      </c>
    </row>
    <row r="3467" spans="1:9" x14ac:dyDescent="0.25">
      <c r="A3467" t="s">
        <v>12164</v>
      </c>
      <c r="B3467" t="s">
        <v>12164</v>
      </c>
      <c r="C3467" t="s">
        <v>12165</v>
      </c>
      <c r="D3467" t="s">
        <v>3242</v>
      </c>
      <c r="E3467" t="s">
        <v>15710</v>
      </c>
      <c r="F3467" t="s">
        <v>3288</v>
      </c>
      <c r="G3467" t="s">
        <v>12166</v>
      </c>
      <c r="H3467" t="s">
        <v>3623</v>
      </c>
    </row>
    <row r="3468" spans="1:9" x14ac:dyDescent="0.25">
      <c r="A3468" t="s">
        <v>12167</v>
      </c>
      <c r="B3468" t="s">
        <v>12167</v>
      </c>
      <c r="C3468" t="s">
        <v>12168</v>
      </c>
      <c r="D3468" t="s">
        <v>3242</v>
      </c>
      <c r="E3468" t="s">
        <v>15710</v>
      </c>
      <c r="F3468" t="s">
        <v>3243</v>
      </c>
      <c r="G3468" t="s">
        <v>12169</v>
      </c>
      <c r="H3468" t="s">
        <v>4268</v>
      </c>
    </row>
    <row r="3469" spans="1:9" x14ac:dyDescent="0.25">
      <c r="A3469" t="s">
        <v>12170</v>
      </c>
      <c r="B3469" t="s">
        <v>12170</v>
      </c>
      <c r="C3469" t="s">
        <v>12171</v>
      </c>
      <c r="D3469" t="s">
        <v>3242</v>
      </c>
      <c r="E3469" t="s">
        <v>15710</v>
      </c>
      <c r="F3469" t="s">
        <v>3345</v>
      </c>
      <c r="G3469" t="s">
        <v>11374</v>
      </c>
      <c r="H3469" t="s">
        <v>4615</v>
      </c>
    </row>
    <row r="3470" spans="1:9" x14ac:dyDescent="0.25">
      <c r="A3470" t="s">
        <v>15558</v>
      </c>
      <c r="B3470" t="s">
        <v>15558</v>
      </c>
      <c r="C3470" t="s">
        <v>15559</v>
      </c>
      <c r="D3470" t="s">
        <v>3242</v>
      </c>
      <c r="E3470" t="s">
        <v>15710</v>
      </c>
      <c r="F3470" t="s">
        <v>3251</v>
      </c>
      <c r="G3470" t="s">
        <v>15560</v>
      </c>
      <c r="H3470" t="s">
        <v>4642</v>
      </c>
      <c r="I3470" t="s">
        <v>3451</v>
      </c>
    </row>
    <row r="3471" spans="1:9" x14ac:dyDescent="0.25">
      <c r="A3471" t="s">
        <v>16730</v>
      </c>
      <c r="B3471" t="s">
        <v>16730</v>
      </c>
      <c r="C3471" t="s">
        <v>16731</v>
      </c>
      <c r="D3471" t="s">
        <v>3242</v>
      </c>
      <c r="E3471" t="s">
        <v>15710</v>
      </c>
      <c r="F3471" t="s">
        <v>3288</v>
      </c>
      <c r="G3471" t="s">
        <v>3060</v>
      </c>
      <c r="H3471" t="s">
        <v>3285</v>
      </c>
    </row>
    <row r="3472" spans="1:9" x14ac:dyDescent="0.25">
      <c r="A3472" t="s">
        <v>12172</v>
      </c>
      <c r="B3472" t="s">
        <v>12172</v>
      </c>
      <c r="C3472" t="s">
        <v>12173</v>
      </c>
      <c r="D3472" t="s">
        <v>3242</v>
      </c>
      <c r="E3472" t="s">
        <v>15710</v>
      </c>
      <c r="F3472" t="s">
        <v>3243</v>
      </c>
      <c r="G3472" t="s">
        <v>12174</v>
      </c>
      <c r="H3472" t="s">
        <v>4284</v>
      </c>
    </row>
    <row r="3473" spans="1:8" x14ac:dyDescent="0.25">
      <c r="A3473" t="s">
        <v>15561</v>
      </c>
      <c r="B3473" t="s">
        <v>15561</v>
      </c>
      <c r="C3473" t="s">
        <v>15562</v>
      </c>
      <c r="D3473" t="s">
        <v>3242</v>
      </c>
      <c r="E3473" t="s">
        <v>15710</v>
      </c>
      <c r="F3473" t="s">
        <v>3243</v>
      </c>
      <c r="G3473" t="s">
        <v>15563</v>
      </c>
      <c r="H3473" t="s">
        <v>3285</v>
      </c>
    </row>
    <row r="3474" spans="1:8" x14ac:dyDescent="0.25">
      <c r="A3474" t="s">
        <v>15564</v>
      </c>
      <c r="B3474" t="s">
        <v>15564</v>
      </c>
      <c r="C3474" t="s">
        <v>15565</v>
      </c>
      <c r="D3474" t="s">
        <v>3242</v>
      </c>
      <c r="E3474" t="s">
        <v>15710</v>
      </c>
      <c r="F3474" t="s">
        <v>3288</v>
      </c>
      <c r="G3474" t="s">
        <v>3060</v>
      </c>
      <c r="H3474" t="s">
        <v>3285</v>
      </c>
    </row>
    <row r="3475" spans="1:8" x14ac:dyDescent="0.25">
      <c r="A3475" t="s">
        <v>12175</v>
      </c>
      <c r="B3475" t="s">
        <v>12175</v>
      </c>
      <c r="C3475" t="s">
        <v>12176</v>
      </c>
      <c r="D3475" t="s">
        <v>3242</v>
      </c>
      <c r="E3475" t="s">
        <v>15710</v>
      </c>
      <c r="F3475" t="s">
        <v>3243</v>
      </c>
      <c r="G3475" t="s">
        <v>12177</v>
      </c>
      <c r="H3475" t="s">
        <v>3285</v>
      </c>
    </row>
    <row r="3476" spans="1:8" x14ac:dyDescent="0.25">
      <c r="A3476" t="s">
        <v>12178</v>
      </c>
      <c r="B3476" t="s">
        <v>12178</v>
      </c>
      <c r="C3476" t="s">
        <v>12179</v>
      </c>
      <c r="D3476" t="s">
        <v>3242</v>
      </c>
      <c r="E3476" t="s">
        <v>15710</v>
      </c>
      <c r="F3476" t="s">
        <v>3257</v>
      </c>
      <c r="G3476" t="s">
        <v>12180</v>
      </c>
      <c r="H3476" t="s">
        <v>3259</v>
      </c>
    </row>
    <row r="3477" spans="1:8" x14ac:dyDescent="0.25">
      <c r="A3477" t="s">
        <v>12181</v>
      </c>
      <c r="B3477" t="s">
        <v>12181</v>
      </c>
      <c r="C3477" t="s">
        <v>12182</v>
      </c>
      <c r="D3477" t="s">
        <v>3242</v>
      </c>
      <c r="E3477" t="s">
        <v>15710</v>
      </c>
      <c r="F3477" t="s">
        <v>3243</v>
      </c>
      <c r="G3477" t="s">
        <v>12183</v>
      </c>
      <c r="H3477" t="s">
        <v>3402</v>
      </c>
    </row>
    <row r="3478" spans="1:8" x14ac:dyDescent="0.25">
      <c r="A3478" t="s">
        <v>12184</v>
      </c>
      <c r="B3478" t="s">
        <v>12184</v>
      </c>
      <c r="C3478" t="s">
        <v>12185</v>
      </c>
      <c r="D3478" t="s">
        <v>3242</v>
      </c>
      <c r="E3478" t="s">
        <v>15710</v>
      </c>
      <c r="F3478" t="s">
        <v>5035</v>
      </c>
      <c r="G3478" t="s">
        <v>12186</v>
      </c>
      <c r="H3478" t="s">
        <v>5021</v>
      </c>
    </row>
    <row r="3479" spans="1:8" x14ac:dyDescent="0.25">
      <c r="A3479" t="s">
        <v>12187</v>
      </c>
      <c r="B3479" t="s">
        <v>12187</v>
      </c>
      <c r="C3479" t="s">
        <v>12188</v>
      </c>
      <c r="D3479" t="s">
        <v>3242</v>
      </c>
      <c r="E3479" t="s">
        <v>15710</v>
      </c>
      <c r="F3479" t="s">
        <v>3243</v>
      </c>
      <c r="G3479" t="s">
        <v>3565</v>
      </c>
      <c r="H3479" t="s">
        <v>3566</v>
      </c>
    </row>
    <row r="3480" spans="1:8" x14ac:dyDescent="0.25">
      <c r="A3480" t="s">
        <v>12189</v>
      </c>
      <c r="B3480" t="s">
        <v>12189</v>
      </c>
      <c r="C3480" t="s">
        <v>12190</v>
      </c>
      <c r="D3480" t="s">
        <v>3242</v>
      </c>
      <c r="E3480" t="s">
        <v>15710</v>
      </c>
      <c r="F3480" t="s">
        <v>3243</v>
      </c>
      <c r="G3480" t="s">
        <v>12191</v>
      </c>
      <c r="H3480" t="s">
        <v>3402</v>
      </c>
    </row>
    <row r="3481" spans="1:8" x14ac:dyDescent="0.25">
      <c r="A3481" t="s">
        <v>12192</v>
      </c>
      <c r="B3481" t="s">
        <v>12192</v>
      </c>
      <c r="C3481" t="s">
        <v>12193</v>
      </c>
      <c r="D3481" t="s">
        <v>3242</v>
      </c>
      <c r="E3481" t="s">
        <v>15710</v>
      </c>
      <c r="F3481" t="s">
        <v>3345</v>
      </c>
      <c r="G3481" t="s">
        <v>12194</v>
      </c>
      <c r="H3481" t="s">
        <v>4004</v>
      </c>
    </row>
    <row r="3482" spans="1:8" x14ac:dyDescent="0.25">
      <c r="A3482" t="s">
        <v>12195</v>
      </c>
      <c r="B3482" t="s">
        <v>12195</v>
      </c>
      <c r="C3482" t="s">
        <v>12196</v>
      </c>
      <c r="D3482" t="s">
        <v>3242</v>
      </c>
      <c r="E3482" t="s">
        <v>15710</v>
      </c>
      <c r="F3482" t="s">
        <v>3345</v>
      </c>
      <c r="G3482" t="s">
        <v>12197</v>
      </c>
      <c r="H3482" t="s">
        <v>3668</v>
      </c>
    </row>
    <row r="3483" spans="1:8" x14ac:dyDescent="0.25">
      <c r="A3483" t="s">
        <v>12198</v>
      </c>
      <c r="B3483" t="s">
        <v>12198</v>
      </c>
      <c r="C3483" t="s">
        <v>12199</v>
      </c>
      <c r="D3483" t="s">
        <v>3242</v>
      </c>
      <c r="E3483" t="s">
        <v>15710</v>
      </c>
      <c r="F3483" t="s">
        <v>3288</v>
      </c>
      <c r="G3483" t="s">
        <v>12200</v>
      </c>
      <c r="H3483" t="s">
        <v>3680</v>
      </c>
    </row>
    <row r="3484" spans="1:8" x14ac:dyDescent="0.25">
      <c r="A3484" t="s">
        <v>12201</v>
      </c>
      <c r="B3484" t="s">
        <v>12201</v>
      </c>
      <c r="C3484" t="s">
        <v>12202</v>
      </c>
      <c r="D3484" t="s">
        <v>3242</v>
      </c>
      <c r="E3484" t="s">
        <v>15710</v>
      </c>
      <c r="F3484" t="s">
        <v>3243</v>
      </c>
      <c r="G3484" t="s">
        <v>12203</v>
      </c>
      <c r="H3484" t="s">
        <v>3290</v>
      </c>
    </row>
    <row r="3485" spans="1:8" x14ac:dyDescent="0.25">
      <c r="A3485" t="s">
        <v>12204</v>
      </c>
      <c r="B3485" t="s">
        <v>12204</v>
      </c>
      <c r="C3485" t="s">
        <v>12205</v>
      </c>
      <c r="D3485" t="s">
        <v>3242</v>
      </c>
      <c r="E3485" t="s">
        <v>15710</v>
      </c>
      <c r="F3485" t="s">
        <v>3345</v>
      </c>
      <c r="G3485" t="s">
        <v>4642</v>
      </c>
      <c r="H3485" t="s">
        <v>4320</v>
      </c>
    </row>
    <row r="3486" spans="1:8" x14ac:dyDescent="0.25">
      <c r="A3486" t="s">
        <v>12206</v>
      </c>
      <c r="B3486" t="s">
        <v>12206</v>
      </c>
      <c r="C3486" t="s">
        <v>12207</v>
      </c>
      <c r="D3486" t="s">
        <v>3242</v>
      </c>
      <c r="E3486" t="s">
        <v>15891</v>
      </c>
      <c r="F3486" t="s">
        <v>3243</v>
      </c>
      <c r="G3486" t="s">
        <v>17447</v>
      </c>
      <c r="H3486" t="s">
        <v>3623</v>
      </c>
    </row>
    <row r="3487" spans="1:8" x14ac:dyDescent="0.25">
      <c r="A3487" t="s">
        <v>16558</v>
      </c>
      <c r="B3487" t="s">
        <v>16558</v>
      </c>
      <c r="C3487" t="s">
        <v>16559</v>
      </c>
      <c r="D3487" t="s">
        <v>3242</v>
      </c>
      <c r="E3487" t="s">
        <v>17099</v>
      </c>
      <c r="F3487" t="s">
        <v>3243</v>
      </c>
      <c r="G3487" t="s">
        <v>16071</v>
      </c>
      <c r="H3487" t="s">
        <v>16020</v>
      </c>
    </row>
    <row r="3488" spans="1:8" x14ac:dyDescent="0.25">
      <c r="A3488" t="s">
        <v>12208</v>
      </c>
      <c r="B3488" t="s">
        <v>12208</v>
      </c>
      <c r="C3488" t="s">
        <v>12209</v>
      </c>
      <c r="D3488" t="s">
        <v>3242</v>
      </c>
      <c r="E3488" t="s">
        <v>15710</v>
      </c>
      <c r="F3488" t="s">
        <v>3243</v>
      </c>
      <c r="G3488" t="s">
        <v>12210</v>
      </c>
      <c r="H3488" t="s">
        <v>3402</v>
      </c>
    </row>
    <row r="3489" spans="1:9" x14ac:dyDescent="0.25">
      <c r="A3489" t="s">
        <v>17448</v>
      </c>
      <c r="B3489" t="s">
        <v>17448</v>
      </c>
      <c r="C3489" t="s">
        <v>17449</v>
      </c>
      <c r="D3489" t="s">
        <v>3242</v>
      </c>
      <c r="E3489" t="s">
        <v>15710</v>
      </c>
      <c r="F3489" t="s">
        <v>3243</v>
      </c>
      <c r="G3489" t="s">
        <v>17450</v>
      </c>
      <c r="H3489" t="s">
        <v>3285</v>
      </c>
    </row>
    <row r="3490" spans="1:9" x14ac:dyDescent="0.25">
      <c r="A3490" t="s">
        <v>12211</v>
      </c>
      <c r="B3490" t="s">
        <v>12211</v>
      </c>
      <c r="C3490" t="s">
        <v>12212</v>
      </c>
      <c r="D3490" t="s">
        <v>3242</v>
      </c>
      <c r="E3490" t="s">
        <v>17101</v>
      </c>
      <c r="F3490" t="s">
        <v>10250</v>
      </c>
      <c r="G3490" t="s">
        <v>12213</v>
      </c>
      <c r="H3490" t="s">
        <v>3484</v>
      </c>
    </row>
    <row r="3491" spans="1:9" x14ac:dyDescent="0.25">
      <c r="A3491" t="s">
        <v>12214</v>
      </c>
      <c r="B3491" t="s">
        <v>12214</v>
      </c>
      <c r="C3491" t="s">
        <v>12215</v>
      </c>
      <c r="D3491" t="s">
        <v>3242</v>
      </c>
      <c r="E3491" t="s">
        <v>15710</v>
      </c>
      <c r="F3491" t="s">
        <v>10250</v>
      </c>
      <c r="G3491" t="s">
        <v>12216</v>
      </c>
      <c r="H3491" t="s">
        <v>3483</v>
      </c>
      <c r="I3491" t="s">
        <v>14986</v>
      </c>
    </row>
    <row r="3492" spans="1:9" x14ac:dyDescent="0.25">
      <c r="A3492" t="s">
        <v>12217</v>
      </c>
      <c r="B3492" t="s">
        <v>12217</v>
      </c>
      <c r="C3492" t="s">
        <v>12218</v>
      </c>
      <c r="D3492" t="s">
        <v>3242</v>
      </c>
      <c r="E3492" t="s">
        <v>15710</v>
      </c>
      <c r="F3492" t="s">
        <v>3288</v>
      </c>
      <c r="G3492" t="s">
        <v>3060</v>
      </c>
      <c r="H3492" t="s">
        <v>3285</v>
      </c>
    </row>
    <row r="3493" spans="1:9" x14ac:dyDescent="0.25">
      <c r="A3493" t="s">
        <v>16869</v>
      </c>
      <c r="B3493" t="s">
        <v>16869</v>
      </c>
      <c r="C3493" t="s">
        <v>16870</v>
      </c>
      <c r="D3493" t="s">
        <v>3242</v>
      </c>
      <c r="E3493" t="s">
        <v>15710</v>
      </c>
      <c r="F3493" t="s">
        <v>3243</v>
      </c>
      <c r="G3493" t="s">
        <v>16871</v>
      </c>
      <c r="H3493" t="s">
        <v>4615</v>
      </c>
    </row>
    <row r="3494" spans="1:9" x14ac:dyDescent="0.25">
      <c r="A3494" t="s">
        <v>12219</v>
      </c>
      <c r="B3494" t="s">
        <v>12219</v>
      </c>
      <c r="C3494" t="s">
        <v>12220</v>
      </c>
      <c r="D3494" t="s">
        <v>3242</v>
      </c>
      <c r="E3494" t="s">
        <v>15710</v>
      </c>
      <c r="F3494" t="s">
        <v>3243</v>
      </c>
      <c r="G3494" t="s">
        <v>12221</v>
      </c>
      <c r="H3494" t="s">
        <v>3402</v>
      </c>
    </row>
    <row r="3495" spans="1:9" x14ac:dyDescent="0.25">
      <c r="A3495" t="s">
        <v>12222</v>
      </c>
      <c r="B3495" t="s">
        <v>12222</v>
      </c>
      <c r="C3495" t="s">
        <v>12223</v>
      </c>
      <c r="D3495" t="s">
        <v>3242</v>
      </c>
      <c r="E3495" t="s">
        <v>15710</v>
      </c>
      <c r="F3495" t="s">
        <v>3243</v>
      </c>
      <c r="G3495" t="s">
        <v>12224</v>
      </c>
      <c r="H3495" t="s">
        <v>3402</v>
      </c>
    </row>
    <row r="3496" spans="1:9" x14ac:dyDescent="0.25">
      <c r="A3496" t="s">
        <v>15566</v>
      </c>
      <c r="B3496" t="s">
        <v>15566</v>
      </c>
      <c r="C3496" t="s">
        <v>15567</v>
      </c>
      <c r="D3496" t="s">
        <v>3242</v>
      </c>
      <c r="E3496" t="s">
        <v>15710</v>
      </c>
      <c r="F3496" t="s">
        <v>3306</v>
      </c>
      <c r="G3496" t="s">
        <v>7802</v>
      </c>
      <c r="H3496" t="s">
        <v>3267</v>
      </c>
      <c r="I3496" t="s">
        <v>14850</v>
      </c>
    </row>
    <row r="3497" spans="1:9" x14ac:dyDescent="0.25">
      <c r="A3497" t="s">
        <v>12225</v>
      </c>
      <c r="B3497" t="s">
        <v>12225</v>
      </c>
      <c r="C3497" t="s">
        <v>12226</v>
      </c>
      <c r="D3497" t="s">
        <v>3242</v>
      </c>
      <c r="E3497" t="s">
        <v>15710</v>
      </c>
      <c r="F3497" t="s">
        <v>3288</v>
      </c>
      <c r="G3497" t="s">
        <v>12227</v>
      </c>
      <c r="H3497" t="s">
        <v>4797</v>
      </c>
    </row>
    <row r="3498" spans="1:9" x14ac:dyDescent="0.25">
      <c r="A3498" t="s">
        <v>12228</v>
      </c>
      <c r="B3498" t="s">
        <v>12228</v>
      </c>
      <c r="C3498" t="s">
        <v>12229</v>
      </c>
      <c r="D3498" t="s">
        <v>3242</v>
      </c>
      <c r="E3498" t="s">
        <v>15710</v>
      </c>
      <c r="F3498" t="s">
        <v>3243</v>
      </c>
      <c r="G3498" t="s">
        <v>12230</v>
      </c>
      <c r="H3498" t="s">
        <v>3290</v>
      </c>
      <c r="I3498" t="s">
        <v>12231</v>
      </c>
    </row>
    <row r="3499" spans="1:9" x14ac:dyDescent="0.25">
      <c r="A3499" t="s">
        <v>12232</v>
      </c>
      <c r="B3499" t="s">
        <v>12232</v>
      </c>
      <c r="C3499" t="s">
        <v>12233</v>
      </c>
      <c r="D3499" t="s">
        <v>3242</v>
      </c>
      <c r="E3499" t="s">
        <v>15710</v>
      </c>
      <c r="F3499" t="s">
        <v>3345</v>
      </c>
      <c r="G3499" t="s">
        <v>4642</v>
      </c>
      <c r="H3499" t="s">
        <v>4320</v>
      </c>
    </row>
    <row r="3500" spans="1:9" x14ac:dyDescent="0.25">
      <c r="A3500" t="s">
        <v>12234</v>
      </c>
      <c r="B3500" t="s">
        <v>12234</v>
      </c>
      <c r="C3500" t="s">
        <v>12235</v>
      </c>
      <c r="D3500" t="s">
        <v>3242</v>
      </c>
      <c r="E3500" t="s">
        <v>15710</v>
      </c>
      <c r="F3500" t="s">
        <v>3243</v>
      </c>
      <c r="G3500" t="s">
        <v>12236</v>
      </c>
      <c r="H3500" t="s">
        <v>4284</v>
      </c>
    </row>
    <row r="3501" spans="1:9" x14ac:dyDescent="0.25">
      <c r="A3501" t="s">
        <v>15568</v>
      </c>
      <c r="B3501" t="s">
        <v>15568</v>
      </c>
      <c r="C3501" t="s">
        <v>15569</v>
      </c>
      <c r="D3501" t="s">
        <v>3242</v>
      </c>
      <c r="E3501" t="s">
        <v>15710</v>
      </c>
      <c r="F3501" t="s">
        <v>3243</v>
      </c>
      <c r="G3501" t="s">
        <v>15570</v>
      </c>
      <c r="H3501" t="s">
        <v>3285</v>
      </c>
    </row>
    <row r="3502" spans="1:9" x14ac:dyDescent="0.25">
      <c r="A3502" t="s">
        <v>12237</v>
      </c>
      <c r="B3502" t="s">
        <v>12237</v>
      </c>
      <c r="C3502" t="s">
        <v>12238</v>
      </c>
      <c r="D3502" t="s">
        <v>3242</v>
      </c>
      <c r="E3502" t="s">
        <v>15710</v>
      </c>
      <c r="F3502" t="s">
        <v>3288</v>
      </c>
      <c r="G3502" t="s">
        <v>12239</v>
      </c>
      <c r="H3502" t="s">
        <v>3290</v>
      </c>
    </row>
    <row r="3503" spans="1:9" x14ac:dyDescent="0.25">
      <c r="A3503" t="s">
        <v>17451</v>
      </c>
      <c r="B3503" t="s">
        <v>17451</v>
      </c>
      <c r="C3503" t="s">
        <v>17452</v>
      </c>
      <c r="D3503" t="s">
        <v>3242</v>
      </c>
      <c r="E3503" t="s">
        <v>15710</v>
      </c>
      <c r="F3503" t="s">
        <v>3243</v>
      </c>
      <c r="G3503" t="s">
        <v>17453</v>
      </c>
      <c r="H3503" t="s">
        <v>3285</v>
      </c>
    </row>
    <row r="3504" spans="1:9" x14ac:dyDescent="0.25">
      <c r="A3504" t="s">
        <v>12240</v>
      </c>
      <c r="B3504" t="s">
        <v>12240</v>
      </c>
      <c r="C3504" t="s">
        <v>12241</v>
      </c>
      <c r="D3504" t="s">
        <v>3242</v>
      </c>
      <c r="E3504" t="s">
        <v>15710</v>
      </c>
      <c r="F3504" t="s">
        <v>3345</v>
      </c>
      <c r="G3504" t="s">
        <v>12242</v>
      </c>
      <c r="H3504" t="s">
        <v>3290</v>
      </c>
    </row>
    <row r="3505" spans="1:9" x14ac:dyDescent="0.25">
      <c r="A3505" t="s">
        <v>12243</v>
      </c>
      <c r="B3505" t="s">
        <v>12243</v>
      </c>
      <c r="C3505" t="s">
        <v>12244</v>
      </c>
      <c r="D3505" t="s">
        <v>3242</v>
      </c>
      <c r="E3505" t="s">
        <v>15710</v>
      </c>
      <c r="F3505" t="s">
        <v>3251</v>
      </c>
      <c r="G3505" t="s">
        <v>10706</v>
      </c>
      <c r="H3505" t="s">
        <v>3311</v>
      </c>
    </row>
    <row r="3506" spans="1:9" x14ac:dyDescent="0.25">
      <c r="A3506" t="s">
        <v>12245</v>
      </c>
      <c r="B3506" t="s">
        <v>12245</v>
      </c>
      <c r="C3506" t="s">
        <v>12246</v>
      </c>
      <c r="D3506" t="s">
        <v>3242</v>
      </c>
      <c r="E3506" t="s">
        <v>15710</v>
      </c>
      <c r="F3506" t="s">
        <v>3243</v>
      </c>
      <c r="G3506" t="s">
        <v>3243</v>
      </c>
      <c r="H3506" t="s">
        <v>3290</v>
      </c>
    </row>
    <row r="3507" spans="1:9" x14ac:dyDescent="0.25">
      <c r="A3507" t="s">
        <v>12247</v>
      </c>
      <c r="B3507" t="s">
        <v>12247</v>
      </c>
      <c r="C3507" t="s">
        <v>12248</v>
      </c>
      <c r="D3507" t="s">
        <v>3242</v>
      </c>
      <c r="E3507" t="s">
        <v>15710</v>
      </c>
      <c r="F3507" t="s">
        <v>3243</v>
      </c>
      <c r="G3507" t="s">
        <v>12249</v>
      </c>
      <c r="H3507" t="s">
        <v>3290</v>
      </c>
    </row>
    <row r="3508" spans="1:9" x14ac:dyDescent="0.25">
      <c r="A3508" t="s">
        <v>12250</v>
      </c>
      <c r="B3508" t="s">
        <v>12250</v>
      </c>
      <c r="C3508" t="s">
        <v>12251</v>
      </c>
      <c r="D3508" t="s">
        <v>3242</v>
      </c>
      <c r="E3508" t="s">
        <v>15710</v>
      </c>
      <c r="F3508" t="s">
        <v>3288</v>
      </c>
      <c r="G3508" t="s">
        <v>12252</v>
      </c>
      <c r="H3508" t="s">
        <v>3680</v>
      </c>
    </row>
    <row r="3509" spans="1:9" x14ac:dyDescent="0.25">
      <c r="A3509" t="s">
        <v>12253</v>
      </c>
      <c r="B3509" t="s">
        <v>12253</v>
      </c>
      <c r="C3509" t="s">
        <v>12254</v>
      </c>
      <c r="D3509" t="s">
        <v>3242</v>
      </c>
      <c r="E3509" t="s">
        <v>15710</v>
      </c>
      <c r="F3509" t="s">
        <v>3251</v>
      </c>
      <c r="G3509" t="s">
        <v>12255</v>
      </c>
      <c r="H3509" t="s">
        <v>3565</v>
      </c>
      <c r="I3509" t="s">
        <v>3451</v>
      </c>
    </row>
    <row r="3510" spans="1:9" x14ac:dyDescent="0.25">
      <c r="A3510" t="s">
        <v>15571</v>
      </c>
      <c r="B3510" t="s">
        <v>15571</v>
      </c>
      <c r="C3510" t="s">
        <v>15572</v>
      </c>
      <c r="D3510" t="s">
        <v>3242</v>
      </c>
      <c r="E3510" t="s">
        <v>15710</v>
      </c>
      <c r="F3510" t="s">
        <v>3306</v>
      </c>
      <c r="G3510" t="s">
        <v>15573</v>
      </c>
      <c r="H3510" t="s">
        <v>3267</v>
      </c>
      <c r="I3510" t="s">
        <v>3328</v>
      </c>
    </row>
    <row r="3511" spans="1:9" x14ac:dyDescent="0.25">
      <c r="A3511" t="s">
        <v>16732</v>
      </c>
      <c r="B3511" t="s">
        <v>16732</v>
      </c>
      <c r="C3511" t="s">
        <v>16733</v>
      </c>
      <c r="D3511" t="s">
        <v>3242</v>
      </c>
      <c r="E3511" t="s">
        <v>15710</v>
      </c>
      <c r="F3511" t="s">
        <v>3288</v>
      </c>
      <c r="G3511" t="s">
        <v>3060</v>
      </c>
      <c r="H3511" t="s">
        <v>3285</v>
      </c>
    </row>
    <row r="3512" spans="1:9" x14ac:dyDescent="0.25">
      <c r="A3512" t="s">
        <v>12256</v>
      </c>
      <c r="B3512" t="s">
        <v>12256</v>
      </c>
      <c r="C3512" t="s">
        <v>12257</v>
      </c>
      <c r="D3512" t="s">
        <v>3242</v>
      </c>
      <c r="E3512" t="s">
        <v>15710</v>
      </c>
      <c r="F3512" t="s">
        <v>3243</v>
      </c>
      <c r="G3512" t="s">
        <v>12258</v>
      </c>
      <c r="H3512" t="s">
        <v>3290</v>
      </c>
    </row>
    <row r="3513" spans="1:9" x14ac:dyDescent="0.25">
      <c r="A3513" t="s">
        <v>12259</v>
      </c>
      <c r="B3513" t="s">
        <v>12259</v>
      </c>
      <c r="C3513" t="s">
        <v>12260</v>
      </c>
      <c r="D3513" t="s">
        <v>3242</v>
      </c>
      <c r="E3513" t="s">
        <v>15710</v>
      </c>
      <c r="F3513" t="s">
        <v>15712</v>
      </c>
      <c r="G3513" t="s">
        <v>12261</v>
      </c>
      <c r="H3513" t="s">
        <v>3285</v>
      </c>
    </row>
    <row r="3514" spans="1:9" x14ac:dyDescent="0.25">
      <c r="A3514" t="s">
        <v>12262</v>
      </c>
      <c r="B3514" t="s">
        <v>12262</v>
      </c>
      <c r="C3514" t="s">
        <v>10482</v>
      </c>
      <c r="D3514" t="s">
        <v>3242</v>
      </c>
      <c r="E3514" t="s">
        <v>15987</v>
      </c>
      <c r="F3514" t="s">
        <v>3257</v>
      </c>
      <c r="G3514" t="s">
        <v>12263</v>
      </c>
      <c r="H3514" t="s">
        <v>4486</v>
      </c>
    </row>
    <row r="3515" spans="1:9" x14ac:dyDescent="0.25">
      <c r="A3515" t="s">
        <v>15574</v>
      </c>
      <c r="B3515" t="s">
        <v>15574</v>
      </c>
      <c r="C3515" t="s">
        <v>15575</v>
      </c>
      <c r="D3515" t="s">
        <v>3242</v>
      </c>
      <c r="E3515" t="s">
        <v>15710</v>
      </c>
      <c r="F3515" t="s">
        <v>3288</v>
      </c>
      <c r="G3515" t="s">
        <v>3060</v>
      </c>
      <c r="H3515" t="s">
        <v>3290</v>
      </c>
    </row>
    <row r="3516" spans="1:9" x14ac:dyDescent="0.25">
      <c r="A3516" t="s">
        <v>12264</v>
      </c>
      <c r="B3516" t="s">
        <v>12264</v>
      </c>
      <c r="C3516" t="s">
        <v>12265</v>
      </c>
      <c r="D3516" t="s">
        <v>3242</v>
      </c>
      <c r="E3516" t="s">
        <v>16560</v>
      </c>
      <c r="F3516" t="s">
        <v>3251</v>
      </c>
      <c r="G3516" t="s">
        <v>12266</v>
      </c>
      <c r="H3516" t="s">
        <v>4502</v>
      </c>
      <c r="I3516" t="s">
        <v>3451</v>
      </c>
    </row>
    <row r="3517" spans="1:9" x14ac:dyDescent="0.25">
      <c r="A3517" t="s">
        <v>12267</v>
      </c>
      <c r="B3517" t="s">
        <v>12267</v>
      </c>
      <c r="C3517" t="s">
        <v>12268</v>
      </c>
      <c r="D3517" t="s">
        <v>3242</v>
      </c>
      <c r="E3517" t="s">
        <v>15710</v>
      </c>
      <c r="F3517" t="s">
        <v>3243</v>
      </c>
      <c r="G3517" t="s">
        <v>12269</v>
      </c>
      <c r="H3517" t="s">
        <v>11517</v>
      </c>
    </row>
    <row r="3518" spans="1:9" x14ac:dyDescent="0.25">
      <c r="A3518" t="s">
        <v>15576</v>
      </c>
      <c r="B3518" t="s">
        <v>15576</v>
      </c>
      <c r="C3518" t="s">
        <v>15577</v>
      </c>
      <c r="D3518" t="s">
        <v>3242</v>
      </c>
      <c r="E3518" t="s">
        <v>15710</v>
      </c>
      <c r="F3518" t="s">
        <v>3243</v>
      </c>
      <c r="G3518" t="s">
        <v>15578</v>
      </c>
      <c r="H3518" t="s">
        <v>3290</v>
      </c>
    </row>
    <row r="3519" spans="1:9" x14ac:dyDescent="0.25">
      <c r="A3519" t="s">
        <v>12270</v>
      </c>
      <c r="B3519" t="s">
        <v>12270</v>
      </c>
      <c r="C3519" t="s">
        <v>12271</v>
      </c>
      <c r="D3519" t="s">
        <v>3242</v>
      </c>
      <c r="E3519" t="s">
        <v>15710</v>
      </c>
      <c r="F3519" t="s">
        <v>3288</v>
      </c>
      <c r="G3519" t="s">
        <v>12272</v>
      </c>
      <c r="H3519" t="s">
        <v>3618</v>
      </c>
    </row>
    <row r="3520" spans="1:9" x14ac:dyDescent="0.25">
      <c r="A3520" t="s">
        <v>12273</v>
      </c>
      <c r="B3520" t="s">
        <v>12273</v>
      </c>
      <c r="C3520" t="s">
        <v>12274</v>
      </c>
      <c r="D3520" t="s">
        <v>3242</v>
      </c>
      <c r="E3520" t="s">
        <v>17454</v>
      </c>
      <c r="F3520" t="s">
        <v>3257</v>
      </c>
      <c r="G3520" t="s">
        <v>3420</v>
      </c>
      <c r="H3520" t="s">
        <v>3421</v>
      </c>
      <c r="I3520" t="s">
        <v>3254</v>
      </c>
    </row>
    <row r="3521" spans="1:9" x14ac:dyDescent="0.25">
      <c r="A3521" t="s">
        <v>12275</v>
      </c>
      <c r="B3521" t="s">
        <v>12275</v>
      </c>
      <c r="C3521" t="s">
        <v>12276</v>
      </c>
      <c r="D3521" t="s">
        <v>3242</v>
      </c>
      <c r="E3521" t="s">
        <v>15710</v>
      </c>
      <c r="F3521" t="s">
        <v>3288</v>
      </c>
      <c r="G3521" t="s">
        <v>12277</v>
      </c>
      <c r="H3521" t="s">
        <v>3463</v>
      </c>
    </row>
    <row r="3522" spans="1:9" x14ac:dyDescent="0.25">
      <c r="A3522" t="s">
        <v>16797</v>
      </c>
      <c r="B3522" t="s">
        <v>16797</v>
      </c>
      <c r="C3522" t="s">
        <v>16798</v>
      </c>
      <c r="D3522" t="s">
        <v>3242</v>
      </c>
      <c r="E3522" t="s">
        <v>15710</v>
      </c>
      <c r="F3522" t="s">
        <v>3243</v>
      </c>
      <c r="G3522" t="s">
        <v>16799</v>
      </c>
      <c r="H3522" t="s">
        <v>3402</v>
      </c>
    </row>
    <row r="3523" spans="1:9" x14ac:dyDescent="0.25">
      <c r="A3523" t="s">
        <v>12278</v>
      </c>
      <c r="B3523" t="s">
        <v>12278</v>
      </c>
      <c r="C3523" t="s">
        <v>12279</v>
      </c>
      <c r="D3523" t="s">
        <v>3242</v>
      </c>
      <c r="E3523" t="s">
        <v>15710</v>
      </c>
      <c r="F3523" t="s">
        <v>3288</v>
      </c>
      <c r="G3523" t="s">
        <v>4019</v>
      </c>
      <c r="H3523" t="s">
        <v>3836</v>
      </c>
    </row>
    <row r="3524" spans="1:9" x14ac:dyDescent="0.25">
      <c r="A3524" t="s">
        <v>12280</v>
      </c>
      <c r="B3524" t="s">
        <v>12280</v>
      </c>
      <c r="C3524" t="s">
        <v>12281</v>
      </c>
      <c r="D3524" t="s">
        <v>3321</v>
      </c>
      <c r="E3524" t="s">
        <v>15710</v>
      </c>
      <c r="F3524" t="s">
        <v>3257</v>
      </c>
      <c r="G3524" t="s">
        <v>12282</v>
      </c>
      <c r="H3524" t="s">
        <v>5722</v>
      </c>
    </row>
    <row r="3525" spans="1:9" x14ac:dyDescent="0.25">
      <c r="A3525" t="s">
        <v>12283</v>
      </c>
      <c r="B3525" t="s">
        <v>12283</v>
      </c>
      <c r="C3525" t="s">
        <v>12284</v>
      </c>
      <c r="D3525" t="s">
        <v>3321</v>
      </c>
      <c r="E3525" t="s">
        <v>15710</v>
      </c>
      <c r="F3525" t="s">
        <v>4996</v>
      </c>
      <c r="G3525" t="s">
        <v>3876</v>
      </c>
      <c r="H3525" t="s">
        <v>3323</v>
      </c>
      <c r="I3525" t="s">
        <v>3366</v>
      </c>
    </row>
    <row r="3526" spans="1:9" x14ac:dyDescent="0.25">
      <c r="A3526" t="s">
        <v>15579</v>
      </c>
      <c r="B3526" t="s">
        <v>15579</v>
      </c>
      <c r="C3526" t="s">
        <v>15580</v>
      </c>
      <c r="D3526" t="s">
        <v>3242</v>
      </c>
      <c r="E3526" t="s">
        <v>15710</v>
      </c>
      <c r="F3526" t="s">
        <v>3243</v>
      </c>
      <c r="G3526" t="s">
        <v>15581</v>
      </c>
      <c r="H3526" t="s">
        <v>3480</v>
      </c>
    </row>
    <row r="3527" spans="1:9" x14ac:dyDescent="0.25">
      <c r="A3527" t="s">
        <v>12285</v>
      </c>
      <c r="B3527" t="s">
        <v>12285</v>
      </c>
      <c r="C3527" t="s">
        <v>12286</v>
      </c>
      <c r="D3527" t="s">
        <v>3242</v>
      </c>
      <c r="E3527" t="s">
        <v>15710</v>
      </c>
      <c r="F3527" t="s">
        <v>3283</v>
      </c>
      <c r="G3527" t="s">
        <v>12287</v>
      </c>
      <c r="H3527" t="s">
        <v>3060</v>
      </c>
    </row>
    <row r="3528" spans="1:9" x14ac:dyDescent="0.25">
      <c r="A3528" t="s">
        <v>12288</v>
      </c>
      <c r="B3528" t="s">
        <v>12288</v>
      </c>
      <c r="C3528" t="s">
        <v>12289</v>
      </c>
      <c r="D3528" t="s">
        <v>3242</v>
      </c>
      <c r="E3528" t="s">
        <v>15710</v>
      </c>
      <c r="F3528" t="s">
        <v>3345</v>
      </c>
      <c r="G3528" t="s">
        <v>12047</v>
      </c>
      <c r="H3528" t="s">
        <v>4320</v>
      </c>
    </row>
    <row r="3529" spans="1:9" x14ac:dyDescent="0.25">
      <c r="A3529" t="s">
        <v>12290</v>
      </c>
      <c r="B3529" t="s">
        <v>12290</v>
      </c>
      <c r="C3529" t="s">
        <v>12291</v>
      </c>
      <c r="D3529" t="s">
        <v>3242</v>
      </c>
      <c r="E3529" t="s">
        <v>15984</v>
      </c>
      <c r="F3529" t="s">
        <v>3243</v>
      </c>
      <c r="G3529" t="s">
        <v>3243</v>
      </c>
      <c r="H3529" t="s">
        <v>3290</v>
      </c>
    </row>
    <row r="3530" spans="1:9" x14ac:dyDescent="0.25">
      <c r="A3530" t="s">
        <v>12292</v>
      </c>
      <c r="B3530" t="s">
        <v>12292</v>
      </c>
      <c r="C3530" t="s">
        <v>12293</v>
      </c>
      <c r="D3530" t="s">
        <v>3242</v>
      </c>
      <c r="E3530" t="s">
        <v>15710</v>
      </c>
      <c r="F3530" t="s">
        <v>3288</v>
      </c>
      <c r="G3530" t="s">
        <v>12294</v>
      </c>
      <c r="H3530" t="s">
        <v>3618</v>
      </c>
    </row>
    <row r="3531" spans="1:9" x14ac:dyDescent="0.25">
      <c r="A3531" t="s">
        <v>12295</v>
      </c>
      <c r="B3531" t="s">
        <v>12295</v>
      </c>
      <c r="C3531" t="s">
        <v>12296</v>
      </c>
      <c r="D3531" t="s">
        <v>3242</v>
      </c>
      <c r="E3531" t="s">
        <v>17663</v>
      </c>
      <c r="F3531" t="s">
        <v>3257</v>
      </c>
      <c r="G3531" t="s">
        <v>12297</v>
      </c>
      <c r="H3531" t="s">
        <v>4835</v>
      </c>
      <c r="I3531" t="s">
        <v>3366</v>
      </c>
    </row>
    <row r="3532" spans="1:9" x14ac:dyDescent="0.25">
      <c r="A3532" t="s">
        <v>12298</v>
      </c>
      <c r="B3532" t="s">
        <v>12298</v>
      </c>
      <c r="C3532" t="s">
        <v>12299</v>
      </c>
      <c r="D3532" t="s">
        <v>3242</v>
      </c>
      <c r="E3532" t="s">
        <v>15710</v>
      </c>
      <c r="F3532" t="s">
        <v>3243</v>
      </c>
      <c r="G3532" t="s">
        <v>12300</v>
      </c>
      <c r="H3532" t="s">
        <v>11517</v>
      </c>
    </row>
    <row r="3533" spans="1:9" x14ac:dyDescent="0.25">
      <c r="A3533" t="s">
        <v>12301</v>
      </c>
      <c r="B3533" t="s">
        <v>12301</v>
      </c>
      <c r="C3533" t="s">
        <v>12302</v>
      </c>
      <c r="D3533" t="s">
        <v>3242</v>
      </c>
      <c r="E3533" t="s">
        <v>15710</v>
      </c>
      <c r="F3533" t="s">
        <v>3288</v>
      </c>
      <c r="G3533" t="s">
        <v>3786</v>
      </c>
      <c r="H3533" t="s">
        <v>3290</v>
      </c>
    </row>
    <row r="3534" spans="1:9" x14ac:dyDescent="0.25">
      <c r="A3534" t="s">
        <v>12303</v>
      </c>
      <c r="B3534" t="s">
        <v>12303</v>
      </c>
      <c r="C3534" t="s">
        <v>12304</v>
      </c>
      <c r="D3534" t="s">
        <v>3242</v>
      </c>
      <c r="E3534" t="s">
        <v>15710</v>
      </c>
      <c r="F3534" t="s">
        <v>3288</v>
      </c>
      <c r="G3534" t="s">
        <v>12305</v>
      </c>
      <c r="H3534" t="s">
        <v>3488</v>
      </c>
    </row>
    <row r="3535" spans="1:9" x14ac:dyDescent="0.25">
      <c r="A3535" t="s">
        <v>12306</v>
      </c>
      <c r="B3535" t="s">
        <v>12306</v>
      </c>
      <c r="C3535" t="s">
        <v>12307</v>
      </c>
      <c r="D3535" t="s">
        <v>3242</v>
      </c>
      <c r="E3535" t="s">
        <v>15710</v>
      </c>
      <c r="F3535" t="s">
        <v>3251</v>
      </c>
      <c r="G3535" t="s">
        <v>12308</v>
      </c>
      <c r="H3535" t="s">
        <v>3253</v>
      </c>
      <c r="I3535" t="s">
        <v>3451</v>
      </c>
    </row>
    <row r="3536" spans="1:9" x14ac:dyDescent="0.25">
      <c r="A3536" t="s">
        <v>12309</v>
      </c>
      <c r="B3536" t="s">
        <v>12309</v>
      </c>
      <c r="C3536" t="s">
        <v>12310</v>
      </c>
      <c r="D3536" t="s">
        <v>3242</v>
      </c>
      <c r="E3536" t="s">
        <v>15710</v>
      </c>
      <c r="F3536" t="s">
        <v>3243</v>
      </c>
      <c r="G3536" t="s">
        <v>12311</v>
      </c>
      <c r="H3536" t="s">
        <v>3285</v>
      </c>
    </row>
    <row r="3537" spans="1:9" x14ac:dyDescent="0.25">
      <c r="A3537" t="s">
        <v>12312</v>
      </c>
      <c r="B3537" t="s">
        <v>12312</v>
      </c>
      <c r="C3537" t="s">
        <v>12313</v>
      </c>
      <c r="D3537" t="s">
        <v>3242</v>
      </c>
      <c r="E3537" t="s">
        <v>15710</v>
      </c>
      <c r="F3537" t="s">
        <v>3243</v>
      </c>
      <c r="G3537" t="s">
        <v>3243</v>
      </c>
      <c r="H3537" t="s">
        <v>3290</v>
      </c>
    </row>
    <row r="3538" spans="1:9" x14ac:dyDescent="0.25">
      <c r="A3538" t="s">
        <v>12314</v>
      </c>
      <c r="B3538" t="s">
        <v>12314</v>
      </c>
      <c r="C3538" t="s">
        <v>12315</v>
      </c>
      <c r="D3538" t="s">
        <v>3242</v>
      </c>
      <c r="E3538" t="s">
        <v>15710</v>
      </c>
      <c r="F3538" t="s">
        <v>3288</v>
      </c>
      <c r="G3538" t="s">
        <v>12316</v>
      </c>
      <c r="H3538" t="s">
        <v>3936</v>
      </c>
    </row>
    <row r="3539" spans="1:9" x14ac:dyDescent="0.25">
      <c r="A3539" t="s">
        <v>15582</v>
      </c>
      <c r="B3539" t="s">
        <v>15582</v>
      </c>
      <c r="C3539" t="s">
        <v>15583</v>
      </c>
      <c r="D3539" t="s">
        <v>3242</v>
      </c>
      <c r="E3539" t="s">
        <v>15710</v>
      </c>
      <c r="F3539" t="s">
        <v>3288</v>
      </c>
      <c r="G3539" t="s">
        <v>3060</v>
      </c>
      <c r="H3539" t="s">
        <v>3285</v>
      </c>
    </row>
    <row r="3540" spans="1:9" x14ac:dyDescent="0.25">
      <c r="A3540" t="s">
        <v>12317</v>
      </c>
      <c r="B3540" t="s">
        <v>12317</v>
      </c>
      <c r="C3540" t="s">
        <v>12318</v>
      </c>
      <c r="D3540" t="s">
        <v>3242</v>
      </c>
      <c r="E3540" t="s">
        <v>15710</v>
      </c>
      <c r="F3540" t="s">
        <v>3243</v>
      </c>
      <c r="G3540" t="s">
        <v>12319</v>
      </c>
      <c r="H3540" t="s">
        <v>12320</v>
      </c>
    </row>
    <row r="3541" spans="1:9" x14ac:dyDescent="0.25">
      <c r="A3541" t="s">
        <v>12321</v>
      </c>
      <c r="B3541" t="s">
        <v>12321</v>
      </c>
      <c r="C3541" t="s">
        <v>12322</v>
      </c>
      <c r="D3541" t="s">
        <v>3242</v>
      </c>
      <c r="E3541" t="s">
        <v>15710</v>
      </c>
      <c r="F3541" t="s">
        <v>10250</v>
      </c>
      <c r="G3541" t="s">
        <v>12323</v>
      </c>
      <c r="H3541" t="s">
        <v>3253</v>
      </c>
      <c r="I3541" t="s">
        <v>3375</v>
      </c>
    </row>
    <row r="3542" spans="1:9" x14ac:dyDescent="0.25">
      <c r="A3542" t="s">
        <v>15584</v>
      </c>
      <c r="B3542" t="s">
        <v>15584</v>
      </c>
      <c r="C3542" t="s">
        <v>15585</v>
      </c>
      <c r="D3542" t="s">
        <v>3242</v>
      </c>
      <c r="E3542" t="s">
        <v>15710</v>
      </c>
      <c r="F3542" t="s">
        <v>3243</v>
      </c>
      <c r="G3542" t="s">
        <v>15586</v>
      </c>
      <c r="H3542" t="s">
        <v>3290</v>
      </c>
    </row>
    <row r="3543" spans="1:9" x14ac:dyDescent="0.25">
      <c r="A3543" t="s">
        <v>12324</v>
      </c>
      <c r="B3543" t="s">
        <v>12324</v>
      </c>
      <c r="C3543" t="s">
        <v>12325</v>
      </c>
      <c r="D3543" t="s">
        <v>3242</v>
      </c>
      <c r="E3543" t="s">
        <v>15710</v>
      </c>
      <c r="F3543" t="s">
        <v>3288</v>
      </c>
      <c r="G3543" t="s">
        <v>12326</v>
      </c>
      <c r="H3543" t="s">
        <v>4615</v>
      </c>
    </row>
    <row r="3544" spans="1:9" x14ac:dyDescent="0.25">
      <c r="A3544" t="s">
        <v>12327</v>
      </c>
      <c r="B3544" t="s">
        <v>12327</v>
      </c>
      <c r="C3544" t="s">
        <v>12328</v>
      </c>
      <c r="D3544" t="s">
        <v>3242</v>
      </c>
      <c r="E3544" t="s">
        <v>15710</v>
      </c>
      <c r="F3544" t="s">
        <v>3243</v>
      </c>
      <c r="G3544" t="s">
        <v>12329</v>
      </c>
      <c r="H3544" t="s">
        <v>4035</v>
      </c>
    </row>
    <row r="3545" spans="1:9" x14ac:dyDescent="0.25">
      <c r="A3545" t="s">
        <v>12330</v>
      </c>
      <c r="B3545" t="s">
        <v>12330</v>
      </c>
      <c r="C3545" t="s">
        <v>15587</v>
      </c>
      <c r="D3545" t="s">
        <v>3242</v>
      </c>
      <c r="E3545" t="s">
        <v>16561</v>
      </c>
      <c r="F3545" t="s">
        <v>3257</v>
      </c>
      <c r="G3545" t="s">
        <v>3446</v>
      </c>
      <c r="H3545" t="s">
        <v>3311</v>
      </c>
      <c r="I3545" t="s">
        <v>3254</v>
      </c>
    </row>
    <row r="3546" spans="1:9" x14ac:dyDescent="0.25">
      <c r="A3546" t="s">
        <v>12332</v>
      </c>
      <c r="B3546" t="s">
        <v>12332</v>
      </c>
      <c r="C3546" t="s">
        <v>12333</v>
      </c>
      <c r="D3546" t="s">
        <v>3242</v>
      </c>
      <c r="E3546" t="s">
        <v>15710</v>
      </c>
      <c r="F3546" t="s">
        <v>3243</v>
      </c>
      <c r="G3546" t="s">
        <v>12334</v>
      </c>
      <c r="H3546" t="s">
        <v>3402</v>
      </c>
    </row>
    <row r="3547" spans="1:9" x14ac:dyDescent="0.25">
      <c r="A3547" t="s">
        <v>15588</v>
      </c>
      <c r="B3547" t="s">
        <v>15588</v>
      </c>
      <c r="C3547" t="s">
        <v>15589</v>
      </c>
      <c r="D3547" t="s">
        <v>3242</v>
      </c>
      <c r="E3547" t="s">
        <v>15710</v>
      </c>
      <c r="F3547" t="s">
        <v>3243</v>
      </c>
      <c r="G3547" t="s">
        <v>4887</v>
      </c>
      <c r="H3547" t="s">
        <v>8489</v>
      </c>
    </row>
    <row r="3548" spans="1:9" x14ac:dyDescent="0.25">
      <c r="A3548" t="s">
        <v>12335</v>
      </c>
      <c r="B3548" t="s">
        <v>12335</v>
      </c>
      <c r="C3548" t="s">
        <v>12336</v>
      </c>
      <c r="D3548" t="s">
        <v>3242</v>
      </c>
      <c r="E3548" t="s">
        <v>15710</v>
      </c>
      <c r="F3548" t="s">
        <v>3243</v>
      </c>
      <c r="G3548" t="s">
        <v>12337</v>
      </c>
      <c r="H3548" t="s">
        <v>3421</v>
      </c>
    </row>
    <row r="3549" spans="1:9" x14ac:dyDescent="0.25">
      <c r="A3549" t="s">
        <v>12338</v>
      </c>
      <c r="B3549" t="s">
        <v>12338</v>
      </c>
      <c r="C3549" t="s">
        <v>12339</v>
      </c>
      <c r="D3549" t="s">
        <v>3242</v>
      </c>
      <c r="E3549" t="s">
        <v>15710</v>
      </c>
      <c r="F3549" t="s">
        <v>3243</v>
      </c>
      <c r="G3549" t="s">
        <v>12340</v>
      </c>
      <c r="H3549" t="s">
        <v>3060</v>
      </c>
    </row>
    <row r="3550" spans="1:9" x14ac:dyDescent="0.25">
      <c r="A3550" t="s">
        <v>12341</v>
      </c>
      <c r="B3550" t="s">
        <v>12341</v>
      </c>
      <c r="C3550" t="s">
        <v>12342</v>
      </c>
      <c r="D3550" t="s">
        <v>3242</v>
      </c>
      <c r="E3550" t="s">
        <v>15710</v>
      </c>
      <c r="F3550" t="s">
        <v>3288</v>
      </c>
      <c r="G3550" t="s">
        <v>12343</v>
      </c>
      <c r="H3550" t="s">
        <v>4800</v>
      </c>
    </row>
    <row r="3551" spans="1:9" x14ac:dyDescent="0.25">
      <c r="A3551" t="s">
        <v>12344</v>
      </c>
      <c r="B3551" t="s">
        <v>12344</v>
      </c>
      <c r="C3551" t="s">
        <v>12345</v>
      </c>
      <c r="D3551" t="s">
        <v>3242</v>
      </c>
      <c r="E3551" t="s">
        <v>15710</v>
      </c>
      <c r="F3551" t="s">
        <v>3283</v>
      </c>
      <c r="G3551" t="s">
        <v>12346</v>
      </c>
      <c r="H3551" t="s">
        <v>3285</v>
      </c>
    </row>
    <row r="3552" spans="1:9" x14ac:dyDescent="0.25">
      <c r="A3552" t="s">
        <v>12347</v>
      </c>
      <c r="B3552" t="s">
        <v>12347</v>
      </c>
      <c r="C3552" t="s">
        <v>12348</v>
      </c>
      <c r="D3552" t="s">
        <v>3242</v>
      </c>
      <c r="E3552" t="s">
        <v>15710</v>
      </c>
      <c r="F3552" t="s">
        <v>3243</v>
      </c>
      <c r="G3552" t="s">
        <v>7854</v>
      </c>
      <c r="H3552" t="s">
        <v>3290</v>
      </c>
    </row>
    <row r="3553" spans="1:9" x14ac:dyDescent="0.25">
      <c r="A3553" t="s">
        <v>12349</v>
      </c>
      <c r="B3553" t="s">
        <v>12349</v>
      </c>
      <c r="C3553" t="s">
        <v>12350</v>
      </c>
      <c r="D3553" t="s">
        <v>3242</v>
      </c>
      <c r="E3553" t="s">
        <v>15710</v>
      </c>
      <c r="F3553" t="s">
        <v>3288</v>
      </c>
      <c r="G3553" t="s">
        <v>12351</v>
      </c>
      <c r="H3553" t="s">
        <v>3668</v>
      </c>
    </row>
    <row r="3554" spans="1:9" x14ac:dyDescent="0.25">
      <c r="A3554" t="s">
        <v>12352</v>
      </c>
      <c r="B3554" t="s">
        <v>12352</v>
      </c>
      <c r="C3554" t="s">
        <v>12353</v>
      </c>
      <c r="D3554" t="s">
        <v>3242</v>
      </c>
      <c r="E3554" t="s">
        <v>15710</v>
      </c>
      <c r="F3554" t="s">
        <v>3288</v>
      </c>
      <c r="G3554" t="s">
        <v>12354</v>
      </c>
      <c r="H3554" t="s">
        <v>4615</v>
      </c>
    </row>
    <row r="3555" spans="1:9" x14ac:dyDescent="0.25">
      <c r="A3555" t="s">
        <v>12355</v>
      </c>
      <c r="B3555" t="s">
        <v>12355</v>
      </c>
      <c r="C3555" t="s">
        <v>12356</v>
      </c>
      <c r="D3555" t="s">
        <v>3321</v>
      </c>
      <c r="E3555" t="s">
        <v>15710</v>
      </c>
      <c r="F3555" t="s">
        <v>3306</v>
      </c>
      <c r="G3555" t="s">
        <v>12357</v>
      </c>
      <c r="H3555" t="s">
        <v>3267</v>
      </c>
      <c r="I3555" t="s">
        <v>3366</v>
      </c>
    </row>
    <row r="3556" spans="1:9" x14ac:dyDescent="0.25">
      <c r="A3556" t="s">
        <v>12358</v>
      </c>
      <c r="B3556" t="s">
        <v>12358</v>
      </c>
      <c r="C3556" t="s">
        <v>12359</v>
      </c>
      <c r="D3556" t="s">
        <v>3242</v>
      </c>
      <c r="E3556" t="s">
        <v>15710</v>
      </c>
      <c r="F3556" t="s">
        <v>3288</v>
      </c>
      <c r="G3556" t="s">
        <v>3060</v>
      </c>
      <c r="H3556" t="s">
        <v>3285</v>
      </c>
    </row>
    <row r="3557" spans="1:9" x14ac:dyDescent="0.25">
      <c r="A3557" t="s">
        <v>12360</v>
      </c>
      <c r="B3557" t="s">
        <v>12360</v>
      </c>
      <c r="C3557" t="s">
        <v>12361</v>
      </c>
      <c r="D3557" t="s">
        <v>3242</v>
      </c>
      <c r="E3557" t="s">
        <v>15710</v>
      </c>
      <c r="F3557" t="s">
        <v>3288</v>
      </c>
      <c r="G3557" t="s">
        <v>12362</v>
      </c>
      <c r="H3557" t="s">
        <v>3680</v>
      </c>
    </row>
    <row r="3558" spans="1:9" x14ac:dyDescent="0.25">
      <c r="A3558" t="s">
        <v>12363</v>
      </c>
      <c r="B3558" t="s">
        <v>12363</v>
      </c>
      <c r="C3558" t="s">
        <v>12364</v>
      </c>
      <c r="D3558" t="s">
        <v>3242</v>
      </c>
      <c r="E3558" t="s">
        <v>15710</v>
      </c>
      <c r="F3558" t="s">
        <v>3288</v>
      </c>
      <c r="G3558" t="s">
        <v>12365</v>
      </c>
      <c r="H3558" t="s">
        <v>12366</v>
      </c>
    </row>
    <row r="3559" spans="1:9" x14ac:dyDescent="0.25">
      <c r="A3559" t="s">
        <v>15590</v>
      </c>
      <c r="B3559" t="s">
        <v>15590</v>
      </c>
      <c r="C3559" t="s">
        <v>15591</v>
      </c>
      <c r="D3559" t="s">
        <v>3242</v>
      </c>
      <c r="E3559" t="s">
        <v>15710</v>
      </c>
      <c r="F3559" t="s">
        <v>3243</v>
      </c>
      <c r="G3559" t="s">
        <v>15592</v>
      </c>
      <c r="H3559" t="s">
        <v>4284</v>
      </c>
    </row>
    <row r="3560" spans="1:9" x14ac:dyDescent="0.25">
      <c r="A3560" t="s">
        <v>12367</v>
      </c>
      <c r="B3560" t="s">
        <v>12367</v>
      </c>
      <c r="C3560" t="s">
        <v>12368</v>
      </c>
      <c r="D3560" t="s">
        <v>3242</v>
      </c>
      <c r="E3560" t="s">
        <v>15710</v>
      </c>
      <c r="F3560" t="s">
        <v>3288</v>
      </c>
      <c r="G3560" t="s">
        <v>3060</v>
      </c>
      <c r="H3560" t="s">
        <v>3285</v>
      </c>
    </row>
    <row r="3561" spans="1:9" x14ac:dyDescent="0.25">
      <c r="A3561" t="s">
        <v>15593</v>
      </c>
      <c r="B3561" t="s">
        <v>15593</v>
      </c>
      <c r="C3561" t="s">
        <v>15594</v>
      </c>
      <c r="D3561" t="s">
        <v>3242</v>
      </c>
      <c r="E3561" t="s">
        <v>15710</v>
      </c>
      <c r="F3561" t="s">
        <v>3243</v>
      </c>
      <c r="G3561" t="s">
        <v>15595</v>
      </c>
      <c r="H3561" t="s">
        <v>3285</v>
      </c>
    </row>
    <row r="3562" spans="1:9" x14ac:dyDescent="0.25">
      <c r="A3562" t="s">
        <v>12369</v>
      </c>
      <c r="B3562" t="s">
        <v>12369</v>
      </c>
      <c r="C3562" t="s">
        <v>12370</v>
      </c>
      <c r="D3562" t="s">
        <v>3242</v>
      </c>
      <c r="E3562" t="s">
        <v>15710</v>
      </c>
      <c r="F3562" t="s">
        <v>3243</v>
      </c>
      <c r="G3562" t="s">
        <v>12371</v>
      </c>
      <c r="H3562" t="s">
        <v>4284</v>
      </c>
    </row>
    <row r="3563" spans="1:9" x14ac:dyDescent="0.25">
      <c r="A3563" t="s">
        <v>12372</v>
      </c>
      <c r="B3563" t="s">
        <v>12372</v>
      </c>
      <c r="C3563" t="s">
        <v>12331</v>
      </c>
      <c r="D3563" t="s">
        <v>3242</v>
      </c>
      <c r="E3563" t="s">
        <v>15710</v>
      </c>
      <c r="F3563" t="s">
        <v>3251</v>
      </c>
      <c r="G3563" t="s">
        <v>12373</v>
      </c>
      <c r="H3563" t="s">
        <v>4769</v>
      </c>
    </row>
    <row r="3564" spans="1:9" x14ac:dyDescent="0.25">
      <c r="A3564" t="s">
        <v>15596</v>
      </c>
      <c r="B3564" t="s">
        <v>15596</v>
      </c>
      <c r="C3564" t="s">
        <v>5419</v>
      </c>
      <c r="D3564" t="s">
        <v>3242</v>
      </c>
      <c r="E3564" t="s">
        <v>15710</v>
      </c>
      <c r="F3564" t="s">
        <v>3257</v>
      </c>
      <c r="G3564" t="s">
        <v>5420</v>
      </c>
      <c r="H3564" t="s">
        <v>3484</v>
      </c>
      <c r="I3564" t="s">
        <v>3263</v>
      </c>
    </row>
    <row r="3565" spans="1:9" x14ac:dyDescent="0.25">
      <c r="A3565" t="s">
        <v>12374</v>
      </c>
      <c r="B3565" t="s">
        <v>12374</v>
      </c>
      <c r="C3565" t="s">
        <v>12375</v>
      </c>
      <c r="D3565" t="s">
        <v>3242</v>
      </c>
      <c r="E3565" t="s">
        <v>15710</v>
      </c>
      <c r="F3565" t="s">
        <v>3251</v>
      </c>
      <c r="G3565" t="s">
        <v>12376</v>
      </c>
      <c r="H3565" t="s">
        <v>6489</v>
      </c>
    </row>
    <row r="3566" spans="1:9" x14ac:dyDescent="0.25">
      <c r="A3566" t="s">
        <v>12377</v>
      </c>
      <c r="B3566" t="s">
        <v>12377</v>
      </c>
      <c r="C3566" t="s">
        <v>12378</v>
      </c>
      <c r="D3566" t="s">
        <v>3242</v>
      </c>
      <c r="E3566" t="s">
        <v>15710</v>
      </c>
      <c r="F3566" t="s">
        <v>12379</v>
      </c>
    </row>
    <row r="3567" spans="1:9" x14ac:dyDescent="0.25">
      <c r="A3567" t="s">
        <v>12380</v>
      </c>
      <c r="B3567" t="s">
        <v>12380</v>
      </c>
      <c r="C3567" t="s">
        <v>12381</v>
      </c>
      <c r="D3567" t="s">
        <v>3242</v>
      </c>
      <c r="E3567" t="s">
        <v>15710</v>
      </c>
      <c r="F3567" t="s">
        <v>3243</v>
      </c>
      <c r="G3567" t="s">
        <v>12382</v>
      </c>
      <c r="H3567" t="s">
        <v>3290</v>
      </c>
    </row>
    <row r="3568" spans="1:9" x14ac:dyDescent="0.25">
      <c r="A3568" t="s">
        <v>15597</v>
      </c>
      <c r="B3568" t="s">
        <v>15597</v>
      </c>
      <c r="C3568" t="s">
        <v>15598</v>
      </c>
      <c r="D3568" t="s">
        <v>3242</v>
      </c>
      <c r="E3568" t="s">
        <v>15710</v>
      </c>
      <c r="F3568" t="s">
        <v>3288</v>
      </c>
      <c r="G3568" t="s">
        <v>3060</v>
      </c>
      <c r="H3568" t="s">
        <v>3285</v>
      </c>
    </row>
    <row r="3569" spans="1:8" x14ac:dyDescent="0.25">
      <c r="A3569" t="s">
        <v>12383</v>
      </c>
      <c r="B3569" t="s">
        <v>12383</v>
      </c>
      <c r="C3569" t="s">
        <v>12384</v>
      </c>
      <c r="D3569" t="s">
        <v>3242</v>
      </c>
      <c r="E3569" t="s">
        <v>15710</v>
      </c>
      <c r="F3569" t="s">
        <v>3288</v>
      </c>
      <c r="G3569" t="s">
        <v>3060</v>
      </c>
      <c r="H3569" t="s">
        <v>3285</v>
      </c>
    </row>
    <row r="3570" spans="1:8" x14ac:dyDescent="0.25">
      <c r="A3570" t="s">
        <v>17455</v>
      </c>
      <c r="B3570" t="s">
        <v>17455</v>
      </c>
      <c r="C3570" t="s">
        <v>17456</v>
      </c>
      <c r="D3570" t="s">
        <v>3242</v>
      </c>
      <c r="E3570" t="s">
        <v>15710</v>
      </c>
      <c r="F3570" t="s">
        <v>3345</v>
      </c>
      <c r="G3570" t="s">
        <v>17457</v>
      </c>
      <c r="H3570" t="s">
        <v>4800</v>
      </c>
    </row>
    <row r="3571" spans="1:8" x14ac:dyDescent="0.25">
      <c r="A3571" t="s">
        <v>12385</v>
      </c>
      <c r="B3571" t="s">
        <v>12385</v>
      </c>
      <c r="C3571" t="s">
        <v>12386</v>
      </c>
      <c r="D3571" t="s">
        <v>3242</v>
      </c>
      <c r="E3571" t="s">
        <v>15710</v>
      </c>
      <c r="F3571" t="s">
        <v>15988</v>
      </c>
      <c r="G3571" t="s">
        <v>12387</v>
      </c>
      <c r="H3571" t="s">
        <v>3285</v>
      </c>
    </row>
    <row r="3572" spans="1:8" x14ac:dyDescent="0.25">
      <c r="A3572" t="s">
        <v>16562</v>
      </c>
      <c r="B3572" t="s">
        <v>16562</v>
      </c>
      <c r="C3572" t="s">
        <v>16563</v>
      </c>
      <c r="D3572" t="s">
        <v>3242</v>
      </c>
      <c r="E3572" t="s">
        <v>15710</v>
      </c>
      <c r="F3572" t="s">
        <v>3243</v>
      </c>
      <c r="G3572" t="s">
        <v>16564</v>
      </c>
      <c r="H3572" t="s">
        <v>3285</v>
      </c>
    </row>
    <row r="3573" spans="1:8" x14ac:dyDescent="0.25">
      <c r="A3573" t="s">
        <v>12388</v>
      </c>
      <c r="B3573" t="s">
        <v>12388</v>
      </c>
      <c r="C3573" t="s">
        <v>12389</v>
      </c>
      <c r="D3573" t="s">
        <v>3242</v>
      </c>
      <c r="E3573" t="s">
        <v>15710</v>
      </c>
      <c r="F3573" t="s">
        <v>3257</v>
      </c>
      <c r="G3573" t="s">
        <v>12390</v>
      </c>
      <c r="H3573" t="s">
        <v>3262</v>
      </c>
    </row>
    <row r="3574" spans="1:8" x14ac:dyDescent="0.25">
      <c r="A3574" t="s">
        <v>15599</v>
      </c>
      <c r="B3574" t="s">
        <v>15599</v>
      </c>
      <c r="C3574" t="s">
        <v>15600</v>
      </c>
      <c r="D3574" t="s">
        <v>3242</v>
      </c>
      <c r="E3574" t="s">
        <v>15710</v>
      </c>
      <c r="F3574" t="s">
        <v>3243</v>
      </c>
      <c r="G3574" t="s">
        <v>15601</v>
      </c>
      <c r="H3574" t="s">
        <v>3285</v>
      </c>
    </row>
    <row r="3575" spans="1:8" x14ac:dyDescent="0.25">
      <c r="A3575" t="s">
        <v>12391</v>
      </c>
      <c r="B3575" t="s">
        <v>12391</v>
      </c>
      <c r="C3575" t="s">
        <v>12392</v>
      </c>
      <c r="D3575" t="s">
        <v>3242</v>
      </c>
      <c r="E3575" t="s">
        <v>15710</v>
      </c>
      <c r="F3575" t="s">
        <v>3243</v>
      </c>
      <c r="G3575" t="s">
        <v>12393</v>
      </c>
      <c r="H3575" t="s">
        <v>3402</v>
      </c>
    </row>
    <row r="3576" spans="1:8" x14ac:dyDescent="0.25">
      <c r="A3576" t="s">
        <v>15602</v>
      </c>
      <c r="B3576" t="s">
        <v>15602</v>
      </c>
      <c r="C3576" t="s">
        <v>15603</v>
      </c>
      <c r="D3576" t="s">
        <v>3242</v>
      </c>
      <c r="E3576" t="s">
        <v>15710</v>
      </c>
      <c r="F3576" t="s">
        <v>3288</v>
      </c>
      <c r="G3576" t="s">
        <v>15604</v>
      </c>
      <c r="H3576" t="s">
        <v>3488</v>
      </c>
    </row>
    <row r="3577" spans="1:8" x14ac:dyDescent="0.25">
      <c r="A3577" t="s">
        <v>12394</v>
      </c>
      <c r="B3577" t="s">
        <v>12394</v>
      </c>
      <c r="C3577" t="s">
        <v>12395</v>
      </c>
      <c r="D3577" t="s">
        <v>3242</v>
      </c>
      <c r="E3577" t="s">
        <v>15710</v>
      </c>
      <c r="F3577" t="s">
        <v>3251</v>
      </c>
      <c r="G3577" t="s">
        <v>6530</v>
      </c>
      <c r="H3577" t="s">
        <v>3900</v>
      </c>
    </row>
    <row r="3578" spans="1:8" x14ac:dyDescent="0.25">
      <c r="A3578" t="s">
        <v>12396</v>
      </c>
      <c r="B3578" t="s">
        <v>12396</v>
      </c>
      <c r="C3578" t="s">
        <v>12397</v>
      </c>
      <c r="D3578" t="s">
        <v>3242</v>
      </c>
      <c r="E3578" t="s">
        <v>15710</v>
      </c>
      <c r="F3578" t="s">
        <v>3288</v>
      </c>
      <c r="G3578" t="s">
        <v>12398</v>
      </c>
      <c r="H3578" t="s">
        <v>3488</v>
      </c>
    </row>
    <row r="3579" spans="1:8" x14ac:dyDescent="0.25">
      <c r="A3579" t="s">
        <v>12399</v>
      </c>
      <c r="B3579" t="s">
        <v>12399</v>
      </c>
      <c r="C3579" t="s">
        <v>12400</v>
      </c>
      <c r="D3579" t="s">
        <v>3242</v>
      </c>
      <c r="E3579" t="s">
        <v>15710</v>
      </c>
      <c r="F3579" t="s">
        <v>3288</v>
      </c>
      <c r="G3579" t="s">
        <v>3060</v>
      </c>
      <c r="H3579" t="s">
        <v>3285</v>
      </c>
    </row>
    <row r="3580" spans="1:8" x14ac:dyDescent="0.25">
      <c r="A3580" t="s">
        <v>12401</v>
      </c>
      <c r="B3580" t="s">
        <v>12401</v>
      </c>
      <c r="C3580" t="s">
        <v>12402</v>
      </c>
      <c r="D3580" t="s">
        <v>3242</v>
      </c>
      <c r="E3580" t="s">
        <v>15710</v>
      </c>
      <c r="F3580" t="s">
        <v>3288</v>
      </c>
      <c r="G3580" t="s">
        <v>12403</v>
      </c>
      <c r="H3580" t="s">
        <v>3290</v>
      </c>
    </row>
    <row r="3581" spans="1:8" x14ac:dyDescent="0.25">
      <c r="A3581" t="s">
        <v>12404</v>
      </c>
      <c r="B3581" t="s">
        <v>12404</v>
      </c>
      <c r="C3581" t="s">
        <v>12405</v>
      </c>
      <c r="D3581" t="s">
        <v>3242</v>
      </c>
      <c r="E3581" t="s">
        <v>15710</v>
      </c>
      <c r="F3581" t="s">
        <v>3288</v>
      </c>
      <c r="G3581" t="s">
        <v>12406</v>
      </c>
      <c r="H3581" t="s">
        <v>3285</v>
      </c>
    </row>
    <row r="3582" spans="1:8" x14ac:dyDescent="0.25">
      <c r="A3582" t="s">
        <v>12407</v>
      </c>
      <c r="B3582" t="s">
        <v>12407</v>
      </c>
      <c r="C3582" t="s">
        <v>12408</v>
      </c>
      <c r="D3582" t="s">
        <v>3242</v>
      </c>
      <c r="E3582" t="s">
        <v>15710</v>
      </c>
      <c r="F3582" t="s">
        <v>3243</v>
      </c>
      <c r="G3582" t="s">
        <v>4397</v>
      </c>
      <c r="H3582" t="s">
        <v>3290</v>
      </c>
    </row>
    <row r="3583" spans="1:8" x14ac:dyDescent="0.25">
      <c r="A3583" t="s">
        <v>12409</v>
      </c>
      <c r="B3583" t="s">
        <v>12409</v>
      </c>
      <c r="C3583" t="s">
        <v>12410</v>
      </c>
      <c r="D3583" t="s">
        <v>3242</v>
      </c>
      <c r="E3583" t="s">
        <v>15710</v>
      </c>
      <c r="F3583" t="s">
        <v>3243</v>
      </c>
      <c r="G3583" t="s">
        <v>12411</v>
      </c>
      <c r="H3583" t="s">
        <v>3450</v>
      </c>
    </row>
    <row r="3584" spans="1:8" x14ac:dyDescent="0.25">
      <c r="A3584" t="s">
        <v>12412</v>
      </c>
      <c r="B3584" t="s">
        <v>12412</v>
      </c>
      <c r="C3584" t="s">
        <v>12413</v>
      </c>
      <c r="D3584" t="s">
        <v>3242</v>
      </c>
      <c r="E3584" t="s">
        <v>15710</v>
      </c>
      <c r="F3584" t="s">
        <v>3288</v>
      </c>
      <c r="G3584" t="s">
        <v>12414</v>
      </c>
      <c r="H3584" t="s">
        <v>3680</v>
      </c>
    </row>
    <row r="3585" spans="1:9" x14ac:dyDescent="0.25">
      <c r="A3585" t="s">
        <v>17458</v>
      </c>
      <c r="B3585" t="s">
        <v>17458</v>
      </c>
      <c r="C3585" t="s">
        <v>17459</v>
      </c>
      <c r="D3585" t="s">
        <v>3242</v>
      </c>
      <c r="E3585" t="s">
        <v>15762</v>
      </c>
      <c r="F3585" t="s">
        <v>3243</v>
      </c>
      <c r="G3585" t="s">
        <v>17460</v>
      </c>
      <c r="H3585" t="s">
        <v>3285</v>
      </c>
    </row>
    <row r="3586" spans="1:9" x14ac:dyDescent="0.25">
      <c r="A3586" t="s">
        <v>12415</v>
      </c>
      <c r="B3586" t="s">
        <v>12415</v>
      </c>
      <c r="C3586" t="s">
        <v>12416</v>
      </c>
      <c r="D3586" t="s">
        <v>3242</v>
      </c>
      <c r="E3586" t="s">
        <v>15710</v>
      </c>
      <c r="F3586" t="s">
        <v>3345</v>
      </c>
      <c r="G3586" t="s">
        <v>12417</v>
      </c>
      <c r="H3586" t="s">
        <v>3285</v>
      </c>
    </row>
    <row r="3587" spans="1:9" x14ac:dyDescent="0.25">
      <c r="A3587" t="s">
        <v>12418</v>
      </c>
      <c r="B3587" t="s">
        <v>12418</v>
      </c>
      <c r="C3587" t="s">
        <v>12419</v>
      </c>
      <c r="D3587" t="s">
        <v>3242</v>
      </c>
      <c r="E3587" t="s">
        <v>15710</v>
      </c>
      <c r="F3587" t="s">
        <v>3251</v>
      </c>
      <c r="G3587" t="s">
        <v>12420</v>
      </c>
      <c r="H3587" t="s">
        <v>7090</v>
      </c>
    </row>
    <row r="3588" spans="1:9" x14ac:dyDescent="0.25">
      <c r="A3588" t="s">
        <v>16734</v>
      </c>
      <c r="B3588" t="s">
        <v>16734</v>
      </c>
      <c r="C3588" t="s">
        <v>16735</v>
      </c>
      <c r="D3588" t="s">
        <v>3242</v>
      </c>
      <c r="E3588" t="s">
        <v>15710</v>
      </c>
      <c r="F3588" t="s">
        <v>3288</v>
      </c>
      <c r="G3588" t="s">
        <v>3060</v>
      </c>
      <c r="H3588" t="s">
        <v>3285</v>
      </c>
    </row>
    <row r="3589" spans="1:9" x14ac:dyDescent="0.25">
      <c r="A3589" t="s">
        <v>12421</v>
      </c>
      <c r="B3589" t="s">
        <v>12421</v>
      </c>
      <c r="C3589" t="s">
        <v>12422</v>
      </c>
      <c r="D3589" t="s">
        <v>3242</v>
      </c>
      <c r="E3589" t="s">
        <v>15710</v>
      </c>
      <c r="F3589" t="s">
        <v>3288</v>
      </c>
      <c r="G3589" t="s">
        <v>12423</v>
      </c>
      <c r="H3589" t="s">
        <v>3290</v>
      </c>
    </row>
    <row r="3590" spans="1:9" x14ac:dyDescent="0.25">
      <c r="A3590" t="s">
        <v>16565</v>
      </c>
      <c r="B3590" t="s">
        <v>16565</v>
      </c>
      <c r="C3590" t="s">
        <v>16566</v>
      </c>
      <c r="D3590" t="s">
        <v>3242</v>
      </c>
      <c r="E3590" t="s">
        <v>16567</v>
      </c>
      <c r="F3590" t="s">
        <v>3251</v>
      </c>
      <c r="G3590" t="s">
        <v>16568</v>
      </c>
      <c r="H3590" t="s">
        <v>3623</v>
      </c>
      <c r="I3590" t="s">
        <v>5390</v>
      </c>
    </row>
    <row r="3591" spans="1:9" x14ac:dyDescent="0.25">
      <c r="A3591" t="s">
        <v>16800</v>
      </c>
      <c r="B3591" t="s">
        <v>16800</v>
      </c>
      <c r="C3591" t="s">
        <v>16801</v>
      </c>
      <c r="D3591" t="s">
        <v>3242</v>
      </c>
      <c r="E3591" t="s">
        <v>15710</v>
      </c>
      <c r="F3591" t="s">
        <v>3243</v>
      </c>
      <c r="G3591" t="s">
        <v>16802</v>
      </c>
      <c r="H3591" t="s">
        <v>3285</v>
      </c>
    </row>
    <row r="3592" spans="1:9" x14ac:dyDescent="0.25">
      <c r="A3592" t="s">
        <v>12424</v>
      </c>
      <c r="B3592" t="s">
        <v>12424</v>
      </c>
      <c r="C3592" t="s">
        <v>12425</v>
      </c>
      <c r="D3592" t="s">
        <v>3242</v>
      </c>
      <c r="E3592" t="s">
        <v>15710</v>
      </c>
      <c r="F3592" t="s">
        <v>15712</v>
      </c>
      <c r="G3592" t="s">
        <v>12426</v>
      </c>
      <c r="H3592" t="s">
        <v>3290</v>
      </c>
    </row>
    <row r="3593" spans="1:9" x14ac:dyDescent="0.25">
      <c r="A3593" t="s">
        <v>12427</v>
      </c>
      <c r="B3593" t="s">
        <v>12427</v>
      </c>
      <c r="C3593" t="s">
        <v>12428</v>
      </c>
      <c r="D3593" t="s">
        <v>3242</v>
      </c>
      <c r="E3593" t="s">
        <v>15710</v>
      </c>
      <c r="F3593" t="s">
        <v>3288</v>
      </c>
      <c r="G3593" t="s">
        <v>12429</v>
      </c>
      <c r="H3593" t="s">
        <v>3680</v>
      </c>
    </row>
    <row r="3594" spans="1:9" x14ac:dyDescent="0.25">
      <c r="A3594" t="s">
        <v>12430</v>
      </c>
      <c r="B3594" t="s">
        <v>12430</v>
      </c>
      <c r="C3594" t="s">
        <v>12431</v>
      </c>
      <c r="D3594" t="s">
        <v>3242</v>
      </c>
      <c r="E3594" t="s">
        <v>15710</v>
      </c>
      <c r="F3594" t="s">
        <v>3288</v>
      </c>
      <c r="G3594" t="s">
        <v>12432</v>
      </c>
      <c r="H3594" t="s">
        <v>8625</v>
      </c>
    </row>
    <row r="3595" spans="1:9" x14ac:dyDescent="0.25">
      <c r="A3595" t="s">
        <v>15605</v>
      </c>
      <c r="B3595" t="s">
        <v>15605</v>
      </c>
      <c r="C3595" t="s">
        <v>15606</v>
      </c>
      <c r="D3595" t="s">
        <v>3242</v>
      </c>
      <c r="E3595" t="s">
        <v>15710</v>
      </c>
      <c r="F3595" t="s">
        <v>3243</v>
      </c>
      <c r="G3595" t="s">
        <v>15607</v>
      </c>
      <c r="H3595" t="s">
        <v>3566</v>
      </c>
    </row>
    <row r="3596" spans="1:9" x14ac:dyDescent="0.25">
      <c r="A3596" t="s">
        <v>12433</v>
      </c>
      <c r="B3596" t="s">
        <v>12433</v>
      </c>
      <c r="C3596" t="s">
        <v>12434</v>
      </c>
      <c r="D3596" t="s">
        <v>3242</v>
      </c>
      <c r="E3596" t="s">
        <v>15710</v>
      </c>
      <c r="F3596" t="s">
        <v>3288</v>
      </c>
      <c r="G3596" t="s">
        <v>12435</v>
      </c>
      <c r="H3596" t="s">
        <v>11305</v>
      </c>
    </row>
    <row r="3597" spans="1:9" x14ac:dyDescent="0.25">
      <c r="A3597" t="s">
        <v>12436</v>
      </c>
      <c r="B3597" t="s">
        <v>12436</v>
      </c>
      <c r="C3597" t="s">
        <v>12437</v>
      </c>
      <c r="D3597" t="s">
        <v>3242</v>
      </c>
      <c r="E3597" t="s">
        <v>15710</v>
      </c>
      <c r="F3597" t="s">
        <v>3345</v>
      </c>
      <c r="G3597" t="s">
        <v>12438</v>
      </c>
      <c r="H3597" t="s">
        <v>3285</v>
      </c>
    </row>
    <row r="3598" spans="1:9" x14ac:dyDescent="0.25">
      <c r="A3598" t="s">
        <v>12439</v>
      </c>
      <c r="B3598" t="s">
        <v>12439</v>
      </c>
      <c r="C3598" t="s">
        <v>12440</v>
      </c>
      <c r="D3598" t="s">
        <v>3242</v>
      </c>
      <c r="E3598" t="s">
        <v>15710</v>
      </c>
      <c r="F3598" t="s">
        <v>3243</v>
      </c>
      <c r="G3598" t="s">
        <v>4856</v>
      </c>
      <c r="H3598" t="s">
        <v>3285</v>
      </c>
    </row>
    <row r="3599" spans="1:9" x14ac:dyDescent="0.25">
      <c r="A3599" t="s">
        <v>12441</v>
      </c>
      <c r="B3599" t="s">
        <v>12441</v>
      </c>
      <c r="C3599" t="s">
        <v>12442</v>
      </c>
      <c r="D3599" t="s">
        <v>3242</v>
      </c>
      <c r="E3599" t="s">
        <v>15710</v>
      </c>
      <c r="F3599" t="s">
        <v>3283</v>
      </c>
      <c r="G3599" t="s">
        <v>12443</v>
      </c>
      <c r="H3599" t="s">
        <v>10634</v>
      </c>
    </row>
    <row r="3600" spans="1:9" x14ac:dyDescent="0.25">
      <c r="A3600" t="s">
        <v>12444</v>
      </c>
      <c r="B3600" t="s">
        <v>12444</v>
      </c>
      <c r="C3600" t="s">
        <v>12445</v>
      </c>
      <c r="D3600" t="s">
        <v>3242</v>
      </c>
      <c r="E3600" t="s">
        <v>15710</v>
      </c>
      <c r="F3600" t="s">
        <v>3345</v>
      </c>
      <c r="G3600" t="s">
        <v>3562</v>
      </c>
      <c r="H3600" t="s">
        <v>3060</v>
      </c>
    </row>
    <row r="3601" spans="1:8" x14ac:dyDescent="0.25">
      <c r="A3601" t="s">
        <v>12446</v>
      </c>
      <c r="B3601" t="s">
        <v>12446</v>
      </c>
      <c r="C3601" t="s">
        <v>12447</v>
      </c>
      <c r="D3601" t="s">
        <v>3242</v>
      </c>
      <c r="E3601" t="s">
        <v>15710</v>
      </c>
      <c r="F3601" t="s">
        <v>3283</v>
      </c>
      <c r="G3601" t="s">
        <v>12448</v>
      </c>
      <c r="H3601" t="s">
        <v>4615</v>
      </c>
    </row>
    <row r="3602" spans="1:8" x14ac:dyDescent="0.25">
      <c r="A3602" t="s">
        <v>12449</v>
      </c>
      <c r="B3602" t="s">
        <v>12449</v>
      </c>
      <c r="C3602" t="s">
        <v>12450</v>
      </c>
      <c r="D3602" t="s">
        <v>3242</v>
      </c>
      <c r="E3602" t="s">
        <v>15710</v>
      </c>
      <c r="F3602" t="s">
        <v>3288</v>
      </c>
      <c r="G3602" t="s">
        <v>12451</v>
      </c>
      <c r="H3602" t="s">
        <v>3290</v>
      </c>
    </row>
    <row r="3603" spans="1:8" x14ac:dyDescent="0.25">
      <c r="A3603" t="s">
        <v>12452</v>
      </c>
      <c r="B3603" t="s">
        <v>12452</v>
      </c>
      <c r="C3603" t="s">
        <v>12453</v>
      </c>
      <c r="D3603" t="s">
        <v>3242</v>
      </c>
      <c r="E3603" t="s">
        <v>15710</v>
      </c>
      <c r="F3603" t="s">
        <v>3288</v>
      </c>
      <c r="G3603" t="s">
        <v>11913</v>
      </c>
      <c r="H3603" t="s">
        <v>4711</v>
      </c>
    </row>
    <row r="3604" spans="1:8" x14ac:dyDescent="0.25">
      <c r="A3604" t="s">
        <v>12454</v>
      </c>
      <c r="B3604" t="s">
        <v>12454</v>
      </c>
      <c r="C3604" t="s">
        <v>12455</v>
      </c>
      <c r="D3604" t="s">
        <v>3242</v>
      </c>
      <c r="E3604" t="s">
        <v>15710</v>
      </c>
      <c r="F3604" t="s">
        <v>3243</v>
      </c>
      <c r="G3604" t="s">
        <v>12456</v>
      </c>
      <c r="H3604" t="s">
        <v>3402</v>
      </c>
    </row>
    <row r="3605" spans="1:8" x14ac:dyDescent="0.25">
      <c r="A3605" t="s">
        <v>16569</v>
      </c>
      <c r="B3605" t="s">
        <v>16569</v>
      </c>
      <c r="C3605" t="s">
        <v>16570</v>
      </c>
      <c r="D3605" t="s">
        <v>3242</v>
      </c>
      <c r="E3605" t="s">
        <v>15710</v>
      </c>
      <c r="F3605" t="s">
        <v>3345</v>
      </c>
      <c r="G3605" t="s">
        <v>16571</v>
      </c>
      <c r="H3605" t="s">
        <v>3488</v>
      </c>
    </row>
    <row r="3606" spans="1:8" x14ac:dyDescent="0.25">
      <c r="A3606" t="s">
        <v>12457</v>
      </c>
      <c r="B3606" t="s">
        <v>12457</v>
      </c>
      <c r="C3606" t="s">
        <v>12458</v>
      </c>
      <c r="D3606" t="s">
        <v>3242</v>
      </c>
      <c r="E3606" t="s">
        <v>15710</v>
      </c>
      <c r="F3606" t="s">
        <v>3288</v>
      </c>
      <c r="G3606" t="s">
        <v>3387</v>
      </c>
      <c r="H3606" t="s">
        <v>4035</v>
      </c>
    </row>
    <row r="3607" spans="1:8" x14ac:dyDescent="0.25">
      <c r="A3607" t="s">
        <v>12459</v>
      </c>
      <c r="B3607" t="s">
        <v>12459</v>
      </c>
      <c r="C3607" t="s">
        <v>12460</v>
      </c>
      <c r="D3607" t="s">
        <v>3242</v>
      </c>
      <c r="E3607" t="s">
        <v>15710</v>
      </c>
      <c r="F3607" t="s">
        <v>15712</v>
      </c>
      <c r="G3607" t="s">
        <v>12461</v>
      </c>
      <c r="H3607" t="s">
        <v>3290</v>
      </c>
    </row>
    <row r="3608" spans="1:8" x14ac:dyDescent="0.25">
      <c r="A3608" t="s">
        <v>12462</v>
      </c>
      <c r="B3608" t="s">
        <v>12462</v>
      </c>
      <c r="C3608" t="s">
        <v>12463</v>
      </c>
      <c r="D3608" t="s">
        <v>3242</v>
      </c>
      <c r="E3608" t="s">
        <v>15710</v>
      </c>
      <c r="F3608" t="s">
        <v>3243</v>
      </c>
      <c r="G3608" t="s">
        <v>12464</v>
      </c>
      <c r="H3608" t="s">
        <v>4646</v>
      </c>
    </row>
    <row r="3609" spans="1:8" x14ac:dyDescent="0.25">
      <c r="A3609" t="s">
        <v>15608</v>
      </c>
      <c r="B3609" t="s">
        <v>15608</v>
      </c>
      <c r="C3609" t="s">
        <v>15609</v>
      </c>
      <c r="D3609" t="s">
        <v>3242</v>
      </c>
      <c r="E3609" t="s">
        <v>15710</v>
      </c>
      <c r="F3609" t="s">
        <v>3288</v>
      </c>
      <c r="G3609" t="s">
        <v>3060</v>
      </c>
      <c r="H3609" t="s">
        <v>3285</v>
      </c>
    </row>
    <row r="3610" spans="1:8" x14ac:dyDescent="0.25">
      <c r="A3610" t="s">
        <v>12465</v>
      </c>
      <c r="B3610" t="s">
        <v>12465</v>
      </c>
      <c r="C3610" t="s">
        <v>12466</v>
      </c>
      <c r="D3610" t="s">
        <v>3242</v>
      </c>
      <c r="E3610" t="s">
        <v>15710</v>
      </c>
      <c r="F3610" t="s">
        <v>3288</v>
      </c>
      <c r="G3610" t="s">
        <v>12467</v>
      </c>
      <c r="H3610" t="s">
        <v>3915</v>
      </c>
    </row>
    <row r="3611" spans="1:8" x14ac:dyDescent="0.25">
      <c r="A3611" t="s">
        <v>12468</v>
      </c>
      <c r="B3611" t="s">
        <v>12468</v>
      </c>
      <c r="C3611" t="s">
        <v>12469</v>
      </c>
      <c r="D3611" t="s">
        <v>3242</v>
      </c>
      <c r="E3611" t="s">
        <v>15710</v>
      </c>
      <c r="F3611" t="s">
        <v>12470</v>
      </c>
      <c r="G3611" t="s">
        <v>12471</v>
      </c>
      <c r="H3611" t="s">
        <v>3285</v>
      </c>
    </row>
    <row r="3612" spans="1:8" x14ac:dyDescent="0.25">
      <c r="A3612" t="s">
        <v>12472</v>
      </c>
      <c r="B3612" t="s">
        <v>12472</v>
      </c>
      <c r="C3612" t="s">
        <v>12473</v>
      </c>
      <c r="D3612" t="s">
        <v>3242</v>
      </c>
      <c r="E3612" t="s">
        <v>15710</v>
      </c>
      <c r="F3612" t="s">
        <v>3288</v>
      </c>
      <c r="G3612" t="s">
        <v>4004</v>
      </c>
      <c r="H3612" t="s">
        <v>3744</v>
      </c>
    </row>
    <row r="3613" spans="1:8" x14ac:dyDescent="0.25">
      <c r="A3613" t="s">
        <v>16358</v>
      </c>
      <c r="B3613" t="s">
        <v>16358</v>
      </c>
      <c r="C3613" t="s">
        <v>16359</v>
      </c>
      <c r="D3613" t="s">
        <v>3242</v>
      </c>
      <c r="E3613" t="s">
        <v>15710</v>
      </c>
      <c r="F3613" t="s">
        <v>3243</v>
      </c>
      <c r="G3613" t="s">
        <v>16360</v>
      </c>
      <c r="H3613" t="s">
        <v>4284</v>
      </c>
    </row>
    <row r="3614" spans="1:8" x14ac:dyDescent="0.25">
      <c r="A3614" t="s">
        <v>12474</v>
      </c>
      <c r="B3614" t="s">
        <v>12474</v>
      </c>
      <c r="C3614" t="s">
        <v>12475</v>
      </c>
      <c r="D3614" t="s">
        <v>3242</v>
      </c>
      <c r="E3614" t="s">
        <v>15710</v>
      </c>
      <c r="F3614" t="s">
        <v>3283</v>
      </c>
      <c r="G3614" t="s">
        <v>12476</v>
      </c>
      <c r="H3614" t="s">
        <v>12477</v>
      </c>
    </row>
    <row r="3615" spans="1:8" x14ac:dyDescent="0.25">
      <c r="A3615" t="s">
        <v>15610</v>
      </c>
      <c r="B3615" t="s">
        <v>15610</v>
      </c>
      <c r="C3615" t="s">
        <v>15611</v>
      </c>
      <c r="D3615" t="s">
        <v>3242</v>
      </c>
      <c r="E3615" t="s">
        <v>15710</v>
      </c>
      <c r="F3615" t="s">
        <v>4102</v>
      </c>
      <c r="G3615" t="s">
        <v>15612</v>
      </c>
      <c r="H3615" t="s">
        <v>3450</v>
      </c>
    </row>
    <row r="3616" spans="1:8" x14ac:dyDescent="0.25">
      <c r="A3616" t="s">
        <v>12478</v>
      </c>
      <c r="B3616" t="s">
        <v>12478</v>
      </c>
      <c r="C3616" t="s">
        <v>12479</v>
      </c>
      <c r="D3616" t="s">
        <v>3242</v>
      </c>
      <c r="E3616" t="s">
        <v>15710</v>
      </c>
      <c r="F3616" t="s">
        <v>3288</v>
      </c>
      <c r="G3616" t="s">
        <v>3496</v>
      </c>
      <c r="H3616" t="s">
        <v>4344</v>
      </c>
    </row>
    <row r="3617" spans="1:9" x14ac:dyDescent="0.25">
      <c r="A3617" t="s">
        <v>12480</v>
      </c>
      <c r="B3617" t="s">
        <v>12480</v>
      </c>
      <c r="C3617" t="s">
        <v>12481</v>
      </c>
      <c r="D3617" t="s">
        <v>3242</v>
      </c>
      <c r="E3617" t="s">
        <v>15710</v>
      </c>
      <c r="F3617" t="s">
        <v>3345</v>
      </c>
      <c r="G3617" t="s">
        <v>3311</v>
      </c>
      <c r="H3617" t="s">
        <v>6843</v>
      </c>
    </row>
    <row r="3618" spans="1:9" x14ac:dyDescent="0.25">
      <c r="A3618" t="s">
        <v>12482</v>
      </c>
      <c r="B3618" t="s">
        <v>12482</v>
      </c>
      <c r="C3618" t="s">
        <v>12483</v>
      </c>
      <c r="D3618" t="s">
        <v>3242</v>
      </c>
      <c r="E3618" t="s">
        <v>15710</v>
      </c>
      <c r="F3618" t="s">
        <v>3243</v>
      </c>
      <c r="G3618" t="s">
        <v>12484</v>
      </c>
      <c r="H3618" t="s">
        <v>3402</v>
      </c>
    </row>
    <row r="3619" spans="1:9" x14ac:dyDescent="0.25">
      <c r="A3619" t="s">
        <v>12485</v>
      </c>
      <c r="B3619" t="s">
        <v>12485</v>
      </c>
      <c r="C3619" t="s">
        <v>12486</v>
      </c>
      <c r="D3619" t="s">
        <v>3242</v>
      </c>
      <c r="E3619" t="s">
        <v>15710</v>
      </c>
      <c r="F3619" t="s">
        <v>3251</v>
      </c>
      <c r="G3619" t="s">
        <v>12487</v>
      </c>
      <c r="H3619" t="s">
        <v>3623</v>
      </c>
      <c r="I3619" t="s">
        <v>3694</v>
      </c>
    </row>
    <row r="3620" spans="1:9" x14ac:dyDescent="0.25">
      <c r="A3620" t="s">
        <v>12488</v>
      </c>
      <c r="B3620" t="s">
        <v>12488</v>
      </c>
      <c r="C3620" t="s">
        <v>12489</v>
      </c>
      <c r="D3620" t="s">
        <v>3242</v>
      </c>
      <c r="E3620" t="s">
        <v>15710</v>
      </c>
      <c r="F3620" t="s">
        <v>3288</v>
      </c>
      <c r="G3620" t="s">
        <v>12490</v>
      </c>
      <c r="H3620" t="s">
        <v>4797</v>
      </c>
    </row>
    <row r="3621" spans="1:9" x14ac:dyDescent="0.25">
      <c r="A3621" t="s">
        <v>12491</v>
      </c>
      <c r="B3621" t="s">
        <v>12491</v>
      </c>
      <c r="C3621" t="s">
        <v>12492</v>
      </c>
      <c r="D3621" t="s">
        <v>3242</v>
      </c>
      <c r="E3621" t="s">
        <v>15710</v>
      </c>
      <c r="F3621" t="s">
        <v>3288</v>
      </c>
      <c r="G3621" t="s">
        <v>12493</v>
      </c>
      <c r="H3621" t="s">
        <v>4615</v>
      </c>
    </row>
    <row r="3622" spans="1:9" x14ac:dyDescent="0.25">
      <c r="A3622" t="s">
        <v>17461</v>
      </c>
      <c r="B3622" t="s">
        <v>17461</v>
      </c>
      <c r="C3622" t="s">
        <v>17462</v>
      </c>
      <c r="D3622" t="s">
        <v>3242</v>
      </c>
      <c r="E3622" t="s">
        <v>15818</v>
      </c>
      <c r="F3622" t="s">
        <v>3243</v>
      </c>
      <c r="G3622" t="s">
        <v>17463</v>
      </c>
      <c r="H3622" t="s">
        <v>3285</v>
      </c>
    </row>
    <row r="3623" spans="1:9" x14ac:dyDescent="0.25">
      <c r="A3623" t="s">
        <v>12494</v>
      </c>
      <c r="B3623" t="s">
        <v>12494</v>
      </c>
      <c r="C3623" t="s">
        <v>12495</v>
      </c>
      <c r="D3623" t="s">
        <v>3242</v>
      </c>
      <c r="E3623" t="s">
        <v>15710</v>
      </c>
      <c r="F3623" t="s">
        <v>3243</v>
      </c>
      <c r="G3623" t="s">
        <v>12496</v>
      </c>
      <c r="H3623" t="s">
        <v>4284</v>
      </c>
    </row>
    <row r="3624" spans="1:9" x14ac:dyDescent="0.25">
      <c r="A3624" t="s">
        <v>12497</v>
      </c>
      <c r="B3624" t="s">
        <v>12497</v>
      </c>
      <c r="C3624" t="s">
        <v>12498</v>
      </c>
      <c r="D3624" t="s">
        <v>3242</v>
      </c>
      <c r="E3624" t="s">
        <v>15710</v>
      </c>
      <c r="F3624" t="s">
        <v>3288</v>
      </c>
      <c r="G3624" t="s">
        <v>3936</v>
      </c>
      <c r="H3624" t="s">
        <v>3937</v>
      </c>
    </row>
    <row r="3625" spans="1:9" x14ac:dyDescent="0.25">
      <c r="A3625" t="s">
        <v>12499</v>
      </c>
      <c r="B3625" t="s">
        <v>12499</v>
      </c>
      <c r="C3625" t="s">
        <v>12500</v>
      </c>
      <c r="D3625" t="s">
        <v>3242</v>
      </c>
      <c r="E3625" t="s">
        <v>15710</v>
      </c>
      <c r="F3625" t="s">
        <v>3345</v>
      </c>
      <c r="G3625" t="s">
        <v>12501</v>
      </c>
      <c r="H3625" t="s">
        <v>3680</v>
      </c>
    </row>
    <row r="3626" spans="1:9" x14ac:dyDescent="0.25">
      <c r="A3626" t="s">
        <v>16075</v>
      </c>
      <c r="B3626" t="s">
        <v>16075</v>
      </c>
      <c r="C3626" t="s">
        <v>16076</v>
      </c>
      <c r="D3626" t="s">
        <v>3242</v>
      </c>
      <c r="E3626" t="s">
        <v>15710</v>
      </c>
      <c r="F3626" t="s">
        <v>3288</v>
      </c>
      <c r="G3626" t="s">
        <v>3060</v>
      </c>
      <c r="H3626" t="s">
        <v>3285</v>
      </c>
    </row>
    <row r="3627" spans="1:9" x14ac:dyDescent="0.25">
      <c r="A3627" t="s">
        <v>12502</v>
      </c>
      <c r="B3627" t="s">
        <v>12502</v>
      </c>
      <c r="C3627" t="s">
        <v>12503</v>
      </c>
      <c r="D3627" t="s">
        <v>3242</v>
      </c>
      <c r="E3627" t="s">
        <v>15710</v>
      </c>
      <c r="F3627" t="s">
        <v>3345</v>
      </c>
      <c r="G3627" t="s">
        <v>4608</v>
      </c>
      <c r="H3627" t="s">
        <v>4711</v>
      </c>
    </row>
    <row r="3628" spans="1:9" x14ac:dyDescent="0.25">
      <c r="A3628" t="s">
        <v>12504</v>
      </c>
      <c r="B3628" t="s">
        <v>12504</v>
      </c>
      <c r="C3628" t="s">
        <v>12505</v>
      </c>
      <c r="D3628" t="s">
        <v>3242</v>
      </c>
      <c r="E3628" t="s">
        <v>15710</v>
      </c>
      <c r="F3628" t="s">
        <v>3257</v>
      </c>
      <c r="G3628" t="s">
        <v>3559</v>
      </c>
      <c r="H3628" t="s">
        <v>3253</v>
      </c>
    </row>
    <row r="3629" spans="1:9" x14ac:dyDescent="0.25">
      <c r="A3629" t="s">
        <v>12506</v>
      </c>
      <c r="B3629" t="s">
        <v>12506</v>
      </c>
      <c r="C3629" t="s">
        <v>12507</v>
      </c>
      <c r="D3629" t="s">
        <v>3242</v>
      </c>
      <c r="E3629" t="s">
        <v>15989</v>
      </c>
      <c r="F3629" t="s">
        <v>3257</v>
      </c>
      <c r="G3629" t="s">
        <v>12508</v>
      </c>
      <c r="H3629" t="s">
        <v>4711</v>
      </c>
      <c r="I3629" t="s">
        <v>3254</v>
      </c>
    </row>
    <row r="3630" spans="1:9" x14ac:dyDescent="0.25">
      <c r="A3630" t="s">
        <v>15613</v>
      </c>
      <c r="B3630" t="s">
        <v>15613</v>
      </c>
      <c r="C3630" t="s">
        <v>15614</v>
      </c>
      <c r="D3630" t="s">
        <v>3242</v>
      </c>
      <c r="E3630" t="s">
        <v>15710</v>
      </c>
      <c r="F3630" t="s">
        <v>3288</v>
      </c>
      <c r="G3630" t="s">
        <v>3060</v>
      </c>
      <c r="H3630" t="s">
        <v>3285</v>
      </c>
    </row>
    <row r="3631" spans="1:9" x14ac:dyDescent="0.25">
      <c r="A3631" t="s">
        <v>12509</v>
      </c>
      <c r="B3631" t="s">
        <v>12509</v>
      </c>
      <c r="C3631" t="s">
        <v>12510</v>
      </c>
      <c r="D3631" t="s">
        <v>3242</v>
      </c>
      <c r="E3631" t="s">
        <v>15710</v>
      </c>
      <c r="F3631" t="s">
        <v>3283</v>
      </c>
      <c r="G3631" t="s">
        <v>12511</v>
      </c>
      <c r="H3631" t="s">
        <v>3060</v>
      </c>
    </row>
    <row r="3632" spans="1:9" x14ac:dyDescent="0.25">
      <c r="A3632" t="s">
        <v>12512</v>
      </c>
      <c r="B3632" t="s">
        <v>12512</v>
      </c>
      <c r="C3632" t="s">
        <v>12513</v>
      </c>
      <c r="D3632" t="s">
        <v>3242</v>
      </c>
      <c r="E3632" t="s">
        <v>15710</v>
      </c>
      <c r="F3632" t="s">
        <v>3243</v>
      </c>
      <c r="G3632" t="s">
        <v>3387</v>
      </c>
      <c r="H3632" t="s">
        <v>3402</v>
      </c>
    </row>
    <row r="3633" spans="1:9" x14ac:dyDescent="0.25">
      <c r="A3633" t="s">
        <v>12514</v>
      </c>
      <c r="B3633" t="s">
        <v>12514</v>
      </c>
      <c r="C3633" t="s">
        <v>12515</v>
      </c>
      <c r="D3633" t="s">
        <v>3242</v>
      </c>
      <c r="E3633" t="s">
        <v>15710</v>
      </c>
      <c r="F3633" t="s">
        <v>3243</v>
      </c>
      <c r="G3633" t="s">
        <v>12516</v>
      </c>
      <c r="H3633" t="s">
        <v>3402</v>
      </c>
    </row>
    <row r="3634" spans="1:9" x14ac:dyDescent="0.25">
      <c r="A3634" t="s">
        <v>12517</v>
      </c>
      <c r="B3634" t="s">
        <v>12517</v>
      </c>
      <c r="C3634" t="s">
        <v>12518</v>
      </c>
      <c r="D3634" t="s">
        <v>3242</v>
      </c>
      <c r="E3634" t="s">
        <v>15710</v>
      </c>
      <c r="F3634" t="s">
        <v>3243</v>
      </c>
      <c r="G3634" t="s">
        <v>12519</v>
      </c>
      <c r="H3634" t="s">
        <v>3060</v>
      </c>
    </row>
    <row r="3635" spans="1:9" x14ac:dyDescent="0.25">
      <c r="A3635" t="s">
        <v>12520</v>
      </c>
      <c r="B3635" t="s">
        <v>12520</v>
      </c>
      <c r="C3635" t="s">
        <v>12521</v>
      </c>
      <c r="D3635" t="s">
        <v>3242</v>
      </c>
      <c r="E3635" t="s">
        <v>15710</v>
      </c>
      <c r="F3635" t="s">
        <v>3345</v>
      </c>
      <c r="G3635" t="s">
        <v>4344</v>
      </c>
      <c r="H3635" t="s">
        <v>4344</v>
      </c>
    </row>
    <row r="3636" spans="1:9" x14ac:dyDescent="0.25">
      <c r="A3636" t="s">
        <v>12522</v>
      </c>
      <c r="B3636" t="s">
        <v>12522</v>
      </c>
      <c r="C3636" t="s">
        <v>12523</v>
      </c>
      <c r="D3636" t="s">
        <v>3242</v>
      </c>
      <c r="E3636" t="s">
        <v>15710</v>
      </c>
      <c r="F3636" t="s">
        <v>3288</v>
      </c>
      <c r="G3636" t="s">
        <v>12524</v>
      </c>
      <c r="H3636" t="s">
        <v>4320</v>
      </c>
    </row>
    <row r="3637" spans="1:9" x14ac:dyDescent="0.25">
      <c r="A3637" t="s">
        <v>15615</v>
      </c>
      <c r="B3637" t="s">
        <v>15615</v>
      </c>
      <c r="C3637" t="s">
        <v>15616</v>
      </c>
      <c r="D3637" t="s">
        <v>3242</v>
      </c>
      <c r="E3637" t="s">
        <v>15710</v>
      </c>
      <c r="F3637" t="s">
        <v>3243</v>
      </c>
      <c r="G3637" t="s">
        <v>15617</v>
      </c>
      <c r="H3637" t="s">
        <v>4320</v>
      </c>
    </row>
    <row r="3638" spans="1:9" x14ac:dyDescent="0.25">
      <c r="A3638" t="s">
        <v>12525</v>
      </c>
      <c r="B3638" t="s">
        <v>12525</v>
      </c>
      <c r="C3638" t="s">
        <v>12526</v>
      </c>
      <c r="D3638" t="s">
        <v>3242</v>
      </c>
      <c r="E3638" t="s">
        <v>15710</v>
      </c>
      <c r="F3638" t="s">
        <v>3288</v>
      </c>
      <c r="G3638" t="s">
        <v>12527</v>
      </c>
      <c r="H3638" t="s">
        <v>3290</v>
      </c>
    </row>
    <row r="3639" spans="1:9" x14ac:dyDescent="0.25">
      <c r="A3639" t="s">
        <v>12528</v>
      </c>
      <c r="B3639" t="s">
        <v>12528</v>
      </c>
      <c r="C3639" t="s">
        <v>12529</v>
      </c>
      <c r="D3639" t="s">
        <v>3242</v>
      </c>
      <c r="E3639" t="s">
        <v>15710</v>
      </c>
      <c r="F3639" t="s">
        <v>4102</v>
      </c>
      <c r="G3639" t="s">
        <v>12530</v>
      </c>
      <c r="H3639" t="s">
        <v>3290</v>
      </c>
    </row>
    <row r="3640" spans="1:9" x14ac:dyDescent="0.25">
      <c r="A3640" t="s">
        <v>12531</v>
      </c>
      <c r="B3640" t="s">
        <v>12531</v>
      </c>
      <c r="C3640" t="s">
        <v>12532</v>
      </c>
      <c r="D3640" t="s">
        <v>3242</v>
      </c>
      <c r="E3640" t="s">
        <v>15710</v>
      </c>
      <c r="F3640" t="s">
        <v>15712</v>
      </c>
      <c r="G3640" t="s">
        <v>12533</v>
      </c>
      <c r="H3640" t="s">
        <v>4615</v>
      </c>
    </row>
    <row r="3641" spans="1:9" x14ac:dyDescent="0.25">
      <c r="A3641" t="s">
        <v>12534</v>
      </c>
      <c r="B3641" t="s">
        <v>12534</v>
      </c>
      <c r="C3641" t="s">
        <v>12535</v>
      </c>
      <c r="D3641" t="s">
        <v>3242</v>
      </c>
      <c r="E3641" t="s">
        <v>15710</v>
      </c>
      <c r="F3641" t="s">
        <v>3345</v>
      </c>
      <c r="G3641" t="s">
        <v>12536</v>
      </c>
      <c r="H3641" t="s">
        <v>3290</v>
      </c>
    </row>
    <row r="3642" spans="1:9" x14ac:dyDescent="0.25">
      <c r="A3642" t="s">
        <v>12537</v>
      </c>
      <c r="B3642" t="s">
        <v>12537</v>
      </c>
      <c r="C3642" t="s">
        <v>12538</v>
      </c>
      <c r="D3642" t="s">
        <v>3242</v>
      </c>
      <c r="E3642" t="s">
        <v>15710</v>
      </c>
      <c r="F3642" t="s">
        <v>3243</v>
      </c>
      <c r="G3642" t="s">
        <v>12539</v>
      </c>
      <c r="H3642" t="s">
        <v>4268</v>
      </c>
    </row>
    <row r="3643" spans="1:9" x14ac:dyDescent="0.25">
      <c r="A3643" t="s">
        <v>15618</v>
      </c>
      <c r="B3643" t="s">
        <v>15618</v>
      </c>
      <c r="C3643" t="s">
        <v>15619</v>
      </c>
      <c r="D3643" t="s">
        <v>3242</v>
      </c>
      <c r="E3643" t="s">
        <v>15710</v>
      </c>
      <c r="F3643" t="s">
        <v>3243</v>
      </c>
      <c r="G3643" t="s">
        <v>15620</v>
      </c>
      <c r="H3643" t="s">
        <v>11374</v>
      </c>
    </row>
    <row r="3644" spans="1:9" x14ac:dyDescent="0.25">
      <c r="A3644" t="s">
        <v>12540</v>
      </c>
      <c r="B3644" t="s">
        <v>12540</v>
      </c>
      <c r="C3644" t="s">
        <v>12541</v>
      </c>
      <c r="D3644" t="s">
        <v>3242</v>
      </c>
      <c r="E3644" t="s">
        <v>15710</v>
      </c>
      <c r="F3644" t="s">
        <v>3300</v>
      </c>
      <c r="G3644" t="s">
        <v>5609</v>
      </c>
      <c r="H3644" t="s">
        <v>3421</v>
      </c>
      <c r="I3644" t="s">
        <v>3254</v>
      </c>
    </row>
    <row r="3645" spans="1:9" x14ac:dyDescent="0.25">
      <c r="A3645" t="s">
        <v>12542</v>
      </c>
      <c r="B3645" t="s">
        <v>12542</v>
      </c>
      <c r="C3645" t="s">
        <v>12543</v>
      </c>
      <c r="D3645" t="s">
        <v>3242</v>
      </c>
      <c r="E3645" t="s">
        <v>15710</v>
      </c>
      <c r="F3645" t="s">
        <v>3243</v>
      </c>
      <c r="G3645" t="s">
        <v>12544</v>
      </c>
      <c r="H3645" t="s">
        <v>3402</v>
      </c>
    </row>
    <row r="3646" spans="1:9" x14ac:dyDescent="0.25">
      <c r="A3646" t="s">
        <v>12545</v>
      </c>
      <c r="B3646" t="s">
        <v>12545</v>
      </c>
      <c r="C3646" t="s">
        <v>12546</v>
      </c>
      <c r="D3646" t="s">
        <v>3242</v>
      </c>
      <c r="E3646" t="s">
        <v>15710</v>
      </c>
      <c r="F3646" t="s">
        <v>3345</v>
      </c>
      <c r="G3646" t="s">
        <v>4642</v>
      </c>
      <c r="H3646" t="s">
        <v>3290</v>
      </c>
    </row>
    <row r="3647" spans="1:9" x14ac:dyDescent="0.25">
      <c r="A3647" t="s">
        <v>12547</v>
      </c>
      <c r="B3647" t="s">
        <v>12547</v>
      </c>
      <c r="C3647" t="s">
        <v>12548</v>
      </c>
      <c r="D3647" t="s">
        <v>3242</v>
      </c>
      <c r="E3647" t="s">
        <v>15710</v>
      </c>
      <c r="F3647" t="s">
        <v>3288</v>
      </c>
      <c r="G3647" t="s">
        <v>4668</v>
      </c>
      <c r="H3647" t="s">
        <v>3285</v>
      </c>
    </row>
    <row r="3648" spans="1:9" x14ac:dyDescent="0.25">
      <c r="A3648" t="s">
        <v>12549</v>
      </c>
      <c r="B3648" t="s">
        <v>12549</v>
      </c>
      <c r="C3648" t="s">
        <v>12550</v>
      </c>
      <c r="D3648" t="s">
        <v>3242</v>
      </c>
      <c r="E3648" t="s">
        <v>15710</v>
      </c>
      <c r="F3648" t="s">
        <v>3288</v>
      </c>
      <c r="G3648" t="s">
        <v>12551</v>
      </c>
      <c r="H3648" t="s">
        <v>3060</v>
      </c>
    </row>
    <row r="3649" spans="1:9" x14ac:dyDescent="0.25">
      <c r="A3649" t="s">
        <v>12552</v>
      </c>
      <c r="B3649" t="s">
        <v>12552</v>
      </c>
      <c r="C3649" t="s">
        <v>12553</v>
      </c>
      <c r="D3649" t="s">
        <v>3242</v>
      </c>
      <c r="E3649" t="s">
        <v>15710</v>
      </c>
      <c r="F3649" t="s">
        <v>3243</v>
      </c>
      <c r="G3649" t="s">
        <v>12554</v>
      </c>
      <c r="H3649" t="s">
        <v>3290</v>
      </c>
    </row>
    <row r="3650" spans="1:9" x14ac:dyDescent="0.25">
      <c r="A3650" t="s">
        <v>12555</v>
      </c>
      <c r="B3650" t="s">
        <v>12555</v>
      </c>
      <c r="C3650" t="s">
        <v>12556</v>
      </c>
      <c r="D3650" t="s">
        <v>3242</v>
      </c>
      <c r="E3650" t="s">
        <v>15710</v>
      </c>
      <c r="F3650" t="s">
        <v>3257</v>
      </c>
      <c r="G3650" t="s">
        <v>12557</v>
      </c>
      <c r="H3650" t="s">
        <v>3357</v>
      </c>
    </row>
    <row r="3651" spans="1:9" x14ac:dyDescent="0.25">
      <c r="A3651" t="s">
        <v>16872</v>
      </c>
      <c r="B3651" t="s">
        <v>16872</v>
      </c>
      <c r="C3651" t="s">
        <v>16873</v>
      </c>
      <c r="D3651" t="s">
        <v>3242</v>
      </c>
      <c r="E3651" t="s">
        <v>17102</v>
      </c>
      <c r="F3651" t="s">
        <v>3243</v>
      </c>
      <c r="G3651" t="s">
        <v>16874</v>
      </c>
      <c r="H3651" t="s">
        <v>3749</v>
      </c>
    </row>
    <row r="3652" spans="1:9" x14ac:dyDescent="0.25">
      <c r="A3652" t="s">
        <v>12558</v>
      </c>
      <c r="B3652" t="s">
        <v>12383</v>
      </c>
      <c r="C3652" t="s">
        <v>12559</v>
      </c>
      <c r="D3652" t="s">
        <v>3242</v>
      </c>
      <c r="E3652" t="s">
        <v>15710</v>
      </c>
      <c r="F3652" t="s">
        <v>3345</v>
      </c>
      <c r="G3652" t="s">
        <v>3387</v>
      </c>
      <c r="H3652" t="s">
        <v>4035</v>
      </c>
    </row>
    <row r="3653" spans="1:9" x14ac:dyDescent="0.25">
      <c r="A3653" t="s">
        <v>12560</v>
      </c>
      <c r="B3653" t="s">
        <v>12561</v>
      </c>
      <c r="C3653" t="s">
        <v>12562</v>
      </c>
      <c r="D3653" t="s">
        <v>3242</v>
      </c>
      <c r="E3653" t="s">
        <v>15710</v>
      </c>
      <c r="F3653" t="s">
        <v>3345</v>
      </c>
      <c r="G3653" t="s">
        <v>4251</v>
      </c>
      <c r="H3653" t="s">
        <v>4800</v>
      </c>
    </row>
    <row r="3654" spans="1:9" x14ac:dyDescent="0.25">
      <c r="A3654" t="s">
        <v>12563</v>
      </c>
      <c r="B3654" t="s">
        <v>12563</v>
      </c>
      <c r="C3654" t="s">
        <v>12564</v>
      </c>
      <c r="D3654" t="s">
        <v>3242</v>
      </c>
      <c r="E3654" t="s">
        <v>15710</v>
      </c>
      <c r="F3654" t="s">
        <v>3345</v>
      </c>
      <c r="G3654" t="s">
        <v>12565</v>
      </c>
      <c r="H3654" t="s">
        <v>3285</v>
      </c>
    </row>
    <row r="3655" spans="1:9" x14ac:dyDescent="0.25">
      <c r="A3655" t="s">
        <v>5269</v>
      </c>
      <c r="B3655" t="s">
        <v>5269</v>
      </c>
      <c r="C3655" t="s">
        <v>12566</v>
      </c>
      <c r="D3655" t="s">
        <v>3242</v>
      </c>
      <c r="E3655" t="s">
        <v>15710</v>
      </c>
      <c r="F3655" t="s">
        <v>12567</v>
      </c>
      <c r="G3655" t="s">
        <v>12568</v>
      </c>
      <c r="H3655" t="s">
        <v>3060</v>
      </c>
    </row>
    <row r="3656" spans="1:9" x14ac:dyDescent="0.25">
      <c r="A3656" t="s">
        <v>16077</v>
      </c>
      <c r="B3656" t="s">
        <v>16077</v>
      </c>
      <c r="C3656" t="s">
        <v>16078</v>
      </c>
      <c r="D3656" t="s">
        <v>3242</v>
      </c>
      <c r="E3656" t="s">
        <v>15710</v>
      </c>
      <c r="F3656" t="s">
        <v>3243</v>
      </c>
      <c r="G3656" t="s">
        <v>4678</v>
      </c>
      <c r="H3656" t="s">
        <v>3618</v>
      </c>
    </row>
    <row r="3657" spans="1:9" x14ac:dyDescent="0.25">
      <c r="A3657" t="s">
        <v>12569</v>
      </c>
      <c r="B3657" t="s">
        <v>12569</v>
      </c>
      <c r="C3657" t="s">
        <v>12570</v>
      </c>
      <c r="D3657" t="s">
        <v>3242</v>
      </c>
      <c r="E3657" t="s">
        <v>15711</v>
      </c>
      <c r="F3657" t="s">
        <v>12571</v>
      </c>
      <c r="G3657" t="s">
        <v>12572</v>
      </c>
      <c r="H3657" t="s">
        <v>12573</v>
      </c>
      <c r="I3657" t="s">
        <v>3263</v>
      </c>
    </row>
    <row r="3658" spans="1:9" x14ac:dyDescent="0.25">
      <c r="A3658" t="s">
        <v>12574</v>
      </c>
      <c r="B3658" t="s">
        <v>12574</v>
      </c>
      <c r="C3658" t="s">
        <v>12575</v>
      </c>
      <c r="D3658" t="s">
        <v>3242</v>
      </c>
      <c r="E3658" t="s">
        <v>15710</v>
      </c>
      <c r="F3658" t="s">
        <v>4002</v>
      </c>
      <c r="G3658" t="s">
        <v>12576</v>
      </c>
      <c r="H3658" t="s">
        <v>4502</v>
      </c>
      <c r="I3658" t="s">
        <v>3451</v>
      </c>
    </row>
    <row r="3659" spans="1:9" x14ac:dyDescent="0.25">
      <c r="A3659" t="s">
        <v>12577</v>
      </c>
      <c r="B3659" t="s">
        <v>12577</v>
      </c>
      <c r="C3659" t="s">
        <v>12578</v>
      </c>
      <c r="D3659" t="s">
        <v>3242</v>
      </c>
      <c r="E3659" t="s">
        <v>15710</v>
      </c>
      <c r="F3659" t="s">
        <v>3288</v>
      </c>
      <c r="G3659" t="s">
        <v>12579</v>
      </c>
      <c r="H3659" t="s">
        <v>4740</v>
      </c>
    </row>
    <row r="3660" spans="1:9" x14ac:dyDescent="0.25">
      <c r="A3660" t="s">
        <v>12580</v>
      </c>
      <c r="B3660" t="s">
        <v>12580</v>
      </c>
      <c r="C3660" t="s">
        <v>12581</v>
      </c>
      <c r="D3660" t="s">
        <v>3242</v>
      </c>
      <c r="E3660" t="s">
        <v>15710</v>
      </c>
      <c r="F3660" t="s">
        <v>3345</v>
      </c>
      <c r="G3660" t="s">
        <v>11115</v>
      </c>
      <c r="H3660" t="s">
        <v>3285</v>
      </c>
    </row>
    <row r="3661" spans="1:9" x14ac:dyDescent="0.25">
      <c r="A3661" t="s">
        <v>12582</v>
      </c>
      <c r="B3661" t="s">
        <v>12582</v>
      </c>
      <c r="C3661" t="s">
        <v>12583</v>
      </c>
      <c r="D3661" t="s">
        <v>3242</v>
      </c>
      <c r="E3661" t="s">
        <v>15710</v>
      </c>
      <c r="F3661" t="s">
        <v>3306</v>
      </c>
      <c r="G3661" t="s">
        <v>11221</v>
      </c>
      <c r="H3661" t="s">
        <v>3643</v>
      </c>
    </row>
    <row r="3662" spans="1:9" x14ac:dyDescent="0.25">
      <c r="A3662" t="s">
        <v>12584</v>
      </c>
      <c r="B3662" t="s">
        <v>12584</v>
      </c>
      <c r="C3662" t="s">
        <v>12585</v>
      </c>
      <c r="D3662" t="s">
        <v>3242</v>
      </c>
      <c r="E3662" t="s">
        <v>15710</v>
      </c>
      <c r="F3662" t="s">
        <v>3257</v>
      </c>
      <c r="G3662" t="s">
        <v>12586</v>
      </c>
      <c r="H3662" t="s">
        <v>3496</v>
      </c>
      <c r="I3662" t="s">
        <v>3407</v>
      </c>
    </row>
    <row r="3663" spans="1:9" x14ac:dyDescent="0.25">
      <c r="A3663" t="s">
        <v>12587</v>
      </c>
      <c r="B3663" t="s">
        <v>12587</v>
      </c>
      <c r="C3663" t="s">
        <v>12588</v>
      </c>
      <c r="D3663" t="s">
        <v>3242</v>
      </c>
      <c r="E3663" t="s">
        <v>15710</v>
      </c>
      <c r="F3663" t="s">
        <v>3288</v>
      </c>
      <c r="G3663" t="s">
        <v>12589</v>
      </c>
      <c r="H3663" t="s">
        <v>3290</v>
      </c>
    </row>
    <row r="3664" spans="1:9" x14ac:dyDescent="0.25">
      <c r="A3664" t="s">
        <v>12590</v>
      </c>
      <c r="B3664" t="s">
        <v>12590</v>
      </c>
      <c r="C3664" t="s">
        <v>12591</v>
      </c>
      <c r="D3664" t="s">
        <v>3242</v>
      </c>
      <c r="E3664" t="s">
        <v>15990</v>
      </c>
      <c r="F3664" t="s">
        <v>12592</v>
      </c>
      <c r="G3664" t="s">
        <v>12593</v>
      </c>
      <c r="H3664" t="s">
        <v>3440</v>
      </c>
      <c r="I3664" t="s">
        <v>3407</v>
      </c>
    </row>
    <row r="3665" spans="1:9" x14ac:dyDescent="0.25">
      <c r="A3665" t="s">
        <v>12594</v>
      </c>
      <c r="B3665" t="s">
        <v>12594</v>
      </c>
      <c r="C3665" t="s">
        <v>12595</v>
      </c>
      <c r="D3665" t="s">
        <v>3242</v>
      </c>
      <c r="E3665" t="s">
        <v>17183</v>
      </c>
      <c r="F3665" t="s">
        <v>3251</v>
      </c>
      <c r="G3665" t="s">
        <v>12596</v>
      </c>
      <c r="H3665" t="s">
        <v>3421</v>
      </c>
      <c r="I3665" t="s">
        <v>3254</v>
      </c>
    </row>
    <row r="3666" spans="1:9" x14ac:dyDescent="0.25">
      <c r="A3666" t="s">
        <v>12597</v>
      </c>
      <c r="B3666" t="s">
        <v>12597</v>
      </c>
      <c r="C3666" t="s">
        <v>12598</v>
      </c>
      <c r="D3666" t="s">
        <v>3242</v>
      </c>
      <c r="E3666" t="s">
        <v>17464</v>
      </c>
      <c r="F3666" t="s">
        <v>3300</v>
      </c>
      <c r="G3666" t="s">
        <v>12599</v>
      </c>
      <c r="H3666" t="s">
        <v>3726</v>
      </c>
      <c r="I3666" t="s">
        <v>3254</v>
      </c>
    </row>
    <row r="3667" spans="1:9" x14ac:dyDescent="0.25">
      <c r="A3667" t="s">
        <v>12600</v>
      </c>
      <c r="B3667" t="s">
        <v>12600</v>
      </c>
      <c r="C3667" t="s">
        <v>12601</v>
      </c>
      <c r="D3667" t="s">
        <v>3242</v>
      </c>
      <c r="E3667" t="s">
        <v>15710</v>
      </c>
      <c r="F3667" t="s">
        <v>3300</v>
      </c>
      <c r="G3667" t="s">
        <v>12602</v>
      </c>
      <c r="H3667" t="s">
        <v>3060</v>
      </c>
    </row>
    <row r="3668" spans="1:9" x14ac:dyDescent="0.25">
      <c r="A3668" t="s">
        <v>17465</v>
      </c>
      <c r="B3668" t="s">
        <v>17465</v>
      </c>
      <c r="C3668" t="s">
        <v>17466</v>
      </c>
      <c r="D3668" t="s">
        <v>3242</v>
      </c>
      <c r="E3668" t="s">
        <v>17467</v>
      </c>
      <c r="F3668" t="s">
        <v>3243</v>
      </c>
      <c r="G3668" t="s">
        <v>17468</v>
      </c>
      <c r="H3668" t="s">
        <v>3387</v>
      </c>
    </row>
    <row r="3669" spans="1:9" x14ac:dyDescent="0.25">
      <c r="A3669" t="s">
        <v>12603</v>
      </c>
      <c r="B3669" t="s">
        <v>12603</v>
      </c>
      <c r="C3669" t="s">
        <v>12604</v>
      </c>
      <c r="D3669" t="s">
        <v>3242</v>
      </c>
      <c r="E3669" t="s">
        <v>15710</v>
      </c>
      <c r="F3669" t="s">
        <v>3288</v>
      </c>
      <c r="G3669" t="s">
        <v>12605</v>
      </c>
      <c r="H3669" t="s">
        <v>3285</v>
      </c>
    </row>
    <row r="3670" spans="1:9" x14ac:dyDescent="0.25">
      <c r="A3670" t="s">
        <v>12606</v>
      </c>
      <c r="B3670" t="s">
        <v>12606</v>
      </c>
      <c r="C3670" t="s">
        <v>12607</v>
      </c>
      <c r="D3670" t="s">
        <v>3242</v>
      </c>
      <c r="E3670" t="s">
        <v>15710</v>
      </c>
      <c r="F3670" t="s">
        <v>3243</v>
      </c>
      <c r="G3670" t="s">
        <v>12608</v>
      </c>
      <c r="H3670" t="s">
        <v>3488</v>
      </c>
    </row>
    <row r="3671" spans="1:9" x14ac:dyDescent="0.25">
      <c r="A3671" t="s">
        <v>12609</v>
      </c>
      <c r="B3671" t="s">
        <v>12609</v>
      </c>
      <c r="C3671" t="s">
        <v>12610</v>
      </c>
      <c r="D3671" t="s">
        <v>3242</v>
      </c>
      <c r="E3671" t="s">
        <v>15710</v>
      </c>
      <c r="F3671" t="s">
        <v>3345</v>
      </c>
      <c r="G3671" t="s">
        <v>12611</v>
      </c>
      <c r="H3671" t="s">
        <v>11116</v>
      </c>
    </row>
    <row r="3672" spans="1:9" x14ac:dyDescent="0.25">
      <c r="A3672" t="s">
        <v>12612</v>
      </c>
      <c r="B3672" t="s">
        <v>12612</v>
      </c>
      <c r="C3672" t="s">
        <v>12613</v>
      </c>
      <c r="D3672" t="s">
        <v>3242</v>
      </c>
      <c r="E3672" t="s">
        <v>15710</v>
      </c>
      <c r="F3672" t="s">
        <v>3243</v>
      </c>
      <c r="G3672" t="s">
        <v>3483</v>
      </c>
      <c r="H3672" t="s">
        <v>3402</v>
      </c>
    </row>
    <row r="3673" spans="1:9" x14ac:dyDescent="0.25">
      <c r="A3673" t="s">
        <v>16736</v>
      </c>
      <c r="B3673" t="s">
        <v>16736</v>
      </c>
      <c r="C3673" t="s">
        <v>16737</v>
      </c>
      <c r="D3673" t="s">
        <v>3242</v>
      </c>
      <c r="E3673" t="s">
        <v>15710</v>
      </c>
      <c r="F3673" t="s">
        <v>3243</v>
      </c>
      <c r="G3673" t="s">
        <v>3346</v>
      </c>
      <c r="H3673" t="s">
        <v>3285</v>
      </c>
    </row>
    <row r="3674" spans="1:9" x14ac:dyDescent="0.25">
      <c r="A3674" t="s">
        <v>16362</v>
      </c>
      <c r="B3674" t="s">
        <v>16362</v>
      </c>
      <c r="C3674" t="s">
        <v>16363</v>
      </c>
      <c r="D3674" t="s">
        <v>3242</v>
      </c>
      <c r="E3674" t="s">
        <v>15710</v>
      </c>
      <c r="F3674" t="s">
        <v>3288</v>
      </c>
      <c r="G3674" t="s">
        <v>3060</v>
      </c>
      <c r="H3674" t="s">
        <v>3285</v>
      </c>
    </row>
    <row r="3675" spans="1:9" x14ac:dyDescent="0.25">
      <c r="A3675" t="s">
        <v>15621</v>
      </c>
      <c r="B3675" t="s">
        <v>15621</v>
      </c>
      <c r="C3675" t="s">
        <v>15622</v>
      </c>
      <c r="D3675" t="s">
        <v>3242</v>
      </c>
      <c r="E3675" t="s">
        <v>15710</v>
      </c>
      <c r="F3675" t="s">
        <v>3288</v>
      </c>
      <c r="G3675" t="s">
        <v>3060</v>
      </c>
      <c r="H3675" t="s">
        <v>3285</v>
      </c>
    </row>
    <row r="3676" spans="1:9" x14ac:dyDescent="0.25">
      <c r="A3676" t="s">
        <v>12614</v>
      </c>
      <c r="B3676" t="s">
        <v>12614</v>
      </c>
      <c r="C3676" t="s">
        <v>12615</v>
      </c>
      <c r="D3676" t="s">
        <v>3242</v>
      </c>
      <c r="E3676" t="s">
        <v>15991</v>
      </c>
      <c r="F3676" t="s">
        <v>3243</v>
      </c>
      <c r="G3676" t="s">
        <v>3243</v>
      </c>
      <c r="H3676" t="s">
        <v>3290</v>
      </c>
    </row>
    <row r="3677" spans="1:9" x14ac:dyDescent="0.25">
      <c r="A3677" t="s">
        <v>12616</v>
      </c>
      <c r="B3677" t="s">
        <v>12616</v>
      </c>
      <c r="C3677" t="s">
        <v>12617</v>
      </c>
      <c r="D3677" t="s">
        <v>3242</v>
      </c>
      <c r="E3677" t="s">
        <v>17469</v>
      </c>
      <c r="F3677" t="s">
        <v>3372</v>
      </c>
      <c r="G3677" t="s">
        <v>12618</v>
      </c>
      <c r="H3677" t="s">
        <v>3484</v>
      </c>
      <c r="I3677" t="s">
        <v>14986</v>
      </c>
    </row>
    <row r="3678" spans="1:9" x14ac:dyDescent="0.25">
      <c r="A3678" t="s">
        <v>12619</v>
      </c>
      <c r="B3678" t="s">
        <v>12619</v>
      </c>
      <c r="C3678" t="s">
        <v>12620</v>
      </c>
      <c r="D3678" t="s">
        <v>3242</v>
      </c>
      <c r="E3678" t="s">
        <v>15710</v>
      </c>
      <c r="F3678" t="s">
        <v>3257</v>
      </c>
      <c r="G3678" t="s">
        <v>12621</v>
      </c>
      <c r="H3678" t="s">
        <v>3353</v>
      </c>
    </row>
    <row r="3679" spans="1:9" x14ac:dyDescent="0.25">
      <c r="A3679" t="s">
        <v>12622</v>
      </c>
      <c r="B3679" t="s">
        <v>12622</v>
      </c>
      <c r="C3679" t="s">
        <v>12623</v>
      </c>
      <c r="D3679" t="s">
        <v>3242</v>
      </c>
      <c r="E3679" t="s">
        <v>15710</v>
      </c>
      <c r="F3679" t="s">
        <v>3345</v>
      </c>
      <c r="G3679" t="s">
        <v>12624</v>
      </c>
      <c r="H3679" t="s">
        <v>3285</v>
      </c>
    </row>
    <row r="3680" spans="1:9" x14ac:dyDescent="0.25">
      <c r="A3680" t="s">
        <v>12625</v>
      </c>
      <c r="B3680" t="s">
        <v>12625</v>
      </c>
      <c r="C3680" t="s">
        <v>12626</v>
      </c>
      <c r="D3680" t="s">
        <v>3242</v>
      </c>
      <c r="E3680" t="s">
        <v>15710</v>
      </c>
      <c r="F3680" t="s">
        <v>3243</v>
      </c>
      <c r="G3680" t="s">
        <v>12627</v>
      </c>
      <c r="H3680" t="s">
        <v>3060</v>
      </c>
    </row>
    <row r="3681" spans="1:9" x14ac:dyDescent="0.25">
      <c r="A3681" t="s">
        <v>12628</v>
      </c>
      <c r="B3681" t="s">
        <v>12628</v>
      </c>
      <c r="C3681" t="s">
        <v>12629</v>
      </c>
      <c r="D3681" t="s">
        <v>3242</v>
      </c>
      <c r="E3681" t="s">
        <v>15710</v>
      </c>
      <c r="F3681" t="s">
        <v>3306</v>
      </c>
      <c r="G3681" t="s">
        <v>12630</v>
      </c>
      <c r="H3681" t="s">
        <v>5151</v>
      </c>
    </row>
    <row r="3682" spans="1:9" x14ac:dyDescent="0.25">
      <c r="A3682" t="s">
        <v>12631</v>
      </c>
      <c r="B3682" t="s">
        <v>12631</v>
      </c>
      <c r="C3682" t="s">
        <v>12632</v>
      </c>
      <c r="D3682" t="s">
        <v>3242</v>
      </c>
      <c r="E3682" t="s">
        <v>15710</v>
      </c>
      <c r="F3682" t="s">
        <v>3243</v>
      </c>
      <c r="G3682" t="s">
        <v>3243</v>
      </c>
      <c r="H3682" t="s">
        <v>3290</v>
      </c>
    </row>
    <row r="3683" spans="1:9" x14ac:dyDescent="0.25">
      <c r="A3683" t="s">
        <v>12633</v>
      </c>
      <c r="B3683" t="s">
        <v>12633</v>
      </c>
      <c r="C3683" t="s">
        <v>12634</v>
      </c>
      <c r="D3683" t="s">
        <v>3242</v>
      </c>
      <c r="E3683" t="s">
        <v>15710</v>
      </c>
      <c r="F3683" t="s">
        <v>3826</v>
      </c>
      <c r="G3683" t="s">
        <v>12635</v>
      </c>
      <c r="H3683" t="s">
        <v>3285</v>
      </c>
    </row>
    <row r="3684" spans="1:9" x14ac:dyDescent="0.25">
      <c r="A3684" t="s">
        <v>12636</v>
      </c>
      <c r="B3684" t="s">
        <v>12636</v>
      </c>
      <c r="C3684" t="s">
        <v>12637</v>
      </c>
      <c r="D3684" t="s">
        <v>3242</v>
      </c>
      <c r="E3684" t="s">
        <v>15710</v>
      </c>
      <c r="F3684" t="s">
        <v>3243</v>
      </c>
    </row>
    <row r="3685" spans="1:9" x14ac:dyDescent="0.25">
      <c r="A3685" t="s">
        <v>12638</v>
      </c>
      <c r="B3685" t="s">
        <v>12638</v>
      </c>
      <c r="C3685" t="s">
        <v>12639</v>
      </c>
      <c r="D3685" t="s">
        <v>3242</v>
      </c>
      <c r="E3685" t="s">
        <v>15710</v>
      </c>
      <c r="F3685" t="s">
        <v>3243</v>
      </c>
      <c r="G3685" t="s">
        <v>12640</v>
      </c>
      <c r="H3685" t="s">
        <v>3290</v>
      </c>
    </row>
    <row r="3686" spans="1:9" x14ac:dyDescent="0.25">
      <c r="A3686" t="s">
        <v>12641</v>
      </c>
      <c r="B3686" t="s">
        <v>12641</v>
      </c>
      <c r="C3686" t="s">
        <v>12642</v>
      </c>
      <c r="D3686" t="s">
        <v>3242</v>
      </c>
      <c r="E3686" t="s">
        <v>15710</v>
      </c>
      <c r="F3686" t="s">
        <v>3243</v>
      </c>
      <c r="G3686" t="s">
        <v>12643</v>
      </c>
      <c r="H3686" t="s">
        <v>3488</v>
      </c>
    </row>
    <row r="3687" spans="1:9" x14ac:dyDescent="0.25">
      <c r="A3687" t="s">
        <v>12644</v>
      </c>
      <c r="B3687" t="s">
        <v>12644</v>
      </c>
      <c r="C3687" t="s">
        <v>12645</v>
      </c>
      <c r="D3687" t="s">
        <v>3242</v>
      </c>
      <c r="E3687" t="s">
        <v>15710</v>
      </c>
      <c r="F3687" t="s">
        <v>3288</v>
      </c>
      <c r="G3687" t="s">
        <v>4831</v>
      </c>
      <c r="H3687" t="s">
        <v>4797</v>
      </c>
    </row>
    <row r="3688" spans="1:9" x14ac:dyDescent="0.25">
      <c r="A3688" t="s">
        <v>12646</v>
      </c>
      <c r="B3688" t="s">
        <v>12646</v>
      </c>
      <c r="C3688" t="s">
        <v>12647</v>
      </c>
      <c r="D3688" t="s">
        <v>3321</v>
      </c>
      <c r="E3688" t="s">
        <v>15710</v>
      </c>
      <c r="F3688" t="s">
        <v>3257</v>
      </c>
      <c r="G3688" t="s">
        <v>12648</v>
      </c>
      <c r="H3688" t="s">
        <v>3332</v>
      </c>
      <c r="I3688" t="s">
        <v>3268</v>
      </c>
    </row>
    <row r="3689" spans="1:9" x14ac:dyDescent="0.25">
      <c r="A3689" t="s">
        <v>12649</v>
      </c>
      <c r="B3689" t="s">
        <v>12649</v>
      </c>
      <c r="C3689" t="s">
        <v>12650</v>
      </c>
      <c r="D3689" t="s">
        <v>3242</v>
      </c>
      <c r="E3689" t="s">
        <v>15710</v>
      </c>
      <c r="F3689" t="s">
        <v>3243</v>
      </c>
      <c r="G3689" t="s">
        <v>12651</v>
      </c>
      <c r="H3689" t="s">
        <v>3285</v>
      </c>
    </row>
    <row r="3690" spans="1:9" x14ac:dyDescent="0.25">
      <c r="A3690" t="s">
        <v>16079</v>
      </c>
      <c r="B3690" t="s">
        <v>16079</v>
      </c>
      <c r="C3690" t="s">
        <v>16080</v>
      </c>
      <c r="D3690" t="s">
        <v>3242</v>
      </c>
      <c r="E3690" t="s">
        <v>15710</v>
      </c>
      <c r="F3690" t="s">
        <v>3243</v>
      </c>
      <c r="G3690" t="s">
        <v>16081</v>
      </c>
      <c r="H3690" t="s">
        <v>3285</v>
      </c>
    </row>
    <row r="3691" spans="1:9" x14ac:dyDescent="0.25">
      <c r="A3691" t="s">
        <v>12652</v>
      </c>
      <c r="B3691" t="s">
        <v>12652</v>
      </c>
      <c r="C3691" t="s">
        <v>12653</v>
      </c>
      <c r="D3691" t="s">
        <v>3242</v>
      </c>
      <c r="E3691" t="s">
        <v>15710</v>
      </c>
      <c r="F3691" t="s">
        <v>3251</v>
      </c>
      <c r="G3691" t="s">
        <v>12654</v>
      </c>
      <c r="H3691" t="s">
        <v>3387</v>
      </c>
      <c r="I3691" t="s">
        <v>3694</v>
      </c>
    </row>
    <row r="3692" spans="1:9" x14ac:dyDescent="0.25">
      <c r="A3692" t="s">
        <v>12655</v>
      </c>
      <c r="B3692" t="s">
        <v>12655</v>
      </c>
      <c r="C3692" t="s">
        <v>12656</v>
      </c>
      <c r="D3692" t="s">
        <v>3242</v>
      </c>
      <c r="E3692" t="s">
        <v>15710</v>
      </c>
      <c r="F3692" t="s">
        <v>3345</v>
      </c>
      <c r="G3692" t="s">
        <v>4007</v>
      </c>
      <c r="H3692" t="s">
        <v>3285</v>
      </c>
    </row>
    <row r="3693" spans="1:9" x14ac:dyDescent="0.25">
      <c r="A3693" t="s">
        <v>12657</v>
      </c>
      <c r="B3693" t="s">
        <v>12657</v>
      </c>
      <c r="C3693" t="s">
        <v>12658</v>
      </c>
      <c r="D3693" t="s">
        <v>3242</v>
      </c>
      <c r="E3693" t="s">
        <v>15710</v>
      </c>
      <c r="F3693" t="s">
        <v>3345</v>
      </c>
      <c r="G3693" t="s">
        <v>12659</v>
      </c>
      <c r="H3693" t="s">
        <v>4045</v>
      </c>
    </row>
    <row r="3694" spans="1:9" x14ac:dyDescent="0.25">
      <c r="A3694" t="s">
        <v>12660</v>
      </c>
      <c r="B3694" t="s">
        <v>12660</v>
      </c>
      <c r="C3694" t="s">
        <v>12661</v>
      </c>
      <c r="D3694" t="s">
        <v>3242</v>
      </c>
      <c r="E3694" t="s">
        <v>15710</v>
      </c>
      <c r="F3694" t="s">
        <v>3257</v>
      </c>
      <c r="G3694" t="s">
        <v>12662</v>
      </c>
      <c r="H3694" t="s">
        <v>4019</v>
      </c>
      <c r="I3694" t="s">
        <v>3694</v>
      </c>
    </row>
    <row r="3695" spans="1:9" x14ac:dyDescent="0.25">
      <c r="A3695" t="s">
        <v>16572</v>
      </c>
      <c r="B3695" t="s">
        <v>16572</v>
      </c>
      <c r="C3695" t="s">
        <v>16573</v>
      </c>
      <c r="D3695" t="s">
        <v>3242</v>
      </c>
      <c r="E3695" t="s">
        <v>16574</v>
      </c>
      <c r="F3695" t="s">
        <v>3251</v>
      </c>
      <c r="G3695" t="s">
        <v>16575</v>
      </c>
      <c r="H3695" t="s">
        <v>3060</v>
      </c>
      <c r="I3695" t="s">
        <v>5390</v>
      </c>
    </row>
    <row r="3696" spans="1:9" x14ac:dyDescent="0.25">
      <c r="A3696" t="s">
        <v>12663</v>
      </c>
      <c r="B3696" t="s">
        <v>12663</v>
      </c>
      <c r="C3696" t="s">
        <v>12664</v>
      </c>
      <c r="D3696" t="s">
        <v>3242</v>
      </c>
      <c r="E3696" t="s">
        <v>15710</v>
      </c>
      <c r="F3696" t="s">
        <v>3288</v>
      </c>
      <c r="G3696" t="s">
        <v>3060</v>
      </c>
      <c r="H3696" t="s">
        <v>3285</v>
      </c>
    </row>
    <row r="3697" spans="1:9" x14ac:dyDescent="0.25">
      <c r="A3697" t="s">
        <v>12665</v>
      </c>
      <c r="B3697" t="s">
        <v>12665</v>
      </c>
      <c r="C3697" t="s">
        <v>12666</v>
      </c>
      <c r="D3697" t="s">
        <v>3242</v>
      </c>
      <c r="E3697" t="s">
        <v>15710</v>
      </c>
      <c r="F3697" t="s">
        <v>3288</v>
      </c>
      <c r="G3697" t="s">
        <v>12667</v>
      </c>
      <c r="H3697" t="s">
        <v>3285</v>
      </c>
    </row>
    <row r="3698" spans="1:9" x14ac:dyDescent="0.25">
      <c r="A3698" t="s">
        <v>12668</v>
      </c>
      <c r="B3698" t="s">
        <v>12668</v>
      </c>
      <c r="C3698" t="s">
        <v>12669</v>
      </c>
      <c r="D3698" t="s">
        <v>3242</v>
      </c>
      <c r="E3698" t="s">
        <v>15710</v>
      </c>
      <c r="F3698" t="s">
        <v>3257</v>
      </c>
      <c r="G3698" t="s">
        <v>12670</v>
      </c>
      <c r="H3698" t="s">
        <v>6286</v>
      </c>
    </row>
    <row r="3699" spans="1:9" x14ac:dyDescent="0.25">
      <c r="A3699" t="s">
        <v>12671</v>
      </c>
      <c r="B3699" t="s">
        <v>12671</v>
      </c>
      <c r="C3699" t="s">
        <v>12672</v>
      </c>
      <c r="D3699" t="s">
        <v>3242</v>
      </c>
      <c r="E3699" t="s">
        <v>16361</v>
      </c>
      <c r="F3699" t="s">
        <v>3251</v>
      </c>
      <c r="G3699" t="s">
        <v>12673</v>
      </c>
      <c r="H3699" t="s">
        <v>3450</v>
      </c>
      <c r="I3699" t="s">
        <v>3451</v>
      </c>
    </row>
    <row r="3700" spans="1:9" x14ac:dyDescent="0.25">
      <c r="A3700" t="s">
        <v>12674</v>
      </c>
      <c r="B3700" t="s">
        <v>12674</v>
      </c>
      <c r="C3700" t="s">
        <v>12675</v>
      </c>
      <c r="D3700" t="s">
        <v>3242</v>
      </c>
      <c r="E3700" t="s">
        <v>15710</v>
      </c>
      <c r="F3700" t="s">
        <v>3306</v>
      </c>
      <c r="G3700" t="s">
        <v>12676</v>
      </c>
      <c r="H3700" t="s">
        <v>5665</v>
      </c>
    </row>
    <row r="3701" spans="1:9" x14ac:dyDescent="0.25">
      <c r="A3701" t="s">
        <v>12677</v>
      </c>
      <c r="B3701" t="s">
        <v>12677</v>
      </c>
      <c r="C3701" t="s">
        <v>12678</v>
      </c>
      <c r="D3701" t="s">
        <v>3242</v>
      </c>
      <c r="E3701" t="s">
        <v>15710</v>
      </c>
      <c r="F3701" t="s">
        <v>3288</v>
      </c>
      <c r="G3701" t="s">
        <v>12679</v>
      </c>
      <c r="H3701" t="s">
        <v>12366</v>
      </c>
    </row>
    <row r="3702" spans="1:9" x14ac:dyDescent="0.25">
      <c r="A3702" t="s">
        <v>12680</v>
      </c>
      <c r="B3702" t="s">
        <v>12680</v>
      </c>
      <c r="C3702" t="s">
        <v>12681</v>
      </c>
      <c r="D3702" t="s">
        <v>3242</v>
      </c>
      <c r="E3702" t="s">
        <v>15710</v>
      </c>
      <c r="F3702" t="s">
        <v>15712</v>
      </c>
      <c r="G3702" t="s">
        <v>4645</v>
      </c>
      <c r="H3702" t="s">
        <v>3290</v>
      </c>
    </row>
    <row r="3703" spans="1:9" x14ac:dyDescent="0.25">
      <c r="A3703" t="s">
        <v>12682</v>
      </c>
      <c r="B3703" t="s">
        <v>12682</v>
      </c>
      <c r="C3703" t="s">
        <v>12683</v>
      </c>
      <c r="D3703" t="s">
        <v>3321</v>
      </c>
      <c r="E3703" t="s">
        <v>15710</v>
      </c>
      <c r="F3703" t="s">
        <v>3257</v>
      </c>
      <c r="G3703" t="s">
        <v>12684</v>
      </c>
      <c r="H3703" t="s">
        <v>3267</v>
      </c>
    </row>
    <row r="3704" spans="1:9" x14ac:dyDescent="0.25">
      <c r="A3704" t="s">
        <v>12685</v>
      </c>
      <c r="B3704" t="s">
        <v>12685</v>
      </c>
      <c r="C3704" t="s">
        <v>12686</v>
      </c>
      <c r="D3704" t="s">
        <v>3242</v>
      </c>
      <c r="E3704" t="s">
        <v>15710</v>
      </c>
      <c r="F3704" t="s">
        <v>3306</v>
      </c>
      <c r="G3704" t="s">
        <v>12687</v>
      </c>
      <c r="H3704" t="s">
        <v>3332</v>
      </c>
    </row>
    <row r="3705" spans="1:9" x14ac:dyDescent="0.25">
      <c r="A3705" t="s">
        <v>16576</v>
      </c>
      <c r="B3705" t="s">
        <v>16576</v>
      </c>
      <c r="C3705" t="s">
        <v>16577</v>
      </c>
      <c r="D3705" t="s">
        <v>3242</v>
      </c>
      <c r="E3705" t="s">
        <v>15713</v>
      </c>
      <c r="F3705" t="s">
        <v>3243</v>
      </c>
      <c r="G3705" t="s">
        <v>16578</v>
      </c>
      <c r="H3705" t="s">
        <v>3248</v>
      </c>
    </row>
    <row r="3706" spans="1:9" x14ac:dyDescent="0.25">
      <c r="A3706" t="s">
        <v>15623</v>
      </c>
      <c r="B3706" t="s">
        <v>15623</v>
      </c>
      <c r="C3706" t="s">
        <v>15624</v>
      </c>
      <c r="D3706" t="s">
        <v>3242</v>
      </c>
      <c r="E3706" t="s">
        <v>15710</v>
      </c>
      <c r="F3706" t="s">
        <v>3288</v>
      </c>
      <c r="G3706" t="s">
        <v>15366</v>
      </c>
      <c r="H3706" t="s">
        <v>3744</v>
      </c>
    </row>
    <row r="3707" spans="1:9" x14ac:dyDescent="0.25">
      <c r="A3707" t="s">
        <v>12688</v>
      </c>
      <c r="B3707" t="s">
        <v>12688</v>
      </c>
      <c r="C3707" t="s">
        <v>12689</v>
      </c>
      <c r="D3707" t="s">
        <v>3242</v>
      </c>
      <c r="E3707" t="s">
        <v>15710</v>
      </c>
      <c r="F3707" t="s">
        <v>3826</v>
      </c>
      <c r="G3707" t="s">
        <v>12690</v>
      </c>
      <c r="H3707" t="s">
        <v>3744</v>
      </c>
    </row>
    <row r="3708" spans="1:9" x14ac:dyDescent="0.25">
      <c r="A3708" t="s">
        <v>12691</v>
      </c>
      <c r="B3708" t="s">
        <v>12691</v>
      </c>
      <c r="C3708" t="s">
        <v>12692</v>
      </c>
      <c r="D3708" t="s">
        <v>3242</v>
      </c>
      <c r="E3708" t="s">
        <v>15993</v>
      </c>
      <c r="F3708" t="s">
        <v>3243</v>
      </c>
      <c r="G3708" t="s">
        <v>12693</v>
      </c>
      <c r="H3708" t="s">
        <v>3280</v>
      </c>
      <c r="I3708" t="s">
        <v>3263</v>
      </c>
    </row>
    <row r="3709" spans="1:9" x14ac:dyDescent="0.25">
      <c r="A3709" t="s">
        <v>12694</v>
      </c>
      <c r="B3709" t="s">
        <v>12694</v>
      </c>
      <c r="C3709" t="s">
        <v>12692</v>
      </c>
      <c r="D3709" t="s">
        <v>3242</v>
      </c>
      <c r="E3709" t="s">
        <v>15710</v>
      </c>
      <c r="F3709" t="s">
        <v>3257</v>
      </c>
      <c r="G3709" t="s">
        <v>12695</v>
      </c>
      <c r="H3709" t="s">
        <v>3280</v>
      </c>
      <c r="I3709" t="s">
        <v>3263</v>
      </c>
    </row>
    <row r="3710" spans="1:9" x14ac:dyDescent="0.25">
      <c r="A3710" t="s">
        <v>12696</v>
      </c>
      <c r="B3710" t="s">
        <v>12696</v>
      </c>
      <c r="C3710" t="s">
        <v>12697</v>
      </c>
      <c r="D3710" t="s">
        <v>3242</v>
      </c>
      <c r="E3710" t="s">
        <v>15710</v>
      </c>
      <c r="F3710" t="s">
        <v>3243</v>
      </c>
      <c r="G3710" t="s">
        <v>12698</v>
      </c>
      <c r="H3710" t="s">
        <v>3290</v>
      </c>
    </row>
    <row r="3711" spans="1:9" x14ac:dyDescent="0.25">
      <c r="A3711" t="s">
        <v>16579</v>
      </c>
      <c r="B3711" t="s">
        <v>16579</v>
      </c>
      <c r="C3711" t="s">
        <v>16580</v>
      </c>
      <c r="D3711" t="s">
        <v>3242</v>
      </c>
      <c r="E3711" t="s">
        <v>16581</v>
      </c>
      <c r="F3711" t="s">
        <v>3306</v>
      </c>
      <c r="G3711" t="s">
        <v>16582</v>
      </c>
      <c r="H3711" t="s">
        <v>3421</v>
      </c>
      <c r="I3711" t="s">
        <v>3254</v>
      </c>
    </row>
    <row r="3712" spans="1:9" x14ac:dyDescent="0.25">
      <c r="A3712" t="s">
        <v>12699</v>
      </c>
      <c r="B3712" t="s">
        <v>12699</v>
      </c>
      <c r="C3712" t="s">
        <v>12700</v>
      </c>
      <c r="D3712" t="s">
        <v>3242</v>
      </c>
      <c r="E3712" t="s">
        <v>15710</v>
      </c>
      <c r="F3712" t="s">
        <v>3288</v>
      </c>
      <c r="G3712" t="s">
        <v>3060</v>
      </c>
      <c r="H3712" t="s">
        <v>3285</v>
      </c>
    </row>
    <row r="3713" spans="1:9" x14ac:dyDescent="0.25">
      <c r="A3713" t="s">
        <v>12701</v>
      </c>
      <c r="B3713" t="s">
        <v>12701</v>
      </c>
      <c r="C3713" t="s">
        <v>12702</v>
      </c>
      <c r="D3713" t="s">
        <v>3242</v>
      </c>
      <c r="E3713" t="s">
        <v>15710</v>
      </c>
      <c r="F3713" t="s">
        <v>3345</v>
      </c>
      <c r="G3713" t="s">
        <v>12703</v>
      </c>
      <c r="H3713" t="s">
        <v>4045</v>
      </c>
    </row>
    <row r="3714" spans="1:9" x14ac:dyDescent="0.25">
      <c r="A3714" t="s">
        <v>16583</v>
      </c>
      <c r="B3714" t="s">
        <v>16583</v>
      </c>
      <c r="C3714" t="s">
        <v>16584</v>
      </c>
      <c r="D3714" t="s">
        <v>3242</v>
      </c>
      <c r="E3714" t="s">
        <v>15710</v>
      </c>
      <c r="F3714" t="s">
        <v>3243</v>
      </c>
      <c r="G3714" t="s">
        <v>16585</v>
      </c>
      <c r="H3714" t="s">
        <v>16586</v>
      </c>
    </row>
    <row r="3715" spans="1:9" x14ac:dyDescent="0.25">
      <c r="A3715" t="s">
        <v>12704</v>
      </c>
      <c r="B3715" t="s">
        <v>12704</v>
      </c>
      <c r="C3715" t="s">
        <v>12705</v>
      </c>
      <c r="D3715" t="s">
        <v>3242</v>
      </c>
      <c r="E3715" t="s">
        <v>15710</v>
      </c>
      <c r="F3715" t="s">
        <v>10250</v>
      </c>
      <c r="G3715" t="s">
        <v>12706</v>
      </c>
      <c r="H3715" t="s">
        <v>4045</v>
      </c>
      <c r="I3715" t="s">
        <v>3375</v>
      </c>
    </row>
    <row r="3716" spans="1:9" x14ac:dyDescent="0.25">
      <c r="A3716" t="s">
        <v>12707</v>
      </c>
      <c r="B3716" t="s">
        <v>12707</v>
      </c>
      <c r="C3716" t="s">
        <v>12708</v>
      </c>
      <c r="D3716" t="s">
        <v>3242</v>
      </c>
      <c r="E3716" t="s">
        <v>15710</v>
      </c>
      <c r="F3716" t="s">
        <v>3243</v>
      </c>
      <c r="G3716" t="s">
        <v>12709</v>
      </c>
      <c r="H3716" t="s">
        <v>3285</v>
      </c>
    </row>
    <row r="3717" spans="1:9" x14ac:dyDescent="0.25">
      <c r="A3717" t="s">
        <v>12710</v>
      </c>
      <c r="B3717" t="s">
        <v>12710</v>
      </c>
      <c r="C3717" t="s">
        <v>12711</v>
      </c>
      <c r="D3717" t="s">
        <v>3242</v>
      </c>
      <c r="E3717" t="s">
        <v>15710</v>
      </c>
      <c r="F3717" t="s">
        <v>12712</v>
      </c>
      <c r="G3717" t="s">
        <v>12713</v>
      </c>
      <c r="H3717" t="s">
        <v>3060</v>
      </c>
    </row>
    <row r="3718" spans="1:9" x14ac:dyDescent="0.25">
      <c r="A3718" t="s">
        <v>12714</v>
      </c>
      <c r="B3718" t="s">
        <v>12714</v>
      </c>
      <c r="C3718" t="s">
        <v>12715</v>
      </c>
      <c r="D3718" t="s">
        <v>3242</v>
      </c>
      <c r="E3718" t="s">
        <v>15710</v>
      </c>
      <c r="F3718" t="s">
        <v>3306</v>
      </c>
      <c r="G3718" t="s">
        <v>12716</v>
      </c>
      <c r="H3718" t="s">
        <v>3290</v>
      </c>
      <c r="I3718" t="s">
        <v>3366</v>
      </c>
    </row>
    <row r="3719" spans="1:9" x14ac:dyDescent="0.25">
      <c r="A3719" t="s">
        <v>12717</v>
      </c>
      <c r="B3719" t="s">
        <v>12717</v>
      </c>
      <c r="C3719" t="s">
        <v>12718</v>
      </c>
      <c r="D3719" t="s">
        <v>3242</v>
      </c>
      <c r="E3719" t="s">
        <v>15710</v>
      </c>
      <c r="F3719" t="s">
        <v>3243</v>
      </c>
      <c r="G3719" t="s">
        <v>12719</v>
      </c>
      <c r="H3719" t="s">
        <v>4284</v>
      </c>
    </row>
    <row r="3720" spans="1:9" x14ac:dyDescent="0.25">
      <c r="A3720" t="s">
        <v>12720</v>
      </c>
      <c r="B3720" t="s">
        <v>12720</v>
      </c>
      <c r="C3720" t="s">
        <v>12721</v>
      </c>
      <c r="D3720" t="s">
        <v>3242</v>
      </c>
      <c r="E3720" t="s">
        <v>15710</v>
      </c>
      <c r="F3720" t="s">
        <v>3243</v>
      </c>
      <c r="G3720" t="s">
        <v>12722</v>
      </c>
      <c r="H3720" t="s">
        <v>3402</v>
      </c>
    </row>
    <row r="3721" spans="1:9" x14ac:dyDescent="0.25">
      <c r="A3721" t="s">
        <v>12723</v>
      </c>
      <c r="B3721" t="s">
        <v>12723</v>
      </c>
      <c r="C3721" t="s">
        <v>12724</v>
      </c>
      <c r="D3721" t="s">
        <v>3242</v>
      </c>
      <c r="E3721" t="s">
        <v>15710</v>
      </c>
      <c r="F3721" t="s">
        <v>12725</v>
      </c>
      <c r="G3721" t="s">
        <v>12726</v>
      </c>
      <c r="H3721" t="s">
        <v>12727</v>
      </c>
      <c r="I3721" t="s">
        <v>7620</v>
      </c>
    </row>
    <row r="3722" spans="1:9" x14ac:dyDescent="0.25">
      <c r="A3722" t="s">
        <v>12728</v>
      </c>
      <c r="B3722" t="s">
        <v>12728</v>
      </c>
      <c r="C3722" t="s">
        <v>12729</v>
      </c>
      <c r="D3722" t="s">
        <v>3242</v>
      </c>
      <c r="E3722" t="s">
        <v>15710</v>
      </c>
      <c r="F3722" t="s">
        <v>3243</v>
      </c>
      <c r="G3722" t="s">
        <v>12730</v>
      </c>
      <c r="H3722" t="s">
        <v>4320</v>
      </c>
    </row>
    <row r="3723" spans="1:9" x14ac:dyDescent="0.25">
      <c r="A3723" t="s">
        <v>12731</v>
      </c>
      <c r="B3723" t="s">
        <v>12731</v>
      </c>
      <c r="C3723" t="s">
        <v>12732</v>
      </c>
      <c r="D3723" t="s">
        <v>3242</v>
      </c>
      <c r="E3723" t="s">
        <v>15710</v>
      </c>
      <c r="F3723" t="s">
        <v>3243</v>
      </c>
      <c r="G3723" t="s">
        <v>12733</v>
      </c>
      <c r="H3723" t="s">
        <v>4642</v>
      </c>
    </row>
    <row r="3724" spans="1:9" x14ac:dyDescent="0.25">
      <c r="A3724" t="s">
        <v>15625</v>
      </c>
      <c r="B3724" t="s">
        <v>15625</v>
      </c>
      <c r="C3724" t="s">
        <v>15626</v>
      </c>
      <c r="D3724" t="s">
        <v>3242</v>
      </c>
      <c r="E3724" t="s">
        <v>15710</v>
      </c>
      <c r="F3724" t="s">
        <v>3243</v>
      </c>
      <c r="G3724" t="s">
        <v>15627</v>
      </c>
      <c r="H3724" t="s">
        <v>15628</v>
      </c>
    </row>
    <row r="3725" spans="1:9" x14ac:dyDescent="0.25">
      <c r="A3725" t="s">
        <v>12734</v>
      </c>
      <c r="B3725" t="s">
        <v>12734</v>
      </c>
      <c r="C3725" t="s">
        <v>12735</v>
      </c>
      <c r="D3725" t="s">
        <v>3321</v>
      </c>
      <c r="E3725" t="s">
        <v>15710</v>
      </c>
      <c r="F3725" t="s">
        <v>3306</v>
      </c>
      <c r="G3725" t="s">
        <v>12736</v>
      </c>
      <c r="H3725" t="s">
        <v>3267</v>
      </c>
    </row>
    <row r="3726" spans="1:9" x14ac:dyDescent="0.25">
      <c r="A3726" t="s">
        <v>12737</v>
      </c>
      <c r="B3726" t="s">
        <v>12737</v>
      </c>
      <c r="C3726" t="s">
        <v>12738</v>
      </c>
      <c r="D3726" t="s">
        <v>3242</v>
      </c>
      <c r="E3726" t="s">
        <v>15710</v>
      </c>
      <c r="F3726" t="s">
        <v>3345</v>
      </c>
      <c r="G3726" t="s">
        <v>12739</v>
      </c>
      <c r="H3726" t="s">
        <v>3463</v>
      </c>
    </row>
    <row r="3727" spans="1:9" x14ac:dyDescent="0.25">
      <c r="A3727" t="s">
        <v>12740</v>
      </c>
      <c r="B3727" t="s">
        <v>12740</v>
      </c>
      <c r="C3727" t="s">
        <v>12741</v>
      </c>
      <c r="D3727" t="s">
        <v>3242</v>
      </c>
      <c r="E3727" t="s">
        <v>17103</v>
      </c>
      <c r="F3727" t="s">
        <v>3372</v>
      </c>
      <c r="G3727" t="s">
        <v>12742</v>
      </c>
      <c r="H3727" t="s">
        <v>3484</v>
      </c>
      <c r="I3727" t="s">
        <v>3375</v>
      </c>
    </row>
    <row r="3728" spans="1:9" x14ac:dyDescent="0.25">
      <c r="A3728" t="s">
        <v>12743</v>
      </c>
      <c r="B3728" t="s">
        <v>12743</v>
      </c>
      <c r="C3728" t="s">
        <v>12744</v>
      </c>
      <c r="D3728" t="s">
        <v>3242</v>
      </c>
      <c r="E3728" t="s">
        <v>15710</v>
      </c>
      <c r="F3728" t="s">
        <v>3257</v>
      </c>
      <c r="G3728" t="s">
        <v>12745</v>
      </c>
      <c r="H3728" t="s">
        <v>3417</v>
      </c>
    </row>
    <row r="3729" spans="1:9" x14ac:dyDescent="0.25">
      <c r="A3729" t="s">
        <v>12746</v>
      </c>
      <c r="B3729" t="s">
        <v>12746</v>
      </c>
      <c r="C3729" t="s">
        <v>12747</v>
      </c>
      <c r="D3729" t="s">
        <v>3242</v>
      </c>
      <c r="E3729" t="s">
        <v>15710</v>
      </c>
      <c r="F3729" t="s">
        <v>3243</v>
      </c>
      <c r="G3729" t="s">
        <v>12748</v>
      </c>
      <c r="H3729" t="s">
        <v>12749</v>
      </c>
    </row>
    <row r="3730" spans="1:9" x14ac:dyDescent="0.25">
      <c r="A3730" t="s">
        <v>12750</v>
      </c>
      <c r="B3730" t="s">
        <v>12750</v>
      </c>
      <c r="C3730" t="s">
        <v>12751</v>
      </c>
      <c r="D3730" t="s">
        <v>3242</v>
      </c>
      <c r="E3730" t="s">
        <v>15710</v>
      </c>
      <c r="F3730" t="s">
        <v>3306</v>
      </c>
      <c r="G3730" t="s">
        <v>12752</v>
      </c>
      <c r="H3730" t="s">
        <v>3417</v>
      </c>
    </row>
    <row r="3731" spans="1:9" x14ac:dyDescent="0.25">
      <c r="A3731" t="s">
        <v>12753</v>
      </c>
      <c r="B3731" t="s">
        <v>12753</v>
      </c>
      <c r="C3731" t="s">
        <v>12754</v>
      </c>
      <c r="D3731" t="s">
        <v>3242</v>
      </c>
      <c r="E3731" t="s">
        <v>15710</v>
      </c>
      <c r="F3731" t="s">
        <v>3243</v>
      </c>
      <c r="G3731" t="s">
        <v>12755</v>
      </c>
      <c r="H3731" t="s">
        <v>3402</v>
      </c>
    </row>
    <row r="3732" spans="1:9" x14ac:dyDescent="0.25">
      <c r="A3732" t="s">
        <v>12756</v>
      </c>
      <c r="B3732" t="s">
        <v>12756</v>
      </c>
      <c r="C3732" t="s">
        <v>12757</v>
      </c>
      <c r="D3732" t="s">
        <v>3242</v>
      </c>
      <c r="E3732" t="s">
        <v>15710</v>
      </c>
      <c r="F3732" t="s">
        <v>3345</v>
      </c>
      <c r="G3732" t="s">
        <v>12758</v>
      </c>
      <c r="H3732" t="s">
        <v>6843</v>
      </c>
    </row>
    <row r="3733" spans="1:9" x14ac:dyDescent="0.25">
      <c r="A3733" t="s">
        <v>12759</v>
      </c>
      <c r="B3733" t="s">
        <v>12759</v>
      </c>
      <c r="C3733" t="s">
        <v>12760</v>
      </c>
      <c r="D3733" t="s">
        <v>3242</v>
      </c>
      <c r="E3733" t="s">
        <v>15710</v>
      </c>
      <c r="F3733" t="s">
        <v>3243</v>
      </c>
      <c r="G3733" t="s">
        <v>12761</v>
      </c>
      <c r="H3733" t="s">
        <v>3402</v>
      </c>
    </row>
    <row r="3734" spans="1:9" x14ac:dyDescent="0.25">
      <c r="A3734" t="s">
        <v>12762</v>
      </c>
      <c r="B3734" t="s">
        <v>12762</v>
      </c>
      <c r="C3734" t="s">
        <v>12763</v>
      </c>
      <c r="D3734" t="s">
        <v>3242</v>
      </c>
      <c r="E3734" t="s">
        <v>15710</v>
      </c>
      <c r="F3734" t="s">
        <v>3306</v>
      </c>
      <c r="G3734" t="s">
        <v>12764</v>
      </c>
      <c r="H3734" t="s">
        <v>5151</v>
      </c>
      <c r="I3734" t="s">
        <v>3648</v>
      </c>
    </row>
    <row r="3735" spans="1:9" x14ac:dyDescent="0.25">
      <c r="A3735" t="s">
        <v>16803</v>
      </c>
      <c r="B3735" t="s">
        <v>16803</v>
      </c>
      <c r="C3735" t="s">
        <v>16804</v>
      </c>
      <c r="D3735" t="s">
        <v>3242</v>
      </c>
      <c r="E3735" t="s">
        <v>15710</v>
      </c>
      <c r="F3735" t="s">
        <v>3243</v>
      </c>
      <c r="G3735" t="s">
        <v>16805</v>
      </c>
      <c r="H3735" t="s">
        <v>3285</v>
      </c>
    </row>
    <row r="3736" spans="1:9" x14ac:dyDescent="0.25">
      <c r="A3736" t="s">
        <v>12765</v>
      </c>
      <c r="B3736" t="s">
        <v>12765</v>
      </c>
      <c r="C3736" t="s">
        <v>12766</v>
      </c>
      <c r="D3736" t="s">
        <v>3242</v>
      </c>
      <c r="E3736" t="s">
        <v>15712</v>
      </c>
      <c r="F3736" t="s">
        <v>3243</v>
      </c>
      <c r="G3736" t="s">
        <v>12767</v>
      </c>
      <c r="H3736" t="s">
        <v>12768</v>
      </c>
    </row>
    <row r="3737" spans="1:9" x14ac:dyDescent="0.25">
      <c r="A3737" t="s">
        <v>12769</v>
      </c>
      <c r="B3737" t="s">
        <v>12769</v>
      </c>
      <c r="C3737" t="s">
        <v>12770</v>
      </c>
      <c r="D3737" t="s">
        <v>3242</v>
      </c>
      <c r="E3737" t="s">
        <v>15710</v>
      </c>
      <c r="F3737" t="s">
        <v>3288</v>
      </c>
      <c r="G3737" t="s">
        <v>12771</v>
      </c>
      <c r="H3737" t="s">
        <v>10634</v>
      </c>
    </row>
    <row r="3738" spans="1:9" x14ac:dyDescent="0.25">
      <c r="A3738" t="s">
        <v>12772</v>
      </c>
      <c r="B3738" t="s">
        <v>12772</v>
      </c>
      <c r="C3738" t="s">
        <v>4886</v>
      </c>
      <c r="D3738" t="s">
        <v>3242</v>
      </c>
      <c r="E3738" t="s">
        <v>15710</v>
      </c>
      <c r="F3738" t="s">
        <v>3288</v>
      </c>
      <c r="G3738" t="s">
        <v>4887</v>
      </c>
      <c r="H3738" t="s">
        <v>3290</v>
      </c>
    </row>
    <row r="3739" spans="1:9" x14ac:dyDescent="0.25">
      <c r="A3739" t="s">
        <v>12773</v>
      </c>
      <c r="B3739" t="s">
        <v>12773</v>
      </c>
      <c r="C3739" t="s">
        <v>4889</v>
      </c>
      <c r="D3739" t="s">
        <v>3242</v>
      </c>
      <c r="E3739" t="s">
        <v>15710</v>
      </c>
      <c r="F3739" t="s">
        <v>3288</v>
      </c>
      <c r="G3739" t="s">
        <v>4890</v>
      </c>
      <c r="H3739" t="s">
        <v>10634</v>
      </c>
    </row>
    <row r="3740" spans="1:9" x14ac:dyDescent="0.25">
      <c r="A3740" t="s">
        <v>12774</v>
      </c>
      <c r="B3740" t="s">
        <v>12774</v>
      </c>
      <c r="C3740" t="s">
        <v>12775</v>
      </c>
      <c r="D3740" t="s">
        <v>3242</v>
      </c>
      <c r="E3740" t="s">
        <v>15710</v>
      </c>
      <c r="F3740" t="s">
        <v>3243</v>
      </c>
      <c r="G3740" t="s">
        <v>12776</v>
      </c>
      <c r="H3740" t="s">
        <v>3402</v>
      </c>
    </row>
    <row r="3741" spans="1:9" x14ac:dyDescent="0.25">
      <c r="A3741" t="s">
        <v>12777</v>
      </c>
      <c r="B3741" t="s">
        <v>12777</v>
      </c>
      <c r="C3741" t="s">
        <v>12778</v>
      </c>
      <c r="D3741" t="s">
        <v>3242</v>
      </c>
      <c r="E3741" t="s">
        <v>15710</v>
      </c>
      <c r="F3741" t="s">
        <v>3300</v>
      </c>
      <c r="G3741" t="s">
        <v>12779</v>
      </c>
      <c r="H3741" t="s">
        <v>3332</v>
      </c>
    </row>
    <row r="3742" spans="1:9" x14ac:dyDescent="0.25">
      <c r="A3742" t="s">
        <v>15629</v>
      </c>
      <c r="B3742" t="s">
        <v>15629</v>
      </c>
      <c r="C3742" t="s">
        <v>15630</v>
      </c>
      <c r="D3742" t="s">
        <v>3242</v>
      </c>
      <c r="E3742" t="s">
        <v>15710</v>
      </c>
      <c r="F3742" t="s">
        <v>3243</v>
      </c>
      <c r="G3742" t="s">
        <v>15631</v>
      </c>
      <c r="H3742" t="s">
        <v>10387</v>
      </c>
    </row>
    <row r="3743" spans="1:9" x14ac:dyDescent="0.25">
      <c r="A3743" t="s">
        <v>17470</v>
      </c>
      <c r="B3743" t="s">
        <v>17470</v>
      </c>
      <c r="C3743" t="s">
        <v>17471</v>
      </c>
      <c r="D3743" t="s">
        <v>3242</v>
      </c>
      <c r="E3743" t="s">
        <v>15710</v>
      </c>
      <c r="F3743" t="s">
        <v>3243</v>
      </c>
      <c r="G3743" t="s">
        <v>17472</v>
      </c>
      <c r="H3743" t="s">
        <v>3285</v>
      </c>
    </row>
    <row r="3744" spans="1:9" x14ac:dyDescent="0.25">
      <c r="A3744" t="s">
        <v>12780</v>
      </c>
      <c r="B3744" t="s">
        <v>12780</v>
      </c>
      <c r="C3744" t="s">
        <v>12781</v>
      </c>
      <c r="D3744" t="s">
        <v>3242</v>
      </c>
      <c r="E3744" t="s">
        <v>15710</v>
      </c>
      <c r="F3744" t="s">
        <v>3243</v>
      </c>
      <c r="G3744" t="s">
        <v>4486</v>
      </c>
      <c r="H3744" t="s">
        <v>3402</v>
      </c>
    </row>
    <row r="3745" spans="1:9" x14ac:dyDescent="0.25">
      <c r="A3745" t="s">
        <v>16738</v>
      </c>
      <c r="B3745" t="s">
        <v>16738</v>
      </c>
      <c r="C3745" t="s">
        <v>16739</v>
      </c>
      <c r="D3745" t="s">
        <v>3242</v>
      </c>
      <c r="E3745" t="s">
        <v>16740</v>
      </c>
      <c r="F3745" t="s">
        <v>3306</v>
      </c>
      <c r="G3745" t="s">
        <v>16741</v>
      </c>
      <c r="H3745" t="s">
        <v>5944</v>
      </c>
      <c r="I3745" t="s">
        <v>3328</v>
      </c>
    </row>
    <row r="3746" spans="1:9" x14ac:dyDescent="0.25">
      <c r="A3746" t="s">
        <v>15632</v>
      </c>
      <c r="B3746" t="s">
        <v>15632</v>
      </c>
      <c r="C3746" t="s">
        <v>15633</v>
      </c>
      <c r="D3746" t="s">
        <v>3242</v>
      </c>
      <c r="E3746" t="s">
        <v>15710</v>
      </c>
      <c r="F3746" t="s">
        <v>3243</v>
      </c>
      <c r="G3746" t="s">
        <v>15634</v>
      </c>
      <c r="H3746" t="s">
        <v>15635</v>
      </c>
    </row>
    <row r="3747" spans="1:9" x14ac:dyDescent="0.25">
      <c r="A3747" t="s">
        <v>17104</v>
      </c>
      <c r="B3747" t="s">
        <v>17104</v>
      </c>
      <c r="C3747" t="s">
        <v>17105</v>
      </c>
      <c r="D3747" t="s">
        <v>3242</v>
      </c>
      <c r="E3747" t="s">
        <v>15710</v>
      </c>
      <c r="F3747" t="s">
        <v>3243</v>
      </c>
      <c r="G3747" t="s">
        <v>17106</v>
      </c>
      <c r="H3747" t="s">
        <v>3285</v>
      </c>
    </row>
    <row r="3748" spans="1:9" x14ac:dyDescent="0.25">
      <c r="A3748" t="s">
        <v>12782</v>
      </c>
      <c r="B3748" t="s">
        <v>12782</v>
      </c>
      <c r="C3748" t="s">
        <v>12783</v>
      </c>
      <c r="D3748" t="s">
        <v>3242</v>
      </c>
      <c r="E3748" t="s">
        <v>15710</v>
      </c>
      <c r="F3748" t="s">
        <v>3288</v>
      </c>
      <c r="G3748" t="s">
        <v>4344</v>
      </c>
      <c r="H3748" t="s">
        <v>3290</v>
      </c>
    </row>
    <row r="3749" spans="1:9" x14ac:dyDescent="0.25">
      <c r="A3749" t="s">
        <v>12784</v>
      </c>
      <c r="B3749" t="s">
        <v>12784</v>
      </c>
      <c r="C3749" t="s">
        <v>12785</v>
      </c>
      <c r="D3749" t="s">
        <v>3242</v>
      </c>
      <c r="E3749" t="s">
        <v>15710</v>
      </c>
      <c r="F3749" t="s">
        <v>3243</v>
      </c>
      <c r="G3749" t="s">
        <v>12786</v>
      </c>
      <c r="H3749" t="s">
        <v>3290</v>
      </c>
    </row>
    <row r="3750" spans="1:9" x14ac:dyDescent="0.25">
      <c r="A3750" t="s">
        <v>12787</v>
      </c>
      <c r="B3750" t="s">
        <v>12787</v>
      </c>
      <c r="C3750" t="s">
        <v>12788</v>
      </c>
      <c r="D3750" t="s">
        <v>3242</v>
      </c>
      <c r="E3750" t="s">
        <v>15710</v>
      </c>
      <c r="F3750" t="s">
        <v>3345</v>
      </c>
      <c r="G3750" t="s">
        <v>12789</v>
      </c>
      <c r="H3750" t="s">
        <v>3680</v>
      </c>
    </row>
    <row r="3751" spans="1:9" x14ac:dyDescent="0.25">
      <c r="A3751" t="s">
        <v>16742</v>
      </c>
      <c r="B3751" t="s">
        <v>16742</v>
      </c>
      <c r="C3751" t="s">
        <v>16743</v>
      </c>
      <c r="D3751" t="s">
        <v>3242</v>
      </c>
      <c r="E3751" t="s">
        <v>15710</v>
      </c>
      <c r="F3751" t="s">
        <v>3243</v>
      </c>
      <c r="G3751" t="s">
        <v>3346</v>
      </c>
      <c r="H3751" t="s">
        <v>3285</v>
      </c>
    </row>
    <row r="3752" spans="1:9" x14ac:dyDescent="0.25">
      <c r="A3752" t="s">
        <v>12790</v>
      </c>
      <c r="B3752" t="s">
        <v>12790</v>
      </c>
      <c r="C3752" t="s">
        <v>12791</v>
      </c>
      <c r="D3752" t="s">
        <v>3242</v>
      </c>
      <c r="E3752" t="s">
        <v>15710</v>
      </c>
      <c r="F3752" t="s">
        <v>3243</v>
      </c>
      <c r="G3752" t="s">
        <v>12792</v>
      </c>
      <c r="H3752" t="s">
        <v>3290</v>
      </c>
    </row>
    <row r="3753" spans="1:9" x14ac:dyDescent="0.25">
      <c r="A3753" t="s">
        <v>15636</v>
      </c>
      <c r="B3753" t="s">
        <v>15636</v>
      </c>
      <c r="C3753" t="s">
        <v>15637</v>
      </c>
      <c r="D3753" t="s">
        <v>3242</v>
      </c>
      <c r="E3753" t="s">
        <v>15710</v>
      </c>
      <c r="F3753" t="s">
        <v>11078</v>
      </c>
      <c r="G3753" t="s">
        <v>15638</v>
      </c>
      <c r="H3753" t="s">
        <v>3417</v>
      </c>
      <c r="I3753" t="s">
        <v>3432</v>
      </c>
    </row>
    <row r="3754" spans="1:9" x14ac:dyDescent="0.25">
      <c r="A3754" t="s">
        <v>12793</v>
      </c>
      <c r="B3754" t="s">
        <v>12793</v>
      </c>
      <c r="C3754" t="s">
        <v>12794</v>
      </c>
      <c r="D3754" t="s">
        <v>3242</v>
      </c>
      <c r="E3754" t="s">
        <v>15710</v>
      </c>
      <c r="F3754" t="s">
        <v>3257</v>
      </c>
      <c r="G3754" t="s">
        <v>12795</v>
      </c>
      <c r="H3754" t="s">
        <v>4344</v>
      </c>
    </row>
    <row r="3755" spans="1:9" x14ac:dyDescent="0.25">
      <c r="A3755" t="s">
        <v>16587</v>
      </c>
      <c r="B3755" t="s">
        <v>16587</v>
      </c>
      <c r="C3755" t="s">
        <v>16588</v>
      </c>
      <c r="D3755" t="s">
        <v>3242</v>
      </c>
      <c r="E3755" t="s">
        <v>15710</v>
      </c>
      <c r="F3755" t="s">
        <v>3243</v>
      </c>
      <c r="G3755" t="s">
        <v>16589</v>
      </c>
      <c r="H3755" t="s">
        <v>3488</v>
      </c>
    </row>
    <row r="3756" spans="1:9" x14ac:dyDescent="0.25">
      <c r="A3756" t="s">
        <v>12796</v>
      </c>
      <c r="B3756" t="s">
        <v>12796</v>
      </c>
      <c r="C3756" t="s">
        <v>12797</v>
      </c>
      <c r="D3756" t="s">
        <v>3242</v>
      </c>
      <c r="E3756" t="s">
        <v>15710</v>
      </c>
      <c r="F3756" t="s">
        <v>3257</v>
      </c>
      <c r="G3756" t="s">
        <v>12798</v>
      </c>
      <c r="H3756" t="s">
        <v>3553</v>
      </c>
    </row>
    <row r="3757" spans="1:9" x14ac:dyDescent="0.25">
      <c r="A3757" t="s">
        <v>12799</v>
      </c>
      <c r="B3757" t="s">
        <v>12799</v>
      </c>
      <c r="C3757" t="s">
        <v>12800</v>
      </c>
      <c r="D3757" t="s">
        <v>3242</v>
      </c>
      <c r="E3757" t="s">
        <v>15710</v>
      </c>
      <c r="F3757" t="s">
        <v>3306</v>
      </c>
      <c r="G3757" t="s">
        <v>12801</v>
      </c>
      <c r="H3757" t="s">
        <v>3267</v>
      </c>
    </row>
    <row r="3758" spans="1:9" x14ac:dyDescent="0.25">
      <c r="A3758" t="s">
        <v>12802</v>
      </c>
      <c r="B3758" t="s">
        <v>12802</v>
      </c>
      <c r="C3758" t="s">
        <v>12803</v>
      </c>
      <c r="D3758" t="s">
        <v>3242</v>
      </c>
      <c r="E3758" t="s">
        <v>15710</v>
      </c>
      <c r="F3758" t="s">
        <v>3243</v>
      </c>
      <c r="G3758" t="s">
        <v>12804</v>
      </c>
      <c r="H3758" t="s">
        <v>4045</v>
      </c>
    </row>
    <row r="3759" spans="1:9" x14ac:dyDescent="0.25">
      <c r="A3759" t="s">
        <v>17107</v>
      </c>
      <c r="B3759" t="s">
        <v>17107</v>
      </c>
      <c r="C3759" t="s">
        <v>17108</v>
      </c>
      <c r="D3759" t="s">
        <v>3242</v>
      </c>
      <c r="E3759" t="s">
        <v>15710</v>
      </c>
      <c r="F3759" t="s">
        <v>17109</v>
      </c>
      <c r="G3759" t="s">
        <v>3060</v>
      </c>
      <c r="H3759" t="s">
        <v>3285</v>
      </c>
    </row>
    <row r="3760" spans="1:9" x14ac:dyDescent="0.25">
      <c r="A3760" t="s">
        <v>12805</v>
      </c>
      <c r="B3760" t="s">
        <v>12805</v>
      </c>
      <c r="C3760" t="s">
        <v>12806</v>
      </c>
      <c r="D3760" t="s">
        <v>3321</v>
      </c>
      <c r="E3760" t="s">
        <v>15710</v>
      </c>
      <c r="F3760" t="s">
        <v>3251</v>
      </c>
      <c r="G3760" t="s">
        <v>10583</v>
      </c>
      <c r="H3760" t="s">
        <v>3323</v>
      </c>
      <c r="I3760" t="s">
        <v>3324</v>
      </c>
    </row>
    <row r="3761" spans="1:9" x14ac:dyDescent="0.25">
      <c r="A3761" t="s">
        <v>12807</v>
      </c>
      <c r="B3761" t="s">
        <v>12807</v>
      </c>
      <c r="C3761" t="s">
        <v>12808</v>
      </c>
      <c r="D3761" t="s">
        <v>3242</v>
      </c>
      <c r="E3761" t="s">
        <v>15710</v>
      </c>
      <c r="F3761" t="s">
        <v>3243</v>
      </c>
      <c r="G3761" t="s">
        <v>12809</v>
      </c>
      <c r="H3761" t="s">
        <v>3290</v>
      </c>
    </row>
    <row r="3762" spans="1:9" x14ac:dyDescent="0.25">
      <c r="A3762" t="s">
        <v>12810</v>
      </c>
      <c r="B3762" t="s">
        <v>12810</v>
      </c>
      <c r="C3762" t="s">
        <v>12811</v>
      </c>
      <c r="D3762" t="s">
        <v>3242</v>
      </c>
      <c r="E3762" t="s">
        <v>15710</v>
      </c>
      <c r="F3762" t="s">
        <v>3257</v>
      </c>
      <c r="G3762" t="s">
        <v>15639</v>
      </c>
      <c r="H3762" t="s">
        <v>3413</v>
      </c>
      <c r="I3762" t="s">
        <v>3407</v>
      </c>
    </row>
    <row r="3763" spans="1:9" x14ac:dyDescent="0.25">
      <c r="A3763" t="s">
        <v>12813</v>
      </c>
      <c r="B3763" t="s">
        <v>12813</v>
      </c>
      <c r="C3763" t="s">
        <v>12814</v>
      </c>
      <c r="D3763" t="s">
        <v>3242</v>
      </c>
      <c r="E3763" t="s">
        <v>15710</v>
      </c>
      <c r="F3763" t="s">
        <v>3243</v>
      </c>
      <c r="G3763" t="s">
        <v>3060</v>
      </c>
      <c r="H3763" t="s">
        <v>3285</v>
      </c>
    </row>
    <row r="3764" spans="1:9" x14ac:dyDescent="0.25">
      <c r="A3764" t="s">
        <v>12815</v>
      </c>
      <c r="B3764" t="s">
        <v>12815</v>
      </c>
      <c r="C3764" t="s">
        <v>12816</v>
      </c>
      <c r="D3764" t="s">
        <v>3242</v>
      </c>
      <c r="E3764" t="s">
        <v>15710</v>
      </c>
      <c r="F3764" t="s">
        <v>3345</v>
      </c>
      <c r="G3764" t="s">
        <v>12817</v>
      </c>
      <c r="H3764" t="s">
        <v>3285</v>
      </c>
    </row>
    <row r="3765" spans="1:9" x14ac:dyDescent="0.25">
      <c r="A3765" t="s">
        <v>12818</v>
      </c>
      <c r="B3765" t="s">
        <v>12818</v>
      </c>
      <c r="C3765" t="s">
        <v>12819</v>
      </c>
      <c r="D3765" t="s">
        <v>3242</v>
      </c>
      <c r="E3765" t="s">
        <v>17110</v>
      </c>
      <c r="F3765" t="s">
        <v>12820</v>
      </c>
      <c r="G3765" t="s">
        <v>12821</v>
      </c>
      <c r="H3765" t="s">
        <v>4045</v>
      </c>
      <c r="I3765" t="s">
        <v>3694</v>
      </c>
    </row>
    <row r="3766" spans="1:9" x14ac:dyDescent="0.25">
      <c r="A3766" t="s">
        <v>12822</v>
      </c>
      <c r="B3766" t="s">
        <v>12822</v>
      </c>
      <c r="C3766" t="s">
        <v>12823</v>
      </c>
      <c r="D3766" t="s">
        <v>3242</v>
      </c>
      <c r="E3766" t="s">
        <v>15710</v>
      </c>
      <c r="F3766" t="s">
        <v>3306</v>
      </c>
      <c r="G3766" t="s">
        <v>12821</v>
      </c>
      <c r="H3766" t="s">
        <v>4045</v>
      </c>
      <c r="I3766" t="s">
        <v>3694</v>
      </c>
    </row>
    <row r="3767" spans="1:9" x14ac:dyDescent="0.25">
      <c r="A3767" t="s">
        <v>12824</v>
      </c>
      <c r="B3767" t="s">
        <v>12824</v>
      </c>
      <c r="C3767" t="s">
        <v>12825</v>
      </c>
      <c r="D3767" t="s">
        <v>3242</v>
      </c>
      <c r="E3767" t="s">
        <v>15710</v>
      </c>
      <c r="F3767" t="s">
        <v>3243</v>
      </c>
      <c r="G3767" t="s">
        <v>3507</v>
      </c>
      <c r="H3767" t="s">
        <v>3290</v>
      </c>
    </row>
    <row r="3768" spans="1:9" x14ac:dyDescent="0.25">
      <c r="A3768" t="s">
        <v>12826</v>
      </c>
      <c r="B3768" t="s">
        <v>12826</v>
      </c>
      <c r="C3768" t="s">
        <v>12827</v>
      </c>
      <c r="D3768" t="s">
        <v>3321</v>
      </c>
      <c r="E3768" t="s">
        <v>15710</v>
      </c>
      <c r="F3768" t="s">
        <v>3306</v>
      </c>
      <c r="G3768" t="s">
        <v>12828</v>
      </c>
      <c r="H3768" t="s">
        <v>12829</v>
      </c>
      <c r="I3768" t="s">
        <v>3268</v>
      </c>
    </row>
    <row r="3769" spans="1:9" x14ac:dyDescent="0.25">
      <c r="A3769" t="s">
        <v>15640</v>
      </c>
      <c r="B3769" t="s">
        <v>15640</v>
      </c>
      <c r="C3769" t="s">
        <v>15641</v>
      </c>
      <c r="D3769" t="s">
        <v>3242</v>
      </c>
      <c r="E3769" t="s">
        <v>15710</v>
      </c>
      <c r="F3769" t="s">
        <v>3288</v>
      </c>
      <c r="G3769" t="s">
        <v>3060</v>
      </c>
      <c r="H3769" t="s">
        <v>3060</v>
      </c>
    </row>
    <row r="3770" spans="1:9" x14ac:dyDescent="0.25">
      <c r="A3770" t="s">
        <v>17473</v>
      </c>
      <c r="B3770" t="s">
        <v>17473</v>
      </c>
      <c r="C3770" t="s">
        <v>17474</v>
      </c>
      <c r="D3770" t="s">
        <v>3242</v>
      </c>
      <c r="E3770" t="s">
        <v>15710</v>
      </c>
      <c r="F3770" t="s">
        <v>3243</v>
      </c>
      <c r="G3770" t="s">
        <v>17475</v>
      </c>
      <c r="H3770" t="s">
        <v>3285</v>
      </c>
    </row>
    <row r="3771" spans="1:9" x14ac:dyDescent="0.25">
      <c r="A3771" t="s">
        <v>15642</v>
      </c>
      <c r="B3771" t="s">
        <v>15642</v>
      </c>
      <c r="C3771" t="s">
        <v>15643</v>
      </c>
      <c r="D3771" t="s">
        <v>3242</v>
      </c>
      <c r="E3771" t="s">
        <v>15710</v>
      </c>
      <c r="F3771" t="s">
        <v>3288</v>
      </c>
      <c r="G3771" t="s">
        <v>3060</v>
      </c>
      <c r="H3771" t="s">
        <v>3285</v>
      </c>
    </row>
    <row r="3772" spans="1:9" x14ac:dyDescent="0.25">
      <c r="A3772" t="s">
        <v>12830</v>
      </c>
      <c r="B3772" t="s">
        <v>12830</v>
      </c>
      <c r="C3772" t="s">
        <v>12831</v>
      </c>
      <c r="D3772" t="s">
        <v>3242</v>
      </c>
      <c r="E3772" t="s">
        <v>15710</v>
      </c>
      <c r="F3772" t="s">
        <v>3288</v>
      </c>
      <c r="G3772" t="s">
        <v>4775</v>
      </c>
      <c r="H3772" t="s">
        <v>4740</v>
      </c>
    </row>
    <row r="3773" spans="1:9" x14ac:dyDescent="0.25">
      <c r="A3773" t="s">
        <v>12832</v>
      </c>
      <c r="B3773" t="s">
        <v>12832</v>
      </c>
      <c r="C3773" t="s">
        <v>12833</v>
      </c>
      <c r="D3773" t="s">
        <v>3242</v>
      </c>
      <c r="E3773" t="s">
        <v>15710</v>
      </c>
      <c r="F3773" t="s">
        <v>3288</v>
      </c>
      <c r="G3773" t="s">
        <v>12834</v>
      </c>
      <c r="H3773" t="s">
        <v>4740</v>
      </c>
    </row>
    <row r="3774" spans="1:9" x14ac:dyDescent="0.25">
      <c r="A3774" t="s">
        <v>12835</v>
      </c>
      <c r="B3774" t="s">
        <v>12835</v>
      </c>
      <c r="C3774" t="s">
        <v>12836</v>
      </c>
      <c r="D3774" t="s">
        <v>3242</v>
      </c>
      <c r="E3774" t="s">
        <v>15710</v>
      </c>
      <c r="F3774" t="s">
        <v>3243</v>
      </c>
      <c r="G3774" t="s">
        <v>12837</v>
      </c>
      <c r="H3774" t="s">
        <v>3290</v>
      </c>
    </row>
    <row r="3775" spans="1:9" x14ac:dyDescent="0.25">
      <c r="A3775" t="s">
        <v>15644</v>
      </c>
      <c r="B3775" t="s">
        <v>15644</v>
      </c>
      <c r="C3775" t="s">
        <v>15645</v>
      </c>
      <c r="D3775" t="s">
        <v>3242</v>
      </c>
      <c r="E3775" t="s">
        <v>15770</v>
      </c>
      <c r="F3775" t="s">
        <v>3251</v>
      </c>
      <c r="G3775" t="s">
        <v>15646</v>
      </c>
      <c r="H3775" t="s">
        <v>4045</v>
      </c>
      <c r="I3775" t="s">
        <v>5390</v>
      </c>
    </row>
    <row r="3776" spans="1:9" x14ac:dyDescent="0.25">
      <c r="A3776" t="s">
        <v>12838</v>
      </c>
      <c r="B3776" t="s">
        <v>12838</v>
      </c>
      <c r="C3776" t="s">
        <v>12839</v>
      </c>
      <c r="D3776" t="s">
        <v>3242</v>
      </c>
      <c r="E3776" t="s">
        <v>15968</v>
      </c>
      <c r="F3776" t="s">
        <v>9080</v>
      </c>
      <c r="G3776" t="s">
        <v>10378</v>
      </c>
      <c r="H3776" t="s">
        <v>3267</v>
      </c>
      <c r="I3776" t="s">
        <v>3366</v>
      </c>
    </row>
    <row r="3777" spans="1:9" x14ac:dyDescent="0.25">
      <c r="A3777" t="s">
        <v>17111</v>
      </c>
      <c r="B3777" t="s">
        <v>17111</v>
      </c>
      <c r="C3777" t="s">
        <v>17112</v>
      </c>
      <c r="D3777" t="s">
        <v>3242</v>
      </c>
      <c r="E3777" t="s">
        <v>15710</v>
      </c>
      <c r="F3777" t="s">
        <v>3243</v>
      </c>
      <c r="G3777" t="s">
        <v>4019</v>
      </c>
      <c r="H3777" t="s">
        <v>3285</v>
      </c>
    </row>
    <row r="3778" spans="1:9" x14ac:dyDescent="0.25">
      <c r="A3778" t="s">
        <v>12840</v>
      </c>
      <c r="B3778" t="s">
        <v>12840</v>
      </c>
      <c r="C3778" t="s">
        <v>12841</v>
      </c>
      <c r="D3778" t="s">
        <v>3242</v>
      </c>
      <c r="E3778" t="s">
        <v>15710</v>
      </c>
      <c r="F3778" t="s">
        <v>3243</v>
      </c>
      <c r="G3778" t="s">
        <v>12842</v>
      </c>
      <c r="H3778" t="s">
        <v>3285</v>
      </c>
    </row>
    <row r="3779" spans="1:9" x14ac:dyDescent="0.25">
      <c r="A3779" t="s">
        <v>12843</v>
      </c>
      <c r="B3779" t="s">
        <v>12843</v>
      </c>
      <c r="C3779" t="s">
        <v>12844</v>
      </c>
      <c r="D3779" t="s">
        <v>3242</v>
      </c>
      <c r="E3779" t="s">
        <v>15710</v>
      </c>
      <c r="F3779" t="s">
        <v>3243</v>
      </c>
      <c r="G3779" t="s">
        <v>12845</v>
      </c>
      <c r="H3779" t="s">
        <v>3285</v>
      </c>
    </row>
    <row r="3780" spans="1:9" x14ac:dyDescent="0.25">
      <c r="A3780" t="s">
        <v>12846</v>
      </c>
      <c r="B3780" t="s">
        <v>12846</v>
      </c>
      <c r="C3780" t="s">
        <v>12847</v>
      </c>
      <c r="D3780" t="s">
        <v>3242</v>
      </c>
      <c r="E3780" t="s">
        <v>15710</v>
      </c>
      <c r="F3780" t="s">
        <v>3345</v>
      </c>
      <c r="G3780" t="s">
        <v>4251</v>
      </c>
      <c r="H3780" t="s">
        <v>3290</v>
      </c>
    </row>
    <row r="3781" spans="1:9" x14ac:dyDescent="0.25">
      <c r="A3781" t="s">
        <v>12848</v>
      </c>
      <c r="B3781" t="s">
        <v>12848</v>
      </c>
      <c r="C3781" t="s">
        <v>12849</v>
      </c>
      <c r="D3781" t="s">
        <v>3242</v>
      </c>
      <c r="E3781" t="s">
        <v>15710</v>
      </c>
      <c r="F3781" t="s">
        <v>3243</v>
      </c>
      <c r="G3781" t="s">
        <v>12850</v>
      </c>
      <c r="H3781" t="s">
        <v>12851</v>
      </c>
    </row>
    <row r="3782" spans="1:9" x14ac:dyDescent="0.25">
      <c r="A3782" t="s">
        <v>12852</v>
      </c>
      <c r="B3782" t="s">
        <v>12852</v>
      </c>
      <c r="C3782" t="s">
        <v>12853</v>
      </c>
      <c r="D3782" t="s">
        <v>3242</v>
      </c>
      <c r="E3782" t="s">
        <v>17113</v>
      </c>
      <c r="F3782" t="s">
        <v>12854</v>
      </c>
      <c r="G3782" t="s">
        <v>12855</v>
      </c>
      <c r="H3782" t="s">
        <v>3280</v>
      </c>
      <c r="I3782" t="s">
        <v>3263</v>
      </c>
    </row>
    <row r="3783" spans="1:9" x14ac:dyDescent="0.25">
      <c r="A3783" t="s">
        <v>12856</v>
      </c>
      <c r="B3783" t="s">
        <v>12856</v>
      </c>
      <c r="C3783" t="s">
        <v>12857</v>
      </c>
      <c r="D3783" t="s">
        <v>3242</v>
      </c>
      <c r="E3783" t="s">
        <v>15710</v>
      </c>
      <c r="F3783" t="s">
        <v>7841</v>
      </c>
      <c r="G3783" t="s">
        <v>12858</v>
      </c>
      <c r="H3783" t="s">
        <v>5289</v>
      </c>
    </row>
    <row r="3784" spans="1:9" x14ac:dyDescent="0.25">
      <c r="A3784" t="s">
        <v>12859</v>
      </c>
      <c r="B3784" t="s">
        <v>12859</v>
      </c>
      <c r="C3784" t="s">
        <v>12860</v>
      </c>
      <c r="D3784" t="s">
        <v>3242</v>
      </c>
      <c r="E3784" t="s">
        <v>15710</v>
      </c>
      <c r="F3784" t="s">
        <v>3257</v>
      </c>
      <c r="G3784" t="s">
        <v>12861</v>
      </c>
      <c r="H3784" t="s">
        <v>3357</v>
      </c>
    </row>
    <row r="3785" spans="1:9" x14ac:dyDescent="0.25">
      <c r="A3785" t="s">
        <v>15647</v>
      </c>
      <c r="B3785" t="s">
        <v>15647</v>
      </c>
      <c r="C3785" t="s">
        <v>15648</v>
      </c>
      <c r="D3785" t="s">
        <v>3242</v>
      </c>
      <c r="E3785" t="s">
        <v>15710</v>
      </c>
      <c r="F3785" t="s">
        <v>3243</v>
      </c>
      <c r="G3785" t="s">
        <v>15649</v>
      </c>
      <c r="H3785" t="s">
        <v>3402</v>
      </c>
    </row>
    <row r="3786" spans="1:9" x14ac:dyDescent="0.25">
      <c r="A3786" t="s">
        <v>12862</v>
      </c>
      <c r="B3786" t="s">
        <v>12862</v>
      </c>
      <c r="C3786" t="s">
        <v>12863</v>
      </c>
      <c r="D3786" t="s">
        <v>3242</v>
      </c>
      <c r="E3786" t="s">
        <v>15710</v>
      </c>
      <c r="F3786" t="s">
        <v>3288</v>
      </c>
      <c r="G3786" t="s">
        <v>12864</v>
      </c>
      <c r="H3786" t="s">
        <v>3623</v>
      </c>
    </row>
    <row r="3787" spans="1:9" x14ac:dyDescent="0.25">
      <c r="A3787" t="s">
        <v>12865</v>
      </c>
      <c r="B3787" t="s">
        <v>12865</v>
      </c>
      <c r="C3787" t="s">
        <v>12866</v>
      </c>
      <c r="D3787" t="s">
        <v>3242</v>
      </c>
      <c r="E3787" t="s">
        <v>17620</v>
      </c>
      <c r="F3787" t="s">
        <v>3257</v>
      </c>
      <c r="G3787" t="s">
        <v>12867</v>
      </c>
      <c r="H3787" t="s">
        <v>15650</v>
      </c>
      <c r="I3787" t="s">
        <v>14986</v>
      </c>
    </row>
    <row r="3788" spans="1:9" x14ac:dyDescent="0.25">
      <c r="A3788" t="s">
        <v>12868</v>
      </c>
      <c r="B3788" t="s">
        <v>12868</v>
      </c>
      <c r="C3788" t="s">
        <v>12869</v>
      </c>
      <c r="D3788" t="s">
        <v>3242</v>
      </c>
      <c r="E3788" t="s">
        <v>15710</v>
      </c>
      <c r="F3788" t="s">
        <v>3243</v>
      </c>
      <c r="G3788" t="s">
        <v>3243</v>
      </c>
      <c r="H3788" t="s">
        <v>3290</v>
      </c>
    </row>
    <row r="3789" spans="1:9" x14ac:dyDescent="0.25">
      <c r="A3789" t="s">
        <v>17114</v>
      </c>
      <c r="B3789" t="s">
        <v>17114</v>
      </c>
      <c r="C3789" t="s">
        <v>17115</v>
      </c>
      <c r="D3789" t="s">
        <v>3242</v>
      </c>
      <c r="E3789" t="s">
        <v>15710</v>
      </c>
      <c r="F3789" t="s">
        <v>11088</v>
      </c>
      <c r="G3789" t="s">
        <v>4283</v>
      </c>
      <c r="H3789" t="s">
        <v>4284</v>
      </c>
    </row>
    <row r="3790" spans="1:9" x14ac:dyDescent="0.25">
      <c r="A3790" t="s">
        <v>12870</v>
      </c>
      <c r="B3790" t="s">
        <v>12870</v>
      </c>
      <c r="C3790" t="s">
        <v>12871</v>
      </c>
      <c r="D3790" t="s">
        <v>3242</v>
      </c>
      <c r="E3790" t="s">
        <v>15710</v>
      </c>
      <c r="F3790" t="s">
        <v>3257</v>
      </c>
      <c r="G3790" t="s">
        <v>12872</v>
      </c>
      <c r="H3790" t="s">
        <v>3332</v>
      </c>
    </row>
    <row r="3791" spans="1:9" x14ac:dyDescent="0.25">
      <c r="A3791" t="s">
        <v>12873</v>
      </c>
      <c r="B3791" t="s">
        <v>12873</v>
      </c>
      <c r="C3791" t="s">
        <v>12874</v>
      </c>
      <c r="D3791" t="s">
        <v>3242</v>
      </c>
      <c r="E3791" t="s">
        <v>15710</v>
      </c>
      <c r="F3791" t="s">
        <v>12875</v>
      </c>
      <c r="G3791" t="s">
        <v>12812</v>
      </c>
      <c r="H3791" t="s">
        <v>3496</v>
      </c>
      <c r="I3791" t="s">
        <v>3407</v>
      </c>
    </row>
    <row r="3792" spans="1:9" x14ac:dyDescent="0.25">
      <c r="A3792" t="s">
        <v>12876</v>
      </c>
      <c r="B3792" t="s">
        <v>12876</v>
      </c>
      <c r="C3792" t="s">
        <v>12877</v>
      </c>
      <c r="D3792" t="s">
        <v>3242</v>
      </c>
      <c r="E3792" t="s">
        <v>15710</v>
      </c>
      <c r="F3792" t="s">
        <v>3760</v>
      </c>
      <c r="G3792" t="s">
        <v>12878</v>
      </c>
      <c r="H3792" t="s">
        <v>4045</v>
      </c>
      <c r="I3792" t="s">
        <v>3694</v>
      </c>
    </row>
    <row r="3793" spans="1:9" x14ac:dyDescent="0.25">
      <c r="A3793" t="s">
        <v>12879</v>
      </c>
      <c r="B3793" t="s">
        <v>12879</v>
      </c>
      <c r="C3793" t="s">
        <v>12880</v>
      </c>
      <c r="D3793" t="s">
        <v>3242</v>
      </c>
      <c r="E3793" t="s">
        <v>15710</v>
      </c>
      <c r="F3793" t="s">
        <v>3306</v>
      </c>
      <c r="G3793" t="s">
        <v>12881</v>
      </c>
      <c r="H3793" t="s">
        <v>3357</v>
      </c>
      <c r="I3793" t="s">
        <v>3268</v>
      </c>
    </row>
    <row r="3794" spans="1:9" x14ac:dyDescent="0.25">
      <c r="A3794" t="s">
        <v>12882</v>
      </c>
      <c r="B3794" t="s">
        <v>12882</v>
      </c>
      <c r="C3794" t="s">
        <v>12883</v>
      </c>
      <c r="D3794" t="s">
        <v>3242</v>
      </c>
      <c r="E3794" t="s">
        <v>15710</v>
      </c>
      <c r="F3794" t="s">
        <v>3257</v>
      </c>
      <c r="G3794" t="s">
        <v>12884</v>
      </c>
      <c r="H3794" t="s">
        <v>12885</v>
      </c>
      <c r="I3794" t="s">
        <v>3263</v>
      </c>
    </row>
    <row r="3795" spans="1:9" x14ac:dyDescent="0.25">
      <c r="A3795" t="s">
        <v>3432</v>
      </c>
      <c r="B3795" t="s">
        <v>3432</v>
      </c>
      <c r="C3795" t="s">
        <v>12886</v>
      </c>
      <c r="D3795" t="s">
        <v>3242</v>
      </c>
      <c r="E3795" t="s">
        <v>15710</v>
      </c>
      <c r="F3795" t="s">
        <v>3257</v>
      </c>
      <c r="G3795" t="s">
        <v>12887</v>
      </c>
      <c r="H3795" t="s">
        <v>3248</v>
      </c>
    </row>
    <row r="3796" spans="1:9" x14ac:dyDescent="0.25">
      <c r="A3796" t="s">
        <v>12888</v>
      </c>
      <c r="B3796" t="s">
        <v>12888</v>
      </c>
      <c r="C3796" t="s">
        <v>12889</v>
      </c>
      <c r="D3796" t="s">
        <v>3242</v>
      </c>
      <c r="E3796" t="s">
        <v>15905</v>
      </c>
      <c r="F3796" t="s">
        <v>3257</v>
      </c>
      <c r="G3796" t="s">
        <v>12890</v>
      </c>
      <c r="H3796" t="s">
        <v>3262</v>
      </c>
      <c r="I3796" t="s">
        <v>3263</v>
      </c>
    </row>
    <row r="3797" spans="1:9" x14ac:dyDescent="0.25">
      <c r="A3797" t="s">
        <v>12891</v>
      </c>
      <c r="B3797" t="s">
        <v>12891</v>
      </c>
      <c r="C3797" t="s">
        <v>12892</v>
      </c>
      <c r="D3797" t="s">
        <v>3242</v>
      </c>
      <c r="E3797" t="s">
        <v>15710</v>
      </c>
      <c r="F3797" t="s">
        <v>3257</v>
      </c>
      <c r="G3797" t="s">
        <v>12893</v>
      </c>
      <c r="H3797" t="s">
        <v>3623</v>
      </c>
      <c r="I3797" t="s">
        <v>3694</v>
      </c>
    </row>
    <row r="3798" spans="1:9" x14ac:dyDescent="0.25">
      <c r="A3798" t="s">
        <v>12894</v>
      </c>
      <c r="B3798" t="s">
        <v>12894</v>
      </c>
      <c r="C3798" t="s">
        <v>12895</v>
      </c>
      <c r="D3798" t="s">
        <v>3242</v>
      </c>
      <c r="E3798" t="s">
        <v>15710</v>
      </c>
      <c r="F3798" t="s">
        <v>3243</v>
      </c>
      <c r="G3798" t="s">
        <v>12896</v>
      </c>
      <c r="H3798" t="s">
        <v>4486</v>
      </c>
    </row>
    <row r="3799" spans="1:9" x14ac:dyDescent="0.25">
      <c r="A3799" t="s">
        <v>12897</v>
      </c>
      <c r="B3799" t="s">
        <v>12897</v>
      </c>
      <c r="C3799" t="s">
        <v>12898</v>
      </c>
      <c r="D3799" t="s">
        <v>3242</v>
      </c>
      <c r="E3799" t="s">
        <v>15710</v>
      </c>
      <c r="F3799" t="s">
        <v>3243</v>
      </c>
      <c r="G3799" t="s">
        <v>12539</v>
      </c>
      <c r="H3799" t="s">
        <v>4284</v>
      </c>
    </row>
    <row r="3800" spans="1:9" x14ac:dyDescent="0.25">
      <c r="A3800" t="s">
        <v>12899</v>
      </c>
      <c r="B3800" t="s">
        <v>12899</v>
      </c>
      <c r="C3800" t="s">
        <v>12900</v>
      </c>
      <c r="D3800" t="s">
        <v>3242</v>
      </c>
      <c r="E3800" t="s">
        <v>15710</v>
      </c>
      <c r="F3800" t="s">
        <v>3243</v>
      </c>
      <c r="G3800" t="s">
        <v>12901</v>
      </c>
      <c r="H3800" t="s">
        <v>4284</v>
      </c>
    </row>
    <row r="3801" spans="1:9" x14ac:dyDescent="0.25">
      <c r="A3801" t="s">
        <v>12902</v>
      </c>
      <c r="B3801" t="s">
        <v>12902</v>
      </c>
      <c r="C3801" t="s">
        <v>12903</v>
      </c>
      <c r="D3801" t="s">
        <v>3242</v>
      </c>
      <c r="E3801" t="s">
        <v>15710</v>
      </c>
      <c r="F3801" t="s">
        <v>3257</v>
      </c>
      <c r="G3801" t="s">
        <v>12904</v>
      </c>
      <c r="H3801" t="s">
        <v>9291</v>
      </c>
      <c r="I3801" t="s">
        <v>3407</v>
      </c>
    </row>
    <row r="3802" spans="1:9" x14ac:dyDescent="0.25">
      <c r="A3802" t="s">
        <v>17116</v>
      </c>
      <c r="B3802" t="s">
        <v>17116</v>
      </c>
      <c r="C3802" t="s">
        <v>17117</v>
      </c>
      <c r="D3802" t="s">
        <v>3242</v>
      </c>
      <c r="E3802" t="s">
        <v>15710</v>
      </c>
      <c r="F3802" t="s">
        <v>3243</v>
      </c>
      <c r="G3802" t="s">
        <v>3565</v>
      </c>
      <c r="H3802" t="s">
        <v>3285</v>
      </c>
    </row>
    <row r="3803" spans="1:9" x14ac:dyDescent="0.25">
      <c r="A3803" t="s">
        <v>17621</v>
      </c>
      <c r="B3803" t="s">
        <v>17621</v>
      </c>
      <c r="C3803" t="s">
        <v>17622</v>
      </c>
      <c r="D3803" t="s">
        <v>3242</v>
      </c>
      <c r="E3803" t="s">
        <v>15710</v>
      </c>
      <c r="F3803" t="s">
        <v>3243</v>
      </c>
      <c r="G3803" t="s">
        <v>17623</v>
      </c>
      <c r="H3803" t="s">
        <v>3285</v>
      </c>
    </row>
    <row r="3804" spans="1:9" x14ac:dyDescent="0.25">
      <c r="A3804" t="s">
        <v>12905</v>
      </c>
      <c r="B3804" t="s">
        <v>12905</v>
      </c>
      <c r="C3804" t="s">
        <v>12906</v>
      </c>
      <c r="D3804" t="s">
        <v>3242</v>
      </c>
      <c r="E3804" t="s">
        <v>17292</v>
      </c>
      <c r="F3804" t="s">
        <v>3251</v>
      </c>
      <c r="G3804" t="s">
        <v>12907</v>
      </c>
      <c r="H3804" t="s">
        <v>3353</v>
      </c>
      <c r="I3804" t="s">
        <v>3324</v>
      </c>
    </row>
    <row r="3805" spans="1:9" x14ac:dyDescent="0.25">
      <c r="A3805" t="s">
        <v>12908</v>
      </c>
      <c r="B3805" t="s">
        <v>12908</v>
      </c>
      <c r="C3805" t="s">
        <v>12909</v>
      </c>
      <c r="D3805" t="s">
        <v>3242</v>
      </c>
      <c r="E3805" t="s">
        <v>15710</v>
      </c>
      <c r="F3805" t="s">
        <v>7841</v>
      </c>
      <c r="G3805" t="s">
        <v>12910</v>
      </c>
      <c r="H3805" t="s">
        <v>3290</v>
      </c>
    </row>
    <row r="3806" spans="1:9" x14ac:dyDescent="0.25">
      <c r="A3806" t="s">
        <v>16364</v>
      </c>
      <c r="B3806" t="s">
        <v>16364</v>
      </c>
      <c r="C3806" t="s">
        <v>16365</v>
      </c>
      <c r="D3806" t="s">
        <v>3242</v>
      </c>
      <c r="E3806" t="s">
        <v>15710</v>
      </c>
      <c r="F3806" t="s">
        <v>3243</v>
      </c>
      <c r="G3806" t="s">
        <v>16366</v>
      </c>
      <c r="H3806" t="s">
        <v>4284</v>
      </c>
    </row>
    <row r="3807" spans="1:9" x14ac:dyDescent="0.25">
      <c r="A3807" t="s">
        <v>15651</v>
      </c>
      <c r="B3807" t="s">
        <v>15651</v>
      </c>
      <c r="C3807" t="s">
        <v>15652</v>
      </c>
      <c r="D3807" t="s">
        <v>3242</v>
      </c>
      <c r="E3807" t="s">
        <v>15710</v>
      </c>
      <c r="F3807" t="s">
        <v>3345</v>
      </c>
      <c r="G3807" t="s">
        <v>3562</v>
      </c>
      <c r="H3807" t="s">
        <v>3285</v>
      </c>
    </row>
    <row r="3808" spans="1:9" x14ac:dyDescent="0.25">
      <c r="A3808" t="s">
        <v>12911</v>
      </c>
      <c r="B3808" t="s">
        <v>12911</v>
      </c>
      <c r="C3808" t="s">
        <v>12912</v>
      </c>
      <c r="D3808" t="s">
        <v>3242</v>
      </c>
      <c r="E3808" t="s">
        <v>15710</v>
      </c>
      <c r="F3808" t="s">
        <v>3826</v>
      </c>
      <c r="G3808" t="s">
        <v>12913</v>
      </c>
      <c r="H3808" t="s">
        <v>3488</v>
      </c>
    </row>
    <row r="3809" spans="1:9" x14ac:dyDescent="0.25">
      <c r="A3809" t="s">
        <v>12914</v>
      </c>
      <c r="B3809" t="s">
        <v>12914</v>
      </c>
      <c r="C3809" t="s">
        <v>12915</v>
      </c>
      <c r="D3809" t="s">
        <v>3242</v>
      </c>
      <c r="E3809" t="s">
        <v>15710</v>
      </c>
      <c r="F3809" t="s">
        <v>15712</v>
      </c>
      <c r="G3809" t="s">
        <v>12916</v>
      </c>
      <c r="H3809" t="s">
        <v>3290</v>
      </c>
    </row>
    <row r="3810" spans="1:9" x14ac:dyDescent="0.25">
      <c r="A3810" t="s">
        <v>12917</v>
      </c>
      <c r="B3810" t="s">
        <v>12917</v>
      </c>
      <c r="C3810" t="s">
        <v>12918</v>
      </c>
      <c r="D3810" t="s">
        <v>3242</v>
      </c>
      <c r="E3810" t="s">
        <v>15710</v>
      </c>
      <c r="F3810" t="s">
        <v>3372</v>
      </c>
      <c r="G3810" t="s">
        <v>3559</v>
      </c>
      <c r="H3810" t="s">
        <v>3253</v>
      </c>
    </row>
    <row r="3811" spans="1:9" x14ac:dyDescent="0.25">
      <c r="A3811" t="s">
        <v>12919</v>
      </c>
      <c r="B3811" t="s">
        <v>12919</v>
      </c>
      <c r="C3811" t="s">
        <v>12920</v>
      </c>
      <c r="D3811" t="s">
        <v>3242</v>
      </c>
      <c r="E3811" t="s">
        <v>15710</v>
      </c>
      <c r="F3811" t="s">
        <v>11078</v>
      </c>
      <c r="G3811" t="s">
        <v>12921</v>
      </c>
      <c r="H3811" t="s">
        <v>12885</v>
      </c>
      <c r="I3811" t="s">
        <v>3263</v>
      </c>
    </row>
    <row r="3812" spans="1:9" x14ac:dyDescent="0.25">
      <c r="A3812" t="s">
        <v>12922</v>
      </c>
      <c r="B3812" t="s">
        <v>12922</v>
      </c>
      <c r="C3812" t="s">
        <v>12923</v>
      </c>
      <c r="D3812" t="s">
        <v>3242</v>
      </c>
      <c r="E3812" t="s">
        <v>15710</v>
      </c>
      <c r="F3812" t="s">
        <v>3257</v>
      </c>
      <c r="G3812" t="s">
        <v>12924</v>
      </c>
      <c r="H3812" t="s">
        <v>3262</v>
      </c>
    </row>
    <row r="3813" spans="1:9" x14ac:dyDescent="0.25">
      <c r="A3813" t="s">
        <v>12925</v>
      </c>
      <c r="B3813" t="s">
        <v>12925</v>
      </c>
      <c r="C3813" t="s">
        <v>12926</v>
      </c>
      <c r="D3813" t="s">
        <v>3321</v>
      </c>
      <c r="E3813" t="s">
        <v>15710</v>
      </c>
      <c r="F3813" t="s">
        <v>3257</v>
      </c>
      <c r="G3813" t="s">
        <v>12927</v>
      </c>
      <c r="H3813" t="s">
        <v>3267</v>
      </c>
      <c r="I3813" t="s">
        <v>3268</v>
      </c>
    </row>
    <row r="3814" spans="1:9" x14ac:dyDescent="0.25">
      <c r="A3814" t="s">
        <v>12928</v>
      </c>
      <c r="B3814" t="s">
        <v>12928</v>
      </c>
      <c r="C3814" t="s">
        <v>12929</v>
      </c>
      <c r="D3814" t="s">
        <v>3242</v>
      </c>
      <c r="E3814" t="s">
        <v>15710</v>
      </c>
      <c r="F3814" t="s">
        <v>3288</v>
      </c>
      <c r="G3814" t="s">
        <v>3060</v>
      </c>
      <c r="H3814" t="s">
        <v>3285</v>
      </c>
    </row>
    <row r="3815" spans="1:9" x14ac:dyDescent="0.25">
      <c r="A3815" t="s">
        <v>16590</v>
      </c>
      <c r="B3815" t="s">
        <v>16590</v>
      </c>
      <c r="C3815" t="s">
        <v>16591</v>
      </c>
      <c r="D3815" t="s">
        <v>3242</v>
      </c>
      <c r="E3815" t="s">
        <v>15710</v>
      </c>
      <c r="F3815" t="s">
        <v>3243</v>
      </c>
      <c r="G3815" t="s">
        <v>16592</v>
      </c>
      <c r="H3815" t="s">
        <v>12477</v>
      </c>
    </row>
    <row r="3816" spans="1:9" x14ac:dyDescent="0.25">
      <c r="A3816" t="s">
        <v>12930</v>
      </c>
      <c r="B3816" t="s">
        <v>12930</v>
      </c>
      <c r="C3816" t="s">
        <v>12931</v>
      </c>
      <c r="D3816" t="s">
        <v>3242</v>
      </c>
      <c r="E3816" t="s">
        <v>15710</v>
      </c>
      <c r="F3816" t="s">
        <v>3251</v>
      </c>
      <c r="G3816" t="s">
        <v>10731</v>
      </c>
      <c r="H3816" t="s">
        <v>3290</v>
      </c>
    </row>
    <row r="3817" spans="1:9" x14ac:dyDescent="0.25">
      <c r="A3817" t="s">
        <v>12932</v>
      </c>
      <c r="B3817" t="s">
        <v>12932</v>
      </c>
      <c r="C3817" t="s">
        <v>12933</v>
      </c>
      <c r="D3817" t="s">
        <v>3242</v>
      </c>
      <c r="E3817" t="s">
        <v>15710</v>
      </c>
      <c r="F3817" t="s">
        <v>3345</v>
      </c>
      <c r="G3817" t="s">
        <v>12934</v>
      </c>
      <c r="H3817" t="s">
        <v>4615</v>
      </c>
    </row>
    <row r="3818" spans="1:9" x14ac:dyDescent="0.25">
      <c r="A3818" t="s">
        <v>12935</v>
      </c>
      <c r="B3818" t="s">
        <v>12935</v>
      </c>
      <c r="C3818" t="s">
        <v>12936</v>
      </c>
      <c r="D3818" t="s">
        <v>3242</v>
      </c>
      <c r="E3818" t="s">
        <v>15710</v>
      </c>
      <c r="F3818" t="s">
        <v>3288</v>
      </c>
      <c r="G3818" t="s">
        <v>12937</v>
      </c>
      <c r="H3818" t="s">
        <v>3285</v>
      </c>
    </row>
    <row r="3819" spans="1:9" x14ac:dyDescent="0.25">
      <c r="A3819" t="s">
        <v>12938</v>
      </c>
      <c r="B3819" t="s">
        <v>12938</v>
      </c>
      <c r="C3819" t="s">
        <v>12939</v>
      </c>
      <c r="D3819" t="s">
        <v>3242</v>
      </c>
      <c r="E3819" t="s">
        <v>15710</v>
      </c>
      <c r="F3819" t="s">
        <v>3288</v>
      </c>
      <c r="G3819" t="s">
        <v>11835</v>
      </c>
      <c r="H3819" t="s">
        <v>4045</v>
      </c>
    </row>
    <row r="3820" spans="1:9" x14ac:dyDescent="0.25">
      <c r="A3820" t="s">
        <v>12940</v>
      </c>
      <c r="B3820" t="s">
        <v>12940</v>
      </c>
      <c r="C3820" t="s">
        <v>12941</v>
      </c>
      <c r="D3820" t="s">
        <v>3242</v>
      </c>
      <c r="E3820" t="s">
        <v>15710</v>
      </c>
      <c r="F3820" t="s">
        <v>3243</v>
      </c>
      <c r="G3820" t="s">
        <v>12942</v>
      </c>
      <c r="H3820" t="s">
        <v>4284</v>
      </c>
    </row>
    <row r="3821" spans="1:9" x14ac:dyDescent="0.25">
      <c r="A3821" t="s">
        <v>12943</v>
      </c>
      <c r="B3821" t="s">
        <v>12943</v>
      </c>
      <c r="C3821" t="s">
        <v>12944</v>
      </c>
      <c r="D3821" t="s">
        <v>3242</v>
      </c>
      <c r="E3821" t="s">
        <v>17476</v>
      </c>
      <c r="F3821" t="s">
        <v>10250</v>
      </c>
      <c r="G3821" t="s">
        <v>12945</v>
      </c>
      <c r="H3821" t="s">
        <v>3253</v>
      </c>
      <c r="I3821" t="s">
        <v>3375</v>
      </c>
    </row>
    <row r="3822" spans="1:9" x14ac:dyDescent="0.25">
      <c r="A3822" t="s">
        <v>12946</v>
      </c>
      <c r="B3822" t="s">
        <v>12946</v>
      </c>
      <c r="C3822" t="s">
        <v>12947</v>
      </c>
      <c r="D3822" t="s">
        <v>3242</v>
      </c>
      <c r="E3822" t="s">
        <v>15710</v>
      </c>
      <c r="F3822" t="s">
        <v>6858</v>
      </c>
      <c r="G3822" t="s">
        <v>12948</v>
      </c>
      <c r="H3822" t="s">
        <v>3417</v>
      </c>
    </row>
    <row r="3823" spans="1:9" x14ac:dyDescent="0.25">
      <c r="A3823" t="s">
        <v>15653</v>
      </c>
      <c r="B3823" t="s">
        <v>15653</v>
      </c>
      <c r="C3823" t="s">
        <v>15654</v>
      </c>
      <c r="D3823" t="s">
        <v>3242</v>
      </c>
      <c r="E3823" t="s">
        <v>15710</v>
      </c>
      <c r="F3823" t="s">
        <v>3243</v>
      </c>
      <c r="G3823" t="s">
        <v>15581</v>
      </c>
      <c r="H3823" t="s">
        <v>3402</v>
      </c>
    </row>
    <row r="3824" spans="1:9" x14ac:dyDescent="0.25">
      <c r="A3824" t="s">
        <v>17477</v>
      </c>
      <c r="B3824" t="s">
        <v>17477</v>
      </c>
      <c r="C3824" t="s">
        <v>17478</v>
      </c>
      <c r="D3824" t="s">
        <v>3242</v>
      </c>
      <c r="E3824" t="s">
        <v>15710</v>
      </c>
      <c r="F3824" t="s">
        <v>3288</v>
      </c>
      <c r="G3824" t="s">
        <v>11478</v>
      </c>
      <c r="H3824" t="s">
        <v>10634</v>
      </c>
    </row>
    <row r="3825" spans="1:9" x14ac:dyDescent="0.25">
      <c r="A3825" t="s">
        <v>12949</v>
      </c>
      <c r="B3825" t="s">
        <v>12949</v>
      </c>
      <c r="C3825" t="s">
        <v>12950</v>
      </c>
      <c r="D3825" t="s">
        <v>3242</v>
      </c>
      <c r="E3825" t="s">
        <v>15710</v>
      </c>
      <c r="F3825" t="s">
        <v>3243</v>
      </c>
      <c r="G3825" t="s">
        <v>12951</v>
      </c>
      <c r="H3825" t="s">
        <v>4642</v>
      </c>
    </row>
    <row r="3826" spans="1:9" x14ac:dyDescent="0.25">
      <c r="A3826" t="s">
        <v>12952</v>
      </c>
      <c r="B3826" t="s">
        <v>12952</v>
      </c>
      <c r="C3826" t="s">
        <v>12953</v>
      </c>
      <c r="D3826" t="s">
        <v>3242</v>
      </c>
      <c r="E3826" t="s">
        <v>15710</v>
      </c>
      <c r="F3826" t="s">
        <v>3251</v>
      </c>
      <c r="G3826" t="s">
        <v>12954</v>
      </c>
      <c r="H3826" t="s">
        <v>3749</v>
      </c>
      <c r="I3826" t="s">
        <v>3451</v>
      </c>
    </row>
    <row r="3827" spans="1:9" x14ac:dyDescent="0.25">
      <c r="A3827" t="s">
        <v>12955</v>
      </c>
      <c r="B3827" t="s">
        <v>12955</v>
      </c>
      <c r="C3827" t="s">
        <v>12956</v>
      </c>
      <c r="D3827" t="s">
        <v>3242</v>
      </c>
      <c r="E3827" t="s">
        <v>15710</v>
      </c>
      <c r="F3827" t="s">
        <v>3283</v>
      </c>
      <c r="G3827" t="s">
        <v>12957</v>
      </c>
      <c r="H3827" t="s">
        <v>3060</v>
      </c>
    </row>
    <row r="3828" spans="1:9" x14ac:dyDescent="0.25">
      <c r="A3828" t="s">
        <v>12958</v>
      </c>
      <c r="B3828" t="s">
        <v>12958</v>
      </c>
      <c r="C3828" t="s">
        <v>12959</v>
      </c>
      <c r="D3828" t="s">
        <v>3242</v>
      </c>
      <c r="E3828" t="s">
        <v>15710</v>
      </c>
      <c r="F3828" t="s">
        <v>3243</v>
      </c>
      <c r="G3828" t="s">
        <v>3243</v>
      </c>
      <c r="H3828" t="s">
        <v>3290</v>
      </c>
    </row>
    <row r="3829" spans="1:9" x14ac:dyDescent="0.25">
      <c r="A3829" t="s">
        <v>12960</v>
      </c>
      <c r="B3829" t="s">
        <v>12960</v>
      </c>
      <c r="C3829" t="s">
        <v>12961</v>
      </c>
      <c r="D3829" t="s">
        <v>3242</v>
      </c>
      <c r="E3829" t="s">
        <v>15710</v>
      </c>
      <c r="F3829" t="s">
        <v>3306</v>
      </c>
      <c r="G3829" t="s">
        <v>12962</v>
      </c>
      <c r="H3829" t="s">
        <v>3267</v>
      </c>
    </row>
    <row r="3830" spans="1:9" x14ac:dyDescent="0.25">
      <c r="A3830" t="s">
        <v>12963</v>
      </c>
      <c r="B3830" t="s">
        <v>12963</v>
      </c>
      <c r="C3830" t="s">
        <v>12964</v>
      </c>
      <c r="D3830" t="s">
        <v>3242</v>
      </c>
      <c r="E3830" t="s">
        <v>15710</v>
      </c>
      <c r="F3830" t="s">
        <v>3288</v>
      </c>
      <c r="G3830" t="s">
        <v>3421</v>
      </c>
      <c r="H3830" t="s">
        <v>3285</v>
      </c>
    </row>
    <row r="3831" spans="1:9" x14ac:dyDescent="0.25">
      <c r="A3831" t="s">
        <v>12965</v>
      </c>
      <c r="B3831" t="s">
        <v>12965</v>
      </c>
      <c r="C3831" t="s">
        <v>12966</v>
      </c>
      <c r="D3831" t="s">
        <v>3242</v>
      </c>
      <c r="E3831" t="s">
        <v>15886</v>
      </c>
      <c r="F3831" t="s">
        <v>3257</v>
      </c>
      <c r="G3831" t="s">
        <v>12967</v>
      </c>
      <c r="H3831" t="s">
        <v>4711</v>
      </c>
      <c r="I3831" t="s">
        <v>3254</v>
      </c>
    </row>
    <row r="3832" spans="1:9" x14ac:dyDescent="0.25">
      <c r="A3832" t="s">
        <v>12968</v>
      </c>
      <c r="B3832" t="s">
        <v>12968</v>
      </c>
      <c r="C3832" t="s">
        <v>12969</v>
      </c>
      <c r="D3832" t="s">
        <v>3242</v>
      </c>
      <c r="E3832" t="s">
        <v>15710</v>
      </c>
      <c r="F3832" t="s">
        <v>3306</v>
      </c>
      <c r="G3832" t="s">
        <v>12716</v>
      </c>
      <c r="H3832" t="s">
        <v>3332</v>
      </c>
    </row>
    <row r="3833" spans="1:9" x14ac:dyDescent="0.25">
      <c r="A3833" t="s">
        <v>12970</v>
      </c>
      <c r="B3833" t="s">
        <v>12970</v>
      </c>
      <c r="C3833" t="s">
        <v>12971</v>
      </c>
      <c r="D3833" t="s">
        <v>3242</v>
      </c>
      <c r="E3833" t="s">
        <v>17479</v>
      </c>
      <c r="F3833" t="s">
        <v>3251</v>
      </c>
      <c r="G3833" t="s">
        <v>12972</v>
      </c>
      <c r="H3833" t="s">
        <v>3421</v>
      </c>
      <c r="I3833" t="s">
        <v>3254</v>
      </c>
    </row>
    <row r="3834" spans="1:9" x14ac:dyDescent="0.25">
      <c r="A3834" t="s">
        <v>12973</v>
      </c>
      <c r="B3834" t="s">
        <v>12973</v>
      </c>
      <c r="C3834" t="s">
        <v>12974</v>
      </c>
      <c r="D3834" t="s">
        <v>3242</v>
      </c>
      <c r="E3834" t="s">
        <v>15710</v>
      </c>
      <c r="F3834" t="s">
        <v>3243</v>
      </c>
      <c r="G3834" t="s">
        <v>11359</v>
      </c>
      <c r="H3834" t="s">
        <v>11359</v>
      </c>
    </row>
    <row r="3835" spans="1:9" x14ac:dyDescent="0.25">
      <c r="A3835" t="s">
        <v>12975</v>
      </c>
      <c r="B3835" t="s">
        <v>12975</v>
      </c>
      <c r="C3835" t="s">
        <v>12976</v>
      </c>
      <c r="D3835" t="s">
        <v>3242</v>
      </c>
      <c r="E3835" t="s">
        <v>15710</v>
      </c>
      <c r="F3835" t="s">
        <v>3243</v>
      </c>
      <c r="G3835" t="s">
        <v>4608</v>
      </c>
      <c r="H3835" t="s">
        <v>3618</v>
      </c>
    </row>
    <row r="3836" spans="1:9" x14ac:dyDescent="0.25">
      <c r="A3836" t="s">
        <v>15655</v>
      </c>
      <c r="B3836" t="s">
        <v>15655</v>
      </c>
      <c r="C3836" t="s">
        <v>15656</v>
      </c>
      <c r="D3836" t="s">
        <v>3242</v>
      </c>
      <c r="E3836" t="s">
        <v>15994</v>
      </c>
      <c r="F3836" t="s">
        <v>3257</v>
      </c>
      <c r="G3836" t="s">
        <v>15657</v>
      </c>
      <c r="H3836" t="s">
        <v>4045</v>
      </c>
      <c r="I3836" t="s">
        <v>5390</v>
      </c>
    </row>
    <row r="3837" spans="1:9" x14ac:dyDescent="0.25">
      <c r="A3837" t="s">
        <v>12977</v>
      </c>
      <c r="B3837" t="s">
        <v>12977</v>
      </c>
      <c r="C3837" t="s">
        <v>12978</v>
      </c>
      <c r="D3837" t="s">
        <v>3242</v>
      </c>
      <c r="E3837" t="s">
        <v>15710</v>
      </c>
      <c r="F3837" t="s">
        <v>3243</v>
      </c>
      <c r="G3837" t="s">
        <v>12979</v>
      </c>
      <c r="H3837" t="s">
        <v>3402</v>
      </c>
    </row>
    <row r="3838" spans="1:9" x14ac:dyDescent="0.25">
      <c r="A3838" t="s">
        <v>12980</v>
      </c>
      <c r="B3838" t="s">
        <v>12980</v>
      </c>
      <c r="C3838" t="s">
        <v>12981</v>
      </c>
      <c r="D3838" t="s">
        <v>3242</v>
      </c>
      <c r="E3838" t="s">
        <v>15710</v>
      </c>
      <c r="F3838" t="s">
        <v>7841</v>
      </c>
      <c r="G3838" t="s">
        <v>12982</v>
      </c>
      <c r="H3838" t="s">
        <v>3248</v>
      </c>
    </row>
    <row r="3839" spans="1:9" x14ac:dyDescent="0.25">
      <c r="A3839" t="s">
        <v>16744</v>
      </c>
      <c r="B3839" t="s">
        <v>16744</v>
      </c>
      <c r="C3839" t="s">
        <v>16745</v>
      </c>
      <c r="D3839" t="s">
        <v>3242</v>
      </c>
      <c r="E3839" t="s">
        <v>15710</v>
      </c>
      <c r="F3839" t="s">
        <v>3243</v>
      </c>
      <c r="G3839" t="s">
        <v>16746</v>
      </c>
      <c r="H3839" t="s">
        <v>3402</v>
      </c>
    </row>
    <row r="3840" spans="1:9" x14ac:dyDescent="0.25">
      <c r="A3840" t="s">
        <v>12983</v>
      </c>
      <c r="B3840" t="s">
        <v>12983</v>
      </c>
      <c r="C3840" t="s">
        <v>12984</v>
      </c>
      <c r="D3840" t="s">
        <v>3242</v>
      </c>
      <c r="E3840" t="s">
        <v>15710</v>
      </c>
      <c r="F3840" t="s">
        <v>3243</v>
      </c>
      <c r="G3840" t="s">
        <v>12985</v>
      </c>
      <c r="H3840" t="s">
        <v>3402</v>
      </c>
    </row>
    <row r="3841" spans="1:9" x14ac:dyDescent="0.25">
      <c r="A3841" t="s">
        <v>3328</v>
      </c>
      <c r="B3841" t="s">
        <v>3328</v>
      </c>
      <c r="C3841" t="s">
        <v>16082</v>
      </c>
      <c r="D3841" t="s">
        <v>3242</v>
      </c>
      <c r="E3841" t="s">
        <v>15710</v>
      </c>
      <c r="F3841" t="s">
        <v>3243</v>
      </c>
      <c r="G3841" t="s">
        <v>16083</v>
      </c>
      <c r="H3841" t="s">
        <v>16020</v>
      </c>
    </row>
    <row r="3842" spans="1:9" x14ac:dyDescent="0.25">
      <c r="A3842" t="s">
        <v>12986</v>
      </c>
      <c r="B3842" t="s">
        <v>12986</v>
      </c>
      <c r="C3842" t="s">
        <v>12987</v>
      </c>
      <c r="D3842" t="s">
        <v>3242</v>
      </c>
      <c r="E3842" t="s">
        <v>15710</v>
      </c>
      <c r="F3842" t="s">
        <v>3243</v>
      </c>
      <c r="G3842" t="s">
        <v>12988</v>
      </c>
      <c r="H3842" t="s">
        <v>3290</v>
      </c>
    </row>
    <row r="3843" spans="1:9" x14ac:dyDescent="0.25">
      <c r="A3843" t="s">
        <v>12989</v>
      </c>
      <c r="B3843" t="s">
        <v>12989</v>
      </c>
      <c r="C3843" t="s">
        <v>12990</v>
      </c>
      <c r="D3843" t="s">
        <v>3242</v>
      </c>
      <c r="E3843" t="s">
        <v>15710</v>
      </c>
      <c r="F3843" t="s">
        <v>3243</v>
      </c>
      <c r="G3843" t="s">
        <v>12991</v>
      </c>
      <c r="H3843" t="s">
        <v>3402</v>
      </c>
    </row>
    <row r="3844" spans="1:9" x14ac:dyDescent="0.25">
      <c r="A3844" t="s">
        <v>12992</v>
      </c>
      <c r="B3844" t="s">
        <v>12992</v>
      </c>
      <c r="C3844" t="s">
        <v>12993</v>
      </c>
      <c r="D3844" t="s">
        <v>3242</v>
      </c>
      <c r="E3844" t="s">
        <v>15995</v>
      </c>
      <c r="F3844" t="s">
        <v>3243</v>
      </c>
      <c r="G3844" t="s">
        <v>3243</v>
      </c>
      <c r="H3844" t="s">
        <v>3290</v>
      </c>
    </row>
    <row r="3845" spans="1:9" x14ac:dyDescent="0.25">
      <c r="A3845" t="s">
        <v>12994</v>
      </c>
      <c r="B3845" t="s">
        <v>12994</v>
      </c>
      <c r="C3845" t="s">
        <v>12995</v>
      </c>
      <c r="D3845" t="s">
        <v>3242</v>
      </c>
      <c r="E3845" t="s">
        <v>15710</v>
      </c>
      <c r="F3845" t="s">
        <v>3283</v>
      </c>
      <c r="G3845" t="s">
        <v>12996</v>
      </c>
      <c r="H3845" t="s">
        <v>3290</v>
      </c>
    </row>
    <row r="3846" spans="1:9" x14ac:dyDescent="0.25">
      <c r="A3846" t="s">
        <v>15658</v>
      </c>
      <c r="B3846" t="s">
        <v>15658</v>
      </c>
      <c r="C3846" t="s">
        <v>15659</v>
      </c>
      <c r="D3846" t="s">
        <v>3242</v>
      </c>
      <c r="E3846" t="s">
        <v>15710</v>
      </c>
      <c r="F3846" t="s">
        <v>3306</v>
      </c>
      <c r="G3846" t="s">
        <v>15660</v>
      </c>
      <c r="H3846" t="s">
        <v>15661</v>
      </c>
      <c r="I3846" t="s">
        <v>3294</v>
      </c>
    </row>
    <row r="3847" spans="1:9" x14ac:dyDescent="0.25">
      <c r="A3847" t="s">
        <v>12997</v>
      </c>
      <c r="B3847" t="s">
        <v>12997</v>
      </c>
      <c r="C3847" t="s">
        <v>12998</v>
      </c>
      <c r="D3847" t="s">
        <v>3242</v>
      </c>
      <c r="E3847" t="s">
        <v>15710</v>
      </c>
      <c r="F3847" t="s">
        <v>3251</v>
      </c>
      <c r="G3847" t="s">
        <v>12999</v>
      </c>
      <c r="H3847" t="s">
        <v>4711</v>
      </c>
      <c r="I3847" t="s">
        <v>3254</v>
      </c>
    </row>
    <row r="3848" spans="1:9" x14ac:dyDescent="0.25">
      <c r="A3848" t="s">
        <v>13000</v>
      </c>
      <c r="B3848" t="s">
        <v>13000</v>
      </c>
      <c r="C3848" t="s">
        <v>13001</v>
      </c>
      <c r="D3848" t="s">
        <v>3242</v>
      </c>
      <c r="E3848" t="s">
        <v>15710</v>
      </c>
      <c r="F3848" t="s">
        <v>3243</v>
      </c>
      <c r="G3848" t="s">
        <v>3507</v>
      </c>
      <c r="H3848" t="s">
        <v>3290</v>
      </c>
    </row>
    <row r="3849" spans="1:9" x14ac:dyDescent="0.25">
      <c r="A3849" t="s">
        <v>16747</v>
      </c>
      <c r="B3849" t="s">
        <v>16747</v>
      </c>
      <c r="C3849" t="s">
        <v>16748</v>
      </c>
      <c r="D3849" t="s">
        <v>3242</v>
      </c>
      <c r="E3849" t="s">
        <v>15857</v>
      </c>
      <c r="F3849" t="s">
        <v>3288</v>
      </c>
      <c r="G3849" t="s">
        <v>16749</v>
      </c>
      <c r="H3849" t="s">
        <v>3726</v>
      </c>
    </row>
    <row r="3850" spans="1:9" x14ac:dyDescent="0.25">
      <c r="A3850" t="s">
        <v>13002</v>
      </c>
      <c r="B3850" t="s">
        <v>13002</v>
      </c>
      <c r="C3850" t="s">
        <v>13003</v>
      </c>
      <c r="D3850" t="s">
        <v>3242</v>
      </c>
      <c r="E3850" t="s">
        <v>16593</v>
      </c>
      <c r="F3850" t="s">
        <v>3251</v>
      </c>
      <c r="G3850" t="s">
        <v>4759</v>
      </c>
      <c r="H3850" t="s">
        <v>3900</v>
      </c>
      <c r="I3850" t="s">
        <v>3451</v>
      </c>
    </row>
    <row r="3851" spans="1:9" x14ac:dyDescent="0.25">
      <c r="A3851" t="s">
        <v>13004</v>
      </c>
      <c r="B3851" t="s">
        <v>13004</v>
      </c>
      <c r="C3851" t="s">
        <v>13005</v>
      </c>
      <c r="D3851" t="s">
        <v>3242</v>
      </c>
      <c r="E3851" t="s">
        <v>15710</v>
      </c>
      <c r="F3851" t="s">
        <v>3257</v>
      </c>
      <c r="G3851" t="s">
        <v>13006</v>
      </c>
      <c r="H3851" t="s">
        <v>3379</v>
      </c>
    </row>
    <row r="3852" spans="1:9" x14ac:dyDescent="0.25">
      <c r="A3852" t="s">
        <v>13007</v>
      </c>
      <c r="B3852" t="s">
        <v>13007</v>
      </c>
      <c r="C3852" t="s">
        <v>13008</v>
      </c>
      <c r="D3852" t="s">
        <v>3242</v>
      </c>
      <c r="E3852" t="s">
        <v>15710</v>
      </c>
      <c r="F3852" t="s">
        <v>3243</v>
      </c>
      <c r="G3852" t="s">
        <v>13009</v>
      </c>
      <c r="H3852" t="s">
        <v>3290</v>
      </c>
    </row>
    <row r="3853" spans="1:9" x14ac:dyDescent="0.25">
      <c r="A3853" t="s">
        <v>16367</v>
      </c>
      <c r="B3853" t="s">
        <v>16367</v>
      </c>
      <c r="C3853" t="s">
        <v>16368</v>
      </c>
      <c r="D3853" t="s">
        <v>3242</v>
      </c>
      <c r="E3853" t="s">
        <v>15710</v>
      </c>
      <c r="F3853" t="s">
        <v>3243</v>
      </c>
      <c r="G3853" t="s">
        <v>16369</v>
      </c>
      <c r="H3853" t="s">
        <v>11517</v>
      </c>
    </row>
    <row r="3854" spans="1:9" x14ac:dyDescent="0.25">
      <c r="A3854" t="s">
        <v>13010</v>
      </c>
      <c r="B3854" t="s">
        <v>13010</v>
      </c>
      <c r="C3854" t="s">
        <v>13011</v>
      </c>
      <c r="D3854" t="s">
        <v>3242</v>
      </c>
      <c r="E3854" t="s">
        <v>15710</v>
      </c>
      <c r="F3854" t="s">
        <v>3306</v>
      </c>
      <c r="G3854" t="s">
        <v>13012</v>
      </c>
      <c r="H3854" t="s">
        <v>3553</v>
      </c>
    </row>
    <row r="3855" spans="1:9" x14ac:dyDescent="0.25">
      <c r="A3855" t="s">
        <v>13013</v>
      </c>
      <c r="B3855" t="s">
        <v>13013</v>
      </c>
      <c r="C3855" t="s">
        <v>13014</v>
      </c>
      <c r="D3855" t="s">
        <v>3242</v>
      </c>
      <c r="E3855" t="s">
        <v>15710</v>
      </c>
      <c r="F3855" t="s">
        <v>3243</v>
      </c>
      <c r="G3855" t="s">
        <v>3243</v>
      </c>
      <c r="H3855" t="s">
        <v>3290</v>
      </c>
    </row>
    <row r="3856" spans="1:9" x14ac:dyDescent="0.25">
      <c r="A3856" t="s">
        <v>13015</v>
      </c>
      <c r="B3856" t="s">
        <v>13015</v>
      </c>
      <c r="C3856" t="s">
        <v>13016</v>
      </c>
      <c r="D3856" t="s">
        <v>3242</v>
      </c>
      <c r="E3856" t="s">
        <v>15710</v>
      </c>
      <c r="F3856" t="s">
        <v>3243</v>
      </c>
      <c r="G3856" t="s">
        <v>13017</v>
      </c>
      <c r="H3856" t="s">
        <v>4268</v>
      </c>
    </row>
    <row r="3857" spans="1:9" x14ac:dyDescent="0.25">
      <c r="A3857" t="s">
        <v>13018</v>
      </c>
      <c r="B3857" t="s">
        <v>13018</v>
      </c>
      <c r="C3857" t="s">
        <v>13019</v>
      </c>
      <c r="D3857" t="s">
        <v>3242</v>
      </c>
      <c r="E3857" t="s">
        <v>17118</v>
      </c>
      <c r="F3857" t="s">
        <v>6858</v>
      </c>
      <c r="G3857" t="s">
        <v>13020</v>
      </c>
      <c r="H3857" t="s">
        <v>3262</v>
      </c>
      <c r="I3857" t="s">
        <v>3263</v>
      </c>
    </row>
    <row r="3858" spans="1:9" x14ac:dyDescent="0.25">
      <c r="A3858" t="s">
        <v>13021</v>
      </c>
      <c r="B3858" t="s">
        <v>13021</v>
      </c>
      <c r="C3858" t="s">
        <v>13022</v>
      </c>
      <c r="D3858" t="s">
        <v>3242</v>
      </c>
      <c r="E3858" t="s">
        <v>15710</v>
      </c>
      <c r="F3858" t="s">
        <v>3372</v>
      </c>
      <c r="G3858" t="s">
        <v>12798</v>
      </c>
      <c r="H3858" t="s">
        <v>3553</v>
      </c>
    </row>
    <row r="3859" spans="1:9" x14ac:dyDescent="0.25">
      <c r="A3859" t="s">
        <v>13023</v>
      </c>
      <c r="B3859" t="s">
        <v>13023</v>
      </c>
      <c r="C3859" t="s">
        <v>13024</v>
      </c>
      <c r="D3859" t="s">
        <v>3242</v>
      </c>
      <c r="E3859" t="s">
        <v>15710</v>
      </c>
      <c r="F3859" t="s">
        <v>3345</v>
      </c>
      <c r="G3859" t="s">
        <v>13025</v>
      </c>
      <c r="H3859" t="s">
        <v>3285</v>
      </c>
    </row>
    <row r="3860" spans="1:9" x14ac:dyDescent="0.25">
      <c r="A3860" t="s">
        <v>13026</v>
      </c>
      <c r="B3860" t="s">
        <v>13026</v>
      </c>
      <c r="C3860" t="s">
        <v>13027</v>
      </c>
      <c r="D3860" t="s">
        <v>3242</v>
      </c>
      <c r="E3860" t="s">
        <v>15710</v>
      </c>
      <c r="F3860" t="s">
        <v>3288</v>
      </c>
      <c r="G3860" t="s">
        <v>13028</v>
      </c>
      <c r="H3860" t="s">
        <v>3915</v>
      </c>
    </row>
    <row r="3861" spans="1:9" x14ac:dyDescent="0.25">
      <c r="A3861" t="s">
        <v>15662</v>
      </c>
      <c r="B3861" t="s">
        <v>15662</v>
      </c>
      <c r="C3861" t="s">
        <v>15663</v>
      </c>
      <c r="D3861" t="s">
        <v>3242</v>
      </c>
      <c r="E3861" t="s">
        <v>15710</v>
      </c>
      <c r="F3861" t="s">
        <v>3243</v>
      </c>
      <c r="G3861" t="s">
        <v>15664</v>
      </c>
      <c r="H3861" t="s">
        <v>3285</v>
      </c>
    </row>
    <row r="3862" spans="1:9" x14ac:dyDescent="0.25">
      <c r="A3862" t="s">
        <v>13029</v>
      </c>
      <c r="B3862" t="s">
        <v>13029</v>
      </c>
      <c r="C3862" t="s">
        <v>13030</v>
      </c>
      <c r="D3862" t="s">
        <v>3242</v>
      </c>
      <c r="E3862" t="s">
        <v>15710</v>
      </c>
      <c r="F3862" t="s">
        <v>3288</v>
      </c>
      <c r="G3862" t="s">
        <v>3060</v>
      </c>
      <c r="H3862" t="s">
        <v>3285</v>
      </c>
    </row>
    <row r="3863" spans="1:9" x14ac:dyDescent="0.25">
      <c r="A3863" t="s">
        <v>13031</v>
      </c>
      <c r="B3863" t="s">
        <v>13031</v>
      </c>
      <c r="C3863" t="s">
        <v>13032</v>
      </c>
      <c r="D3863" t="s">
        <v>3242</v>
      </c>
      <c r="E3863" t="s">
        <v>15710</v>
      </c>
      <c r="F3863" t="s">
        <v>3243</v>
      </c>
      <c r="G3863" t="s">
        <v>13033</v>
      </c>
      <c r="H3863" t="s">
        <v>3488</v>
      </c>
    </row>
    <row r="3864" spans="1:9" x14ac:dyDescent="0.25">
      <c r="A3864" t="s">
        <v>13034</v>
      </c>
      <c r="B3864" t="s">
        <v>13034</v>
      </c>
      <c r="C3864" t="s">
        <v>13035</v>
      </c>
      <c r="D3864" t="s">
        <v>3242</v>
      </c>
      <c r="E3864" t="s">
        <v>15710</v>
      </c>
      <c r="F3864" t="s">
        <v>3257</v>
      </c>
      <c r="G3864" t="s">
        <v>13036</v>
      </c>
      <c r="H3864" t="s">
        <v>3353</v>
      </c>
      <c r="I3864" t="s">
        <v>3324</v>
      </c>
    </row>
    <row r="3865" spans="1:9" x14ac:dyDescent="0.25">
      <c r="A3865" t="s">
        <v>13037</v>
      </c>
      <c r="B3865" t="s">
        <v>13037</v>
      </c>
      <c r="C3865" t="s">
        <v>13038</v>
      </c>
      <c r="D3865" t="s">
        <v>3242</v>
      </c>
      <c r="E3865" t="s">
        <v>15710</v>
      </c>
      <c r="F3865" t="s">
        <v>3257</v>
      </c>
      <c r="G3865" t="s">
        <v>13039</v>
      </c>
      <c r="H3865" t="s">
        <v>4734</v>
      </c>
      <c r="I3865" t="s">
        <v>3254</v>
      </c>
    </row>
    <row r="3866" spans="1:9" x14ac:dyDescent="0.25">
      <c r="A3866" t="s">
        <v>13040</v>
      </c>
      <c r="B3866" t="s">
        <v>13040</v>
      </c>
      <c r="C3866" t="s">
        <v>13041</v>
      </c>
      <c r="D3866" t="s">
        <v>3242</v>
      </c>
      <c r="E3866" t="s">
        <v>15710</v>
      </c>
      <c r="F3866" t="s">
        <v>3243</v>
      </c>
      <c r="G3866" t="s">
        <v>13042</v>
      </c>
      <c r="H3866" t="s">
        <v>11517</v>
      </c>
    </row>
    <row r="3867" spans="1:9" x14ac:dyDescent="0.25">
      <c r="A3867" t="s">
        <v>13043</v>
      </c>
      <c r="B3867" t="s">
        <v>13043</v>
      </c>
      <c r="C3867" t="s">
        <v>13044</v>
      </c>
      <c r="D3867" t="s">
        <v>3242</v>
      </c>
      <c r="E3867" t="s">
        <v>15710</v>
      </c>
      <c r="F3867" t="s">
        <v>3243</v>
      </c>
      <c r="G3867" t="s">
        <v>13045</v>
      </c>
      <c r="H3867" t="s">
        <v>4268</v>
      </c>
    </row>
    <row r="3868" spans="1:9" x14ac:dyDescent="0.25">
      <c r="A3868" t="s">
        <v>13046</v>
      </c>
      <c r="B3868" t="s">
        <v>13046</v>
      </c>
      <c r="C3868" t="s">
        <v>13047</v>
      </c>
      <c r="D3868" t="s">
        <v>3242</v>
      </c>
      <c r="E3868" t="s">
        <v>15710</v>
      </c>
      <c r="F3868" t="s">
        <v>3243</v>
      </c>
      <c r="G3868" t="s">
        <v>4645</v>
      </c>
      <c r="H3868" t="s">
        <v>3285</v>
      </c>
    </row>
    <row r="3869" spans="1:9" x14ac:dyDescent="0.25">
      <c r="A3869" t="s">
        <v>13048</v>
      </c>
      <c r="B3869" t="s">
        <v>13048</v>
      </c>
      <c r="C3869" t="s">
        <v>13049</v>
      </c>
      <c r="D3869" t="s">
        <v>3242</v>
      </c>
      <c r="E3869" t="s">
        <v>15710</v>
      </c>
      <c r="F3869" t="s">
        <v>3345</v>
      </c>
      <c r="G3869" t="s">
        <v>4718</v>
      </c>
      <c r="H3869" t="s">
        <v>4715</v>
      </c>
    </row>
    <row r="3870" spans="1:9" x14ac:dyDescent="0.25">
      <c r="A3870" t="s">
        <v>13050</v>
      </c>
      <c r="B3870" t="s">
        <v>13050</v>
      </c>
      <c r="C3870" t="s">
        <v>13051</v>
      </c>
      <c r="D3870" t="s">
        <v>3242</v>
      </c>
      <c r="E3870" t="s">
        <v>15710</v>
      </c>
      <c r="F3870" t="s">
        <v>3243</v>
      </c>
      <c r="G3870" t="s">
        <v>13052</v>
      </c>
      <c r="H3870" t="s">
        <v>3402</v>
      </c>
    </row>
    <row r="3871" spans="1:9" x14ac:dyDescent="0.25">
      <c r="A3871" t="s">
        <v>13053</v>
      </c>
      <c r="B3871" t="s">
        <v>13053</v>
      </c>
      <c r="C3871" t="s">
        <v>13054</v>
      </c>
      <c r="D3871" t="s">
        <v>3242</v>
      </c>
      <c r="E3871" t="s">
        <v>15710</v>
      </c>
      <c r="F3871" t="s">
        <v>3257</v>
      </c>
      <c r="G3871" t="s">
        <v>13055</v>
      </c>
      <c r="H3871" t="s">
        <v>6924</v>
      </c>
      <c r="I3871" t="s">
        <v>3324</v>
      </c>
    </row>
    <row r="3872" spans="1:9" x14ac:dyDescent="0.25">
      <c r="A3872" t="s">
        <v>13056</v>
      </c>
      <c r="B3872" t="s">
        <v>13056</v>
      </c>
      <c r="C3872" t="s">
        <v>13057</v>
      </c>
      <c r="D3872" t="s">
        <v>3242</v>
      </c>
      <c r="E3872" t="s">
        <v>15710</v>
      </c>
      <c r="F3872" t="s">
        <v>3243</v>
      </c>
      <c r="G3872" t="s">
        <v>3507</v>
      </c>
      <c r="H3872" t="s">
        <v>3290</v>
      </c>
    </row>
    <row r="3873" spans="1:9" x14ac:dyDescent="0.25">
      <c r="A3873" t="s">
        <v>13058</v>
      </c>
      <c r="B3873" t="s">
        <v>13058</v>
      </c>
      <c r="C3873" t="s">
        <v>13059</v>
      </c>
      <c r="D3873" t="s">
        <v>3242</v>
      </c>
      <c r="E3873" t="s">
        <v>15710</v>
      </c>
      <c r="F3873" t="s">
        <v>3243</v>
      </c>
      <c r="G3873" t="s">
        <v>4486</v>
      </c>
      <c r="H3873" t="s">
        <v>3290</v>
      </c>
    </row>
    <row r="3874" spans="1:9" x14ac:dyDescent="0.25">
      <c r="A3874" t="s">
        <v>13060</v>
      </c>
      <c r="B3874" t="s">
        <v>13060</v>
      </c>
      <c r="C3874" t="s">
        <v>13061</v>
      </c>
      <c r="D3874" t="s">
        <v>3242</v>
      </c>
      <c r="E3874" t="s">
        <v>17664</v>
      </c>
      <c r="F3874" t="s">
        <v>3306</v>
      </c>
      <c r="G3874" t="s">
        <v>13062</v>
      </c>
      <c r="H3874" t="s">
        <v>4919</v>
      </c>
      <c r="I3874" t="s">
        <v>3324</v>
      </c>
    </row>
    <row r="3875" spans="1:9" x14ac:dyDescent="0.25">
      <c r="A3875" t="s">
        <v>13063</v>
      </c>
      <c r="B3875" t="s">
        <v>13063</v>
      </c>
      <c r="C3875" t="s">
        <v>13064</v>
      </c>
      <c r="D3875" t="s">
        <v>3242</v>
      </c>
      <c r="E3875" t="s">
        <v>15710</v>
      </c>
      <c r="F3875" t="s">
        <v>3826</v>
      </c>
      <c r="G3875" t="s">
        <v>13065</v>
      </c>
      <c r="H3875" t="s">
        <v>3290</v>
      </c>
    </row>
    <row r="3876" spans="1:9" x14ac:dyDescent="0.25">
      <c r="A3876" t="s">
        <v>16594</v>
      </c>
      <c r="B3876" t="s">
        <v>16594</v>
      </c>
      <c r="C3876" t="s">
        <v>16595</v>
      </c>
      <c r="D3876" t="s">
        <v>3242</v>
      </c>
      <c r="E3876" t="s">
        <v>16596</v>
      </c>
      <c r="F3876" t="s">
        <v>3243</v>
      </c>
      <c r="G3876" t="s">
        <v>16597</v>
      </c>
      <c r="H3876" t="s">
        <v>3450</v>
      </c>
    </row>
    <row r="3877" spans="1:9" x14ac:dyDescent="0.25">
      <c r="A3877" t="s">
        <v>13066</v>
      </c>
      <c r="B3877" t="s">
        <v>13066</v>
      </c>
      <c r="C3877" t="s">
        <v>13067</v>
      </c>
      <c r="D3877" t="s">
        <v>3242</v>
      </c>
      <c r="E3877" t="s">
        <v>15710</v>
      </c>
      <c r="F3877" t="s">
        <v>3257</v>
      </c>
      <c r="G3877" t="s">
        <v>13068</v>
      </c>
      <c r="H3877" t="s">
        <v>3290</v>
      </c>
      <c r="I3877" t="s">
        <v>3366</v>
      </c>
    </row>
    <row r="3878" spans="1:9" x14ac:dyDescent="0.25">
      <c r="A3878" t="s">
        <v>13069</v>
      </c>
      <c r="B3878" t="s">
        <v>13069</v>
      </c>
      <c r="C3878" t="s">
        <v>13070</v>
      </c>
      <c r="D3878" t="s">
        <v>3242</v>
      </c>
      <c r="E3878" t="s">
        <v>15710</v>
      </c>
      <c r="F3878" t="s">
        <v>3345</v>
      </c>
      <c r="G3878" t="s">
        <v>13071</v>
      </c>
      <c r="H3878" t="s">
        <v>3285</v>
      </c>
    </row>
    <row r="3879" spans="1:9" x14ac:dyDescent="0.25">
      <c r="A3879" t="s">
        <v>13072</v>
      </c>
      <c r="B3879" t="s">
        <v>13072</v>
      </c>
      <c r="C3879" t="s">
        <v>13073</v>
      </c>
      <c r="D3879" t="s">
        <v>3242</v>
      </c>
      <c r="E3879" t="s">
        <v>15710</v>
      </c>
      <c r="F3879" t="s">
        <v>3345</v>
      </c>
      <c r="G3879" t="s">
        <v>11221</v>
      </c>
      <c r="H3879" t="s">
        <v>3290</v>
      </c>
    </row>
    <row r="3880" spans="1:9" x14ac:dyDescent="0.25">
      <c r="A3880" t="s">
        <v>13074</v>
      </c>
      <c r="B3880" t="s">
        <v>13074</v>
      </c>
      <c r="C3880" t="s">
        <v>12375</v>
      </c>
      <c r="D3880" t="s">
        <v>3242</v>
      </c>
      <c r="E3880" t="s">
        <v>15710</v>
      </c>
      <c r="F3880" t="s">
        <v>3257</v>
      </c>
      <c r="G3880" t="s">
        <v>11221</v>
      </c>
      <c r="H3880" t="s">
        <v>3267</v>
      </c>
    </row>
    <row r="3881" spans="1:9" x14ac:dyDescent="0.25">
      <c r="A3881" t="s">
        <v>13075</v>
      </c>
      <c r="B3881" t="s">
        <v>13075</v>
      </c>
      <c r="C3881" t="s">
        <v>13076</v>
      </c>
      <c r="D3881" t="s">
        <v>3242</v>
      </c>
      <c r="E3881" t="s">
        <v>15710</v>
      </c>
      <c r="F3881" t="s">
        <v>3257</v>
      </c>
      <c r="G3881" t="s">
        <v>13077</v>
      </c>
      <c r="H3881" t="s">
        <v>5722</v>
      </c>
    </row>
    <row r="3882" spans="1:9" x14ac:dyDescent="0.25">
      <c r="A3882" t="s">
        <v>13078</v>
      </c>
      <c r="B3882" t="s">
        <v>13078</v>
      </c>
      <c r="C3882" t="s">
        <v>13079</v>
      </c>
      <c r="D3882" t="s">
        <v>3321</v>
      </c>
      <c r="E3882" t="s">
        <v>15710</v>
      </c>
      <c r="F3882" t="s">
        <v>5615</v>
      </c>
      <c r="G3882" t="s">
        <v>13080</v>
      </c>
      <c r="H3882" t="s">
        <v>3357</v>
      </c>
      <c r="I3882" t="s">
        <v>3366</v>
      </c>
    </row>
    <row r="3883" spans="1:9" x14ac:dyDescent="0.25">
      <c r="A3883" t="s">
        <v>13081</v>
      </c>
      <c r="B3883" t="s">
        <v>13081</v>
      </c>
      <c r="C3883" t="s">
        <v>13082</v>
      </c>
      <c r="D3883" t="s">
        <v>3242</v>
      </c>
      <c r="E3883" t="s">
        <v>15710</v>
      </c>
      <c r="F3883" t="s">
        <v>3243</v>
      </c>
      <c r="G3883" t="s">
        <v>13083</v>
      </c>
      <c r="H3883" t="s">
        <v>4284</v>
      </c>
    </row>
    <row r="3884" spans="1:9" x14ac:dyDescent="0.25">
      <c r="A3884" t="s">
        <v>13084</v>
      </c>
      <c r="B3884" t="s">
        <v>13084</v>
      </c>
      <c r="C3884" t="s">
        <v>13085</v>
      </c>
      <c r="D3884" t="s">
        <v>3242</v>
      </c>
      <c r="E3884" t="s">
        <v>15710</v>
      </c>
      <c r="F3884" t="s">
        <v>3243</v>
      </c>
      <c r="G3884" t="s">
        <v>13086</v>
      </c>
      <c r="H3884" t="s">
        <v>4486</v>
      </c>
    </row>
    <row r="3885" spans="1:9" x14ac:dyDescent="0.25">
      <c r="A3885" t="s">
        <v>13087</v>
      </c>
      <c r="B3885" t="s">
        <v>13087</v>
      </c>
      <c r="C3885" t="s">
        <v>13088</v>
      </c>
      <c r="D3885" t="s">
        <v>3242</v>
      </c>
      <c r="E3885" t="s">
        <v>15710</v>
      </c>
      <c r="F3885" t="s">
        <v>3288</v>
      </c>
      <c r="G3885" t="s">
        <v>3060</v>
      </c>
      <c r="H3885" t="s">
        <v>3285</v>
      </c>
    </row>
    <row r="3886" spans="1:9" x14ac:dyDescent="0.25">
      <c r="A3886" t="s">
        <v>15665</v>
      </c>
      <c r="B3886" t="s">
        <v>15665</v>
      </c>
      <c r="C3886" t="s">
        <v>15666</v>
      </c>
      <c r="D3886" t="s">
        <v>3242</v>
      </c>
      <c r="E3886" t="s">
        <v>15710</v>
      </c>
      <c r="F3886" t="s">
        <v>3243</v>
      </c>
      <c r="G3886" t="s">
        <v>15667</v>
      </c>
      <c r="H3886" t="s">
        <v>3285</v>
      </c>
    </row>
    <row r="3887" spans="1:9" x14ac:dyDescent="0.25">
      <c r="A3887" t="s">
        <v>13089</v>
      </c>
      <c r="B3887" t="s">
        <v>13089</v>
      </c>
      <c r="C3887" t="s">
        <v>13090</v>
      </c>
      <c r="D3887" t="s">
        <v>3242</v>
      </c>
      <c r="E3887" t="s">
        <v>15710</v>
      </c>
      <c r="F3887" t="s">
        <v>3288</v>
      </c>
      <c r="G3887" t="s">
        <v>11478</v>
      </c>
      <c r="H3887" t="s">
        <v>3962</v>
      </c>
    </row>
    <row r="3888" spans="1:9" x14ac:dyDescent="0.25">
      <c r="A3888" t="s">
        <v>13091</v>
      </c>
      <c r="B3888" t="s">
        <v>13091</v>
      </c>
      <c r="C3888" t="s">
        <v>13092</v>
      </c>
      <c r="D3888" t="s">
        <v>3242</v>
      </c>
      <c r="E3888" t="s">
        <v>15710</v>
      </c>
      <c r="F3888" t="s">
        <v>3251</v>
      </c>
      <c r="G3888" t="s">
        <v>13093</v>
      </c>
      <c r="H3888" t="s">
        <v>4734</v>
      </c>
      <c r="I3888" t="s">
        <v>3254</v>
      </c>
    </row>
    <row r="3889" spans="1:9" x14ac:dyDescent="0.25">
      <c r="A3889" t="s">
        <v>13094</v>
      </c>
      <c r="B3889" t="s">
        <v>13094</v>
      </c>
      <c r="C3889" t="s">
        <v>13095</v>
      </c>
      <c r="D3889" t="s">
        <v>3242</v>
      </c>
      <c r="E3889" t="s">
        <v>15710</v>
      </c>
      <c r="F3889" t="s">
        <v>3251</v>
      </c>
      <c r="G3889" t="s">
        <v>13096</v>
      </c>
      <c r="H3889" t="s">
        <v>4734</v>
      </c>
    </row>
    <row r="3890" spans="1:9" x14ac:dyDescent="0.25">
      <c r="A3890" t="s">
        <v>13097</v>
      </c>
      <c r="B3890" t="s">
        <v>13097</v>
      </c>
      <c r="C3890" t="s">
        <v>13098</v>
      </c>
      <c r="D3890" t="s">
        <v>3242</v>
      </c>
      <c r="E3890" t="s">
        <v>15710</v>
      </c>
      <c r="F3890" t="s">
        <v>3257</v>
      </c>
      <c r="G3890" t="s">
        <v>13099</v>
      </c>
      <c r="H3890" t="s">
        <v>3248</v>
      </c>
      <c r="I3890" t="s">
        <v>3263</v>
      </c>
    </row>
    <row r="3891" spans="1:9" x14ac:dyDescent="0.25">
      <c r="A3891" t="s">
        <v>15668</v>
      </c>
      <c r="B3891" t="s">
        <v>15668</v>
      </c>
      <c r="C3891" t="s">
        <v>15669</v>
      </c>
      <c r="D3891" t="s">
        <v>3242</v>
      </c>
      <c r="E3891" t="s">
        <v>15710</v>
      </c>
      <c r="F3891" t="s">
        <v>11078</v>
      </c>
      <c r="G3891" t="s">
        <v>15670</v>
      </c>
      <c r="H3891" t="s">
        <v>3248</v>
      </c>
      <c r="I3891" t="s">
        <v>3432</v>
      </c>
    </row>
    <row r="3892" spans="1:9" x14ac:dyDescent="0.25">
      <c r="A3892" t="s">
        <v>13100</v>
      </c>
      <c r="B3892" t="s">
        <v>13100</v>
      </c>
      <c r="C3892" t="s">
        <v>13101</v>
      </c>
      <c r="D3892" t="s">
        <v>3242</v>
      </c>
      <c r="E3892" t="s">
        <v>15710</v>
      </c>
      <c r="F3892" t="s">
        <v>3257</v>
      </c>
      <c r="G3892" t="s">
        <v>13102</v>
      </c>
      <c r="H3892" t="s">
        <v>4871</v>
      </c>
    </row>
    <row r="3893" spans="1:9" x14ac:dyDescent="0.25">
      <c r="A3893" t="s">
        <v>13103</v>
      </c>
      <c r="B3893" t="s">
        <v>13103</v>
      </c>
      <c r="C3893" t="s">
        <v>13104</v>
      </c>
      <c r="D3893" t="s">
        <v>3242</v>
      </c>
      <c r="E3893" t="s">
        <v>15710</v>
      </c>
      <c r="F3893" t="s">
        <v>3257</v>
      </c>
      <c r="G3893" t="s">
        <v>13105</v>
      </c>
      <c r="H3893" t="s">
        <v>5046</v>
      </c>
      <c r="I3893" t="s">
        <v>3324</v>
      </c>
    </row>
    <row r="3894" spans="1:9" x14ac:dyDescent="0.25">
      <c r="A3894" t="s">
        <v>13106</v>
      </c>
      <c r="B3894" t="s">
        <v>13106</v>
      </c>
      <c r="C3894" t="s">
        <v>13107</v>
      </c>
      <c r="D3894" t="s">
        <v>3242</v>
      </c>
      <c r="E3894" t="s">
        <v>15710</v>
      </c>
      <c r="F3894" t="s">
        <v>3243</v>
      </c>
      <c r="G3894" t="s">
        <v>13108</v>
      </c>
      <c r="H3894" t="s">
        <v>3285</v>
      </c>
    </row>
    <row r="3895" spans="1:9" x14ac:dyDescent="0.25">
      <c r="A3895" t="s">
        <v>13109</v>
      </c>
      <c r="B3895" t="s">
        <v>13109</v>
      </c>
      <c r="C3895" t="s">
        <v>13110</v>
      </c>
      <c r="D3895" t="s">
        <v>3242</v>
      </c>
      <c r="E3895" t="s">
        <v>15710</v>
      </c>
      <c r="F3895" t="s">
        <v>3243</v>
      </c>
      <c r="G3895" t="s">
        <v>13111</v>
      </c>
      <c r="H3895" t="s">
        <v>3402</v>
      </c>
    </row>
    <row r="3896" spans="1:9" x14ac:dyDescent="0.25">
      <c r="A3896" t="s">
        <v>13112</v>
      </c>
      <c r="B3896" t="s">
        <v>13112</v>
      </c>
      <c r="C3896" t="s">
        <v>13113</v>
      </c>
      <c r="D3896" t="s">
        <v>3242</v>
      </c>
      <c r="E3896" t="s">
        <v>15710</v>
      </c>
      <c r="F3896" t="s">
        <v>3243</v>
      </c>
      <c r="G3896" t="s">
        <v>13114</v>
      </c>
      <c r="H3896" t="s">
        <v>4284</v>
      </c>
    </row>
    <row r="3897" spans="1:9" x14ac:dyDescent="0.25">
      <c r="A3897" t="s">
        <v>16084</v>
      </c>
      <c r="B3897" t="s">
        <v>16084</v>
      </c>
      <c r="C3897" t="s">
        <v>7666</v>
      </c>
      <c r="D3897" t="s">
        <v>3242</v>
      </c>
      <c r="E3897" t="s">
        <v>16598</v>
      </c>
      <c r="F3897" t="s">
        <v>3257</v>
      </c>
      <c r="G3897" t="s">
        <v>16085</v>
      </c>
      <c r="H3897" t="s">
        <v>5883</v>
      </c>
      <c r="I3897" t="s">
        <v>3324</v>
      </c>
    </row>
    <row r="3898" spans="1:9" x14ac:dyDescent="0.25">
      <c r="A3898" t="s">
        <v>15671</v>
      </c>
      <c r="B3898" t="s">
        <v>15671</v>
      </c>
      <c r="C3898" t="s">
        <v>15672</v>
      </c>
      <c r="D3898" t="s">
        <v>3242</v>
      </c>
      <c r="E3898" t="s">
        <v>15710</v>
      </c>
      <c r="F3898" t="s">
        <v>3243</v>
      </c>
      <c r="G3898" t="s">
        <v>15673</v>
      </c>
      <c r="H3898" t="s">
        <v>3402</v>
      </c>
    </row>
    <row r="3899" spans="1:9" x14ac:dyDescent="0.25">
      <c r="A3899" t="s">
        <v>13115</v>
      </c>
      <c r="B3899" t="s">
        <v>13115</v>
      </c>
      <c r="C3899" t="s">
        <v>13116</v>
      </c>
      <c r="D3899" t="s">
        <v>3242</v>
      </c>
      <c r="E3899" t="s">
        <v>15710</v>
      </c>
      <c r="F3899" t="s">
        <v>3251</v>
      </c>
      <c r="G3899" t="s">
        <v>13117</v>
      </c>
      <c r="H3899" t="s">
        <v>4734</v>
      </c>
      <c r="I3899" t="s">
        <v>3254</v>
      </c>
    </row>
    <row r="3900" spans="1:9" x14ac:dyDescent="0.25">
      <c r="A3900" t="s">
        <v>16370</v>
      </c>
      <c r="B3900" t="s">
        <v>16370</v>
      </c>
      <c r="C3900" t="s">
        <v>16371</v>
      </c>
      <c r="D3900" t="s">
        <v>3242</v>
      </c>
      <c r="E3900" t="s">
        <v>15710</v>
      </c>
      <c r="F3900" t="s">
        <v>3288</v>
      </c>
      <c r="G3900" t="s">
        <v>3060</v>
      </c>
      <c r="H3900" t="s">
        <v>3285</v>
      </c>
    </row>
    <row r="3901" spans="1:9" x14ac:dyDescent="0.25">
      <c r="A3901" t="s">
        <v>15674</v>
      </c>
      <c r="B3901" t="s">
        <v>15674</v>
      </c>
      <c r="C3901" t="s">
        <v>15675</v>
      </c>
      <c r="D3901" t="s">
        <v>3242</v>
      </c>
      <c r="E3901" t="s">
        <v>15710</v>
      </c>
      <c r="F3901" t="s">
        <v>3288</v>
      </c>
      <c r="G3901" t="s">
        <v>3060</v>
      </c>
      <c r="H3901" t="s">
        <v>3285</v>
      </c>
    </row>
    <row r="3902" spans="1:9" x14ac:dyDescent="0.25">
      <c r="A3902" t="s">
        <v>17119</v>
      </c>
      <c r="B3902" t="s">
        <v>17119</v>
      </c>
      <c r="C3902" t="s">
        <v>17120</v>
      </c>
      <c r="D3902" t="s">
        <v>3242</v>
      </c>
      <c r="E3902" t="s">
        <v>15710</v>
      </c>
      <c r="F3902" t="s">
        <v>3243</v>
      </c>
      <c r="G3902" t="s">
        <v>4718</v>
      </c>
      <c r="H3902" t="s">
        <v>3618</v>
      </c>
    </row>
    <row r="3903" spans="1:9" x14ac:dyDescent="0.25">
      <c r="A3903" t="s">
        <v>17121</v>
      </c>
      <c r="B3903" t="s">
        <v>17121</v>
      </c>
      <c r="C3903" t="s">
        <v>17122</v>
      </c>
      <c r="D3903" t="s">
        <v>3242</v>
      </c>
      <c r="E3903" t="s">
        <v>15710</v>
      </c>
      <c r="F3903" t="s">
        <v>3288</v>
      </c>
      <c r="G3903" t="s">
        <v>3060</v>
      </c>
      <c r="H3903" t="s">
        <v>3285</v>
      </c>
    </row>
    <row r="3904" spans="1:9" x14ac:dyDescent="0.25">
      <c r="A3904" t="s">
        <v>15676</v>
      </c>
      <c r="B3904" t="s">
        <v>15676</v>
      </c>
      <c r="C3904" t="s">
        <v>15677</v>
      </c>
      <c r="D3904" t="s">
        <v>3242</v>
      </c>
      <c r="E3904" t="s">
        <v>15710</v>
      </c>
      <c r="F3904" t="s">
        <v>3243</v>
      </c>
      <c r="G3904" t="s">
        <v>15678</v>
      </c>
      <c r="H3904" t="s">
        <v>3566</v>
      </c>
    </row>
    <row r="3905" spans="1:9" x14ac:dyDescent="0.25">
      <c r="A3905" t="s">
        <v>13118</v>
      </c>
      <c r="B3905" t="s">
        <v>13118</v>
      </c>
      <c r="C3905" t="s">
        <v>13119</v>
      </c>
      <c r="D3905" t="s">
        <v>3242</v>
      </c>
      <c r="E3905" t="s">
        <v>15710</v>
      </c>
      <c r="F3905" t="s">
        <v>3283</v>
      </c>
      <c r="G3905" t="s">
        <v>13120</v>
      </c>
      <c r="H3905" t="s">
        <v>11116</v>
      </c>
    </row>
    <row r="3906" spans="1:9" x14ac:dyDescent="0.25">
      <c r="A3906" t="s">
        <v>13121</v>
      </c>
      <c r="B3906" t="s">
        <v>13121</v>
      </c>
      <c r="C3906" t="s">
        <v>13122</v>
      </c>
      <c r="D3906" t="s">
        <v>3242</v>
      </c>
      <c r="E3906" t="s">
        <v>15710</v>
      </c>
      <c r="F3906" t="s">
        <v>3288</v>
      </c>
      <c r="G3906" t="s">
        <v>3387</v>
      </c>
      <c r="H3906" t="s">
        <v>3463</v>
      </c>
    </row>
    <row r="3907" spans="1:9" x14ac:dyDescent="0.25">
      <c r="A3907" t="s">
        <v>13123</v>
      </c>
      <c r="B3907" t="s">
        <v>13123</v>
      </c>
      <c r="C3907" t="s">
        <v>13124</v>
      </c>
      <c r="D3907" t="s">
        <v>3242</v>
      </c>
      <c r="E3907" t="s">
        <v>15710</v>
      </c>
      <c r="F3907" t="s">
        <v>5035</v>
      </c>
      <c r="G3907" t="s">
        <v>13125</v>
      </c>
      <c r="H3907" t="s">
        <v>3267</v>
      </c>
    </row>
    <row r="3908" spans="1:9" x14ac:dyDescent="0.25">
      <c r="A3908" t="s">
        <v>13126</v>
      </c>
      <c r="B3908" t="s">
        <v>13126</v>
      </c>
      <c r="C3908" t="s">
        <v>13127</v>
      </c>
      <c r="D3908" t="s">
        <v>3242</v>
      </c>
      <c r="E3908" t="s">
        <v>17480</v>
      </c>
      <c r="F3908" t="s">
        <v>3300</v>
      </c>
      <c r="G3908" t="s">
        <v>13128</v>
      </c>
      <c r="H3908" t="s">
        <v>3290</v>
      </c>
    </row>
    <row r="3909" spans="1:9" x14ac:dyDescent="0.25">
      <c r="A3909" t="s">
        <v>13129</v>
      </c>
      <c r="B3909" t="s">
        <v>13129</v>
      </c>
      <c r="C3909" t="s">
        <v>13130</v>
      </c>
      <c r="D3909" t="s">
        <v>3242</v>
      </c>
      <c r="E3909" t="s">
        <v>17624</v>
      </c>
      <c r="F3909" t="s">
        <v>3251</v>
      </c>
      <c r="G3909" t="s">
        <v>13131</v>
      </c>
      <c r="H3909" t="s">
        <v>3060</v>
      </c>
      <c r="I3909" t="s">
        <v>4028</v>
      </c>
    </row>
    <row r="3910" spans="1:9" x14ac:dyDescent="0.25">
      <c r="A3910" t="s">
        <v>13132</v>
      </c>
      <c r="B3910" t="s">
        <v>13132</v>
      </c>
      <c r="C3910" t="s">
        <v>13133</v>
      </c>
      <c r="D3910" t="s">
        <v>3242</v>
      </c>
      <c r="E3910" t="s">
        <v>15710</v>
      </c>
      <c r="F3910" t="s">
        <v>3243</v>
      </c>
      <c r="G3910" t="s">
        <v>3243</v>
      </c>
      <c r="H3910" t="s">
        <v>3290</v>
      </c>
    </row>
    <row r="3911" spans="1:9" x14ac:dyDescent="0.25">
      <c r="A3911" t="s">
        <v>13134</v>
      </c>
      <c r="B3911" t="s">
        <v>13134</v>
      </c>
      <c r="C3911" t="s">
        <v>13135</v>
      </c>
      <c r="D3911" t="s">
        <v>3242</v>
      </c>
      <c r="E3911" t="s">
        <v>15710</v>
      </c>
      <c r="F3911" t="s">
        <v>3288</v>
      </c>
      <c r="G3911" t="s">
        <v>4642</v>
      </c>
      <c r="H3911" t="s">
        <v>4642</v>
      </c>
    </row>
    <row r="3912" spans="1:9" x14ac:dyDescent="0.25">
      <c r="A3912" t="s">
        <v>13136</v>
      </c>
      <c r="B3912" t="s">
        <v>13136</v>
      </c>
      <c r="C3912" t="s">
        <v>13137</v>
      </c>
      <c r="D3912" t="s">
        <v>3242</v>
      </c>
      <c r="E3912" t="s">
        <v>15710</v>
      </c>
      <c r="F3912" t="s">
        <v>3345</v>
      </c>
      <c r="G3912" t="s">
        <v>13138</v>
      </c>
      <c r="H3912" t="s">
        <v>3285</v>
      </c>
    </row>
    <row r="3913" spans="1:9" x14ac:dyDescent="0.25">
      <c r="A3913" t="s">
        <v>13139</v>
      </c>
      <c r="B3913" t="s">
        <v>13139</v>
      </c>
      <c r="C3913" t="s">
        <v>13140</v>
      </c>
      <c r="D3913" t="s">
        <v>3242</v>
      </c>
      <c r="E3913" t="s">
        <v>15710</v>
      </c>
      <c r="F3913" t="s">
        <v>3288</v>
      </c>
      <c r="G3913" t="s">
        <v>3060</v>
      </c>
      <c r="H3913" t="s">
        <v>3285</v>
      </c>
    </row>
    <row r="3914" spans="1:9" x14ac:dyDescent="0.25">
      <c r="A3914" t="s">
        <v>13141</v>
      </c>
      <c r="B3914" t="s">
        <v>13141</v>
      </c>
      <c r="C3914" t="s">
        <v>13142</v>
      </c>
      <c r="D3914" t="s">
        <v>3242</v>
      </c>
      <c r="E3914" t="s">
        <v>15710</v>
      </c>
      <c r="F3914" t="s">
        <v>13143</v>
      </c>
      <c r="G3914" t="s">
        <v>13144</v>
      </c>
      <c r="H3914" t="s">
        <v>4642</v>
      </c>
    </row>
    <row r="3915" spans="1:9" x14ac:dyDescent="0.25">
      <c r="A3915" t="s">
        <v>13145</v>
      </c>
      <c r="B3915" t="s">
        <v>13145</v>
      </c>
      <c r="C3915" t="s">
        <v>13146</v>
      </c>
      <c r="D3915" t="s">
        <v>3242</v>
      </c>
      <c r="E3915" t="s">
        <v>15710</v>
      </c>
      <c r="F3915" t="s">
        <v>3345</v>
      </c>
      <c r="G3915" t="s">
        <v>13147</v>
      </c>
      <c r="H3915" t="s">
        <v>3668</v>
      </c>
    </row>
    <row r="3916" spans="1:9" x14ac:dyDescent="0.25">
      <c r="A3916" t="s">
        <v>13148</v>
      </c>
      <c r="B3916" t="s">
        <v>13148</v>
      </c>
      <c r="C3916" t="s">
        <v>13149</v>
      </c>
      <c r="D3916" t="s">
        <v>3242</v>
      </c>
      <c r="E3916" t="s">
        <v>15710</v>
      </c>
      <c r="F3916" t="s">
        <v>3257</v>
      </c>
      <c r="G3916" t="s">
        <v>13150</v>
      </c>
      <c r="H3916" t="s">
        <v>3248</v>
      </c>
    </row>
    <row r="3917" spans="1:9" x14ac:dyDescent="0.25">
      <c r="A3917" t="s">
        <v>13151</v>
      </c>
      <c r="B3917" t="s">
        <v>13151</v>
      </c>
      <c r="C3917" t="s">
        <v>13152</v>
      </c>
      <c r="D3917" t="s">
        <v>3242</v>
      </c>
      <c r="E3917" t="s">
        <v>15710</v>
      </c>
      <c r="F3917" t="s">
        <v>3243</v>
      </c>
      <c r="G3917" t="s">
        <v>10726</v>
      </c>
      <c r="H3917" t="s">
        <v>3285</v>
      </c>
    </row>
    <row r="3918" spans="1:9" x14ac:dyDescent="0.25">
      <c r="A3918" t="s">
        <v>17123</v>
      </c>
      <c r="B3918" t="s">
        <v>17123</v>
      </c>
      <c r="C3918" t="s">
        <v>17124</v>
      </c>
      <c r="D3918" t="s">
        <v>3242</v>
      </c>
      <c r="E3918" t="s">
        <v>15710</v>
      </c>
      <c r="F3918" t="s">
        <v>3288</v>
      </c>
      <c r="G3918" t="s">
        <v>17125</v>
      </c>
      <c r="H3918" t="s">
        <v>3285</v>
      </c>
    </row>
    <row r="3919" spans="1:9" x14ac:dyDescent="0.25">
      <c r="A3919" t="s">
        <v>13153</v>
      </c>
      <c r="B3919" t="s">
        <v>13153</v>
      </c>
      <c r="C3919" t="s">
        <v>13154</v>
      </c>
      <c r="D3919" t="s">
        <v>3242</v>
      </c>
      <c r="E3919" t="s">
        <v>15710</v>
      </c>
      <c r="F3919" t="s">
        <v>3288</v>
      </c>
      <c r="G3919" t="s">
        <v>3060</v>
      </c>
      <c r="H3919" t="s">
        <v>3285</v>
      </c>
    </row>
    <row r="3920" spans="1:9" x14ac:dyDescent="0.25">
      <c r="A3920" t="s">
        <v>15679</v>
      </c>
      <c r="B3920" t="s">
        <v>15679</v>
      </c>
      <c r="C3920" t="s">
        <v>15680</v>
      </c>
      <c r="D3920" t="s">
        <v>3242</v>
      </c>
      <c r="E3920" t="s">
        <v>15710</v>
      </c>
      <c r="F3920" t="s">
        <v>3243</v>
      </c>
      <c r="G3920" t="s">
        <v>3387</v>
      </c>
      <c r="H3920" t="s">
        <v>3290</v>
      </c>
    </row>
    <row r="3921" spans="1:9" x14ac:dyDescent="0.25">
      <c r="A3921" t="s">
        <v>13155</v>
      </c>
      <c r="B3921" t="s">
        <v>13155</v>
      </c>
      <c r="C3921" t="s">
        <v>13156</v>
      </c>
      <c r="D3921" t="s">
        <v>3242</v>
      </c>
      <c r="E3921" t="s">
        <v>15710</v>
      </c>
      <c r="F3921" t="s">
        <v>3257</v>
      </c>
      <c r="G3921" t="s">
        <v>13157</v>
      </c>
      <c r="H3921" t="s">
        <v>5239</v>
      </c>
    </row>
    <row r="3922" spans="1:9" x14ac:dyDescent="0.25">
      <c r="A3922" t="s">
        <v>13158</v>
      </c>
      <c r="B3922" t="s">
        <v>13158</v>
      </c>
      <c r="C3922" t="s">
        <v>13159</v>
      </c>
      <c r="D3922" t="s">
        <v>3242</v>
      </c>
      <c r="E3922" t="s">
        <v>15710</v>
      </c>
      <c r="F3922" t="s">
        <v>3306</v>
      </c>
      <c r="G3922" t="s">
        <v>13160</v>
      </c>
      <c r="H3922" t="s">
        <v>5944</v>
      </c>
      <c r="I3922" t="s">
        <v>3268</v>
      </c>
    </row>
    <row r="3923" spans="1:9" x14ac:dyDescent="0.25">
      <c r="A3923" t="s">
        <v>13161</v>
      </c>
      <c r="B3923" t="s">
        <v>13161</v>
      </c>
      <c r="C3923" t="s">
        <v>13162</v>
      </c>
      <c r="D3923" t="s">
        <v>3242</v>
      </c>
      <c r="E3923" t="s">
        <v>15710</v>
      </c>
      <c r="F3923" t="s">
        <v>3243</v>
      </c>
      <c r="G3923" t="s">
        <v>13163</v>
      </c>
      <c r="H3923" t="s">
        <v>3402</v>
      </c>
    </row>
    <row r="3924" spans="1:9" x14ac:dyDescent="0.25">
      <c r="A3924" t="s">
        <v>16378</v>
      </c>
      <c r="B3924" t="s">
        <v>16378</v>
      </c>
      <c r="C3924" t="s">
        <v>16379</v>
      </c>
      <c r="D3924" t="s">
        <v>3242</v>
      </c>
      <c r="E3924" t="s">
        <v>15710</v>
      </c>
      <c r="F3924" t="s">
        <v>3288</v>
      </c>
      <c r="G3924" t="s">
        <v>3060</v>
      </c>
      <c r="H3924" t="s">
        <v>3285</v>
      </c>
    </row>
    <row r="3925" spans="1:9" x14ac:dyDescent="0.25">
      <c r="A3925" t="s">
        <v>13164</v>
      </c>
      <c r="B3925" t="s">
        <v>13164</v>
      </c>
      <c r="C3925" t="s">
        <v>13165</v>
      </c>
      <c r="D3925" t="s">
        <v>3242</v>
      </c>
      <c r="E3925" t="s">
        <v>15710</v>
      </c>
      <c r="F3925" t="s">
        <v>3243</v>
      </c>
      <c r="G3925" t="s">
        <v>13166</v>
      </c>
      <c r="H3925" t="s">
        <v>3387</v>
      </c>
    </row>
    <row r="3926" spans="1:9" x14ac:dyDescent="0.25">
      <c r="A3926" t="s">
        <v>16750</v>
      </c>
      <c r="B3926" t="s">
        <v>16750</v>
      </c>
      <c r="C3926" t="s">
        <v>16751</v>
      </c>
      <c r="D3926" t="s">
        <v>3242</v>
      </c>
      <c r="E3926" t="s">
        <v>15710</v>
      </c>
      <c r="F3926" t="s">
        <v>3288</v>
      </c>
      <c r="G3926" t="s">
        <v>3060</v>
      </c>
      <c r="H3926" t="s">
        <v>3285</v>
      </c>
    </row>
    <row r="3927" spans="1:9" x14ac:dyDescent="0.25">
      <c r="A3927" t="s">
        <v>13167</v>
      </c>
      <c r="B3927" t="s">
        <v>13167</v>
      </c>
      <c r="C3927" t="s">
        <v>13168</v>
      </c>
      <c r="D3927" t="s">
        <v>3242</v>
      </c>
      <c r="E3927" t="s">
        <v>15710</v>
      </c>
      <c r="F3927" t="s">
        <v>3306</v>
      </c>
      <c r="G3927" t="s">
        <v>13169</v>
      </c>
      <c r="H3927" t="s">
        <v>3421</v>
      </c>
      <c r="I3927" t="s">
        <v>3254</v>
      </c>
    </row>
    <row r="3928" spans="1:9" x14ac:dyDescent="0.25">
      <c r="A3928" t="s">
        <v>13170</v>
      </c>
      <c r="B3928" t="s">
        <v>13170</v>
      </c>
      <c r="C3928" t="s">
        <v>13171</v>
      </c>
      <c r="D3928" t="s">
        <v>3242</v>
      </c>
      <c r="E3928" t="s">
        <v>15710</v>
      </c>
      <c r="F3928" t="s">
        <v>3251</v>
      </c>
      <c r="G3928" t="s">
        <v>13172</v>
      </c>
      <c r="H3928" t="s">
        <v>3311</v>
      </c>
    </row>
    <row r="3929" spans="1:9" x14ac:dyDescent="0.25">
      <c r="A3929" t="s">
        <v>13173</v>
      </c>
      <c r="B3929" t="s">
        <v>13173</v>
      </c>
      <c r="C3929" t="s">
        <v>13174</v>
      </c>
      <c r="D3929" t="s">
        <v>3242</v>
      </c>
      <c r="E3929" t="s">
        <v>15710</v>
      </c>
      <c r="F3929" t="s">
        <v>3251</v>
      </c>
      <c r="G3929" t="s">
        <v>13175</v>
      </c>
      <c r="H3929" t="s">
        <v>3311</v>
      </c>
    </row>
    <row r="3930" spans="1:9" x14ac:dyDescent="0.25">
      <c r="A3930" t="s">
        <v>13176</v>
      </c>
      <c r="B3930" t="s">
        <v>13176</v>
      </c>
      <c r="C3930" t="s">
        <v>13177</v>
      </c>
      <c r="D3930" t="s">
        <v>3242</v>
      </c>
      <c r="E3930" t="s">
        <v>15710</v>
      </c>
      <c r="F3930" t="s">
        <v>3283</v>
      </c>
      <c r="G3930" t="s">
        <v>13178</v>
      </c>
      <c r="H3930" t="s">
        <v>3463</v>
      </c>
    </row>
    <row r="3931" spans="1:9" x14ac:dyDescent="0.25">
      <c r="A3931" t="s">
        <v>13179</v>
      </c>
      <c r="B3931" t="s">
        <v>13179</v>
      </c>
      <c r="C3931" t="s">
        <v>13180</v>
      </c>
      <c r="D3931" t="s">
        <v>3242</v>
      </c>
      <c r="E3931" t="s">
        <v>15710</v>
      </c>
      <c r="F3931" t="s">
        <v>3257</v>
      </c>
      <c r="G3931" t="s">
        <v>13181</v>
      </c>
      <c r="H3931" t="s">
        <v>3496</v>
      </c>
      <c r="I3931" t="s">
        <v>3407</v>
      </c>
    </row>
    <row r="3932" spans="1:9" x14ac:dyDescent="0.25">
      <c r="A3932" t="s">
        <v>16599</v>
      </c>
      <c r="B3932" t="s">
        <v>16599</v>
      </c>
      <c r="C3932" t="s">
        <v>16600</v>
      </c>
      <c r="D3932" t="s">
        <v>3242</v>
      </c>
      <c r="E3932" t="s">
        <v>15710</v>
      </c>
      <c r="F3932" t="s">
        <v>3288</v>
      </c>
      <c r="G3932" t="s">
        <v>3060</v>
      </c>
      <c r="H3932" t="s">
        <v>3285</v>
      </c>
    </row>
    <row r="3933" spans="1:9" x14ac:dyDescent="0.25">
      <c r="A3933" t="s">
        <v>13182</v>
      </c>
      <c r="B3933" t="s">
        <v>13182</v>
      </c>
      <c r="C3933" t="s">
        <v>13183</v>
      </c>
      <c r="D3933" t="s">
        <v>3242</v>
      </c>
      <c r="E3933" t="s">
        <v>15710</v>
      </c>
      <c r="F3933" t="s">
        <v>3345</v>
      </c>
      <c r="G3933" t="s">
        <v>13184</v>
      </c>
      <c r="H3933" t="s">
        <v>3280</v>
      </c>
      <c r="I3933" t="s">
        <v>3263</v>
      </c>
    </row>
    <row r="3934" spans="1:9" x14ac:dyDescent="0.25">
      <c r="A3934" t="s">
        <v>13185</v>
      </c>
      <c r="B3934" t="s">
        <v>13185</v>
      </c>
      <c r="C3934" t="s">
        <v>13186</v>
      </c>
      <c r="D3934" t="s">
        <v>3242</v>
      </c>
      <c r="E3934" t="s">
        <v>15729</v>
      </c>
      <c r="F3934" t="s">
        <v>3257</v>
      </c>
      <c r="G3934" t="s">
        <v>13187</v>
      </c>
      <c r="H3934" t="s">
        <v>3623</v>
      </c>
      <c r="I3934" t="s">
        <v>4028</v>
      </c>
    </row>
    <row r="3935" spans="1:9" x14ac:dyDescent="0.25">
      <c r="A3935" t="s">
        <v>13188</v>
      </c>
      <c r="B3935" t="s">
        <v>13188</v>
      </c>
      <c r="C3935" t="s">
        <v>13189</v>
      </c>
      <c r="D3935" t="s">
        <v>3242</v>
      </c>
      <c r="E3935" t="s">
        <v>15710</v>
      </c>
      <c r="F3935" t="s">
        <v>3300</v>
      </c>
      <c r="G3935" t="s">
        <v>13190</v>
      </c>
      <c r="H3935" t="s">
        <v>4179</v>
      </c>
    </row>
    <row r="3936" spans="1:9" x14ac:dyDescent="0.25">
      <c r="A3936" t="s">
        <v>13191</v>
      </c>
      <c r="B3936" t="s">
        <v>13191</v>
      </c>
      <c r="C3936" t="s">
        <v>13192</v>
      </c>
      <c r="D3936" t="s">
        <v>3242</v>
      </c>
      <c r="E3936" t="s">
        <v>17665</v>
      </c>
      <c r="F3936" t="s">
        <v>3306</v>
      </c>
      <c r="G3936" t="s">
        <v>13193</v>
      </c>
      <c r="H3936" t="s">
        <v>3267</v>
      </c>
      <c r="I3936" t="s">
        <v>3366</v>
      </c>
    </row>
    <row r="3937" spans="1:9" x14ac:dyDescent="0.25">
      <c r="A3937" t="s">
        <v>13194</v>
      </c>
      <c r="B3937" t="s">
        <v>13194</v>
      </c>
      <c r="C3937" t="s">
        <v>13195</v>
      </c>
      <c r="D3937" t="s">
        <v>3242</v>
      </c>
      <c r="E3937" t="s">
        <v>15710</v>
      </c>
      <c r="F3937" t="s">
        <v>3288</v>
      </c>
      <c r="G3937" t="s">
        <v>13196</v>
      </c>
      <c r="H3937" t="s">
        <v>3361</v>
      </c>
    </row>
    <row r="3938" spans="1:9" x14ac:dyDescent="0.25">
      <c r="A3938" t="s">
        <v>15681</v>
      </c>
      <c r="B3938" t="s">
        <v>15681</v>
      </c>
      <c r="C3938" t="s">
        <v>15682</v>
      </c>
      <c r="D3938" t="s">
        <v>3242</v>
      </c>
      <c r="E3938" t="s">
        <v>15710</v>
      </c>
      <c r="F3938" t="s">
        <v>3288</v>
      </c>
      <c r="G3938" t="s">
        <v>15683</v>
      </c>
      <c r="H3938" t="s">
        <v>3680</v>
      </c>
    </row>
    <row r="3939" spans="1:9" x14ac:dyDescent="0.25">
      <c r="A3939" t="s">
        <v>13197</v>
      </c>
      <c r="B3939" t="s">
        <v>13197</v>
      </c>
      <c r="C3939" t="s">
        <v>13198</v>
      </c>
      <c r="D3939" t="s">
        <v>3242</v>
      </c>
      <c r="E3939" t="s">
        <v>15710</v>
      </c>
      <c r="F3939" t="s">
        <v>3243</v>
      </c>
      <c r="G3939" t="s">
        <v>13199</v>
      </c>
      <c r="H3939" t="s">
        <v>3402</v>
      </c>
    </row>
    <row r="3940" spans="1:9" x14ac:dyDescent="0.25">
      <c r="A3940" t="s">
        <v>13200</v>
      </c>
      <c r="B3940" t="s">
        <v>13200</v>
      </c>
      <c r="C3940" t="s">
        <v>13201</v>
      </c>
      <c r="D3940" t="s">
        <v>3242</v>
      </c>
      <c r="E3940" t="s">
        <v>15710</v>
      </c>
      <c r="F3940" t="s">
        <v>3243</v>
      </c>
      <c r="G3940" t="s">
        <v>13202</v>
      </c>
      <c r="H3940" t="s">
        <v>3402</v>
      </c>
    </row>
    <row r="3941" spans="1:9" x14ac:dyDescent="0.25">
      <c r="A3941" t="s">
        <v>13203</v>
      </c>
      <c r="B3941" t="s">
        <v>13203</v>
      </c>
      <c r="C3941" t="s">
        <v>7711</v>
      </c>
      <c r="D3941" t="s">
        <v>3242</v>
      </c>
      <c r="E3941" t="s">
        <v>15710</v>
      </c>
      <c r="F3941" t="s">
        <v>3288</v>
      </c>
      <c r="G3941" t="s">
        <v>7712</v>
      </c>
      <c r="H3941" t="s">
        <v>3285</v>
      </c>
    </row>
    <row r="3942" spans="1:9" x14ac:dyDescent="0.25">
      <c r="A3942" t="s">
        <v>13204</v>
      </c>
      <c r="B3942" t="s">
        <v>13204</v>
      </c>
      <c r="C3942" t="s">
        <v>13205</v>
      </c>
      <c r="D3942" t="s">
        <v>3242</v>
      </c>
      <c r="E3942" t="s">
        <v>15710</v>
      </c>
      <c r="F3942" t="s">
        <v>3257</v>
      </c>
      <c r="G3942" t="s">
        <v>13206</v>
      </c>
      <c r="H3942" t="s">
        <v>3413</v>
      </c>
      <c r="I3942" t="s">
        <v>3407</v>
      </c>
    </row>
    <row r="3943" spans="1:9" x14ac:dyDescent="0.25">
      <c r="A3943" t="s">
        <v>13207</v>
      </c>
      <c r="B3943" t="s">
        <v>13207</v>
      </c>
      <c r="C3943" t="s">
        <v>13208</v>
      </c>
      <c r="D3943" t="s">
        <v>3242</v>
      </c>
      <c r="E3943" t="s">
        <v>15710</v>
      </c>
      <c r="F3943" t="s">
        <v>3345</v>
      </c>
      <c r="G3943" t="s">
        <v>13209</v>
      </c>
      <c r="H3943" t="s">
        <v>4320</v>
      </c>
    </row>
    <row r="3944" spans="1:9" x14ac:dyDescent="0.25">
      <c r="A3944" t="s">
        <v>13210</v>
      </c>
      <c r="B3944" t="s">
        <v>13210</v>
      </c>
      <c r="C3944" t="s">
        <v>13211</v>
      </c>
      <c r="D3944" t="s">
        <v>3242</v>
      </c>
      <c r="E3944" t="s">
        <v>15710</v>
      </c>
      <c r="F3944" t="s">
        <v>3243</v>
      </c>
      <c r="G3944" t="s">
        <v>13212</v>
      </c>
      <c r="H3944" t="s">
        <v>4284</v>
      </c>
    </row>
    <row r="3945" spans="1:9" x14ac:dyDescent="0.25">
      <c r="A3945" t="s">
        <v>16086</v>
      </c>
      <c r="B3945" t="s">
        <v>16086</v>
      </c>
      <c r="C3945" t="s">
        <v>7714</v>
      </c>
      <c r="D3945" t="s">
        <v>3242</v>
      </c>
      <c r="E3945" t="s">
        <v>17666</v>
      </c>
      <c r="F3945" t="s">
        <v>3243</v>
      </c>
      <c r="G3945" t="s">
        <v>16087</v>
      </c>
      <c r="H3945" t="s">
        <v>3565</v>
      </c>
      <c r="I3945" t="s">
        <v>14986</v>
      </c>
    </row>
    <row r="3946" spans="1:9" x14ac:dyDescent="0.25">
      <c r="A3946" t="s">
        <v>13213</v>
      </c>
      <c r="B3946" t="s">
        <v>13213</v>
      </c>
      <c r="C3946" t="s">
        <v>13214</v>
      </c>
      <c r="D3946" t="s">
        <v>3242</v>
      </c>
      <c r="E3946" t="s">
        <v>15710</v>
      </c>
      <c r="F3946" t="s">
        <v>3243</v>
      </c>
      <c r="G3946" t="s">
        <v>11714</v>
      </c>
      <c r="H3946" t="s">
        <v>3402</v>
      </c>
    </row>
    <row r="3947" spans="1:9" x14ac:dyDescent="0.25">
      <c r="A3947" t="s">
        <v>13215</v>
      </c>
      <c r="B3947" t="s">
        <v>13215</v>
      </c>
      <c r="C3947" t="s">
        <v>13216</v>
      </c>
      <c r="D3947" t="s">
        <v>3242</v>
      </c>
      <c r="E3947" t="s">
        <v>15710</v>
      </c>
      <c r="F3947" t="s">
        <v>3243</v>
      </c>
      <c r="G3947" t="s">
        <v>13217</v>
      </c>
      <c r="H3947" t="s">
        <v>4284</v>
      </c>
    </row>
    <row r="3948" spans="1:9" x14ac:dyDescent="0.25">
      <c r="A3948" t="s">
        <v>13218</v>
      </c>
      <c r="B3948" t="s">
        <v>13218</v>
      </c>
      <c r="C3948" t="s">
        <v>13219</v>
      </c>
      <c r="D3948" t="s">
        <v>3242</v>
      </c>
      <c r="E3948" t="s">
        <v>15710</v>
      </c>
      <c r="F3948" t="s">
        <v>3288</v>
      </c>
      <c r="G3948" t="s">
        <v>13220</v>
      </c>
      <c r="H3948" t="s">
        <v>3285</v>
      </c>
    </row>
    <row r="3949" spans="1:9" x14ac:dyDescent="0.25">
      <c r="A3949" t="s">
        <v>15684</v>
      </c>
      <c r="B3949" t="s">
        <v>15684</v>
      </c>
      <c r="C3949" t="s">
        <v>15685</v>
      </c>
      <c r="D3949" t="s">
        <v>3242</v>
      </c>
      <c r="E3949" t="s">
        <v>15710</v>
      </c>
      <c r="F3949" t="s">
        <v>3257</v>
      </c>
      <c r="G3949" t="s">
        <v>3684</v>
      </c>
      <c r="H3949" t="s">
        <v>3421</v>
      </c>
      <c r="I3949" t="s">
        <v>3254</v>
      </c>
    </row>
    <row r="3950" spans="1:9" x14ac:dyDescent="0.25">
      <c r="A3950" t="s">
        <v>13221</v>
      </c>
      <c r="B3950" t="s">
        <v>13221</v>
      </c>
      <c r="C3950" t="s">
        <v>13222</v>
      </c>
      <c r="D3950" t="s">
        <v>3242</v>
      </c>
      <c r="E3950" t="s">
        <v>17126</v>
      </c>
      <c r="F3950" t="s">
        <v>11078</v>
      </c>
      <c r="G3950" t="s">
        <v>13223</v>
      </c>
      <c r="H3950" t="s">
        <v>3248</v>
      </c>
      <c r="I3950" t="s">
        <v>3648</v>
      </c>
    </row>
    <row r="3951" spans="1:9" x14ac:dyDescent="0.25">
      <c r="A3951" t="s">
        <v>13224</v>
      </c>
      <c r="B3951" t="s">
        <v>13224</v>
      </c>
      <c r="C3951" t="s">
        <v>13225</v>
      </c>
      <c r="D3951" t="s">
        <v>3242</v>
      </c>
      <c r="E3951" t="s">
        <v>15710</v>
      </c>
      <c r="F3951" t="s">
        <v>3243</v>
      </c>
      <c r="G3951" t="s">
        <v>3243</v>
      </c>
      <c r="H3951" t="s">
        <v>3290</v>
      </c>
    </row>
    <row r="3952" spans="1:9" x14ac:dyDescent="0.25">
      <c r="A3952" t="s">
        <v>13226</v>
      </c>
      <c r="B3952" t="s">
        <v>13226</v>
      </c>
      <c r="C3952" t="s">
        <v>13227</v>
      </c>
      <c r="D3952" t="s">
        <v>3242</v>
      </c>
      <c r="E3952" t="s">
        <v>15710</v>
      </c>
      <c r="F3952" t="s">
        <v>13228</v>
      </c>
      <c r="G3952" t="s">
        <v>13229</v>
      </c>
      <c r="H3952" t="s">
        <v>3455</v>
      </c>
      <c r="I3952" t="s">
        <v>7620</v>
      </c>
    </row>
    <row r="3953" spans="1:9" x14ac:dyDescent="0.25">
      <c r="A3953" t="s">
        <v>13230</v>
      </c>
      <c r="B3953" t="s">
        <v>13230</v>
      </c>
      <c r="C3953" t="s">
        <v>13231</v>
      </c>
      <c r="D3953" t="s">
        <v>3242</v>
      </c>
      <c r="E3953" t="s">
        <v>15710</v>
      </c>
      <c r="F3953" t="s">
        <v>3345</v>
      </c>
      <c r="G3953" t="s">
        <v>13232</v>
      </c>
      <c r="H3953" t="s">
        <v>3680</v>
      </c>
    </row>
    <row r="3954" spans="1:9" x14ac:dyDescent="0.25">
      <c r="A3954" t="s">
        <v>13233</v>
      </c>
      <c r="B3954" t="s">
        <v>13233</v>
      </c>
      <c r="C3954" t="s">
        <v>13234</v>
      </c>
      <c r="D3954" t="s">
        <v>3242</v>
      </c>
      <c r="E3954" t="s">
        <v>16602</v>
      </c>
      <c r="F3954" t="s">
        <v>3251</v>
      </c>
      <c r="G3954" t="s">
        <v>13235</v>
      </c>
      <c r="H3954" t="s">
        <v>10143</v>
      </c>
      <c r="I3954" t="s">
        <v>3451</v>
      </c>
    </row>
    <row r="3955" spans="1:9" x14ac:dyDescent="0.25">
      <c r="A3955" t="s">
        <v>13236</v>
      </c>
      <c r="B3955" t="s">
        <v>13236</v>
      </c>
      <c r="C3955" t="s">
        <v>13237</v>
      </c>
      <c r="D3955" t="s">
        <v>3242</v>
      </c>
      <c r="E3955" t="s">
        <v>15710</v>
      </c>
      <c r="F3955" t="s">
        <v>3345</v>
      </c>
      <c r="G3955" t="s">
        <v>4154</v>
      </c>
      <c r="H3955" t="s">
        <v>3623</v>
      </c>
    </row>
    <row r="3956" spans="1:9" x14ac:dyDescent="0.25">
      <c r="A3956" t="s">
        <v>13238</v>
      </c>
      <c r="B3956" t="s">
        <v>13238</v>
      </c>
      <c r="C3956" t="s">
        <v>13239</v>
      </c>
      <c r="D3956" t="s">
        <v>3242</v>
      </c>
      <c r="E3956" t="s">
        <v>15710</v>
      </c>
      <c r="F3956" t="s">
        <v>15712</v>
      </c>
      <c r="G3956" t="s">
        <v>13240</v>
      </c>
      <c r="H3956" t="s">
        <v>3290</v>
      </c>
    </row>
    <row r="3957" spans="1:9" x14ac:dyDescent="0.25">
      <c r="A3957" t="s">
        <v>13241</v>
      </c>
      <c r="B3957" t="s">
        <v>13241</v>
      </c>
      <c r="C3957" t="s">
        <v>13242</v>
      </c>
      <c r="D3957" t="s">
        <v>3242</v>
      </c>
      <c r="E3957" t="s">
        <v>17127</v>
      </c>
      <c r="F3957" t="s">
        <v>3251</v>
      </c>
      <c r="G3957" t="s">
        <v>13243</v>
      </c>
      <c r="H3957" t="s">
        <v>3379</v>
      </c>
      <c r="I3957" t="s">
        <v>3366</v>
      </c>
    </row>
    <row r="3958" spans="1:9" x14ac:dyDescent="0.25">
      <c r="A3958" t="s">
        <v>13244</v>
      </c>
      <c r="B3958" t="s">
        <v>13244</v>
      </c>
      <c r="C3958" t="s">
        <v>13245</v>
      </c>
      <c r="D3958" t="s">
        <v>3242</v>
      </c>
      <c r="E3958" t="s">
        <v>15710</v>
      </c>
      <c r="F3958" t="s">
        <v>3243</v>
      </c>
      <c r="G3958" t="s">
        <v>13246</v>
      </c>
      <c r="H3958" t="s">
        <v>4284</v>
      </c>
    </row>
    <row r="3959" spans="1:9" x14ac:dyDescent="0.25">
      <c r="A3959" t="s">
        <v>13247</v>
      </c>
      <c r="B3959" t="s">
        <v>13247</v>
      </c>
      <c r="C3959" t="s">
        <v>13248</v>
      </c>
      <c r="D3959" t="s">
        <v>3242</v>
      </c>
      <c r="E3959" t="s">
        <v>15710</v>
      </c>
      <c r="F3959" t="s">
        <v>3243</v>
      </c>
      <c r="G3959" t="s">
        <v>12174</v>
      </c>
      <c r="H3959" t="s">
        <v>4284</v>
      </c>
    </row>
    <row r="3960" spans="1:9" x14ac:dyDescent="0.25">
      <c r="A3960" t="s">
        <v>13249</v>
      </c>
      <c r="B3960" t="s">
        <v>13249</v>
      </c>
      <c r="C3960" t="s">
        <v>13250</v>
      </c>
      <c r="D3960" t="s">
        <v>3242</v>
      </c>
      <c r="E3960" t="s">
        <v>15710</v>
      </c>
      <c r="F3960" t="s">
        <v>3243</v>
      </c>
      <c r="G3960" t="s">
        <v>13251</v>
      </c>
      <c r="H3960" t="s">
        <v>3488</v>
      </c>
    </row>
    <row r="3961" spans="1:9" x14ac:dyDescent="0.25">
      <c r="A3961" t="s">
        <v>13252</v>
      </c>
      <c r="B3961" t="s">
        <v>13252</v>
      </c>
      <c r="C3961" t="s">
        <v>13253</v>
      </c>
      <c r="D3961" t="s">
        <v>3242</v>
      </c>
      <c r="E3961" t="s">
        <v>15710</v>
      </c>
      <c r="F3961" t="s">
        <v>3288</v>
      </c>
      <c r="G3961" t="s">
        <v>13254</v>
      </c>
      <c r="H3961" t="s">
        <v>3285</v>
      </c>
    </row>
    <row r="3962" spans="1:9" x14ac:dyDescent="0.25">
      <c r="A3962" t="s">
        <v>15686</v>
      </c>
      <c r="B3962" t="s">
        <v>15686</v>
      </c>
      <c r="C3962" t="s">
        <v>15687</v>
      </c>
      <c r="D3962" t="s">
        <v>3242</v>
      </c>
      <c r="E3962" t="s">
        <v>15710</v>
      </c>
      <c r="F3962" t="s">
        <v>3288</v>
      </c>
      <c r="G3962" t="s">
        <v>3060</v>
      </c>
      <c r="H3962" t="s">
        <v>3285</v>
      </c>
    </row>
    <row r="3963" spans="1:9" x14ac:dyDescent="0.25">
      <c r="A3963" t="s">
        <v>16088</v>
      </c>
      <c r="B3963" t="s">
        <v>16088</v>
      </c>
      <c r="C3963" t="s">
        <v>16089</v>
      </c>
      <c r="D3963" t="s">
        <v>3242</v>
      </c>
      <c r="E3963" t="s">
        <v>15710</v>
      </c>
      <c r="F3963" t="s">
        <v>3257</v>
      </c>
      <c r="G3963" t="s">
        <v>16090</v>
      </c>
      <c r="H3963" t="s">
        <v>3365</v>
      </c>
      <c r="I3963" t="s">
        <v>3324</v>
      </c>
    </row>
    <row r="3964" spans="1:9" x14ac:dyDescent="0.25">
      <c r="A3964" t="s">
        <v>13255</v>
      </c>
      <c r="B3964" t="s">
        <v>13255</v>
      </c>
      <c r="C3964" t="s">
        <v>13256</v>
      </c>
      <c r="D3964" t="s">
        <v>3242</v>
      </c>
      <c r="E3964" t="s">
        <v>15710</v>
      </c>
      <c r="F3964" t="s">
        <v>3243</v>
      </c>
      <c r="G3964" t="s">
        <v>13257</v>
      </c>
      <c r="H3964" t="s">
        <v>3285</v>
      </c>
    </row>
    <row r="3965" spans="1:9" x14ac:dyDescent="0.25">
      <c r="A3965" t="s">
        <v>13258</v>
      </c>
      <c r="B3965" t="s">
        <v>13258</v>
      </c>
      <c r="C3965" t="s">
        <v>13259</v>
      </c>
      <c r="D3965" t="s">
        <v>3242</v>
      </c>
      <c r="E3965" t="s">
        <v>15710</v>
      </c>
      <c r="F3965" t="s">
        <v>3288</v>
      </c>
      <c r="G3965" t="s">
        <v>3060</v>
      </c>
      <c r="H3965" t="s">
        <v>3285</v>
      </c>
    </row>
    <row r="3966" spans="1:9" x14ac:dyDescent="0.25">
      <c r="A3966" t="s">
        <v>13260</v>
      </c>
      <c r="B3966" t="s">
        <v>13260</v>
      </c>
      <c r="C3966" t="s">
        <v>13261</v>
      </c>
      <c r="D3966" t="s">
        <v>3242</v>
      </c>
      <c r="E3966" t="s">
        <v>15710</v>
      </c>
      <c r="F3966" t="s">
        <v>3288</v>
      </c>
      <c r="G3966" t="s">
        <v>13262</v>
      </c>
      <c r="H3966" t="s">
        <v>3915</v>
      </c>
    </row>
    <row r="3967" spans="1:9" x14ac:dyDescent="0.25">
      <c r="A3967" t="s">
        <v>15688</v>
      </c>
      <c r="B3967" t="s">
        <v>15688</v>
      </c>
      <c r="C3967" t="s">
        <v>15689</v>
      </c>
      <c r="D3967" t="s">
        <v>3242</v>
      </c>
      <c r="E3967" t="s">
        <v>15710</v>
      </c>
      <c r="F3967" t="s">
        <v>3288</v>
      </c>
      <c r="G3967" t="s">
        <v>3060</v>
      </c>
      <c r="H3967" t="s">
        <v>3290</v>
      </c>
    </row>
    <row r="3968" spans="1:9" x14ac:dyDescent="0.25">
      <c r="A3968" t="s">
        <v>13263</v>
      </c>
      <c r="B3968" t="s">
        <v>13263</v>
      </c>
      <c r="C3968" t="s">
        <v>13264</v>
      </c>
      <c r="D3968" t="s">
        <v>3242</v>
      </c>
      <c r="E3968" t="s">
        <v>15710</v>
      </c>
      <c r="F3968" t="s">
        <v>13265</v>
      </c>
      <c r="G3968" t="s">
        <v>13266</v>
      </c>
      <c r="H3968" t="s">
        <v>4797</v>
      </c>
    </row>
    <row r="3969" spans="1:9" x14ac:dyDescent="0.25">
      <c r="A3969" t="s">
        <v>13267</v>
      </c>
      <c r="B3969" t="s">
        <v>13267</v>
      </c>
      <c r="C3969" t="s">
        <v>13268</v>
      </c>
      <c r="D3969" t="s">
        <v>3242</v>
      </c>
      <c r="E3969" t="s">
        <v>15710</v>
      </c>
      <c r="F3969" t="s">
        <v>3345</v>
      </c>
      <c r="G3969" t="s">
        <v>13269</v>
      </c>
      <c r="H3969" t="s">
        <v>3060</v>
      </c>
    </row>
    <row r="3970" spans="1:9" x14ac:dyDescent="0.25">
      <c r="A3970" t="s">
        <v>13270</v>
      </c>
      <c r="B3970" t="s">
        <v>13270</v>
      </c>
      <c r="C3970" t="s">
        <v>13271</v>
      </c>
      <c r="D3970" t="s">
        <v>3242</v>
      </c>
      <c r="E3970" t="s">
        <v>15710</v>
      </c>
      <c r="F3970" t="s">
        <v>3345</v>
      </c>
      <c r="G3970" t="s">
        <v>13272</v>
      </c>
      <c r="H3970" t="s">
        <v>3060</v>
      </c>
    </row>
    <row r="3971" spans="1:9" x14ac:dyDescent="0.25">
      <c r="A3971" t="s">
        <v>13273</v>
      </c>
      <c r="B3971" t="s">
        <v>13273</v>
      </c>
      <c r="C3971" t="s">
        <v>13274</v>
      </c>
      <c r="D3971" t="s">
        <v>3242</v>
      </c>
      <c r="E3971" t="s">
        <v>15710</v>
      </c>
      <c r="F3971" t="s">
        <v>3243</v>
      </c>
      <c r="G3971" t="s">
        <v>13275</v>
      </c>
      <c r="H3971" t="s">
        <v>3402</v>
      </c>
    </row>
    <row r="3972" spans="1:9" x14ac:dyDescent="0.25">
      <c r="A3972" t="s">
        <v>13276</v>
      </c>
      <c r="B3972" t="s">
        <v>13276</v>
      </c>
      <c r="C3972" t="s">
        <v>13277</v>
      </c>
      <c r="D3972" t="s">
        <v>3242</v>
      </c>
      <c r="E3972" t="s">
        <v>15710</v>
      </c>
      <c r="F3972" t="s">
        <v>3345</v>
      </c>
      <c r="G3972" t="s">
        <v>4775</v>
      </c>
      <c r="H3972" t="s">
        <v>3814</v>
      </c>
    </row>
    <row r="3973" spans="1:9" x14ac:dyDescent="0.25">
      <c r="A3973" t="s">
        <v>13278</v>
      </c>
      <c r="B3973" t="s">
        <v>13278</v>
      </c>
      <c r="C3973" t="s">
        <v>13279</v>
      </c>
      <c r="D3973" t="s">
        <v>3242</v>
      </c>
      <c r="E3973" t="s">
        <v>15710</v>
      </c>
      <c r="F3973" t="s">
        <v>3288</v>
      </c>
      <c r="G3973" t="s">
        <v>13280</v>
      </c>
      <c r="H3973" t="s">
        <v>4740</v>
      </c>
    </row>
    <row r="3974" spans="1:9" x14ac:dyDescent="0.25">
      <c r="A3974" t="s">
        <v>17128</v>
      </c>
      <c r="B3974" t="s">
        <v>17128</v>
      </c>
      <c r="C3974" t="s">
        <v>17129</v>
      </c>
      <c r="D3974" t="s">
        <v>3242</v>
      </c>
      <c r="E3974" t="s">
        <v>15965</v>
      </c>
      <c r="F3974" t="s">
        <v>3257</v>
      </c>
      <c r="G3974" t="s">
        <v>17130</v>
      </c>
      <c r="H3974" t="s">
        <v>3537</v>
      </c>
      <c r="I3974" t="s">
        <v>4605</v>
      </c>
    </row>
    <row r="3975" spans="1:9" x14ac:dyDescent="0.25">
      <c r="A3975" t="s">
        <v>13281</v>
      </c>
      <c r="B3975" t="s">
        <v>13281</v>
      </c>
      <c r="C3975" t="s">
        <v>13282</v>
      </c>
      <c r="D3975" t="s">
        <v>3242</v>
      </c>
      <c r="E3975" t="s">
        <v>15710</v>
      </c>
      <c r="F3975" t="s">
        <v>3288</v>
      </c>
      <c r="G3975" t="s">
        <v>3346</v>
      </c>
      <c r="H3975" t="s">
        <v>4697</v>
      </c>
    </row>
    <row r="3976" spans="1:9" x14ac:dyDescent="0.25">
      <c r="A3976" t="s">
        <v>13283</v>
      </c>
      <c r="B3976" t="s">
        <v>13283</v>
      </c>
      <c r="C3976" t="s">
        <v>13284</v>
      </c>
      <c r="D3976" t="s">
        <v>3242</v>
      </c>
      <c r="E3976" t="s">
        <v>15710</v>
      </c>
      <c r="F3976" t="s">
        <v>3288</v>
      </c>
      <c r="G3976" t="s">
        <v>13285</v>
      </c>
      <c r="H3976" t="s">
        <v>3361</v>
      </c>
    </row>
    <row r="3977" spans="1:9" x14ac:dyDescent="0.25">
      <c r="A3977" t="s">
        <v>13286</v>
      </c>
      <c r="B3977" t="s">
        <v>13286</v>
      </c>
      <c r="C3977" t="s">
        <v>13287</v>
      </c>
      <c r="D3977" t="s">
        <v>3242</v>
      </c>
      <c r="E3977" t="s">
        <v>15710</v>
      </c>
      <c r="F3977" t="s">
        <v>3288</v>
      </c>
      <c r="G3977" t="s">
        <v>13288</v>
      </c>
      <c r="H3977" t="s">
        <v>3680</v>
      </c>
    </row>
    <row r="3978" spans="1:9" x14ac:dyDescent="0.25">
      <c r="A3978" t="s">
        <v>13289</v>
      </c>
      <c r="B3978" t="s">
        <v>13289</v>
      </c>
      <c r="C3978" t="s">
        <v>13290</v>
      </c>
      <c r="D3978" t="s">
        <v>3242</v>
      </c>
      <c r="E3978" t="s">
        <v>15710</v>
      </c>
      <c r="F3978" t="s">
        <v>3288</v>
      </c>
      <c r="G3978" t="s">
        <v>3867</v>
      </c>
      <c r="H3978" t="s">
        <v>3285</v>
      </c>
    </row>
    <row r="3979" spans="1:9" x14ac:dyDescent="0.25">
      <c r="A3979" t="s">
        <v>13291</v>
      </c>
      <c r="B3979" t="s">
        <v>13291</v>
      </c>
      <c r="C3979" t="s">
        <v>13292</v>
      </c>
      <c r="D3979" t="s">
        <v>3242</v>
      </c>
      <c r="E3979" t="s">
        <v>15710</v>
      </c>
      <c r="F3979" t="s">
        <v>3288</v>
      </c>
      <c r="G3979" t="s">
        <v>13293</v>
      </c>
      <c r="H3979" t="s">
        <v>3680</v>
      </c>
    </row>
    <row r="3980" spans="1:9" x14ac:dyDescent="0.25">
      <c r="A3980" t="s">
        <v>13294</v>
      </c>
      <c r="B3980" t="s">
        <v>13294</v>
      </c>
      <c r="C3980" t="s">
        <v>13295</v>
      </c>
      <c r="D3980" t="s">
        <v>3242</v>
      </c>
      <c r="E3980" t="s">
        <v>15710</v>
      </c>
      <c r="F3980" t="s">
        <v>3288</v>
      </c>
      <c r="G3980" t="s">
        <v>13296</v>
      </c>
      <c r="H3980" t="s">
        <v>3285</v>
      </c>
    </row>
    <row r="3981" spans="1:9" x14ac:dyDescent="0.25">
      <c r="A3981" t="s">
        <v>13297</v>
      </c>
      <c r="B3981" t="s">
        <v>13297</v>
      </c>
      <c r="C3981" t="s">
        <v>13298</v>
      </c>
      <c r="D3981" t="s">
        <v>3242</v>
      </c>
      <c r="E3981" t="s">
        <v>15710</v>
      </c>
      <c r="F3981" t="s">
        <v>3288</v>
      </c>
      <c r="G3981" t="s">
        <v>3060</v>
      </c>
      <c r="H3981" t="s">
        <v>3285</v>
      </c>
    </row>
    <row r="3982" spans="1:9" x14ac:dyDescent="0.25">
      <c r="A3982" t="s">
        <v>15690</v>
      </c>
      <c r="B3982" t="s">
        <v>15690</v>
      </c>
      <c r="C3982" t="s">
        <v>15691</v>
      </c>
      <c r="D3982" t="s">
        <v>3242</v>
      </c>
      <c r="E3982" t="s">
        <v>15710</v>
      </c>
      <c r="F3982" t="s">
        <v>3243</v>
      </c>
      <c r="G3982" t="s">
        <v>15692</v>
      </c>
      <c r="H3982" t="s">
        <v>3285</v>
      </c>
    </row>
    <row r="3983" spans="1:9" x14ac:dyDescent="0.25">
      <c r="A3983" t="s">
        <v>13299</v>
      </c>
      <c r="B3983" t="s">
        <v>13299</v>
      </c>
      <c r="C3983" t="s">
        <v>13300</v>
      </c>
      <c r="D3983" t="s">
        <v>3242</v>
      </c>
      <c r="E3983" t="s">
        <v>15710</v>
      </c>
      <c r="F3983" t="s">
        <v>3345</v>
      </c>
      <c r="G3983" t="s">
        <v>4007</v>
      </c>
      <c r="H3983" t="s">
        <v>3060</v>
      </c>
    </row>
    <row r="3984" spans="1:9" x14ac:dyDescent="0.25">
      <c r="A3984" t="s">
        <v>15693</v>
      </c>
      <c r="B3984" t="s">
        <v>15693</v>
      </c>
      <c r="C3984" t="s">
        <v>15694</v>
      </c>
      <c r="D3984" t="s">
        <v>3242</v>
      </c>
      <c r="E3984" t="s">
        <v>15710</v>
      </c>
      <c r="F3984" t="s">
        <v>3283</v>
      </c>
      <c r="G3984" t="s">
        <v>6121</v>
      </c>
      <c r="H3984" t="s">
        <v>4697</v>
      </c>
    </row>
    <row r="3985" spans="1:9" x14ac:dyDescent="0.25">
      <c r="A3985" t="s">
        <v>13301</v>
      </c>
      <c r="B3985" t="s">
        <v>13301</v>
      </c>
      <c r="C3985" t="s">
        <v>13302</v>
      </c>
      <c r="D3985" t="s">
        <v>3242</v>
      </c>
      <c r="E3985" t="s">
        <v>15710</v>
      </c>
      <c r="F3985" t="s">
        <v>3345</v>
      </c>
      <c r="G3985" t="s">
        <v>10589</v>
      </c>
      <c r="H3985" t="s">
        <v>3668</v>
      </c>
    </row>
    <row r="3986" spans="1:9" x14ac:dyDescent="0.25">
      <c r="A3986" t="s">
        <v>13303</v>
      </c>
      <c r="B3986" t="s">
        <v>13303</v>
      </c>
      <c r="C3986" t="s">
        <v>13304</v>
      </c>
      <c r="D3986" t="s">
        <v>3242</v>
      </c>
      <c r="E3986" t="s">
        <v>15710</v>
      </c>
      <c r="F3986" t="s">
        <v>3243</v>
      </c>
      <c r="G3986" t="s">
        <v>13305</v>
      </c>
      <c r="H3986" t="s">
        <v>3402</v>
      </c>
    </row>
    <row r="3987" spans="1:9" x14ac:dyDescent="0.25">
      <c r="A3987" t="s">
        <v>15695</v>
      </c>
      <c r="B3987" t="s">
        <v>15695</v>
      </c>
      <c r="C3987" t="s">
        <v>15696</v>
      </c>
      <c r="D3987" t="s">
        <v>3242</v>
      </c>
      <c r="E3987" t="s">
        <v>16752</v>
      </c>
      <c r="F3987" t="s">
        <v>5158</v>
      </c>
      <c r="G3987" t="s">
        <v>15538</v>
      </c>
      <c r="H3987" t="s">
        <v>3496</v>
      </c>
    </row>
    <row r="3988" spans="1:9" x14ac:dyDescent="0.25">
      <c r="A3988" t="s">
        <v>13306</v>
      </c>
      <c r="B3988" t="s">
        <v>13306</v>
      </c>
      <c r="C3988" t="s">
        <v>13307</v>
      </c>
      <c r="D3988" t="s">
        <v>3242</v>
      </c>
      <c r="E3988" t="s">
        <v>15710</v>
      </c>
      <c r="F3988" t="s">
        <v>3345</v>
      </c>
      <c r="G3988" t="s">
        <v>13308</v>
      </c>
      <c r="H3988" t="s">
        <v>4615</v>
      </c>
    </row>
    <row r="3989" spans="1:9" x14ac:dyDescent="0.25">
      <c r="A3989" t="s">
        <v>13309</v>
      </c>
      <c r="B3989" t="s">
        <v>13309</v>
      </c>
      <c r="C3989" t="s">
        <v>13310</v>
      </c>
      <c r="D3989" t="s">
        <v>3242</v>
      </c>
      <c r="E3989" t="s">
        <v>15710</v>
      </c>
      <c r="F3989" t="s">
        <v>3345</v>
      </c>
      <c r="G3989" t="s">
        <v>13311</v>
      </c>
      <c r="H3989" t="s">
        <v>4615</v>
      </c>
    </row>
    <row r="3990" spans="1:9" x14ac:dyDescent="0.25">
      <c r="A3990" t="s">
        <v>15697</v>
      </c>
      <c r="B3990" t="s">
        <v>15697</v>
      </c>
      <c r="C3990" t="s">
        <v>15698</v>
      </c>
      <c r="D3990" t="s">
        <v>3242</v>
      </c>
      <c r="E3990" t="s">
        <v>15710</v>
      </c>
      <c r="F3990" t="s">
        <v>3243</v>
      </c>
      <c r="G3990" t="s">
        <v>15699</v>
      </c>
      <c r="H3990" t="s">
        <v>3285</v>
      </c>
    </row>
    <row r="3991" spans="1:9" x14ac:dyDescent="0.25">
      <c r="A3991" t="s">
        <v>13312</v>
      </c>
      <c r="B3991" t="s">
        <v>13312</v>
      </c>
      <c r="C3991" t="s">
        <v>13313</v>
      </c>
      <c r="D3991" t="s">
        <v>3242</v>
      </c>
      <c r="E3991" t="s">
        <v>15710</v>
      </c>
      <c r="F3991" t="s">
        <v>3251</v>
      </c>
      <c r="G3991" t="s">
        <v>13314</v>
      </c>
      <c r="H3991" t="s">
        <v>5141</v>
      </c>
      <c r="I3991" t="s">
        <v>4605</v>
      </c>
    </row>
    <row r="3992" spans="1:9" x14ac:dyDescent="0.25">
      <c r="A3992" t="s">
        <v>17131</v>
      </c>
      <c r="B3992" t="s">
        <v>17131</v>
      </c>
      <c r="C3992" t="s">
        <v>17132</v>
      </c>
      <c r="D3992" t="s">
        <v>3242</v>
      </c>
      <c r="E3992" t="s">
        <v>15710</v>
      </c>
      <c r="F3992" t="s">
        <v>3288</v>
      </c>
      <c r="G3992" t="s">
        <v>3060</v>
      </c>
      <c r="H3992" t="s">
        <v>3285</v>
      </c>
    </row>
    <row r="3993" spans="1:9" x14ac:dyDescent="0.25">
      <c r="A3993" t="s">
        <v>16372</v>
      </c>
      <c r="B3993" t="s">
        <v>16372</v>
      </c>
      <c r="C3993" t="s">
        <v>16373</v>
      </c>
      <c r="D3993" t="s">
        <v>3242</v>
      </c>
      <c r="E3993" t="s">
        <v>15710</v>
      </c>
      <c r="F3993" t="s">
        <v>4102</v>
      </c>
      <c r="G3993" t="s">
        <v>16374</v>
      </c>
      <c r="H3993" t="s">
        <v>3421</v>
      </c>
    </row>
    <row r="3994" spans="1:9" x14ac:dyDescent="0.25">
      <c r="A3994" t="s">
        <v>13315</v>
      </c>
      <c r="B3994" t="s">
        <v>13315</v>
      </c>
      <c r="C3994" t="s">
        <v>13316</v>
      </c>
      <c r="D3994" t="s">
        <v>3242</v>
      </c>
      <c r="E3994" t="s">
        <v>15710</v>
      </c>
      <c r="F3994" t="s">
        <v>15712</v>
      </c>
      <c r="G3994" t="s">
        <v>4608</v>
      </c>
      <c r="H3994" t="s">
        <v>3290</v>
      </c>
    </row>
    <row r="3995" spans="1:9" x14ac:dyDescent="0.25">
      <c r="A3995" t="s">
        <v>16375</v>
      </c>
      <c r="B3995" t="s">
        <v>16375</v>
      </c>
      <c r="C3995" t="s">
        <v>16376</v>
      </c>
      <c r="D3995" t="s">
        <v>3242</v>
      </c>
      <c r="E3995" t="s">
        <v>15710</v>
      </c>
      <c r="F3995" t="s">
        <v>3345</v>
      </c>
      <c r="G3995" t="s">
        <v>16377</v>
      </c>
      <c r="H3995" t="s">
        <v>4035</v>
      </c>
    </row>
    <row r="3996" spans="1:9" x14ac:dyDescent="0.25">
      <c r="A3996" t="s">
        <v>13317</v>
      </c>
      <c r="B3996" t="s">
        <v>13317</v>
      </c>
      <c r="C3996" t="s">
        <v>13318</v>
      </c>
      <c r="D3996" t="s">
        <v>3242</v>
      </c>
      <c r="E3996" t="s">
        <v>15710</v>
      </c>
      <c r="F3996" t="s">
        <v>3243</v>
      </c>
      <c r="G3996" t="s">
        <v>13319</v>
      </c>
      <c r="H3996" t="s">
        <v>3402</v>
      </c>
    </row>
    <row r="3997" spans="1:9" x14ac:dyDescent="0.25">
      <c r="A3997" t="s">
        <v>16603</v>
      </c>
      <c r="B3997" t="s">
        <v>16603</v>
      </c>
      <c r="C3997" t="s">
        <v>16604</v>
      </c>
      <c r="D3997" t="s">
        <v>3242</v>
      </c>
      <c r="E3997" t="s">
        <v>15710</v>
      </c>
      <c r="F3997" t="s">
        <v>3243</v>
      </c>
      <c r="G3997" t="s">
        <v>5141</v>
      </c>
      <c r="H3997" t="s">
        <v>4646</v>
      </c>
    </row>
    <row r="3998" spans="1:9" x14ac:dyDescent="0.25">
      <c r="A3998" t="s">
        <v>13320</v>
      </c>
      <c r="B3998" t="s">
        <v>13320</v>
      </c>
      <c r="C3998" t="s">
        <v>13321</v>
      </c>
      <c r="D3998" t="s">
        <v>3242</v>
      </c>
      <c r="E3998" t="s">
        <v>15710</v>
      </c>
      <c r="F3998" t="s">
        <v>3288</v>
      </c>
      <c r="G3998" t="s">
        <v>8253</v>
      </c>
      <c r="H3998" t="s">
        <v>3680</v>
      </c>
    </row>
    <row r="3999" spans="1:9" x14ac:dyDescent="0.25">
      <c r="A3999" t="s">
        <v>13322</v>
      </c>
      <c r="B3999" t="s">
        <v>13322</v>
      </c>
      <c r="C3999" t="s">
        <v>13323</v>
      </c>
      <c r="D3999" t="s">
        <v>3242</v>
      </c>
      <c r="E3999" t="s">
        <v>15710</v>
      </c>
      <c r="F3999" t="s">
        <v>3243</v>
      </c>
      <c r="G3999" t="s">
        <v>3507</v>
      </c>
      <c r="H3999" t="s">
        <v>3290</v>
      </c>
    </row>
    <row r="4000" spans="1:9" x14ac:dyDescent="0.25">
      <c r="A4000" t="s">
        <v>17133</v>
      </c>
      <c r="B4000" t="s">
        <v>17133</v>
      </c>
      <c r="C4000" t="s">
        <v>17134</v>
      </c>
      <c r="D4000" t="s">
        <v>3242</v>
      </c>
      <c r="E4000" t="s">
        <v>15710</v>
      </c>
      <c r="F4000" t="s">
        <v>3288</v>
      </c>
      <c r="G4000" t="s">
        <v>17135</v>
      </c>
      <c r="H4000" t="s">
        <v>4646</v>
      </c>
    </row>
    <row r="4001" spans="1:9" x14ac:dyDescent="0.25">
      <c r="A4001" t="s">
        <v>13324</v>
      </c>
      <c r="B4001" t="s">
        <v>13324</v>
      </c>
      <c r="C4001" t="s">
        <v>13325</v>
      </c>
      <c r="D4001" t="s">
        <v>3242</v>
      </c>
      <c r="E4001" t="s">
        <v>15710</v>
      </c>
      <c r="F4001" t="s">
        <v>3300</v>
      </c>
      <c r="G4001" t="s">
        <v>11171</v>
      </c>
      <c r="H4001" t="s">
        <v>3332</v>
      </c>
    </row>
    <row r="4002" spans="1:9" x14ac:dyDescent="0.25">
      <c r="A4002" t="s">
        <v>13326</v>
      </c>
      <c r="B4002" t="s">
        <v>13326</v>
      </c>
      <c r="C4002" t="s">
        <v>13327</v>
      </c>
      <c r="D4002" t="s">
        <v>3242</v>
      </c>
      <c r="E4002" t="s">
        <v>15710</v>
      </c>
      <c r="F4002" t="s">
        <v>3243</v>
      </c>
      <c r="G4002" t="s">
        <v>13328</v>
      </c>
      <c r="H4002" t="s">
        <v>3402</v>
      </c>
    </row>
    <row r="4003" spans="1:9" x14ac:dyDescent="0.25">
      <c r="A4003" t="s">
        <v>13329</v>
      </c>
      <c r="B4003" t="s">
        <v>13329</v>
      </c>
      <c r="C4003" t="s">
        <v>13330</v>
      </c>
      <c r="D4003" t="s">
        <v>3242</v>
      </c>
      <c r="E4003" t="s">
        <v>15710</v>
      </c>
      <c r="F4003" t="s">
        <v>3243</v>
      </c>
      <c r="G4003" t="s">
        <v>3507</v>
      </c>
      <c r="H4003" t="s">
        <v>3290</v>
      </c>
    </row>
    <row r="4004" spans="1:9" x14ac:dyDescent="0.25">
      <c r="A4004" t="s">
        <v>13331</v>
      </c>
      <c r="B4004" t="s">
        <v>13331</v>
      </c>
      <c r="C4004" t="s">
        <v>13332</v>
      </c>
      <c r="D4004" t="s">
        <v>3242</v>
      </c>
      <c r="E4004" t="s">
        <v>15710</v>
      </c>
      <c r="F4004" t="s">
        <v>15997</v>
      </c>
      <c r="G4004" t="s">
        <v>13333</v>
      </c>
      <c r="H4004" t="s">
        <v>3290</v>
      </c>
    </row>
    <row r="4005" spans="1:9" x14ac:dyDescent="0.25">
      <c r="A4005" t="s">
        <v>13334</v>
      </c>
      <c r="B4005" t="s">
        <v>13334</v>
      </c>
      <c r="C4005" t="s">
        <v>13335</v>
      </c>
      <c r="D4005" t="s">
        <v>3242</v>
      </c>
      <c r="E4005" t="s">
        <v>15710</v>
      </c>
      <c r="F4005" t="s">
        <v>3345</v>
      </c>
      <c r="G4005" t="s">
        <v>10143</v>
      </c>
      <c r="H4005" t="s">
        <v>4166</v>
      </c>
    </row>
    <row r="4006" spans="1:9" x14ac:dyDescent="0.25">
      <c r="A4006" t="s">
        <v>13336</v>
      </c>
      <c r="B4006" t="s">
        <v>13336</v>
      </c>
      <c r="C4006" t="s">
        <v>13337</v>
      </c>
      <c r="D4006" t="s">
        <v>3242</v>
      </c>
      <c r="E4006" t="s">
        <v>15710</v>
      </c>
      <c r="F4006" t="s">
        <v>3251</v>
      </c>
      <c r="G4006" t="s">
        <v>13338</v>
      </c>
      <c r="H4006" t="s">
        <v>6489</v>
      </c>
      <c r="I4006" t="s">
        <v>3366</v>
      </c>
    </row>
    <row r="4007" spans="1:9" x14ac:dyDescent="0.25">
      <c r="A4007" t="s">
        <v>13339</v>
      </c>
      <c r="B4007" t="s">
        <v>13339</v>
      </c>
      <c r="C4007" t="s">
        <v>13340</v>
      </c>
      <c r="D4007" t="s">
        <v>3242</v>
      </c>
      <c r="E4007" t="s">
        <v>15710</v>
      </c>
      <c r="F4007" t="s">
        <v>3257</v>
      </c>
      <c r="G4007" t="s">
        <v>13341</v>
      </c>
      <c r="H4007" t="s">
        <v>3267</v>
      </c>
    </row>
    <row r="4008" spans="1:9" x14ac:dyDescent="0.25">
      <c r="A4008" t="s">
        <v>16875</v>
      </c>
      <c r="B4008" t="s">
        <v>16875</v>
      </c>
      <c r="C4008" t="s">
        <v>16876</v>
      </c>
      <c r="D4008" t="s">
        <v>3242</v>
      </c>
      <c r="E4008" t="s">
        <v>17136</v>
      </c>
      <c r="F4008" t="s">
        <v>3251</v>
      </c>
      <c r="G4008" t="s">
        <v>16877</v>
      </c>
      <c r="H4008" t="s">
        <v>4734</v>
      </c>
      <c r="I4008" t="s">
        <v>3254</v>
      </c>
    </row>
    <row r="4009" spans="1:9" x14ac:dyDescent="0.25">
      <c r="A4009" t="s">
        <v>13342</v>
      </c>
      <c r="B4009" t="s">
        <v>13342</v>
      </c>
      <c r="C4009" t="s">
        <v>13343</v>
      </c>
      <c r="D4009" t="s">
        <v>3242</v>
      </c>
      <c r="E4009" t="s">
        <v>15710</v>
      </c>
      <c r="F4009" t="s">
        <v>3288</v>
      </c>
      <c r="G4009" t="s">
        <v>13209</v>
      </c>
      <c r="H4009" t="s">
        <v>11116</v>
      </c>
    </row>
    <row r="4010" spans="1:9" x14ac:dyDescent="0.25">
      <c r="A4010" t="s">
        <v>13344</v>
      </c>
      <c r="B4010" t="s">
        <v>13344</v>
      </c>
      <c r="C4010" t="s">
        <v>13345</v>
      </c>
      <c r="D4010" t="s">
        <v>3242</v>
      </c>
      <c r="E4010" t="s">
        <v>15710</v>
      </c>
      <c r="F4010" t="s">
        <v>3288</v>
      </c>
      <c r="G4010" t="s">
        <v>13346</v>
      </c>
      <c r="H4010" t="s">
        <v>13347</v>
      </c>
    </row>
    <row r="4011" spans="1:9" x14ac:dyDescent="0.25">
      <c r="A4011" t="s">
        <v>13348</v>
      </c>
      <c r="B4011" t="s">
        <v>13348</v>
      </c>
      <c r="C4011" t="s">
        <v>13349</v>
      </c>
      <c r="D4011" t="s">
        <v>3242</v>
      </c>
      <c r="E4011" t="s">
        <v>15710</v>
      </c>
      <c r="F4011" t="s">
        <v>3345</v>
      </c>
      <c r="G4011" t="s">
        <v>13350</v>
      </c>
      <c r="H4011" t="s">
        <v>3285</v>
      </c>
    </row>
    <row r="4012" spans="1:9" x14ac:dyDescent="0.25">
      <c r="A4012" t="s">
        <v>13351</v>
      </c>
      <c r="B4012" t="s">
        <v>13351</v>
      </c>
      <c r="C4012" t="s">
        <v>13352</v>
      </c>
      <c r="D4012" t="s">
        <v>3242</v>
      </c>
      <c r="E4012" t="s">
        <v>15710</v>
      </c>
      <c r="F4012" t="s">
        <v>3345</v>
      </c>
      <c r="G4012" t="s">
        <v>13353</v>
      </c>
      <c r="H4012" t="s">
        <v>3361</v>
      </c>
    </row>
    <row r="4013" spans="1:9" x14ac:dyDescent="0.25">
      <c r="A4013" t="s">
        <v>13354</v>
      </c>
      <c r="B4013" t="s">
        <v>13354</v>
      </c>
      <c r="C4013" t="s">
        <v>13355</v>
      </c>
      <c r="D4013" t="s">
        <v>3242</v>
      </c>
      <c r="E4013" t="s">
        <v>15710</v>
      </c>
      <c r="F4013" t="s">
        <v>3243</v>
      </c>
      <c r="G4013" t="s">
        <v>13356</v>
      </c>
      <c r="H4013" t="s">
        <v>11945</v>
      </c>
    </row>
    <row r="4014" spans="1:9" x14ac:dyDescent="0.25">
      <c r="A4014" t="s">
        <v>13357</v>
      </c>
      <c r="B4014" t="s">
        <v>13357</v>
      </c>
      <c r="C4014" t="s">
        <v>13358</v>
      </c>
      <c r="D4014" t="s">
        <v>3242</v>
      </c>
      <c r="E4014" t="s">
        <v>15710</v>
      </c>
      <c r="F4014" t="s">
        <v>3243</v>
      </c>
      <c r="G4014" t="s">
        <v>13359</v>
      </c>
      <c r="H4014" t="s">
        <v>3402</v>
      </c>
    </row>
    <row r="4015" spans="1:9" x14ac:dyDescent="0.25">
      <c r="A4015" t="s">
        <v>13360</v>
      </c>
      <c r="B4015" t="s">
        <v>13360</v>
      </c>
      <c r="C4015" t="s">
        <v>13361</v>
      </c>
      <c r="D4015" t="s">
        <v>3242</v>
      </c>
      <c r="E4015" t="s">
        <v>15729</v>
      </c>
      <c r="F4015" t="s">
        <v>3306</v>
      </c>
      <c r="G4015" t="s">
        <v>13362</v>
      </c>
      <c r="H4015" t="s">
        <v>3332</v>
      </c>
      <c r="I4015" t="s">
        <v>3268</v>
      </c>
    </row>
    <row r="4016" spans="1:9" x14ac:dyDescent="0.25">
      <c r="A4016" t="s">
        <v>13363</v>
      </c>
      <c r="B4016" t="s">
        <v>13363</v>
      </c>
      <c r="C4016" t="s">
        <v>13364</v>
      </c>
      <c r="D4016" t="s">
        <v>3242</v>
      </c>
      <c r="E4016" t="s">
        <v>15710</v>
      </c>
      <c r="F4016" t="s">
        <v>3288</v>
      </c>
      <c r="G4016" t="s">
        <v>3060</v>
      </c>
      <c r="H4016" t="s">
        <v>3285</v>
      </c>
    </row>
    <row r="4017" spans="1:8" x14ac:dyDescent="0.25">
      <c r="A4017" t="s">
        <v>15700</v>
      </c>
      <c r="B4017" t="s">
        <v>15700</v>
      </c>
      <c r="C4017" t="s">
        <v>15701</v>
      </c>
      <c r="D4017" t="s">
        <v>3242</v>
      </c>
      <c r="E4017" t="s">
        <v>15710</v>
      </c>
      <c r="F4017" t="s">
        <v>3243</v>
      </c>
      <c r="G4017" t="s">
        <v>15702</v>
      </c>
      <c r="H4017" t="s">
        <v>11116</v>
      </c>
    </row>
    <row r="4018" spans="1:8" x14ac:dyDescent="0.25">
      <c r="A4018" t="s">
        <v>13365</v>
      </c>
      <c r="B4018" t="s">
        <v>13365</v>
      </c>
      <c r="C4018" t="s">
        <v>13366</v>
      </c>
      <c r="D4018" t="s">
        <v>3242</v>
      </c>
      <c r="E4018" t="s">
        <v>15710</v>
      </c>
      <c r="F4018" t="s">
        <v>3243</v>
      </c>
      <c r="G4018" t="s">
        <v>13367</v>
      </c>
      <c r="H4018" t="s">
        <v>3290</v>
      </c>
    </row>
    <row r="4019" spans="1:8" x14ac:dyDescent="0.25">
      <c r="A4019" t="s">
        <v>13368</v>
      </c>
      <c r="B4019" t="s">
        <v>13368</v>
      </c>
      <c r="C4019" t="s">
        <v>13369</v>
      </c>
      <c r="D4019" t="s">
        <v>3242</v>
      </c>
      <c r="E4019" t="s">
        <v>15710</v>
      </c>
      <c r="F4019" t="s">
        <v>3288</v>
      </c>
      <c r="G4019" t="s">
        <v>13370</v>
      </c>
      <c r="H4019" t="s">
        <v>3680</v>
      </c>
    </row>
    <row r="4020" spans="1:8" x14ac:dyDescent="0.25">
      <c r="A4020" t="s">
        <v>16605</v>
      </c>
      <c r="B4020" t="s">
        <v>16605</v>
      </c>
      <c r="C4020" t="s">
        <v>16606</v>
      </c>
      <c r="D4020" t="s">
        <v>3242</v>
      </c>
      <c r="E4020" t="s">
        <v>15710</v>
      </c>
      <c r="F4020" t="s">
        <v>3243</v>
      </c>
      <c r="G4020" t="s">
        <v>16607</v>
      </c>
      <c r="H4020" t="s">
        <v>12477</v>
      </c>
    </row>
    <row r="4021" spans="1:8" x14ac:dyDescent="0.25">
      <c r="A4021" t="s">
        <v>16384</v>
      </c>
      <c r="B4021" t="s">
        <v>16384</v>
      </c>
      <c r="C4021" t="s">
        <v>16385</v>
      </c>
      <c r="D4021" t="s">
        <v>3242</v>
      </c>
      <c r="E4021" t="s">
        <v>15710</v>
      </c>
      <c r="F4021" t="s">
        <v>3288</v>
      </c>
      <c r="G4021" t="s">
        <v>16386</v>
      </c>
      <c r="H4021" t="s">
        <v>3836</v>
      </c>
    </row>
    <row r="4022" spans="1:8" x14ac:dyDescent="0.25">
      <c r="A4022" t="s">
        <v>15703</v>
      </c>
      <c r="B4022" t="s">
        <v>15703</v>
      </c>
      <c r="C4022" t="s">
        <v>15704</v>
      </c>
      <c r="D4022" t="s">
        <v>3242</v>
      </c>
      <c r="E4022" t="s">
        <v>15710</v>
      </c>
      <c r="F4022" t="s">
        <v>3288</v>
      </c>
      <c r="G4022" t="s">
        <v>3060</v>
      </c>
      <c r="H4022" t="s">
        <v>3290</v>
      </c>
    </row>
    <row r="4023" spans="1:8" x14ac:dyDescent="0.25">
      <c r="A4023" t="s">
        <v>13371</v>
      </c>
      <c r="B4023" t="s">
        <v>13372</v>
      </c>
      <c r="C4023" t="s">
        <v>13373</v>
      </c>
      <c r="D4023" t="s">
        <v>3242</v>
      </c>
      <c r="E4023" t="s">
        <v>15710</v>
      </c>
      <c r="F4023" t="s">
        <v>3257</v>
      </c>
      <c r="G4023" t="s">
        <v>13374</v>
      </c>
      <c r="H4023" t="s">
        <v>3484</v>
      </c>
    </row>
    <row r="4024" spans="1:8" x14ac:dyDescent="0.25">
      <c r="A4024" t="s">
        <v>13375</v>
      </c>
      <c r="B4024" t="s">
        <v>13375</v>
      </c>
      <c r="C4024" t="s">
        <v>13376</v>
      </c>
      <c r="D4024" t="s">
        <v>3242</v>
      </c>
      <c r="E4024" t="s">
        <v>15710</v>
      </c>
      <c r="F4024" t="s">
        <v>3288</v>
      </c>
      <c r="G4024" t="s">
        <v>13377</v>
      </c>
      <c r="H4024" t="s">
        <v>3488</v>
      </c>
    </row>
    <row r="4025" spans="1:8" x14ac:dyDescent="0.25">
      <c r="A4025" t="s">
        <v>13378</v>
      </c>
      <c r="B4025" t="s">
        <v>13378</v>
      </c>
      <c r="C4025" t="s">
        <v>13379</v>
      </c>
      <c r="D4025" t="s">
        <v>3242</v>
      </c>
      <c r="E4025" t="s">
        <v>15710</v>
      </c>
      <c r="F4025" t="s">
        <v>3288</v>
      </c>
      <c r="G4025" t="s">
        <v>13380</v>
      </c>
      <c r="H4025" t="s">
        <v>3680</v>
      </c>
    </row>
    <row r="4026" spans="1:8" x14ac:dyDescent="0.25">
      <c r="A4026" t="s">
        <v>13381</v>
      </c>
      <c r="B4026" t="s">
        <v>13381</v>
      </c>
      <c r="C4026" t="s">
        <v>13382</v>
      </c>
      <c r="D4026" t="s">
        <v>3242</v>
      </c>
      <c r="E4026" t="s">
        <v>15710</v>
      </c>
      <c r="F4026" t="s">
        <v>3345</v>
      </c>
      <c r="G4026" t="s">
        <v>4668</v>
      </c>
      <c r="H4026" t="s">
        <v>4320</v>
      </c>
    </row>
    <row r="4027" spans="1:8" x14ac:dyDescent="0.25">
      <c r="A4027" t="s">
        <v>13383</v>
      </c>
      <c r="B4027" t="s">
        <v>13383</v>
      </c>
      <c r="C4027" t="s">
        <v>13384</v>
      </c>
      <c r="D4027" t="s">
        <v>3242</v>
      </c>
      <c r="E4027" t="s">
        <v>15710</v>
      </c>
      <c r="F4027" t="s">
        <v>3288</v>
      </c>
      <c r="G4027" t="s">
        <v>13385</v>
      </c>
      <c r="H4027" t="s">
        <v>3623</v>
      </c>
    </row>
    <row r="4028" spans="1:8" x14ac:dyDescent="0.25">
      <c r="A4028" t="s">
        <v>13386</v>
      </c>
      <c r="B4028" t="s">
        <v>13386</v>
      </c>
      <c r="C4028" t="s">
        <v>13387</v>
      </c>
      <c r="D4028" t="s">
        <v>3242</v>
      </c>
      <c r="E4028" t="s">
        <v>15710</v>
      </c>
      <c r="F4028" t="s">
        <v>3243</v>
      </c>
      <c r="G4028" t="s">
        <v>13388</v>
      </c>
      <c r="H4028" t="s">
        <v>3402</v>
      </c>
    </row>
    <row r="4029" spans="1:8" x14ac:dyDescent="0.25">
      <c r="A4029" t="s">
        <v>17625</v>
      </c>
      <c r="B4029" t="s">
        <v>17625</v>
      </c>
      <c r="C4029" t="s">
        <v>17626</v>
      </c>
      <c r="D4029" t="s">
        <v>3242</v>
      </c>
      <c r="E4029" t="s">
        <v>17627</v>
      </c>
      <c r="F4029" t="s">
        <v>3288</v>
      </c>
      <c r="G4029" t="s">
        <v>3060</v>
      </c>
      <c r="H4029" t="s">
        <v>3060</v>
      </c>
    </row>
    <row r="4030" spans="1:8" x14ac:dyDescent="0.25">
      <c r="A4030" t="s">
        <v>13389</v>
      </c>
      <c r="B4030" t="s">
        <v>13389</v>
      </c>
      <c r="C4030" t="s">
        <v>13390</v>
      </c>
      <c r="D4030" t="s">
        <v>3242</v>
      </c>
      <c r="E4030" t="s">
        <v>15710</v>
      </c>
      <c r="F4030" t="s">
        <v>3288</v>
      </c>
      <c r="G4030" t="s">
        <v>13391</v>
      </c>
      <c r="H4030" t="s">
        <v>4642</v>
      </c>
    </row>
    <row r="4031" spans="1:8" x14ac:dyDescent="0.25">
      <c r="A4031" t="s">
        <v>13392</v>
      </c>
      <c r="B4031" t="s">
        <v>13392</v>
      </c>
      <c r="C4031" t="s">
        <v>13393</v>
      </c>
      <c r="D4031" t="s">
        <v>3242</v>
      </c>
      <c r="E4031" t="s">
        <v>15710</v>
      </c>
      <c r="F4031" t="s">
        <v>4102</v>
      </c>
      <c r="G4031" t="s">
        <v>13394</v>
      </c>
      <c r="H4031" t="s">
        <v>3668</v>
      </c>
    </row>
    <row r="4032" spans="1:8" x14ac:dyDescent="0.25">
      <c r="A4032" t="s">
        <v>13395</v>
      </c>
      <c r="B4032" t="s">
        <v>13395</v>
      </c>
      <c r="C4032" t="s">
        <v>13396</v>
      </c>
      <c r="D4032" t="s">
        <v>3242</v>
      </c>
      <c r="E4032" t="s">
        <v>15710</v>
      </c>
      <c r="F4032" t="s">
        <v>3288</v>
      </c>
      <c r="G4032" t="s">
        <v>3060</v>
      </c>
      <c r="H4032" t="s">
        <v>3290</v>
      </c>
    </row>
    <row r="4033" spans="1:9" x14ac:dyDescent="0.25">
      <c r="A4033" t="s">
        <v>17667</v>
      </c>
      <c r="B4033" t="s">
        <v>17667</v>
      </c>
      <c r="C4033" t="s">
        <v>17668</v>
      </c>
      <c r="D4033" t="s">
        <v>3242</v>
      </c>
      <c r="E4033" t="s">
        <v>15710</v>
      </c>
      <c r="F4033" t="s">
        <v>3243</v>
      </c>
      <c r="G4033" t="s">
        <v>17669</v>
      </c>
      <c r="H4033" t="s">
        <v>3285</v>
      </c>
    </row>
    <row r="4034" spans="1:9" x14ac:dyDescent="0.25">
      <c r="A4034" t="s">
        <v>13397</v>
      </c>
      <c r="B4034" t="s">
        <v>13397</v>
      </c>
      <c r="C4034" t="s">
        <v>13398</v>
      </c>
      <c r="D4034" t="s">
        <v>3242</v>
      </c>
      <c r="E4034" t="s">
        <v>15710</v>
      </c>
      <c r="F4034" t="s">
        <v>3288</v>
      </c>
      <c r="G4034" t="s">
        <v>13399</v>
      </c>
      <c r="H4034" t="s">
        <v>3060</v>
      </c>
    </row>
    <row r="4035" spans="1:9" x14ac:dyDescent="0.25">
      <c r="A4035" t="s">
        <v>13400</v>
      </c>
      <c r="B4035" t="s">
        <v>13400</v>
      </c>
      <c r="C4035" t="s">
        <v>13401</v>
      </c>
      <c r="D4035" t="s">
        <v>3242</v>
      </c>
      <c r="E4035" t="s">
        <v>15710</v>
      </c>
      <c r="F4035" t="s">
        <v>3288</v>
      </c>
      <c r="G4035" t="s">
        <v>13402</v>
      </c>
      <c r="H4035" t="s">
        <v>4035</v>
      </c>
    </row>
    <row r="4036" spans="1:9" x14ac:dyDescent="0.25">
      <c r="A4036" t="s">
        <v>16380</v>
      </c>
      <c r="B4036" t="s">
        <v>16380</v>
      </c>
      <c r="C4036" t="s">
        <v>16381</v>
      </c>
      <c r="D4036" t="s">
        <v>3242</v>
      </c>
      <c r="E4036" t="s">
        <v>15710</v>
      </c>
      <c r="F4036" t="s">
        <v>3243</v>
      </c>
      <c r="G4036" t="s">
        <v>16382</v>
      </c>
      <c r="H4036" t="s">
        <v>4320</v>
      </c>
    </row>
    <row r="4037" spans="1:9" x14ac:dyDescent="0.25">
      <c r="A4037" t="s">
        <v>13403</v>
      </c>
      <c r="B4037" t="s">
        <v>13403</v>
      </c>
      <c r="C4037" t="s">
        <v>13404</v>
      </c>
      <c r="D4037" t="s">
        <v>3242</v>
      </c>
      <c r="E4037" t="s">
        <v>15710</v>
      </c>
      <c r="F4037" t="s">
        <v>3345</v>
      </c>
      <c r="G4037" t="s">
        <v>3870</v>
      </c>
      <c r="H4037" t="s">
        <v>3290</v>
      </c>
    </row>
    <row r="4038" spans="1:9" x14ac:dyDescent="0.25">
      <c r="A4038" t="s">
        <v>13405</v>
      </c>
      <c r="B4038" t="s">
        <v>13405</v>
      </c>
      <c r="C4038" t="s">
        <v>13406</v>
      </c>
      <c r="D4038" t="s">
        <v>3242</v>
      </c>
      <c r="E4038" t="s">
        <v>15710</v>
      </c>
      <c r="F4038" t="s">
        <v>3288</v>
      </c>
      <c r="G4038" t="s">
        <v>13407</v>
      </c>
      <c r="H4038" t="s">
        <v>3744</v>
      </c>
    </row>
    <row r="4039" spans="1:9" x14ac:dyDescent="0.25">
      <c r="A4039" t="s">
        <v>13408</v>
      </c>
      <c r="B4039" t="s">
        <v>13408</v>
      </c>
      <c r="C4039" t="s">
        <v>13409</v>
      </c>
      <c r="D4039" t="s">
        <v>3242</v>
      </c>
      <c r="E4039" t="s">
        <v>17137</v>
      </c>
      <c r="F4039" t="s">
        <v>3251</v>
      </c>
      <c r="G4039" t="s">
        <v>13410</v>
      </c>
      <c r="H4039" t="s">
        <v>4734</v>
      </c>
      <c r="I4039" t="s">
        <v>3254</v>
      </c>
    </row>
    <row r="4040" spans="1:9" x14ac:dyDescent="0.25">
      <c r="A4040" t="s">
        <v>13411</v>
      </c>
      <c r="B4040" t="s">
        <v>13411</v>
      </c>
      <c r="C4040" t="s">
        <v>13412</v>
      </c>
      <c r="D4040" t="s">
        <v>3242</v>
      </c>
      <c r="E4040" t="s">
        <v>15710</v>
      </c>
      <c r="F4040" t="s">
        <v>3257</v>
      </c>
      <c r="G4040" t="s">
        <v>13413</v>
      </c>
      <c r="H4040" t="s">
        <v>3267</v>
      </c>
    </row>
    <row r="4041" spans="1:9" x14ac:dyDescent="0.25">
      <c r="A4041" t="s">
        <v>13414</v>
      </c>
      <c r="B4041" t="s">
        <v>13414</v>
      </c>
      <c r="C4041" t="s">
        <v>13415</v>
      </c>
      <c r="D4041" t="s">
        <v>3242</v>
      </c>
      <c r="E4041" t="s">
        <v>15710</v>
      </c>
      <c r="F4041" t="s">
        <v>3288</v>
      </c>
      <c r="G4041" t="s">
        <v>13416</v>
      </c>
      <c r="H4041" t="s">
        <v>3285</v>
      </c>
    </row>
    <row r="4042" spans="1:9" x14ac:dyDescent="0.25">
      <c r="A4042" t="s">
        <v>13417</v>
      </c>
      <c r="B4042" t="s">
        <v>13417</v>
      </c>
      <c r="C4042" t="s">
        <v>13418</v>
      </c>
      <c r="D4042" t="s">
        <v>3242</v>
      </c>
      <c r="E4042" t="s">
        <v>15710</v>
      </c>
      <c r="F4042" t="s">
        <v>3288</v>
      </c>
      <c r="G4042" t="s">
        <v>13419</v>
      </c>
      <c r="H4042" t="s">
        <v>3937</v>
      </c>
    </row>
    <row r="4043" spans="1:9" x14ac:dyDescent="0.25">
      <c r="A4043" t="s">
        <v>17481</v>
      </c>
      <c r="B4043" t="s">
        <v>17481</v>
      </c>
      <c r="C4043" t="s">
        <v>17482</v>
      </c>
      <c r="D4043" t="s">
        <v>3242</v>
      </c>
      <c r="E4043" t="s">
        <v>15710</v>
      </c>
      <c r="F4043" t="s">
        <v>3243</v>
      </c>
      <c r="G4043" t="s">
        <v>17483</v>
      </c>
      <c r="H4043" t="s">
        <v>3285</v>
      </c>
    </row>
    <row r="4044" spans="1:9" x14ac:dyDescent="0.25">
      <c r="A4044" t="s">
        <v>16878</v>
      </c>
      <c r="B4044" t="s">
        <v>16878</v>
      </c>
      <c r="C4044" t="s">
        <v>16879</v>
      </c>
      <c r="D4044" t="s">
        <v>3242</v>
      </c>
      <c r="E4044" t="s">
        <v>15710</v>
      </c>
      <c r="F4044" t="s">
        <v>3243</v>
      </c>
      <c r="G4044" t="s">
        <v>16880</v>
      </c>
      <c r="H4044" t="s">
        <v>11116</v>
      </c>
    </row>
    <row r="4045" spans="1:9" x14ac:dyDescent="0.25">
      <c r="A4045" t="s">
        <v>13420</v>
      </c>
      <c r="B4045" t="s">
        <v>13420</v>
      </c>
      <c r="C4045" t="s">
        <v>13421</v>
      </c>
      <c r="D4045" t="s">
        <v>3242</v>
      </c>
      <c r="E4045" t="s">
        <v>15710</v>
      </c>
      <c r="F4045" t="s">
        <v>3243</v>
      </c>
      <c r="G4045" t="s">
        <v>13422</v>
      </c>
      <c r="H4045" t="s">
        <v>3311</v>
      </c>
    </row>
    <row r="4046" spans="1:9" x14ac:dyDescent="0.25">
      <c r="A4046" t="s">
        <v>13423</v>
      </c>
      <c r="B4046" t="s">
        <v>13423</v>
      </c>
      <c r="C4046" t="s">
        <v>13424</v>
      </c>
      <c r="D4046" t="s">
        <v>3242</v>
      </c>
      <c r="E4046" t="s">
        <v>15710</v>
      </c>
      <c r="F4046" t="s">
        <v>3257</v>
      </c>
      <c r="G4046" t="s">
        <v>13425</v>
      </c>
      <c r="H4046" t="s">
        <v>3421</v>
      </c>
      <c r="I4046" t="s">
        <v>3254</v>
      </c>
    </row>
    <row r="4047" spans="1:9" x14ac:dyDescent="0.25">
      <c r="A4047" t="s">
        <v>15705</v>
      </c>
      <c r="B4047" t="s">
        <v>15705</v>
      </c>
      <c r="C4047" t="s">
        <v>15706</v>
      </c>
      <c r="D4047" t="s">
        <v>3242</v>
      </c>
      <c r="E4047" t="s">
        <v>15710</v>
      </c>
      <c r="F4047" t="s">
        <v>3243</v>
      </c>
      <c r="G4047" t="s">
        <v>15707</v>
      </c>
      <c r="H4047" t="s">
        <v>3488</v>
      </c>
    </row>
    <row r="4048" spans="1:9" x14ac:dyDescent="0.25">
      <c r="A4048" t="s">
        <v>13426</v>
      </c>
      <c r="B4048" t="s">
        <v>13426</v>
      </c>
      <c r="C4048" t="s">
        <v>13427</v>
      </c>
      <c r="D4048" t="s">
        <v>3242</v>
      </c>
      <c r="E4048" t="s">
        <v>15710</v>
      </c>
      <c r="F4048" t="s">
        <v>3345</v>
      </c>
      <c r="G4048" t="s">
        <v>3387</v>
      </c>
      <c r="H4048" t="s">
        <v>4035</v>
      </c>
    </row>
    <row r="4049" spans="1:9" x14ac:dyDescent="0.25">
      <c r="A4049" t="s">
        <v>13428</v>
      </c>
      <c r="B4049" t="s">
        <v>13428</v>
      </c>
      <c r="C4049" t="s">
        <v>13429</v>
      </c>
      <c r="D4049" t="s">
        <v>3242</v>
      </c>
      <c r="E4049" t="s">
        <v>15710</v>
      </c>
      <c r="F4049" t="s">
        <v>3243</v>
      </c>
      <c r="G4049" t="s">
        <v>13430</v>
      </c>
      <c r="H4049" t="s">
        <v>3402</v>
      </c>
    </row>
    <row r="4050" spans="1:9" x14ac:dyDescent="0.25">
      <c r="A4050" t="s">
        <v>13431</v>
      </c>
      <c r="B4050" t="s">
        <v>13431</v>
      </c>
      <c r="C4050" t="s">
        <v>13432</v>
      </c>
      <c r="D4050" t="s">
        <v>3242</v>
      </c>
      <c r="E4050" t="s">
        <v>15710</v>
      </c>
      <c r="F4050" t="s">
        <v>3306</v>
      </c>
      <c r="G4050" t="s">
        <v>13433</v>
      </c>
      <c r="H4050" t="s">
        <v>13434</v>
      </c>
      <c r="I4050" t="s">
        <v>3254</v>
      </c>
    </row>
    <row r="4051" spans="1:9" x14ac:dyDescent="0.25">
      <c r="A4051" t="s">
        <v>13435</v>
      </c>
      <c r="B4051" t="s">
        <v>13435</v>
      </c>
      <c r="C4051" t="s">
        <v>13436</v>
      </c>
      <c r="D4051" t="s">
        <v>3242</v>
      </c>
      <c r="E4051" t="s">
        <v>15710</v>
      </c>
      <c r="F4051" t="s">
        <v>13437</v>
      </c>
      <c r="G4051" t="s">
        <v>13438</v>
      </c>
    </row>
    <row r="4052" spans="1:9" x14ac:dyDescent="0.25">
      <c r="A4052" t="s">
        <v>13439</v>
      </c>
      <c r="B4052" t="s">
        <v>13440</v>
      </c>
      <c r="C4052" t="s">
        <v>13441</v>
      </c>
      <c r="D4052" t="s">
        <v>3242</v>
      </c>
      <c r="E4052" t="s">
        <v>15710</v>
      </c>
      <c r="F4052" t="s">
        <v>3251</v>
      </c>
      <c r="G4052" t="s">
        <v>13442</v>
      </c>
      <c r="H4052" t="s">
        <v>5141</v>
      </c>
    </row>
    <row r="4053" spans="1:9" x14ac:dyDescent="0.25">
      <c r="A4053" t="s">
        <v>13443</v>
      </c>
      <c r="B4053" t="s">
        <v>13443</v>
      </c>
      <c r="C4053" t="s">
        <v>13444</v>
      </c>
      <c r="D4053" t="s">
        <v>3242</v>
      </c>
      <c r="E4053" t="s">
        <v>15998</v>
      </c>
      <c r="F4053" t="s">
        <v>3243</v>
      </c>
      <c r="G4053" t="s">
        <v>13445</v>
      </c>
      <c r="H4053" t="s">
        <v>13446</v>
      </c>
    </row>
    <row r="4054" spans="1:9" x14ac:dyDescent="0.25">
      <c r="A4054" t="s">
        <v>13447</v>
      </c>
      <c r="B4054" t="s">
        <v>13447</v>
      </c>
      <c r="C4054" t="s">
        <v>13448</v>
      </c>
      <c r="D4054" t="s">
        <v>3242</v>
      </c>
      <c r="E4054" t="s">
        <v>15710</v>
      </c>
      <c r="F4054" t="s">
        <v>3372</v>
      </c>
      <c r="G4054" t="s">
        <v>13449</v>
      </c>
      <c r="H4054" t="s">
        <v>3553</v>
      </c>
    </row>
    <row r="4055" spans="1:9" x14ac:dyDescent="0.25">
      <c r="A4055" t="s">
        <v>13450</v>
      </c>
      <c r="B4055" t="s">
        <v>11326</v>
      </c>
      <c r="C4055" t="s">
        <v>11327</v>
      </c>
      <c r="D4055" t="s">
        <v>3242</v>
      </c>
      <c r="E4055" t="s">
        <v>15710</v>
      </c>
      <c r="F4055" t="s">
        <v>3243</v>
      </c>
      <c r="G4055" t="s">
        <v>13451</v>
      </c>
      <c r="H4055" t="s">
        <v>3402</v>
      </c>
    </row>
    <row r="4056" spans="1:9" x14ac:dyDescent="0.25">
      <c r="A4056" t="s">
        <v>13452</v>
      </c>
      <c r="B4056" t="s">
        <v>13453</v>
      </c>
      <c r="C4056" t="s">
        <v>13454</v>
      </c>
      <c r="D4056" t="s">
        <v>3242</v>
      </c>
      <c r="E4056" t="s">
        <v>15710</v>
      </c>
      <c r="F4056" t="s">
        <v>3345</v>
      </c>
      <c r="G4056" t="s">
        <v>13455</v>
      </c>
      <c r="H4056" t="s">
        <v>3285</v>
      </c>
    </row>
    <row r="4057" spans="1:9" x14ac:dyDescent="0.25">
      <c r="A4057" t="s">
        <v>13456</v>
      </c>
      <c r="B4057" t="s">
        <v>13456</v>
      </c>
      <c r="C4057" t="s">
        <v>3246</v>
      </c>
      <c r="D4057" t="s">
        <v>3242</v>
      </c>
      <c r="E4057" t="s">
        <v>15710</v>
      </c>
      <c r="F4057" t="s">
        <v>3929</v>
      </c>
      <c r="G4057" t="s">
        <v>13457</v>
      </c>
      <c r="H4057" t="s">
        <v>3290</v>
      </c>
    </row>
    <row r="4058" spans="1:9" x14ac:dyDescent="0.25">
      <c r="A4058" t="s">
        <v>13458</v>
      </c>
      <c r="B4058" t="s">
        <v>6235</v>
      </c>
      <c r="C4058" t="s">
        <v>6236</v>
      </c>
      <c r="D4058" t="s">
        <v>3242</v>
      </c>
      <c r="E4058" t="s">
        <v>15710</v>
      </c>
      <c r="F4058" t="s">
        <v>3372</v>
      </c>
      <c r="G4058" t="s">
        <v>6237</v>
      </c>
      <c r="H4058" t="s">
        <v>3484</v>
      </c>
    </row>
    <row r="4059" spans="1:9" x14ac:dyDescent="0.25">
      <c r="A4059" t="s">
        <v>13459</v>
      </c>
      <c r="B4059" t="s">
        <v>13460</v>
      </c>
      <c r="C4059" t="s">
        <v>13461</v>
      </c>
      <c r="D4059" t="s">
        <v>3242</v>
      </c>
      <c r="E4059" t="s">
        <v>15710</v>
      </c>
      <c r="F4059" t="s">
        <v>3257</v>
      </c>
      <c r="G4059" t="s">
        <v>13462</v>
      </c>
      <c r="H4059" t="s">
        <v>3332</v>
      </c>
    </row>
    <row r="4060" spans="1:9" x14ac:dyDescent="0.25">
      <c r="A4060" t="s">
        <v>13463</v>
      </c>
      <c r="B4060" t="s">
        <v>3337</v>
      </c>
      <c r="C4060" t="s">
        <v>3338</v>
      </c>
      <c r="D4060" t="s">
        <v>3321</v>
      </c>
      <c r="E4060" t="s">
        <v>15849</v>
      </c>
      <c r="F4060" t="s">
        <v>3257</v>
      </c>
      <c r="G4060" t="s">
        <v>3339</v>
      </c>
      <c r="H4060" t="s">
        <v>3290</v>
      </c>
      <c r="I4060" t="s">
        <v>3268</v>
      </c>
    </row>
    <row r="4061" spans="1:9" x14ac:dyDescent="0.25">
      <c r="A4061" t="s">
        <v>13464</v>
      </c>
      <c r="B4061" t="s">
        <v>13465</v>
      </c>
      <c r="C4061" t="s">
        <v>13466</v>
      </c>
      <c r="D4061" t="s">
        <v>3242</v>
      </c>
      <c r="E4061" t="s">
        <v>15710</v>
      </c>
      <c r="F4061" t="s">
        <v>3300</v>
      </c>
      <c r="G4061" t="s">
        <v>13467</v>
      </c>
      <c r="H4061" t="s">
        <v>3267</v>
      </c>
    </row>
    <row r="4062" spans="1:9" x14ac:dyDescent="0.25">
      <c r="A4062" t="s">
        <v>13468</v>
      </c>
      <c r="B4062" t="s">
        <v>4089</v>
      </c>
      <c r="C4062" t="s">
        <v>10793</v>
      </c>
      <c r="D4062" t="s">
        <v>3242</v>
      </c>
      <c r="E4062" t="s">
        <v>15710</v>
      </c>
      <c r="F4062" t="s">
        <v>3300</v>
      </c>
      <c r="G4062" t="s">
        <v>4091</v>
      </c>
      <c r="H4062" t="s">
        <v>3267</v>
      </c>
    </row>
    <row r="4063" spans="1:9" x14ac:dyDescent="0.25">
      <c r="A4063" t="s">
        <v>13469</v>
      </c>
      <c r="B4063" t="s">
        <v>4288</v>
      </c>
      <c r="C4063" t="s">
        <v>4289</v>
      </c>
      <c r="D4063" t="s">
        <v>3242</v>
      </c>
      <c r="E4063" t="s">
        <v>15710</v>
      </c>
      <c r="F4063" t="s">
        <v>3372</v>
      </c>
      <c r="G4063" t="s">
        <v>4290</v>
      </c>
      <c r="H4063" t="s">
        <v>3290</v>
      </c>
    </row>
    <row r="4064" spans="1:9" x14ac:dyDescent="0.25">
      <c r="A4064" t="s">
        <v>13470</v>
      </c>
      <c r="B4064" t="s">
        <v>13471</v>
      </c>
      <c r="C4064" t="s">
        <v>13472</v>
      </c>
      <c r="D4064" t="s">
        <v>3242</v>
      </c>
      <c r="E4064" t="s">
        <v>15710</v>
      </c>
      <c r="F4064" t="s">
        <v>3306</v>
      </c>
      <c r="G4064" t="s">
        <v>13473</v>
      </c>
      <c r="H4064" t="s">
        <v>7057</v>
      </c>
    </row>
    <row r="4065" spans="1:9" x14ac:dyDescent="0.25">
      <c r="A4065" t="s">
        <v>13474</v>
      </c>
      <c r="B4065" t="s">
        <v>13475</v>
      </c>
      <c r="C4065" t="s">
        <v>13476</v>
      </c>
      <c r="D4065" t="s">
        <v>3242</v>
      </c>
      <c r="E4065" t="s">
        <v>15710</v>
      </c>
      <c r="F4065" t="s">
        <v>3257</v>
      </c>
      <c r="G4065" t="s">
        <v>13477</v>
      </c>
      <c r="H4065" t="s">
        <v>3565</v>
      </c>
    </row>
    <row r="4066" spans="1:9" x14ac:dyDescent="0.25">
      <c r="A4066" t="s">
        <v>13478</v>
      </c>
      <c r="B4066" t="s">
        <v>5081</v>
      </c>
      <c r="C4066" t="s">
        <v>5082</v>
      </c>
      <c r="D4066" t="s">
        <v>3242</v>
      </c>
      <c r="E4066" t="s">
        <v>15710</v>
      </c>
      <c r="F4066" t="s">
        <v>3257</v>
      </c>
      <c r="G4066" t="s">
        <v>5083</v>
      </c>
      <c r="H4066" t="s">
        <v>5084</v>
      </c>
      <c r="I4066" t="s">
        <v>3294</v>
      </c>
    </row>
    <row r="4067" spans="1:9" x14ac:dyDescent="0.25">
      <c r="A4067" t="s">
        <v>13479</v>
      </c>
      <c r="B4067" t="s">
        <v>13480</v>
      </c>
      <c r="C4067" t="s">
        <v>13481</v>
      </c>
      <c r="D4067" t="s">
        <v>3242</v>
      </c>
      <c r="E4067" t="s">
        <v>15710</v>
      </c>
      <c r="F4067" t="s">
        <v>3257</v>
      </c>
      <c r="G4067" t="s">
        <v>13482</v>
      </c>
      <c r="H4067" t="s">
        <v>5114</v>
      </c>
    </row>
    <row r="4068" spans="1:9" x14ac:dyDescent="0.25">
      <c r="A4068" t="s">
        <v>13483</v>
      </c>
      <c r="B4068" t="s">
        <v>5122</v>
      </c>
      <c r="C4068" t="s">
        <v>5123</v>
      </c>
      <c r="D4068" t="s">
        <v>3242</v>
      </c>
      <c r="E4068" t="s">
        <v>15710</v>
      </c>
      <c r="F4068" t="s">
        <v>3257</v>
      </c>
      <c r="G4068" t="s">
        <v>5124</v>
      </c>
      <c r="H4068" t="s">
        <v>6171</v>
      </c>
    </row>
    <row r="4069" spans="1:9" x14ac:dyDescent="0.25">
      <c r="A4069" t="s">
        <v>13484</v>
      </c>
      <c r="B4069" t="s">
        <v>5254</v>
      </c>
      <c r="C4069" t="s">
        <v>5255</v>
      </c>
      <c r="D4069" t="s">
        <v>3242</v>
      </c>
      <c r="E4069" t="s">
        <v>15710</v>
      </c>
      <c r="F4069" t="s">
        <v>3257</v>
      </c>
      <c r="G4069" t="s">
        <v>13485</v>
      </c>
      <c r="H4069" t="s">
        <v>5239</v>
      </c>
    </row>
    <row r="4070" spans="1:9" x14ac:dyDescent="0.25">
      <c r="A4070" t="s">
        <v>13486</v>
      </c>
      <c r="B4070" t="s">
        <v>13487</v>
      </c>
      <c r="C4070" t="s">
        <v>13488</v>
      </c>
      <c r="D4070" t="s">
        <v>3242</v>
      </c>
      <c r="E4070" t="s">
        <v>17484</v>
      </c>
      <c r="F4070" t="s">
        <v>3257</v>
      </c>
      <c r="G4070" t="s">
        <v>13489</v>
      </c>
      <c r="H4070" t="s">
        <v>3417</v>
      </c>
    </row>
    <row r="4071" spans="1:9" x14ac:dyDescent="0.25">
      <c r="A4071" t="s">
        <v>13490</v>
      </c>
      <c r="B4071" t="s">
        <v>5770</v>
      </c>
      <c r="C4071" t="s">
        <v>5771</v>
      </c>
      <c r="D4071" t="s">
        <v>3242</v>
      </c>
      <c r="E4071" t="s">
        <v>15710</v>
      </c>
      <c r="F4071" t="s">
        <v>3257</v>
      </c>
      <c r="G4071" t="s">
        <v>13491</v>
      </c>
      <c r="H4071" t="s">
        <v>5084</v>
      </c>
    </row>
    <row r="4072" spans="1:9" x14ac:dyDescent="0.25">
      <c r="A4072" t="s">
        <v>13492</v>
      </c>
      <c r="B4072" t="s">
        <v>13493</v>
      </c>
      <c r="C4072" t="s">
        <v>13494</v>
      </c>
      <c r="D4072" t="s">
        <v>3242</v>
      </c>
      <c r="E4072" t="s">
        <v>15710</v>
      </c>
      <c r="F4072" t="s">
        <v>3306</v>
      </c>
      <c r="G4072" t="s">
        <v>16383</v>
      </c>
      <c r="H4072" t="s">
        <v>4919</v>
      </c>
      <c r="I4072" t="s">
        <v>3294</v>
      </c>
    </row>
    <row r="4073" spans="1:9" x14ac:dyDescent="0.25">
      <c r="A4073" t="s">
        <v>13495</v>
      </c>
      <c r="B4073" t="s">
        <v>5977</v>
      </c>
      <c r="C4073" t="s">
        <v>5978</v>
      </c>
      <c r="D4073" t="s">
        <v>3242</v>
      </c>
      <c r="E4073" t="s">
        <v>15999</v>
      </c>
      <c r="F4073" t="s">
        <v>3306</v>
      </c>
      <c r="G4073" t="s">
        <v>13496</v>
      </c>
      <c r="H4073" t="s">
        <v>3647</v>
      </c>
    </row>
    <row r="4074" spans="1:9" x14ac:dyDescent="0.25">
      <c r="A4074" t="s">
        <v>13497</v>
      </c>
      <c r="B4074" t="s">
        <v>13498</v>
      </c>
      <c r="C4074" t="s">
        <v>13499</v>
      </c>
      <c r="D4074" t="s">
        <v>3242</v>
      </c>
      <c r="E4074" t="s">
        <v>15710</v>
      </c>
      <c r="F4074" t="s">
        <v>3257</v>
      </c>
      <c r="G4074" t="s">
        <v>13500</v>
      </c>
      <c r="H4074" t="s">
        <v>3519</v>
      </c>
    </row>
    <row r="4075" spans="1:9" x14ac:dyDescent="0.25">
      <c r="A4075" t="s">
        <v>13501</v>
      </c>
      <c r="B4075" t="s">
        <v>13502</v>
      </c>
      <c r="C4075" t="s">
        <v>13503</v>
      </c>
      <c r="D4075" t="s">
        <v>3242</v>
      </c>
      <c r="E4075" t="s">
        <v>15710</v>
      </c>
      <c r="F4075" t="s">
        <v>3251</v>
      </c>
      <c r="G4075" t="s">
        <v>13504</v>
      </c>
      <c r="H4075" t="s">
        <v>3417</v>
      </c>
    </row>
    <row r="4076" spans="1:9" x14ac:dyDescent="0.25">
      <c r="A4076" t="s">
        <v>13505</v>
      </c>
      <c r="B4076" t="s">
        <v>13506</v>
      </c>
      <c r="C4076" t="s">
        <v>13507</v>
      </c>
      <c r="D4076" t="s">
        <v>3242</v>
      </c>
      <c r="E4076" t="s">
        <v>15710</v>
      </c>
      <c r="F4076" t="s">
        <v>5035</v>
      </c>
      <c r="G4076" t="s">
        <v>13508</v>
      </c>
      <c r="H4076" t="s">
        <v>3357</v>
      </c>
    </row>
    <row r="4077" spans="1:9" x14ac:dyDescent="0.25">
      <c r="A4077" t="s">
        <v>13509</v>
      </c>
      <c r="B4077" t="s">
        <v>13510</v>
      </c>
      <c r="C4077" t="s">
        <v>13511</v>
      </c>
      <c r="D4077" t="s">
        <v>3242</v>
      </c>
      <c r="E4077" t="s">
        <v>16000</v>
      </c>
      <c r="F4077" t="s">
        <v>3306</v>
      </c>
      <c r="G4077" t="s">
        <v>13512</v>
      </c>
      <c r="H4077" t="s">
        <v>3259</v>
      </c>
    </row>
    <row r="4078" spans="1:9" x14ac:dyDescent="0.25">
      <c r="A4078" t="s">
        <v>13513</v>
      </c>
      <c r="B4078" t="s">
        <v>6197</v>
      </c>
      <c r="C4078" t="s">
        <v>6198</v>
      </c>
      <c r="D4078" t="s">
        <v>3242</v>
      </c>
      <c r="E4078" t="s">
        <v>15710</v>
      </c>
      <c r="F4078" t="s">
        <v>13514</v>
      </c>
      <c r="G4078" t="s">
        <v>6200</v>
      </c>
      <c r="H4078" t="s">
        <v>3262</v>
      </c>
    </row>
    <row r="4079" spans="1:9" x14ac:dyDescent="0.25">
      <c r="A4079" t="s">
        <v>13515</v>
      </c>
      <c r="B4079" t="s">
        <v>6223</v>
      </c>
      <c r="C4079" t="s">
        <v>6224</v>
      </c>
      <c r="D4079" t="s">
        <v>3242</v>
      </c>
      <c r="E4079" t="s">
        <v>15710</v>
      </c>
      <c r="F4079" t="s">
        <v>3257</v>
      </c>
      <c r="G4079" t="s">
        <v>13516</v>
      </c>
      <c r="H4079" t="s">
        <v>3248</v>
      </c>
    </row>
    <row r="4080" spans="1:9" x14ac:dyDescent="0.25">
      <c r="A4080" t="s">
        <v>13517</v>
      </c>
      <c r="B4080" t="s">
        <v>6283</v>
      </c>
      <c r="C4080" t="s">
        <v>6284</v>
      </c>
      <c r="D4080" t="s">
        <v>3242</v>
      </c>
      <c r="E4080" t="s">
        <v>15710</v>
      </c>
      <c r="F4080" t="s">
        <v>3257</v>
      </c>
      <c r="G4080" t="s">
        <v>13518</v>
      </c>
      <c r="H4080" t="s">
        <v>6286</v>
      </c>
    </row>
    <row r="4081" spans="1:9" x14ac:dyDescent="0.25">
      <c r="A4081" t="s">
        <v>13519</v>
      </c>
      <c r="B4081" t="s">
        <v>6359</v>
      </c>
      <c r="C4081" t="s">
        <v>13520</v>
      </c>
      <c r="D4081" t="s">
        <v>3242</v>
      </c>
      <c r="E4081" t="s">
        <v>15710</v>
      </c>
      <c r="F4081" t="s">
        <v>3257</v>
      </c>
      <c r="G4081" t="s">
        <v>13521</v>
      </c>
      <c r="H4081" t="s">
        <v>6362</v>
      </c>
    </row>
    <row r="4082" spans="1:9" x14ac:dyDescent="0.25">
      <c r="A4082" t="s">
        <v>13522</v>
      </c>
      <c r="B4082" t="s">
        <v>6399</v>
      </c>
      <c r="C4082" t="s">
        <v>6400</v>
      </c>
      <c r="D4082" t="s">
        <v>3242</v>
      </c>
      <c r="E4082" t="s">
        <v>15710</v>
      </c>
      <c r="F4082" t="s">
        <v>3300</v>
      </c>
      <c r="G4082" t="s">
        <v>6401</v>
      </c>
      <c r="H4082" t="s">
        <v>13523</v>
      </c>
      <c r="I4082" t="s">
        <v>3294</v>
      </c>
    </row>
    <row r="4083" spans="1:9" x14ac:dyDescent="0.25">
      <c r="A4083" t="s">
        <v>13524</v>
      </c>
      <c r="B4083" t="s">
        <v>13525</v>
      </c>
      <c r="C4083" t="s">
        <v>13526</v>
      </c>
      <c r="D4083" t="s">
        <v>3242</v>
      </c>
      <c r="E4083" t="s">
        <v>15710</v>
      </c>
      <c r="F4083" t="s">
        <v>3257</v>
      </c>
      <c r="G4083" t="s">
        <v>13527</v>
      </c>
      <c r="H4083" t="s">
        <v>4919</v>
      </c>
    </row>
    <row r="4084" spans="1:9" x14ac:dyDescent="0.25">
      <c r="A4084" t="s">
        <v>13528</v>
      </c>
      <c r="B4084" t="s">
        <v>6472</v>
      </c>
      <c r="C4084" t="s">
        <v>6473</v>
      </c>
      <c r="D4084" t="s">
        <v>3242</v>
      </c>
      <c r="E4084" t="s">
        <v>15710</v>
      </c>
      <c r="F4084" t="s">
        <v>3257</v>
      </c>
      <c r="G4084" t="s">
        <v>13529</v>
      </c>
      <c r="H4084" t="s">
        <v>3248</v>
      </c>
    </row>
    <row r="4085" spans="1:9" x14ac:dyDescent="0.25">
      <c r="A4085" t="s">
        <v>13530</v>
      </c>
      <c r="B4085" t="s">
        <v>13531</v>
      </c>
      <c r="C4085" t="s">
        <v>13532</v>
      </c>
      <c r="D4085" t="s">
        <v>3242</v>
      </c>
      <c r="E4085" t="s">
        <v>15710</v>
      </c>
      <c r="F4085" t="s">
        <v>3257</v>
      </c>
      <c r="G4085" t="s">
        <v>13533</v>
      </c>
      <c r="H4085" t="s">
        <v>3248</v>
      </c>
    </row>
    <row r="4086" spans="1:9" x14ac:dyDescent="0.25">
      <c r="A4086" t="s">
        <v>13534</v>
      </c>
      <c r="B4086" t="s">
        <v>6521</v>
      </c>
      <c r="C4086" t="s">
        <v>6522</v>
      </c>
      <c r="D4086" t="s">
        <v>3242</v>
      </c>
      <c r="E4086" t="s">
        <v>15710</v>
      </c>
      <c r="F4086" t="s">
        <v>3257</v>
      </c>
      <c r="G4086" t="s">
        <v>13535</v>
      </c>
      <c r="H4086" t="s">
        <v>6524</v>
      </c>
    </row>
    <row r="4087" spans="1:9" x14ac:dyDescent="0.25">
      <c r="A4087" t="s">
        <v>13536</v>
      </c>
      <c r="B4087" t="s">
        <v>6618</v>
      </c>
      <c r="C4087" t="s">
        <v>6619</v>
      </c>
      <c r="D4087" t="s">
        <v>3321</v>
      </c>
      <c r="E4087" t="s">
        <v>15710</v>
      </c>
      <c r="F4087" t="s">
        <v>3257</v>
      </c>
      <c r="G4087" t="s">
        <v>7521</v>
      </c>
      <c r="H4087" t="s">
        <v>4179</v>
      </c>
    </row>
    <row r="4088" spans="1:9" x14ac:dyDescent="0.25">
      <c r="A4088" t="s">
        <v>13537</v>
      </c>
      <c r="B4088" t="s">
        <v>6703</v>
      </c>
      <c r="C4088" t="s">
        <v>6704</v>
      </c>
      <c r="D4088" t="s">
        <v>3242</v>
      </c>
      <c r="E4088" t="s">
        <v>15710</v>
      </c>
      <c r="F4088" t="s">
        <v>3306</v>
      </c>
      <c r="G4088" t="s">
        <v>13538</v>
      </c>
      <c r="H4088" t="s">
        <v>3248</v>
      </c>
    </row>
    <row r="4089" spans="1:9" x14ac:dyDescent="0.25">
      <c r="A4089" t="s">
        <v>13539</v>
      </c>
      <c r="B4089" t="s">
        <v>13540</v>
      </c>
      <c r="C4089" t="s">
        <v>13541</v>
      </c>
      <c r="D4089" t="s">
        <v>3242</v>
      </c>
      <c r="E4089" t="s">
        <v>15710</v>
      </c>
      <c r="F4089" t="s">
        <v>3257</v>
      </c>
      <c r="G4089" t="s">
        <v>13542</v>
      </c>
      <c r="H4089" t="s">
        <v>3519</v>
      </c>
    </row>
    <row r="4090" spans="1:9" x14ac:dyDescent="0.25">
      <c r="A4090" t="s">
        <v>13543</v>
      </c>
      <c r="B4090" t="s">
        <v>13544</v>
      </c>
      <c r="C4090" t="s">
        <v>13545</v>
      </c>
      <c r="D4090" t="s">
        <v>3242</v>
      </c>
      <c r="E4090" t="s">
        <v>17485</v>
      </c>
      <c r="F4090" t="s">
        <v>3306</v>
      </c>
      <c r="G4090" t="s">
        <v>13546</v>
      </c>
      <c r="H4090" t="s">
        <v>3267</v>
      </c>
      <c r="I4090" t="s">
        <v>3268</v>
      </c>
    </row>
    <row r="4091" spans="1:9" x14ac:dyDescent="0.25">
      <c r="A4091" t="s">
        <v>13547</v>
      </c>
      <c r="B4091" t="s">
        <v>13548</v>
      </c>
      <c r="C4091" t="s">
        <v>13549</v>
      </c>
      <c r="D4091" t="s">
        <v>3242</v>
      </c>
      <c r="E4091" t="s">
        <v>15710</v>
      </c>
      <c r="F4091" t="s">
        <v>3257</v>
      </c>
      <c r="G4091" t="s">
        <v>13550</v>
      </c>
      <c r="H4091" t="s">
        <v>4871</v>
      </c>
    </row>
    <row r="4092" spans="1:9" x14ac:dyDescent="0.25">
      <c r="A4092" t="s">
        <v>13551</v>
      </c>
      <c r="B4092" t="s">
        <v>6785</v>
      </c>
      <c r="C4092" t="s">
        <v>6786</v>
      </c>
      <c r="D4092" t="s">
        <v>3242</v>
      </c>
      <c r="E4092" t="s">
        <v>15710</v>
      </c>
      <c r="F4092" t="s">
        <v>3306</v>
      </c>
      <c r="G4092" t="s">
        <v>6787</v>
      </c>
      <c r="H4092" t="s">
        <v>3262</v>
      </c>
    </row>
    <row r="4093" spans="1:9" x14ac:dyDescent="0.25">
      <c r="A4093" t="s">
        <v>13552</v>
      </c>
      <c r="B4093" t="s">
        <v>6863</v>
      </c>
      <c r="C4093" t="s">
        <v>6864</v>
      </c>
      <c r="D4093" t="s">
        <v>3242</v>
      </c>
      <c r="E4093" t="s">
        <v>15710</v>
      </c>
      <c r="F4093" t="s">
        <v>3257</v>
      </c>
      <c r="G4093" t="s">
        <v>13553</v>
      </c>
      <c r="H4093" t="s">
        <v>3262</v>
      </c>
    </row>
    <row r="4094" spans="1:9" x14ac:dyDescent="0.25">
      <c r="A4094" t="s">
        <v>13554</v>
      </c>
      <c r="B4094" t="s">
        <v>6888</v>
      </c>
      <c r="C4094" t="s">
        <v>13555</v>
      </c>
      <c r="D4094" t="s">
        <v>3242</v>
      </c>
      <c r="E4094" t="s">
        <v>16001</v>
      </c>
      <c r="F4094" t="s">
        <v>3306</v>
      </c>
      <c r="G4094" t="s">
        <v>13556</v>
      </c>
      <c r="H4094" t="s">
        <v>5815</v>
      </c>
      <c r="I4094" t="s">
        <v>3294</v>
      </c>
    </row>
    <row r="4095" spans="1:9" x14ac:dyDescent="0.25">
      <c r="A4095" t="s">
        <v>13557</v>
      </c>
      <c r="B4095" t="s">
        <v>6931</v>
      </c>
      <c r="C4095" t="s">
        <v>6932</v>
      </c>
      <c r="D4095" t="s">
        <v>3242</v>
      </c>
      <c r="E4095" t="s">
        <v>15710</v>
      </c>
      <c r="F4095" t="s">
        <v>3372</v>
      </c>
      <c r="G4095" t="s">
        <v>6933</v>
      </c>
      <c r="H4095" t="s">
        <v>5151</v>
      </c>
    </row>
    <row r="4096" spans="1:9" x14ac:dyDescent="0.25">
      <c r="A4096" t="s">
        <v>13558</v>
      </c>
      <c r="B4096" t="s">
        <v>7011</v>
      </c>
      <c r="C4096" t="s">
        <v>7012</v>
      </c>
      <c r="D4096" t="s">
        <v>3242</v>
      </c>
      <c r="E4096" t="s">
        <v>15710</v>
      </c>
      <c r="F4096" t="s">
        <v>3257</v>
      </c>
      <c r="G4096" t="s">
        <v>7013</v>
      </c>
      <c r="H4096" t="s">
        <v>5084</v>
      </c>
    </row>
    <row r="4097" spans="1:9" x14ac:dyDescent="0.25">
      <c r="A4097" t="s">
        <v>13559</v>
      </c>
      <c r="B4097" t="s">
        <v>7014</v>
      </c>
      <c r="C4097" t="s">
        <v>7015</v>
      </c>
      <c r="D4097" t="s">
        <v>3242</v>
      </c>
      <c r="E4097" t="s">
        <v>15710</v>
      </c>
      <c r="F4097" t="s">
        <v>3306</v>
      </c>
      <c r="G4097" t="s">
        <v>13560</v>
      </c>
      <c r="H4097" t="s">
        <v>5243</v>
      </c>
    </row>
    <row r="4098" spans="1:9" x14ac:dyDescent="0.25">
      <c r="A4098" t="s">
        <v>13561</v>
      </c>
      <c r="B4098" t="s">
        <v>7068</v>
      </c>
      <c r="C4098" t="s">
        <v>7069</v>
      </c>
      <c r="D4098" t="s">
        <v>3242</v>
      </c>
      <c r="E4098" t="s">
        <v>15710</v>
      </c>
      <c r="F4098" t="s">
        <v>5035</v>
      </c>
      <c r="G4098" t="s">
        <v>7070</v>
      </c>
      <c r="H4098" t="s">
        <v>3379</v>
      </c>
    </row>
    <row r="4099" spans="1:9" x14ac:dyDescent="0.25">
      <c r="A4099" t="s">
        <v>13562</v>
      </c>
      <c r="B4099" t="s">
        <v>7081</v>
      </c>
      <c r="C4099" t="s">
        <v>7082</v>
      </c>
      <c r="D4099" t="s">
        <v>3242</v>
      </c>
      <c r="E4099" t="s">
        <v>15710</v>
      </c>
      <c r="F4099" t="s">
        <v>3257</v>
      </c>
      <c r="G4099" t="s">
        <v>7083</v>
      </c>
      <c r="H4099" t="s">
        <v>3290</v>
      </c>
      <c r="I4099" t="s">
        <v>3294</v>
      </c>
    </row>
    <row r="4100" spans="1:9" x14ac:dyDescent="0.25">
      <c r="A4100" t="s">
        <v>13563</v>
      </c>
      <c r="B4100" t="s">
        <v>13564</v>
      </c>
      <c r="C4100" t="s">
        <v>13565</v>
      </c>
      <c r="D4100" t="s">
        <v>3242</v>
      </c>
      <c r="E4100" t="s">
        <v>15710</v>
      </c>
      <c r="F4100" t="s">
        <v>3306</v>
      </c>
      <c r="G4100" t="s">
        <v>13566</v>
      </c>
      <c r="H4100" t="s">
        <v>4856</v>
      </c>
    </row>
    <row r="4101" spans="1:9" x14ac:dyDescent="0.25">
      <c r="A4101" t="s">
        <v>13567</v>
      </c>
      <c r="B4101" t="s">
        <v>7141</v>
      </c>
      <c r="C4101" t="s">
        <v>7142</v>
      </c>
      <c r="D4101" t="s">
        <v>3242</v>
      </c>
      <c r="E4101" t="s">
        <v>15710</v>
      </c>
      <c r="F4101" t="s">
        <v>3257</v>
      </c>
      <c r="G4101" t="s">
        <v>7143</v>
      </c>
      <c r="H4101" t="s">
        <v>3253</v>
      </c>
    </row>
    <row r="4102" spans="1:9" x14ac:dyDescent="0.25">
      <c r="A4102" t="s">
        <v>13568</v>
      </c>
      <c r="B4102" t="s">
        <v>7173</v>
      </c>
      <c r="C4102" t="s">
        <v>7174</v>
      </c>
      <c r="D4102" t="s">
        <v>3242</v>
      </c>
      <c r="E4102" t="s">
        <v>15710</v>
      </c>
      <c r="F4102" t="s">
        <v>3306</v>
      </c>
      <c r="G4102" t="s">
        <v>7175</v>
      </c>
      <c r="H4102" t="s">
        <v>3259</v>
      </c>
    </row>
    <row r="4103" spans="1:9" x14ac:dyDescent="0.25">
      <c r="A4103" t="s">
        <v>13569</v>
      </c>
      <c r="B4103" t="s">
        <v>7182</v>
      </c>
      <c r="C4103" t="s">
        <v>7183</v>
      </c>
      <c r="D4103" t="s">
        <v>3242</v>
      </c>
      <c r="E4103" t="s">
        <v>15710</v>
      </c>
      <c r="F4103" t="s">
        <v>3306</v>
      </c>
      <c r="G4103" t="s">
        <v>7184</v>
      </c>
      <c r="H4103" t="s">
        <v>3290</v>
      </c>
    </row>
    <row r="4104" spans="1:9" x14ac:dyDescent="0.25">
      <c r="A4104" t="s">
        <v>13570</v>
      </c>
      <c r="B4104" t="s">
        <v>7237</v>
      </c>
      <c r="C4104" t="s">
        <v>7238</v>
      </c>
      <c r="D4104" t="s">
        <v>3242</v>
      </c>
      <c r="E4104" t="s">
        <v>16002</v>
      </c>
      <c r="F4104" t="s">
        <v>3257</v>
      </c>
      <c r="G4104" t="s">
        <v>7239</v>
      </c>
      <c r="H4104" t="s">
        <v>5151</v>
      </c>
    </row>
    <row r="4105" spans="1:9" x14ac:dyDescent="0.25">
      <c r="A4105" t="s">
        <v>13571</v>
      </c>
      <c r="B4105" t="s">
        <v>13572</v>
      </c>
      <c r="C4105" t="s">
        <v>13573</v>
      </c>
      <c r="D4105" t="s">
        <v>3242</v>
      </c>
      <c r="E4105" t="s">
        <v>15710</v>
      </c>
      <c r="F4105" t="s">
        <v>3257</v>
      </c>
      <c r="G4105" t="s">
        <v>13574</v>
      </c>
      <c r="H4105" t="s">
        <v>3267</v>
      </c>
      <c r="I4105" t="s">
        <v>3268</v>
      </c>
    </row>
    <row r="4106" spans="1:9" x14ac:dyDescent="0.25">
      <c r="A4106" t="s">
        <v>13575</v>
      </c>
      <c r="B4106" t="s">
        <v>13576</v>
      </c>
      <c r="C4106" t="s">
        <v>13577</v>
      </c>
      <c r="D4106" t="s">
        <v>3242</v>
      </c>
      <c r="E4106" t="s">
        <v>17486</v>
      </c>
      <c r="F4106" t="s">
        <v>3306</v>
      </c>
      <c r="G4106" t="s">
        <v>13578</v>
      </c>
      <c r="H4106" t="s">
        <v>3267</v>
      </c>
      <c r="I4106" t="s">
        <v>3268</v>
      </c>
    </row>
    <row r="4107" spans="1:9" x14ac:dyDescent="0.25">
      <c r="A4107" t="s">
        <v>13579</v>
      </c>
      <c r="B4107" t="s">
        <v>7401</v>
      </c>
      <c r="C4107" t="s">
        <v>7402</v>
      </c>
      <c r="D4107" t="s">
        <v>3242</v>
      </c>
      <c r="E4107" t="s">
        <v>15710</v>
      </c>
      <c r="F4107" t="s">
        <v>3306</v>
      </c>
      <c r="G4107" t="s">
        <v>7403</v>
      </c>
      <c r="H4107" t="s">
        <v>13580</v>
      </c>
    </row>
    <row r="4108" spans="1:9" x14ac:dyDescent="0.25">
      <c r="A4108" t="s">
        <v>13581</v>
      </c>
      <c r="B4108" t="s">
        <v>7421</v>
      </c>
      <c r="C4108" t="s">
        <v>7422</v>
      </c>
      <c r="D4108" t="s">
        <v>3242</v>
      </c>
      <c r="E4108" t="s">
        <v>15710</v>
      </c>
      <c r="F4108" t="s">
        <v>3306</v>
      </c>
      <c r="G4108" t="s">
        <v>13582</v>
      </c>
      <c r="H4108" t="s">
        <v>3259</v>
      </c>
      <c r="I4108" t="s">
        <v>3294</v>
      </c>
    </row>
    <row r="4109" spans="1:9" x14ac:dyDescent="0.25">
      <c r="A4109" t="s">
        <v>13583</v>
      </c>
      <c r="B4109" t="s">
        <v>7424</v>
      </c>
      <c r="C4109" t="s">
        <v>7425</v>
      </c>
      <c r="D4109" t="s">
        <v>3242</v>
      </c>
      <c r="E4109" t="s">
        <v>15710</v>
      </c>
      <c r="F4109" t="s">
        <v>3306</v>
      </c>
      <c r="G4109" t="s">
        <v>7426</v>
      </c>
      <c r="H4109" t="s">
        <v>3248</v>
      </c>
    </row>
    <row r="4110" spans="1:9" x14ac:dyDescent="0.25">
      <c r="A4110" t="s">
        <v>13584</v>
      </c>
      <c r="B4110" t="s">
        <v>13585</v>
      </c>
      <c r="C4110" t="s">
        <v>13586</v>
      </c>
      <c r="D4110" t="s">
        <v>3321</v>
      </c>
      <c r="E4110" t="s">
        <v>15710</v>
      </c>
      <c r="F4110" t="s">
        <v>3306</v>
      </c>
      <c r="G4110" t="s">
        <v>13587</v>
      </c>
      <c r="H4110" t="s">
        <v>3290</v>
      </c>
    </row>
    <row r="4111" spans="1:9" x14ac:dyDescent="0.25">
      <c r="A4111" t="s">
        <v>13588</v>
      </c>
      <c r="B4111" t="s">
        <v>7522</v>
      </c>
      <c r="C4111" t="s">
        <v>7523</v>
      </c>
      <c r="D4111" t="s">
        <v>3242</v>
      </c>
      <c r="E4111" t="s">
        <v>15710</v>
      </c>
      <c r="F4111" t="s">
        <v>3306</v>
      </c>
      <c r="G4111" t="s">
        <v>7524</v>
      </c>
      <c r="H4111" t="s">
        <v>3290</v>
      </c>
    </row>
    <row r="4112" spans="1:9" x14ac:dyDescent="0.25">
      <c r="A4112" t="s">
        <v>13589</v>
      </c>
      <c r="B4112" t="s">
        <v>7577</v>
      </c>
      <c r="C4112" t="s">
        <v>7578</v>
      </c>
      <c r="D4112" t="s">
        <v>3242</v>
      </c>
      <c r="E4112" t="s">
        <v>15710</v>
      </c>
      <c r="F4112" t="s">
        <v>3372</v>
      </c>
      <c r="G4112" t="s">
        <v>7579</v>
      </c>
      <c r="H4112" t="s">
        <v>3484</v>
      </c>
    </row>
    <row r="4113" spans="1:9" x14ac:dyDescent="0.25">
      <c r="A4113" t="s">
        <v>13590</v>
      </c>
      <c r="B4113" t="s">
        <v>7610</v>
      </c>
      <c r="C4113" t="s">
        <v>7611</v>
      </c>
      <c r="D4113" t="s">
        <v>3242</v>
      </c>
      <c r="E4113" t="s">
        <v>15710</v>
      </c>
      <c r="F4113" t="s">
        <v>3306</v>
      </c>
      <c r="G4113" t="s">
        <v>13591</v>
      </c>
      <c r="H4113" t="s">
        <v>6276</v>
      </c>
    </row>
    <row r="4114" spans="1:9" x14ac:dyDescent="0.25">
      <c r="A4114" t="s">
        <v>13592</v>
      </c>
      <c r="B4114" t="s">
        <v>13593</v>
      </c>
      <c r="C4114" t="s">
        <v>13594</v>
      </c>
      <c r="D4114" t="s">
        <v>3242</v>
      </c>
      <c r="E4114" t="s">
        <v>16003</v>
      </c>
      <c r="F4114" t="s">
        <v>3306</v>
      </c>
      <c r="G4114" t="s">
        <v>13595</v>
      </c>
      <c r="H4114" t="s">
        <v>3267</v>
      </c>
      <c r="I4114" t="s">
        <v>3268</v>
      </c>
    </row>
    <row r="4115" spans="1:9" x14ac:dyDescent="0.25">
      <c r="A4115" t="s">
        <v>13596</v>
      </c>
      <c r="B4115" t="s">
        <v>7627</v>
      </c>
      <c r="C4115" t="s">
        <v>7628</v>
      </c>
      <c r="D4115" t="s">
        <v>3242</v>
      </c>
      <c r="E4115" t="s">
        <v>15710</v>
      </c>
      <c r="F4115" t="s">
        <v>3306</v>
      </c>
      <c r="G4115" t="s">
        <v>13597</v>
      </c>
      <c r="H4115" t="s">
        <v>3290</v>
      </c>
      <c r="I4115" t="s">
        <v>3294</v>
      </c>
    </row>
    <row r="4116" spans="1:9" x14ac:dyDescent="0.25">
      <c r="A4116" t="s">
        <v>13598</v>
      </c>
      <c r="B4116" t="s">
        <v>13599</v>
      </c>
      <c r="C4116" t="s">
        <v>13600</v>
      </c>
      <c r="D4116" t="s">
        <v>3242</v>
      </c>
      <c r="E4116" t="s">
        <v>16004</v>
      </c>
      <c r="F4116" t="s">
        <v>3306</v>
      </c>
      <c r="G4116" t="s">
        <v>13601</v>
      </c>
      <c r="H4116" t="s">
        <v>3332</v>
      </c>
    </row>
    <row r="4117" spans="1:9" x14ac:dyDescent="0.25">
      <c r="A4117" t="s">
        <v>13602</v>
      </c>
      <c r="B4117" t="s">
        <v>7677</v>
      </c>
      <c r="C4117" t="s">
        <v>7678</v>
      </c>
      <c r="D4117" t="s">
        <v>3242</v>
      </c>
      <c r="E4117" t="s">
        <v>15710</v>
      </c>
      <c r="F4117" t="s">
        <v>5035</v>
      </c>
      <c r="G4117" t="s">
        <v>7679</v>
      </c>
      <c r="H4117" t="s">
        <v>3643</v>
      </c>
    </row>
    <row r="4118" spans="1:9" x14ac:dyDescent="0.25">
      <c r="A4118" t="s">
        <v>13603</v>
      </c>
      <c r="B4118" t="s">
        <v>7695</v>
      </c>
      <c r="C4118" t="s">
        <v>7696</v>
      </c>
      <c r="D4118" t="s">
        <v>3242</v>
      </c>
      <c r="E4118" t="s">
        <v>15710</v>
      </c>
      <c r="F4118" t="s">
        <v>3372</v>
      </c>
      <c r="G4118" t="s">
        <v>7697</v>
      </c>
      <c r="H4118" t="s">
        <v>3484</v>
      </c>
    </row>
    <row r="4119" spans="1:9" x14ac:dyDescent="0.25">
      <c r="A4119" t="s">
        <v>13604</v>
      </c>
      <c r="B4119" t="s">
        <v>8626</v>
      </c>
      <c r="C4119" t="s">
        <v>13605</v>
      </c>
      <c r="D4119" t="s">
        <v>3242</v>
      </c>
      <c r="E4119" t="s">
        <v>15710</v>
      </c>
      <c r="F4119" t="s">
        <v>3306</v>
      </c>
      <c r="G4119" t="s">
        <v>8628</v>
      </c>
      <c r="H4119" t="s">
        <v>5243</v>
      </c>
    </row>
    <row r="4120" spans="1:9" x14ac:dyDescent="0.25">
      <c r="A4120" t="s">
        <v>13606</v>
      </c>
      <c r="B4120" t="s">
        <v>9383</v>
      </c>
      <c r="C4120" t="s">
        <v>9384</v>
      </c>
      <c r="D4120" t="s">
        <v>3242</v>
      </c>
      <c r="E4120" t="s">
        <v>15710</v>
      </c>
      <c r="F4120" t="s">
        <v>9385</v>
      </c>
      <c r="G4120" t="s">
        <v>9386</v>
      </c>
      <c r="H4120" t="s">
        <v>3253</v>
      </c>
    </row>
    <row r="4121" spans="1:9" x14ac:dyDescent="0.25">
      <c r="A4121" t="s">
        <v>13607</v>
      </c>
      <c r="B4121" t="s">
        <v>13608</v>
      </c>
      <c r="C4121" t="s">
        <v>13609</v>
      </c>
      <c r="D4121" t="s">
        <v>3242</v>
      </c>
      <c r="E4121" t="s">
        <v>15710</v>
      </c>
      <c r="F4121" t="s">
        <v>3300</v>
      </c>
      <c r="G4121" t="s">
        <v>13610</v>
      </c>
      <c r="H4121" t="s">
        <v>3267</v>
      </c>
    </row>
    <row r="4122" spans="1:9" x14ac:dyDescent="0.25">
      <c r="A4122" t="s">
        <v>13611</v>
      </c>
      <c r="B4122" t="s">
        <v>13612</v>
      </c>
      <c r="C4122" t="s">
        <v>13613</v>
      </c>
      <c r="D4122" t="s">
        <v>3242</v>
      </c>
      <c r="E4122" t="s">
        <v>15710</v>
      </c>
      <c r="F4122" t="s">
        <v>3257</v>
      </c>
      <c r="G4122" t="s">
        <v>13614</v>
      </c>
      <c r="H4122" t="s">
        <v>5722</v>
      </c>
    </row>
    <row r="4123" spans="1:9" x14ac:dyDescent="0.25">
      <c r="A4123" t="s">
        <v>13615</v>
      </c>
      <c r="B4123" t="s">
        <v>13616</v>
      </c>
      <c r="C4123" t="s">
        <v>13617</v>
      </c>
      <c r="D4123" t="s">
        <v>3242</v>
      </c>
      <c r="E4123" t="s">
        <v>15710</v>
      </c>
      <c r="F4123" t="s">
        <v>3306</v>
      </c>
      <c r="G4123" t="s">
        <v>13618</v>
      </c>
      <c r="H4123" t="s">
        <v>6171</v>
      </c>
      <c r="I4123" t="s">
        <v>3294</v>
      </c>
    </row>
    <row r="4124" spans="1:9" x14ac:dyDescent="0.25">
      <c r="A4124" t="s">
        <v>13619</v>
      </c>
      <c r="B4124" t="s">
        <v>11073</v>
      </c>
      <c r="C4124" t="s">
        <v>13620</v>
      </c>
      <c r="D4124" t="s">
        <v>3242</v>
      </c>
      <c r="E4124" t="s">
        <v>15710</v>
      </c>
      <c r="F4124" t="s">
        <v>3306</v>
      </c>
      <c r="G4124" t="s">
        <v>13621</v>
      </c>
      <c r="H4124" t="s">
        <v>4179</v>
      </c>
    </row>
    <row r="4125" spans="1:9" x14ac:dyDescent="0.25">
      <c r="A4125" t="s">
        <v>13622</v>
      </c>
      <c r="B4125" t="s">
        <v>11782</v>
      </c>
      <c r="C4125" t="s">
        <v>6867</v>
      </c>
      <c r="D4125" t="s">
        <v>3242</v>
      </c>
      <c r="E4125" t="s">
        <v>15710</v>
      </c>
      <c r="F4125" t="s">
        <v>3257</v>
      </c>
      <c r="G4125" t="s">
        <v>11783</v>
      </c>
      <c r="H4125" t="s">
        <v>3290</v>
      </c>
    </row>
    <row r="4126" spans="1:9" x14ac:dyDescent="0.25">
      <c r="A4126" t="s">
        <v>13623</v>
      </c>
      <c r="B4126" t="s">
        <v>13624</v>
      </c>
      <c r="C4126" t="s">
        <v>13625</v>
      </c>
      <c r="D4126" t="s">
        <v>3242</v>
      </c>
      <c r="E4126" t="s">
        <v>15710</v>
      </c>
      <c r="F4126" t="s">
        <v>3257</v>
      </c>
      <c r="G4126" t="s">
        <v>13626</v>
      </c>
      <c r="H4126" t="s">
        <v>3267</v>
      </c>
    </row>
    <row r="4127" spans="1:9" x14ac:dyDescent="0.25">
      <c r="A4127" t="s">
        <v>13627</v>
      </c>
      <c r="B4127" t="s">
        <v>12852</v>
      </c>
      <c r="C4127" t="s">
        <v>12853</v>
      </c>
      <c r="D4127" t="s">
        <v>3242</v>
      </c>
      <c r="E4127" t="s">
        <v>16753</v>
      </c>
      <c r="F4127" t="s">
        <v>12854</v>
      </c>
      <c r="G4127" t="s">
        <v>12855</v>
      </c>
      <c r="H4127" t="s">
        <v>3290</v>
      </c>
    </row>
    <row r="4128" spans="1:9" x14ac:dyDescent="0.25">
      <c r="A4128" t="s">
        <v>13628</v>
      </c>
      <c r="B4128" t="s">
        <v>13629</v>
      </c>
      <c r="C4128" t="s">
        <v>13630</v>
      </c>
      <c r="D4128" t="s">
        <v>3242</v>
      </c>
      <c r="E4128" t="s">
        <v>15710</v>
      </c>
      <c r="F4128" t="s">
        <v>3306</v>
      </c>
      <c r="G4128" t="s">
        <v>13631</v>
      </c>
      <c r="H4128" t="s">
        <v>4919</v>
      </c>
    </row>
    <row r="4129" spans="1:9" x14ac:dyDescent="0.25">
      <c r="A4129" t="s">
        <v>13632</v>
      </c>
      <c r="B4129" t="s">
        <v>13633</v>
      </c>
      <c r="C4129" t="s">
        <v>13634</v>
      </c>
      <c r="D4129" t="s">
        <v>3242</v>
      </c>
      <c r="E4129" t="s">
        <v>15710</v>
      </c>
      <c r="F4129" t="s">
        <v>3251</v>
      </c>
      <c r="G4129" t="s">
        <v>13635</v>
      </c>
      <c r="H4129" t="s">
        <v>4004</v>
      </c>
    </row>
    <row r="4130" spans="1:9" x14ac:dyDescent="0.25">
      <c r="A4130" t="s">
        <v>13636</v>
      </c>
      <c r="B4130" t="s">
        <v>9482</v>
      </c>
      <c r="C4130" t="s">
        <v>9483</v>
      </c>
      <c r="D4130" t="s">
        <v>3242</v>
      </c>
      <c r="E4130" t="s">
        <v>15710</v>
      </c>
      <c r="F4130" t="s">
        <v>3372</v>
      </c>
      <c r="G4130" t="s">
        <v>13637</v>
      </c>
      <c r="H4130" t="s">
        <v>3060</v>
      </c>
      <c r="I4130" t="s">
        <v>4028</v>
      </c>
    </row>
    <row r="4131" spans="1:9" x14ac:dyDescent="0.25">
      <c r="A4131" t="s">
        <v>13638</v>
      </c>
      <c r="B4131" t="s">
        <v>3921</v>
      </c>
      <c r="C4131" t="s">
        <v>13639</v>
      </c>
      <c r="D4131" t="s">
        <v>3242</v>
      </c>
      <c r="E4131" t="s">
        <v>15710</v>
      </c>
      <c r="F4131" t="s">
        <v>13640</v>
      </c>
      <c r="G4131" t="s">
        <v>13641</v>
      </c>
      <c r="H4131" t="s">
        <v>3361</v>
      </c>
    </row>
    <row r="4132" spans="1:9" x14ac:dyDescent="0.25">
      <c r="A4132" t="s">
        <v>13642</v>
      </c>
      <c r="B4132" t="s">
        <v>13643</v>
      </c>
      <c r="C4132" t="s">
        <v>13644</v>
      </c>
      <c r="D4132" t="s">
        <v>3242</v>
      </c>
      <c r="E4132" t="s">
        <v>15710</v>
      </c>
      <c r="F4132" t="s">
        <v>3257</v>
      </c>
      <c r="G4132" t="s">
        <v>12334</v>
      </c>
      <c r="H4132" t="s">
        <v>6405</v>
      </c>
    </row>
    <row r="4133" spans="1:9" x14ac:dyDescent="0.25">
      <c r="A4133" t="s">
        <v>13645</v>
      </c>
      <c r="B4133" t="s">
        <v>13646</v>
      </c>
      <c r="C4133" t="s">
        <v>13647</v>
      </c>
      <c r="D4133" t="s">
        <v>3242</v>
      </c>
      <c r="E4133" t="s">
        <v>15710</v>
      </c>
      <c r="F4133" t="s">
        <v>3257</v>
      </c>
      <c r="G4133" t="s">
        <v>13648</v>
      </c>
      <c r="H4133" t="s">
        <v>6405</v>
      </c>
    </row>
    <row r="4134" spans="1:9" x14ac:dyDescent="0.25">
      <c r="A4134" t="s">
        <v>13649</v>
      </c>
      <c r="B4134" t="s">
        <v>13650</v>
      </c>
      <c r="C4134" t="s">
        <v>13651</v>
      </c>
      <c r="D4134" t="s">
        <v>3242</v>
      </c>
      <c r="E4134" t="s">
        <v>15710</v>
      </c>
      <c r="F4134" t="s">
        <v>3257</v>
      </c>
      <c r="G4134" t="s">
        <v>13652</v>
      </c>
      <c r="H4134" t="s">
        <v>6405</v>
      </c>
    </row>
    <row r="4135" spans="1:9" x14ac:dyDescent="0.25">
      <c r="A4135" t="s">
        <v>13653</v>
      </c>
      <c r="B4135" t="s">
        <v>13654</v>
      </c>
      <c r="C4135" t="s">
        <v>13655</v>
      </c>
      <c r="D4135" t="s">
        <v>3242</v>
      </c>
      <c r="E4135" t="s">
        <v>15710</v>
      </c>
      <c r="F4135" t="s">
        <v>3257</v>
      </c>
      <c r="G4135" t="s">
        <v>8951</v>
      </c>
      <c r="H4135" t="s">
        <v>3519</v>
      </c>
    </row>
    <row r="4136" spans="1:9" x14ac:dyDescent="0.25">
      <c r="A4136" t="s">
        <v>13656</v>
      </c>
      <c r="B4136" t="s">
        <v>4098</v>
      </c>
      <c r="C4136" t="s">
        <v>13657</v>
      </c>
      <c r="D4136" t="s">
        <v>3242</v>
      </c>
      <c r="E4136" t="s">
        <v>15710</v>
      </c>
      <c r="F4136" t="s">
        <v>3257</v>
      </c>
      <c r="G4136" t="s">
        <v>13658</v>
      </c>
      <c r="H4136" t="s">
        <v>3455</v>
      </c>
    </row>
    <row r="4137" spans="1:9" x14ac:dyDescent="0.25">
      <c r="A4137" t="s">
        <v>13659</v>
      </c>
      <c r="B4137" t="s">
        <v>13660</v>
      </c>
      <c r="C4137" t="s">
        <v>13661</v>
      </c>
      <c r="D4137" t="s">
        <v>3242</v>
      </c>
      <c r="E4137" t="s">
        <v>15990</v>
      </c>
      <c r="F4137" t="s">
        <v>3257</v>
      </c>
      <c r="G4137" t="s">
        <v>13662</v>
      </c>
      <c r="H4137" t="s">
        <v>6405</v>
      </c>
    </row>
    <row r="4138" spans="1:9" x14ac:dyDescent="0.25">
      <c r="A4138" t="s">
        <v>13663</v>
      </c>
      <c r="B4138" t="s">
        <v>13664</v>
      </c>
      <c r="C4138" t="s">
        <v>13665</v>
      </c>
      <c r="D4138" t="s">
        <v>3242</v>
      </c>
      <c r="E4138" t="s">
        <v>15710</v>
      </c>
      <c r="F4138" t="s">
        <v>3257</v>
      </c>
      <c r="G4138" t="s">
        <v>13666</v>
      </c>
      <c r="H4138" t="s">
        <v>3262</v>
      </c>
    </row>
    <row r="4139" spans="1:9" x14ac:dyDescent="0.25">
      <c r="A4139" t="s">
        <v>13667</v>
      </c>
      <c r="B4139" t="s">
        <v>4407</v>
      </c>
      <c r="C4139" t="s">
        <v>4408</v>
      </c>
      <c r="D4139" t="s">
        <v>3242</v>
      </c>
      <c r="E4139" t="s">
        <v>15710</v>
      </c>
      <c r="F4139" t="s">
        <v>3257</v>
      </c>
      <c r="G4139" t="s">
        <v>4409</v>
      </c>
      <c r="H4139" t="s">
        <v>3290</v>
      </c>
      <c r="I4139" t="s">
        <v>3407</v>
      </c>
    </row>
    <row r="4140" spans="1:9" x14ac:dyDescent="0.25">
      <c r="A4140" t="s">
        <v>13668</v>
      </c>
      <c r="B4140" t="s">
        <v>13643</v>
      </c>
      <c r="C4140" t="s">
        <v>13669</v>
      </c>
      <c r="D4140" t="s">
        <v>3242</v>
      </c>
      <c r="E4140" t="s">
        <v>15710</v>
      </c>
      <c r="F4140" t="s">
        <v>3257</v>
      </c>
      <c r="G4140" t="s">
        <v>13670</v>
      </c>
      <c r="H4140" t="s">
        <v>6524</v>
      </c>
    </row>
    <row r="4141" spans="1:9" x14ac:dyDescent="0.25">
      <c r="A4141" t="s">
        <v>13671</v>
      </c>
      <c r="B4141" t="s">
        <v>4499</v>
      </c>
      <c r="C4141" t="s">
        <v>13672</v>
      </c>
      <c r="D4141" t="s">
        <v>3242</v>
      </c>
      <c r="E4141" t="s">
        <v>15710</v>
      </c>
      <c r="F4141" t="s">
        <v>3257</v>
      </c>
      <c r="G4141" t="s">
        <v>13673</v>
      </c>
      <c r="H4141" t="s">
        <v>4926</v>
      </c>
    </row>
    <row r="4142" spans="1:9" x14ac:dyDescent="0.25">
      <c r="A4142" t="s">
        <v>13674</v>
      </c>
      <c r="B4142" t="s">
        <v>13675</v>
      </c>
      <c r="C4142" t="s">
        <v>13676</v>
      </c>
      <c r="D4142" t="s">
        <v>3242</v>
      </c>
      <c r="E4142" t="s">
        <v>15710</v>
      </c>
      <c r="F4142" t="s">
        <v>3257</v>
      </c>
      <c r="G4142" t="s">
        <v>13677</v>
      </c>
      <c r="H4142" t="s">
        <v>3248</v>
      </c>
    </row>
    <row r="4143" spans="1:9" x14ac:dyDescent="0.25">
      <c r="A4143" t="s">
        <v>13678</v>
      </c>
      <c r="B4143" t="s">
        <v>13679</v>
      </c>
      <c r="C4143" t="s">
        <v>13680</v>
      </c>
      <c r="D4143" t="s">
        <v>3242</v>
      </c>
      <c r="E4143" t="s">
        <v>15710</v>
      </c>
      <c r="F4143" t="s">
        <v>3257</v>
      </c>
      <c r="G4143" t="s">
        <v>13681</v>
      </c>
      <c r="H4143" t="s">
        <v>3262</v>
      </c>
    </row>
    <row r="4144" spans="1:9" x14ac:dyDescent="0.25">
      <c r="A4144" t="s">
        <v>13682</v>
      </c>
      <c r="B4144" t="s">
        <v>4643</v>
      </c>
      <c r="C4144" t="s">
        <v>13683</v>
      </c>
      <c r="D4144" t="s">
        <v>3242</v>
      </c>
      <c r="E4144" t="s">
        <v>15710</v>
      </c>
      <c r="F4144" t="s">
        <v>3257</v>
      </c>
      <c r="G4144" t="s">
        <v>13684</v>
      </c>
      <c r="H4144" t="s">
        <v>4856</v>
      </c>
    </row>
    <row r="4145" spans="1:9" x14ac:dyDescent="0.25">
      <c r="A4145" t="s">
        <v>13685</v>
      </c>
      <c r="B4145" t="s">
        <v>13686</v>
      </c>
      <c r="C4145" t="s">
        <v>13687</v>
      </c>
      <c r="D4145" t="s">
        <v>3242</v>
      </c>
      <c r="E4145" t="s">
        <v>15710</v>
      </c>
      <c r="F4145" t="s">
        <v>3257</v>
      </c>
      <c r="G4145" t="s">
        <v>13688</v>
      </c>
      <c r="H4145" t="s">
        <v>6405</v>
      </c>
    </row>
    <row r="4146" spans="1:9" x14ac:dyDescent="0.25">
      <c r="A4146" t="s">
        <v>13689</v>
      </c>
      <c r="B4146" t="s">
        <v>13690</v>
      </c>
      <c r="C4146" t="s">
        <v>11427</v>
      </c>
      <c r="D4146" t="s">
        <v>3242</v>
      </c>
      <c r="E4146" t="s">
        <v>15710</v>
      </c>
      <c r="F4146" t="s">
        <v>3257</v>
      </c>
      <c r="G4146" t="s">
        <v>4486</v>
      </c>
      <c r="H4146" t="s">
        <v>3553</v>
      </c>
    </row>
    <row r="4147" spans="1:9" x14ac:dyDescent="0.25">
      <c r="A4147" t="s">
        <v>13691</v>
      </c>
      <c r="B4147" t="s">
        <v>13692</v>
      </c>
      <c r="C4147" t="s">
        <v>13693</v>
      </c>
      <c r="D4147" t="s">
        <v>3242</v>
      </c>
      <c r="E4147" t="s">
        <v>15710</v>
      </c>
      <c r="F4147" t="s">
        <v>3257</v>
      </c>
      <c r="G4147" t="s">
        <v>13694</v>
      </c>
      <c r="H4147" t="s">
        <v>5066</v>
      </c>
    </row>
    <row r="4148" spans="1:9" x14ac:dyDescent="0.25">
      <c r="A4148" t="s">
        <v>13695</v>
      </c>
      <c r="B4148" t="s">
        <v>13696</v>
      </c>
      <c r="C4148" t="s">
        <v>13697</v>
      </c>
      <c r="D4148" t="s">
        <v>3242</v>
      </c>
      <c r="E4148" t="s">
        <v>15710</v>
      </c>
      <c r="F4148" t="s">
        <v>3257</v>
      </c>
      <c r="G4148" t="s">
        <v>13698</v>
      </c>
      <c r="H4148" t="s">
        <v>3262</v>
      </c>
    </row>
    <row r="4149" spans="1:9" x14ac:dyDescent="0.25">
      <c r="A4149" t="s">
        <v>13699</v>
      </c>
      <c r="B4149" t="s">
        <v>13700</v>
      </c>
      <c r="C4149" t="s">
        <v>13701</v>
      </c>
      <c r="D4149" t="s">
        <v>3242</v>
      </c>
      <c r="E4149" t="s">
        <v>15710</v>
      </c>
      <c r="F4149" t="s">
        <v>3257</v>
      </c>
      <c r="G4149" t="s">
        <v>13702</v>
      </c>
      <c r="H4149" t="s">
        <v>3262</v>
      </c>
    </row>
    <row r="4150" spans="1:9" x14ac:dyDescent="0.25">
      <c r="A4150" t="s">
        <v>13703</v>
      </c>
      <c r="B4150" t="s">
        <v>5063</v>
      </c>
      <c r="C4150" t="s">
        <v>5064</v>
      </c>
      <c r="D4150" t="s">
        <v>3242</v>
      </c>
      <c r="E4150" t="s">
        <v>15710</v>
      </c>
      <c r="F4150" t="s">
        <v>3257</v>
      </c>
      <c r="G4150" t="s">
        <v>13704</v>
      </c>
      <c r="H4150" t="s">
        <v>5066</v>
      </c>
    </row>
    <row r="4151" spans="1:9" x14ac:dyDescent="0.25">
      <c r="A4151" t="s">
        <v>13705</v>
      </c>
      <c r="B4151" t="s">
        <v>5070</v>
      </c>
      <c r="C4151" t="s">
        <v>5071</v>
      </c>
      <c r="D4151" t="s">
        <v>3242</v>
      </c>
      <c r="E4151" t="s">
        <v>15710</v>
      </c>
      <c r="F4151" t="s">
        <v>3257</v>
      </c>
      <c r="G4151" t="s">
        <v>13706</v>
      </c>
      <c r="H4151" t="s">
        <v>4856</v>
      </c>
    </row>
    <row r="4152" spans="1:9" x14ac:dyDescent="0.25">
      <c r="A4152" t="s">
        <v>13707</v>
      </c>
      <c r="B4152" t="s">
        <v>5074</v>
      </c>
      <c r="C4152" t="s">
        <v>5075</v>
      </c>
      <c r="D4152" t="s">
        <v>3242</v>
      </c>
      <c r="E4152" t="s">
        <v>15710</v>
      </c>
      <c r="F4152" t="s">
        <v>3257</v>
      </c>
      <c r="G4152" t="s">
        <v>13708</v>
      </c>
      <c r="H4152" t="s">
        <v>4856</v>
      </c>
    </row>
    <row r="4153" spans="1:9" x14ac:dyDescent="0.25">
      <c r="A4153" t="s">
        <v>13709</v>
      </c>
      <c r="B4153" t="s">
        <v>5077</v>
      </c>
      <c r="C4153" t="s">
        <v>5078</v>
      </c>
      <c r="D4153" t="s">
        <v>3242</v>
      </c>
      <c r="E4153" t="s">
        <v>15710</v>
      </c>
      <c r="F4153" t="s">
        <v>3257</v>
      </c>
      <c r="G4153" t="s">
        <v>13710</v>
      </c>
      <c r="H4153" t="s">
        <v>3311</v>
      </c>
    </row>
    <row r="4154" spans="1:9" x14ac:dyDescent="0.25">
      <c r="A4154" t="s">
        <v>13711</v>
      </c>
      <c r="B4154" t="s">
        <v>13712</v>
      </c>
      <c r="C4154" t="s">
        <v>13713</v>
      </c>
      <c r="D4154" t="s">
        <v>3242</v>
      </c>
      <c r="E4154" t="s">
        <v>15710</v>
      </c>
      <c r="F4154" t="s">
        <v>3257</v>
      </c>
      <c r="G4154" t="s">
        <v>13714</v>
      </c>
      <c r="H4154" t="s">
        <v>3311</v>
      </c>
    </row>
    <row r="4155" spans="1:9" x14ac:dyDescent="0.25">
      <c r="A4155" t="s">
        <v>13715</v>
      </c>
      <c r="B4155" t="s">
        <v>5096</v>
      </c>
      <c r="C4155" t="s">
        <v>5097</v>
      </c>
      <c r="D4155" t="s">
        <v>3242</v>
      </c>
      <c r="E4155" t="s">
        <v>15710</v>
      </c>
      <c r="F4155" t="s">
        <v>3257</v>
      </c>
      <c r="G4155" t="s">
        <v>13716</v>
      </c>
      <c r="H4155" t="s">
        <v>5114</v>
      </c>
    </row>
    <row r="4156" spans="1:9" x14ac:dyDescent="0.25">
      <c r="A4156" t="s">
        <v>13717</v>
      </c>
      <c r="B4156" t="s">
        <v>5108</v>
      </c>
      <c r="C4156" t="s">
        <v>5109</v>
      </c>
      <c r="D4156" t="s">
        <v>3242</v>
      </c>
      <c r="E4156" t="s">
        <v>15710</v>
      </c>
      <c r="F4156" t="s">
        <v>3257</v>
      </c>
      <c r="G4156" t="s">
        <v>13718</v>
      </c>
      <c r="H4156" t="s">
        <v>13719</v>
      </c>
    </row>
    <row r="4157" spans="1:9" x14ac:dyDescent="0.25">
      <c r="A4157" t="s">
        <v>13720</v>
      </c>
      <c r="B4157" t="s">
        <v>5118</v>
      </c>
      <c r="C4157" t="s">
        <v>5119</v>
      </c>
      <c r="D4157" t="s">
        <v>3242</v>
      </c>
      <c r="E4157" t="s">
        <v>15710</v>
      </c>
      <c r="F4157" t="s">
        <v>5120</v>
      </c>
      <c r="G4157" t="s">
        <v>5121</v>
      </c>
      <c r="H4157" t="s">
        <v>3406</v>
      </c>
      <c r="I4157" t="s">
        <v>3407</v>
      </c>
    </row>
    <row r="4158" spans="1:9" x14ac:dyDescent="0.25">
      <c r="A4158" t="s">
        <v>13721</v>
      </c>
      <c r="B4158" t="s">
        <v>13722</v>
      </c>
      <c r="C4158" t="s">
        <v>13723</v>
      </c>
      <c r="D4158" t="s">
        <v>3242</v>
      </c>
      <c r="E4158" t="s">
        <v>15710</v>
      </c>
      <c r="F4158" t="s">
        <v>3257</v>
      </c>
      <c r="G4158" t="s">
        <v>13724</v>
      </c>
      <c r="H4158" t="s">
        <v>6405</v>
      </c>
    </row>
    <row r="4159" spans="1:9" x14ac:dyDescent="0.25">
      <c r="A4159" t="s">
        <v>13725</v>
      </c>
      <c r="B4159" t="s">
        <v>5128</v>
      </c>
      <c r="C4159" t="s">
        <v>5129</v>
      </c>
      <c r="D4159" t="s">
        <v>3242</v>
      </c>
      <c r="E4159" t="s">
        <v>15710</v>
      </c>
      <c r="F4159" t="s">
        <v>3257</v>
      </c>
      <c r="G4159" t="s">
        <v>13726</v>
      </c>
      <c r="H4159" t="s">
        <v>3455</v>
      </c>
    </row>
    <row r="4160" spans="1:9" x14ac:dyDescent="0.25">
      <c r="A4160" t="s">
        <v>13727</v>
      </c>
      <c r="B4160" t="s">
        <v>5142</v>
      </c>
      <c r="C4160" t="s">
        <v>5143</v>
      </c>
      <c r="D4160" t="s">
        <v>3242</v>
      </c>
      <c r="E4160" t="s">
        <v>15710</v>
      </c>
      <c r="F4160" t="s">
        <v>3257</v>
      </c>
      <c r="G4160" t="s">
        <v>13728</v>
      </c>
      <c r="H4160" t="s">
        <v>3413</v>
      </c>
    </row>
    <row r="4161" spans="1:8" x14ac:dyDescent="0.25">
      <c r="A4161" t="s">
        <v>13729</v>
      </c>
      <c r="B4161" t="s">
        <v>13730</v>
      </c>
      <c r="C4161" t="s">
        <v>13731</v>
      </c>
      <c r="D4161" t="s">
        <v>3242</v>
      </c>
      <c r="E4161" t="s">
        <v>15710</v>
      </c>
      <c r="F4161" t="s">
        <v>3257</v>
      </c>
      <c r="G4161" t="s">
        <v>13732</v>
      </c>
      <c r="H4161" t="s">
        <v>13733</v>
      </c>
    </row>
    <row r="4162" spans="1:8" x14ac:dyDescent="0.25">
      <c r="A4162" t="s">
        <v>13734</v>
      </c>
      <c r="B4162" t="s">
        <v>5167</v>
      </c>
      <c r="C4162" t="s">
        <v>5168</v>
      </c>
      <c r="D4162" t="s">
        <v>3242</v>
      </c>
      <c r="E4162" t="s">
        <v>15710</v>
      </c>
      <c r="F4162" t="s">
        <v>3257</v>
      </c>
      <c r="G4162" t="s">
        <v>13735</v>
      </c>
      <c r="H4162" t="s">
        <v>3248</v>
      </c>
    </row>
    <row r="4163" spans="1:8" x14ac:dyDescent="0.25">
      <c r="A4163" t="s">
        <v>13736</v>
      </c>
      <c r="B4163" t="s">
        <v>13737</v>
      </c>
      <c r="C4163" t="s">
        <v>13738</v>
      </c>
      <c r="D4163" t="s">
        <v>3242</v>
      </c>
      <c r="E4163" t="s">
        <v>15710</v>
      </c>
      <c r="F4163" t="s">
        <v>3257</v>
      </c>
      <c r="G4163" t="s">
        <v>13739</v>
      </c>
      <c r="H4163" t="s">
        <v>3248</v>
      </c>
    </row>
    <row r="4164" spans="1:8" x14ac:dyDescent="0.25">
      <c r="A4164" t="s">
        <v>13740</v>
      </c>
      <c r="B4164" t="s">
        <v>5170</v>
      </c>
      <c r="C4164" t="s">
        <v>5171</v>
      </c>
      <c r="D4164" t="s">
        <v>3242</v>
      </c>
      <c r="E4164" t="s">
        <v>15710</v>
      </c>
      <c r="F4164" t="s">
        <v>3257</v>
      </c>
      <c r="G4164" t="s">
        <v>13741</v>
      </c>
      <c r="H4164" t="s">
        <v>6276</v>
      </c>
    </row>
    <row r="4165" spans="1:8" x14ac:dyDescent="0.25">
      <c r="A4165" t="s">
        <v>13742</v>
      </c>
      <c r="B4165" t="s">
        <v>13743</v>
      </c>
      <c r="C4165" t="s">
        <v>13744</v>
      </c>
      <c r="D4165" t="s">
        <v>3242</v>
      </c>
      <c r="E4165" t="s">
        <v>15710</v>
      </c>
      <c r="F4165" t="s">
        <v>3257</v>
      </c>
      <c r="G4165" t="s">
        <v>13745</v>
      </c>
      <c r="H4165" t="s">
        <v>5151</v>
      </c>
    </row>
    <row r="4166" spans="1:8" x14ac:dyDescent="0.25">
      <c r="A4166" t="s">
        <v>13746</v>
      </c>
      <c r="B4166" t="s">
        <v>13747</v>
      </c>
      <c r="C4166" t="s">
        <v>13748</v>
      </c>
      <c r="D4166" t="s">
        <v>3242</v>
      </c>
      <c r="E4166" t="s">
        <v>15710</v>
      </c>
      <c r="F4166" t="s">
        <v>3251</v>
      </c>
      <c r="G4166" t="s">
        <v>13749</v>
      </c>
      <c r="H4166" t="s">
        <v>3248</v>
      </c>
    </row>
    <row r="4167" spans="1:8" x14ac:dyDescent="0.25">
      <c r="A4167" t="s">
        <v>13750</v>
      </c>
      <c r="B4167" t="s">
        <v>13751</v>
      </c>
      <c r="C4167" t="s">
        <v>13752</v>
      </c>
      <c r="D4167" t="s">
        <v>3242</v>
      </c>
      <c r="E4167" t="s">
        <v>15710</v>
      </c>
      <c r="F4167" t="s">
        <v>3257</v>
      </c>
      <c r="G4167" t="s">
        <v>13753</v>
      </c>
      <c r="H4167" t="s">
        <v>3248</v>
      </c>
    </row>
    <row r="4168" spans="1:8" x14ac:dyDescent="0.25">
      <c r="A4168" t="s">
        <v>13754</v>
      </c>
      <c r="B4168" t="s">
        <v>13755</v>
      </c>
      <c r="C4168" t="s">
        <v>13756</v>
      </c>
      <c r="D4168" t="s">
        <v>3242</v>
      </c>
      <c r="E4168" t="s">
        <v>16005</v>
      </c>
      <c r="F4168" t="s">
        <v>3257</v>
      </c>
      <c r="G4168" t="s">
        <v>13757</v>
      </c>
      <c r="H4168" t="s">
        <v>6405</v>
      </c>
    </row>
    <row r="4169" spans="1:8" x14ac:dyDescent="0.25">
      <c r="A4169" t="s">
        <v>13758</v>
      </c>
      <c r="B4169" t="s">
        <v>5199</v>
      </c>
      <c r="C4169" t="s">
        <v>5200</v>
      </c>
      <c r="D4169" t="s">
        <v>3242</v>
      </c>
      <c r="E4169" t="s">
        <v>15710</v>
      </c>
      <c r="F4169" t="s">
        <v>3257</v>
      </c>
      <c r="G4169" t="s">
        <v>13759</v>
      </c>
      <c r="H4169" t="s">
        <v>3248</v>
      </c>
    </row>
    <row r="4170" spans="1:8" x14ac:dyDescent="0.25">
      <c r="A4170" t="s">
        <v>13760</v>
      </c>
      <c r="B4170" t="s">
        <v>13761</v>
      </c>
      <c r="C4170" t="s">
        <v>13762</v>
      </c>
      <c r="D4170" t="s">
        <v>3242</v>
      </c>
      <c r="E4170" t="s">
        <v>15710</v>
      </c>
      <c r="F4170" t="s">
        <v>3257</v>
      </c>
      <c r="G4170" t="s">
        <v>13763</v>
      </c>
      <c r="H4170" t="s">
        <v>3248</v>
      </c>
    </row>
    <row r="4171" spans="1:8" x14ac:dyDescent="0.25">
      <c r="A4171" t="s">
        <v>13764</v>
      </c>
      <c r="B4171" t="s">
        <v>5214</v>
      </c>
      <c r="C4171" t="s">
        <v>5215</v>
      </c>
      <c r="D4171" t="s">
        <v>3242</v>
      </c>
      <c r="E4171" t="s">
        <v>15710</v>
      </c>
      <c r="F4171" t="s">
        <v>3257</v>
      </c>
      <c r="G4171" t="s">
        <v>13765</v>
      </c>
      <c r="H4171" t="s">
        <v>3262</v>
      </c>
    </row>
    <row r="4172" spans="1:8" x14ac:dyDescent="0.25">
      <c r="A4172" t="s">
        <v>13766</v>
      </c>
      <c r="B4172" t="s">
        <v>13767</v>
      </c>
      <c r="C4172" t="s">
        <v>13768</v>
      </c>
      <c r="D4172" t="s">
        <v>3242</v>
      </c>
      <c r="E4172" t="s">
        <v>15710</v>
      </c>
      <c r="F4172" t="s">
        <v>3257</v>
      </c>
      <c r="G4172" t="s">
        <v>13769</v>
      </c>
      <c r="H4172" t="s">
        <v>3519</v>
      </c>
    </row>
    <row r="4173" spans="1:8" x14ac:dyDescent="0.25">
      <c r="A4173" t="s">
        <v>13770</v>
      </c>
      <c r="B4173" t="s">
        <v>5232</v>
      </c>
      <c r="C4173" t="s">
        <v>5233</v>
      </c>
      <c r="D4173" t="s">
        <v>3242</v>
      </c>
      <c r="E4173" t="s">
        <v>15710</v>
      </c>
      <c r="F4173" t="s">
        <v>3257</v>
      </c>
      <c r="G4173" t="s">
        <v>13771</v>
      </c>
      <c r="H4173" t="s">
        <v>3413</v>
      </c>
    </row>
    <row r="4174" spans="1:8" x14ac:dyDescent="0.25">
      <c r="A4174" t="s">
        <v>13772</v>
      </c>
      <c r="B4174" t="s">
        <v>13773</v>
      </c>
      <c r="C4174" t="s">
        <v>13774</v>
      </c>
      <c r="D4174" t="s">
        <v>3242</v>
      </c>
      <c r="E4174" t="s">
        <v>15710</v>
      </c>
      <c r="F4174" t="s">
        <v>3257</v>
      </c>
      <c r="G4174" t="s">
        <v>13775</v>
      </c>
      <c r="H4174" t="s">
        <v>3248</v>
      </c>
    </row>
    <row r="4175" spans="1:8" x14ac:dyDescent="0.25">
      <c r="A4175" t="s">
        <v>13776</v>
      </c>
      <c r="B4175" t="s">
        <v>13777</v>
      </c>
      <c r="C4175" t="s">
        <v>13778</v>
      </c>
      <c r="D4175" t="s">
        <v>3242</v>
      </c>
      <c r="E4175" t="s">
        <v>15710</v>
      </c>
      <c r="F4175" t="s">
        <v>3257</v>
      </c>
      <c r="G4175" t="s">
        <v>13779</v>
      </c>
      <c r="H4175" t="s">
        <v>3248</v>
      </c>
    </row>
    <row r="4176" spans="1:8" x14ac:dyDescent="0.25">
      <c r="A4176" t="s">
        <v>13780</v>
      </c>
      <c r="B4176" t="s">
        <v>13781</v>
      </c>
      <c r="C4176" t="s">
        <v>13782</v>
      </c>
      <c r="D4176" t="s">
        <v>3242</v>
      </c>
      <c r="E4176" t="s">
        <v>15710</v>
      </c>
      <c r="F4176" t="s">
        <v>3372</v>
      </c>
      <c r="G4176" t="s">
        <v>13783</v>
      </c>
      <c r="H4176" t="s">
        <v>6524</v>
      </c>
    </row>
    <row r="4177" spans="1:9" x14ac:dyDescent="0.25">
      <c r="A4177" t="s">
        <v>13784</v>
      </c>
      <c r="B4177" t="s">
        <v>13785</v>
      </c>
      <c r="C4177" t="s">
        <v>13786</v>
      </c>
      <c r="D4177" t="s">
        <v>3242</v>
      </c>
      <c r="E4177" t="s">
        <v>15710</v>
      </c>
      <c r="F4177" t="s">
        <v>3257</v>
      </c>
      <c r="G4177" t="s">
        <v>13787</v>
      </c>
      <c r="H4177" t="s">
        <v>3614</v>
      </c>
    </row>
    <row r="4178" spans="1:9" x14ac:dyDescent="0.25">
      <c r="A4178" t="s">
        <v>13788</v>
      </c>
      <c r="B4178" t="s">
        <v>13789</v>
      </c>
      <c r="C4178" t="s">
        <v>13790</v>
      </c>
      <c r="D4178" t="s">
        <v>3242</v>
      </c>
      <c r="E4178" t="s">
        <v>15710</v>
      </c>
      <c r="F4178" t="s">
        <v>3257</v>
      </c>
      <c r="G4178" t="s">
        <v>13791</v>
      </c>
      <c r="H4178" t="s">
        <v>3647</v>
      </c>
    </row>
    <row r="4179" spans="1:9" x14ac:dyDescent="0.25">
      <c r="A4179" t="s">
        <v>13792</v>
      </c>
      <c r="B4179" t="s">
        <v>13793</v>
      </c>
      <c r="C4179" t="s">
        <v>13794</v>
      </c>
      <c r="D4179" t="s">
        <v>3242</v>
      </c>
      <c r="E4179" t="s">
        <v>15710</v>
      </c>
      <c r="F4179" t="s">
        <v>3257</v>
      </c>
      <c r="G4179" t="s">
        <v>13795</v>
      </c>
      <c r="H4179" t="s">
        <v>3248</v>
      </c>
    </row>
    <row r="4180" spans="1:9" x14ac:dyDescent="0.25">
      <c r="A4180" t="s">
        <v>13796</v>
      </c>
      <c r="B4180" t="s">
        <v>5746</v>
      </c>
      <c r="C4180" t="s">
        <v>5747</v>
      </c>
      <c r="D4180" t="s">
        <v>3242</v>
      </c>
      <c r="E4180" t="s">
        <v>15710</v>
      </c>
      <c r="F4180" t="s">
        <v>3306</v>
      </c>
      <c r="G4180" t="s">
        <v>13797</v>
      </c>
      <c r="H4180" t="s">
        <v>3248</v>
      </c>
    </row>
    <row r="4181" spans="1:9" x14ac:dyDescent="0.25">
      <c r="A4181" t="s">
        <v>13798</v>
      </c>
      <c r="B4181" t="s">
        <v>13799</v>
      </c>
      <c r="C4181" t="s">
        <v>13800</v>
      </c>
      <c r="D4181" t="s">
        <v>3242</v>
      </c>
      <c r="E4181" t="s">
        <v>15710</v>
      </c>
      <c r="F4181" t="s">
        <v>3257</v>
      </c>
      <c r="G4181" t="s">
        <v>13801</v>
      </c>
      <c r="H4181" t="s">
        <v>3248</v>
      </c>
    </row>
    <row r="4182" spans="1:9" x14ac:dyDescent="0.25">
      <c r="A4182" t="s">
        <v>13802</v>
      </c>
      <c r="B4182" t="s">
        <v>13803</v>
      </c>
      <c r="C4182" t="s">
        <v>13804</v>
      </c>
      <c r="D4182" t="s">
        <v>3242</v>
      </c>
      <c r="E4182" t="s">
        <v>15710</v>
      </c>
      <c r="F4182" t="s">
        <v>3257</v>
      </c>
      <c r="G4182" t="s">
        <v>13805</v>
      </c>
      <c r="H4182" t="s">
        <v>3262</v>
      </c>
    </row>
    <row r="4183" spans="1:9" x14ac:dyDescent="0.25">
      <c r="A4183" t="s">
        <v>13806</v>
      </c>
      <c r="B4183" t="s">
        <v>5779</v>
      </c>
      <c r="C4183" t="s">
        <v>5780</v>
      </c>
      <c r="D4183" t="s">
        <v>3242</v>
      </c>
      <c r="E4183" t="s">
        <v>15710</v>
      </c>
      <c r="F4183" t="s">
        <v>3257</v>
      </c>
      <c r="G4183" t="s">
        <v>13807</v>
      </c>
      <c r="H4183" t="s">
        <v>3248</v>
      </c>
    </row>
    <row r="4184" spans="1:9" x14ac:dyDescent="0.25">
      <c r="A4184" t="s">
        <v>13808</v>
      </c>
      <c r="B4184" t="s">
        <v>13809</v>
      </c>
      <c r="C4184" t="s">
        <v>13810</v>
      </c>
      <c r="D4184" t="s">
        <v>3242</v>
      </c>
      <c r="E4184" t="s">
        <v>15710</v>
      </c>
      <c r="F4184" t="s">
        <v>3257</v>
      </c>
      <c r="G4184" t="s">
        <v>13811</v>
      </c>
      <c r="H4184" t="s">
        <v>3647</v>
      </c>
    </row>
    <row r="4185" spans="1:9" x14ac:dyDescent="0.25">
      <c r="A4185" t="s">
        <v>13812</v>
      </c>
      <c r="B4185" t="s">
        <v>13813</v>
      </c>
      <c r="C4185" t="s">
        <v>13814</v>
      </c>
      <c r="D4185" t="s">
        <v>3242</v>
      </c>
      <c r="E4185" t="s">
        <v>15710</v>
      </c>
      <c r="F4185" t="s">
        <v>3257</v>
      </c>
      <c r="G4185" t="s">
        <v>13815</v>
      </c>
      <c r="H4185" t="s">
        <v>3417</v>
      </c>
    </row>
    <row r="4186" spans="1:9" x14ac:dyDescent="0.25">
      <c r="A4186" t="s">
        <v>13816</v>
      </c>
      <c r="B4186" t="s">
        <v>5987</v>
      </c>
      <c r="C4186" t="s">
        <v>5988</v>
      </c>
      <c r="D4186" t="s">
        <v>3242</v>
      </c>
      <c r="E4186" t="s">
        <v>15710</v>
      </c>
      <c r="F4186" t="s">
        <v>3257</v>
      </c>
      <c r="G4186" t="s">
        <v>13817</v>
      </c>
      <c r="H4186" t="s">
        <v>3417</v>
      </c>
    </row>
    <row r="4187" spans="1:9" x14ac:dyDescent="0.25">
      <c r="A4187" t="s">
        <v>13818</v>
      </c>
      <c r="B4187" t="s">
        <v>13819</v>
      </c>
      <c r="C4187" t="s">
        <v>13820</v>
      </c>
      <c r="D4187" t="s">
        <v>3242</v>
      </c>
      <c r="E4187" t="s">
        <v>16487</v>
      </c>
      <c r="F4187" t="s">
        <v>3257</v>
      </c>
      <c r="G4187" t="s">
        <v>13821</v>
      </c>
      <c r="H4187" t="s">
        <v>5151</v>
      </c>
      <c r="I4187" t="s">
        <v>3432</v>
      </c>
    </row>
    <row r="4188" spans="1:9" x14ac:dyDescent="0.25">
      <c r="A4188" t="s">
        <v>13822</v>
      </c>
      <c r="B4188" t="s">
        <v>13823</v>
      </c>
      <c r="C4188" t="s">
        <v>13824</v>
      </c>
      <c r="D4188" t="s">
        <v>3242</v>
      </c>
      <c r="E4188" t="s">
        <v>15710</v>
      </c>
      <c r="F4188" t="s">
        <v>3257</v>
      </c>
      <c r="G4188" t="s">
        <v>13825</v>
      </c>
      <c r="H4188" t="s">
        <v>3519</v>
      </c>
    </row>
    <row r="4189" spans="1:9" x14ac:dyDescent="0.25">
      <c r="A4189" t="s">
        <v>13826</v>
      </c>
      <c r="B4189" t="s">
        <v>6011</v>
      </c>
      <c r="C4189" t="s">
        <v>6012</v>
      </c>
      <c r="D4189" t="s">
        <v>3242</v>
      </c>
      <c r="E4189" t="s">
        <v>15710</v>
      </c>
      <c r="F4189" t="s">
        <v>3257</v>
      </c>
      <c r="G4189" t="s">
        <v>6013</v>
      </c>
      <c r="H4189" t="s">
        <v>3262</v>
      </c>
    </row>
    <row r="4190" spans="1:9" x14ac:dyDescent="0.25">
      <c r="A4190" t="s">
        <v>13827</v>
      </c>
      <c r="B4190" t="s">
        <v>13828</v>
      </c>
      <c r="C4190" t="s">
        <v>13829</v>
      </c>
      <c r="D4190" t="s">
        <v>3242</v>
      </c>
      <c r="E4190" t="s">
        <v>15710</v>
      </c>
      <c r="F4190" t="s">
        <v>3257</v>
      </c>
      <c r="G4190" t="s">
        <v>13830</v>
      </c>
      <c r="H4190" t="s">
        <v>5151</v>
      </c>
    </row>
    <row r="4191" spans="1:9" x14ac:dyDescent="0.25">
      <c r="A4191" t="s">
        <v>13831</v>
      </c>
      <c r="B4191" t="s">
        <v>6033</v>
      </c>
      <c r="C4191" t="s">
        <v>6034</v>
      </c>
      <c r="D4191" t="s">
        <v>3242</v>
      </c>
      <c r="E4191" t="s">
        <v>15710</v>
      </c>
      <c r="F4191" t="s">
        <v>3306</v>
      </c>
      <c r="G4191" t="s">
        <v>13832</v>
      </c>
      <c r="H4191" t="s">
        <v>5700</v>
      </c>
    </row>
    <row r="4192" spans="1:9" x14ac:dyDescent="0.25">
      <c r="A4192" t="s">
        <v>13833</v>
      </c>
      <c r="B4192" t="s">
        <v>13834</v>
      </c>
      <c r="C4192" t="s">
        <v>13835</v>
      </c>
      <c r="D4192" t="s">
        <v>3242</v>
      </c>
      <c r="E4192" t="s">
        <v>15710</v>
      </c>
      <c r="F4192" t="s">
        <v>3257</v>
      </c>
      <c r="G4192" t="s">
        <v>13836</v>
      </c>
      <c r="H4192" t="s">
        <v>13580</v>
      </c>
    </row>
    <row r="4193" spans="1:9" x14ac:dyDescent="0.25">
      <c r="A4193" t="s">
        <v>13837</v>
      </c>
      <c r="B4193" t="s">
        <v>13838</v>
      </c>
      <c r="C4193" t="s">
        <v>13839</v>
      </c>
      <c r="D4193" t="s">
        <v>3242</v>
      </c>
      <c r="E4193" t="s">
        <v>15710</v>
      </c>
      <c r="F4193" t="s">
        <v>3257</v>
      </c>
      <c r="G4193" t="s">
        <v>13840</v>
      </c>
      <c r="H4193" t="s">
        <v>7755</v>
      </c>
    </row>
    <row r="4194" spans="1:9" x14ac:dyDescent="0.25">
      <c r="A4194" t="s">
        <v>13841</v>
      </c>
      <c r="B4194" t="s">
        <v>6047</v>
      </c>
      <c r="C4194" t="s">
        <v>13842</v>
      </c>
      <c r="D4194" t="s">
        <v>3242</v>
      </c>
      <c r="E4194" t="s">
        <v>15710</v>
      </c>
      <c r="F4194" t="s">
        <v>3257</v>
      </c>
      <c r="G4194" t="s">
        <v>13843</v>
      </c>
      <c r="H4194" t="s">
        <v>3262</v>
      </c>
    </row>
    <row r="4195" spans="1:9" x14ac:dyDescent="0.25">
      <c r="A4195" t="s">
        <v>13844</v>
      </c>
      <c r="B4195" t="s">
        <v>13845</v>
      </c>
      <c r="C4195" t="s">
        <v>13846</v>
      </c>
      <c r="D4195" t="s">
        <v>3242</v>
      </c>
      <c r="E4195" t="s">
        <v>15710</v>
      </c>
      <c r="F4195" t="s">
        <v>3257</v>
      </c>
      <c r="G4195" t="s">
        <v>13847</v>
      </c>
      <c r="H4195" t="s">
        <v>13848</v>
      </c>
    </row>
    <row r="4196" spans="1:9" x14ac:dyDescent="0.25">
      <c r="A4196" t="s">
        <v>13849</v>
      </c>
      <c r="B4196" t="s">
        <v>6050</v>
      </c>
      <c r="C4196" t="s">
        <v>6051</v>
      </c>
      <c r="D4196" t="s">
        <v>3242</v>
      </c>
      <c r="E4196" t="s">
        <v>15710</v>
      </c>
      <c r="F4196" t="s">
        <v>3257</v>
      </c>
      <c r="G4196" t="s">
        <v>13850</v>
      </c>
      <c r="H4196" t="s">
        <v>5785</v>
      </c>
    </row>
    <row r="4197" spans="1:9" x14ac:dyDescent="0.25">
      <c r="A4197" t="s">
        <v>13851</v>
      </c>
      <c r="B4197" t="s">
        <v>13852</v>
      </c>
      <c r="C4197" t="s">
        <v>13853</v>
      </c>
      <c r="D4197" t="s">
        <v>3242</v>
      </c>
      <c r="E4197" t="s">
        <v>15710</v>
      </c>
      <c r="F4197" t="s">
        <v>3257</v>
      </c>
      <c r="G4197" t="s">
        <v>13854</v>
      </c>
      <c r="H4197" t="s">
        <v>3647</v>
      </c>
    </row>
    <row r="4198" spans="1:9" x14ac:dyDescent="0.25">
      <c r="A4198" t="s">
        <v>13855</v>
      </c>
      <c r="B4198" t="s">
        <v>6056</v>
      </c>
      <c r="C4198" t="s">
        <v>4785</v>
      </c>
      <c r="D4198" t="s">
        <v>3242</v>
      </c>
      <c r="E4198" t="s">
        <v>15710</v>
      </c>
      <c r="F4198" t="s">
        <v>3257</v>
      </c>
      <c r="G4198" t="s">
        <v>6058</v>
      </c>
      <c r="H4198" t="s">
        <v>3248</v>
      </c>
      <c r="I4198" t="s">
        <v>3407</v>
      </c>
    </row>
    <row r="4199" spans="1:9" x14ac:dyDescent="0.25">
      <c r="A4199" t="s">
        <v>13856</v>
      </c>
      <c r="B4199" t="s">
        <v>6085</v>
      </c>
      <c r="C4199" t="s">
        <v>13857</v>
      </c>
      <c r="D4199" t="s">
        <v>3242</v>
      </c>
      <c r="E4199" t="s">
        <v>15710</v>
      </c>
      <c r="F4199" t="s">
        <v>3257</v>
      </c>
      <c r="G4199" t="s">
        <v>13858</v>
      </c>
      <c r="H4199" t="s">
        <v>4926</v>
      </c>
    </row>
    <row r="4200" spans="1:9" x14ac:dyDescent="0.25">
      <c r="A4200" t="s">
        <v>13859</v>
      </c>
      <c r="B4200" t="s">
        <v>6113</v>
      </c>
      <c r="C4200" t="s">
        <v>6114</v>
      </c>
      <c r="D4200" t="s">
        <v>3242</v>
      </c>
      <c r="E4200" t="s">
        <v>15710</v>
      </c>
      <c r="F4200" t="s">
        <v>3257</v>
      </c>
      <c r="G4200" t="s">
        <v>13860</v>
      </c>
      <c r="H4200" t="s">
        <v>3262</v>
      </c>
    </row>
    <row r="4201" spans="1:9" x14ac:dyDescent="0.25">
      <c r="A4201" t="s">
        <v>13861</v>
      </c>
      <c r="B4201" t="s">
        <v>13862</v>
      </c>
      <c r="C4201" t="s">
        <v>13863</v>
      </c>
      <c r="D4201" t="s">
        <v>3242</v>
      </c>
      <c r="E4201" t="s">
        <v>15710</v>
      </c>
      <c r="F4201" t="s">
        <v>3257</v>
      </c>
      <c r="G4201" t="s">
        <v>13864</v>
      </c>
      <c r="H4201" t="s">
        <v>3417</v>
      </c>
    </row>
    <row r="4202" spans="1:9" x14ac:dyDescent="0.25">
      <c r="A4202" t="s">
        <v>13865</v>
      </c>
      <c r="B4202" t="s">
        <v>6132</v>
      </c>
      <c r="C4202" t="s">
        <v>6133</v>
      </c>
      <c r="D4202" t="s">
        <v>3242</v>
      </c>
      <c r="E4202" t="s">
        <v>15710</v>
      </c>
      <c r="F4202" t="s">
        <v>3257</v>
      </c>
      <c r="G4202" t="s">
        <v>6134</v>
      </c>
      <c r="H4202" t="s">
        <v>3262</v>
      </c>
    </row>
    <row r="4203" spans="1:9" x14ac:dyDescent="0.25">
      <c r="A4203" t="s">
        <v>13866</v>
      </c>
      <c r="B4203" t="s">
        <v>13867</v>
      </c>
      <c r="C4203" t="s">
        <v>13868</v>
      </c>
      <c r="D4203" t="s">
        <v>3242</v>
      </c>
      <c r="E4203" t="s">
        <v>15710</v>
      </c>
      <c r="F4203" t="s">
        <v>3257</v>
      </c>
      <c r="G4203" t="s">
        <v>13869</v>
      </c>
      <c r="H4203" t="s">
        <v>4926</v>
      </c>
    </row>
    <row r="4204" spans="1:9" x14ac:dyDescent="0.25">
      <c r="A4204" t="s">
        <v>13870</v>
      </c>
      <c r="B4204" t="s">
        <v>6160</v>
      </c>
      <c r="C4204" t="s">
        <v>6161</v>
      </c>
      <c r="D4204" t="s">
        <v>3242</v>
      </c>
      <c r="E4204" t="s">
        <v>15710</v>
      </c>
      <c r="F4204" t="s">
        <v>3306</v>
      </c>
      <c r="G4204" t="s">
        <v>13871</v>
      </c>
      <c r="H4204" t="s">
        <v>3417</v>
      </c>
    </row>
    <row r="4205" spans="1:9" x14ac:dyDescent="0.25">
      <c r="A4205" t="s">
        <v>13872</v>
      </c>
      <c r="B4205" t="s">
        <v>6172</v>
      </c>
      <c r="C4205" t="s">
        <v>6173</v>
      </c>
      <c r="D4205" t="s">
        <v>3242</v>
      </c>
      <c r="E4205" t="s">
        <v>15710</v>
      </c>
      <c r="F4205" t="s">
        <v>3257</v>
      </c>
      <c r="G4205" t="s">
        <v>13873</v>
      </c>
      <c r="H4205" t="s">
        <v>6276</v>
      </c>
    </row>
    <row r="4206" spans="1:9" x14ac:dyDescent="0.25">
      <c r="A4206" t="s">
        <v>13874</v>
      </c>
      <c r="B4206" t="s">
        <v>13875</v>
      </c>
      <c r="C4206" t="s">
        <v>13876</v>
      </c>
      <c r="D4206" t="s">
        <v>3242</v>
      </c>
      <c r="E4206" t="s">
        <v>15710</v>
      </c>
      <c r="F4206" t="s">
        <v>3372</v>
      </c>
      <c r="G4206" t="s">
        <v>13877</v>
      </c>
      <c r="H4206" t="s">
        <v>3248</v>
      </c>
    </row>
    <row r="4207" spans="1:9" x14ac:dyDescent="0.25">
      <c r="A4207" t="s">
        <v>13878</v>
      </c>
      <c r="B4207" t="s">
        <v>6194</v>
      </c>
      <c r="C4207" t="s">
        <v>6195</v>
      </c>
      <c r="D4207" t="s">
        <v>3242</v>
      </c>
      <c r="E4207" t="s">
        <v>15710</v>
      </c>
      <c r="F4207" t="s">
        <v>3257</v>
      </c>
      <c r="G4207" t="s">
        <v>13879</v>
      </c>
      <c r="H4207" t="s">
        <v>5785</v>
      </c>
    </row>
    <row r="4208" spans="1:9" x14ac:dyDescent="0.25">
      <c r="A4208" t="s">
        <v>13880</v>
      </c>
      <c r="B4208" t="s">
        <v>6209</v>
      </c>
      <c r="C4208" t="s">
        <v>6210</v>
      </c>
      <c r="D4208" t="s">
        <v>3242</v>
      </c>
      <c r="E4208" t="s">
        <v>15710</v>
      </c>
      <c r="F4208" t="s">
        <v>3257</v>
      </c>
      <c r="G4208" t="s">
        <v>13881</v>
      </c>
      <c r="H4208" t="s">
        <v>3262</v>
      </c>
    </row>
    <row r="4209" spans="1:8" x14ac:dyDescent="0.25">
      <c r="A4209" t="s">
        <v>13882</v>
      </c>
      <c r="B4209" t="s">
        <v>6232</v>
      </c>
      <c r="C4209" t="s">
        <v>6233</v>
      </c>
      <c r="D4209" t="s">
        <v>3242</v>
      </c>
      <c r="E4209" t="s">
        <v>15710</v>
      </c>
      <c r="F4209" t="s">
        <v>3257</v>
      </c>
      <c r="G4209" t="s">
        <v>13883</v>
      </c>
      <c r="H4209" t="s">
        <v>5114</v>
      </c>
    </row>
    <row r="4210" spans="1:8" x14ac:dyDescent="0.25">
      <c r="A4210" t="s">
        <v>13884</v>
      </c>
      <c r="B4210" t="s">
        <v>13885</v>
      </c>
      <c r="C4210" t="s">
        <v>13886</v>
      </c>
      <c r="D4210" t="s">
        <v>3242</v>
      </c>
      <c r="E4210" t="s">
        <v>15710</v>
      </c>
      <c r="F4210" t="s">
        <v>3257</v>
      </c>
      <c r="G4210" t="s">
        <v>17487</v>
      </c>
      <c r="H4210" t="s">
        <v>3417</v>
      </c>
    </row>
    <row r="4211" spans="1:8" x14ac:dyDescent="0.25">
      <c r="A4211" t="s">
        <v>13887</v>
      </c>
      <c r="B4211" t="s">
        <v>13888</v>
      </c>
      <c r="C4211" t="s">
        <v>13889</v>
      </c>
      <c r="D4211" t="s">
        <v>3242</v>
      </c>
      <c r="E4211" t="s">
        <v>15710</v>
      </c>
      <c r="F4211" t="s">
        <v>3257</v>
      </c>
      <c r="G4211" t="s">
        <v>13890</v>
      </c>
      <c r="H4211" t="s">
        <v>13891</v>
      </c>
    </row>
    <row r="4212" spans="1:8" x14ac:dyDescent="0.25">
      <c r="A4212" t="s">
        <v>13892</v>
      </c>
      <c r="B4212" t="s">
        <v>6277</v>
      </c>
      <c r="C4212" t="s">
        <v>6278</v>
      </c>
      <c r="D4212" t="s">
        <v>3242</v>
      </c>
      <c r="E4212" t="s">
        <v>15710</v>
      </c>
      <c r="F4212" t="s">
        <v>3257</v>
      </c>
      <c r="G4212" t="s">
        <v>13893</v>
      </c>
      <c r="H4212" t="s">
        <v>6405</v>
      </c>
    </row>
    <row r="4213" spans="1:8" x14ac:dyDescent="0.25">
      <c r="A4213" t="s">
        <v>13894</v>
      </c>
      <c r="B4213" t="s">
        <v>6280</v>
      </c>
      <c r="C4213" t="s">
        <v>6281</v>
      </c>
      <c r="D4213" t="s">
        <v>3242</v>
      </c>
      <c r="E4213" t="s">
        <v>15710</v>
      </c>
      <c r="F4213" t="s">
        <v>3257</v>
      </c>
      <c r="G4213" t="s">
        <v>13895</v>
      </c>
      <c r="H4213" t="s">
        <v>3248</v>
      </c>
    </row>
    <row r="4214" spans="1:8" x14ac:dyDescent="0.25">
      <c r="A4214" t="s">
        <v>13896</v>
      </c>
      <c r="B4214" t="s">
        <v>13897</v>
      </c>
      <c r="C4214" t="s">
        <v>13898</v>
      </c>
      <c r="D4214" t="s">
        <v>3242</v>
      </c>
      <c r="E4214" t="s">
        <v>15710</v>
      </c>
      <c r="F4214" t="s">
        <v>3257</v>
      </c>
      <c r="G4214" t="s">
        <v>13899</v>
      </c>
      <c r="H4214" t="s">
        <v>5103</v>
      </c>
    </row>
    <row r="4215" spans="1:8" x14ac:dyDescent="0.25">
      <c r="A4215" t="s">
        <v>13900</v>
      </c>
      <c r="B4215" t="s">
        <v>6316</v>
      </c>
      <c r="C4215" t="s">
        <v>6317</v>
      </c>
      <c r="D4215" t="s">
        <v>3242</v>
      </c>
      <c r="E4215" t="s">
        <v>15710</v>
      </c>
      <c r="F4215" t="s">
        <v>3257</v>
      </c>
      <c r="G4215" t="s">
        <v>13901</v>
      </c>
      <c r="H4215" t="s">
        <v>3413</v>
      </c>
    </row>
    <row r="4216" spans="1:8" x14ac:dyDescent="0.25">
      <c r="A4216" t="s">
        <v>13902</v>
      </c>
      <c r="B4216" t="s">
        <v>13903</v>
      </c>
      <c r="C4216" t="s">
        <v>13904</v>
      </c>
      <c r="D4216" t="s">
        <v>3242</v>
      </c>
      <c r="E4216" t="s">
        <v>15710</v>
      </c>
      <c r="F4216" t="s">
        <v>3257</v>
      </c>
      <c r="G4216" t="s">
        <v>13905</v>
      </c>
      <c r="H4216" t="s">
        <v>3248</v>
      </c>
    </row>
    <row r="4217" spans="1:8" x14ac:dyDescent="0.25">
      <c r="A4217" t="s">
        <v>13906</v>
      </c>
      <c r="B4217" t="s">
        <v>6328</v>
      </c>
      <c r="C4217" t="s">
        <v>6329</v>
      </c>
      <c r="D4217" t="s">
        <v>3242</v>
      </c>
      <c r="E4217" t="s">
        <v>15710</v>
      </c>
      <c r="F4217" t="s">
        <v>3257</v>
      </c>
      <c r="G4217" t="s">
        <v>13907</v>
      </c>
      <c r="H4217" t="s">
        <v>5114</v>
      </c>
    </row>
    <row r="4218" spans="1:8" x14ac:dyDescent="0.25">
      <c r="A4218" t="s">
        <v>13908</v>
      </c>
      <c r="B4218" t="s">
        <v>6330</v>
      </c>
      <c r="C4218" t="s">
        <v>6331</v>
      </c>
      <c r="D4218" t="s">
        <v>3242</v>
      </c>
      <c r="E4218" t="s">
        <v>15710</v>
      </c>
      <c r="F4218" t="s">
        <v>3251</v>
      </c>
      <c r="G4218" t="s">
        <v>13909</v>
      </c>
      <c r="H4218" t="s">
        <v>4856</v>
      </c>
    </row>
    <row r="4219" spans="1:8" x14ac:dyDescent="0.25">
      <c r="A4219" t="s">
        <v>13910</v>
      </c>
      <c r="B4219" t="s">
        <v>6337</v>
      </c>
      <c r="C4219" t="s">
        <v>6338</v>
      </c>
      <c r="D4219" t="s">
        <v>3242</v>
      </c>
      <c r="E4219" t="s">
        <v>15710</v>
      </c>
      <c r="F4219" t="s">
        <v>3257</v>
      </c>
      <c r="G4219" t="s">
        <v>13911</v>
      </c>
      <c r="H4219" t="s">
        <v>6405</v>
      </c>
    </row>
    <row r="4220" spans="1:8" x14ac:dyDescent="0.25">
      <c r="A4220" t="s">
        <v>13912</v>
      </c>
      <c r="B4220" t="s">
        <v>13913</v>
      </c>
      <c r="C4220" t="s">
        <v>13914</v>
      </c>
      <c r="D4220" t="s">
        <v>3242</v>
      </c>
      <c r="E4220" t="s">
        <v>15710</v>
      </c>
      <c r="F4220" t="s">
        <v>3257</v>
      </c>
      <c r="G4220" t="s">
        <v>13915</v>
      </c>
      <c r="H4220" t="s">
        <v>3262</v>
      </c>
    </row>
    <row r="4221" spans="1:8" x14ac:dyDescent="0.25">
      <c r="A4221" t="s">
        <v>13916</v>
      </c>
      <c r="B4221" t="s">
        <v>6349</v>
      </c>
      <c r="C4221" t="s">
        <v>13917</v>
      </c>
      <c r="D4221" t="s">
        <v>3242</v>
      </c>
      <c r="E4221" t="s">
        <v>15710</v>
      </c>
      <c r="F4221" t="s">
        <v>3257</v>
      </c>
      <c r="G4221" t="s">
        <v>6351</v>
      </c>
      <c r="H4221" t="s">
        <v>5066</v>
      </c>
    </row>
    <row r="4222" spans="1:8" x14ac:dyDescent="0.25">
      <c r="A4222" t="s">
        <v>13918</v>
      </c>
      <c r="B4222" t="s">
        <v>13919</v>
      </c>
      <c r="C4222" t="s">
        <v>13920</v>
      </c>
      <c r="D4222" t="s">
        <v>3242</v>
      </c>
      <c r="E4222" t="s">
        <v>15710</v>
      </c>
      <c r="F4222" t="s">
        <v>3306</v>
      </c>
      <c r="G4222" t="s">
        <v>13921</v>
      </c>
      <c r="H4222" t="s">
        <v>13922</v>
      </c>
    </row>
    <row r="4223" spans="1:8" x14ac:dyDescent="0.25">
      <c r="A4223" t="s">
        <v>13923</v>
      </c>
      <c r="B4223" t="s">
        <v>13924</v>
      </c>
      <c r="C4223" t="s">
        <v>13925</v>
      </c>
      <c r="D4223" t="s">
        <v>3242</v>
      </c>
      <c r="E4223" t="s">
        <v>15710</v>
      </c>
      <c r="F4223" t="s">
        <v>3257</v>
      </c>
      <c r="G4223" t="s">
        <v>13926</v>
      </c>
      <c r="H4223" t="s">
        <v>3417</v>
      </c>
    </row>
    <row r="4224" spans="1:8" x14ac:dyDescent="0.25">
      <c r="A4224" t="s">
        <v>13927</v>
      </c>
      <c r="B4224" t="s">
        <v>13928</v>
      </c>
      <c r="C4224" t="s">
        <v>13929</v>
      </c>
      <c r="D4224" t="s">
        <v>3242</v>
      </c>
      <c r="E4224" t="s">
        <v>15710</v>
      </c>
      <c r="F4224" t="s">
        <v>3257</v>
      </c>
      <c r="G4224" t="s">
        <v>13930</v>
      </c>
      <c r="H4224" t="s">
        <v>3417</v>
      </c>
    </row>
    <row r="4225" spans="1:8" x14ac:dyDescent="0.25">
      <c r="A4225" t="s">
        <v>13931</v>
      </c>
      <c r="B4225" t="s">
        <v>6381</v>
      </c>
      <c r="C4225" t="s">
        <v>6382</v>
      </c>
      <c r="D4225" t="s">
        <v>3242</v>
      </c>
      <c r="E4225" t="s">
        <v>15710</v>
      </c>
      <c r="F4225" t="s">
        <v>3306</v>
      </c>
      <c r="G4225" t="s">
        <v>6383</v>
      </c>
      <c r="H4225" t="s">
        <v>3262</v>
      </c>
    </row>
    <row r="4226" spans="1:8" x14ac:dyDescent="0.25">
      <c r="A4226" t="s">
        <v>13932</v>
      </c>
      <c r="B4226" t="s">
        <v>6384</v>
      </c>
      <c r="C4226" t="s">
        <v>6385</v>
      </c>
      <c r="D4226" t="s">
        <v>3242</v>
      </c>
      <c r="E4226" t="s">
        <v>15710</v>
      </c>
      <c r="F4226" t="s">
        <v>3257</v>
      </c>
      <c r="G4226" t="s">
        <v>6386</v>
      </c>
      <c r="H4226" t="s">
        <v>5151</v>
      </c>
    </row>
    <row r="4227" spans="1:8" x14ac:dyDescent="0.25">
      <c r="A4227" t="s">
        <v>13933</v>
      </c>
      <c r="B4227" t="s">
        <v>6387</v>
      </c>
      <c r="C4227" t="s">
        <v>6388</v>
      </c>
      <c r="D4227" t="s">
        <v>3242</v>
      </c>
      <c r="E4227" t="s">
        <v>15710</v>
      </c>
      <c r="F4227" t="s">
        <v>3257</v>
      </c>
      <c r="G4227" t="s">
        <v>13934</v>
      </c>
      <c r="H4227" t="s">
        <v>3248</v>
      </c>
    </row>
    <row r="4228" spans="1:8" x14ac:dyDescent="0.25">
      <c r="A4228" t="s">
        <v>13935</v>
      </c>
      <c r="B4228" t="s">
        <v>13936</v>
      </c>
      <c r="C4228" t="s">
        <v>13937</v>
      </c>
      <c r="D4228" t="s">
        <v>3242</v>
      </c>
      <c r="E4228" t="s">
        <v>15710</v>
      </c>
      <c r="F4228" t="s">
        <v>3257</v>
      </c>
      <c r="G4228" t="s">
        <v>13938</v>
      </c>
      <c r="H4228" t="s">
        <v>3647</v>
      </c>
    </row>
    <row r="4229" spans="1:8" x14ac:dyDescent="0.25">
      <c r="A4229" t="s">
        <v>13939</v>
      </c>
      <c r="B4229" t="s">
        <v>13940</v>
      </c>
      <c r="C4229" t="s">
        <v>13941</v>
      </c>
      <c r="D4229" t="s">
        <v>3242</v>
      </c>
      <c r="E4229" t="s">
        <v>15710</v>
      </c>
      <c r="F4229" t="s">
        <v>3257</v>
      </c>
      <c r="G4229" t="s">
        <v>13942</v>
      </c>
      <c r="H4229" t="s">
        <v>3647</v>
      </c>
    </row>
    <row r="4230" spans="1:8" x14ac:dyDescent="0.25">
      <c r="A4230" t="s">
        <v>13943</v>
      </c>
      <c r="B4230" t="s">
        <v>13944</v>
      </c>
      <c r="C4230" t="s">
        <v>13945</v>
      </c>
      <c r="D4230" t="s">
        <v>3242</v>
      </c>
      <c r="E4230" t="s">
        <v>15710</v>
      </c>
      <c r="F4230" t="s">
        <v>3257</v>
      </c>
      <c r="G4230" t="s">
        <v>13946</v>
      </c>
      <c r="H4230" t="s">
        <v>4926</v>
      </c>
    </row>
    <row r="4231" spans="1:8" x14ac:dyDescent="0.25">
      <c r="A4231" t="s">
        <v>13947</v>
      </c>
      <c r="B4231" t="s">
        <v>6562</v>
      </c>
      <c r="C4231" t="s">
        <v>13948</v>
      </c>
      <c r="D4231" t="s">
        <v>3242</v>
      </c>
      <c r="E4231" t="s">
        <v>15710</v>
      </c>
      <c r="F4231" t="s">
        <v>13949</v>
      </c>
      <c r="G4231" t="s">
        <v>13950</v>
      </c>
      <c r="H4231" t="s">
        <v>13951</v>
      </c>
    </row>
    <row r="4232" spans="1:8" x14ac:dyDescent="0.25">
      <c r="A4232" t="s">
        <v>13952</v>
      </c>
      <c r="B4232" t="s">
        <v>6566</v>
      </c>
      <c r="C4232" t="s">
        <v>6567</v>
      </c>
      <c r="D4232" t="s">
        <v>3242</v>
      </c>
      <c r="E4232" t="s">
        <v>15710</v>
      </c>
      <c r="F4232" t="s">
        <v>3257</v>
      </c>
      <c r="G4232" t="s">
        <v>13953</v>
      </c>
      <c r="H4232" t="s">
        <v>3519</v>
      </c>
    </row>
    <row r="4233" spans="1:8" x14ac:dyDescent="0.25">
      <c r="A4233" t="s">
        <v>13954</v>
      </c>
      <c r="B4233" t="s">
        <v>13955</v>
      </c>
      <c r="C4233" t="s">
        <v>13956</v>
      </c>
      <c r="D4233" t="s">
        <v>3242</v>
      </c>
      <c r="E4233" t="s">
        <v>15710</v>
      </c>
      <c r="F4233" t="s">
        <v>3257</v>
      </c>
      <c r="G4233" t="s">
        <v>13957</v>
      </c>
      <c r="H4233" t="s">
        <v>3647</v>
      </c>
    </row>
    <row r="4234" spans="1:8" x14ac:dyDescent="0.25">
      <c r="A4234" t="s">
        <v>13958</v>
      </c>
      <c r="B4234" t="s">
        <v>13959</v>
      </c>
      <c r="C4234" t="s">
        <v>13960</v>
      </c>
      <c r="D4234" t="s">
        <v>3242</v>
      </c>
      <c r="E4234" t="s">
        <v>15710</v>
      </c>
      <c r="F4234" t="s">
        <v>3257</v>
      </c>
      <c r="G4234" t="s">
        <v>13961</v>
      </c>
      <c r="H4234" t="s">
        <v>3248</v>
      </c>
    </row>
    <row r="4235" spans="1:8" x14ac:dyDescent="0.25">
      <c r="A4235" t="s">
        <v>13962</v>
      </c>
      <c r="B4235" t="s">
        <v>13963</v>
      </c>
      <c r="C4235" t="s">
        <v>13964</v>
      </c>
      <c r="D4235" t="s">
        <v>3242</v>
      </c>
      <c r="E4235" t="s">
        <v>15710</v>
      </c>
      <c r="F4235" t="s">
        <v>3257</v>
      </c>
      <c r="G4235" t="s">
        <v>13965</v>
      </c>
      <c r="H4235" t="s">
        <v>3248</v>
      </c>
    </row>
    <row r="4236" spans="1:8" x14ac:dyDescent="0.25">
      <c r="A4236" t="s">
        <v>13966</v>
      </c>
      <c r="B4236" t="s">
        <v>6636</v>
      </c>
      <c r="C4236" t="s">
        <v>6637</v>
      </c>
      <c r="D4236" t="s">
        <v>3242</v>
      </c>
      <c r="E4236" t="s">
        <v>15710</v>
      </c>
      <c r="F4236" t="s">
        <v>3257</v>
      </c>
      <c r="G4236" t="s">
        <v>13967</v>
      </c>
      <c r="H4236" t="s">
        <v>13580</v>
      </c>
    </row>
    <row r="4237" spans="1:8" x14ac:dyDescent="0.25">
      <c r="A4237" t="s">
        <v>13968</v>
      </c>
      <c r="B4237" t="s">
        <v>13969</v>
      </c>
      <c r="C4237" t="s">
        <v>13970</v>
      </c>
      <c r="D4237" t="s">
        <v>3242</v>
      </c>
      <c r="E4237" t="s">
        <v>15710</v>
      </c>
      <c r="F4237" t="s">
        <v>3257</v>
      </c>
      <c r="G4237" t="s">
        <v>13971</v>
      </c>
      <c r="H4237" t="s">
        <v>6362</v>
      </c>
    </row>
    <row r="4238" spans="1:8" x14ac:dyDescent="0.25">
      <c r="A4238" t="s">
        <v>13972</v>
      </c>
      <c r="B4238" t="s">
        <v>13973</v>
      </c>
      <c r="C4238" t="s">
        <v>13974</v>
      </c>
      <c r="D4238" t="s">
        <v>3242</v>
      </c>
      <c r="E4238" t="s">
        <v>15710</v>
      </c>
      <c r="F4238" t="s">
        <v>3257</v>
      </c>
      <c r="G4238" t="s">
        <v>13975</v>
      </c>
      <c r="H4238" t="s">
        <v>5066</v>
      </c>
    </row>
    <row r="4239" spans="1:8" x14ac:dyDescent="0.25">
      <c r="A4239" t="s">
        <v>13976</v>
      </c>
      <c r="B4239" t="s">
        <v>13977</v>
      </c>
      <c r="C4239" t="s">
        <v>13978</v>
      </c>
      <c r="D4239" t="s">
        <v>3242</v>
      </c>
      <c r="E4239" t="s">
        <v>15710</v>
      </c>
      <c r="F4239" t="s">
        <v>3257</v>
      </c>
      <c r="G4239" t="s">
        <v>13979</v>
      </c>
      <c r="H4239" t="s">
        <v>6405</v>
      </c>
    </row>
    <row r="4240" spans="1:8" x14ac:dyDescent="0.25">
      <c r="A4240" t="s">
        <v>13980</v>
      </c>
      <c r="B4240" t="s">
        <v>13981</v>
      </c>
      <c r="C4240" t="s">
        <v>13982</v>
      </c>
      <c r="D4240" t="s">
        <v>3242</v>
      </c>
      <c r="E4240" t="s">
        <v>15710</v>
      </c>
      <c r="F4240" t="s">
        <v>3257</v>
      </c>
      <c r="G4240" t="s">
        <v>13983</v>
      </c>
      <c r="H4240" t="s">
        <v>3614</v>
      </c>
    </row>
    <row r="4241" spans="1:8" x14ac:dyDescent="0.25">
      <c r="A4241" t="s">
        <v>13984</v>
      </c>
      <c r="B4241" t="s">
        <v>13985</v>
      </c>
      <c r="C4241" t="s">
        <v>13986</v>
      </c>
      <c r="D4241" t="s">
        <v>3242</v>
      </c>
      <c r="E4241" t="s">
        <v>15710</v>
      </c>
      <c r="F4241" t="s">
        <v>3747</v>
      </c>
      <c r="G4241" t="s">
        <v>13987</v>
      </c>
      <c r="H4241" t="s">
        <v>7817</v>
      </c>
    </row>
    <row r="4242" spans="1:8" x14ac:dyDescent="0.25">
      <c r="A4242" t="s">
        <v>13988</v>
      </c>
      <c r="B4242" t="s">
        <v>13989</v>
      </c>
      <c r="C4242" t="s">
        <v>13990</v>
      </c>
      <c r="D4242" t="s">
        <v>3242</v>
      </c>
      <c r="E4242" t="s">
        <v>15710</v>
      </c>
      <c r="F4242" t="s">
        <v>3257</v>
      </c>
      <c r="G4242" t="s">
        <v>13991</v>
      </c>
      <c r="H4242" t="s">
        <v>3406</v>
      </c>
    </row>
    <row r="4243" spans="1:8" x14ac:dyDescent="0.25">
      <c r="A4243" t="s">
        <v>13992</v>
      </c>
      <c r="B4243" t="s">
        <v>13993</v>
      </c>
      <c r="C4243" t="s">
        <v>13994</v>
      </c>
      <c r="D4243" t="s">
        <v>3242</v>
      </c>
      <c r="E4243" t="s">
        <v>15710</v>
      </c>
      <c r="F4243" t="s">
        <v>3257</v>
      </c>
      <c r="G4243" t="s">
        <v>13995</v>
      </c>
      <c r="H4243" t="s">
        <v>3417</v>
      </c>
    </row>
    <row r="4244" spans="1:8" x14ac:dyDescent="0.25">
      <c r="A4244" t="s">
        <v>13996</v>
      </c>
      <c r="B4244" t="s">
        <v>13997</v>
      </c>
      <c r="C4244" t="s">
        <v>13998</v>
      </c>
      <c r="D4244" t="s">
        <v>3242</v>
      </c>
      <c r="E4244" t="s">
        <v>15710</v>
      </c>
      <c r="F4244" t="s">
        <v>3257</v>
      </c>
      <c r="G4244" t="s">
        <v>13999</v>
      </c>
      <c r="H4244" t="s">
        <v>3248</v>
      </c>
    </row>
    <row r="4245" spans="1:8" x14ac:dyDescent="0.25">
      <c r="A4245" t="s">
        <v>14000</v>
      </c>
      <c r="B4245" t="s">
        <v>14001</v>
      </c>
      <c r="C4245" t="s">
        <v>14002</v>
      </c>
      <c r="D4245" t="s">
        <v>3242</v>
      </c>
      <c r="E4245" t="s">
        <v>15710</v>
      </c>
      <c r="F4245" t="s">
        <v>3257</v>
      </c>
      <c r="G4245" t="s">
        <v>14003</v>
      </c>
      <c r="H4245" t="s">
        <v>3248</v>
      </c>
    </row>
    <row r="4246" spans="1:8" x14ac:dyDescent="0.25">
      <c r="A4246" t="s">
        <v>14004</v>
      </c>
      <c r="B4246" t="s">
        <v>6925</v>
      </c>
      <c r="C4246" t="s">
        <v>6926</v>
      </c>
      <c r="D4246" t="s">
        <v>3242</v>
      </c>
      <c r="E4246" t="s">
        <v>16091</v>
      </c>
      <c r="F4246" t="s">
        <v>3306</v>
      </c>
      <c r="G4246" t="s">
        <v>6927</v>
      </c>
      <c r="H4246" t="s">
        <v>3519</v>
      </c>
    </row>
    <row r="4247" spans="1:8" x14ac:dyDescent="0.25">
      <c r="A4247" t="s">
        <v>14005</v>
      </c>
      <c r="B4247" t="s">
        <v>14006</v>
      </c>
      <c r="C4247" t="s">
        <v>14007</v>
      </c>
      <c r="D4247" t="s">
        <v>3242</v>
      </c>
      <c r="E4247" t="s">
        <v>15710</v>
      </c>
      <c r="F4247" t="s">
        <v>3257</v>
      </c>
      <c r="G4247" t="s">
        <v>14008</v>
      </c>
      <c r="H4247" t="s">
        <v>3262</v>
      </c>
    </row>
    <row r="4248" spans="1:8" x14ac:dyDescent="0.25">
      <c r="A4248" t="s">
        <v>14009</v>
      </c>
      <c r="B4248" t="s">
        <v>14010</v>
      </c>
      <c r="C4248" t="s">
        <v>14011</v>
      </c>
      <c r="D4248" t="s">
        <v>3242</v>
      </c>
      <c r="E4248" t="s">
        <v>15710</v>
      </c>
      <c r="F4248" t="s">
        <v>3257</v>
      </c>
      <c r="G4248" t="s">
        <v>14012</v>
      </c>
      <c r="H4248" t="s">
        <v>6362</v>
      </c>
    </row>
    <row r="4249" spans="1:8" x14ac:dyDescent="0.25">
      <c r="A4249" t="s">
        <v>14013</v>
      </c>
      <c r="B4249" t="s">
        <v>14014</v>
      </c>
      <c r="C4249" t="s">
        <v>14015</v>
      </c>
      <c r="D4249" t="s">
        <v>3242</v>
      </c>
      <c r="E4249" t="s">
        <v>15710</v>
      </c>
      <c r="F4249" t="s">
        <v>3257</v>
      </c>
      <c r="G4249" t="s">
        <v>14016</v>
      </c>
      <c r="H4249" t="s">
        <v>13848</v>
      </c>
    </row>
    <row r="4250" spans="1:8" x14ac:dyDescent="0.25">
      <c r="A4250" t="s">
        <v>14017</v>
      </c>
      <c r="B4250" t="s">
        <v>14018</v>
      </c>
      <c r="C4250" t="s">
        <v>14019</v>
      </c>
      <c r="D4250" t="s">
        <v>3242</v>
      </c>
      <c r="E4250" t="s">
        <v>15710</v>
      </c>
      <c r="F4250" t="s">
        <v>3257</v>
      </c>
      <c r="G4250" t="s">
        <v>14020</v>
      </c>
      <c r="H4250" t="s">
        <v>3647</v>
      </c>
    </row>
    <row r="4251" spans="1:8" x14ac:dyDescent="0.25">
      <c r="A4251" t="s">
        <v>14021</v>
      </c>
      <c r="B4251" t="s">
        <v>14022</v>
      </c>
      <c r="C4251" t="s">
        <v>14023</v>
      </c>
      <c r="D4251" t="s">
        <v>3242</v>
      </c>
      <c r="E4251" t="s">
        <v>15710</v>
      </c>
      <c r="F4251" t="s">
        <v>3257</v>
      </c>
      <c r="G4251" t="s">
        <v>14024</v>
      </c>
      <c r="H4251" t="s">
        <v>6405</v>
      </c>
    </row>
    <row r="4252" spans="1:8" x14ac:dyDescent="0.25">
      <c r="A4252" t="s">
        <v>14025</v>
      </c>
      <c r="B4252" t="s">
        <v>14026</v>
      </c>
      <c r="C4252" t="s">
        <v>14027</v>
      </c>
      <c r="D4252" t="s">
        <v>3242</v>
      </c>
      <c r="E4252" t="s">
        <v>15710</v>
      </c>
      <c r="F4252" t="s">
        <v>3257</v>
      </c>
      <c r="G4252" t="s">
        <v>14028</v>
      </c>
      <c r="H4252" t="s">
        <v>3647</v>
      </c>
    </row>
    <row r="4253" spans="1:8" x14ac:dyDescent="0.25">
      <c r="A4253" t="s">
        <v>14029</v>
      </c>
      <c r="B4253" t="s">
        <v>7075</v>
      </c>
      <c r="C4253" t="s">
        <v>7076</v>
      </c>
      <c r="D4253" t="s">
        <v>3242</v>
      </c>
      <c r="E4253" t="s">
        <v>15710</v>
      </c>
      <c r="F4253" t="s">
        <v>3257</v>
      </c>
      <c r="G4253" t="s">
        <v>14030</v>
      </c>
      <c r="H4253" t="s">
        <v>4856</v>
      </c>
    </row>
    <row r="4254" spans="1:8" x14ac:dyDescent="0.25">
      <c r="A4254" t="s">
        <v>14031</v>
      </c>
      <c r="B4254" t="s">
        <v>14032</v>
      </c>
      <c r="C4254" t="s">
        <v>14033</v>
      </c>
      <c r="D4254" t="s">
        <v>3242</v>
      </c>
      <c r="E4254" t="s">
        <v>15710</v>
      </c>
      <c r="F4254" t="s">
        <v>3257</v>
      </c>
      <c r="G4254" t="s">
        <v>14034</v>
      </c>
      <c r="H4254" t="s">
        <v>3417</v>
      </c>
    </row>
    <row r="4255" spans="1:8" x14ac:dyDescent="0.25">
      <c r="A4255" t="s">
        <v>14035</v>
      </c>
      <c r="B4255" t="s">
        <v>14036</v>
      </c>
      <c r="C4255" t="s">
        <v>14037</v>
      </c>
      <c r="D4255" t="s">
        <v>3242</v>
      </c>
      <c r="E4255" t="s">
        <v>15710</v>
      </c>
      <c r="F4255" t="s">
        <v>3257</v>
      </c>
      <c r="G4255" t="s">
        <v>14038</v>
      </c>
      <c r="H4255" t="s">
        <v>6405</v>
      </c>
    </row>
    <row r="4256" spans="1:8" x14ac:dyDescent="0.25">
      <c r="A4256" t="s">
        <v>14039</v>
      </c>
      <c r="B4256" t="s">
        <v>14040</v>
      </c>
      <c r="C4256" t="s">
        <v>14041</v>
      </c>
      <c r="D4256" t="s">
        <v>3242</v>
      </c>
      <c r="E4256" t="s">
        <v>15710</v>
      </c>
      <c r="F4256" t="s">
        <v>3257</v>
      </c>
      <c r="G4256" t="s">
        <v>14042</v>
      </c>
      <c r="H4256" t="s">
        <v>3455</v>
      </c>
    </row>
    <row r="4257" spans="1:9" x14ac:dyDescent="0.25">
      <c r="A4257" t="s">
        <v>14043</v>
      </c>
      <c r="B4257" t="s">
        <v>7197</v>
      </c>
      <c r="C4257" t="s">
        <v>7198</v>
      </c>
      <c r="D4257" t="s">
        <v>3242</v>
      </c>
      <c r="E4257" t="s">
        <v>15710</v>
      </c>
      <c r="F4257" t="s">
        <v>3257</v>
      </c>
      <c r="G4257" t="s">
        <v>14044</v>
      </c>
      <c r="H4257" t="s">
        <v>5114</v>
      </c>
    </row>
    <row r="4258" spans="1:9" x14ac:dyDescent="0.25">
      <c r="A4258" t="s">
        <v>14045</v>
      </c>
      <c r="B4258" t="s">
        <v>7206</v>
      </c>
      <c r="C4258" t="s">
        <v>7207</v>
      </c>
      <c r="D4258" t="s">
        <v>3242</v>
      </c>
      <c r="E4258" t="s">
        <v>15710</v>
      </c>
      <c r="F4258" t="s">
        <v>3257</v>
      </c>
      <c r="G4258" t="s">
        <v>7208</v>
      </c>
      <c r="H4258" t="s">
        <v>3262</v>
      </c>
    </row>
    <row r="4259" spans="1:9" x14ac:dyDescent="0.25">
      <c r="A4259" t="s">
        <v>14046</v>
      </c>
      <c r="B4259" t="s">
        <v>7215</v>
      </c>
      <c r="C4259" t="s">
        <v>7216</v>
      </c>
      <c r="D4259" t="s">
        <v>3242</v>
      </c>
      <c r="E4259" t="s">
        <v>15710</v>
      </c>
      <c r="F4259" t="s">
        <v>3257</v>
      </c>
      <c r="G4259" t="s">
        <v>14047</v>
      </c>
      <c r="H4259" t="s">
        <v>5160</v>
      </c>
    </row>
    <row r="4260" spans="1:9" x14ac:dyDescent="0.25">
      <c r="A4260" t="s">
        <v>14048</v>
      </c>
      <c r="B4260" t="s">
        <v>7221</v>
      </c>
      <c r="C4260" t="s">
        <v>7222</v>
      </c>
      <c r="D4260" t="s">
        <v>3242</v>
      </c>
      <c r="E4260" t="s">
        <v>16006</v>
      </c>
      <c r="F4260" t="s">
        <v>3257</v>
      </c>
      <c r="G4260" t="s">
        <v>14049</v>
      </c>
      <c r="H4260" t="s">
        <v>3262</v>
      </c>
    </row>
    <row r="4261" spans="1:9" x14ac:dyDescent="0.25">
      <c r="A4261" t="s">
        <v>14050</v>
      </c>
      <c r="B4261" t="s">
        <v>14051</v>
      </c>
      <c r="C4261" t="s">
        <v>14052</v>
      </c>
      <c r="D4261" t="s">
        <v>3242</v>
      </c>
      <c r="E4261" t="s">
        <v>15710</v>
      </c>
      <c r="F4261" t="s">
        <v>3257</v>
      </c>
      <c r="G4261" t="s">
        <v>14053</v>
      </c>
      <c r="H4261" t="s">
        <v>3647</v>
      </c>
    </row>
    <row r="4262" spans="1:9" x14ac:dyDescent="0.25">
      <c r="A4262" t="s">
        <v>14054</v>
      </c>
      <c r="B4262" t="s">
        <v>7250</v>
      </c>
      <c r="C4262" t="s">
        <v>7251</v>
      </c>
      <c r="D4262" t="s">
        <v>3242</v>
      </c>
      <c r="E4262" t="s">
        <v>15710</v>
      </c>
      <c r="F4262" t="s">
        <v>3306</v>
      </c>
      <c r="G4262" t="s">
        <v>7252</v>
      </c>
      <c r="H4262" t="s">
        <v>3262</v>
      </c>
    </row>
    <row r="4263" spans="1:9" x14ac:dyDescent="0.25">
      <c r="A4263" t="s">
        <v>14055</v>
      </c>
      <c r="B4263" t="s">
        <v>7301</v>
      </c>
      <c r="C4263" t="s">
        <v>7302</v>
      </c>
      <c r="D4263" t="s">
        <v>3242</v>
      </c>
      <c r="E4263" t="s">
        <v>15710</v>
      </c>
      <c r="F4263" t="s">
        <v>3257</v>
      </c>
      <c r="G4263" t="s">
        <v>7303</v>
      </c>
      <c r="H4263" t="s">
        <v>6405</v>
      </c>
    </row>
    <row r="4264" spans="1:9" x14ac:dyDescent="0.25">
      <c r="A4264" t="s">
        <v>14056</v>
      </c>
      <c r="B4264" t="s">
        <v>7310</v>
      </c>
      <c r="C4264" t="s">
        <v>7311</v>
      </c>
      <c r="D4264" t="s">
        <v>3242</v>
      </c>
      <c r="E4264" t="s">
        <v>15710</v>
      </c>
      <c r="F4264" t="s">
        <v>3257</v>
      </c>
      <c r="G4264" t="s">
        <v>14057</v>
      </c>
      <c r="H4264" t="s">
        <v>5114</v>
      </c>
    </row>
    <row r="4265" spans="1:9" x14ac:dyDescent="0.25">
      <c r="A4265" t="s">
        <v>14058</v>
      </c>
      <c r="B4265" t="s">
        <v>7316</v>
      </c>
      <c r="C4265" t="s">
        <v>7317</v>
      </c>
      <c r="D4265" t="s">
        <v>3242</v>
      </c>
      <c r="E4265" t="s">
        <v>15710</v>
      </c>
      <c r="F4265" t="s">
        <v>3372</v>
      </c>
      <c r="G4265" t="s">
        <v>7318</v>
      </c>
      <c r="H4265" t="s">
        <v>3484</v>
      </c>
      <c r="I4265" t="s">
        <v>3375</v>
      </c>
    </row>
    <row r="4266" spans="1:9" x14ac:dyDescent="0.25">
      <c r="A4266" t="s">
        <v>14059</v>
      </c>
      <c r="B4266" t="s">
        <v>14060</v>
      </c>
      <c r="C4266" t="s">
        <v>14061</v>
      </c>
      <c r="D4266" t="s">
        <v>3242</v>
      </c>
      <c r="E4266" t="s">
        <v>15710</v>
      </c>
      <c r="F4266" t="s">
        <v>3257</v>
      </c>
      <c r="G4266" t="s">
        <v>14062</v>
      </c>
      <c r="H4266" t="s">
        <v>14063</v>
      </c>
    </row>
    <row r="4267" spans="1:9" x14ac:dyDescent="0.25">
      <c r="A4267" t="s">
        <v>14064</v>
      </c>
      <c r="B4267" t="s">
        <v>14065</v>
      </c>
      <c r="C4267" t="s">
        <v>14066</v>
      </c>
      <c r="D4267" t="s">
        <v>3242</v>
      </c>
      <c r="E4267" t="s">
        <v>15710</v>
      </c>
      <c r="F4267" t="s">
        <v>3257</v>
      </c>
      <c r="G4267" t="s">
        <v>14067</v>
      </c>
      <c r="H4267" t="s">
        <v>5151</v>
      </c>
    </row>
    <row r="4268" spans="1:9" x14ac:dyDescent="0.25">
      <c r="A4268" t="s">
        <v>14068</v>
      </c>
      <c r="B4268" t="s">
        <v>7358</v>
      </c>
      <c r="C4268" t="s">
        <v>7359</v>
      </c>
      <c r="D4268" t="s">
        <v>3242</v>
      </c>
      <c r="E4268" t="s">
        <v>15710</v>
      </c>
      <c r="F4268" t="s">
        <v>3257</v>
      </c>
      <c r="G4268" t="s">
        <v>7360</v>
      </c>
      <c r="H4268" t="s">
        <v>5062</v>
      </c>
    </row>
    <row r="4269" spans="1:9" x14ac:dyDescent="0.25">
      <c r="A4269" t="s">
        <v>14069</v>
      </c>
      <c r="B4269" t="s">
        <v>7387</v>
      </c>
      <c r="C4269" t="s">
        <v>7388</v>
      </c>
      <c r="D4269" t="s">
        <v>3242</v>
      </c>
      <c r="E4269" t="s">
        <v>15710</v>
      </c>
      <c r="F4269" t="s">
        <v>3306</v>
      </c>
      <c r="G4269" t="s">
        <v>14070</v>
      </c>
      <c r="H4269" t="s">
        <v>3614</v>
      </c>
    </row>
    <row r="4270" spans="1:9" x14ac:dyDescent="0.25">
      <c r="A4270" t="s">
        <v>14071</v>
      </c>
      <c r="B4270" t="s">
        <v>14072</v>
      </c>
      <c r="C4270" t="s">
        <v>14073</v>
      </c>
      <c r="D4270" t="s">
        <v>3242</v>
      </c>
      <c r="E4270" t="s">
        <v>15710</v>
      </c>
      <c r="F4270" t="s">
        <v>3372</v>
      </c>
      <c r="G4270" t="s">
        <v>12695</v>
      </c>
      <c r="H4270" t="s">
        <v>6405</v>
      </c>
    </row>
    <row r="4271" spans="1:9" x14ac:dyDescent="0.25">
      <c r="A4271" t="s">
        <v>14074</v>
      </c>
      <c r="B4271" t="s">
        <v>7415</v>
      </c>
      <c r="C4271" t="s">
        <v>7416</v>
      </c>
      <c r="D4271" t="s">
        <v>3242</v>
      </c>
      <c r="E4271" t="s">
        <v>15710</v>
      </c>
      <c r="F4271" t="s">
        <v>3257</v>
      </c>
      <c r="G4271" t="s">
        <v>7417</v>
      </c>
      <c r="H4271" t="s">
        <v>6405</v>
      </c>
    </row>
    <row r="4272" spans="1:9" x14ac:dyDescent="0.25">
      <c r="A4272" t="s">
        <v>14075</v>
      </c>
      <c r="B4272" t="s">
        <v>14076</v>
      </c>
      <c r="C4272" t="s">
        <v>14077</v>
      </c>
      <c r="D4272" t="s">
        <v>3242</v>
      </c>
      <c r="E4272" t="s">
        <v>15710</v>
      </c>
      <c r="F4272" t="s">
        <v>3257</v>
      </c>
      <c r="G4272" t="s">
        <v>14078</v>
      </c>
      <c r="H4272" t="s">
        <v>3413</v>
      </c>
    </row>
    <row r="4273" spans="1:8" x14ac:dyDescent="0.25">
      <c r="A4273" t="s">
        <v>14079</v>
      </c>
      <c r="B4273" t="s">
        <v>14080</v>
      </c>
      <c r="C4273" t="s">
        <v>14081</v>
      </c>
      <c r="D4273" t="s">
        <v>3242</v>
      </c>
      <c r="E4273" t="s">
        <v>15710</v>
      </c>
      <c r="F4273" t="s">
        <v>3257</v>
      </c>
      <c r="G4273" t="s">
        <v>14082</v>
      </c>
      <c r="H4273" t="s">
        <v>3248</v>
      </c>
    </row>
    <row r="4274" spans="1:8" x14ac:dyDescent="0.25">
      <c r="A4274" t="s">
        <v>14083</v>
      </c>
      <c r="B4274" t="s">
        <v>14084</v>
      </c>
      <c r="C4274" t="s">
        <v>14085</v>
      </c>
      <c r="D4274" t="s">
        <v>3242</v>
      </c>
      <c r="E4274" t="s">
        <v>15710</v>
      </c>
      <c r="F4274" t="s">
        <v>3372</v>
      </c>
      <c r="G4274" t="s">
        <v>14086</v>
      </c>
      <c r="H4274" t="s">
        <v>6524</v>
      </c>
    </row>
    <row r="4275" spans="1:8" x14ac:dyDescent="0.25">
      <c r="A4275" t="s">
        <v>14087</v>
      </c>
      <c r="B4275" t="s">
        <v>7467</v>
      </c>
      <c r="C4275" t="s">
        <v>7468</v>
      </c>
      <c r="D4275" t="s">
        <v>3242</v>
      </c>
      <c r="E4275" t="s">
        <v>15710</v>
      </c>
      <c r="F4275" t="s">
        <v>3257</v>
      </c>
      <c r="G4275" t="s">
        <v>7469</v>
      </c>
      <c r="H4275" t="s">
        <v>3248</v>
      </c>
    </row>
    <row r="4276" spans="1:8" x14ac:dyDescent="0.25">
      <c r="A4276" t="s">
        <v>14088</v>
      </c>
      <c r="B4276" t="s">
        <v>7470</v>
      </c>
      <c r="C4276" t="s">
        <v>7471</v>
      </c>
      <c r="D4276" t="s">
        <v>3242</v>
      </c>
      <c r="E4276" t="s">
        <v>15710</v>
      </c>
      <c r="F4276" t="s">
        <v>3257</v>
      </c>
      <c r="G4276" t="s">
        <v>7472</v>
      </c>
      <c r="H4276" t="s">
        <v>3248</v>
      </c>
    </row>
    <row r="4277" spans="1:8" x14ac:dyDescent="0.25">
      <c r="A4277" t="s">
        <v>14089</v>
      </c>
      <c r="B4277" t="s">
        <v>14090</v>
      </c>
      <c r="C4277" t="s">
        <v>14091</v>
      </c>
      <c r="D4277" t="s">
        <v>3242</v>
      </c>
      <c r="E4277" t="s">
        <v>15710</v>
      </c>
      <c r="F4277" t="s">
        <v>3257</v>
      </c>
      <c r="G4277" t="s">
        <v>14092</v>
      </c>
      <c r="H4277" t="s">
        <v>3417</v>
      </c>
    </row>
    <row r="4278" spans="1:8" x14ac:dyDescent="0.25">
      <c r="A4278" t="s">
        <v>14093</v>
      </c>
      <c r="B4278" t="s">
        <v>14094</v>
      </c>
      <c r="C4278" t="s">
        <v>14095</v>
      </c>
      <c r="D4278" t="s">
        <v>3242</v>
      </c>
      <c r="E4278" t="s">
        <v>15710</v>
      </c>
      <c r="F4278" t="s">
        <v>3257</v>
      </c>
      <c r="G4278" t="s">
        <v>14096</v>
      </c>
      <c r="H4278" t="s">
        <v>5151</v>
      </c>
    </row>
    <row r="4279" spans="1:8" x14ac:dyDescent="0.25">
      <c r="A4279" t="s">
        <v>14097</v>
      </c>
      <c r="B4279" t="s">
        <v>7510</v>
      </c>
      <c r="C4279" t="s">
        <v>7511</v>
      </c>
      <c r="D4279" t="s">
        <v>3242</v>
      </c>
      <c r="E4279" t="s">
        <v>15710</v>
      </c>
      <c r="F4279" t="s">
        <v>3257</v>
      </c>
      <c r="G4279" t="s">
        <v>14098</v>
      </c>
      <c r="H4279" t="s">
        <v>3248</v>
      </c>
    </row>
    <row r="4280" spans="1:8" x14ac:dyDescent="0.25">
      <c r="A4280" t="s">
        <v>14099</v>
      </c>
      <c r="B4280" t="s">
        <v>14100</v>
      </c>
      <c r="C4280" t="s">
        <v>14101</v>
      </c>
      <c r="D4280" t="s">
        <v>3242</v>
      </c>
      <c r="E4280" t="s">
        <v>15710</v>
      </c>
      <c r="F4280" t="s">
        <v>3257</v>
      </c>
      <c r="G4280" t="s">
        <v>14102</v>
      </c>
      <c r="H4280" t="s">
        <v>3417</v>
      </c>
    </row>
    <row r="4281" spans="1:8" x14ac:dyDescent="0.25">
      <c r="A4281" t="s">
        <v>14103</v>
      </c>
      <c r="B4281" t="s">
        <v>14104</v>
      </c>
      <c r="C4281" t="s">
        <v>14105</v>
      </c>
      <c r="D4281" t="s">
        <v>3242</v>
      </c>
      <c r="E4281" t="s">
        <v>15710</v>
      </c>
      <c r="F4281" t="s">
        <v>3257</v>
      </c>
      <c r="G4281" t="s">
        <v>14106</v>
      </c>
      <c r="H4281" t="s">
        <v>6524</v>
      </c>
    </row>
    <row r="4282" spans="1:8" x14ac:dyDescent="0.25">
      <c r="A4282" t="s">
        <v>14107</v>
      </c>
      <c r="B4282" t="s">
        <v>7568</v>
      </c>
      <c r="C4282" t="s">
        <v>7569</v>
      </c>
      <c r="D4282" t="s">
        <v>3242</v>
      </c>
      <c r="E4282" t="s">
        <v>15710</v>
      </c>
      <c r="F4282" t="s">
        <v>3257</v>
      </c>
      <c r="G4282" t="s">
        <v>14108</v>
      </c>
      <c r="H4282" t="s">
        <v>3417</v>
      </c>
    </row>
    <row r="4283" spans="1:8" x14ac:dyDescent="0.25">
      <c r="A4283" t="s">
        <v>14109</v>
      </c>
      <c r="B4283" t="s">
        <v>14110</v>
      </c>
      <c r="C4283" t="s">
        <v>14111</v>
      </c>
      <c r="D4283" t="s">
        <v>3242</v>
      </c>
      <c r="E4283" t="s">
        <v>15710</v>
      </c>
      <c r="F4283" t="s">
        <v>3257</v>
      </c>
      <c r="G4283" t="s">
        <v>14112</v>
      </c>
      <c r="H4283" t="s">
        <v>3417</v>
      </c>
    </row>
    <row r="4284" spans="1:8" x14ac:dyDescent="0.25">
      <c r="A4284" t="s">
        <v>14113</v>
      </c>
      <c r="B4284" t="s">
        <v>7617</v>
      </c>
      <c r="C4284" t="s">
        <v>7618</v>
      </c>
      <c r="D4284" t="s">
        <v>3242</v>
      </c>
      <c r="E4284" t="s">
        <v>15710</v>
      </c>
      <c r="F4284" t="s">
        <v>3257</v>
      </c>
      <c r="G4284" t="s">
        <v>7619</v>
      </c>
      <c r="H4284" t="s">
        <v>3647</v>
      </c>
    </row>
    <row r="4285" spans="1:8" x14ac:dyDescent="0.25">
      <c r="A4285" t="s">
        <v>14114</v>
      </c>
      <c r="B4285" t="s">
        <v>14115</v>
      </c>
      <c r="C4285" t="s">
        <v>14116</v>
      </c>
      <c r="D4285" t="s">
        <v>3242</v>
      </c>
      <c r="E4285" t="s">
        <v>15710</v>
      </c>
      <c r="F4285" t="s">
        <v>3747</v>
      </c>
      <c r="G4285" t="s">
        <v>14117</v>
      </c>
      <c r="H4285" t="s">
        <v>9291</v>
      </c>
    </row>
    <row r="4286" spans="1:8" x14ac:dyDescent="0.25">
      <c r="A4286" t="s">
        <v>14118</v>
      </c>
      <c r="B4286" t="s">
        <v>7686</v>
      </c>
      <c r="C4286" t="s">
        <v>7687</v>
      </c>
      <c r="D4286" t="s">
        <v>3242</v>
      </c>
      <c r="E4286" t="s">
        <v>15710</v>
      </c>
      <c r="F4286" t="s">
        <v>3257</v>
      </c>
      <c r="G4286" t="s">
        <v>14119</v>
      </c>
      <c r="H4286" t="s">
        <v>3647</v>
      </c>
    </row>
    <row r="4287" spans="1:8" x14ac:dyDescent="0.25">
      <c r="A4287" t="s">
        <v>14120</v>
      </c>
      <c r="B4287" t="s">
        <v>7707</v>
      </c>
      <c r="C4287" t="s">
        <v>7708</v>
      </c>
      <c r="D4287" t="s">
        <v>3242</v>
      </c>
      <c r="E4287" t="s">
        <v>15710</v>
      </c>
      <c r="F4287" t="s">
        <v>3257</v>
      </c>
      <c r="G4287" t="s">
        <v>7709</v>
      </c>
      <c r="H4287" t="s">
        <v>5066</v>
      </c>
    </row>
    <row r="4288" spans="1:8" x14ac:dyDescent="0.25">
      <c r="A4288" t="s">
        <v>14121</v>
      </c>
      <c r="B4288" t="s">
        <v>14122</v>
      </c>
      <c r="C4288" t="s">
        <v>14123</v>
      </c>
      <c r="D4288" t="s">
        <v>3242</v>
      </c>
      <c r="E4288" t="s">
        <v>15710</v>
      </c>
      <c r="F4288" t="s">
        <v>3306</v>
      </c>
      <c r="G4288" t="s">
        <v>14124</v>
      </c>
      <c r="H4288" t="s">
        <v>3417</v>
      </c>
    </row>
    <row r="4289" spans="1:8" x14ac:dyDescent="0.25">
      <c r="A4289" t="s">
        <v>14125</v>
      </c>
      <c r="B4289" t="s">
        <v>14126</v>
      </c>
      <c r="C4289" t="s">
        <v>14127</v>
      </c>
      <c r="D4289" t="s">
        <v>3242</v>
      </c>
      <c r="E4289" t="s">
        <v>15710</v>
      </c>
      <c r="F4289" t="s">
        <v>3257</v>
      </c>
      <c r="G4289" t="s">
        <v>14128</v>
      </c>
      <c r="H4289" t="s">
        <v>3253</v>
      </c>
    </row>
    <row r="4290" spans="1:8" x14ac:dyDescent="0.25">
      <c r="A4290" t="s">
        <v>14129</v>
      </c>
      <c r="B4290" t="s">
        <v>7814</v>
      </c>
      <c r="C4290" t="s">
        <v>7815</v>
      </c>
      <c r="D4290" t="s">
        <v>3242</v>
      </c>
      <c r="E4290" t="s">
        <v>15710</v>
      </c>
      <c r="F4290" t="s">
        <v>3257</v>
      </c>
      <c r="G4290" t="s">
        <v>7816</v>
      </c>
      <c r="H4290" t="s">
        <v>7817</v>
      </c>
    </row>
    <row r="4291" spans="1:8" x14ac:dyDescent="0.25">
      <c r="A4291" t="s">
        <v>14130</v>
      </c>
      <c r="B4291" t="s">
        <v>14131</v>
      </c>
      <c r="C4291" t="s">
        <v>14132</v>
      </c>
      <c r="D4291" t="s">
        <v>3242</v>
      </c>
      <c r="E4291" t="s">
        <v>15710</v>
      </c>
      <c r="F4291" t="s">
        <v>3257</v>
      </c>
      <c r="G4291" t="s">
        <v>14133</v>
      </c>
      <c r="H4291" t="s">
        <v>3262</v>
      </c>
    </row>
    <row r="4292" spans="1:8" x14ac:dyDescent="0.25">
      <c r="A4292" t="s">
        <v>14134</v>
      </c>
      <c r="B4292" t="s">
        <v>10351</v>
      </c>
      <c r="C4292" t="s">
        <v>14135</v>
      </c>
      <c r="D4292" t="s">
        <v>3242</v>
      </c>
      <c r="E4292" t="s">
        <v>15710</v>
      </c>
      <c r="F4292" t="s">
        <v>3257</v>
      </c>
      <c r="G4292" t="s">
        <v>10353</v>
      </c>
      <c r="H4292" t="s">
        <v>3262</v>
      </c>
    </row>
    <row r="4293" spans="1:8" x14ac:dyDescent="0.25">
      <c r="A4293" t="s">
        <v>14136</v>
      </c>
      <c r="B4293" t="s">
        <v>14137</v>
      </c>
      <c r="C4293" t="s">
        <v>14138</v>
      </c>
      <c r="D4293" t="s">
        <v>3242</v>
      </c>
      <c r="E4293" t="s">
        <v>15710</v>
      </c>
      <c r="F4293" t="s">
        <v>3257</v>
      </c>
      <c r="G4293" t="s">
        <v>14139</v>
      </c>
      <c r="H4293" t="s">
        <v>3262</v>
      </c>
    </row>
    <row r="4294" spans="1:8" x14ac:dyDescent="0.25">
      <c r="A4294" t="s">
        <v>14140</v>
      </c>
      <c r="B4294" t="s">
        <v>10484</v>
      </c>
      <c r="C4294" t="s">
        <v>14141</v>
      </c>
      <c r="D4294" t="s">
        <v>3242</v>
      </c>
      <c r="E4294" t="s">
        <v>15710</v>
      </c>
      <c r="F4294" t="s">
        <v>3257</v>
      </c>
      <c r="G4294" t="s">
        <v>14142</v>
      </c>
      <c r="H4294" t="s">
        <v>13580</v>
      </c>
    </row>
    <row r="4295" spans="1:8" x14ac:dyDescent="0.25">
      <c r="A4295" t="s">
        <v>14143</v>
      </c>
      <c r="B4295" t="s">
        <v>14144</v>
      </c>
      <c r="C4295" t="s">
        <v>14145</v>
      </c>
      <c r="D4295" t="s">
        <v>3242</v>
      </c>
      <c r="E4295" t="s">
        <v>15710</v>
      </c>
      <c r="F4295" t="s">
        <v>3257</v>
      </c>
      <c r="G4295" t="s">
        <v>14146</v>
      </c>
      <c r="H4295" t="s">
        <v>3647</v>
      </c>
    </row>
    <row r="4296" spans="1:8" x14ac:dyDescent="0.25">
      <c r="A4296" t="s">
        <v>14147</v>
      </c>
      <c r="B4296" t="s">
        <v>10764</v>
      </c>
      <c r="C4296" t="s">
        <v>14148</v>
      </c>
      <c r="D4296" t="s">
        <v>3242</v>
      </c>
      <c r="E4296" t="s">
        <v>15710</v>
      </c>
      <c r="F4296" t="s">
        <v>3257</v>
      </c>
      <c r="G4296" t="s">
        <v>14149</v>
      </c>
      <c r="H4296" t="s">
        <v>3565</v>
      </c>
    </row>
    <row r="4297" spans="1:8" x14ac:dyDescent="0.25">
      <c r="A4297" t="s">
        <v>14150</v>
      </c>
      <c r="B4297" t="s">
        <v>14151</v>
      </c>
      <c r="C4297" t="s">
        <v>14152</v>
      </c>
      <c r="D4297" t="s">
        <v>3242</v>
      </c>
      <c r="E4297" t="s">
        <v>15710</v>
      </c>
      <c r="F4297" t="s">
        <v>3257</v>
      </c>
      <c r="G4297" t="s">
        <v>14153</v>
      </c>
      <c r="H4297" t="s">
        <v>3484</v>
      </c>
    </row>
    <row r="4298" spans="1:8" x14ac:dyDescent="0.25">
      <c r="A4298" t="s">
        <v>14154</v>
      </c>
      <c r="B4298" t="s">
        <v>14155</v>
      </c>
      <c r="C4298" t="s">
        <v>14156</v>
      </c>
      <c r="D4298" t="s">
        <v>3242</v>
      </c>
      <c r="E4298" t="s">
        <v>15710</v>
      </c>
      <c r="F4298" t="s">
        <v>3257</v>
      </c>
      <c r="G4298" t="s">
        <v>14157</v>
      </c>
      <c r="H4298" t="s">
        <v>3553</v>
      </c>
    </row>
    <row r="4299" spans="1:8" x14ac:dyDescent="0.25">
      <c r="A4299" t="s">
        <v>14158</v>
      </c>
      <c r="B4299" t="s">
        <v>14159</v>
      </c>
      <c r="C4299" t="s">
        <v>14160</v>
      </c>
      <c r="D4299" t="s">
        <v>3242</v>
      </c>
      <c r="E4299" t="s">
        <v>15710</v>
      </c>
      <c r="F4299" t="s">
        <v>3257</v>
      </c>
      <c r="G4299" t="s">
        <v>14161</v>
      </c>
      <c r="H4299" t="s">
        <v>3248</v>
      </c>
    </row>
    <row r="4300" spans="1:8" x14ac:dyDescent="0.25">
      <c r="A4300" t="s">
        <v>14162</v>
      </c>
      <c r="B4300" t="s">
        <v>14163</v>
      </c>
      <c r="C4300" t="s">
        <v>14164</v>
      </c>
      <c r="D4300" t="s">
        <v>3242</v>
      </c>
      <c r="E4300" t="s">
        <v>15710</v>
      </c>
      <c r="F4300" t="s">
        <v>3306</v>
      </c>
      <c r="G4300" t="s">
        <v>14165</v>
      </c>
      <c r="H4300" t="s">
        <v>3553</v>
      </c>
    </row>
    <row r="4301" spans="1:8" x14ac:dyDescent="0.25">
      <c r="A4301" t="s">
        <v>14166</v>
      </c>
      <c r="B4301" t="s">
        <v>14167</v>
      </c>
      <c r="C4301" t="s">
        <v>14168</v>
      </c>
      <c r="D4301" t="s">
        <v>3242</v>
      </c>
      <c r="E4301" t="s">
        <v>15710</v>
      </c>
      <c r="F4301" t="s">
        <v>3257</v>
      </c>
      <c r="G4301" t="s">
        <v>14169</v>
      </c>
      <c r="H4301" t="s">
        <v>6362</v>
      </c>
    </row>
    <row r="4302" spans="1:8" x14ac:dyDescent="0.25">
      <c r="A4302" t="s">
        <v>14170</v>
      </c>
      <c r="B4302" t="s">
        <v>14171</v>
      </c>
      <c r="C4302" t="s">
        <v>14172</v>
      </c>
      <c r="D4302" t="s">
        <v>3242</v>
      </c>
      <c r="E4302" t="s">
        <v>15710</v>
      </c>
      <c r="F4302" t="s">
        <v>3306</v>
      </c>
      <c r="G4302" t="s">
        <v>14173</v>
      </c>
      <c r="H4302" t="s">
        <v>4926</v>
      </c>
    </row>
    <row r="4303" spans="1:8" x14ac:dyDescent="0.25">
      <c r="A4303" t="s">
        <v>14174</v>
      </c>
      <c r="B4303" t="s">
        <v>14175</v>
      </c>
      <c r="C4303" t="s">
        <v>14176</v>
      </c>
      <c r="D4303" t="s">
        <v>3242</v>
      </c>
      <c r="E4303" t="s">
        <v>15710</v>
      </c>
      <c r="F4303" t="s">
        <v>3306</v>
      </c>
      <c r="G4303" t="s">
        <v>14177</v>
      </c>
      <c r="H4303" t="s">
        <v>14178</v>
      </c>
    </row>
    <row r="4304" spans="1:8" x14ac:dyDescent="0.25">
      <c r="A4304" t="s">
        <v>14179</v>
      </c>
      <c r="B4304" t="s">
        <v>14180</v>
      </c>
      <c r="C4304" t="s">
        <v>14181</v>
      </c>
      <c r="D4304" t="s">
        <v>3242</v>
      </c>
      <c r="E4304" t="s">
        <v>15710</v>
      </c>
      <c r="F4304" t="s">
        <v>3257</v>
      </c>
      <c r="G4304" t="s">
        <v>14182</v>
      </c>
      <c r="H4304" t="s">
        <v>3519</v>
      </c>
    </row>
    <row r="4305" spans="1:9" x14ac:dyDescent="0.25">
      <c r="A4305" t="s">
        <v>14183</v>
      </c>
      <c r="B4305" t="s">
        <v>14184</v>
      </c>
      <c r="C4305" t="s">
        <v>14185</v>
      </c>
      <c r="D4305" t="s">
        <v>3242</v>
      </c>
      <c r="E4305" t="s">
        <v>15710</v>
      </c>
      <c r="F4305" t="s">
        <v>3257</v>
      </c>
      <c r="G4305" t="s">
        <v>14186</v>
      </c>
      <c r="H4305" t="s">
        <v>13719</v>
      </c>
    </row>
    <row r="4306" spans="1:9" x14ac:dyDescent="0.25">
      <c r="A4306" t="s">
        <v>14187</v>
      </c>
      <c r="B4306" t="s">
        <v>14188</v>
      </c>
      <c r="C4306" t="s">
        <v>14189</v>
      </c>
      <c r="D4306" t="s">
        <v>3242</v>
      </c>
      <c r="E4306" t="s">
        <v>15710</v>
      </c>
      <c r="F4306" t="s">
        <v>3257</v>
      </c>
      <c r="G4306" t="s">
        <v>14190</v>
      </c>
      <c r="H4306" t="s">
        <v>3519</v>
      </c>
    </row>
    <row r="4307" spans="1:9" x14ac:dyDescent="0.25">
      <c r="A4307" t="s">
        <v>14191</v>
      </c>
      <c r="B4307" t="s">
        <v>14192</v>
      </c>
      <c r="C4307" t="s">
        <v>14193</v>
      </c>
      <c r="D4307" t="s">
        <v>3242</v>
      </c>
      <c r="E4307" t="s">
        <v>15710</v>
      </c>
      <c r="F4307" t="s">
        <v>3257</v>
      </c>
      <c r="G4307" t="s">
        <v>14194</v>
      </c>
      <c r="H4307" t="s">
        <v>6405</v>
      </c>
    </row>
    <row r="4308" spans="1:9" x14ac:dyDescent="0.25">
      <c r="A4308" t="s">
        <v>14195</v>
      </c>
      <c r="B4308" t="s">
        <v>14196</v>
      </c>
      <c r="C4308" t="s">
        <v>4070</v>
      </c>
      <c r="D4308" t="s">
        <v>3242</v>
      </c>
      <c r="E4308" t="s">
        <v>15710</v>
      </c>
      <c r="F4308" t="s">
        <v>3257</v>
      </c>
      <c r="G4308" t="s">
        <v>14197</v>
      </c>
      <c r="H4308" t="s">
        <v>3248</v>
      </c>
    </row>
    <row r="4309" spans="1:9" x14ac:dyDescent="0.25">
      <c r="A4309" t="s">
        <v>14198</v>
      </c>
      <c r="B4309" t="s">
        <v>14199</v>
      </c>
      <c r="C4309" t="s">
        <v>14200</v>
      </c>
      <c r="D4309" t="s">
        <v>3242</v>
      </c>
      <c r="E4309" t="s">
        <v>15710</v>
      </c>
      <c r="F4309" t="s">
        <v>3257</v>
      </c>
      <c r="G4309" t="s">
        <v>14201</v>
      </c>
      <c r="H4309" t="s">
        <v>3647</v>
      </c>
    </row>
    <row r="4310" spans="1:9" x14ac:dyDescent="0.25">
      <c r="A4310" t="s">
        <v>14202</v>
      </c>
      <c r="B4310" t="s">
        <v>14203</v>
      </c>
      <c r="C4310" t="s">
        <v>14204</v>
      </c>
      <c r="D4310" t="s">
        <v>3242</v>
      </c>
      <c r="E4310" t="s">
        <v>15710</v>
      </c>
      <c r="F4310" t="s">
        <v>3257</v>
      </c>
      <c r="G4310" t="s">
        <v>14205</v>
      </c>
      <c r="H4310" t="s">
        <v>4459</v>
      </c>
    </row>
    <row r="4311" spans="1:9" x14ac:dyDescent="0.25">
      <c r="A4311" t="s">
        <v>14206</v>
      </c>
      <c r="B4311" t="s">
        <v>14207</v>
      </c>
      <c r="C4311" t="s">
        <v>14208</v>
      </c>
      <c r="D4311" t="s">
        <v>3242</v>
      </c>
      <c r="E4311" t="s">
        <v>15710</v>
      </c>
      <c r="F4311" t="s">
        <v>3372</v>
      </c>
      <c r="G4311" t="s">
        <v>14209</v>
      </c>
      <c r="H4311" t="s">
        <v>3280</v>
      </c>
    </row>
    <row r="4312" spans="1:9" x14ac:dyDescent="0.25">
      <c r="A4312" t="s">
        <v>14210</v>
      </c>
      <c r="B4312" t="s">
        <v>14211</v>
      </c>
      <c r="C4312" t="s">
        <v>14212</v>
      </c>
      <c r="D4312" t="s">
        <v>3242</v>
      </c>
      <c r="E4312" t="s">
        <v>15710</v>
      </c>
      <c r="F4312" t="s">
        <v>3257</v>
      </c>
      <c r="G4312" t="s">
        <v>14213</v>
      </c>
      <c r="H4312" t="s">
        <v>3248</v>
      </c>
    </row>
    <row r="4313" spans="1:9" x14ac:dyDescent="0.25">
      <c r="A4313" t="s">
        <v>14214</v>
      </c>
      <c r="B4313" t="s">
        <v>14215</v>
      </c>
      <c r="C4313" t="s">
        <v>14216</v>
      </c>
      <c r="D4313" t="s">
        <v>3242</v>
      </c>
      <c r="E4313" t="s">
        <v>15710</v>
      </c>
      <c r="F4313" t="s">
        <v>3257</v>
      </c>
      <c r="G4313" t="s">
        <v>14217</v>
      </c>
      <c r="H4313" t="s">
        <v>3553</v>
      </c>
    </row>
    <row r="4314" spans="1:9" x14ac:dyDescent="0.25">
      <c r="A4314" t="s">
        <v>14218</v>
      </c>
      <c r="B4314" t="s">
        <v>14219</v>
      </c>
      <c r="C4314" t="s">
        <v>12125</v>
      </c>
      <c r="D4314" t="s">
        <v>3242</v>
      </c>
      <c r="E4314" t="s">
        <v>15710</v>
      </c>
      <c r="F4314" t="s">
        <v>3257</v>
      </c>
      <c r="G4314" t="s">
        <v>14220</v>
      </c>
      <c r="H4314" t="s">
        <v>6276</v>
      </c>
    </row>
    <row r="4315" spans="1:9" x14ac:dyDescent="0.25">
      <c r="A4315" t="s">
        <v>14221</v>
      </c>
      <c r="B4315" t="s">
        <v>13097</v>
      </c>
      <c r="C4315" t="s">
        <v>13098</v>
      </c>
      <c r="D4315" t="s">
        <v>3242</v>
      </c>
      <c r="E4315" t="s">
        <v>15710</v>
      </c>
      <c r="F4315" t="s">
        <v>3257</v>
      </c>
      <c r="G4315" t="s">
        <v>13099</v>
      </c>
      <c r="H4315" t="s">
        <v>3248</v>
      </c>
    </row>
    <row r="4316" spans="1:9" x14ac:dyDescent="0.25">
      <c r="A4316" t="s">
        <v>14222</v>
      </c>
      <c r="B4316" t="s">
        <v>14223</v>
      </c>
      <c r="C4316" t="s">
        <v>14224</v>
      </c>
      <c r="D4316" t="s">
        <v>3242</v>
      </c>
      <c r="E4316" t="s">
        <v>15710</v>
      </c>
      <c r="F4316" t="s">
        <v>3257</v>
      </c>
      <c r="G4316" t="s">
        <v>14225</v>
      </c>
      <c r="H4316" t="s">
        <v>5151</v>
      </c>
    </row>
    <row r="4317" spans="1:9" x14ac:dyDescent="0.25">
      <c r="A4317" t="s">
        <v>14226</v>
      </c>
      <c r="B4317" t="s">
        <v>13148</v>
      </c>
      <c r="C4317" t="s">
        <v>13149</v>
      </c>
      <c r="D4317" t="s">
        <v>3242</v>
      </c>
      <c r="E4317" t="s">
        <v>15710</v>
      </c>
      <c r="F4317" t="s">
        <v>3257</v>
      </c>
      <c r="G4317" t="s">
        <v>13150</v>
      </c>
      <c r="H4317" t="s">
        <v>3248</v>
      </c>
    </row>
    <row r="4318" spans="1:9" x14ac:dyDescent="0.25">
      <c r="A4318" t="s">
        <v>14227</v>
      </c>
      <c r="B4318" t="s">
        <v>13221</v>
      </c>
      <c r="C4318" t="s">
        <v>12556</v>
      </c>
      <c r="D4318" t="s">
        <v>3242</v>
      </c>
      <c r="E4318" t="s">
        <v>15710</v>
      </c>
      <c r="F4318" t="s">
        <v>3306</v>
      </c>
      <c r="G4318" t="s">
        <v>14228</v>
      </c>
      <c r="H4318" t="s">
        <v>3248</v>
      </c>
    </row>
    <row r="4319" spans="1:9" x14ac:dyDescent="0.25">
      <c r="A4319" t="s">
        <v>14229</v>
      </c>
      <c r="B4319" t="s">
        <v>4934</v>
      </c>
      <c r="C4319" t="s">
        <v>4934</v>
      </c>
      <c r="D4319" t="s">
        <v>3242</v>
      </c>
      <c r="E4319" t="s">
        <v>15710</v>
      </c>
      <c r="F4319" t="s">
        <v>3288</v>
      </c>
      <c r="G4319" t="s">
        <v>3346</v>
      </c>
      <c r="H4319" t="s">
        <v>3285</v>
      </c>
    </row>
    <row r="4320" spans="1:9" x14ac:dyDescent="0.25">
      <c r="A4320" t="s">
        <v>14230</v>
      </c>
      <c r="B4320" t="s">
        <v>14231</v>
      </c>
      <c r="C4320" t="s">
        <v>14232</v>
      </c>
      <c r="D4320" t="s">
        <v>3242</v>
      </c>
      <c r="E4320" t="s">
        <v>17138</v>
      </c>
      <c r="F4320" t="s">
        <v>3306</v>
      </c>
      <c r="G4320" t="s">
        <v>3684</v>
      </c>
      <c r="H4320" t="s">
        <v>3421</v>
      </c>
      <c r="I4320" t="s">
        <v>3254</v>
      </c>
    </row>
    <row r="4321" spans="1:9" x14ac:dyDescent="0.25">
      <c r="A4321" t="s">
        <v>14233</v>
      </c>
      <c r="B4321" t="s">
        <v>9383</v>
      </c>
      <c r="C4321" t="s">
        <v>9384</v>
      </c>
      <c r="D4321" t="s">
        <v>3242</v>
      </c>
      <c r="E4321" t="s">
        <v>16881</v>
      </c>
      <c r="F4321" t="s">
        <v>9385</v>
      </c>
      <c r="G4321" t="s">
        <v>14234</v>
      </c>
      <c r="H4321" t="s">
        <v>3484</v>
      </c>
      <c r="I4321" t="s">
        <v>14986</v>
      </c>
    </row>
    <row r="4336" spans="1:9" x14ac:dyDescent="0.25">
      <c r="E4336" s="102"/>
    </row>
    <row r="4339" spans="5:5" x14ac:dyDescent="0.25">
      <c r="E4339" s="102"/>
    </row>
    <row r="4342" spans="5:5" x14ac:dyDescent="0.25">
      <c r="E4342" s="102"/>
    </row>
    <row r="4344" spans="5:5" x14ac:dyDescent="0.25">
      <c r="E4344" s="102"/>
    </row>
    <row r="4369" spans="5:5" x14ac:dyDescent="0.25">
      <c r="E4369" s="102"/>
    </row>
    <row r="4370" spans="5:5" x14ac:dyDescent="0.25">
      <c r="E4370" s="102"/>
    </row>
    <row r="4375" spans="5:5" x14ac:dyDescent="0.25">
      <c r="E4375" s="102"/>
    </row>
    <row r="4386" spans="5:5" x14ac:dyDescent="0.25">
      <c r="E4386" s="102"/>
    </row>
    <row r="4393" spans="5:5" x14ac:dyDescent="0.25">
      <c r="E4393" s="102"/>
    </row>
    <row r="4404" spans="5:5" x14ac:dyDescent="0.25">
      <c r="E4404" s="102"/>
    </row>
    <row r="4407" spans="5:5" x14ac:dyDescent="0.25">
      <c r="E4407" s="102"/>
    </row>
    <row r="4413" spans="5:5" x14ac:dyDescent="0.25">
      <c r="E4413" s="102"/>
    </row>
    <row r="4418" spans="5:5" x14ac:dyDescent="0.25">
      <c r="E4418" s="102"/>
    </row>
    <row r="4456" spans="5:5" x14ac:dyDescent="0.25">
      <c r="E4456" s="102"/>
    </row>
    <row r="4477" spans="5:5" x14ac:dyDescent="0.25">
      <c r="E4477" s="102"/>
    </row>
    <row r="4487" spans="5:5" x14ac:dyDescent="0.25">
      <c r="E4487" s="102"/>
    </row>
    <row r="4488" spans="5:5" x14ac:dyDescent="0.25">
      <c r="E4488" s="102"/>
    </row>
    <row r="4512" spans="5:5" x14ac:dyDescent="0.25">
      <c r="E4512" s="102"/>
    </row>
    <row r="4542" spans="5:5" x14ac:dyDescent="0.25">
      <c r="E4542" s="102"/>
    </row>
    <row r="4570" spans="5:5" x14ac:dyDescent="0.25">
      <c r="E4570" s="102"/>
    </row>
    <row r="4597" spans="5:5" x14ac:dyDescent="0.25">
      <c r="E4597" s="102"/>
    </row>
    <row r="4634" spans="5:5" x14ac:dyDescent="0.25">
      <c r="E4634" s="102"/>
    </row>
    <row r="4635" spans="5:5" x14ac:dyDescent="0.25">
      <c r="E4635" s="102"/>
    </row>
    <row r="4657" spans="5:5" x14ac:dyDescent="0.25">
      <c r="E4657" s="102"/>
    </row>
    <row r="4663" spans="5:5" x14ac:dyDescent="0.25">
      <c r="E4663" s="102"/>
    </row>
    <row r="4677" spans="5:5" x14ac:dyDescent="0.25">
      <c r="E4677" s="102"/>
    </row>
    <row r="4708" spans="5:5" x14ac:dyDescent="0.25">
      <c r="E4708" s="102"/>
    </row>
    <row r="4722" spans="5:5" x14ac:dyDescent="0.25">
      <c r="E4722" s="102"/>
    </row>
    <row r="4822" spans="5:5" x14ac:dyDescent="0.25">
      <c r="E4822" s="102"/>
    </row>
    <row r="4825" spans="5:5" x14ac:dyDescent="0.25">
      <c r="E4825" s="102"/>
    </row>
    <row r="4843" spans="5:5" x14ac:dyDescent="0.25">
      <c r="E4843" s="102"/>
    </row>
    <row r="4849" spans="5:5" x14ac:dyDescent="0.25">
      <c r="E4849" s="102"/>
    </row>
    <row r="4857" spans="5:5" x14ac:dyDescent="0.25">
      <c r="E4857" s="102"/>
    </row>
    <row r="4858" spans="5:5" x14ac:dyDescent="0.25">
      <c r="E4858" s="102"/>
    </row>
    <row r="4859" spans="5:5" x14ac:dyDescent="0.25">
      <c r="E4859" s="102"/>
    </row>
    <row r="4863" spans="5:5" x14ac:dyDescent="0.25">
      <c r="E4863" s="102"/>
    </row>
    <row r="4874" spans="5:5" x14ac:dyDescent="0.25">
      <c r="E4874" s="102"/>
    </row>
    <row r="4880" spans="5:5" x14ac:dyDescent="0.25">
      <c r="E4880" s="102"/>
    </row>
    <row r="4882" spans="5:5" x14ac:dyDescent="0.25">
      <c r="E4882" s="102"/>
    </row>
    <row r="4887" spans="5:5" x14ac:dyDescent="0.25">
      <c r="E4887" s="102"/>
    </row>
    <row r="4888" spans="5:5" x14ac:dyDescent="0.25">
      <c r="E4888" s="102"/>
    </row>
    <row r="4892" spans="5:5" x14ac:dyDescent="0.25">
      <c r="E4892" s="102"/>
    </row>
    <row r="4895" spans="5:5" x14ac:dyDescent="0.25">
      <c r="E4895" s="102"/>
    </row>
    <row r="4899" spans="5:5" x14ac:dyDescent="0.25">
      <c r="E4899" s="102"/>
    </row>
    <row r="4901" spans="5:5" x14ac:dyDescent="0.25">
      <c r="E4901" s="102"/>
    </row>
    <row r="4902" spans="5:5" x14ac:dyDescent="0.25">
      <c r="E4902" s="102"/>
    </row>
    <row r="4913" spans="5:5" x14ac:dyDescent="0.25">
      <c r="E4913" s="102"/>
    </row>
    <row r="4915" spans="5:5" x14ac:dyDescent="0.25">
      <c r="E4915" s="102"/>
    </row>
    <row r="4916" spans="5:5" x14ac:dyDescent="0.25">
      <c r="E4916" s="102"/>
    </row>
    <row r="4917" spans="5:5" x14ac:dyDescent="0.25">
      <c r="E4917" s="102"/>
    </row>
    <row r="4918" spans="5:5" x14ac:dyDescent="0.25">
      <c r="E4918" s="102"/>
    </row>
    <row r="4919" spans="5:5" x14ac:dyDescent="0.25">
      <c r="E4919" s="102"/>
    </row>
    <row r="4922" spans="5:5" x14ac:dyDescent="0.25">
      <c r="E4922" s="102"/>
    </row>
    <row r="4925" spans="5:5" x14ac:dyDescent="0.25">
      <c r="E4925" s="102"/>
    </row>
    <row r="4926" spans="5:5" x14ac:dyDescent="0.25">
      <c r="E4926" s="102"/>
    </row>
    <row r="4937" spans="5:5" x14ac:dyDescent="0.25">
      <c r="E4937" s="102"/>
    </row>
    <row r="4939" spans="5:5" x14ac:dyDescent="0.25">
      <c r="E4939" s="102"/>
    </row>
    <row r="4944" spans="5:5" x14ac:dyDescent="0.25">
      <c r="E4944" s="102"/>
    </row>
    <row r="4946" spans="5:5" x14ac:dyDescent="0.25">
      <c r="E4946" s="102"/>
    </row>
    <row r="4947" spans="5:5" x14ac:dyDescent="0.25">
      <c r="E4947" s="102"/>
    </row>
    <row r="4964" spans="5:5" x14ac:dyDescent="0.25">
      <c r="E4964" s="102"/>
    </row>
    <row r="4966" spans="5:5" x14ac:dyDescent="0.25">
      <c r="E4966" s="102"/>
    </row>
    <row r="4991" spans="5:5" x14ac:dyDescent="0.25">
      <c r="E4991" s="102"/>
    </row>
    <row r="5005" spans="5:5" x14ac:dyDescent="0.25">
      <c r="E5005" s="102"/>
    </row>
    <row r="5007" spans="5:5" x14ac:dyDescent="0.25">
      <c r="E5007" s="102"/>
    </row>
    <row r="5017" spans="5:5" x14ac:dyDescent="0.25">
      <c r="E5017" s="102"/>
    </row>
    <row r="5024" spans="5:5" x14ac:dyDescent="0.25">
      <c r="E5024" s="102"/>
    </row>
    <row r="5025" spans="5:5" x14ac:dyDescent="0.25">
      <c r="E5025" s="102"/>
    </row>
    <row r="5047" spans="5:5" x14ac:dyDescent="0.25">
      <c r="E5047" s="102"/>
    </row>
    <row r="5059" spans="5:5" x14ac:dyDescent="0.25">
      <c r="E5059" s="102"/>
    </row>
    <row r="5075" spans="5:5" x14ac:dyDescent="0.25">
      <c r="E5075" s="102"/>
    </row>
    <row r="5077" spans="5:5" x14ac:dyDescent="0.25">
      <c r="E5077" s="102"/>
    </row>
    <row r="5080" spans="5:5" x14ac:dyDescent="0.25">
      <c r="E5080" s="102"/>
    </row>
    <row r="5084" spans="5:5" x14ac:dyDescent="0.25">
      <c r="E5084" s="102"/>
    </row>
    <row r="5085" spans="5:5" x14ac:dyDescent="0.25">
      <c r="E5085" s="102"/>
    </row>
    <row r="5088" spans="5:5" x14ac:dyDescent="0.25">
      <c r="E5088" s="102"/>
    </row>
    <row r="5098" spans="5:5" x14ac:dyDescent="0.25">
      <c r="E5098" s="102"/>
    </row>
    <row r="5099" spans="5:5" x14ac:dyDescent="0.25">
      <c r="E5099" s="102"/>
    </row>
    <row r="5108" spans="5:5" x14ac:dyDescent="0.25">
      <c r="E5108" s="102"/>
    </row>
    <row r="5109" spans="5:5" x14ac:dyDescent="0.25">
      <c r="E5109" s="102"/>
    </row>
    <row r="5112" spans="5:5" x14ac:dyDescent="0.25">
      <c r="E5112" s="102"/>
    </row>
    <row r="5114" spans="5:5" x14ac:dyDescent="0.25">
      <c r="E5114" s="102"/>
    </row>
    <row r="5118" spans="5:5" x14ac:dyDescent="0.25">
      <c r="E5118" s="102"/>
    </row>
    <row r="5119" spans="5:5" x14ac:dyDescent="0.25">
      <c r="E5119" s="102"/>
    </row>
    <row r="5124" spans="5:5" x14ac:dyDescent="0.25">
      <c r="E5124" s="102"/>
    </row>
    <row r="5125" spans="5:5" x14ac:dyDescent="0.25">
      <c r="E5125" s="102"/>
    </row>
    <row r="5126" spans="5:5" x14ac:dyDescent="0.25">
      <c r="E5126" s="102"/>
    </row>
    <row r="5130" spans="5:5" x14ac:dyDescent="0.25">
      <c r="E5130" s="102"/>
    </row>
    <row r="5132" spans="5:5" x14ac:dyDescent="0.25">
      <c r="E5132" s="102"/>
    </row>
    <row r="5133" spans="5:5" x14ac:dyDescent="0.25">
      <c r="E5133" s="102"/>
    </row>
    <row r="5137" spans="5:5" x14ac:dyDescent="0.25">
      <c r="E5137" s="102"/>
    </row>
    <row r="5138" spans="5:5" x14ac:dyDescent="0.25">
      <c r="E5138" s="102"/>
    </row>
    <row r="5139" spans="5:5" x14ac:dyDescent="0.25">
      <c r="E5139" s="102"/>
    </row>
    <row r="5141" spans="5:5" x14ac:dyDescent="0.25">
      <c r="E5141" s="102"/>
    </row>
    <row r="5142" spans="5:5" x14ac:dyDescent="0.25">
      <c r="E5142" s="102"/>
    </row>
    <row r="5146" spans="5:5" x14ac:dyDescent="0.25">
      <c r="E5146" s="102"/>
    </row>
    <row r="5153" spans="5:5" x14ac:dyDescent="0.25">
      <c r="E5153" s="102"/>
    </row>
    <row r="5155" spans="5:5" x14ac:dyDescent="0.25">
      <c r="E5155" s="102"/>
    </row>
    <row r="5161" spans="5:5" x14ac:dyDescent="0.25">
      <c r="E5161" s="102"/>
    </row>
    <row r="5171" spans="5:5" x14ac:dyDescent="0.25">
      <c r="E5171" s="102"/>
    </row>
    <row r="5172" spans="5:5" x14ac:dyDescent="0.25">
      <c r="E5172" s="102"/>
    </row>
    <row r="5173" spans="5:5" x14ac:dyDescent="0.25">
      <c r="E5173" s="102"/>
    </row>
    <row r="5177" spans="5:5" x14ac:dyDescent="0.25">
      <c r="E5177" s="102"/>
    </row>
    <row r="5179" spans="5:5" x14ac:dyDescent="0.25">
      <c r="E5179" s="102"/>
    </row>
    <row r="5181" spans="5:5" x14ac:dyDescent="0.25">
      <c r="E5181" s="102"/>
    </row>
    <row r="5183" spans="5:5" x14ac:dyDescent="0.25">
      <c r="E5183" s="102"/>
    </row>
    <row r="5190" spans="5:5" x14ac:dyDescent="0.25">
      <c r="E5190" s="102"/>
    </row>
    <row r="5193" spans="5:5" x14ac:dyDescent="0.25">
      <c r="E5193" s="102"/>
    </row>
    <row r="5194" spans="5:5" x14ac:dyDescent="0.25">
      <c r="E5194" s="102"/>
    </row>
    <row r="5197" spans="5:5" x14ac:dyDescent="0.25">
      <c r="E5197" s="102"/>
    </row>
    <row r="5198" spans="5:5" x14ac:dyDescent="0.25">
      <c r="E5198" s="102"/>
    </row>
    <row r="5201" spans="5:5" x14ac:dyDescent="0.25">
      <c r="E5201" s="102"/>
    </row>
    <row r="5205" spans="5:5" x14ac:dyDescent="0.25">
      <c r="E5205" s="102"/>
    </row>
    <row r="5209" spans="5:5" x14ac:dyDescent="0.25">
      <c r="E5209" s="102"/>
    </row>
    <row r="5211" spans="5:5" x14ac:dyDescent="0.25">
      <c r="E5211" s="102"/>
    </row>
    <row r="5213" spans="5:5" x14ac:dyDescent="0.25">
      <c r="E5213" s="102"/>
    </row>
    <row r="5220" spans="5:5" x14ac:dyDescent="0.25">
      <c r="E5220" s="102"/>
    </row>
    <row r="5221" spans="5:5" x14ac:dyDescent="0.25">
      <c r="E5221" s="102"/>
    </row>
    <row r="5222" spans="5:5" x14ac:dyDescent="0.25">
      <c r="E5222" s="102"/>
    </row>
    <row r="5228" spans="5:5" x14ac:dyDescent="0.25">
      <c r="E5228" s="102"/>
    </row>
    <row r="5231" spans="5:5" x14ac:dyDescent="0.25">
      <c r="E5231" s="102"/>
    </row>
    <row r="5232" spans="5:5" x14ac:dyDescent="0.25">
      <c r="E5232" s="102"/>
    </row>
    <row r="5241" spans="5:5" x14ac:dyDescent="0.25">
      <c r="E5241" s="102"/>
    </row>
    <row r="5246" spans="5:5" x14ac:dyDescent="0.25">
      <c r="E5246" s="102"/>
    </row>
    <row r="5248" spans="5:5" x14ac:dyDescent="0.25">
      <c r="E5248" s="102"/>
    </row>
    <row r="5250" spans="5:5" x14ac:dyDescent="0.25">
      <c r="E5250" s="102"/>
    </row>
    <row r="5254" spans="5:5" x14ac:dyDescent="0.25">
      <c r="E5254" s="102"/>
    </row>
    <row r="5258" spans="5:5" x14ac:dyDescent="0.25">
      <c r="E5258" s="102"/>
    </row>
    <row r="5259" spans="5:5" x14ac:dyDescent="0.25">
      <c r="E5259" s="102"/>
    </row>
    <row r="5271" spans="5:5" x14ac:dyDescent="0.25">
      <c r="E5271" s="102"/>
    </row>
    <row r="5272" spans="5:5" x14ac:dyDescent="0.25">
      <c r="E5272" s="102"/>
    </row>
    <row r="5277" spans="5:5" x14ac:dyDescent="0.25">
      <c r="E5277" s="102"/>
    </row>
    <row r="5281" spans="5:5" x14ac:dyDescent="0.25">
      <c r="E5281" s="102"/>
    </row>
    <row r="5285" spans="5:5" x14ac:dyDescent="0.25">
      <c r="E5285" s="102"/>
    </row>
    <row r="5287" spans="5:5" x14ac:dyDescent="0.25">
      <c r="E5287" s="102"/>
    </row>
    <row r="5288" spans="5:5" x14ac:dyDescent="0.25">
      <c r="E5288" s="102"/>
    </row>
    <row r="5294" spans="5:5" x14ac:dyDescent="0.25">
      <c r="E5294" s="102"/>
    </row>
    <row r="5300" spans="5:5" x14ac:dyDescent="0.25">
      <c r="E5300" s="102"/>
    </row>
    <row r="5305" spans="5:5" x14ac:dyDescent="0.25">
      <c r="E5305" s="102"/>
    </row>
    <row r="5307" spans="5:5" x14ac:dyDescent="0.25">
      <c r="E5307" s="102"/>
    </row>
    <row r="5311" spans="5:5" x14ac:dyDescent="0.25">
      <c r="E5311" s="102"/>
    </row>
    <row r="5312" spans="5:5" x14ac:dyDescent="0.25">
      <c r="E5312" s="102"/>
    </row>
    <row r="5314" spans="5:5" x14ac:dyDescent="0.25">
      <c r="E5314" s="102"/>
    </row>
    <row r="5319" spans="5:5" x14ac:dyDescent="0.25">
      <c r="E5319" s="102"/>
    </row>
    <row r="5325" spans="5:5" x14ac:dyDescent="0.25">
      <c r="E5325" s="102"/>
    </row>
    <row r="5327" spans="5:5" x14ac:dyDescent="0.25">
      <c r="E5327" s="102"/>
    </row>
    <row r="5332" spans="5:5" x14ac:dyDescent="0.25">
      <c r="E5332" s="102"/>
    </row>
    <row r="5336" spans="5:5" x14ac:dyDescent="0.25">
      <c r="E5336" s="102"/>
    </row>
    <row r="5337" spans="5:5" x14ac:dyDescent="0.25">
      <c r="E5337" s="102"/>
    </row>
    <row r="5339" spans="5:5" x14ac:dyDescent="0.25">
      <c r="E5339" s="102"/>
    </row>
    <row r="5345" spans="5:5" x14ac:dyDescent="0.25">
      <c r="E5345" s="102"/>
    </row>
    <row r="5354" spans="5:5" x14ac:dyDescent="0.25">
      <c r="E5354" s="102"/>
    </row>
    <row r="5357" spans="5:5" x14ac:dyDescent="0.25">
      <c r="E5357" s="102"/>
    </row>
    <row r="5365" spans="5:5" x14ac:dyDescent="0.25">
      <c r="E5365" s="102"/>
    </row>
    <row r="5367" spans="5:5" x14ac:dyDescent="0.25">
      <c r="E5367" s="102"/>
    </row>
    <row r="5370" spans="5:5" x14ac:dyDescent="0.25">
      <c r="E5370" s="102"/>
    </row>
    <row r="5375" spans="5:5" x14ac:dyDescent="0.25">
      <c r="E5375" s="102"/>
    </row>
    <row r="5376" spans="5:5" x14ac:dyDescent="0.25">
      <c r="E5376" s="102"/>
    </row>
    <row r="5378" spans="5:5" x14ac:dyDescent="0.25">
      <c r="E5378" s="102"/>
    </row>
    <row r="5379" spans="5:5" x14ac:dyDescent="0.25">
      <c r="E5379" s="102"/>
    </row>
    <row r="5380" spans="5:5" x14ac:dyDescent="0.25">
      <c r="E5380" s="102"/>
    </row>
    <row r="5384" spans="5:5" x14ac:dyDescent="0.25">
      <c r="E5384" s="102"/>
    </row>
    <row r="5389" spans="5:5" x14ac:dyDescent="0.25">
      <c r="E5389" s="102"/>
    </row>
    <row r="5390" spans="5:5" x14ac:dyDescent="0.25">
      <c r="E5390" s="102"/>
    </row>
    <row r="5397" spans="5:5" x14ac:dyDescent="0.25">
      <c r="E5397" s="102"/>
    </row>
    <row r="5398" spans="5:5" x14ac:dyDescent="0.25">
      <c r="E5398" s="102"/>
    </row>
    <row r="5399" spans="5:5" x14ac:dyDescent="0.25">
      <c r="E5399" s="102"/>
    </row>
    <row r="5403" spans="5:5" x14ac:dyDescent="0.25">
      <c r="E5403" s="102"/>
    </row>
    <row r="5406" spans="5:5" x14ac:dyDescent="0.25">
      <c r="E5406" s="102"/>
    </row>
    <row r="5410" spans="5:5" x14ac:dyDescent="0.25">
      <c r="E5410" s="102"/>
    </row>
    <row r="5420" spans="5:5" x14ac:dyDescent="0.25">
      <c r="E5420" s="102"/>
    </row>
    <row r="5421" spans="5:5" x14ac:dyDescent="0.25">
      <c r="E5421" s="102"/>
    </row>
    <row r="5423" spans="5:5" x14ac:dyDescent="0.25">
      <c r="E5423" s="102"/>
    </row>
    <row r="5426" spans="5:5" x14ac:dyDescent="0.25">
      <c r="E5426" s="102"/>
    </row>
    <row r="5428" spans="5:5" x14ac:dyDescent="0.25">
      <c r="E5428" s="102"/>
    </row>
    <row r="5431" spans="5:5" x14ac:dyDescent="0.25">
      <c r="E5431" s="102"/>
    </row>
    <row r="5432" spans="5:5" x14ac:dyDescent="0.25">
      <c r="E5432" s="102"/>
    </row>
    <row r="5435" spans="5:5" x14ac:dyDescent="0.25">
      <c r="E5435" s="102"/>
    </row>
    <row r="5437" spans="5:5" x14ac:dyDescent="0.25">
      <c r="E5437" s="102"/>
    </row>
    <row r="5448" spans="5:5" x14ac:dyDescent="0.25">
      <c r="E5448" s="102"/>
    </row>
    <row r="5449" spans="5:5" x14ac:dyDescent="0.25">
      <c r="E5449" s="102"/>
    </row>
    <row r="5451" spans="5:5" x14ac:dyDescent="0.25">
      <c r="E5451" s="102"/>
    </row>
    <row r="5454" spans="5:5" x14ac:dyDescent="0.25">
      <c r="E5454" s="102"/>
    </row>
    <row r="5455" spans="5:5" x14ac:dyDescent="0.25">
      <c r="E5455" s="102"/>
    </row>
    <row r="5461" spans="5:5" x14ac:dyDescent="0.25">
      <c r="E5461" s="102"/>
    </row>
    <row r="5471" spans="5:5" x14ac:dyDescent="0.25">
      <c r="E5471" s="102"/>
    </row>
    <row r="5478" spans="5:5" x14ac:dyDescent="0.25">
      <c r="E5478" s="102"/>
    </row>
    <row r="5479" spans="5:5" x14ac:dyDescent="0.25">
      <c r="E5479" s="102"/>
    </row>
    <row r="5480" spans="5:5" x14ac:dyDescent="0.25">
      <c r="E5480" s="102"/>
    </row>
    <row r="5483" spans="5:5" x14ac:dyDescent="0.25">
      <c r="E5483" s="102"/>
    </row>
    <row r="5486" spans="5:5" x14ac:dyDescent="0.25">
      <c r="E5486" s="102"/>
    </row>
    <row r="5489" spans="5:5" x14ac:dyDescent="0.25">
      <c r="E5489" s="102"/>
    </row>
    <row r="5499" spans="5:5" x14ac:dyDescent="0.25">
      <c r="E5499" s="102"/>
    </row>
    <row r="5500" spans="5:5" x14ac:dyDescent="0.25">
      <c r="E5500" s="102"/>
    </row>
    <row r="5501" spans="5:5" x14ac:dyDescent="0.25">
      <c r="E5501" s="102"/>
    </row>
    <row r="5502" spans="5:5" x14ac:dyDescent="0.25">
      <c r="E5502" s="102"/>
    </row>
    <row r="5511" spans="5:5" x14ac:dyDescent="0.25">
      <c r="E5511" s="102"/>
    </row>
    <row r="5515" spans="5:5" x14ac:dyDescent="0.25">
      <c r="E5515" s="102"/>
    </row>
    <row r="5523" spans="5:5" x14ac:dyDescent="0.25">
      <c r="E5523" s="102"/>
    </row>
    <row r="5524" spans="5:5" x14ac:dyDescent="0.25">
      <c r="E5524" s="102"/>
    </row>
    <row r="5529" spans="5:5" x14ac:dyDescent="0.25">
      <c r="E5529" s="102"/>
    </row>
    <row r="5531" spans="5:5" x14ac:dyDescent="0.25">
      <c r="E5531" s="102"/>
    </row>
    <row r="5534" spans="5:5" x14ac:dyDescent="0.25">
      <c r="E5534" s="102"/>
    </row>
    <row r="5543" spans="5:5" x14ac:dyDescent="0.25">
      <c r="E5543" s="102"/>
    </row>
    <row r="5546" spans="5:5" x14ac:dyDescent="0.25">
      <c r="E5546" s="102"/>
    </row>
    <row r="5548" spans="5:5" x14ac:dyDescent="0.25">
      <c r="E5548" s="102"/>
    </row>
    <row r="5551" spans="5:5" x14ac:dyDescent="0.25">
      <c r="E5551" s="102"/>
    </row>
    <row r="5555" spans="5:5" x14ac:dyDescent="0.25">
      <c r="E5555" s="102"/>
    </row>
    <row r="5556" spans="5:5" x14ac:dyDescent="0.25">
      <c r="E5556" s="102"/>
    </row>
    <row r="5562" spans="5:5" x14ac:dyDescent="0.25">
      <c r="E5562" s="102"/>
    </row>
    <row r="5565" spans="5:5" x14ac:dyDescent="0.25">
      <c r="E5565" s="102"/>
    </row>
    <row r="5569" spans="5:5" x14ac:dyDescent="0.25">
      <c r="E5569" s="102"/>
    </row>
    <row r="5570" spans="5:5" x14ac:dyDescent="0.25">
      <c r="E5570" s="102"/>
    </row>
    <row r="5571" spans="5:5" x14ac:dyDescent="0.25">
      <c r="E5571" s="102"/>
    </row>
    <row r="5575" spans="5:5" x14ac:dyDescent="0.25">
      <c r="E5575" s="102"/>
    </row>
    <row r="5577" spans="5:5" x14ac:dyDescent="0.25">
      <c r="E5577" s="102"/>
    </row>
    <row r="5579" spans="5:5" x14ac:dyDescent="0.25">
      <c r="E5579" s="102"/>
    </row>
    <row r="5581" spans="5:5" x14ac:dyDescent="0.25">
      <c r="E5581" s="102"/>
    </row>
    <row r="5584" spans="5:5" x14ac:dyDescent="0.25">
      <c r="E5584" s="102"/>
    </row>
    <row r="5588" spans="5:5" x14ac:dyDescent="0.25">
      <c r="E5588" s="102"/>
    </row>
    <row r="5591" spans="5:5" x14ac:dyDescent="0.25">
      <c r="E5591" s="102"/>
    </row>
    <row r="5592" spans="5:5" x14ac:dyDescent="0.25">
      <c r="E5592" s="102"/>
    </row>
    <row r="5593" spans="5:5" x14ac:dyDescent="0.25">
      <c r="E5593" s="102"/>
    </row>
    <row r="5594" spans="5:5" x14ac:dyDescent="0.25">
      <c r="E5594" s="102"/>
    </row>
    <row r="5597" spans="5:5" x14ac:dyDescent="0.25">
      <c r="E5597" s="102"/>
    </row>
    <row r="5599" spans="5:5" x14ac:dyDescent="0.25">
      <c r="E5599" s="102"/>
    </row>
    <row r="5618" spans="5:5" x14ac:dyDescent="0.25">
      <c r="E5618" s="102"/>
    </row>
    <row r="5624" spans="5:5" x14ac:dyDescent="0.25">
      <c r="E5624" s="102"/>
    </row>
    <row r="5627" spans="5:5" x14ac:dyDescent="0.25">
      <c r="E5627" s="102"/>
    </row>
    <row r="5633" spans="5:5" x14ac:dyDescent="0.25">
      <c r="E5633" s="102"/>
    </row>
    <row r="5637" spans="5:5" x14ac:dyDescent="0.25">
      <c r="E5637" s="102"/>
    </row>
    <row r="5647" spans="5:5" x14ac:dyDescent="0.25">
      <c r="E5647" s="102"/>
    </row>
    <row r="5649" spans="5:5" x14ac:dyDescent="0.25">
      <c r="E5649" s="102"/>
    </row>
    <row r="5650" spans="5:5" x14ac:dyDescent="0.25">
      <c r="E5650" s="102"/>
    </row>
    <row r="5655" spans="5:5" x14ac:dyDescent="0.25">
      <c r="E5655" s="102"/>
    </row>
    <row r="5666" spans="5:5" x14ac:dyDescent="0.25">
      <c r="E5666" s="102"/>
    </row>
    <row r="5668" spans="5:5" x14ac:dyDescent="0.25">
      <c r="E5668" s="102"/>
    </row>
    <row r="5670" spans="5:5" x14ac:dyDescent="0.25">
      <c r="E5670" s="102"/>
    </row>
    <row r="5684" spans="5:5" x14ac:dyDescent="0.25">
      <c r="E5684" s="102"/>
    </row>
    <row r="5685" spans="5:5" x14ac:dyDescent="0.25">
      <c r="E5685" s="102"/>
    </row>
    <row r="5686" spans="5:5" x14ac:dyDescent="0.25">
      <c r="E5686" s="102"/>
    </row>
    <row r="5696" spans="5:5" x14ac:dyDescent="0.25">
      <c r="E5696" s="102"/>
    </row>
    <row r="5703" spans="5:5" x14ac:dyDescent="0.25">
      <c r="E5703" s="102"/>
    </row>
    <row r="5708" spans="5:5" x14ac:dyDescent="0.25">
      <c r="E5708" s="102"/>
    </row>
    <row r="5721" spans="5:5" x14ac:dyDescent="0.25">
      <c r="E5721" s="102"/>
    </row>
    <row r="5725" spans="5:5" x14ac:dyDescent="0.25">
      <c r="E5725" s="102"/>
    </row>
    <row r="5729" spans="5:5" x14ac:dyDescent="0.25">
      <c r="E5729" s="102"/>
    </row>
    <row r="5731" spans="5:5" x14ac:dyDescent="0.25">
      <c r="E5731" s="102"/>
    </row>
    <row r="5732" spans="5:5" x14ac:dyDescent="0.25">
      <c r="E5732" s="102"/>
    </row>
    <row r="5735" spans="5:5" x14ac:dyDescent="0.25">
      <c r="E5735" s="102"/>
    </row>
    <row r="5736" spans="5:5" x14ac:dyDescent="0.25">
      <c r="E5736" s="102"/>
    </row>
    <row r="5740" spans="5:5" x14ac:dyDescent="0.25">
      <c r="E5740" s="102"/>
    </row>
    <row r="5744" spans="5:5" x14ac:dyDescent="0.25">
      <c r="E5744" s="102"/>
    </row>
    <row r="5746" spans="5:5" x14ac:dyDescent="0.25">
      <c r="E5746" s="102"/>
    </row>
    <row r="5750" spans="5:5" x14ac:dyDescent="0.25">
      <c r="E5750" s="102"/>
    </row>
    <row r="5751" spans="5:5" x14ac:dyDescent="0.25">
      <c r="E5751" s="102"/>
    </row>
    <row r="5752" spans="5:5" x14ac:dyDescent="0.25">
      <c r="E5752" s="102"/>
    </row>
    <row r="5760" spans="5:5" x14ac:dyDescent="0.25">
      <c r="E5760" s="102"/>
    </row>
    <row r="5761" spans="5:5" x14ac:dyDescent="0.25">
      <c r="E5761" s="102"/>
    </row>
    <row r="5769" spans="5:5" x14ac:dyDescent="0.25">
      <c r="E5769" s="102"/>
    </row>
    <row r="5770" spans="5:5" x14ac:dyDescent="0.25">
      <c r="E5770" s="102"/>
    </row>
    <row r="5777" spans="5:5" x14ac:dyDescent="0.25">
      <c r="E5777" s="102"/>
    </row>
    <row r="5779" spans="5:5" x14ac:dyDescent="0.25">
      <c r="E5779" s="102"/>
    </row>
    <row r="5780" spans="5:5" x14ac:dyDescent="0.25">
      <c r="E5780" s="102"/>
    </row>
    <row r="5787" spans="5:5" x14ac:dyDescent="0.25">
      <c r="E5787" s="102"/>
    </row>
    <row r="5790" spans="5:5" x14ac:dyDescent="0.25">
      <c r="E5790" s="102"/>
    </row>
    <row r="5799" spans="5:5" x14ac:dyDescent="0.25">
      <c r="E5799" s="102"/>
    </row>
    <row r="5818" spans="5:5" x14ac:dyDescent="0.25">
      <c r="E5818" s="102"/>
    </row>
    <row r="5824" spans="5:5" x14ac:dyDescent="0.25">
      <c r="E5824" s="102"/>
    </row>
    <row r="5862" spans="5:5" x14ac:dyDescent="0.25">
      <c r="E5862" s="102"/>
    </row>
    <row r="5864" spans="5:5" x14ac:dyDescent="0.25">
      <c r="E5864" s="102"/>
    </row>
    <row r="5873" spans="5:5" x14ac:dyDescent="0.25">
      <c r="E5873" s="102"/>
    </row>
    <row r="5874" spans="5:5" x14ac:dyDescent="0.25">
      <c r="E5874" s="102"/>
    </row>
    <row r="5877" spans="5:5" x14ac:dyDescent="0.25">
      <c r="E5877" s="102"/>
    </row>
    <row r="5879" spans="5:5" x14ac:dyDescent="0.25">
      <c r="E5879" s="102"/>
    </row>
    <row r="5880" spans="5:5" x14ac:dyDescent="0.25">
      <c r="E5880" s="102"/>
    </row>
    <row r="5881" spans="5:5" x14ac:dyDescent="0.25">
      <c r="E5881" s="102"/>
    </row>
    <row r="5882" spans="5:5" x14ac:dyDescent="0.25">
      <c r="E5882" s="102"/>
    </row>
    <row r="5884" spans="5:5" x14ac:dyDescent="0.25">
      <c r="E5884" s="102"/>
    </row>
    <row r="5885" spans="5:5" x14ac:dyDescent="0.25">
      <c r="E5885" s="102"/>
    </row>
    <row r="5886" spans="5:5" x14ac:dyDescent="0.25">
      <c r="E5886" s="102"/>
    </row>
    <row r="5887" spans="5:5" x14ac:dyDescent="0.25">
      <c r="E5887" s="102"/>
    </row>
    <row r="5888" spans="5:5" x14ac:dyDescent="0.25">
      <c r="E5888" s="102"/>
    </row>
    <row r="5891" spans="5:5" x14ac:dyDescent="0.25">
      <c r="E5891" s="102"/>
    </row>
    <row r="5902" spans="5:5" x14ac:dyDescent="0.25">
      <c r="E5902" s="102"/>
    </row>
    <row r="5923" spans="5:5" x14ac:dyDescent="0.25">
      <c r="E5923" s="102"/>
    </row>
    <row r="5925" spans="5:5" x14ac:dyDescent="0.25">
      <c r="E5925" s="102"/>
    </row>
    <row r="5926" spans="5:5" x14ac:dyDescent="0.25">
      <c r="E5926" s="102"/>
    </row>
    <row r="5929" spans="5:5" x14ac:dyDescent="0.25">
      <c r="E5929" s="102"/>
    </row>
    <row r="5930" spans="5:5" x14ac:dyDescent="0.25">
      <c r="E5930" s="102"/>
    </row>
    <row r="5931" spans="5:5" x14ac:dyDescent="0.25">
      <c r="E5931" s="102"/>
    </row>
    <row r="5936" spans="5:5" x14ac:dyDescent="0.25">
      <c r="E5936" s="102"/>
    </row>
    <row r="5972" spans="5:5" x14ac:dyDescent="0.25">
      <c r="E5972" s="102"/>
    </row>
    <row r="5980" spans="5:5" x14ac:dyDescent="0.25">
      <c r="E5980" s="102"/>
    </row>
    <row r="5982" spans="5:5" x14ac:dyDescent="0.25">
      <c r="E5982" s="102"/>
    </row>
    <row r="5986" spans="5:5" x14ac:dyDescent="0.25">
      <c r="E5986" s="102"/>
    </row>
    <row r="5987" spans="5:5" x14ac:dyDescent="0.25">
      <c r="E5987" s="102"/>
    </row>
    <row r="5995" spans="5:5" x14ac:dyDescent="0.25">
      <c r="E5995" s="102"/>
    </row>
    <row r="5996" spans="5:5" x14ac:dyDescent="0.25">
      <c r="E5996" s="102"/>
    </row>
    <row r="5998" spans="5:5" x14ac:dyDescent="0.25">
      <c r="E5998" s="102"/>
    </row>
    <row r="6002" spans="5:5" x14ac:dyDescent="0.25">
      <c r="E6002" s="102"/>
    </row>
    <row r="6008" spans="5:5" x14ac:dyDescent="0.25">
      <c r="E6008" s="102"/>
    </row>
    <row r="6009" spans="5:5" x14ac:dyDescent="0.25">
      <c r="E6009" s="102"/>
    </row>
    <row r="6010" spans="5:5" x14ac:dyDescent="0.25">
      <c r="E6010" s="102"/>
    </row>
    <row r="6011" spans="5:5" x14ac:dyDescent="0.25">
      <c r="E6011" s="102"/>
    </row>
    <row r="6023" spans="5:5" x14ac:dyDescent="0.25">
      <c r="E6023" s="102"/>
    </row>
    <row r="6032" spans="5:5" x14ac:dyDescent="0.25">
      <c r="E6032" s="102"/>
    </row>
    <row r="6048" spans="5:5" x14ac:dyDescent="0.25">
      <c r="E6048" s="102"/>
    </row>
    <row r="6050" spans="5:5" x14ac:dyDescent="0.25">
      <c r="E6050" s="102"/>
    </row>
    <row r="6051" spans="5:5" x14ac:dyDescent="0.25">
      <c r="E6051" s="102"/>
    </row>
    <row r="6053" spans="5:5" x14ac:dyDescent="0.25">
      <c r="E6053" s="102"/>
    </row>
    <row r="6054" spans="5:5" x14ac:dyDescent="0.25">
      <c r="E6054" s="102"/>
    </row>
    <row r="6056" spans="5:5" x14ac:dyDescent="0.25">
      <c r="E6056" s="102"/>
    </row>
    <row r="6058" spans="5:5" x14ac:dyDescent="0.25">
      <c r="E6058" s="102"/>
    </row>
    <row r="6059" spans="5:5" x14ac:dyDescent="0.25">
      <c r="E6059" s="102"/>
    </row>
    <row r="6064" spans="5:5" x14ac:dyDescent="0.25">
      <c r="E6064" s="102"/>
    </row>
    <row r="6065" spans="5:5" x14ac:dyDescent="0.25">
      <c r="E6065" s="102"/>
    </row>
    <row r="6073" spans="5:5" x14ac:dyDescent="0.25">
      <c r="E6073" s="102"/>
    </row>
    <row r="6074" spans="5:5" x14ac:dyDescent="0.25">
      <c r="E6074" s="102"/>
    </row>
    <row r="6076" spans="5:5" x14ac:dyDescent="0.25">
      <c r="E6076" s="102"/>
    </row>
    <row r="6081" spans="5:5" x14ac:dyDescent="0.25">
      <c r="E6081" s="102"/>
    </row>
    <row r="6085" spans="5:5" x14ac:dyDescent="0.25">
      <c r="E6085" s="102"/>
    </row>
    <row r="6086" spans="5:5" x14ac:dyDescent="0.25">
      <c r="E6086" s="102"/>
    </row>
    <row r="6087" spans="5:5" x14ac:dyDescent="0.25">
      <c r="E6087" s="102"/>
    </row>
    <row r="6102" spans="5:5" x14ac:dyDescent="0.25">
      <c r="E6102" s="102"/>
    </row>
    <row r="6103" spans="5:5" x14ac:dyDescent="0.25">
      <c r="E6103" s="102"/>
    </row>
    <row r="6108" spans="5:5" x14ac:dyDescent="0.25">
      <c r="E6108" s="102"/>
    </row>
    <row r="6115" spans="5:5" x14ac:dyDescent="0.25">
      <c r="E6115" s="102"/>
    </row>
    <row r="6116" spans="5:5" x14ac:dyDescent="0.25">
      <c r="E6116" s="102"/>
    </row>
    <row r="6122" spans="5:5" x14ac:dyDescent="0.25">
      <c r="E6122" s="102"/>
    </row>
    <row r="6125" spans="5:5" x14ac:dyDescent="0.25">
      <c r="E6125" s="102"/>
    </row>
    <row r="6127" spans="5:5" x14ac:dyDescent="0.25">
      <c r="E6127" s="102"/>
    </row>
    <row r="6133" spans="5:5" x14ac:dyDescent="0.25">
      <c r="E6133" s="102"/>
    </row>
    <row r="6140" spans="5:5" x14ac:dyDescent="0.25">
      <c r="E6140" s="102"/>
    </row>
    <row r="6150" spans="5:5" x14ac:dyDescent="0.25">
      <c r="E6150" s="102"/>
    </row>
    <row r="6155" spans="5:5" x14ac:dyDescent="0.25">
      <c r="E6155" s="102"/>
    </row>
    <row r="6156" spans="5:5" x14ac:dyDescent="0.25">
      <c r="E6156" s="102"/>
    </row>
    <row r="6159" spans="5:5" x14ac:dyDescent="0.25">
      <c r="E6159" s="102"/>
    </row>
    <row r="6165" spans="5:5" x14ac:dyDescent="0.25">
      <c r="E6165" s="102"/>
    </row>
    <row r="6168" spans="5:5" x14ac:dyDescent="0.25">
      <c r="E6168" s="102"/>
    </row>
    <row r="6169" spans="5:5" x14ac:dyDescent="0.25">
      <c r="E6169" s="102"/>
    </row>
    <row r="6171" spans="5:5" x14ac:dyDescent="0.25">
      <c r="E6171" s="102"/>
    </row>
    <row r="6172" spans="5:5" x14ac:dyDescent="0.25">
      <c r="E6172" s="102"/>
    </row>
    <row r="6176" spans="5:5" x14ac:dyDescent="0.25">
      <c r="E6176" s="102"/>
    </row>
    <row r="6179" spans="5:5" x14ac:dyDescent="0.25">
      <c r="E6179" s="102"/>
    </row>
    <row r="6183" spans="5:5" x14ac:dyDescent="0.25">
      <c r="E6183" s="102"/>
    </row>
    <row r="6184" spans="5:5" x14ac:dyDescent="0.25">
      <c r="E6184" s="102"/>
    </row>
    <row r="6185" spans="5:5" x14ac:dyDescent="0.25">
      <c r="E6185" s="102"/>
    </row>
    <row r="6196" spans="5:5" x14ac:dyDescent="0.25">
      <c r="E6196" s="102"/>
    </row>
    <row r="6200" spans="5:5" x14ac:dyDescent="0.25">
      <c r="E6200" s="102"/>
    </row>
    <row r="6201" spans="5:5" x14ac:dyDescent="0.25">
      <c r="E6201" s="102"/>
    </row>
    <row r="6217" spans="5:5" x14ac:dyDescent="0.25">
      <c r="E6217" s="102"/>
    </row>
    <row r="6218" spans="5:5" x14ac:dyDescent="0.25">
      <c r="E6218" s="102"/>
    </row>
    <row r="6223" spans="5:5" x14ac:dyDescent="0.25">
      <c r="E6223" s="102"/>
    </row>
    <row r="6236" spans="5:5" x14ac:dyDescent="0.25">
      <c r="E6236" s="102"/>
    </row>
    <row r="6237" spans="5:5" x14ac:dyDescent="0.25">
      <c r="E6237" s="102"/>
    </row>
    <row r="6241" spans="5:5" x14ac:dyDescent="0.25">
      <c r="E6241" s="102"/>
    </row>
    <row r="6244" spans="5:5" x14ac:dyDescent="0.25">
      <c r="E6244" s="102"/>
    </row>
    <row r="6249" spans="5:5" x14ac:dyDescent="0.25">
      <c r="E6249" s="102"/>
    </row>
    <row r="6253" spans="5:5" x14ac:dyDescent="0.25">
      <c r="E6253" s="102"/>
    </row>
    <row r="6254" spans="5:5" x14ac:dyDescent="0.25">
      <c r="E6254" s="102"/>
    </row>
    <row r="6260" spans="5:5" x14ac:dyDescent="0.25">
      <c r="E6260" s="102"/>
    </row>
    <row r="6261" spans="5:5" x14ac:dyDescent="0.25">
      <c r="E6261" s="102"/>
    </row>
    <row r="6263" spans="5:5" x14ac:dyDescent="0.25">
      <c r="E6263" s="102"/>
    </row>
    <row r="6267" spans="5:5" x14ac:dyDescent="0.25">
      <c r="E6267" s="102"/>
    </row>
    <row r="6272" spans="5:5" x14ac:dyDescent="0.25">
      <c r="E6272" s="102"/>
    </row>
    <row r="6276" spans="5:5" x14ac:dyDescent="0.25">
      <c r="E6276" s="102"/>
    </row>
    <row r="6281" spans="5:5" x14ac:dyDescent="0.25">
      <c r="E6281" s="102"/>
    </row>
    <row r="6282" spans="5:5" x14ac:dyDescent="0.25">
      <c r="E6282" s="102"/>
    </row>
    <row r="6287" spans="5:5" x14ac:dyDescent="0.25">
      <c r="E6287" s="102"/>
    </row>
    <row r="6290" spans="5:5" x14ac:dyDescent="0.25">
      <c r="E6290" s="102"/>
    </row>
    <row r="6294" spans="5:5" x14ac:dyDescent="0.25">
      <c r="E6294" s="102"/>
    </row>
    <row r="6299" spans="5:5" x14ac:dyDescent="0.25">
      <c r="E6299" s="102"/>
    </row>
    <row r="6301" spans="5:5" x14ac:dyDescent="0.25">
      <c r="E6301" s="102"/>
    </row>
    <row r="6302" spans="5:5" x14ac:dyDescent="0.25">
      <c r="E6302" s="102"/>
    </row>
    <row r="6307" spans="5:5" x14ac:dyDescent="0.25">
      <c r="E6307" s="102"/>
    </row>
    <row r="6311" spans="5:5" x14ac:dyDescent="0.25">
      <c r="E6311" s="102"/>
    </row>
    <row r="6312" spans="5:5" x14ac:dyDescent="0.25">
      <c r="E6312" s="102"/>
    </row>
    <row r="6314" spans="5:5" x14ac:dyDescent="0.25">
      <c r="E6314" s="102"/>
    </row>
    <row r="6316" spans="5:5" x14ac:dyDescent="0.25">
      <c r="E6316" s="102"/>
    </row>
    <row r="6324" spans="5:5" x14ac:dyDescent="0.25">
      <c r="E6324" s="102"/>
    </row>
    <row r="6327" spans="5:5" x14ac:dyDescent="0.25">
      <c r="E6327" s="102"/>
    </row>
    <row r="6336" spans="5:5" x14ac:dyDescent="0.25">
      <c r="E6336" s="102"/>
    </row>
    <row r="6342" spans="5:5" x14ac:dyDescent="0.25">
      <c r="E6342" s="102"/>
    </row>
    <row r="6344" spans="5:5" x14ac:dyDescent="0.25">
      <c r="E6344" s="102"/>
    </row>
    <row r="6345" spans="5:5" x14ac:dyDescent="0.25">
      <c r="E6345" s="102"/>
    </row>
    <row r="6350" spans="5:5" x14ac:dyDescent="0.25">
      <c r="E6350" s="102"/>
    </row>
    <row r="6353" spans="5:5" x14ac:dyDescent="0.25">
      <c r="E6353" s="102"/>
    </row>
    <row r="6355" spans="5:5" x14ac:dyDescent="0.25">
      <c r="E6355" s="102"/>
    </row>
    <row r="6361" spans="5:5" x14ac:dyDescent="0.25">
      <c r="E6361" s="102"/>
    </row>
    <row r="6363" spans="5:5" x14ac:dyDescent="0.25">
      <c r="E6363" s="102"/>
    </row>
    <row r="6368" spans="5:5" x14ac:dyDescent="0.25">
      <c r="E6368" s="102"/>
    </row>
    <row r="6371" spans="5:5" x14ac:dyDescent="0.25">
      <c r="E6371" s="102"/>
    </row>
    <row r="6373" spans="5:5" x14ac:dyDescent="0.25">
      <c r="E6373" s="102"/>
    </row>
    <row r="6381" spans="5:5" x14ac:dyDescent="0.25">
      <c r="E6381" s="102"/>
    </row>
    <row r="6383" spans="5:5" x14ac:dyDescent="0.25">
      <c r="E6383" s="102"/>
    </row>
    <row r="6385" spans="5:5" x14ac:dyDescent="0.25">
      <c r="E6385" s="102"/>
    </row>
    <row r="6386" spans="5:5" x14ac:dyDescent="0.25">
      <c r="E6386" s="102"/>
    </row>
    <row r="6389" spans="5:5" x14ac:dyDescent="0.25">
      <c r="E6389" s="102"/>
    </row>
    <row r="6404" spans="5:5" x14ac:dyDescent="0.25">
      <c r="E6404" s="102"/>
    </row>
    <row r="6409" spans="5:5" x14ac:dyDescent="0.25">
      <c r="E6409" s="102"/>
    </row>
    <row r="6410" spans="5:5" x14ac:dyDescent="0.25">
      <c r="E6410" s="102"/>
    </row>
    <row r="6433" spans="5:5" x14ac:dyDescent="0.25">
      <c r="E6433" s="102"/>
    </row>
    <row r="6438" spans="5:5" x14ac:dyDescent="0.25">
      <c r="E6438" s="102"/>
    </row>
    <row r="6440" spans="5:5" x14ac:dyDescent="0.25">
      <c r="E6440" s="102"/>
    </row>
    <row r="6444" spans="5:5" x14ac:dyDescent="0.25">
      <c r="E6444" s="102"/>
    </row>
    <row r="6445" spans="5:5" x14ac:dyDescent="0.25">
      <c r="E6445" s="102"/>
    </row>
    <row r="6448" spans="5:5" x14ac:dyDescent="0.25">
      <c r="E6448" s="102"/>
    </row>
    <row r="6452" spans="5:5" x14ac:dyDescent="0.25">
      <c r="E6452" s="102"/>
    </row>
    <row r="6465" spans="5:5" x14ac:dyDescent="0.25">
      <c r="E6465" s="102"/>
    </row>
    <row r="6469" spans="5:5" x14ac:dyDescent="0.25">
      <c r="E6469" s="102"/>
    </row>
    <row r="6474" spans="5:5" x14ac:dyDescent="0.25">
      <c r="E6474" s="102"/>
    </row>
    <row r="6478" spans="5:5" x14ac:dyDescent="0.25">
      <c r="E6478" s="102"/>
    </row>
    <row r="6482" spans="5:5" x14ac:dyDescent="0.25">
      <c r="E6482" s="102"/>
    </row>
    <row r="6487" spans="5:5" x14ac:dyDescent="0.25">
      <c r="E6487" s="102"/>
    </row>
    <row r="6489" spans="5:5" x14ac:dyDescent="0.25">
      <c r="E6489" s="102"/>
    </row>
    <row r="6490" spans="5:5" x14ac:dyDescent="0.25">
      <c r="E6490" s="102"/>
    </row>
    <row r="6498" spans="5:5" x14ac:dyDescent="0.25">
      <c r="E6498" s="102"/>
    </row>
    <row r="6501" spans="5:5" x14ac:dyDescent="0.25">
      <c r="E6501" s="102"/>
    </row>
    <row r="6504" spans="5:5" x14ac:dyDescent="0.25">
      <c r="E6504" s="102"/>
    </row>
    <row r="6506" spans="5:5" x14ac:dyDescent="0.25">
      <c r="E6506" s="102"/>
    </row>
    <row r="6507" spans="5:5" x14ac:dyDescent="0.25">
      <c r="E6507" s="102"/>
    </row>
    <row r="6509" spans="5:5" x14ac:dyDescent="0.25">
      <c r="E6509" s="102"/>
    </row>
    <row r="6513" spans="5:5" x14ac:dyDescent="0.25">
      <c r="E6513" s="102"/>
    </row>
    <row r="6516" spans="5:5" x14ac:dyDescent="0.25">
      <c r="E6516" s="102"/>
    </row>
    <row r="6522" spans="5:5" x14ac:dyDescent="0.25">
      <c r="E6522" s="102"/>
    </row>
    <row r="6530" spans="5:5" x14ac:dyDescent="0.25">
      <c r="E6530" s="102"/>
    </row>
    <row r="6532" spans="5:5" x14ac:dyDescent="0.25">
      <c r="E6532" s="102"/>
    </row>
    <row r="6534" spans="5:5" x14ac:dyDescent="0.25">
      <c r="E6534" s="102"/>
    </row>
    <row r="6535" spans="5:5" x14ac:dyDescent="0.25">
      <c r="E6535" s="102"/>
    </row>
    <row r="6541" spans="5:5" x14ac:dyDescent="0.25">
      <c r="E6541" s="102"/>
    </row>
    <row r="6545" spans="5:5" x14ac:dyDescent="0.25">
      <c r="E6545" s="102"/>
    </row>
    <row r="6550" spans="5:5" x14ac:dyDescent="0.25">
      <c r="E6550" s="102"/>
    </row>
    <row r="6551" spans="5:5" x14ac:dyDescent="0.25">
      <c r="E6551" s="102"/>
    </row>
    <row r="6554" spans="5:5" x14ac:dyDescent="0.25">
      <c r="E6554" s="102"/>
    </row>
    <row r="6556" spans="5:5" x14ac:dyDescent="0.25">
      <c r="E6556" s="102"/>
    </row>
    <row r="6569" spans="5:5" x14ac:dyDescent="0.25">
      <c r="E6569" s="102"/>
    </row>
    <row r="6571" spans="5:5" x14ac:dyDescent="0.25">
      <c r="E6571" s="102"/>
    </row>
    <row r="6572" spans="5:5" x14ac:dyDescent="0.25">
      <c r="E6572" s="102"/>
    </row>
    <row r="6575" spans="5:5" x14ac:dyDescent="0.25">
      <c r="E6575" s="102"/>
    </row>
    <row r="6583" spans="5:5" x14ac:dyDescent="0.25">
      <c r="E6583" s="102"/>
    </row>
    <row r="6584" spans="5:5" x14ac:dyDescent="0.25">
      <c r="E6584" s="102"/>
    </row>
    <row r="6585" spans="5:5" x14ac:dyDescent="0.25">
      <c r="E6585" s="102"/>
    </row>
    <row r="6586" spans="5:5" x14ac:dyDescent="0.25">
      <c r="E6586" s="102"/>
    </row>
    <row r="6587" spans="5:5" x14ac:dyDescent="0.25">
      <c r="E6587" s="102"/>
    </row>
    <row r="6590" spans="5:5" x14ac:dyDescent="0.25">
      <c r="E6590" s="102"/>
    </row>
    <row r="6596" spans="5:5" x14ac:dyDescent="0.25">
      <c r="E6596" s="102"/>
    </row>
    <row r="6597" spans="5:5" x14ac:dyDescent="0.25">
      <c r="E6597" s="102"/>
    </row>
    <row r="6606" spans="5:5" x14ac:dyDescent="0.25">
      <c r="E6606" s="102"/>
    </row>
    <row r="6607" spans="5:5" x14ac:dyDescent="0.25">
      <c r="E6607" s="102"/>
    </row>
    <row r="6608" spans="5:5" x14ac:dyDescent="0.25">
      <c r="E6608" s="102"/>
    </row>
    <row r="6618" spans="5:5" x14ac:dyDescent="0.25">
      <c r="E6618" s="102"/>
    </row>
    <row r="6625" spans="5:5" x14ac:dyDescent="0.25">
      <c r="E6625" s="102"/>
    </row>
    <row r="6631" spans="5:5" x14ac:dyDescent="0.25">
      <c r="E6631" s="102"/>
    </row>
    <row r="6637" spans="5:5" x14ac:dyDescent="0.25">
      <c r="E6637" s="102"/>
    </row>
    <row r="6639" spans="5:5" x14ac:dyDescent="0.25">
      <c r="E6639" s="102"/>
    </row>
    <row r="6649" spans="5:5" x14ac:dyDescent="0.25">
      <c r="E6649" s="102"/>
    </row>
    <row r="6655" spans="5:5" x14ac:dyDescent="0.25">
      <c r="E6655" s="102"/>
    </row>
    <row r="6665" spans="5:5" x14ac:dyDescent="0.25">
      <c r="E6665" s="102"/>
    </row>
    <row r="6668" spans="5:5" x14ac:dyDescent="0.25">
      <c r="E6668" s="102"/>
    </row>
    <row r="6669" spans="5:5" x14ac:dyDescent="0.25">
      <c r="E6669" s="102"/>
    </row>
    <row r="6674" spans="5:5" x14ac:dyDescent="0.25">
      <c r="E6674" s="102"/>
    </row>
    <row r="6688" spans="5:5" x14ac:dyDescent="0.25">
      <c r="E6688" s="102"/>
    </row>
    <row r="6728" spans="5:5" x14ac:dyDescent="0.25">
      <c r="E6728" s="102"/>
    </row>
    <row r="6772" spans="5:5" x14ac:dyDescent="0.25">
      <c r="E6772" s="102"/>
    </row>
    <row r="6777" spans="5:5" x14ac:dyDescent="0.25">
      <c r="E6777" s="102"/>
    </row>
    <row r="6799" spans="5:5" x14ac:dyDescent="0.25">
      <c r="E6799" s="102"/>
    </row>
    <row r="6817" spans="5:5" x14ac:dyDescent="0.25">
      <c r="E6817" s="102"/>
    </row>
    <row r="6857" spans="5:5" x14ac:dyDescent="0.25">
      <c r="E6857" s="102"/>
    </row>
    <row r="6885" spans="5:5" x14ac:dyDescent="0.25">
      <c r="E6885" s="102"/>
    </row>
    <row r="6892" spans="5:5" x14ac:dyDescent="0.25">
      <c r="E6892" s="102"/>
    </row>
    <row r="6904" spans="5:5" x14ac:dyDescent="0.25">
      <c r="E6904" s="102"/>
    </row>
    <row r="6933" spans="5:5" x14ac:dyDescent="0.25">
      <c r="E6933" s="102"/>
    </row>
    <row r="6969" spans="5:5" x14ac:dyDescent="0.25">
      <c r="E6969" s="102"/>
    </row>
    <row r="6988" spans="5:5" x14ac:dyDescent="0.25">
      <c r="E6988" s="102"/>
    </row>
    <row r="7019" spans="5:5" x14ac:dyDescent="0.25">
      <c r="E7019" s="102"/>
    </row>
    <row r="7023" spans="5:5" x14ac:dyDescent="0.25">
      <c r="E7023" s="102"/>
    </row>
    <row r="7073" spans="5:5" x14ac:dyDescent="0.25">
      <c r="E7073" s="102"/>
    </row>
    <row r="7120" spans="5:5" x14ac:dyDescent="0.25">
      <c r="E7120" s="102"/>
    </row>
    <row r="7153" spans="5:5" x14ac:dyDescent="0.25">
      <c r="E7153" s="102"/>
    </row>
    <row r="7155" spans="5:5" x14ac:dyDescent="0.25">
      <c r="E7155" s="102"/>
    </row>
    <row r="7177" spans="5:5" x14ac:dyDescent="0.25">
      <c r="E7177" s="102"/>
    </row>
    <row r="7182" spans="5:5" x14ac:dyDescent="0.25">
      <c r="E7182" s="102"/>
    </row>
    <row r="7202" spans="5:5" x14ac:dyDescent="0.25">
      <c r="E7202" s="102"/>
    </row>
    <row r="7211" spans="5:5" x14ac:dyDescent="0.25">
      <c r="E7211" s="102"/>
    </row>
    <row r="7216" spans="5:5" x14ac:dyDescent="0.25">
      <c r="E7216" s="102"/>
    </row>
    <row r="7221" spans="5:5" x14ac:dyDescent="0.25">
      <c r="E7221" s="102"/>
    </row>
    <row r="7227" spans="5:5" x14ac:dyDescent="0.25">
      <c r="E7227" s="102"/>
    </row>
    <row r="7241" spans="5:5" x14ac:dyDescent="0.25">
      <c r="E7241" s="102"/>
    </row>
    <row r="7263" spans="5:5" x14ac:dyDescent="0.25">
      <c r="E7263" s="102"/>
    </row>
    <row r="7305" spans="5:5" x14ac:dyDescent="0.25">
      <c r="E7305" s="102"/>
    </row>
    <row r="7312" spans="5:5" x14ac:dyDescent="0.25">
      <c r="E7312" s="102"/>
    </row>
    <row r="7314" spans="5:5" x14ac:dyDescent="0.25">
      <c r="E7314" s="102"/>
    </row>
    <row r="7420" spans="5:5" x14ac:dyDescent="0.25">
      <c r="E7420" s="102"/>
    </row>
    <row r="7421" spans="5:5" x14ac:dyDescent="0.25">
      <c r="E7421" s="102"/>
    </row>
    <row r="7464" spans="5:5" x14ac:dyDescent="0.25">
      <c r="E7464" s="102"/>
    </row>
    <row r="7472" spans="5:5" x14ac:dyDescent="0.25">
      <c r="E7472" s="102"/>
    </row>
    <row r="7497" spans="5:5" x14ac:dyDescent="0.25">
      <c r="E7497" s="102"/>
    </row>
    <row r="7502" spans="5:5" x14ac:dyDescent="0.25">
      <c r="E7502" s="102"/>
    </row>
    <row r="7512" spans="5:5" x14ac:dyDescent="0.25">
      <c r="E7512" s="102"/>
    </row>
    <row r="7516" spans="5:5" x14ac:dyDescent="0.25">
      <c r="E7516" s="102"/>
    </row>
    <row r="7529" spans="5:5" x14ac:dyDescent="0.25">
      <c r="E7529" s="102"/>
    </row>
    <row r="7530" spans="5:5" x14ac:dyDescent="0.25">
      <c r="E7530" s="102"/>
    </row>
    <row r="7544" spans="5:5" x14ac:dyDescent="0.25">
      <c r="E7544" s="102"/>
    </row>
    <row r="7554" spans="5:5" x14ac:dyDescent="0.25">
      <c r="E7554" s="102"/>
    </row>
    <row r="7562" spans="5:5" x14ac:dyDescent="0.25">
      <c r="E7562" s="102"/>
    </row>
    <row r="7588" spans="5:5" x14ac:dyDescent="0.25">
      <c r="E7588" s="102"/>
    </row>
    <row r="7590" spans="5:5" x14ac:dyDescent="0.25">
      <c r="E7590" s="102"/>
    </row>
    <row r="7613" spans="5:5" x14ac:dyDescent="0.25">
      <c r="E7613" s="102"/>
    </row>
    <row r="7631" spans="5:5" x14ac:dyDescent="0.25">
      <c r="E7631" s="102"/>
    </row>
    <row r="7635" spans="5:5" x14ac:dyDescent="0.25">
      <c r="E7635" s="102"/>
    </row>
    <row r="7653" spans="5:5" x14ac:dyDescent="0.25">
      <c r="E7653" s="102"/>
    </row>
    <row r="7732" spans="5:5" x14ac:dyDescent="0.25">
      <c r="E7732" s="102"/>
    </row>
    <row r="7742" spans="5:5" x14ac:dyDescent="0.25">
      <c r="E7742" s="102"/>
    </row>
    <row r="7745" spans="5:5" x14ac:dyDescent="0.25">
      <c r="E7745" s="102"/>
    </row>
    <row r="7749" spans="5:5" x14ac:dyDescent="0.25">
      <c r="E7749" s="102"/>
    </row>
    <row r="7762" spans="5:5" x14ac:dyDescent="0.25">
      <c r="E7762" s="102"/>
    </row>
    <row r="7766" spans="5:5" x14ac:dyDescent="0.25">
      <c r="E7766" s="102"/>
    </row>
    <row r="7776" spans="5:5" x14ac:dyDescent="0.25">
      <c r="E7776" s="102"/>
    </row>
    <row r="7778" spans="5:5" x14ac:dyDescent="0.25">
      <c r="E7778" s="102"/>
    </row>
    <row r="7788" spans="5:5" x14ac:dyDescent="0.25">
      <c r="E7788" s="102"/>
    </row>
    <row r="7809" spans="5:5" x14ac:dyDescent="0.25">
      <c r="E7809" s="102"/>
    </row>
    <row r="7840" spans="5:5" x14ac:dyDescent="0.25">
      <c r="E7840" s="102"/>
    </row>
    <row r="7918" spans="5:5" x14ac:dyDescent="0.25">
      <c r="E7918" s="102"/>
    </row>
    <row r="7993" spans="5:5" x14ac:dyDescent="0.25">
      <c r="E7993" s="102"/>
    </row>
    <row r="7994" spans="5:5" x14ac:dyDescent="0.25">
      <c r="E7994" s="102"/>
    </row>
    <row r="7995" spans="5:5" x14ac:dyDescent="0.25">
      <c r="E7995" s="102"/>
    </row>
    <row r="7996" spans="5:5" x14ac:dyDescent="0.25">
      <c r="E7996" s="102"/>
    </row>
    <row r="7997" spans="5:5" x14ac:dyDescent="0.25">
      <c r="E7997" s="102"/>
    </row>
    <row r="7998" spans="5:5" x14ac:dyDescent="0.25">
      <c r="E7998" s="102"/>
    </row>
    <row r="7999" spans="5:5" x14ac:dyDescent="0.25">
      <c r="E7999" s="102"/>
    </row>
    <row r="8000" spans="5:5" x14ac:dyDescent="0.25">
      <c r="E8000" s="102"/>
    </row>
    <row r="8001" spans="5:5" x14ac:dyDescent="0.25">
      <c r="E8001" s="102"/>
    </row>
    <row r="8002" spans="5:5" x14ac:dyDescent="0.25">
      <c r="E8002" s="102"/>
    </row>
    <row r="8003" spans="5:5" x14ac:dyDescent="0.25">
      <c r="E8003" s="102"/>
    </row>
    <row r="8004" spans="5:5" x14ac:dyDescent="0.25">
      <c r="E8004" s="102"/>
    </row>
    <row r="8005" spans="5:5" x14ac:dyDescent="0.25">
      <c r="E8005" s="102"/>
    </row>
    <row r="8006" spans="5:5" x14ac:dyDescent="0.25">
      <c r="E8006" s="102"/>
    </row>
    <row r="8007" spans="5:5" x14ac:dyDescent="0.25">
      <c r="E8007" s="102"/>
    </row>
    <row r="8008" spans="5:5" x14ac:dyDescent="0.25">
      <c r="E8008" s="102"/>
    </row>
    <row r="8009" spans="5:5" x14ac:dyDescent="0.25">
      <c r="E8009" s="102"/>
    </row>
    <row r="8010" spans="5:5" x14ac:dyDescent="0.25">
      <c r="E8010" s="102"/>
    </row>
    <row r="8011" spans="5:5" x14ac:dyDescent="0.25">
      <c r="E8011" s="102"/>
    </row>
    <row r="8012" spans="5:5" x14ac:dyDescent="0.25">
      <c r="E8012" s="102"/>
    </row>
    <row r="8013" spans="5:5" x14ac:dyDescent="0.25">
      <c r="E8013" s="102"/>
    </row>
    <row r="8014" spans="5:5" x14ac:dyDescent="0.25">
      <c r="E8014" s="102"/>
    </row>
    <row r="8015" spans="5:5" x14ac:dyDescent="0.25">
      <c r="E8015" s="102"/>
    </row>
    <row r="8016" spans="5:5" x14ac:dyDescent="0.25">
      <c r="E8016" s="102"/>
    </row>
    <row r="8017" spans="5:5" x14ac:dyDescent="0.25">
      <c r="E8017" s="102"/>
    </row>
    <row r="8018" spans="5:5" x14ac:dyDescent="0.25">
      <c r="E8018" s="102"/>
    </row>
    <row r="8019" spans="5:5" x14ac:dyDescent="0.25">
      <c r="E8019" s="102"/>
    </row>
    <row r="8020" spans="5:5" x14ac:dyDescent="0.25">
      <c r="E8020" s="102"/>
    </row>
    <row r="8021" spans="5:5" x14ac:dyDescent="0.25">
      <c r="E8021" s="102"/>
    </row>
    <row r="8022" spans="5:5" x14ac:dyDescent="0.25">
      <c r="E8022" s="102"/>
    </row>
    <row r="8023" spans="5:5" x14ac:dyDescent="0.25">
      <c r="E8023" s="102"/>
    </row>
    <row r="8024" spans="5:5" x14ac:dyDescent="0.25">
      <c r="E8024" s="102"/>
    </row>
    <row r="8025" spans="5:5" x14ac:dyDescent="0.25">
      <c r="E8025" s="102"/>
    </row>
    <row r="8026" spans="5:5" x14ac:dyDescent="0.25">
      <c r="E8026" s="102"/>
    </row>
    <row r="8027" spans="5:5" x14ac:dyDescent="0.25">
      <c r="E8027" s="102"/>
    </row>
    <row r="8028" spans="5:5" x14ac:dyDescent="0.25">
      <c r="E8028" s="102"/>
    </row>
    <row r="8029" spans="5:5" x14ac:dyDescent="0.25">
      <c r="E8029" s="102"/>
    </row>
    <row r="8030" spans="5:5" x14ac:dyDescent="0.25">
      <c r="E8030" s="102"/>
    </row>
    <row r="8031" spans="5:5" x14ac:dyDescent="0.25">
      <c r="E8031" s="102"/>
    </row>
    <row r="8032" spans="5:5" x14ac:dyDescent="0.25">
      <c r="E8032" s="102"/>
    </row>
    <row r="8033" spans="5:5" x14ac:dyDescent="0.25">
      <c r="E8033" s="102"/>
    </row>
    <row r="8034" spans="5:5" x14ac:dyDescent="0.25">
      <c r="E8034" s="102"/>
    </row>
    <row r="8035" spans="5:5" x14ac:dyDescent="0.25">
      <c r="E8035" s="102"/>
    </row>
    <row r="8036" spans="5:5" x14ac:dyDescent="0.25">
      <c r="E8036" s="102"/>
    </row>
    <row r="8037" spans="5:5" x14ac:dyDescent="0.25">
      <c r="E8037" s="102"/>
    </row>
    <row r="8038" spans="5:5" x14ac:dyDescent="0.25">
      <c r="E8038" s="102"/>
    </row>
    <row r="8039" spans="5:5" x14ac:dyDescent="0.25">
      <c r="E8039" s="102"/>
    </row>
    <row r="8040" spans="5:5" x14ac:dyDescent="0.25">
      <c r="E8040" s="102"/>
    </row>
    <row r="8041" spans="5:5" x14ac:dyDescent="0.25">
      <c r="E8041" s="102"/>
    </row>
    <row r="8042" spans="5:5" x14ac:dyDescent="0.25">
      <c r="E8042" s="102"/>
    </row>
    <row r="8043" spans="5:5" x14ac:dyDescent="0.25">
      <c r="E8043" s="102"/>
    </row>
    <row r="8044" spans="5:5" x14ac:dyDescent="0.25">
      <c r="E8044" s="102"/>
    </row>
    <row r="8045" spans="5:5" x14ac:dyDescent="0.25">
      <c r="E8045" s="102"/>
    </row>
    <row r="8046" spans="5:5" x14ac:dyDescent="0.25">
      <c r="E8046" s="102"/>
    </row>
    <row r="8047" spans="5:5" x14ac:dyDescent="0.25">
      <c r="E8047" s="102"/>
    </row>
    <row r="8048" spans="5:5" x14ac:dyDescent="0.25">
      <c r="E8048" s="102"/>
    </row>
    <row r="8049" spans="5:5" x14ac:dyDescent="0.25">
      <c r="E8049" s="102"/>
    </row>
    <row r="8050" spans="5:5" x14ac:dyDescent="0.25">
      <c r="E8050" s="102"/>
    </row>
    <row r="8051" spans="5:5" x14ac:dyDescent="0.25">
      <c r="E8051" s="102"/>
    </row>
    <row r="8052" spans="5:5" x14ac:dyDescent="0.25">
      <c r="E8052" s="102"/>
    </row>
    <row r="8053" spans="5:5" x14ac:dyDescent="0.25">
      <c r="E8053" s="102"/>
    </row>
    <row r="8054" spans="5:5" x14ac:dyDescent="0.25">
      <c r="E8054" s="102"/>
    </row>
    <row r="8055" spans="5:5" x14ac:dyDescent="0.25">
      <c r="E8055" s="102"/>
    </row>
    <row r="8056" spans="5:5" x14ac:dyDescent="0.25">
      <c r="E8056" s="102"/>
    </row>
    <row r="8057" spans="5:5" x14ac:dyDescent="0.25">
      <c r="E8057" s="102"/>
    </row>
    <row r="8058" spans="5:5" x14ac:dyDescent="0.25">
      <c r="E8058" s="102"/>
    </row>
    <row r="8059" spans="5:5" x14ac:dyDescent="0.25">
      <c r="E8059" s="102"/>
    </row>
    <row r="8060" spans="5:5" x14ac:dyDescent="0.25">
      <c r="E8060" s="102"/>
    </row>
    <row r="8061" spans="5:5" x14ac:dyDescent="0.25">
      <c r="E8061" s="102"/>
    </row>
    <row r="8062" spans="5:5" x14ac:dyDescent="0.25">
      <c r="E8062" s="102"/>
    </row>
    <row r="8063" spans="5:5" x14ac:dyDescent="0.25">
      <c r="E8063" s="102"/>
    </row>
    <row r="8064" spans="5:5" x14ac:dyDescent="0.25">
      <c r="E8064" s="102"/>
    </row>
    <row r="8065" spans="5:5" x14ac:dyDescent="0.25">
      <c r="E8065" s="102"/>
    </row>
    <row r="8066" spans="5:5" x14ac:dyDescent="0.25">
      <c r="E8066" s="102"/>
    </row>
    <row r="8067" spans="5:5" x14ac:dyDescent="0.25">
      <c r="E8067" s="102"/>
    </row>
    <row r="8068" spans="5:5" x14ac:dyDescent="0.25">
      <c r="E8068" s="102"/>
    </row>
    <row r="8069" spans="5:5" x14ac:dyDescent="0.25">
      <c r="E8069" s="102"/>
    </row>
    <row r="8070" spans="5:5" x14ac:dyDescent="0.25">
      <c r="E8070" s="102"/>
    </row>
    <row r="8071" spans="5:5" x14ac:dyDescent="0.25">
      <c r="E8071" s="102"/>
    </row>
    <row r="8072" spans="5:5" x14ac:dyDescent="0.25">
      <c r="E8072" s="102"/>
    </row>
    <row r="8073" spans="5:5" x14ac:dyDescent="0.25">
      <c r="E8073" s="102"/>
    </row>
    <row r="8074" spans="5:5" x14ac:dyDescent="0.25">
      <c r="E8074" s="102"/>
    </row>
    <row r="8075" spans="5:5" x14ac:dyDescent="0.25">
      <c r="E8075" s="102"/>
    </row>
    <row r="8076" spans="5:5" x14ac:dyDescent="0.25">
      <c r="E8076" s="102"/>
    </row>
    <row r="8077" spans="5:5" x14ac:dyDescent="0.25">
      <c r="E8077" s="102"/>
    </row>
    <row r="8078" spans="5:5" x14ac:dyDescent="0.25">
      <c r="E8078" s="102"/>
    </row>
    <row r="8079" spans="5:5" x14ac:dyDescent="0.25">
      <c r="E8079" s="102"/>
    </row>
    <row r="8080" spans="5:5" x14ac:dyDescent="0.25">
      <c r="E8080" s="102"/>
    </row>
    <row r="8081" spans="5:5" x14ac:dyDescent="0.25">
      <c r="E8081" s="102"/>
    </row>
    <row r="8082" spans="5:5" x14ac:dyDescent="0.25">
      <c r="E8082" s="102"/>
    </row>
    <row r="8083" spans="5:5" x14ac:dyDescent="0.25">
      <c r="E8083" s="102"/>
    </row>
    <row r="8084" spans="5:5" x14ac:dyDescent="0.25">
      <c r="E8084" s="102"/>
    </row>
    <row r="8085" spans="5:5" x14ac:dyDescent="0.25">
      <c r="E8085" s="102"/>
    </row>
    <row r="8086" spans="5:5" x14ac:dyDescent="0.25">
      <c r="E8086" s="102"/>
    </row>
    <row r="8087" spans="5:5" x14ac:dyDescent="0.25">
      <c r="E8087" s="102"/>
    </row>
    <row r="8088" spans="5:5" x14ac:dyDescent="0.25">
      <c r="E8088" s="102"/>
    </row>
    <row r="8089" spans="5:5" x14ac:dyDescent="0.25">
      <c r="E8089" s="102"/>
    </row>
    <row r="8090" spans="5:5" x14ac:dyDescent="0.25">
      <c r="E8090" s="102"/>
    </row>
    <row r="8091" spans="5:5" x14ac:dyDescent="0.25">
      <c r="E8091" s="102"/>
    </row>
    <row r="8092" spans="5:5" x14ac:dyDescent="0.25">
      <c r="E8092" s="102"/>
    </row>
    <row r="8093" spans="5:5" x14ac:dyDescent="0.25">
      <c r="E8093" s="102"/>
    </row>
    <row r="8094" spans="5:5" x14ac:dyDescent="0.25">
      <c r="E8094" s="102"/>
    </row>
    <row r="8095" spans="5:5" x14ac:dyDescent="0.25">
      <c r="E8095" s="102"/>
    </row>
    <row r="8096" spans="5:5" x14ac:dyDescent="0.25">
      <c r="E8096" s="102"/>
    </row>
    <row r="8097" spans="5:5" x14ac:dyDescent="0.25">
      <c r="E8097" s="102"/>
    </row>
    <row r="8098" spans="5:5" x14ac:dyDescent="0.25">
      <c r="E8098" s="102"/>
    </row>
    <row r="8099" spans="5:5" x14ac:dyDescent="0.25">
      <c r="E8099" s="102"/>
    </row>
    <row r="8100" spans="5:5" x14ac:dyDescent="0.25">
      <c r="E8100" s="102"/>
    </row>
    <row r="8101" spans="5:5" x14ac:dyDescent="0.25">
      <c r="E8101" s="102"/>
    </row>
    <row r="8102" spans="5:5" x14ac:dyDescent="0.25">
      <c r="E8102" s="102"/>
    </row>
    <row r="8103" spans="5:5" x14ac:dyDescent="0.25">
      <c r="E8103" s="102"/>
    </row>
    <row r="8104" spans="5:5" x14ac:dyDescent="0.25">
      <c r="E8104" s="102"/>
    </row>
    <row r="8105" spans="5:5" x14ac:dyDescent="0.25">
      <c r="E8105" s="102"/>
    </row>
    <row r="8106" spans="5:5" x14ac:dyDescent="0.25">
      <c r="E8106" s="102"/>
    </row>
    <row r="8107" spans="5:5" x14ac:dyDescent="0.25">
      <c r="E8107" s="102"/>
    </row>
    <row r="8108" spans="5:5" x14ac:dyDescent="0.25">
      <c r="E8108" s="102"/>
    </row>
    <row r="8109" spans="5:5" x14ac:dyDescent="0.25">
      <c r="E8109" s="102"/>
    </row>
    <row r="8110" spans="5:5" x14ac:dyDescent="0.25">
      <c r="E8110" s="102"/>
    </row>
    <row r="8111" spans="5:5" x14ac:dyDescent="0.25">
      <c r="E8111" s="102"/>
    </row>
    <row r="8112" spans="5:5" x14ac:dyDescent="0.25">
      <c r="E8112" s="102"/>
    </row>
    <row r="8113" spans="5:5" x14ac:dyDescent="0.25">
      <c r="E8113" s="102"/>
    </row>
    <row r="8114" spans="5:5" x14ac:dyDescent="0.25">
      <c r="E8114" s="102"/>
    </row>
    <row r="8115" spans="5:5" x14ac:dyDescent="0.25">
      <c r="E8115" s="102"/>
    </row>
    <row r="8116" spans="5:5" x14ac:dyDescent="0.25">
      <c r="E8116" s="102"/>
    </row>
    <row r="8117" spans="5:5" x14ac:dyDescent="0.25">
      <c r="E8117" s="102"/>
    </row>
    <row r="8118" spans="5:5" x14ac:dyDescent="0.25">
      <c r="E8118" s="102"/>
    </row>
    <row r="8119" spans="5:5" x14ac:dyDescent="0.25">
      <c r="E8119" s="102"/>
    </row>
    <row r="8120" spans="5:5" x14ac:dyDescent="0.25">
      <c r="E8120" s="102"/>
    </row>
    <row r="8121" spans="5:5" x14ac:dyDescent="0.25">
      <c r="E8121" s="102"/>
    </row>
    <row r="8122" spans="5:5" x14ac:dyDescent="0.25">
      <c r="E8122" s="102"/>
    </row>
    <row r="8123" spans="5:5" x14ac:dyDescent="0.25">
      <c r="E8123" s="102"/>
    </row>
    <row r="8124" spans="5:5" x14ac:dyDescent="0.25">
      <c r="E8124" s="102"/>
    </row>
    <row r="8125" spans="5:5" x14ac:dyDescent="0.25">
      <c r="E8125" s="102"/>
    </row>
    <row r="8126" spans="5:5" x14ac:dyDescent="0.25">
      <c r="E8126" s="102"/>
    </row>
    <row r="8127" spans="5:5" x14ac:dyDescent="0.25">
      <c r="E8127" s="102"/>
    </row>
    <row r="8128" spans="5:5" x14ac:dyDescent="0.25">
      <c r="E8128" s="102"/>
    </row>
    <row r="8129" spans="5:5" x14ac:dyDescent="0.25">
      <c r="E8129" s="102"/>
    </row>
    <row r="8130" spans="5:5" x14ac:dyDescent="0.25">
      <c r="E8130" s="102"/>
    </row>
    <row r="8131" spans="5:5" x14ac:dyDescent="0.25">
      <c r="E8131" s="102"/>
    </row>
    <row r="8132" spans="5:5" x14ac:dyDescent="0.25">
      <c r="E8132" s="102"/>
    </row>
    <row r="8133" spans="5:5" x14ac:dyDescent="0.25">
      <c r="E8133" s="102"/>
    </row>
    <row r="8134" spans="5:5" x14ac:dyDescent="0.25">
      <c r="E8134" s="102"/>
    </row>
    <row r="8135" spans="5:5" x14ac:dyDescent="0.25">
      <c r="E8135" s="102"/>
    </row>
    <row r="8136" spans="5:5" x14ac:dyDescent="0.25">
      <c r="E8136" s="102"/>
    </row>
    <row r="8137" spans="5:5" x14ac:dyDescent="0.25">
      <c r="E8137" s="102"/>
    </row>
    <row r="8138" spans="5:5" x14ac:dyDescent="0.25">
      <c r="E8138" s="102"/>
    </row>
    <row r="8139" spans="5:5" x14ac:dyDescent="0.25">
      <c r="E8139" s="102"/>
    </row>
    <row r="8140" spans="5:5" x14ac:dyDescent="0.25">
      <c r="E8140" s="102"/>
    </row>
    <row r="8141" spans="5:5" x14ac:dyDescent="0.25">
      <c r="E8141" s="102"/>
    </row>
    <row r="8142" spans="5:5" x14ac:dyDescent="0.25">
      <c r="E8142" s="102"/>
    </row>
    <row r="8143" spans="5:5" x14ac:dyDescent="0.25">
      <c r="E8143" s="102"/>
    </row>
    <row r="8144" spans="5:5" x14ac:dyDescent="0.25">
      <c r="E8144" s="102"/>
    </row>
    <row r="8145" spans="5:5" x14ac:dyDescent="0.25">
      <c r="E8145" s="102"/>
    </row>
    <row r="8146" spans="5:5" x14ac:dyDescent="0.25">
      <c r="E8146" s="102"/>
    </row>
    <row r="8147" spans="5:5" x14ac:dyDescent="0.25">
      <c r="E8147" s="102"/>
    </row>
    <row r="8148" spans="5:5" x14ac:dyDescent="0.25">
      <c r="E8148" s="102"/>
    </row>
    <row r="8149" spans="5:5" x14ac:dyDescent="0.25">
      <c r="E8149" s="102"/>
    </row>
    <row r="8150" spans="5:5" x14ac:dyDescent="0.25">
      <c r="E8150" s="102"/>
    </row>
    <row r="8151" spans="5:5" x14ac:dyDescent="0.25">
      <c r="E8151" s="102"/>
    </row>
    <row r="8152" spans="5:5" x14ac:dyDescent="0.25">
      <c r="E8152" s="102"/>
    </row>
    <row r="8153" spans="5:5" x14ac:dyDescent="0.25">
      <c r="E8153" s="102"/>
    </row>
    <row r="8154" spans="5:5" x14ac:dyDescent="0.25">
      <c r="E8154" s="102"/>
    </row>
    <row r="8155" spans="5:5" x14ac:dyDescent="0.25">
      <c r="E8155" s="102"/>
    </row>
    <row r="8156" spans="5:5" x14ac:dyDescent="0.25">
      <c r="E8156" s="102"/>
    </row>
    <row r="8157" spans="5:5" x14ac:dyDescent="0.25">
      <c r="E8157" s="102"/>
    </row>
    <row r="8158" spans="5:5" x14ac:dyDescent="0.25">
      <c r="E8158" s="102"/>
    </row>
    <row r="8159" spans="5:5" x14ac:dyDescent="0.25">
      <c r="E8159" s="102"/>
    </row>
    <row r="8160" spans="5:5" x14ac:dyDescent="0.25">
      <c r="E8160" s="102"/>
    </row>
    <row r="8161" spans="5:5" x14ac:dyDescent="0.25">
      <c r="E8161" s="102"/>
    </row>
    <row r="8162" spans="5:5" x14ac:dyDescent="0.25">
      <c r="E8162" s="102"/>
    </row>
    <row r="8163" spans="5:5" x14ac:dyDescent="0.25">
      <c r="E8163" s="102"/>
    </row>
    <row r="8164" spans="5:5" x14ac:dyDescent="0.25">
      <c r="E8164" s="102"/>
    </row>
    <row r="8165" spans="5:5" x14ac:dyDescent="0.25">
      <c r="E8165" s="102"/>
    </row>
    <row r="8166" spans="5:5" x14ac:dyDescent="0.25">
      <c r="E8166" s="102"/>
    </row>
    <row r="8167" spans="5:5" x14ac:dyDescent="0.25">
      <c r="E8167" s="102"/>
    </row>
    <row r="8168" spans="5:5" x14ac:dyDescent="0.25">
      <c r="E8168" s="102"/>
    </row>
    <row r="8169" spans="5:5" x14ac:dyDescent="0.25">
      <c r="E8169" s="102"/>
    </row>
    <row r="8170" spans="5:5" x14ac:dyDescent="0.25">
      <c r="E8170" s="102"/>
    </row>
    <row r="8171" spans="5:5" x14ac:dyDescent="0.25">
      <c r="E8171" s="102"/>
    </row>
    <row r="8172" spans="5:5" x14ac:dyDescent="0.25">
      <c r="E8172" s="102"/>
    </row>
    <row r="8173" spans="5:5" x14ac:dyDescent="0.25">
      <c r="E8173" s="102"/>
    </row>
    <row r="8174" spans="5:5" x14ac:dyDescent="0.25">
      <c r="E8174" s="102"/>
    </row>
    <row r="8175" spans="5:5" x14ac:dyDescent="0.25">
      <c r="E8175" s="102"/>
    </row>
    <row r="8176" spans="5:5" x14ac:dyDescent="0.25">
      <c r="E8176" s="102"/>
    </row>
    <row r="8177" spans="5:5" x14ac:dyDescent="0.25">
      <c r="E8177" s="102"/>
    </row>
    <row r="8178" spans="5:5" x14ac:dyDescent="0.25">
      <c r="E8178" s="102"/>
    </row>
    <row r="8179" spans="5:5" x14ac:dyDescent="0.25">
      <c r="E8179" s="102"/>
    </row>
    <row r="8180" spans="5:5" x14ac:dyDescent="0.25">
      <c r="E8180" s="102"/>
    </row>
    <row r="8181" spans="5:5" x14ac:dyDescent="0.25">
      <c r="E8181" s="102"/>
    </row>
    <row r="8182" spans="5:5" x14ac:dyDescent="0.25">
      <c r="E8182" s="102"/>
    </row>
    <row r="8183" spans="5:5" x14ac:dyDescent="0.25">
      <c r="E8183" s="102"/>
    </row>
    <row r="8184" spans="5:5" x14ac:dyDescent="0.25">
      <c r="E8184" s="102"/>
    </row>
    <row r="8185" spans="5:5" x14ac:dyDescent="0.25">
      <c r="E8185" s="102"/>
    </row>
    <row r="8186" spans="5:5" x14ac:dyDescent="0.25">
      <c r="E8186" s="102"/>
    </row>
    <row r="8187" spans="5:5" x14ac:dyDescent="0.25">
      <c r="E8187" s="102"/>
    </row>
    <row r="8188" spans="5:5" x14ac:dyDescent="0.25">
      <c r="E8188" s="102"/>
    </row>
    <row r="8189" spans="5:5" x14ac:dyDescent="0.25">
      <c r="E8189" s="102"/>
    </row>
    <row r="8190" spans="5:5" x14ac:dyDescent="0.25">
      <c r="E8190" s="102"/>
    </row>
    <row r="8191" spans="5:5" x14ac:dyDescent="0.25">
      <c r="E8191" s="102"/>
    </row>
    <row r="8192" spans="5:5" x14ac:dyDescent="0.25">
      <c r="E8192" s="102"/>
    </row>
    <row r="8193" spans="5:5" x14ac:dyDescent="0.25">
      <c r="E8193" s="102"/>
    </row>
    <row r="8194" spans="5:5" x14ac:dyDescent="0.25">
      <c r="E8194" s="102"/>
    </row>
    <row r="8195" spans="5:5" x14ac:dyDescent="0.25">
      <c r="E8195" s="102"/>
    </row>
    <row r="8196" spans="5:5" x14ac:dyDescent="0.25">
      <c r="E8196" s="102"/>
    </row>
    <row r="8197" spans="5:5" x14ac:dyDescent="0.25">
      <c r="E8197" s="102"/>
    </row>
    <row r="8198" spans="5:5" x14ac:dyDescent="0.25">
      <c r="E8198" s="102"/>
    </row>
    <row r="8199" spans="5:5" x14ac:dyDescent="0.25">
      <c r="E8199" s="102"/>
    </row>
    <row r="8200" spans="5:5" x14ac:dyDescent="0.25">
      <c r="E8200" s="102"/>
    </row>
    <row r="8201" spans="5:5" x14ac:dyDescent="0.25">
      <c r="E8201" s="102"/>
    </row>
    <row r="8202" spans="5:5" x14ac:dyDescent="0.25">
      <c r="E8202" s="102"/>
    </row>
    <row r="8203" spans="5:5" x14ac:dyDescent="0.25">
      <c r="E8203" s="102"/>
    </row>
    <row r="8204" spans="5:5" x14ac:dyDescent="0.25">
      <c r="E8204" s="102"/>
    </row>
    <row r="8205" spans="5:5" x14ac:dyDescent="0.25">
      <c r="E8205" s="102"/>
    </row>
    <row r="8206" spans="5:5" x14ac:dyDescent="0.25">
      <c r="E8206" s="102"/>
    </row>
    <row r="8207" spans="5:5" x14ac:dyDescent="0.25">
      <c r="E8207" s="102"/>
    </row>
    <row r="8208" spans="5:5" x14ac:dyDescent="0.25">
      <c r="E8208" s="102"/>
    </row>
    <row r="8209" spans="5:5" x14ac:dyDescent="0.25">
      <c r="E8209" s="102"/>
    </row>
    <row r="8210" spans="5:5" x14ac:dyDescent="0.25">
      <c r="E8210" s="102"/>
    </row>
    <row r="8211" spans="5:5" x14ac:dyDescent="0.25">
      <c r="E8211" s="102"/>
    </row>
    <row r="8212" spans="5:5" x14ac:dyDescent="0.25">
      <c r="E8212" s="102"/>
    </row>
    <row r="8213" spans="5:5" x14ac:dyDescent="0.25">
      <c r="E8213" s="102"/>
    </row>
    <row r="8214" spans="5:5" x14ac:dyDescent="0.25">
      <c r="E8214" s="102"/>
    </row>
    <row r="8215" spans="5:5" x14ac:dyDescent="0.25">
      <c r="E8215" s="102"/>
    </row>
    <row r="8216" spans="5:5" x14ac:dyDescent="0.25">
      <c r="E8216" s="102"/>
    </row>
    <row r="8217" spans="5:5" x14ac:dyDescent="0.25">
      <c r="E8217" s="102"/>
    </row>
    <row r="8218" spans="5:5" x14ac:dyDescent="0.25">
      <c r="E8218" s="102"/>
    </row>
    <row r="8219" spans="5:5" x14ac:dyDescent="0.25">
      <c r="E8219" s="102"/>
    </row>
    <row r="8220" spans="5:5" x14ac:dyDescent="0.25">
      <c r="E8220" s="102"/>
    </row>
    <row r="8221" spans="5:5" x14ac:dyDescent="0.25">
      <c r="E8221" s="102"/>
    </row>
    <row r="8222" spans="5:5" x14ac:dyDescent="0.25">
      <c r="E8222" s="102"/>
    </row>
    <row r="8223" spans="5:5" x14ac:dyDescent="0.25">
      <c r="E8223" s="102"/>
    </row>
    <row r="8224" spans="5:5" x14ac:dyDescent="0.25">
      <c r="E8224" s="102"/>
    </row>
    <row r="8225" spans="5:5" x14ac:dyDescent="0.25">
      <c r="E8225" s="102"/>
    </row>
    <row r="8226" spans="5:5" x14ac:dyDescent="0.25">
      <c r="E8226" s="102"/>
    </row>
    <row r="8227" spans="5:5" x14ac:dyDescent="0.25">
      <c r="E8227" s="102"/>
    </row>
    <row r="8228" spans="5:5" x14ac:dyDescent="0.25">
      <c r="E8228" s="102"/>
    </row>
    <row r="8229" spans="5:5" x14ac:dyDescent="0.25">
      <c r="E8229" s="102"/>
    </row>
    <row r="8230" spans="5:5" x14ac:dyDescent="0.25">
      <c r="E8230" s="102"/>
    </row>
    <row r="8231" spans="5:5" x14ac:dyDescent="0.25">
      <c r="E8231" s="102"/>
    </row>
    <row r="8232" spans="5:5" x14ac:dyDescent="0.25">
      <c r="E8232" s="102"/>
    </row>
    <row r="8233" spans="5:5" x14ac:dyDescent="0.25">
      <c r="E8233" s="102"/>
    </row>
    <row r="8234" spans="5:5" x14ac:dyDescent="0.25">
      <c r="E8234" s="102"/>
    </row>
    <row r="8235" spans="5:5" x14ac:dyDescent="0.25">
      <c r="E8235" s="102"/>
    </row>
    <row r="8236" spans="5:5" x14ac:dyDescent="0.25">
      <c r="E8236" s="102"/>
    </row>
    <row r="8237" spans="5:5" x14ac:dyDescent="0.25">
      <c r="E8237" s="102"/>
    </row>
    <row r="8238" spans="5:5" x14ac:dyDescent="0.25">
      <c r="E8238" s="102"/>
    </row>
    <row r="8239" spans="5:5" x14ac:dyDescent="0.25">
      <c r="E8239" s="102"/>
    </row>
    <row r="8240" spans="5:5" x14ac:dyDescent="0.25">
      <c r="E8240" s="102"/>
    </row>
    <row r="8241" spans="5:5" x14ac:dyDescent="0.25">
      <c r="E8241" s="102"/>
    </row>
    <row r="8242" spans="5:5" x14ac:dyDescent="0.25">
      <c r="E8242" s="102"/>
    </row>
    <row r="8243" spans="5:5" x14ac:dyDescent="0.25">
      <c r="E8243" s="102"/>
    </row>
    <row r="8244" spans="5:5" x14ac:dyDescent="0.25">
      <c r="E8244" s="102"/>
    </row>
    <row r="8245" spans="5:5" x14ac:dyDescent="0.25">
      <c r="E8245" s="102"/>
    </row>
    <row r="8246" spans="5:5" x14ac:dyDescent="0.25">
      <c r="E8246" s="102"/>
    </row>
    <row r="8247" spans="5:5" x14ac:dyDescent="0.25">
      <c r="E8247" s="102"/>
    </row>
    <row r="8248" spans="5:5" x14ac:dyDescent="0.25">
      <c r="E8248" s="102"/>
    </row>
    <row r="8249" spans="5:5" x14ac:dyDescent="0.25">
      <c r="E8249" s="102"/>
    </row>
    <row r="8250" spans="5:5" x14ac:dyDescent="0.25">
      <c r="E8250" s="102"/>
    </row>
    <row r="8251" spans="5:5" x14ac:dyDescent="0.25">
      <c r="E8251" s="102"/>
    </row>
    <row r="8252" spans="5:5" x14ac:dyDescent="0.25">
      <c r="E8252" s="102"/>
    </row>
    <row r="8253" spans="5:5" x14ac:dyDescent="0.25">
      <c r="E8253" s="102"/>
    </row>
    <row r="8254" spans="5:5" x14ac:dyDescent="0.25">
      <c r="E8254" s="102"/>
    </row>
    <row r="8255" spans="5:5" x14ac:dyDescent="0.25">
      <c r="E8255" s="102"/>
    </row>
    <row r="8256" spans="5:5" x14ac:dyDescent="0.25">
      <c r="E8256" s="102"/>
    </row>
    <row r="8257" spans="5:5" x14ac:dyDescent="0.25">
      <c r="E8257" s="102"/>
    </row>
    <row r="8258" spans="5:5" x14ac:dyDescent="0.25">
      <c r="E8258" s="102"/>
    </row>
    <row r="8259" spans="5:5" x14ac:dyDescent="0.25">
      <c r="E8259" s="102"/>
    </row>
    <row r="8260" spans="5:5" x14ac:dyDescent="0.25">
      <c r="E8260" s="102"/>
    </row>
    <row r="8261" spans="5:5" x14ac:dyDescent="0.25">
      <c r="E8261" s="102"/>
    </row>
    <row r="8262" spans="5:5" x14ac:dyDescent="0.25">
      <c r="E8262" s="102"/>
    </row>
    <row r="8263" spans="5:5" x14ac:dyDescent="0.25">
      <c r="E8263" s="102"/>
    </row>
    <row r="8264" spans="5:5" x14ac:dyDescent="0.25">
      <c r="E8264" s="102"/>
    </row>
    <row r="8265" spans="5:5" x14ac:dyDescent="0.25">
      <c r="E8265" s="102"/>
    </row>
    <row r="8266" spans="5:5" x14ac:dyDescent="0.25">
      <c r="E8266" s="102"/>
    </row>
    <row r="8267" spans="5:5" x14ac:dyDescent="0.25">
      <c r="E8267" s="102"/>
    </row>
    <row r="8268" spans="5:5" x14ac:dyDescent="0.25">
      <c r="E8268" s="102"/>
    </row>
    <row r="8269" spans="5:5" x14ac:dyDescent="0.25">
      <c r="E8269" s="102"/>
    </row>
    <row r="8270" spans="5:5" x14ac:dyDescent="0.25">
      <c r="E8270" s="102"/>
    </row>
    <row r="8271" spans="5:5" x14ac:dyDescent="0.25">
      <c r="E8271" s="102"/>
    </row>
    <row r="8272" spans="5:5" x14ac:dyDescent="0.25">
      <c r="E8272" s="102"/>
    </row>
    <row r="8273" spans="5:5" x14ac:dyDescent="0.25">
      <c r="E8273" s="102"/>
    </row>
    <row r="8274" spans="5:5" x14ac:dyDescent="0.25">
      <c r="E8274" s="102"/>
    </row>
    <row r="8275" spans="5:5" x14ac:dyDescent="0.25">
      <c r="E8275" s="102"/>
    </row>
    <row r="8276" spans="5:5" x14ac:dyDescent="0.25">
      <c r="E8276" s="102"/>
    </row>
    <row r="8277" spans="5:5" x14ac:dyDescent="0.25">
      <c r="E8277" s="102"/>
    </row>
    <row r="8278" spans="5:5" x14ac:dyDescent="0.25">
      <c r="E8278" s="102"/>
    </row>
    <row r="8279" spans="5:5" x14ac:dyDescent="0.25">
      <c r="E8279" s="102"/>
    </row>
    <row r="8280" spans="5:5" x14ac:dyDescent="0.25">
      <c r="E8280" s="102"/>
    </row>
    <row r="8281" spans="5:5" x14ac:dyDescent="0.25">
      <c r="E8281" s="102"/>
    </row>
    <row r="8282" spans="5:5" x14ac:dyDescent="0.25">
      <c r="E8282" s="102"/>
    </row>
    <row r="8283" spans="5:5" x14ac:dyDescent="0.25">
      <c r="E8283" s="102"/>
    </row>
    <row r="8284" spans="5:5" x14ac:dyDescent="0.25">
      <c r="E8284" s="102"/>
    </row>
    <row r="8285" spans="5:5" x14ac:dyDescent="0.25">
      <c r="E8285" s="102"/>
    </row>
    <row r="8286" spans="5:5" x14ac:dyDescent="0.25">
      <c r="E8286" s="102"/>
    </row>
    <row r="8287" spans="5:5" x14ac:dyDescent="0.25">
      <c r="E8287" s="102"/>
    </row>
    <row r="8288" spans="5:5" x14ac:dyDescent="0.25">
      <c r="E8288" s="102"/>
    </row>
    <row r="8289" spans="5:5" x14ac:dyDescent="0.25">
      <c r="E8289" s="102"/>
    </row>
    <row r="8290" spans="5:5" x14ac:dyDescent="0.25">
      <c r="E8290" s="102"/>
    </row>
    <row r="8291" spans="5:5" x14ac:dyDescent="0.25">
      <c r="E8291" s="102"/>
    </row>
    <row r="8292" spans="5:5" x14ac:dyDescent="0.25">
      <c r="E8292" s="102"/>
    </row>
    <row r="8293" spans="5:5" x14ac:dyDescent="0.25">
      <c r="E8293" s="102"/>
    </row>
    <row r="8294" spans="5:5" x14ac:dyDescent="0.25">
      <c r="E8294" s="102"/>
    </row>
    <row r="8295" spans="5:5" x14ac:dyDescent="0.25">
      <c r="E8295" s="102"/>
    </row>
    <row r="8296" spans="5:5" x14ac:dyDescent="0.25">
      <c r="E8296" s="102"/>
    </row>
    <row r="8297" spans="5:5" x14ac:dyDescent="0.25">
      <c r="E8297" s="102"/>
    </row>
    <row r="8298" spans="5:5" x14ac:dyDescent="0.25">
      <c r="E8298" s="102"/>
    </row>
    <row r="8299" spans="5:5" x14ac:dyDescent="0.25">
      <c r="E8299" s="102"/>
    </row>
    <row r="8300" spans="5:5" x14ac:dyDescent="0.25">
      <c r="E8300" s="102"/>
    </row>
    <row r="8301" spans="5:5" x14ac:dyDescent="0.25">
      <c r="E8301" s="102"/>
    </row>
    <row r="8302" spans="5:5" x14ac:dyDescent="0.25">
      <c r="E8302" s="102"/>
    </row>
    <row r="8303" spans="5:5" x14ac:dyDescent="0.25">
      <c r="E8303" s="102"/>
    </row>
    <row r="8304" spans="5:5" x14ac:dyDescent="0.25">
      <c r="E8304" s="102"/>
    </row>
    <row r="8305" spans="5:5" x14ac:dyDescent="0.25">
      <c r="E8305" s="102"/>
    </row>
    <row r="8306" spans="5:5" x14ac:dyDescent="0.25">
      <c r="E8306" s="102"/>
    </row>
    <row r="8307" spans="5:5" x14ac:dyDescent="0.25">
      <c r="E8307" s="102"/>
    </row>
    <row r="8308" spans="5:5" x14ac:dyDescent="0.25">
      <c r="E8308" s="102"/>
    </row>
    <row r="8309" spans="5:5" x14ac:dyDescent="0.25">
      <c r="E8309" s="102"/>
    </row>
    <row r="8310" spans="5:5" x14ac:dyDescent="0.25">
      <c r="E8310" s="102"/>
    </row>
    <row r="8311" spans="5:5" x14ac:dyDescent="0.25">
      <c r="E8311" s="102"/>
    </row>
    <row r="8312" spans="5:5" x14ac:dyDescent="0.25">
      <c r="E8312" s="102"/>
    </row>
    <row r="8313" spans="5:5" x14ac:dyDescent="0.25">
      <c r="E8313" s="102"/>
    </row>
    <row r="8314" spans="5:5" x14ac:dyDescent="0.25">
      <c r="E8314" s="102"/>
    </row>
    <row r="8315" spans="5:5" x14ac:dyDescent="0.25">
      <c r="E8315" s="102"/>
    </row>
    <row r="8316" spans="5:5" x14ac:dyDescent="0.25">
      <c r="E8316" s="102"/>
    </row>
    <row r="8317" spans="5:5" x14ac:dyDescent="0.25">
      <c r="E8317" s="102"/>
    </row>
    <row r="8318" spans="5:5" x14ac:dyDescent="0.25">
      <c r="E8318" s="102"/>
    </row>
    <row r="8319" spans="5:5" x14ac:dyDescent="0.25">
      <c r="E8319" s="102"/>
    </row>
    <row r="8320" spans="5:5" x14ac:dyDescent="0.25">
      <c r="E8320" s="102"/>
    </row>
    <row r="8321" spans="5:5" x14ac:dyDescent="0.25">
      <c r="E8321" s="102"/>
    </row>
    <row r="8322" spans="5:5" x14ac:dyDescent="0.25">
      <c r="E8322" s="102"/>
    </row>
    <row r="8323" spans="5:5" x14ac:dyDescent="0.25">
      <c r="E8323" s="102"/>
    </row>
    <row r="8324" spans="5:5" x14ac:dyDescent="0.25">
      <c r="E8324" s="102"/>
    </row>
    <row r="8325" spans="5:5" x14ac:dyDescent="0.25">
      <c r="E8325" s="102"/>
    </row>
    <row r="8326" spans="5:5" x14ac:dyDescent="0.25">
      <c r="E8326" s="102"/>
    </row>
    <row r="8327" spans="5:5" x14ac:dyDescent="0.25">
      <c r="E8327" s="102"/>
    </row>
    <row r="8328" spans="5:5" x14ac:dyDescent="0.25">
      <c r="E8328" s="102"/>
    </row>
    <row r="8329" spans="5:5" x14ac:dyDescent="0.25">
      <c r="E8329" s="102"/>
    </row>
    <row r="8330" spans="5:5" x14ac:dyDescent="0.25">
      <c r="E8330" s="102"/>
    </row>
    <row r="8331" spans="5:5" x14ac:dyDescent="0.25">
      <c r="E8331" s="102"/>
    </row>
    <row r="8332" spans="5:5" x14ac:dyDescent="0.25">
      <c r="E8332" s="102"/>
    </row>
    <row r="8333" spans="5:5" x14ac:dyDescent="0.25">
      <c r="E8333" s="102"/>
    </row>
    <row r="8334" spans="5:5" x14ac:dyDescent="0.25">
      <c r="E8334" s="102"/>
    </row>
    <row r="8335" spans="5:5" x14ac:dyDescent="0.25">
      <c r="E8335" s="102"/>
    </row>
    <row r="8336" spans="5:5" x14ac:dyDescent="0.25">
      <c r="E8336" s="102"/>
    </row>
    <row r="8337" spans="5:5" x14ac:dyDescent="0.25">
      <c r="E8337" s="102"/>
    </row>
    <row r="8338" spans="5:5" x14ac:dyDescent="0.25">
      <c r="E8338" s="102"/>
    </row>
    <row r="8339" spans="5:5" x14ac:dyDescent="0.25">
      <c r="E8339" s="102"/>
    </row>
    <row r="8340" spans="5:5" x14ac:dyDescent="0.25">
      <c r="E8340" s="102"/>
    </row>
    <row r="8341" spans="5:5" x14ac:dyDescent="0.25">
      <c r="E8341" s="102"/>
    </row>
    <row r="8342" spans="5:5" x14ac:dyDescent="0.25">
      <c r="E8342" s="102"/>
    </row>
    <row r="8343" spans="5:5" x14ac:dyDescent="0.25">
      <c r="E8343" s="102"/>
    </row>
    <row r="8344" spans="5:5" x14ac:dyDescent="0.25">
      <c r="E8344" s="102"/>
    </row>
    <row r="8345" spans="5:5" x14ac:dyDescent="0.25">
      <c r="E8345" s="102"/>
    </row>
    <row r="8346" spans="5:5" x14ac:dyDescent="0.25">
      <c r="E8346" s="102"/>
    </row>
    <row r="8347" spans="5:5" x14ac:dyDescent="0.25">
      <c r="E8347" s="102"/>
    </row>
    <row r="8348" spans="5:5" x14ac:dyDescent="0.25">
      <c r="E8348" s="102"/>
    </row>
    <row r="8349" spans="5:5" x14ac:dyDescent="0.25">
      <c r="E8349" s="102"/>
    </row>
    <row r="8350" spans="5:5" x14ac:dyDescent="0.25">
      <c r="E8350" s="102"/>
    </row>
    <row r="8351" spans="5:5" x14ac:dyDescent="0.25">
      <c r="E8351" s="102"/>
    </row>
    <row r="8352" spans="5:5" x14ac:dyDescent="0.25">
      <c r="E8352" s="102"/>
    </row>
    <row r="8353" spans="5:5" x14ac:dyDescent="0.25">
      <c r="E8353" s="102"/>
    </row>
    <row r="8354" spans="5:5" x14ac:dyDescent="0.25">
      <c r="E8354" s="102"/>
    </row>
    <row r="8355" spans="5:5" x14ac:dyDescent="0.25">
      <c r="E8355" s="102"/>
    </row>
    <row r="8356" spans="5:5" x14ac:dyDescent="0.25">
      <c r="E8356" s="102"/>
    </row>
    <row r="8357" spans="5:5" x14ac:dyDescent="0.25">
      <c r="E8357" s="102"/>
    </row>
    <row r="8358" spans="5:5" x14ac:dyDescent="0.25">
      <c r="E8358" s="102"/>
    </row>
    <row r="8359" spans="5:5" x14ac:dyDescent="0.25">
      <c r="E8359" s="102"/>
    </row>
    <row r="8360" spans="5:5" x14ac:dyDescent="0.25">
      <c r="E8360" s="102"/>
    </row>
    <row r="8361" spans="5:5" x14ac:dyDescent="0.25">
      <c r="E8361" s="102"/>
    </row>
    <row r="8362" spans="5:5" x14ac:dyDescent="0.25">
      <c r="E8362" s="102"/>
    </row>
    <row r="8363" spans="5:5" x14ac:dyDescent="0.25">
      <c r="E8363" s="102"/>
    </row>
    <row r="8364" spans="5:5" x14ac:dyDescent="0.25">
      <c r="E8364" s="102"/>
    </row>
    <row r="8365" spans="5:5" x14ac:dyDescent="0.25">
      <c r="E8365" s="102"/>
    </row>
    <row r="8366" spans="5:5" x14ac:dyDescent="0.25">
      <c r="E8366" s="102"/>
    </row>
    <row r="8367" spans="5:5" x14ac:dyDescent="0.25">
      <c r="E8367" s="102"/>
    </row>
    <row r="8368" spans="5:5" x14ac:dyDescent="0.25">
      <c r="E8368" s="102"/>
    </row>
    <row r="8369" spans="5:5" x14ac:dyDescent="0.25">
      <c r="E8369" s="102"/>
    </row>
    <row r="8370" spans="5:5" x14ac:dyDescent="0.25">
      <c r="E8370" s="102"/>
    </row>
    <row r="8371" spans="5:5" x14ac:dyDescent="0.25">
      <c r="E8371" s="102"/>
    </row>
    <row r="8372" spans="5:5" x14ac:dyDescent="0.25">
      <c r="E8372" s="102"/>
    </row>
    <row r="8373" spans="5:5" x14ac:dyDescent="0.25">
      <c r="E8373" s="102"/>
    </row>
    <row r="8374" spans="5:5" x14ac:dyDescent="0.25">
      <c r="E8374" s="102"/>
    </row>
    <row r="8375" spans="5:5" x14ac:dyDescent="0.25">
      <c r="E8375" s="102"/>
    </row>
    <row r="8376" spans="5:5" x14ac:dyDescent="0.25">
      <c r="E8376" s="102"/>
    </row>
    <row r="8377" spans="5:5" x14ac:dyDescent="0.25">
      <c r="E8377" s="102"/>
    </row>
    <row r="8378" spans="5:5" x14ac:dyDescent="0.25">
      <c r="E8378" s="102"/>
    </row>
    <row r="8379" spans="5:5" x14ac:dyDescent="0.25">
      <c r="E8379" s="102"/>
    </row>
    <row r="8380" spans="5:5" x14ac:dyDescent="0.25">
      <c r="E8380" s="102"/>
    </row>
    <row r="8381" spans="5:5" x14ac:dyDescent="0.25">
      <c r="E8381" s="102"/>
    </row>
    <row r="8382" spans="5:5" x14ac:dyDescent="0.25">
      <c r="E8382" s="102"/>
    </row>
    <row r="8383" spans="5:5" x14ac:dyDescent="0.25">
      <c r="E8383" s="102"/>
    </row>
    <row r="8384" spans="5:5" x14ac:dyDescent="0.25">
      <c r="E8384" s="102"/>
    </row>
    <row r="8385" spans="5:5" x14ac:dyDescent="0.25">
      <c r="E8385" s="102"/>
    </row>
    <row r="8386" spans="5:5" x14ac:dyDescent="0.25">
      <c r="E8386" s="102"/>
    </row>
    <row r="8387" spans="5:5" x14ac:dyDescent="0.25">
      <c r="E8387" s="102"/>
    </row>
    <row r="8388" spans="5:5" x14ac:dyDescent="0.25">
      <c r="E8388" s="102"/>
    </row>
    <row r="8389" spans="5:5" x14ac:dyDescent="0.25">
      <c r="E8389" s="102"/>
    </row>
    <row r="8390" spans="5:5" x14ac:dyDescent="0.25">
      <c r="E8390" s="102"/>
    </row>
    <row r="8391" spans="5:5" x14ac:dyDescent="0.25">
      <c r="E8391" s="102"/>
    </row>
    <row r="8392" spans="5:5" x14ac:dyDescent="0.25">
      <c r="E8392" s="102"/>
    </row>
    <row r="8393" spans="5:5" x14ac:dyDescent="0.25">
      <c r="E8393" s="102"/>
    </row>
    <row r="8394" spans="5:5" x14ac:dyDescent="0.25">
      <c r="E8394" s="102"/>
    </row>
    <row r="8395" spans="5:5" x14ac:dyDescent="0.25">
      <c r="E8395" s="102"/>
    </row>
    <row r="8396" spans="5:5" x14ac:dyDescent="0.25">
      <c r="E8396" s="102"/>
    </row>
    <row r="8397" spans="5:5" x14ac:dyDescent="0.25">
      <c r="E8397" s="102"/>
    </row>
    <row r="8398" spans="5:5" x14ac:dyDescent="0.25">
      <c r="E8398" s="102"/>
    </row>
    <row r="8399" spans="5:5" x14ac:dyDescent="0.25">
      <c r="E8399" s="102"/>
    </row>
    <row r="8400" spans="5:5" x14ac:dyDescent="0.25">
      <c r="E8400" s="102"/>
    </row>
    <row r="8401" spans="5:5" x14ac:dyDescent="0.25">
      <c r="E8401" s="102"/>
    </row>
    <row r="8402" spans="5:5" x14ac:dyDescent="0.25">
      <c r="E8402" s="102"/>
    </row>
    <row r="8403" spans="5:5" x14ac:dyDescent="0.25">
      <c r="E8403" s="102"/>
    </row>
    <row r="8404" spans="5:5" x14ac:dyDescent="0.25">
      <c r="E8404" s="102"/>
    </row>
    <row r="8405" spans="5:5" x14ac:dyDescent="0.25">
      <c r="E8405" s="102"/>
    </row>
    <row r="8406" spans="5:5" x14ac:dyDescent="0.25">
      <c r="E8406" s="102"/>
    </row>
    <row r="8407" spans="5:5" x14ac:dyDescent="0.25">
      <c r="E8407" s="102"/>
    </row>
    <row r="8408" spans="5:5" x14ac:dyDescent="0.25">
      <c r="E8408" s="102"/>
    </row>
    <row r="8409" spans="5:5" x14ac:dyDescent="0.25">
      <c r="E8409" s="102"/>
    </row>
    <row r="8410" spans="5:5" x14ac:dyDescent="0.25">
      <c r="E8410" s="102"/>
    </row>
    <row r="8411" spans="5:5" x14ac:dyDescent="0.25">
      <c r="E8411" s="102"/>
    </row>
    <row r="8412" spans="5:5" x14ac:dyDescent="0.25">
      <c r="E8412" s="102"/>
    </row>
    <row r="8413" spans="5:5" x14ac:dyDescent="0.25">
      <c r="E8413" s="102"/>
    </row>
    <row r="8414" spans="5:5" x14ac:dyDescent="0.25">
      <c r="E8414" s="102"/>
    </row>
    <row r="8415" spans="5:5" x14ac:dyDescent="0.25">
      <c r="E8415" s="102"/>
    </row>
    <row r="8416" spans="5:5" x14ac:dyDescent="0.25">
      <c r="E8416" s="102"/>
    </row>
    <row r="8417" spans="5:5" x14ac:dyDescent="0.25">
      <c r="E8417" s="102"/>
    </row>
    <row r="8418" spans="5:5" x14ac:dyDescent="0.25">
      <c r="E8418" s="102"/>
    </row>
    <row r="8419" spans="5:5" x14ac:dyDescent="0.25">
      <c r="E8419" s="102"/>
    </row>
    <row r="8420" spans="5:5" x14ac:dyDescent="0.25">
      <c r="E8420" s="102"/>
    </row>
    <row r="8421" spans="5:5" x14ac:dyDescent="0.25">
      <c r="E8421" s="102"/>
    </row>
    <row r="8422" spans="5:5" x14ac:dyDescent="0.25">
      <c r="E8422" s="102"/>
    </row>
    <row r="8423" spans="5:5" x14ac:dyDescent="0.25">
      <c r="E8423" s="102"/>
    </row>
    <row r="8424" spans="5:5" x14ac:dyDescent="0.25">
      <c r="E8424" s="102"/>
    </row>
    <row r="8425" spans="5:5" x14ac:dyDescent="0.25">
      <c r="E8425" s="102"/>
    </row>
    <row r="8426" spans="5:5" x14ac:dyDescent="0.25">
      <c r="E8426" s="102"/>
    </row>
    <row r="8427" spans="5:5" x14ac:dyDescent="0.25">
      <c r="E8427" s="102"/>
    </row>
    <row r="8428" spans="5:5" x14ac:dyDescent="0.25">
      <c r="E8428" s="102"/>
    </row>
    <row r="8429" spans="5:5" x14ac:dyDescent="0.25">
      <c r="E8429" s="102"/>
    </row>
    <row r="8430" spans="5:5" x14ac:dyDescent="0.25">
      <c r="E8430" s="102"/>
    </row>
    <row r="8431" spans="5:5" x14ac:dyDescent="0.25">
      <c r="E8431" s="102"/>
    </row>
    <row r="8432" spans="5:5" x14ac:dyDescent="0.25">
      <c r="E8432" s="102"/>
    </row>
    <row r="8433" spans="5:5" x14ac:dyDescent="0.25">
      <c r="E8433" s="102"/>
    </row>
    <row r="8434" spans="5:5" x14ac:dyDescent="0.25">
      <c r="E8434" s="102"/>
    </row>
    <row r="8435" spans="5:5" x14ac:dyDescent="0.25">
      <c r="E8435" s="102"/>
    </row>
    <row r="8436" spans="5:5" x14ac:dyDescent="0.25">
      <c r="E8436" s="102"/>
    </row>
    <row r="8437" spans="5:5" x14ac:dyDescent="0.25">
      <c r="E8437" s="102"/>
    </row>
    <row r="8438" spans="5:5" x14ac:dyDescent="0.25">
      <c r="E8438" s="102"/>
    </row>
    <row r="8439" spans="5:5" x14ac:dyDescent="0.25">
      <c r="E8439" s="102"/>
    </row>
    <row r="8440" spans="5:5" x14ac:dyDescent="0.25">
      <c r="E8440" s="102"/>
    </row>
    <row r="8441" spans="5:5" x14ac:dyDescent="0.25">
      <c r="E8441" s="102"/>
    </row>
    <row r="8442" spans="5:5" x14ac:dyDescent="0.25">
      <c r="E8442" s="102"/>
    </row>
    <row r="8443" spans="5:5" x14ac:dyDescent="0.25">
      <c r="E8443" s="102"/>
    </row>
    <row r="8444" spans="5:5" x14ac:dyDescent="0.25">
      <c r="E8444" s="102"/>
    </row>
    <row r="8445" spans="5:5" x14ac:dyDescent="0.25">
      <c r="E8445" s="102"/>
    </row>
    <row r="8446" spans="5:5" x14ac:dyDescent="0.25">
      <c r="E8446" s="102"/>
    </row>
    <row r="8447" spans="5:5" x14ac:dyDescent="0.25">
      <c r="E8447" s="102"/>
    </row>
    <row r="8448" spans="5:5" x14ac:dyDescent="0.25">
      <c r="E8448" s="102"/>
    </row>
    <row r="8449" spans="5:5" x14ac:dyDescent="0.25">
      <c r="E8449" s="102"/>
    </row>
    <row r="8450" spans="5:5" x14ac:dyDescent="0.25">
      <c r="E8450" s="102"/>
    </row>
    <row r="8451" spans="5:5" x14ac:dyDescent="0.25">
      <c r="E8451" s="102"/>
    </row>
    <row r="8452" spans="5:5" x14ac:dyDescent="0.25">
      <c r="E8452" s="102"/>
    </row>
    <row r="8453" spans="5:5" x14ac:dyDescent="0.25">
      <c r="E8453" s="102"/>
    </row>
    <row r="8454" spans="5:5" x14ac:dyDescent="0.25">
      <c r="E8454" s="102"/>
    </row>
    <row r="8455" spans="5:5" x14ac:dyDescent="0.25">
      <c r="E8455" s="102"/>
    </row>
    <row r="8456" spans="5:5" x14ac:dyDescent="0.25">
      <c r="E8456" s="102"/>
    </row>
    <row r="8457" spans="5:5" x14ac:dyDescent="0.25">
      <c r="E8457" s="102"/>
    </row>
    <row r="8458" spans="5:5" x14ac:dyDescent="0.25">
      <c r="E8458" s="102"/>
    </row>
    <row r="8459" spans="5:5" x14ac:dyDescent="0.25">
      <c r="E8459" s="102"/>
    </row>
    <row r="8460" spans="5:5" x14ac:dyDescent="0.25">
      <c r="E8460" s="102"/>
    </row>
    <row r="8461" spans="5:5" x14ac:dyDescent="0.25">
      <c r="E8461" s="102"/>
    </row>
    <row r="8462" spans="5:5" x14ac:dyDescent="0.25">
      <c r="E8462" s="102"/>
    </row>
    <row r="8463" spans="5:5" x14ac:dyDescent="0.25">
      <c r="E8463" s="102"/>
    </row>
    <row r="8464" spans="5:5" x14ac:dyDescent="0.25">
      <c r="E8464" s="102"/>
    </row>
    <row r="8465" spans="5:5" x14ac:dyDescent="0.25">
      <c r="E8465" s="102"/>
    </row>
    <row r="8466" spans="5:5" x14ac:dyDescent="0.25">
      <c r="E8466" s="102"/>
    </row>
    <row r="8467" spans="5:5" x14ac:dyDescent="0.25">
      <c r="E8467" s="102"/>
    </row>
    <row r="8468" spans="5:5" x14ac:dyDescent="0.25">
      <c r="E8468" s="102"/>
    </row>
    <row r="8469" spans="5:5" x14ac:dyDescent="0.25">
      <c r="E8469" s="102"/>
    </row>
    <row r="8470" spans="5:5" x14ac:dyDescent="0.25">
      <c r="E8470" s="102"/>
    </row>
    <row r="8471" spans="5:5" x14ac:dyDescent="0.25">
      <c r="E8471" s="102"/>
    </row>
    <row r="8472" spans="5:5" x14ac:dyDescent="0.25">
      <c r="E8472" s="102"/>
    </row>
    <row r="8473" spans="5:5" x14ac:dyDescent="0.25">
      <c r="E8473" s="102"/>
    </row>
    <row r="8474" spans="5:5" x14ac:dyDescent="0.25">
      <c r="E8474" s="102"/>
    </row>
    <row r="8475" spans="5:5" x14ac:dyDescent="0.25">
      <c r="E8475" s="102"/>
    </row>
    <row r="8476" spans="5:5" x14ac:dyDescent="0.25">
      <c r="E8476" s="102"/>
    </row>
    <row r="8477" spans="5:5" x14ac:dyDescent="0.25">
      <c r="E8477" s="102"/>
    </row>
    <row r="8478" spans="5:5" x14ac:dyDescent="0.25">
      <c r="E8478" s="102"/>
    </row>
    <row r="8479" spans="5:5" x14ac:dyDescent="0.25">
      <c r="E8479" s="102"/>
    </row>
    <row r="8480" spans="5:5" x14ac:dyDescent="0.25">
      <c r="E8480" s="102"/>
    </row>
    <row r="8481" spans="5:5" x14ac:dyDescent="0.25">
      <c r="E8481" s="102"/>
    </row>
    <row r="8482" spans="5:5" x14ac:dyDescent="0.25">
      <c r="E8482" s="102"/>
    </row>
    <row r="8483" spans="5:5" x14ac:dyDescent="0.25">
      <c r="E8483" s="102"/>
    </row>
    <row r="8484" spans="5:5" x14ac:dyDescent="0.25">
      <c r="E8484" s="102"/>
    </row>
    <row r="8485" spans="5:5" x14ac:dyDescent="0.25">
      <c r="E8485" s="102"/>
    </row>
    <row r="8486" spans="5:5" x14ac:dyDescent="0.25">
      <c r="E8486" s="102"/>
    </row>
    <row r="8487" spans="5:5" x14ac:dyDescent="0.25">
      <c r="E8487" s="102"/>
    </row>
    <row r="8488" spans="5:5" x14ac:dyDescent="0.25">
      <c r="E8488" s="102"/>
    </row>
    <row r="8489" spans="5:5" x14ac:dyDescent="0.25">
      <c r="E8489" s="102"/>
    </row>
    <row r="8490" spans="5:5" x14ac:dyDescent="0.25">
      <c r="E8490" s="102"/>
    </row>
    <row r="8491" spans="5:5" x14ac:dyDescent="0.25">
      <c r="E8491" s="102"/>
    </row>
    <row r="8492" spans="5:5" x14ac:dyDescent="0.25">
      <c r="E8492" s="102"/>
    </row>
    <row r="8493" spans="5:5" x14ac:dyDescent="0.25">
      <c r="E8493" s="102"/>
    </row>
    <row r="8494" spans="5:5" x14ac:dyDescent="0.25">
      <c r="E8494" s="102"/>
    </row>
    <row r="8495" spans="5:5" x14ac:dyDescent="0.25">
      <c r="E8495" s="102"/>
    </row>
    <row r="8496" spans="5:5" x14ac:dyDescent="0.25">
      <c r="E8496" s="102"/>
    </row>
    <row r="8497" spans="5:5" x14ac:dyDescent="0.25">
      <c r="E8497" s="102"/>
    </row>
    <row r="8498" spans="5:5" x14ac:dyDescent="0.25">
      <c r="E8498" s="102"/>
    </row>
    <row r="8499" spans="5:5" x14ac:dyDescent="0.25">
      <c r="E8499" s="102"/>
    </row>
    <row r="8500" spans="5:5" x14ac:dyDescent="0.25">
      <c r="E8500" s="102"/>
    </row>
    <row r="8501" spans="5:5" x14ac:dyDescent="0.25">
      <c r="E8501" s="102"/>
    </row>
    <row r="8502" spans="5:5" x14ac:dyDescent="0.25">
      <c r="E8502" s="102"/>
    </row>
    <row r="8503" spans="5:5" x14ac:dyDescent="0.25">
      <c r="E8503" s="102"/>
    </row>
    <row r="8504" spans="5:5" x14ac:dyDescent="0.25">
      <c r="E8504" s="102"/>
    </row>
    <row r="8505" spans="5:5" x14ac:dyDescent="0.25">
      <c r="E8505" s="102"/>
    </row>
    <row r="8506" spans="5:5" x14ac:dyDescent="0.25">
      <c r="E8506" s="102"/>
    </row>
    <row r="8507" spans="5:5" x14ac:dyDescent="0.25">
      <c r="E8507" s="102"/>
    </row>
    <row r="8508" spans="5:5" x14ac:dyDescent="0.25">
      <c r="E8508" s="102"/>
    </row>
    <row r="8509" spans="5:5" x14ac:dyDescent="0.25">
      <c r="E8509" s="102"/>
    </row>
    <row r="8510" spans="5:5" x14ac:dyDescent="0.25">
      <c r="E8510" s="102"/>
    </row>
    <row r="8511" spans="5:5" x14ac:dyDescent="0.25">
      <c r="E8511" s="102"/>
    </row>
    <row r="8512" spans="5:5" x14ac:dyDescent="0.25">
      <c r="E8512" s="102"/>
    </row>
    <row r="8513" spans="5:5" x14ac:dyDescent="0.25">
      <c r="E8513" s="102"/>
    </row>
    <row r="8514" spans="5:5" x14ac:dyDescent="0.25">
      <c r="E8514" s="102"/>
    </row>
    <row r="8515" spans="5:5" x14ac:dyDescent="0.25">
      <c r="E8515" s="102"/>
    </row>
    <row r="8516" spans="5:5" x14ac:dyDescent="0.25">
      <c r="E8516" s="102"/>
    </row>
    <row r="8517" spans="5:5" x14ac:dyDescent="0.25">
      <c r="E8517" s="102"/>
    </row>
    <row r="8518" spans="5:5" x14ac:dyDescent="0.25">
      <c r="E8518" s="102"/>
    </row>
    <row r="8519" spans="5:5" x14ac:dyDescent="0.25">
      <c r="E8519" s="102"/>
    </row>
    <row r="8520" spans="5:5" x14ac:dyDescent="0.25">
      <c r="E8520" s="102"/>
    </row>
    <row r="8521" spans="5:5" x14ac:dyDescent="0.25">
      <c r="E8521" s="102"/>
    </row>
    <row r="8522" spans="5:5" x14ac:dyDescent="0.25">
      <c r="E8522" s="102"/>
    </row>
    <row r="8523" spans="5:5" x14ac:dyDescent="0.25">
      <c r="E8523" s="102"/>
    </row>
    <row r="8524" spans="5:5" x14ac:dyDescent="0.25">
      <c r="E8524" s="102"/>
    </row>
    <row r="8525" spans="5:5" x14ac:dyDescent="0.25">
      <c r="E8525" s="102"/>
    </row>
    <row r="8526" spans="5:5" x14ac:dyDescent="0.25">
      <c r="E8526" s="102"/>
    </row>
    <row r="8527" spans="5:5" x14ac:dyDescent="0.25">
      <c r="E8527" s="102"/>
    </row>
    <row r="8528" spans="5:5" x14ac:dyDescent="0.25">
      <c r="E8528" s="102"/>
    </row>
    <row r="8529" spans="5:5" x14ac:dyDescent="0.25">
      <c r="E8529" s="102"/>
    </row>
    <row r="8530" spans="5:5" x14ac:dyDescent="0.25">
      <c r="E8530" s="102"/>
    </row>
    <row r="8531" spans="5:5" x14ac:dyDescent="0.25">
      <c r="E8531" s="102"/>
    </row>
    <row r="8532" spans="5:5" x14ac:dyDescent="0.25">
      <c r="E8532" s="102"/>
    </row>
    <row r="8533" spans="5:5" x14ac:dyDescent="0.25">
      <c r="E8533" s="102"/>
    </row>
    <row r="8534" spans="5:5" x14ac:dyDescent="0.25">
      <c r="E8534" s="102"/>
    </row>
    <row r="8535" spans="5:5" x14ac:dyDescent="0.25">
      <c r="E8535" s="102"/>
    </row>
    <row r="8536" spans="5:5" x14ac:dyDescent="0.25">
      <c r="E8536" s="102"/>
    </row>
    <row r="8537" spans="5:5" x14ac:dyDescent="0.25">
      <c r="E8537" s="102"/>
    </row>
    <row r="8538" spans="5:5" x14ac:dyDescent="0.25">
      <c r="E8538" s="102"/>
    </row>
    <row r="8539" spans="5:5" x14ac:dyDescent="0.25">
      <c r="E8539" s="102"/>
    </row>
    <row r="8540" spans="5:5" x14ac:dyDescent="0.25">
      <c r="E8540" s="102"/>
    </row>
    <row r="8541" spans="5:5" x14ac:dyDescent="0.25">
      <c r="E8541" s="102"/>
    </row>
    <row r="8542" spans="5:5" x14ac:dyDescent="0.25">
      <c r="E8542" s="102"/>
    </row>
    <row r="8543" spans="5:5" x14ac:dyDescent="0.25">
      <c r="E8543" s="102"/>
    </row>
    <row r="8544" spans="5:5" x14ac:dyDescent="0.25">
      <c r="E8544" s="102"/>
    </row>
    <row r="8545" spans="5:5" x14ac:dyDescent="0.25">
      <c r="E8545" s="102"/>
    </row>
    <row r="8546" spans="5:5" x14ac:dyDescent="0.25">
      <c r="E8546" s="102"/>
    </row>
    <row r="8547" spans="5:5" x14ac:dyDescent="0.25">
      <c r="E8547" s="102"/>
    </row>
    <row r="8548" spans="5:5" x14ac:dyDescent="0.25">
      <c r="E8548" s="102"/>
    </row>
    <row r="8549" spans="5:5" x14ac:dyDescent="0.25">
      <c r="E8549" s="102"/>
    </row>
    <row r="8550" spans="5:5" x14ac:dyDescent="0.25">
      <c r="E8550" s="102"/>
    </row>
    <row r="8551" spans="5:5" x14ac:dyDescent="0.25">
      <c r="E8551" s="102"/>
    </row>
    <row r="8552" spans="5:5" x14ac:dyDescent="0.25">
      <c r="E8552" s="102"/>
    </row>
    <row r="8553" spans="5:5" x14ac:dyDescent="0.25">
      <c r="E8553" s="102"/>
    </row>
    <row r="8554" spans="5:5" x14ac:dyDescent="0.25">
      <c r="E8554" s="102"/>
    </row>
    <row r="8555" spans="5:5" x14ac:dyDescent="0.25">
      <c r="E8555" s="102"/>
    </row>
    <row r="8556" spans="5:5" x14ac:dyDescent="0.25">
      <c r="E8556" s="102"/>
    </row>
    <row r="8557" spans="5:5" x14ac:dyDescent="0.25">
      <c r="E8557" s="102"/>
    </row>
    <row r="8558" spans="5:5" x14ac:dyDescent="0.25">
      <c r="E8558" s="102"/>
    </row>
    <row r="8559" spans="5:5" x14ac:dyDescent="0.25">
      <c r="E8559" s="102"/>
    </row>
    <row r="8560" spans="5:5" x14ac:dyDescent="0.25">
      <c r="E8560" s="102"/>
    </row>
    <row r="8561" spans="5:5" x14ac:dyDescent="0.25">
      <c r="E8561" s="102"/>
    </row>
    <row r="8562" spans="5:5" x14ac:dyDescent="0.25">
      <c r="E8562" s="102"/>
    </row>
    <row r="8563" spans="5:5" x14ac:dyDescent="0.25">
      <c r="E8563" s="102"/>
    </row>
    <row r="8564" spans="5:5" x14ac:dyDescent="0.25">
      <c r="E8564" s="102"/>
    </row>
    <row r="8565" spans="5:5" x14ac:dyDescent="0.25">
      <c r="E8565" s="102"/>
    </row>
    <row r="8566" spans="5:5" x14ac:dyDescent="0.25">
      <c r="E8566" s="102"/>
    </row>
    <row r="8567" spans="5:5" x14ac:dyDescent="0.25">
      <c r="E8567" s="102"/>
    </row>
    <row r="8568" spans="5:5" x14ac:dyDescent="0.25">
      <c r="E8568" s="102"/>
    </row>
    <row r="8569" spans="5:5" x14ac:dyDescent="0.25">
      <c r="E8569" s="102"/>
    </row>
    <row r="8570" spans="5:5" x14ac:dyDescent="0.25">
      <c r="E8570" s="102"/>
    </row>
    <row r="8571" spans="5:5" x14ac:dyDescent="0.25">
      <c r="E8571" s="102"/>
    </row>
    <row r="8572" spans="5:5" x14ac:dyDescent="0.25">
      <c r="E8572" s="102"/>
    </row>
    <row r="8573" spans="5:5" x14ac:dyDescent="0.25">
      <c r="E8573" s="102"/>
    </row>
    <row r="8574" spans="5:5" x14ac:dyDescent="0.25">
      <c r="E8574" s="102"/>
    </row>
    <row r="8575" spans="5:5" x14ac:dyDescent="0.25">
      <c r="E8575" s="102"/>
    </row>
    <row r="8576" spans="5:5" x14ac:dyDescent="0.25">
      <c r="E8576" s="102"/>
    </row>
    <row r="8577" spans="5:5" x14ac:dyDescent="0.25">
      <c r="E8577" s="102"/>
    </row>
    <row r="8578" spans="5:5" x14ac:dyDescent="0.25">
      <c r="E8578" s="102"/>
    </row>
    <row r="8579" spans="5:5" x14ac:dyDescent="0.25">
      <c r="E8579" s="102"/>
    </row>
    <row r="8580" spans="5:5" x14ac:dyDescent="0.25">
      <c r="E8580" s="102"/>
    </row>
    <row r="8581" spans="5:5" x14ac:dyDescent="0.25">
      <c r="E8581" s="102"/>
    </row>
    <row r="8582" spans="5:5" x14ac:dyDescent="0.25">
      <c r="E8582" s="102"/>
    </row>
    <row r="8583" spans="5:5" x14ac:dyDescent="0.25">
      <c r="E8583" s="102"/>
    </row>
    <row r="8584" spans="5:5" x14ac:dyDescent="0.25">
      <c r="E8584" s="102"/>
    </row>
    <row r="8585" spans="5:5" x14ac:dyDescent="0.25">
      <c r="E8585" s="102"/>
    </row>
    <row r="8586" spans="5:5" x14ac:dyDescent="0.25">
      <c r="E8586" s="102"/>
    </row>
    <row r="8587" spans="5:5" x14ac:dyDescent="0.25">
      <c r="E8587" s="102"/>
    </row>
    <row r="8588" spans="5:5" x14ac:dyDescent="0.25">
      <c r="E8588" s="102"/>
    </row>
    <row r="8589" spans="5:5" x14ac:dyDescent="0.25">
      <c r="E8589" s="102"/>
    </row>
    <row r="8590" spans="5:5" x14ac:dyDescent="0.25">
      <c r="E8590" s="102"/>
    </row>
    <row r="8591" spans="5:5" x14ac:dyDescent="0.25">
      <c r="E8591" s="102"/>
    </row>
    <row r="8592" spans="5:5" x14ac:dyDescent="0.25">
      <c r="E8592" s="102"/>
    </row>
    <row r="8593" spans="5:5" x14ac:dyDescent="0.25">
      <c r="E8593" s="102"/>
    </row>
    <row r="8594" spans="5:5" x14ac:dyDescent="0.25">
      <c r="E8594" s="102"/>
    </row>
    <row r="8595" spans="5:5" x14ac:dyDescent="0.25">
      <c r="E8595" s="102"/>
    </row>
    <row r="8596" spans="5:5" x14ac:dyDescent="0.25">
      <c r="E8596" s="102"/>
    </row>
    <row r="8597" spans="5:5" x14ac:dyDescent="0.25">
      <c r="E8597" s="102"/>
    </row>
    <row r="8598" spans="5:5" x14ac:dyDescent="0.25">
      <c r="E8598" s="102"/>
    </row>
    <row r="8599" spans="5:5" x14ac:dyDescent="0.25">
      <c r="E8599" s="102"/>
    </row>
    <row r="8600" spans="5:5" x14ac:dyDescent="0.25">
      <c r="E8600" s="102"/>
    </row>
    <row r="8601" spans="5:5" x14ac:dyDescent="0.25">
      <c r="E8601" s="102"/>
    </row>
    <row r="8602" spans="5:5" x14ac:dyDescent="0.25">
      <c r="E8602" s="102"/>
    </row>
    <row r="8603" spans="5:5" x14ac:dyDescent="0.25">
      <c r="E8603" s="102"/>
    </row>
    <row r="8604" spans="5:5" x14ac:dyDescent="0.25">
      <c r="E8604" s="102"/>
    </row>
    <row r="8605" spans="5:5" x14ac:dyDescent="0.25">
      <c r="E8605" s="102"/>
    </row>
    <row r="8606" spans="5:5" x14ac:dyDescent="0.25">
      <c r="E8606" s="102"/>
    </row>
    <row r="8607" spans="5:5" x14ac:dyDescent="0.25">
      <c r="E8607" s="102"/>
    </row>
    <row r="8608" spans="5:5" x14ac:dyDescent="0.25">
      <c r="E8608" s="102"/>
    </row>
    <row r="8609" spans="5:5" x14ac:dyDescent="0.25">
      <c r="E8609" s="102"/>
    </row>
    <row r="8610" spans="5:5" x14ac:dyDescent="0.25">
      <c r="E8610" s="102"/>
    </row>
    <row r="8611" spans="5:5" x14ac:dyDescent="0.25">
      <c r="E8611" s="102"/>
    </row>
    <row r="8612" spans="5:5" x14ac:dyDescent="0.25">
      <c r="E8612" s="102"/>
    </row>
    <row r="8613" spans="5:5" x14ac:dyDescent="0.25">
      <c r="E8613" s="102"/>
    </row>
    <row r="8614" spans="5:5" x14ac:dyDescent="0.25">
      <c r="E8614" s="102"/>
    </row>
    <row r="8615" spans="5:5" x14ac:dyDescent="0.25">
      <c r="E8615" s="102"/>
    </row>
    <row r="8616" spans="5:5" x14ac:dyDescent="0.25">
      <c r="E8616" s="102"/>
    </row>
    <row r="8617" spans="5:5" x14ac:dyDescent="0.25">
      <c r="E8617" s="102"/>
    </row>
    <row r="8618" spans="5:5" x14ac:dyDescent="0.25">
      <c r="E8618" s="102"/>
    </row>
    <row r="8619" spans="5:5" x14ac:dyDescent="0.25">
      <c r="E8619" s="102"/>
    </row>
    <row r="8620" spans="5:5" x14ac:dyDescent="0.25">
      <c r="E8620" s="102"/>
    </row>
    <row r="8621" spans="5:5" x14ac:dyDescent="0.25">
      <c r="E8621" s="102"/>
    </row>
    <row r="8622" spans="5:5" x14ac:dyDescent="0.25">
      <c r="E8622" s="102"/>
    </row>
    <row r="8623" spans="5:5" x14ac:dyDescent="0.25">
      <c r="E8623" s="102"/>
    </row>
    <row r="8624" spans="5:5" x14ac:dyDescent="0.25">
      <c r="E8624" s="102"/>
    </row>
    <row r="8625" spans="5:5" x14ac:dyDescent="0.25">
      <c r="E8625" s="102"/>
    </row>
    <row r="8626" spans="5:5" x14ac:dyDescent="0.25">
      <c r="E8626" s="102"/>
    </row>
    <row r="8627" spans="5:5" x14ac:dyDescent="0.25">
      <c r="E8627" s="102"/>
    </row>
    <row r="8628" spans="5:5" x14ac:dyDescent="0.25">
      <c r="E8628" s="102"/>
    </row>
    <row r="8629" spans="5:5" x14ac:dyDescent="0.25">
      <c r="E8629" s="102"/>
    </row>
    <row r="8630" spans="5:5" x14ac:dyDescent="0.25">
      <c r="E8630" s="102"/>
    </row>
    <row r="8631" spans="5:5" x14ac:dyDescent="0.25">
      <c r="E8631" s="102"/>
    </row>
    <row r="8632" spans="5:5" x14ac:dyDescent="0.25">
      <c r="E8632" s="102"/>
    </row>
    <row r="8633" spans="5:5" x14ac:dyDescent="0.25">
      <c r="E8633" s="102"/>
    </row>
    <row r="8634" spans="5:5" x14ac:dyDescent="0.25">
      <c r="E8634" s="102"/>
    </row>
    <row r="8635" spans="5:5" x14ac:dyDescent="0.25">
      <c r="E8635" s="102"/>
    </row>
    <row r="8636" spans="5:5" x14ac:dyDescent="0.25">
      <c r="E8636" s="102"/>
    </row>
    <row r="8637" spans="5:5" x14ac:dyDescent="0.25">
      <c r="E8637" s="102"/>
    </row>
    <row r="8638" spans="5:5" x14ac:dyDescent="0.25">
      <c r="E8638" s="102"/>
    </row>
    <row r="8639" spans="5:5" x14ac:dyDescent="0.25">
      <c r="E8639" s="102"/>
    </row>
    <row r="8640" spans="5:5" x14ac:dyDescent="0.25">
      <c r="E8640" s="102"/>
    </row>
    <row r="8641" spans="5:5" x14ac:dyDescent="0.25">
      <c r="E8641" s="102"/>
    </row>
    <row r="8642" spans="5:5" x14ac:dyDescent="0.25">
      <c r="E8642" s="102"/>
    </row>
    <row r="8643" spans="5:5" x14ac:dyDescent="0.25">
      <c r="E8643" s="102"/>
    </row>
    <row r="8644" spans="5:5" x14ac:dyDescent="0.25">
      <c r="E8644" s="102"/>
    </row>
    <row r="8645" spans="5:5" x14ac:dyDescent="0.25">
      <c r="E8645" s="102"/>
    </row>
    <row r="8646" spans="5:5" x14ac:dyDescent="0.25">
      <c r="E8646" s="102"/>
    </row>
    <row r="8647" spans="5:5" x14ac:dyDescent="0.25">
      <c r="E8647" s="102"/>
    </row>
    <row r="8648" spans="5:5" x14ac:dyDescent="0.25">
      <c r="E8648" s="102"/>
    </row>
    <row r="8649" spans="5:5" x14ac:dyDescent="0.25">
      <c r="E8649" s="102"/>
    </row>
    <row r="8650" spans="5:5" x14ac:dyDescent="0.25">
      <c r="E8650" s="102"/>
    </row>
    <row r="8651" spans="5:5" x14ac:dyDescent="0.25">
      <c r="E8651" s="102"/>
    </row>
    <row r="8652" spans="5:5" x14ac:dyDescent="0.25">
      <c r="E8652" s="102"/>
    </row>
    <row r="8653" spans="5:5" x14ac:dyDescent="0.25">
      <c r="E8653" s="102"/>
    </row>
    <row r="8654" spans="5:5" x14ac:dyDescent="0.25">
      <c r="E8654" s="102"/>
    </row>
    <row r="8655" spans="5:5" x14ac:dyDescent="0.25">
      <c r="E8655" s="102"/>
    </row>
    <row r="8656" spans="5:5" x14ac:dyDescent="0.25">
      <c r="E8656" s="102"/>
    </row>
    <row r="8657" spans="5:5" x14ac:dyDescent="0.25">
      <c r="E8657" s="102"/>
    </row>
    <row r="8658" spans="5:5" x14ac:dyDescent="0.25">
      <c r="E8658" s="102"/>
    </row>
    <row r="8659" spans="5:5" x14ac:dyDescent="0.25">
      <c r="E8659" s="102"/>
    </row>
    <row r="8660" spans="5:5" x14ac:dyDescent="0.25">
      <c r="E8660" s="102"/>
    </row>
    <row r="8661" spans="5:5" x14ac:dyDescent="0.25">
      <c r="E8661" s="102"/>
    </row>
    <row r="8662" spans="5:5" x14ac:dyDescent="0.25">
      <c r="E8662" s="102"/>
    </row>
    <row r="8663" spans="5:5" x14ac:dyDescent="0.25">
      <c r="E8663" s="102"/>
    </row>
    <row r="8664" spans="5:5" x14ac:dyDescent="0.25">
      <c r="E8664" s="102"/>
    </row>
    <row r="8665" spans="5:5" x14ac:dyDescent="0.25">
      <c r="E8665" s="102"/>
    </row>
    <row r="8666" spans="5:5" x14ac:dyDescent="0.25">
      <c r="E8666" s="102"/>
    </row>
    <row r="8667" spans="5:5" x14ac:dyDescent="0.25">
      <c r="E8667" s="102"/>
    </row>
    <row r="8668" spans="5:5" x14ac:dyDescent="0.25">
      <c r="E8668" s="102"/>
    </row>
    <row r="8669" spans="5:5" x14ac:dyDescent="0.25">
      <c r="E8669" s="102"/>
    </row>
    <row r="8670" spans="5:5" x14ac:dyDescent="0.25">
      <c r="E8670" s="102"/>
    </row>
    <row r="8671" spans="5:5" x14ac:dyDescent="0.25">
      <c r="E8671" s="102"/>
    </row>
    <row r="8672" spans="5:5" x14ac:dyDescent="0.25">
      <c r="E8672" s="102"/>
    </row>
    <row r="8673" spans="5:5" x14ac:dyDescent="0.25">
      <c r="E8673" s="102"/>
    </row>
    <row r="8674" spans="5:5" x14ac:dyDescent="0.25">
      <c r="E8674" s="102"/>
    </row>
    <row r="8675" spans="5:5" x14ac:dyDescent="0.25">
      <c r="E8675" s="102"/>
    </row>
    <row r="8676" spans="5:5" x14ac:dyDescent="0.25">
      <c r="E8676" s="102"/>
    </row>
    <row r="8677" spans="5:5" x14ac:dyDescent="0.25">
      <c r="E8677" s="102"/>
    </row>
    <row r="8678" spans="5:5" x14ac:dyDescent="0.25">
      <c r="E8678" s="102"/>
    </row>
    <row r="8679" spans="5:5" x14ac:dyDescent="0.25">
      <c r="E8679" s="102"/>
    </row>
    <row r="8680" spans="5:5" x14ac:dyDescent="0.25">
      <c r="E8680" s="102"/>
    </row>
    <row r="8681" spans="5:5" x14ac:dyDescent="0.25">
      <c r="E8681" s="102"/>
    </row>
    <row r="8682" spans="5:5" x14ac:dyDescent="0.25">
      <c r="E8682" s="102"/>
    </row>
    <row r="8683" spans="5:5" x14ac:dyDescent="0.25">
      <c r="E8683" s="102"/>
    </row>
    <row r="8684" spans="5:5" x14ac:dyDescent="0.25">
      <c r="E8684" s="102"/>
    </row>
    <row r="8685" spans="5:5" x14ac:dyDescent="0.25">
      <c r="E8685" s="102"/>
    </row>
    <row r="8686" spans="5:5" x14ac:dyDescent="0.25">
      <c r="E8686" s="102"/>
    </row>
    <row r="8687" spans="5:5" x14ac:dyDescent="0.25">
      <c r="E8687" s="102"/>
    </row>
    <row r="8688" spans="5:5" x14ac:dyDescent="0.25">
      <c r="E8688" s="102"/>
    </row>
    <row r="8689" spans="5:5" x14ac:dyDescent="0.25">
      <c r="E8689" s="102"/>
    </row>
    <row r="8690" spans="5:5" x14ac:dyDescent="0.25">
      <c r="E8690" s="102"/>
    </row>
    <row r="8691" spans="5:5" x14ac:dyDescent="0.25">
      <c r="E8691" s="102"/>
    </row>
    <row r="8692" spans="5:5" x14ac:dyDescent="0.25">
      <c r="E8692" s="102"/>
    </row>
    <row r="8693" spans="5:5" x14ac:dyDescent="0.25">
      <c r="E8693" s="102"/>
    </row>
    <row r="8694" spans="5:5" x14ac:dyDescent="0.25">
      <c r="E8694" s="102"/>
    </row>
    <row r="8695" spans="5:5" x14ac:dyDescent="0.25">
      <c r="E8695" s="102"/>
    </row>
    <row r="8696" spans="5:5" x14ac:dyDescent="0.25">
      <c r="E8696" s="102"/>
    </row>
    <row r="8697" spans="5:5" x14ac:dyDescent="0.25">
      <c r="E8697" s="102"/>
    </row>
    <row r="8698" spans="5:5" x14ac:dyDescent="0.25">
      <c r="E8698" s="102"/>
    </row>
    <row r="8699" spans="5:5" x14ac:dyDescent="0.25">
      <c r="E8699" s="102"/>
    </row>
    <row r="8700" spans="5:5" x14ac:dyDescent="0.25">
      <c r="E8700" s="102"/>
    </row>
    <row r="8701" spans="5:5" x14ac:dyDescent="0.25">
      <c r="E8701" s="102"/>
    </row>
    <row r="8702" spans="5:5" x14ac:dyDescent="0.25">
      <c r="E8702" s="102"/>
    </row>
    <row r="8703" spans="5:5" x14ac:dyDescent="0.25">
      <c r="E8703" s="102"/>
    </row>
    <row r="8704" spans="5:5" x14ac:dyDescent="0.25">
      <c r="E8704" s="102"/>
    </row>
    <row r="8705" spans="5:5" x14ac:dyDescent="0.25">
      <c r="E8705" s="102"/>
    </row>
    <row r="8706" spans="5:5" x14ac:dyDescent="0.25">
      <c r="E8706" s="102"/>
    </row>
    <row r="8707" spans="5:5" x14ac:dyDescent="0.25">
      <c r="E8707" s="102"/>
    </row>
    <row r="8708" spans="5:5" x14ac:dyDescent="0.25">
      <c r="E8708" s="102"/>
    </row>
    <row r="8709" spans="5:5" x14ac:dyDescent="0.25">
      <c r="E8709" s="102"/>
    </row>
    <row r="8710" spans="5:5" x14ac:dyDescent="0.25">
      <c r="E8710" s="102"/>
    </row>
    <row r="8711" spans="5:5" x14ac:dyDescent="0.25">
      <c r="E8711" s="102"/>
    </row>
    <row r="8712" spans="5:5" x14ac:dyDescent="0.25">
      <c r="E8712" s="102"/>
    </row>
    <row r="8713" spans="5:5" x14ac:dyDescent="0.25">
      <c r="E8713" s="102"/>
    </row>
    <row r="8714" spans="5:5" x14ac:dyDescent="0.25">
      <c r="E8714" s="102"/>
    </row>
    <row r="8715" spans="5:5" x14ac:dyDescent="0.25">
      <c r="E8715" s="102"/>
    </row>
    <row r="8716" spans="5:5" x14ac:dyDescent="0.25">
      <c r="E8716" s="102"/>
    </row>
    <row r="8717" spans="5:5" x14ac:dyDescent="0.25">
      <c r="E8717" s="102"/>
    </row>
    <row r="8718" spans="5:5" x14ac:dyDescent="0.25">
      <c r="E8718" s="102"/>
    </row>
    <row r="8719" spans="5:5" x14ac:dyDescent="0.25">
      <c r="E8719" s="102"/>
    </row>
    <row r="8720" spans="5:5" x14ac:dyDescent="0.25">
      <c r="E8720" s="102"/>
    </row>
    <row r="8721" spans="5:5" x14ac:dyDescent="0.25">
      <c r="E8721" s="102"/>
    </row>
    <row r="8722" spans="5:5" x14ac:dyDescent="0.25">
      <c r="E8722" s="102"/>
    </row>
    <row r="8723" spans="5:5" x14ac:dyDescent="0.25">
      <c r="E8723" s="102"/>
    </row>
    <row r="8724" spans="5:5" x14ac:dyDescent="0.25">
      <c r="E8724" s="102"/>
    </row>
    <row r="8725" spans="5:5" x14ac:dyDescent="0.25">
      <c r="E8725" s="102"/>
    </row>
    <row r="8726" spans="5:5" x14ac:dyDescent="0.25">
      <c r="E8726" s="102"/>
    </row>
    <row r="8727" spans="5:5" x14ac:dyDescent="0.25">
      <c r="E8727" s="102"/>
    </row>
    <row r="8728" spans="5:5" x14ac:dyDescent="0.25">
      <c r="E8728" s="102"/>
    </row>
    <row r="8729" spans="5:5" x14ac:dyDescent="0.25">
      <c r="E8729" s="102"/>
    </row>
    <row r="8730" spans="5:5" x14ac:dyDescent="0.25">
      <c r="E8730" s="102"/>
    </row>
    <row r="8731" spans="5:5" x14ac:dyDescent="0.25">
      <c r="E8731" s="102"/>
    </row>
    <row r="8732" spans="5:5" x14ac:dyDescent="0.25">
      <c r="E8732" s="102"/>
    </row>
    <row r="8733" spans="5:5" x14ac:dyDescent="0.25">
      <c r="E8733" s="102"/>
    </row>
    <row r="8734" spans="5:5" x14ac:dyDescent="0.25">
      <c r="E8734" s="102"/>
    </row>
    <row r="8735" spans="5:5" x14ac:dyDescent="0.25">
      <c r="E8735" s="102"/>
    </row>
    <row r="8736" spans="5:5" x14ac:dyDescent="0.25">
      <c r="E8736" s="102"/>
    </row>
    <row r="8737" spans="5:5" x14ac:dyDescent="0.25">
      <c r="E8737" s="102"/>
    </row>
    <row r="8738" spans="5:5" x14ac:dyDescent="0.25">
      <c r="E8738" s="102"/>
    </row>
    <row r="8739" spans="5:5" x14ac:dyDescent="0.25">
      <c r="E8739" s="102"/>
    </row>
    <row r="8740" spans="5:5" x14ac:dyDescent="0.25">
      <c r="E8740" s="102"/>
    </row>
    <row r="8741" spans="5:5" x14ac:dyDescent="0.25">
      <c r="E8741" s="102"/>
    </row>
    <row r="8742" spans="5:5" x14ac:dyDescent="0.25">
      <c r="E8742" s="102"/>
    </row>
    <row r="8743" spans="5:5" x14ac:dyDescent="0.25">
      <c r="E8743" s="102"/>
    </row>
    <row r="8744" spans="5:5" x14ac:dyDescent="0.25">
      <c r="E8744" s="102"/>
    </row>
    <row r="8745" spans="5:5" x14ac:dyDescent="0.25">
      <c r="E8745" s="102"/>
    </row>
    <row r="8746" spans="5:5" x14ac:dyDescent="0.25">
      <c r="E8746" s="102"/>
    </row>
    <row r="8747" spans="5:5" x14ac:dyDescent="0.25">
      <c r="E8747" s="102"/>
    </row>
    <row r="8748" spans="5:5" x14ac:dyDescent="0.25">
      <c r="E8748" s="102"/>
    </row>
    <row r="8749" spans="5:5" x14ac:dyDescent="0.25">
      <c r="E8749" s="102"/>
    </row>
    <row r="8750" spans="5:5" x14ac:dyDescent="0.25">
      <c r="E8750" s="102"/>
    </row>
    <row r="8751" spans="5:5" x14ac:dyDescent="0.25">
      <c r="E8751" s="102"/>
    </row>
    <row r="8752" spans="5:5" x14ac:dyDescent="0.25">
      <c r="E8752" s="102"/>
    </row>
    <row r="8753" spans="5:5" x14ac:dyDescent="0.25">
      <c r="E8753" s="102"/>
    </row>
    <row r="8754" spans="5:5" x14ac:dyDescent="0.25">
      <c r="E8754" s="102"/>
    </row>
    <row r="8755" spans="5:5" x14ac:dyDescent="0.25">
      <c r="E8755" s="102"/>
    </row>
    <row r="8756" spans="5:5" x14ac:dyDescent="0.25">
      <c r="E8756" s="102"/>
    </row>
    <row r="8757" spans="5:5" x14ac:dyDescent="0.25">
      <c r="E8757" s="102"/>
    </row>
    <row r="8758" spans="5:5" x14ac:dyDescent="0.25">
      <c r="E8758" s="102"/>
    </row>
    <row r="8759" spans="5:5" x14ac:dyDescent="0.25">
      <c r="E8759" s="102"/>
    </row>
    <row r="8760" spans="5:5" x14ac:dyDescent="0.25">
      <c r="E8760" s="102"/>
    </row>
    <row r="8761" spans="5:5" x14ac:dyDescent="0.25">
      <c r="E8761" s="102"/>
    </row>
    <row r="8762" spans="5:5" x14ac:dyDescent="0.25">
      <c r="E8762" s="102"/>
    </row>
    <row r="8763" spans="5:5" x14ac:dyDescent="0.25">
      <c r="E8763" s="102"/>
    </row>
    <row r="8764" spans="5:5" x14ac:dyDescent="0.25">
      <c r="E8764" s="102"/>
    </row>
    <row r="8765" spans="5:5" x14ac:dyDescent="0.25">
      <c r="E8765" s="102"/>
    </row>
    <row r="8766" spans="5:5" x14ac:dyDescent="0.25">
      <c r="E8766" s="102"/>
    </row>
    <row r="8767" spans="5:5" x14ac:dyDescent="0.25">
      <c r="E8767" s="102"/>
    </row>
    <row r="8768" spans="5:5" x14ac:dyDescent="0.25">
      <c r="E8768" s="102"/>
    </row>
    <row r="8769" spans="5:5" x14ac:dyDescent="0.25">
      <c r="E8769" s="102"/>
    </row>
    <row r="8770" spans="5:5" x14ac:dyDescent="0.25">
      <c r="E8770" s="102"/>
    </row>
    <row r="8771" spans="5:5" x14ac:dyDescent="0.25">
      <c r="E8771" s="102"/>
    </row>
    <row r="8772" spans="5:5" x14ac:dyDescent="0.25">
      <c r="E8772" s="102"/>
    </row>
    <row r="8773" spans="5:5" x14ac:dyDescent="0.25">
      <c r="E8773" s="102"/>
    </row>
    <row r="8774" spans="5:5" x14ac:dyDescent="0.25">
      <c r="E8774" s="102"/>
    </row>
    <row r="8775" spans="5:5" x14ac:dyDescent="0.25">
      <c r="E8775" s="102"/>
    </row>
    <row r="8776" spans="5:5" x14ac:dyDescent="0.25">
      <c r="E8776" s="102"/>
    </row>
    <row r="8777" spans="5:5" x14ac:dyDescent="0.25">
      <c r="E8777" s="102"/>
    </row>
    <row r="8778" spans="5:5" x14ac:dyDescent="0.25">
      <c r="E8778" s="102"/>
    </row>
    <row r="8779" spans="5:5" x14ac:dyDescent="0.25">
      <c r="E8779" s="102"/>
    </row>
    <row r="8780" spans="5:5" x14ac:dyDescent="0.25">
      <c r="E8780" s="102"/>
    </row>
    <row r="8781" spans="5:5" x14ac:dyDescent="0.25">
      <c r="E8781" s="102"/>
    </row>
    <row r="8782" spans="5:5" x14ac:dyDescent="0.25">
      <c r="E8782" s="102"/>
    </row>
    <row r="8783" spans="5:5" x14ac:dyDescent="0.25">
      <c r="E8783" s="102"/>
    </row>
    <row r="8784" spans="5:5" x14ac:dyDescent="0.25">
      <c r="E8784" s="102"/>
    </row>
    <row r="8785" spans="5:5" x14ac:dyDescent="0.25">
      <c r="E8785" s="102"/>
    </row>
    <row r="8786" spans="5:5" x14ac:dyDescent="0.25">
      <c r="E8786" s="102"/>
    </row>
    <row r="8787" spans="5:5" x14ac:dyDescent="0.25">
      <c r="E8787" s="102"/>
    </row>
    <row r="8788" spans="5:5" x14ac:dyDescent="0.25">
      <c r="E8788" s="102"/>
    </row>
    <row r="8789" spans="5:5" x14ac:dyDescent="0.25">
      <c r="E8789" s="102"/>
    </row>
    <row r="8790" spans="5:5" x14ac:dyDescent="0.25">
      <c r="E8790" s="102"/>
    </row>
    <row r="8791" spans="5:5" x14ac:dyDescent="0.25">
      <c r="E8791" s="102"/>
    </row>
    <row r="8792" spans="5:5" x14ac:dyDescent="0.25">
      <c r="E8792" s="102"/>
    </row>
    <row r="8793" spans="5:5" x14ac:dyDescent="0.25">
      <c r="E8793" s="102"/>
    </row>
    <row r="8794" spans="5:5" x14ac:dyDescent="0.25">
      <c r="E8794" s="102"/>
    </row>
    <row r="8795" spans="5:5" x14ac:dyDescent="0.25">
      <c r="E8795" s="102"/>
    </row>
    <row r="8796" spans="5:5" x14ac:dyDescent="0.25">
      <c r="E8796" s="102"/>
    </row>
    <row r="8797" spans="5:5" x14ac:dyDescent="0.25">
      <c r="E8797" s="102"/>
    </row>
    <row r="8798" spans="5:5" x14ac:dyDescent="0.25">
      <c r="E8798" s="102"/>
    </row>
    <row r="8799" spans="5:5" x14ac:dyDescent="0.25">
      <c r="E8799" s="102"/>
    </row>
    <row r="8800" spans="5:5" x14ac:dyDescent="0.25">
      <c r="E8800" s="102"/>
    </row>
    <row r="8801" spans="5:5" x14ac:dyDescent="0.25">
      <c r="E8801" s="102"/>
    </row>
    <row r="8802" spans="5:5" x14ac:dyDescent="0.25">
      <c r="E8802" s="102"/>
    </row>
    <row r="8803" spans="5:5" x14ac:dyDescent="0.25">
      <c r="E8803" s="102"/>
    </row>
    <row r="8804" spans="5:5" x14ac:dyDescent="0.25">
      <c r="E8804" s="102"/>
    </row>
    <row r="8805" spans="5:5" x14ac:dyDescent="0.25">
      <c r="E8805" s="102"/>
    </row>
    <row r="8806" spans="5:5" x14ac:dyDescent="0.25">
      <c r="E8806" s="102"/>
    </row>
    <row r="8807" spans="5:5" x14ac:dyDescent="0.25">
      <c r="E8807" s="102"/>
    </row>
    <row r="8808" spans="5:5" x14ac:dyDescent="0.25">
      <c r="E8808" s="102"/>
    </row>
    <row r="8809" spans="5:5" x14ac:dyDescent="0.25">
      <c r="E8809" s="102"/>
    </row>
    <row r="8810" spans="5:5" x14ac:dyDescent="0.25">
      <c r="E8810" s="102"/>
    </row>
    <row r="8811" spans="5:5" x14ac:dyDescent="0.25">
      <c r="E8811" s="102"/>
    </row>
    <row r="8812" spans="5:5" x14ac:dyDescent="0.25">
      <c r="E8812" s="102"/>
    </row>
    <row r="8813" spans="5:5" x14ac:dyDescent="0.25">
      <c r="E8813" s="102"/>
    </row>
    <row r="8814" spans="5:5" x14ac:dyDescent="0.25">
      <c r="E8814" s="102"/>
    </row>
    <row r="8815" spans="5:5" x14ac:dyDescent="0.25">
      <c r="E8815" s="102"/>
    </row>
    <row r="8816" spans="5:5" x14ac:dyDescent="0.25">
      <c r="E8816" s="102"/>
    </row>
    <row r="8817" spans="5:5" x14ac:dyDescent="0.25">
      <c r="E8817" s="102"/>
    </row>
    <row r="8818" spans="5:5" x14ac:dyDescent="0.25">
      <c r="E8818" s="102"/>
    </row>
    <row r="8819" spans="5:5" x14ac:dyDescent="0.25">
      <c r="E8819" s="102"/>
    </row>
    <row r="8820" spans="5:5" x14ac:dyDescent="0.25">
      <c r="E8820" s="102"/>
    </row>
    <row r="8821" spans="5:5" x14ac:dyDescent="0.25">
      <c r="E8821" s="102"/>
    </row>
    <row r="8822" spans="5:5" x14ac:dyDescent="0.25">
      <c r="E8822" s="102"/>
    </row>
    <row r="8823" spans="5:5" x14ac:dyDescent="0.25">
      <c r="E8823" s="102"/>
    </row>
    <row r="8824" spans="5:5" x14ac:dyDescent="0.25">
      <c r="E8824" s="102"/>
    </row>
    <row r="8825" spans="5:5" x14ac:dyDescent="0.25">
      <c r="E8825" s="102"/>
    </row>
    <row r="8826" spans="5:5" x14ac:dyDescent="0.25">
      <c r="E8826" s="102"/>
    </row>
    <row r="8827" spans="5:5" x14ac:dyDescent="0.25">
      <c r="E8827" s="102"/>
    </row>
    <row r="8828" spans="5:5" x14ac:dyDescent="0.25">
      <c r="E8828" s="102"/>
    </row>
    <row r="8829" spans="5:5" x14ac:dyDescent="0.25">
      <c r="E8829" s="102"/>
    </row>
    <row r="8830" spans="5:5" x14ac:dyDescent="0.25">
      <c r="E8830" s="102"/>
    </row>
    <row r="8831" spans="5:5" x14ac:dyDescent="0.25">
      <c r="E8831" s="102"/>
    </row>
    <row r="8832" spans="5:5" x14ac:dyDescent="0.25">
      <c r="E8832" s="102"/>
    </row>
    <row r="8833" spans="5:5" x14ac:dyDescent="0.25">
      <c r="E8833" s="102"/>
    </row>
    <row r="8834" spans="5:5" x14ac:dyDescent="0.25">
      <c r="E8834" s="102"/>
    </row>
    <row r="8835" spans="5:5" x14ac:dyDescent="0.25">
      <c r="E8835" s="102"/>
    </row>
    <row r="8836" spans="5:5" x14ac:dyDescent="0.25">
      <c r="E8836" s="102"/>
    </row>
    <row r="8837" spans="5:5" x14ac:dyDescent="0.25">
      <c r="E8837" s="102"/>
    </row>
    <row r="8838" spans="5:5" x14ac:dyDescent="0.25">
      <c r="E8838" s="102"/>
    </row>
    <row r="8839" spans="5:5" x14ac:dyDescent="0.25">
      <c r="E8839" s="102"/>
    </row>
    <row r="8840" spans="5:5" x14ac:dyDescent="0.25">
      <c r="E8840" s="102"/>
    </row>
    <row r="8841" spans="5:5" x14ac:dyDescent="0.25">
      <c r="E8841" s="102"/>
    </row>
    <row r="8842" spans="5:5" x14ac:dyDescent="0.25">
      <c r="E8842" s="102"/>
    </row>
    <row r="8843" spans="5:5" x14ac:dyDescent="0.25">
      <c r="E8843" s="102"/>
    </row>
    <row r="8844" spans="5:5" x14ac:dyDescent="0.25">
      <c r="E8844" s="102"/>
    </row>
    <row r="8845" spans="5:5" x14ac:dyDescent="0.25">
      <c r="E8845" s="102"/>
    </row>
    <row r="8846" spans="5:5" x14ac:dyDescent="0.25">
      <c r="E8846" s="102"/>
    </row>
    <row r="8847" spans="5:5" x14ac:dyDescent="0.25">
      <c r="E8847" s="102"/>
    </row>
    <row r="8848" spans="5:5" x14ac:dyDescent="0.25">
      <c r="E8848" s="102"/>
    </row>
    <row r="8849" spans="5:5" x14ac:dyDescent="0.25">
      <c r="E8849" s="102"/>
    </row>
    <row r="8850" spans="5:5" x14ac:dyDescent="0.25">
      <c r="E8850" s="102"/>
    </row>
    <row r="8851" spans="5:5" x14ac:dyDescent="0.25">
      <c r="E8851" s="102"/>
    </row>
    <row r="8852" spans="5:5" x14ac:dyDescent="0.25">
      <c r="E8852" s="102"/>
    </row>
    <row r="8853" spans="5:5" x14ac:dyDescent="0.25">
      <c r="E8853" s="102"/>
    </row>
    <row r="8854" spans="5:5" x14ac:dyDescent="0.25">
      <c r="E8854" s="102"/>
    </row>
    <row r="8855" spans="5:5" x14ac:dyDescent="0.25">
      <c r="E8855" s="102"/>
    </row>
    <row r="8856" spans="5:5" x14ac:dyDescent="0.25">
      <c r="E8856" s="102"/>
    </row>
    <row r="8857" spans="5:5" x14ac:dyDescent="0.25">
      <c r="E8857" s="102"/>
    </row>
    <row r="8858" spans="5:5" x14ac:dyDescent="0.25">
      <c r="E8858" s="102"/>
    </row>
    <row r="8859" spans="5:5" x14ac:dyDescent="0.25">
      <c r="E8859" s="102"/>
    </row>
    <row r="8860" spans="5:5" x14ac:dyDescent="0.25">
      <c r="E8860" s="102"/>
    </row>
    <row r="8861" spans="5:5" x14ac:dyDescent="0.25">
      <c r="E8861" s="102"/>
    </row>
    <row r="8862" spans="5:5" x14ac:dyDescent="0.25">
      <c r="E8862" s="102"/>
    </row>
    <row r="8863" spans="5:5" x14ac:dyDescent="0.25">
      <c r="E8863" s="102"/>
    </row>
    <row r="8864" spans="5:5" x14ac:dyDescent="0.25">
      <c r="E8864" s="102"/>
    </row>
    <row r="8865" spans="5:5" x14ac:dyDescent="0.25">
      <c r="E8865" s="102"/>
    </row>
    <row r="8866" spans="5:5" x14ac:dyDescent="0.25">
      <c r="E8866" s="102"/>
    </row>
    <row r="8867" spans="5:5" x14ac:dyDescent="0.25">
      <c r="E8867" s="102"/>
    </row>
    <row r="8868" spans="5:5" x14ac:dyDescent="0.25">
      <c r="E8868" s="102"/>
    </row>
    <row r="8869" spans="5:5" x14ac:dyDescent="0.25">
      <c r="E8869" s="102"/>
    </row>
    <row r="8870" spans="5:5" x14ac:dyDescent="0.25">
      <c r="E8870" s="102"/>
    </row>
    <row r="8871" spans="5:5" x14ac:dyDescent="0.25">
      <c r="E8871" s="102"/>
    </row>
    <row r="8872" spans="5:5" x14ac:dyDescent="0.25">
      <c r="E8872" s="102"/>
    </row>
    <row r="8873" spans="5:5" x14ac:dyDescent="0.25">
      <c r="E8873" s="102"/>
    </row>
    <row r="8874" spans="5:5" x14ac:dyDescent="0.25">
      <c r="E8874" s="102"/>
    </row>
    <row r="8875" spans="5:5" x14ac:dyDescent="0.25">
      <c r="E8875" s="102"/>
    </row>
    <row r="8876" spans="5:5" x14ac:dyDescent="0.25">
      <c r="E8876" s="102"/>
    </row>
    <row r="8877" spans="5:5" x14ac:dyDescent="0.25">
      <c r="E8877" s="102"/>
    </row>
    <row r="8878" spans="5:5" x14ac:dyDescent="0.25">
      <c r="E8878" s="102"/>
    </row>
    <row r="8879" spans="5:5" x14ac:dyDescent="0.25">
      <c r="E8879" s="102"/>
    </row>
    <row r="8880" spans="5:5" x14ac:dyDescent="0.25">
      <c r="E8880" s="102"/>
    </row>
    <row r="8881" spans="5:5" x14ac:dyDescent="0.25">
      <c r="E8881" s="102"/>
    </row>
    <row r="8882" spans="5:5" x14ac:dyDescent="0.25">
      <c r="E8882" s="102"/>
    </row>
    <row r="8883" spans="5:5" x14ac:dyDescent="0.25">
      <c r="E8883" s="102"/>
    </row>
    <row r="8884" spans="5:5" x14ac:dyDescent="0.25">
      <c r="E8884" s="102"/>
    </row>
    <row r="8885" spans="5:5" x14ac:dyDescent="0.25">
      <c r="E8885" s="102"/>
    </row>
    <row r="8886" spans="5:5" x14ac:dyDescent="0.25">
      <c r="E8886" s="102"/>
    </row>
    <row r="8887" spans="5:5" x14ac:dyDescent="0.25">
      <c r="E8887" s="102"/>
    </row>
    <row r="8888" spans="5:5" x14ac:dyDescent="0.25">
      <c r="E8888" s="102"/>
    </row>
    <row r="8889" spans="5:5" x14ac:dyDescent="0.25">
      <c r="E8889" s="102"/>
    </row>
    <row r="8890" spans="5:5" x14ac:dyDescent="0.25">
      <c r="E8890" s="102"/>
    </row>
    <row r="8891" spans="5:5" x14ac:dyDescent="0.25">
      <c r="E8891" s="102"/>
    </row>
    <row r="8892" spans="5:5" x14ac:dyDescent="0.25">
      <c r="E8892" s="102"/>
    </row>
    <row r="8893" spans="5:5" x14ac:dyDescent="0.25">
      <c r="E8893" s="102"/>
    </row>
    <row r="8894" spans="5:5" x14ac:dyDescent="0.25">
      <c r="E8894" s="102"/>
    </row>
    <row r="8895" spans="5:5" x14ac:dyDescent="0.25">
      <c r="E8895" s="102"/>
    </row>
    <row r="8896" spans="5:5" x14ac:dyDescent="0.25">
      <c r="E8896" s="102"/>
    </row>
    <row r="8897" spans="5:5" x14ac:dyDescent="0.25">
      <c r="E8897" s="102"/>
    </row>
    <row r="8898" spans="5:5" x14ac:dyDescent="0.25">
      <c r="E8898" s="102"/>
    </row>
    <row r="8899" spans="5:5" x14ac:dyDescent="0.25">
      <c r="E8899" s="102"/>
    </row>
    <row r="8900" spans="5:5" x14ac:dyDescent="0.25">
      <c r="E8900" s="102"/>
    </row>
    <row r="8901" spans="5:5" x14ac:dyDescent="0.25">
      <c r="E8901" s="102"/>
    </row>
    <row r="8902" spans="5:5" x14ac:dyDescent="0.25">
      <c r="E8902" s="102"/>
    </row>
    <row r="8903" spans="5:5" x14ac:dyDescent="0.25">
      <c r="E8903" s="102"/>
    </row>
    <row r="8904" spans="5:5" x14ac:dyDescent="0.25">
      <c r="E8904" s="102"/>
    </row>
    <row r="8905" spans="5:5" x14ac:dyDescent="0.25">
      <c r="E8905" s="102"/>
    </row>
    <row r="8906" spans="5:5" x14ac:dyDescent="0.25">
      <c r="E8906" s="102"/>
    </row>
    <row r="8907" spans="5:5" x14ac:dyDescent="0.25">
      <c r="E8907" s="102"/>
    </row>
    <row r="8908" spans="5:5" x14ac:dyDescent="0.25">
      <c r="E8908" s="102"/>
    </row>
    <row r="8909" spans="5:5" x14ac:dyDescent="0.25">
      <c r="E8909" s="102"/>
    </row>
    <row r="8910" spans="5:5" x14ac:dyDescent="0.25">
      <c r="E8910" s="102"/>
    </row>
    <row r="8911" spans="5:5" x14ac:dyDescent="0.25">
      <c r="E8911" s="102"/>
    </row>
    <row r="8912" spans="5:5" x14ac:dyDescent="0.25">
      <c r="E8912" s="102"/>
    </row>
    <row r="8913" spans="5:5" x14ac:dyDescent="0.25">
      <c r="E8913" s="102"/>
    </row>
    <row r="8914" spans="5:5" x14ac:dyDescent="0.25">
      <c r="E8914" s="102"/>
    </row>
    <row r="8915" spans="5:5" x14ac:dyDescent="0.25">
      <c r="E8915" s="102"/>
    </row>
    <row r="8916" spans="5:5" x14ac:dyDescent="0.25">
      <c r="E8916" s="102"/>
    </row>
    <row r="8917" spans="5:5" x14ac:dyDescent="0.25">
      <c r="E8917" s="102"/>
    </row>
    <row r="8918" spans="5:5" x14ac:dyDescent="0.25">
      <c r="E8918" s="102"/>
    </row>
    <row r="8919" spans="5:5" x14ac:dyDescent="0.25">
      <c r="E8919" s="102"/>
    </row>
    <row r="8920" spans="5:5" x14ac:dyDescent="0.25">
      <c r="E8920" s="102"/>
    </row>
    <row r="8921" spans="5:5" x14ac:dyDescent="0.25">
      <c r="E8921" s="102"/>
    </row>
    <row r="8922" spans="5:5" x14ac:dyDescent="0.25">
      <c r="E8922" s="102"/>
    </row>
    <row r="8923" spans="5:5" x14ac:dyDescent="0.25">
      <c r="E8923" s="102"/>
    </row>
    <row r="8924" spans="5:5" x14ac:dyDescent="0.25">
      <c r="E8924" s="102"/>
    </row>
    <row r="8925" spans="5:5" x14ac:dyDescent="0.25">
      <c r="E8925" s="102"/>
    </row>
    <row r="8926" spans="5:5" x14ac:dyDescent="0.25">
      <c r="E8926" s="102"/>
    </row>
    <row r="8927" spans="5:5" x14ac:dyDescent="0.25">
      <c r="E8927" s="102"/>
    </row>
    <row r="8928" spans="5:5" x14ac:dyDescent="0.25">
      <c r="E8928" s="102"/>
    </row>
    <row r="8929" spans="5:5" x14ac:dyDescent="0.25">
      <c r="E8929" s="102"/>
    </row>
    <row r="8930" spans="5:5" x14ac:dyDescent="0.25">
      <c r="E8930" s="102"/>
    </row>
    <row r="8931" spans="5:5" x14ac:dyDescent="0.25">
      <c r="E8931" s="102"/>
    </row>
    <row r="8932" spans="5:5" x14ac:dyDescent="0.25">
      <c r="E8932" s="102"/>
    </row>
    <row r="8933" spans="5:5" x14ac:dyDescent="0.25">
      <c r="E8933" s="102"/>
    </row>
    <row r="8934" spans="5:5" x14ac:dyDescent="0.25">
      <c r="E8934" s="102"/>
    </row>
    <row r="8935" spans="5:5" x14ac:dyDescent="0.25">
      <c r="E8935" s="102"/>
    </row>
    <row r="8936" spans="5:5" x14ac:dyDescent="0.25">
      <c r="E8936" s="102"/>
    </row>
    <row r="8937" spans="5:5" x14ac:dyDescent="0.25">
      <c r="E8937" s="102"/>
    </row>
    <row r="8938" spans="5:5" x14ac:dyDescent="0.25">
      <c r="E8938" s="102"/>
    </row>
    <row r="8939" spans="5:5" x14ac:dyDescent="0.25">
      <c r="E8939" s="102"/>
    </row>
    <row r="8940" spans="5:5" x14ac:dyDescent="0.25">
      <c r="E8940" s="102"/>
    </row>
    <row r="8941" spans="5:5" x14ac:dyDescent="0.25">
      <c r="E8941" s="102"/>
    </row>
    <row r="8942" spans="5:5" x14ac:dyDescent="0.25">
      <c r="E8942" s="102"/>
    </row>
    <row r="8943" spans="5:5" x14ac:dyDescent="0.25">
      <c r="E8943" s="102"/>
    </row>
    <row r="8944" spans="5:5" x14ac:dyDescent="0.25">
      <c r="E8944" s="102"/>
    </row>
    <row r="8945" spans="5:5" x14ac:dyDescent="0.25">
      <c r="E8945" s="102"/>
    </row>
    <row r="8946" spans="5:5" x14ac:dyDescent="0.25">
      <c r="E8946" s="102"/>
    </row>
    <row r="8947" spans="5:5" x14ac:dyDescent="0.25">
      <c r="E8947" s="102"/>
    </row>
    <row r="8948" spans="5:5" x14ac:dyDescent="0.25">
      <c r="E8948" s="102"/>
    </row>
    <row r="8949" spans="5:5" x14ac:dyDescent="0.25">
      <c r="E8949" s="102"/>
    </row>
    <row r="8950" spans="5:5" x14ac:dyDescent="0.25">
      <c r="E8950" s="102"/>
    </row>
    <row r="8951" spans="5:5" x14ac:dyDescent="0.25">
      <c r="E8951" s="102"/>
    </row>
    <row r="8952" spans="5:5" x14ac:dyDescent="0.25">
      <c r="E8952" s="102"/>
    </row>
    <row r="8953" spans="5:5" x14ac:dyDescent="0.25">
      <c r="E8953" s="102"/>
    </row>
    <row r="8954" spans="5:5" x14ac:dyDescent="0.25">
      <c r="E8954" s="102"/>
    </row>
    <row r="8955" spans="5:5" x14ac:dyDescent="0.25">
      <c r="E8955" s="102"/>
    </row>
    <row r="8956" spans="5:5" x14ac:dyDescent="0.25">
      <c r="E8956" s="102"/>
    </row>
    <row r="8957" spans="5:5" x14ac:dyDescent="0.25">
      <c r="E8957" s="102"/>
    </row>
    <row r="8958" spans="5:5" x14ac:dyDescent="0.25">
      <c r="E8958" s="102"/>
    </row>
    <row r="8959" spans="5:5" x14ac:dyDescent="0.25">
      <c r="E8959" s="102"/>
    </row>
    <row r="8960" spans="5:5" x14ac:dyDescent="0.25">
      <c r="E8960" s="102"/>
    </row>
    <row r="8961" spans="5:5" x14ac:dyDescent="0.25">
      <c r="E8961" s="102"/>
    </row>
    <row r="8962" spans="5:5" x14ac:dyDescent="0.25">
      <c r="E8962" s="102"/>
    </row>
    <row r="8963" spans="5:5" x14ac:dyDescent="0.25">
      <c r="E8963" s="102"/>
    </row>
    <row r="8964" spans="5:5" x14ac:dyDescent="0.25">
      <c r="E8964" s="102"/>
    </row>
    <row r="8965" spans="5:5" x14ac:dyDescent="0.25">
      <c r="E8965" s="102"/>
    </row>
    <row r="8966" spans="5:5" x14ac:dyDescent="0.25">
      <c r="E8966" s="102"/>
    </row>
    <row r="8967" spans="5:5" x14ac:dyDescent="0.25">
      <c r="E8967" s="102"/>
    </row>
    <row r="8968" spans="5:5" x14ac:dyDescent="0.25">
      <c r="E8968" s="102"/>
    </row>
    <row r="8969" spans="5:5" x14ac:dyDescent="0.25">
      <c r="E8969" s="102"/>
    </row>
    <row r="8970" spans="5:5" x14ac:dyDescent="0.25">
      <c r="E8970" s="102"/>
    </row>
    <row r="8971" spans="5:5" x14ac:dyDescent="0.25">
      <c r="E8971" s="102"/>
    </row>
    <row r="8972" spans="5:5" x14ac:dyDescent="0.25">
      <c r="E8972" s="102"/>
    </row>
    <row r="8973" spans="5:5" x14ac:dyDescent="0.25">
      <c r="E8973" s="102"/>
    </row>
    <row r="8974" spans="5:5" x14ac:dyDescent="0.25">
      <c r="E8974" s="102"/>
    </row>
    <row r="8975" spans="5:5" x14ac:dyDescent="0.25">
      <c r="E8975" s="102"/>
    </row>
    <row r="8976" spans="5:5" x14ac:dyDescent="0.25">
      <c r="E8976" s="102"/>
    </row>
    <row r="8977" spans="5:5" x14ac:dyDescent="0.25">
      <c r="E8977" s="102"/>
    </row>
    <row r="8978" spans="5:5" x14ac:dyDescent="0.25">
      <c r="E8978" s="102"/>
    </row>
    <row r="8979" spans="5:5" x14ac:dyDescent="0.25">
      <c r="E8979" s="102"/>
    </row>
    <row r="8980" spans="5:5" x14ac:dyDescent="0.25">
      <c r="E8980" s="102"/>
    </row>
    <row r="8981" spans="5:5" x14ac:dyDescent="0.25">
      <c r="E8981" s="102"/>
    </row>
    <row r="8982" spans="5:5" x14ac:dyDescent="0.25">
      <c r="E8982" s="102"/>
    </row>
    <row r="8983" spans="5:5" x14ac:dyDescent="0.25">
      <c r="E8983" s="102"/>
    </row>
    <row r="8984" spans="5:5" x14ac:dyDescent="0.25">
      <c r="E8984" s="102"/>
    </row>
    <row r="8985" spans="5:5" x14ac:dyDescent="0.25">
      <c r="E8985" s="102"/>
    </row>
    <row r="8986" spans="5:5" x14ac:dyDescent="0.25">
      <c r="E8986" s="102"/>
    </row>
    <row r="8987" spans="5:5" x14ac:dyDescent="0.25">
      <c r="E8987" s="102"/>
    </row>
    <row r="8988" spans="5:5" x14ac:dyDescent="0.25">
      <c r="E8988" s="102"/>
    </row>
    <row r="8989" spans="5:5" x14ac:dyDescent="0.25">
      <c r="E8989" s="102"/>
    </row>
    <row r="8990" spans="5:5" x14ac:dyDescent="0.25">
      <c r="E8990" s="102"/>
    </row>
    <row r="8991" spans="5:5" x14ac:dyDescent="0.25">
      <c r="E8991" s="102"/>
    </row>
    <row r="8992" spans="5:5" x14ac:dyDescent="0.25">
      <c r="E8992" s="102"/>
    </row>
    <row r="8993" spans="5:5" x14ac:dyDescent="0.25">
      <c r="E8993" s="102"/>
    </row>
    <row r="8994" spans="5:5" x14ac:dyDescent="0.25">
      <c r="E8994" s="102"/>
    </row>
    <row r="8995" spans="5:5" x14ac:dyDescent="0.25">
      <c r="E8995" s="102"/>
    </row>
    <row r="8996" spans="5:5" x14ac:dyDescent="0.25">
      <c r="E8996" s="102"/>
    </row>
    <row r="8997" spans="5:5" x14ac:dyDescent="0.25">
      <c r="E8997" s="102"/>
    </row>
    <row r="8998" spans="5:5" x14ac:dyDescent="0.25">
      <c r="E8998" s="102"/>
    </row>
    <row r="8999" spans="5:5" x14ac:dyDescent="0.25">
      <c r="E8999" s="102"/>
    </row>
    <row r="9000" spans="5:5" x14ac:dyDescent="0.25">
      <c r="E9000" s="102"/>
    </row>
    <row r="9001" spans="5:5" x14ac:dyDescent="0.25">
      <c r="E9001" s="102"/>
    </row>
    <row r="9002" spans="5:5" x14ac:dyDescent="0.25">
      <c r="E9002" s="102"/>
    </row>
    <row r="9003" spans="5:5" x14ac:dyDescent="0.25">
      <c r="E9003" s="102"/>
    </row>
    <row r="9004" spans="5:5" x14ac:dyDescent="0.25">
      <c r="E9004" s="102"/>
    </row>
    <row r="9005" spans="5:5" x14ac:dyDescent="0.25">
      <c r="E9005" s="102"/>
    </row>
    <row r="9006" spans="5:5" x14ac:dyDescent="0.25">
      <c r="E9006" s="102"/>
    </row>
    <row r="9007" spans="5:5" x14ac:dyDescent="0.25">
      <c r="E9007" s="102"/>
    </row>
    <row r="9008" spans="5:5" x14ac:dyDescent="0.25">
      <c r="E9008" s="102"/>
    </row>
    <row r="9009" spans="5:5" x14ac:dyDescent="0.25">
      <c r="E9009" s="102"/>
    </row>
    <row r="9010" spans="5:5" x14ac:dyDescent="0.25">
      <c r="E9010" s="102"/>
    </row>
    <row r="9011" spans="5:5" x14ac:dyDescent="0.25">
      <c r="E9011" s="102"/>
    </row>
    <row r="9012" spans="5:5" x14ac:dyDescent="0.25">
      <c r="E9012" s="102"/>
    </row>
    <row r="9013" spans="5:5" x14ac:dyDescent="0.25">
      <c r="E9013" s="102"/>
    </row>
    <row r="9014" spans="5:5" x14ac:dyDescent="0.25">
      <c r="E9014" s="102"/>
    </row>
    <row r="9015" spans="5:5" x14ac:dyDescent="0.25">
      <c r="E9015" s="102"/>
    </row>
    <row r="9016" spans="5:5" x14ac:dyDescent="0.25">
      <c r="E9016" s="102"/>
    </row>
    <row r="9017" spans="5:5" x14ac:dyDescent="0.25">
      <c r="E9017" s="102"/>
    </row>
    <row r="9018" spans="5:5" x14ac:dyDescent="0.25">
      <c r="E9018" s="102"/>
    </row>
    <row r="9019" spans="5:5" x14ac:dyDescent="0.25">
      <c r="E9019" s="102"/>
    </row>
    <row r="9020" spans="5:5" x14ac:dyDescent="0.25">
      <c r="E9020" s="102"/>
    </row>
    <row r="9021" spans="5:5" x14ac:dyDescent="0.25">
      <c r="E9021" s="102"/>
    </row>
    <row r="9022" spans="5:5" x14ac:dyDescent="0.25">
      <c r="E9022" s="102"/>
    </row>
    <row r="9023" spans="5:5" x14ac:dyDescent="0.25">
      <c r="E9023" s="102"/>
    </row>
    <row r="9024" spans="5:5" x14ac:dyDescent="0.25">
      <c r="E9024" s="102"/>
    </row>
    <row r="9025" spans="5:5" x14ac:dyDescent="0.25">
      <c r="E9025" s="102"/>
    </row>
    <row r="9026" spans="5:5" x14ac:dyDescent="0.25">
      <c r="E9026" s="102"/>
    </row>
    <row r="9027" spans="5:5" x14ac:dyDescent="0.25">
      <c r="E9027" s="102"/>
    </row>
    <row r="9028" spans="5:5" x14ac:dyDescent="0.25">
      <c r="E9028" s="102"/>
    </row>
    <row r="9029" spans="5:5" x14ac:dyDescent="0.25">
      <c r="E9029" s="102"/>
    </row>
    <row r="9030" spans="5:5" x14ac:dyDescent="0.25">
      <c r="E9030" s="102"/>
    </row>
    <row r="9031" spans="5:5" x14ac:dyDescent="0.25">
      <c r="E9031" s="102"/>
    </row>
    <row r="9032" spans="5:5" x14ac:dyDescent="0.25">
      <c r="E9032" s="102"/>
    </row>
    <row r="9033" spans="5:5" x14ac:dyDescent="0.25">
      <c r="E9033" s="102"/>
    </row>
    <row r="9034" spans="5:5" x14ac:dyDescent="0.25">
      <c r="E9034" s="102"/>
    </row>
    <row r="9035" spans="5:5" x14ac:dyDescent="0.25">
      <c r="E9035" s="102"/>
    </row>
    <row r="9036" spans="5:5" x14ac:dyDescent="0.25">
      <c r="E9036" s="102"/>
    </row>
    <row r="9037" spans="5:5" x14ac:dyDescent="0.25">
      <c r="E9037" s="102"/>
    </row>
    <row r="9038" spans="5:5" x14ac:dyDescent="0.25">
      <c r="E9038" s="102"/>
    </row>
    <row r="9039" spans="5:5" x14ac:dyDescent="0.25">
      <c r="E9039" s="102"/>
    </row>
    <row r="9040" spans="5:5" x14ac:dyDescent="0.25">
      <c r="E9040" s="102"/>
    </row>
    <row r="9041" spans="5:5" x14ac:dyDescent="0.25">
      <c r="E9041" s="102"/>
    </row>
    <row r="9042" spans="5:5" x14ac:dyDescent="0.25">
      <c r="E9042" s="102"/>
    </row>
    <row r="9043" spans="5:5" x14ac:dyDescent="0.25">
      <c r="E9043" s="102"/>
    </row>
    <row r="9044" spans="5:5" x14ac:dyDescent="0.25">
      <c r="E9044" s="102"/>
    </row>
    <row r="9045" spans="5:5" x14ac:dyDescent="0.25">
      <c r="E9045" s="102"/>
    </row>
    <row r="9046" spans="5:5" x14ac:dyDescent="0.25">
      <c r="E9046" s="102"/>
    </row>
    <row r="9047" spans="5:5" x14ac:dyDescent="0.25">
      <c r="E9047" s="102"/>
    </row>
    <row r="9048" spans="5:5" x14ac:dyDescent="0.25">
      <c r="E9048" s="102"/>
    </row>
    <row r="9049" spans="5:5" x14ac:dyDescent="0.25">
      <c r="E9049" s="102"/>
    </row>
    <row r="9050" spans="5:5" x14ac:dyDescent="0.25">
      <c r="E9050" s="102"/>
    </row>
    <row r="9051" spans="5:5" x14ac:dyDescent="0.25">
      <c r="E9051" s="102"/>
    </row>
    <row r="9052" spans="5:5" x14ac:dyDescent="0.25">
      <c r="E9052" s="102"/>
    </row>
    <row r="9053" spans="5:5" x14ac:dyDescent="0.25">
      <c r="E9053" s="102"/>
    </row>
    <row r="9054" spans="5:5" x14ac:dyDescent="0.25">
      <c r="E9054" s="102"/>
    </row>
    <row r="9055" spans="5:5" x14ac:dyDescent="0.25">
      <c r="E9055" s="102"/>
    </row>
    <row r="9056" spans="5:5" x14ac:dyDescent="0.25">
      <c r="E9056" s="102"/>
    </row>
    <row r="9057" spans="5:5" x14ac:dyDescent="0.25">
      <c r="E9057" s="102"/>
    </row>
    <row r="9058" spans="5:5" x14ac:dyDescent="0.25">
      <c r="E9058" s="102"/>
    </row>
    <row r="9059" spans="5:5" x14ac:dyDescent="0.25">
      <c r="E9059" s="102"/>
    </row>
    <row r="9060" spans="5:5" x14ac:dyDescent="0.25">
      <c r="E9060" s="102"/>
    </row>
    <row r="9061" spans="5:5" x14ac:dyDescent="0.25">
      <c r="E9061" s="102"/>
    </row>
    <row r="9062" spans="5:5" x14ac:dyDescent="0.25">
      <c r="E9062" s="102"/>
    </row>
    <row r="9063" spans="5:5" x14ac:dyDescent="0.25">
      <c r="E9063" s="102"/>
    </row>
    <row r="9064" spans="5:5" x14ac:dyDescent="0.25">
      <c r="E9064" s="102"/>
    </row>
    <row r="9065" spans="5:5" x14ac:dyDescent="0.25">
      <c r="E9065" s="102"/>
    </row>
    <row r="9066" spans="5:5" x14ac:dyDescent="0.25">
      <c r="E9066" s="102"/>
    </row>
    <row r="9067" spans="5:5" x14ac:dyDescent="0.25">
      <c r="E9067" s="102"/>
    </row>
    <row r="9068" spans="5:5" x14ac:dyDescent="0.25">
      <c r="E9068" s="102"/>
    </row>
    <row r="9069" spans="5:5" x14ac:dyDescent="0.25">
      <c r="E9069" s="102"/>
    </row>
    <row r="9070" spans="5:5" x14ac:dyDescent="0.25">
      <c r="E9070" s="102"/>
    </row>
    <row r="9071" spans="5:5" x14ac:dyDescent="0.25">
      <c r="E9071" s="102"/>
    </row>
    <row r="9072" spans="5:5" x14ac:dyDescent="0.25">
      <c r="E9072" s="102"/>
    </row>
    <row r="9073" spans="5:5" x14ac:dyDescent="0.25">
      <c r="E9073" s="102"/>
    </row>
    <row r="9074" spans="5:5" x14ac:dyDescent="0.25">
      <c r="E9074" s="102"/>
    </row>
    <row r="9075" spans="5:5" x14ac:dyDescent="0.25">
      <c r="E9075" s="102"/>
    </row>
    <row r="9076" spans="5:5" x14ac:dyDescent="0.25">
      <c r="E9076" s="102"/>
    </row>
    <row r="9077" spans="5:5" x14ac:dyDescent="0.25">
      <c r="E9077" s="102"/>
    </row>
    <row r="9078" spans="5:5" x14ac:dyDescent="0.25">
      <c r="E9078" s="102"/>
    </row>
    <row r="9079" spans="5:5" x14ac:dyDescent="0.25">
      <c r="E9079" s="102"/>
    </row>
    <row r="9080" spans="5:5" x14ac:dyDescent="0.25">
      <c r="E9080" s="102"/>
    </row>
    <row r="9081" spans="5:5" x14ac:dyDescent="0.25">
      <c r="E9081" s="102"/>
    </row>
    <row r="9082" spans="5:5" x14ac:dyDescent="0.25">
      <c r="E9082" s="102"/>
    </row>
    <row r="9083" spans="5:5" x14ac:dyDescent="0.25">
      <c r="E9083" s="102"/>
    </row>
    <row r="9084" spans="5:5" x14ac:dyDescent="0.25">
      <c r="E9084" s="102"/>
    </row>
    <row r="9085" spans="5:5" x14ac:dyDescent="0.25">
      <c r="E9085" s="102"/>
    </row>
    <row r="9086" spans="5:5" x14ac:dyDescent="0.25">
      <c r="E9086" s="102"/>
    </row>
    <row r="9087" spans="5:5" x14ac:dyDescent="0.25">
      <c r="E9087" s="102"/>
    </row>
    <row r="9088" spans="5:5" x14ac:dyDescent="0.25">
      <c r="E9088" s="102"/>
    </row>
    <row r="9089" spans="5:5" x14ac:dyDescent="0.25">
      <c r="E9089" s="102"/>
    </row>
    <row r="9090" spans="5:5" x14ac:dyDescent="0.25">
      <c r="E9090" s="102"/>
    </row>
    <row r="9091" spans="5:5" x14ac:dyDescent="0.25">
      <c r="E9091" s="102"/>
    </row>
    <row r="9092" spans="5:5" x14ac:dyDescent="0.25">
      <c r="E9092" s="102"/>
    </row>
    <row r="9093" spans="5:5" x14ac:dyDescent="0.25">
      <c r="E9093" s="102"/>
    </row>
    <row r="9094" spans="5:5" x14ac:dyDescent="0.25">
      <c r="E9094" s="102"/>
    </row>
    <row r="9095" spans="5:5" x14ac:dyDescent="0.25">
      <c r="E9095" s="102"/>
    </row>
    <row r="9096" spans="5:5" x14ac:dyDescent="0.25">
      <c r="E9096" s="102"/>
    </row>
    <row r="9097" spans="5:5" x14ac:dyDescent="0.25">
      <c r="E9097" s="102"/>
    </row>
    <row r="9098" spans="5:5" x14ac:dyDescent="0.25">
      <c r="E9098" s="102"/>
    </row>
    <row r="9099" spans="5:5" x14ac:dyDescent="0.25">
      <c r="E9099" s="102"/>
    </row>
    <row r="9100" spans="5:5" x14ac:dyDescent="0.25">
      <c r="E9100" s="102"/>
    </row>
    <row r="9101" spans="5:5" x14ac:dyDescent="0.25">
      <c r="E9101" s="102"/>
    </row>
    <row r="9102" spans="5:5" x14ac:dyDescent="0.25">
      <c r="E9102" s="102"/>
    </row>
    <row r="9103" spans="5:5" x14ac:dyDescent="0.25">
      <c r="E9103" s="102"/>
    </row>
    <row r="9104" spans="5:5" x14ac:dyDescent="0.25">
      <c r="E9104" s="102"/>
    </row>
    <row r="9105" spans="5:5" x14ac:dyDescent="0.25">
      <c r="E9105" s="102"/>
    </row>
    <row r="9106" spans="5:5" x14ac:dyDescent="0.25">
      <c r="E9106" s="102"/>
    </row>
    <row r="9107" spans="5:5" x14ac:dyDescent="0.25">
      <c r="E9107" s="102"/>
    </row>
    <row r="9108" spans="5:5" x14ac:dyDescent="0.25">
      <c r="E9108" s="102"/>
    </row>
    <row r="9109" spans="5:5" x14ac:dyDescent="0.25">
      <c r="E9109" s="102"/>
    </row>
    <row r="9110" spans="5:5" x14ac:dyDescent="0.25">
      <c r="E9110" s="102"/>
    </row>
    <row r="9111" spans="5:5" x14ac:dyDescent="0.25">
      <c r="E9111" s="102"/>
    </row>
    <row r="9112" spans="5:5" x14ac:dyDescent="0.25">
      <c r="E9112" s="102"/>
    </row>
    <row r="9113" spans="5:5" x14ac:dyDescent="0.25">
      <c r="E9113" s="102"/>
    </row>
    <row r="9114" spans="5:5" x14ac:dyDescent="0.25">
      <c r="E9114" s="102"/>
    </row>
    <row r="9115" spans="5:5" x14ac:dyDescent="0.25">
      <c r="E9115" s="102"/>
    </row>
    <row r="9116" spans="5:5" x14ac:dyDescent="0.25">
      <c r="E9116" s="102"/>
    </row>
    <row r="9117" spans="5:5" x14ac:dyDescent="0.25">
      <c r="E9117" s="102"/>
    </row>
    <row r="9118" spans="5:5" x14ac:dyDescent="0.25">
      <c r="E9118" s="102"/>
    </row>
    <row r="9119" spans="5:5" x14ac:dyDescent="0.25">
      <c r="E9119" s="102"/>
    </row>
    <row r="9120" spans="5:5" x14ac:dyDescent="0.25">
      <c r="E9120" s="102"/>
    </row>
    <row r="9121" spans="5:5" x14ac:dyDescent="0.25">
      <c r="E9121" s="102"/>
    </row>
    <row r="9122" spans="5:5" x14ac:dyDescent="0.25">
      <c r="E9122" s="102"/>
    </row>
    <row r="9123" spans="5:5" x14ac:dyDescent="0.25">
      <c r="E9123" s="102"/>
    </row>
    <row r="9124" spans="5:5" x14ac:dyDescent="0.25">
      <c r="E9124" s="102"/>
    </row>
    <row r="9125" spans="5:5" x14ac:dyDescent="0.25">
      <c r="E9125" s="102"/>
    </row>
    <row r="9126" spans="5:5" x14ac:dyDescent="0.25">
      <c r="E9126" s="102"/>
    </row>
    <row r="9127" spans="5:5" x14ac:dyDescent="0.25">
      <c r="E9127" s="102"/>
    </row>
    <row r="9128" spans="5:5" x14ac:dyDescent="0.25">
      <c r="E9128" s="102"/>
    </row>
    <row r="9129" spans="5:5" x14ac:dyDescent="0.25">
      <c r="E9129" s="102"/>
    </row>
    <row r="9130" spans="5:5" x14ac:dyDescent="0.25">
      <c r="E9130" s="102"/>
    </row>
    <row r="9131" spans="5:5" x14ac:dyDescent="0.25">
      <c r="E9131" s="102"/>
    </row>
    <row r="9132" spans="5:5" x14ac:dyDescent="0.25">
      <c r="E9132" s="102"/>
    </row>
    <row r="9133" spans="5:5" x14ac:dyDescent="0.25">
      <c r="E9133" s="102"/>
    </row>
    <row r="9134" spans="5:5" x14ac:dyDescent="0.25">
      <c r="E9134" s="102"/>
    </row>
    <row r="9135" spans="5:5" x14ac:dyDescent="0.25">
      <c r="E9135" s="102"/>
    </row>
    <row r="9136" spans="5:5" x14ac:dyDescent="0.25">
      <c r="E9136" s="102"/>
    </row>
    <row r="9137" spans="5:5" x14ac:dyDescent="0.25">
      <c r="E9137" s="102"/>
    </row>
    <row r="9138" spans="5:5" x14ac:dyDescent="0.25">
      <c r="E9138" s="102"/>
    </row>
    <row r="9139" spans="5:5" x14ac:dyDescent="0.25">
      <c r="E9139" s="102"/>
    </row>
    <row r="9140" spans="5:5" x14ac:dyDescent="0.25">
      <c r="E9140" s="102"/>
    </row>
    <row r="9141" spans="5:5" x14ac:dyDescent="0.25">
      <c r="E9141" s="102"/>
    </row>
    <row r="9142" spans="5:5" x14ac:dyDescent="0.25">
      <c r="E9142" s="102"/>
    </row>
    <row r="9143" spans="5:5" x14ac:dyDescent="0.25">
      <c r="E9143" s="102"/>
    </row>
    <row r="9144" spans="5:5" x14ac:dyDescent="0.25">
      <c r="E9144" s="102"/>
    </row>
    <row r="9145" spans="5:5" x14ac:dyDescent="0.25">
      <c r="E9145" s="102"/>
    </row>
    <row r="9146" spans="5:5" x14ac:dyDescent="0.25">
      <c r="E9146" s="102"/>
    </row>
    <row r="9147" spans="5:5" x14ac:dyDescent="0.25">
      <c r="E9147" s="102"/>
    </row>
    <row r="9148" spans="5:5" x14ac:dyDescent="0.25">
      <c r="E9148" s="102"/>
    </row>
    <row r="9149" spans="5:5" x14ac:dyDescent="0.25">
      <c r="E9149" s="102"/>
    </row>
    <row r="9150" spans="5:5" x14ac:dyDescent="0.25">
      <c r="E9150" s="102"/>
    </row>
    <row r="9151" spans="5:5" x14ac:dyDescent="0.25">
      <c r="E9151" s="102"/>
    </row>
    <row r="9152" spans="5:5" x14ac:dyDescent="0.25">
      <c r="E9152" s="102"/>
    </row>
    <row r="9153" spans="5:5" x14ac:dyDescent="0.25">
      <c r="E9153" s="102"/>
    </row>
    <row r="9154" spans="5:5" x14ac:dyDescent="0.25">
      <c r="E9154" s="102"/>
    </row>
    <row r="9155" spans="5:5" x14ac:dyDescent="0.25">
      <c r="E9155" s="102"/>
    </row>
    <row r="9156" spans="5:5" x14ac:dyDescent="0.25">
      <c r="E9156" s="102"/>
    </row>
    <row r="9157" spans="5:5" x14ac:dyDescent="0.25">
      <c r="E9157" s="102"/>
    </row>
    <row r="9158" spans="5:5" x14ac:dyDescent="0.25">
      <c r="E9158" s="102"/>
    </row>
    <row r="9159" spans="5:5" x14ac:dyDescent="0.25">
      <c r="E9159" s="102"/>
    </row>
    <row r="9160" spans="5:5" x14ac:dyDescent="0.25">
      <c r="E9160" s="102"/>
    </row>
    <row r="9161" spans="5:5" x14ac:dyDescent="0.25">
      <c r="E9161" s="102"/>
    </row>
    <row r="9162" spans="5:5" x14ac:dyDescent="0.25">
      <c r="E9162" s="102"/>
    </row>
    <row r="9163" spans="5:5" x14ac:dyDescent="0.25">
      <c r="E9163" s="102"/>
    </row>
    <row r="9164" spans="5:5" x14ac:dyDescent="0.25">
      <c r="E9164" s="102"/>
    </row>
    <row r="9165" spans="5:5" x14ac:dyDescent="0.25">
      <c r="E9165" s="102"/>
    </row>
    <row r="9166" spans="5:5" x14ac:dyDescent="0.25">
      <c r="E9166" s="102"/>
    </row>
    <row r="9167" spans="5:5" x14ac:dyDescent="0.25">
      <c r="E9167" s="102"/>
    </row>
    <row r="9168" spans="5:5" x14ac:dyDescent="0.25">
      <c r="E9168" s="102"/>
    </row>
    <row r="9169" spans="5:5" x14ac:dyDescent="0.25">
      <c r="E9169" s="102"/>
    </row>
    <row r="9170" spans="5:5" x14ac:dyDescent="0.25">
      <c r="E9170" s="102"/>
    </row>
    <row r="9171" spans="5:5" x14ac:dyDescent="0.25">
      <c r="E9171" s="102"/>
    </row>
    <row r="9172" spans="5:5" x14ac:dyDescent="0.25">
      <c r="E9172" s="102"/>
    </row>
    <row r="9173" spans="5:5" x14ac:dyDescent="0.25">
      <c r="E9173" s="102"/>
    </row>
    <row r="9174" spans="5:5" x14ac:dyDescent="0.25">
      <c r="E9174" s="102"/>
    </row>
    <row r="9175" spans="5:5" x14ac:dyDescent="0.25">
      <c r="E9175" s="102"/>
    </row>
    <row r="9176" spans="5:5" x14ac:dyDescent="0.25">
      <c r="E9176" s="102"/>
    </row>
    <row r="9177" spans="5:5" x14ac:dyDescent="0.25">
      <c r="E9177" s="102"/>
    </row>
    <row r="9178" spans="5:5" x14ac:dyDescent="0.25">
      <c r="E9178" s="102"/>
    </row>
    <row r="9179" spans="5:5" x14ac:dyDescent="0.25">
      <c r="E9179" s="102"/>
    </row>
    <row r="9180" spans="5:5" x14ac:dyDescent="0.25">
      <c r="E9180" s="102"/>
    </row>
    <row r="9181" spans="5:5" x14ac:dyDescent="0.25">
      <c r="E9181" s="102"/>
    </row>
    <row r="9182" spans="5:5" x14ac:dyDescent="0.25">
      <c r="E9182" s="102"/>
    </row>
    <row r="9183" spans="5:5" x14ac:dyDescent="0.25">
      <c r="E9183" s="102"/>
    </row>
    <row r="9184" spans="5:5" x14ac:dyDescent="0.25">
      <c r="E9184" s="102"/>
    </row>
    <row r="9185" spans="5:5" x14ac:dyDescent="0.25">
      <c r="E9185" s="102"/>
    </row>
    <row r="9186" spans="5:5" x14ac:dyDescent="0.25">
      <c r="E9186" s="102"/>
    </row>
    <row r="9187" spans="5:5" x14ac:dyDescent="0.25">
      <c r="E9187" s="102"/>
    </row>
    <row r="9188" spans="5:5" x14ac:dyDescent="0.25">
      <c r="E9188" s="102"/>
    </row>
    <row r="9189" spans="5:5" x14ac:dyDescent="0.25">
      <c r="E9189" s="102"/>
    </row>
    <row r="9190" spans="5:5" x14ac:dyDescent="0.25">
      <c r="E9190" s="102"/>
    </row>
    <row r="9191" spans="5:5" x14ac:dyDescent="0.25">
      <c r="E9191" s="102"/>
    </row>
    <row r="9192" spans="5:5" x14ac:dyDescent="0.25">
      <c r="E9192" s="102"/>
    </row>
    <row r="9193" spans="5:5" x14ac:dyDescent="0.25">
      <c r="E9193" s="102"/>
    </row>
    <row r="9194" spans="5:5" x14ac:dyDescent="0.25">
      <c r="E9194" s="102"/>
    </row>
    <row r="9195" spans="5:5" x14ac:dyDescent="0.25">
      <c r="E9195" s="102"/>
    </row>
    <row r="9196" spans="5:5" x14ac:dyDescent="0.25">
      <c r="E9196" s="102"/>
    </row>
    <row r="9197" spans="5:5" x14ac:dyDescent="0.25">
      <c r="E9197" s="102"/>
    </row>
    <row r="9198" spans="5:5" x14ac:dyDescent="0.25">
      <c r="E9198" s="102"/>
    </row>
    <row r="9199" spans="5:5" x14ac:dyDescent="0.25">
      <c r="E9199" s="102"/>
    </row>
    <row r="9200" spans="5:5" x14ac:dyDescent="0.25">
      <c r="E9200" s="102"/>
    </row>
    <row r="9201" spans="5:5" x14ac:dyDescent="0.25">
      <c r="E9201" s="102"/>
    </row>
    <row r="9202" spans="5:5" x14ac:dyDescent="0.25">
      <c r="E9202" s="102"/>
    </row>
    <row r="9203" spans="5:5" x14ac:dyDescent="0.25">
      <c r="E9203" s="102"/>
    </row>
    <row r="9204" spans="5:5" x14ac:dyDescent="0.25">
      <c r="E9204" s="102"/>
    </row>
    <row r="9205" spans="5:5" x14ac:dyDescent="0.25">
      <c r="E9205" s="102"/>
    </row>
    <row r="9206" spans="5:5" x14ac:dyDescent="0.25">
      <c r="E9206" s="102"/>
    </row>
    <row r="9207" spans="5:5" x14ac:dyDescent="0.25">
      <c r="E9207" s="102"/>
    </row>
    <row r="9208" spans="5:5" x14ac:dyDescent="0.25">
      <c r="E9208" s="102"/>
    </row>
    <row r="9209" spans="5:5" x14ac:dyDescent="0.25">
      <c r="E9209" s="102"/>
    </row>
    <row r="9210" spans="5:5" x14ac:dyDescent="0.25">
      <c r="E9210" s="102"/>
    </row>
    <row r="9211" spans="5:5" x14ac:dyDescent="0.25">
      <c r="E9211" s="102"/>
    </row>
    <row r="9212" spans="5:5" x14ac:dyDescent="0.25">
      <c r="E9212" s="102"/>
    </row>
    <row r="9213" spans="5:5" x14ac:dyDescent="0.25">
      <c r="E9213" s="102"/>
    </row>
    <row r="9214" spans="5:5" x14ac:dyDescent="0.25">
      <c r="E9214" s="102"/>
    </row>
    <row r="9215" spans="5:5" x14ac:dyDescent="0.25">
      <c r="E9215" s="102"/>
    </row>
    <row r="9216" spans="5:5" x14ac:dyDescent="0.25">
      <c r="E9216" s="102"/>
    </row>
    <row r="9217" spans="5:5" x14ac:dyDescent="0.25">
      <c r="E9217" s="102"/>
    </row>
    <row r="9218" spans="5:5" x14ac:dyDescent="0.25">
      <c r="E9218" s="102"/>
    </row>
    <row r="9219" spans="5:5" x14ac:dyDescent="0.25">
      <c r="E9219" s="102"/>
    </row>
    <row r="9220" spans="5:5" x14ac:dyDescent="0.25">
      <c r="E9220" s="102"/>
    </row>
    <row r="9221" spans="5:5" x14ac:dyDescent="0.25">
      <c r="E9221" s="102"/>
    </row>
    <row r="9222" spans="5:5" x14ac:dyDescent="0.25">
      <c r="E9222" s="102"/>
    </row>
    <row r="9223" spans="5:5" x14ac:dyDescent="0.25">
      <c r="E9223" s="102"/>
    </row>
    <row r="9224" spans="5:5" x14ac:dyDescent="0.25">
      <c r="E9224" s="102"/>
    </row>
    <row r="9225" spans="5:5" x14ac:dyDescent="0.25">
      <c r="E9225" s="102"/>
    </row>
    <row r="9226" spans="5:5" x14ac:dyDescent="0.25">
      <c r="E9226" s="102"/>
    </row>
    <row r="9227" spans="5:5" x14ac:dyDescent="0.25">
      <c r="E9227" s="102"/>
    </row>
    <row r="9228" spans="5:5" x14ac:dyDescent="0.25">
      <c r="E9228" s="102"/>
    </row>
    <row r="9229" spans="5:5" x14ac:dyDescent="0.25">
      <c r="E9229" s="102"/>
    </row>
    <row r="9230" spans="5:5" x14ac:dyDescent="0.25">
      <c r="E9230" s="102"/>
    </row>
    <row r="9231" spans="5:5" x14ac:dyDescent="0.25">
      <c r="E9231" s="102"/>
    </row>
    <row r="9232" spans="5:5" x14ac:dyDescent="0.25">
      <c r="E9232" s="102"/>
    </row>
    <row r="9233" spans="5:5" x14ac:dyDescent="0.25">
      <c r="E9233" s="102"/>
    </row>
    <row r="9234" spans="5:5" x14ac:dyDescent="0.25">
      <c r="E9234" s="102"/>
    </row>
    <row r="9235" spans="5:5" x14ac:dyDescent="0.25">
      <c r="E9235" s="102"/>
    </row>
    <row r="9236" spans="5:5" x14ac:dyDescent="0.25">
      <c r="E9236" s="102"/>
    </row>
    <row r="9237" spans="5:5" x14ac:dyDescent="0.25">
      <c r="E9237" s="102"/>
    </row>
    <row r="9238" spans="5:5" x14ac:dyDescent="0.25">
      <c r="E9238" s="102"/>
    </row>
    <row r="9239" spans="5:5" x14ac:dyDescent="0.25">
      <c r="E9239" s="102"/>
    </row>
    <row r="9240" spans="5:5" x14ac:dyDescent="0.25">
      <c r="E9240" s="102"/>
    </row>
    <row r="9241" spans="5:5" x14ac:dyDescent="0.25">
      <c r="E9241" s="102"/>
    </row>
    <row r="9242" spans="5:5" x14ac:dyDescent="0.25">
      <c r="E9242" s="102"/>
    </row>
    <row r="9243" spans="5:5" x14ac:dyDescent="0.25">
      <c r="E9243" s="102"/>
    </row>
    <row r="9244" spans="5:5" x14ac:dyDescent="0.25">
      <c r="E9244" s="102"/>
    </row>
    <row r="9245" spans="5:5" x14ac:dyDescent="0.25">
      <c r="E9245" s="102"/>
    </row>
    <row r="9246" spans="5:5" x14ac:dyDescent="0.25">
      <c r="E9246" s="102"/>
    </row>
    <row r="9247" spans="5:5" x14ac:dyDescent="0.25">
      <c r="E9247" s="102"/>
    </row>
    <row r="9248" spans="5:5" x14ac:dyDescent="0.25">
      <c r="E9248" s="102"/>
    </row>
    <row r="9249" spans="5:5" x14ac:dyDescent="0.25">
      <c r="E9249" s="102"/>
    </row>
    <row r="9250" spans="5:5" x14ac:dyDescent="0.25">
      <c r="E9250" s="102"/>
    </row>
    <row r="9251" spans="5:5" x14ac:dyDescent="0.25">
      <c r="E9251" s="102"/>
    </row>
    <row r="9252" spans="5:5" x14ac:dyDescent="0.25">
      <c r="E9252" s="102"/>
    </row>
    <row r="9253" spans="5:5" x14ac:dyDescent="0.25">
      <c r="E9253" s="102"/>
    </row>
    <row r="9254" spans="5:5" x14ac:dyDescent="0.25">
      <c r="E9254" s="102"/>
    </row>
    <row r="9255" spans="5:5" x14ac:dyDescent="0.25">
      <c r="E9255" s="102"/>
    </row>
    <row r="9256" spans="5:5" x14ac:dyDescent="0.25">
      <c r="E9256" s="102"/>
    </row>
    <row r="9257" spans="5:5" x14ac:dyDescent="0.25">
      <c r="E9257" s="102"/>
    </row>
    <row r="9258" spans="5:5" x14ac:dyDescent="0.25">
      <c r="E9258" s="102"/>
    </row>
    <row r="9259" spans="5:5" x14ac:dyDescent="0.25">
      <c r="E9259" s="102"/>
    </row>
    <row r="9260" spans="5:5" x14ac:dyDescent="0.25">
      <c r="E9260" s="102"/>
    </row>
    <row r="9261" spans="5:5" x14ac:dyDescent="0.25">
      <c r="E9261" s="102"/>
    </row>
    <row r="9262" spans="5:5" x14ac:dyDescent="0.25">
      <c r="E9262" s="102"/>
    </row>
    <row r="9263" spans="5:5" x14ac:dyDescent="0.25">
      <c r="E9263" s="102"/>
    </row>
    <row r="9264" spans="5:5" x14ac:dyDescent="0.25">
      <c r="E9264" s="102"/>
    </row>
    <row r="9265" spans="5:5" x14ac:dyDescent="0.25">
      <c r="E9265" s="102"/>
    </row>
    <row r="9266" spans="5:5" x14ac:dyDescent="0.25">
      <c r="E9266" s="102"/>
    </row>
    <row r="9267" spans="5:5" x14ac:dyDescent="0.25">
      <c r="E9267" s="102"/>
    </row>
    <row r="9268" spans="5:5" x14ac:dyDescent="0.25">
      <c r="E9268" s="102"/>
    </row>
    <row r="9269" spans="5:5" x14ac:dyDescent="0.25">
      <c r="E9269" s="102"/>
    </row>
    <row r="9270" spans="5:5" x14ac:dyDescent="0.25">
      <c r="E9270" s="102"/>
    </row>
    <row r="9271" spans="5:5" x14ac:dyDescent="0.25">
      <c r="E9271" s="102"/>
    </row>
    <row r="9272" spans="5:5" x14ac:dyDescent="0.25">
      <c r="E9272" s="102"/>
    </row>
    <row r="9273" spans="5:5" x14ac:dyDescent="0.25">
      <c r="E9273" s="102"/>
    </row>
    <row r="9274" spans="5:5" x14ac:dyDescent="0.25">
      <c r="E9274" s="102"/>
    </row>
    <row r="9275" spans="5:5" x14ac:dyDescent="0.25">
      <c r="E9275" s="102"/>
    </row>
    <row r="9276" spans="5:5" x14ac:dyDescent="0.25">
      <c r="E9276" s="102"/>
    </row>
    <row r="9277" spans="5:5" x14ac:dyDescent="0.25">
      <c r="E9277" s="102"/>
    </row>
    <row r="9278" spans="5:5" x14ac:dyDescent="0.25">
      <c r="E9278" s="102"/>
    </row>
    <row r="9279" spans="5:5" x14ac:dyDescent="0.25">
      <c r="E9279" s="102"/>
    </row>
    <row r="9280" spans="5:5" x14ac:dyDescent="0.25">
      <c r="E9280" s="102"/>
    </row>
    <row r="9281" spans="5:5" x14ac:dyDescent="0.25">
      <c r="E9281" s="102"/>
    </row>
    <row r="9282" spans="5:5" x14ac:dyDescent="0.25">
      <c r="E9282" s="102"/>
    </row>
    <row r="9283" spans="5:5" x14ac:dyDescent="0.25">
      <c r="E9283" s="102"/>
    </row>
    <row r="9284" spans="5:5" x14ac:dyDescent="0.25">
      <c r="E9284" s="102"/>
    </row>
    <row r="9285" spans="5:5" x14ac:dyDescent="0.25">
      <c r="E9285" s="102"/>
    </row>
    <row r="9286" spans="5:5" x14ac:dyDescent="0.25">
      <c r="E9286" s="102"/>
    </row>
    <row r="9287" spans="5:5" x14ac:dyDescent="0.25">
      <c r="E9287" s="102"/>
    </row>
    <row r="9288" spans="5:5" x14ac:dyDescent="0.25">
      <c r="E9288" s="102"/>
    </row>
    <row r="9289" spans="5:5" x14ac:dyDescent="0.25">
      <c r="E9289" s="102"/>
    </row>
    <row r="9290" spans="5:5" x14ac:dyDescent="0.25">
      <c r="E9290" s="102"/>
    </row>
    <row r="9291" spans="5:5" x14ac:dyDescent="0.25">
      <c r="E9291" s="102"/>
    </row>
    <row r="9292" spans="5:5" x14ac:dyDescent="0.25">
      <c r="E9292" s="102"/>
    </row>
    <row r="9293" spans="5:5" x14ac:dyDescent="0.25">
      <c r="E9293" s="102"/>
    </row>
    <row r="9294" spans="5:5" x14ac:dyDescent="0.25">
      <c r="E9294" s="102"/>
    </row>
    <row r="9295" spans="5:5" x14ac:dyDescent="0.25">
      <c r="E9295" s="102"/>
    </row>
    <row r="9296" spans="5:5" x14ac:dyDescent="0.25">
      <c r="E9296" s="102"/>
    </row>
    <row r="9297" spans="5:5" x14ac:dyDescent="0.25">
      <c r="E9297" s="102"/>
    </row>
    <row r="9298" spans="5:5" x14ac:dyDescent="0.25">
      <c r="E9298" s="102"/>
    </row>
    <row r="9299" spans="5:5" x14ac:dyDescent="0.25">
      <c r="E9299" s="102"/>
    </row>
    <row r="9300" spans="5:5" x14ac:dyDescent="0.25">
      <c r="E9300" s="102"/>
    </row>
    <row r="9301" spans="5:5" x14ac:dyDescent="0.25">
      <c r="E9301" s="102"/>
    </row>
    <row r="9302" spans="5:5" x14ac:dyDescent="0.25">
      <c r="E9302" s="102"/>
    </row>
    <row r="9303" spans="5:5" x14ac:dyDescent="0.25">
      <c r="E9303" s="102"/>
    </row>
    <row r="9304" spans="5:5" x14ac:dyDescent="0.25">
      <c r="E9304" s="102"/>
    </row>
    <row r="9305" spans="5:5" x14ac:dyDescent="0.25">
      <c r="E9305" s="102"/>
    </row>
    <row r="9306" spans="5:5" x14ac:dyDescent="0.25">
      <c r="E9306" s="102"/>
    </row>
    <row r="9307" spans="5:5" x14ac:dyDescent="0.25">
      <c r="E9307" s="102"/>
    </row>
    <row r="9308" spans="5:5" x14ac:dyDescent="0.25">
      <c r="E9308" s="102"/>
    </row>
    <row r="9309" spans="5:5" x14ac:dyDescent="0.25">
      <c r="E9309" s="102"/>
    </row>
    <row r="9310" spans="5:5" x14ac:dyDescent="0.25">
      <c r="E9310" s="102"/>
    </row>
    <row r="9311" spans="5:5" x14ac:dyDescent="0.25">
      <c r="E9311" s="102"/>
    </row>
    <row r="9312" spans="5:5" x14ac:dyDescent="0.25">
      <c r="E9312" s="102"/>
    </row>
    <row r="9313" spans="5:5" x14ac:dyDescent="0.25">
      <c r="E9313" s="102"/>
    </row>
    <row r="9314" spans="5:5" x14ac:dyDescent="0.25">
      <c r="E9314" s="102"/>
    </row>
    <row r="9315" spans="5:5" x14ac:dyDescent="0.25">
      <c r="E9315" s="102"/>
    </row>
    <row r="9316" spans="5:5" x14ac:dyDescent="0.25">
      <c r="E9316" s="102"/>
    </row>
    <row r="9317" spans="5:5" x14ac:dyDescent="0.25">
      <c r="E9317" s="102"/>
    </row>
    <row r="9318" spans="5:5" x14ac:dyDescent="0.25">
      <c r="E9318" s="102"/>
    </row>
    <row r="9319" spans="5:5" x14ac:dyDescent="0.25">
      <c r="E9319" s="102"/>
    </row>
    <row r="9320" spans="5:5" x14ac:dyDescent="0.25">
      <c r="E9320" s="102"/>
    </row>
    <row r="9321" spans="5:5" x14ac:dyDescent="0.25">
      <c r="E9321" s="102"/>
    </row>
    <row r="9322" spans="5:5" x14ac:dyDescent="0.25">
      <c r="E9322" s="102"/>
    </row>
    <row r="9323" spans="5:5" x14ac:dyDescent="0.25">
      <c r="E9323" s="102"/>
    </row>
    <row r="9324" spans="5:5" x14ac:dyDescent="0.25">
      <c r="E9324" s="102"/>
    </row>
    <row r="9325" spans="5:5" x14ac:dyDescent="0.25">
      <c r="E9325" s="102"/>
    </row>
    <row r="9326" spans="5:5" x14ac:dyDescent="0.25">
      <c r="E9326" s="102"/>
    </row>
    <row r="9327" spans="5:5" x14ac:dyDescent="0.25">
      <c r="E9327" s="102"/>
    </row>
    <row r="9328" spans="5:5" x14ac:dyDescent="0.25">
      <c r="E9328" s="102"/>
    </row>
    <row r="9329" spans="5:5" x14ac:dyDescent="0.25">
      <c r="E9329" s="102"/>
    </row>
    <row r="9330" spans="5:5" x14ac:dyDescent="0.25">
      <c r="E9330" s="102"/>
    </row>
    <row r="9331" spans="5:5" x14ac:dyDescent="0.25">
      <c r="E9331" s="102"/>
    </row>
    <row r="9332" spans="5:5" x14ac:dyDescent="0.25">
      <c r="E9332" s="102"/>
    </row>
    <row r="9333" spans="5:5" x14ac:dyDescent="0.25">
      <c r="E9333" s="102"/>
    </row>
    <row r="9334" spans="5:5" x14ac:dyDescent="0.25">
      <c r="E9334" s="102"/>
    </row>
    <row r="9335" spans="5:5" x14ac:dyDescent="0.25">
      <c r="E9335" s="102"/>
    </row>
    <row r="9336" spans="5:5" x14ac:dyDescent="0.25">
      <c r="E9336" s="102"/>
    </row>
    <row r="9337" spans="5:5" x14ac:dyDescent="0.25">
      <c r="E9337" s="102"/>
    </row>
    <row r="9338" spans="5:5" x14ac:dyDescent="0.25">
      <c r="E9338" s="102"/>
    </row>
    <row r="9339" spans="5:5" x14ac:dyDescent="0.25">
      <c r="E9339" s="102"/>
    </row>
    <row r="9340" spans="5:5" x14ac:dyDescent="0.25">
      <c r="E9340" s="102"/>
    </row>
    <row r="9341" spans="5:5" x14ac:dyDescent="0.25">
      <c r="E9341" s="102"/>
    </row>
    <row r="9342" spans="5:5" x14ac:dyDescent="0.25">
      <c r="E9342" s="102"/>
    </row>
    <row r="9343" spans="5:5" x14ac:dyDescent="0.25">
      <c r="E9343" s="102"/>
    </row>
    <row r="9344" spans="5:5" x14ac:dyDescent="0.25">
      <c r="E9344" s="102"/>
    </row>
    <row r="9345" spans="5:5" x14ac:dyDescent="0.25">
      <c r="E9345" s="102"/>
    </row>
    <row r="9346" spans="5:5" x14ac:dyDescent="0.25">
      <c r="E9346" s="102"/>
    </row>
    <row r="9347" spans="5:5" x14ac:dyDescent="0.25">
      <c r="E9347" s="102"/>
    </row>
    <row r="9348" spans="5:5" x14ac:dyDescent="0.25">
      <c r="E9348" s="102"/>
    </row>
    <row r="9349" spans="5:5" x14ac:dyDescent="0.25">
      <c r="E9349" s="102"/>
    </row>
    <row r="9350" spans="5:5" x14ac:dyDescent="0.25">
      <c r="E9350" s="102"/>
    </row>
    <row r="9351" spans="5:5" x14ac:dyDescent="0.25">
      <c r="E9351" s="102"/>
    </row>
    <row r="9352" spans="5:5" x14ac:dyDescent="0.25">
      <c r="E9352" s="102"/>
    </row>
    <row r="9353" spans="5:5" x14ac:dyDescent="0.25">
      <c r="E9353" s="102"/>
    </row>
    <row r="9354" spans="5:5" x14ac:dyDescent="0.25">
      <c r="E9354" s="102"/>
    </row>
    <row r="9355" spans="5:5" x14ac:dyDescent="0.25">
      <c r="E9355" s="102"/>
    </row>
    <row r="9356" spans="5:5" x14ac:dyDescent="0.25">
      <c r="E9356" s="102"/>
    </row>
    <row r="9357" spans="5:5" x14ac:dyDescent="0.25">
      <c r="E9357" s="102"/>
    </row>
    <row r="9358" spans="5:5" x14ac:dyDescent="0.25">
      <c r="E9358" s="102"/>
    </row>
    <row r="9359" spans="5:5" x14ac:dyDescent="0.25">
      <c r="E9359" s="102"/>
    </row>
    <row r="9360" spans="5:5" x14ac:dyDescent="0.25">
      <c r="E9360" s="102"/>
    </row>
    <row r="9361" spans="5:5" x14ac:dyDescent="0.25">
      <c r="E9361" s="102"/>
    </row>
    <row r="9362" spans="5:5" x14ac:dyDescent="0.25">
      <c r="E9362" s="102"/>
    </row>
    <row r="9363" spans="5:5" x14ac:dyDescent="0.25">
      <c r="E9363" s="102"/>
    </row>
    <row r="9364" spans="5:5" x14ac:dyDescent="0.25">
      <c r="E9364" s="102"/>
    </row>
    <row r="9365" spans="5:5" x14ac:dyDescent="0.25">
      <c r="E9365" s="102"/>
    </row>
    <row r="9366" spans="5:5" x14ac:dyDescent="0.25">
      <c r="E9366" s="102"/>
    </row>
    <row r="9367" spans="5:5" x14ac:dyDescent="0.25">
      <c r="E9367" s="102"/>
    </row>
    <row r="9368" spans="5:5" x14ac:dyDescent="0.25">
      <c r="E9368" s="102"/>
    </row>
    <row r="9369" spans="5:5" x14ac:dyDescent="0.25">
      <c r="E9369" s="102"/>
    </row>
    <row r="9370" spans="5:5" x14ac:dyDescent="0.25">
      <c r="E9370" s="102"/>
    </row>
    <row r="9371" spans="5:5" x14ac:dyDescent="0.25">
      <c r="E9371" s="102"/>
    </row>
    <row r="9372" spans="5:5" x14ac:dyDescent="0.25">
      <c r="E9372" s="102"/>
    </row>
    <row r="9373" spans="5:5" x14ac:dyDescent="0.25">
      <c r="E9373" s="102"/>
    </row>
    <row r="9374" spans="5:5" x14ac:dyDescent="0.25">
      <c r="E9374" s="102"/>
    </row>
    <row r="9375" spans="5:5" x14ac:dyDescent="0.25">
      <c r="E9375" s="102"/>
    </row>
    <row r="9376" spans="5:5" x14ac:dyDescent="0.25">
      <c r="E9376" s="102"/>
    </row>
    <row r="9377" spans="5:5" x14ac:dyDescent="0.25">
      <c r="E9377" s="102"/>
    </row>
    <row r="9378" spans="5:5" x14ac:dyDescent="0.25">
      <c r="E9378" s="102"/>
    </row>
    <row r="9379" spans="5:5" x14ac:dyDescent="0.25">
      <c r="E9379" s="102"/>
    </row>
    <row r="9380" spans="5:5" x14ac:dyDescent="0.25">
      <c r="E9380" s="102"/>
    </row>
    <row r="9381" spans="5:5" x14ac:dyDescent="0.25">
      <c r="E9381" s="102"/>
    </row>
    <row r="9382" spans="5:5" x14ac:dyDescent="0.25">
      <c r="E9382" s="102"/>
    </row>
    <row r="9383" spans="5:5" x14ac:dyDescent="0.25">
      <c r="E9383" s="102"/>
    </row>
    <row r="9384" spans="5:5" x14ac:dyDescent="0.25">
      <c r="E9384" s="102"/>
    </row>
    <row r="9385" spans="5:5" x14ac:dyDescent="0.25">
      <c r="E9385" s="102"/>
    </row>
    <row r="9386" spans="5:5" x14ac:dyDescent="0.25">
      <c r="E9386" s="102"/>
    </row>
    <row r="9387" spans="5:5" x14ac:dyDescent="0.25">
      <c r="E9387" s="102"/>
    </row>
    <row r="9388" spans="5:5" x14ac:dyDescent="0.25">
      <c r="E9388" s="102"/>
    </row>
    <row r="9389" spans="5:5" x14ac:dyDescent="0.25">
      <c r="E9389" s="102"/>
    </row>
    <row r="9390" spans="5:5" x14ac:dyDescent="0.25">
      <c r="E9390" s="102"/>
    </row>
    <row r="9391" spans="5:5" x14ac:dyDescent="0.25">
      <c r="E9391" s="102"/>
    </row>
    <row r="9392" spans="5:5" x14ac:dyDescent="0.25">
      <c r="E9392" s="102"/>
    </row>
    <row r="9393" spans="5:5" x14ac:dyDescent="0.25">
      <c r="E9393" s="102"/>
    </row>
    <row r="9394" spans="5:5" x14ac:dyDescent="0.25">
      <c r="E9394" s="102"/>
    </row>
    <row r="9395" spans="5:5" x14ac:dyDescent="0.25">
      <c r="E9395" s="102"/>
    </row>
    <row r="9396" spans="5:5" x14ac:dyDescent="0.25">
      <c r="E9396" s="102"/>
    </row>
    <row r="9397" spans="5:5" x14ac:dyDescent="0.25">
      <c r="E9397" s="102"/>
    </row>
    <row r="9398" spans="5:5" x14ac:dyDescent="0.25">
      <c r="E9398" s="102"/>
    </row>
    <row r="9399" spans="5:5" x14ac:dyDescent="0.25">
      <c r="E9399" s="102"/>
    </row>
    <row r="9400" spans="5:5" x14ac:dyDescent="0.25">
      <c r="E9400" s="102"/>
    </row>
    <row r="9401" spans="5:5" x14ac:dyDescent="0.25">
      <c r="E9401" s="102"/>
    </row>
    <row r="9402" spans="5:5" x14ac:dyDescent="0.25">
      <c r="E9402" s="102"/>
    </row>
    <row r="9403" spans="5:5" x14ac:dyDescent="0.25">
      <c r="E9403" s="102"/>
    </row>
    <row r="9404" spans="5:5" x14ac:dyDescent="0.25">
      <c r="E9404" s="102"/>
    </row>
    <row r="9405" spans="5:5" x14ac:dyDescent="0.25">
      <c r="E9405" s="102"/>
    </row>
    <row r="9406" spans="5:5" x14ac:dyDescent="0.25">
      <c r="E9406" s="102"/>
    </row>
    <row r="9407" spans="5:5" x14ac:dyDescent="0.25">
      <c r="E9407" s="102"/>
    </row>
    <row r="9408" spans="5:5" x14ac:dyDescent="0.25">
      <c r="E9408" s="102"/>
    </row>
    <row r="9409" spans="5:5" x14ac:dyDescent="0.25">
      <c r="E9409" s="102"/>
    </row>
    <row r="9410" spans="5:5" x14ac:dyDescent="0.25">
      <c r="E9410" s="102"/>
    </row>
    <row r="9411" spans="5:5" x14ac:dyDescent="0.25">
      <c r="E9411" s="102"/>
    </row>
    <row r="9412" spans="5:5" x14ac:dyDescent="0.25">
      <c r="E9412" s="102"/>
    </row>
    <row r="9413" spans="5:5" x14ac:dyDescent="0.25">
      <c r="E9413" s="102"/>
    </row>
    <row r="9414" spans="5:5" x14ac:dyDescent="0.25">
      <c r="E9414" s="102"/>
    </row>
    <row r="9415" spans="5:5" x14ac:dyDescent="0.25">
      <c r="E9415" s="102"/>
    </row>
    <row r="9416" spans="5:5" x14ac:dyDescent="0.25">
      <c r="E9416" s="102"/>
    </row>
    <row r="9417" spans="5:5" x14ac:dyDescent="0.25">
      <c r="E9417" s="102"/>
    </row>
    <row r="9418" spans="5:5" x14ac:dyDescent="0.25">
      <c r="E9418" s="102"/>
    </row>
    <row r="9419" spans="5:5" x14ac:dyDescent="0.25">
      <c r="E9419" s="102"/>
    </row>
    <row r="9420" spans="5:5" x14ac:dyDescent="0.25">
      <c r="E9420" s="102"/>
    </row>
    <row r="9421" spans="5:5" x14ac:dyDescent="0.25">
      <c r="E9421" s="102"/>
    </row>
    <row r="9422" spans="5:5" x14ac:dyDescent="0.25">
      <c r="E9422" s="102"/>
    </row>
    <row r="9423" spans="5:5" x14ac:dyDescent="0.25">
      <c r="E9423" s="102"/>
    </row>
    <row r="9424" spans="5:5" x14ac:dyDescent="0.25">
      <c r="E9424" s="102"/>
    </row>
    <row r="9425" spans="5:5" x14ac:dyDescent="0.25">
      <c r="E9425" s="102"/>
    </row>
    <row r="9426" spans="5:5" x14ac:dyDescent="0.25">
      <c r="E9426" s="102"/>
    </row>
    <row r="9427" spans="5:5" x14ac:dyDescent="0.25">
      <c r="E9427" s="102"/>
    </row>
    <row r="9428" spans="5:5" x14ac:dyDescent="0.25">
      <c r="E9428" s="102"/>
    </row>
    <row r="9429" spans="5:5" x14ac:dyDescent="0.25">
      <c r="E9429" s="102"/>
    </row>
    <row r="9430" spans="5:5" x14ac:dyDescent="0.25">
      <c r="E9430" s="102"/>
    </row>
    <row r="9431" spans="5:5" x14ac:dyDescent="0.25">
      <c r="E9431" s="102"/>
    </row>
    <row r="9432" spans="5:5" x14ac:dyDescent="0.25">
      <c r="E9432" s="102"/>
    </row>
    <row r="9433" spans="5:5" x14ac:dyDescent="0.25">
      <c r="E9433" s="102"/>
    </row>
    <row r="9434" spans="5:5" x14ac:dyDescent="0.25">
      <c r="E9434" s="102"/>
    </row>
    <row r="9435" spans="5:5" x14ac:dyDescent="0.25">
      <c r="E9435" s="102"/>
    </row>
    <row r="9436" spans="5:5" x14ac:dyDescent="0.25">
      <c r="E9436" s="102"/>
    </row>
    <row r="9437" spans="5:5" x14ac:dyDescent="0.25">
      <c r="E9437" s="102"/>
    </row>
    <row r="9438" spans="5:5" x14ac:dyDescent="0.25">
      <c r="E9438" s="102"/>
    </row>
    <row r="9439" spans="5:5" x14ac:dyDescent="0.25">
      <c r="E9439" s="102"/>
    </row>
    <row r="9440" spans="5:5" x14ac:dyDescent="0.25">
      <c r="E9440" s="102"/>
    </row>
    <row r="9441" spans="5:5" x14ac:dyDescent="0.25">
      <c r="E9441" s="102"/>
    </row>
    <row r="9442" spans="5:5" x14ac:dyDescent="0.25">
      <c r="E9442" s="102"/>
    </row>
    <row r="9443" spans="5:5" x14ac:dyDescent="0.25">
      <c r="E9443" s="102"/>
    </row>
    <row r="9444" spans="5:5" x14ac:dyDescent="0.25">
      <c r="E9444" s="102"/>
    </row>
    <row r="9445" spans="5:5" x14ac:dyDescent="0.25">
      <c r="E9445" s="102"/>
    </row>
    <row r="9446" spans="5:5" x14ac:dyDescent="0.25">
      <c r="E9446" s="102"/>
    </row>
    <row r="9447" spans="5:5" x14ac:dyDescent="0.25">
      <c r="E9447" s="102"/>
    </row>
    <row r="9448" spans="5:5" x14ac:dyDescent="0.25">
      <c r="E9448" s="102"/>
    </row>
    <row r="9449" spans="5:5" x14ac:dyDescent="0.25">
      <c r="E9449" s="102"/>
    </row>
    <row r="9450" spans="5:5" x14ac:dyDescent="0.25">
      <c r="E9450" s="102"/>
    </row>
    <row r="9451" spans="5:5" x14ac:dyDescent="0.25">
      <c r="E9451" s="102"/>
    </row>
    <row r="9452" spans="5:5" x14ac:dyDescent="0.25">
      <c r="E9452" s="102"/>
    </row>
    <row r="9453" spans="5:5" x14ac:dyDescent="0.25">
      <c r="E9453" s="102"/>
    </row>
    <row r="9454" spans="5:5" x14ac:dyDescent="0.25">
      <c r="E9454" s="102"/>
    </row>
    <row r="9455" spans="5:5" x14ac:dyDescent="0.25">
      <c r="E9455" s="102"/>
    </row>
    <row r="9456" spans="5:5" x14ac:dyDescent="0.25">
      <c r="E9456" s="102"/>
    </row>
    <row r="9457" spans="5:5" x14ac:dyDescent="0.25">
      <c r="E9457" s="102"/>
    </row>
    <row r="9458" spans="5:5" x14ac:dyDescent="0.25">
      <c r="E9458" s="102"/>
    </row>
    <row r="9459" spans="5:5" x14ac:dyDescent="0.25">
      <c r="E9459" s="102"/>
    </row>
    <row r="9460" spans="5:5" x14ac:dyDescent="0.25">
      <c r="E9460" s="102"/>
    </row>
    <row r="9461" spans="5:5" x14ac:dyDescent="0.25">
      <c r="E9461" s="102"/>
    </row>
    <row r="9462" spans="5:5" x14ac:dyDescent="0.25">
      <c r="E9462" s="102"/>
    </row>
    <row r="9463" spans="5:5" x14ac:dyDescent="0.25">
      <c r="E9463" s="102"/>
    </row>
    <row r="9464" spans="5:5" x14ac:dyDescent="0.25">
      <c r="E9464" s="102"/>
    </row>
    <row r="9465" spans="5:5" x14ac:dyDescent="0.25">
      <c r="E9465" s="102"/>
    </row>
    <row r="9466" spans="5:5" x14ac:dyDescent="0.25">
      <c r="E9466" s="102"/>
    </row>
    <row r="9467" spans="5:5" x14ac:dyDescent="0.25">
      <c r="E9467" s="102"/>
    </row>
    <row r="9468" spans="5:5" x14ac:dyDescent="0.25">
      <c r="E9468" s="102"/>
    </row>
    <row r="9469" spans="5:5" x14ac:dyDescent="0.25">
      <c r="E9469" s="102"/>
    </row>
    <row r="9470" spans="5:5" x14ac:dyDescent="0.25">
      <c r="E9470" s="102"/>
    </row>
    <row r="9471" spans="5:5" x14ac:dyDescent="0.25">
      <c r="E9471" s="102"/>
    </row>
    <row r="9472" spans="5:5" x14ac:dyDescent="0.25">
      <c r="E9472" s="102"/>
    </row>
    <row r="9473" spans="5:5" x14ac:dyDescent="0.25">
      <c r="E9473" s="102"/>
    </row>
    <row r="9474" spans="5:5" x14ac:dyDescent="0.25">
      <c r="E9474" s="102"/>
    </row>
    <row r="9475" spans="5:5" x14ac:dyDescent="0.25">
      <c r="E9475" s="102"/>
    </row>
    <row r="9476" spans="5:5" x14ac:dyDescent="0.25">
      <c r="E9476" s="102"/>
    </row>
    <row r="9477" spans="5:5" x14ac:dyDescent="0.25">
      <c r="E9477" s="102"/>
    </row>
    <row r="9478" spans="5:5" x14ac:dyDescent="0.25">
      <c r="E9478" s="102"/>
    </row>
    <row r="9479" spans="5:5" x14ac:dyDescent="0.25">
      <c r="E9479" s="102"/>
    </row>
    <row r="9480" spans="5:5" x14ac:dyDescent="0.25">
      <c r="E9480" s="102"/>
    </row>
    <row r="9481" spans="5:5" x14ac:dyDescent="0.25">
      <c r="E9481" s="102"/>
    </row>
    <row r="9482" spans="5:5" x14ac:dyDescent="0.25">
      <c r="E9482" s="102"/>
    </row>
    <row r="9483" spans="5:5" x14ac:dyDescent="0.25">
      <c r="E9483" s="102"/>
    </row>
    <row r="9484" spans="5:5" x14ac:dyDescent="0.25">
      <c r="E9484" s="102"/>
    </row>
    <row r="9485" spans="5:5" x14ac:dyDescent="0.25">
      <c r="E9485" s="102"/>
    </row>
    <row r="9486" spans="5:5" x14ac:dyDescent="0.25">
      <c r="E9486" s="102"/>
    </row>
    <row r="9487" spans="5:5" x14ac:dyDescent="0.25">
      <c r="E9487" s="102"/>
    </row>
    <row r="9488" spans="5:5" x14ac:dyDescent="0.25">
      <c r="E9488" s="102"/>
    </row>
    <row r="9489" spans="5:5" x14ac:dyDescent="0.25">
      <c r="E9489" s="102"/>
    </row>
    <row r="9490" spans="5:5" x14ac:dyDescent="0.25">
      <c r="E9490" s="102"/>
    </row>
    <row r="9491" spans="5:5" x14ac:dyDescent="0.25">
      <c r="E9491" s="102"/>
    </row>
    <row r="9492" spans="5:5" x14ac:dyDescent="0.25">
      <c r="E9492" s="102"/>
    </row>
    <row r="9493" spans="5:5" x14ac:dyDescent="0.25">
      <c r="E9493" s="102"/>
    </row>
    <row r="9494" spans="5:5" x14ac:dyDescent="0.25">
      <c r="E9494" s="102"/>
    </row>
    <row r="9495" spans="5:5" x14ac:dyDescent="0.25">
      <c r="E9495" s="102"/>
    </row>
    <row r="9496" spans="5:5" x14ac:dyDescent="0.25">
      <c r="E9496" s="102"/>
    </row>
    <row r="9497" spans="5:5" x14ac:dyDescent="0.25">
      <c r="E9497" s="102"/>
    </row>
    <row r="9498" spans="5:5" x14ac:dyDescent="0.25">
      <c r="E9498" s="102"/>
    </row>
    <row r="9499" spans="5:5" x14ac:dyDescent="0.25">
      <c r="E9499" s="102"/>
    </row>
    <row r="9500" spans="5:5" x14ac:dyDescent="0.25">
      <c r="E9500" s="102"/>
    </row>
    <row r="9501" spans="5:5" x14ac:dyDescent="0.25">
      <c r="E9501" s="102"/>
    </row>
    <row r="9502" spans="5:5" x14ac:dyDescent="0.25">
      <c r="E9502" s="102"/>
    </row>
    <row r="9503" spans="5:5" x14ac:dyDescent="0.25">
      <c r="E9503" s="102"/>
    </row>
    <row r="9504" spans="5:5" x14ac:dyDescent="0.25">
      <c r="E9504" s="102"/>
    </row>
    <row r="9505" spans="5:5" x14ac:dyDescent="0.25">
      <c r="E9505" s="102"/>
    </row>
    <row r="9506" spans="5:5" x14ac:dyDescent="0.25">
      <c r="E9506" s="102"/>
    </row>
    <row r="9507" spans="5:5" x14ac:dyDescent="0.25">
      <c r="E9507" s="102"/>
    </row>
    <row r="9508" spans="5:5" x14ac:dyDescent="0.25">
      <c r="E9508" s="102"/>
    </row>
    <row r="9509" spans="5:5" x14ac:dyDescent="0.25">
      <c r="E9509" s="102"/>
    </row>
    <row r="9510" spans="5:5" x14ac:dyDescent="0.25">
      <c r="E9510" s="102"/>
    </row>
    <row r="9511" spans="5:5" x14ac:dyDescent="0.25">
      <c r="E9511" s="102"/>
    </row>
    <row r="9512" spans="5:5" x14ac:dyDescent="0.25">
      <c r="E9512" s="102"/>
    </row>
    <row r="9513" spans="5:5" x14ac:dyDescent="0.25">
      <c r="E9513" s="102"/>
    </row>
    <row r="9514" spans="5:5" x14ac:dyDescent="0.25">
      <c r="E9514" s="102"/>
    </row>
    <row r="9515" spans="5:5" x14ac:dyDescent="0.25">
      <c r="E9515" s="102"/>
    </row>
    <row r="9516" spans="5:5" x14ac:dyDescent="0.25">
      <c r="E9516" s="102"/>
    </row>
    <row r="9517" spans="5:5" x14ac:dyDescent="0.25">
      <c r="E9517" s="102"/>
    </row>
    <row r="9518" spans="5:5" x14ac:dyDescent="0.25">
      <c r="E9518" s="102"/>
    </row>
    <row r="9519" spans="5:5" x14ac:dyDescent="0.25">
      <c r="E9519" s="102"/>
    </row>
    <row r="9520" spans="5:5" x14ac:dyDescent="0.25">
      <c r="E9520" s="102"/>
    </row>
    <row r="9521" spans="5:5" x14ac:dyDescent="0.25">
      <c r="E9521" s="102"/>
    </row>
    <row r="9522" spans="5:5" x14ac:dyDescent="0.25">
      <c r="E9522" s="102"/>
    </row>
    <row r="9523" spans="5:5" x14ac:dyDescent="0.25">
      <c r="E9523" s="102"/>
    </row>
    <row r="9524" spans="5:5" x14ac:dyDescent="0.25">
      <c r="E9524" s="102"/>
    </row>
    <row r="9525" spans="5:5" x14ac:dyDescent="0.25">
      <c r="E9525" s="102"/>
    </row>
    <row r="9526" spans="5:5" x14ac:dyDescent="0.25">
      <c r="E9526" s="102"/>
    </row>
    <row r="9527" spans="5:5" x14ac:dyDescent="0.25">
      <c r="E9527" s="102"/>
    </row>
    <row r="9528" spans="5:5" x14ac:dyDescent="0.25">
      <c r="E9528" s="102"/>
    </row>
    <row r="9529" spans="5:5" x14ac:dyDescent="0.25">
      <c r="E9529" s="102"/>
    </row>
    <row r="9530" spans="5:5" x14ac:dyDescent="0.25">
      <c r="E9530" s="102"/>
    </row>
    <row r="9531" spans="5:5" x14ac:dyDescent="0.25">
      <c r="E9531" s="102"/>
    </row>
    <row r="9532" spans="5:5" x14ac:dyDescent="0.25">
      <c r="E9532" s="102"/>
    </row>
    <row r="9533" spans="5:5" x14ac:dyDescent="0.25">
      <c r="E9533" s="102"/>
    </row>
    <row r="9534" spans="5:5" x14ac:dyDescent="0.25">
      <c r="E9534" s="102"/>
    </row>
    <row r="9535" spans="5:5" x14ac:dyDescent="0.25">
      <c r="E9535" s="102"/>
    </row>
    <row r="9536" spans="5:5" x14ac:dyDescent="0.25">
      <c r="E9536" s="102"/>
    </row>
    <row r="9537" spans="5:5" x14ac:dyDescent="0.25">
      <c r="E9537" s="102"/>
    </row>
    <row r="9538" spans="5:5" x14ac:dyDescent="0.25">
      <c r="E9538" s="102"/>
    </row>
    <row r="9539" spans="5:5" x14ac:dyDescent="0.25">
      <c r="E9539" s="102"/>
    </row>
    <row r="9540" spans="5:5" x14ac:dyDescent="0.25">
      <c r="E9540" s="102"/>
    </row>
    <row r="9541" spans="5:5" x14ac:dyDescent="0.25">
      <c r="E9541" s="102"/>
    </row>
    <row r="9542" spans="5:5" x14ac:dyDescent="0.25">
      <c r="E9542" s="102"/>
    </row>
    <row r="9543" spans="5:5" x14ac:dyDescent="0.25">
      <c r="E9543" s="102"/>
    </row>
    <row r="9544" spans="5:5" x14ac:dyDescent="0.25">
      <c r="E9544" s="102"/>
    </row>
    <row r="9545" spans="5:5" x14ac:dyDescent="0.25">
      <c r="E9545" s="102"/>
    </row>
    <row r="9546" spans="5:5" x14ac:dyDescent="0.25">
      <c r="E9546" s="102"/>
    </row>
    <row r="9547" spans="5:5" x14ac:dyDescent="0.25">
      <c r="E9547" s="102"/>
    </row>
    <row r="9548" spans="5:5" x14ac:dyDescent="0.25">
      <c r="E9548" s="102"/>
    </row>
    <row r="9549" spans="5:5" x14ac:dyDescent="0.25">
      <c r="E9549" s="102"/>
    </row>
    <row r="9550" spans="5:5" x14ac:dyDescent="0.25">
      <c r="E9550" s="102"/>
    </row>
    <row r="9551" spans="5:5" x14ac:dyDescent="0.25">
      <c r="E9551" s="102"/>
    </row>
    <row r="9552" spans="5:5" x14ac:dyDescent="0.25">
      <c r="E9552" s="102"/>
    </row>
    <row r="9553" spans="5:5" x14ac:dyDescent="0.25">
      <c r="E9553" s="102"/>
    </row>
    <row r="9554" spans="5:5" x14ac:dyDescent="0.25">
      <c r="E9554" s="102"/>
    </row>
    <row r="9555" spans="5:5" x14ac:dyDescent="0.25">
      <c r="E9555" s="102"/>
    </row>
    <row r="9556" spans="5:5" x14ac:dyDescent="0.25">
      <c r="E9556" s="102"/>
    </row>
    <row r="9557" spans="5:5" x14ac:dyDescent="0.25">
      <c r="E9557" s="102"/>
    </row>
    <row r="9558" spans="5:5" x14ac:dyDescent="0.25">
      <c r="E9558" s="102"/>
    </row>
    <row r="9559" spans="5:5" x14ac:dyDescent="0.25">
      <c r="E9559" s="102"/>
    </row>
    <row r="9560" spans="5:5" x14ac:dyDescent="0.25">
      <c r="E9560" s="102"/>
    </row>
    <row r="9561" spans="5:5" x14ac:dyDescent="0.25">
      <c r="E9561" s="102"/>
    </row>
    <row r="9562" spans="5:5" x14ac:dyDescent="0.25">
      <c r="E9562" s="102"/>
    </row>
    <row r="9563" spans="5:5" x14ac:dyDescent="0.25">
      <c r="E9563" s="102"/>
    </row>
    <row r="9564" spans="5:5" x14ac:dyDescent="0.25">
      <c r="E9564" s="102"/>
    </row>
    <row r="9565" spans="5:5" x14ac:dyDescent="0.25">
      <c r="E9565" s="102"/>
    </row>
    <row r="9566" spans="5:5" x14ac:dyDescent="0.25">
      <c r="E9566" s="102"/>
    </row>
    <row r="9567" spans="5:5" x14ac:dyDescent="0.25">
      <c r="E9567" s="102"/>
    </row>
    <row r="9568" spans="5:5" x14ac:dyDescent="0.25">
      <c r="E9568" s="102"/>
    </row>
    <row r="9569" spans="5:5" x14ac:dyDescent="0.25">
      <c r="E9569" s="102"/>
    </row>
    <row r="9570" spans="5:5" x14ac:dyDescent="0.25">
      <c r="E9570" s="102"/>
    </row>
    <row r="9571" spans="5:5" x14ac:dyDescent="0.25">
      <c r="E9571" s="102"/>
    </row>
    <row r="9572" spans="5:5" x14ac:dyDescent="0.25">
      <c r="E9572" s="102"/>
    </row>
    <row r="9573" spans="5:5" x14ac:dyDescent="0.25">
      <c r="E9573" s="102"/>
    </row>
    <row r="9574" spans="5:5" x14ac:dyDescent="0.25">
      <c r="E9574" s="102"/>
    </row>
    <row r="9575" spans="5:5" x14ac:dyDescent="0.25">
      <c r="E9575" s="102"/>
    </row>
    <row r="9576" spans="5:5" x14ac:dyDescent="0.25">
      <c r="E9576" s="102"/>
    </row>
    <row r="9577" spans="5:5" x14ac:dyDescent="0.25">
      <c r="E9577" s="102"/>
    </row>
    <row r="9578" spans="5:5" x14ac:dyDescent="0.25">
      <c r="E9578" s="102"/>
    </row>
    <row r="9579" spans="5:5" x14ac:dyDescent="0.25">
      <c r="E9579" s="102"/>
    </row>
    <row r="9580" spans="5:5" x14ac:dyDescent="0.25">
      <c r="E9580" s="102"/>
    </row>
    <row r="9581" spans="5:5" x14ac:dyDescent="0.25">
      <c r="E9581" s="102"/>
    </row>
    <row r="9582" spans="5:5" x14ac:dyDescent="0.25">
      <c r="E9582" s="102"/>
    </row>
    <row r="9583" spans="5:5" x14ac:dyDescent="0.25">
      <c r="E9583" s="102"/>
    </row>
    <row r="9584" spans="5:5" x14ac:dyDescent="0.25">
      <c r="E9584" s="102"/>
    </row>
    <row r="9585" spans="5:5" x14ac:dyDescent="0.25">
      <c r="E9585" s="102"/>
    </row>
    <row r="9586" spans="5:5" x14ac:dyDescent="0.25">
      <c r="E9586" s="102"/>
    </row>
    <row r="9587" spans="5:5" x14ac:dyDescent="0.25">
      <c r="E9587" s="102"/>
    </row>
    <row r="9588" spans="5:5" x14ac:dyDescent="0.25">
      <c r="E9588" s="102"/>
    </row>
    <row r="9589" spans="5:5" x14ac:dyDescent="0.25">
      <c r="E9589" s="102"/>
    </row>
    <row r="9590" spans="5:5" x14ac:dyDescent="0.25">
      <c r="E9590" s="102"/>
    </row>
    <row r="9591" spans="5:5" x14ac:dyDescent="0.25">
      <c r="E9591" s="102"/>
    </row>
    <row r="9592" spans="5:5" x14ac:dyDescent="0.25">
      <c r="E9592" s="102"/>
    </row>
    <row r="9593" spans="5:5" x14ac:dyDescent="0.25">
      <c r="E9593" s="102"/>
    </row>
    <row r="9594" spans="5:5" x14ac:dyDescent="0.25">
      <c r="E9594" s="102"/>
    </row>
    <row r="9595" spans="5:5" x14ac:dyDescent="0.25">
      <c r="E9595" s="102"/>
    </row>
    <row r="9596" spans="5:5" x14ac:dyDescent="0.25">
      <c r="E9596" s="102"/>
    </row>
    <row r="9597" spans="5:5" x14ac:dyDescent="0.25">
      <c r="E9597" s="102"/>
    </row>
    <row r="9598" spans="5:5" x14ac:dyDescent="0.25">
      <c r="E9598" s="102"/>
    </row>
    <row r="9599" spans="5:5" x14ac:dyDescent="0.25">
      <c r="E9599" s="102"/>
    </row>
    <row r="9600" spans="5:5" x14ac:dyDescent="0.25">
      <c r="E9600" s="102"/>
    </row>
    <row r="9601" spans="5:5" x14ac:dyDescent="0.25">
      <c r="E9601" s="102"/>
    </row>
    <row r="9602" spans="5:5" x14ac:dyDescent="0.25">
      <c r="E9602" s="102"/>
    </row>
    <row r="9603" spans="5:5" x14ac:dyDescent="0.25">
      <c r="E9603" s="102"/>
    </row>
    <row r="9604" spans="5:5" x14ac:dyDescent="0.25">
      <c r="E9604" s="102"/>
    </row>
    <row r="9605" spans="5:5" x14ac:dyDescent="0.25">
      <c r="E9605" s="102"/>
    </row>
    <row r="9606" spans="5:5" x14ac:dyDescent="0.25">
      <c r="E9606" s="102"/>
    </row>
    <row r="9607" spans="5:5" x14ac:dyDescent="0.25">
      <c r="E9607" s="102"/>
    </row>
    <row r="9608" spans="5:5" x14ac:dyDescent="0.25">
      <c r="E9608" s="102"/>
    </row>
    <row r="9609" spans="5:5" x14ac:dyDescent="0.25">
      <c r="E9609" s="102"/>
    </row>
    <row r="9610" spans="5:5" x14ac:dyDescent="0.25">
      <c r="E9610" s="102"/>
    </row>
    <row r="9611" spans="5:5" x14ac:dyDescent="0.25">
      <c r="E9611" s="102"/>
    </row>
    <row r="9612" spans="5:5" x14ac:dyDescent="0.25">
      <c r="E9612" s="102"/>
    </row>
    <row r="9613" spans="5:5" x14ac:dyDescent="0.25">
      <c r="E9613" s="102"/>
    </row>
    <row r="9614" spans="5:5" x14ac:dyDescent="0.25">
      <c r="E9614" s="102"/>
    </row>
    <row r="9615" spans="5:5" x14ac:dyDescent="0.25">
      <c r="E9615" s="102"/>
    </row>
    <row r="9616" spans="5:5" x14ac:dyDescent="0.25">
      <c r="E9616" s="102"/>
    </row>
    <row r="9617" spans="5:5" x14ac:dyDescent="0.25">
      <c r="E9617" s="102"/>
    </row>
    <row r="9618" spans="5:5" x14ac:dyDescent="0.25">
      <c r="E9618" s="102"/>
    </row>
    <row r="9619" spans="5:5" x14ac:dyDescent="0.25">
      <c r="E9619" s="102"/>
    </row>
    <row r="9620" spans="5:5" x14ac:dyDescent="0.25">
      <c r="E9620" s="102"/>
    </row>
    <row r="9621" spans="5:5" x14ac:dyDescent="0.25">
      <c r="E9621" s="102"/>
    </row>
    <row r="9622" spans="5:5" x14ac:dyDescent="0.25">
      <c r="E9622" s="102"/>
    </row>
    <row r="9623" spans="5:5" x14ac:dyDescent="0.25">
      <c r="E9623" s="102"/>
    </row>
    <row r="9624" spans="5:5" x14ac:dyDescent="0.25">
      <c r="E9624" s="102"/>
    </row>
    <row r="9625" spans="5:5" x14ac:dyDescent="0.25">
      <c r="E9625" s="102"/>
    </row>
    <row r="9626" spans="5:5" x14ac:dyDescent="0.25">
      <c r="E9626" s="102"/>
    </row>
    <row r="9627" spans="5:5" x14ac:dyDescent="0.25">
      <c r="E9627" s="102"/>
    </row>
    <row r="9628" spans="5:5" x14ac:dyDescent="0.25">
      <c r="E9628" s="102"/>
    </row>
    <row r="9629" spans="5:5" x14ac:dyDescent="0.25">
      <c r="E9629" s="102"/>
    </row>
    <row r="9630" spans="5:5" x14ac:dyDescent="0.25">
      <c r="E9630" s="102"/>
    </row>
    <row r="9631" spans="5:5" x14ac:dyDescent="0.25">
      <c r="E9631" s="102"/>
    </row>
    <row r="9632" spans="5:5" x14ac:dyDescent="0.25">
      <c r="E9632" s="102"/>
    </row>
    <row r="9633" spans="5:5" x14ac:dyDescent="0.25">
      <c r="E9633" s="102"/>
    </row>
    <row r="9634" spans="5:5" x14ac:dyDescent="0.25">
      <c r="E9634" s="102"/>
    </row>
    <row r="9635" spans="5:5" x14ac:dyDescent="0.25">
      <c r="E9635" s="102"/>
    </row>
    <row r="9636" spans="5:5" x14ac:dyDescent="0.25">
      <c r="E9636" s="102"/>
    </row>
    <row r="9637" spans="5:5" x14ac:dyDescent="0.25">
      <c r="E9637" s="102"/>
    </row>
    <row r="9638" spans="5:5" x14ac:dyDescent="0.25">
      <c r="E9638" s="102"/>
    </row>
    <row r="9639" spans="5:5" x14ac:dyDescent="0.25">
      <c r="E9639" s="102"/>
    </row>
    <row r="9640" spans="5:5" x14ac:dyDescent="0.25">
      <c r="E9640" s="102"/>
    </row>
    <row r="9641" spans="5:5" x14ac:dyDescent="0.25">
      <c r="E9641" s="102"/>
    </row>
    <row r="9642" spans="5:5" x14ac:dyDescent="0.25">
      <c r="E9642" s="102"/>
    </row>
    <row r="9643" spans="5:5" x14ac:dyDescent="0.25">
      <c r="E9643" s="102"/>
    </row>
    <row r="9644" spans="5:5" x14ac:dyDescent="0.25">
      <c r="E9644" s="102"/>
    </row>
    <row r="9645" spans="5:5" x14ac:dyDescent="0.25">
      <c r="E9645" s="102"/>
    </row>
    <row r="9646" spans="5:5" x14ac:dyDescent="0.25">
      <c r="E9646" s="102"/>
    </row>
    <row r="9647" spans="5:5" x14ac:dyDescent="0.25">
      <c r="E9647" s="102"/>
    </row>
    <row r="9648" spans="5:5" x14ac:dyDescent="0.25">
      <c r="E9648" s="102"/>
    </row>
    <row r="9649" spans="5:5" x14ac:dyDescent="0.25">
      <c r="E9649" s="102"/>
    </row>
    <row r="9650" spans="5:5" x14ac:dyDescent="0.25">
      <c r="E9650" s="102"/>
    </row>
    <row r="9651" spans="5:5" x14ac:dyDescent="0.25">
      <c r="E9651" s="102"/>
    </row>
    <row r="9652" spans="5:5" x14ac:dyDescent="0.25">
      <c r="E9652" s="102"/>
    </row>
    <row r="9653" spans="5:5" x14ac:dyDescent="0.25">
      <c r="E9653" s="102"/>
    </row>
    <row r="9654" spans="5:5" x14ac:dyDescent="0.25">
      <c r="E9654" s="102"/>
    </row>
    <row r="9655" spans="5:5" x14ac:dyDescent="0.25">
      <c r="E9655" s="102"/>
    </row>
    <row r="9656" spans="5:5" x14ac:dyDescent="0.25">
      <c r="E9656" s="102"/>
    </row>
    <row r="9657" spans="5:5" x14ac:dyDescent="0.25">
      <c r="E9657" s="102"/>
    </row>
    <row r="9658" spans="5:5" x14ac:dyDescent="0.25">
      <c r="E9658" s="102"/>
    </row>
    <row r="9659" spans="5:5" x14ac:dyDescent="0.25">
      <c r="E9659" s="102"/>
    </row>
    <row r="9660" spans="5:5" x14ac:dyDescent="0.25">
      <c r="E9660" s="102"/>
    </row>
    <row r="9661" spans="5:5" x14ac:dyDescent="0.25">
      <c r="E9661" s="102"/>
    </row>
    <row r="9662" spans="5:5" x14ac:dyDescent="0.25">
      <c r="E9662" s="102"/>
    </row>
    <row r="9663" spans="5:5" x14ac:dyDescent="0.25">
      <c r="E9663" s="102"/>
    </row>
    <row r="9664" spans="5:5" x14ac:dyDescent="0.25">
      <c r="E9664" s="102"/>
    </row>
    <row r="9665" spans="5:5" x14ac:dyDescent="0.25">
      <c r="E9665" s="102"/>
    </row>
    <row r="9666" spans="5:5" x14ac:dyDescent="0.25">
      <c r="E9666" s="102"/>
    </row>
    <row r="9667" spans="5:5" x14ac:dyDescent="0.25">
      <c r="E9667" s="102"/>
    </row>
    <row r="9668" spans="5:5" x14ac:dyDescent="0.25">
      <c r="E9668" s="102"/>
    </row>
    <row r="9669" spans="5:5" x14ac:dyDescent="0.25">
      <c r="E9669" s="102"/>
    </row>
    <row r="9670" spans="5:5" x14ac:dyDescent="0.25">
      <c r="E9670" s="102"/>
    </row>
    <row r="9671" spans="5:5" x14ac:dyDescent="0.25">
      <c r="E9671" s="102"/>
    </row>
    <row r="9672" spans="5:5" x14ac:dyDescent="0.25">
      <c r="E9672" s="102"/>
    </row>
    <row r="9673" spans="5:5" x14ac:dyDescent="0.25">
      <c r="E9673" s="102"/>
    </row>
    <row r="9674" spans="5:5" x14ac:dyDescent="0.25">
      <c r="E9674" s="102"/>
    </row>
    <row r="9675" spans="5:5" x14ac:dyDescent="0.25">
      <c r="E9675" s="102"/>
    </row>
    <row r="9676" spans="5:5" x14ac:dyDescent="0.25">
      <c r="E9676" s="102"/>
    </row>
    <row r="9677" spans="5:5" x14ac:dyDescent="0.25">
      <c r="E9677" s="102"/>
    </row>
    <row r="9678" spans="5:5" x14ac:dyDescent="0.25">
      <c r="E9678" s="102"/>
    </row>
    <row r="9679" spans="5:5" x14ac:dyDescent="0.25">
      <c r="E9679" s="102"/>
    </row>
    <row r="9680" spans="5:5" x14ac:dyDescent="0.25">
      <c r="E9680" s="102"/>
    </row>
    <row r="9681" spans="5:5" x14ac:dyDescent="0.25">
      <c r="E9681" s="102"/>
    </row>
    <row r="9682" spans="5:5" x14ac:dyDescent="0.25">
      <c r="E9682" s="102"/>
    </row>
    <row r="9683" spans="5:5" x14ac:dyDescent="0.25">
      <c r="E9683" s="102"/>
    </row>
    <row r="9684" spans="5:5" x14ac:dyDescent="0.25">
      <c r="E9684" s="102"/>
    </row>
    <row r="9685" spans="5:5" x14ac:dyDescent="0.25">
      <c r="E9685" s="102"/>
    </row>
    <row r="9686" spans="5:5" x14ac:dyDescent="0.25">
      <c r="E9686" s="102"/>
    </row>
    <row r="9687" spans="5:5" x14ac:dyDescent="0.25">
      <c r="E9687" s="102"/>
    </row>
    <row r="9688" spans="5:5" x14ac:dyDescent="0.25">
      <c r="E9688" s="102"/>
    </row>
    <row r="9689" spans="5:5" x14ac:dyDescent="0.25">
      <c r="E9689" s="102"/>
    </row>
    <row r="9690" spans="5:5" x14ac:dyDescent="0.25">
      <c r="E9690" s="102"/>
    </row>
    <row r="9691" spans="5:5" x14ac:dyDescent="0.25">
      <c r="E9691" s="102"/>
    </row>
    <row r="9692" spans="5:5" x14ac:dyDescent="0.25">
      <c r="E9692" s="102"/>
    </row>
    <row r="9693" spans="5:5" x14ac:dyDescent="0.25">
      <c r="E9693" s="102"/>
    </row>
    <row r="9694" spans="5:5" x14ac:dyDescent="0.25">
      <c r="E9694" s="102"/>
    </row>
    <row r="9695" spans="5:5" x14ac:dyDescent="0.25">
      <c r="E9695" s="102"/>
    </row>
    <row r="9696" spans="5:5" x14ac:dyDescent="0.25">
      <c r="E9696" s="102"/>
    </row>
    <row r="9697" spans="5:5" x14ac:dyDescent="0.25">
      <c r="E9697" s="102"/>
    </row>
    <row r="9698" spans="5:5" x14ac:dyDescent="0.25">
      <c r="E9698" s="102"/>
    </row>
    <row r="9699" spans="5:5" x14ac:dyDescent="0.25">
      <c r="E9699" s="102"/>
    </row>
    <row r="9700" spans="5:5" x14ac:dyDescent="0.25">
      <c r="E9700" s="102"/>
    </row>
    <row r="9701" spans="5:5" x14ac:dyDescent="0.25">
      <c r="E9701" s="102"/>
    </row>
    <row r="9702" spans="5:5" x14ac:dyDescent="0.25">
      <c r="E9702" s="102"/>
    </row>
    <row r="9703" spans="5:5" x14ac:dyDescent="0.25">
      <c r="E9703" s="102"/>
    </row>
    <row r="9704" spans="5:5" x14ac:dyDescent="0.25">
      <c r="E9704" s="102"/>
    </row>
    <row r="9705" spans="5:5" x14ac:dyDescent="0.25">
      <c r="E9705" s="102"/>
    </row>
    <row r="9706" spans="5:5" x14ac:dyDescent="0.25">
      <c r="E9706" s="102"/>
    </row>
    <row r="9707" spans="5:5" x14ac:dyDescent="0.25">
      <c r="E9707" s="102"/>
    </row>
    <row r="9708" spans="5:5" x14ac:dyDescent="0.25">
      <c r="E9708" s="102"/>
    </row>
    <row r="9709" spans="5:5" x14ac:dyDescent="0.25">
      <c r="E9709" s="102"/>
    </row>
    <row r="9710" spans="5:5" x14ac:dyDescent="0.25">
      <c r="E9710" s="102"/>
    </row>
    <row r="9711" spans="5:5" x14ac:dyDescent="0.25">
      <c r="E9711" s="102"/>
    </row>
    <row r="9712" spans="5:5" x14ac:dyDescent="0.25">
      <c r="E9712" s="102"/>
    </row>
    <row r="9713" spans="5:5" x14ac:dyDescent="0.25">
      <c r="E9713" s="102"/>
    </row>
    <row r="9714" spans="5:5" x14ac:dyDescent="0.25">
      <c r="E9714" s="102"/>
    </row>
    <row r="9715" spans="5:5" x14ac:dyDescent="0.25">
      <c r="E9715" s="102"/>
    </row>
    <row r="9716" spans="5:5" x14ac:dyDescent="0.25">
      <c r="E9716" s="102"/>
    </row>
    <row r="9717" spans="5:5" x14ac:dyDescent="0.25">
      <c r="E9717" s="102"/>
    </row>
    <row r="9718" spans="5:5" x14ac:dyDescent="0.25">
      <c r="E9718" s="102"/>
    </row>
    <row r="9719" spans="5:5" x14ac:dyDescent="0.25">
      <c r="E9719" s="102"/>
    </row>
    <row r="9720" spans="5:5" x14ac:dyDescent="0.25">
      <c r="E9720" s="102"/>
    </row>
    <row r="9721" spans="5:5" x14ac:dyDescent="0.25">
      <c r="E9721" s="102"/>
    </row>
    <row r="9722" spans="5:5" x14ac:dyDescent="0.25">
      <c r="E9722" s="102"/>
    </row>
    <row r="9723" spans="5:5" x14ac:dyDescent="0.25">
      <c r="E9723" s="102"/>
    </row>
    <row r="9724" spans="5:5" x14ac:dyDescent="0.25">
      <c r="E9724" s="102"/>
    </row>
    <row r="9725" spans="5:5" x14ac:dyDescent="0.25">
      <c r="E9725" s="102"/>
    </row>
    <row r="9726" spans="5:5" x14ac:dyDescent="0.25">
      <c r="E9726" s="102"/>
    </row>
    <row r="9727" spans="5:5" x14ac:dyDescent="0.25">
      <c r="E9727" s="102"/>
    </row>
    <row r="9728" spans="5:5" x14ac:dyDescent="0.25">
      <c r="E9728" s="102"/>
    </row>
    <row r="9729" spans="5:5" x14ac:dyDescent="0.25">
      <c r="E9729" s="102"/>
    </row>
    <row r="9730" spans="5:5" x14ac:dyDescent="0.25">
      <c r="E9730" s="102"/>
    </row>
    <row r="9731" spans="5:5" x14ac:dyDescent="0.25">
      <c r="E9731" s="102"/>
    </row>
    <row r="9732" spans="5:5" x14ac:dyDescent="0.25">
      <c r="E9732" s="102"/>
    </row>
    <row r="9733" spans="5:5" x14ac:dyDescent="0.25">
      <c r="E9733" s="102"/>
    </row>
    <row r="9734" spans="5:5" x14ac:dyDescent="0.25">
      <c r="E9734" s="102"/>
    </row>
    <row r="9735" spans="5:5" x14ac:dyDescent="0.25">
      <c r="E9735" s="102"/>
    </row>
    <row r="9736" spans="5:5" x14ac:dyDescent="0.25">
      <c r="E9736" s="102"/>
    </row>
    <row r="9737" spans="5:5" x14ac:dyDescent="0.25">
      <c r="E9737" s="102"/>
    </row>
    <row r="9738" spans="5:5" x14ac:dyDescent="0.25">
      <c r="E9738" s="102"/>
    </row>
    <row r="9739" spans="5:5" x14ac:dyDescent="0.25">
      <c r="E9739" s="102"/>
    </row>
    <row r="9740" spans="5:5" x14ac:dyDescent="0.25">
      <c r="E9740" s="102"/>
    </row>
    <row r="9741" spans="5:5" x14ac:dyDescent="0.25">
      <c r="E9741" s="102"/>
    </row>
    <row r="9742" spans="5:5" x14ac:dyDescent="0.25">
      <c r="E9742" s="102"/>
    </row>
    <row r="9743" spans="5:5" x14ac:dyDescent="0.25">
      <c r="E9743" s="102"/>
    </row>
    <row r="9744" spans="5:5" x14ac:dyDescent="0.25">
      <c r="E9744" s="102"/>
    </row>
    <row r="9745" spans="5:5" x14ac:dyDescent="0.25">
      <c r="E9745" s="102"/>
    </row>
    <row r="9746" spans="5:5" x14ac:dyDescent="0.25">
      <c r="E9746" s="102"/>
    </row>
    <row r="9747" spans="5:5" x14ac:dyDescent="0.25">
      <c r="E9747" s="102"/>
    </row>
    <row r="9748" spans="5:5" x14ac:dyDescent="0.25">
      <c r="E9748" s="102"/>
    </row>
    <row r="9749" spans="5:5" x14ac:dyDescent="0.25">
      <c r="E9749" s="102"/>
    </row>
    <row r="9750" spans="5:5" x14ac:dyDescent="0.25">
      <c r="E9750" s="102"/>
    </row>
    <row r="9751" spans="5:5" x14ac:dyDescent="0.25">
      <c r="E9751" s="102"/>
    </row>
    <row r="9752" spans="5:5" x14ac:dyDescent="0.25">
      <c r="E9752" s="102"/>
    </row>
    <row r="9753" spans="5:5" x14ac:dyDescent="0.25">
      <c r="E9753" s="102"/>
    </row>
    <row r="9754" spans="5:5" x14ac:dyDescent="0.25">
      <c r="E9754" s="102"/>
    </row>
    <row r="9755" spans="5:5" x14ac:dyDescent="0.25">
      <c r="E9755" s="102"/>
    </row>
    <row r="9756" spans="5:5" x14ac:dyDescent="0.25">
      <c r="E9756" s="102"/>
    </row>
    <row r="9757" spans="5:5" x14ac:dyDescent="0.25">
      <c r="E9757" s="102"/>
    </row>
    <row r="9758" spans="5:5" x14ac:dyDescent="0.25">
      <c r="E9758" s="102"/>
    </row>
    <row r="9759" spans="5:5" x14ac:dyDescent="0.25">
      <c r="E9759" s="102"/>
    </row>
    <row r="9760" spans="5:5" x14ac:dyDescent="0.25">
      <c r="E9760" s="102"/>
    </row>
    <row r="9761" spans="5:5" x14ac:dyDescent="0.25">
      <c r="E9761" s="102"/>
    </row>
    <row r="9762" spans="5:5" x14ac:dyDescent="0.25">
      <c r="E9762" s="102"/>
    </row>
    <row r="9763" spans="5:5" x14ac:dyDescent="0.25">
      <c r="E9763" s="102"/>
    </row>
    <row r="9764" spans="5:5" x14ac:dyDescent="0.25">
      <c r="E9764" s="102"/>
    </row>
    <row r="9765" spans="5:5" x14ac:dyDescent="0.25">
      <c r="E9765" s="102"/>
    </row>
    <row r="9766" spans="5:5" x14ac:dyDescent="0.25">
      <c r="E9766" s="102"/>
    </row>
    <row r="9767" spans="5:5" x14ac:dyDescent="0.25">
      <c r="E9767" s="102"/>
    </row>
    <row r="9768" spans="5:5" x14ac:dyDescent="0.25">
      <c r="E9768" s="102"/>
    </row>
    <row r="9769" spans="5:5" x14ac:dyDescent="0.25">
      <c r="E9769" s="102"/>
    </row>
    <row r="9770" spans="5:5" x14ac:dyDescent="0.25">
      <c r="E9770" s="102"/>
    </row>
    <row r="9771" spans="5:5" x14ac:dyDescent="0.25">
      <c r="E9771" s="102"/>
    </row>
    <row r="9772" spans="5:5" x14ac:dyDescent="0.25">
      <c r="E9772" s="102"/>
    </row>
    <row r="9773" spans="5:5" x14ac:dyDescent="0.25">
      <c r="E9773" s="102"/>
    </row>
    <row r="9774" spans="5:5" x14ac:dyDescent="0.25">
      <c r="E9774" s="102"/>
    </row>
    <row r="9775" spans="5:5" x14ac:dyDescent="0.25">
      <c r="E9775" s="102"/>
    </row>
    <row r="9776" spans="5:5" x14ac:dyDescent="0.25">
      <c r="E9776" s="102"/>
    </row>
    <row r="9777" spans="5:5" x14ac:dyDescent="0.25">
      <c r="E9777" s="102"/>
    </row>
    <row r="9778" spans="5:5" x14ac:dyDescent="0.25">
      <c r="E9778" s="102"/>
    </row>
    <row r="9779" spans="5:5" x14ac:dyDescent="0.25">
      <c r="E9779" s="102"/>
    </row>
    <row r="9780" spans="5:5" x14ac:dyDescent="0.25">
      <c r="E9780" s="102"/>
    </row>
    <row r="9781" spans="5:5" x14ac:dyDescent="0.25">
      <c r="E9781" s="102"/>
    </row>
    <row r="9782" spans="5:5" x14ac:dyDescent="0.25">
      <c r="E9782" s="102"/>
    </row>
    <row r="9783" spans="5:5" x14ac:dyDescent="0.25">
      <c r="E9783" s="102"/>
    </row>
    <row r="9784" spans="5:5" x14ac:dyDescent="0.25">
      <c r="E9784" s="102"/>
    </row>
    <row r="9785" spans="5:5" x14ac:dyDescent="0.25">
      <c r="E9785" s="102"/>
    </row>
    <row r="9786" spans="5:5" x14ac:dyDescent="0.25">
      <c r="E9786" s="102"/>
    </row>
    <row r="9787" spans="5:5" x14ac:dyDescent="0.25">
      <c r="E9787" s="102"/>
    </row>
    <row r="9788" spans="5:5" x14ac:dyDescent="0.25">
      <c r="E9788" s="102"/>
    </row>
    <row r="9789" spans="5:5" x14ac:dyDescent="0.25">
      <c r="E9789" s="102"/>
    </row>
    <row r="9790" spans="5:5" x14ac:dyDescent="0.25">
      <c r="E9790" s="102"/>
    </row>
    <row r="9791" spans="5:5" x14ac:dyDescent="0.25">
      <c r="E9791" s="102"/>
    </row>
    <row r="9792" spans="5:5" x14ac:dyDescent="0.25">
      <c r="E9792" s="102"/>
    </row>
    <row r="9793" spans="5:5" x14ac:dyDescent="0.25">
      <c r="E9793" s="102"/>
    </row>
    <row r="9794" spans="5:5" x14ac:dyDescent="0.25">
      <c r="E9794" s="102"/>
    </row>
    <row r="9795" spans="5:5" x14ac:dyDescent="0.25">
      <c r="E9795" s="102"/>
    </row>
    <row r="9796" spans="5:5" x14ac:dyDescent="0.25">
      <c r="E9796" s="102"/>
    </row>
    <row r="9797" spans="5:5" x14ac:dyDescent="0.25">
      <c r="E9797" s="102"/>
    </row>
    <row r="9798" spans="5:5" x14ac:dyDescent="0.25">
      <c r="E9798" s="102"/>
    </row>
    <row r="9799" spans="5:5" x14ac:dyDescent="0.25">
      <c r="E9799" s="102"/>
    </row>
    <row r="9800" spans="5:5" x14ac:dyDescent="0.25">
      <c r="E9800" s="102"/>
    </row>
    <row r="9801" spans="5:5" x14ac:dyDescent="0.25">
      <c r="E9801" s="102"/>
    </row>
    <row r="9802" spans="5:5" x14ac:dyDescent="0.25">
      <c r="E9802" s="102"/>
    </row>
    <row r="9803" spans="5:5" x14ac:dyDescent="0.25">
      <c r="E9803" s="102"/>
    </row>
    <row r="9804" spans="5:5" x14ac:dyDescent="0.25">
      <c r="E9804" s="102"/>
    </row>
    <row r="9805" spans="5:5" x14ac:dyDescent="0.25">
      <c r="E9805" s="102"/>
    </row>
    <row r="9806" spans="5:5" x14ac:dyDescent="0.25">
      <c r="E9806" s="102"/>
    </row>
    <row r="9807" spans="5:5" x14ac:dyDescent="0.25">
      <c r="E9807" s="102"/>
    </row>
    <row r="9808" spans="5:5" x14ac:dyDescent="0.25">
      <c r="E9808" s="102"/>
    </row>
    <row r="9809" spans="5:5" x14ac:dyDescent="0.25">
      <c r="E9809" s="102"/>
    </row>
    <row r="9810" spans="5:5" x14ac:dyDescent="0.25">
      <c r="E9810" s="102"/>
    </row>
    <row r="9811" spans="5:5" x14ac:dyDescent="0.25">
      <c r="E9811" s="102"/>
    </row>
    <row r="9812" spans="5:5" x14ac:dyDescent="0.25">
      <c r="E9812" s="102"/>
    </row>
    <row r="9813" spans="5:5" x14ac:dyDescent="0.25">
      <c r="E9813" s="102"/>
    </row>
    <row r="9814" spans="5:5" x14ac:dyDescent="0.25">
      <c r="E9814" s="102"/>
    </row>
    <row r="9815" spans="5:5" x14ac:dyDescent="0.25">
      <c r="E9815" s="102"/>
    </row>
    <row r="9816" spans="5:5" x14ac:dyDescent="0.25">
      <c r="E9816" s="102"/>
    </row>
    <row r="9817" spans="5:5" x14ac:dyDescent="0.25">
      <c r="E9817" s="102"/>
    </row>
    <row r="9818" spans="5:5" x14ac:dyDescent="0.25">
      <c r="E9818" s="102"/>
    </row>
    <row r="9819" spans="5:5" x14ac:dyDescent="0.25">
      <c r="E9819" s="102"/>
    </row>
    <row r="9820" spans="5:5" x14ac:dyDescent="0.25">
      <c r="E9820" s="102"/>
    </row>
    <row r="9821" spans="5:5" x14ac:dyDescent="0.25">
      <c r="E9821" s="102"/>
    </row>
    <row r="9822" spans="5:5" x14ac:dyDescent="0.25">
      <c r="E9822" s="102"/>
    </row>
    <row r="9823" spans="5:5" x14ac:dyDescent="0.25">
      <c r="E9823" s="102"/>
    </row>
    <row r="9824" spans="5:5" x14ac:dyDescent="0.25">
      <c r="E9824" s="102"/>
    </row>
    <row r="9825" spans="5:5" x14ac:dyDescent="0.25">
      <c r="E9825" s="102"/>
    </row>
    <row r="9826" spans="5:5" x14ac:dyDescent="0.25">
      <c r="E9826" s="102"/>
    </row>
    <row r="9827" spans="5:5" x14ac:dyDescent="0.25">
      <c r="E9827" s="102"/>
    </row>
    <row r="9828" spans="5:5" x14ac:dyDescent="0.25">
      <c r="E9828" s="102"/>
    </row>
    <row r="9829" spans="5:5" x14ac:dyDescent="0.25">
      <c r="E9829" s="102"/>
    </row>
    <row r="9830" spans="5:5" x14ac:dyDescent="0.25">
      <c r="E9830" s="102"/>
    </row>
    <row r="9831" spans="5:5" x14ac:dyDescent="0.25">
      <c r="E9831" s="102"/>
    </row>
    <row r="9832" spans="5:5" x14ac:dyDescent="0.25">
      <c r="E9832" s="102"/>
    </row>
    <row r="9833" spans="5:5" x14ac:dyDescent="0.25">
      <c r="E9833" s="102"/>
    </row>
    <row r="9834" spans="5:5" x14ac:dyDescent="0.25">
      <c r="E9834" s="102"/>
    </row>
    <row r="9835" spans="5:5" x14ac:dyDescent="0.25">
      <c r="E9835" s="102"/>
    </row>
    <row r="9836" spans="5:5" x14ac:dyDescent="0.25">
      <c r="E9836" s="102"/>
    </row>
    <row r="9837" spans="5:5" x14ac:dyDescent="0.25">
      <c r="E9837" s="102"/>
    </row>
    <row r="9838" spans="5:5" x14ac:dyDescent="0.25">
      <c r="E9838" s="102"/>
    </row>
    <row r="9839" spans="5:5" x14ac:dyDescent="0.25">
      <c r="E9839" s="102"/>
    </row>
    <row r="9840" spans="5:5" x14ac:dyDescent="0.25">
      <c r="E9840" s="102"/>
    </row>
    <row r="9841" spans="5:5" x14ac:dyDescent="0.25">
      <c r="E9841" s="102"/>
    </row>
    <row r="9842" spans="5:5" x14ac:dyDescent="0.25">
      <c r="E9842" s="102"/>
    </row>
    <row r="9843" spans="5:5" x14ac:dyDescent="0.25">
      <c r="E9843" s="102"/>
    </row>
    <row r="9844" spans="5:5" x14ac:dyDescent="0.25">
      <c r="E9844" s="102"/>
    </row>
    <row r="9845" spans="5:5" x14ac:dyDescent="0.25">
      <c r="E9845" s="102"/>
    </row>
    <row r="9846" spans="5:5" x14ac:dyDescent="0.25">
      <c r="E9846" s="102"/>
    </row>
    <row r="9847" spans="5:5" x14ac:dyDescent="0.25">
      <c r="E9847" s="102"/>
    </row>
    <row r="9848" spans="5:5" x14ac:dyDescent="0.25">
      <c r="E9848" s="102"/>
    </row>
    <row r="9849" spans="5:5" x14ac:dyDescent="0.25">
      <c r="E9849" s="102"/>
    </row>
    <row r="9850" spans="5:5" x14ac:dyDescent="0.25">
      <c r="E9850" s="102"/>
    </row>
    <row r="9851" spans="5:5" x14ac:dyDescent="0.25">
      <c r="E9851" s="102"/>
    </row>
    <row r="9852" spans="5:5" x14ac:dyDescent="0.25">
      <c r="E9852" s="102"/>
    </row>
    <row r="9853" spans="5:5" x14ac:dyDescent="0.25">
      <c r="E9853" s="102"/>
    </row>
    <row r="9854" spans="5:5" x14ac:dyDescent="0.25">
      <c r="E9854" s="102"/>
    </row>
    <row r="9855" spans="5:5" x14ac:dyDescent="0.25">
      <c r="E9855" s="102"/>
    </row>
    <row r="9856" spans="5:5" x14ac:dyDescent="0.25">
      <c r="E9856" s="102"/>
    </row>
    <row r="9857" spans="5:5" x14ac:dyDescent="0.25">
      <c r="E9857" s="102"/>
    </row>
    <row r="9858" spans="5:5" x14ac:dyDescent="0.25">
      <c r="E9858" s="102"/>
    </row>
    <row r="9859" spans="5:5" x14ac:dyDescent="0.25">
      <c r="E9859" s="102"/>
    </row>
    <row r="9860" spans="5:5" x14ac:dyDescent="0.25">
      <c r="E9860" s="102"/>
    </row>
    <row r="9861" spans="5:5" x14ac:dyDescent="0.25">
      <c r="E9861" s="102"/>
    </row>
    <row r="9862" spans="5:5" x14ac:dyDescent="0.25">
      <c r="E9862" s="102"/>
    </row>
    <row r="9863" spans="5:5" x14ac:dyDescent="0.25">
      <c r="E9863" s="102"/>
    </row>
    <row r="9864" spans="5:5" x14ac:dyDescent="0.25">
      <c r="E9864" s="102"/>
    </row>
    <row r="9865" spans="5:5" x14ac:dyDescent="0.25">
      <c r="E9865" s="102"/>
    </row>
    <row r="9866" spans="5:5" x14ac:dyDescent="0.25">
      <c r="E9866" s="102"/>
    </row>
    <row r="9867" spans="5:5" x14ac:dyDescent="0.25">
      <c r="E9867" s="102"/>
    </row>
    <row r="9868" spans="5:5" x14ac:dyDescent="0.25">
      <c r="E9868" s="102"/>
    </row>
    <row r="9869" spans="5:5" x14ac:dyDescent="0.25">
      <c r="E9869" s="102"/>
    </row>
    <row r="9870" spans="5:5" x14ac:dyDescent="0.25">
      <c r="E9870" s="102"/>
    </row>
    <row r="9871" spans="5:5" x14ac:dyDescent="0.25">
      <c r="E9871" s="102"/>
    </row>
    <row r="9872" spans="5:5" x14ac:dyDescent="0.25">
      <c r="E9872" s="102"/>
    </row>
    <row r="9873" spans="5:5" x14ac:dyDescent="0.25">
      <c r="E9873" s="102"/>
    </row>
    <row r="9874" spans="5:5" x14ac:dyDescent="0.25">
      <c r="E9874" s="102"/>
    </row>
    <row r="9875" spans="5:5" x14ac:dyDescent="0.25">
      <c r="E9875" s="102"/>
    </row>
    <row r="9876" spans="5:5" x14ac:dyDescent="0.25">
      <c r="E9876" s="102"/>
    </row>
    <row r="9877" spans="5:5" x14ac:dyDescent="0.25">
      <c r="E9877" s="102"/>
    </row>
    <row r="9878" spans="5:5" x14ac:dyDescent="0.25">
      <c r="E9878" s="102"/>
    </row>
    <row r="9879" spans="5:5" x14ac:dyDescent="0.25">
      <c r="E9879" s="102"/>
    </row>
    <row r="9880" spans="5:5" x14ac:dyDescent="0.25">
      <c r="E9880" s="102"/>
    </row>
    <row r="9881" spans="5:5" x14ac:dyDescent="0.25">
      <c r="E9881" s="102"/>
    </row>
    <row r="9882" spans="5:5" x14ac:dyDescent="0.25">
      <c r="E9882" s="102"/>
    </row>
    <row r="9883" spans="5:5" x14ac:dyDescent="0.25">
      <c r="E9883" s="102"/>
    </row>
    <row r="9884" spans="5:5" x14ac:dyDescent="0.25">
      <c r="E9884" s="102"/>
    </row>
    <row r="9885" spans="5:5" x14ac:dyDescent="0.25">
      <c r="E9885" s="102"/>
    </row>
    <row r="9886" spans="5:5" x14ac:dyDescent="0.25">
      <c r="E9886" s="102"/>
    </row>
    <row r="9887" spans="5:5" x14ac:dyDescent="0.25">
      <c r="E9887" s="102"/>
    </row>
    <row r="9888" spans="5:5" x14ac:dyDescent="0.25">
      <c r="E9888" s="102"/>
    </row>
    <row r="9889" spans="5:5" x14ac:dyDescent="0.25">
      <c r="E9889" s="102"/>
    </row>
    <row r="9890" spans="5:5" x14ac:dyDescent="0.25">
      <c r="E9890" s="102"/>
    </row>
    <row r="9891" spans="5:5" x14ac:dyDescent="0.25">
      <c r="E9891" s="102"/>
    </row>
    <row r="9892" spans="5:5" x14ac:dyDescent="0.25">
      <c r="E9892" s="102"/>
    </row>
    <row r="9893" spans="5:5" x14ac:dyDescent="0.25">
      <c r="E9893" s="102"/>
    </row>
    <row r="9894" spans="5:5" x14ac:dyDescent="0.25">
      <c r="E9894" s="102"/>
    </row>
    <row r="9895" spans="5:5" x14ac:dyDescent="0.25">
      <c r="E9895" s="102"/>
    </row>
    <row r="9896" spans="5:5" x14ac:dyDescent="0.25">
      <c r="E9896" s="102"/>
    </row>
    <row r="9897" spans="5:5" x14ac:dyDescent="0.25">
      <c r="E9897" s="102"/>
    </row>
    <row r="9898" spans="5:5" x14ac:dyDescent="0.25">
      <c r="E9898" s="102"/>
    </row>
    <row r="9899" spans="5:5" x14ac:dyDescent="0.25">
      <c r="E9899" s="102"/>
    </row>
    <row r="9900" spans="5:5" x14ac:dyDescent="0.25">
      <c r="E9900" s="102"/>
    </row>
    <row r="9901" spans="5:5" x14ac:dyDescent="0.25">
      <c r="E9901" s="102"/>
    </row>
    <row r="9902" spans="5:5" x14ac:dyDescent="0.25">
      <c r="E9902" s="102"/>
    </row>
    <row r="9903" spans="5:5" x14ac:dyDescent="0.25">
      <c r="E9903" s="102"/>
    </row>
    <row r="9904" spans="5:5" x14ac:dyDescent="0.25">
      <c r="E9904" s="102"/>
    </row>
    <row r="9905" spans="5:5" x14ac:dyDescent="0.25">
      <c r="E9905" s="102"/>
    </row>
    <row r="9906" spans="5:5" x14ac:dyDescent="0.25">
      <c r="E9906" s="102"/>
    </row>
    <row r="9907" spans="5:5" x14ac:dyDescent="0.25">
      <c r="E9907" s="102"/>
    </row>
    <row r="9908" spans="5:5" x14ac:dyDescent="0.25">
      <c r="E9908" s="102"/>
    </row>
    <row r="9909" spans="5:5" x14ac:dyDescent="0.25">
      <c r="E9909" s="102"/>
    </row>
    <row r="9910" spans="5:5" x14ac:dyDescent="0.25">
      <c r="E9910" s="102"/>
    </row>
    <row r="9911" spans="5:5" x14ac:dyDescent="0.25">
      <c r="E9911" s="102"/>
    </row>
    <row r="9912" spans="5:5" x14ac:dyDescent="0.25">
      <c r="E9912" s="102"/>
    </row>
    <row r="9913" spans="5:5" x14ac:dyDescent="0.25">
      <c r="E9913" s="102"/>
    </row>
    <row r="9914" spans="5:5" x14ac:dyDescent="0.25">
      <c r="E9914" s="102"/>
    </row>
    <row r="9915" spans="5:5" x14ac:dyDescent="0.25">
      <c r="E9915" s="102"/>
    </row>
    <row r="9916" spans="5:5" x14ac:dyDescent="0.25">
      <c r="E9916" s="102"/>
    </row>
    <row r="9917" spans="5:5" x14ac:dyDescent="0.25">
      <c r="E9917" s="102"/>
    </row>
    <row r="9918" spans="5:5" x14ac:dyDescent="0.25">
      <c r="E9918" s="102"/>
    </row>
    <row r="9919" spans="5:5" x14ac:dyDescent="0.25">
      <c r="E9919" s="102"/>
    </row>
    <row r="9920" spans="5:5" x14ac:dyDescent="0.25">
      <c r="E9920" s="102"/>
    </row>
    <row r="9921" spans="5:5" x14ac:dyDescent="0.25">
      <c r="E9921" s="102"/>
    </row>
    <row r="9922" spans="5:5" x14ac:dyDescent="0.25">
      <c r="E9922" s="102"/>
    </row>
    <row r="9923" spans="5:5" x14ac:dyDescent="0.25">
      <c r="E9923" s="102"/>
    </row>
    <row r="9924" spans="5:5" x14ac:dyDescent="0.25">
      <c r="E9924" s="102"/>
    </row>
    <row r="9925" spans="5:5" x14ac:dyDescent="0.25">
      <c r="E9925" s="102"/>
    </row>
    <row r="9926" spans="5:5" x14ac:dyDescent="0.25">
      <c r="E9926" s="102"/>
    </row>
    <row r="9927" spans="5:5" x14ac:dyDescent="0.25">
      <c r="E9927" s="102"/>
    </row>
    <row r="9928" spans="5:5" x14ac:dyDescent="0.25">
      <c r="E9928" s="102"/>
    </row>
    <row r="9929" spans="5:5" x14ac:dyDescent="0.25">
      <c r="E9929" s="102"/>
    </row>
    <row r="9930" spans="5:5" x14ac:dyDescent="0.25">
      <c r="E9930" s="102"/>
    </row>
    <row r="9931" spans="5:5" x14ac:dyDescent="0.25">
      <c r="E9931" s="102"/>
    </row>
    <row r="9932" spans="5:5" x14ac:dyDescent="0.25">
      <c r="E9932" s="102"/>
    </row>
    <row r="9933" spans="5:5" x14ac:dyDescent="0.25">
      <c r="E9933" s="102"/>
    </row>
    <row r="9934" spans="5:5" x14ac:dyDescent="0.25">
      <c r="E9934" s="102"/>
    </row>
    <row r="9935" spans="5:5" x14ac:dyDescent="0.25">
      <c r="E9935" s="102"/>
    </row>
    <row r="9936" spans="5:5" x14ac:dyDescent="0.25">
      <c r="E9936" s="102"/>
    </row>
    <row r="9937" spans="5:5" x14ac:dyDescent="0.25">
      <c r="E9937" s="102"/>
    </row>
    <row r="9938" spans="5:5" x14ac:dyDescent="0.25">
      <c r="E9938" s="102"/>
    </row>
    <row r="9939" spans="5:5" x14ac:dyDescent="0.25">
      <c r="E9939" s="102"/>
    </row>
    <row r="9940" spans="5:5" x14ac:dyDescent="0.25">
      <c r="E9940" s="102"/>
    </row>
    <row r="9941" spans="5:5" x14ac:dyDescent="0.25">
      <c r="E9941" s="102"/>
    </row>
    <row r="9942" spans="5:5" x14ac:dyDescent="0.25">
      <c r="E9942" s="102"/>
    </row>
    <row r="9943" spans="5:5" x14ac:dyDescent="0.25">
      <c r="E9943" s="102"/>
    </row>
    <row r="9944" spans="5:5" x14ac:dyDescent="0.25">
      <c r="E9944" s="102"/>
    </row>
    <row r="9945" spans="5:5" x14ac:dyDescent="0.25">
      <c r="E9945" s="102"/>
    </row>
    <row r="9946" spans="5:5" x14ac:dyDescent="0.25">
      <c r="E9946" s="102"/>
    </row>
    <row r="9947" spans="5:5" x14ac:dyDescent="0.25">
      <c r="E9947" s="102"/>
    </row>
    <row r="9948" spans="5:5" x14ac:dyDescent="0.25">
      <c r="E9948" s="102"/>
    </row>
    <row r="9949" spans="5:5" x14ac:dyDescent="0.25">
      <c r="E9949" s="102"/>
    </row>
    <row r="9950" spans="5:5" x14ac:dyDescent="0.25">
      <c r="E9950" s="102"/>
    </row>
    <row r="9951" spans="5:5" x14ac:dyDescent="0.25">
      <c r="E9951" s="102"/>
    </row>
    <row r="9952" spans="5:5" x14ac:dyDescent="0.25">
      <c r="E9952" s="102"/>
    </row>
    <row r="9953" spans="5:5" x14ac:dyDescent="0.25">
      <c r="E9953" s="102"/>
    </row>
    <row r="9954" spans="5:5" x14ac:dyDescent="0.25">
      <c r="E9954" s="102"/>
    </row>
    <row r="9955" spans="5:5" x14ac:dyDescent="0.25">
      <c r="E9955" s="102"/>
    </row>
    <row r="9956" spans="5:5" x14ac:dyDescent="0.25">
      <c r="E9956" s="102"/>
    </row>
    <row r="9957" spans="5:5" x14ac:dyDescent="0.25">
      <c r="E9957" s="102"/>
    </row>
    <row r="9958" spans="5:5" x14ac:dyDescent="0.25">
      <c r="E9958" s="102"/>
    </row>
    <row r="9959" spans="5:5" x14ac:dyDescent="0.25">
      <c r="E9959" s="102"/>
    </row>
    <row r="9960" spans="5:5" x14ac:dyDescent="0.25">
      <c r="E9960" s="102"/>
    </row>
    <row r="9961" spans="5:5" x14ac:dyDescent="0.25">
      <c r="E9961" s="102"/>
    </row>
    <row r="9962" spans="5:5" x14ac:dyDescent="0.25">
      <c r="E9962" s="102"/>
    </row>
    <row r="9963" spans="5:5" x14ac:dyDescent="0.25">
      <c r="E9963" s="102"/>
    </row>
    <row r="9964" spans="5:5" x14ac:dyDescent="0.25">
      <c r="E9964" s="102"/>
    </row>
    <row r="9965" spans="5:5" x14ac:dyDescent="0.25">
      <c r="E9965" s="102"/>
    </row>
    <row r="9966" spans="5:5" x14ac:dyDescent="0.25">
      <c r="E9966" s="102"/>
    </row>
    <row r="9967" spans="5:5" x14ac:dyDescent="0.25">
      <c r="E9967" s="102"/>
    </row>
    <row r="9968" spans="5:5" x14ac:dyDescent="0.25">
      <c r="E9968" s="102"/>
    </row>
    <row r="9969" spans="5:5" x14ac:dyDescent="0.25">
      <c r="E9969" s="102"/>
    </row>
    <row r="9970" spans="5:5" x14ac:dyDescent="0.25">
      <c r="E9970" s="102"/>
    </row>
    <row r="9971" spans="5:5" x14ac:dyDescent="0.25">
      <c r="E9971" s="102"/>
    </row>
    <row r="9972" spans="5:5" x14ac:dyDescent="0.25">
      <c r="E9972" s="102"/>
    </row>
    <row r="9973" spans="5:5" x14ac:dyDescent="0.25">
      <c r="E9973" s="102"/>
    </row>
    <row r="9974" spans="5:5" x14ac:dyDescent="0.25">
      <c r="E9974" s="102"/>
    </row>
    <row r="9975" spans="5:5" x14ac:dyDescent="0.25">
      <c r="E9975" s="102"/>
    </row>
    <row r="9976" spans="5:5" x14ac:dyDescent="0.25">
      <c r="E9976" s="102"/>
    </row>
    <row r="9977" spans="5:5" x14ac:dyDescent="0.25">
      <c r="E9977" s="102"/>
    </row>
    <row r="9978" spans="5:5" x14ac:dyDescent="0.25">
      <c r="E9978" s="102"/>
    </row>
    <row r="9979" spans="5:5" x14ac:dyDescent="0.25">
      <c r="E9979" s="102"/>
    </row>
    <row r="9980" spans="5:5" x14ac:dyDescent="0.25">
      <c r="E9980" s="102"/>
    </row>
    <row r="9981" spans="5:5" x14ac:dyDescent="0.25">
      <c r="E9981" s="102"/>
    </row>
    <row r="9982" spans="5:5" x14ac:dyDescent="0.25">
      <c r="E9982" s="102"/>
    </row>
    <row r="9983" spans="5:5" x14ac:dyDescent="0.25">
      <c r="E9983" s="102"/>
    </row>
    <row r="9984" spans="5:5" x14ac:dyDescent="0.25">
      <c r="E9984" s="102"/>
    </row>
    <row r="9985" spans="5:5" x14ac:dyDescent="0.25">
      <c r="E9985" s="102"/>
    </row>
    <row r="9986" spans="5:5" x14ac:dyDescent="0.25">
      <c r="E9986" s="102"/>
    </row>
    <row r="9987" spans="5:5" x14ac:dyDescent="0.25">
      <c r="E9987" s="102"/>
    </row>
    <row r="9988" spans="5:5" x14ac:dyDescent="0.25">
      <c r="E9988" s="102"/>
    </row>
    <row r="9989" spans="5:5" x14ac:dyDescent="0.25">
      <c r="E9989" s="102"/>
    </row>
    <row r="9990" spans="5:5" x14ac:dyDescent="0.25">
      <c r="E9990" s="102"/>
    </row>
    <row r="9991" spans="5:5" x14ac:dyDescent="0.25">
      <c r="E9991" s="102"/>
    </row>
    <row r="9992" spans="5:5" x14ac:dyDescent="0.25">
      <c r="E9992" s="102"/>
    </row>
    <row r="9993" spans="5:5" x14ac:dyDescent="0.25">
      <c r="E9993" s="102"/>
    </row>
    <row r="9994" spans="5:5" x14ac:dyDescent="0.25">
      <c r="E9994" s="102"/>
    </row>
    <row r="9995" spans="5:5" x14ac:dyDescent="0.25">
      <c r="E9995" s="102"/>
    </row>
    <row r="9996" spans="5:5" x14ac:dyDescent="0.25">
      <c r="E9996" s="102"/>
    </row>
    <row r="9997" spans="5:5" x14ac:dyDescent="0.25">
      <c r="E9997" s="102"/>
    </row>
    <row r="9998" spans="5:5" x14ac:dyDescent="0.25">
      <c r="E9998" s="102"/>
    </row>
    <row r="9999" spans="5:5" x14ac:dyDescent="0.25">
      <c r="E9999" s="102"/>
    </row>
    <row r="10000" spans="5:5" x14ac:dyDescent="0.25">
      <c r="E10000" s="102"/>
    </row>
    <row r="10001" spans="5:5" x14ac:dyDescent="0.25">
      <c r="E10001" s="102"/>
    </row>
    <row r="10002" spans="5:5" x14ac:dyDescent="0.25">
      <c r="E10002" s="102"/>
    </row>
    <row r="10003" spans="5:5" x14ac:dyDescent="0.25">
      <c r="E10003" s="102"/>
    </row>
    <row r="10004" spans="5:5" x14ac:dyDescent="0.25">
      <c r="E10004" s="102"/>
    </row>
    <row r="10005" spans="5:5" x14ac:dyDescent="0.25">
      <c r="E10005" s="102"/>
    </row>
    <row r="10006" spans="5:5" x14ac:dyDescent="0.25">
      <c r="E10006" s="102"/>
    </row>
    <row r="10007" spans="5:5" x14ac:dyDescent="0.25">
      <c r="E10007" s="102"/>
    </row>
    <row r="10008" spans="5:5" x14ac:dyDescent="0.25">
      <c r="E10008" s="102"/>
    </row>
    <row r="10009" spans="5:5" x14ac:dyDescent="0.25">
      <c r="E10009" s="102"/>
    </row>
    <row r="10010" spans="5:5" x14ac:dyDescent="0.25">
      <c r="E10010" s="102"/>
    </row>
    <row r="10011" spans="5:5" x14ac:dyDescent="0.25">
      <c r="E10011" s="102"/>
    </row>
    <row r="10012" spans="5:5" x14ac:dyDescent="0.25">
      <c r="E10012" s="102"/>
    </row>
    <row r="10013" spans="5:5" x14ac:dyDescent="0.25">
      <c r="E10013" s="102"/>
    </row>
    <row r="10014" spans="5:5" x14ac:dyDescent="0.25">
      <c r="E10014" s="102"/>
    </row>
    <row r="10015" spans="5:5" x14ac:dyDescent="0.25">
      <c r="E10015" s="102"/>
    </row>
    <row r="10016" spans="5:5" x14ac:dyDescent="0.25">
      <c r="E10016" s="102"/>
    </row>
    <row r="10017" spans="5:5" x14ac:dyDescent="0.25">
      <c r="E10017" s="102"/>
    </row>
    <row r="10018" spans="5:5" x14ac:dyDescent="0.25">
      <c r="E10018" s="102"/>
    </row>
    <row r="10019" spans="5:5" x14ac:dyDescent="0.25">
      <c r="E10019" s="102"/>
    </row>
    <row r="10020" spans="5:5" x14ac:dyDescent="0.25">
      <c r="E10020" s="102"/>
    </row>
    <row r="10021" spans="5:5" x14ac:dyDescent="0.25">
      <c r="E10021" s="102"/>
    </row>
    <row r="10022" spans="5:5" x14ac:dyDescent="0.25">
      <c r="E10022" s="102"/>
    </row>
    <row r="10023" spans="5:5" x14ac:dyDescent="0.25">
      <c r="E10023" s="102"/>
    </row>
    <row r="10024" spans="5:5" x14ac:dyDescent="0.25">
      <c r="E10024" s="102"/>
    </row>
    <row r="10025" spans="5:5" x14ac:dyDescent="0.25">
      <c r="E10025" s="102"/>
    </row>
    <row r="10026" spans="5:5" x14ac:dyDescent="0.25">
      <c r="E10026" s="102"/>
    </row>
    <row r="10027" spans="5:5" x14ac:dyDescent="0.25">
      <c r="E10027" s="102"/>
    </row>
    <row r="10028" spans="5:5" x14ac:dyDescent="0.25">
      <c r="E10028" s="102"/>
    </row>
    <row r="10029" spans="5:5" x14ac:dyDescent="0.25">
      <c r="E10029" s="102"/>
    </row>
    <row r="10030" spans="5:5" x14ac:dyDescent="0.25">
      <c r="E10030" s="102"/>
    </row>
    <row r="10031" spans="5:5" x14ac:dyDescent="0.25">
      <c r="E10031" s="102"/>
    </row>
    <row r="10032" spans="5:5" x14ac:dyDescent="0.25">
      <c r="E10032" s="102"/>
    </row>
    <row r="10033" spans="5:5" x14ac:dyDescent="0.25">
      <c r="E10033" s="102"/>
    </row>
    <row r="10034" spans="5:5" x14ac:dyDescent="0.25">
      <c r="E10034" s="102"/>
    </row>
    <row r="10035" spans="5:5" x14ac:dyDescent="0.25">
      <c r="E10035" s="102"/>
    </row>
    <row r="10036" spans="5:5" x14ac:dyDescent="0.25">
      <c r="E10036" s="102"/>
    </row>
    <row r="10037" spans="5:5" x14ac:dyDescent="0.25">
      <c r="E10037" s="102"/>
    </row>
    <row r="10038" spans="5:5" x14ac:dyDescent="0.25">
      <c r="E10038" s="102"/>
    </row>
    <row r="10039" spans="5:5" x14ac:dyDescent="0.25">
      <c r="E10039" s="102"/>
    </row>
    <row r="10040" spans="5:5" x14ac:dyDescent="0.25">
      <c r="E10040" s="102"/>
    </row>
    <row r="10041" spans="5:5" x14ac:dyDescent="0.25">
      <c r="E10041" s="102"/>
    </row>
    <row r="10042" spans="5:5" x14ac:dyDescent="0.25">
      <c r="E10042" s="102"/>
    </row>
    <row r="10043" spans="5:5" x14ac:dyDescent="0.25">
      <c r="E10043" s="102"/>
    </row>
    <row r="10044" spans="5:5" x14ac:dyDescent="0.25">
      <c r="E10044" s="102"/>
    </row>
    <row r="10045" spans="5:5" x14ac:dyDescent="0.25">
      <c r="E10045" s="102"/>
    </row>
    <row r="10046" spans="5:5" x14ac:dyDescent="0.25">
      <c r="E10046" s="102"/>
    </row>
    <row r="10047" spans="5:5" x14ac:dyDescent="0.25">
      <c r="E10047" s="102"/>
    </row>
    <row r="10048" spans="5:5" x14ac:dyDescent="0.25">
      <c r="E10048" s="102"/>
    </row>
    <row r="10049" spans="5:5" x14ac:dyDescent="0.25">
      <c r="E10049" s="102"/>
    </row>
    <row r="10050" spans="5:5" x14ac:dyDescent="0.25">
      <c r="E10050" s="102"/>
    </row>
    <row r="10051" spans="5:5" x14ac:dyDescent="0.25">
      <c r="E10051" s="102"/>
    </row>
    <row r="10052" spans="5:5" x14ac:dyDescent="0.25">
      <c r="E10052" s="102"/>
    </row>
    <row r="10053" spans="5:5" x14ac:dyDescent="0.25">
      <c r="E10053" s="102"/>
    </row>
    <row r="10054" spans="5:5" x14ac:dyDescent="0.25">
      <c r="E10054" s="102"/>
    </row>
    <row r="10055" spans="5:5" x14ac:dyDescent="0.25">
      <c r="E10055" s="102"/>
    </row>
    <row r="10056" spans="5:5" x14ac:dyDescent="0.25">
      <c r="E10056" s="102"/>
    </row>
    <row r="10057" spans="5:5" x14ac:dyDescent="0.25">
      <c r="E10057" s="102"/>
    </row>
    <row r="10058" spans="5:5" x14ac:dyDescent="0.25">
      <c r="E10058" s="102"/>
    </row>
    <row r="10059" spans="5:5" x14ac:dyDescent="0.25">
      <c r="E10059" s="102"/>
    </row>
    <row r="10060" spans="5:5" x14ac:dyDescent="0.25">
      <c r="E10060" s="102"/>
    </row>
    <row r="10061" spans="5:5" x14ac:dyDescent="0.25">
      <c r="E10061" s="102"/>
    </row>
    <row r="10062" spans="5:5" x14ac:dyDescent="0.25">
      <c r="E10062" s="102"/>
    </row>
    <row r="10063" spans="5:5" x14ac:dyDescent="0.25">
      <c r="E10063" s="102"/>
    </row>
    <row r="10064" spans="5:5" x14ac:dyDescent="0.25">
      <c r="E10064" s="102"/>
    </row>
    <row r="10065" spans="5:5" x14ac:dyDescent="0.25">
      <c r="E10065" s="102"/>
    </row>
    <row r="10066" spans="5:5" x14ac:dyDescent="0.25">
      <c r="E10066" s="102"/>
    </row>
    <row r="10067" spans="5:5" x14ac:dyDescent="0.25">
      <c r="E10067" s="102"/>
    </row>
    <row r="10068" spans="5:5" x14ac:dyDescent="0.25">
      <c r="E10068" s="102"/>
    </row>
    <row r="10069" spans="5:5" x14ac:dyDescent="0.25">
      <c r="E10069" s="102"/>
    </row>
    <row r="10070" spans="5:5" x14ac:dyDescent="0.25">
      <c r="E10070" s="102"/>
    </row>
    <row r="10071" spans="5:5" x14ac:dyDescent="0.25">
      <c r="E10071" s="102"/>
    </row>
    <row r="10072" spans="5:5" x14ac:dyDescent="0.25">
      <c r="E10072" s="102"/>
    </row>
    <row r="10073" spans="5:5" x14ac:dyDescent="0.25">
      <c r="E10073" s="102"/>
    </row>
    <row r="10074" spans="5:5" x14ac:dyDescent="0.25">
      <c r="E10074" s="102"/>
    </row>
    <row r="10075" spans="5:5" x14ac:dyDescent="0.25">
      <c r="E10075" s="102"/>
    </row>
    <row r="10076" spans="5:5" x14ac:dyDescent="0.25">
      <c r="E10076" s="102"/>
    </row>
    <row r="10077" spans="5:5" x14ac:dyDescent="0.25">
      <c r="E10077" s="102"/>
    </row>
    <row r="10078" spans="5:5" x14ac:dyDescent="0.25">
      <c r="E10078" s="102"/>
    </row>
    <row r="10079" spans="5:5" x14ac:dyDescent="0.25">
      <c r="E10079" s="102"/>
    </row>
    <row r="10080" spans="5:5" x14ac:dyDescent="0.25">
      <c r="E10080" s="102"/>
    </row>
    <row r="10081" spans="5:5" x14ac:dyDescent="0.25">
      <c r="E10081" s="102"/>
    </row>
    <row r="10082" spans="5:5" x14ac:dyDescent="0.25">
      <c r="E10082" s="102"/>
    </row>
    <row r="10083" spans="5:5" x14ac:dyDescent="0.25">
      <c r="E10083" s="102"/>
    </row>
    <row r="10084" spans="5:5" x14ac:dyDescent="0.25">
      <c r="E10084" s="102"/>
    </row>
    <row r="10085" spans="5:5" x14ac:dyDescent="0.25">
      <c r="E10085" s="102"/>
    </row>
    <row r="10086" spans="5:5" x14ac:dyDescent="0.25">
      <c r="E10086" s="102"/>
    </row>
    <row r="10087" spans="5:5" x14ac:dyDescent="0.25">
      <c r="E10087" s="102"/>
    </row>
    <row r="10088" spans="5:5" x14ac:dyDescent="0.25">
      <c r="E10088" s="102"/>
    </row>
    <row r="10089" spans="5:5" x14ac:dyDescent="0.25">
      <c r="E10089" s="102"/>
    </row>
    <row r="10090" spans="5:5" x14ac:dyDescent="0.25">
      <c r="E10090" s="102"/>
    </row>
    <row r="10091" spans="5:5" x14ac:dyDescent="0.25">
      <c r="E10091" s="102"/>
    </row>
    <row r="10092" spans="5:5" x14ac:dyDescent="0.25">
      <c r="E10092" s="102"/>
    </row>
    <row r="10093" spans="5:5" x14ac:dyDescent="0.25">
      <c r="E10093" s="102"/>
    </row>
    <row r="10094" spans="5:5" x14ac:dyDescent="0.25">
      <c r="E10094" s="102"/>
    </row>
    <row r="10095" spans="5:5" x14ac:dyDescent="0.25">
      <c r="E10095" s="102"/>
    </row>
    <row r="10096" spans="5:5" x14ac:dyDescent="0.25">
      <c r="E10096" s="102"/>
    </row>
    <row r="10097" spans="5:5" x14ac:dyDescent="0.25">
      <c r="E10097" s="102"/>
    </row>
    <row r="10098" spans="5:5" x14ac:dyDescent="0.25">
      <c r="E10098" s="102"/>
    </row>
    <row r="10099" spans="5:5" x14ac:dyDescent="0.25">
      <c r="E10099" s="102"/>
    </row>
    <row r="10100" spans="5:5" x14ac:dyDescent="0.25">
      <c r="E10100" s="102"/>
    </row>
    <row r="10101" spans="5:5" x14ac:dyDescent="0.25">
      <c r="E10101" s="102"/>
    </row>
    <row r="10102" spans="5:5" x14ac:dyDescent="0.25">
      <c r="E10102" s="102"/>
    </row>
    <row r="10103" spans="5:5" x14ac:dyDescent="0.25">
      <c r="E10103" s="102"/>
    </row>
    <row r="10104" spans="5:5" x14ac:dyDescent="0.25">
      <c r="E10104" s="102"/>
    </row>
    <row r="10105" spans="5:5" x14ac:dyDescent="0.25">
      <c r="E10105" s="102"/>
    </row>
    <row r="10106" spans="5:5" x14ac:dyDescent="0.25">
      <c r="E10106" s="102"/>
    </row>
    <row r="10107" spans="5:5" x14ac:dyDescent="0.25">
      <c r="E10107" s="102"/>
    </row>
    <row r="10108" spans="5:5" x14ac:dyDescent="0.25">
      <c r="E10108" s="102"/>
    </row>
    <row r="10109" spans="5:5" x14ac:dyDescent="0.25">
      <c r="E10109" s="102"/>
    </row>
    <row r="10110" spans="5:5" x14ac:dyDescent="0.25">
      <c r="E10110" s="102"/>
    </row>
    <row r="10111" spans="5:5" x14ac:dyDescent="0.25">
      <c r="E10111" s="102"/>
    </row>
    <row r="10112" spans="5:5" x14ac:dyDescent="0.25">
      <c r="E10112" s="102"/>
    </row>
    <row r="10113" spans="5:5" x14ac:dyDescent="0.25">
      <c r="E10113" s="102"/>
    </row>
    <row r="10114" spans="5:5" x14ac:dyDescent="0.25">
      <c r="E10114" s="102"/>
    </row>
    <row r="10115" spans="5:5" x14ac:dyDescent="0.25">
      <c r="E10115" s="102"/>
    </row>
    <row r="10116" spans="5:5" x14ac:dyDescent="0.25">
      <c r="E10116" s="102"/>
    </row>
    <row r="10117" spans="5:5" x14ac:dyDescent="0.25">
      <c r="E10117" s="102"/>
    </row>
    <row r="10118" spans="5:5" x14ac:dyDescent="0.25">
      <c r="E10118" s="102"/>
    </row>
    <row r="10119" spans="5:5" x14ac:dyDescent="0.25">
      <c r="E10119" s="102"/>
    </row>
    <row r="10120" spans="5:5" x14ac:dyDescent="0.25">
      <c r="E10120" s="102"/>
    </row>
    <row r="10121" spans="5:5" x14ac:dyDescent="0.25">
      <c r="E10121" s="102"/>
    </row>
    <row r="10122" spans="5:5" x14ac:dyDescent="0.25">
      <c r="E10122" s="102"/>
    </row>
    <row r="10123" spans="5:5" x14ac:dyDescent="0.25">
      <c r="E10123" s="102"/>
    </row>
    <row r="10124" spans="5:5" x14ac:dyDescent="0.25">
      <c r="E10124" s="102"/>
    </row>
    <row r="10125" spans="5:5" x14ac:dyDescent="0.25">
      <c r="E10125" s="102"/>
    </row>
    <row r="10126" spans="5:5" x14ac:dyDescent="0.25">
      <c r="E10126" s="102"/>
    </row>
    <row r="10127" spans="5:5" x14ac:dyDescent="0.25">
      <c r="E10127" s="102"/>
    </row>
    <row r="10128" spans="5:5" x14ac:dyDescent="0.25">
      <c r="E10128" s="102"/>
    </row>
    <row r="10129" spans="5:5" x14ac:dyDescent="0.25">
      <c r="E10129" s="102"/>
    </row>
    <row r="10130" spans="5:5" x14ac:dyDescent="0.25">
      <c r="E10130" s="102"/>
    </row>
    <row r="10131" spans="5:5" x14ac:dyDescent="0.25">
      <c r="E10131" s="102"/>
    </row>
    <row r="10132" spans="5:5" x14ac:dyDescent="0.25">
      <c r="E10132" s="102"/>
    </row>
    <row r="10133" spans="5:5" x14ac:dyDescent="0.25">
      <c r="E10133" s="102"/>
    </row>
    <row r="10134" spans="5:5" x14ac:dyDescent="0.25">
      <c r="E10134" s="102"/>
    </row>
    <row r="10135" spans="5:5" x14ac:dyDescent="0.25">
      <c r="E10135" s="102"/>
    </row>
    <row r="10136" spans="5:5" x14ac:dyDescent="0.25">
      <c r="E10136" s="102"/>
    </row>
    <row r="10137" spans="5:5" x14ac:dyDescent="0.25">
      <c r="E10137" s="102"/>
    </row>
    <row r="10138" spans="5:5" x14ac:dyDescent="0.25">
      <c r="E10138" s="102"/>
    </row>
    <row r="10139" spans="5:5" x14ac:dyDescent="0.25">
      <c r="E10139" s="102"/>
    </row>
    <row r="10140" spans="5:5" x14ac:dyDescent="0.25">
      <c r="E10140" s="102"/>
    </row>
    <row r="10141" spans="5:5" x14ac:dyDescent="0.25">
      <c r="E10141" s="102"/>
    </row>
    <row r="10142" spans="5:5" x14ac:dyDescent="0.25">
      <c r="E10142" s="102"/>
    </row>
    <row r="10143" spans="5:5" x14ac:dyDescent="0.25">
      <c r="E10143" s="102"/>
    </row>
    <row r="10144" spans="5:5" x14ac:dyDescent="0.25">
      <c r="E10144" s="102"/>
    </row>
    <row r="10145" spans="5:5" x14ac:dyDescent="0.25">
      <c r="E10145" s="102"/>
    </row>
    <row r="10146" spans="5:5" x14ac:dyDescent="0.25">
      <c r="E10146" s="102"/>
    </row>
    <row r="10147" spans="5:5" x14ac:dyDescent="0.25">
      <c r="E10147" s="102"/>
    </row>
    <row r="10148" spans="5:5" x14ac:dyDescent="0.25">
      <c r="E10148" s="102"/>
    </row>
    <row r="10149" spans="5:5" x14ac:dyDescent="0.25">
      <c r="E10149" s="102"/>
    </row>
    <row r="10150" spans="5:5" x14ac:dyDescent="0.25">
      <c r="E10150" s="102"/>
    </row>
    <row r="10151" spans="5:5" x14ac:dyDescent="0.25">
      <c r="E10151" s="102"/>
    </row>
    <row r="10152" spans="5:5" x14ac:dyDescent="0.25">
      <c r="E10152" s="102"/>
    </row>
    <row r="10153" spans="5:5" x14ac:dyDescent="0.25">
      <c r="E10153" s="102"/>
    </row>
    <row r="10154" spans="5:5" x14ac:dyDescent="0.25">
      <c r="E10154" s="102"/>
    </row>
    <row r="10155" spans="5:5" x14ac:dyDescent="0.25">
      <c r="E10155" s="102"/>
    </row>
    <row r="10156" spans="5:5" x14ac:dyDescent="0.25">
      <c r="E10156" s="102"/>
    </row>
    <row r="10157" spans="5:5" x14ac:dyDescent="0.25">
      <c r="E10157" s="102"/>
    </row>
    <row r="10158" spans="5:5" x14ac:dyDescent="0.25">
      <c r="E10158" s="102"/>
    </row>
    <row r="10159" spans="5:5" x14ac:dyDescent="0.25">
      <c r="E10159" s="102"/>
    </row>
    <row r="10160" spans="5:5" x14ac:dyDescent="0.25">
      <c r="E10160" s="102"/>
    </row>
    <row r="10161" spans="5:5" x14ac:dyDescent="0.25">
      <c r="E10161" s="102"/>
    </row>
    <row r="10162" spans="5:5" x14ac:dyDescent="0.25">
      <c r="E10162" s="102"/>
    </row>
    <row r="10163" spans="5:5" x14ac:dyDescent="0.25">
      <c r="E10163" s="102"/>
    </row>
    <row r="10164" spans="5:5" x14ac:dyDescent="0.25">
      <c r="E10164" s="102"/>
    </row>
    <row r="10165" spans="5:5" x14ac:dyDescent="0.25">
      <c r="E10165" s="102"/>
    </row>
    <row r="10166" spans="5:5" x14ac:dyDescent="0.25">
      <c r="E10166" s="102"/>
    </row>
    <row r="10167" spans="5:5" x14ac:dyDescent="0.25">
      <c r="E10167" s="102"/>
    </row>
    <row r="10168" spans="5:5" x14ac:dyDescent="0.25">
      <c r="E10168" s="102"/>
    </row>
    <row r="10169" spans="5:5" x14ac:dyDescent="0.25">
      <c r="E10169" s="102"/>
    </row>
    <row r="10170" spans="5:5" x14ac:dyDescent="0.25">
      <c r="E10170" s="102"/>
    </row>
    <row r="10171" spans="5:5" x14ac:dyDescent="0.25">
      <c r="E10171" s="102"/>
    </row>
    <row r="10172" spans="5:5" x14ac:dyDescent="0.25">
      <c r="E10172" s="102"/>
    </row>
    <row r="10173" spans="5:5" x14ac:dyDescent="0.25">
      <c r="E10173" s="102"/>
    </row>
    <row r="10174" spans="5:5" x14ac:dyDescent="0.25">
      <c r="E10174" s="102"/>
    </row>
    <row r="10175" spans="5:5" x14ac:dyDescent="0.25">
      <c r="E10175" s="102"/>
    </row>
    <row r="10176" spans="5:5" x14ac:dyDescent="0.25">
      <c r="E10176" s="102"/>
    </row>
    <row r="10177" spans="5:5" x14ac:dyDescent="0.25">
      <c r="E10177" s="102"/>
    </row>
    <row r="10178" spans="5:5" x14ac:dyDescent="0.25">
      <c r="E10178" s="102"/>
    </row>
    <row r="10179" spans="5:5" x14ac:dyDescent="0.25">
      <c r="E10179" s="102"/>
    </row>
    <row r="10180" spans="5:5" x14ac:dyDescent="0.25">
      <c r="E10180" s="102"/>
    </row>
    <row r="10181" spans="5:5" x14ac:dyDescent="0.25">
      <c r="E10181" s="102"/>
    </row>
    <row r="10182" spans="5:5" x14ac:dyDescent="0.25">
      <c r="E10182" s="102"/>
    </row>
    <row r="10183" spans="5:5" x14ac:dyDescent="0.25">
      <c r="E10183" s="102"/>
    </row>
    <row r="10184" spans="5:5" x14ac:dyDescent="0.25">
      <c r="E10184" s="102"/>
    </row>
    <row r="10185" spans="5:5" x14ac:dyDescent="0.25">
      <c r="E10185" s="102"/>
    </row>
    <row r="10186" spans="5:5" x14ac:dyDescent="0.25">
      <c r="E10186" s="102"/>
    </row>
    <row r="10187" spans="5:5" x14ac:dyDescent="0.25">
      <c r="E10187" s="102"/>
    </row>
    <row r="10188" spans="5:5" x14ac:dyDescent="0.25">
      <c r="E10188" s="102"/>
    </row>
    <row r="10189" spans="5:5" x14ac:dyDescent="0.25">
      <c r="E10189" s="102"/>
    </row>
    <row r="10190" spans="5:5" x14ac:dyDescent="0.25">
      <c r="E10190" s="102"/>
    </row>
    <row r="10191" spans="5:5" x14ac:dyDescent="0.25">
      <c r="E10191" s="102"/>
    </row>
    <row r="10192" spans="5:5" x14ac:dyDescent="0.25">
      <c r="E10192" s="102"/>
    </row>
    <row r="10193" spans="5:5" x14ac:dyDescent="0.25">
      <c r="E10193" s="102"/>
    </row>
    <row r="10194" spans="5:5" x14ac:dyDescent="0.25">
      <c r="E10194" s="102"/>
    </row>
    <row r="10195" spans="5:5" x14ac:dyDescent="0.25">
      <c r="E10195" s="102"/>
    </row>
    <row r="10196" spans="5:5" x14ac:dyDescent="0.25">
      <c r="E10196" s="102"/>
    </row>
    <row r="10197" spans="5:5" x14ac:dyDescent="0.25">
      <c r="E10197" s="102"/>
    </row>
    <row r="10198" spans="5:5" x14ac:dyDescent="0.25">
      <c r="E10198" s="102"/>
    </row>
    <row r="10199" spans="5:5" x14ac:dyDescent="0.25">
      <c r="E10199" s="102"/>
    </row>
    <row r="10200" spans="5:5" x14ac:dyDescent="0.25">
      <c r="E10200" s="102"/>
    </row>
    <row r="10201" spans="5:5" x14ac:dyDescent="0.25">
      <c r="E10201" s="102"/>
    </row>
    <row r="10202" spans="5:5" x14ac:dyDescent="0.25">
      <c r="E10202" s="102"/>
    </row>
    <row r="10203" spans="5:5" x14ac:dyDescent="0.25">
      <c r="E10203" s="102"/>
    </row>
    <row r="10204" spans="5:5" x14ac:dyDescent="0.25">
      <c r="E10204" s="102"/>
    </row>
    <row r="10205" spans="5:5" x14ac:dyDescent="0.25">
      <c r="E10205" s="102"/>
    </row>
    <row r="10206" spans="5:5" x14ac:dyDescent="0.25">
      <c r="E10206" s="102"/>
    </row>
    <row r="10207" spans="5:5" x14ac:dyDescent="0.25">
      <c r="E10207" s="102"/>
    </row>
    <row r="10208" spans="5:5" x14ac:dyDescent="0.25">
      <c r="E10208" s="102"/>
    </row>
    <row r="10209" spans="5:5" x14ac:dyDescent="0.25">
      <c r="E10209" s="102"/>
    </row>
    <row r="10210" spans="5:5" x14ac:dyDescent="0.25">
      <c r="E10210" s="102"/>
    </row>
    <row r="10211" spans="5:5" x14ac:dyDescent="0.25">
      <c r="E10211" s="102"/>
    </row>
    <row r="10212" spans="5:5" x14ac:dyDescent="0.25">
      <c r="E10212" s="102"/>
    </row>
    <row r="10213" spans="5:5" x14ac:dyDescent="0.25">
      <c r="E10213" s="102"/>
    </row>
    <row r="10214" spans="5:5" x14ac:dyDescent="0.25">
      <c r="E10214" s="102"/>
    </row>
    <row r="10215" spans="5:5" x14ac:dyDescent="0.25">
      <c r="E10215" s="102"/>
    </row>
    <row r="10216" spans="5:5" x14ac:dyDescent="0.25">
      <c r="E10216" s="102"/>
    </row>
    <row r="10217" spans="5:5" x14ac:dyDescent="0.25">
      <c r="E10217" s="102"/>
    </row>
    <row r="10218" spans="5:5" x14ac:dyDescent="0.25">
      <c r="E10218" s="102"/>
    </row>
    <row r="10219" spans="5:5" x14ac:dyDescent="0.25">
      <c r="E10219" s="102"/>
    </row>
    <row r="10220" spans="5:5" x14ac:dyDescent="0.25">
      <c r="E10220" s="102"/>
    </row>
    <row r="10221" spans="5:5" x14ac:dyDescent="0.25">
      <c r="E10221" s="102"/>
    </row>
    <row r="10222" spans="5:5" x14ac:dyDescent="0.25">
      <c r="E10222" s="102"/>
    </row>
    <row r="10223" spans="5:5" x14ac:dyDescent="0.25">
      <c r="E10223" s="102"/>
    </row>
    <row r="10224" spans="5:5" x14ac:dyDescent="0.25">
      <c r="E10224" s="102"/>
    </row>
    <row r="10225" spans="5:5" x14ac:dyDescent="0.25">
      <c r="E10225" s="102"/>
    </row>
    <row r="10226" spans="5:5" x14ac:dyDescent="0.25">
      <c r="E10226" s="102"/>
    </row>
    <row r="10227" spans="5:5" x14ac:dyDescent="0.25">
      <c r="E10227" s="102"/>
    </row>
    <row r="10228" spans="5:5" x14ac:dyDescent="0.25">
      <c r="E10228" s="102"/>
    </row>
    <row r="10229" spans="5:5" x14ac:dyDescent="0.25">
      <c r="E10229" s="102"/>
    </row>
    <row r="10230" spans="5:5" x14ac:dyDescent="0.25">
      <c r="E10230" s="102"/>
    </row>
    <row r="10231" spans="5:5" x14ac:dyDescent="0.25">
      <c r="E10231" s="102"/>
    </row>
    <row r="10232" spans="5:5" x14ac:dyDescent="0.25">
      <c r="E10232" s="102"/>
    </row>
    <row r="10233" spans="5:5" x14ac:dyDescent="0.25">
      <c r="E10233" s="102"/>
    </row>
    <row r="10234" spans="5:5" x14ac:dyDescent="0.25">
      <c r="E10234" s="102"/>
    </row>
    <row r="10235" spans="5:5" x14ac:dyDescent="0.25">
      <c r="E10235" s="102"/>
    </row>
    <row r="10236" spans="5:5" x14ac:dyDescent="0.25">
      <c r="E10236" s="102"/>
    </row>
    <row r="10237" spans="5:5" x14ac:dyDescent="0.25">
      <c r="E10237" s="102"/>
    </row>
    <row r="10238" spans="5:5" x14ac:dyDescent="0.25">
      <c r="E10238" s="102"/>
    </row>
    <row r="10239" spans="5:5" x14ac:dyDescent="0.25">
      <c r="E10239" s="102"/>
    </row>
    <row r="10240" spans="5:5" x14ac:dyDescent="0.25">
      <c r="E10240" s="102"/>
    </row>
    <row r="10241" spans="5:5" x14ac:dyDescent="0.25">
      <c r="E10241" s="102"/>
    </row>
    <row r="10242" spans="5:5" x14ac:dyDescent="0.25">
      <c r="E10242" s="102"/>
    </row>
    <row r="10243" spans="5:5" x14ac:dyDescent="0.25">
      <c r="E10243" s="102"/>
    </row>
    <row r="10244" spans="5:5" x14ac:dyDescent="0.25">
      <c r="E10244" s="102"/>
    </row>
    <row r="10245" spans="5:5" x14ac:dyDescent="0.25">
      <c r="E10245" s="102"/>
    </row>
    <row r="10246" spans="5:5" x14ac:dyDescent="0.25">
      <c r="E10246" s="102"/>
    </row>
    <row r="10247" spans="5:5" x14ac:dyDescent="0.25">
      <c r="E10247" s="102"/>
    </row>
    <row r="10248" spans="5:5" x14ac:dyDescent="0.25">
      <c r="E10248" s="102"/>
    </row>
    <row r="10249" spans="5:5" x14ac:dyDescent="0.25">
      <c r="E10249" s="102"/>
    </row>
    <row r="10250" spans="5:5" x14ac:dyDescent="0.25">
      <c r="E10250" s="102"/>
    </row>
    <row r="10251" spans="5:5" x14ac:dyDescent="0.25">
      <c r="E10251" s="102"/>
    </row>
    <row r="10252" spans="5:5" x14ac:dyDescent="0.25">
      <c r="E10252" s="102"/>
    </row>
    <row r="10253" spans="5:5" x14ac:dyDescent="0.25">
      <c r="E10253" s="102"/>
    </row>
    <row r="10254" spans="5:5" x14ac:dyDescent="0.25">
      <c r="E10254" s="102"/>
    </row>
    <row r="10255" spans="5:5" x14ac:dyDescent="0.25">
      <c r="E10255" s="102"/>
    </row>
    <row r="10256" spans="5:5" x14ac:dyDescent="0.25">
      <c r="E10256" s="102"/>
    </row>
    <row r="10257" spans="5:5" x14ac:dyDescent="0.25">
      <c r="E10257" s="102"/>
    </row>
    <row r="10258" spans="5:5" x14ac:dyDescent="0.25">
      <c r="E10258" s="102"/>
    </row>
    <row r="10259" spans="5:5" x14ac:dyDescent="0.25">
      <c r="E10259" s="102"/>
    </row>
    <row r="10260" spans="5:5" x14ac:dyDescent="0.25">
      <c r="E10260" s="102"/>
    </row>
    <row r="10261" spans="5:5" x14ac:dyDescent="0.25">
      <c r="E10261" s="102"/>
    </row>
    <row r="10262" spans="5:5" x14ac:dyDescent="0.25">
      <c r="E10262" s="102"/>
    </row>
    <row r="10263" spans="5:5" x14ac:dyDescent="0.25">
      <c r="E10263" s="102"/>
    </row>
    <row r="10264" spans="5:5" x14ac:dyDescent="0.25">
      <c r="E10264" s="102"/>
    </row>
    <row r="10265" spans="5:5" x14ac:dyDescent="0.25">
      <c r="E10265" s="102"/>
    </row>
    <row r="10266" spans="5:5" x14ac:dyDescent="0.25">
      <c r="E10266" s="102"/>
    </row>
    <row r="10267" spans="5:5" x14ac:dyDescent="0.25">
      <c r="E10267" s="102"/>
    </row>
    <row r="10268" spans="5:5" x14ac:dyDescent="0.25">
      <c r="E10268" s="102"/>
    </row>
    <row r="10269" spans="5:5" x14ac:dyDescent="0.25">
      <c r="E10269" s="102"/>
    </row>
    <row r="10270" spans="5:5" x14ac:dyDescent="0.25">
      <c r="E10270" s="102"/>
    </row>
    <row r="10271" spans="5:5" x14ac:dyDescent="0.25">
      <c r="E10271" s="102"/>
    </row>
    <row r="10272" spans="5:5" x14ac:dyDescent="0.25">
      <c r="E10272" s="102"/>
    </row>
    <row r="10273" spans="5:5" x14ac:dyDescent="0.25">
      <c r="E10273" s="102"/>
    </row>
    <row r="10274" spans="5:5" x14ac:dyDescent="0.25">
      <c r="E10274" s="102"/>
    </row>
    <row r="10275" spans="5:5" x14ac:dyDescent="0.25">
      <c r="E10275" s="102"/>
    </row>
    <row r="10276" spans="5:5" x14ac:dyDescent="0.25">
      <c r="E10276" s="102"/>
    </row>
    <row r="10277" spans="5:5" x14ac:dyDescent="0.25">
      <c r="E10277" s="102"/>
    </row>
    <row r="10278" spans="5:5" x14ac:dyDescent="0.25">
      <c r="E10278" s="102"/>
    </row>
    <row r="10279" spans="5:5" x14ac:dyDescent="0.25">
      <c r="E10279" s="102"/>
    </row>
    <row r="10280" spans="5:5" x14ac:dyDescent="0.25">
      <c r="E10280" s="102"/>
    </row>
    <row r="10281" spans="5:5" x14ac:dyDescent="0.25">
      <c r="E10281" s="102"/>
    </row>
    <row r="10282" spans="5:5" x14ac:dyDescent="0.25">
      <c r="E10282" s="102"/>
    </row>
    <row r="10283" spans="5:5" x14ac:dyDescent="0.25">
      <c r="E10283" s="102"/>
    </row>
    <row r="10284" spans="5:5" x14ac:dyDescent="0.25">
      <c r="E10284" s="102"/>
    </row>
    <row r="10285" spans="5:5" x14ac:dyDescent="0.25">
      <c r="E10285" s="102"/>
    </row>
    <row r="10286" spans="5:5" x14ac:dyDescent="0.25">
      <c r="E10286" s="102"/>
    </row>
    <row r="10287" spans="5:5" x14ac:dyDescent="0.25">
      <c r="E10287" s="102"/>
    </row>
    <row r="10288" spans="5:5" x14ac:dyDescent="0.25">
      <c r="E10288" s="102"/>
    </row>
    <row r="10289" spans="5:5" x14ac:dyDescent="0.25">
      <c r="E10289" s="102"/>
    </row>
    <row r="10290" spans="5:5" x14ac:dyDescent="0.25">
      <c r="E10290" s="102"/>
    </row>
    <row r="10291" spans="5:5" x14ac:dyDescent="0.25">
      <c r="E10291" s="102"/>
    </row>
    <row r="10292" spans="5:5" x14ac:dyDescent="0.25">
      <c r="E10292" s="102"/>
    </row>
    <row r="10293" spans="5:5" x14ac:dyDescent="0.25">
      <c r="E10293" s="102"/>
    </row>
    <row r="10294" spans="5:5" x14ac:dyDescent="0.25">
      <c r="E10294" s="102"/>
    </row>
    <row r="10295" spans="5:5" x14ac:dyDescent="0.25">
      <c r="E10295" s="102"/>
    </row>
    <row r="10296" spans="5:5" x14ac:dyDescent="0.25">
      <c r="E10296" s="102"/>
    </row>
    <row r="10297" spans="5:5" x14ac:dyDescent="0.25">
      <c r="E10297" s="102"/>
    </row>
    <row r="10298" spans="5:5" x14ac:dyDescent="0.25">
      <c r="E10298" s="102"/>
    </row>
    <row r="10299" spans="5:5" x14ac:dyDescent="0.25">
      <c r="E10299" s="102"/>
    </row>
    <row r="10300" spans="5:5" x14ac:dyDescent="0.25">
      <c r="E10300" s="102"/>
    </row>
    <row r="10301" spans="5:5" x14ac:dyDescent="0.25">
      <c r="E10301" s="102"/>
    </row>
    <row r="10302" spans="5:5" x14ac:dyDescent="0.25">
      <c r="E10302" s="102"/>
    </row>
    <row r="10303" spans="5:5" x14ac:dyDescent="0.25">
      <c r="E10303" s="102"/>
    </row>
    <row r="10304" spans="5:5" x14ac:dyDescent="0.25">
      <c r="E10304" s="102"/>
    </row>
    <row r="10305" spans="5:5" x14ac:dyDescent="0.25">
      <c r="E10305" s="102"/>
    </row>
    <row r="10306" spans="5:5" x14ac:dyDescent="0.25">
      <c r="E10306" s="102"/>
    </row>
    <row r="10307" spans="5:5" x14ac:dyDescent="0.25">
      <c r="E10307" s="102"/>
    </row>
    <row r="10308" spans="5:5" x14ac:dyDescent="0.25">
      <c r="E10308" s="102"/>
    </row>
    <row r="10309" spans="5:5" x14ac:dyDescent="0.25">
      <c r="E10309" s="102"/>
    </row>
    <row r="10310" spans="5:5" x14ac:dyDescent="0.25">
      <c r="E10310" s="102"/>
    </row>
    <row r="10311" spans="5:5" x14ac:dyDescent="0.25">
      <c r="E10311" s="102"/>
    </row>
    <row r="10312" spans="5:5" x14ac:dyDescent="0.25">
      <c r="E10312" s="102"/>
    </row>
    <row r="10313" spans="5:5" x14ac:dyDescent="0.25">
      <c r="E10313" s="102"/>
    </row>
    <row r="10314" spans="5:5" x14ac:dyDescent="0.25">
      <c r="E10314" s="102"/>
    </row>
    <row r="10315" spans="5:5" x14ac:dyDescent="0.25">
      <c r="E10315" s="102"/>
    </row>
    <row r="10316" spans="5:5" x14ac:dyDescent="0.25">
      <c r="E10316" s="102"/>
    </row>
    <row r="10317" spans="5:5" x14ac:dyDescent="0.25">
      <c r="E10317" s="102"/>
    </row>
    <row r="10318" spans="5:5" x14ac:dyDescent="0.25">
      <c r="E10318" s="102"/>
    </row>
    <row r="10319" spans="5:5" x14ac:dyDescent="0.25">
      <c r="E10319" s="102"/>
    </row>
    <row r="10320" spans="5:5" x14ac:dyDescent="0.25">
      <c r="E10320" s="102"/>
    </row>
    <row r="10321" spans="5:5" x14ac:dyDescent="0.25">
      <c r="E10321" s="102"/>
    </row>
    <row r="10322" spans="5:5" x14ac:dyDescent="0.25">
      <c r="E10322" s="102"/>
    </row>
    <row r="10323" spans="5:5" x14ac:dyDescent="0.25">
      <c r="E10323" s="102"/>
    </row>
    <row r="10324" spans="5:5" x14ac:dyDescent="0.25">
      <c r="E10324" s="102"/>
    </row>
    <row r="10325" spans="5:5" x14ac:dyDescent="0.25">
      <c r="E10325" s="102"/>
    </row>
    <row r="10326" spans="5:5" x14ac:dyDescent="0.25">
      <c r="E10326" s="102"/>
    </row>
    <row r="10327" spans="5:5" x14ac:dyDescent="0.25">
      <c r="E10327" s="102"/>
    </row>
    <row r="10328" spans="5:5" x14ac:dyDescent="0.25">
      <c r="E10328" s="102"/>
    </row>
    <row r="10329" spans="5:5" x14ac:dyDescent="0.25">
      <c r="E10329" s="102"/>
    </row>
    <row r="10330" spans="5:5" x14ac:dyDescent="0.25">
      <c r="E10330" s="102"/>
    </row>
    <row r="10331" spans="5:5" x14ac:dyDescent="0.25">
      <c r="E10331" s="102"/>
    </row>
    <row r="10332" spans="5:5" x14ac:dyDescent="0.25">
      <c r="E10332" s="102"/>
    </row>
    <row r="10333" spans="5:5" x14ac:dyDescent="0.25">
      <c r="E10333" s="102"/>
    </row>
    <row r="10334" spans="5:5" x14ac:dyDescent="0.25">
      <c r="E10334" s="102"/>
    </row>
    <row r="10335" spans="5:5" x14ac:dyDescent="0.25">
      <c r="E10335" s="102"/>
    </row>
    <row r="10336" spans="5:5" x14ac:dyDescent="0.25">
      <c r="E10336" s="102"/>
    </row>
    <row r="10337" spans="5:5" x14ac:dyDescent="0.25">
      <c r="E10337" s="102"/>
    </row>
    <row r="10338" spans="5:5" x14ac:dyDescent="0.25">
      <c r="E10338" s="102"/>
    </row>
    <row r="10339" spans="5:5" x14ac:dyDescent="0.25">
      <c r="E10339" s="102"/>
    </row>
    <row r="10340" spans="5:5" x14ac:dyDescent="0.25">
      <c r="E10340" s="102"/>
    </row>
    <row r="10341" spans="5:5" x14ac:dyDescent="0.25">
      <c r="E10341" s="102"/>
    </row>
    <row r="10342" spans="5:5" x14ac:dyDescent="0.25">
      <c r="E10342" s="102"/>
    </row>
    <row r="10343" spans="5:5" x14ac:dyDescent="0.25">
      <c r="E10343" s="102"/>
    </row>
    <row r="10344" spans="5:5" x14ac:dyDescent="0.25">
      <c r="E10344" s="102"/>
    </row>
    <row r="10345" spans="5:5" x14ac:dyDescent="0.25">
      <c r="E10345" s="102"/>
    </row>
    <row r="10346" spans="5:5" x14ac:dyDescent="0.25">
      <c r="E10346" s="102"/>
    </row>
    <row r="10347" spans="5:5" x14ac:dyDescent="0.25">
      <c r="E10347" s="102"/>
    </row>
    <row r="10348" spans="5:5" x14ac:dyDescent="0.25">
      <c r="E10348" s="102"/>
    </row>
    <row r="10349" spans="5:5" x14ac:dyDescent="0.25">
      <c r="E10349" s="102"/>
    </row>
    <row r="10350" spans="5:5" x14ac:dyDescent="0.25">
      <c r="E10350" s="102"/>
    </row>
    <row r="10351" spans="5:5" x14ac:dyDescent="0.25">
      <c r="E10351" s="102"/>
    </row>
    <row r="10352" spans="5:5" x14ac:dyDescent="0.25">
      <c r="E10352" s="102"/>
    </row>
    <row r="10353" spans="5:5" x14ac:dyDescent="0.25">
      <c r="E10353" s="102"/>
    </row>
    <row r="10354" spans="5:5" x14ac:dyDescent="0.25">
      <c r="E10354" s="102"/>
    </row>
    <row r="10355" spans="5:5" x14ac:dyDescent="0.25">
      <c r="E10355" s="102"/>
    </row>
    <row r="10356" spans="5:5" x14ac:dyDescent="0.25">
      <c r="E10356" s="102"/>
    </row>
    <row r="10357" spans="5:5" x14ac:dyDescent="0.25">
      <c r="E10357" s="102"/>
    </row>
    <row r="10358" spans="5:5" x14ac:dyDescent="0.25">
      <c r="E10358" s="102"/>
    </row>
    <row r="10359" spans="5:5" x14ac:dyDescent="0.25">
      <c r="E10359" s="102"/>
    </row>
    <row r="10360" spans="5:5" x14ac:dyDescent="0.25">
      <c r="E10360" s="102"/>
    </row>
    <row r="10361" spans="5:5" x14ac:dyDescent="0.25">
      <c r="E10361" s="102"/>
    </row>
    <row r="10362" spans="5:5" x14ac:dyDescent="0.25">
      <c r="E10362" s="102"/>
    </row>
    <row r="10363" spans="5:5" x14ac:dyDescent="0.25">
      <c r="E10363" s="102"/>
    </row>
    <row r="10364" spans="5:5" x14ac:dyDescent="0.25">
      <c r="E10364" s="102"/>
    </row>
    <row r="10365" spans="5:5" x14ac:dyDescent="0.25">
      <c r="E10365" s="102"/>
    </row>
    <row r="10366" spans="5:5" x14ac:dyDescent="0.25">
      <c r="E10366" s="102"/>
    </row>
    <row r="10367" spans="5:5" x14ac:dyDescent="0.25">
      <c r="E10367" s="102"/>
    </row>
    <row r="10368" spans="5:5" x14ac:dyDescent="0.25">
      <c r="E10368" s="102"/>
    </row>
    <row r="10369" spans="5:5" x14ac:dyDescent="0.25">
      <c r="E10369" s="102"/>
    </row>
    <row r="10370" spans="5:5" x14ac:dyDescent="0.25">
      <c r="E10370" s="102"/>
    </row>
    <row r="10371" spans="5:5" x14ac:dyDescent="0.25">
      <c r="E10371" s="102"/>
    </row>
    <row r="10372" spans="5:5" x14ac:dyDescent="0.25">
      <c r="E10372" s="102"/>
    </row>
    <row r="10373" spans="5:5" x14ac:dyDescent="0.25">
      <c r="E10373" s="102"/>
    </row>
    <row r="10374" spans="5:5" x14ac:dyDescent="0.25">
      <c r="E10374" s="102"/>
    </row>
    <row r="10375" spans="5:5" x14ac:dyDescent="0.25">
      <c r="E10375" s="102"/>
    </row>
    <row r="10376" spans="5:5" x14ac:dyDescent="0.25">
      <c r="E10376" s="102"/>
    </row>
    <row r="10377" spans="5:5" x14ac:dyDescent="0.25">
      <c r="E10377" s="102"/>
    </row>
    <row r="10378" spans="5:5" x14ac:dyDescent="0.25">
      <c r="E10378" s="102"/>
    </row>
    <row r="10379" spans="5:5" x14ac:dyDescent="0.25">
      <c r="E10379" s="102"/>
    </row>
    <row r="10380" spans="5:5" x14ac:dyDescent="0.25">
      <c r="E10380" s="102"/>
    </row>
    <row r="10381" spans="5:5" x14ac:dyDescent="0.25">
      <c r="E10381" s="102"/>
    </row>
    <row r="10382" spans="5:5" x14ac:dyDescent="0.25">
      <c r="E10382" s="102"/>
    </row>
    <row r="10383" spans="5:5" x14ac:dyDescent="0.25">
      <c r="E10383" s="102"/>
    </row>
    <row r="10384" spans="5:5" x14ac:dyDescent="0.25">
      <c r="E10384" s="102"/>
    </row>
    <row r="10385" spans="5:5" x14ac:dyDescent="0.25">
      <c r="E10385" s="102"/>
    </row>
    <row r="10386" spans="5:5" x14ac:dyDescent="0.25">
      <c r="E10386" s="102"/>
    </row>
    <row r="10387" spans="5:5" x14ac:dyDescent="0.25">
      <c r="E10387" s="102"/>
    </row>
    <row r="10388" spans="5:5" x14ac:dyDescent="0.25">
      <c r="E10388" s="102"/>
    </row>
    <row r="10389" spans="5:5" x14ac:dyDescent="0.25">
      <c r="E10389" s="102"/>
    </row>
    <row r="10390" spans="5:5" x14ac:dyDescent="0.25">
      <c r="E10390" s="102"/>
    </row>
    <row r="10391" spans="5:5" x14ac:dyDescent="0.25">
      <c r="E10391" s="102"/>
    </row>
    <row r="10392" spans="5:5" x14ac:dyDescent="0.25">
      <c r="E10392" s="102"/>
    </row>
    <row r="10393" spans="5:5" x14ac:dyDescent="0.25">
      <c r="E10393" s="102"/>
    </row>
    <row r="10394" spans="5:5" x14ac:dyDescent="0.25">
      <c r="E10394" s="102"/>
    </row>
    <row r="10395" spans="5:5" x14ac:dyDescent="0.25">
      <c r="E10395" s="102"/>
    </row>
    <row r="10396" spans="5:5" x14ac:dyDescent="0.25">
      <c r="E10396" s="102"/>
    </row>
    <row r="10397" spans="5:5" x14ac:dyDescent="0.25">
      <c r="E10397" s="102"/>
    </row>
    <row r="10398" spans="5:5" x14ac:dyDescent="0.25">
      <c r="E10398" s="102"/>
    </row>
    <row r="10399" spans="5:5" x14ac:dyDescent="0.25">
      <c r="E10399" s="102"/>
    </row>
    <row r="10400" spans="5:5" x14ac:dyDescent="0.25">
      <c r="E10400" s="102"/>
    </row>
    <row r="10401" spans="5:5" x14ac:dyDescent="0.25">
      <c r="E10401" s="102"/>
    </row>
    <row r="10402" spans="5:5" x14ac:dyDescent="0.25">
      <c r="E10402" s="102"/>
    </row>
    <row r="10403" spans="5:5" x14ac:dyDescent="0.25">
      <c r="E10403" s="102"/>
    </row>
    <row r="10404" spans="5:5" x14ac:dyDescent="0.25">
      <c r="E10404" s="102"/>
    </row>
    <row r="10405" spans="5:5" x14ac:dyDescent="0.25">
      <c r="E10405" s="102"/>
    </row>
    <row r="10406" spans="5:5" x14ac:dyDescent="0.25">
      <c r="E10406" s="102"/>
    </row>
    <row r="10407" spans="5:5" x14ac:dyDescent="0.25">
      <c r="E10407" s="102"/>
    </row>
    <row r="10408" spans="5:5" x14ac:dyDescent="0.25">
      <c r="E10408" s="102"/>
    </row>
    <row r="10409" spans="5:5" x14ac:dyDescent="0.25">
      <c r="E10409" s="102"/>
    </row>
    <row r="10410" spans="5:5" x14ac:dyDescent="0.25">
      <c r="E10410" s="102"/>
    </row>
    <row r="10411" spans="5:5" x14ac:dyDescent="0.25">
      <c r="E10411" s="102"/>
    </row>
    <row r="10412" spans="5:5" x14ac:dyDescent="0.25">
      <c r="E10412" s="102"/>
    </row>
    <row r="10413" spans="5:5" x14ac:dyDescent="0.25">
      <c r="E10413" s="102"/>
    </row>
    <row r="10414" spans="5:5" x14ac:dyDescent="0.25">
      <c r="E10414" s="102"/>
    </row>
    <row r="10415" spans="5:5" x14ac:dyDescent="0.25">
      <c r="E10415" s="102"/>
    </row>
    <row r="10416" spans="5:5" x14ac:dyDescent="0.25">
      <c r="E10416" s="102"/>
    </row>
    <row r="10417" spans="5:5" x14ac:dyDescent="0.25">
      <c r="E10417" s="102"/>
    </row>
    <row r="10418" spans="5:5" x14ac:dyDescent="0.25">
      <c r="E10418" s="102"/>
    </row>
    <row r="10419" spans="5:5" x14ac:dyDescent="0.25">
      <c r="E10419" s="102"/>
    </row>
    <row r="10420" spans="5:5" x14ac:dyDescent="0.25">
      <c r="E10420" s="102"/>
    </row>
    <row r="10421" spans="5:5" x14ac:dyDescent="0.25">
      <c r="E10421" s="102"/>
    </row>
    <row r="10422" spans="5:5" x14ac:dyDescent="0.25">
      <c r="E10422" s="102"/>
    </row>
    <row r="10423" spans="5:5" x14ac:dyDescent="0.25">
      <c r="E10423" s="102"/>
    </row>
    <row r="10424" spans="5:5" x14ac:dyDescent="0.25">
      <c r="E10424" s="102"/>
    </row>
    <row r="10425" spans="5:5" x14ac:dyDescent="0.25">
      <c r="E10425" s="102"/>
    </row>
    <row r="10426" spans="5:5" x14ac:dyDescent="0.25">
      <c r="E10426" s="102"/>
    </row>
    <row r="10427" spans="5:5" x14ac:dyDescent="0.25">
      <c r="E10427" s="102"/>
    </row>
    <row r="10428" spans="5:5" x14ac:dyDescent="0.25">
      <c r="E10428" s="102"/>
    </row>
    <row r="10429" spans="5:5" x14ac:dyDescent="0.25">
      <c r="E10429" s="102"/>
    </row>
    <row r="10430" spans="5:5" x14ac:dyDescent="0.25">
      <c r="E10430" s="102"/>
    </row>
    <row r="10431" spans="5:5" x14ac:dyDescent="0.25">
      <c r="E10431" s="102"/>
    </row>
    <row r="10432" spans="5:5" x14ac:dyDescent="0.25">
      <c r="E10432" s="102"/>
    </row>
    <row r="10433" spans="5:5" x14ac:dyDescent="0.25">
      <c r="E10433" s="102"/>
    </row>
    <row r="10434" spans="5:5" x14ac:dyDescent="0.25">
      <c r="E10434" s="102"/>
    </row>
    <row r="10435" spans="5:5" x14ac:dyDescent="0.25">
      <c r="E10435" s="102"/>
    </row>
    <row r="10436" spans="5:5" x14ac:dyDescent="0.25">
      <c r="E10436" s="102"/>
    </row>
    <row r="10437" spans="5:5" x14ac:dyDescent="0.25">
      <c r="E10437" s="102"/>
    </row>
    <row r="10438" spans="5:5" x14ac:dyDescent="0.25">
      <c r="E10438" s="102"/>
    </row>
    <row r="10439" spans="5:5" x14ac:dyDescent="0.25">
      <c r="E10439" s="102"/>
    </row>
    <row r="10440" spans="5:5" x14ac:dyDescent="0.25">
      <c r="E10440" s="102"/>
    </row>
    <row r="10441" spans="5:5" x14ac:dyDescent="0.25">
      <c r="E10441" s="102"/>
    </row>
    <row r="10442" spans="5:5" x14ac:dyDescent="0.25">
      <c r="E10442" s="102"/>
    </row>
    <row r="10443" spans="5:5" x14ac:dyDescent="0.25">
      <c r="E10443" s="102"/>
    </row>
    <row r="10444" spans="5:5" x14ac:dyDescent="0.25">
      <c r="E10444" s="102"/>
    </row>
    <row r="10445" spans="5:5" x14ac:dyDescent="0.25">
      <c r="E10445" s="102"/>
    </row>
    <row r="10446" spans="5:5" x14ac:dyDescent="0.25">
      <c r="E10446" s="102"/>
    </row>
    <row r="10447" spans="5:5" x14ac:dyDescent="0.25">
      <c r="E10447" s="102"/>
    </row>
    <row r="10448" spans="5:5" x14ac:dyDescent="0.25">
      <c r="E10448" s="102"/>
    </row>
    <row r="10449" spans="5:5" x14ac:dyDescent="0.25">
      <c r="E10449" s="102"/>
    </row>
    <row r="10450" spans="5:5" x14ac:dyDescent="0.25">
      <c r="E10450" s="102"/>
    </row>
    <row r="10451" spans="5:5" x14ac:dyDescent="0.25">
      <c r="E10451" s="102"/>
    </row>
    <row r="10452" spans="5:5" x14ac:dyDescent="0.25">
      <c r="E10452" s="102"/>
    </row>
    <row r="10453" spans="5:5" x14ac:dyDescent="0.25">
      <c r="E10453" s="102"/>
    </row>
    <row r="10454" spans="5:5" x14ac:dyDescent="0.25">
      <c r="E10454" s="102"/>
    </row>
    <row r="10455" spans="5:5" x14ac:dyDescent="0.25">
      <c r="E10455" s="102"/>
    </row>
    <row r="10456" spans="5:5" x14ac:dyDescent="0.25">
      <c r="E10456" s="102"/>
    </row>
    <row r="10457" spans="5:5" x14ac:dyDescent="0.25">
      <c r="E10457" s="102"/>
    </row>
    <row r="10458" spans="5:5" x14ac:dyDescent="0.25">
      <c r="E10458" s="102"/>
    </row>
    <row r="10459" spans="5:5" x14ac:dyDescent="0.25">
      <c r="E10459" s="102"/>
    </row>
    <row r="10460" spans="5:5" x14ac:dyDescent="0.25">
      <c r="E10460" s="102"/>
    </row>
    <row r="10461" spans="5:5" x14ac:dyDescent="0.25">
      <c r="E10461" s="102"/>
    </row>
    <row r="10462" spans="5:5" x14ac:dyDescent="0.25">
      <c r="E10462" s="102"/>
    </row>
    <row r="10463" spans="5:5" x14ac:dyDescent="0.25">
      <c r="E10463" s="102"/>
    </row>
    <row r="10464" spans="5:5" x14ac:dyDescent="0.25">
      <c r="E10464" s="102"/>
    </row>
    <row r="10465" spans="5:5" x14ac:dyDescent="0.25">
      <c r="E10465" s="102"/>
    </row>
    <row r="10466" spans="5:5" x14ac:dyDescent="0.25">
      <c r="E10466" s="102"/>
    </row>
    <row r="10467" spans="5:5" x14ac:dyDescent="0.25">
      <c r="E10467" s="102"/>
    </row>
    <row r="10468" spans="5:5" x14ac:dyDescent="0.25">
      <c r="E10468" s="102"/>
    </row>
    <row r="10469" spans="5:5" x14ac:dyDescent="0.25">
      <c r="E10469" s="102"/>
    </row>
    <row r="10470" spans="5:5" x14ac:dyDescent="0.25">
      <c r="E10470" s="102"/>
    </row>
    <row r="10471" spans="5:5" x14ac:dyDescent="0.25">
      <c r="E10471" s="102"/>
    </row>
    <row r="10472" spans="5:5" x14ac:dyDescent="0.25">
      <c r="E10472" s="102"/>
    </row>
    <row r="10473" spans="5:5" x14ac:dyDescent="0.25">
      <c r="E10473" s="102"/>
    </row>
    <row r="10474" spans="5:5" x14ac:dyDescent="0.25">
      <c r="E10474" s="102"/>
    </row>
    <row r="10475" spans="5:5" x14ac:dyDescent="0.25">
      <c r="E10475" s="102"/>
    </row>
    <row r="10476" spans="5:5" x14ac:dyDescent="0.25">
      <c r="E10476" s="102"/>
    </row>
    <row r="10477" spans="5:5" x14ac:dyDescent="0.25">
      <c r="E10477" s="102"/>
    </row>
    <row r="10478" spans="5:5" x14ac:dyDescent="0.25">
      <c r="E10478" s="102"/>
    </row>
    <row r="10479" spans="5:5" x14ac:dyDescent="0.25">
      <c r="E10479" s="102"/>
    </row>
    <row r="10480" spans="5:5" x14ac:dyDescent="0.25">
      <c r="E10480" s="102"/>
    </row>
    <row r="10481" spans="5:5" x14ac:dyDescent="0.25">
      <c r="E10481" s="102"/>
    </row>
    <row r="10482" spans="5:5" x14ac:dyDescent="0.25">
      <c r="E10482" s="102"/>
    </row>
    <row r="10483" spans="5:5" x14ac:dyDescent="0.25">
      <c r="E10483" s="102"/>
    </row>
    <row r="10484" spans="5:5" x14ac:dyDescent="0.25">
      <c r="E10484" s="102"/>
    </row>
    <row r="10485" spans="5:5" x14ac:dyDescent="0.25">
      <c r="E10485" s="102"/>
    </row>
    <row r="10486" spans="5:5" x14ac:dyDescent="0.25">
      <c r="E10486" s="102"/>
    </row>
    <row r="10487" spans="5:5" x14ac:dyDescent="0.25">
      <c r="E10487" s="102"/>
    </row>
    <row r="10488" spans="5:5" x14ac:dyDescent="0.25">
      <c r="E10488" s="102"/>
    </row>
    <row r="10489" spans="5:5" x14ac:dyDescent="0.25">
      <c r="E10489" s="102"/>
    </row>
    <row r="10490" spans="5:5" x14ac:dyDescent="0.25">
      <c r="E10490" s="102"/>
    </row>
    <row r="10491" spans="5:5" x14ac:dyDescent="0.25">
      <c r="E10491" s="102"/>
    </row>
    <row r="10492" spans="5:5" x14ac:dyDescent="0.25">
      <c r="E10492" s="102"/>
    </row>
    <row r="10493" spans="5:5" x14ac:dyDescent="0.25">
      <c r="E10493" s="102"/>
    </row>
    <row r="10494" spans="5:5" x14ac:dyDescent="0.25">
      <c r="E10494" s="102"/>
    </row>
    <row r="10495" spans="5:5" x14ac:dyDescent="0.25">
      <c r="E10495" s="102"/>
    </row>
    <row r="10496" spans="5:5" x14ac:dyDescent="0.25">
      <c r="E10496" s="102"/>
    </row>
    <row r="10497" spans="5:5" x14ac:dyDescent="0.25">
      <c r="E10497" s="102"/>
    </row>
    <row r="10498" spans="5:5" x14ac:dyDescent="0.25">
      <c r="E10498" s="102"/>
    </row>
    <row r="10499" spans="5:5" x14ac:dyDescent="0.25">
      <c r="E10499" s="102"/>
    </row>
    <row r="10500" spans="5:5" x14ac:dyDescent="0.25">
      <c r="E10500" s="102"/>
    </row>
    <row r="10501" spans="5:5" x14ac:dyDescent="0.25">
      <c r="E10501" s="102"/>
    </row>
    <row r="10502" spans="5:5" x14ac:dyDescent="0.25">
      <c r="E10502" s="102"/>
    </row>
    <row r="10503" spans="5:5" x14ac:dyDescent="0.25">
      <c r="E10503" s="102"/>
    </row>
    <row r="10504" spans="5:5" x14ac:dyDescent="0.25">
      <c r="E10504" s="102"/>
    </row>
    <row r="10505" spans="5:5" x14ac:dyDescent="0.25">
      <c r="E10505" s="102"/>
    </row>
    <row r="10506" spans="5:5" x14ac:dyDescent="0.25">
      <c r="E10506" s="102"/>
    </row>
    <row r="10507" spans="5:5" x14ac:dyDescent="0.25">
      <c r="E10507" s="102"/>
    </row>
    <row r="10508" spans="5:5" x14ac:dyDescent="0.25">
      <c r="E10508" s="102"/>
    </row>
    <row r="10509" spans="5:5" x14ac:dyDescent="0.25">
      <c r="E10509" s="102"/>
    </row>
    <row r="10510" spans="5:5" x14ac:dyDescent="0.25">
      <c r="E10510" s="102"/>
    </row>
    <row r="10511" spans="5:5" x14ac:dyDescent="0.25">
      <c r="E10511" s="102"/>
    </row>
    <row r="10512" spans="5:5" x14ac:dyDescent="0.25">
      <c r="E10512" s="102"/>
    </row>
    <row r="10513" spans="5:5" x14ac:dyDescent="0.25">
      <c r="E10513" s="102"/>
    </row>
    <row r="10514" spans="5:5" x14ac:dyDescent="0.25">
      <c r="E10514" s="102"/>
    </row>
    <row r="10515" spans="5:5" x14ac:dyDescent="0.25">
      <c r="E10515" s="102"/>
    </row>
    <row r="10516" spans="5:5" x14ac:dyDescent="0.25">
      <c r="E10516" s="102"/>
    </row>
    <row r="10517" spans="5:5" x14ac:dyDescent="0.25">
      <c r="E10517" s="102"/>
    </row>
    <row r="10518" spans="5:5" x14ac:dyDescent="0.25">
      <c r="E10518" s="102"/>
    </row>
    <row r="10519" spans="5:5" x14ac:dyDescent="0.25">
      <c r="E10519" s="102"/>
    </row>
    <row r="10520" spans="5:5" x14ac:dyDescent="0.25">
      <c r="E10520" s="102"/>
    </row>
    <row r="10521" spans="5:5" x14ac:dyDescent="0.25">
      <c r="E10521" s="102"/>
    </row>
    <row r="10522" spans="5:5" x14ac:dyDescent="0.25">
      <c r="E10522" s="102"/>
    </row>
    <row r="10523" spans="5:5" x14ac:dyDescent="0.25">
      <c r="E10523" s="102"/>
    </row>
    <row r="10524" spans="5:5" x14ac:dyDescent="0.25">
      <c r="E10524" s="102"/>
    </row>
    <row r="10525" spans="5:5" x14ac:dyDescent="0.25">
      <c r="E10525" s="102"/>
    </row>
    <row r="10526" spans="5:5" x14ac:dyDescent="0.25">
      <c r="E10526" s="102"/>
    </row>
    <row r="10527" spans="5:5" x14ac:dyDescent="0.25">
      <c r="E10527" s="102"/>
    </row>
    <row r="10528" spans="5:5" x14ac:dyDescent="0.25">
      <c r="E10528" s="102"/>
    </row>
    <row r="10529" spans="5:5" x14ac:dyDescent="0.25">
      <c r="E10529" s="102"/>
    </row>
    <row r="10530" spans="5:5" x14ac:dyDescent="0.25">
      <c r="E10530" s="102"/>
    </row>
    <row r="10531" spans="5:5" x14ac:dyDescent="0.25">
      <c r="E10531" s="102"/>
    </row>
    <row r="10532" spans="5:5" x14ac:dyDescent="0.25">
      <c r="E10532" s="102"/>
    </row>
    <row r="10533" spans="5:5" x14ac:dyDescent="0.25">
      <c r="E10533" s="102"/>
    </row>
    <row r="10534" spans="5:5" x14ac:dyDescent="0.25">
      <c r="E10534" s="102"/>
    </row>
    <row r="10535" spans="5:5" x14ac:dyDescent="0.25">
      <c r="E10535" s="102"/>
    </row>
    <row r="10536" spans="5:5" x14ac:dyDescent="0.25">
      <c r="E10536" s="102"/>
    </row>
    <row r="10537" spans="5:5" x14ac:dyDescent="0.25">
      <c r="E10537" s="102"/>
    </row>
    <row r="10538" spans="5:5" x14ac:dyDescent="0.25">
      <c r="E10538" s="102"/>
    </row>
    <row r="10539" spans="5:5" x14ac:dyDescent="0.25">
      <c r="E10539" s="102"/>
    </row>
    <row r="10540" spans="5:5" x14ac:dyDescent="0.25">
      <c r="E10540" s="102"/>
    </row>
    <row r="10541" spans="5:5" x14ac:dyDescent="0.25">
      <c r="E10541" s="102"/>
    </row>
    <row r="10542" spans="5:5" x14ac:dyDescent="0.25">
      <c r="E10542" s="102"/>
    </row>
    <row r="10543" spans="5:5" x14ac:dyDescent="0.25">
      <c r="E10543" s="102"/>
    </row>
    <row r="10544" spans="5:5" x14ac:dyDescent="0.25">
      <c r="E10544" s="102"/>
    </row>
    <row r="10545" spans="5:5" x14ac:dyDescent="0.25">
      <c r="E10545" s="102"/>
    </row>
    <row r="10546" spans="5:5" x14ac:dyDescent="0.25">
      <c r="E10546" s="102"/>
    </row>
    <row r="10547" spans="5:5" x14ac:dyDescent="0.25">
      <c r="E10547" s="102"/>
    </row>
    <row r="10548" spans="5:5" x14ac:dyDescent="0.25">
      <c r="E10548" s="102"/>
    </row>
    <row r="10549" spans="5:5" x14ac:dyDescent="0.25">
      <c r="E10549" s="102"/>
    </row>
    <row r="10550" spans="5:5" x14ac:dyDescent="0.25">
      <c r="E10550" s="102"/>
    </row>
    <row r="10551" spans="5:5" x14ac:dyDescent="0.25">
      <c r="E10551" s="102"/>
    </row>
    <row r="10552" spans="5:5" x14ac:dyDescent="0.25">
      <c r="E10552" s="102"/>
    </row>
    <row r="10553" spans="5:5" x14ac:dyDescent="0.25">
      <c r="E10553" s="102"/>
    </row>
    <row r="10554" spans="5:5" x14ac:dyDescent="0.25">
      <c r="E10554" s="102"/>
    </row>
    <row r="10555" spans="5:5" x14ac:dyDescent="0.25">
      <c r="E10555" s="102"/>
    </row>
    <row r="10556" spans="5:5" x14ac:dyDescent="0.25">
      <c r="E10556" s="102"/>
    </row>
    <row r="10557" spans="5:5" x14ac:dyDescent="0.25">
      <c r="E10557" s="102"/>
    </row>
    <row r="10558" spans="5:5" x14ac:dyDescent="0.25">
      <c r="E10558" s="102"/>
    </row>
    <row r="10559" spans="5:5" x14ac:dyDescent="0.25">
      <c r="E10559" s="102"/>
    </row>
    <row r="10560" spans="5:5" x14ac:dyDescent="0.25">
      <c r="E10560" s="102"/>
    </row>
    <row r="10561" spans="5:5" x14ac:dyDescent="0.25">
      <c r="E10561" s="102"/>
    </row>
    <row r="10562" spans="5:5" x14ac:dyDescent="0.25">
      <c r="E10562" s="102"/>
    </row>
    <row r="10563" spans="5:5" x14ac:dyDescent="0.25">
      <c r="E10563" s="102"/>
    </row>
    <row r="10564" spans="5:5" x14ac:dyDescent="0.25">
      <c r="E10564" s="102"/>
    </row>
    <row r="10565" spans="5:5" x14ac:dyDescent="0.25">
      <c r="E10565" s="102"/>
    </row>
    <row r="10566" spans="5:5" x14ac:dyDescent="0.25">
      <c r="E10566" s="102"/>
    </row>
    <row r="10567" spans="5:5" x14ac:dyDescent="0.25">
      <c r="E10567" s="102"/>
    </row>
    <row r="10568" spans="5:5" x14ac:dyDescent="0.25">
      <c r="E10568" s="102"/>
    </row>
    <row r="10569" spans="5:5" x14ac:dyDescent="0.25">
      <c r="E10569" s="102"/>
    </row>
    <row r="10570" spans="5:5" x14ac:dyDescent="0.25">
      <c r="E10570" s="102"/>
    </row>
    <row r="10571" spans="5:5" x14ac:dyDescent="0.25">
      <c r="E10571" s="102"/>
    </row>
    <row r="10572" spans="5:5" x14ac:dyDescent="0.25">
      <c r="E10572" s="102"/>
    </row>
    <row r="10573" spans="5:5" x14ac:dyDescent="0.25">
      <c r="E10573" s="102"/>
    </row>
    <row r="10574" spans="5:5" x14ac:dyDescent="0.25">
      <c r="E10574" s="102"/>
    </row>
    <row r="10575" spans="5:5" x14ac:dyDescent="0.25">
      <c r="E10575" s="102"/>
    </row>
    <row r="10576" spans="5:5" x14ac:dyDescent="0.25">
      <c r="E10576" s="102"/>
    </row>
    <row r="10577" spans="5:5" x14ac:dyDescent="0.25">
      <c r="E10577" s="102"/>
    </row>
    <row r="10578" spans="5:5" x14ac:dyDescent="0.25">
      <c r="E10578" s="102"/>
    </row>
    <row r="10579" spans="5:5" x14ac:dyDescent="0.25">
      <c r="E10579" s="102"/>
    </row>
    <row r="10580" spans="5:5" x14ac:dyDescent="0.25">
      <c r="E10580" s="102"/>
    </row>
    <row r="10581" spans="5:5" x14ac:dyDescent="0.25">
      <c r="E10581" s="102"/>
    </row>
    <row r="10582" spans="5:5" x14ac:dyDescent="0.25">
      <c r="E10582" s="102"/>
    </row>
    <row r="10583" spans="5:5" x14ac:dyDescent="0.25">
      <c r="E10583" s="102"/>
    </row>
    <row r="10584" spans="5:5" x14ac:dyDescent="0.25">
      <c r="E10584" s="102"/>
    </row>
    <row r="10585" spans="5:5" x14ac:dyDescent="0.25">
      <c r="E10585" s="102"/>
    </row>
    <row r="10586" spans="5:5" x14ac:dyDescent="0.25">
      <c r="E10586" s="102"/>
    </row>
    <row r="10587" spans="5:5" x14ac:dyDescent="0.25">
      <c r="E10587" s="102"/>
    </row>
    <row r="10588" spans="5:5" x14ac:dyDescent="0.25">
      <c r="E10588" s="102"/>
    </row>
    <row r="10589" spans="5:5" x14ac:dyDescent="0.25">
      <c r="E10589" s="102"/>
    </row>
    <row r="10590" spans="5:5" x14ac:dyDescent="0.25">
      <c r="E10590" s="102"/>
    </row>
    <row r="10591" spans="5:5" x14ac:dyDescent="0.25">
      <c r="E10591" s="102"/>
    </row>
    <row r="10592" spans="5:5" x14ac:dyDescent="0.25">
      <c r="E10592" s="102"/>
    </row>
    <row r="10593" spans="5:5" x14ac:dyDescent="0.25">
      <c r="E10593" s="102"/>
    </row>
    <row r="10594" spans="5:5" x14ac:dyDescent="0.25">
      <c r="E10594" s="102"/>
    </row>
    <row r="10595" spans="5:5" x14ac:dyDescent="0.25">
      <c r="E10595" s="102"/>
    </row>
    <row r="10596" spans="5:5" x14ac:dyDescent="0.25">
      <c r="E10596" s="102"/>
    </row>
    <row r="10597" spans="5:5" x14ac:dyDescent="0.25">
      <c r="E10597" s="102"/>
    </row>
    <row r="10598" spans="5:5" x14ac:dyDescent="0.25">
      <c r="E10598" s="102"/>
    </row>
    <row r="10599" spans="5:5" x14ac:dyDescent="0.25">
      <c r="E10599" s="102"/>
    </row>
    <row r="10600" spans="5:5" x14ac:dyDescent="0.25">
      <c r="E10600" s="102"/>
    </row>
    <row r="10601" spans="5:5" x14ac:dyDescent="0.25">
      <c r="E10601" s="102"/>
    </row>
    <row r="10602" spans="5:5" x14ac:dyDescent="0.25">
      <c r="E10602" s="102"/>
    </row>
    <row r="10603" spans="5:5" x14ac:dyDescent="0.25">
      <c r="E10603" s="102"/>
    </row>
    <row r="10604" spans="5:5" x14ac:dyDescent="0.25">
      <c r="E10604" s="102"/>
    </row>
    <row r="10605" spans="5:5" x14ac:dyDescent="0.25">
      <c r="E10605" s="102"/>
    </row>
    <row r="10606" spans="5:5" x14ac:dyDescent="0.25">
      <c r="E10606" s="102"/>
    </row>
    <row r="10607" spans="5:5" x14ac:dyDescent="0.25">
      <c r="E10607" s="102"/>
    </row>
    <row r="10608" spans="5:5" x14ac:dyDescent="0.25">
      <c r="E10608" s="102"/>
    </row>
    <row r="10609" spans="5:5" x14ac:dyDescent="0.25">
      <c r="E10609" s="102"/>
    </row>
    <row r="10610" spans="5:5" x14ac:dyDescent="0.25">
      <c r="E10610" s="102"/>
    </row>
    <row r="10611" spans="5:5" x14ac:dyDescent="0.25">
      <c r="E10611" s="102"/>
    </row>
    <row r="10612" spans="5:5" x14ac:dyDescent="0.25">
      <c r="E10612" s="102"/>
    </row>
    <row r="10613" spans="5:5" x14ac:dyDescent="0.25">
      <c r="E10613" s="102"/>
    </row>
    <row r="10614" spans="5:5" x14ac:dyDescent="0.25">
      <c r="E10614" s="102"/>
    </row>
    <row r="10615" spans="5:5" x14ac:dyDescent="0.25">
      <c r="E10615" s="102"/>
    </row>
    <row r="10616" spans="5:5" x14ac:dyDescent="0.25">
      <c r="E10616" s="102"/>
    </row>
    <row r="10617" spans="5:5" x14ac:dyDescent="0.25">
      <c r="E10617" s="102"/>
    </row>
    <row r="10618" spans="5:5" x14ac:dyDescent="0.25">
      <c r="E10618" s="102"/>
    </row>
    <row r="10619" spans="5:5" x14ac:dyDescent="0.25">
      <c r="E10619" s="102"/>
    </row>
    <row r="10620" spans="5:5" x14ac:dyDescent="0.25">
      <c r="E10620" s="102"/>
    </row>
    <row r="10621" spans="5:5" x14ac:dyDescent="0.25">
      <c r="E10621" s="102"/>
    </row>
    <row r="10622" spans="5:5" x14ac:dyDescent="0.25">
      <c r="E10622" s="102"/>
    </row>
    <row r="10623" spans="5:5" x14ac:dyDescent="0.25">
      <c r="E10623" s="102"/>
    </row>
    <row r="10624" spans="5:5" x14ac:dyDescent="0.25">
      <c r="E10624" s="102"/>
    </row>
    <row r="10625" spans="5:5" x14ac:dyDescent="0.25">
      <c r="E10625" s="102"/>
    </row>
    <row r="10626" spans="5:5" x14ac:dyDescent="0.25">
      <c r="E10626" s="102"/>
    </row>
    <row r="10627" spans="5:5" x14ac:dyDescent="0.25">
      <c r="E10627" s="102"/>
    </row>
    <row r="10628" spans="5:5" x14ac:dyDescent="0.25">
      <c r="E10628" s="102"/>
    </row>
    <row r="10629" spans="5:5" x14ac:dyDescent="0.25">
      <c r="E10629" s="102"/>
    </row>
    <row r="10630" spans="5:5" x14ac:dyDescent="0.25">
      <c r="E10630" s="102"/>
    </row>
    <row r="10631" spans="5:5" x14ac:dyDescent="0.25">
      <c r="E10631" s="102"/>
    </row>
    <row r="10632" spans="5:5" x14ac:dyDescent="0.25">
      <c r="E10632" s="102"/>
    </row>
    <row r="10633" spans="5:5" x14ac:dyDescent="0.25">
      <c r="E10633" s="102"/>
    </row>
    <row r="10634" spans="5:5" x14ac:dyDescent="0.25">
      <c r="E10634" s="102"/>
    </row>
    <row r="10635" spans="5:5" x14ac:dyDescent="0.25">
      <c r="E10635" s="102"/>
    </row>
    <row r="10636" spans="5:5" x14ac:dyDescent="0.25">
      <c r="E10636" s="102"/>
    </row>
    <row r="10637" spans="5:5" x14ac:dyDescent="0.25">
      <c r="E10637" s="102"/>
    </row>
    <row r="10638" spans="5:5" x14ac:dyDescent="0.25">
      <c r="E10638" s="102"/>
    </row>
    <row r="10639" spans="5:5" x14ac:dyDescent="0.25">
      <c r="E10639" s="102"/>
    </row>
    <row r="10640" spans="5:5" x14ac:dyDescent="0.25">
      <c r="E10640" s="102"/>
    </row>
    <row r="10641" spans="5:5" x14ac:dyDescent="0.25">
      <c r="E10641" s="102"/>
    </row>
    <row r="10642" spans="5:5" x14ac:dyDescent="0.25">
      <c r="E10642" s="102"/>
    </row>
    <row r="10643" spans="5:5" x14ac:dyDescent="0.25">
      <c r="E10643" s="102"/>
    </row>
    <row r="10644" spans="5:5" x14ac:dyDescent="0.25">
      <c r="E10644" s="102"/>
    </row>
    <row r="10645" spans="5:5" x14ac:dyDescent="0.25">
      <c r="E10645" s="102"/>
    </row>
    <row r="10646" spans="5:5" x14ac:dyDescent="0.25">
      <c r="E10646" s="102"/>
    </row>
    <row r="10647" spans="5:5" x14ac:dyDescent="0.25">
      <c r="E10647" s="102"/>
    </row>
    <row r="10648" spans="5:5" x14ac:dyDescent="0.25">
      <c r="E10648" s="102"/>
    </row>
    <row r="10649" spans="5:5" x14ac:dyDescent="0.25">
      <c r="E10649" s="102"/>
    </row>
    <row r="10650" spans="5:5" x14ac:dyDescent="0.25">
      <c r="E10650" s="102"/>
    </row>
    <row r="10651" spans="5:5" x14ac:dyDescent="0.25">
      <c r="E10651" s="102"/>
    </row>
    <row r="10652" spans="5:5" x14ac:dyDescent="0.25">
      <c r="E10652" s="102"/>
    </row>
    <row r="10653" spans="5:5" x14ac:dyDescent="0.25">
      <c r="E10653" s="102"/>
    </row>
    <row r="10654" spans="5:5" x14ac:dyDescent="0.25">
      <c r="E10654" s="102"/>
    </row>
    <row r="10655" spans="5:5" x14ac:dyDescent="0.25">
      <c r="E10655" s="102"/>
    </row>
    <row r="10656" spans="5:5" x14ac:dyDescent="0.25">
      <c r="E10656" s="102"/>
    </row>
    <row r="10657" spans="5:5" x14ac:dyDescent="0.25">
      <c r="E10657" s="102"/>
    </row>
    <row r="10658" spans="5:5" x14ac:dyDescent="0.25">
      <c r="E10658" s="102"/>
    </row>
    <row r="10659" spans="5:5" x14ac:dyDescent="0.25">
      <c r="E10659" s="102"/>
    </row>
    <row r="10660" spans="5:5" x14ac:dyDescent="0.25">
      <c r="E10660" s="102"/>
    </row>
    <row r="10661" spans="5:5" x14ac:dyDescent="0.25">
      <c r="E10661" s="102"/>
    </row>
    <row r="10662" spans="5:5" x14ac:dyDescent="0.25">
      <c r="E10662" s="102"/>
    </row>
    <row r="10663" spans="5:5" x14ac:dyDescent="0.25">
      <c r="E10663" s="102"/>
    </row>
    <row r="10664" spans="5:5" x14ac:dyDescent="0.25">
      <c r="E10664" s="102"/>
    </row>
    <row r="10665" spans="5:5" x14ac:dyDescent="0.25">
      <c r="E10665" s="102"/>
    </row>
    <row r="10666" spans="5:5" x14ac:dyDescent="0.25">
      <c r="E10666" s="102"/>
    </row>
    <row r="10667" spans="5:5" x14ac:dyDescent="0.25">
      <c r="E10667" s="102"/>
    </row>
    <row r="10668" spans="5:5" x14ac:dyDescent="0.25">
      <c r="E10668" s="102"/>
    </row>
    <row r="10669" spans="5:5" x14ac:dyDescent="0.25">
      <c r="E10669" s="102"/>
    </row>
    <row r="10670" spans="5:5" x14ac:dyDescent="0.25">
      <c r="E10670" s="102"/>
    </row>
    <row r="10671" spans="5:5" x14ac:dyDescent="0.25">
      <c r="E10671" s="102"/>
    </row>
    <row r="10672" spans="5:5" x14ac:dyDescent="0.25">
      <c r="E10672" s="102"/>
    </row>
    <row r="10673" spans="5:5" x14ac:dyDescent="0.25">
      <c r="E10673" s="102"/>
    </row>
    <row r="10674" spans="5:5" x14ac:dyDescent="0.25">
      <c r="E10674" s="102"/>
    </row>
    <row r="10675" spans="5:5" x14ac:dyDescent="0.25">
      <c r="E10675" s="102"/>
    </row>
    <row r="10676" spans="5:5" x14ac:dyDescent="0.25">
      <c r="E10676" s="102"/>
    </row>
    <row r="10677" spans="5:5" x14ac:dyDescent="0.25">
      <c r="E10677" s="102"/>
    </row>
    <row r="10678" spans="5:5" x14ac:dyDescent="0.25">
      <c r="E10678" s="102"/>
    </row>
    <row r="10679" spans="5:5" x14ac:dyDescent="0.25">
      <c r="E10679" s="102"/>
    </row>
    <row r="10680" spans="5:5" x14ac:dyDescent="0.25">
      <c r="E10680" s="102"/>
    </row>
    <row r="10681" spans="5:5" x14ac:dyDescent="0.25">
      <c r="E10681" s="102"/>
    </row>
    <row r="10682" spans="5:5" x14ac:dyDescent="0.25">
      <c r="E10682" s="102"/>
    </row>
    <row r="10683" spans="5:5" x14ac:dyDescent="0.25">
      <c r="E10683" s="102"/>
    </row>
    <row r="10684" spans="5:5" x14ac:dyDescent="0.25">
      <c r="E10684" s="102"/>
    </row>
    <row r="10685" spans="5:5" x14ac:dyDescent="0.25">
      <c r="E10685" s="102"/>
    </row>
    <row r="10686" spans="5:5" x14ac:dyDescent="0.25">
      <c r="E10686" s="102"/>
    </row>
    <row r="10687" spans="5:5" x14ac:dyDescent="0.25">
      <c r="E10687" s="102"/>
    </row>
    <row r="10688" spans="5:5" x14ac:dyDescent="0.25">
      <c r="E10688" s="102"/>
    </row>
    <row r="10689" spans="5:5" x14ac:dyDescent="0.25">
      <c r="E10689" s="102"/>
    </row>
    <row r="10690" spans="5:5" x14ac:dyDescent="0.25">
      <c r="E10690" s="102"/>
    </row>
    <row r="10691" spans="5:5" x14ac:dyDescent="0.25">
      <c r="E10691" s="102"/>
    </row>
    <row r="10692" spans="5:5" x14ac:dyDescent="0.25">
      <c r="E10692" s="102"/>
    </row>
    <row r="10693" spans="5:5" x14ac:dyDescent="0.25">
      <c r="E10693" s="102"/>
    </row>
    <row r="10694" spans="5:5" x14ac:dyDescent="0.25">
      <c r="E10694" s="102"/>
    </row>
    <row r="10695" spans="5:5" x14ac:dyDescent="0.25">
      <c r="E10695" s="102"/>
    </row>
    <row r="10696" spans="5:5" x14ac:dyDescent="0.25">
      <c r="E10696" s="102"/>
    </row>
    <row r="10697" spans="5:5" x14ac:dyDescent="0.25">
      <c r="E10697" s="102"/>
    </row>
    <row r="10698" spans="5:5" x14ac:dyDescent="0.25">
      <c r="E10698" s="102"/>
    </row>
    <row r="10699" spans="5:5" x14ac:dyDescent="0.25">
      <c r="E10699" s="102"/>
    </row>
    <row r="10700" spans="5:5" x14ac:dyDescent="0.25">
      <c r="E10700" s="102"/>
    </row>
    <row r="10701" spans="5:5" x14ac:dyDescent="0.25">
      <c r="E10701" s="102"/>
    </row>
    <row r="10702" spans="5:5" x14ac:dyDescent="0.25">
      <c r="E10702" s="102"/>
    </row>
    <row r="10703" spans="5:5" x14ac:dyDescent="0.25">
      <c r="E10703" s="102"/>
    </row>
    <row r="10704" spans="5:5" x14ac:dyDescent="0.25">
      <c r="E10704" s="102"/>
    </row>
    <row r="10705" spans="5:5" x14ac:dyDescent="0.25">
      <c r="E10705" s="102"/>
    </row>
    <row r="10706" spans="5:5" x14ac:dyDescent="0.25">
      <c r="E10706" s="102"/>
    </row>
    <row r="10707" spans="5:5" x14ac:dyDescent="0.25">
      <c r="E10707" s="102"/>
    </row>
    <row r="10708" spans="5:5" x14ac:dyDescent="0.25">
      <c r="E10708" s="102"/>
    </row>
    <row r="10709" spans="5:5" x14ac:dyDescent="0.25">
      <c r="E10709" s="102"/>
    </row>
    <row r="10710" spans="5:5" x14ac:dyDescent="0.25">
      <c r="E10710" s="102"/>
    </row>
    <row r="10711" spans="5:5" x14ac:dyDescent="0.25">
      <c r="E10711" s="102"/>
    </row>
    <row r="10712" spans="5:5" x14ac:dyDescent="0.25">
      <c r="E10712" s="102"/>
    </row>
    <row r="10713" spans="5:5" x14ac:dyDescent="0.25">
      <c r="E10713" s="102"/>
    </row>
    <row r="10714" spans="5:5" x14ac:dyDescent="0.25">
      <c r="E10714" s="102"/>
    </row>
    <row r="10715" spans="5:5" x14ac:dyDescent="0.25">
      <c r="E10715" s="102"/>
    </row>
    <row r="10716" spans="5:5" x14ac:dyDescent="0.25">
      <c r="E10716" s="102"/>
    </row>
    <row r="10717" spans="5:5" x14ac:dyDescent="0.25">
      <c r="E10717" s="102"/>
    </row>
    <row r="10718" spans="5:5" x14ac:dyDescent="0.25">
      <c r="E10718" s="102"/>
    </row>
    <row r="10719" spans="5:5" x14ac:dyDescent="0.25">
      <c r="E10719" s="102"/>
    </row>
    <row r="10720" spans="5:5" x14ac:dyDescent="0.25">
      <c r="E10720" s="102"/>
    </row>
    <row r="10721" spans="5:5" x14ac:dyDescent="0.25">
      <c r="E10721" s="102"/>
    </row>
    <row r="10722" spans="5:5" x14ac:dyDescent="0.25">
      <c r="E10722" s="102"/>
    </row>
    <row r="10723" spans="5:5" x14ac:dyDescent="0.25">
      <c r="E10723" s="102"/>
    </row>
    <row r="10724" spans="5:5" x14ac:dyDescent="0.25">
      <c r="E10724" s="102"/>
    </row>
    <row r="10725" spans="5:5" x14ac:dyDescent="0.25">
      <c r="E10725" s="102"/>
    </row>
    <row r="10726" spans="5:5" x14ac:dyDescent="0.25">
      <c r="E10726" s="102"/>
    </row>
    <row r="10727" spans="5:5" x14ac:dyDescent="0.25">
      <c r="E10727" s="102"/>
    </row>
    <row r="10728" spans="5:5" x14ac:dyDescent="0.25">
      <c r="E10728" s="102"/>
    </row>
    <row r="10729" spans="5:5" x14ac:dyDescent="0.25">
      <c r="E10729" s="102"/>
    </row>
    <row r="10730" spans="5:5" x14ac:dyDescent="0.25">
      <c r="E10730" s="102"/>
    </row>
    <row r="10731" spans="5:5" x14ac:dyDescent="0.25">
      <c r="E10731" s="102"/>
    </row>
    <row r="10732" spans="5:5" x14ac:dyDescent="0.25">
      <c r="E10732" s="102"/>
    </row>
    <row r="10733" spans="5:5" x14ac:dyDescent="0.25">
      <c r="E10733" s="102"/>
    </row>
    <row r="10734" spans="5:5" x14ac:dyDescent="0.25">
      <c r="E10734" s="102"/>
    </row>
    <row r="10735" spans="5:5" x14ac:dyDescent="0.25">
      <c r="E10735" s="102"/>
    </row>
    <row r="10736" spans="5:5" x14ac:dyDescent="0.25">
      <c r="E10736" s="102"/>
    </row>
    <row r="10737" spans="5:5" x14ac:dyDescent="0.25">
      <c r="E10737" s="102"/>
    </row>
    <row r="10738" spans="5:5" x14ac:dyDescent="0.25">
      <c r="E10738" s="102"/>
    </row>
    <row r="10739" spans="5:5" x14ac:dyDescent="0.25">
      <c r="E10739" s="102"/>
    </row>
    <row r="10740" spans="5:5" x14ac:dyDescent="0.25">
      <c r="E10740" s="102"/>
    </row>
    <row r="10741" spans="5:5" x14ac:dyDescent="0.25">
      <c r="E10741" s="102"/>
    </row>
    <row r="10742" spans="5:5" x14ac:dyDescent="0.25">
      <c r="E10742" s="102"/>
    </row>
    <row r="10743" spans="5:5" x14ac:dyDescent="0.25">
      <c r="E10743" s="102"/>
    </row>
    <row r="10744" spans="5:5" x14ac:dyDescent="0.25">
      <c r="E10744" s="102"/>
    </row>
    <row r="10745" spans="5:5" x14ac:dyDescent="0.25">
      <c r="E10745" s="102"/>
    </row>
    <row r="10746" spans="5:5" x14ac:dyDescent="0.25">
      <c r="E10746" s="102"/>
    </row>
    <row r="10747" spans="5:5" x14ac:dyDescent="0.25">
      <c r="E10747" s="102"/>
    </row>
    <row r="10748" spans="5:5" x14ac:dyDescent="0.25">
      <c r="E10748" s="102"/>
    </row>
    <row r="10749" spans="5:5" x14ac:dyDescent="0.25">
      <c r="E10749" s="102"/>
    </row>
    <row r="10750" spans="5:5" x14ac:dyDescent="0.25">
      <c r="E10750" s="102"/>
    </row>
    <row r="10751" spans="5:5" x14ac:dyDescent="0.25">
      <c r="E10751" s="102"/>
    </row>
    <row r="10752" spans="5:5" x14ac:dyDescent="0.25">
      <c r="E10752" s="102"/>
    </row>
    <row r="10753" spans="5:5" x14ac:dyDescent="0.25">
      <c r="E10753" s="102"/>
    </row>
    <row r="10754" spans="5:5" x14ac:dyDescent="0.25">
      <c r="E10754" s="102"/>
    </row>
    <row r="10755" spans="5:5" x14ac:dyDescent="0.25">
      <c r="E10755" s="102"/>
    </row>
    <row r="10756" spans="5:5" x14ac:dyDescent="0.25">
      <c r="E10756" s="102"/>
    </row>
    <row r="10757" spans="5:5" x14ac:dyDescent="0.25">
      <c r="E10757" s="102"/>
    </row>
    <row r="10758" spans="5:5" x14ac:dyDescent="0.25">
      <c r="E10758" s="102"/>
    </row>
    <row r="10759" spans="5:5" x14ac:dyDescent="0.25">
      <c r="E10759" s="102"/>
    </row>
    <row r="10760" spans="5:5" x14ac:dyDescent="0.25">
      <c r="E10760" s="102"/>
    </row>
    <row r="10761" spans="5:5" x14ac:dyDescent="0.25">
      <c r="E10761" s="102"/>
    </row>
    <row r="10762" spans="5:5" x14ac:dyDescent="0.25">
      <c r="E10762" s="102"/>
    </row>
    <row r="10763" spans="5:5" x14ac:dyDescent="0.25">
      <c r="E10763" s="102"/>
    </row>
    <row r="10764" spans="5:5" x14ac:dyDescent="0.25">
      <c r="E10764" s="102"/>
    </row>
    <row r="10765" spans="5:5" x14ac:dyDescent="0.25">
      <c r="E10765" s="102"/>
    </row>
    <row r="10766" spans="5:5" x14ac:dyDescent="0.25">
      <c r="E10766" s="102"/>
    </row>
    <row r="10767" spans="5:5" x14ac:dyDescent="0.25">
      <c r="E10767" s="102"/>
    </row>
    <row r="10768" spans="5:5" x14ac:dyDescent="0.25">
      <c r="E10768" s="102"/>
    </row>
    <row r="10769" spans="5:5" x14ac:dyDescent="0.25">
      <c r="E10769" s="102"/>
    </row>
    <row r="10770" spans="5:5" x14ac:dyDescent="0.25">
      <c r="E10770" s="102"/>
    </row>
    <row r="10771" spans="5:5" x14ac:dyDescent="0.25">
      <c r="E10771" s="102"/>
    </row>
    <row r="10772" spans="5:5" x14ac:dyDescent="0.25">
      <c r="E10772" s="102"/>
    </row>
    <row r="10773" spans="5:5" x14ac:dyDescent="0.25">
      <c r="E10773" s="102"/>
    </row>
    <row r="10774" spans="5:5" x14ac:dyDescent="0.25">
      <c r="E10774" s="102"/>
    </row>
    <row r="10775" spans="5:5" x14ac:dyDescent="0.25">
      <c r="E10775" s="102"/>
    </row>
    <row r="10776" spans="5:5" x14ac:dyDescent="0.25">
      <c r="E10776" s="102"/>
    </row>
    <row r="10777" spans="5:5" x14ac:dyDescent="0.25">
      <c r="E10777" s="102"/>
    </row>
    <row r="10778" spans="5:5" x14ac:dyDescent="0.25">
      <c r="E10778" s="102"/>
    </row>
    <row r="10779" spans="5:5" x14ac:dyDescent="0.25">
      <c r="E10779" s="102"/>
    </row>
    <row r="10780" spans="5:5" x14ac:dyDescent="0.25">
      <c r="E10780" s="102"/>
    </row>
    <row r="10781" spans="5:5" x14ac:dyDescent="0.25">
      <c r="E10781" s="102"/>
    </row>
    <row r="10782" spans="5:5" x14ac:dyDescent="0.25">
      <c r="E10782" s="102"/>
    </row>
    <row r="10783" spans="5:5" x14ac:dyDescent="0.25">
      <c r="E10783" s="102"/>
    </row>
    <row r="10784" spans="5:5" x14ac:dyDescent="0.25">
      <c r="E10784" s="102"/>
    </row>
    <row r="10785" spans="5:5" x14ac:dyDescent="0.25">
      <c r="E10785" s="102"/>
    </row>
    <row r="10786" spans="5:5" x14ac:dyDescent="0.25">
      <c r="E10786" s="102"/>
    </row>
    <row r="10787" spans="5:5" x14ac:dyDescent="0.25">
      <c r="E10787" s="102"/>
    </row>
    <row r="10788" spans="5:5" x14ac:dyDescent="0.25">
      <c r="E10788" s="102"/>
    </row>
    <row r="10789" spans="5:5" x14ac:dyDescent="0.25">
      <c r="E10789" s="102"/>
    </row>
    <row r="10790" spans="5:5" x14ac:dyDescent="0.25">
      <c r="E10790" s="102"/>
    </row>
    <row r="10791" spans="5:5" x14ac:dyDescent="0.25">
      <c r="E10791" s="102"/>
    </row>
    <row r="10792" spans="5:5" x14ac:dyDescent="0.25">
      <c r="E10792" s="102"/>
    </row>
    <row r="10793" spans="5:5" x14ac:dyDescent="0.25">
      <c r="E10793" s="102"/>
    </row>
    <row r="10794" spans="5:5" x14ac:dyDescent="0.25">
      <c r="E10794" s="102"/>
    </row>
    <row r="10795" spans="5:5" x14ac:dyDescent="0.25">
      <c r="E10795" s="102"/>
    </row>
    <row r="10796" spans="5:5" x14ac:dyDescent="0.25">
      <c r="E10796" s="102"/>
    </row>
    <row r="10797" spans="5:5" x14ac:dyDescent="0.25">
      <c r="E10797" s="102"/>
    </row>
    <row r="10798" spans="5:5" x14ac:dyDescent="0.25">
      <c r="E10798" s="102"/>
    </row>
    <row r="10799" spans="5:5" x14ac:dyDescent="0.25">
      <c r="E10799" s="102"/>
    </row>
    <row r="10800" spans="5:5" x14ac:dyDescent="0.25">
      <c r="E10800" s="102"/>
    </row>
    <row r="10801" spans="5:5" x14ac:dyDescent="0.25">
      <c r="E10801" s="102"/>
    </row>
    <row r="10802" spans="5:5" x14ac:dyDescent="0.25">
      <c r="E10802" s="102"/>
    </row>
    <row r="10803" spans="5:5" x14ac:dyDescent="0.25">
      <c r="E10803" s="102"/>
    </row>
    <row r="10804" spans="5:5" x14ac:dyDescent="0.25">
      <c r="E10804" s="102"/>
    </row>
    <row r="10805" spans="5:5" x14ac:dyDescent="0.25">
      <c r="E10805" s="102"/>
    </row>
    <row r="10806" spans="5:5" x14ac:dyDescent="0.25">
      <c r="E10806" s="102"/>
    </row>
    <row r="10807" spans="5:5" x14ac:dyDescent="0.25">
      <c r="E10807" s="102"/>
    </row>
    <row r="10808" spans="5:5" x14ac:dyDescent="0.25">
      <c r="E10808" s="102"/>
    </row>
    <row r="10809" spans="5:5" x14ac:dyDescent="0.25">
      <c r="E10809" s="102"/>
    </row>
    <row r="10810" spans="5:5" x14ac:dyDescent="0.25">
      <c r="E10810" s="102"/>
    </row>
    <row r="10811" spans="5:5" x14ac:dyDescent="0.25">
      <c r="E10811" s="102"/>
    </row>
    <row r="10812" spans="5:5" x14ac:dyDescent="0.25">
      <c r="E10812" s="102"/>
    </row>
    <row r="10813" spans="5:5" x14ac:dyDescent="0.25">
      <c r="E10813" s="102"/>
    </row>
    <row r="10814" spans="5:5" x14ac:dyDescent="0.25">
      <c r="E10814" s="102"/>
    </row>
    <row r="10815" spans="5:5" x14ac:dyDescent="0.25">
      <c r="E10815" s="102"/>
    </row>
    <row r="10816" spans="5:5" x14ac:dyDescent="0.25">
      <c r="E10816" s="102"/>
    </row>
    <row r="10817" spans="5:5" x14ac:dyDescent="0.25">
      <c r="E10817" s="102"/>
    </row>
    <row r="10818" spans="5:5" x14ac:dyDescent="0.25">
      <c r="E10818" s="102"/>
    </row>
    <row r="10819" spans="5:5" x14ac:dyDescent="0.25">
      <c r="E10819" s="102"/>
    </row>
    <row r="10820" spans="5:5" x14ac:dyDescent="0.25">
      <c r="E10820" s="102"/>
    </row>
    <row r="10821" spans="5:5" x14ac:dyDescent="0.25">
      <c r="E10821" s="102"/>
    </row>
    <row r="10822" spans="5:5" x14ac:dyDescent="0.25">
      <c r="E10822" s="102"/>
    </row>
    <row r="10823" spans="5:5" x14ac:dyDescent="0.25">
      <c r="E10823" s="102"/>
    </row>
    <row r="10824" spans="5:5" x14ac:dyDescent="0.25">
      <c r="E10824" s="102"/>
    </row>
    <row r="10825" spans="5:5" x14ac:dyDescent="0.25">
      <c r="E10825" s="102"/>
    </row>
    <row r="10826" spans="5:5" x14ac:dyDescent="0.25">
      <c r="E10826" s="102"/>
    </row>
    <row r="10827" spans="5:5" x14ac:dyDescent="0.25">
      <c r="E10827" s="102"/>
    </row>
    <row r="10828" spans="5:5" x14ac:dyDescent="0.25">
      <c r="E10828" s="102"/>
    </row>
    <row r="10829" spans="5:5" x14ac:dyDescent="0.25">
      <c r="E10829" s="102"/>
    </row>
    <row r="10830" spans="5:5" x14ac:dyDescent="0.25">
      <c r="E10830" s="102"/>
    </row>
    <row r="10831" spans="5:5" x14ac:dyDescent="0.25">
      <c r="E10831" s="102"/>
    </row>
    <row r="10832" spans="5:5" x14ac:dyDescent="0.25">
      <c r="E10832" s="102"/>
    </row>
    <row r="10833" spans="5:5" x14ac:dyDescent="0.25">
      <c r="E10833" s="102"/>
    </row>
    <row r="10834" spans="5:5" x14ac:dyDescent="0.25">
      <c r="E10834" s="102"/>
    </row>
    <row r="10835" spans="5:5" x14ac:dyDescent="0.25">
      <c r="E10835" s="102"/>
    </row>
    <row r="10836" spans="5:5" x14ac:dyDescent="0.25">
      <c r="E10836" s="102"/>
    </row>
    <row r="10837" spans="5:5" x14ac:dyDescent="0.25">
      <c r="E10837" s="102"/>
    </row>
    <row r="10838" spans="5:5" x14ac:dyDescent="0.25">
      <c r="E10838" s="102"/>
    </row>
    <row r="10839" spans="5:5" x14ac:dyDescent="0.25">
      <c r="E10839" s="102"/>
    </row>
    <row r="10840" spans="5:5" x14ac:dyDescent="0.25">
      <c r="E10840" s="102"/>
    </row>
    <row r="10841" spans="5:5" x14ac:dyDescent="0.25">
      <c r="E10841" s="102"/>
    </row>
    <row r="10842" spans="5:5" x14ac:dyDescent="0.25">
      <c r="E10842" s="102"/>
    </row>
    <row r="10843" spans="5:5" x14ac:dyDescent="0.25">
      <c r="E10843" s="102"/>
    </row>
    <row r="10844" spans="5:5" x14ac:dyDescent="0.25">
      <c r="E10844" s="102"/>
    </row>
    <row r="10845" spans="5:5" x14ac:dyDescent="0.25">
      <c r="E10845" s="102"/>
    </row>
    <row r="10846" spans="5:5" x14ac:dyDescent="0.25">
      <c r="E10846" s="102"/>
    </row>
    <row r="10847" spans="5:5" x14ac:dyDescent="0.25">
      <c r="E10847" s="102"/>
    </row>
    <row r="10848" spans="5:5" x14ac:dyDescent="0.25">
      <c r="E10848" s="102"/>
    </row>
    <row r="10849" spans="5:5" x14ac:dyDescent="0.25">
      <c r="E10849" s="102"/>
    </row>
    <row r="10850" spans="5:5" x14ac:dyDescent="0.25">
      <c r="E10850" s="102"/>
    </row>
    <row r="10851" spans="5:5" x14ac:dyDescent="0.25">
      <c r="E10851" s="102"/>
    </row>
    <row r="10852" spans="5:5" x14ac:dyDescent="0.25">
      <c r="E10852" s="102"/>
    </row>
    <row r="10853" spans="5:5" x14ac:dyDescent="0.25">
      <c r="E10853" s="102"/>
    </row>
    <row r="10854" spans="5:5" x14ac:dyDescent="0.25">
      <c r="E10854" s="102"/>
    </row>
    <row r="10855" spans="5:5" x14ac:dyDescent="0.25">
      <c r="E10855" s="102"/>
    </row>
    <row r="10856" spans="5:5" x14ac:dyDescent="0.25">
      <c r="E10856" s="102"/>
    </row>
    <row r="10857" spans="5:5" x14ac:dyDescent="0.25">
      <c r="E10857" s="102"/>
    </row>
    <row r="10858" spans="5:5" x14ac:dyDescent="0.25">
      <c r="E10858" s="102"/>
    </row>
    <row r="10859" spans="5:5" x14ac:dyDescent="0.25">
      <c r="E10859" s="102"/>
    </row>
    <row r="10860" spans="5:5" x14ac:dyDescent="0.25">
      <c r="E10860" s="102"/>
    </row>
    <row r="10861" spans="5:5" x14ac:dyDescent="0.25">
      <c r="E10861" s="102"/>
    </row>
    <row r="10862" spans="5:5" x14ac:dyDescent="0.25">
      <c r="E10862" s="102"/>
    </row>
    <row r="10863" spans="5:5" x14ac:dyDescent="0.25">
      <c r="E10863" s="102"/>
    </row>
    <row r="10864" spans="5:5" x14ac:dyDescent="0.25">
      <c r="E10864" s="102"/>
    </row>
    <row r="10865" spans="5:5" x14ac:dyDescent="0.25">
      <c r="E10865" s="102"/>
    </row>
    <row r="10866" spans="5:5" x14ac:dyDescent="0.25">
      <c r="E10866" s="102"/>
    </row>
    <row r="10867" spans="5:5" x14ac:dyDescent="0.25">
      <c r="E10867" s="102"/>
    </row>
    <row r="10868" spans="5:5" x14ac:dyDescent="0.25">
      <c r="E10868" s="102"/>
    </row>
    <row r="10869" spans="5:5" x14ac:dyDescent="0.25">
      <c r="E10869" s="102"/>
    </row>
    <row r="10870" spans="5:5" x14ac:dyDescent="0.25">
      <c r="E10870" s="102"/>
    </row>
    <row r="10871" spans="5:5" x14ac:dyDescent="0.25">
      <c r="E10871" s="102"/>
    </row>
    <row r="10872" spans="5:5" x14ac:dyDescent="0.25">
      <c r="E10872" s="102"/>
    </row>
    <row r="10873" spans="5:5" x14ac:dyDescent="0.25">
      <c r="E10873" s="102"/>
    </row>
    <row r="10874" spans="5:5" x14ac:dyDescent="0.25">
      <c r="E10874" s="102"/>
    </row>
    <row r="10875" spans="5:5" x14ac:dyDescent="0.25">
      <c r="E10875" s="102"/>
    </row>
    <row r="10876" spans="5:5" x14ac:dyDescent="0.25">
      <c r="E10876" s="102"/>
    </row>
    <row r="10877" spans="5:5" x14ac:dyDescent="0.25">
      <c r="E10877" s="102"/>
    </row>
    <row r="10878" spans="5:5" x14ac:dyDescent="0.25">
      <c r="E10878" s="102"/>
    </row>
    <row r="10879" spans="5:5" x14ac:dyDescent="0.25">
      <c r="E10879" s="102"/>
    </row>
    <row r="10880" spans="5:5" x14ac:dyDescent="0.25">
      <c r="E10880" s="102"/>
    </row>
    <row r="10881" spans="5:5" x14ac:dyDescent="0.25">
      <c r="E10881" s="102"/>
    </row>
    <row r="10882" spans="5:5" x14ac:dyDescent="0.25">
      <c r="E10882" s="102"/>
    </row>
    <row r="10883" spans="5:5" x14ac:dyDescent="0.25">
      <c r="E10883" s="102"/>
    </row>
    <row r="10884" spans="5:5" x14ac:dyDescent="0.25">
      <c r="E10884" s="102"/>
    </row>
    <row r="10885" spans="5:5" x14ac:dyDescent="0.25">
      <c r="E10885" s="102"/>
    </row>
    <row r="10886" spans="5:5" x14ac:dyDescent="0.25">
      <c r="E10886" s="102"/>
    </row>
    <row r="10887" spans="5:5" x14ac:dyDescent="0.25">
      <c r="E10887" s="102"/>
    </row>
    <row r="10888" spans="5:5" x14ac:dyDescent="0.25">
      <c r="E10888" s="102"/>
    </row>
    <row r="10889" spans="5:5" x14ac:dyDescent="0.25">
      <c r="E10889" s="102"/>
    </row>
    <row r="10890" spans="5:5" x14ac:dyDescent="0.25">
      <c r="E10890" s="102"/>
    </row>
    <row r="10891" spans="5:5" x14ac:dyDescent="0.25">
      <c r="E10891" s="102"/>
    </row>
    <row r="10892" spans="5:5" x14ac:dyDescent="0.25">
      <c r="E10892" s="102"/>
    </row>
    <row r="10893" spans="5:5" x14ac:dyDescent="0.25">
      <c r="E10893" s="102"/>
    </row>
    <row r="10894" spans="5:5" x14ac:dyDescent="0.25">
      <c r="E10894" s="102"/>
    </row>
    <row r="10895" spans="5:5" x14ac:dyDescent="0.25">
      <c r="E10895" s="102"/>
    </row>
    <row r="10896" spans="5:5" x14ac:dyDescent="0.25">
      <c r="E10896" s="102"/>
    </row>
    <row r="10897" spans="5:5" x14ac:dyDescent="0.25">
      <c r="E10897" s="102"/>
    </row>
    <row r="10898" spans="5:5" x14ac:dyDescent="0.25">
      <c r="E10898" s="102"/>
    </row>
    <row r="10899" spans="5:5" x14ac:dyDescent="0.25">
      <c r="E10899" s="102"/>
    </row>
    <row r="10900" spans="5:5" x14ac:dyDescent="0.25">
      <c r="E10900" s="102"/>
    </row>
    <row r="10901" spans="5:5" x14ac:dyDescent="0.25">
      <c r="E10901" s="102"/>
    </row>
    <row r="10902" spans="5:5" x14ac:dyDescent="0.25">
      <c r="E10902" s="102"/>
    </row>
    <row r="10903" spans="5:5" x14ac:dyDescent="0.25">
      <c r="E10903" s="102"/>
    </row>
    <row r="10904" spans="5:5" x14ac:dyDescent="0.25">
      <c r="E10904" s="102"/>
    </row>
    <row r="10905" spans="5:5" x14ac:dyDescent="0.25">
      <c r="E10905" s="102"/>
    </row>
    <row r="10906" spans="5:5" x14ac:dyDescent="0.25">
      <c r="E10906" s="102"/>
    </row>
    <row r="10907" spans="5:5" x14ac:dyDescent="0.25">
      <c r="E10907" s="102"/>
    </row>
    <row r="10908" spans="5:5" x14ac:dyDescent="0.25">
      <c r="E10908" s="102"/>
    </row>
    <row r="10909" spans="5:5" x14ac:dyDescent="0.25">
      <c r="E10909" s="102"/>
    </row>
    <row r="10910" spans="5:5" x14ac:dyDescent="0.25">
      <c r="E10910" s="102"/>
    </row>
    <row r="10911" spans="5:5" x14ac:dyDescent="0.25">
      <c r="E10911" s="102"/>
    </row>
    <row r="10912" spans="5:5" x14ac:dyDescent="0.25">
      <c r="E10912" s="102"/>
    </row>
    <row r="10913" spans="5:5" x14ac:dyDescent="0.25">
      <c r="E10913" s="102"/>
    </row>
    <row r="10914" spans="5:5" x14ac:dyDescent="0.25">
      <c r="E10914" s="102"/>
    </row>
    <row r="10915" spans="5:5" x14ac:dyDescent="0.25">
      <c r="E10915" s="102"/>
    </row>
    <row r="10916" spans="5:5" x14ac:dyDescent="0.25">
      <c r="E10916" s="102"/>
    </row>
    <row r="10917" spans="5:5" x14ac:dyDescent="0.25">
      <c r="E10917" s="102"/>
    </row>
    <row r="10918" spans="5:5" x14ac:dyDescent="0.25">
      <c r="E10918" s="102"/>
    </row>
    <row r="10919" spans="5:5" x14ac:dyDescent="0.25">
      <c r="E10919" s="102"/>
    </row>
    <row r="10920" spans="5:5" x14ac:dyDescent="0.25">
      <c r="E10920" s="102"/>
    </row>
    <row r="10921" spans="5:5" x14ac:dyDescent="0.25">
      <c r="E10921" s="102"/>
    </row>
    <row r="10922" spans="5:5" x14ac:dyDescent="0.25">
      <c r="E10922" s="102"/>
    </row>
    <row r="10923" spans="5:5" x14ac:dyDescent="0.25">
      <c r="E10923" s="102"/>
    </row>
    <row r="10924" spans="5:5" x14ac:dyDescent="0.25">
      <c r="E10924" s="102"/>
    </row>
    <row r="10925" spans="5:5" x14ac:dyDescent="0.25">
      <c r="E10925" s="102"/>
    </row>
    <row r="10926" spans="5:5" x14ac:dyDescent="0.25">
      <c r="E10926" s="102"/>
    </row>
    <row r="10927" spans="5:5" x14ac:dyDescent="0.25">
      <c r="E10927" s="102"/>
    </row>
    <row r="10928" spans="5:5" x14ac:dyDescent="0.25">
      <c r="E10928" s="102"/>
    </row>
    <row r="10929" spans="5:5" x14ac:dyDescent="0.25">
      <c r="E10929" s="102"/>
    </row>
    <row r="10930" spans="5:5" x14ac:dyDescent="0.25">
      <c r="E10930" s="102"/>
    </row>
    <row r="10931" spans="5:5" x14ac:dyDescent="0.25">
      <c r="E10931" s="102"/>
    </row>
    <row r="10932" spans="5:5" x14ac:dyDescent="0.25">
      <c r="E10932" s="102"/>
    </row>
    <row r="10933" spans="5:5" x14ac:dyDescent="0.25">
      <c r="E10933" s="102"/>
    </row>
    <row r="10934" spans="5:5" x14ac:dyDescent="0.25">
      <c r="E10934" s="102"/>
    </row>
    <row r="10935" spans="5:5" x14ac:dyDescent="0.25">
      <c r="E10935" s="102"/>
    </row>
    <row r="10936" spans="5:5" x14ac:dyDescent="0.25">
      <c r="E10936" s="102"/>
    </row>
    <row r="10937" spans="5:5" x14ac:dyDescent="0.25">
      <c r="E10937" s="102"/>
    </row>
    <row r="10938" spans="5:5" x14ac:dyDescent="0.25">
      <c r="E10938" s="102"/>
    </row>
    <row r="10939" spans="5:5" x14ac:dyDescent="0.25">
      <c r="E10939" s="102"/>
    </row>
    <row r="10940" spans="5:5" x14ac:dyDescent="0.25">
      <c r="E10940" s="102"/>
    </row>
    <row r="10941" spans="5:5" x14ac:dyDescent="0.25">
      <c r="E10941" s="102"/>
    </row>
    <row r="10942" spans="5:5" x14ac:dyDescent="0.25">
      <c r="E10942" s="102"/>
    </row>
    <row r="10943" spans="5:5" x14ac:dyDescent="0.25">
      <c r="E10943" s="102"/>
    </row>
    <row r="10944" spans="5:5" x14ac:dyDescent="0.25">
      <c r="E10944" s="102"/>
    </row>
    <row r="10945" spans="5:5" x14ac:dyDescent="0.25">
      <c r="E10945" s="102"/>
    </row>
    <row r="10946" spans="5:5" x14ac:dyDescent="0.25">
      <c r="E10946" s="102"/>
    </row>
    <row r="10947" spans="5:5" x14ac:dyDescent="0.25">
      <c r="E10947" s="102"/>
    </row>
    <row r="10948" spans="5:5" x14ac:dyDescent="0.25">
      <c r="E10948" s="102"/>
    </row>
    <row r="10949" spans="5:5" x14ac:dyDescent="0.25">
      <c r="E10949" s="102"/>
    </row>
    <row r="10950" spans="5:5" x14ac:dyDescent="0.25">
      <c r="E10950" s="102"/>
    </row>
    <row r="10951" spans="5:5" x14ac:dyDescent="0.25">
      <c r="E10951" s="102"/>
    </row>
    <row r="10952" spans="5:5" x14ac:dyDescent="0.25">
      <c r="E10952" s="102"/>
    </row>
    <row r="10953" spans="5:5" x14ac:dyDescent="0.25">
      <c r="E10953" s="102"/>
    </row>
    <row r="10954" spans="5:5" x14ac:dyDescent="0.25">
      <c r="E10954" s="102"/>
    </row>
    <row r="10955" spans="5:5" x14ac:dyDescent="0.25">
      <c r="E10955" s="102"/>
    </row>
    <row r="10956" spans="5:5" x14ac:dyDescent="0.25">
      <c r="E10956" s="102"/>
    </row>
    <row r="10957" spans="5:5" x14ac:dyDescent="0.25">
      <c r="E10957" s="102"/>
    </row>
    <row r="10958" spans="5:5" x14ac:dyDescent="0.25">
      <c r="E10958" s="102"/>
    </row>
    <row r="10959" spans="5:5" x14ac:dyDescent="0.25">
      <c r="E10959" s="102"/>
    </row>
    <row r="10960" spans="5:5" x14ac:dyDescent="0.25">
      <c r="E10960" s="102"/>
    </row>
    <row r="10961" spans="5:5" x14ac:dyDescent="0.25">
      <c r="E10961" s="102"/>
    </row>
    <row r="10962" spans="5:5" x14ac:dyDescent="0.25">
      <c r="E10962" s="102"/>
    </row>
    <row r="10963" spans="5:5" x14ac:dyDescent="0.25">
      <c r="E10963" s="102"/>
    </row>
    <row r="10964" spans="5:5" x14ac:dyDescent="0.25">
      <c r="E10964" s="102"/>
    </row>
    <row r="10965" spans="5:5" x14ac:dyDescent="0.25">
      <c r="E10965" s="102"/>
    </row>
    <row r="10966" spans="5:5" x14ac:dyDescent="0.25">
      <c r="E10966" s="102"/>
    </row>
    <row r="10967" spans="5:5" x14ac:dyDescent="0.25">
      <c r="E10967" s="102"/>
    </row>
    <row r="10968" spans="5:5" x14ac:dyDescent="0.25">
      <c r="E10968" s="102"/>
    </row>
    <row r="10969" spans="5:5" x14ac:dyDescent="0.25">
      <c r="E10969" s="102"/>
    </row>
    <row r="10970" spans="5:5" x14ac:dyDescent="0.25">
      <c r="E10970" s="102"/>
    </row>
    <row r="10971" spans="5:5" x14ac:dyDescent="0.25">
      <c r="E10971" s="102"/>
    </row>
    <row r="10972" spans="5:5" x14ac:dyDescent="0.25">
      <c r="E10972" s="102"/>
    </row>
    <row r="10973" spans="5:5" x14ac:dyDescent="0.25">
      <c r="E10973" s="102"/>
    </row>
    <row r="10974" spans="5:5" x14ac:dyDescent="0.25">
      <c r="E10974" s="102"/>
    </row>
    <row r="10975" spans="5:5" x14ac:dyDescent="0.25">
      <c r="E10975" s="102"/>
    </row>
    <row r="10976" spans="5:5" x14ac:dyDescent="0.25">
      <c r="E10976" s="102"/>
    </row>
    <row r="10977" spans="5:5" x14ac:dyDescent="0.25">
      <c r="E10977" s="102"/>
    </row>
    <row r="10978" spans="5:5" x14ac:dyDescent="0.25">
      <c r="E10978" s="102"/>
    </row>
    <row r="10979" spans="5:5" x14ac:dyDescent="0.25">
      <c r="E10979" s="102"/>
    </row>
    <row r="10980" spans="5:5" x14ac:dyDescent="0.25">
      <c r="E10980" s="102"/>
    </row>
    <row r="10981" spans="5:5" x14ac:dyDescent="0.25">
      <c r="E10981" s="102"/>
    </row>
    <row r="10982" spans="5:5" x14ac:dyDescent="0.25">
      <c r="E10982" s="102"/>
    </row>
    <row r="10983" spans="5:5" x14ac:dyDescent="0.25">
      <c r="E10983" s="102"/>
    </row>
    <row r="10984" spans="5:5" x14ac:dyDescent="0.25">
      <c r="E10984" s="102"/>
    </row>
    <row r="10985" spans="5:5" x14ac:dyDescent="0.25">
      <c r="E10985" s="102"/>
    </row>
    <row r="10986" spans="5:5" x14ac:dyDescent="0.25">
      <c r="E10986" s="102"/>
    </row>
    <row r="10987" spans="5:5" x14ac:dyDescent="0.25">
      <c r="E10987" s="102"/>
    </row>
    <row r="10988" spans="5:5" x14ac:dyDescent="0.25">
      <c r="E10988" s="102"/>
    </row>
    <row r="10989" spans="5:5" x14ac:dyDescent="0.25">
      <c r="E10989" s="102"/>
    </row>
    <row r="10990" spans="5:5" x14ac:dyDescent="0.25">
      <c r="E10990" s="102"/>
    </row>
    <row r="10991" spans="5:5" x14ac:dyDescent="0.25">
      <c r="E10991" s="102"/>
    </row>
    <row r="10992" spans="5:5" x14ac:dyDescent="0.25">
      <c r="E10992" s="102"/>
    </row>
    <row r="10993" spans="5:5" x14ac:dyDescent="0.25">
      <c r="E10993" s="102"/>
    </row>
    <row r="10994" spans="5:5" x14ac:dyDescent="0.25">
      <c r="E10994" s="102"/>
    </row>
    <row r="10995" spans="5:5" x14ac:dyDescent="0.25">
      <c r="E10995" s="102"/>
    </row>
    <row r="10996" spans="5:5" x14ac:dyDescent="0.25">
      <c r="E10996" s="102"/>
    </row>
    <row r="10997" spans="5:5" x14ac:dyDescent="0.25">
      <c r="E10997" s="102"/>
    </row>
    <row r="10998" spans="5:5" x14ac:dyDescent="0.25">
      <c r="E10998" s="102"/>
    </row>
    <row r="10999" spans="5:5" x14ac:dyDescent="0.25">
      <c r="E10999" s="102"/>
    </row>
    <row r="11000" spans="5:5" x14ac:dyDescent="0.25">
      <c r="E11000" s="102"/>
    </row>
    <row r="11001" spans="5:5" x14ac:dyDescent="0.25">
      <c r="E11001" s="102"/>
    </row>
    <row r="11002" spans="5:5" x14ac:dyDescent="0.25">
      <c r="E11002" s="102"/>
    </row>
    <row r="11003" spans="5:5" x14ac:dyDescent="0.25">
      <c r="E11003" s="102"/>
    </row>
    <row r="11004" spans="5:5" x14ac:dyDescent="0.25">
      <c r="E11004" s="102"/>
    </row>
    <row r="11005" spans="5:5" x14ac:dyDescent="0.25">
      <c r="E11005" s="102"/>
    </row>
    <row r="11006" spans="5:5" x14ac:dyDescent="0.25">
      <c r="E11006" s="102"/>
    </row>
    <row r="11007" spans="5:5" x14ac:dyDescent="0.25">
      <c r="E11007" s="102"/>
    </row>
    <row r="11008" spans="5:5" x14ac:dyDescent="0.25">
      <c r="E11008" s="102"/>
    </row>
    <row r="11009" spans="5:5" x14ac:dyDescent="0.25">
      <c r="E11009" s="102"/>
    </row>
    <row r="11010" spans="5:5" x14ac:dyDescent="0.25">
      <c r="E11010" s="102"/>
    </row>
    <row r="11011" spans="5:5" x14ac:dyDescent="0.25">
      <c r="E11011" s="102"/>
    </row>
    <row r="11012" spans="5:5" x14ac:dyDescent="0.25">
      <c r="E11012" s="102"/>
    </row>
    <row r="11013" spans="5:5" x14ac:dyDescent="0.25">
      <c r="E11013" s="102"/>
    </row>
    <row r="11014" spans="5:5" x14ac:dyDescent="0.25">
      <c r="E11014" s="102"/>
    </row>
    <row r="11015" spans="5:5" x14ac:dyDescent="0.25">
      <c r="E11015" s="102"/>
    </row>
    <row r="11016" spans="5:5" x14ac:dyDescent="0.25">
      <c r="E11016" s="102"/>
    </row>
    <row r="11017" spans="5:5" x14ac:dyDescent="0.25">
      <c r="E11017" s="102"/>
    </row>
    <row r="11018" spans="5:5" x14ac:dyDescent="0.25">
      <c r="E11018" s="102"/>
    </row>
    <row r="11019" spans="5:5" x14ac:dyDescent="0.25">
      <c r="E11019" s="102"/>
    </row>
    <row r="11020" spans="5:5" x14ac:dyDescent="0.25">
      <c r="E11020" s="102"/>
    </row>
    <row r="11021" spans="5:5" x14ac:dyDescent="0.25">
      <c r="E11021" s="102"/>
    </row>
    <row r="11022" spans="5:5" x14ac:dyDescent="0.25">
      <c r="E11022" s="102"/>
    </row>
    <row r="11023" spans="5:5" x14ac:dyDescent="0.25">
      <c r="E11023" s="102"/>
    </row>
    <row r="11024" spans="5:5" x14ac:dyDescent="0.25">
      <c r="E11024" s="102"/>
    </row>
    <row r="11025" spans="5:5" x14ac:dyDescent="0.25">
      <c r="E11025" s="102"/>
    </row>
    <row r="11026" spans="5:5" x14ac:dyDescent="0.25">
      <c r="E11026" s="102"/>
    </row>
    <row r="11027" spans="5:5" x14ac:dyDescent="0.25">
      <c r="E11027" s="102"/>
    </row>
    <row r="11028" spans="5:5" x14ac:dyDescent="0.25">
      <c r="E11028" s="102"/>
    </row>
    <row r="11029" spans="5:5" x14ac:dyDescent="0.25">
      <c r="E11029" s="102"/>
    </row>
    <row r="11030" spans="5:5" x14ac:dyDescent="0.25">
      <c r="E11030" s="102"/>
    </row>
    <row r="11031" spans="5:5" x14ac:dyDescent="0.25">
      <c r="E11031" s="102"/>
    </row>
    <row r="11032" spans="5:5" x14ac:dyDescent="0.25">
      <c r="E11032" s="102"/>
    </row>
    <row r="11033" spans="5:5" x14ac:dyDescent="0.25">
      <c r="E11033" s="102"/>
    </row>
    <row r="11034" spans="5:5" x14ac:dyDescent="0.25">
      <c r="E11034" s="102"/>
    </row>
    <row r="11035" spans="5:5" x14ac:dyDescent="0.25">
      <c r="E11035" s="102"/>
    </row>
    <row r="11036" spans="5:5" x14ac:dyDescent="0.25">
      <c r="E11036" s="102"/>
    </row>
    <row r="11037" spans="5:5" x14ac:dyDescent="0.25">
      <c r="E11037" s="102"/>
    </row>
    <row r="11038" spans="5:5" x14ac:dyDescent="0.25">
      <c r="E11038" s="102"/>
    </row>
    <row r="11039" spans="5:5" x14ac:dyDescent="0.25">
      <c r="E11039" s="102"/>
    </row>
    <row r="11040" spans="5:5" x14ac:dyDescent="0.25">
      <c r="E11040" s="102"/>
    </row>
    <row r="11041" spans="5:5" x14ac:dyDescent="0.25">
      <c r="E11041" s="102"/>
    </row>
    <row r="11042" spans="5:5" x14ac:dyDescent="0.25">
      <c r="E11042" s="102"/>
    </row>
    <row r="11043" spans="5:5" x14ac:dyDescent="0.25">
      <c r="E11043" s="102"/>
    </row>
    <row r="11044" spans="5:5" x14ac:dyDescent="0.25">
      <c r="E11044" s="102"/>
    </row>
    <row r="11045" spans="5:5" x14ac:dyDescent="0.25">
      <c r="E11045" s="102"/>
    </row>
    <row r="11046" spans="5:5" x14ac:dyDescent="0.25">
      <c r="E11046" s="102"/>
    </row>
    <row r="11047" spans="5:5" x14ac:dyDescent="0.25">
      <c r="E11047" s="102"/>
    </row>
    <row r="11048" spans="5:5" x14ac:dyDescent="0.25">
      <c r="E11048" s="102"/>
    </row>
    <row r="11049" spans="5:5" x14ac:dyDescent="0.25">
      <c r="E11049" s="102"/>
    </row>
    <row r="11050" spans="5:5" x14ac:dyDescent="0.25">
      <c r="E11050" s="102"/>
    </row>
    <row r="11051" spans="5:5" x14ac:dyDescent="0.25">
      <c r="E11051" s="102"/>
    </row>
    <row r="11052" spans="5:5" x14ac:dyDescent="0.25">
      <c r="E11052" s="102"/>
    </row>
    <row r="11053" spans="5:5" x14ac:dyDescent="0.25">
      <c r="E11053" s="102"/>
    </row>
    <row r="11054" spans="5:5" x14ac:dyDescent="0.25">
      <c r="E11054" s="102"/>
    </row>
    <row r="11055" spans="5:5" x14ac:dyDescent="0.25">
      <c r="E11055" s="102"/>
    </row>
    <row r="11056" spans="5:5" x14ac:dyDescent="0.25">
      <c r="E11056" s="102"/>
    </row>
    <row r="11057" spans="5:5" x14ac:dyDescent="0.25">
      <c r="E11057" s="102"/>
    </row>
    <row r="11058" spans="5:5" x14ac:dyDescent="0.25">
      <c r="E11058" s="102"/>
    </row>
    <row r="11059" spans="5:5" x14ac:dyDescent="0.25">
      <c r="E11059" s="102"/>
    </row>
    <row r="11060" spans="5:5" x14ac:dyDescent="0.25">
      <c r="E11060" s="102"/>
    </row>
    <row r="11061" spans="5:5" x14ac:dyDescent="0.25">
      <c r="E11061" s="102"/>
    </row>
    <row r="11062" spans="5:5" x14ac:dyDescent="0.25">
      <c r="E11062" s="102"/>
    </row>
    <row r="11063" spans="5:5" x14ac:dyDescent="0.25">
      <c r="E11063" s="102"/>
    </row>
    <row r="11064" spans="5:5" x14ac:dyDescent="0.25">
      <c r="E11064" s="102"/>
    </row>
    <row r="11065" spans="5:5" x14ac:dyDescent="0.25">
      <c r="E11065" s="102"/>
    </row>
    <row r="11066" spans="5:5" x14ac:dyDescent="0.25">
      <c r="E11066" s="102"/>
    </row>
    <row r="11067" spans="5:5" x14ac:dyDescent="0.25">
      <c r="E11067" s="102"/>
    </row>
    <row r="11068" spans="5:5" x14ac:dyDescent="0.25">
      <c r="E11068" s="102"/>
    </row>
    <row r="11069" spans="5:5" x14ac:dyDescent="0.25">
      <c r="E11069" s="102"/>
    </row>
    <row r="11070" spans="5:5" x14ac:dyDescent="0.25">
      <c r="E11070" s="102"/>
    </row>
    <row r="11071" spans="5:5" x14ac:dyDescent="0.25">
      <c r="E11071" s="102"/>
    </row>
    <row r="11072" spans="5:5" x14ac:dyDescent="0.25">
      <c r="E11072" s="102"/>
    </row>
    <row r="11073" spans="5:5" x14ac:dyDescent="0.25">
      <c r="E11073" s="102"/>
    </row>
    <row r="11074" spans="5:5" x14ac:dyDescent="0.25">
      <c r="E11074" s="102"/>
    </row>
    <row r="11075" spans="5:5" x14ac:dyDescent="0.25">
      <c r="E11075" s="102"/>
    </row>
    <row r="11076" spans="5:5" x14ac:dyDescent="0.25">
      <c r="E11076" s="102"/>
    </row>
    <row r="11077" spans="5:5" x14ac:dyDescent="0.25">
      <c r="E11077" s="102"/>
    </row>
    <row r="11078" spans="5:5" x14ac:dyDescent="0.25">
      <c r="E11078" s="102"/>
    </row>
    <row r="11079" spans="5:5" x14ac:dyDescent="0.25">
      <c r="E11079" s="102"/>
    </row>
    <row r="11080" spans="5:5" x14ac:dyDescent="0.25">
      <c r="E11080" s="102"/>
    </row>
    <row r="11081" spans="5:5" x14ac:dyDescent="0.25">
      <c r="E11081" s="102"/>
    </row>
    <row r="11082" spans="5:5" x14ac:dyDescent="0.25">
      <c r="E11082" s="102"/>
    </row>
    <row r="11083" spans="5:5" x14ac:dyDescent="0.25">
      <c r="E11083" s="102"/>
    </row>
    <row r="11084" spans="5:5" x14ac:dyDescent="0.25">
      <c r="E11084" s="102"/>
    </row>
    <row r="11085" spans="5:5" x14ac:dyDescent="0.25">
      <c r="E11085" s="102"/>
    </row>
    <row r="11086" spans="5:5" x14ac:dyDescent="0.25">
      <c r="E11086" s="102"/>
    </row>
    <row r="11087" spans="5:5" x14ac:dyDescent="0.25">
      <c r="E11087" s="102"/>
    </row>
    <row r="11088" spans="5:5" x14ac:dyDescent="0.25">
      <c r="E11088" s="102"/>
    </row>
    <row r="11089" spans="5:5" x14ac:dyDescent="0.25">
      <c r="E11089" s="102"/>
    </row>
    <row r="11090" spans="5:5" x14ac:dyDescent="0.25">
      <c r="E11090" s="102"/>
    </row>
    <row r="11091" spans="5:5" x14ac:dyDescent="0.25">
      <c r="E11091" s="102"/>
    </row>
    <row r="11092" spans="5:5" x14ac:dyDescent="0.25">
      <c r="E11092" s="102"/>
    </row>
    <row r="11093" spans="5:5" x14ac:dyDescent="0.25">
      <c r="E11093" s="102"/>
    </row>
    <row r="11094" spans="5:5" x14ac:dyDescent="0.25">
      <c r="E11094" s="102"/>
    </row>
    <row r="11095" spans="5:5" x14ac:dyDescent="0.25">
      <c r="E11095" s="102"/>
    </row>
    <row r="11096" spans="5:5" x14ac:dyDescent="0.25">
      <c r="E11096" s="102"/>
    </row>
    <row r="11097" spans="5:5" x14ac:dyDescent="0.25">
      <c r="E11097" s="102"/>
    </row>
    <row r="11098" spans="5:5" x14ac:dyDescent="0.25">
      <c r="E11098" s="102"/>
    </row>
    <row r="11099" spans="5:5" x14ac:dyDescent="0.25">
      <c r="E11099" s="102"/>
    </row>
    <row r="11100" spans="5:5" x14ac:dyDescent="0.25">
      <c r="E11100" s="102"/>
    </row>
    <row r="11101" spans="5:5" x14ac:dyDescent="0.25">
      <c r="E11101" s="102"/>
    </row>
    <row r="11102" spans="5:5" x14ac:dyDescent="0.25">
      <c r="E11102" s="102"/>
    </row>
    <row r="11103" spans="5:5" x14ac:dyDescent="0.25">
      <c r="E11103" s="102"/>
    </row>
    <row r="11104" spans="5:5" x14ac:dyDescent="0.25">
      <c r="E11104" s="102"/>
    </row>
    <row r="11105" spans="5:5" x14ac:dyDescent="0.25">
      <c r="E11105" s="102"/>
    </row>
    <row r="11106" spans="5:5" x14ac:dyDescent="0.25">
      <c r="E11106" s="102"/>
    </row>
    <row r="11107" spans="5:5" x14ac:dyDescent="0.25">
      <c r="E11107" s="102"/>
    </row>
    <row r="11108" spans="5:5" x14ac:dyDescent="0.25">
      <c r="E11108" s="102"/>
    </row>
    <row r="11109" spans="5:5" x14ac:dyDescent="0.25">
      <c r="E11109" s="102"/>
    </row>
    <row r="11110" spans="5:5" x14ac:dyDescent="0.25">
      <c r="E11110" s="102"/>
    </row>
    <row r="11111" spans="5:5" x14ac:dyDescent="0.25">
      <c r="E11111" s="102"/>
    </row>
    <row r="11112" spans="5:5" x14ac:dyDescent="0.25">
      <c r="E11112" s="102"/>
    </row>
    <row r="11113" spans="5:5" x14ac:dyDescent="0.25">
      <c r="E11113" s="102"/>
    </row>
    <row r="11114" spans="5:5" x14ac:dyDescent="0.25">
      <c r="E11114" s="102"/>
    </row>
    <row r="11115" spans="5:5" x14ac:dyDescent="0.25">
      <c r="E11115" s="102"/>
    </row>
    <row r="11116" spans="5:5" x14ac:dyDescent="0.25">
      <c r="E11116" s="102"/>
    </row>
    <row r="11117" spans="5:5" x14ac:dyDescent="0.25">
      <c r="E11117" s="102"/>
    </row>
    <row r="11118" spans="5:5" x14ac:dyDescent="0.25">
      <c r="E11118" s="102"/>
    </row>
    <row r="11119" spans="5:5" x14ac:dyDescent="0.25">
      <c r="E11119" s="102"/>
    </row>
    <row r="11120" spans="5:5" x14ac:dyDescent="0.25">
      <c r="E11120" s="102"/>
    </row>
    <row r="11121" spans="5:5" x14ac:dyDescent="0.25">
      <c r="E11121" s="102"/>
    </row>
    <row r="11122" spans="5:5" x14ac:dyDescent="0.25">
      <c r="E11122" s="102"/>
    </row>
    <row r="11123" spans="5:5" x14ac:dyDescent="0.25">
      <c r="E11123" s="102"/>
    </row>
    <row r="11124" spans="5:5" x14ac:dyDescent="0.25">
      <c r="E11124" s="102"/>
    </row>
    <row r="11125" spans="5:5" x14ac:dyDescent="0.25">
      <c r="E11125" s="102"/>
    </row>
    <row r="11126" spans="5:5" x14ac:dyDescent="0.25">
      <c r="E11126" s="102"/>
    </row>
    <row r="11127" spans="5:5" x14ac:dyDescent="0.25">
      <c r="E11127" s="102"/>
    </row>
    <row r="11128" spans="5:5" x14ac:dyDescent="0.25">
      <c r="E11128" s="102"/>
    </row>
    <row r="11129" spans="5:5" x14ac:dyDescent="0.25">
      <c r="E11129" s="102"/>
    </row>
    <row r="11130" spans="5:5" x14ac:dyDescent="0.25">
      <c r="E11130" s="102"/>
    </row>
    <row r="11131" spans="5:5" x14ac:dyDescent="0.25">
      <c r="E11131" s="102"/>
    </row>
    <row r="11132" spans="5:5" x14ac:dyDescent="0.25">
      <c r="E11132" s="102"/>
    </row>
    <row r="11133" spans="5:5" x14ac:dyDescent="0.25">
      <c r="E11133" s="102"/>
    </row>
    <row r="11134" spans="5:5" x14ac:dyDescent="0.25">
      <c r="E11134" s="102"/>
    </row>
    <row r="11135" spans="5:5" x14ac:dyDescent="0.25">
      <c r="E11135" s="102"/>
    </row>
    <row r="11136" spans="5:5" x14ac:dyDescent="0.25">
      <c r="E11136" s="102"/>
    </row>
    <row r="11137" spans="5:5" x14ac:dyDescent="0.25">
      <c r="E11137" s="102"/>
    </row>
    <row r="11138" spans="5:5" x14ac:dyDescent="0.25">
      <c r="E11138" s="102"/>
    </row>
    <row r="11139" spans="5:5" x14ac:dyDescent="0.25">
      <c r="E11139" s="102"/>
    </row>
    <row r="11140" spans="5:5" x14ac:dyDescent="0.25">
      <c r="E11140" s="102"/>
    </row>
    <row r="11141" spans="5:5" x14ac:dyDescent="0.25">
      <c r="E11141" s="102"/>
    </row>
    <row r="11142" spans="5:5" x14ac:dyDescent="0.25">
      <c r="E11142" s="102"/>
    </row>
    <row r="11143" spans="5:5" x14ac:dyDescent="0.25">
      <c r="E11143" s="102"/>
    </row>
    <row r="11144" spans="5:5" x14ac:dyDescent="0.25">
      <c r="E11144" s="102"/>
    </row>
    <row r="11145" spans="5:5" x14ac:dyDescent="0.25">
      <c r="E11145" s="102"/>
    </row>
    <row r="11146" spans="5:5" x14ac:dyDescent="0.25">
      <c r="E11146" s="102"/>
    </row>
    <row r="11147" spans="5:5" x14ac:dyDescent="0.25">
      <c r="E11147" s="102"/>
    </row>
    <row r="11148" spans="5:5" x14ac:dyDescent="0.25">
      <c r="E11148" s="102"/>
    </row>
    <row r="11149" spans="5:5" x14ac:dyDescent="0.25">
      <c r="E11149" s="102"/>
    </row>
    <row r="11150" spans="5:5" x14ac:dyDescent="0.25">
      <c r="E11150" s="102"/>
    </row>
    <row r="11151" spans="5:5" x14ac:dyDescent="0.25">
      <c r="E11151" s="102"/>
    </row>
    <row r="11152" spans="5:5" x14ac:dyDescent="0.25">
      <c r="E11152" s="102"/>
    </row>
    <row r="11153" spans="5:5" x14ac:dyDescent="0.25">
      <c r="E11153" s="102"/>
    </row>
    <row r="11154" spans="5:5" x14ac:dyDescent="0.25">
      <c r="E11154" s="102"/>
    </row>
    <row r="11155" spans="5:5" x14ac:dyDescent="0.25">
      <c r="E11155" s="102"/>
    </row>
    <row r="11156" spans="5:5" x14ac:dyDescent="0.25">
      <c r="E11156" s="102"/>
    </row>
    <row r="11157" spans="5:5" x14ac:dyDescent="0.25">
      <c r="E11157" s="102"/>
    </row>
    <row r="11158" spans="5:5" x14ac:dyDescent="0.25">
      <c r="E11158" s="102"/>
    </row>
    <row r="11159" spans="5:5" x14ac:dyDescent="0.25">
      <c r="E11159" s="102"/>
    </row>
    <row r="11160" spans="5:5" x14ac:dyDescent="0.25">
      <c r="E11160" s="102"/>
    </row>
    <row r="11161" spans="5:5" x14ac:dyDescent="0.25">
      <c r="E11161" s="102"/>
    </row>
    <row r="11162" spans="5:5" x14ac:dyDescent="0.25">
      <c r="E11162" s="102"/>
    </row>
    <row r="11163" spans="5:5" x14ac:dyDescent="0.25">
      <c r="E11163" s="102"/>
    </row>
    <row r="11164" spans="5:5" x14ac:dyDescent="0.25">
      <c r="E11164" s="102"/>
    </row>
    <row r="11165" spans="5:5" x14ac:dyDescent="0.25">
      <c r="E11165" s="102"/>
    </row>
    <row r="11166" spans="5:5" x14ac:dyDescent="0.25">
      <c r="E11166" s="102"/>
    </row>
    <row r="11167" spans="5:5" x14ac:dyDescent="0.25">
      <c r="E11167" s="102"/>
    </row>
    <row r="11168" spans="5:5" x14ac:dyDescent="0.25">
      <c r="E11168" s="102"/>
    </row>
    <row r="11169" spans="5:5" x14ac:dyDescent="0.25">
      <c r="E11169" s="102"/>
    </row>
    <row r="11170" spans="5:5" x14ac:dyDescent="0.25">
      <c r="E11170" s="102"/>
    </row>
    <row r="11171" spans="5:5" x14ac:dyDescent="0.25">
      <c r="E11171" s="102"/>
    </row>
    <row r="11172" spans="5:5" x14ac:dyDescent="0.25">
      <c r="E11172" s="102"/>
    </row>
    <row r="11173" spans="5:5" x14ac:dyDescent="0.25">
      <c r="E11173" s="102"/>
    </row>
    <row r="11174" spans="5:5" x14ac:dyDescent="0.25">
      <c r="E11174" s="102"/>
    </row>
    <row r="11175" spans="5:5" x14ac:dyDescent="0.25">
      <c r="E11175" s="102"/>
    </row>
    <row r="11176" spans="5:5" x14ac:dyDescent="0.25">
      <c r="E11176" s="102"/>
    </row>
    <row r="11177" spans="5:5" x14ac:dyDescent="0.25">
      <c r="E11177" s="102"/>
    </row>
    <row r="11178" spans="5:5" x14ac:dyDescent="0.25">
      <c r="E11178" s="102"/>
    </row>
    <row r="11179" spans="5:5" x14ac:dyDescent="0.25">
      <c r="E11179" s="102"/>
    </row>
    <row r="11180" spans="5:5" x14ac:dyDescent="0.25">
      <c r="E11180" s="102"/>
    </row>
    <row r="11181" spans="5:5" x14ac:dyDescent="0.25">
      <c r="E11181" s="102"/>
    </row>
    <row r="11182" spans="5:5" x14ac:dyDescent="0.25">
      <c r="E11182" s="102"/>
    </row>
    <row r="11183" spans="5:5" x14ac:dyDescent="0.25">
      <c r="E11183" s="102"/>
    </row>
    <row r="11184" spans="5:5" x14ac:dyDescent="0.25">
      <c r="E11184" s="102"/>
    </row>
    <row r="11185" spans="5:5" x14ac:dyDescent="0.25">
      <c r="E11185" s="102"/>
    </row>
    <row r="11186" spans="5:5" x14ac:dyDescent="0.25">
      <c r="E11186" s="102"/>
    </row>
    <row r="11187" spans="5:5" x14ac:dyDescent="0.25">
      <c r="E11187" s="102"/>
    </row>
    <row r="11188" spans="5:5" x14ac:dyDescent="0.25">
      <c r="E11188" s="102"/>
    </row>
    <row r="11189" spans="5:5" x14ac:dyDescent="0.25">
      <c r="E11189" s="102"/>
    </row>
    <row r="11190" spans="5:5" x14ac:dyDescent="0.25">
      <c r="E11190" s="102"/>
    </row>
    <row r="11191" spans="5:5" x14ac:dyDescent="0.25">
      <c r="E11191" s="102"/>
    </row>
    <row r="11192" spans="5:5" x14ac:dyDescent="0.25">
      <c r="E11192" s="102"/>
    </row>
    <row r="11193" spans="5:5" x14ac:dyDescent="0.25">
      <c r="E11193" s="102"/>
    </row>
    <row r="11194" spans="5:5" x14ac:dyDescent="0.25">
      <c r="E11194" s="102"/>
    </row>
    <row r="11195" spans="5:5" x14ac:dyDescent="0.25">
      <c r="E11195" s="102"/>
    </row>
    <row r="11196" spans="5:5" x14ac:dyDescent="0.25">
      <c r="E11196" s="102"/>
    </row>
    <row r="11197" spans="5:5" x14ac:dyDescent="0.25">
      <c r="E11197" s="102"/>
    </row>
    <row r="11198" spans="5:5" x14ac:dyDescent="0.25">
      <c r="E11198" s="102"/>
    </row>
    <row r="11199" spans="5:5" x14ac:dyDescent="0.25">
      <c r="E11199" s="102"/>
    </row>
    <row r="11200" spans="5:5" x14ac:dyDescent="0.25">
      <c r="E11200" s="102"/>
    </row>
    <row r="11201" spans="5:5" x14ac:dyDescent="0.25">
      <c r="E11201" s="102"/>
    </row>
    <row r="11202" spans="5:5" x14ac:dyDescent="0.25">
      <c r="E11202" s="102"/>
    </row>
    <row r="11203" spans="5:5" x14ac:dyDescent="0.25">
      <c r="E11203" s="102"/>
    </row>
    <row r="11204" spans="5:5" x14ac:dyDescent="0.25">
      <c r="E11204" s="102"/>
    </row>
    <row r="11205" spans="5:5" x14ac:dyDescent="0.25">
      <c r="E11205" s="102"/>
    </row>
    <row r="11206" spans="5:5" x14ac:dyDescent="0.25">
      <c r="E11206" s="102"/>
    </row>
    <row r="11207" spans="5:5" x14ac:dyDescent="0.25">
      <c r="E11207" s="102"/>
    </row>
    <row r="11208" spans="5:5" x14ac:dyDescent="0.25">
      <c r="E11208" s="102"/>
    </row>
    <row r="11209" spans="5:5" x14ac:dyDescent="0.25">
      <c r="E11209" s="102"/>
    </row>
    <row r="11210" spans="5:5" x14ac:dyDescent="0.25">
      <c r="E11210" s="102"/>
    </row>
    <row r="11211" spans="5:5" x14ac:dyDescent="0.25">
      <c r="E11211" s="102"/>
    </row>
    <row r="11212" spans="5:5" x14ac:dyDescent="0.25">
      <c r="E11212" s="102"/>
    </row>
    <row r="11213" spans="5:5" x14ac:dyDescent="0.25">
      <c r="E11213" s="102"/>
    </row>
    <row r="11214" spans="5:5" x14ac:dyDescent="0.25">
      <c r="E11214" s="102"/>
    </row>
    <row r="11215" spans="5:5" x14ac:dyDescent="0.25">
      <c r="E11215" s="102"/>
    </row>
    <row r="11216" spans="5:5" x14ac:dyDescent="0.25">
      <c r="E11216" s="102"/>
    </row>
    <row r="11217" spans="5:5" x14ac:dyDescent="0.25">
      <c r="E11217" s="102"/>
    </row>
    <row r="11218" spans="5:5" x14ac:dyDescent="0.25">
      <c r="E11218" s="102"/>
    </row>
    <row r="11219" spans="5:5" x14ac:dyDescent="0.25">
      <c r="E11219" s="102"/>
    </row>
    <row r="11220" spans="5:5" x14ac:dyDescent="0.25">
      <c r="E11220" s="102"/>
    </row>
    <row r="11221" spans="5:5" x14ac:dyDescent="0.25">
      <c r="E11221" s="102"/>
    </row>
    <row r="11222" spans="5:5" x14ac:dyDescent="0.25">
      <c r="E11222" s="102"/>
    </row>
    <row r="11223" spans="5:5" x14ac:dyDescent="0.25">
      <c r="E11223" s="102"/>
    </row>
    <row r="11224" spans="5:5" x14ac:dyDescent="0.25">
      <c r="E11224" s="102"/>
    </row>
    <row r="11225" spans="5:5" x14ac:dyDescent="0.25">
      <c r="E11225" s="102"/>
    </row>
    <row r="11226" spans="5:5" x14ac:dyDescent="0.25">
      <c r="E11226" s="102"/>
    </row>
    <row r="11227" spans="5:5" x14ac:dyDescent="0.25">
      <c r="E11227" s="102"/>
    </row>
    <row r="11228" spans="5:5" x14ac:dyDescent="0.25">
      <c r="E11228" s="102"/>
    </row>
    <row r="11229" spans="5:5" x14ac:dyDescent="0.25">
      <c r="E11229" s="102"/>
    </row>
    <row r="11230" spans="5:5" x14ac:dyDescent="0.25">
      <c r="E11230" s="102"/>
    </row>
    <row r="11231" spans="5:5" x14ac:dyDescent="0.25">
      <c r="E11231" s="102"/>
    </row>
    <row r="11232" spans="5:5" x14ac:dyDescent="0.25">
      <c r="E11232" s="102"/>
    </row>
    <row r="11233" spans="5:5" x14ac:dyDescent="0.25">
      <c r="E11233" s="102"/>
    </row>
    <row r="11234" spans="5:5" x14ac:dyDescent="0.25">
      <c r="E11234" s="102"/>
    </row>
    <row r="11235" spans="5:5" x14ac:dyDescent="0.25">
      <c r="E11235" s="102"/>
    </row>
    <row r="11236" spans="5:5" x14ac:dyDescent="0.25">
      <c r="E11236" s="102"/>
    </row>
    <row r="11237" spans="5:5" x14ac:dyDescent="0.25">
      <c r="E11237" s="102"/>
    </row>
    <row r="11238" spans="5:5" x14ac:dyDescent="0.25">
      <c r="E11238" s="102"/>
    </row>
    <row r="11239" spans="5:5" x14ac:dyDescent="0.25">
      <c r="E11239" s="102"/>
    </row>
    <row r="11240" spans="5:5" x14ac:dyDescent="0.25">
      <c r="E11240" s="102"/>
    </row>
    <row r="11241" spans="5:5" x14ac:dyDescent="0.25">
      <c r="E11241" s="102"/>
    </row>
    <row r="11242" spans="5:5" x14ac:dyDescent="0.25">
      <c r="E11242" s="102"/>
    </row>
    <row r="11243" spans="5:5" x14ac:dyDescent="0.25">
      <c r="E11243" s="102"/>
    </row>
    <row r="11244" spans="5:5" x14ac:dyDescent="0.25">
      <c r="E11244" s="102"/>
    </row>
    <row r="11245" spans="5:5" x14ac:dyDescent="0.25">
      <c r="E11245" s="102"/>
    </row>
    <row r="11246" spans="5:5" x14ac:dyDescent="0.25">
      <c r="E11246" s="102"/>
    </row>
    <row r="11247" spans="5:5" x14ac:dyDescent="0.25">
      <c r="E11247" s="102"/>
    </row>
    <row r="11248" spans="5:5" x14ac:dyDescent="0.25">
      <c r="E11248" s="102"/>
    </row>
    <row r="11249" spans="5:5" x14ac:dyDescent="0.25">
      <c r="E11249" s="102"/>
    </row>
    <row r="11250" spans="5:5" x14ac:dyDescent="0.25">
      <c r="E11250" s="102"/>
    </row>
    <row r="11251" spans="5:5" x14ac:dyDescent="0.25">
      <c r="E11251" s="102"/>
    </row>
    <row r="11252" spans="5:5" x14ac:dyDescent="0.25">
      <c r="E11252" s="102"/>
    </row>
    <row r="11253" spans="5:5" x14ac:dyDescent="0.25">
      <c r="E11253" s="102"/>
    </row>
    <row r="11254" spans="5:5" x14ac:dyDescent="0.25">
      <c r="E11254" s="102"/>
    </row>
    <row r="11255" spans="5:5" x14ac:dyDescent="0.25">
      <c r="E11255" s="102"/>
    </row>
    <row r="11256" spans="5:5" x14ac:dyDescent="0.25">
      <c r="E11256" s="102"/>
    </row>
    <row r="11257" spans="5:5" x14ac:dyDescent="0.25">
      <c r="E11257" s="102"/>
    </row>
    <row r="11258" spans="5:5" x14ac:dyDescent="0.25">
      <c r="E11258" s="102"/>
    </row>
    <row r="11259" spans="5:5" x14ac:dyDescent="0.25">
      <c r="E11259" s="102"/>
    </row>
    <row r="11260" spans="5:5" x14ac:dyDescent="0.25">
      <c r="E11260" s="102"/>
    </row>
    <row r="11261" spans="5:5" x14ac:dyDescent="0.25">
      <c r="E11261" s="102"/>
    </row>
    <row r="11262" spans="5:5" x14ac:dyDescent="0.25">
      <c r="E11262" s="102"/>
    </row>
    <row r="11263" spans="5:5" x14ac:dyDescent="0.25">
      <c r="E11263" s="102"/>
    </row>
    <row r="11264" spans="5:5" x14ac:dyDescent="0.25">
      <c r="E11264" s="102"/>
    </row>
    <row r="11265" spans="5:5" x14ac:dyDescent="0.25">
      <c r="E11265" s="102"/>
    </row>
    <row r="11266" spans="5:5" x14ac:dyDescent="0.25">
      <c r="E11266" s="102"/>
    </row>
    <row r="11267" spans="5:5" x14ac:dyDescent="0.25">
      <c r="E11267" s="102"/>
    </row>
    <row r="11268" spans="5:5" x14ac:dyDescent="0.25">
      <c r="E11268" s="102"/>
    </row>
    <row r="11269" spans="5:5" x14ac:dyDescent="0.25">
      <c r="E11269" s="102"/>
    </row>
    <row r="11270" spans="5:5" x14ac:dyDescent="0.25">
      <c r="E11270" s="102"/>
    </row>
    <row r="11271" spans="5:5" x14ac:dyDescent="0.25">
      <c r="E11271" s="102"/>
    </row>
    <row r="11272" spans="5:5" x14ac:dyDescent="0.25">
      <c r="E11272" s="102"/>
    </row>
    <row r="11273" spans="5:5" x14ac:dyDescent="0.25">
      <c r="E11273" s="102"/>
    </row>
    <row r="11274" spans="5:5" x14ac:dyDescent="0.25">
      <c r="E11274" s="102"/>
    </row>
    <row r="11275" spans="5:5" x14ac:dyDescent="0.25">
      <c r="E11275" s="102"/>
    </row>
    <row r="11276" spans="5:5" x14ac:dyDescent="0.25">
      <c r="E11276" s="102"/>
    </row>
    <row r="11277" spans="5:5" x14ac:dyDescent="0.25">
      <c r="E11277" s="102"/>
    </row>
    <row r="11278" spans="5:5" x14ac:dyDescent="0.25">
      <c r="E11278" s="102"/>
    </row>
    <row r="11279" spans="5:5" x14ac:dyDescent="0.25">
      <c r="E11279" s="102"/>
    </row>
    <row r="11280" spans="5:5" x14ac:dyDescent="0.25">
      <c r="E11280" s="102"/>
    </row>
    <row r="11281" spans="5:5" x14ac:dyDescent="0.25">
      <c r="E11281" s="102"/>
    </row>
    <row r="11282" spans="5:5" x14ac:dyDescent="0.25">
      <c r="E11282" s="102"/>
    </row>
    <row r="11283" spans="5:5" x14ac:dyDescent="0.25">
      <c r="E11283" s="102"/>
    </row>
    <row r="11284" spans="5:5" x14ac:dyDescent="0.25">
      <c r="E11284" s="102"/>
    </row>
    <row r="11285" spans="5:5" x14ac:dyDescent="0.25">
      <c r="E11285" s="102"/>
    </row>
    <row r="11286" spans="5:5" x14ac:dyDescent="0.25">
      <c r="E11286" s="102"/>
    </row>
    <row r="11287" spans="5:5" x14ac:dyDescent="0.25">
      <c r="E11287" s="102"/>
    </row>
    <row r="11288" spans="5:5" x14ac:dyDescent="0.25">
      <c r="E11288" s="102"/>
    </row>
    <row r="11289" spans="5:5" x14ac:dyDescent="0.25">
      <c r="E11289" s="102"/>
    </row>
    <row r="11290" spans="5:5" x14ac:dyDescent="0.25">
      <c r="E11290" s="102"/>
    </row>
    <row r="11291" spans="5:5" x14ac:dyDescent="0.25">
      <c r="E11291" s="102"/>
    </row>
    <row r="11292" spans="5:5" x14ac:dyDescent="0.25">
      <c r="E11292" s="102"/>
    </row>
    <row r="11293" spans="5:5" x14ac:dyDescent="0.25">
      <c r="E11293" s="102"/>
    </row>
    <row r="11294" spans="5:5" x14ac:dyDescent="0.25">
      <c r="E11294" s="102"/>
    </row>
    <row r="11295" spans="5:5" x14ac:dyDescent="0.25">
      <c r="E11295" s="102"/>
    </row>
    <row r="11296" spans="5:5" x14ac:dyDescent="0.25">
      <c r="E11296" s="102"/>
    </row>
    <row r="11297" spans="5:5" x14ac:dyDescent="0.25">
      <c r="E11297" s="102"/>
    </row>
    <row r="11298" spans="5:5" x14ac:dyDescent="0.25">
      <c r="E11298" s="102"/>
    </row>
    <row r="11299" spans="5:5" x14ac:dyDescent="0.25">
      <c r="E11299" s="102"/>
    </row>
    <row r="11300" spans="5:5" x14ac:dyDescent="0.25">
      <c r="E11300" s="102"/>
    </row>
    <row r="11301" spans="5:5" x14ac:dyDescent="0.25">
      <c r="E11301" s="102"/>
    </row>
    <row r="11302" spans="5:5" x14ac:dyDescent="0.25">
      <c r="E11302" s="102"/>
    </row>
    <row r="11303" spans="5:5" x14ac:dyDescent="0.25">
      <c r="E11303" s="102"/>
    </row>
    <row r="11304" spans="5:5" x14ac:dyDescent="0.25">
      <c r="E11304" s="102"/>
    </row>
    <row r="11305" spans="5:5" x14ac:dyDescent="0.25">
      <c r="E11305" s="102"/>
    </row>
    <row r="11306" spans="5:5" x14ac:dyDescent="0.25">
      <c r="E11306" s="102"/>
    </row>
    <row r="11307" spans="5:5" x14ac:dyDescent="0.25">
      <c r="E11307" s="102"/>
    </row>
    <row r="11308" spans="5:5" x14ac:dyDescent="0.25">
      <c r="E11308" s="102"/>
    </row>
    <row r="11309" spans="5:5" x14ac:dyDescent="0.25">
      <c r="E11309" s="102"/>
    </row>
    <row r="11310" spans="5:5" x14ac:dyDescent="0.25">
      <c r="E11310" s="102"/>
    </row>
    <row r="11311" spans="5:5" x14ac:dyDescent="0.25">
      <c r="E11311" s="102"/>
    </row>
    <row r="11312" spans="5:5" x14ac:dyDescent="0.25">
      <c r="E11312" s="102"/>
    </row>
    <row r="11313" spans="5:5" x14ac:dyDescent="0.25">
      <c r="E11313" s="102"/>
    </row>
    <row r="11314" spans="5:5" x14ac:dyDescent="0.25">
      <c r="E11314" s="102"/>
    </row>
    <row r="11315" spans="5:5" x14ac:dyDescent="0.25">
      <c r="E11315" s="102"/>
    </row>
    <row r="11316" spans="5:5" x14ac:dyDescent="0.25">
      <c r="E11316" s="102"/>
    </row>
    <row r="11317" spans="5:5" x14ac:dyDescent="0.25">
      <c r="E11317" s="102"/>
    </row>
    <row r="11318" spans="5:5" x14ac:dyDescent="0.25">
      <c r="E11318" s="102"/>
    </row>
    <row r="11319" spans="5:5" x14ac:dyDescent="0.25">
      <c r="E11319" s="102"/>
    </row>
    <row r="11320" spans="5:5" x14ac:dyDescent="0.25">
      <c r="E11320" s="102"/>
    </row>
    <row r="11321" spans="5:5" x14ac:dyDescent="0.25">
      <c r="E11321" s="102"/>
    </row>
    <row r="11322" spans="5:5" x14ac:dyDescent="0.25">
      <c r="E11322" s="102"/>
    </row>
    <row r="11323" spans="5:5" x14ac:dyDescent="0.25">
      <c r="E11323" s="102"/>
    </row>
    <row r="11324" spans="5:5" x14ac:dyDescent="0.25">
      <c r="E11324" s="102"/>
    </row>
    <row r="11325" spans="5:5" x14ac:dyDescent="0.25">
      <c r="E11325" s="102"/>
    </row>
    <row r="11326" spans="5:5" x14ac:dyDescent="0.25">
      <c r="E11326" s="102"/>
    </row>
    <row r="11327" spans="5:5" x14ac:dyDescent="0.25">
      <c r="E11327" s="102"/>
    </row>
    <row r="11328" spans="5:5" x14ac:dyDescent="0.25">
      <c r="E11328" s="102"/>
    </row>
    <row r="11329" spans="5:5" x14ac:dyDescent="0.25">
      <c r="E11329" s="102"/>
    </row>
    <row r="11330" spans="5:5" x14ac:dyDescent="0.25">
      <c r="E11330" s="102"/>
    </row>
    <row r="11331" spans="5:5" x14ac:dyDescent="0.25">
      <c r="E11331" s="102"/>
    </row>
    <row r="11332" spans="5:5" x14ac:dyDescent="0.25">
      <c r="E11332" s="102"/>
    </row>
    <row r="11333" spans="5:5" x14ac:dyDescent="0.25">
      <c r="E11333" s="102"/>
    </row>
    <row r="11334" spans="5:5" x14ac:dyDescent="0.25">
      <c r="E11334" s="102"/>
    </row>
    <row r="11335" spans="5:5" x14ac:dyDescent="0.25">
      <c r="E11335" s="102"/>
    </row>
    <row r="11336" spans="5:5" x14ac:dyDescent="0.25">
      <c r="E11336" s="102"/>
    </row>
    <row r="11337" spans="5:5" x14ac:dyDescent="0.25">
      <c r="E11337" s="102"/>
    </row>
    <row r="11338" spans="5:5" x14ac:dyDescent="0.25">
      <c r="E11338" s="102"/>
    </row>
    <row r="11339" spans="5:5" x14ac:dyDescent="0.25">
      <c r="E11339" s="102"/>
    </row>
    <row r="11340" spans="5:5" x14ac:dyDescent="0.25">
      <c r="E11340" s="102"/>
    </row>
    <row r="11341" spans="5:5" x14ac:dyDescent="0.25">
      <c r="E11341" s="102"/>
    </row>
    <row r="11342" spans="5:5" x14ac:dyDescent="0.25">
      <c r="E11342" s="102"/>
    </row>
    <row r="11343" spans="5:5" x14ac:dyDescent="0.25">
      <c r="E11343" s="102"/>
    </row>
    <row r="11344" spans="5:5" x14ac:dyDescent="0.25">
      <c r="E11344" s="102"/>
    </row>
    <row r="11345" spans="5:5" x14ac:dyDescent="0.25">
      <c r="E11345" s="102"/>
    </row>
    <row r="11346" spans="5:5" x14ac:dyDescent="0.25">
      <c r="E11346" s="102"/>
    </row>
    <row r="11347" spans="5:5" x14ac:dyDescent="0.25">
      <c r="E11347" s="102"/>
    </row>
    <row r="11348" spans="5:5" x14ac:dyDescent="0.25">
      <c r="E11348" s="102"/>
    </row>
    <row r="11349" spans="5:5" x14ac:dyDescent="0.25">
      <c r="E11349" s="102"/>
    </row>
    <row r="11350" spans="5:5" x14ac:dyDescent="0.25">
      <c r="E11350" s="102"/>
    </row>
    <row r="11351" spans="5:5" x14ac:dyDescent="0.25">
      <c r="E11351" s="102"/>
    </row>
    <row r="11352" spans="5:5" x14ac:dyDescent="0.25">
      <c r="E11352" s="102"/>
    </row>
    <row r="11353" spans="5:5" x14ac:dyDescent="0.25">
      <c r="E11353" s="102"/>
    </row>
    <row r="11354" spans="5:5" x14ac:dyDescent="0.25">
      <c r="E11354" s="102"/>
    </row>
    <row r="11355" spans="5:5" x14ac:dyDescent="0.25">
      <c r="E11355" s="102"/>
    </row>
    <row r="11356" spans="5:5" x14ac:dyDescent="0.25">
      <c r="E11356" s="102"/>
    </row>
    <row r="11357" spans="5:5" x14ac:dyDescent="0.25">
      <c r="E11357" s="102"/>
    </row>
    <row r="11358" spans="5:5" x14ac:dyDescent="0.25">
      <c r="E11358" s="102"/>
    </row>
    <row r="11359" spans="5:5" x14ac:dyDescent="0.25">
      <c r="E11359" s="102"/>
    </row>
    <row r="11360" spans="5:5" x14ac:dyDescent="0.25">
      <c r="E11360" s="102"/>
    </row>
    <row r="11361" spans="5:5" x14ac:dyDescent="0.25">
      <c r="E11361" s="102"/>
    </row>
    <row r="11362" spans="5:5" x14ac:dyDescent="0.25">
      <c r="E11362" s="102"/>
    </row>
    <row r="11363" spans="5:5" x14ac:dyDescent="0.25">
      <c r="E11363" s="102"/>
    </row>
    <row r="11364" spans="5:5" x14ac:dyDescent="0.25">
      <c r="E11364" s="102"/>
    </row>
    <row r="11365" spans="5:5" x14ac:dyDescent="0.25">
      <c r="E11365" s="102"/>
    </row>
    <row r="11366" spans="5:5" x14ac:dyDescent="0.25">
      <c r="E11366" s="102"/>
    </row>
    <row r="11367" spans="5:5" x14ac:dyDescent="0.25">
      <c r="E11367" s="102"/>
    </row>
    <row r="11368" spans="5:5" x14ac:dyDescent="0.25">
      <c r="E11368" s="102"/>
    </row>
    <row r="11369" spans="5:5" x14ac:dyDescent="0.25">
      <c r="E11369" s="102"/>
    </row>
    <row r="11370" spans="5:5" x14ac:dyDescent="0.25">
      <c r="E11370" s="102"/>
    </row>
    <row r="11371" spans="5:5" x14ac:dyDescent="0.25">
      <c r="E11371" s="102"/>
    </row>
    <row r="11372" spans="5:5" x14ac:dyDescent="0.25">
      <c r="E11372" s="102"/>
    </row>
    <row r="11373" spans="5:5" x14ac:dyDescent="0.25">
      <c r="E11373" s="102"/>
    </row>
    <row r="11374" spans="5:5" x14ac:dyDescent="0.25">
      <c r="E11374" s="102"/>
    </row>
    <row r="11375" spans="5:5" x14ac:dyDescent="0.25">
      <c r="E11375" s="102"/>
    </row>
    <row r="11376" spans="5:5" x14ac:dyDescent="0.25">
      <c r="E11376" s="102"/>
    </row>
    <row r="11377" spans="5:5" x14ac:dyDescent="0.25">
      <c r="E11377" s="102"/>
    </row>
    <row r="11378" spans="5:5" x14ac:dyDescent="0.25">
      <c r="E11378" s="102"/>
    </row>
    <row r="11379" spans="5:5" x14ac:dyDescent="0.25">
      <c r="E11379" s="102"/>
    </row>
    <row r="11380" spans="5:5" x14ac:dyDescent="0.25">
      <c r="E11380" s="102"/>
    </row>
    <row r="11381" spans="5:5" x14ac:dyDescent="0.25">
      <c r="E11381" s="102"/>
    </row>
    <row r="11382" spans="5:5" x14ac:dyDescent="0.25">
      <c r="E11382" s="102"/>
    </row>
    <row r="11383" spans="5:5" x14ac:dyDescent="0.25">
      <c r="E11383" s="102"/>
    </row>
    <row r="11384" spans="5:5" x14ac:dyDescent="0.25">
      <c r="E11384" s="102"/>
    </row>
    <row r="11385" spans="5:5" x14ac:dyDescent="0.25">
      <c r="E11385" s="102"/>
    </row>
    <row r="11386" spans="5:5" x14ac:dyDescent="0.25">
      <c r="E11386" s="102"/>
    </row>
    <row r="11387" spans="5:5" x14ac:dyDescent="0.25">
      <c r="E11387" s="102"/>
    </row>
    <row r="11388" spans="5:5" x14ac:dyDescent="0.25">
      <c r="E11388" s="102"/>
    </row>
    <row r="11389" spans="5:5" x14ac:dyDescent="0.25">
      <c r="E11389" s="102"/>
    </row>
    <row r="11390" spans="5:5" x14ac:dyDescent="0.25">
      <c r="E11390" s="102"/>
    </row>
    <row r="11391" spans="5:5" x14ac:dyDescent="0.25">
      <c r="E11391" s="102"/>
    </row>
    <row r="11392" spans="5:5" x14ac:dyDescent="0.25">
      <c r="E11392" s="102"/>
    </row>
    <row r="11393" spans="5:5" x14ac:dyDescent="0.25">
      <c r="E11393" s="102"/>
    </row>
    <row r="11394" spans="5:5" x14ac:dyDescent="0.25">
      <c r="E11394" s="102"/>
    </row>
    <row r="11395" spans="5:5" x14ac:dyDescent="0.25">
      <c r="E11395" s="102"/>
    </row>
    <row r="11396" spans="5:5" x14ac:dyDescent="0.25">
      <c r="E11396" s="102"/>
    </row>
    <row r="11397" spans="5:5" x14ac:dyDescent="0.25">
      <c r="E11397" s="102"/>
    </row>
    <row r="11398" spans="5:5" x14ac:dyDescent="0.25">
      <c r="E11398" s="102"/>
    </row>
    <row r="11399" spans="5:5" x14ac:dyDescent="0.25">
      <c r="E11399" s="102"/>
    </row>
    <row r="11400" spans="5:5" x14ac:dyDescent="0.25">
      <c r="E11400" s="102"/>
    </row>
    <row r="11401" spans="5:5" x14ac:dyDescent="0.25">
      <c r="E11401" s="102"/>
    </row>
    <row r="11402" spans="5:5" x14ac:dyDescent="0.25">
      <c r="E11402" s="102"/>
    </row>
    <row r="11403" spans="5:5" x14ac:dyDescent="0.25">
      <c r="E11403" s="102"/>
    </row>
    <row r="11404" spans="5:5" x14ac:dyDescent="0.25">
      <c r="E11404" s="102"/>
    </row>
    <row r="11405" spans="5:5" x14ac:dyDescent="0.25">
      <c r="E11405" s="102"/>
    </row>
    <row r="11406" spans="5:5" x14ac:dyDescent="0.25">
      <c r="E11406" s="102"/>
    </row>
    <row r="11407" spans="5:5" x14ac:dyDescent="0.25">
      <c r="E11407" s="102"/>
    </row>
    <row r="11408" spans="5:5" x14ac:dyDescent="0.25">
      <c r="E11408" s="102"/>
    </row>
    <row r="11409" spans="5:5" x14ac:dyDescent="0.25">
      <c r="E11409" s="102"/>
    </row>
    <row r="11410" spans="5:5" x14ac:dyDescent="0.25">
      <c r="E11410" s="102"/>
    </row>
    <row r="11411" spans="5:5" x14ac:dyDescent="0.25">
      <c r="E11411" s="102"/>
    </row>
    <row r="11412" spans="5:5" x14ac:dyDescent="0.25">
      <c r="E11412" s="102"/>
    </row>
    <row r="11413" spans="5:5" x14ac:dyDescent="0.25">
      <c r="E11413" s="102"/>
    </row>
    <row r="11414" spans="5:5" x14ac:dyDescent="0.25">
      <c r="E11414" s="102"/>
    </row>
    <row r="11415" spans="5:5" x14ac:dyDescent="0.25">
      <c r="E11415" s="102"/>
    </row>
    <row r="11416" spans="5:5" x14ac:dyDescent="0.25">
      <c r="E11416" s="102"/>
    </row>
    <row r="11417" spans="5:5" x14ac:dyDescent="0.25">
      <c r="E11417" s="102"/>
    </row>
    <row r="11418" spans="5:5" x14ac:dyDescent="0.25">
      <c r="E11418" s="102"/>
    </row>
    <row r="11419" spans="5:5" x14ac:dyDescent="0.25">
      <c r="E11419" s="102"/>
    </row>
    <row r="11420" spans="5:5" x14ac:dyDescent="0.25">
      <c r="E11420" s="102"/>
    </row>
    <row r="11421" spans="5:5" x14ac:dyDescent="0.25">
      <c r="E11421" s="102"/>
    </row>
    <row r="11422" spans="5:5" x14ac:dyDescent="0.25">
      <c r="E11422" s="102"/>
    </row>
    <row r="11423" spans="5:5" x14ac:dyDescent="0.25">
      <c r="E11423" s="102"/>
    </row>
    <row r="11424" spans="5:5" x14ac:dyDescent="0.25">
      <c r="E11424" s="102"/>
    </row>
    <row r="11425" spans="5:5" x14ac:dyDescent="0.25">
      <c r="E11425" s="102"/>
    </row>
    <row r="11426" spans="5:5" x14ac:dyDescent="0.25">
      <c r="E11426" s="102"/>
    </row>
    <row r="11427" spans="5:5" x14ac:dyDescent="0.25">
      <c r="E11427" s="102"/>
    </row>
    <row r="11428" spans="5:5" x14ac:dyDescent="0.25">
      <c r="E11428" s="102"/>
    </row>
    <row r="11429" spans="5:5" x14ac:dyDescent="0.25">
      <c r="E11429" s="102"/>
    </row>
    <row r="11430" spans="5:5" x14ac:dyDescent="0.25">
      <c r="E11430" s="102"/>
    </row>
    <row r="11431" spans="5:5" x14ac:dyDescent="0.25">
      <c r="E11431" s="102"/>
    </row>
    <row r="11432" spans="5:5" x14ac:dyDescent="0.25">
      <c r="E11432" s="102"/>
    </row>
    <row r="11433" spans="5:5" x14ac:dyDescent="0.25">
      <c r="E11433" s="102"/>
    </row>
    <row r="11434" spans="5:5" x14ac:dyDescent="0.25">
      <c r="E11434" s="102"/>
    </row>
    <row r="11435" spans="5:5" x14ac:dyDescent="0.25">
      <c r="E11435" s="102"/>
    </row>
    <row r="11436" spans="5:5" x14ac:dyDescent="0.25">
      <c r="E11436" s="102"/>
    </row>
    <row r="11437" spans="5:5" x14ac:dyDescent="0.25">
      <c r="E11437" s="102"/>
    </row>
    <row r="11438" spans="5:5" x14ac:dyDescent="0.25">
      <c r="E11438" s="102"/>
    </row>
    <row r="11439" spans="5:5" x14ac:dyDescent="0.25">
      <c r="E11439" s="102"/>
    </row>
    <row r="11440" spans="5:5" x14ac:dyDescent="0.25">
      <c r="E11440" s="102"/>
    </row>
    <row r="11441" spans="5:5" x14ac:dyDescent="0.25">
      <c r="E11441" s="102"/>
    </row>
    <row r="11442" spans="5:5" x14ac:dyDescent="0.25">
      <c r="E11442" s="102"/>
    </row>
    <row r="11443" spans="5:5" x14ac:dyDescent="0.25">
      <c r="E11443" s="102"/>
    </row>
    <row r="11444" spans="5:5" x14ac:dyDescent="0.25">
      <c r="E11444" s="102"/>
    </row>
    <row r="11445" spans="5:5" x14ac:dyDescent="0.25">
      <c r="E11445" s="102"/>
    </row>
    <row r="11446" spans="5:5" x14ac:dyDescent="0.25">
      <c r="E11446" s="102"/>
    </row>
    <row r="11447" spans="5:5" x14ac:dyDescent="0.25">
      <c r="E11447" s="102"/>
    </row>
    <row r="11448" spans="5:5" x14ac:dyDescent="0.25">
      <c r="E11448" s="102"/>
    </row>
    <row r="11449" spans="5:5" x14ac:dyDescent="0.25">
      <c r="E11449" s="102"/>
    </row>
    <row r="11450" spans="5:5" x14ac:dyDescent="0.25">
      <c r="E11450" s="102"/>
    </row>
    <row r="11451" spans="5:5" x14ac:dyDescent="0.25">
      <c r="E11451" s="102"/>
    </row>
    <row r="11452" spans="5:5" x14ac:dyDescent="0.25">
      <c r="E11452" s="102"/>
    </row>
    <row r="11453" spans="5:5" x14ac:dyDescent="0.25">
      <c r="E11453" s="102"/>
    </row>
    <row r="11454" spans="5:5" x14ac:dyDescent="0.25">
      <c r="E11454" s="102"/>
    </row>
    <row r="11455" spans="5:5" x14ac:dyDescent="0.25">
      <c r="E11455" s="102"/>
    </row>
    <row r="11456" spans="5:5" x14ac:dyDescent="0.25">
      <c r="E11456" s="102"/>
    </row>
    <row r="11457" spans="5:5" x14ac:dyDescent="0.25">
      <c r="E11457" s="102"/>
    </row>
    <row r="11458" spans="5:5" x14ac:dyDescent="0.25">
      <c r="E11458" s="102"/>
    </row>
    <row r="11459" spans="5:5" x14ac:dyDescent="0.25">
      <c r="E11459" s="102"/>
    </row>
    <row r="11460" spans="5:5" x14ac:dyDescent="0.25">
      <c r="E11460" s="102"/>
    </row>
    <row r="11461" spans="5:5" x14ac:dyDescent="0.25">
      <c r="E11461" s="102"/>
    </row>
    <row r="11462" spans="5:5" x14ac:dyDescent="0.25">
      <c r="E11462" s="102"/>
    </row>
    <row r="11463" spans="5:5" x14ac:dyDescent="0.25">
      <c r="E11463" s="102"/>
    </row>
    <row r="11464" spans="5:5" x14ac:dyDescent="0.25">
      <c r="E11464" s="102"/>
    </row>
    <row r="11465" spans="5:5" x14ac:dyDescent="0.25">
      <c r="E11465" s="102"/>
    </row>
    <row r="11466" spans="5:5" x14ac:dyDescent="0.25">
      <c r="E11466" s="102"/>
    </row>
    <row r="11467" spans="5:5" x14ac:dyDescent="0.25">
      <c r="E11467" s="102"/>
    </row>
    <row r="11468" spans="5:5" x14ac:dyDescent="0.25">
      <c r="E11468" s="102"/>
    </row>
    <row r="11469" spans="5:5" x14ac:dyDescent="0.25">
      <c r="E11469" s="102"/>
    </row>
    <row r="11470" spans="5:5" x14ac:dyDescent="0.25">
      <c r="E11470" s="102"/>
    </row>
    <row r="11471" spans="5:5" x14ac:dyDescent="0.25">
      <c r="E11471" s="102"/>
    </row>
    <row r="11472" spans="5:5" x14ac:dyDescent="0.25">
      <c r="E11472" s="102"/>
    </row>
    <row r="11473" spans="5:5" x14ac:dyDescent="0.25">
      <c r="E11473" s="102"/>
    </row>
    <row r="11474" spans="5:5" x14ac:dyDescent="0.25">
      <c r="E11474" s="102"/>
    </row>
    <row r="11475" spans="5:5" x14ac:dyDescent="0.25">
      <c r="E11475" s="102"/>
    </row>
    <row r="11476" spans="5:5" x14ac:dyDescent="0.25">
      <c r="E11476" s="102"/>
    </row>
    <row r="11477" spans="5:5" x14ac:dyDescent="0.25">
      <c r="E11477" s="102"/>
    </row>
    <row r="11478" spans="5:5" x14ac:dyDescent="0.25">
      <c r="E11478" s="102"/>
    </row>
    <row r="11479" spans="5:5" x14ac:dyDescent="0.25">
      <c r="E11479" s="102"/>
    </row>
    <row r="11480" spans="5:5" x14ac:dyDescent="0.25">
      <c r="E11480" s="102"/>
    </row>
    <row r="11481" spans="5:5" x14ac:dyDescent="0.25">
      <c r="E11481" s="102"/>
    </row>
    <row r="11482" spans="5:5" x14ac:dyDescent="0.25">
      <c r="E11482" s="102"/>
    </row>
    <row r="11483" spans="5:5" x14ac:dyDescent="0.25">
      <c r="E11483" s="102"/>
    </row>
    <row r="11484" spans="5:5" x14ac:dyDescent="0.25">
      <c r="E11484" s="102"/>
    </row>
    <row r="11485" spans="5:5" x14ac:dyDescent="0.25">
      <c r="E11485" s="102"/>
    </row>
    <row r="11486" spans="5:5" x14ac:dyDescent="0.25">
      <c r="E11486" s="102"/>
    </row>
    <row r="11487" spans="5:5" x14ac:dyDescent="0.25">
      <c r="E11487" s="102"/>
    </row>
    <row r="11488" spans="5:5" x14ac:dyDescent="0.25">
      <c r="E11488" s="102"/>
    </row>
    <row r="11489" spans="5:5" x14ac:dyDescent="0.25">
      <c r="E11489" s="102"/>
    </row>
    <row r="11490" spans="5:5" x14ac:dyDescent="0.25">
      <c r="E11490" s="102"/>
    </row>
    <row r="11491" spans="5:5" x14ac:dyDescent="0.25">
      <c r="E11491" s="102"/>
    </row>
    <row r="11492" spans="5:5" x14ac:dyDescent="0.25">
      <c r="E11492" s="102"/>
    </row>
    <row r="11493" spans="5:5" x14ac:dyDescent="0.25">
      <c r="E11493" s="102"/>
    </row>
    <row r="11494" spans="5:5" x14ac:dyDescent="0.25">
      <c r="E11494" s="102"/>
    </row>
    <row r="11495" spans="5:5" x14ac:dyDescent="0.25">
      <c r="E11495" s="102"/>
    </row>
    <row r="11496" spans="5:5" x14ac:dyDescent="0.25">
      <c r="E11496" s="102"/>
    </row>
    <row r="11497" spans="5:5" x14ac:dyDescent="0.25">
      <c r="E11497" s="102"/>
    </row>
    <row r="11498" spans="5:5" x14ac:dyDescent="0.25">
      <c r="E11498" s="102"/>
    </row>
    <row r="11499" spans="5:5" x14ac:dyDescent="0.25">
      <c r="E11499" s="102"/>
    </row>
    <row r="11500" spans="5:5" x14ac:dyDescent="0.25">
      <c r="E11500" s="102"/>
    </row>
    <row r="11501" spans="5:5" x14ac:dyDescent="0.25">
      <c r="E11501" s="102"/>
    </row>
    <row r="11502" spans="5:5" x14ac:dyDescent="0.25">
      <c r="E11502" s="102"/>
    </row>
    <row r="11503" spans="5:5" x14ac:dyDescent="0.25">
      <c r="E11503" s="102"/>
    </row>
    <row r="11504" spans="5:5" x14ac:dyDescent="0.25">
      <c r="E11504" s="102"/>
    </row>
    <row r="11505" spans="5:5" x14ac:dyDescent="0.25">
      <c r="E11505" s="102"/>
    </row>
    <row r="11506" spans="5:5" x14ac:dyDescent="0.25">
      <c r="E11506" s="102"/>
    </row>
    <row r="11507" spans="5:5" x14ac:dyDescent="0.25">
      <c r="E11507" s="102"/>
    </row>
    <row r="11508" spans="5:5" x14ac:dyDescent="0.25">
      <c r="E11508" s="102"/>
    </row>
    <row r="11509" spans="5:5" x14ac:dyDescent="0.25">
      <c r="E11509" s="102"/>
    </row>
    <row r="11510" spans="5:5" x14ac:dyDescent="0.25">
      <c r="E11510" s="102"/>
    </row>
    <row r="11511" spans="5:5" x14ac:dyDescent="0.25">
      <c r="E11511" s="102"/>
    </row>
    <row r="11512" spans="5:5" x14ac:dyDescent="0.25">
      <c r="E11512" s="102"/>
    </row>
    <row r="11513" spans="5:5" x14ac:dyDescent="0.25">
      <c r="E11513" s="102"/>
    </row>
    <row r="11514" spans="5:5" x14ac:dyDescent="0.25">
      <c r="E11514" s="102"/>
    </row>
    <row r="11515" spans="5:5" x14ac:dyDescent="0.25">
      <c r="E11515" s="102"/>
    </row>
    <row r="11516" spans="5:5" x14ac:dyDescent="0.25">
      <c r="E11516" s="102"/>
    </row>
    <row r="11517" spans="5:5" x14ac:dyDescent="0.25">
      <c r="E11517" s="102"/>
    </row>
    <row r="11518" spans="5:5" x14ac:dyDescent="0.25">
      <c r="E11518" s="102"/>
    </row>
    <row r="11519" spans="5:5" x14ac:dyDescent="0.25">
      <c r="E11519" s="102"/>
    </row>
    <row r="11520" spans="5:5" x14ac:dyDescent="0.25">
      <c r="E11520" s="102"/>
    </row>
    <row r="11521" spans="5:5" x14ac:dyDescent="0.25">
      <c r="E11521" s="102"/>
    </row>
    <row r="11522" spans="5:5" x14ac:dyDescent="0.25">
      <c r="E11522" s="102"/>
    </row>
    <row r="11523" spans="5:5" x14ac:dyDescent="0.25">
      <c r="E11523" s="102"/>
    </row>
    <row r="11524" spans="5:5" x14ac:dyDescent="0.25">
      <c r="E11524" s="102"/>
    </row>
    <row r="11525" spans="5:5" x14ac:dyDescent="0.25">
      <c r="E11525" s="102"/>
    </row>
    <row r="11526" spans="5:5" x14ac:dyDescent="0.25">
      <c r="E11526" s="102"/>
    </row>
    <row r="11527" spans="5:5" x14ac:dyDescent="0.25">
      <c r="E11527" s="102"/>
    </row>
    <row r="11528" spans="5:5" x14ac:dyDescent="0.25">
      <c r="E11528" s="102"/>
    </row>
    <row r="11529" spans="5:5" x14ac:dyDescent="0.25">
      <c r="E11529" s="102"/>
    </row>
    <row r="11530" spans="5:5" x14ac:dyDescent="0.25">
      <c r="E11530" s="102"/>
    </row>
    <row r="11531" spans="5:5" x14ac:dyDescent="0.25">
      <c r="E11531" s="102"/>
    </row>
    <row r="11532" spans="5:5" x14ac:dyDescent="0.25">
      <c r="E11532" s="102"/>
    </row>
    <row r="11533" spans="5:5" x14ac:dyDescent="0.25">
      <c r="E11533" s="102"/>
    </row>
    <row r="11534" spans="5:5" x14ac:dyDescent="0.25">
      <c r="E11534" s="102"/>
    </row>
    <row r="11535" spans="5:5" x14ac:dyDescent="0.25">
      <c r="E11535" s="102"/>
    </row>
    <row r="11536" spans="5:5" x14ac:dyDescent="0.25">
      <c r="E11536" s="102"/>
    </row>
    <row r="11537" spans="5:5" x14ac:dyDescent="0.25">
      <c r="E11537" s="102"/>
    </row>
    <row r="11538" spans="5:5" x14ac:dyDescent="0.25">
      <c r="E11538" s="102"/>
    </row>
    <row r="11539" spans="5:5" x14ac:dyDescent="0.25">
      <c r="E11539" s="102"/>
    </row>
    <row r="11540" spans="5:5" x14ac:dyDescent="0.25">
      <c r="E11540" s="102"/>
    </row>
    <row r="11541" spans="5:5" x14ac:dyDescent="0.25">
      <c r="E11541" s="102"/>
    </row>
    <row r="11542" spans="5:5" x14ac:dyDescent="0.25">
      <c r="E11542" s="102"/>
    </row>
    <row r="11543" spans="5:5" x14ac:dyDescent="0.25">
      <c r="E11543" s="102"/>
    </row>
    <row r="11544" spans="5:5" x14ac:dyDescent="0.25">
      <c r="E11544" s="102"/>
    </row>
    <row r="11545" spans="5:5" x14ac:dyDescent="0.25">
      <c r="E11545" s="102"/>
    </row>
    <row r="11546" spans="5:5" x14ac:dyDescent="0.25">
      <c r="E11546" s="102"/>
    </row>
    <row r="11547" spans="5:5" x14ac:dyDescent="0.25">
      <c r="E11547" s="102"/>
    </row>
    <row r="11548" spans="5:5" x14ac:dyDescent="0.25">
      <c r="E11548" s="102"/>
    </row>
    <row r="11549" spans="5:5" x14ac:dyDescent="0.25">
      <c r="E11549" s="102"/>
    </row>
    <row r="11550" spans="5:5" x14ac:dyDescent="0.25">
      <c r="E11550" s="102"/>
    </row>
    <row r="11551" spans="5:5" x14ac:dyDescent="0.25">
      <c r="E11551" s="102"/>
    </row>
    <row r="11552" spans="5:5" x14ac:dyDescent="0.25">
      <c r="E11552" s="102"/>
    </row>
    <row r="11553" spans="5:5" x14ac:dyDescent="0.25">
      <c r="E11553" s="102"/>
    </row>
    <row r="11554" spans="5:5" x14ac:dyDescent="0.25">
      <c r="E11554" s="102"/>
    </row>
    <row r="11555" spans="5:5" x14ac:dyDescent="0.25">
      <c r="E11555" s="102"/>
    </row>
    <row r="11556" spans="5:5" x14ac:dyDescent="0.25">
      <c r="E11556" s="102"/>
    </row>
    <row r="11557" spans="5:5" x14ac:dyDescent="0.25">
      <c r="E11557" s="102"/>
    </row>
    <row r="11558" spans="5:5" x14ac:dyDescent="0.25">
      <c r="E11558" s="102"/>
    </row>
    <row r="11559" spans="5:5" x14ac:dyDescent="0.25">
      <c r="E11559" s="102"/>
    </row>
    <row r="11560" spans="5:5" x14ac:dyDescent="0.25">
      <c r="E11560" s="102"/>
    </row>
    <row r="11561" spans="5:5" x14ac:dyDescent="0.25">
      <c r="E11561" s="102"/>
    </row>
    <row r="11562" spans="5:5" x14ac:dyDescent="0.25">
      <c r="E11562" s="102"/>
    </row>
    <row r="11563" spans="5:5" x14ac:dyDescent="0.25">
      <c r="E11563" s="102"/>
    </row>
    <row r="11564" spans="5:5" x14ac:dyDescent="0.25">
      <c r="E11564" s="102"/>
    </row>
    <row r="11565" spans="5:5" x14ac:dyDescent="0.25">
      <c r="E11565" s="102"/>
    </row>
    <row r="11566" spans="5:5" x14ac:dyDescent="0.25">
      <c r="E11566" s="102"/>
    </row>
    <row r="11567" spans="5:5" x14ac:dyDescent="0.25">
      <c r="E11567" s="102"/>
    </row>
    <row r="11568" spans="5:5" x14ac:dyDescent="0.25">
      <c r="E11568" s="102"/>
    </row>
    <row r="11569" spans="5:5" x14ac:dyDescent="0.25">
      <c r="E11569" s="102"/>
    </row>
    <row r="11570" spans="5:5" x14ac:dyDescent="0.25">
      <c r="E11570" s="102"/>
    </row>
    <row r="11571" spans="5:5" x14ac:dyDescent="0.25">
      <c r="E11571" s="102"/>
    </row>
    <row r="11572" spans="5:5" x14ac:dyDescent="0.25">
      <c r="E11572" s="102"/>
    </row>
    <row r="11573" spans="5:5" x14ac:dyDescent="0.25">
      <c r="E11573" s="102"/>
    </row>
    <row r="11574" spans="5:5" x14ac:dyDescent="0.25">
      <c r="E11574" s="102"/>
    </row>
    <row r="11575" spans="5:5" x14ac:dyDescent="0.25">
      <c r="E11575" s="102"/>
    </row>
    <row r="11576" spans="5:5" x14ac:dyDescent="0.25">
      <c r="E11576" s="102"/>
    </row>
    <row r="11577" spans="5:5" x14ac:dyDescent="0.25">
      <c r="E11577" s="102"/>
    </row>
    <row r="11578" spans="5:5" x14ac:dyDescent="0.25">
      <c r="E11578" s="102"/>
    </row>
    <row r="11579" spans="5:5" x14ac:dyDescent="0.25">
      <c r="E11579" s="102"/>
    </row>
    <row r="11580" spans="5:5" x14ac:dyDescent="0.25">
      <c r="E11580" s="102"/>
    </row>
    <row r="11581" spans="5:5" x14ac:dyDescent="0.25">
      <c r="E11581" s="102"/>
    </row>
    <row r="11582" spans="5:5" x14ac:dyDescent="0.25">
      <c r="E11582" s="102"/>
    </row>
    <row r="11583" spans="5:5" x14ac:dyDescent="0.25">
      <c r="E11583" s="102"/>
    </row>
    <row r="11584" spans="5:5" x14ac:dyDescent="0.25">
      <c r="E11584" s="102"/>
    </row>
    <row r="11585" spans="5:5" x14ac:dyDescent="0.25">
      <c r="E11585" s="102"/>
    </row>
    <row r="11586" spans="5:5" x14ac:dyDescent="0.25">
      <c r="E11586" s="102"/>
    </row>
    <row r="11587" spans="5:5" x14ac:dyDescent="0.25">
      <c r="E11587" s="102"/>
    </row>
    <row r="11588" spans="5:5" x14ac:dyDescent="0.25">
      <c r="E11588" s="102"/>
    </row>
    <row r="11589" spans="5:5" x14ac:dyDescent="0.25">
      <c r="E11589" s="102"/>
    </row>
    <row r="11590" spans="5:5" x14ac:dyDescent="0.25">
      <c r="E11590" s="102"/>
    </row>
    <row r="11591" spans="5:5" x14ac:dyDescent="0.25">
      <c r="E11591" s="102"/>
    </row>
    <row r="11592" spans="5:5" x14ac:dyDescent="0.25">
      <c r="E11592" s="102"/>
    </row>
    <row r="11593" spans="5:5" x14ac:dyDescent="0.25">
      <c r="E11593" s="102"/>
    </row>
    <row r="11594" spans="5:5" x14ac:dyDescent="0.25">
      <c r="E11594" s="102"/>
    </row>
    <row r="11595" spans="5:5" x14ac:dyDescent="0.25">
      <c r="E11595" s="102"/>
    </row>
    <row r="11596" spans="5:5" x14ac:dyDescent="0.25">
      <c r="E11596" s="102"/>
    </row>
    <row r="11597" spans="5:5" x14ac:dyDescent="0.25">
      <c r="E11597" s="102"/>
    </row>
    <row r="11598" spans="5:5" x14ac:dyDescent="0.25">
      <c r="E11598" s="102"/>
    </row>
    <row r="11599" spans="5:5" x14ac:dyDescent="0.25">
      <c r="E11599" s="102"/>
    </row>
    <row r="11600" spans="5:5" x14ac:dyDescent="0.25">
      <c r="E11600" s="102"/>
    </row>
    <row r="11601" spans="5:5" x14ac:dyDescent="0.25">
      <c r="E11601" s="102"/>
    </row>
    <row r="11602" spans="5:5" x14ac:dyDescent="0.25">
      <c r="E11602" s="102"/>
    </row>
    <row r="11603" spans="5:5" x14ac:dyDescent="0.25">
      <c r="E11603" s="102"/>
    </row>
    <row r="11604" spans="5:5" x14ac:dyDescent="0.25">
      <c r="E11604" s="102"/>
    </row>
    <row r="11605" spans="5:5" x14ac:dyDescent="0.25">
      <c r="E11605" s="102"/>
    </row>
    <row r="11606" spans="5:5" x14ac:dyDescent="0.25">
      <c r="E11606" s="102"/>
    </row>
    <row r="11607" spans="5:5" x14ac:dyDescent="0.25">
      <c r="E11607" s="102"/>
    </row>
    <row r="11608" spans="5:5" x14ac:dyDescent="0.25">
      <c r="E11608" s="102"/>
    </row>
    <row r="11609" spans="5:5" x14ac:dyDescent="0.25">
      <c r="E11609" s="102"/>
    </row>
    <row r="11610" spans="5:5" x14ac:dyDescent="0.25">
      <c r="E11610" s="102"/>
    </row>
    <row r="11611" spans="5:5" x14ac:dyDescent="0.25">
      <c r="E11611" s="102"/>
    </row>
    <row r="11612" spans="5:5" x14ac:dyDescent="0.25">
      <c r="E11612" s="102"/>
    </row>
    <row r="11613" spans="5:5" x14ac:dyDescent="0.25">
      <c r="E11613" s="102"/>
    </row>
    <row r="11614" spans="5:5" x14ac:dyDescent="0.25">
      <c r="E11614" s="102"/>
    </row>
    <row r="11615" spans="5:5" x14ac:dyDescent="0.25">
      <c r="E11615" s="102"/>
    </row>
    <row r="11616" spans="5:5" x14ac:dyDescent="0.25">
      <c r="E11616" s="102"/>
    </row>
    <row r="11617" spans="5:5" x14ac:dyDescent="0.25">
      <c r="E11617" s="102"/>
    </row>
    <row r="11618" spans="5:5" x14ac:dyDescent="0.25">
      <c r="E11618" s="102"/>
    </row>
    <row r="11619" spans="5:5" x14ac:dyDescent="0.25">
      <c r="E11619" s="102"/>
    </row>
    <row r="11620" spans="5:5" x14ac:dyDescent="0.25">
      <c r="E11620" s="102"/>
    </row>
    <row r="11621" spans="5:5" x14ac:dyDescent="0.25">
      <c r="E11621" s="102"/>
    </row>
    <row r="11622" spans="5:5" x14ac:dyDescent="0.25">
      <c r="E11622" s="102"/>
    </row>
    <row r="11623" spans="5:5" x14ac:dyDescent="0.25">
      <c r="E11623" s="102"/>
    </row>
    <row r="11624" spans="5:5" x14ac:dyDescent="0.25">
      <c r="E11624" s="102"/>
    </row>
    <row r="11625" spans="5:5" x14ac:dyDescent="0.25">
      <c r="E11625" s="102"/>
    </row>
    <row r="11626" spans="5:5" x14ac:dyDescent="0.25">
      <c r="E11626" s="102"/>
    </row>
    <row r="11627" spans="5:5" x14ac:dyDescent="0.25">
      <c r="E11627" s="102"/>
    </row>
    <row r="11628" spans="5:5" x14ac:dyDescent="0.25">
      <c r="E11628" s="102"/>
    </row>
    <row r="11629" spans="5:5" x14ac:dyDescent="0.25">
      <c r="E11629" s="102"/>
    </row>
    <row r="11630" spans="5:5" x14ac:dyDescent="0.25">
      <c r="E11630" s="102"/>
    </row>
    <row r="11631" spans="5:5" x14ac:dyDescent="0.25">
      <c r="E11631" s="102"/>
    </row>
    <row r="11632" spans="5:5" x14ac:dyDescent="0.25">
      <c r="E11632" s="102"/>
    </row>
    <row r="11633" spans="5:5" x14ac:dyDescent="0.25">
      <c r="E11633" s="102"/>
    </row>
    <row r="11634" spans="5:5" x14ac:dyDescent="0.25">
      <c r="E11634" s="102"/>
    </row>
    <row r="11635" spans="5:5" x14ac:dyDescent="0.25">
      <c r="E11635" s="102"/>
    </row>
    <row r="11636" spans="5:5" x14ac:dyDescent="0.25">
      <c r="E11636" s="102"/>
    </row>
    <row r="11637" spans="5:5" x14ac:dyDescent="0.25">
      <c r="E11637" s="102"/>
    </row>
    <row r="11638" spans="5:5" x14ac:dyDescent="0.25">
      <c r="E11638" s="102"/>
    </row>
    <row r="11639" spans="5:5" x14ac:dyDescent="0.25">
      <c r="E11639" s="102"/>
    </row>
    <row r="11640" spans="5:5" x14ac:dyDescent="0.25">
      <c r="E11640" s="102"/>
    </row>
    <row r="11641" spans="5:5" x14ac:dyDescent="0.25">
      <c r="E11641" s="102"/>
    </row>
    <row r="11642" spans="5:5" x14ac:dyDescent="0.25">
      <c r="E11642" s="102"/>
    </row>
    <row r="11643" spans="5:5" x14ac:dyDescent="0.25">
      <c r="E11643" s="102"/>
    </row>
    <row r="11644" spans="5:5" x14ac:dyDescent="0.25">
      <c r="E11644" s="102"/>
    </row>
    <row r="11645" spans="5:5" x14ac:dyDescent="0.25">
      <c r="E11645" s="102"/>
    </row>
    <row r="11646" spans="5:5" x14ac:dyDescent="0.25">
      <c r="E11646" s="102"/>
    </row>
    <row r="11647" spans="5:5" x14ac:dyDescent="0.25">
      <c r="E11647" s="102"/>
    </row>
    <row r="11648" spans="5:5" x14ac:dyDescent="0.25">
      <c r="E11648" s="102"/>
    </row>
    <row r="11649" spans="5:5" x14ac:dyDescent="0.25">
      <c r="E11649" s="102"/>
    </row>
    <row r="11650" spans="5:5" x14ac:dyDescent="0.25">
      <c r="E11650" s="102"/>
    </row>
    <row r="11651" spans="5:5" x14ac:dyDescent="0.25">
      <c r="E11651" s="102"/>
    </row>
    <row r="11652" spans="5:5" x14ac:dyDescent="0.25">
      <c r="E11652" s="102"/>
    </row>
    <row r="11653" spans="5:5" x14ac:dyDescent="0.25">
      <c r="E11653" s="102"/>
    </row>
    <row r="11654" spans="5:5" x14ac:dyDescent="0.25">
      <c r="E11654" s="102"/>
    </row>
    <row r="11655" spans="5:5" x14ac:dyDescent="0.25">
      <c r="E11655" s="102"/>
    </row>
    <row r="11656" spans="5:5" x14ac:dyDescent="0.25">
      <c r="E11656" s="102"/>
    </row>
    <row r="11657" spans="5:5" x14ac:dyDescent="0.25">
      <c r="E11657" s="102"/>
    </row>
    <row r="11658" spans="5:5" x14ac:dyDescent="0.25">
      <c r="E11658" s="102"/>
    </row>
    <row r="11659" spans="5:5" x14ac:dyDescent="0.25">
      <c r="E11659" s="102"/>
    </row>
    <row r="11660" spans="5:5" x14ac:dyDescent="0.25">
      <c r="E11660" s="102"/>
    </row>
    <row r="11661" spans="5:5" x14ac:dyDescent="0.25">
      <c r="E11661" s="102"/>
    </row>
    <row r="11662" spans="5:5" x14ac:dyDescent="0.25">
      <c r="E11662" s="102"/>
    </row>
    <row r="11663" spans="5:5" x14ac:dyDescent="0.25">
      <c r="E11663" s="102"/>
    </row>
    <row r="11664" spans="5:5" x14ac:dyDescent="0.25">
      <c r="E11664" s="102"/>
    </row>
    <row r="11665" spans="5:5" x14ac:dyDescent="0.25">
      <c r="E11665" s="102"/>
    </row>
    <row r="11666" spans="5:5" x14ac:dyDescent="0.25">
      <c r="E11666" s="102"/>
    </row>
    <row r="11667" spans="5:5" x14ac:dyDescent="0.25">
      <c r="E11667" s="102"/>
    </row>
    <row r="11668" spans="5:5" x14ac:dyDescent="0.25">
      <c r="E11668" s="102"/>
    </row>
    <row r="11669" spans="5:5" x14ac:dyDescent="0.25">
      <c r="E11669" s="102"/>
    </row>
    <row r="11670" spans="5:5" x14ac:dyDescent="0.25">
      <c r="E11670" s="102"/>
    </row>
    <row r="11671" spans="5:5" x14ac:dyDescent="0.25">
      <c r="E11671" s="102"/>
    </row>
    <row r="11672" spans="5:5" x14ac:dyDescent="0.25">
      <c r="E11672" s="102"/>
    </row>
    <row r="11673" spans="5:5" x14ac:dyDescent="0.25">
      <c r="E11673" s="102"/>
    </row>
    <row r="11674" spans="5:5" x14ac:dyDescent="0.25">
      <c r="E11674" s="102"/>
    </row>
    <row r="11675" spans="5:5" x14ac:dyDescent="0.25">
      <c r="E11675" s="102"/>
    </row>
    <row r="11676" spans="5:5" x14ac:dyDescent="0.25">
      <c r="E11676" s="102"/>
    </row>
    <row r="11677" spans="5:5" x14ac:dyDescent="0.25">
      <c r="E11677" s="102"/>
    </row>
    <row r="11678" spans="5:5" x14ac:dyDescent="0.25">
      <c r="E11678" s="102"/>
    </row>
    <row r="11679" spans="5:5" x14ac:dyDescent="0.25">
      <c r="E11679" s="102"/>
    </row>
    <row r="11680" spans="5:5" x14ac:dyDescent="0.25">
      <c r="E11680" s="102"/>
    </row>
    <row r="11681" spans="5:5" x14ac:dyDescent="0.25">
      <c r="E11681" s="102"/>
    </row>
    <row r="11682" spans="5:5" x14ac:dyDescent="0.25">
      <c r="E11682" s="102"/>
    </row>
    <row r="11683" spans="5:5" x14ac:dyDescent="0.25">
      <c r="E11683" s="102"/>
    </row>
    <row r="11684" spans="5:5" x14ac:dyDescent="0.25">
      <c r="E11684" s="102"/>
    </row>
    <row r="11685" spans="5:5" x14ac:dyDescent="0.25">
      <c r="E11685" s="102"/>
    </row>
    <row r="11686" spans="5:5" x14ac:dyDescent="0.25">
      <c r="E11686" s="102"/>
    </row>
    <row r="11687" spans="5:5" x14ac:dyDescent="0.25">
      <c r="E11687" s="102"/>
    </row>
    <row r="11688" spans="5:5" x14ac:dyDescent="0.25">
      <c r="E11688" s="102"/>
    </row>
    <row r="11689" spans="5:5" x14ac:dyDescent="0.25">
      <c r="E11689" s="102"/>
    </row>
    <row r="11690" spans="5:5" x14ac:dyDescent="0.25">
      <c r="E11690" s="102"/>
    </row>
    <row r="11691" spans="5:5" x14ac:dyDescent="0.25">
      <c r="E11691" s="102"/>
    </row>
    <row r="11692" spans="5:5" x14ac:dyDescent="0.25">
      <c r="E11692" s="102"/>
    </row>
    <row r="11693" spans="5:5" x14ac:dyDescent="0.25">
      <c r="E11693" s="102"/>
    </row>
    <row r="11694" spans="5:5" x14ac:dyDescent="0.25">
      <c r="E11694" s="102"/>
    </row>
    <row r="11695" spans="5:5" x14ac:dyDescent="0.25">
      <c r="E11695" s="102"/>
    </row>
    <row r="11696" spans="5:5" x14ac:dyDescent="0.25">
      <c r="E11696" s="102"/>
    </row>
    <row r="11697" spans="5:5" x14ac:dyDescent="0.25">
      <c r="E11697" s="102"/>
    </row>
    <row r="11698" spans="5:5" x14ac:dyDescent="0.25">
      <c r="E11698" s="102"/>
    </row>
    <row r="11699" spans="5:5" x14ac:dyDescent="0.25">
      <c r="E11699" s="102"/>
    </row>
    <row r="11700" spans="5:5" x14ac:dyDescent="0.25">
      <c r="E11700" s="102"/>
    </row>
    <row r="11701" spans="5:5" x14ac:dyDescent="0.25">
      <c r="E11701" s="102"/>
    </row>
    <row r="11702" spans="5:5" x14ac:dyDescent="0.25">
      <c r="E11702" s="102"/>
    </row>
    <row r="11703" spans="5:5" x14ac:dyDescent="0.25">
      <c r="E11703" s="102"/>
    </row>
    <row r="11704" spans="5:5" x14ac:dyDescent="0.25">
      <c r="E11704" s="102"/>
    </row>
    <row r="11705" spans="5:5" x14ac:dyDescent="0.25">
      <c r="E11705" s="102"/>
    </row>
    <row r="11706" spans="5:5" x14ac:dyDescent="0.25">
      <c r="E11706" s="102"/>
    </row>
    <row r="11707" spans="5:5" x14ac:dyDescent="0.25">
      <c r="E11707" s="102"/>
    </row>
    <row r="11708" spans="5:5" x14ac:dyDescent="0.25">
      <c r="E11708" s="102"/>
    </row>
    <row r="11709" spans="5:5" x14ac:dyDescent="0.25">
      <c r="E11709" s="102"/>
    </row>
    <row r="11710" spans="5:5" x14ac:dyDescent="0.25">
      <c r="E11710" s="102"/>
    </row>
    <row r="11711" spans="5:5" x14ac:dyDescent="0.25">
      <c r="E11711" s="102"/>
    </row>
    <row r="11712" spans="5:5" x14ac:dyDescent="0.25">
      <c r="E11712" s="102"/>
    </row>
    <row r="11713" spans="5:5" x14ac:dyDescent="0.25">
      <c r="E11713" s="102"/>
    </row>
    <row r="11714" spans="5:5" x14ac:dyDescent="0.25">
      <c r="E11714" s="102"/>
    </row>
    <row r="11715" spans="5:5" x14ac:dyDescent="0.25">
      <c r="E11715" s="102"/>
    </row>
    <row r="11716" spans="5:5" x14ac:dyDescent="0.25">
      <c r="E11716" s="102"/>
    </row>
    <row r="11717" spans="5:5" x14ac:dyDescent="0.25">
      <c r="E11717" s="102"/>
    </row>
    <row r="11718" spans="5:5" x14ac:dyDescent="0.25">
      <c r="E11718" s="102"/>
    </row>
    <row r="11719" spans="5:5" x14ac:dyDescent="0.25">
      <c r="E11719" s="102"/>
    </row>
    <row r="11720" spans="5:5" x14ac:dyDescent="0.25">
      <c r="E11720" s="102"/>
    </row>
    <row r="11721" spans="5:5" x14ac:dyDescent="0.25">
      <c r="E11721" s="102"/>
    </row>
    <row r="11722" spans="5:5" x14ac:dyDescent="0.25">
      <c r="E11722" s="102"/>
    </row>
    <row r="11723" spans="5:5" x14ac:dyDescent="0.25">
      <c r="E11723" s="102"/>
    </row>
    <row r="11724" spans="5:5" x14ac:dyDescent="0.25">
      <c r="E11724" s="102"/>
    </row>
    <row r="11725" spans="5:5" x14ac:dyDescent="0.25">
      <c r="E11725" s="102"/>
    </row>
    <row r="11726" spans="5:5" x14ac:dyDescent="0.25">
      <c r="E11726" s="102"/>
    </row>
    <row r="11727" spans="5:5" x14ac:dyDescent="0.25">
      <c r="E11727" s="102"/>
    </row>
    <row r="11728" spans="5:5" x14ac:dyDescent="0.25">
      <c r="E11728" s="102"/>
    </row>
    <row r="11729" spans="5:5" x14ac:dyDescent="0.25">
      <c r="E11729" s="102"/>
    </row>
    <row r="11730" spans="5:5" x14ac:dyDescent="0.25">
      <c r="E11730" s="102"/>
    </row>
    <row r="11731" spans="5:5" x14ac:dyDescent="0.25">
      <c r="E11731" s="102"/>
    </row>
    <row r="11732" spans="5:5" x14ac:dyDescent="0.25">
      <c r="E11732" s="102"/>
    </row>
    <row r="11733" spans="5:5" x14ac:dyDescent="0.25">
      <c r="E11733" s="102"/>
    </row>
    <row r="11734" spans="5:5" x14ac:dyDescent="0.25">
      <c r="E11734" s="102"/>
    </row>
    <row r="11735" spans="5:5" x14ac:dyDescent="0.25">
      <c r="E11735" s="102"/>
    </row>
    <row r="11736" spans="5:5" x14ac:dyDescent="0.25">
      <c r="E11736" s="102"/>
    </row>
    <row r="11737" spans="5:5" x14ac:dyDescent="0.25">
      <c r="E11737" s="102"/>
    </row>
    <row r="11738" spans="5:5" x14ac:dyDescent="0.25">
      <c r="E11738" s="102"/>
    </row>
    <row r="11739" spans="5:5" x14ac:dyDescent="0.25">
      <c r="E11739" s="102"/>
    </row>
    <row r="11740" spans="5:5" x14ac:dyDescent="0.25">
      <c r="E11740" s="102"/>
    </row>
    <row r="11741" spans="5:5" x14ac:dyDescent="0.25">
      <c r="E11741" s="102"/>
    </row>
    <row r="11742" spans="5:5" x14ac:dyDescent="0.25">
      <c r="E11742" s="102"/>
    </row>
    <row r="11743" spans="5:5" x14ac:dyDescent="0.25">
      <c r="E11743" s="102"/>
    </row>
    <row r="11744" spans="5:5" x14ac:dyDescent="0.25">
      <c r="E11744" s="102"/>
    </row>
    <row r="11745" spans="5:5" x14ac:dyDescent="0.25">
      <c r="E11745" s="102"/>
    </row>
    <row r="11746" spans="5:5" x14ac:dyDescent="0.25">
      <c r="E11746" s="102"/>
    </row>
    <row r="11747" spans="5:5" x14ac:dyDescent="0.25">
      <c r="E11747" s="102"/>
    </row>
    <row r="11748" spans="5:5" x14ac:dyDescent="0.25">
      <c r="E11748" s="102"/>
    </row>
    <row r="11749" spans="5:5" x14ac:dyDescent="0.25">
      <c r="E11749" s="102"/>
    </row>
    <row r="11750" spans="5:5" x14ac:dyDescent="0.25">
      <c r="E11750" s="102"/>
    </row>
    <row r="11751" spans="5:5" x14ac:dyDescent="0.25">
      <c r="E11751" s="102"/>
    </row>
    <row r="11752" spans="5:5" x14ac:dyDescent="0.25">
      <c r="E11752" s="102"/>
    </row>
    <row r="11753" spans="5:5" x14ac:dyDescent="0.25">
      <c r="E11753" s="102"/>
    </row>
    <row r="11754" spans="5:5" x14ac:dyDescent="0.25">
      <c r="E11754" s="102"/>
    </row>
    <row r="11755" spans="5:5" x14ac:dyDescent="0.25">
      <c r="E11755" s="102"/>
    </row>
    <row r="11756" spans="5:5" x14ac:dyDescent="0.25">
      <c r="E11756" s="102"/>
    </row>
    <row r="11757" spans="5:5" x14ac:dyDescent="0.25">
      <c r="E11757" s="102"/>
    </row>
    <row r="11758" spans="5:5" x14ac:dyDescent="0.25">
      <c r="E11758" s="102"/>
    </row>
    <row r="11759" spans="5:5" x14ac:dyDescent="0.25">
      <c r="E11759" s="102"/>
    </row>
    <row r="11760" spans="5:5" x14ac:dyDescent="0.25">
      <c r="E11760" s="102"/>
    </row>
    <row r="11761" spans="5:5" x14ac:dyDescent="0.25">
      <c r="E11761" s="102"/>
    </row>
    <row r="11762" spans="5:5" x14ac:dyDescent="0.25">
      <c r="E11762" s="102"/>
    </row>
    <row r="11763" spans="5:5" x14ac:dyDescent="0.25">
      <c r="E11763" s="102"/>
    </row>
    <row r="11764" spans="5:5" x14ac:dyDescent="0.25">
      <c r="E11764" s="102"/>
    </row>
    <row r="11765" spans="5:5" x14ac:dyDescent="0.25">
      <c r="E11765" s="102"/>
    </row>
    <row r="11766" spans="5:5" x14ac:dyDescent="0.25">
      <c r="E11766" s="102"/>
    </row>
    <row r="11767" spans="5:5" x14ac:dyDescent="0.25">
      <c r="E11767" s="102"/>
    </row>
    <row r="11768" spans="5:5" x14ac:dyDescent="0.25">
      <c r="E11768" s="102"/>
    </row>
    <row r="11769" spans="5:5" x14ac:dyDescent="0.25">
      <c r="E11769" s="102"/>
    </row>
    <row r="11770" spans="5:5" x14ac:dyDescent="0.25">
      <c r="E11770" s="102"/>
    </row>
    <row r="11771" spans="5:5" x14ac:dyDescent="0.25">
      <c r="E11771" s="102"/>
    </row>
    <row r="11772" spans="5:5" x14ac:dyDescent="0.25">
      <c r="E11772" s="102"/>
    </row>
    <row r="11773" spans="5:5" x14ac:dyDescent="0.25">
      <c r="E11773" s="102"/>
    </row>
    <row r="11774" spans="5:5" x14ac:dyDescent="0.25">
      <c r="E11774" s="102"/>
    </row>
    <row r="11775" spans="5:5" x14ac:dyDescent="0.25">
      <c r="E11775" s="102"/>
    </row>
    <row r="11776" spans="5:5" x14ac:dyDescent="0.25">
      <c r="E11776" s="102"/>
    </row>
    <row r="11777" spans="5:5" x14ac:dyDescent="0.25">
      <c r="E11777" s="102"/>
    </row>
    <row r="11778" spans="5:5" x14ac:dyDescent="0.25">
      <c r="E11778" s="102"/>
    </row>
    <row r="11779" spans="5:5" x14ac:dyDescent="0.25">
      <c r="E11779" s="102"/>
    </row>
    <row r="11780" spans="5:5" x14ac:dyDescent="0.25">
      <c r="E11780" s="102"/>
    </row>
    <row r="11781" spans="5:5" x14ac:dyDescent="0.25">
      <c r="E11781" s="102"/>
    </row>
    <row r="11782" spans="5:5" x14ac:dyDescent="0.25">
      <c r="E11782" s="102"/>
    </row>
    <row r="11783" spans="5:5" x14ac:dyDescent="0.25">
      <c r="E11783" s="102"/>
    </row>
    <row r="11784" spans="5:5" x14ac:dyDescent="0.25">
      <c r="E11784" s="102"/>
    </row>
    <row r="11785" spans="5:5" x14ac:dyDescent="0.25">
      <c r="E11785" s="102"/>
    </row>
    <row r="11786" spans="5:5" x14ac:dyDescent="0.25">
      <c r="E11786" s="102"/>
    </row>
    <row r="11787" spans="5:5" x14ac:dyDescent="0.25">
      <c r="E11787" s="102"/>
    </row>
    <row r="11788" spans="5:5" x14ac:dyDescent="0.25">
      <c r="E11788" s="102"/>
    </row>
    <row r="11789" spans="5:5" x14ac:dyDescent="0.25">
      <c r="E11789" s="102"/>
    </row>
    <row r="11790" spans="5:5" x14ac:dyDescent="0.25">
      <c r="E11790" s="102"/>
    </row>
    <row r="11791" spans="5:5" x14ac:dyDescent="0.25">
      <c r="E11791" s="102"/>
    </row>
    <row r="11792" spans="5:5" x14ac:dyDescent="0.25">
      <c r="E11792" s="102"/>
    </row>
    <row r="11793" spans="5:5" x14ac:dyDescent="0.25">
      <c r="E11793" s="102"/>
    </row>
    <row r="11794" spans="5:5" x14ac:dyDescent="0.25">
      <c r="E11794" s="102"/>
    </row>
    <row r="11795" spans="5:5" x14ac:dyDescent="0.25">
      <c r="E11795" s="102"/>
    </row>
    <row r="11796" spans="5:5" x14ac:dyDescent="0.25">
      <c r="E11796" s="102"/>
    </row>
    <row r="11797" spans="5:5" x14ac:dyDescent="0.25">
      <c r="E11797" s="102"/>
    </row>
    <row r="11798" spans="5:5" x14ac:dyDescent="0.25">
      <c r="E11798" s="102"/>
    </row>
    <row r="11799" spans="5:5" x14ac:dyDescent="0.25">
      <c r="E11799" s="102"/>
    </row>
    <row r="11800" spans="5:5" x14ac:dyDescent="0.25">
      <c r="E11800" s="102"/>
    </row>
    <row r="11801" spans="5:5" x14ac:dyDescent="0.25">
      <c r="E11801" s="102"/>
    </row>
    <row r="11802" spans="5:5" x14ac:dyDescent="0.25">
      <c r="E11802" s="102"/>
    </row>
    <row r="11803" spans="5:5" x14ac:dyDescent="0.25">
      <c r="E11803" s="102"/>
    </row>
    <row r="11804" spans="5:5" x14ac:dyDescent="0.25">
      <c r="E11804" s="102"/>
    </row>
    <row r="11805" spans="5:5" x14ac:dyDescent="0.25">
      <c r="E11805" s="102"/>
    </row>
    <row r="11806" spans="5:5" x14ac:dyDescent="0.25">
      <c r="E11806" s="102"/>
    </row>
    <row r="11807" spans="5:5" x14ac:dyDescent="0.25">
      <c r="E11807" s="102"/>
    </row>
    <row r="11808" spans="5:5" x14ac:dyDescent="0.25">
      <c r="E11808" s="102"/>
    </row>
    <row r="11809" spans="5:5" x14ac:dyDescent="0.25">
      <c r="E11809" s="102"/>
    </row>
    <row r="11810" spans="5:5" x14ac:dyDescent="0.25">
      <c r="E11810" s="102"/>
    </row>
    <row r="11811" spans="5:5" x14ac:dyDescent="0.25">
      <c r="E11811" s="102"/>
    </row>
    <row r="11812" spans="5:5" x14ac:dyDescent="0.25">
      <c r="E11812" s="102"/>
    </row>
    <row r="11813" spans="5:5" x14ac:dyDescent="0.25">
      <c r="E11813" s="102"/>
    </row>
    <row r="11814" spans="5:5" x14ac:dyDescent="0.25">
      <c r="E11814" s="102"/>
    </row>
    <row r="11815" spans="5:5" x14ac:dyDescent="0.25">
      <c r="E11815" s="102"/>
    </row>
    <row r="11816" spans="5:5" x14ac:dyDescent="0.25">
      <c r="E11816" s="102"/>
    </row>
    <row r="11817" spans="5:5" x14ac:dyDescent="0.25">
      <c r="E11817" s="102"/>
    </row>
    <row r="11818" spans="5:5" x14ac:dyDescent="0.25">
      <c r="E11818" s="102"/>
    </row>
    <row r="11819" spans="5:5" x14ac:dyDescent="0.25">
      <c r="E11819" s="102"/>
    </row>
    <row r="11820" spans="5:5" x14ac:dyDescent="0.25">
      <c r="E11820" s="102"/>
    </row>
    <row r="11821" spans="5:5" x14ac:dyDescent="0.25">
      <c r="E11821" s="102"/>
    </row>
    <row r="11822" spans="5:5" x14ac:dyDescent="0.25">
      <c r="E11822" s="102"/>
    </row>
    <row r="11823" spans="5:5" x14ac:dyDescent="0.25">
      <c r="E11823" s="102"/>
    </row>
    <row r="11824" spans="5:5" x14ac:dyDescent="0.25">
      <c r="E11824" s="102"/>
    </row>
    <row r="11825" spans="5:5" x14ac:dyDescent="0.25">
      <c r="E11825" s="102"/>
    </row>
    <row r="11826" spans="5:5" x14ac:dyDescent="0.25">
      <c r="E11826" s="102"/>
    </row>
    <row r="11827" spans="5:5" x14ac:dyDescent="0.25">
      <c r="E11827" s="102"/>
    </row>
    <row r="11828" spans="5:5" x14ac:dyDescent="0.25">
      <c r="E11828" s="102"/>
    </row>
    <row r="11829" spans="5:5" x14ac:dyDescent="0.25">
      <c r="E11829" s="102"/>
    </row>
    <row r="11830" spans="5:5" x14ac:dyDescent="0.25">
      <c r="E11830" s="102"/>
    </row>
    <row r="11831" spans="5:5" x14ac:dyDescent="0.25">
      <c r="E11831" s="102"/>
    </row>
    <row r="11832" spans="5:5" x14ac:dyDescent="0.25">
      <c r="E11832" s="102"/>
    </row>
    <row r="11833" spans="5:5" x14ac:dyDescent="0.25">
      <c r="E11833" s="102"/>
    </row>
    <row r="11834" spans="5:5" x14ac:dyDescent="0.25">
      <c r="E11834" s="102"/>
    </row>
    <row r="11835" spans="5:5" x14ac:dyDescent="0.25">
      <c r="E11835" s="102"/>
    </row>
    <row r="11836" spans="5:5" x14ac:dyDescent="0.25">
      <c r="E11836" s="102"/>
    </row>
    <row r="11837" spans="5:5" x14ac:dyDescent="0.25">
      <c r="E11837" s="102"/>
    </row>
    <row r="11838" spans="5:5" x14ac:dyDescent="0.25">
      <c r="E11838" s="102"/>
    </row>
    <row r="11839" spans="5:5" x14ac:dyDescent="0.25">
      <c r="E11839" s="102"/>
    </row>
    <row r="11840" spans="5:5" x14ac:dyDescent="0.25">
      <c r="E11840" s="102"/>
    </row>
    <row r="11841" spans="5:5" x14ac:dyDescent="0.25">
      <c r="E11841" s="102"/>
    </row>
    <row r="11842" spans="5:5" x14ac:dyDescent="0.25">
      <c r="E11842" s="102"/>
    </row>
    <row r="11843" spans="5:5" x14ac:dyDescent="0.25">
      <c r="E11843" s="102"/>
    </row>
    <row r="11844" spans="5:5" x14ac:dyDescent="0.25">
      <c r="E11844" s="102"/>
    </row>
    <row r="11845" spans="5:5" x14ac:dyDescent="0.25">
      <c r="E11845" s="102"/>
    </row>
    <row r="11846" spans="5:5" x14ac:dyDescent="0.25">
      <c r="E11846" s="102"/>
    </row>
    <row r="11847" spans="5:5" x14ac:dyDescent="0.25">
      <c r="E11847" s="102"/>
    </row>
    <row r="11848" spans="5:5" x14ac:dyDescent="0.25">
      <c r="E11848" s="102"/>
    </row>
    <row r="11849" spans="5:5" x14ac:dyDescent="0.25">
      <c r="E11849" s="102"/>
    </row>
    <row r="11850" spans="5:5" x14ac:dyDescent="0.25">
      <c r="E11850" s="102"/>
    </row>
    <row r="11851" spans="5:5" x14ac:dyDescent="0.25">
      <c r="E11851" s="102"/>
    </row>
    <row r="11852" spans="5:5" x14ac:dyDescent="0.25">
      <c r="E11852" s="102"/>
    </row>
    <row r="11853" spans="5:5" x14ac:dyDescent="0.25">
      <c r="E11853" s="102"/>
    </row>
    <row r="11854" spans="5:5" x14ac:dyDescent="0.25">
      <c r="E11854" s="102"/>
    </row>
    <row r="11855" spans="5:5" x14ac:dyDescent="0.25">
      <c r="E11855" s="102"/>
    </row>
    <row r="11856" spans="5:5" x14ac:dyDescent="0.25">
      <c r="E11856" s="102"/>
    </row>
    <row r="11857" spans="5:5" x14ac:dyDescent="0.25">
      <c r="E11857" s="102"/>
    </row>
    <row r="11858" spans="5:5" x14ac:dyDescent="0.25">
      <c r="E11858" s="102"/>
    </row>
    <row r="11859" spans="5:5" x14ac:dyDescent="0.25">
      <c r="E11859" s="102"/>
    </row>
    <row r="11860" spans="5:5" x14ac:dyDescent="0.25">
      <c r="E11860" s="102"/>
    </row>
    <row r="11861" spans="5:5" x14ac:dyDescent="0.25">
      <c r="E11861" s="102"/>
    </row>
    <row r="11862" spans="5:5" x14ac:dyDescent="0.25">
      <c r="E11862" s="102"/>
    </row>
    <row r="11863" spans="5:5" x14ac:dyDescent="0.25">
      <c r="E11863" s="102"/>
    </row>
    <row r="11864" spans="5:5" x14ac:dyDescent="0.25">
      <c r="E11864" s="102"/>
    </row>
    <row r="11865" spans="5:5" x14ac:dyDescent="0.25">
      <c r="E11865" s="102"/>
    </row>
    <row r="11866" spans="5:5" x14ac:dyDescent="0.25">
      <c r="E11866" s="102"/>
    </row>
    <row r="11867" spans="5:5" x14ac:dyDescent="0.25">
      <c r="E11867" s="102"/>
    </row>
    <row r="11868" spans="5:5" x14ac:dyDescent="0.25">
      <c r="E11868" s="102"/>
    </row>
    <row r="11869" spans="5:5" x14ac:dyDescent="0.25">
      <c r="E11869" s="102"/>
    </row>
    <row r="11870" spans="5:5" x14ac:dyDescent="0.25">
      <c r="E11870" s="102"/>
    </row>
    <row r="11871" spans="5:5" x14ac:dyDescent="0.25">
      <c r="E11871" s="102"/>
    </row>
    <row r="11872" spans="5:5" x14ac:dyDescent="0.25">
      <c r="E11872" s="102"/>
    </row>
    <row r="11873" spans="5:5" x14ac:dyDescent="0.25">
      <c r="E11873" s="102"/>
    </row>
    <row r="11874" spans="5:5" x14ac:dyDescent="0.25">
      <c r="E11874" s="102"/>
    </row>
    <row r="11875" spans="5:5" x14ac:dyDescent="0.25">
      <c r="E11875" s="102"/>
    </row>
    <row r="11876" spans="5:5" x14ac:dyDescent="0.25">
      <c r="E11876" s="102"/>
    </row>
    <row r="11877" spans="5:5" x14ac:dyDescent="0.25">
      <c r="E11877" s="102"/>
    </row>
    <row r="11878" spans="5:5" x14ac:dyDescent="0.25">
      <c r="E11878" s="102"/>
    </row>
    <row r="11879" spans="5:5" x14ac:dyDescent="0.25">
      <c r="E11879" s="102"/>
    </row>
    <row r="11880" spans="5:5" x14ac:dyDescent="0.25">
      <c r="E11880" s="102"/>
    </row>
    <row r="11881" spans="5:5" x14ac:dyDescent="0.25">
      <c r="E11881" s="102"/>
    </row>
    <row r="11882" spans="5:5" x14ac:dyDescent="0.25">
      <c r="E11882" s="102"/>
    </row>
    <row r="11883" spans="5:5" x14ac:dyDescent="0.25">
      <c r="E11883" s="102"/>
    </row>
    <row r="11884" spans="5:5" x14ac:dyDescent="0.25">
      <c r="E11884" s="102"/>
    </row>
    <row r="11885" spans="5:5" x14ac:dyDescent="0.25">
      <c r="E11885" s="102"/>
    </row>
    <row r="11886" spans="5:5" x14ac:dyDescent="0.25">
      <c r="E11886" s="102"/>
    </row>
    <row r="11887" spans="5:5" x14ac:dyDescent="0.25">
      <c r="E11887" s="102"/>
    </row>
    <row r="11888" spans="5:5" x14ac:dyDescent="0.25">
      <c r="E11888" s="102"/>
    </row>
    <row r="11889" spans="5:5" x14ac:dyDescent="0.25">
      <c r="E11889" s="102"/>
    </row>
    <row r="11890" spans="5:5" x14ac:dyDescent="0.25">
      <c r="E11890" s="102"/>
    </row>
    <row r="11891" spans="5:5" x14ac:dyDescent="0.25">
      <c r="E11891" s="102"/>
    </row>
    <row r="11892" spans="5:5" x14ac:dyDescent="0.25">
      <c r="E11892" s="102"/>
    </row>
    <row r="11893" spans="5:5" x14ac:dyDescent="0.25">
      <c r="E11893" s="102"/>
    </row>
    <row r="11894" spans="5:5" x14ac:dyDescent="0.25">
      <c r="E11894" s="102"/>
    </row>
    <row r="11895" spans="5:5" x14ac:dyDescent="0.25">
      <c r="E11895" s="102"/>
    </row>
    <row r="11896" spans="5:5" x14ac:dyDescent="0.25">
      <c r="E11896" s="102"/>
    </row>
    <row r="11897" spans="5:5" x14ac:dyDescent="0.25">
      <c r="E11897" s="102"/>
    </row>
    <row r="11898" spans="5:5" x14ac:dyDescent="0.25">
      <c r="E11898" s="102"/>
    </row>
    <row r="11899" spans="5:5" x14ac:dyDescent="0.25">
      <c r="E11899" s="102"/>
    </row>
    <row r="11900" spans="5:5" x14ac:dyDescent="0.25">
      <c r="E11900" s="102"/>
    </row>
    <row r="11901" spans="5:5" x14ac:dyDescent="0.25">
      <c r="E11901" s="102"/>
    </row>
    <row r="11902" spans="5:5" x14ac:dyDescent="0.25">
      <c r="E11902" s="102"/>
    </row>
    <row r="11903" spans="5:5" x14ac:dyDescent="0.25">
      <c r="E11903" s="102"/>
    </row>
    <row r="11904" spans="5:5" x14ac:dyDescent="0.25">
      <c r="E11904" s="102"/>
    </row>
    <row r="11905" spans="5:5" x14ac:dyDescent="0.25">
      <c r="E11905" s="102"/>
    </row>
    <row r="11906" spans="5:5" x14ac:dyDescent="0.25">
      <c r="E11906" s="102"/>
    </row>
    <row r="11907" spans="5:5" x14ac:dyDescent="0.25">
      <c r="E11907" s="102"/>
    </row>
    <row r="11908" spans="5:5" x14ac:dyDescent="0.25">
      <c r="E11908" s="102"/>
    </row>
    <row r="11909" spans="5:5" x14ac:dyDescent="0.25">
      <c r="E11909" s="102"/>
    </row>
    <row r="11910" spans="5:5" x14ac:dyDescent="0.25">
      <c r="E11910" s="102"/>
    </row>
    <row r="11911" spans="5:5" x14ac:dyDescent="0.25">
      <c r="E11911" s="102"/>
    </row>
    <row r="11912" spans="5:5" x14ac:dyDescent="0.25">
      <c r="E11912" s="102"/>
    </row>
    <row r="11913" spans="5:5" x14ac:dyDescent="0.25">
      <c r="E11913" s="102"/>
    </row>
    <row r="11914" spans="5:5" x14ac:dyDescent="0.25">
      <c r="E11914" s="102"/>
    </row>
    <row r="11915" spans="5:5" x14ac:dyDescent="0.25">
      <c r="E11915" s="102"/>
    </row>
    <row r="11916" spans="5:5" x14ac:dyDescent="0.25">
      <c r="E11916" s="102"/>
    </row>
    <row r="11917" spans="5:5" x14ac:dyDescent="0.25">
      <c r="E11917" s="102"/>
    </row>
    <row r="11918" spans="5:5" x14ac:dyDescent="0.25">
      <c r="E11918" s="102"/>
    </row>
    <row r="11919" spans="5:5" x14ac:dyDescent="0.25">
      <c r="E11919" s="102"/>
    </row>
    <row r="11920" spans="5:5" x14ac:dyDescent="0.25">
      <c r="E11920" s="102"/>
    </row>
    <row r="11921" spans="5:5" x14ac:dyDescent="0.25">
      <c r="E11921" s="102"/>
    </row>
    <row r="11922" spans="5:5" x14ac:dyDescent="0.25">
      <c r="E11922" s="102"/>
    </row>
    <row r="11923" spans="5:5" x14ac:dyDescent="0.25">
      <c r="E11923" s="102"/>
    </row>
    <row r="11924" spans="5:5" x14ac:dyDescent="0.25">
      <c r="E11924" s="102"/>
    </row>
    <row r="11925" spans="5:5" x14ac:dyDescent="0.25">
      <c r="E11925" s="102"/>
    </row>
    <row r="11926" spans="5:5" x14ac:dyDescent="0.25">
      <c r="E11926" s="102"/>
    </row>
    <row r="11927" spans="5:5" x14ac:dyDescent="0.25">
      <c r="E11927" s="102"/>
    </row>
    <row r="11928" spans="5:5" x14ac:dyDescent="0.25">
      <c r="E11928" s="102"/>
    </row>
    <row r="11929" spans="5:5" x14ac:dyDescent="0.25">
      <c r="E11929" s="102"/>
    </row>
    <row r="11930" spans="5:5" x14ac:dyDescent="0.25">
      <c r="E11930" s="102"/>
    </row>
    <row r="11931" spans="5:5" x14ac:dyDescent="0.25">
      <c r="E11931" s="102"/>
    </row>
    <row r="11932" spans="5:5" x14ac:dyDescent="0.25">
      <c r="E11932" s="102"/>
    </row>
    <row r="11933" spans="5:5" x14ac:dyDescent="0.25">
      <c r="E11933" s="102"/>
    </row>
    <row r="11934" spans="5:5" x14ac:dyDescent="0.25">
      <c r="E11934" s="102"/>
    </row>
    <row r="11935" spans="5:5" x14ac:dyDescent="0.25">
      <c r="E11935" s="102"/>
    </row>
    <row r="11936" spans="5:5" x14ac:dyDescent="0.25">
      <c r="E11936" s="102"/>
    </row>
    <row r="11937" spans="5:5" x14ac:dyDescent="0.25">
      <c r="E11937" s="102"/>
    </row>
    <row r="11938" spans="5:5" x14ac:dyDescent="0.25">
      <c r="E11938" s="102"/>
    </row>
    <row r="11939" spans="5:5" x14ac:dyDescent="0.25">
      <c r="E11939" s="102"/>
    </row>
    <row r="11940" spans="5:5" x14ac:dyDescent="0.25">
      <c r="E11940" s="102"/>
    </row>
    <row r="11941" spans="5:5" x14ac:dyDescent="0.25">
      <c r="E11941" s="102"/>
    </row>
    <row r="11942" spans="5:5" x14ac:dyDescent="0.25">
      <c r="E11942" s="102"/>
    </row>
    <row r="11943" spans="5:5" x14ac:dyDescent="0.25">
      <c r="E11943" s="102"/>
    </row>
    <row r="11944" spans="5:5" x14ac:dyDescent="0.25">
      <c r="E11944" s="102"/>
    </row>
    <row r="11945" spans="5:5" x14ac:dyDescent="0.25">
      <c r="E11945" s="102"/>
    </row>
    <row r="11946" spans="5:5" x14ac:dyDescent="0.25">
      <c r="E11946" s="102"/>
    </row>
    <row r="11947" spans="5:5" x14ac:dyDescent="0.25">
      <c r="E11947" s="102"/>
    </row>
    <row r="11948" spans="5:5" x14ac:dyDescent="0.25">
      <c r="E11948" s="102"/>
    </row>
    <row r="11949" spans="5:5" x14ac:dyDescent="0.25">
      <c r="E11949" s="102"/>
    </row>
    <row r="11950" spans="5:5" x14ac:dyDescent="0.25">
      <c r="E11950" s="102"/>
    </row>
    <row r="11951" spans="5:5" x14ac:dyDescent="0.25">
      <c r="E11951" s="102"/>
    </row>
    <row r="11952" spans="5:5" x14ac:dyDescent="0.25">
      <c r="E11952" s="102"/>
    </row>
    <row r="11953" spans="5:5" x14ac:dyDescent="0.25">
      <c r="E11953" s="102"/>
    </row>
    <row r="11954" spans="5:5" x14ac:dyDescent="0.25">
      <c r="E11954" s="102"/>
    </row>
    <row r="11955" spans="5:5" x14ac:dyDescent="0.25">
      <c r="E11955" s="102"/>
    </row>
    <row r="11956" spans="5:5" x14ac:dyDescent="0.25">
      <c r="E11956" s="102"/>
    </row>
    <row r="11957" spans="5:5" x14ac:dyDescent="0.25">
      <c r="E11957" s="102"/>
    </row>
    <row r="11958" spans="5:5" x14ac:dyDescent="0.25">
      <c r="E11958" s="102"/>
    </row>
    <row r="11959" spans="5:5" x14ac:dyDescent="0.25">
      <c r="E11959" s="102"/>
    </row>
    <row r="11960" spans="5:5" x14ac:dyDescent="0.25">
      <c r="E11960" s="102"/>
    </row>
    <row r="11961" spans="5:5" x14ac:dyDescent="0.25">
      <c r="E11961" s="102"/>
    </row>
    <row r="11962" spans="5:5" x14ac:dyDescent="0.25">
      <c r="E11962" s="102"/>
    </row>
    <row r="11963" spans="5:5" x14ac:dyDescent="0.25">
      <c r="E11963" s="102"/>
    </row>
    <row r="11964" spans="5:5" x14ac:dyDescent="0.25">
      <c r="E11964" s="102"/>
    </row>
    <row r="11965" spans="5:5" x14ac:dyDescent="0.25">
      <c r="E11965" s="102"/>
    </row>
    <row r="11966" spans="5:5" x14ac:dyDescent="0.25">
      <c r="E11966" s="102"/>
    </row>
    <row r="11967" spans="5:5" x14ac:dyDescent="0.25">
      <c r="E11967" s="102"/>
    </row>
    <row r="11968" spans="5:5" x14ac:dyDescent="0.25">
      <c r="E11968" s="102"/>
    </row>
    <row r="11969" spans="5:5" x14ac:dyDescent="0.25">
      <c r="E11969" s="102"/>
    </row>
    <row r="11970" spans="5:5" x14ac:dyDescent="0.25">
      <c r="E11970" s="102"/>
    </row>
    <row r="11971" spans="5:5" x14ac:dyDescent="0.25">
      <c r="E11971" s="102"/>
    </row>
    <row r="11972" spans="5:5" x14ac:dyDescent="0.25">
      <c r="E11972" s="102"/>
    </row>
    <row r="11973" spans="5:5" x14ac:dyDescent="0.25">
      <c r="E11973" s="102"/>
    </row>
    <row r="11974" spans="5:5" x14ac:dyDescent="0.25">
      <c r="E11974" s="102"/>
    </row>
    <row r="11975" spans="5:5" x14ac:dyDescent="0.25">
      <c r="E11975" s="102"/>
    </row>
    <row r="11976" spans="5:5" x14ac:dyDescent="0.25">
      <c r="E11976" s="102"/>
    </row>
    <row r="11977" spans="5:5" x14ac:dyDescent="0.25">
      <c r="E11977" s="102"/>
    </row>
    <row r="11978" spans="5:5" x14ac:dyDescent="0.25">
      <c r="E11978" s="102"/>
    </row>
    <row r="11979" spans="5:5" x14ac:dyDescent="0.25">
      <c r="E11979" s="102"/>
    </row>
    <row r="11980" spans="5:5" x14ac:dyDescent="0.25">
      <c r="E11980" s="102"/>
    </row>
    <row r="11981" spans="5:5" x14ac:dyDescent="0.25">
      <c r="E11981" s="102"/>
    </row>
    <row r="11982" spans="5:5" x14ac:dyDescent="0.25">
      <c r="E11982" s="102"/>
    </row>
    <row r="11983" spans="5:5" x14ac:dyDescent="0.25">
      <c r="E11983" s="102"/>
    </row>
    <row r="11984" spans="5:5" x14ac:dyDescent="0.25">
      <c r="E11984" s="102"/>
    </row>
    <row r="11985" spans="5:5" x14ac:dyDescent="0.25">
      <c r="E11985" s="102"/>
    </row>
    <row r="11986" spans="5:5" x14ac:dyDescent="0.25">
      <c r="E11986" s="102"/>
    </row>
    <row r="11987" spans="5:5" x14ac:dyDescent="0.25">
      <c r="E11987" s="102"/>
    </row>
    <row r="11988" spans="5:5" x14ac:dyDescent="0.25">
      <c r="E11988" s="102"/>
    </row>
    <row r="11989" spans="5:5" x14ac:dyDescent="0.25">
      <c r="E11989" s="102"/>
    </row>
    <row r="11990" spans="5:5" x14ac:dyDescent="0.25">
      <c r="E11990" s="102"/>
    </row>
    <row r="11991" spans="5:5" x14ac:dyDescent="0.25">
      <c r="E11991" s="102"/>
    </row>
  </sheetData>
  <mergeCells count="1">
    <mergeCell ref="A1:E1"/>
  </mergeCells>
  <phoneticPr fontId="3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8CDC5-E56F-4993-862C-E951D80BA125}">
  <sheetPr codeName="Hoja9">
    <tabColor rgb="FFFFC000"/>
  </sheetPr>
  <dimension ref="A12:AL783"/>
  <sheetViews>
    <sheetView workbookViewId="0">
      <selection activeCell="C13" sqref="C13"/>
    </sheetView>
  </sheetViews>
  <sheetFormatPr baseColWidth="10" defaultRowHeight="15" x14ac:dyDescent="0.25"/>
  <cols>
    <col min="1" max="1" width="19.28515625" customWidth="1"/>
    <col min="2" max="2" width="30.85546875" customWidth="1"/>
    <col min="3" max="3" width="22.5703125" customWidth="1"/>
    <col min="37" max="37" width="14.5703125" customWidth="1"/>
    <col min="38" max="38" width="44.5703125" customWidth="1"/>
  </cols>
  <sheetData>
    <row r="12" spans="1:38" x14ac:dyDescent="0.25">
      <c r="A12">
        <v>1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 s="14">
        <v>9</v>
      </c>
      <c r="J12">
        <v>10</v>
      </c>
      <c r="K12">
        <v>11</v>
      </c>
      <c r="L12">
        <v>12</v>
      </c>
      <c r="M12">
        <v>13</v>
      </c>
      <c r="N12">
        <v>14</v>
      </c>
      <c r="O12">
        <v>15</v>
      </c>
      <c r="P12">
        <v>16</v>
      </c>
      <c r="Q12">
        <v>17</v>
      </c>
      <c r="R12">
        <v>18</v>
      </c>
      <c r="S12" s="14">
        <v>19</v>
      </c>
      <c r="T12">
        <v>20</v>
      </c>
      <c r="U12">
        <v>21</v>
      </c>
      <c r="V12">
        <v>22</v>
      </c>
      <c r="W12">
        <v>23</v>
      </c>
      <c r="X12" s="14">
        <v>24</v>
      </c>
      <c r="Y12">
        <v>25</v>
      </c>
      <c r="Z12">
        <v>26</v>
      </c>
      <c r="AA12">
        <v>27</v>
      </c>
      <c r="AB12">
        <v>28</v>
      </c>
      <c r="AC12">
        <v>29</v>
      </c>
      <c r="AD12">
        <v>30</v>
      </c>
      <c r="AE12">
        <v>31</v>
      </c>
      <c r="AF12">
        <v>32</v>
      </c>
      <c r="AG12">
        <v>33</v>
      </c>
      <c r="AH12">
        <v>34</v>
      </c>
      <c r="AI12">
        <v>35</v>
      </c>
      <c r="AJ12">
        <v>36</v>
      </c>
      <c r="AK12">
        <v>37</v>
      </c>
      <c r="AL12">
        <v>38</v>
      </c>
    </row>
    <row r="13" spans="1:38" ht="24" x14ac:dyDescent="0.25">
      <c r="A13" s="57" t="s">
        <v>14272</v>
      </c>
      <c r="B13" s="57" t="s">
        <v>3826</v>
      </c>
      <c r="C13" s="57" t="s">
        <v>14273</v>
      </c>
      <c r="D13" s="57" t="s">
        <v>14274</v>
      </c>
      <c r="E13" s="58" t="s">
        <v>14275</v>
      </c>
      <c r="F13" s="59" t="s">
        <v>14260</v>
      </c>
      <c r="G13" s="60" t="s">
        <v>14276</v>
      </c>
      <c r="H13" s="57" t="s">
        <v>14277</v>
      </c>
      <c r="I13" s="61" t="s">
        <v>14278</v>
      </c>
      <c r="J13" s="61" t="s">
        <v>14279</v>
      </c>
      <c r="K13" s="61" t="s">
        <v>14280</v>
      </c>
      <c r="L13" s="61" t="s">
        <v>14281</v>
      </c>
      <c r="M13" s="61" t="s">
        <v>14282</v>
      </c>
      <c r="N13" s="61" t="s">
        <v>14283</v>
      </c>
      <c r="O13" s="57" t="s">
        <v>14284</v>
      </c>
      <c r="P13" s="57" t="s">
        <v>14285</v>
      </c>
      <c r="Q13" s="57" t="s">
        <v>14286</v>
      </c>
      <c r="R13" s="57" t="s">
        <v>14287</v>
      </c>
      <c r="S13" s="57" t="s">
        <v>14288</v>
      </c>
      <c r="T13" s="62" t="s">
        <v>14289</v>
      </c>
      <c r="U13" s="57" t="s">
        <v>14290</v>
      </c>
      <c r="V13" s="62" t="s">
        <v>14291</v>
      </c>
      <c r="W13" s="57" t="s">
        <v>14292</v>
      </c>
      <c r="X13" s="57" t="s">
        <v>14293</v>
      </c>
      <c r="Y13" s="57" t="s">
        <v>14294</v>
      </c>
      <c r="Z13" s="57" t="s">
        <v>14295</v>
      </c>
      <c r="AA13" s="57" t="s">
        <v>14296</v>
      </c>
      <c r="AB13" s="57" t="s">
        <v>14297</v>
      </c>
      <c r="AC13" s="57" t="s">
        <v>14298</v>
      </c>
      <c r="AD13" s="57" t="s">
        <v>14299</v>
      </c>
      <c r="AE13" s="57" t="s">
        <v>14300</v>
      </c>
      <c r="AF13" s="57" t="s">
        <v>14301</v>
      </c>
      <c r="AG13" s="63" t="s">
        <v>14302</v>
      </c>
      <c r="AH13" s="57" t="s">
        <v>14303</v>
      </c>
      <c r="AI13" s="57" t="s">
        <v>14304</v>
      </c>
      <c r="AJ13" s="57" t="s">
        <v>14305</v>
      </c>
      <c r="AK13" s="57" t="s">
        <v>14839</v>
      </c>
      <c r="AL13" s="57" t="s">
        <v>14840</v>
      </c>
    </row>
    <row r="14" spans="1:38" x14ac:dyDescent="0.25">
      <c r="A14" s="111">
        <v>46835226</v>
      </c>
      <c r="B14" s="112" t="s">
        <v>11879</v>
      </c>
      <c r="C14" s="111"/>
      <c r="D14" s="111"/>
      <c r="E14" s="111"/>
      <c r="F14" s="113" t="s">
        <v>7000</v>
      </c>
      <c r="G14" s="114"/>
      <c r="H14" s="111" t="s">
        <v>14314</v>
      </c>
      <c r="I14" s="115">
        <v>763.24</v>
      </c>
      <c r="J14" s="115">
        <v>608.79999999999995</v>
      </c>
      <c r="K14" s="115"/>
      <c r="L14" s="116">
        <v>45291</v>
      </c>
      <c r="M14" s="115" t="s">
        <v>16624</v>
      </c>
      <c r="N14" s="117">
        <v>154.44000000000005</v>
      </c>
      <c r="O14" s="111" t="s">
        <v>16625</v>
      </c>
      <c r="P14" s="111" t="s">
        <v>16626</v>
      </c>
      <c r="Q14" s="118">
        <v>44686</v>
      </c>
      <c r="R14" s="111" t="s">
        <v>16627</v>
      </c>
      <c r="S14" s="118">
        <v>44716</v>
      </c>
      <c r="T14" s="119">
        <v>637</v>
      </c>
      <c r="U14" s="120" t="s">
        <v>16628</v>
      </c>
      <c r="V14" s="121" t="s">
        <v>14312</v>
      </c>
      <c r="W14" s="122" t="s">
        <v>14307</v>
      </c>
      <c r="X14" s="111">
        <v>30</v>
      </c>
      <c r="Y14" s="111"/>
      <c r="Z14" s="111"/>
      <c r="AA14" s="111"/>
      <c r="AB14" s="111"/>
      <c r="AC14" s="111"/>
      <c r="AD14" s="111"/>
      <c r="AE14" s="111"/>
      <c r="AF14" s="112"/>
      <c r="AG14" s="123"/>
      <c r="AH14" s="124" t="s">
        <v>14313</v>
      </c>
      <c r="AI14" s="111" t="s">
        <v>3060</v>
      </c>
      <c r="AJ14" s="125"/>
      <c r="AK14" s="111"/>
      <c r="AL14" s="115"/>
    </row>
    <row r="15" spans="1:38" x14ac:dyDescent="0.25">
      <c r="A15" s="111">
        <v>46835227</v>
      </c>
      <c r="B15" s="112" t="s">
        <v>11879</v>
      </c>
      <c r="C15" s="111"/>
      <c r="D15" s="111"/>
      <c r="E15" s="111"/>
      <c r="F15" s="113" t="s">
        <v>7000</v>
      </c>
      <c r="G15" s="114"/>
      <c r="H15" s="111" t="s">
        <v>14315</v>
      </c>
      <c r="I15" s="115">
        <v>621.41999999999996</v>
      </c>
      <c r="J15" s="115">
        <v>552.51</v>
      </c>
      <c r="K15" s="115"/>
      <c r="L15" s="116">
        <v>45291</v>
      </c>
      <c r="M15" s="115" t="s">
        <v>16624</v>
      </c>
      <c r="N15" s="117">
        <v>68.909999999999968</v>
      </c>
      <c r="O15" s="111" t="s">
        <v>16625</v>
      </c>
      <c r="P15" s="111" t="s">
        <v>16626</v>
      </c>
      <c r="Q15" s="118">
        <v>44686</v>
      </c>
      <c r="R15" s="111" t="s">
        <v>16627</v>
      </c>
      <c r="S15" s="118">
        <v>44716</v>
      </c>
      <c r="T15" s="119">
        <v>637</v>
      </c>
      <c r="U15" s="120" t="s">
        <v>16628</v>
      </c>
      <c r="V15" s="121" t="s">
        <v>14312</v>
      </c>
      <c r="W15" s="122" t="s">
        <v>14307</v>
      </c>
      <c r="X15" s="111">
        <v>30</v>
      </c>
      <c r="Y15" s="111"/>
      <c r="Z15" s="111"/>
      <c r="AA15" s="111"/>
      <c r="AB15" s="111"/>
      <c r="AC15" s="111"/>
      <c r="AD15" s="111"/>
      <c r="AE15" s="111"/>
      <c r="AF15" s="112"/>
      <c r="AG15" s="123"/>
      <c r="AH15" s="124" t="s">
        <v>14313</v>
      </c>
      <c r="AI15" s="111" t="s">
        <v>3060</v>
      </c>
      <c r="AJ15" s="125"/>
      <c r="AK15" s="111"/>
      <c r="AL15" s="115"/>
    </row>
    <row r="16" spans="1:38" x14ac:dyDescent="0.25">
      <c r="A16" s="111">
        <v>46835228</v>
      </c>
      <c r="B16" s="112" t="s">
        <v>11879</v>
      </c>
      <c r="C16" s="111"/>
      <c r="D16" s="111"/>
      <c r="E16" s="111"/>
      <c r="F16" s="113" t="s">
        <v>7000</v>
      </c>
      <c r="G16" s="114"/>
      <c r="H16" s="111" t="s">
        <v>14316</v>
      </c>
      <c r="I16" s="115">
        <v>2733.83</v>
      </c>
      <c r="J16" s="115">
        <v>623.77</v>
      </c>
      <c r="K16" s="115"/>
      <c r="L16" s="115">
        <v>45291</v>
      </c>
      <c r="M16" s="115" t="s">
        <v>16624</v>
      </c>
      <c r="N16" s="117">
        <v>2110.06</v>
      </c>
      <c r="O16" s="111" t="s">
        <v>16625</v>
      </c>
      <c r="P16" s="111" t="s">
        <v>16626</v>
      </c>
      <c r="Q16" s="118">
        <v>44686</v>
      </c>
      <c r="R16" s="111" t="s">
        <v>16627</v>
      </c>
      <c r="S16" s="118">
        <v>44716</v>
      </c>
      <c r="T16" s="119">
        <v>637</v>
      </c>
      <c r="U16" s="120" t="s">
        <v>16628</v>
      </c>
      <c r="V16" s="121" t="s">
        <v>14312</v>
      </c>
      <c r="W16" s="122" t="s">
        <v>14307</v>
      </c>
      <c r="X16" s="111">
        <v>30</v>
      </c>
      <c r="Y16" s="111"/>
      <c r="Z16" s="111"/>
      <c r="AA16" s="111"/>
      <c r="AB16" s="111"/>
      <c r="AC16" s="111"/>
      <c r="AD16" s="111"/>
      <c r="AE16" s="111"/>
      <c r="AF16" s="112"/>
      <c r="AG16" s="123"/>
      <c r="AH16" s="124" t="s">
        <v>14313</v>
      </c>
      <c r="AI16" s="111" t="s">
        <v>3060</v>
      </c>
      <c r="AJ16" s="125"/>
      <c r="AK16" s="111"/>
      <c r="AL16" s="115"/>
    </row>
    <row r="17" spans="1:38" x14ac:dyDescent="0.25">
      <c r="A17" s="111">
        <v>46835229</v>
      </c>
      <c r="B17" s="112" t="s">
        <v>11879</v>
      </c>
      <c r="C17" s="111"/>
      <c r="D17" s="111"/>
      <c r="E17" s="111"/>
      <c r="F17" s="113" t="s">
        <v>7000</v>
      </c>
      <c r="G17" s="114"/>
      <c r="H17" s="111" t="s">
        <v>14317</v>
      </c>
      <c r="I17" s="115">
        <v>524.09</v>
      </c>
      <c r="J17" s="115">
        <v>190.92</v>
      </c>
      <c r="K17" s="115"/>
      <c r="L17" s="115">
        <v>45291</v>
      </c>
      <c r="M17" s="115" t="s">
        <v>16624</v>
      </c>
      <c r="N17" s="117">
        <v>333.17000000000007</v>
      </c>
      <c r="O17" s="111" t="s">
        <v>16625</v>
      </c>
      <c r="P17" s="111" t="s">
        <v>16626</v>
      </c>
      <c r="Q17" s="118">
        <v>44691</v>
      </c>
      <c r="R17" s="111" t="s">
        <v>16627</v>
      </c>
      <c r="S17" s="118">
        <v>44721</v>
      </c>
      <c r="T17" s="119">
        <v>632</v>
      </c>
      <c r="U17" s="120" t="s">
        <v>16628</v>
      </c>
      <c r="V17" s="121" t="s">
        <v>14312</v>
      </c>
      <c r="W17" s="122" t="s">
        <v>14307</v>
      </c>
      <c r="X17" s="111">
        <v>30</v>
      </c>
      <c r="Y17" s="111"/>
      <c r="Z17" s="111"/>
      <c r="AA17" s="111"/>
      <c r="AB17" s="111"/>
      <c r="AC17" s="111"/>
      <c r="AD17" s="111"/>
      <c r="AE17" s="111"/>
      <c r="AF17" s="112"/>
      <c r="AG17" s="123"/>
      <c r="AH17" s="124" t="s">
        <v>14313</v>
      </c>
      <c r="AI17" s="111" t="s">
        <v>3060</v>
      </c>
      <c r="AJ17" s="125"/>
      <c r="AK17" s="111"/>
      <c r="AL17" s="115"/>
    </row>
    <row r="18" spans="1:38" x14ac:dyDescent="0.25">
      <c r="A18" s="111">
        <v>46835230</v>
      </c>
      <c r="B18" s="112" t="s">
        <v>11879</v>
      </c>
      <c r="C18" s="111"/>
      <c r="D18" s="111"/>
      <c r="E18" s="111"/>
      <c r="F18" s="113" t="s">
        <v>7000</v>
      </c>
      <c r="G18" s="114"/>
      <c r="H18" s="111" t="s">
        <v>14318</v>
      </c>
      <c r="I18" s="115">
        <v>699.02</v>
      </c>
      <c r="J18" s="115">
        <v>28.17</v>
      </c>
      <c r="K18" s="115"/>
      <c r="L18" s="115">
        <v>45291</v>
      </c>
      <c r="M18" s="115" t="s">
        <v>16624</v>
      </c>
      <c r="N18" s="117">
        <v>670.85</v>
      </c>
      <c r="O18" s="111" t="s">
        <v>16625</v>
      </c>
      <c r="P18" s="111" t="s">
        <v>16626</v>
      </c>
      <c r="Q18" s="118">
        <v>44691</v>
      </c>
      <c r="R18" s="111" t="s">
        <v>16627</v>
      </c>
      <c r="S18" s="118">
        <v>44721</v>
      </c>
      <c r="T18" s="119">
        <v>632</v>
      </c>
      <c r="U18" s="120" t="s">
        <v>16628</v>
      </c>
      <c r="V18" s="121" t="s">
        <v>14312</v>
      </c>
      <c r="W18" s="122" t="s">
        <v>14307</v>
      </c>
      <c r="X18" s="111">
        <v>30</v>
      </c>
      <c r="Y18" s="111"/>
      <c r="Z18" s="111"/>
      <c r="AA18" s="111"/>
      <c r="AB18" s="111"/>
      <c r="AC18" s="111"/>
      <c r="AD18" s="111"/>
      <c r="AE18" s="111"/>
      <c r="AF18" s="112"/>
      <c r="AG18" s="123"/>
      <c r="AH18" s="124" t="s">
        <v>14313</v>
      </c>
      <c r="AI18" s="111" t="s">
        <v>3060</v>
      </c>
      <c r="AJ18" s="125"/>
      <c r="AK18" s="111"/>
      <c r="AL18" s="115"/>
    </row>
    <row r="19" spans="1:38" x14ac:dyDescent="0.25">
      <c r="A19" s="111">
        <v>46835231</v>
      </c>
      <c r="B19" s="112" t="s">
        <v>11879</v>
      </c>
      <c r="C19" s="111"/>
      <c r="D19" s="111"/>
      <c r="E19" s="111"/>
      <c r="F19" s="113" t="s">
        <v>7000</v>
      </c>
      <c r="G19" s="114"/>
      <c r="H19" s="111" t="s">
        <v>14319</v>
      </c>
      <c r="I19" s="115">
        <v>7502.14</v>
      </c>
      <c r="J19" s="115"/>
      <c r="K19" s="115"/>
      <c r="L19" s="115"/>
      <c r="M19" s="115"/>
      <c r="N19" s="117">
        <v>7502.14</v>
      </c>
      <c r="O19" s="111" t="s">
        <v>16625</v>
      </c>
      <c r="P19" s="111" t="s">
        <v>16626</v>
      </c>
      <c r="Q19" s="118">
        <v>44692</v>
      </c>
      <c r="R19" s="111" t="s">
        <v>16627</v>
      </c>
      <c r="S19" s="118">
        <v>44722</v>
      </c>
      <c r="T19" s="119">
        <v>631</v>
      </c>
      <c r="U19" s="120" t="s">
        <v>16628</v>
      </c>
      <c r="V19" s="121" t="s">
        <v>14312</v>
      </c>
      <c r="W19" s="122" t="s">
        <v>14307</v>
      </c>
      <c r="X19" s="111">
        <v>30</v>
      </c>
      <c r="Y19" s="111"/>
      <c r="Z19" s="111"/>
      <c r="AA19" s="111"/>
      <c r="AB19" s="111"/>
      <c r="AC19" s="111"/>
      <c r="AD19" s="111"/>
      <c r="AE19" s="111"/>
      <c r="AF19" s="112"/>
      <c r="AG19" s="123"/>
      <c r="AH19" s="124" t="s">
        <v>14313</v>
      </c>
      <c r="AI19" s="111" t="s">
        <v>3060</v>
      </c>
      <c r="AJ19" s="125"/>
      <c r="AK19" s="111"/>
      <c r="AL19" s="115"/>
    </row>
    <row r="20" spans="1:38" x14ac:dyDescent="0.25">
      <c r="A20" s="111">
        <v>46835232</v>
      </c>
      <c r="B20" s="112" t="s">
        <v>11879</v>
      </c>
      <c r="C20" s="111"/>
      <c r="D20" s="111"/>
      <c r="E20" s="111"/>
      <c r="F20" s="113" t="s">
        <v>7000</v>
      </c>
      <c r="G20" s="114"/>
      <c r="H20" s="111" t="s">
        <v>14320</v>
      </c>
      <c r="I20" s="115">
        <v>7505.61</v>
      </c>
      <c r="J20" s="115"/>
      <c r="K20" s="115"/>
      <c r="L20" s="115"/>
      <c r="M20" s="115"/>
      <c r="N20" s="117">
        <v>7505.61</v>
      </c>
      <c r="O20" s="111" t="s">
        <v>16625</v>
      </c>
      <c r="P20" s="111" t="s">
        <v>16626</v>
      </c>
      <c r="Q20" s="118">
        <v>44692</v>
      </c>
      <c r="R20" s="111" t="s">
        <v>16627</v>
      </c>
      <c r="S20" s="118">
        <v>44722</v>
      </c>
      <c r="T20" s="119">
        <v>631</v>
      </c>
      <c r="U20" s="120" t="s">
        <v>16628</v>
      </c>
      <c r="V20" s="121" t="s">
        <v>14312</v>
      </c>
      <c r="W20" s="122" t="s">
        <v>14307</v>
      </c>
      <c r="X20" s="111">
        <v>30</v>
      </c>
      <c r="Y20" s="111"/>
      <c r="Z20" s="111"/>
      <c r="AA20" s="111"/>
      <c r="AB20" s="111"/>
      <c r="AC20" s="111"/>
      <c r="AD20" s="111"/>
      <c r="AE20" s="111"/>
      <c r="AF20" s="112"/>
      <c r="AG20" s="123"/>
      <c r="AH20" s="124" t="s">
        <v>14313</v>
      </c>
      <c r="AI20" s="111" t="s">
        <v>3060</v>
      </c>
      <c r="AJ20" s="125"/>
      <c r="AK20" s="111"/>
      <c r="AL20" s="115"/>
    </row>
    <row r="21" spans="1:38" x14ac:dyDescent="0.25">
      <c r="A21" s="111">
        <v>46835233</v>
      </c>
      <c r="B21" s="112" t="s">
        <v>11879</v>
      </c>
      <c r="C21" s="111"/>
      <c r="D21" s="111"/>
      <c r="E21" s="111"/>
      <c r="F21" s="113" t="s">
        <v>7000</v>
      </c>
      <c r="G21" s="114"/>
      <c r="H21" s="111" t="s">
        <v>14321</v>
      </c>
      <c r="I21" s="115">
        <v>2385.25</v>
      </c>
      <c r="J21" s="115"/>
      <c r="K21" s="115"/>
      <c r="L21" s="115"/>
      <c r="M21" s="115"/>
      <c r="N21" s="117">
        <v>2385.25</v>
      </c>
      <c r="O21" s="111" t="s">
        <v>16625</v>
      </c>
      <c r="P21" s="111" t="s">
        <v>16626</v>
      </c>
      <c r="Q21" s="118">
        <v>44692</v>
      </c>
      <c r="R21" s="111" t="s">
        <v>16627</v>
      </c>
      <c r="S21" s="118">
        <v>44722</v>
      </c>
      <c r="T21" s="119">
        <v>631</v>
      </c>
      <c r="U21" s="120" t="s">
        <v>16628</v>
      </c>
      <c r="V21" s="121" t="s">
        <v>14312</v>
      </c>
      <c r="W21" s="122" t="s">
        <v>14307</v>
      </c>
      <c r="X21" s="111">
        <v>30</v>
      </c>
      <c r="Y21" s="111"/>
      <c r="Z21" s="111"/>
      <c r="AA21" s="111"/>
      <c r="AB21" s="111"/>
      <c r="AC21" s="111"/>
      <c r="AD21" s="111"/>
      <c r="AE21" s="111"/>
      <c r="AF21" s="112"/>
      <c r="AG21" s="123"/>
      <c r="AH21" s="124" t="s">
        <v>14313</v>
      </c>
      <c r="AI21" s="111" t="s">
        <v>3060</v>
      </c>
      <c r="AJ21" s="125"/>
      <c r="AK21" s="111"/>
      <c r="AL21" s="115"/>
    </row>
    <row r="22" spans="1:38" x14ac:dyDescent="0.25">
      <c r="A22" s="111">
        <v>46835234</v>
      </c>
      <c r="B22" s="112" t="s">
        <v>11879</v>
      </c>
      <c r="C22" s="111"/>
      <c r="D22" s="111"/>
      <c r="E22" s="111"/>
      <c r="F22" s="113" t="s">
        <v>7000</v>
      </c>
      <c r="G22" s="114"/>
      <c r="H22" s="111" t="s">
        <v>14322</v>
      </c>
      <c r="I22" s="115">
        <v>5155.08</v>
      </c>
      <c r="J22" s="115"/>
      <c r="K22" s="115"/>
      <c r="L22" s="115"/>
      <c r="M22" s="115"/>
      <c r="N22" s="117">
        <v>5155.08</v>
      </c>
      <c r="O22" s="111" t="s">
        <v>16625</v>
      </c>
      <c r="P22" s="111" t="s">
        <v>16626</v>
      </c>
      <c r="Q22" s="118">
        <v>44692</v>
      </c>
      <c r="R22" s="111" t="s">
        <v>16627</v>
      </c>
      <c r="S22" s="118">
        <v>44722</v>
      </c>
      <c r="T22" s="119">
        <v>631</v>
      </c>
      <c r="U22" s="120" t="s">
        <v>16628</v>
      </c>
      <c r="V22" s="121" t="s">
        <v>14312</v>
      </c>
      <c r="W22" s="122" t="s">
        <v>14307</v>
      </c>
      <c r="X22" s="111">
        <v>30</v>
      </c>
      <c r="Y22" s="111"/>
      <c r="Z22" s="111"/>
      <c r="AA22" s="111"/>
      <c r="AB22" s="111"/>
      <c r="AC22" s="111"/>
      <c r="AD22" s="111"/>
      <c r="AE22" s="111"/>
      <c r="AF22" s="112"/>
      <c r="AG22" s="123"/>
      <c r="AH22" s="124" t="s">
        <v>14313</v>
      </c>
      <c r="AI22" s="111" t="s">
        <v>3060</v>
      </c>
      <c r="AJ22" s="125"/>
      <c r="AK22" s="111"/>
      <c r="AL22" s="115"/>
    </row>
    <row r="23" spans="1:38" x14ac:dyDescent="0.25">
      <c r="A23" s="111">
        <v>46835235</v>
      </c>
      <c r="B23" s="112" t="s">
        <v>11879</v>
      </c>
      <c r="C23" s="111"/>
      <c r="D23" s="111"/>
      <c r="E23" s="111"/>
      <c r="F23" s="113" t="s">
        <v>7000</v>
      </c>
      <c r="G23" s="114"/>
      <c r="H23" s="111" t="s">
        <v>14323</v>
      </c>
      <c r="I23" s="115">
        <v>6213.79</v>
      </c>
      <c r="J23" s="115"/>
      <c r="K23" s="115"/>
      <c r="L23" s="115"/>
      <c r="M23" s="115"/>
      <c r="N23" s="117">
        <v>6213.79</v>
      </c>
      <c r="O23" s="111" t="s">
        <v>16625</v>
      </c>
      <c r="P23" s="111" t="s">
        <v>16626</v>
      </c>
      <c r="Q23" s="118">
        <v>44692</v>
      </c>
      <c r="R23" s="111" t="s">
        <v>16627</v>
      </c>
      <c r="S23" s="118">
        <v>44722</v>
      </c>
      <c r="T23" s="119">
        <v>631</v>
      </c>
      <c r="U23" s="120" t="s">
        <v>16628</v>
      </c>
      <c r="V23" s="121" t="s">
        <v>14312</v>
      </c>
      <c r="W23" s="122" t="s">
        <v>14307</v>
      </c>
      <c r="X23" s="111">
        <v>30</v>
      </c>
      <c r="Y23" s="111"/>
      <c r="Z23" s="111"/>
      <c r="AA23" s="111"/>
      <c r="AB23" s="111"/>
      <c r="AC23" s="111"/>
      <c r="AD23" s="111"/>
      <c r="AE23" s="111"/>
      <c r="AF23" s="112"/>
      <c r="AG23" s="123"/>
      <c r="AH23" s="124" t="s">
        <v>14313</v>
      </c>
      <c r="AI23" s="111" t="s">
        <v>3060</v>
      </c>
      <c r="AJ23" s="125"/>
      <c r="AK23" s="111"/>
      <c r="AL23" s="115"/>
    </row>
    <row r="24" spans="1:38" x14ac:dyDescent="0.25">
      <c r="A24" s="111">
        <v>46835236</v>
      </c>
      <c r="B24" s="112" t="s">
        <v>11879</v>
      </c>
      <c r="C24" s="111"/>
      <c r="D24" s="111"/>
      <c r="E24" s="111"/>
      <c r="F24" s="113" t="s">
        <v>7000</v>
      </c>
      <c r="G24" s="114"/>
      <c r="H24" s="111" t="s">
        <v>14324</v>
      </c>
      <c r="I24" s="115">
        <v>1292.7</v>
      </c>
      <c r="J24" s="115"/>
      <c r="K24" s="115"/>
      <c r="L24" s="115"/>
      <c r="M24" s="115"/>
      <c r="N24" s="117">
        <v>1292.7</v>
      </c>
      <c r="O24" s="111" t="s">
        <v>16625</v>
      </c>
      <c r="P24" s="111" t="s">
        <v>16626</v>
      </c>
      <c r="Q24" s="118">
        <v>44692</v>
      </c>
      <c r="R24" s="111" t="s">
        <v>16627</v>
      </c>
      <c r="S24" s="118">
        <v>44722</v>
      </c>
      <c r="T24" s="119">
        <v>631</v>
      </c>
      <c r="U24" s="120" t="s">
        <v>16628</v>
      </c>
      <c r="V24" s="121" t="s">
        <v>14312</v>
      </c>
      <c r="W24" s="122" t="s">
        <v>14307</v>
      </c>
      <c r="X24" s="111">
        <v>30</v>
      </c>
      <c r="Y24" s="111"/>
      <c r="Z24" s="111"/>
      <c r="AA24" s="111"/>
      <c r="AB24" s="111"/>
      <c r="AC24" s="111"/>
      <c r="AD24" s="111"/>
      <c r="AE24" s="111"/>
      <c r="AF24" s="112"/>
      <c r="AG24" s="123"/>
      <c r="AH24" s="124" t="s">
        <v>14313</v>
      </c>
      <c r="AI24" s="111" t="s">
        <v>3060</v>
      </c>
      <c r="AJ24" s="125"/>
      <c r="AK24" s="111"/>
      <c r="AL24" s="115"/>
    </row>
    <row r="25" spans="1:38" x14ac:dyDescent="0.25">
      <c r="A25" s="111">
        <v>46835237</v>
      </c>
      <c r="B25" s="112" t="s">
        <v>11879</v>
      </c>
      <c r="C25" s="111"/>
      <c r="D25" s="111"/>
      <c r="E25" s="111"/>
      <c r="F25" s="113" t="s">
        <v>7000</v>
      </c>
      <c r="G25" s="114"/>
      <c r="H25" s="111" t="s">
        <v>14325</v>
      </c>
      <c r="I25" s="115">
        <v>7458.92</v>
      </c>
      <c r="J25" s="115"/>
      <c r="K25" s="115"/>
      <c r="L25" s="115"/>
      <c r="M25" s="115"/>
      <c r="N25" s="117">
        <v>7458.92</v>
      </c>
      <c r="O25" s="111" t="s">
        <v>16625</v>
      </c>
      <c r="P25" s="111" t="s">
        <v>16626</v>
      </c>
      <c r="Q25" s="118">
        <v>44692</v>
      </c>
      <c r="R25" s="111" t="s">
        <v>16627</v>
      </c>
      <c r="S25" s="118">
        <v>44722</v>
      </c>
      <c r="T25" s="119">
        <v>631</v>
      </c>
      <c r="U25" s="120" t="s">
        <v>16628</v>
      </c>
      <c r="V25" s="121" t="s">
        <v>14312</v>
      </c>
      <c r="W25" s="122" t="s">
        <v>14307</v>
      </c>
      <c r="X25" s="111">
        <v>30</v>
      </c>
      <c r="Y25" s="111"/>
      <c r="Z25" s="111"/>
      <c r="AA25" s="111"/>
      <c r="AB25" s="111"/>
      <c r="AC25" s="111"/>
      <c r="AD25" s="111"/>
      <c r="AE25" s="111"/>
      <c r="AF25" s="112"/>
      <c r="AG25" s="123"/>
      <c r="AH25" s="124" t="s">
        <v>14313</v>
      </c>
      <c r="AI25" s="111" t="s">
        <v>3060</v>
      </c>
      <c r="AJ25" s="125"/>
      <c r="AK25" s="111"/>
      <c r="AL25" s="115"/>
    </row>
    <row r="26" spans="1:38" x14ac:dyDescent="0.25">
      <c r="A26" s="111">
        <v>46835238</v>
      </c>
      <c r="B26" s="112" t="s">
        <v>11879</v>
      </c>
      <c r="C26" s="111"/>
      <c r="D26" s="111"/>
      <c r="E26" s="111"/>
      <c r="F26" s="113" t="s">
        <v>7000</v>
      </c>
      <c r="G26" s="114"/>
      <c r="H26" s="111" t="s">
        <v>14326</v>
      </c>
      <c r="I26" s="115">
        <v>5042.47</v>
      </c>
      <c r="J26" s="115"/>
      <c r="K26" s="115"/>
      <c r="L26" s="115"/>
      <c r="M26" s="115"/>
      <c r="N26" s="115">
        <v>5042.47</v>
      </c>
      <c r="O26" s="111" t="s">
        <v>16625</v>
      </c>
      <c r="P26" s="111" t="s">
        <v>16626</v>
      </c>
      <c r="Q26" s="118">
        <v>44693</v>
      </c>
      <c r="R26" s="111" t="s">
        <v>16627</v>
      </c>
      <c r="S26" s="118">
        <v>44723</v>
      </c>
      <c r="T26" s="119">
        <v>630</v>
      </c>
      <c r="U26" s="120" t="s">
        <v>16628</v>
      </c>
      <c r="V26" s="121" t="s">
        <v>14312</v>
      </c>
      <c r="W26" s="122" t="s">
        <v>14307</v>
      </c>
      <c r="X26" s="111">
        <v>30</v>
      </c>
      <c r="Y26" s="111"/>
      <c r="Z26" s="111"/>
      <c r="AA26" s="111"/>
      <c r="AB26" s="111"/>
      <c r="AC26" s="111"/>
      <c r="AD26" s="111"/>
      <c r="AE26" s="111"/>
      <c r="AF26" s="112"/>
      <c r="AG26" s="123"/>
      <c r="AH26" s="124" t="s">
        <v>14313</v>
      </c>
      <c r="AI26" s="111" t="s">
        <v>3060</v>
      </c>
      <c r="AJ26" s="125"/>
      <c r="AK26" s="111"/>
      <c r="AL26" s="115"/>
    </row>
    <row r="27" spans="1:38" x14ac:dyDescent="0.25">
      <c r="A27" s="111">
        <v>46835239</v>
      </c>
      <c r="B27" s="112" t="s">
        <v>11879</v>
      </c>
      <c r="C27" s="111"/>
      <c r="D27" s="111"/>
      <c r="E27" s="111"/>
      <c r="F27" s="113" t="s">
        <v>7000</v>
      </c>
      <c r="G27" s="114"/>
      <c r="H27" s="111" t="s">
        <v>14327</v>
      </c>
      <c r="I27" s="115">
        <v>5048.4799999999996</v>
      </c>
      <c r="J27" s="115"/>
      <c r="K27" s="115"/>
      <c r="L27" s="115"/>
      <c r="M27" s="115"/>
      <c r="N27" s="115">
        <v>5048.4799999999996</v>
      </c>
      <c r="O27" s="111" t="s">
        <v>16625</v>
      </c>
      <c r="P27" s="111" t="s">
        <v>16626</v>
      </c>
      <c r="Q27" s="118">
        <v>44693</v>
      </c>
      <c r="R27" s="111" t="s">
        <v>16627</v>
      </c>
      <c r="S27" s="118">
        <v>44723</v>
      </c>
      <c r="T27" s="119">
        <v>630</v>
      </c>
      <c r="U27" s="120" t="s">
        <v>16628</v>
      </c>
      <c r="V27" s="121" t="s">
        <v>14312</v>
      </c>
      <c r="W27" s="122" t="s">
        <v>14307</v>
      </c>
      <c r="X27" s="111">
        <v>30</v>
      </c>
      <c r="Y27" s="111"/>
      <c r="Z27" s="111"/>
      <c r="AA27" s="111"/>
      <c r="AB27" s="111"/>
      <c r="AC27" s="111"/>
      <c r="AD27" s="111"/>
      <c r="AE27" s="111"/>
      <c r="AF27" s="112"/>
      <c r="AG27" s="123"/>
      <c r="AH27" s="124" t="s">
        <v>14313</v>
      </c>
      <c r="AI27" s="111" t="s">
        <v>3060</v>
      </c>
      <c r="AJ27" s="125"/>
      <c r="AK27" s="111"/>
      <c r="AL27" s="115"/>
    </row>
    <row r="28" spans="1:38" x14ac:dyDescent="0.25">
      <c r="A28" s="111">
        <v>46835240</v>
      </c>
      <c r="B28" s="112" t="s">
        <v>11879</v>
      </c>
      <c r="C28" s="111"/>
      <c r="D28" s="111"/>
      <c r="E28" s="111"/>
      <c r="F28" s="113" t="s">
        <v>7000</v>
      </c>
      <c r="G28" s="114"/>
      <c r="H28" s="111" t="s">
        <v>14328</v>
      </c>
      <c r="I28" s="115">
        <v>5042.8100000000004</v>
      </c>
      <c r="J28" s="115"/>
      <c r="K28" s="115"/>
      <c r="L28" s="115"/>
      <c r="M28" s="115"/>
      <c r="N28" s="115">
        <v>5042.8100000000004</v>
      </c>
      <c r="O28" s="111" t="s">
        <v>16625</v>
      </c>
      <c r="P28" s="111" t="s">
        <v>16626</v>
      </c>
      <c r="Q28" s="118">
        <v>44693</v>
      </c>
      <c r="R28" s="111" t="s">
        <v>16627</v>
      </c>
      <c r="S28" s="118">
        <v>44723</v>
      </c>
      <c r="T28" s="119">
        <v>630</v>
      </c>
      <c r="U28" s="120" t="s">
        <v>16628</v>
      </c>
      <c r="V28" s="121" t="s">
        <v>14312</v>
      </c>
      <c r="W28" s="122" t="s">
        <v>14307</v>
      </c>
      <c r="X28" s="111">
        <v>30</v>
      </c>
      <c r="Y28" s="111"/>
      <c r="Z28" s="111"/>
      <c r="AA28" s="111"/>
      <c r="AB28" s="111"/>
      <c r="AC28" s="111"/>
      <c r="AD28" s="111"/>
      <c r="AE28" s="111"/>
      <c r="AF28" s="112"/>
      <c r="AG28" s="123"/>
      <c r="AH28" s="124" t="s">
        <v>14313</v>
      </c>
      <c r="AI28" s="111" t="s">
        <v>3060</v>
      </c>
      <c r="AJ28" s="125"/>
      <c r="AK28" s="111"/>
      <c r="AL28" s="115"/>
    </row>
    <row r="29" spans="1:38" x14ac:dyDescent="0.25">
      <c r="A29" s="111">
        <v>46835241</v>
      </c>
      <c r="B29" s="112" t="s">
        <v>11879</v>
      </c>
      <c r="C29" s="111"/>
      <c r="D29" s="111"/>
      <c r="E29" s="111"/>
      <c r="F29" s="113" t="s">
        <v>7000</v>
      </c>
      <c r="G29" s="114"/>
      <c r="H29" s="111" t="s">
        <v>14337</v>
      </c>
      <c r="I29" s="115">
        <v>8094.02</v>
      </c>
      <c r="J29" s="115"/>
      <c r="K29" s="115"/>
      <c r="L29" s="115"/>
      <c r="M29" s="115"/>
      <c r="N29" s="115">
        <v>8094.02</v>
      </c>
      <c r="O29" s="111" t="s">
        <v>16629</v>
      </c>
      <c r="P29" s="111" t="s">
        <v>16626</v>
      </c>
      <c r="Q29" s="118">
        <v>44765</v>
      </c>
      <c r="R29" s="111" t="s">
        <v>16630</v>
      </c>
      <c r="S29" s="118">
        <v>44810</v>
      </c>
      <c r="T29" s="119">
        <v>543</v>
      </c>
      <c r="U29" s="120" t="s">
        <v>16628</v>
      </c>
      <c r="V29" s="121"/>
      <c r="W29" s="122" t="s">
        <v>14307</v>
      </c>
      <c r="X29" s="111">
        <v>45</v>
      </c>
      <c r="Y29" s="111"/>
      <c r="Z29" s="111"/>
      <c r="AA29" s="111"/>
      <c r="AB29" s="111"/>
      <c r="AC29" s="111"/>
      <c r="AD29" s="111"/>
      <c r="AE29" s="111"/>
      <c r="AF29" s="112"/>
      <c r="AG29" s="123"/>
      <c r="AH29" s="124" t="s">
        <v>14313</v>
      </c>
      <c r="AI29" s="111" t="s">
        <v>3060</v>
      </c>
      <c r="AJ29" s="125"/>
      <c r="AK29" s="111"/>
      <c r="AL29" s="115"/>
    </row>
    <row r="30" spans="1:38" x14ac:dyDescent="0.25">
      <c r="A30" s="111">
        <v>46835242</v>
      </c>
      <c r="B30" s="112" t="s">
        <v>11879</v>
      </c>
      <c r="C30" s="111"/>
      <c r="D30" s="111"/>
      <c r="E30" s="111"/>
      <c r="F30" s="113" t="s">
        <v>7000</v>
      </c>
      <c r="G30" s="114"/>
      <c r="H30" s="111" t="s">
        <v>14338</v>
      </c>
      <c r="I30" s="115">
        <v>1722.16</v>
      </c>
      <c r="J30" s="115"/>
      <c r="K30" s="115"/>
      <c r="L30" s="115"/>
      <c r="M30" s="115"/>
      <c r="N30" s="115">
        <v>1722.16</v>
      </c>
      <c r="O30" s="111" t="s">
        <v>16629</v>
      </c>
      <c r="P30" s="111" t="s">
        <v>16626</v>
      </c>
      <c r="Q30" s="118">
        <v>44767</v>
      </c>
      <c r="R30" s="111" t="s">
        <v>16630</v>
      </c>
      <c r="S30" s="118">
        <v>44812</v>
      </c>
      <c r="T30" s="119">
        <v>541</v>
      </c>
      <c r="U30" s="120" t="s">
        <v>16628</v>
      </c>
      <c r="V30" s="121"/>
      <c r="W30" s="122" t="s">
        <v>14307</v>
      </c>
      <c r="X30" s="111">
        <v>45</v>
      </c>
      <c r="Y30" s="111"/>
      <c r="Z30" s="111"/>
      <c r="AA30" s="111"/>
      <c r="AB30" s="111"/>
      <c r="AC30" s="111"/>
      <c r="AD30" s="111"/>
      <c r="AE30" s="111"/>
      <c r="AF30" s="112"/>
      <c r="AG30" s="123"/>
      <c r="AH30" s="124" t="s">
        <v>14313</v>
      </c>
      <c r="AI30" s="111" t="s">
        <v>3060</v>
      </c>
      <c r="AJ30" s="125"/>
      <c r="AK30" s="111"/>
      <c r="AL30" s="115"/>
    </row>
    <row r="31" spans="1:38" x14ac:dyDescent="0.25">
      <c r="A31" s="111">
        <v>46835243</v>
      </c>
      <c r="B31" s="112" t="s">
        <v>11879</v>
      </c>
      <c r="C31" s="111"/>
      <c r="D31" s="111"/>
      <c r="E31" s="111"/>
      <c r="F31" s="113" t="s">
        <v>7000</v>
      </c>
      <c r="G31" s="114"/>
      <c r="H31" s="111" t="s">
        <v>14342</v>
      </c>
      <c r="I31" s="115">
        <v>6771.2</v>
      </c>
      <c r="J31" s="115"/>
      <c r="K31" s="115"/>
      <c r="L31" s="115"/>
      <c r="M31" s="115"/>
      <c r="N31" s="115">
        <v>6771.2</v>
      </c>
      <c r="O31" s="111" t="s">
        <v>16631</v>
      </c>
      <c r="P31" s="111" t="s">
        <v>16626</v>
      </c>
      <c r="Q31" s="118">
        <v>44775</v>
      </c>
      <c r="R31" s="111" t="s">
        <v>16630</v>
      </c>
      <c r="S31" s="118">
        <v>44820</v>
      </c>
      <c r="T31" s="119">
        <v>533</v>
      </c>
      <c r="U31" s="120" t="s">
        <v>16628</v>
      </c>
      <c r="V31" s="121"/>
      <c r="W31" s="122" t="s">
        <v>14307</v>
      </c>
      <c r="X31" s="111">
        <v>45</v>
      </c>
      <c r="Y31" s="111"/>
      <c r="Z31" s="111"/>
      <c r="AA31" s="111"/>
      <c r="AB31" s="111"/>
      <c r="AC31" s="111"/>
      <c r="AD31" s="111"/>
      <c r="AE31" s="111"/>
      <c r="AF31" s="112"/>
      <c r="AG31" s="123"/>
      <c r="AH31" s="124" t="s">
        <v>14313</v>
      </c>
      <c r="AI31" s="111" t="s">
        <v>3060</v>
      </c>
      <c r="AJ31" s="125"/>
      <c r="AK31" s="111"/>
      <c r="AL31" s="115"/>
    </row>
    <row r="32" spans="1:38" x14ac:dyDescent="0.25">
      <c r="A32" s="111">
        <v>46835244</v>
      </c>
      <c r="B32" s="112" t="s">
        <v>11879</v>
      </c>
      <c r="C32" s="111"/>
      <c r="D32" s="111"/>
      <c r="E32" s="111"/>
      <c r="F32" s="113" t="s">
        <v>7000</v>
      </c>
      <c r="G32" s="114"/>
      <c r="H32" s="111" t="s">
        <v>14353</v>
      </c>
      <c r="I32" s="115">
        <v>7390</v>
      </c>
      <c r="J32" s="115">
        <v>5844.52</v>
      </c>
      <c r="K32" s="115"/>
      <c r="L32" s="115"/>
      <c r="M32" s="115" t="s">
        <v>16624</v>
      </c>
      <c r="N32" s="115">
        <v>1545.4799999999996</v>
      </c>
      <c r="O32" s="111" t="s">
        <v>16631</v>
      </c>
      <c r="P32" s="111" t="s">
        <v>16626</v>
      </c>
      <c r="Q32" s="118">
        <v>44782</v>
      </c>
      <c r="R32" s="111" t="s">
        <v>16632</v>
      </c>
      <c r="S32" s="118">
        <v>44842</v>
      </c>
      <c r="T32" s="119">
        <v>511</v>
      </c>
      <c r="U32" s="120" t="s">
        <v>16628</v>
      </c>
      <c r="V32" s="121" t="s">
        <v>14312</v>
      </c>
      <c r="W32" s="122" t="s">
        <v>14307</v>
      </c>
      <c r="X32" s="111">
        <v>60</v>
      </c>
      <c r="Y32" s="111"/>
      <c r="Z32" s="111"/>
      <c r="AA32" s="111"/>
      <c r="AB32" s="111"/>
      <c r="AC32" s="111"/>
      <c r="AD32" s="111"/>
      <c r="AE32" s="111"/>
      <c r="AF32" s="112"/>
      <c r="AG32" s="123"/>
      <c r="AH32" s="124" t="s">
        <v>14313</v>
      </c>
      <c r="AI32" s="111" t="s">
        <v>3060</v>
      </c>
      <c r="AJ32" s="125"/>
      <c r="AK32" s="111"/>
      <c r="AL32" s="115"/>
    </row>
    <row r="33" spans="1:38" x14ac:dyDescent="0.25">
      <c r="A33" s="111">
        <v>46835245</v>
      </c>
      <c r="B33" s="112" t="s">
        <v>11879</v>
      </c>
      <c r="C33" s="111"/>
      <c r="D33" s="111"/>
      <c r="E33" s="111"/>
      <c r="F33" s="113" t="s">
        <v>7000</v>
      </c>
      <c r="G33" s="114"/>
      <c r="H33" s="111" t="s">
        <v>14375</v>
      </c>
      <c r="I33" s="115">
        <v>1269.55</v>
      </c>
      <c r="J33" s="115"/>
      <c r="K33" s="115"/>
      <c r="L33" s="115"/>
      <c r="M33" s="115"/>
      <c r="N33" s="115">
        <v>1269.55</v>
      </c>
      <c r="O33" s="111" t="s">
        <v>16631</v>
      </c>
      <c r="P33" s="111" t="s">
        <v>16626</v>
      </c>
      <c r="Q33" s="118">
        <v>44799</v>
      </c>
      <c r="R33" s="111" t="s">
        <v>16630</v>
      </c>
      <c r="S33" s="118">
        <v>44829</v>
      </c>
      <c r="T33" s="119">
        <v>524</v>
      </c>
      <c r="U33" s="120" t="s">
        <v>16628</v>
      </c>
      <c r="V33" s="121"/>
      <c r="W33" s="122" t="s">
        <v>14307</v>
      </c>
      <c r="X33" s="111">
        <v>30</v>
      </c>
      <c r="Y33" s="111"/>
      <c r="Z33" s="111"/>
      <c r="AA33" s="111"/>
      <c r="AB33" s="111"/>
      <c r="AC33" s="111"/>
      <c r="AD33" s="111"/>
      <c r="AE33" s="111"/>
      <c r="AF33" s="112"/>
      <c r="AG33" s="123"/>
      <c r="AH33" s="124" t="s">
        <v>14313</v>
      </c>
      <c r="AI33" s="111" t="s">
        <v>3060</v>
      </c>
      <c r="AJ33" s="125"/>
      <c r="AK33" s="111"/>
      <c r="AL33" s="115"/>
    </row>
    <row r="34" spans="1:38" x14ac:dyDescent="0.25">
      <c r="A34" s="111">
        <v>46835246</v>
      </c>
      <c r="B34" s="112" t="s">
        <v>11879</v>
      </c>
      <c r="C34" s="111"/>
      <c r="D34" s="111"/>
      <c r="E34" s="111"/>
      <c r="F34" s="113" t="s">
        <v>7000</v>
      </c>
      <c r="G34" s="114"/>
      <c r="H34" s="111" t="s">
        <v>14376</v>
      </c>
      <c r="I34" s="115">
        <v>1244.77</v>
      </c>
      <c r="J34" s="115"/>
      <c r="K34" s="115"/>
      <c r="L34" s="115"/>
      <c r="M34" s="115"/>
      <c r="N34" s="115">
        <v>1244.77</v>
      </c>
      <c r="O34" s="111" t="s">
        <v>16631</v>
      </c>
      <c r="P34" s="111" t="s">
        <v>16626</v>
      </c>
      <c r="Q34" s="118">
        <v>44800</v>
      </c>
      <c r="R34" s="111" t="s">
        <v>16630</v>
      </c>
      <c r="S34" s="118">
        <v>44830</v>
      </c>
      <c r="T34" s="119">
        <v>523</v>
      </c>
      <c r="U34" s="120" t="s">
        <v>16628</v>
      </c>
      <c r="V34" s="121"/>
      <c r="W34" s="122" t="s">
        <v>14307</v>
      </c>
      <c r="X34" s="111">
        <v>30</v>
      </c>
      <c r="Y34" s="111"/>
      <c r="Z34" s="111"/>
      <c r="AA34" s="111"/>
      <c r="AB34" s="111"/>
      <c r="AC34" s="111"/>
      <c r="AD34" s="111"/>
      <c r="AE34" s="111"/>
      <c r="AF34" s="112"/>
      <c r="AG34" s="123"/>
      <c r="AH34" s="124" t="s">
        <v>14313</v>
      </c>
      <c r="AI34" s="111" t="s">
        <v>3060</v>
      </c>
      <c r="AJ34" s="125"/>
      <c r="AK34" s="126"/>
      <c r="AL34" s="115"/>
    </row>
    <row r="35" spans="1:38" x14ac:dyDescent="0.25">
      <c r="A35" s="111">
        <v>46835247</v>
      </c>
      <c r="B35" s="112" t="s">
        <v>11879</v>
      </c>
      <c r="C35" s="111"/>
      <c r="D35" s="111"/>
      <c r="E35" s="111"/>
      <c r="F35" s="113" t="s">
        <v>7000</v>
      </c>
      <c r="G35" s="114"/>
      <c r="H35" s="111" t="s">
        <v>14393</v>
      </c>
      <c r="I35" s="115">
        <v>3481.26</v>
      </c>
      <c r="J35" s="115"/>
      <c r="K35" s="115"/>
      <c r="L35" s="115"/>
      <c r="M35" s="115"/>
      <c r="N35" s="115">
        <v>3481.26</v>
      </c>
      <c r="O35" s="111" t="s">
        <v>16630</v>
      </c>
      <c r="P35" s="111" t="s">
        <v>16626</v>
      </c>
      <c r="Q35" s="118">
        <v>44814</v>
      </c>
      <c r="R35" s="111" t="s">
        <v>16632</v>
      </c>
      <c r="S35" s="118">
        <v>44844</v>
      </c>
      <c r="T35" s="119">
        <v>509</v>
      </c>
      <c r="U35" s="120" t="s">
        <v>16628</v>
      </c>
      <c r="V35" s="121"/>
      <c r="W35" s="122" t="s">
        <v>14307</v>
      </c>
      <c r="X35" s="111">
        <v>30</v>
      </c>
      <c r="Y35" s="111"/>
      <c r="Z35" s="111"/>
      <c r="AA35" s="111"/>
      <c r="AB35" s="111"/>
      <c r="AC35" s="111"/>
      <c r="AD35" s="111"/>
      <c r="AE35" s="111"/>
      <c r="AF35" s="112"/>
      <c r="AG35" s="123"/>
      <c r="AH35" s="124" t="s">
        <v>14313</v>
      </c>
      <c r="AI35" s="111" t="s">
        <v>3060</v>
      </c>
      <c r="AJ35" s="125"/>
      <c r="AK35" s="111"/>
      <c r="AL35" s="115"/>
    </row>
    <row r="36" spans="1:38" x14ac:dyDescent="0.25">
      <c r="A36" s="111">
        <v>46835248</v>
      </c>
      <c r="B36" s="112" t="s">
        <v>11879</v>
      </c>
      <c r="C36" s="111"/>
      <c r="D36" s="111"/>
      <c r="E36" s="111"/>
      <c r="F36" s="113" t="s">
        <v>7000</v>
      </c>
      <c r="G36" s="114"/>
      <c r="H36" s="111" t="s">
        <v>14394</v>
      </c>
      <c r="I36" s="115">
        <v>736.09</v>
      </c>
      <c r="J36" s="115"/>
      <c r="K36" s="115"/>
      <c r="L36" s="115"/>
      <c r="M36" s="115"/>
      <c r="N36" s="115">
        <v>736.09</v>
      </c>
      <c r="O36" s="111" t="s">
        <v>16630</v>
      </c>
      <c r="P36" s="111" t="s">
        <v>16626</v>
      </c>
      <c r="Q36" s="118">
        <v>44814</v>
      </c>
      <c r="R36" s="111" t="s">
        <v>16632</v>
      </c>
      <c r="S36" s="118">
        <v>44844</v>
      </c>
      <c r="T36" s="119">
        <v>509</v>
      </c>
      <c r="U36" s="120" t="s">
        <v>16628</v>
      </c>
      <c r="V36" s="121"/>
      <c r="W36" s="122" t="s">
        <v>14307</v>
      </c>
      <c r="X36" s="111">
        <v>30</v>
      </c>
      <c r="Y36" s="111"/>
      <c r="Z36" s="111"/>
      <c r="AA36" s="111"/>
      <c r="AB36" s="111"/>
      <c r="AC36" s="111"/>
      <c r="AD36" s="111"/>
      <c r="AE36" s="111"/>
      <c r="AF36" s="112"/>
      <c r="AG36" s="123"/>
      <c r="AH36" s="124" t="s">
        <v>14313</v>
      </c>
      <c r="AI36" s="111" t="s">
        <v>3060</v>
      </c>
      <c r="AJ36" s="125"/>
      <c r="AK36" s="111"/>
      <c r="AL36" s="115"/>
    </row>
    <row r="37" spans="1:38" x14ac:dyDescent="0.25">
      <c r="A37" s="111">
        <v>46835251</v>
      </c>
      <c r="B37" s="112" t="s">
        <v>11879</v>
      </c>
      <c r="C37" s="111"/>
      <c r="D37" s="111"/>
      <c r="E37" s="111"/>
      <c r="F37" s="113" t="s">
        <v>7000</v>
      </c>
      <c r="G37" s="114"/>
      <c r="H37" s="111" t="s">
        <v>14405</v>
      </c>
      <c r="I37" s="115">
        <v>379.2</v>
      </c>
      <c r="J37" s="115"/>
      <c r="K37" s="115"/>
      <c r="L37" s="116"/>
      <c r="M37" s="115"/>
      <c r="N37" s="115">
        <v>379.2</v>
      </c>
      <c r="O37" s="111" t="s">
        <v>16630</v>
      </c>
      <c r="P37" s="111" t="s">
        <v>16626</v>
      </c>
      <c r="Q37" s="118">
        <v>44826</v>
      </c>
      <c r="R37" s="111" t="s">
        <v>16632</v>
      </c>
      <c r="S37" s="118">
        <v>44856</v>
      </c>
      <c r="T37" s="119">
        <v>497</v>
      </c>
      <c r="U37" s="127" t="s">
        <v>16628</v>
      </c>
      <c r="V37" s="121"/>
      <c r="W37" s="122" t="s">
        <v>14307</v>
      </c>
      <c r="X37" s="111">
        <v>30</v>
      </c>
      <c r="Y37" s="111"/>
      <c r="Z37" s="111"/>
      <c r="AA37" s="111"/>
      <c r="AB37" s="111"/>
      <c r="AC37" s="111"/>
      <c r="AD37" s="111"/>
      <c r="AE37" s="111"/>
      <c r="AF37" s="112"/>
      <c r="AG37" s="123"/>
      <c r="AH37" s="124" t="s">
        <v>14313</v>
      </c>
      <c r="AI37" s="111" t="s">
        <v>3060</v>
      </c>
      <c r="AJ37" s="125"/>
      <c r="AK37" s="111"/>
      <c r="AL37" s="115"/>
    </row>
    <row r="38" spans="1:38" x14ac:dyDescent="0.25">
      <c r="A38" s="111">
        <v>46835255</v>
      </c>
      <c r="B38" s="112" t="s">
        <v>11879</v>
      </c>
      <c r="C38" s="111"/>
      <c r="D38" s="111"/>
      <c r="E38" s="111"/>
      <c r="F38" s="113" t="s">
        <v>7000</v>
      </c>
      <c r="G38" s="114"/>
      <c r="H38" s="111" t="s">
        <v>14464</v>
      </c>
      <c r="I38" s="115">
        <v>5997</v>
      </c>
      <c r="J38" s="115">
        <v>3401</v>
      </c>
      <c r="K38" s="115"/>
      <c r="L38" s="115"/>
      <c r="M38" s="115"/>
      <c r="N38" s="115">
        <v>2596</v>
      </c>
      <c r="O38" s="111" t="s">
        <v>16632</v>
      </c>
      <c r="P38" s="111" t="s">
        <v>16626</v>
      </c>
      <c r="Q38" s="118">
        <v>44865</v>
      </c>
      <c r="R38" s="111" t="s">
        <v>16633</v>
      </c>
      <c r="S38" s="118">
        <v>44925</v>
      </c>
      <c r="T38" s="119">
        <v>428</v>
      </c>
      <c r="U38" s="120" t="s">
        <v>16628</v>
      </c>
      <c r="V38" s="121" t="s">
        <v>14465</v>
      </c>
      <c r="W38" s="122" t="s">
        <v>14307</v>
      </c>
      <c r="X38" s="111">
        <v>60</v>
      </c>
      <c r="Y38" s="111"/>
      <c r="Z38" s="111"/>
      <c r="AA38" s="111"/>
      <c r="AB38" s="111"/>
      <c r="AC38" s="111"/>
      <c r="AD38" s="111"/>
      <c r="AE38" s="111"/>
      <c r="AF38" s="112"/>
      <c r="AG38" s="123"/>
      <c r="AH38" s="124" t="s">
        <v>14313</v>
      </c>
      <c r="AI38" s="111" t="s">
        <v>3060</v>
      </c>
      <c r="AJ38" s="125"/>
      <c r="AK38" s="111"/>
      <c r="AL38" s="115"/>
    </row>
    <row r="39" spans="1:38" x14ac:dyDescent="0.25">
      <c r="A39" s="111">
        <v>46835256</v>
      </c>
      <c r="B39" s="112" t="s">
        <v>11879</v>
      </c>
      <c r="C39" s="111"/>
      <c r="D39" s="111"/>
      <c r="E39" s="111"/>
      <c r="F39" s="113" t="s">
        <v>7000</v>
      </c>
      <c r="G39" s="114"/>
      <c r="H39" s="111" t="s">
        <v>14482</v>
      </c>
      <c r="I39" s="115">
        <v>1282.9199999999998</v>
      </c>
      <c r="J39" s="115"/>
      <c r="K39" s="115"/>
      <c r="L39" s="115"/>
      <c r="M39" s="115"/>
      <c r="N39" s="115">
        <v>1282.9199999999998</v>
      </c>
      <c r="O39" s="111" t="s">
        <v>16634</v>
      </c>
      <c r="P39" s="111" t="s">
        <v>16626</v>
      </c>
      <c r="Q39" s="118">
        <v>44880</v>
      </c>
      <c r="R39" s="111" t="s">
        <v>16633</v>
      </c>
      <c r="S39" s="118">
        <v>44925</v>
      </c>
      <c r="T39" s="119">
        <v>428</v>
      </c>
      <c r="U39" s="120" t="s">
        <v>16628</v>
      </c>
      <c r="V39" s="121"/>
      <c r="W39" s="122" t="s">
        <v>14307</v>
      </c>
      <c r="X39" s="111">
        <v>45</v>
      </c>
      <c r="Y39" s="111"/>
      <c r="Z39" s="111"/>
      <c r="AA39" s="111"/>
      <c r="AB39" s="111"/>
      <c r="AC39" s="111"/>
      <c r="AD39" s="111"/>
      <c r="AE39" s="111"/>
      <c r="AF39" s="112"/>
      <c r="AG39" s="123"/>
      <c r="AH39" s="124" t="s">
        <v>14313</v>
      </c>
      <c r="AI39" s="111" t="s">
        <v>3060</v>
      </c>
      <c r="AJ39" s="125"/>
      <c r="AK39" s="111"/>
      <c r="AL39" s="115"/>
    </row>
    <row r="40" spans="1:38" x14ac:dyDescent="0.25">
      <c r="A40" s="111">
        <v>46835260</v>
      </c>
      <c r="B40" s="112" t="s">
        <v>11879</v>
      </c>
      <c r="C40" s="111"/>
      <c r="D40" s="111"/>
      <c r="E40" s="111"/>
      <c r="F40" s="113" t="s">
        <v>7000</v>
      </c>
      <c r="G40" s="114"/>
      <c r="H40" s="111" t="s">
        <v>14525</v>
      </c>
      <c r="I40" s="115">
        <v>870.79</v>
      </c>
      <c r="J40" s="115"/>
      <c r="K40" s="115"/>
      <c r="L40" s="115"/>
      <c r="M40" s="115"/>
      <c r="N40" s="115">
        <v>870.79</v>
      </c>
      <c r="O40" s="111" t="s">
        <v>16633</v>
      </c>
      <c r="P40" s="111" t="s">
        <v>16626</v>
      </c>
      <c r="Q40" s="118">
        <v>44908</v>
      </c>
      <c r="R40" s="111" t="s">
        <v>16635</v>
      </c>
      <c r="S40" s="118">
        <v>44938</v>
      </c>
      <c r="T40" s="119">
        <v>415</v>
      </c>
      <c r="U40" s="120" t="s">
        <v>16628</v>
      </c>
      <c r="V40" s="121"/>
      <c r="W40" s="122" t="s">
        <v>14307</v>
      </c>
      <c r="X40" s="111">
        <v>30</v>
      </c>
      <c r="Y40" s="111"/>
      <c r="Z40" s="111"/>
      <c r="AA40" s="111"/>
      <c r="AB40" s="111"/>
      <c r="AC40" s="111"/>
      <c r="AD40" s="111"/>
      <c r="AE40" s="111"/>
      <c r="AF40" s="112"/>
      <c r="AG40" s="123"/>
      <c r="AH40" s="124" t="s">
        <v>14313</v>
      </c>
      <c r="AI40" s="111" t="s">
        <v>3060</v>
      </c>
      <c r="AJ40" s="125"/>
      <c r="AK40" s="111"/>
      <c r="AL40" s="115"/>
    </row>
    <row r="41" spans="1:38" x14ac:dyDescent="0.25">
      <c r="A41" s="111">
        <v>46835264</v>
      </c>
      <c r="B41" s="112" t="s">
        <v>11879</v>
      </c>
      <c r="C41" s="111"/>
      <c r="D41" s="111"/>
      <c r="E41" s="111"/>
      <c r="F41" s="113" t="s">
        <v>7000</v>
      </c>
      <c r="G41" s="114"/>
      <c r="H41" s="111" t="s">
        <v>14542</v>
      </c>
      <c r="I41" s="115">
        <v>15817.289999999999</v>
      </c>
      <c r="J41" s="115"/>
      <c r="K41" s="115"/>
      <c r="L41" s="116"/>
      <c r="M41" s="115"/>
      <c r="N41" s="117">
        <v>15817.289999999999</v>
      </c>
      <c r="O41" s="111" t="s">
        <v>16633</v>
      </c>
      <c r="P41" s="111" t="s">
        <v>16626</v>
      </c>
      <c r="Q41" s="118">
        <v>44925</v>
      </c>
      <c r="R41" s="111" t="s">
        <v>16635</v>
      </c>
      <c r="S41" s="118">
        <v>44955</v>
      </c>
      <c r="T41" s="119">
        <v>398</v>
      </c>
      <c r="U41" s="120" t="s">
        <v>16628</v>
      </c>
      <c r="V41" s="121" t="s">
        <v>14312</v>
      </c>
      <c r="W41" s="122" t="s">
        <v>14307</v>
      </c>
      <c r="X41" s="111">
        <v>30</v>
      </c>
      <c r="Y41" s="111"/>
      <c r="Z41" s="111"/>
      <c r="AA41" s="111"/>
      <c r="AB41" s="111"/>
      <c r="AC41" s="111"/>
      <c r="AD41" s="111"/>
      <c r="AE41" s="111"/>
      <c r="AF41" s="112"/>
      <c r="AG41" s="123"/>
      <c r="AH41" s="124" t="s">
        <v>14313</v>
      </c>
      <c r="AI41" s="111" t="s">
        <v>3060</v>
      </c>
      <c r="AJ41" s="125"/>
      <c r="AK41" s="111"/>
      <c r="AL41" s="115"/>
    </row>
    <row r="42" spans="1:38" x14ac:dyDescent="0.25">
      <c r="A42" s="111">
        <v>46835265</v>
      </c>
      <c r="B42" s="112" t="s">
        <v>11879</v>
      </c>
      <c r="C42" s="111"/>
      <c r="D42" s="111"/>
      <c r="E42" s="111"/>
      <c r="F42" s="113" t="s">
        <v>7000</v>
      </c>
      <c r="G42" s="114"/>
      <c r="H42" s="111" t="s">
        <v>14543</v>
      </c>
      <c r="I42" s="115">
        <v>15821.95</v>
      </c>
      <c r="J42" s="115"/>
      <c r="K42" s="115"/>
      <c r="L42" s="116"/>
      <c r="M42" s="115"/>
      <c r="N42" s="117">
        <v>15821.95</v>
      </c>
      <c r="O42" s="111" t="s">
        <v>16633</v>
      </c>
      <c r="P42" s="111" t="s">
        <v>16626</v>
      </c>
      <c r="Q42" s="118">
        <v>44925</v>
      </c>
      <c r="R42" s="111" t="s">
        <v>16635</v>
      </c>
      <c r="S42" s="118">
        <v>44955</v>
      </c>
      <c r="T42" s="119">
        <v>398</v>
      </c>
      <c r="U42" s="120" t="s">
        <v>16628</v>
      </c>
      <c r="V42" s="121" t="s">
        <v>14312</v>
      </c>
      <c r="W42" s="122" t="s">
        <v>14307</v>
      </c>
      <c r="X42" s="111">
        <v>30</v>
      </c>
      <c r="Y42" s="111"/>
      <c r="Z42" s="111"/>
      <c r="AA42" s="111"/>
      <c r="AB42" s="111"/>
      <c r="AC42" s="111"/>
      <c r="AD42" s="111"/>
      <c r="AE42" s="111"/>
      <c r="AF42" s="112"/>
      <c r="AG42" s="123"/>
      <c r="AH42" s="124" t="s">
        <v>14313</v>
      </c>
      <c r="AI42" s="111" t="s">
        <v>3060</v>
      </c>
      <c r="AJ42" s="125"/>
      <c r="AK42" s="111"/>
      <c r="AL42" s="115"/>
    </row>
    <row r="43" spans="1:38" x14ac:dyDescent="0.25">
      <c r="A43" s="111">
        <v>46835266</v>
      </c>
      <c r="B43" s="112" t="s">
        <v>11879</v>
      </c>
      <c r="C43" s="111"/>
      <c r="D43" s="111"/>
      <c r="E43" s="111"/>
      <c r="F43" s="113" t="s">
        <v>7000</v>
      </c>
      <c r="G43" s="114"/>
      <c r="H43" s="111" t="s">
        <v>14546</v>
      </c>
      <c r="I43" s="115">
        <v>15780.92</v>
      </c>
      <c r="J43" s="115"/>
      <c r="K43" s="115"/>
      <c r="L43" s="116"/>
      <c r="M43" s="115"/>
      <c r="N43" s="115">
        <v>15780.92</v>
      </c>
      <c r="O43" s="111" t="s">
        <v>16633</v>
      </c>
      <c r="P43" s="111" t="s">
        <v>16626</v>
      </c>
      <c r="Q43" s="118">
        <v>44926</v>
      </c>
      <c r="R43" s="111" t="s">
        <v>16635</v>
      </c>
      <c r="S43" s="118">
        <v>44956</v>
      </c>
      <c r="T43" s="119">
        <v>397</v>
      </c>
      <c r="U43" s="120" t="s">
        <v>16628</v>
      </c>
      <c r="V43" s="121" t="s">
        <v>14312</v>
      </c>
      <c r="W43" s="122" t="s">
        <v>14307</v>
      </c>
      <c r="X43" s="111">
        <v>30</v>
      </c>
      <c r="Y43" s="111"/>
      <c r="Z43" s="111"/>
      <c r="AA43" s="111"/>
      <c r="AB43" s="111"/>
      <c r="AC43" s="111"/>
      <c r="AD43" s="111"/>
      <c r="AE43" s="111"/>
      <c r="AF43" s="112"/>
      <c r="AG43" s="123"/>
      <c r="AH43" s="124" t="s">
        <v>14313</v>
      </c>
      <c r="AI43" s="111" t="s">
        <v>3060</v>
      </c>
      <c r="AJ43" s="125"/>
      <c r="AK43" s="111"/>
      <c r="AL43" s="115"/>
    </row>
    <row r="44" spans="1:38" x14ac:dyDescent="0.25">
      <c r="A44" s="111">
        <v>46835267</v>
      </c>
      <c r="B44" s="112" t="s">
        <v>11879</v>
      </c>
      <c r="C44" s="111"/>
      <c r="D44" s="111"/>
      <c r="E44" s="111"/>
      <c r="F44" s="113" t="s">
        <v>7000</v>
      </c>
      <c r="G44" s="114"/>
      <c r="H44" s="111" t="s">
        <v>14547</v>
      </c>
      <c r="I44" s="115">
        <v>15814.800000000001</v>
      </c>
      <c r="J44" s="115"/>
      <c r="K44" s="115"/>
      <c r="L44" s="116"/>
      <c r="M44" s="115"/>
      <c r="N44" s="115">
        <v>15814.800000000001</v>
      </c>
      <c r="O44" s="111" t="s">
        <v>16633</v>
      </c>
      <c r="P44" s="111" t="s">
        <v>16626</v>
      </c>
      <c r="Q44" s="118">
        <v>44926</v>
      </c>
      <c r="R44" s="111" t="s">
        <v>16635</v>
      </c>
      <c r="S44" s="118">
        <v>44956</v>
      </c>
      <c r="T44" s="119">
        <v>397</v>
      </c>
      <c r="U44" s="120" t="s">
        <v>16628</v>
      </c>
      <c r="V44" s="121" t="s">
        <v>14312</v>
      </c>
      <c r="W44" s="122" t="s">
        <v>14307</v>
      </c>
      <c r="X44" s="111">
        <v>30</v>
      </c>
      <c r="Y44" s="111"/>
      <c r="Z44" s="111"/>
      <c r="AA44" s="111"/>
      <c r="AB44" s="111"/>
      <c r="AC44" s="111"/>
      <c r="AD44" s="111"/>
      <c r="AE44" s="111"/>
      <c r="AF44" s="112"/>
      <c r="AG44" s="123"/>
      <c r="AH44" s="124" t="s">
        <v>14313</v>
      </c>
      <c r="AI44" s="111" t="s">
        <v>3060</v>
      </c>
      <c r="AJ44" s="125"/>
      <c r="AK44" s="111"/>
      <c r="AL44" s="115"/>
    </row>
    <row r="45" spans="1:38" x14ac:dyDescent="0.25">
      <c r="A45" s="111">
        <v>46835278</v>
      </c>
      <c r="B45" s="112" t="s">
        <v>11879</v>
      </c>
      <c r="C45" s="128"/>
      <c r="D45" s="111"/>
      <c r="E45" s="128"/>
      <c r="F45" s="113" t="s">
        <v>7000</v>
      </c>
      <c r="G45" s="114"/>
      <c r="H45" s="111" t="s">
        <v>14622</v>
      </c>
      <c r="I45" s="115">
        <v>3850</v>
      </c>
      <c r="J45" s="115"/>
      <c r="K45" s="115"/>
      <c r="L45" s="116"/>
      <c r="M45" s="115"/>
      <c r="N45" s="115">
        <v>3850</v>
      </c>
      <c r="O45" s="111" t="s">
        <v>16636</v>
      </c>
      <c r="P45" s="111" t="s">
        <v>16637</v>
      </c>
      <c r="Q45" s="118">
        <v>44979</v>
      </c>
      <c r="R45" s="111" t="s">
        <v>16638</v>
      </c>
      <c r="S45" s="118">
        <v>45009</v>
      </c>
      <c r="T45" s="119">
        <v>344</v>
      </c>
      <c r="U45" s="127" t="s">
        <v>16628</v>
      </c>
      <c r="V45" s="121" t="s">
        <v>14551</v>
      </c>
      <c r="W45" s="122" t="s">
        <v>14307</v>
      </c>
      <c r="X45" s="111">
        <v>30</v>
      </c>
      <c r="Y45" s="111"/>
      <c r="Z45" s="111"/>
      <c r="AA45" s="111"/>
      <c r="AB45" s="111"/>
      <c r="AC45" s="111"/>
      <c r="AD45" s="111"/>
      <c r="AE45" s="111"/>
      <c r="AF45" s="112"/>
      <c r="AG45" s="123"/>
      <c r="AH45" s="124" t="s">
        <v>14313</v>
      </c>
      <c r="AI45" s="111" t="s">
        <v>3060</v>
      </c>
      <c r="AJ45" s="125"/>
      <c r="AK45" s="129"/>
      <c r="AL45" s="115"/>
    </row>
    <row r="46" spans="1:38" x14ac:dyDescent="0.25">
      <c r="A46" s="111">
        <v>46835289</v>
      </c>
      <c r="B46" s="112" t="s">
        <v>11879</v>
      </c>
      <c r="C46" s="111"/>
      <c r="D46" s="111"/>
      <c r="E46" s="130"/>
      <c r="F46" s="113" t="s">
        <v>7000</v>
      </c>
      <c r="G46" s="114"/>
      <c r="H46" s="111" t="s">
        <v>14679</v>
      </c>
      <c r="I46" s="115">
        <v>2390</v>
      </c>
      <c r="J46" s="115"/>
      <c r="K46" s="115"/>
      <c r="L46" s="116"/>
      <c r="M46" s="115"/>
      <c r="N46" s="115">
        <v>2390</v>
      </c>
      <c r="O46" s="111" t="s">
        <v>16639</v>
      </c>
      <c r="P46" s="111" t="s">
        <v>16637</v>
      </c>
      <c r="Q46" s="118">
        <v>45020</v>
      </c>
      <c r="R46" s="111" t="s">
        <v>16625</v>
      </c>
      <c r="S46" s="118">
        <v>45050</v>
      </c>
      <c r="T46" s="119">
        <v>303</v>
      </c>
      <c r="U46" s="127" t="s">
        <v>16628</v>
      </c>
      <c r="V46" s="121"/>
      <c r="W46" s="122" t="s">
        <v>14307</v>
      </c>
      <c r="X46" s="111">
        <v>30</v>
      </c>
      <c r="Y46" s="111"/>
      <c r="Z46" s="111"/>
      <c r="AA46" s="111"/>
      <c r="AB46" s="111"/>
      <c r="AC46" s="111"/>
      <c r="AD46" s="111"/>
      <c r="AE46" s="111"/>
      <c r="AF46" s="112"/>
      <c r="AG46" s="123"/>
      <c r="AH46" s="124" t="s">
        <v>14313</v>
      </c>
      <c r="AI46" s="111" t="s">
        <v>3060</v>
      </c>
      <c r="AJ46" s="125"/>
      <c r="AK46" s="126"/>
      <c r="AL46" s="115"/>
    </row>
    <row r="47" spans="1:38" x14ac:dyDescent="0.25">
      <c r="A47" s="111">
        <v>46835290</v>
      </c>
      <c r="B47" s="112" t="s">
        <v>11879</v>
      </c>
      <c r="C47" s="111"/>
      <c r="D47" s="111"/>
      <c r="E47" s="111"/>
      <c r="F47" s="113" t="s">
        <v>7000</v>
      </c>
      <c r="G47" s="114"/>
      <c r="H47" s="111" t="s">
        <v>14686</v>
      </c>
      <c r="I47" s="115">
        <v>1481.9</v>
      </c>
      <c r="J47" s="115"/>
      <c r="K47" s="115"/>
      <c r="L47" s="116"/>
      <c r="M47" s="115"/>
      <c r="N47" s="115">
        <v>1481.9</v>
      </c>
      <c r="O47" s="111" t="s">
        <v>16639</v>
      </c>
      <c r="P47" s="111" t="s">
        <v>16637</v>
      </c>
      <c r="Q47" s="118">
        <v>45028</v>
      </c>
      <c r="R47" s="111" t="s">
        <v>16625</v>
      </c>
      <c r="S47" s="118">
        <v>45073</v>
      </c>
      <c r="T47" s="119">
        <v>280</v>
      </c>
      <c r="U47" s="127" t="s">
        <v>16628</v>
      </c>
      <c r="V47" s="121"/>
      <c r="W47" s="122" t="s">
        <v>14307</v>
      </c>
      <c r="X47" s="111">
        <v>45</v>
      </c>
      <c r="Y47" s="111"/>
      <c r="Z47" s="111"/>
      <c r="AA47" s="111"/>
      <c r="AB47" s="111"/>
      <c r="AC47" s="111"/>
      <c r="AD47" s="111"/>
      <c r="AE47" s="111"/>
      <c r="AF47" s="112"/>
      <c r="AG47" s="123"/>
      <c r="AH47" s="124" t="s">
        <v>14313</v>
      </c>
      <c r="AI47" s="111" t="s">
        <v>3060</v>
      </c>
      <c r="AJ47" s="125"/>
      <c r="AK47" s="111"/>
      <c r="AL47" s="115"/>
    </row>
    <row r="48" spans="1:38" x14ac:dyDescent="0.25">
      <c r="A48" s="111">
        <v>46835305</v>
      </c>
      <c r="B48" s="112" t="s">
        <v>11879</v>
      </c>
      <c r="C48" s="111"/>
      <c r="D48" s="111"/>
      <c r="E48" s="111"/>
      <c r="F48" s="113" t="s">
        <v>7000</v>
      </c>
      <c r="G48" s="114"/>
      <c r="H48" s="111" t="s">
        <v>14757</v>
      </c>
      <c r="I48" s="115">
        <v>844.37</v>
      </c>
      <c r="J48" s="115"/>
      <c r="K48" s="115"/>
      <c r="L48" s="116"/>
      <c r="M48" s="115"/>
      <c r="N48" s="115">
        <v>844.37</v>
      </c>
      <c r="O48" s="111" t="s">
        <v>16625</v>
      </c>
      <c r="P48" s="111" t="s">
        <v>16637</v>
      </c>
      <c r="Q48" s="118">
        <v>45076</v>
      </c>
      <c r="R48" s="111" t="s">
        <v>16629</v>
      </c>
      <c r="S48" s="118">
        <v>45121</v>
      </c>
      <c r="T48" s="119">
        <v>232</v>
      </c>
      <c r="U48" s="127" t="s">
        <v>16628</v>
      </c>
      <c r="V48" s="121"/>
      <c r="W48" s="122" t="s">
        <v>14307</v>
      </c>
      <c r="X48" s="111">
        <v>45</v>
      </c>
      <c r="Y48" s="111"/>
      <c r="Z48" s="111"/>
      <c r="AA48" s="111"/>
      <c r="AB48" s="111"/>
      <c r="AC48" s="111"/>
      <c r="AD48" s="111"/>
      <c r="AE48" s="111"/>
      <c r="AF48" s="112"/>
      <c r="AG48" s="123"/>
      <c r="AH48" s="124" t="s">
        <v>14313</v>
      </c>
      <c r="AI48" s="111" t="s">
        <v>3060</v>
      </c>
      <c r="AJ48" s="125"/>
      <c r="AK48" s="111"/>
      <c r="AL48" s="115"/>
    </row>
    <row r="49" spans="1:38" x14ac:dyDescent="0.25">
      <c r="A49" s="111">
        <v>46835308</v>
      </c>
      <c r="B49" s="112" t="s">
        <v>11879</v>
      </c>
      <c r="C49" s="111"/>
      <c r="D49" s="111"/>
      <c r="E49" s="111"/>
      <c r="F49" s="113" t="s">
        <v>7000</v>
      </c>
      <c r="G49" s="114"/>
      <c r="H49" s="111" t="s">
        <v>14776</v>
      </c>
      <c r="I49" s="131">
        <v>835.6</v>
      </c>
      <c r="J49" s="115"/>
      <c r="K49" s="115"/>
      <c r="L49" s="116"/>
      <c r="M49" s="115"/>
      <c r="N49" s="115">
        <v>835.6</v>
      </c>
      <c r="O49" s="111" t="s">
        <v>16627</v>
      </c>
      <c r="P49" s="111" t="s">
        <v>16637</v>
      </c>
      <c r="Q49" s="118">
        <v>45091</v>
      </c>
      <c r="R49" s="111" t="s">
        <v>16629</v>
      </c>
      <c r="S49" s="118">
        <v>45136</v>
      </c>
      <c r="T49" s="119">
        <v>217</v>
      </c>
      <c r="U49" s="127" t="s">
        <v>16628</v>
      </c>
      <c r="V49" s="121"/>
      <c r="W49" s="122" t="s">
        <v>14307</v>
      </c>
      <c r="X49" s="111">
        <v>45</v>
      </c>
      <c r="Y49" s="111"/>
      <c r="Z49" s="111"/>
      <c r="AA49" s="111"/>
      <c r="AB49" s="111"/>
      <c r="AC49" s="111"/>
      <c r="AD49" s="111"/>
      <c r="AE49" s="111"/>
      <c r="AF49" s="112"/>
      <c r="AG49" s="123"/>
      <c r="AH49" s="124" t="s">
        <v>14313</v>
      </c>
      <c r="AI49" s="111" t="s">
        <v>3060</v>
      </c>
      <c r="AJ49" s="125"/>
      <c r="AK49" s="111"/>
      <c r="AL49" s="115"/>
    </row>
    <row r="50" spans="1:38" x14ac:dyDescent="0.25">
      <c r="A50" s="111">
        <v>46835316</v>
      </c>
      <c r="B50" s="112" t="s">
        <v>11879</v>
      </c>
      <c r="C50" s="111"/>
      <c r="D50" s="111"/>
      <c r="E50" s="111"/>
      <c r="F50" s="113" t="s">
        <v>7000</v>
      </c>
      <c r="G50" s="114"/>
      <c r="H50" s="111">
        <v>5600000063</v>
      </c>
      <c r="I50" s="115">
        <v>1589.66</v>
      </c>
      <c r="J50" s="115"/>
      <c r="K50" s="115"/>
      <c r="L50" s="116"/>
      <c r="M50" s="115"/>
      <c r="N50" s="115">
        <v>1589.66</v>
      </c>
      <c r="O50" s="111" t="s">
        <v>16629</v>
      </c>
      <c r="P50" s="111" t="s">
        <v>16637</v>
      </c>
      <c r="Q50" s="118">
        <v>45129</v>
      </c>
      <c r="R50" s="111" t="s">
        <v>16631</v>
      </c>
      <c r="S50" s="118">
        <v>45169</v>
      </c>
      <c r="T50" s="119">
        <v>184</v>
      </c>
      <c r="U50" s="127" t="s">
        <v>16628</v>
      </c>
      <c r="V50" s="121"/>
      <c r="W50" s="122" t="s">
        <v>14307</v>
      </c>
      <c r="X50" s="111">
        <v>40</v>
      </c>
      <c r="Y50" s="111"/>
      <c r="Z50" s="111"/>
      <c r="AA50" s="111"/>
      <c r="AB50" s="111"/>
      <c r="AC50" s="111"/>
      <c r="AD50" s="111"/>
      <c r="AE50" s="111"/>
      <c r="AF50" s="112"/>
      <c r="AG50" s="123"/>
      <c r="AH50" s="124" t="s">
        <v>14313</v>
      </c>
      <c r="AI50" s="111" t="s">
        <v>3060</v>
      </c>
      <c r="AJ50" s="125"/>
      <c r="AK50" s="111"/>
      <c r="AL50" s="115"/>
    </row>
    <row r="51" spans="1:38" x14ac:dyDescent="0.25">
      <c r="A51" s="111">
        <v>46835317</v>
      </c>
      <c r="B51" s="112" t="s">
        <v>11879</v>
      </c>
      <c r="C51" s="111"/>
      <c r="D51" s="111"/>
      <c r="E51" s="111"/>
      <c r="F51" s="113" t="s">
        <v>14808</v>
      </c>
      <c r="G51" s="114"/>
      <c r="H51" s="111">
        <v>5300000060</v>
      </c>
      <c r="I51" s="115">
        <v>42291</v>
      </c>
      <c r="J51" s="115">
        <v>35220</v>
      </c>
      <c r="K51" s="115"/>
      <c r="L51" s="116"/>
      <c r="M51" s="115"/>
      <c r="N51" s="115">
        <v>7071</v>
      </c>
      <c r="O51" s="111" t="s">
        <v>16629</v>
      </c>
      <c r="P51" s="111" t="s">
        <v>16637</v>
      </c>
      <c r="Q51" s="118">
        <v>45132</v>
      </c>
      <c r="R51" s="111" t="s">
        <v>16631</v>
      </c>
      <c r="S51" s="118">
        <v>45147</v>
      </c>
      <c r="T51" s="119">
        <v>206</v>
      </c>
      <c r="U51" s="127" t="s">
        <v>16628</v>
      </c>
      <c r="V51" s="121"/>
      <c r="W51" s="122" t="s">
        <v>14307</v>
      </c>
      <c r="X51" s="111">
        <v>15</v>
      </c>
      <c r="Y51" s="111"/>
      <c r="Z51" s="111"/>
      <c r="AA51" s="111"/>
      <c r="AB51" s="111"/>
      <c r="AC51" s="111"/>
      <c r="AD51" s="111"/>
      <c r="AE51" s="111"/>
      <c r="AF51" s="112"/>
      <c r="AG51" s="123"/>
      <c r="AH51" s="124" t="s">
        <v>14313</v>
      </c>
      <c r="AI51" s="111" t="s">
        <v>3060</v>
      </c>
      <c r="AJ51" s="125"/>
      <c r="AK51" s="111"/>
      <c r="AL51" s="115"/>
    </row>
    <row r="52" spans="1:38" x14ac:dyDescent="0.25">
      <c r="A52" s="111">
        <v>46835322</v>
      </c>
      <c r="B52" s="112" t="s">
        <v>11879</v>
      </c>
      <c r="C52" s="111"/>
      <c r="D52" s="111"/>
      <c r="E52" s="111"/>
      <c r="F52" s="113" t="s">
        <v>14809</v>
      </c>
      <c r="G52" s="114"/>
      <c r="H52" s="111">
        <v>5600000096</v>
      </c>
      <c r="I52" s="115">
        <v>2202.21</v>
      </c>
      <c r="J52" s="115"/>
      <c r="K52" s="115"/>
      <c r="L52" s="116"/>
      <c r="M52" s="115"/>
      <c r="N52" s="115">
        <v>2202.21</v>
      </c>
      <c r="O52" s="111" t="s">
        <v>16631</v>
      </c>
      <c r="P52" s="111" t="s">
        <v>16637</v>
      </c>
      <c r="Q52" s="118">
        <v>45141</v>
      </c>
      <c r="R52" s="111" t="s">
        <v>16630</v>
      </c>
      <c r="S52" s="118">
        <v>45181</v>
      </c>
      <c r="T52" s="119">
        <v>172</v>
      </c>
      <c r="U52" s="127" t="s">
        <v>16628</v>
      </c>
      <c r="V52" s="121"/>
      <c r="W52" s="122" t="s">
        <v>14307</v>
      </c>
      <c r="X52" s="111">
        <v>40</v>
      </c>
      <c r="Y52" s="111"/>
      <c r="Z52" s="111"/>
      <c r="AA52" s="111"/>
      <c r="AB52" s="111"/>
      <c r="AC52" s="111"/>
      <c r="AD52" s="111"/>
      <c r="AE52" s="111"/>
      <c r="AF52" s="112"/>
      <c r="AG52" s="123"/>
      <c r="AH52" s="124" t="s">
        <v>14313</v>
      </c>
      <c r="AI52" s="111" t="s">
        <v>3060</v>
      </c>
      <c r="AJ52" s="125"/>
      <c r="AK52" s="111"/>
      <c r="AL52" s="115"/>
    </row>
    <row r="53" spans="1:38" x14ac:dyDescent="0.25">
      <c r="A53" s="111">
        <v>46835334</v>
      </c>
      <c r="B53" s="112" t="s">
        <v>11879</v>
      </c>
      <c r="C53" s="128"/>
      <c r="D53" s="111"/>
      <c r="E53" s="128"/>
      <c r="F53" s="113" t="s">
        <v>14559</v>
      </c>
      <c r="G53" s="114"/>
      <c r="H53" s="111">
        <v>5500000024</v>
      </c>
      <c r="I53" s="115">
        <v>-215.28</v>
      </c>
      <c r="J53" s="115"/>
      <c r="K53" s="115"/>
      <c r="L53" s="116"/>
      <c r="M53" s="115"/>
      <c r="N53" s="115">
        <v>-215.28</v>
      </c>
      <c r="O53" s="111" t="s">
        <v>16631</v>
      </c>
      <c r="P53" s="111" t="s">
        <v>16637</v>
      </c>
      <c r="Q53" s="118">
        <v>45163</v>
      </c>
      <c r="R53" s="111" t="s">
        <v>16630</v>
      </c>
      <c r="S53" s="118">
        <v>45193</v>
      </c>
      <c r="T53" s="119">
        <v>160</v>
      </c>
      <c r="U53" s="127" t="s">
        <v>16640</v>
      </c>
      <c r="V53" s="121"/>
      <c r="W53" s="122" t="s">
        <v>14307</v>
      </c>
      <c r="X53" s="111">
        <v>30</v>
      </c>
      <c r="Y53" s="111"/>
      <c r="Z53" s="111"/>
      <c r="AA53" s="111"/>
      <c r="AB53" s="111"/>
      <c r="AC53" s="111"/>
      <c r="AD53" s="111"/>
      <c r="AE53" s="111"/>
      <c r="AF53" s="112"/>
      <c r="AG53" s="123"/>
      <c r="AH53" s="124" t="s">
        <v>14313</v>
      </c>
      <c r="AI53" s="111" t="s">
        <v>3060</v>
      </c>
      <c r="AJ53" s="125"/>
      <c r="AK53" s="129"/>
      <c r="AL53" s="115"/>
    </row>
    <row r="54" spans="1:38" x14ac:dyDescent="0.25">
      <c r="A54" s="111">
        <v>46835341</v>
      </c>
      <c r="B54" s="112" t="s">
        <v>11879</v>
      </c>
      <c r="C54" s="111"/>
      <c r="D54" s="111"/>
      <c r="E54" s="111"/>
      <c r="F54" s="113" t="s">
        <v>14809</v>
      </c>
      <c r="G54" s="114"/>
      <c r="H54" s="111">
        <v>5600000180</v>
      </c>
      <c r="I54" s="115">
        <v>1576.5</v>
      </c>
      <c r="J54" s="115"/>
      <c r="K54" s="115"/>
      <c r="L54" s="116"/>
      <c r="M54" s="115"/>
      <c r="N54" s="115">
        <v>1576.5</v>
      </c>
      <c r="O54" s="111" t="s">
        <v>16630</v>
      </c>
      <c r="P54" s="111" t="s">
        <v>16637</v>
      </c>
      <c r="Q54" s="118">
        <v>45172</v>
      </c>
      <c r="R54" s="111" t="s">
        <v>16632</v>
      </c>
      <c r="S54" s="118">
        <v>45202</v>
      </c>
      <c r="T54" s="119">
        <v>151</v>
      </c>
      <c r="U54" s="127" t="s">
        <v>16628</v>
      </c>
      <c r="V54" s="121"/>
      <c r="W54" s="122" t="s">
        <v>14307</v>
      </c>
      <c r="X54" s="111">
        <v>30</v>
      </c>
      <c r="Y54" s="111"/>
      <c r="Z54" s="111"/>
      <c r="AA54" s="111"/>
      <c r="AB54" s="111"/>
      <c r="AC54" s="111"/>
      <c r="AD54" s="111"/>
      <c r="AE54" s="111"/>
      <c r="AF54" s="112"/>
      <c r="AG54" s="123"/>
      <c r="AH54" s="124" t="s">
        <v>14313</v>
      </c>
      <c r="AI54" s="111" t="s">
        <v>3060</v>
      </c>
      <c r="AJ54" s="125"/>
      <c r="AK54" s="126"/>
      <c r="AL54" s="115"/>
    </row>
    <row r="55" spans="1:38" x14ac:dyDescent="0.25">
      <c r="A55" s="111">
        <v>46835346</v>
      </c>
      <c r="B55" s="112" t="s">
        <v>11879</v>
      </c>
      <c r="C55" s="111"/>
      <c r="D55" s="111"/>
      <c r="E55" s="111"/>
      <c r="F55" s="113" t="s">
        <v>14804</v>
      </c>
      <c r="G55" s="114"/>
      <c r="H55" s="111">
        <v>5600006096</v>
      </c>
      <c r="I55" s="115">
        <v>882.04</v>
      </c>
      <c r="J55" s="115"/>
      <c r="K55" s="115"/>
      <c r="L55" s="116"/>
      <c r="M55" s="115"/>
      <c r="N55" s="115">
        <v>882.04</v>
      </c>
      <c r="O55" s="111" t="s">
        <v>16630</v>
      </c>
      <c r="P55" s="111" t="s">
        <v>16637</v>
      </c>
      <c r="Q55" s="118">
        <v>45183</v>
      </c>
      <c r="R55" s="111" t="s">
        <v>16632</v>
      </c>
      <c r="S55" s="118">
        <v>45213</v>
      </c>
      <c r="T55" s="119">
        <v>140</v>
      </c>
      <c r="U55" s="127" t="s">
        <v>16628</v>
      </c>
      <c r="V55" s="121"/>
      <c r="W55" s="122" t="s">
        <v>14307</v>
      </c>
      <c r="X55" s="111">
        <v>30</v>
      </c>
      <c r="Y55" s="111"/>
      <c r="Z55" s="111"/>
      <c r="AA55" s="111"/>
      <c r="AB55" s="111"/>
      <c r="AC55" s="111"/>
      <c r="AD55" s="111"/>
      <c r="AE55" s="111"/>
      <c r="AF55" s="112"/>
      <c r="AG55" s="123"/>
      <c r="AH55" s="124" t="s">
        <v>14313</v>
      </c>
      <c r="AI55" s="111" t="s">
        <v>3060</v>
      </c>
      <c r="AJ55" s="125"/>
      <c r="AK55" s="111"/>
      <c r="AL55" s="115"/>
    </row>
    <row r="56" spans="1:38" x14ac:dyDescent="0.25">
      <c r="A56" s="111">
        <v>46835347</v>
      </c>
      <c r="B56" s="112" t="s">
        <v>11879</v>
      </c>
      <c r="C56" s="111"/>
      <c r="D56" s="111"/>
      <c r="E56" s="111"/>
      <c r="F56" s="113" t="s">
        <v>14559</v>
      </c>
      <c r="G56" s="114"/>
      <c r="H56" s="111">
        <v>5500006149</v>
      </c>
      <c r="I56" s="131">
        <v>5918.58</v>
      </c>
      <c r="J56" s="115"/>
      <c r="K56" s="115"/>
      <c r="L56" s="115"/>
      <c r="M56" s="115"/>
      <c r="N56" s="115">
        <v>5918.58</v>
      </c>
      <c r="O56" s="111" t="s">
        <v>16630</v>
      </c>
      <c r="P56" s="111" t="s">
        <v>16637</v>
      </c>
      <c r="Q56" s="118">
        <v>45183</v>
      </c>
      <c r="R56" s="111" t="s">
        <v>16632</v>
      </c>
      <c r="S56" s="118">
        <v>45213</v>
      </c>
      <c r="T56" s="119">
        <v>140</v>
      </c>
      <c r="U56" s="127" t="s">
        <v>16628</v>
      </c>
      <c r="V56" s="121"/>
      <c r="W56" s="122" t="s">
        <v>14307</v>
      </c>
      <c r="X56" s="111">
        <v>30</v>
      </c>
      <c r="Y56" s="111"/>
      <c r="Z56" s="111"/>
      <c r="AA56" s="111"/>
      <c r="AB56" s="111"/>
      <c r="AC56" s="111"/>
      <c r="AD56" s="111"/>
      <c r="AE56" s="111"/>
      <c r="AF56" s="112"/>
      <c r="AG56" s="123"/>
      <c r="AH56" s="124" t="s">
        <v>14313</v>
      </c>
      <c r="AI56" s="111" t="s">
        <v>3060</v>
      </c>
      <c r="AJ56" s="125"/>
      <c r="AK56" s="111"/>
      <c r="AL56" s="115"/>
    </row>
    <row r="57" spans="1:38" x14ac:dyDescent="0.25">
      <c r="A57" s="111">
        <v>46835348</v>
      </c>
      <c r="B57" s="112" t="s">
        <v>11879</v>
      </c>
      <c r="C57" s="111"/>
      <c r="D57" s="111"/>
      <c r="E57" s="111"/>
      <c r="F57" s="113" t="s">
        <v>14676</v>
      </c>
      <c r="G57" s="114"/>
      <c r="H57" s="111">
        <v>5500006146</v>
      </c>
      <c r="I57" s="132">
        <v>383.78</v>
      </c>
      <c r="J57" s="115"/>
      <c r="K57" s="115"/>
      <c r="L57" s="116"/>
      <c r="M57" s="115"/>
      <c r="N57" s="115">
        <v>383.78</v>
      </c>
      <c r="O57" s="111" t="s">
        <v>16630</v>
      </c>
      <c r="P57" s="111" t="s">
        <v>16637</v>
      </c>
      <c r="Q57" s="118">
        <v>45183</v>
      </c>
      <c r="R57" s="111" t="s">
        <v>16632</v>
      </c>
      <c r="S57" s="118">
        <v>45213</v>
      </c>
      <c r="T57" s="119">
        <v>140</v>
      </c>
      <c r="U57" s="127" t="s">
        <v>16640</v>
      </c>
      <c r="V57" s="121"/>
      <c r="W57" s="122" t="s">
        <v>14307</v>
      </c>
      <c r="X57" s="111">
        <v>30</v>
      </c>
      <c r="Y57" s="111"/>
      <c r="Z57" s="111"/>
      <c r="AA57" s="111"/>
      <c r="AB57" s="111"/>
      <c r="AC57" s="111"/>
      <c r="AD57" s="111"/>
      <c r="AE57" s="111"/>
      <c r="AF57" s="112"/>
      <c r="AG57" s="123"/>
      <c r="AH57" s="124" t="s">
        <v>14313</v>
      </c>
      <c r="AI57" s="111" t="s">
        <v>3060</v>
      </c>
      <c r="AJ57" s="125"/>
      <c r="AK57" s="111"/>
      <c r="AL57" s="115"/>
    </row>
    <row r="58" spans="1:38" x14ac:dyDescent="0.25">
      <c r="A58" s="111">
        <v>46835358</v>
      </c>
      <c r="B58" s="112" t="s">
        <v>11879</v>
      </c>
      <c r="C58" s="128"/>
      <c r="D58" s="111"/>
      <c r="E58" s="128"/>
      <c r="F58" s="113" t="s">
        <v>14559</v>
      </c>
      <c r="G58" s="114"/>
      <c r="H58" s="111">
        <v>5500006220</v>
      </c>
      <c r="I58" s="115">
        <v>509.99</v>
      </c>
      <c r="J58" s="115"/>
      <c r="K58" s="115"/>
      <c r="L58" s="116"/>
      <c r="M58" s="115"/>
      <c r="N58" s="115">
        <v>509.99</v>
      </c>
      <c r="O58" s="111" t="s">
        <v>16630</v>
      </c>
      <c r="P58" s="111" t="s">
        <v>16637</v>
      </c>
      <c r="Q58" s="118">
        <v>45195</v>
      </c>
      <c r="R58" s="111" t="s">
        <v>16632</v>
      </c>
      <c r="S58" s="118">
        <v>45215</v>
      </c>
      <c r="T58" s="119">
        <v>138</v>
      </c>
      <c r="U58" s="127" t="s">
        <v>16628</v>
      </c>
      <c r="V58" s="121"/>
      <c r="W58" s="122" t="s">
        <v>14307</v>
      </c>
      <c r="X58" s="111">
        <v>20</v>
      </c>
      <c r="Y58" s="111"/>
      <c r="Z58" s="111"/>
      <c r="AA58" s="111"/>
      <c r="AB58" s="111"/>
      <c r="AC58" s="111"/>
      <c r="AD58" s="111"/>
      <c r="AE58" s="111"/>
      <c r="AF58" s="112"/>
      <c r="AG58" s="123"/>
      <c r="AH58" s="124" t="s">
        <v>14313</v>
      </c>
      <c r="AI58" s="111" t="s">
        <v>3060</v>
      </c>
      <c r="AJ58" s="125" t="s">
        <v>14816</v>
      </c>
      <c r="AK58" s="129"/>
      <c r="AL58" s="115"/>
    </row>
    <row r="59" spans="1:38" x14ac:dyDescent="0.25">
      <c r="A59" s="111">
        <v>46835365</v>
      </c>
      <c r="B59" s="112" t="s">
        <v>11879</v>
      </c>
      <c r="C59" s="111"/>
      <c r="D59" s="111"/>
      <c r="E59" s="111"/>
      <c r="F59" s="113" t="s">
        <v>14817</v>
      </c>
      <c r="G59" s="114"/>
      <c r="H59" s="111">
        <v>5600006167</v>
      </c>
      <c r="I59" s="115">
        <v>1430.9</v>
      </c>
      <c r="J59" s="115"/>
      <c r="K59" s="115"/>
      <c r="L59" s="116"/>
      <c r="M59" s="115"/>
      <c r="N59" s="115">
        <v>1430.9</v>
      </c>
      <c r="O59" s="111" t="s">
        <v>16632</v>
      </c>
      <c r="P59" s="111" t="s">
        <v>16637</v>
      </c>
      <c r="Q59" s="118">
        <v>45212</v>
      </c>
      <c r="R59" s="111" t="s">
        <v>16633</v>
      </c>
      <c r="S59" s="118">
        <v>45272</v>
      </c>
      <c r="T59" s="119">
        <v>81</v>
      </c>
      <c r="U59" s="127" t="s">
        <v>16641</v>
      </c>
      <c r="V59" s="121"/>
      <c r="W59" s="122" t="s">
        <v>14307</v>
      </c>
      <c r="X59" s="111">
        <v>60</v>
      </c>
      <c r="Y59" s="111"/>
      <c r="Z59" s="111"/>
      <c r="AA59" s="111"/>
      <c r="AB59" s="111"/>
      <c r="AC59" s="111"/>
      <c r="AD59" s="111"/>
      <c r="AE59" s="111"/>
      <c r="AF59" s="112"/>
      <c r="AG59" s="123"/>
      <c r="AH59" s="124" t="s">
        <v>14313</v>
      </c>
      <c r="AI59" s="111" t="s">
        <v>3060</v>
      </c>
      <c r="AJ59" s="125"/>
      <c r="AK59" s="111"/>
      <c r="AL59" s="115"/>
    </row>
    <row r="60" spans="1:38" x14ac:dyDescent="0.25">
      <c r="A60" s="111">
        <v>46835388</v>
      </c>
      <c r="B60" s="112" t="s">
        <v>11879</v>
      </c>
      <c r="C60" s="128"/>
      <c r="D60" s="111"/>
      <c r="E60" s="128"/>
      <c r="F60" s="113" t="s">
        <v>14817</v>
      </c>
      <c r="G60" s="114"/>
      <c r="H60" s="111">
        <v>5600006233</v>
      </c>
      <c r="I60" s="115">
        <v>1227.06</v>
      </c>
      <c r="J60" s="115"/>
      <c r="K60" s="115"/>
      <c r="L60" s="116"/>
      <c r="M60" s="115"/>
      <c r="N60" s="115">
        <v>1227.06</v>
      </c>
      <c r="O60" s="111" t="s">
        <v>16634</v>
      </c>
      <c r="P60" s="111" t="s">
        <v>16637</v>
      </c>
      <c r="Q60" s="118">
        <v>45234</v>
      </c>
      <c r="R60" s="111" t="s">
        <v>16633</v>
      </c>
      <c r="S60" s="118">
        <v>45280</v>
      </c>
      <c r="T60" s="119">
        <v>73</v>
      </c>
      <c r="U60" s="127" t="s">
        <v>16641</v>
      </c>
      <c r="V60" s="121"/>
      <c r="W60" s="122" t="s">
        <v>14307</v>
      </c>
      <c r="X60" s="111">
        <v>46</v>
      </c>
      <c r="Y60" s="111"/>
      <c r="Z60" s="111"/>
      <c r="AA60" s="111"/>
      <c r="AB60" s="111"/>
      <c r="AC60" s="111"/>
      <c r="AD60" s="111"/>
      <c r="AE60" s="111"/>
      <c r="AF60" s="112"/>
      <c r="AG60" s="123"/>
      <c r="AH60" s="124" t="s">
        <v>14313</v>
      </c>
      <c r="AI60" s="111" t="s">
        <v>3060</v>
      </c>
      <c r="AJ60" s="125"/>
      <c r="AK60" s="129"/>
      <c r="AL60" s="115"/>
    </row>
    <row r="61" spans="1:38" x14ac:dyDescent="0.25">
      <c r="A61" s="111">
        <v>46835390</v>
      </c>
      <c r="B61" s="112" t="s">
        <v>11879</v>
      </c>
      <c r="C61" s="111"/>
      <c r="D61" s="111"/>
      <c r="E61" s="111"/>
      <c r="F61" s="113" t="s">
        <v>14817</v>
      </c>
      <c r="G61" s="114"/>
      <c r="H61" s="111">
        <v>5500000489</v>
      </c>
      <c r="I61" s="115">
        <v>481.7700000000001</v>
      </c>
      <c r="J61" s="115"/>
      <c r="K61" s="115"/>
      <c r="L61" s="116"/>
      <c r="M61" s="115"/>
      <c r="N61" s="115">
        <v>481.7700000000001</v>
      </c>
      <c r="O61" s="111" t="s">
        <v>16633</v>
      </c>
      <c r="P61" s="111" t="s">
        <v>16637</v>
      </c>
      <c r="Q61" s="118">
        <v>45265</v>
      </c>
      <c r="R61" s="111" t="s">
        <v>16636</v>
      </c>
      <c r="S61" s="118">
        <v>45325</v>
      </c>
      <c r="T61" s="119">
        <v>28</v>
      </c>
      <c r="U61" s="127" t="s">
        <v>16642</v>
      </c>
      <c r="V61" s="121" t="s">
        <v>14477</v>
      </c>
      <c r="W61" s="122" t="s">
        <v>14307</v>
      </c>
      <c r="X61" s="111">
        <v>60</v>
      </c>
      <c r="Y61" s="111"/>
      <c r="Z61" s="111"/>
      <c r="AA61" s="111"/>
      <c r="AB61" s="111"/>
      <c r="AC61" s="111"/>
      <c r="AD61" s="111"/>
      <c r="AE61" s="111"/>
      <c r="AF61" s="112"/>
      <c r="AG61" s="123"/>
      <c r="AH61" s="124" t="s">
        <v>14313</v>
      </c>
      <c r="AI61" s="111" t="s">
        <v>3060</v>
      </c>
      <c r="AJ61" s="125"/>
      <c r="AK61" s="111"/>
      <c r="AL61" s="115"/>
    </row>
    <row r="62" spans="1:38" x14ac:dyDescent="0.25">
      <c r="A62" s="111">
        <v>46835419</v>
      </c>
      <c r="B62" s="112" t="s">
        <v>11879</v>
      </c>
      <c r="C62" s="111"/>
      <c r="D62" s="111"/>
      <c r="E62" s="111"/>
      <c r="F62" s="113" t="s">
        <v>14559</v>
      </c>
      <c r="G62" s="114"/>
      <c r="H62" s="111">
        <v>5500006552</v>
      </c>
      <c r="I62" s="115">
        <v>630.02000000000044</v>
      </c>
      <c r="J62" s="115"/>
      <c r="K62" s="115"/>
      <c r="L62" s="116"/>
      <c r="M62" s="115"/>
      <c r="N62" s="115">
        <v>630.02000000000044</v>
      </c>
      <c r="O62" s="111" t="s">
        <v>16634</v>
      </c>
      <c r="P62" s="111" t="s">
        <v>16637</v>
      </c>
      <c r="Q62" s="118">
        <v>45260</v>
      </c>
      <c r="R62" s="111" t="s">
        <v>16635</v>
      </c>
      <c r="S62" s="118">
        <v>45320</v>
      </c>
      <c r="T62" s="119">
        <v>33</v>
      </c>
      <c r="U62" s="127" t="s">
        <v>16642</v>
      </c>
      <c r="V62" s="121"/>
      <c r="W62" s="122" t="s">
        <v>14307</v>
      </c>
      <c r="X62" s="111">
        <v>60</v>
      </c>
      <c r="Y62" s="111"/>
      <c r="Z62" s="111"/>
      <c r="AA62" s="111"/>
      <c r="AB62" s="111"/>
      <c r="AC62" s="111"/>
      <c r="AD62" s="111"/>
      <c r="AE62" s="111"/>
      <c r="AF62" s="112"/>
      <c r="AG62" s="123"/>
      <c r="AH62" s="124" t="s">
        <v>14313</v>
      </c>
      <c r="AI62" s="111" t="s">
        <v>3060</v>
      </c>
      <c r="AJ62" s="125"/>
      <c r="AK62" s="111"/>
      <c r="AL62" s="115"/>
    </row>
    <row r="63" spans="1:38" x14ac:dyDescent="0.25">
      <c r="A63" s="111">
        <v>46835421</v>
      </c>
      <c r="B63" s="112" t="s">
        <v>11879</v>
      </c>
      <c r="C63" s="111"/>
      <c r="D63" s="111"/>
      <c r="E63" s="111"/>
      <c r="F63" s="113" t="s">
        <v>11799</v>
      </c>
      <c r="G63" s="114"/>
      <c r="H63" s="111">
        <v>5500000443</v>
      </c>
      <c r="I63" s="115">
        <v>1303.3200000000002</v>
      </c>
      <c r="J63" s="115">
        <v>874</v>
      </c>
      <c r="K63" s="115"/>
      <c r="L63" s="115"/>
      <c r="M63" s="115"/>
      <c r="N63" s="115">
        <v>429.32000000000016</v>
      </c>
      <c r="O63" s="111" t="s">
        <v>16634</v>
      </c>
      <c r="P63" s="111" t="s">
        <v>16637</v>
      </c>
      <c r="Q63" s="118">
        <v>45254</v>
      </c>
      <c r="R63" s="111" t="s">
        <v>16633</v>
      </c>
      <c r="S63" s="118">
        <v>45284</v>
      </c>
      <c r="T63" s="119">
        <v>69</v>
      </c>
      <c r="U63" s="127" t="s">
        <v>16641</v>
      </c>
      <c r="V63" s="121"/>
      <c r="W63" s="122" t="s">
        <v>14307</v>
      </c>
      <c r="X63" s="111">
        <v>30</v>
      </c>
      <c r="Y63" s="111"/>
      <c r="Z63" s="111"/>
      <c r="AA63" s="111"/>
      <c r="AB63" s="111"/>
      <c r="AC63" s="111"/>
      <c r="AD63" s="111"/>
      <c r="AE63" s="111"/>
      <c r="AF63" s="112"/>
      <c r="AG63" s="123"/>
      <c r="AH63" s="124" t="s">
        <v>14313</v>
      </c>
      <c r="AI63" s="111" t="s">
        <v>3060</v>
      </c>
      <c r="AJ63" s="125"/>
      <c r="AK63" s="111"/>
      <c r="AL63" s="115"/>
    </row>
    <row r="64" spans="1:38" x14ac:dyDescent="0.25">
      <c r="A64" s="111">
        <v>46835445</v>
      </c>
      <c r="B64" s="112" t="s">
        <v>11879</v>
      </c>
      <c r="C64" s="111"/>
      <c r="D64" s="111"/>
      <c r="E64" s="111"/>
      <c r="F64" s="113" t="s">
        <v>14817</v>
      </c>
      <c r="G64" s="114"/>
      <c r="H64" s="111">
        <v>5600006320</v>
      </c>
      <c r="I64" s="115">
        <v>3000</v>
      </c>
      <c r="J64" s="115"/>
      <c r="K64" s="115"/>
      <c r="L64" s="116"/>
      <c r="M64" s="115"/>
      <c r="N64" s="115">
        <v>3000</v>
      </c>
      <c r="O64" s="111" t="s">
        <v>16633</v>
      </c>
      <c r="P64" s="111" t="s">
        <v>16637</v>
      </c>
      <c r="Q64" s="118">
        <v>45271</v>
      </c>
      <c r="R64" s="111" t="s">
        <v>16635</v>
      </c>
      <c r="S64" s="118">
        <v>45301</v>
      </c>
      <c r="T64" s="119">
        <v>52</v>
      </c>
      <c r="U64" s="127" t="s">
        <v>16643</v>
      </c>
      <c r="V64" s="121"/>
      <c r="W64" s="122" t="s">
        <v>14307</v>
      </c>
      <c r="X64" s="111">
        <v>30</v>
      </c>
      <c r="Y64" s="111"/>
      <c r="Z64" s="111"/>
      <c r="AA64" s="111"/>
      <c r="AB64" s="111"/>
      <c r="AC64" s="111"/>
      <c r="AD64" s="111"/>
      <c r="AE64" s="111"/>
      <c r="AF64" s="112"/>
      <c r="AG64" s="123"/>
      <c r="AH64" s="124" t="s">
        <v>14313</v>
      </c>
      <c r="AI64" s="111" t="s">
        <v>3060</v>
      </c>
      <c r="AJ64" s="125"/>
      <c r="AK64" s="111"/>
      <c r="AL64" s="115"/>
    </row>
    <row r="65" spans="1:38" x14ac:dyDescent="0.25">
      <c r="A65" s="111">
        <v>46835456</v>
      </c>
      <c r="B65" s="112" t="s">
        <v>11879</v>
      </c>
      <c r="C65" s="111"/>
      <c r="D65" s="111"/>
      <c r="E65" s="111"/>
      <c r="F65" s="113" t="s">
        <v>14804</v>
      </c>
      <c r="G65" s="114"/>
      <c r="H65" s="111">
        <v>5600006352</v>
      </c>
      <c r="I65" s="115">
        <v>1351.3200000000002</v>
      </c>
      <c r="J65" s="115"/>
      <c r="K65" s="115"/>
      <c r="L65" s="116"/>
      <c r="M65" s="115"/>
      <c r="N65" s="115">
        <v>1351.3200000000002</v>
      </c>
      <c r="O65" s="111" t="s">
        <v>16633</v>
      </c>
      <c r="P65" s="111" t="s">
        <v>16637</v>
      </c>
      <c r="Q65" s="118">
        <v>45286</v>
      </c>
      <c r="R65" s="111" t="s">
        <v>16635</v>
      </c>
      <c r="S65" s="118">
        <v>45316</v>
      </c>
      <c r="T65" s="119">
        <v>37</v>
      </c>
      <c r="U65" s="127" t="s">
        <v>16643</v>
      </c>
      <c r="V65" s="121"/>
      <c r="W65" s="122" t="s">
        <v>14307</v>
      </c>
      <c r="X65" s="111">
        <v>30</v>
      </c>
      <c r="Y65" s="111"/>
      <c r="Z65" s="111"/>
      <c r="AA65" s="111"/>
      <c r="AB65" s="111"/>
      <c r="AC65" s="111"/>
      <c r="AD65" s="111"/>
      <c r="AE65" s="111"/>
      <c r="AF65" s="112"/>
      <c r="AG65" s="123"/>
      <c r="AH65" s="124" t="s">
        <v>14313</v>
      </c>
      <c r="AI65" s="111" t="s">
        <v>3060</v>
      </c>
      <c r="AJ65" s="125"/>
      <c r="AK65" s="111"/>
      <c r="AL65" s="115"/>
    </row>
    <row r="66" spans="1:38" x14ac:dyDescent="0.25">
      <c r="A66" s="111">
        <v>46835477</v>
      </c>
      <c r="B66" s="112" t="s">
        <v>11879</v>
      </c>
      <c r="C66" s="111"/>
      <c r="D66" s="111"/>
      <c r="E66" s="111"/>
      <c r="F66" s="113" t="s">
        <v>14817</v>
      </c>
      <c r="G66" s="114"/>
      <c r="H66" s="111">
        <v>5300000334</v>
      </c>
      <c r="I66" s="115">
        <v>2590.7799999999997</v>
      </c>
      <c r="J66" s="115"/>
      <c r="K66" s="115"/>
      <c r="L66" s="116"/>
      <c r="M66" s="115"/>
      <c r="N66" s="115">
        <v>2590.7799999999997</v>
      </c>
      <c r="O66" s="111" t="s">
        <v>16633</v>
      </c>
      <c r="P66" s="111" t="s">
        <v>16637</v>
      </c>
      <c r="Q66" s="118">
        <v>45290</v>
      </c>
      <c r="R66" s="111" t="s">
        <v>16636</v>
      </c>
      <c r="S66" s="118">
        <v>45350</v>
      </c>
      <c r="T66" s="119">
        <v>3</v>
      </c>
      <c r="U66" s="127" t="s">
        <v>16640</v>
      </c>
      <c r="V66" s="121"/>
      <c r="W66" s="122" t="s">
        <v>14307</v>
      </c>
      <c r="X66" s="111">
        <v>60</v>
      </c>
      <c r="Y66" s="111"/>
      <c r="Z66" s="111"/>
      <c r="AA66" s="111"/>
      <c r="AB66" s="111"/>
      <c r="AC66" s="111"/>
      <c r="AD66" s="111"/>
      <c r="AE66" s="111"/>
      <c r="AF66" s="112"/>
      <c r="AG66" s="123"/>
      <c r="AH66" s="124" t="s">
        <v>14313</v>
      </c>
      <c r="AI66" s="111" t="s">
        <v>3060</v>
      </c>
      <c r="AJ66" s="125"/>
      <c r="AK66" s="111"/>
      <c r="AL66" s="115"/>
    </row>
    <row r="67" spans="1:38" x14ac:dyDescent="0.25">
      <c r="A67" s="111">
        <v>46835478</v>
      </c>
      <c r="B67" s="112" t="s">
        <v>11879</v>
      </c>
      <c r="C67" s="111"/>
      <c r="D67" s="111"/>
      <c r="E67" s="111"/>
      <c r="F67" s="113" t="s">
        <v>14817</v>
      </c>
      <c r="G67" s="114"/>
      <c r="H67" s="111">
        <v>5600002754</v>
      </c>
      <c r="I67" s="115">
        <v>5404.4400000000005</v>
      </c>
      <c r="J67" s="115"/>
      <c r="K67" s="115"/>
      <c r="L67" s="116"/>
      <c r="M67" s="115"/>
      <c r="N67" s="115">
        <v>5404.4400000000005</v>
      </c>
      <c r="O67" s="111" t="s">
        <v>16633</v>
      </c>
      <c r="P67" s="111" t="s">
        <v>16637</v>
      </c>
      <c r="Q67" s="118">
        <v>45290</v>
      </c>
      <c r="R67" s="111" t="s">
        <v>16636</v>
      </c>
      <c r="S67" s="118">
        <v>45350</v>
      </c>
      <c r="T67" s="119">
        <v>3</v>
      </c>
      <c r="U67" s="127" t="s">
        <v>16640</v>
      </c>
      <c r="V67" s="121"/>
      <c r="W67" s="122" t="s">
        <v>14307</v>
      </c>
      <c r="X67" s="111">
        <v>60</v>
      </c>
      <c r="Y67" s="111"/>
      <c r="Z67" s="111"/>
      <c r="AA67" s="111"/>
      <c r="AB67" s="111"/>
      <c r="AC67" s="111"/>
      <c r="AD67" s="111"/>
      <c r="AE67" s="111"/>
      <c r="AF67" s="112"/>
      <c r="AG67" s="123"/>
      <c r="AH67" s="124" t="s">
        <v>14313</v>
      </c>
      <c r="AI67" s="111" t="s">
        <v>3060</v>
      </c>
      <c r="AJ67" s="125"/>
      <c r="AK67" s="111"/>
      <c r="AL67" s="115"/>
    </row>
    <row r="68" spans="1:38" x14ac:dyDescent="0.25">
      <c r="A68" s="111">
        <v>46835533</v>
      </c>
      <c r="B68" s="112" t="s">
        <v>11879</v>
      </c>
      <c r="C68" s="111"/>
      <c r="D68" s="111"/>
      <c r="E68" s="111"/>
      <c r="F68" s="113" t="s">
        <v>14817</v>
      </c>
      <c r="G68" s="114"/>
      <c r="H68" s="111">
        <v>5600006398</v>
      </c>
      <c r="I68" s="115">
        <v>1841.57</v>
      </c>
      <c r="J68" s="115"/>
      <c r="K68" s="115"/>
      <c r="L68" s="115"/>
      <c r="M68" s="115"/>
      <c r="N68" s="115">
        <v>1841.57</v>
      </c>
      <c r="O68" s="111" t="s">
        <v>16635</v>
      </c>
      <c r="P68" s="111" t="s">
        <v>16644</v>
      </c>
      <c r="Q68" s="118">
        <v>45307</v>
      </c>
      <c r="R68" s="111" t="s">
        <v>16638</v>
      </c>
      <c r="S68" s="118">
        <v>45353</v>
      </c>
      <c r="T68" s="119">
        <v>0</v>
      </c>
      <c r="U68" s="127" t="s">
        <v>16640</v>
      </c>
      <c r="V68" s="121"/>
      <c r="W68" s="122" t="s">
        <v>14307</v>
      </c>
      <c r="X68" s="111">
        <v>46</v>
      </c>
      <c r="Y68" s="111"/>
      <c r="Z68" s="111"/>
      <c r="AA68" s="111"/>
      <c r="AB68" s="111"/>
      <c r="AC68" s="111"/>
      <c r="AD68" s="111"/>
      <c r="AE68" s="111"/>
      <c r="AF68" s="112"/>
      <c r="AG68" s="123"/>
      <c r="AH68" s="124" t="s">
        <v>14313</v>
      </c>
      <c r="AI68" s="111" t="s">
        <v>3060</v>
      </c>
      <c r="AJ68" s="125"/>
      <c r="AK68" s="111"/>
      <c r="AL68" s="115"/>
    </row>
    <row r="69" spans="1:38" x14ac:dyDescent="0.25">
      <c r="A69" s="111">
        <v>46835535</v>
      </c>
      <c r="B69" s="112" t="s">
        <v>11879</v>
      </c>
      <c r="C69" s="128"/>
      <c r="D69" s="111"/>
      <c r="E69" s="128"/>
      <c r="F69" s="113" t="s">
        <v>14804</v>
      </c>
      <c r="G69" s="114"/>
      <c r="H69" s="111">
        <v>5500006767</v>
      </c>
      <c r="I69" s="115">
        <v>217.10000000000036</v>
      </c>
      <c r="J69" s="115"/>
      <c r="K69" s="115"/>
      <c r="L69" s="116"/>
      <c r="M69" s="115"/>
      <c r="N69" s="115">
        <v>217.10000000000036</v>
      </c>
      <c r="O69" s="111" t="s">
        <v>16635</v>
      </c>
      <c r="P69" s="111" t="s">
        <v>16644</v>
      </c>
      <c r="Q69" s="118">
        <v>45308</v>
      </c>
      <c r="R69" s="111" t="s">
        <v>16636</v>
      </c>
      <c r="S69" s="118">
        <v>45338</v>
      </c>
      <c r="T69" s="119">
        <v>15</v>
      </c>
      <c r="U69" s="127" t="s">
        <v>16642</v>
      </c>
      <c r="V69" s="121"/>
      <c r="W69" s="122" t="s">
        <v>14307</v>
      </c>
      <c r="X69" s="111">
        <v>30</v>
      </c>
      <c r="Y69" s="111"/>
      <c r="Z69" s="111"/>
      <c r="AA69" s="111"/>
      <c r="AB69" s="111"/>
      <c r="AC69" s="111"/>
      <c r="AD69" s="111"/>
      <c r="AE69" s="111"/>
      <c r="AF69" s="112"/>
      <c r="AG69" s="123"/>
      <c r="AH69" s="124" t="s">
        <v>14313</v>
      </c>
      <c r="AI69" s="111" t="s">
        <v>3060</v>
      </c>
      <c r="AJ69" s="125"/>
      <c r="AK69" s="129"/>
      <c r="AL69" s="115"/>
    </row>
    <row r="70" spans="1:38" x14ac:dyDescent="0.25">
      <c r="A70" s="111">
        <v>46835536</v>
      </c>
      <c r="B70" s="112" t="s">
        <v>11879</v>
      </c>
      <c r="C70" s="111"/>
      <c r="D70" s="111"/>
      <c r="E70" s="111"/>
      <c r="F70" s="113" t="s">
        <v>14823</v>
      </c>
      <c r="G70" s="114"/>
      <c r="H70" s="111">
        <v>5600006400</v>
      </c>
      <c r="I70" s="115">
        <v>2750.1</v>
      </c>
      <c r="J70" s="115"/>
      <c r="K70" s="115"/>
      <c r="L70" s="116"/>
      <c r="M70" s="115"/>
      <c r="N70" s="115">
        <v>2750.1</v>
      </c>
      <c r="O70" s="111" t="s">
        <v>16635</v>
      </c>
      <c r="P70" s="111" t="s">
        <v>16644</v>
      </c>
      <c r="Q70" s="118">
        <v>45308</v>
      </c>
      <c r="R70" s="111" t="s">
        <v>16636</v>
      </c>
      <c r="S70" s="118">
        <v>45338</v>
      </c>
      <c r="T70" s="119">
        <v>15</v>
      </c>
      <c r="U70" s="127" t="s">
        <v>16642</v>
      </c>
      <c r="V70" s="121"/>
      <c r="W70" s="122" t="s">
        <v>14307</v>
      </c>
      <c r="X70" s="111">
        <v>30</v>
      </c>
      <c r="Y70" s="111"/>
      <c r="Z70" s="111"/>
      <c r="AA70" s="111"/>
      <c r="AB70" s="111"/>
      <c r="AC70" s="111"/>
      <c r="AD70" s="111"/>
      <c r="AE70" s="111"/>
      <c r="AF70" s="112"/>
      <c r="AG70" s="123"/>
      <c r="AH70" s="124" t="s">
        <v>14313</v>
      </c>
      <c r="AI70" s="111" t="s">
        <v>3060</v>
      </c>
      <c r="AJ70" s="125"/>
      <c r="AK70" s="111"/>
      <c r="AL70" s="115"/>
    </row>
    <row r="71" spans="1:38" x14ac:dyDescent="0.25">
      <c r="A71" s="111">
        <v>46835540</v>
      </c>
      <c r="B71" s="112" t="s">
        <v>11879</v>
      </c>
      <c r="C71" s="111"/>
      <c r="D71" s="111"/>
      <c r="E71" s="111"/>
      <c r="F71" s="113" t="s">
        <v>14804</v>
      </c>
      <c r="G71" s="114"/>
      <c r="H71" s="111">
        <v>5500006768</v>
      </c>
      <c r="I71" s="115">
        <v>610.02</v>
      </c>
      <c r="J71" s="115"/>
      <c r="K71" s="115"/>
      <c r="L71" s="116"/>
      <c r="M71" s="115"/>
      <c r="N71" s="115">
        <v>610.02</v>
      </c>
      <c r="O71" s="111" t="s">
        <v>16635</v>
      </c>
      <c r="P71" s="111" t="s">
        <v>16644</v>
      </c>
      <c r="Q71" s="118">
        <v>45308</v>
      </c>
      <c r="R71" s="111" t="s">
        <v>16636</v>
      </c>
      <c r="S71" s="118">
        <v>45333</v>
      </c>
      <c r="T71" s="119">
        <v>20</v>
      </c>
      <c r="U71" s="127" t="s">
        <v>16642</v>
      </c>
      <c r="V71" s="121"/>
      <c r="W71" s="122" t="s">
        <v>14307</v>
      </c>
      <c r="X71" s="111">
        <v>25</v>
      </c>
      <c r="Y71" s="111"/>
      <c r="Z71" s="111"/>
      <c r="AA71" s="111"/>
      <c r="AB71" s="111"/>
      <c r="AC71" s="111"/>
      <c r="AD71" s="111"/>
      <c r="AE71" s="111"/>
      <c r="AF71" s="112"/>
      <c r="AG71" s="123"/>
      <c r="AH71" s="124" t="s">
        <v>14313</v>
      </c>
      <c r="AI71" s="111" t="s">
        <v>3060</v>
      </c>
      <c r="AJ71" s="125"/>
      <c r="AK71" s="111"/>
      <c r="AL71" s="115"/>
    </row>
    <row r="72" spans="1:38" x14ac:dyDescent="0.25">
      <c r="A72" s="111">
        <v>46835541</v>
      </c>
      <c r="B72" s="112" t="s">
        <v>11879</v>
      </c>
      <c r="C72" s="111"/>
      <c r="D72" s="111"/>
      <c r="E72" s="111"/>
      <c r="F72" s="113" t="s">
        <v>14804</v>
      </c>
      <c r="G72" s="114"/>
      <c r="H72" s="111">
        <v>5500006769</v>
      </c>
      <c r="I72" s="115">
        <v>346.02</v>
      </c>
      <c r="J72" s="115"/>
      <c r="K72" s="115"/>
      <c r="L72" s="116"/>
      <c r="M72" s="115"/>
      <c r="N72" s="115">
        <v>346.02</v>
      </c>
      <c r="O72" s="111" t="s">
        <v>16635</v>
      </c>
      <c r="P72" s="111" t="s">
        <v>16644</v>
      </c>
      <c r="Q72" s="118">
        <v>45308</v>
      </c>
      <c r="R72" s="111" t="s">
        <v>16636</v>
      </c>
      <c r="S72" s="118">
        <v>45333</v>
      </c>
      <c r="T72" s="119">
        <v>20</v>
      </c>
      <c r="U72" s="127" t="s">
        <v>16642</v>
      </c>
      <c r="V72" s="121"/>
      <c r="W72" s="122" t="s">
        <v>14307</v>
      </c>
      <c r="X72" s="111">
        <v>25</v>
      </c>
      <c r="Y72" s="111"/>
      <c r="Z72" s="111"/>
      <c r="AA72" s="111"/>
      <c r="AB72" s="111"/>
      <c r="AC72" s="111"/>
      <c r="AD72" s="111"/>
      <c r="AE72" s="111"/>
      <c r="AF72" s="112"/>
      <c r="AG72" s="123"/>
      <c r="AH72" s="124" t="s">
        <v>14313</v>
      </c>
      <c r="AI72" s="111" t="s">
        <v>3060</v>
      </c>
      <c r="AJ72" s="125"/>
      <c r="AK72" s="111"/>
      <c r="AL72" s="115"/>
    </row>
    <row r="73" spans="1:38" x14ac:dyDescent="0.25">
      <c r="A73" s="111">
        <v>46835553</v>
      </c>
      <c r="B73" s="112" t="s">
        <v>11879</v>
      </c>
      <c r="C73" s="111"/>
      <c r="D73" s="111"/>
      <c r="E73" s="111"/>
      <c r="F73" s="113" t="s">
        <v>14817</v>
      </c>
      <c r="G73" s="114"/>
      <c r="H73" s="111">
        <v>5500006787</v>
      </c>
      <c r="I73" s="115">
        <v>7665.37</v>
      </c>
      <c r="J73" s="115"/>
      <c r="K73" s="115"/>
      <c r="L73" s="116"/>
      <c r="M73" s="115"/>
      <c r="N73" s="115">
        <v>7665.37</v>
      </c>
      <c r="O73" s="111" t="s">
        <v>16635</v>
      </c>
      <c r="P73" s="111" t="s">
        <v>16644</v>
      </c>
      <c r="Q73" s="118">
        <v>45310</v>
      </c>
      <c r="R73" s="111" t="s">
        <v>16636</v>
      </c>
      <c r="S73" s="118">
        <v>45340</v>
      </c>
      <c r="T73" s="119">
        <v>13</v>
      </c>
      <c r="U73" s="127" t="s">
        <v>16642</v>
      </c>
      <c r="V73" s="121"/>
      <c r="W73" s="122" t="s">
        <v>14307</v>
      </c>
      <c r="X73" s="111">
        <v>30</v>
      </c>
      <c r="Y73" s="111"/>
      <c r="Z73" s="111"/>
      <c r="AA73" s="111"/>
      <c r="AB73" s="111"/>
      <c r="AC73" s="111"/>
      <c r="AD73" s="111"/>
      <c r="AE73" s="111"/>
      <c r="AF73" s="112"/>
      <c r="AG73" s="123"/>
      <c r="AH73" s="124" t="s">
        <v>14313</v>
      </c>
      <c r="AI73" s="111" t="s">
        <v>3060</v>
      </c>
      <c r="AJ73" s="125"/>
      <c r="AK73" s="111"/>
      <c r="AL73" s="115"/>
    </row>
    <row r="74" spans="1:38" x14ac:dyDescent="0.25">
      <c r="A74" s="111">
        <v>46835596</v>
      </c>
      <c r="B74" s="112" t="s">
        <v>11879</v>
      </c>
      <c r="C74" s="111"/>
      <c r="D74" s="111"/>
      <c r="E74" s="111"/>
      <c r="F74" s="113" t="s">
        <v>14823</v>
      </c>
      <c r="G74" s="114"/>
      <c r="H74" s="111">
        <v>5600006410</v>
      </c>
      <c r="I74" s="115">
        <v>400</v>
      </c>
      <c r="J74" s="115"/>
      <c r="K74" s="115"/>
      <c r="L74" s="116"/>
      <c r="M74" s="115"/>
      <c r="N74" s="115">
        <v>400</v>
      </c>
      <c r="O74" s="111" t="s">
        <v>16635</v>
      </c>
      <c r="P74" s="111" t="s">
        <v>16644</v>
      </c>
      <c r="Q74" s="118">
        <v>45316</v>
      </c>
      <c r="R74" s="111" t="s">
        <v>16636</v>
      </c>
      <c r="S74" s="118">
        <v>45346</v>
      </c>
      <c r="T74" s="119">
        <v>7</v>
      </c>
      <c r="U74" s="127" t="s">
        <v>16642</v>
      </c>
      <c r="V74" s="121"/>
      <c r="W74" s="122" t="s">
        <v>14307</v>
      </c>
      <c r="X74" s="111">
        <v>30</v>
      </c>
      <c r="Y74" s="111"/>
      <c r="Z74" s="111"/>
      <c r="AA74" s="111"/>
      <c r="AB74" s="111"/>
      <c r="AC74" s="111"/>
      <c r="AD74" s="111"/>
      <c r="AE74" s="111"/>
      <c r="AF74" s="112"/>
      <c r="AG74" s="123"/>
      <c r="AH74" s="124" t="s">
        <v>14313</v>
      </c>
      <c r="AI74" s="111" t="s">
        <v>3060</v>
      </c>
      <c r="AJ74" s="125"/>
      <c r="AK74" s="111"/>
      <c r="AL74" s="115"/>
    </row>
    <row r="75" spans="1:38" x14ac:dyDescent="0.25">
      <c r="A75" s="111">
        <v>46835620</v>
      </c>
      <c r="B75" s="112" t="s">
        <v>11879</v>
      </c>
      <c r="C75" s="111"/>
      <c r="D75" s="111"/>
      <c r="E75" s="111"/>
      <c r="F75" s="113" t="s">
        <v>14804</v>
      </c>
      <c r="G75" s="114"/>
      <c r="H75" s="111">
        <v>5500002845</v>
      </c>
      <c r="I75" s="115">
        <v>665.51999999999987</v>
      </c>
      <c r="J75" s="115"/>
      <c r="K75" s="115"/>
      <c r="L75" s="115"/>
      <c r="M75" s="115"/>
      <c r="N75" s="115">
        <v>665.51999999999987</v>
      </c>
      <c r="O75" s="111" t="s">
        <v>16635</v>
      </c>
      <c r="P75" s="111" t="s">
        <v>16644</v>
      </c>
      <c r="Q75" s="118">
        <v>45320</v>
      </c>
      <c r="R75" s="111" t="s">
        <v>16636</v>
      </c>
      <c r="S75" s="118">
        <v>45350</v>
      </c>
      <c r="T75" s="119">
        <v>3</v>
      </c>
      <c r="U75" s="127" t="s">
        <v>16640</v>
      </c>
      <c r="V75" s="121"/>
      <c r="W75" s="122" t="s">
        <v>14307</v>
      </c>
      <c r="X75" s="111">
        <v>30</v>
      </c>
      <c r="Y75" s="111"/>
      <c r="Z75" s="111"/>
      <c r="AA75" s="111"/>
      <c r="AB75" s="111"/>
      <c r="AC75" s="111"/>
      <c r="AD75" s="111"/>
      <c r="AE75" s="111"/>
      <c r="AF75" s="112"/>
      <c r="AG75" s="123"/>
      <c r="AH75" s="124" t="s">
        <v>14313</v>
      </c>
      <c r="AI75" s="111" t="s">
        <v>3060</v>
      </c>
      <c r="AJ75" s="125"/>
      <c r="AK75" s="111"/>
      <c r="AL75" s="115"/>
    </row>
    <row r="76" spans="1:38" x14ac:dyDescent="0.25">
      <c r="A76" s="111">
        <v>46835625</v>
      </c>
      <c r="B76" s="112" t="s">
        <v>11879</v>
      </c>
      <c r="C76" s="111"/>
      <c r="D76" s="111"/>
      <c r="E76" s="111"/>
      <c r="F76" s="113" t="s">
        <v>14804</v>
      </c>
      <c r="G76" s="114"/>
      <c r="H76" s="111">
        <v>5500006840</v>
      </c>
      <c r="I76" s="115">
        <v>1202.3900000000001</v>
      </c>
      <c r="J76" s="115"/>
      <c r="K76" s="115"/>
      <c r="L76" s="115"/>
      <c r="M76" s="115"/>
      <c r="N76" s="115">
        <v>1202.3900000000001</v>
      </c>
      <c r="O76" s="111" t="s">
        <v>16635</v>
      </c>
      <c r="P76" s="111" t="s">
        <v>16644</v>
      </c>
      <c r="Q76" s="118">
        <v>45320</v>
      </c>
      <c r="R76" s="111" t="s">
        <v>16636</v>
      </c>
      <c r="S76" s="118">
        <v>45350</v>
      </c>
      <c r="T76" s="119">
        <v>3</v>
      </c>
      <c r="U76" s="127" t="s">
        <v>16640</v>
      </c>
      <c r="V76" s="121"/>
      <c r="W76" s="122" t="s">
        <v>14307</v>
      </c>
      <c r="X76" s="111">
        <v>30</v>
      </c>
      <c r="Y76" s="111"/>
      <c r="Z76" s="111"/>
      <c r="AA76" s="111"/>
      <c r="AB76" s="111"/>
      <c r="AC76" s="111"/>
      <c r="AD76" s="111"/>
      <c r="AE76" s="111"/>
      <c r="AF76" s="112"/>
      <c r="AG76" s="123"/>
      <c r="AH76" s="124" t="s">
        <v>14313</v>
      </c>
      <c r="AI76" s="111" t="s">
        <v>3060</v>
      </c>
      <c r="AJ76" s="125"/>
      <c r="AK76" s="111"/>
      <c r="AL76" s="115"/>
    </row>
    <row r="77" spans="1:38" x14ac:dyDescent="0.25">
      <c r="A77" s="111">
        <v>46835628</v>
      </c>
      <c r="B77" s="112" t="s">
        <v>11879</v>
      </c>
      <c r="C77" s="111"/>
      <c r="D77" s="111"/>
      <c r="E77" s="111"/>
      <c r="F77" s="113" t="s">
        <v>14804</v>
      </c>
      <c r="G77" s="114"/>
      <c r="H77" s="111">
        <v>6500000022</v>
      </c>
      <c r="I77" s="115">
        <v>4541.83</v>
      </c>
      <c r="J77" s="115"/>
      <c r="K77" s="115"/>
      <c r="L77" s="115"/>
      <c r="M77" s="115"/>
      <c r="N77" s="115">
        <v>4541.83</v>
      </c>
      <c r="O77" s="111" t="s">
        <v>16635</v>
      </c>
      <c r="P77" s="111" t="s">
        <v>16644</v>
      </c>
      <c r="Q77" s="118">
        <v>45320</v>
      </c>
      <c r="R77" s="111" t="s">
        <v>16636</v>
      </c>
      <c r="S77" s="118">
        <v>45350</v>
      </c>
      <c r="T77" s="119">
        <v>3</v>
      </c>
      <c r="U77" s="127" t="s">
        <v>16640</v>
      </c>
      <c r="V77" s="121"/>
      <c r="W77" s="122" t="s">
        <v>14307</v>
      </c>
      <c r="X77" s="111">
        <v>30</v>
      </c>
      <c r="Y77" s="111"/>
      <c r="Z77" s="111"/>
      <c r="AA77" s="111"/>
      <c r="AB77" s="111"/>
      <c r="AC77" s="111"/>
      <c r="AD77" s="111"/>
      <c r="AE77" s="111"/>
      <c r="AF77" s="112"/>
      <c r="AG77" s="123"/>
      <c r="AH77" s="124" t="s">
        <v>14313</v>
      </c>
      <c r="AI77" s="111" t="s">
        <v>3060</v>
      </c>
      <c r="AJ77" s="125"/>
      <c r="AK77" s="111"/>
      <c r="AL77" s="115"/>
    </row>
    <row r="78" spans="1:38" x14ac:dyDescent="0.25">
      <c r="A78" s="111">
        <v>46835630</v>
      </c>
      <c r="B78" s="112" t="s">
        <v>11879</v>
      </c>
      <c r="C78" s="111"/>
      <c r="D78" s="111"/>
      <c r="E78" s="111"/>
      <c r="F78" s="113" t="s">
        <v>14823</v>
      </c>
      <c r="G78" s="114"/>
      <c r="H78" s="111">
        <v>6500000029</v>
      </c>
      <c r="I78" s="115">
        <v>3273.05</v>
      </c>
      <c r="J78" s="115"/>
      <c r="K78" s="115"/>
      <c r="L78" s="115"/>
      <c r="M78" s="115"/>
      <c r="N78" s="115">
        <v>3273.05</v>
      </c>
      <c r="O78" s="111" t="s">
        <v>16635</v>
      </c>
      <c r="P78" s="111" t="s">
        <v>16644</v>
      </c>
      <c r="Q78" s="118">
        <v>45321</v>
      </c>
      <c r="R78" s="111" t="s">
        <v>16636</v>
      </c>
      <c r="S78" s="118">
        <v>45351</v>
      </c>
      <c r="T78" s="119">
        <v>2</v>
      </c>
      <c r="U78" s="127" t="s">
        <v>16640</v>
      </c>
      <c r="V78" s="121"/>
      <c r="W78" s="122" t="s">
        <v>14307</v>
      </c>
      <c r="X78" s="111">
        <v>30</v>
      </c>
      <c r="Y78" s="111"/>
      <c r="Z78" s="111"/>
      <c r="AA78" s="111"/>
      <c r="AB78" s="111"/>
      <c r="AC78" s="111"/>
      <c r="AD78" s="111"/>
      <c r="AE78" s="111"/>
      <c r="AF78" s="112"/>
      <c r="AG78" s="123"/>
      <c r="AH78" s="124" t="s">
        <v>14313</v>
      </c>
      <c r="AI78" s="111" t="s">
        <v>3060</v>
      </c>
      <c r="AJ78" s="125"/>
      <c r="AK78" s="111"/>
      <c r="AL78" s="115"/>
    </row>
    <row r="79" spans="1:38" x14ac:dyDescent="0.25">
      <c r="A79" s="111">
        <v>46835634</v>
      </c>
      <c r="B79" s="112" t="s">
        <v>11879</v>
      </c>
      <c r="C79" s="111"/>
      <c r="D79" s="111"/>
      <c r="E79" s="111"/>
      <c r="F79" s="113" t="s">
        <v>14804</v>
      </c>
      <c r="G79" s="114"/>
      <c r="H79" s="111">
        <v>5500006851</v>
      </c>
      <c r="I79" s="115">
        <v>1484.3600000000001</v>
      </c>
      <c r="J79" s="115"/>
      <c r="K79" s="115"/>
      <c r="L79" s="115"/>
      <c r="M79" s="115"/>
      <c r="N79" s="115">
        <v>1484.3600000000001</v>
      </c>
      <c r="O79" s="111" t="s">
        <v>16635</v>
      </c>
      <c r="P79" s="111" t="s">
        <v>16644</v>
      </c>
      <c r="Q79" s="118">
        <v>45322</v>
      </c>
      <c r="R79" s="111" t="s">
        <v>16638</v>
      </c>
      <c r="S79" s="118">
        <v>45352</v>
      </c>
      <c r="T79" s="119">
        <v>1</v>
      </c>
      <c r="U79" s="127" t="s">
        <v>16640</v>
      </c>
      <c r="V79" s="121"/>
      <c r="W79" s="122" t="s">
        <v>14307</v>
      </c>
      <c r="X79" s="111">
        <v>30</v>
      </c>
      <c r="Y79" s="111"/>
      <c r="Z79" s="111"/>
      <c r="AA79" s="111"/>
      <c r="AB79" s="111"/>
      <c r="AC79" s="111"/>
      <c r="AD79" s="111"/>
      <c r="AE79" s="111"/>
      <c r="AF79" s="112"/>
      <c r="AG79" s="123"/>
      <c r="AH79" s="124" t="s">
        <v>14313</v>
      </c>
      <c r="AI79" s="111" t="s">
        <v>3060</v>
      </c>
      <c r="AJ79" s="125"/>
      <c r="AK79" s="111"/>
      <c r="AL79" s="115"/>
    </row>
    <row r="80" spans="1:38" x14ac:dyDescent="0.25">
      <c r="A80" s="111">
        <v>46835641</v>
      </c>
      <c r="B80" s="112" t="s">
        <v>11879</v>
      </c>
      <c r="C80" s="111"/>
      <c r="D80" s="111"/>
      <c r="E80" s="111"/>
      <c r="F80" s="113" t="s">
        <v>14574</v>
      </c>
      <c r="G80" s="114"/>
      <c r="H80" s="111">
        <v>5300000420</v>
      </c>
      <c r="I80" s="115">
        <v>4830</v>
      </c>
      <c r="J80" s="115"/>
      <c r="K80" s="115"/>
      <c r="L80" s="115"/>
      <c r="M80" s="115"/>
      <c r="N80" s="115">
        <v>4830</v>
      </c>
      <c r="O80" s="111" t="s">
        <v>16635</v>
      </c>
      <c r="P80" s="111" t="s">
        <v>16644</v>
      </c>
      <c r="Q80" s="118">
        <v>45322</v>
      </c>
      <c r="R80" s="111" t="s">
        <v>16636</v>
      </c>
      <c r="S80" s="118">
        <v>45329</v>
      </c>
      <c r="T80" s="119">
        <v>24</v>
      </c>
      <c r="U80" s="127" t="s">
        <v>16642</v>
      </c>
      <c r="V80" s="121"/>
      <c r="W80" s="122" t="s">
        <v>14307</v>
      </c>
      <c r="X80" s="111">
        <v>7</v>
      </c>
      <c r="Y80" s="111"/>
      <c r="Z80" s="111"/>
      <c r="AA80" s="111"/>
      <c r="AB80" s="111"/>
      <c r="AC80" s="111"/>
      <c r="AD80" s="111"/>
      <c r="AE80" s="111"/>
      <c r="AF80" s="112"/>
      <c r="AG80" s="123"/>
      <c r="AH80" s="124" t="s">
        <v>14313</v>
      </c>
      <c r="AI80" s="111" t="s">
        <v>3060</v>
      </c>
      <c r="AJ80" s="125"/>
      <c r="AK80" s="111"/>
      <c r="AL80" s="115"/>
    </row>
    <row r="81" spans="1:38" x14ac:dyDescent="0.25">
      <c r="A81" s="111">
        <v>46835649</v>
      </c>
      <c r="B81" s="112" t="s">
        <v>11879</v>
      </c>
      <c r="C81" s="111"/>
      <c r="D81" s="111"/>
      <c r="E81" s="111"/>
      <c r="F81" s="113" t="s">
        <v>14804</v>
      </c>
      <c r="G81" s="114"/>
      <c r="H81" s="111">
        <v>5500006852</v>
      </c>
      <c r="I81" s="115">
        <v>634.20000000000005</v>
      </c>
      <c r="J81" s="115"/>
      <c r="K81" s="133"/>
      <c r="L81" s="116"/>
      <c r="M81" s="115"/>
      <c r="N81" s="115">
        <v>634.20000000000005</v>
      </c>
      <c r="O81" s="111" t="s">
        <v>16635</v>
      </c>
      <c r="P81" s="111" t="s">
        <v>16644</v>
      </c>
      <c r="Q81" s="118">
        <v>45322</v>
      </c>
      <c r="R81" s="111" t="s">
        <v>16636</v>
      </c>
      <c r="S81" s="118">
        <v>45342</v>
      </c>
      <c r="T81" s="119">
        <v>11</v>
      </c>
      <c r="U81" s="127" t="s">
        <v>16642</v>
      </c>
      <c r="V81" s="121"/>
      <c r="W81" s="122" t="s">
        <v>14307</v>
      </c>
      <c r="X81" s="111">
        <v>20</v>
      </c>
      <c r="Y81" s="111"/>
      <c r="Z81" s="111"/>
      <c r="AA81" s="111"/>
      <c r="AB81" s="111"/>
      <c r="AC81" s="111"/>
      <c r="AD81" s="111"/>
      <c r="AE81" s="111"/>
      <c r="AF81" s="112"/>
      <c r="AG81" s="123"/>
      <c r="AH81" s="124" t="s">
        <v>14313</v>
      </c>
      <c r="AI81" s="111" t="s">
        <v>3060</v>
      </c>
      <c r="AJ81" s="125"/>
      <c r="AK81" s="111"/>
      <c r="AL81" s="115"/>
    </row>
    <row r="82" spans="1:38" x14ac:dyDescent="0.25">
      <c r="A82" s="111">
        <v>46835680</v>
      </c>
      <c r="B82" s="112" t="s">
        <v>11879</v>
      </c>
      <c r="C82" s="111"/>
      <c r="D82" s="111"/>
      <c r="E82" s="111"/>
      <c r="F82" s="113" t="s">
        <v>14804</v>
      </c>
      <c r="G82" s="114"/>
      <c r="H82" s="111">
        <v>6500000046</v>
      </c>
      <c r="I82" s="115">
        <v>1808</v>
      </c>
      <c r="J82" s="115"/>
      <c r="K82" s="115"/>
      <c r="L82" s="115"/>
      <c r="M82" s="115"/>
      <c r="N82" s="115">
        <v>1808</v>
      </c>
      <c r="O82" s="111" t="s">
        <v>16635</v>
      </c>
      <c r="P82" s="111" t="s">
        <v>16644</v>
      </c>
      <c r="Q82" s="118">
        <v>45322</v>
      </c>
      <c r="R82" s="111" t="s">
        <v>16636</v>
      </c>
      <c r="S82" s="118">
        <v>45347</v>
      </c>
      <c r="T82" s="119">
        <v>6</v>
      </c>
      <c r="U82" s="127" t="s">
        <v>16642</v>
      </c>
      <c r="V82" s="121"/>
      <c r="W82" s="122" t="s">
        <v>14307</v>
      </c>
      <c r="X82" s="111">
        <v>25</v>
      </c>
      <c r="Y82" s="111"/>
      <c r="Z82" s="111"/>
      <c r="AA82" s="111"/>
      <c r="AB82" s="111"/>
      <c r="AC82" s="111"/>
      <c r="AD82" s="111"/>
      <c r="AE82" s="111"/>
      <c r="AF82" s="112"/>
      <c r="AG82" s="123"/>
      <c r="AH82" s="124" t="s">
        <v>14313</v>
      </c>
      <c r="AI82" s="111" t="s">
        <v>3060</v>
      </c>
      <c r="AJ82" s="125"/>
      <c r="AK82" s="111"/>
      <c r="AL82" s="115"/>
    </row>
    <row r="83" spans="1:38" x14ac:dyDescent="0.25">
      <c r="A83" s="111">
        <v>46835694</v>
      </c>
      <c r="B83" s="112" t="s">
        <v>11879</v>
      </c>
      <c r="C83" s="111"/>
      <c r="D83" s="111"/>
      <c r="E83" s="111"/>
      <c r="F83" s="113" t="s">
        <v>11799</v>
      </c>
      <c r="G83" s="114"/>
      <c r="H83" s="111">
        <v>6500000048</v>
      </c>
      <c r="I83" s="115">
        <v>3687</v>
      </c>
      <c r="J83" s="115"/>
      <c r="K83" s="115"/>
      <c r="L83" s="115"/>
      <c r="M83" s="115"/>
      <c r="N83" s="115">
        <v>3687</v>
      </c>
      <c r="O83" s="111" t="s">
        <v>16636</v>
      </c>
      <c r="P83" s="111" t="s">
        <v>16644</v>
      </c>
      <c r="Q83" s="118">
        <v>45323</v>
      </c>
      <c r="R83" s="111" t="s">
        <v>16636</v>
      </c>
      <c r="S83" s="118">
        <v>45338</v>
      </c>
      <c r="T83" s="119">
        <v>15</v>
      </c>
      <c r="U83" s="127" t="s">
        <v>16642</v>
      </c>
      <c r="V83" s="121"/>
      <c r="W83" s="122" t="s">
        <v>14282</v>
      </c>
      <c r="X83" s="111">
        <v>15</v>
      </c>
      <c r="Y83" s="111"/>
      <c r="Z83" s="111"/>
      <c r="AA83" s="111"/>
      <c r="AB83" s="111"/>
      <c r="AC83" s="111"/>
      <c r="AD83" s="111"/>
      <c r="AE83" s="111"/>
      <c r="AF83" s="112"/>
      <c r="AG83" s="123"/>
      <c r="AH83" s="124" t="s">
        <v>14313</v>
      </c>
      <c r="AI83" s="111" t="s">
        <v>3060</v>
      </c>
      <c r="AJ83" s="125"/>
      <c r="AK83" s="111"/>
      <c r="AL83" s="115"/>
    </row>
    <row r="84" spans="1:38" x14ac:dyDescent="0.25">
      <c r="A84" s="111">
        <v>46835695</v>
      </c>
      <c r="B84" s="112" t="s">
        <v>11879</v>
      </c>
      <c r="C84" s="111"/>
      <c r="D84" s="111"/>
      <c r="E84" s="111"/>
      <c r="F84" s="113" t="s">
        <v>11799</v>
      </c>
      <c r="G84" s="114"/>
      <c r="H84" s="111">
        <v>6500000049</v>
      </c>
      <c r="I84" s="115">
        <v>12140.01</v>
      </c>
      <c r="J84" s="115"/>
      <c r="K84" s="115"/>
      <c r="L84" s="115"/>
      <c r="M84" s="115"/>
      <c r="N84" s="115">
        <v>12140.01</v>
      </c>
      <c r="O84" s="111" t="s">
        <v>16636</v>
      </c>
      <c r="P84" s="111" t="s">
        <v>16644</v>
      </c>
      <c r="Q84" s="118">
        <v>45323</v>
      </c>
      <c r="R84" s="111" t="s">
        <v>16636</v>
      </c>
      <c r="S84" s="118">
        <v>45338</v>
      </c>
      <c r="T84" s="119">
        <v>15</v>
      </c>
      <c r="U84" s="127" t="s">
        <v>16642</v>
      </c>
      <c r="V84" s="121"/>
      <c r="W84" s="122" t="s">
        <v>14282</v>
      </c>
      <c r="X84" s="111">
        <v>15</v>
      </c>
      <c r="Y84" s="111"/>
      <c r="Z84" s="111"/>
      <c r="AA84" s="111"/>
      <c r="AB84" s="111"/>
      <c r="AC84" s="111"/>
      <c r="AD84" s="111"/>
      <c r="AE84" s="111"/>
      <c r="AF84" s="112"/>
      <c r="AG84" s="123"/>
      <c r="AH84" s="124" t="s">
        <v>14313</v>
      </c>
      <c r="AI84" s="111" t="s">
        <v>3060</v>
      </c>
      <c r="AJ84" s="125"/>
      <c r="AK84" s="111"/>
      <c r="AL84" s="115"/>
    </row>
    <row r="85" spans="1:38" x14ac:dyDescent="0.25">
      <c r="A85" s="111">
        <v>46835702</v>
      </c>
      <c r="B85" s="112" t="s">
        <v>11879</v>
      </c>
      <c r="C85" s="111"/>
      <c r="D85" s="111"/>
      <c r="E85" s="111"/>
      <c r="F85" s="113" t="s">
        <v>11799</v>
      </c>
      <c r="G85" s="114"/>
      <c r="H85" s="111">
        <v>5600006414</v>
      </c>
      <c r="I85" s="115">
        <v>4021.84</v>
      </c>
      <c r="J85" s="115"/>
      <c r="K85" s="115"/>
      <c r="L85" s="115"/>
      <c r="M85" s="115"/>
      <c r="N85" s="115">
        <v>4021.84</v>
      </c>
      <c r="O85" s="111" t="s">
        <v>16636</v>
      </c>
      <c r="P85" s="111" t="s">
        <v>16644</v>
      </c>
      <c r="Q85" s="118">
        <v>45324</v>
      </c>
      <c r="R85" s="111" t="s">
        <v>16636</v>
      </c>
      <c r="S85" s="118">
        <v>45339</v>
      </c>
      <c r="T85" s="119">
        <v>14</v>
      </c>
      <c r="U85" s="127" t="s">
        <v>16642</v>
      </c>
      <c r="V85" s="121"/>
      <c r="W85" s="122" t="s">
        <v>14282</v>
      </c>
      <c r="X85" s="111">
        <v>15</v>
      </c>
      <c r="Y85" s="111"/>
      <c r="Z85" s="111"/>
      <c r="AA85" s="111"/>
      <c r="AB85" s="111"/>
      <c r="AC85" s="111"/>
      <c r="AD85" s="111"/>
      <c r="AE85" s="111"/>
      <c r="AF85" s="112"/>
      <c r="AG85" s="123"/>
      <c r="AH85" s="124" t="s">
        <v>14313</v>
      </c>
      <c r="AI85" s="111" t="s">
        <v>3060</v>
      </c>
      <c r="AJ85" s="125"/>
      <c r="AK85" s="111"/>
      <c r="AL85" s="115"/>
    </row>
    <row r="86" spans="1:38" x14ac:dyDescent="0.25">
      <c r="A86" s="111">
        <v>46835705</v>
      </c>
      <c r="B86" s="112" t="s">
        <v>11879</v>
      </c>
      <c r="C86" s="111"/>
      <c r="D86" s="111"/>
      <c r="E86" s="111"/>
      <c r="F86" s="113" t="s">
        <v>14822</v>
      </c>
      <c r="G86" s="114"/>
      <c r="H86" s="111">
        <v>6500000052</v>
      </c>
      <c r="I86" s="115">
        <v>805.81999999999994</v>
      </c>
      <c r="J86" s="115"/>
      <c r="K86" s="115"/>
      <c r="L86" s="115"/>
      <c r="M86" s="115"/>
      <c r="N86" s="115">
        <v>805.81999999999994</v>
      </c>
      <c r="O86" s="111" t="s">
        <v>16636</v>
      </c>
      <c r="P86" s="111" t="s">
        <v>16644</v>
      </c>
      <c r="Q86" s="118">
        <v>45324</v>
      </c>
      <c r="R86" s="111" t="s">
        <v>16636</v>
      </c>
      <c r="S86" s="118">
        <v>45339</v>
      </c>
      <c r="T86" s="119">
        <v>14</v>
      </c>
      <c r="U86" s="127" t="s">
        <v>16642</v>
      </c>
      <c r="V86" s="121"/>
      <c r="W86" s="122" t="s">
        <v>14282</v>
      </c>
      <c r="X86" s="111">
        <v>15</v>
      </c>
      <c r="Y86" s="111"/>
      <c r="Z86" s="111"/>
      <c r="AA86" s="111"/>
      <c r="AB86" s="111"/>
      <c r="AC86" s="111"/>
      <c r="AD86" s="111"/>
      <c r="AE86" s="111"/>
      <c r="AF86" s="112"/>
      <c r="AG86" s="123"/>
      <c r="AH86" s="124" t="s">
        <v>14313</v>
      </c>
      <c r="AI86" s="111" t="s">
        <v>3060</v>
      </c>
      <c r="AJ86" s="125"/>
      <c r="AK86" s="111"/>
      <c r="AL86" s="115"/>
    </row>
    <row r="87" spans="1:38" x14ac:dyDescent="0.25">
      <c r="A87" s="111">
        <v>46835729</v>
      </c>
      <c r="B87" s="112" t="s">
        <v>11879</v>
      </c>
      <c r="C87" s="111"/>
      <c r="D87" s="111"/>
      <c r="E87" s="111"/>
      <c r="F87" s="113" t="s">
        <v>14804</v>
      </c>
      <c r="G87" s="114"/>
      <c r="H87" s="111">
        <v>6500000082</v>
      </c>
      <c r="I87" s="115">
        <v>4252</v>
      </c>
      <c r="J87" s="115"/>
      <c r="K87" s="115"/>
      <c r="L87" s="115"/>
      <c r="M87" s="115"/>
      <c r="N87" s="115">
        <v>4252</v>
      </c>
      <c r="O87" s="111" t="s">
        <v>16636</v>
      </c>
      <c r="P87" s="111">
        <v>2024</v>
      </c>
      <c r="Q87" s="118">
        <v>45330</v>
      </c>
      <c r="R87" s="111" t="s">
        <v>16636</v>
      </c>
      <c r="S87" s="118">
        <v>45345</v>
      </c>
      <c r="T87" s="119">
        <v>8</v>
      </c>
      <c r="U87" s="127" t="s">
        <v>16642</v>
      </c>
      <c r="V87" s="121"/>
      <c r="W87" s="122" t="s">
        <v>14307</v>
      </c>
      <c r="X87" s="111">
        <v>15</v>
      </c>
      <c r="Y87" s="111"/>
      <c r="Z87" s="111"/>
      <c r="AA87" s="111"/>
      <c r="AB87" s="111"/>
      <c r="AC87" s="111"/>
      <c r="AD87" s="111"/>
      <c r="AE87" s="111"/>
      <c r="AF87" s="112"/>
      <c r="AG87" s="123"/>
      <c r="AH87" s="124" t="s">
        <v>14313</v>
      </c>
      <c r="AI87" s="111" t="s">
        <v>3060</v>
      </c>
      <c r="AJ87" s="125"/>
      <c r="AK87" s="111"/>
      <c r="AL87" s="115"/>
    </row>
    <row r="88" spans="1:38" x14ac:dyDescent="0.25">
      <c r="A88" s="111">
        <v>46835733</v>
      </c>
      <c r="B88" s="112" t="s">
        <v>11879</v>
      </c>
      <c r="C88" s="111"/>
      <c r="D88" s="111"/>
      <c r="E88" s="111"/>
      <c r="F88" s="113" t="s">
        <v>14823</v>
      </c>
      <c r="G88" s="114"/>
      <c r="H88" s="111">
        <v>6500000088</v>
      </c>
      <c r="I88" s="115">
        <v>7307.42</v>
      </c>
      <c r="J88" s="115"/>
      <c r="K88" s="115"/>
      <c r="L88" s="115"/>
      <c r="M88" s="115"/>
      <c r="N88" s="115">
        <v>7307.42</v>
      </c>
      <c r="O88" s="111" t="s">
        <v>16636</v>
      </c>
      <c r="P88" s="111">
        <v>2024</v>
      </c>
      <c r="Q88" s="118">
        <v>45331</v>
      </c>
      <c r="R88" s="111" t="s">
        <v>16638</v>
      </c>
      <c r="S88" s="118">
        <v>45361</v>
      </c>
      <c r="T88" s="119">
        <v>-8</v>
      </c>
      <c r="U88" s="127" t="s">
        <v>16640</v>
      </c>
      <c r="V88" s="121"/>
      <c r="W88" s="122" t="s">
        <v>14307</v>
      </c>
      <c r="X88" s="111">
        <v>30</v>
      </c>
      <c r="Y88" s="111"/>
      <c r="Z88" s="111"/>
      <c r="AA88" s="111"/>
      <c r="AB88" s="111"/>
      <c r="AC88" s="111"/>
      <c r="AD88" s="111"/>
      <c r="AE88" s="111"/>
      <c r="AF88" s="112"/>
      <c r="AG88" s="123"/>
      <c r="AH88" s="124" t="s">
        <v>14313</v>
      </c>
      <c r="AI88" s="111" t="s">
        <v>3060</v>
      </c>
      <c r="AJ88" s="125"/>
      <c r="AK88" s="111"/>
      <c r="AL88" s="115"/>
    </row>
    <row r="89" spans="1:38" x14ac:dyDescent="0.25">
      <c r="A89" s="111">
        <v>46835736</v>
      </c>
      <c r="B89" s="112" t="s">
        <v>11879</v>
      </c>
      <c r="C89" s="111"/>
      <c r="D89" s="111"/>
      <c r="E89" s="111"/>
      <c r="F89" s="113" t="s">
        <v>14804</v>
      </c>
      <c r="G89" s="114"/>
      <c r="H89" s="111">
        <v>6500000094</v>
      </c>
      <c r="I89" s="115">
        <v>530.46</v>
      </c>
      <c r="J89" s="115"/>
      <c r="K89" s="115"/>
      <c r="L89" s="115"/>
      <c r="M89" s="115"/>
      <c r="N89" s="115">
        <v>530.46</v>
      </c>
      <c r="O89" s="111" t="s">
        <v>16636</v>
      </c>
      <c r="P89" s="111">
        <v>2024</v>
      </c>
      <c r="Q89" s="118">
        <v>45332</v>
      </c>
      <c r="R89" s="111" t="s">
        <v>16638</v>
      </c>
      <c r="S89" s="118">
        <v>45352</v>
      </c>
      <c r="T89" s="119">
        <v>1</v>
      </c>
      <c r="U89" s="127" t="s">
        <v>16640</v>
      </c>
      <c r="V89" s="121"/>
      <c r="W89" s="122" t="s">
        <v>14307</v>
      </c>
      <c r="X89" s="111">
        <v>20</v>
      </c>
      <c r="Y89" s="111"/>
      <c r="Z89" s="111"/>
      <c r="AA89" s="111"/>
      <c r="AB89" s="111"/>
      <c r="AC89" s="111"/>
      <c r="AD89" s="111"/>
      <c r="AE89" s="111"/>
      <c r="AF89" s="112"/>
      <c r="AG89" s="123"/>
      <c r="AH89" s="124" t="s">
        <v>14313</v>
      </c>
      <c r="AI89" s="111" t="s">
        <v>3060</v>
      </c>
      <c r="AJ89" s="125"/>
      <c r="AK89" s="111"/>
      <c r="AL89" s="115"/>
    </row>
    <row r="90" spans="1:38" x14ac:dyDescent="0.25">
      <c r="A90" s="111">
        <v>46835737</v>
      </c>
      <c r="B90" s="112" t="s">
        <v>11879</v>
      </c>
      <c r="C90" s="111"/>
      <c r="D90" s="111"/>
      <c r="E90" s="111"/>
      <c r="F90" s="113" t="s">
        <v>14804</v>
      </c>
      <c r="G90" s="114"/>
      <c r="H90" s="111">
        <v>6500000038</v>
      </c>
      <c r="I90" s="115">
        <v>708.85</v>
      </c>
      <c r="J90" s="115"/>
      <c r="K90" s="115"/>
      <c r="L90" s="115"/>
      <c r="M90" s="115"/>
      <c r="N90" s="115">
        <v>708.85</v>
      </c>
      <c r="O90" s="111" t="s">
        <v>16636</v>
      </c>
      <c r="P90" s="111">
        <v>2024</v>
      </c>
      <c r="Q90" s="118">
        <v>45332</v>
      </c>
      <c r="R90" s="111" t="s">
        <v>16638</v>
      </c>
      <c r="S90" s="118">
        <v>45352</v>
      </c>
      <c r="T90" s="119">
        <v>1</v>
      </c>
      <c r="U90" s="127" t="s">
        <v>16640</v>
      </c>
      <c r="V90" s="121"/>
      <c r="W90" s="122" t="s">
        <v>14307</v>
      </c>
      <c r="X90" s="111">
        <v>20</v>
      </c>
      <c r="Y90" s="111"/>
      <c r="Z90" s="111"/>
      <c r="AA90" s="111"/>
      <c r="AB90" s="111"/>
      <c r="AC90" s="111"/>
      <c r="AD90" s="111"/>
      <c r="AE90" s="111"/>
      <c r="AF90" s="112"/>
      <c r="AG90" s="123"/>
      <c r="AH90" s="124" t="s">
        <v>14313</v>
      </c>
      <c r="AI90" s="111" t="s">
        <v>3060</v>
      </c>
      <c r="AJ90" s="125"/>
      <c r="AK90" s="111"/>
      <c r="AL90" s="115"/>
    </row>
    <row r="91" spans="1:38" x14ac:dyDescent="0.25">
      <c r="A91" s="111">
        <v>46835751</v>
      </c>
      <c r="B91" s="112" t="s">
        <v>11879</v>
      </c>
      <c r="C91" s="111"/>
      <c r="D91" s="111"/>
      <c r="E91" s="111"/>
      <c r="F91" s="113" t="s">
        <v>14817</v>
      </c>
      <c r="G91" s="114"/>
      <c r="H91" s="111">
        <v>6500000095</v>
      </c>
      <c r="I91" s="115">
        <v>467</v>
      </c>
      <c r="J91" s="115"/>
      <c r="K91" s="115"/>
      <c r="L91" s="115"/>
      <c r="M91" s="115"/>
      <c r="N91" s="115">
        <v>467</v>
      </c>
      <c r="O91" s="111" t="s">
        <v>16636</v>
      </c>
      <c r="P91" s="111">
        <v>2024</v>
      </c>
      <c r="Q91" s="118">
        <v>45334</v>
      </c>
      <c r="R91" s="111" t="s">
        <v>16638</v>
      </c>
      <c r="S91" s="118">
        <v>45364</v>
      </c>
      <c r="T91" s="119">
        <v>-11</v>
      </c>
      <c r="U91" s="127" t="s">
        <v>16640</v>
      </c>
      <c r="V91" s="121"/>
      <c r="W91" s="122" t="s">
        <v>14307</v>
      </c>
      <c r="X91" s="111">
        <v>30</v>
      </c>
      <c r="Y91" s="111"/>
      <c r="Z91" s="111"/>
      <c r="AA91" s="111"/>
      <c r="AB91" s="111"/>
      <c r="AC91" s="111"/>
      <c r="AD91" s="111"/>
      <c r="AE91" s="111"/>
      <c r="AF91" s="112"/>
      <c r="AG91" s="123"/>
      <c r="AH91" s="124" t="s">
        <v>14313</v>
      </c>
      <c r="AI91" s="111" t="s">
        <v>3060</v>
      </c>
      <c r="AJ91" s="125"/>
      <c r="AK91" s="111"/>
      <c r="AL91" s="115"/>
    </row>
    <row r="92" spans="1:38" x14ac:dyDescent="0.25">
      <c r="A92" s="111">
        <v>46835786</v>
      </c>
      <c r="B92" s="112" t="s">
        <v>11879</v>
      </c>
      <c r="C92" s="111"/>
      <c r="D92" s="111"/>
      <c r="E92" s="111"/>
      <c r="F92" s="113" t="s">
        <v>10941</v>
      </c>
      <c r="G92" s="114"/>
      <c r="H92" s="111">
        <v>6500006103</v>
      </c>
      <c r="I92" s="115">
        <v>436.90999999999985</v>
      </c>
      <c r="J92" s="115"/>
      <c r="K92" s="115"/>
      <c r="L92" s="115"/>
      <c r="M92" s="115"/>
      <c r="N92" s="115">
        <v>436.90999999999985</v>
      </c>
      <c r="O92" s="111" t="s">
        <v>16636</v>
      </c>
      <c r="P92" s="111">
        <v>2024</v>
      </c>
      <c r="Q92" s="118">
        <v>45336</v>
      </c>
      <c r="R92" s="111" t="s">
        <v>16638</v>
      </c>
      <c r="S92" s="118">
        <v>45361</v>
      </c>
      <c r="T92" s="119">
        <v>-8</v>
      </c>
      <c r="U92" s="127" t="s">
        <v>16640</v>
      </c>
      <c r="V92" s="121"/>
      <c r="W92" s="122" t="s">
        <v>14307</v>
      </c>
      <c r="X92" s="111">
        <v>25</v>
      </c>
      <c r="Y92" s="111"/>
      <c r="Z92" s="111"/>
      <c r="AA92" s="111"/>
      <c r="AB92" s="111"/>
      <c r="AC92" s="111"/>
      <c r="AD92" s="111"/>
      <c r="AE92" s="111"/>
      <c r="AF92" s="112"/>
      <c r="AG92" s="123"/>
      <c r="AH92" s="124" t="s">
        <v>14313</v>
      </c>
      <c r="AI92" s="111" t="s">
        <v>3060</v>
      </c>
      <c r="AJ92" s="125"/>
      <c r="AK92" s="111"/>
      <c r="AL92" s="115"/>
    </row>
    <row r="93" spans="1:38" x14ac:dyDescent="0.25">
      <c r="A93" s="111">
        <v>46835787</v>
      </c>
      <c r="B93" s="112" t="s">
        <v>11879</v>
      </c>
      <c r="C93" s="111"/>
      <c r="D93" s="111"/>
      <c r="E93" s="111"/>
      <c r="F93" s="113" t="s">
        <v>10941</v>
      </c>
      <c r="G93" s="114"/>
      <c r="H93" s="111">
        <v>6500006107</v>
      </c>
      <c r="I93" s="115">
        <v>1370</v>
      </c>
      <c r="J93" s="115"/>
      <c r="K93" s="115"/>
      <c r="L93" s="115"/>
      <c r="M93" s="115"/>
      <c r="N93" s="115">
        <v>1370</v>
      </c>
      <c r="O93" s="111" t="s">
        <v>16636</v>
      </c>
      <c r="P93" s="111">
        <v>2024</v>
      </c>
      <c r="Q93" s="118">
        <v>45336</v>
      </c>
      <c r="R93" s="111" t="s">
        <v>16638</v>
      </c>
      <c r="S93" s="118">
        <v>45361</v>
      </c>
      <c r="T93" s="119">
        <v>-8</v>
      </c>
      <c r="U93" s="127" t="s">
        <v>16640</v>
      </c>
      <c r="V93" s="121"/>
      <c r="W93" s="122" t="s">
        <v>14307</v>
      </c>
      <c r="X93" s="111">
        <v>25</v>
      </c>
      <c r="Y93" s="111"/>
      <c r="Z93" s="111"/>
      <c r="AA93" s="111"/>
      <c r="AB93" s="111"/>
      <c r="AC93" s="111"/>
      <c r="AD93" s="111"/>
      <c r="AE93" s="111"/>
      <c r="AF93" s="112"/>
      <c r="AG93" s="123"/>
      <c r="AH93" s="124" t="s">
        <v>14313</v>
      </c>
      <c r="AI93" s="111" t="s">
        <v>3060</v>
      </c>
      <c r="AJ93" s="125"/>
      <c r="AK93" s="111"/>
      <c r="AL93" s="115"/>
    </row>
    <row r="94" spans="1:38" x14ac:dyDescent="0.25">
      <c r="A94" s="111">
        <v>46835788</v>
      </c>
      <c r="B94" s="112" t="s">
        <v>11879</v>
      </c>
      <c r="C94" s="111"/>
      <c r="D94" s="111"/>
      <c r="E94" s="111"/>
      <c r="F94" s="113" t="s">
        <v>10941</v>
      </c>
      <c r="G94" s="114"/>
      <c r="H94" s="111">
        <v>6500006108</v>
      </c>
      <c r="I94" s="115">
        <v>1424.6</v>
      </c>
      <c r="J94" s="115"/>
      <c r="K94" s="115"/>
      <c r="L94" s="115"/>
      <c r="M94" s="115"/>
      <c r="N94" s="115">
        <v>1424.6</v>
      </c>
      <c r="O94" s="111" t="s">
        <v>16636</v>
      </c>
      <c r="P94" s="111">
        <v>2024</v>
      </c>
      <c r="Q94" s="118">
        <v>45336</v>
      </c>
      <c r="R94" s="111" t="s">
        <v>16638</v>
      </c>
      <c r="S94" s="118">
        <v>45361</v>
      </c>
      <c r="T94" s="119">
        <v>-8</v>
      </c>
      <c r="U94" s="127" t="s">
        <v>16640</v>
      </c>
      <c r="V94" s="121"/>
      <c r="W94" s="122" t="s">
        <v>14307</v>
      </c>
      <c r="X94" s="111">
        <v>25</v>
      </c>
      <c r="Y94" s="111"/>
      <c r="Z94" s="111"/>
      <c r="AA94" s="111"/>
      <c r="AB94" s="111"/>
      <c r="AC94" s="111"/>
      <c r="AD94" s="111"/>
      <c r="AE94" s="111"/>
      <c r="AF94" s="112"/>
      <c r="AG94" s="123"/>
      <c r="AH94" s="124" t="s">
        <v>14313</v>
      </c>
      <c r="AI94" s="111" t="s">
        <v>3060</v>
      </c>
      <c r="AJ94" s="125"/>
      <c r="AK94" s="111"/>
      <c r="AL94" s="115"/>
    </row>
    <row r="95" spans="1:38" x14ac:dyDescent="0.25">
      <c r="A95" s="111">
        <v>46835789</v>
      </c>
      <c r="B95" s="112" t="s">
        <v>11879</v>
      </c>
      <c r="C95" s="111"/>
      <c r="D95" s="111"/>
      <c r="E95" s="111"/>
      <c r="F95" s="113" t="s">
        <v>10941</v>
      </c>
      <c r="G95" s="114"/>
      <c r="H95" s="111">
        <v>6500006109</v>
      </c>
      <c r="I95" s="115">
        <v>6306.74</v>
      </c>
      <c r="J95" s="115"/>
      <c r="K95" s="115"/>
      <c r="L95" s="115"/>
      <c r="M95" s="115"/>
      <c r="N95" s="115">
        <v>6306.74</v>
      </c>
      <c r="O95" s="111" t="s">
        <v>16636</v>
      </c>
      <c r="P95" s="111">
        <v>2024</v>
      </c>
      <c r="Q95" s="118">
        <v>45336</v>
      </c>
      <c r="R95" s="111" t="s">
        <v>16638</v>
      </c>
      <c r="S95" s="118">
        <v>45361</v>
      </c>
      <c r="T95" s="119">
        <v>-8</v>
      </c>
      <c r="U95" s="127" t="s">
        <v>16640</v>
      </c>
      <c r="V95" s="121"/>
      <c r="W95" s="122" t="s">
        <v>14307</v>
      </c>
      <c r="X95" s="111">
        <v>25</v>
      </c>
      <c r="Y95" s="111"/>
      <c r="Z95" s="111"/>
      <c r="AA95" s="111"/>
      <c r="AB95" s="111"/>
      <c r="AC95" s="111"/>
      <c r="AD95" s="111"/>
      <c r="AE95" s="111"/>
      <c r="AF95" s="112"/>
      <c r="AG95" s="123"/>
      <c r="AH95" s="124" t="s">
        <v>14313</v>
      </c>
      <c r="AI95" s="111" t="s">
        <v>3060</v>
      </c>
      <c r="AJ95" s="125"/>
      <c r="AK95" s="111"/>
      <c r="AL95" s="115"/>
    </row>
    <row r="96" spans="1:38" x14ac:dyDescent="0.25">
      <c r="A96" s="111">
        <v>46835797</v>
      </c>
      <c r="B96" s="112" t="s">
        <v>11879</v>
      </c>
      <c r="C96" s="111"/>
      <c r="D96" s="111"/>
      <c r="E96" s="111"/>
      <c r="F96" s="113" t="s">
        <v>14804</v>
      </c>
      <c r="G96" s="114"/>
      <c r="H96" s="111">
        <v>6500006125</v>
      </c>
      <c r="I96" s="115">
        <v>774</v>
      </c>
      <c r="J96" s="115"/>
      <c r="K96" s="115"/>
      <c r="L96" s="115"/>
      <c r="M96" s="115"/>
      <c r="N96" s="115">
        <v>774</v>
      </c>
      <c r="O96" s="111" t="s">
        <v>16636</v>
      </c>
      <c r="P96" s="111">
        <v>2024</v>
      </c>
      <c r="Q96" s="118">
        <v>45337</v>
      </c>
      <c r="R96" s="111" t="s">
        <v>16638</v>
      </c>
      <c r="S96" s="118">
        <v>45352</v>
      </c>
      <c r="T96" s="119">
        <v>1</v>
      </c>
      <c r="U96" s="127" t="s">
        <v>16640</v>
      </c>
      <c r="V96" s="121"/>
      <c r="W96" s="122" t="s">
        <v>14307</v>
      </c>
      <c r="X96" s="111">
        <v>15</v>
      </c>
      <c r="Y96" s="111"/>
      <c r="Z96" s="111"/>
      <c r="AA96" s="111"/>
      <c r="AB96" s="111"/>
      <c r="AC96" s="111"/>
      <c r="AD96" s="111"/>
      <c r="AE96" s="111"/>
      <c r="AF96" s="112"/>
      <c r="AG96" s="123"/>
      <c r="AH96" s="124" t="s">
        <v>14313</v>
      </c>
      <c r="AI96" s="111" t="s">
        <v>3060</v>
      </c>
      <c r="AJ96" s="125"/>
      <c r="AK96" s="111"/>
      <c r="AL96" s="115"/>
    </row>
    <row r="97" spans="1:38" x14ac:dyDescent="0.25">
      <c r="A97" s="111">
        <v>46835798</v>
      </c>
      <c r="B97" s="112" t="s">
        <v>11879</v>
      </c>
      <c r="C97" s="111"/>
      <c r="D97" s="111"/>
      <c r="E97" s="111"/>
      <c r="F97" s="113" t="s">
        <v>14804</v>
      </c>
      <c r="G97" s="114"/>
      <c r="H97" s="111">
        <v>6500006126</v>
      </c>
      <c r="I97" s="115">
        <v>1486.5</v>
      </c>
      <c r="J97" s="115"/>
      <c r="K97" s="115"/>
      <c r="L97" s="115"/>
      <c r="M97" s="115"/>
      <c r="N97" s="115">
        <v>1486.5</v>
      </c>
      <c r="O97" s="111" t="s">
        <v>16636</v>
      </c>
      <c r="P97" s="111">
        <v>2024</v>
      </c>
      <c r="Q97" s="118">
        <v>45337</v>
      </c>
      <c r="R97" s="111" t="s">
        <v>16638</v>
      </c>
      <c r="S97" s="118">
        <v>45367</v>
      </c>
      <c r="T97" s="119">
        <v>-14</v>
      </c>
      <c r="U97" s="127" t="s">
        <v>16640</v>
      </c>
      <c r="V97" s="121"/>
      <c r="W97" s="122" t="s">
        <v>14307</v>
      </c>
      <c r="X97" s="111">
        <v>30</v>
      </c>
      <c r="Y97" s="111"/>
      <c r="Z97" s="111"/>
      <c r="AA97" s="111"/>
      <c r="AB97" s="111"/>
      <c r="AC97" s="111"/>
      <c r="AD97" s="111"/>
      <c r="AE97" s="111"/>
      <c r="AF97" s="112"/>
      <c r="AG97" s="123"/>
      <c r="AH97" s="124" t="s">
        <v>14313</v>
      </c>
      <c r="AI97" s="111" t="s">
        <v>3060</v>
      </c>
      <c r="AJ97" s="125"/>
      <c r="AK97" s="111"/>
      <c r="AL97" s="115"/>
    </row>
    <row r="98" spans="1:38" x14ac:dyDescent="0.25">
      <c r="A98" s="111">
        <v>46835808</v>
      </c>
      <c r="B98" s="112" t="s">
        <v>11879</v>
      </c>
      <c r="C98" s="111"/>
      <c r="D98" s="111"/>
      <c r="E98" s="111"/>
      <c r="F98" s="113" t="s">
        <v>14823</v>
      </c>
      <c r="G98" s="114"/>
      <c r="H98" s="111">
        <v>6500006128</v>
      </c>
      <c r="I98" s="115">
        <v>126</v>
      </c>
      <c r="J98" s="115"/>
      <c r="K98" s="115"/>
      <c r="L98" s="115"/>
      <c r="M98" s="115"/>
      <c r="N98" s="115">
        <v>126</v>
      </c>
      <c r="O98" s="111" t="s">
        <v>16636</v>
      </c>
      <c r="P98" s="111">
        <v>2024</v>
      </c>
      <c r="Q98" s="118">
        <v>45338</v>
      </c>
      <c r="R98" s="111" t="s">
        <v>16638</v>
      </c>
      <c r="S98" s="118">
        <v>45368</v>
      </c>
      <c r="T98" s="119">
        <v>-15</v>
      </c>
      <c r="U98" s="127" t="s">
        <v>16640</v>
      </c>
      <c r="V98" s="121"/>
      <c r="W98" s="122" t="s">
        <v>14307</v>
      </c>
      <c r="X98" s="111">
        <v>30</v>
      </c>
      <c r="Y98" s="111"/>
      <c r="Z98" s="111"/>
      <c r="AA98" s="111"/>
      <c r="AB98" s="111"/>
      <c r="AC98" s="111"/>
      <c r="AD98" s="111"/>
      <c r="AE98" s="111"/>
      <c r="AF98" s="112"/>
      <c r="AG98" s="123"/>
      <c r="AH98" s="124" t="s">
        <v>14313</v>
      </c>
      <c r="AI98" s="111" t="s">
        <v>3060</v>
      </c>
      <c r="AJ98" s="125"/>
      <c r="AK98" s="111"/>
      <c r="AL98" s="115"/>
    </row>
    <row r="99" spans="1:38" x14ac:dyDescent="0.25">
      <c r="A99" s="111">
        <v>46835820</v>
      </c>
      <c r="B99" s="112" t="s">
        <v>11879</v>
      </c>
      <c r="C99" s="111"/>
      <c r="D99" s="111"/>
      <c r="E99" s="111"/>
      <c r="F99" s="113" t="s">
        <v>14823</v>
      </c>
      <c r="G99" s="114"/>
      <c r="H99" s="111">
        <v>6500006138</v>
      </c>
      <c r="I99" s="115">
        <v>12155.84</v>
      </c>
      <c r="J99" s="115"/>
      <c r="K99" s="115"/>
      <c r="L99" s="115"/>
      <c r="M99" s="115"/>
      <c r="N99" s="115">
        <v>12155.84</v>
      </c>
      <c r="O99" s="111" t="s">
        <v>16636</v>
      </c>
      <c r="P99" s="111">
        <v>2024</v>
      </c>
      <c r="Q99" s="118">
        <v>45341</v>
      </c>
      <c r="R99" s="111" t="s">
        <v>16638</v>
      </c>
      <c r="S99" s="118">
        <v>45371</v>
      </c>
      <c r="T99" s="119">
        <v>-18</v>
      </c>
      <c r="U99" s="127" t="s">
        <v>16640</v>
      </c>
      <c r="V99" s="121"/>
      <c r="W99" s="122" t="s">
        <v>14307</v>
      </c>
      <c r="X99" s="111">
        <v>30</v>
      </c>
      <c r="Y99" s="111"/>
      <c r="Z99" s="111"/>
      <c r="AA99" s="111"/>
      <c r="AB99" s="111"/>
      <c r="AC99" s="111"/>
      <c r="AD99" s="111"/>
      <c r="AE99" s="111"/>
      <c r="AF99" s="112"/>
      <c r="AG99" s="123"/>
      <c r="AH99" s="124" t="s">
        <v>14313</v>
      </c>
      <c r="AI99" s="111" t="s">
        <v>3060</v>
      </c>
      <c r="AJ99" s="125"/>
      <c r="AK99" s="111"/>
      <c r="AL99" s="115"/>
    </row>
    <row r="100" spans="1:38" x14ac:dyDescent="0.25">
      <c r="A100" s="111">
        <v>46835823</v>
      </c>
      <c r="B100" s="112" t="s">
        <v>11879</v>
      </c>
      <c r="C100" s="111"/>
      <c r="D100" s="111"/>
      <c r="E100" s="111"/>
      <c r="F100" s="113" t="s">
        <v>14823</v>
      </c>
      <c r="G100" s="114"/>
      <c r="H100" s="111">
        <v>6500006141</v>
      </c>
      <c r="I100" s="115">
        <v>4009.3</v>
      </c>
      <c r="J100" s="115"/>
      <c r="K100" s="115"/>
      <c r="L100" s="115"/>
      <c r="M100" s="115"/>
      <c r="N100" s="115">
        <v>4009.3</v>
      </c>
      <c r="O100" s="111" t="s">
        <v>16636</v>
      </c>
      <c r="P100" s="111">
        <v>2024</v>
      </c>
      <c r="Q100" s="118">
        <v>45341</v>
      </c>
      <c r="R100" s="111" t="s">
        <v>16638</v>
      </c>
      <c r="S100" s="118">
        <v>45371</v>
      </c>
      <c r="T100" s="119">
        <v>-18</v>
      </c>
      <c r="U100" s="127" t="s">
        <v>16640</v>
      </c>
      <c r="V100" s="121"/>
      <c r="W100" s="122" t="s">
        <v>14307</v>
      </c>
      <c r="X100" s="111">
        <v>30</v>
      </c>
      <c r="Y100" s="111"/>
      <c r="Z100" s="111"/>
      <c r="AA100" s="111"/>
      <c r="AB100" s="111"/>
      <c r="AC100" s="111"/>
      <c r="AD100" s="111"/>
      <c r="AE100" s="111"/>
      <c r="AF100" s="112"/>
      <c r="AG100" s="123"/>
      <c r="AH100" s="124" t="s">
        <v>14313</v>
      </c>
      <c r="AI100" s="111" t="s">
        <v>3060</v>
      </c>
      <c r="AJ100" s="125"/>
      <c r="AK100" s="111"/>
      <c r="AL100" s="115"/>
    </row>
    <row r="101" spans="1:38" x14ac:dyDescent="0.25">
      <c r="A101" s="111">
        <v>46835825</v>
      </c>
      <c r="B101" s="112" t="s">
        <v>11879</v>
      </c>
      <c r="C101" s="111"/>
      <c r="D101" s="111"/>
      <c r="E101" s="111"/>
      <c r="F101" s="113" t="s">
        <v>14804</v>
      </c>
      <c r="G101" s="114"/>
      <c r="H101" s="111">
        <v>6500006146</v>
      </c>
      <c r="I101" s="115">
        <v>756</v>
      </c>
      <c r="J101" s="115"/>
      <c r="K101" s="115"/>
      <c r="L101" s="115"/>
      <c r="M101" s="115"/>
      <c r="N101" s="115">
        <v>756</v>
      </c>
      <c r="O101" s="111" t="s">
        <v>16636</v>
      </c>
      <c r="P101" s="111">
        <v>2024</v>
      </c>
      <c r="Q101" s="118">
        <v>45341</v>
      </c>
      <c r="R101" s="111" t="s">
        <v>16638</v>
      </c>
      <c r="S101" s="118">
        <v>45361</v>
      </c>
      <c r="T101" s="119">
        <v>-8</v>
      </c>
      <c r="U101" s="127" t="s">
        <v>16640</v>
      </c>
      <c r="V101" s="121"/>
      <c r="W101" s="122" t="s">
        <v>14307</v>
      </c>
      <c r="X101" s="111">
        <v>20</v>
      </c>
      <c r="Y101" s="111"/>
      <c r="Z101" s="111"/>
      <c r="AA101" s="111"/>
      <c r="AB101" s="111"/>
      <c r="AC101" s="111"/>
      <c r="AD101" s="111"/>
      <c r="AE101" s="111"/>
      <c r="AF101" s="112"/>
      <c r="AG101" s="123"/>
      <c r="AH101" s="124" t="s">
        <v>14313</v>
      </c>
      <c r="AI101" s="111" t="s">
        <v>3060</v>
      </c>
      <c r="AJ101" s="125"/>
      <c r="AK101" s="111"/>
      <c r="AL101" s="115"/>
    </row>
    <row r="102" spans="1:38" x14ac:dyDescent="0.25">
      <c r="A102" s="111">
        <v>46835826</v>
      </c>
      <c r="B102" s="112" t="s">
        <v>11879</v>
      </c>
      <c r="C102" s="111"/>
      <c r="D102" s="111"/>
      <c r="E102" s="111"/>
      <c r="F102" s="113" t="s">
        <v>14817</v>
      </c>
      <c r="G102" s="114"/>
      <c r="H102" s="111">
        <v>6500000064</v>
      </c>
      <c r="I102" s="115">
        <v>773.5</v>
      </c>
      <c r="J102" s="115"/>
      <c r="K102" s="115"/>
      <c r="L102" s="115"/>
      <c r="M102" s="115"/>
      <c r="N102" s="115">
        <v>773.5</v>
      </c>
      <c r="O102" s="111" t="s">
        <v>16636</v>
      </c>
      <c r="P102" s="111">
        <v>2024</v>
      </c>
      <c r="Q102" s="118">
        <v>45341</v>
      </c>
      <c r="R102" s="111" t="s">
        <v>16638</v>
      </c>
      <c r="S102" s="118">
        <v>45356</v>
      </c>
      <c r="T102" s="119">
        <v>-3</v>
      </c>
      <c r="U102" s="127" t="s">
        <v>16640</v>
      </c>
      <c r="V102" s="121"/>
      <c r="W102" s="122" t="s">
        <v>14307</v>
      </c>
      <c r="X102" s="111">
        <v>15</v>
      </c>
      <c r="Y102" s="111"/>
      <c r="Z102" s="111"/>
      <c r="AA102" s="111"/>
      <c r="AB102" s="111"/>
      <c r="AC102" s="111"/>
      <c r="AD102" s="111"/>
      <c r="AE102" s="111"/>
      <c r="AF102" s="112"/>
      <c r="AG102" s="123"/>
      <c r="AH102" s="124" t="s">
        <v>14313</v>
      </c>
      <c r="AI102" s="111" t="s">
        <v>3060</v>
      </c>
      <c r="AJ102" s="125"/>
      <c r="AK102" s="111"/>
      <c r="AL102" s="115"/>
    </row>
    <row r="103" spans="1:38" x14ac:dyDescent="0.25">
      <c r="A103" s="111">
        <v>46835827</v>
      </c>
      <c r="B103" s="112" t="s">
        <v>11879</v>
      </c>
      <c r="C103" s="111"/>
      <c r="D103" s="111"/>
      <c r="E103" s="111"/>
      <c r="F103" s="113" t="s">
        <v>14804</v>
      </c>
      <c r="G103" s="114"/>
      <c r="H103" s="111">
        <v>6500006148</v>
      </c>
      <c r="I103" s="115">
        <v>1080</v>
      </c>
      <c r="J103" s="115"/>
      <c r="K103" s="115"/>
      <c r="L103" s="115"/>
      <c r="M103" s="115"/>
      <c r="N103" s="115">
        <v>1080</v>
      </c>
      <c r="O103" s="111" t="s">
        <v>16636</v>
      </c>
      <c r="P103" s="111">
        <v>2024</v>
      </c>
      <c r="Q103" s="118">
        <v>45341</v>
      </c>
      <c r="R103" s="111" t="s">
        <v>16638</v>
      </c>
      <c r="S103" s="118">
        <v>45371</v>
      </c>
      <c r="T103" s="119">
        <v>-18</v>
      </c>
      <c r="U103" s="127" t="s">
        <v>16640</v>
      </c>
      <c r="V103" s="121"/>
      <c r="W103" s="122" t="s">
        <v>14307</v>
      </c>
      <c r="X103" s="111">
        <v>30</v>
      </c>
      <c r="Y103" s="111"/>
      <c r="Z103" s="111"/>
      <c r="AA103" s="111"/>
      <c r="AB103" s="111"/>
      <c r="AC103" s="111"/>
      <c r="AD103" s="111"/>
      <c r="AE103" s="111"/>
      <c r="AF103" s="112"/>
      <c r="AG103" s="123"/>
      <c r="AH103" s="124" t="s">
        <v>14313</v>
      </c>
      <c r="AI103" s="111" t="s">
        <v>3060</v>
      </c>
      <c r="AJ103" s="125"/>
      <c r="AK103" s="111"/>
      <c r="AL103" s="115"/>
    </row>
    <row r="104" spans="1:38" x14ac:dyDescent="0.25">
      <c r="A104" s="111">
        <v>46835828</v>
      </c>
      <c r="B104" s="112" t="s">
        <v>11879</v>
      </c>
      <c r="C104" s="111"/>
      <c r="D104" s="111"/>
      <c r="E104" s="111"/>
      <c r="F104" s="113" t="s">
        <v>14804</v>
      </c>
      <c r="G104" s="114"/>
      <c r="H104" s="111">
        <v>6500006152</v>
      </c>
      <c r="I104" s="115">
        <v>870.66000000000008</v>
      </c>
      <c r="J104" s="115"/>
      <c r="K104" s="115"/>
      <c r="L104" s="115"/>
      <c r="M104" s="115"/>
      <c r="N104" s="115">
        <v>870.66000000000008</v>
      </c>
      <c r="O104" s="111" t="s">
        <v>16636</v>
      </c>
      <c r="P104" s="111">
        <v>2024</v>
      </c>
      <c r="Q104" s="118">
        <v>45342</v>
      </c>
      <c r="R104" s="111" t="s">
        <v>16638</v>
      </c>
      <c r="S104" s="118">
        <v>45362</v>
      </c>
      <c r="T104" s="119">
        <v>-9</v>
      </c>
      <c r="U104" s="127" t="s">
        <v>16640</v>
      </c>
      <c r="V104" s="121"/>
      <c r="W104" s="122" t="s">
        <v>14307</v>
      </c>
      <c r="X104" s="111">
        <v>20</v>
      </c>
      <c r="Y104" s="111"/>
      <c r="Z104" s="111"/>
      <c r="AA104" s="111"/>
      <c r="AB104" s="111"/>
      <c r="AC104" s="111"/>
      <c r="AD104" s="111"/>
      <c r="AE104" s="111"/>
      <c r="AF104" s="112"/>
      <c r="AG104" s="123"/>
      <c r="AH104" s="124" t="s">
        <v>14313</v>
      </c>
      <c r="AI104" s="111" t="s">
        <v>3060</v>
      </c>
      <c r="AJ104" s="125"/>
      <c r="AK104" s="111"/>
      <c r="AL104" s="115"/>
    </row>
    <row r="105" spans="1:38" x14ac:dyDescent="0.25">
      <c r="A105" s="111">
        <v>46835833</v>
      </c>
      <c r="B105" s="112" t="s">
        <v>11879</v>
      </c>
      <c r="C105" s="111"/>
      <c r="D105" s="111"/>
      <c r="E105" s="111"/>
      <c r="F105" s="113" t="s">
        <v>11799</v>
      </c>
      <c r="G105" s="114"/>
      <c r="H105" s="111">
        <v>6500006157</v>
      </c>
      <c r="I105" s="115">
        <v>624</v>
      </c>
      <c r="J105" s="115"/>
      <c r="K105" s="115"/>
      <c r="L105" s="115"/>
      <c r="M105" s="115"/>
      <c r="N105" s="115">
        <v>624</v>
      </c>
      <c r="O105" s="111" t="s">
        <v>16636</v>
      </c>
      <c r="P105" s="111">
        <v>2024</v>
      </c>
      <c r="Q105" s="118">
        <v>45342</v>
      </c>
      <c r="R105" s="111" t="s">
        <v>16638</v>
      </c>
      <c r="S105" s="118">
        <v>45357</v>
      </c>
      <c r="T105" s="119">
        <v>-4</v>
      </c>
      <c r="U105" s="127" t="s">
        <v>16640</v>
      </c>
      <c r="V105" s="121"/>
      <c r="W105" s="122" t="s">
        <v>14307</v>
      </c>
      <c r="X105" s="111">
        <v>15</v>
      </c>
      <c r="Y105" s="111"/>
      <c r="Z105" s="111"/>
      <c r="AA105" s="111"/>
      <c r="AB105" s="111"/>
      <c r="AC105" s="111"/>
      <c r="AD105" s="111"/>
      <c r="AE105" s="111"/>
      <c r="AF105" s="112"/>
      <c r="AG105" s="123"/>
      <c r="AH105" s="124" t="s">
        <v>14313</v>
      </c>
      <c r="AI105" s="111" t="s">
        <v>3060</v>
      </c>
      <c r="AJ105" s="125"/>
      <c r="AK105" s="111"/>
      <c r="AL105" s="115"/>
    </row>
    <row r="106" spans="1:38" x14ac:dyDescent="0.25">
      <c r="A106" s="111">
        <v>46835834</v>
      </c>
      <c r="B106" s="112" t="s">
        <v>11879</v>
      </c>
      <c r="C106" s="111"/>
      <c r="D106" s="111"/>
      <c r="E106" s="111"/>
      <c r="F106" s="113" t="s">
        <v>11799</v>
      </c>
      <c r="G106" s="114"/>
      <c r="H106" s="111">
        <v>5600000030</v>
      </c>
      <c r="I106" s="115">
        <v>-386.95</v>
      </c>
      <c r="J106" s="115"/>
      <c r="K106" s="115"/>
      <c r="L106" s="115"/>
      <c r="M106" s="115"/>
      <c r="N106" s="115">
        <v>-386.95</v>
      </c>
      <c r="O106" s="111" t="s">
        <v>16636</v>
      </c>
      <c r="P106" s="111">
        <v>2024</v>
      </c>
      <c r="Q106" s="118">
        <v>45342</v>
      </c>
      <c r="R106" s="111" t="s">
        <v>16638</v>
      </c>
      <c r="S106" s="118">
        <v>45357</v>
      </c>
      <c r="T106" s="119">
        <v>-4</v>
      </c>
      <c r="U106" s="127" t="s">
        <v>16640</v>
      </c>
      <c r="V106" s="121"/>
      <c r="W106" s="122" t="s">
        <v>14307</v>
      </c>
      <c r="X106" s="111">
        <v>15</v>
      </c>
      <c r="Y106" s="111"/>
      <c r="Z106" s="111"/>
      <c r="AA106" s="111"/>
      <c r="AB106" s="111"/>
      <c r="AC106" s="111"/>
      <c r="AD106" s="111"/>
      <c r="AE106" s="111"/>
      <c r="AF106" s="112"/>
      <c r="AG106" s="123"/>
      <c r="AH106" s="124" t="s">
        <v>14313</v>
      </c>
      <c r="AI106" s="111" t="s">
        <v>3060</v>
      </c>
      <c r="AJ106" s="125"/>
      <c r="AK106" s="111"/>
      <c r="AL106" s="115"/>
    </row>
    <row r="107" spans="1:38" x14ac:dyDescent="0.25">
      <c r="A107" s="111">
        <v>46835835</v>
      </c>
      <c r="B107" s="112" t="s">
        <v>11879</v>
      </c>
      <c r="C107" s="111"/>
      <c r="D107" s="111"/>
      <c r="E107" s="111"/>
      <c r="F107" s="113" t="s">
        <v>16645</v>
      </c>
      <c r="G107" s="114"/>
      <c r="H107" s="111">
        <v>6000001443</v>
      </c>
      <c r="I107" s="115">
        <v>1410.04</v>
      </c>
      <c r="J107" s="115"/>
      <c r="K107" s="115"/>
      <c r="L107" s="115"/>
      <c r="M107" s="115"/>
      <c r="N107" s="115">
        <v>1410.04</v>
      </c>
      <c r="O107" s="111" t="s">
        <v>16636</v>
      </c>
      <c r="P107" s="111">
        <v>2024</v>
      </c>
      <c r="Q107" s="118">
        <v>45342</v>
      </c>
      <c r="R107" s="111" t="s">
        <v>16638</v>
      </c>
      <c r="S107" s="118">
        <v>45372</v>
      </c>
      <c r="T107" s="119">
        <v>-19</v>
      </c>
      <c r="U107" s="127" t="s">
        <v>16640</v>
      </c>
      <c r="V107" s="121"/>
      <c r="W107" s="122" t="s">
        <v>14307</v>
      </c>
      <c r="X107" s="111">
        <v>30</v>
      </c>
      <c r="Y107" s="111"/>
      <c r="Z107" s="111"/>
      <c r="AA107" s="111"/>
      <c r="AB107" s="111"/>
      <c r="AC107" s="111"/>
      <c r="AD107" s="111"/>
      <c r="AE107" s="111"/>
      <c r="AF107" s="112"/>
      <c r="AG107" s="123"/>
      <c r="AH107" s="124" t="s">
        <v>14313</v>
      </c>
      <c r="AI107" s="111" t="s">
        <v>3060</v>
      </c>
      <c r="AJ107" s="125"/>
      <c r="AK107" s="111"/>
      <c r="AL107" s="115"/>
    </row>
    <row r="108" spans="1:38" x14ac:dyDescent="0.25">
      <c r="A108" s="111">
        <v>46835848</v>
      </c>
      <c r="B108" s="112" t="s">
        <v>11879</v>
      </c>
      <c r="C108" s="111"/>
      <c r="D108" s="111"/>
      <c r="E108" s="111"/>
      <c r="F108" s="113" t="s">
        <v>14804</v>
      </c>
      <c r="G108" s="114"/>
      <c r="H108" s="111">
        <v>6500006154</v>
      </c>
      <c r="I108" s="115">
        <v>3048.12</v>
      </c>
      <c r="J108" s="115"/>
      <c r="K108" s="115"/>
      <c r="L108" s="115"/>
      <c r="M108" s="115"/>
      <c r="N108" s="115">
        <v>3048.12</v>
      </c>
      <c r="O108" s="111" t="s">
        <v>16636</v>
      </c>
      <c r="P108" s="111">
        <v>2024</v>
      </c>
      <c r="Q108" s="118">
        <v>45342</v>
      </c>
      <c r="R108" s="111" t="s">
        <v>16638</v>
      </c>
      <c r="S108" s="118">
        <v>45372</v>
      </c>
      <c r="T108" s="119">
        <v>-19</v>
      </c>
      <c r="U108" s="127" t="s">
        <v>16640</v>
      </c>
      <c r="V108" s="121"/>
      <c r="W108" s="122" t="s">
        <v>14307</v>
      </c>
      <c r="X108" s="111">
        <v>30</v>
      </c>
      <c r="Y108" s="111"/>
      <c r="Z108" s="111"/>
      <c r="AA108" s="111"/>
      <c r="AB108" s="111"/>
      <c r="AC108" s="111"/>
      <c r="AD108" s="111"/>
      <c r="AE108" s="111"/>
      <c r="AF108" s="112"/>
      <c r="AG108" s="123"/>
      <c r="AH108" s="124" t="s">
        <v>14313</v>
      </c>
      <c r="AI108" s="111" t="s">
        <v>3060</v>
      </c>
      <c r="AJ108" s="125"/>
      <c r="AK108" s="111"/>
      <c r="AL108" s="115"/>
    </row>
    <row r="109" spans="1:38" x14ac:dyDescent="0.25">
      <c r="A109" s="111">
        <v>46835849</v>
      </c>
      <c r="B109" s="112" t="s">
        <v>11879</v>
      </c>
      <c r="C109" s="111"/>
      <c r="D109" s="111"/>
      <c r="E109" s="111"/>
      <c r="F109" s="113" t="s">
        <v>14804</v>
      </c>
      <c r="G109" s="114"/>
      <c r="H109" s="111">
        <v>6500006155</v>
      </c>
      <c r="I109" s="115">
        <v>1279.2</v>
      </c>
      <c r="J109" s="115"/>
      <c r="K109" s="115"/>
      <c r="L109" s="115"/>
      <c r="M109" s="115"/>
      <c r="N109" s="115">
        <v>1279.2</v>
      </c>
      <c r="O109" s="111" t="s">
        <v>16636</v>
      </c>
      <c r="P109" s="111">
        <v>2024</v>
      </c>
      <c r="Q109" s="118">
        <v>45342</v>
      </c>
      <c r="R109" s="111" t="s">
        <v>16638</v>
      </c>
      <c r="S109" s="118">
        <v>45367</v>
      </c>
      <c r="T109" s="119">
        <v>-14</v>
      </c>
      <c r="U109" s="127" t="s">
        <v>16640</v>
      </c>
      <c r="V109" s="121"/>
      <c r="W109" s="122" t="s">
        <v>14307</v>
      </c>
      <c r="X109" s="111">
        <v>25</v>
      </c>
      <c r="Y109" s="111"/>
      <c r="Z109" s="111"/>
      <c r="AA109" s="111"/>
      <c r="AB109" s="111"/>
      <c r="AC109" s="111"/>
      <c r="AD109" s="111"/>
      <c r="AE109" s="111"/>
      <c r="AF109" s="112"/>
      <c r="AG109" s="123"/>
      <c r="AH109" s="124" t="s">
        <v>14313</v>
      </c>
      <c r="AI109" s="111" t="s">
        <v>3060</v>
      </c>
      <c r="AJ109" s="125"/>
      <c r="AK109" s="111"/>
      <c r="AL109" s="115"/>
    </row>
    <row r="110" spans="1:38" x14ac:dyDescent="0.25">
      <c r="A110" s="111">
        <v>46835861</v>
      </c>
      <c r="B110" s="112" t="s">
        <v>11879</v>
      </c>
      <c r="C110" s="111"/>
      <c r="D110" s="111"/>
      <c r="E110" s="111"/>
      <c r="F110" s="113" t="s">
        <v>16646</v>
      </c>
      <c r="G110" s="114"/>
      <c r="H110" s="111">
        <v>6500006166</v>
      </c>
      <c r="I110" s="115">
        <v>26860.04</v>
      </c>
      <c r="J110" s="115"/>
      <c r="K110" s="115"/>
      <c r="L110" s="115"/>
      <c r="M110" s="115"/>
      <c r="N110" s="115">
        <v>26860.04</v>
      </c>
      <c r="O110" s="111" t="s">
        <v>16636</v>
      </c>
      <c r="P110" s="111">
        <v>2024</v>
      </c>
      <c r="Q110" s="118">
        <v>45343</v>
      </c>
      <c r="R110" s="111" t="s">
        <v>16638</v>
      </c>
      <c r="S110" s="118">
        <v>45373</v>
      </c>
      <c r="T110" s="119">
        <v>-20</v>
      </c>
      <c r="U110" s="127" t="s">
        <v>16640</v>
      </c>
      <c r="V110" s="121"/>
      <c r="W110" s="122" t="s">
        <v>14307</v>
      </c>
      <c r="X110" s="111">
        <v>30</v>
      </c>
      <c r="Y110" s="111"/>
      <c r="Z110" s="111"/>
      <c r="AA110" s="111"/>
      <c r="AB110" s="111"/>
      <c r="AC110" s="111"/>
      <c r="AD110" s="111"/>
      <c r="AE110" s="111"/>
      <c r="AF110" s="112"/>
      <c r="AG110" s="123"/>
      <c r="AH110" s="124" t="s">
        <v>14313</v>
      </c>
      <c r="AI110" s="111" t="s">
        <v>3060</v>
      </c>
      <c r="AJ110" s="125"/>
      <c r="AK110" s="111"/>
      <c r="AL110" s="115"/>
    </row>
    <row r="111" spans="1:38" x14ac:dyDescent="0.25">
      <c r="A111" s="111">
        <v>46835867</v>
      </c>
      <c r="B111" s="112" t="s">
        <v>11879</v>
      </c>
      <c r="C111" s="111"/>
      <c r="D111" s="111"/>
      <c r="E111" s="111"/>
      <c r="F111" s="113" t="s">
        <v>11799</v>
      </c>
      <c r="G111" s="114"/>
      <c r="H111" s="111">
        <v>6500006170</v>
      </c>
      <c r="I111" s="115">
        <v>5769.7999999999993</v>
      </c>
      <c r="J111" s="115"/>
      <c r="K111" s="115"/>
      <c r="L111" s="115"/>
      <c r="M111" s="115"/>
      <c r="N111" s="115">
        <v>5769.7999999999993</v>
      </c>
      <c r="O111" s="111" t="s">
        <v>16636</v>
      </c>
      <c r="P111" s="111">
        <v>2024</v>
      </c>
      <c r="Q111" s="118">
        <v>45343</v>
      </c>
      <c r="R111" s="111" t="s">
        <v>16638</v>
      </c>
      <c r="S111" s="118">
        <v>45358</v>
      </c>
      <c r="T111" s="119">
        <v>-5</v>
      </c>
      <c r="U111" s="127" t="s">
        <v>16640</v>
      </c>
      <c r="V111" s="121"/>
      <c r="W111" s="122" t="s">
        <v>14307</v>
      </c>
      <c r="X111" s="111">
        <v>15</v>
      </c>
      <c r="Y111" s="111"/>
      <c r="Z111" s="111"/>
      <c r="AA111" s="111"/>
      <c r="AB111" s="111"/>
      <c r="AC111" s="111"/>
      <c r="AD111" s="111"/>
      <c r="AE111" s="111"/>
      <c r="AF111" s="112"/>
      <c r="AG111" s="123"/>
      <c r="AH111" s="124" t="s">
        <v>14313</v>
      </c>
      <c r="AI111" s="111" t="s">
        <v>3060</v>
      </c>
      <c r="AJ111" s="125"/>
      <c r="AK111" s="111"/>
      <c r="AL111" s="115"/>
    </row>
    <row r="112" spans="1:38" x14ac:dyDescent="0.25">
      <c r="A112" s="111">
        <v>46835882</v>
      </c>
      <c r="B112" s="112" t="s">
        <v>11879</v>
      </c>
      <c r="C112" s="111"/>
      <c r="D112" s="111"/>
      <c r="E112" s="111"/>
      <c r="F112" s="113" t="s">
        <v>14804</v>
      </c>
      <c r="G112" s="114"/>
      <c r="H112" s="111">
        <v>6500006177</v>
      </c>
      <c r="I112" s="115">
        <v>12240</v>
      </c>
      <c r="J112" s="115"/>
      <c r="K112" s="115"/>
      <c r="L112" s="115"/>
      <c r="M112" s="115"/>
      <c r="N112" s="115">
        <v>12240</v>
      </c>
      <c r="O112" s="111" t="s">
        <v>16636</v>
      </c>
      <c r="P112" s="111">
        <v>2024</v>
      </c>
      <c r="Q112" s="118">
        <v>45344</v>
      </c>
      <c r="R112" s="111" t="s">
        <v>16638</v>
      </c>
      <c r="S112" s="118">
        <v>45369</v>
      </c>
      <c r="T112" s="119">
        <v>-16</v>
      </c>
      <c r="U112" s="127" t="s">
        <v>16640</v>
      </c>
      <c r="V112" s="121"/>
      <c r="W112" s="122" t="s">
        <v>14307</v>
      </c>
      <c r="X112" s="111">
        <v>25</v>
      </c>
      <c r="Y112" s="111"/>
      <c r="Z112" s="111"/>
      <c r="AA112" s="111"/>
      <c r="AB112" s="111"/>
      <c r="AC112" s="111"/>
      <c r="AD112" s="111"/>
      <c r="AE112" s="111"/>
      <c r="AF112" s="112"/>
      <c r="AG112" s="123"/>
      <c r="AH112" s="124" t="s">
        <v>14313</v>
      </c>
      <c r="AI112" s="111" t="s">
        <v>3060</v>
      </c>
      <c r="AJ112" s="125"/>
      <c r="AK112" s="111"/>
      <c r="AL112" s="115"/>
    </row>
    <row r="113" spans="1:38" x14ac:dyDescent="0.25">
      <c r="A113" s="93" t="s">
        <v>6999</v>
      </c>
      <c r="B113" s="68" t="s">
        <v>14310</v>
      </c>
      <c r="C113" s="65"/>
      <c r="D113" s="65"/>
      <c r="E113" s="65"/>
      <c r="F113" s="69"/>
      <c r="G113" s="70"/>
      <c r="H113" s="65" t="s">
        <v>14338</v>
      </c>
      <c r="I113" s="75">
        <v>1722.16</v>
      </c>
      <c r="J113" s="75"/>
      <c r="K113" s="75"/>
      <c r="L113" s="75"/>
      <c r="M113" s="75"/>
      <c r="N113" s="75">
        <f>Tabla1[[#This Row],[IMPORTE APROBADO]]-Tabla1[[#This Row],[AMORTIZACION2]]</f>
        <v>1722.16</v>
      </c>
      <c r="O113" s="65" t="str">
        <f>TEXT(Tabla1[[#This Row],[EMISION]],"mmm")</f>
        <v>Jul</v>
      </c>
      <c r="P113" s="65" t="str">
        <f>TEXT(Tabla1[[#This Row],[EMISION]],"YYYY")</f>
        <v>2022</v>
      </c>
      <c r="Q113" s="71">
        <v>44767</v>
      </c>
      <c r="R113" s="65" t="str">
        <f>TEXT(Tabla1[[#This Row],[VENCIMIENTO]],"mmm")</f>
        <v>Set</v>
      </c>
      <c r="S113" s="71">
        <f t="shared" ref="S113:S131" si="0">Q113+X113</f>
        <v>44812</v>
      </c>
      <c r="T113" s="72">
        <f ca="1">Tabla1[[#This Row],[EMISION]]+Tabla1[[#This Row],[PLAZO]]-TODAY()</f>
        <v>-557</v>
      </c>
      <c r="U113" s="64">
        <f t="shared" ref="U113:U131" ca="1" si="1">IF(T113&gt;=0,$U$4,IF(AND(T113&lt;=-1,T113&gt;=-30),$U$5,IF(AND(T113&lt;=-31,T113&gt;=-60),$U$6,IF(AND(T113&lt;=-61,T113&gt;=-90),$U$7,$U$8))))</f>
        <v>0</v>
      </c>
      <c r="V113" s="72"/>
      <c r="W113" s="73" t="s">
        <v>14307</v>
      </c>
      <c r="X113" s="65">
        <v>45</v>
      </c>
      <c r="Y113" s="65"/>
      <c r="Z113" s="65"/>
      <c r="AA113" s="65"/>
      <c r="AB113" s="65"/>
      <c r="AC113" s="65"/>
      <c r="AD113" s="65"/>
      <c r="AE113" s="65"/>
      <c r="AF113" s="68"/>
      <c r="AG113" s="66"/>
      <c r="AH113" s="67" t="s">
        <v>14313</v>
      </c>
      <c r="AI113" s="65" t="s">
        <v>3060</v>
      </c>
      <c r="AJ113" s="65"/>
      <c r="AK113" s="97">
        <f t="shared" ref="AK113:AK141" ca="1" si="2">TODAY() - S113</f>
        <v>557</v>
      </c>
      <c r="AL113">
        <f>IFERROR(VLOOKUP(A113,'DATA CLIENTES'!B4410:I8284,6,FALSE),0)</f>
        <v>0</v>
      </c>
    </row>
    <row r="114" spans="1:38" x14ac:dyDescent="0.25">
      <c r="A114" s="93" t="s">
        <v>9887</v>
      </c>
      <c r="B114" s="68" t="s">
        <v>9888</v>
      </c>
      <c r="C114" s="65"/>
      <c r="D114" s="65"/>
      <c r="E114" s="65"/>
      <c r="F114" s="69"/>
      <c r="G114" s="70"/>
      <c r="H114" s="65" t="s">
        <v>14339</v>
      </c>
      <c r="I114" s="75">
        <v>523.76</v>
      </c>
      <c r="J114" s="75">
        <v>523.76</v>
      </c>
      <c r="K114" s="75"/>
      <c r="L114" s="75"/>
      <c r="M114" s="75"/>
      <c r="N114" s="75">
        <f>Tabla1[[#This Row],[IMPORTE APROBADO]]-Tabla1[[#This Row],[AMORTIZACION2]]</f>
        <v>0</v>
      </c>
      <c r="O114" s="65" t="str">
        <f>TEXT(Tabla1[[#This Row],[EMISION]],"mmm")</f>
        <v>Jul</v>
      </c>
      <c r="P114" s="65" t="str">
        <f>TEXT(Tabla1[[#This Row],[EMISION]],"YYYY")</f>
        <v>2022</v>
      </c>
      <c r="Q114" s="71">
        <v>44767</v>
      </c>
      <c r="R114" s="65" t="str">
        <f>TEXT(Tabla1[[#This Row],[VENCIMIENTO]],"mmm")</f>
        <v>Ago</v>
      </c>
      <c r="S114" s="71">
        <f t="shared" si="0"/>
        <v>44774</v>
      </c>
      <c r="T114" s="72">
        <f ca="1">Tabla1[[#This Row],[EMISION]]+Tabla1[[#This Row],[PLAZO]]-TODAY()</f>
        <v>-595</v>
      </c>
      <c r="U114" s="64">
        <f t="shared" ca="1" si="1"/>
        <v>0</v>
      </c>
      <c r="V114" s="72"/>
      <c r="W114" s="73" t="s">
        <v>14307</v>
      </c>
      <c r="X114" s="65">
        <v>7</v>
      </c>
      <c r="Y114" s="65"/>
      <c r="Z114" s="65"/>
      <c r="AA114" s="65"/>
      <c r="AB114" s="65"/>
      <c r="AC114" s="65"/>
      <c r="AD114" s="65"/>
      <c r="AE114" s="65"/>
      <c r="AF114" s="68"/>
      <c r="AG114" s="66">
        <v>44775</v>
      </c>
      <c r="AH114" s="67" t="s">
        <v>14308</v>
      </c>
      <c r="AI114" s="65" t="s">
        <v>3060</v>
      </c>
      <c r="AJ114" s="65"/>
      <c r="AK114" s="97">
        <f t="shared" ca="1" si="2"/>
        <v>595</v>
      </c>
      <c r="AL114">
        <f>IFERROR(VLOOKUP(A114,'DATA CLIENTES'!B4411:I8284,6,FALSE),0)</f>
        <v>0</v>
      </c>
    </row>
    <row r="115" spans="1:38" x14ac:dyDescent="0.25">
      <c r="A115" s="93" t="s">
        <v>5470</v>
      </c>
      <c r="B115" s="68" t="s">
        <v>5471</v>
      </c>
      <c r="C115" s="65"/>
      <c r="D115" s="65"/>
      <c r="E115" s="65"/>
      <c r="F115" s="69"/>
      <c r="G115" s="70"/>
      <c r="H115" s="65" t="s">
        <v>14340</v>
      </c>
      <c r="I115" s="75">
        <v>2278</v>
      </c>
      <c r="J115" s="75">
        <v>2278</v>
      </c>
      <c r="K115" s="75"/>
      <c r="L115" s="75"/>
      <c r="M115" s="75"/>
      <c r="N115" s="75">
        <f>Tabla1[[#This Row],[IMPORTE APROBADO]]-Tabla1[[#This Row],[AMORTIZACION2]]</f>
        <v>0</v>
      </c>
      <c r="O115" s="65" t="str">
        <f>TEXT(Tabla1[[#This Row],[EMISION]],"mmm")</f>
        <v>Ago</v>
      </c>
      <c r="P115" s="65" t="str">
        <f>TEXT(Tabla1[[#This Row],[EMISION]],"YYYY")</f>
        <v>2022</v>
      </c>
      <c r="Q115" s="71">
        <v>44774</v>
      </c>
      <c r="R115" s="65" t="str">
        <f>TEXT(Tabla1[[#This Row],[VENCIMIENTO]],"mmm")</f>
        <v>Ago</v>
      </c>
      <c r="S115" s="71">
        <f t="shared" si="0"/>
        <v>44789</v>
      </c>
      <c r="T115" s="72">
        <f ca="1">Tabla1[[#This Row],[EMISION]]+Tabla1[[#This Row],[PLAZO]]-TODAY()</f>
        <v>-580</v>
      </c>
      <c r="U115" s="64">
        <f t="shared" ca="1" si="1"/>
        <v>0</v>
      </c>
      <c r="V115" s="72"/>
      <c r="W115" s="73" t="s">
        <v>14307</v>
      </c>
      <c r="X115" s="65">
        <v>15</v>
      </c>
      <c r="Y115" s="65"/>
      <c r="Z115" s="65"/>
      <c r="AA115" s="65"/>
      <c r="AB115" s="65"/>
      <c r="AC115" s="65"/>
      <c r="AD115" s="65"/>
      <c r="AE115" s="65"/>
      <c r="AF115" s="68"/>
      <c r="AG115" s="66">
        <v>44788</v>
      </c>
      <c r="AH115" s="67" t="s">
        <v>14308</v>
      </c>
      <c r="AI115" s="65" t="s">
        <v>3060</v>
      </c>
      <c r="AJ115" s="65"/>
      <c r="AK115" s="97">
        <f t="shared" ca="1" si="2"/>
        <v>580</v>
      </c>
      <c r="AL115">
        <f>IFERROR(VLOOKUP(A115,'DATA CLIENTES'!B4412:I8284,6,FALSE),0)</f>
        <v>0</v>
      </c>
    </row>
    <row r="116" spans="1:38" x14ac:dyDescent="0.25">
      <c r="A116" s="93" t="s">
        <v>6507</v>
      </c>
      <c r="B116" s="68" t="s">
        <v>6508</v>
      </c>
      <c r="C116" s="65"/>
      <c r="D116" s="65"/>
      <c r="E116" s="65"/>
      <c r="F116" s="69"/>
      <c r="G116" s="70"/>
      <c r="H116" s="65" t="s">
        <v>14341</v>
      </c>
      <c r="I116" s="75">
        <v>14501.04</v>
      </c>
      <c r="J116" s="75">
        <f>50+1950+5000+5400+1600+500+1</f>
        <v>14501</v>
      </c>
      <c r="K116" s="75"/>
      <c r="L116" s="75"/>
      <c r="M116" s="75"/>
      <c r="N116" s="75">
        <f>Tabla1[[#This Row],[IMPORTE APROBADO]]-Tabla1[[#This Row],[AMORTIZACION2]]</f>
        <v>4.0000000000873115E-2</v>
      </c>
      <c r="O116" s="65" t="str">
        <f>TEXT(Tabla1[[#This Row],[EMISION]],"mmm")</f>
        <v>Ago</v>
      </c>
      <c r="P116" s="65" t="str">
        <f>TEXT(Tabla1[[#This Row],[EMISION]],"YYYY")</f>
        <v>2022</v>
      </c>
      <c r="Q116" s="71">
        <v>44774</v>
      </c>
      <c r="R116" s="65" t="str">
        <f>TEXT(Tabla1[[#This Row],[VENCIMIENTO]],"mmm")</f>
        <v>Ago</v>
      </c>
      <c r="S116" s="71">
        <f t="shared" si="0"/>
        <v>44781</v>
      </c>
      <c r="T116" s="72">
        <f ca="1">Tabla1[[#This Row],[EMISION]]+Tabla1[[#This Row],[PLAZO]]-TODAY()</f>
        <v>-588</v>
      </c>
      <c r="U116" s="64">
        <f t="shared" ca="1" si="1"/>
        <v>0</v>
      </c>
      <c r="V116" s="72"/>
      <c r="W116" s="73" t="s">
        <v>14307</v>
      </c>
      <c r="X116" s="65">
        <v>7</v>
      </c>
      <c r="Y116" s="65"/>
      <c r="Z116" s="65"/>
      <c r="AA116" s="65"/>
      <c r="AB116" s="65"/>
      <c r="AC116" s="65"/>
      <c r="AD116" s="65"/>
      <c r="AE116" s="65"/>
      <c r="AF116" s="68"/>
      <c r="AG116" s="66">
        <v>44781</v>
      </c>
      <c r="AH116" s="67" t="s">
        <v>14308</v>
      </c>
      <c r="AI116" s="65" t="s">
        <v>3060</v>
      </c>
      <c r="AJ116" s="65"/>
      <c r="AK116" s="97">
        <f t="shared" ca="1" si="2"/>
        <v>588</v>
      </c>
      <c r="AL116">
        <f>IFERROR(VLOOKUP(A116,'DATA CLIENTES'!B4413:I8284,6,FALSE),0)</f>
        <v>0</v>
      </c>
    </row>
    <row r="117" spans="1:38" x14ac:dyDescent="0.25">
      <c r="A117" s="93" t="s">
        <v>6999</v>
      </c>
      <c r="B117" s="68" t="s">
        <v>14310</v>
      </c>
      <c r="C117" s="65"/>
      <c r="D117" s="65"/>
      <c r="E117" s="65"/>
      <c r="F117" s="69"/>
      <c r="G117" s="70"/>
      <c r="H117" s="65" t="s">
        <v>14342</v>
      </c>
      <c r="I117" s="75">
        <v>6771.2</v>
      </c>
      <c r="J117" s="75"/>
      <c r="K117" s="75"/>
      <c r="L117" s="75"/>
      <c r="M117" s="75"/>
      <c r="N117" s="75">
        <f>Tabla1[[#This Row],[IMPORTE APROBADO]]-Tabla1[[#This Row],[AMORTIZACION2]]</f>
        <v>6771.2</v>
      </c>
      <c r="O117" s="65" t="str">
        <f>TEXT(Tabla1[[#This Row],[EMISION]],"mmm")</f>
        <v>Ago</v>
      </c>
      <c r="P117" s="65" t="str">
        <f>TEXT(Tabla1[[#This Row],[EMISION]],"YYYY")</f>
        <v>2022</v>
      </c>
      <c r="Q117" s="71">
        <v>44775</v>
      </c>
      <c r="R117" s="65" t="str">
        <f>TEXT(Tabla1[[#This Row],[VENCIMIENTO]],"mmm")</f>
        <v>Set</v>
      </c>
      <c r="S117" s="71">
        <f t="shared" si="0"/>
        <v>44820</v>
      </c>
      <c r="T117" s="72">
        <f ca="1">Tabla1[[#This Row],[EMISION]]+Tabla1[[#This Row],[PLAZO]]-TODAY()</f>
        <v>-549</v>
      </c>
      <c r="U117" s="64">
        <f t="shared" ca="1" si="1"/>
        <v>0</v>
      </c>
      <c r="V117" s="72"/>
      <c r="W117" s="73" t="s">
        <v>14307</v>
      </c>
      <c r="X117" s="65">
        <v>45</v>
      </c>
      <c r="Y117" s="65"/>
      <c r="Z117" s="65"/>
      <c r="AA117" s="65"/>
      <c r="AB117" s="65"/>
      <c r="AC117" s="65"/>
      <c r="AD117" s="65"/>
      <c r="AE117" s="65"/>
      <c r="AF117" s="68"/>
      <c r="AG117" s="66"/>
      <c r="AH117" s="67" t="s">
        <v>14313</v>
      </c>
      <c r="AI117" s="65" t="s">
        <v>3060</v>
      </c>
      <c r="AJ117" s="65"/>
      <c r="AK117" s="97">
        <f t="shared" ca="1" si="2"/>
        <v>549</v>
      </c>
      <c r="AL117">
        <f>IFERROR(VLOOKUP(A117,'DATA CLIENTES'!B4414:I8284,6,FALSE),0)</f>
        <v>0</v>
      </c>
    </row>
    <row r="118" spans="1:38" x14ac:dyDescent="0.25">
      <c r="A118" s="93" t="s">
        <v>8995</v>
      </c>
      <c r="B118" s="68" t="s">
        <v>14343</v>
      </c>
      <c r="C118" s="65"/>
      <c r="D118" s="65"/>
      <c r="E118" s="65"/>
      <c r="F118" s="69"/>
      <c r="G118" s="70"/>
      <c r="H118" s="65" t="s">
        <v>14344</v>
      </c>
      <c r="I118" s="75">
        <v>18024.099999999999</v>
      </c>
      <c r="J118" s="75">
        <v>18024.099999999999</v>
      </c>
      <c r="K118" s="75"/>
      <c r="L118" s="75"/>
      <c r="M118" s="75"/>
      <c r="N118" s="75">
        <f>Tabla1[[#This Row],[IMPORTE APROBADO]]-Tabla1[[#This Row],[AMORTIZACION2]]</f>
        <v>0</v>
      </c>
      <c r="O118" s="65" t="str">
        <f>TEXT(Tabla1[[#This Row],[EMISION]],"mmm")</f>
        <v>Ago</v>
      </c>
      <c r="P118" s="65" t="str">
        <f>TEXT(Tabla1[[#This Row],[EMISION]],"YYYY")</f>
        <v>2022</v>
      </c>
      <c r="Q118" s="71">
        <v>44775</v>
      </c>
      <c r="R118" s="65" t="str">
        <f>TEXT(Tabla1[[#This Row],[VENCIMIENTO]],"mmm")</f>
        <v>Ago</v>
      </c>
      <c r="S118" s="71">
        <f t="shared" si="0"/>
        <v>44782</v>
      </c>
      <c r="T118" s="72">
        <f ca="1">Tabla1[[#This Row],[EMISION]]+Tabla1[[#This Row],[PLAZO]]-TODAY()</f>
        <v>-587</v>
      </c>
      <c r="U118" s="64">
        <f t="shared" ca="1" si="1"/>
        <v>0</v>
      </c>
      <c r="V118" s="72"/>
      <c r="W118" s="73" t="s">
        <v>14307</v>
      </c>
      <c r="X118" s="65">
        <v>7</v>
      </c>
      <c r="Y118" s="65"/>
      <c r="Z118" s="65"/>
      <c r="AA118" s="65"/>
      <c r="AB118" s="65"/>
      <c r="AC118" s="65"/>
      <c r="AD118" s="65"/>
      <c r="AE118" s="65"/>
      <c r="AF118" s="68"/>
      <c r="AG118" s="66">
        <v>44784</v>
      </c>
      <c r="AH118" s="67" t="s">
        <v>14308</v>
      </c>
      <c r="AI118" s="65" t="s">
        <v>3060</v>
      </c>
      <c r="AJ118" s="65"/>
      <c r="AK118" s="97">
        <f t="shared" ca="1" si="2"/>
        <v>587</v>
      </c>
      <c r="AL118">
        <f>IFERROR(VLOOKUP(A118,'DATA CLIENTES'!B4415:I8284,6,FALSE),0)</f>
        <v>0</v>
      </c>
    </row>
    <row r="119" spans="1:38" x14ac:dyDescent="0.25">
      <c r="A119" s="93" t="s">
        <v>8995</v>
      </c>
      <c r="B119" s="68" t="s">
        <v>14343</v>
      </c>
      <c r="C119" s="65"/>
      <c r="D119" s="65"/>
      <c r="E119" s="65"/>
      <c r="F119" s="69"/>
      <c r="G119" s="70"/>
      <c r="H119" s="65" t="s">
        <v>14345</v>
      </c>
      <c r="I119" s="75">
        <v>270</v>
      </c>
      <c r="J119" s="75">
        <v>270</v>
      </c>
      <c r="K119" s="75"/>
      <c r="L119" s="75"/>
      <c r="M119" s="75"/>
      <c r="N119" s="75">
        <f>Tabla1[[#This Row],[IMPORTE APROBADO]]-Tabla1[[#This Row],[AMORTIZACION2]]</f>
        <v>0</v>
      </c>
      <c r="O119" s="65" t="str">
        <f>TEXT(Tabla1[[#This Row],[EMISION]],"mmm")</f>
        <v>Ago</v>
      </c>
      <c r="P119" s="65" t="str">
        <f>TEXT(Tabla1[[#This Row],[EMISION]],"YYYY")</f>
        <v>2022</v>
      </c>
      <c r="Q119" s="71">
        <v>44775</v>
      </c>
      <c r="R119" s="65" t="str">
        <f>TEXT(Tabla1[[#This Row],[VENCIMIENTO]],"mmm")</f>
        <v>Ago</v>
      </c>
      <c r="S119" s="71">
        <f t="shared" si="0"/>
        <v>44782</v>
      </c>
      <c r="T119" s="72">
        <f ca="1">Tabla1[[#This Row],[EMISION]]+Tabla1[[#This Row],[PLAZO]]-TODAY()</f>
        <v>-587</v>
      </c>
      <c r="U119" s="64">
        <f t="shared" ca="1" si="1"/>
        <v>0</v>
      </c>
      <c r="V119" s="72"/>
      <c r="W119" s="73" t="s">
        <v>14307</v>
      </c>
      <c r="X119" s="65">
        <v>7</v>
      </c>
      <c r="Y119" s="65"/>
      <c r="Z119" s="65"/>
      <c r="AA119" s="65"/>
      <c r="AB119" s="65"/>
      <c r="AC119" s="65"/>
      <c r="AD119" s="65"/>
      <c r="AE119" s="65"/>
      <c r="AF119" s="68"/>
      <c r="AG119" s="66">
        <v>44778</v>
      </c>
      <c r="AH119" s="67" t="s">
        <v>14308</v>
      </c>
      <c r="AI119" s="65" t="s">
        <v>3060</v>
      </c>
      <c r="AJ119" s="65"/>
      <c r="AK119" s="97">
        <f t="shared" ca="1" si="2"/>
        <v>587</v>
      </c>
      <c r="AL119">
        <f>IFERROR(VLOOKUP(A119,'DATA CLIENTES'!B4416:I8284,6,FALSE),0)</f>
        <v>0</v>
      </c>
    </row>
    <row r="120" spans="1:38" x14ac:dyDescent="0.25">
      <c r="A120" s="93" t="s">
        <v>8995</v>
      </c>
      <c r="B120" s="68" t="s">
        <v>14343</v>
      </c>
      <c r="C120" s="65"/>
      <c r="D120" s="65"/>
      <c r="E120" s="65"/>
      <c r="F120" s="69"/>
      <c r="G120" s="70"/>
      <c r="H120" s="65" t="s">
        <v>14346</v>
      </c>
      <c r="I120" s="75">
        <v>12282.86</v>
      </c>
      <c r="J120" s="75">
        <v>12282.86</v>
      </c>
      <c r="K120" s="75"/>
      <c r="L120" s="75"/>
      <c r="M120" s="75"/>
      <c r="N120" s="75">
        <f>Tabla1[[#This Row],[IMPORTE APROBADO]]-Tabla1[[#This Row],[AMORTIZACION2]]</f>
        <v>0</v>
      </c>
      <c r="O120" s="65" t="str">
        <f>TEXT(Tabla1[[#This Row],[EMISION]],"mmm")</f>
        <v>Ago</v>
      </c>
      <c r="P120" s="65" t="str">
        <f>TEXT(Tabla1[[#This Row],[EMISION]],"YYYY")</f>
        <v>2022</v>
      </c>
      <c r="Q120" s="71">
        <v>44775</v>
      </c>
      <c r="R120" s="65" t="str">
        <f>TEXT(Tabla1[[#This Row],[VENCIMIENTO]],"mmm")</f>
        <v>Ago</v>
      </c>
      <c r="S120" s="71">
        <f t="shared" si="0"/>
        <v>44782</v>
      </c>
      <c r="T120" s="72">
        <f ca="1">Tabla1[[#This Row],[EMISION]]+Tabla1[[#This Row],[PLAZO]]-TODAY()</f>
        <v>-587</v>
      </c>
      <c r="U120" s="64">
        <f t="shared" ca="1" si="1"/>
        <v>0</v>
      </c>
      <c r="V120" s="72" t="s">
        <v>3070</v>
      </c>
      <c r="W120" s="73" t="s">
        <v>14307</v>
      </c>
      <c r="X120" s="65">
        <v>7</v>
      </c>
      <c r="Y120" s="65"/>
      <c r="Z120" s="65"/>
      <c r="AA120" s="65"/>
      <c r="AB120" s="65"/>
      <c r="AC120" s="65"/>
      <c r="AD120" s="65"/>
      <c r="AE120" s="65"/>
      <c r="AF120" s="68"/>
      <c r="AG120" s="66">
        <v>44781</v>
      </c>
      <c r="AH120" s="67" t="s">
        <v>14308</v>
      </c>
      <c r="AI120" s="65" t="s">
        <v>3060</v>
      </c>
      <c r="AJ120" s="65"/>
      <c r="AK120" s="97">
        <f t="shared" ca="1" si="2"/>
        <v>587</v>
      </c>
      <c r="AL120">
        <f>IFERROR(VLOOKUP(A120,'DATA CLIENTES'!B4417:I8284,6,FALSE),0)</f>
        <v>0</v>
      </c>
    </row>
    <row r="121" spans="1:38" x14ac:dyDescent="0.25">
      <c r="A121" s="93" t="s">
        <v>9887</v>
      </c>
      <c r="B121" s="68" t="s">
        <v>9888</v>
      </c>
      <c r="C121" s="65"/>
      <c r="D121" s="65"/>
      <c r="E121" s="65"/>
      <c r="F121" s="69"/>
      <c r="G121" s="70"/>
      <c r="H121" s="65" t="s">
        <v>14347</v>
      </c>
      <c r="I121" s="75">
        <v>594.86</v>
      </c>
      <c r="J121" s="75">
        <v>594.86</v>
      </c>
      <c r="K121" s="75"/>
      <c r="L121" s="75"/>
      <c r="M121" s="75"/>
      <c r="N121" s="75">
        <f>Tabla1[[#This Row],[IMPORTE APROBADO]]-Tabla1[[#This Row],[AMORTIZACION2]]</f>
        <v>0</v>
      </c>
      <c r="O121" s="65" t="str">
        <f>TEXT(Tabla1[[#This Row],[EMISION]],"mmm")</f>
        <v>Ago</v>
      </c>
      <c r="P121" s="65" t="str">
        <f>TEXT(Tabla1[[#This Row],[EMISION]],"YYYY")</f>
        <v>2022</v>
      </c>
      <c r="Q121" s="71">
        <v>44777</v>
      </c>
      <c r="R121" s="65" t="str">
        <f>TEXT(Tabla1[[#This Row],[VENCIMIENTO]],"mmm")</f>
        <v>Ago</v>
      </c>
      <c r="S121" s="71">
        <f t="shared" si="0"/>
        <v>44784</v>
      </c>
      <c r="T121" s="72">
        <f ca="1">Tabla1[[#This Row],[EMISION]]+Tabla1[[#This Row],[PLAZO]]-TODAY()</f>
        <v>-585</v>
      </c>
      <c r="U121" s="64">
        <f t="shared" ca="1" si="1"/>
        <v>0</v>
      </c>
      <c r="V121" s="72"/>
      <c r="W121" s="73" t="s">
        <v>14307</v>
      </c>
      <c r="X121" s="65">
        <v>7</v>
      </c>
      <c r="Y121" s="65"/>
      <c r="Z121" s="65"/>
      <c r="AA121" s="65"/>
      <c r="AB121" s="65"/>
      <c r="AC121" s="65"/>
      <c r="AD121" s="65"/>
      <c r="AE121" s="65"/>
      <c r="AF121" s="68"/>
      <c r="AG121" s="66">
        <v>44782</v>
      </c>
      <c r="AH121" s="67" t="s">
        <v>14308</v>
      </c>
      <c r="AI121" s="65" t="s">
        <v>3060</v>
      </c>
      <c r="AJ121" s="65"/>
      <c r="AK121" s="97">
        <f t="shared" ca="1" si="2"/>
        <v>585</v>
      </c>
      <c r="AL121">
        <f>IFERROR(VLOOKUP(A121,'DATA CLIENTES'!B4418:I8284,6,FALSE),0)</f>
        <v>0</v>
      </c>
    </row>
    <row r="122" spans="1:38" x14ac:dyDescent="0.25">
      <c r="A122" s="93" t="s">
        <v>9809</v>
      </c>
      <c r="B122" s="68" t="s">
        <v>14329</v>
      </c>
      <c r="C122" s="65"/>
      <c r="D122" s="65"/>
      <c r="E122" s="65"/>
      <c r="F122" s="69"/>
      <c r="G122" s="70"/>
      <c r="H122" s="65" t="s">
        <v>14348</v>
      </c>
      <c r="I122" s="75">
        <v>1027.08</v>
      </c>
      <c r="J122" s="75">
        <f>400+300+227.58+99.5</f>
        <v>1027.08</v>
      </c>
      <c r="K122" s="75"/>
      <c r="L122" s="75"/>
      <c r="M122" s="75"/>
      <c r="N122" s="75">
        <f>Tabla1[[#This Row],[IMPORTE APROBADO]]-Tabla1[[#This Row],[AMORTIZACION2]]</f>
        <v>0</v>
      </c>
      <c r="O122" s="65" t="str">
        <f>TEXT(Tabla1[[#This Row],[EMISION]],"mmm")</f>
        <v>Ago</v>
      </c>
      <c r="P122" s="65" t="str">
        <f>TEXT(Tabla1[[#This Row],[EMISION]],"YYYY")</f>
        <v>2022</v>
      </c>
      <c r="Q122" s="71">
        <v>44777</v>
      </c>
      <c r="R122" s="65" t="str">
        <f>TEXT(Tabla1[[#This Row],[VENCIMIENTO]],"mmm")</f>
        <v>Ago</v>
      </c>
      <c r="S122" s="71">
        <f t="shared" si="0"/>
        <v>44784</v>
      </c>
      <c r="T122" s="72">
        <f ca="1">Tabla1[[#This Row],[EMISION]]+Tabla1[[#This Row],[PLAZO]]-TODAY()</f>
        <v>-585</v>
      </c>
      <c r="U122" s="64">
        <f t="shared" ca="1" si="1"/>
        <v>0</v>
      </c>
      <c r="V122" s="72"/>
      <c r="W122" s="73" t="s">
        <v>14307</v>
      </c>
      <c r="X122" s="65">
        <v>7</v>
      </c>
      <c r="Y122" s="65"/>
      <c r="Z122" s="65"/>
      <c r="AA122" s="65"/>
      <c r="AB122" s="65"/>
      <c r="AC122" s="65"/>
      <c r="AD122" s="65"/>
      <c r="AE122" s="65"/>
      <c r="AF122" s="68"/>
      <c r="AG122" s="66">
        <v>44785</v>
      </c>
      <c r="AH122" s="67" t="s">
        <v>14308</v>
      </c>
      <c r="AI122" s="65" t="s">
        <v>3060</v>
      </c>
      <c r="AJ122" s="65"/>
      <c r="AK122" s="97">
        <f t="shared" ca="1" si="2"/>
        <v>585</v>
      </c>
      <c r="AL122">
        <f>IFERROR(VLOOKUP(A122,'DATA CLIENTES'!B4419:I8284,6,FALSE),0)</f>
        <v>0</v>
      </c>
    </row>
    <row r="123" spans="1:38" x14ac:dyDescent="0.25">
      <c r="A123" s="93" t="s">
        <v>8565</v>
      </c>
      <c r="B123" s="68" t="s">
        <v>14334</v>
      </c>
      <c r="C123" s="65"/>
      <c r="D123" s="65"/>
      <c r="E123" s="65"/>
      <c r="F123" s="69"/>
      <c r="G123" s="70"/>
      <c r="H123" s="65" t="s">
        <v>14349</v>
      </c>
      <c r="I123" s="75">
        <v>941.76</v>
      </c>
      <c r="J123" s="75">
        <f>300+641.76</f>
        <v>941.76</v>
      </c>
      <c r="K123" s="75"/>
      <c r="L123" s="75"/>
      <c r="M123" s="75"/>
      <c r="N123" s="75">
        <f>Tabla1[[#This Row],[IMPORTE APROBADO]]-Tabla1[[#This Row],[AMORTIZACION2]]</f>
        <v>0</v>
      </c>
      <c r="O123" s="65" t="str">
        <f>TEXT(Tabla1[[#This Row],[EMISION]],"mmm")</f>
        <v>Ago</v>
      </c>
      <c r="P123" s="65" t="str">
        <f>TEXT(Tabla1[[#This Row],[EMISION]],"YYYY")</f>
        <v>2022</v>
      </c>
      <c r="Q123" s="71">
        <v>44777</v>
      </c>
      <c r="R123" s="65" t="str">
        <f>TEXT(Tabla1[[#This Row],[VENCIMIENTO]],"mmm")</f>
        <v>Ago</v>
      </c>
      <c r="S123" s="71">
        <f t="shared" si="0"/>
        <v>44784</v>
      </c>
      <c r="T123" s="72">
        <f ca="1">Tabla1[[#This Row],[EMISION]]+Tabla1[[#This Row],[PLAZO]]-TODAY()</f>
        <v>-585</v>
      </c>
      <c r="U123" s="64">
        <f t="shared" ca="1" si="1"/>
        <v>0</v>
      </c>
      <c r="V123" s="72"/>
      <c r="W123" s="73" t="s">
        <v>14307</v>
      </c>
      <c r="X123" s="65">
        <v>7</v>
      </c>
      <c r="Y123" s="65"/>
      <c r="Z123" s="65"/>
      <c r="AA123" s="65"/>
      <c r="AB123" s="65"/>
      <c r="AC123" s="65"/>
      <c r="AD123" s="65"/>
      <c r="AE123" s="65"/>
      <c r="AF123" s="68"/>
      <c r="AG123" s="66">
        <v>44785</v>
      </c>
      <c r="AH123" s="67" t="s">
        <v>14308</v>
      </c>
      <c r="AI123" s="65" t="s">
        <v>3060</v>
      </c>
      <c r="AJ123" s="65"/>
      <c r="AK123" s="97">
        <f t="shared" ca="1" si="2"/>
        <v>585</v>
      </c>
      <c r="AL123">
        <f>IFERROR(VLOOKUP(A123,'DATA CLIENTES'!B4420:I8284,6,FALSE),0)</f>
        <v>0</v>
      </c>
    </row>
    <row r="124" spans="1:38" x14ac:dyDescent="0.25">
      <c r="A124" s="93" t="s">
        <v>8565</v>
      </c>
      <c r="B124" s="68" t="s">
        <v>14334</v>
      </c>
      <c r="C124" s="65"/>
      <c r="D124" s="65"/>
      <c r="E124" s="65"/>
      <c r="F124" s="69"/>
      <c r="G124" s="70"/>
      <c r="H124" s="65" t="s">
        <v>14350</v>
      </c>
      <c r="I124" s="75">
        <v>23.94</v>
      </c>
      <c r="J124" s="75">
        <v>23.94</v>
      </c>
      <c r="K124" s="75"/>
      <c r="L124" s="75"/>
      <c r="M124" s="75"/>
      <c r="N124" s="75">
        <f>Tabla1[[#This Row],[IMPORTE APROBADO]]-Tabla1[[#This Row],[AMORTIZACION2]]</f>
        <v>0</v>
      </c>
      <c r="O124" s="65" t="str">
        <f>TEXT(Tabla1[[#This Row],[EMISION]],"mmm")</f>
        <v>Ago</v>
      </c>
      <c r="P124" s="65" t="str">
        <f>TEXT(Tabla1[[#This Row],[EMISION]],"YYYY")</f>
        <v>2022</v>
      </c>
      <c r="Q124" s="71">
        <v>44777</v>
      </c>
      <c r="R124" s="65" t="str">
        <f>TEXT(Tabla1[[#This Row],[VENCIMIENTO]],"mmm")</f>
        <v>Ago</v>
      </c>
      <c r="S124" s="71">
        <f t="shared" si="0"/>
        <v>44784</v>
      </c>
      <c r="T124" s="72">
        <f ca="1">Tabla1[[#This Row],[EMISION]]+Tabla1[[#This Row],[PLAZO]]-TODAY()</f>
        <v>-585</v>
      </c>
      <c r="U124" s="64">
        <f t="shared" ca="1" si="1"/>
        <v>0</v>
      </c>
      <c r="V124" s="72"/>
      <c r="W124" s="73" t="s">
        <v>14307</v>
      </c>
      <c r="X124" s="65">
        <v>7</v>
      </c>
      <c r="Y124" s="65"/>
      <c r="Z124" s="65"/>
      <c r="AA124" s="65"/>
      <c r="AB124" s="65"/>
      <c r="AC124" s="65"/>
      <c r="AD124" s="65"/>
      <c r="AE124" s="65"/>
      <c r="AF124" s="68"/>
      <c r="AG124" s="66">
        <v>44785</v>
      </c>
      <c r="AH124" s="67" t="s">
        <v>14308</v>
      </c>
      <c r="AI124" s="65" t="s">
        <v>3060</v>
      </c>
      <c r="AJ124" s="65"/>
      <c r="AK124" s="97">
        <f t="shared" ca="1" si="2"/>
        <v>585</v>
      </c>
      <c r="AL124">
        <f>IFERROR(VLOOKUP(A124,'DATA CLIENTES'!B4421:I8284,6,FALSE),0)</f>
        <v>0</v>
      </c>
    </row>
    <row r="125" spans="1:38" x14ac:dyDescent="0.25">
      <c r="A125" s="93" t="s">
        <v>9812</v>
      </c>
      <c r="B125" s="68" t="s">
        <v>9813</v>
      </c>
      <c r="C125" s="65"/>
      <c r="D125" s="65"/>
      <c r="E125" s="65"/>
      <c r="F125" s="69"/>
      <c r="G125" s="70"/>
      <c r="H125" s="65" t="s">
        <v>14351</v>
      </c>
      <c r="I125" s="75">
        <v>2401.1999999999998</v>
      </c>
      <c r="J125" s="75">
        <v>2401.1999999999998</v>
      </c>
      <c r="K125" s="75"/>
      <c r="L125" s="75"/>
      <c r="M125" s="75"/>
      <c r="N125" s="75">
        <f>Tabla1[[#This Row],[IMPORTE APROBADO]]-Tabla1[[#This Row],[AMORTIZACION2]]</f>
        <v>0</v>
      </c>
      <c r="O125" s="65" t="str">
        <f>TEXT(Tabla1[[#This Row],[EMISION]],"mmm")</f>
        <v>Ago</v>
      </c>
      <c r="P125" s="65" t="str">
        <f>TEXT(Tabla1[[#This Row],[EMISION]],"YYYY")</f>
        <v>2022</v>
      </c>
      <c r="Q125" s="71">
        <v>44781</v>
      </c>
      <c r="R125" s="65" t="str">
        <f>TEXT(Tabla1[[#This Row],[VENCIMIENTO]],"mmm")</f>
        <v>Ago</v>
      </c>
      <c r="S125" s="71">
        <f t="shared" si="0"/>
        <v>44796</v>
      </c>
      <c r="T125" s="72">
        <f ca="1">Tabla1[[#This Row],[EMISION]]+Tabla1[[#This Row],[PLAZO]]-TODAY()</f>
        <v>-573</v>
      </c>
      <c r="U125" s="64">
        <f t="shared" ca="1" si="1"/>
        <v>0</v>
      </c>
      <c r="V125" s="72"/>
      <c r="W125" s="73" t="s">
        <v>14307</v>
      </c>
      <c r="X125" s="65">
        <v>15</v>
      </c>
      <c r="Y125" s="65"/>
      <c r="Z125" s="65"/>
      <c r="AA125" s="65"/>
      <c r="AB125" s="65"/>
      <c r="AC125" s="65"/>
      <c r="AD125" s="65"/>
      <c r="AE125" s="65"/>
      <c r="AF125" s="68"/>
      <c r="AG125" s="66">
        <v>44796</v>
      </c>
      <c r="AH125" s="67" t="s">
        <v>14308</v>
      </c>
      <c r="AI125" s="65" t="s">
        <v>3060</v>
      </c>
      <c r="AJ125" s="65"/>
      <c r="AK125" s="97">
        <f t="shared" ca="1" si="2"/>
        <v>573</v>
      </c>
      <c r="AL125">
        <f>IFERROR(VLOOKUP(A125,'DATA CLIENTES'!B4422:I8284,6,FALSE),0)</f>
        <v>0</v>
      </c>
    </row>
    <row r="126" spans="1:38" x14ac:dyDescent="0.25">
      <c r="A126" s="93" t="s">
        <v>14824</v>
      </c>
      <c r="B126" s="68" t="s">
        <v>14352</v>
      </c>
      <c r="C126" s="65"/>
      <c r="D126" s="65"/>
      <c r="E126" s="65"/>
      <c r="F126" s="69"/>
      <c r="G126" s="70"/>
      <c r="H126" s="65" t="s">
        <v>14353</v>
      </c>
      <c r="I126" s="75">
        <v>7390</v>
      </c>
      <c r="J126" s="75">
        <f>200+800+400+400+400+400</f>
        <v>2600</v>
      </c>
      <c r="K126" s="75"/>
      <c r="L126" s="75"/>
      <c r="M126" s="75"/>
      <c r="N126" s="75">
        <f>Tabla1[[#This Row],[IMPORTE APROBADO]]-Tabla1[[#This Row],[AMORTIZACION2]]</f>
        <v>4790</v>
      </c>
      <c r="O126" s="65" t="str">
        <f>TEXT(Tabla1[[#This Row],[EMISION]],"mmm")</f>
        <v>Ago</v>
      </c>
      <c r="P126" s="65" t="str">
        <f>TEXT(Tabla1[[#This Row],[EMISION]],"YYYY")</f>
        <v>2022</v>
      </c>
      <c r="Q126" s="71">
        <v>44782</v>
      </c>
      <c r="R126" s="65" t="str">
        <f>TEXT(Tabla1[[#This Row],[VENCIMIENTO]],"mmm")</f>
        <v>Oct</v>
      </c>
      <c r="S126" s="71">
        <f t="shared" si="0"/>
        <v>44842</v>
      </c>
      <c r="T126" s="72">
        <f ca="1">Tabla1[[#This Row],[EMISION]]+Tabla1[[#This Row],[PLAZO]]-TODAY()</f>
        <v>-527</v>
      </c>
      <c r="U126" s="64">
        <f t="shared" ca="1" si="1"/>
        <v>0</v>
      </c>
      <c r="V126" s="72" t="s">
        <v>14312</v>
      </c>
      <c r="W126" s="73" t="s">
        <v>14307</v>
      </c>
      <c r="X126" s="65">
        <v>60</v>
      </c>
      <c r="Y126" s="65"/>
      <c r="Z126" s="65"/>
      <c r="AA126" s="65"/>
      <c r="AB126" s="65"/>
      <c r="AC126" s="65"/>
      <c r="AD126" s="65"/>
      <c r="AE126" s="65"/>
      <c r="AF126" s="68"/>
      <c r="AG126" s="66"/>
      <c r="AH126" s="67" t="s">
        <v>14313</v>
      </c>
      <c r="AI126" s="65" t="s">
        <v>3060</v>
      </c>
      <c r="AJ126" s="65"/>
      <c r="AK126" s="97">
        <f t="shared" ca="1" si="2"/>
        <v>527</v>
      </c>
      <c r="AL126">
        <f>IFERROR(VLOOKUP(A126,'DATA CLIENTES'!B4423:I8284,6,FALSE),0)</f>
        <v>0</v>
      </c>
    </row>
    <row r="127" spans="1:38" x14ac:dyDescent="0.25">
      <c r="A127" s="93" t="s">
        <v>14824</v>
      </c>
      <c r="B127" s="68" t="s">
        <v>14352</v>
      </c>
      <c r="C127" s="65"/>
      <c r="D127" s="65"/>
      <c r="E127" s="65"/>
      <c r="F127" s="69"/>
      <c r="G127" s="70"/>
      <c r="H127" s="65" t="s">
        <v>14354</v>
      </c>
      <c r="I127" s="75">
        <v>500</v>
      </c>
      <c r="J127" s="75">
        <f>300+200</f>
        <v>500</v>
      </c>
      <c r="K127" s="75"/>
      <c r="L127" s="75"/>
      <c r="M127" s="75"/>
      <c r="N127" s="75">
        <f>Tabla1[[#This Row],[IMPORTE APROBADO]]-Tabla1[[#This Row],[AMORTIZACION2]]</f>
        <v>0</v>
      </c>
      <c r="O127" s="65" t="str">
        <f>TEXT(Tabla1[[#This Row],[EMISION]],"mmm")</f>
        <v>Ago</v>
      </c>
      <c r="P127" s="65" t="str">
        <f>TEXT(Tabla1[[#This Row],[EMISION]],"YYYY")</f>
        <v>2022</v>
      </c>
      <c r="Q127" s="71">
        <v>44782</v>
      </c>
      <c r="R127" s="65" t="str">
        <f>TEXT(Tabla1[[#This Row],[VENCIMIENTO]],"mmm")</f>
        <v>Oct</v>
      </c>
      <c r="S127" s="71">
        <f t="shared" si="0"/>
        <v>44842</v>
      </c>
      <c r="T127" s="72">
        <f ca="1">Tabla1[[#This Row],[EMISION]]+Tabla1[[#This Row],[PLAZO]]-TODAY()</f>
        <v>-527</v>
      </c>
      <c r="U127" s="64">
        <f t="shared" ca="1" si="1"/>
        <v>0</v>
      </c>
      <c r="V127" s="72"/>
      <c r="W127" s="73" t="s">
        <v>14307</v>
      </c>
      <c r="X127" s="65">
        <v>60</v>
      </c>
      <c r="Y127" s="65"/>
      <c r="Z127" s="65"/>
      <c r="AA127" s="65"/>
      <c r="AB127" s="65"/>
      <c r="AC127" s="65"/>
      <c r="AD127" s="65"/>
      <c r="AE127" s="65"/>
      <c r="AF127" s="68"/>
      <c r="AG127" s="66">
        <v>44895</v>
      </c>
      <c r="AH127" s="67" t="s">
        <v>14308</v>
      </c>
      <c r="AI127" s="65" t="s">
        <v>3060</v>
      </c>
      <c r="AJ127" s="65"/>
      <c r="AK127" s="97">
        <f t="shared" ca="1" si="2"/>
        <v>527</v>
      </c>
      <c r="AL127">
        <f>IFERROR(VLOOKUP(A127,'DATA CLIENTES'!B4424:I8284,6,FALSE),0)</f>
        <v>0</v>
      </c>
    </row>
    <row r="128" spans="1:38" x14ac:dyDescent="0.25">
      <c r="A128" s="93" t="s">
        <v>5547</v>
      </c>
      <c r="B128" s="68" t="s">
        <v>5548</v>
      </c>
      <c r="C128" s="65"/>
      <c r="D128" s="65"/>
      <c r="E128" s="65"/>
      <c r="F128" s="69"/>
      <c r="G128" s="70"/>
      <c r="H128" s="65" t="s">
        <v>14355</v>
      </c>
      <c r="I128" s="75">
        <v>5811.52</v>
      </c>
      <c r="J128" s="75">
        <f>1000+1000+1500+100+1500+500+212</f>
        <v>5812</v>
      </c>
      <c r="K128" s="75"/>
      <c r="L128" s="75"/>
      <c r="M128" s="75"/>
      <c r="N128" s="75">
        <f>Tabla1[[#This Row],[IMPORTE APROBADO]]-Tabla1[[#This Row],[AMORTIZACION2]]</f>
        <v>-0.47999999999956344</v>
      </c>
      <c r="O128" s="65" t="str">
        <f>TEXT(Tabla1[[#This Row],[EMISION]],"mmm")</f>
        <v>Ago</v>
      </c>
      <c r="P128" s="65" t="str">
        <f>TEXT(Tabla1[[#This Row],[EMISION]],"YYYY")</f>
        <v>2022</v>
      </c>
      <c r="Q128" s="71">
        <v>44785</v>
      </c>
      <c r="R128" s="65" t="str">
        <f>TEXT(Tabla1[[#This Row],[VENCIMIENTO]],"mmm")</f>
        <v>Ago</v>
      </c>
      <c r="S128" s="71">
        <f t="shared" si="0"/>
        <v>44800</v>
      </c>
      <c r="T128" s="72">
        <f ca="1">Tabla1[[#This Row],[EMISION]]+Tabla1[[#This Row],[PLAZO]]-TODAY()</f>
        <v>-569</v>
      </c>
      <c r="U128" s="64">
        <f t="shared" ca="1" si="1"/>
        <v>0</v>
      </c>
      <c r="V128" s="72"/>
      <c r="W128" s="73" t="s">
        <v>14307</v>
      </c>
      <c r="X128" s="65">
        <v>15</v>
      </c>
      <c r="Y128" s="65"/>
      <c r="Z128" s="65"/>
      <c r="AA128" s="65"/>
      <c r="AB128" s="65"/>
      <c r="AC128" s="65"/>
      <c r="AD128" s="65"/>
      <c r="AE128" s="65"/>
      <c r="AF128" s="68"/>
      <c r="AG128" s="66">
        <v>44805</v>
      </c>
      <c r="AH128" s="67" t="s">
        <v>14308</v>
      </c>
      <c r="AI128" s="65" t="s">
        <v>3060</v>
      </c>
      <c r="AJ128" s="65"/>
      <c r="AK128" s="97">
        <f t="shared" ca="1" si="2"/>
        <v>569</v>
      </c>
      <c r="AL128">
        <f>IFERROR(VLOOKUP(A128,'DATA CLIENTES'!B4425:I8284,6,FALSE),0)</f>
        <v>0</v>
      </c>
    </row>
    <row r="129" spans="1:38" x14ac:dyDescent="0.25">
      <c r="A129" s="93" t="s">
        <v>9309</v>
      </c>
      <c r="B129" s="68" t="s">
        <v>9310</v>
      </c>
      <c r="C129" s="65"/>
      <c r="D129" s="65"/>
      <c r="E129" s="65"/>
      <c r="F129" s="69"/>
      <c r="G129" s="70"/>
      <c r="H129" s="65" t="s">
        <v>14356</v>
      </c>
      <c r="I129" s="75">
        <v>2320</v>
      </c>
      <c r="J129" s="75">
        <v>2320</v>
      </c>
      <c r="K129" s="75"/>
      <c r="L129" s="75"/>
      <c r="M129" s="75"/>
      <c r="N129" s="75">
        <f>Tabla1[[#This Row],[IMPORTE APROBADO]]-Tabla1[[#This Row],[AMORTIZACION2]]</f>
        <v>0</v>
      </c>
      <c r="O129" s="65" t="str">
        <f>TEXT(Tabla1[[#This Row],[EMISION]],"mmm")</f>
        <v>Ago</v>
      </c>
      <c r="P129" s="65" t="str">
        <f>TEXT(Tabla1[[#This Row],[EMISION]],"YYYY")</f>
        <v>2022</v>
      </c>
      <c r="Q129" s="71">
        <v>44786</v>
      </c>
      <c r="R129" s="65" t="str">
        <f>TEXT(Tabla1[[#This Row],[VENCIMIENTO]],"mmm")</f>
        <v>Ago</v>
      </c>
      <c r="S129" s="71">
        <f t="shared" si="0"/>
        <v>44801</v>
      </c>
      <c r="T129" s="72">
        <f ca="1">Tabla1[[#This Row],[EMISION]]+Tabla1[[#This Row],[PLAZO]]-TODAY()</f>
        <v>-568</v>
      </c>
      <c r="U129" s="64">
        <f t="shared" ca="1" si="1"/>
        <v>0</v>
      </c>
      <c r="V129" s="72"/>
      <c r="W129" s="73" t="s">
        <v>14307</v>
      </c>
      <c r="X129" s="65">
        <v>15</v>
      </c>
      <c r="Y129" s="65"/>
      <c r="Z129" s="65"/>
      <c r="AA129" s="65"/>
      <c r="AB129" s="65"/>
      <c r="AC129" s="65"/>
      <c r="AD129" s="65"/>
      <c r="AE129" s="65"/>
      <c r="AF129" s="68"/>
      <c r="AG129" s="66">
        <v>44819</v>
      </c>
      <c r="AH129" s="67" t="s">
        <v>14308</v>
      </c>
      <c r="AI129" s="65" t="s">
        <v>3060</v>
      </c>
      <c r="AJ129" s="65"/>
      <c r="AK129" s="97">
        <f t="shared" ca="1" si="2"/>
        <v>568</v>
      </c>
      <c r="AL129">
        <f>IFERROR(VLOOKUP(A129,'DATA CLIENTES'!B4426:I8284,6,FALSE),0)</f>
        <v>0</v>
      </c>
    </row>
    <row r="130" spans="1:38" x14ac:dyDescent="0.25">
      <c r="A130" s="93" t="s">
        <v>9309</v>
      </c>
      <c r="B130" s="68" t="s">
        <v>9310</v>
      </c>
      <c r="C130" s="65"/>
      <c r="D130" s="65"/>
      <c r="E130" s="65"/>
      <c r="F130" s="69"/>
      <c r="G130" s="70"/>
      <c r="H130" s="65" t="s">
        <v>14357</v>
      </c>
      <c r="I130" s="75">
        <v>7027</v>
      </c>
      <c r="J130" s="75">
        <f>2860+810+2330+1027</f>
        <v>7027</v>
      </c>
      <c r="K130" s="75"/>
      <c r="L130" s="75"/>
      <c r="M130" s="75"/>
      <c r="N130" s="75">
        <f>Tabla1[[#This Row],[IMPORTE APROBADO]]-Tabla1[[#This Row],[AMORTIZACION2]]</f>
        <v>0</v>
      </c>
      <c r="O130" s="65" t="str">
        <f>TEXT(Tabla1[[#This Row],[EMISION]],"mmm")</f>
        <v>Ago</v>
      </c>
      <c r="P130" s="65" t="str">
        <f>TEXT(Tabla1[[#This Row],[EMISION]],"YYYY")</f>
        <v>2022</v>
      </c>
      <c r="Q130" s="71">
        <v>44786</v>
      </c>
      <c r="R130" s="65" t="str">
        <f>TEXT(Tabla1[[#This Row],[VENCIMIENTO]],"mmm")</f>
        <v>Ago</v>
      </c>
      <c r="S130" s="71">
        <f t="shared" si="0"/>
        <v>44801</v>
      </c>
      <c r="T130" s="72">
        <f ca="1">Tabla1[[#This Row],[EMISION]]+Tabla1[[#This Row],[PLAZO]]-TODAY()</f>
        <v>-568</v>
      </c>
      <c r="U130" s="64">
        <f t="shared" ca="1" si="1"/>
        <v>0</v>
      </c>
      <c r="V130" s="72"/>
      <c r="W130" s="73" t="s">
        <v>14307</v>
      </c>
      <c r="X130" s="65">
        <v>15</v>
      </c>
      <c r="Y130" s="65"/>
      <c r="Z130" s="65"/>
      <c r="AA130" s="65"/>
      <c r="AB130" s="65"/>
      <c r="AC130" s="65"/>
      <c r="AD130" s="65"/>
      <c r="AE130" s="65"/>
      <c r="AF130" s="68"/>
      <c r="AG130" s="66">
        <v>44819</v>
      </c>
      <c r="AH130" s="67" t="s">
        <v>14308</v>
      </c>
      <c r="AI130" s="65" t="s">
        <v>3060</v>
      </c>
      <c r="AJ130" s="65"/>
      <c r="AK130" s="97">
        <f t="shared" ca="1" si="2"/>
        <v>568</v>
      </c>
      <c r="AL130">
        <f>IFERROR(VLOOKUP(A130,'DATA CLIENTES'!B4427:I8284,6,FALSE),0)</f>
        <v>0</v>
      </c>
    </row>
    <row r="131" spans="1:38" x14ac:dyDescent="0.25">
      <c r="A131" s="93" t="s">
        <v>9309</v>
      </c>
      <c r="B131" s="68" t="s">
        <v>9310</v>
      </c>
      <c r="C131" s="65"/>
      <c r="D131" s="65"/>
      <c r="E131" s="65"/>
      <c r="F131" s="69"/>
      <c r="G131" s="70"/>
      <c r="H131" s="65" t="s">
        <v>14358</v>
      </c>
      <c r="I131" s="75">
        <v>23043.4</v>
      </c>
      <c r="J131" s="75">
        <f>10000+10000+3043.4</f>
        <v>23043.4</v>
      </c>
      <c r="K131" s="75"/>
      <c r="L131" s="75"/>
      <c r="M131" s="75"/>
      <c r="N131" s="75">
        <f>Tabla1[[#This Row],[IMPORTE APROBADO]]-Tabla1[[#This Row],[AMORTIZACION2]]</f>
        <v>0</v>
      </c>
      <c r="O131" s="65" t="str">
        <f>TEXT(Tabla1[[#This Row],[EMISION]],"mmm")</f>
        <v>Ago</v>
      </c>
      <c r="P131" s="65" t="str">
        <f>TEXT(Tabla1[[#This Row],[EMISION]],"YYYY")</f>
        <v>2022</v>
      </c>
      <c r="Q131" s="71">
        <v>44786</v>
      </c>
      <c r="R131" s="65" t="str">
        <f>TEXT(Tabla1[[#This Row],[VENCIMIENTO]],"mmm")</f>
        <v>Ago</v>
      </c>
      <c r="S131" s="71">
        <f t="shared" si="0"/>
        <v>44801</v>
      </c>
      <c r="T131" s="72">
        <f ca="1">Tabla1[[#This Row],[EMISION]]+Tabla1[[#This Row],[PLAZO]]-TODAY()</f>
        <v>-568</v>
      </c>
      <c r="U131" s="64">
        <f t="shared" ca="1" si="1"/>
        <v>0</v>
      </c>
      <c r="V131" s="72"/>
      <c r="W131" s="73" t="s">
        <v>14307</v>
      </c>
      <c r="X131" s="65">
        <v>15</v>
      </c>
      <c r="Y131" s="65"/>
      <c r="Z131" s="65"/>
      <c r="AA131" s="65"/>
      <c r="AB131" s="65"/>
      <c r="AC131" s="65"/>
      <c r="AD131" s="65"/>
      <c r="AE131" s="65"/>
      <c r="AF131" s="68"/>
      <c r="AG131" s="66">
        <v>44788</v>
      </c>
      <c r="AH131" s="67" t="s">
        <v>14308</v>
      </c>
      <c r="AI131" s="65" t="s">
        <v>3060</v>
      </c>
      <c r="AJ131" s="65"/>
      <c r="AK131" s="97">
        <f t="shared" ca="1" si="2"/>
        <v>568</v>
      </c>
      <c r="AL131">
        <f>IFERROR(VLOOKUP(A131,'DATA CLIENTES'!B4428:I8284,6,FALSE),0)</f>
        <v>0</v>
      </c>
    </row>
    <row r="132" spans="1:38" x14ac:dyDescent="0.25">
      <c r="A132" s="93" t="s">
        <v>6575</v>
      </c>
      <c r="B132" s="68" t="s">
        <v>6576</v>
      </c>
      <c r="C132" s="65"/>
      <c r="D132" s="65"/>
      <c r="E132" s="65"/>
      <c r="F132" s="69"/>
      <c r="G132" s="70"/>
      <c r="H132" s="65" t="s">
        <v>14359</v>
      </c>
      <c r="I132" s="75">
        <v>5204.55</v>
      </c>
      <c r="J132" s="75">
        <f>3582.08+1622.47</f>
        <v>5204.55</v>
      </c>
      <c r="K132" s="75"/>
      <c r="L132" s="75"/>
      <c r="M132" s="75"/>
      <c r="N132" s="75">
        <f>Tabla1[[#This Row],[IMPORTE APROBADO]]-Tabla1[[#This Row],[AMORTIZACION2]]</f>
        <v>0</v>
      </c>
      <c r="O132" s="65" t="str">
        <f>TEXT(Tabla1[[#This Row],[EMISION]],"mmm")</f>
        <v>Ago</v>
      </c>
      <c r="P132" s="65" t="str">
        <f>TEXT(Tabla1[[#This Row],[EMISION]],"YYYY")</f>
        <v>2022</v>
      </c>
      <c r="Q132" s="71">
        <v>44786</v>
      </c>
      <c r="R132" s="65" t="str">
        <f>TEXT(Tabla1[[#This Row],[VENCIMIENTO]],"mmm")</f>
        <v>Ago</v>
      </c>
      <c r="S132" s="71">
        <f t="shared" ref="S132:S156" si="3">Q132+X132</f>
        <v>44801</v>
      </c>
      <c r="T132" s="72">
        <f ca="1">Tabla1[[#This Row],[EMISION]]+Tabla1[[#This Row],[PLAZO]]-TODAY()</f>
        <v>-568</v>
      </c>
      <c r="U132" s="64">
        <f t="shared" ref="U132:U156" ca="1" si="4">IF(T132&gt;=0,$U$4,IF(AND(T132&lt;=-1,T132&gt;=-30),$U$5,IF(AND(T132&lt;=-31,T132&gt;=-60),$U$6,IF(AND(T132&lt;=-61,T132&gt;=-90),$U$7,$U$8))))</f>
        <v>0</v>
      </c>
      <c r="V132" s="72"/>
      <c r="W132" s="73" t="s">
        <v>14307</v>
      </c>
      <c r="X132" s="65">
        <v>15</v>
      </c>
      <c r="Y132" s="65"/>
      <c r="Z132" s="65"/>
      <c r="AA132" s="65"/>
      <c r="AB132" s="65"/>
      <c r="AC132" s="65"/>
      <c r="AD132" s="65"/>
      <c r="AE132" s="65"/>
      <c r="AF132" s="68"/>
      <c r="AG132" s="66">
        <v>44804</v>
      </c>
      <c r="AH132" s="67" t="s">
        <v>14308</v>
      </c>
      <c r="AI132" s="65" t="s">
        <v>3060</v>
      </c>
      <c r="AJ132" s="65"/>
      <c r="AK132" s="97">
        <f t="shared" ca="1" si="2"/>
        <v>568</v>
      </c>
      <c r="AL132">
        <f>IFERROR(VLOOKUP(A132,'DATA CLIENTES'!B4429:I8284,6,FALSE),0)</f>
        <v>0</v>
      </c>
    </row>
    <row r="133" spans="1:38" x14ac:dyDescent="0.25">
      <c r="A133" s="93" t="s">
        <v>6875</v>
      </c>
      <c r="B133" s="68" t="s">
        <v>6876</v>
      </c>
      <c r="C133" s="65"/>
      <c r="D133" s="65"/>
      <c r="E133" s="65"/>
      <c r="F133" s="69"/>
      <c r="G133" s="70"/>
      <c r="H133" s="65" t="s">
        <v>14360</v>
      </c>
      <c r="I133" s="75">
        <v>1170.08</v>
      </c>
      <c r="J133" s="75">
        <f>250+250+200+250+220.08</f>
        <v>1170.08</v>
      </c>
      <c r="K133" s="75"/>
      <c r="L133" s="75"/>
      <c r="M133" s="75"/>
      <c r="N133" s="75">
        <f>Tabla1[[#This Row],[IMPORTE APROBADO]]-Tabla1[[#This Row],[AMORTIZACION2]]</f>
        <v>0</v>
      </c>
      <c r="O133" s="65" t="str">
        <f>TEXT(Tabla1[[#This Row],[EMISION]],"mmm")</f>
        <v>Ago</v>
      </c>
      <c r="P133" s="65" t="str">
        <f>TEXT(Tabla1[[#This Row],[EMISION]],"YYYY")</f>
        <v>2022</v>
      </c>
      <c r="Q133" s="71">
        <v>44790</v>
      </c>
      <c r="R133" s="65" t="str">
        <f>TEXT(Tabla1[[#This Row],[VENCIMIENTO]],"mmm")</f>
        <v>Ago</v>
      </c>
      <c r="S133" s="71">
        <f t="shared" si="3"/>
        <v>44797</v>
      </c>
      <c r="T133" s="72">
        <f ca="1">Tabla1[[#This Row],[EMISION]]+Tabla1[[#This Row],[PLAZO]]-TODAY()</f>
        <v>-572</v>
      </c>
      <c r="U133" s="64">
        <f t="shared" ca="1" si="4"/>
        <v>0</v>
      </c>
      <c r="V133" s="72"/>
      <c r="W133" s="73" t="s">
        <v>14307</v>
      </c>
      <c r="X133" s="65">
        <v>7</v>
      </c>
      <c r="Y133" s="65"/>
      <c r="Z133" s="65"/>
      <c r="AA133" s="65"/>
      <c r="AB133" s="65"/>
      <c r="AC133" s="65"/>
      <c r="AD133" s="65"/>
      <c r="AE133" s="65"/>
      <c r="AF133" s="68"/>
      <c r="AG133" s="66">
        <v>44817</v>
      </c>
      <c r="AH133" s="67" t="s">
        <v>14308</v>
      </c>
      <c r="AI133" s="65" t="s">
        <v>3060</v>
      </c>
      <c r="AJ133" s="65"/>
      <c r="AK133" s="97">
        <f t="shared" ca="1" si="2"/>
        <v>572</v>
      </c>
      <c r="AL133">
        <f>IFERROR(VLOOKUP(A133,'DATA CLIENTES'!B4430:I8284,6,FALSE),0)</f>
        <v>0</v>
      </c>
    </row>
    <row r="134" spans="1:38" x14ac:dyDescent="0.25">
      <c r="A134" s="93" t="s">
        <v>6657</v>
      </c>
      <c r="B134" s="68" t="s">
        <v>6658</v>
      </c>
      <c r="C134" s="65"/>
      <c r="D134" s="65"/>
      <c r="E134" s="65"/>
      <c r="F134" s="69"/>
      <c r="G134" s="70"/>
      <c r="H134" s="65" t="s">
        <v>14361</v>
      </c>
      <c r="I134" s="75">
        <v>10312.530000000001</v>
      </c>
      <c r="J134" s="75">
        <f>1000+487.2+1000+500+500+700+1000+5125.4</f>
        <v>10312.599999999999</v>
      </c>
      <c r="K134" s="75"/>
      <c r="L134" s="75"/>
      <c r="M134" s="75"/>
      <c r="N134" s="75">
        <f>Tabla1[[#This Row],[IMPORTE APROBADO]]-Tabla1[[#This Row],[AMORTIZACION2]]</f>
        <v>-6.9999999997889972E-2</v>
      </c>
      <c r="O134" s="65" t="str">
        <f>TEXT(Tabla1[[#This Row],[EMISION]],"mmm")</f>
        <v>Ago</v>
      </c>
      <c r="P134" s="65" t="str">
        <f>TEXT(Tabla1[[#This Row],[EMISION]],"YYYY")</f>
        <v>2022</v>
      </c>
      <c r="Q134" s="71">
        <v>44791</v>
      </c>
      <c r="R134" s="65" t="str">
        <f>TEXT(Tabla1[[#This Row],[VENCIMIENTO]],"mmm")</f>
        <v>Set</v>
      </c>
      <c r="S134" s="71">
        <f t="shared" si="3"/>
        <v>44806</v>
      </c>
      <c r="T134" s="72">
        <f ca="1">Tabla1[[#This Row],[EMISION]]+Tabla1[[#This Row],[PLAZO]]-TODAY()</f>
        <v>-563</v>
      </c>
      <c r="U134" s="64">
        <f t="shared" ca="1" si="4"/>
        <v>0</v>
      </c>
      <c r="V134" s="72"/>
      <c r="W134" s="73" t="s">
        <v>14307</v>
      </c>
      <c r="X134" s="65">
        <v>15</v>
      </c>
      <c r="Y134" s="65"/>
      <c r="Z134" s="65"/>
      <c r="AA134" s="65"/>
      <c r="AB134" s="65"/>
      <c r="AC134" s="65"/>
      <c r="AD134" s="65"/>
      <c r="AE134" s="65"/>
      <c r="AF134" s="68"/>
      <c r="AG134" s="66">
        <v>44851</v>
      </c>
      <c r="AH134" s="67" t="s">
        <v>14308</v>
      </c>
      <c r="AI134" s="65" t="s">
        <v>3060</v>
      </c>
      <c r="AJ134" s="65"/>
      <c r="AK134" s="97">
        <f t="shared" ca="1" si="2"/>
        <v>563</v>
      </c>
      <c r="AL134">
        <f>IFERROR(VLOOKUP(A134,'DATA CLIENTES'!B4431:I8284,6,FALSE),0)</f>
        <v>0</v>
      </c>
    </row>
    <row r="135" spans="1:38" x14ac:dyDescent="0.25">
      <c r="A135" s="93" t="s">
        <v>9809</v>
      </c>
      <c r="B135" s="68" t="s">
        <v>14329</v>
      </c>
      <c r="C135" s="65"/>
      <c r="D135" s="65"/>
      <c r="E135" s="65"/>
      <c r="F135" s="69"/>
      <c r="G135" s="70"/>
      <c r="H135" s="65" t="s">
        <v>14362</v>
      </c>
      <c r="I135" s="75">
        <v>931.56</v>
      </c>
      <c r="J135" s="75">
        <f>300+631.56</f>
        <v>931.56</v>
      </c>
      <c r="K135" s="75"/>
      <c r="L135" s="75"/>
      <c r="M135" s="75"/>
      <c r="N135" s="75">
        <f>Tabla1[[#This Row],[IMPORTE APROBADO]]-Tabla1[[#This Row],[AMORTIZACION2]]</f>
        <v>0</v>
      </c>
      <c r="O135" s="65" t="str">
        <f>TEXT(Tabla1[[#This Row],[EMISION]],"mmm")</f>
        <v>Ago</v>
      </c>
      <c r="P135" s="65" t="str">
        <f>TEXT(Tabla1[[#This Row],[EMISION]],"YYYY")</f>
        <v>2022</v>
      </c>
      <c r="Q135" s="71">
        <v>44791</v>
      </c>
      <c r="R135" s="65" t="str">
        <f>TEXT(Tabla1[[#This Row],[VENCIMIENTO]],"mmm")</f>
        <v>Ago</v>
      </c>
      <c r="S135" s="71">
        <f t="shared" si="3"/>
        <v>44798</v>
      </c>
      <c r="T135" s="72">
        <f ca="1">Tabla1[[#This Row],[EMISION]]+Tabla1[[#This Row],[PLAZO]]-TODAY()</f>
        <v>-571</v>
      </c>
      <c r="U135" s="64">
        <f t="shared" ca="1" si="4"/>
        <v>0</v>
      </c>
      <c r="V135" s="72"/>
      <c r="W135" s="73" t="s">
        <v>14307</v>
      </c>
      <c r="X135" s="65">
        <v>7</v>
      </c>
      <c r="Y135" s="65"/>
      <c r="Z135" s="65"/>
      <c r="AA135" s="65"/>
      <c r="AB135" s="65"/>
      <c r="AC135" s="65"/>
      <c r="AD135" s="65"/>
      <c r="AE135" s="65"/>
      <c r="AF135" s="68"/>
      <c r="AG135" s="66">
        <v>44798</v>
      </c>
      <c r="AH135" s="67" t="s">
        <v>14308</v>
      </c>
      <c r="AI135" s="65" t="s">
        <v>3060</v>
      </c>
      <c r="AJ135" s="65"/>
      <c r="AK135" s="97">
        <f t="shared" ca="1" si="2"/>
        <v>571</v>
      </c>
      <c r="AL135">
        <f>IFERROR(VLOOKUP(A135,'DATA CLIENTES'!B4432:I8284,6,FALSE),0)</f>
        <v>0</v>
      </c>
    </row>
    <row r="136" spans="1:38" x14ac:dyDescent="0.25">
      <c r="A136" s="93" t="s">
        <v>14825</v>
      </c>
      <c r="B136" s="68" t="s">
        <v>14363</v>
      </c>
      <c r="C136" s="65"/>
      <c r="D136" s="65"/>
      <c r="E136" s="65"/>
      <c r="F136" s="69"/>
      <c r="G136" s="70"/>
      <c r="H136" s="65" t="s">
        <v>14364</v>
      </c>
      <c r="I136" s="75">
        <v>1872.35</v>
      </c>
      <c r="J136" s="75">
        <f>500+500+300+300+272.35</f>
        <v>1872.35</v>
      </c>
      <c r="K136" s="75"/>
      <c r="L136" s="75"/>
      <c r="M136" s="75"/>
      <c r="N136" s="75">
        <f>Tabla1[[#This Row],[IMPORTE APROBADO]]-Tabla1[[#This Row],[AMORTIZACION2]]</f>
        <v>0</v>
      </c>
      <c r="O136" s="65" t="str">
        <f>TEXT(Tabla1[[#This Row],[EMISION]],"mmm")</f>
        <v>Ago</v>
      </c>
      <c r="P136" s="65" t="str">
        <f>TEXT(Tabla1[[#This Row],[EMISION]],"YYYY")</f>
        <v>2022</v>
      </c>
      <c r="Q136" s="71">
        <v>44792</v>
      </c>
      <c r="R136" s="65" t="str">
        <f>TEXT(Tabla1[[#This Row],[VENCIMIENTO]],"mmm")</f>
        <v>Ago</v>
      </c>
      <c r="S136" s="71">
        <f t="shared" si="3"/>
        <v>44799</v>
      </c>
      <c r="T136" s="72">
        <f ca="1">Tabla1[[#This Row],[EMISION]]+Tabla1[[#This Row],[PLAZO]]-TODAY()</f>
        <v>-570</v>
      </c>
      <c r="U136" s="64">
        <f t="shared" ca="1" si="4"/>
        <v>0</v>
      </c>
      <c r="V136" s="72"/>
      <c r="W136" s="73" t="s">
        <v>14307</v>
      </c>
      <c r="X136" s="65">
        <v>7</v>
      </c>
      <c r="Y136" s="65"/>
      <c r="Z136" s="65"/>
      <c r="AA136" s="65"/>
      <c r="AB136" s="65"/>
      <c r="AC136" s="65"/>
      <c r="AD136" s="65"/>
      <c r="AE136" s="65"/>
      <c r="AF136" s="68"/>
      <c r="AG136" s="66">
        <v>44799</v>
      </c>
      <c r="AH136" s="67" t="s">
        <v>14308</v>
      </c>
      <c r="AI136" s="65" t="s">
        <v>3060</v>
      </c>
      <c r="AJ136" s="65"/>
      <c r="AK136" s="97">
        <f t="shared" ca="1" si="2"/>
        <v>570</v>
      </c>
      <c r="AL136">
        <f>IFERROR(VLOOKUP(A136,'DATA CLIENTES'!B4433:I8284,6,FALSE),0)</f>
        <v>0</v>
      </c>
    </row>
    <row r="137" spans="1:38" x14ac:dyDescent="0.25">
      <c r="A137" s="93" t="s">
        <v>14826</v>
      </c>
      <c r="B137" s="68" t="s">
        <v>14365</v>
      </c>
      <c r="C137" s="65"/>
      <c r="D137" s="65"/>
      <c r="E137" s="65"/>
      <c r="F137" s="69"/>
      <c r="G137" s="70"/>
      <c r="H137" s="65" t="s">
        <v>14366</v>
      </c>
      <c r="I137" s="75">
        <v>2276.91</v>
      </c>
      <c r="J137" s="75">
        <f>300+200+200+200+200+200+150+150+457.1+219.81</f>
        <v>2276.91</v>
      </c>
      <c r="K137" s="75"/>
      <c r="L137" s="75"/>
      <c r="M137" s="75"/>
      <c r="N137" s="75">
        <f>Tabla1[[#This Row],[IMPORTE APROBADO]]-Tabla1[[#This Row],[AMORTIZACION2]]</f>
        <v>0</v>
      </c>
      <c r="O137" s="65" t="str">
        <f>TEXT(Tabla1[[#This Row],[EMISION]],"mmm")</f>
        <v>Ago</v>
      </c>
      <c r="P137" s="65" t="str">
        <f>TEXT(Tabla1[[#This Row],[EMISION]],"YYYY")</f>
        <v>2022</v>
      </c>
      <c r="Q137" s="71">
        <v>44792</v>
      </c>
      <c r="R137" s="65" t="str">
        <f>TEXT(Tabla1[[#This Row],[VENCIMIENTO]],"mmm")</f>
        <v>Ago</v>
      </c>
      <c r="S137" s="71">
        <f t="shared" si="3"/>
        <v>44799</v>
      </c>
      <c r="T137" s="72">
        <f ca="1">Tabla1[[#This Row],[EMISION]]+Tabla1[[#This Row],[PLAZO]]-TODAY()</f>
        <v>-570</v>
      </c>
      <c r="U137" s="64">
        <f t="shared" ca="1" si="4"/>
        <v>0</v>
      </c>
      <c r="V137" s="72"/>
      <c r="W137" s="73" t="s">
        <v>14307</v>
      </c>
      <c r="X137" s="65">
        <v>7</v>
      </c>
      <c r="Y137" s="65"/>
      <c r="Z137" s="65"/>
      <c r="AA137" s="65"/>
      <c r="AB137" s="65"/>
      <c r="AC137" s="65"/>
      <c r="AD137" s="65"/>
      <c r="AE137" s="65"/>
      <c r="AF137" s="68"/>
      <c r="AG137" s="66">
        <v>44827</v>
      </c>
      <c r="AH137" s="67" t="s">
        <v>14308</v>
      </c>
      <c r="AI137" s="65" t="s">
        <v>3060</v>
      </c>
      <c r="AJ137" s="65"/>
      <c r="AK137" s="97">
        <f t="shared" ca="1" si="2"/>
        <v>570</v>
      </c>
      <c r="AL137">
        <f>IFERROR(VLOOKUP(A137,'DATA CLIENTES'!B4434:I8284,6,FALSE),0)</f>
        <v>0</v>
      </c>
    </row>
    <row r="138" spans="1:38" x14ac:dyDescent="0.25">
      <c r="A138" s="93" t="s">
        <v>9505</v>
      </c>
      <c r="B138" s="68" t="s">
        <v>14367</v>
      </c>
      <c r="C138" s="65"/>
      <c r="D138" s="65"/>
      <c r="E138" s="65"/>
      <c r="F138" s="69"/>
      <c r="G138" s="70"/>
      <c r="H138" s="65" t="s">
        <v>14368</v>
      </c>
      <c r="I138" s="75">
        <v>2327.5500000000002</v>
      </c>
      <c r="J138" s="75">
        <f>400+400+400+527.6+599.95</f>
        <v>2327.5500000000002</v>
      </c>
      <c r="K138" s="75"/>
      <c r="L138" s="75"/>
      <c r="M138" s="75"/>
      <c r="N138" s="75">
        <f>Tabla1[[#This Row],[IMPORTE APROBADO]]-Tabla1[[#This Row],[AMORTIZACION2]]</f>
        <v>0</v>
      </c>
      <c r="O138" s="65" t="str">
        <f>TEXT(Tabla1[[#This Row],[EMISION]],"mmm")</f>
        <v>Ago</v>
      </c>
      <c r="P138" s="65" t="str">
        <f>TEXT(Tabla1[[#This Row],[EMISION]],"YYYY")</f>
        <v>2022</v>
      </c>
      <c r="Q138" s="71">
        <v>44792</v>
      </c>
      <c r="R138" s="65" t="str">
        <f>TEXT(Tabla1[[#This Row],[VENCIMIENTO]],"mmm")</f>
        <v>Ago</v>
      </c>
      <c r="S138" s="71">
        <f t="shared" si="3"/>
        <v>44799</v>
      </c>
      <c r="T138" s="72">
        <f ca="1">Tabla1[[#This Row],[EMISION]]+Tabla1[[#This Row],[PLAZO]]-TODAY()</f>
        <v>-570</v>
      </c>
      <c r="U138" s="64">
        <f t="shared" ca="1" si="4"/>
        <v>0</v>
      </c>
      <c r="V138" s="72"/>
      <c r="W138" s="73" t="s">
        <v>14307</v>
      </c>
      <c r="X138" s="65">
        <v>7</v>
      </c>
      <c r="Y138" s="65"/>
      <c r="Z138" s="65"/>
      <c r="AA138" s="65"/>
      <c r="AB138" s="65"/>
      <c r="AC138" s="65"/>
      <c r="AD138" s="65"/>
      <c r="AE138" s="65"/>
      <c r="AF138" s="68"/>
      <c r="AG138" s="66">
        <v>44809</v>
      </c>
      <c r="AH138" s="67" t="s">
        <v>14308</v>
      </c>
      <c r="AI138" s="65" t="s">
        <v>3060</v>
      </c>
      <c r="AJ138" s="65"/>
      <c r="AK138" s="97">
        <f t="shared" ca="1" si="2"/>
        <v>570</v>
      </c>
      <c r="AL138">
        <f>IFERROR(VLOOKUP(A138,'DATA CLIENTES'!B4435:I8284,6,FALSE),0)</f>
        <v>0</v>
      </c>
    </row>
    <row r="139" spans="1:38" x14ac:dyDescent="0.25">
      <c r="A139" s="93" t="s">
        <v>9383</v>
      </c>
      <c r="B139" s="68" t="s">
        <v>9384</v>
      </c>
      <c r="C139" s="65"/>
      <c r="D139" s="65"/>
      <c r="E139" s="65"/>
      <c r="F139" s="69"/>
      <c r="G139" s="70"/>
      <c r="H139" s="65" t="s">
        <v>14369</v>
      </c>
      <c r="I139" s="75">
        <v>16600</v>
      </c>
      <c r="J139" s="75">
        <v>16600</v>
      </c>
      <c r="K139" s="75"/>
      <c r="L139" s="75"/>
      <c r="M139" s="75"/>
      <c r="N139" s="75">
        <f>Tabla1[[#This Row],[IMPORTE APROBADO]]-Tabla1[[#This Row],[AMORTIZACION2]]</f>
        <v>0</v>
      </c>
      <c r="O139" s="65" t="str">
        <f>TEXT(Tabla1[[#This Row],[EMISION]],"mmm")</f>
        <v>Ago</v>
      </c>
      <c r="P139" s="65" t="str">
        <f>TEXT(Tabla1[[#This Row],[EMISION]],"YYYY")</f>
        <v>2022</v>
      </c>
      <c r="Q139" s="71">
        <v>44796</v>
      </c>
      <c r="R139" s="65" t="str">
        <f>TEXT(Tabla1[[#This Row],[VENCIMIENTO]],"mmm")</f>
        <v>Set</v>
      </c>
      <c r="S139" s="71">
        <f t="shared" si="3"/>
        <v>44826</v>
      </c>
      <c r="T139" s="72">
        <f ca="1">Tabla1[[#This Row],[EMISION]]+Tabla1[[#This Row],[PLAZO]]-TODAY()</f>
        <v>-543</v>
      </c>
      <c r="U139" s="64">
        <f t="shared" ca="1" si="4"/>
        <v>0</v>
      </c>
      <c r="V139" s="72"/>
      <c r="W139" s="73" t="s">
        <v>14307</v>
      </c>
      <c r="X139" s="65">
        <v>30</v>
      </c>
      <c r="Y139" s="65"/>
      <c r="Z139" s="65"/>
      <c r="AA139" s="65"/>
      <c r="AB139" s="65"/>
      <c r="AC139" s="65"/>
      <c r="AD139" s="65"/>
      <c r="AE139" s="65"/>
      <c r="AF139" s="68"/>
      <c r="AG139" s="66">
        <v>44832</v>
      </c>
      <c r="AH139" s="67" t="s">
        <v>14308</v>
      </c>
      <c r="AI139" s="65" t="s">
        <v>3060</v>
      </c>
      <c r="AJ139" s="65"/>
      <c r="AK139" s="97">
        <f t="shared" ca="1" si="2"/>
        <v>543</v>
      </c>
      <c r="AL139">
        <f>IFERROR(VLOOKUP(A139,'DATA CLIENTES'!B4436:I8284,6,FALSE),0)</f>
        <v>0</v>
      </c>
    </row>
    <row r="140" spans="1:38" x14ac:dyDescent="0.25">
      <c r="A140" s="94" t="s">
        <v>4616</v>
      </c>
      <c r="B140" s="68" t="s">
        <v>4617</v>
      </c>
      <c r="C140" s="79"/>
      <c r="D140" s="79"/>
      <c r="E140" s="65"/>
      <c r="F140" s="69"/>
      <c r="G140" s="70"/>
      <c r="H140" s="65" t="s">
        <v>14370</v>
      </c>
      <c r="I140" s="75">
        <f>22822.56-2822.56</f>
        <v>20000</v>
      </c>
      <c r="J140" s="75">
        <f>4000+4000+4000+6000+2000</f>
        <v>20000</v>
      </c>
      <c r="K140" s="75"/>
      <c r="L140" s="75"/>
      <c r="M140" s="75"/>
      <c r="N140" s="75">
        <f>Tabla1[[#This Row],[IMPORTE APROBADO]]-Tabla1[[#This Row],[AMORTIZACION2]]</f>
        <v>0</v>
      </c>
      <c r="O140" s="65" t="str">
        <f>TEXT(Tabla1[[#This Row],[EMISION]],"mmm")</f>
        <v>Ago</v>
      </c>
      <c r="P140" s="65" t="str">
        <f>TEXT(Tabla1[[#This Row],[EMISION]],"YYYY")</f>
        <v>2022</v>
      </c>
      <c r="Q140" s="71">
        <v>44797</v>
      </c>
      <c r="R140" s="65" t="str">
        <f>TEXT(Tabla1[[#This Row],[VENCIMIENTO]],"mmm")</f>
        <v>Oct</v>
      </c>
      <c r="S140" s="71">
        <f t="shared" si="3"/>
        <v>44857</v>
      </c>
      <c r="T140" s="72">
        <f ca="1">Tabla1[[#This Row],[EMISION]]+Tabla1[[#This Row],[PLAZO]]-TODAY()</f>
        <v>-512</v>
      </c>
      <c r="U140" s="64">
        <f t="shared" ca="1" si="4"/>
        <v>0</v>
      </c>
      <c r="V140" s="72"/>
      <c r="W140" s="73" t="s">
        <v>14307</v>
      </c>
      <c r="X140" s="65">
        <v>60</v>
      </c>
      <c r="Y140" s="65"/>
      <c r="Z140" s="65"/>
      <c r="AA140" s="65"/>
      <c r="AB140" s="65"/>
      <c r="AC140" s="65"/>
      <c r="AD140" s="65"/>
      <c r="AE140" s="65"/>
      <c r="AF140" s="68"/>
      <c r="AG140" s="66">
        <v>44846</v>
      </c>
      <c r="AH140" s="67" t="s">
        <v>14308</v>
      </c>
      <c r="AI140" s="65" t="s">
        <v>3060</v>
      </c>
      <c r="AJ140" s="65"/>
      <c r="AK140" s="97">
        <f t="shared" ca="1" si="2"/>
        <v>512</v>
      </c>
      <c r="AL140">
        <f>IFERROR(VLOOKUP(A140,'DATA CLIENTES'!B4437:I8284,6,FALSE),0)</f>
        <v>0</v>
      </c>
    </row>
    <row r="141" spans="1:38" x14ac:dyDescent="0.25">
      <c r="A141" s="93" t="s">
        <v>14827</v>
      </c>
      <c r="B141" s="68" t="s">
        <v>14371</v>
      </c>
      <c r="C141" s="65"/>
      <c r="D141" s="65"/>
      <c r="E141" s="65"/>
      <c r="F141" s="69"/>
      <c r="G141" s="70"/>
      <c r="H141" s="65" t="s">
        <v>14372</v>
      </c>
      <c r="I141" s="75">
        <v>13598</v>
      </c>
      <c r="J141" s="75">
        <v>13598</v>
      </c>
      <c r="K141" s="75"/>
      <c r="L141" s="75"/>
      <c r="M141" s="75"/>
      <c r="N141" s="75">
        <f>Tabla1[[#This Row],[IMPORTE APROBADO]]-Tabla1[[#This Row],[AMORTIZACION2]]</f>
        <v>0</v>
      </c>
      <c r="O141" s="65" t="str">
        <f>TEXT(Tabla1[[#This Row],[EMISION]],"mmm")</f>
        <v>Ago</v>
      </c>
      <c r="P141" s="65" t="str">
        <f>TEXT(Tabla1[[#This Row],[EMISION]],"YYYY")</f>
        <v>2022</v>
      </c>
      <c r="Q141" s="71">
        <v>44797</v>
      </c>
      <c r="R141" s="65" t="str">
        <f>TEXT(Tabla1[[#This Row],[VENCIMIENTO]],"mmm")</f>
        <v>Ago</v>
      </c>
      <c r="S141" s="71">
        <f t="shared" si="3"/>
        <v>44804</v>
      </c>
      <c r="T141" s="72">
        <f ca="1">Tabla1[[#This Row],[EMISION]]+Tabla1[[#This Row],[PLAZO]]-TODAY()</f>
        <v>-565</v>
      </c>
      <c r="U141" s="64">
        <f t="shared" ca="1" si="4"/>
        <v>0</v>
      </c>
      <c r="V141" s="72"/>
      <c r="W141" s="73" t="s">
        <v>14307</v>
      </c>
      <c r="X141" s="65">
        <v>7</v>
      </c>
      <c r="Y141" s="65"/>
      <c r="Z141" s="65"/>
      <c r="AA141" s="65"/>
      <c r="AB141" s="65"/>
      <c r="AC141" s="65"/>
      <c r="AD141" s="65"/>
      <c r="AE141" s="65"/>
      <c r="AF141" s="68"/>
      <c r="AG141" s="66">
        <v>44867</v>
      </c>
      <c r="AH141" s="67" t="s">
        <v>14308</v>
      </c>
      <c r="AI141" s="65" t="s">
        <v>3060</v>
      </c>
      <c r="AJ141" s="65"/>
      <c r="AK141" s="97">
        <f t="shared" ca="1" si="2"/>
        <v>565</v>
      </c>
      <c r="AL141">
        <f>IFERROR(VLOOKUP(A141,'DATA CLIENTES'!B4438:I8284,6,FALSE),0)</f>
        <v>0</v>
      </c>
    </row>
    <row r="142" spans="1:38" x14ac:dyDescent="0.25">
      <c r="A142" s="93" t="s">
        <v>14828</v>
      </c>
      <c r="B142" s="68" t="s">
        <v>14371</v>
      </c>
      <c r="C142" s="65"/>
      <c r="D142" s="65"/>
      <c r="E142" s="65"/>
      <c r="F142" s="69"/>
      <c r="G142" s="70"/>
      <c r="H142" s="65" t="s">
        <v>14373</v>
      </c>
      <c r="I142" s="75">
        <v>7520</v>
      </c>
      <c r="J142" s="75">
        <v>7520</v>
      </c>
      <c r="K142" s="75"/>
      <c r="L142" s="75"/>
      <c r="M142" s="75"/>
      <c r="N142" s="75">
        <f>Tabla1[[#This Row],[IMPORTE APROBADO]]-Tabla1[[#This Row],[AMORTIZACION2]]</f>
        <v>0</v>
      </c>
      <c r="O142" s="65" t="str">
        <f>TEXT(Tabla1[[#This Row],[EMISION]],"mmm")</f>
        <v>Ago</v>
      </c>
      <c r="P142" s="65" t="str">
        <f>TEXT(Tabla1[[#This Row],[EMISION]],"YYYY")</f>
        <v>2022</v>
      </c>
      <c r="Q142" s="71">
        <v>44797</v>
      </c>
      <c r="R142" s="65" t="str">
        <f>TEXT(Tabla1[[#This Row],[VENCIMIENTO]],"mmm")</f>
        <v>Ago</v>
      </c>
      <c r="S142" s="71">
        <f t="shared" si="3"/>
        <v>44804</v>
      </c>
      <c r="T142" s="72">
        <f ca="1">Tabla1[[#This Row],[EMISION]]+Tabla1[[#This Row],[PLAZO]]-TODAY()</f>
        <v>-565</v>
      </c>
      <c r="U142" s="64">
        <f t="shared" ca="1" si="4"/>
        <v>0</v>
      </c>
      <c r="V142" s="72"/>
      <c r="W142" s="73" t="s">
        <v>14307</v>
      </c>
      <c r="X142" s="65">
        <v>7</v>
      </c>
      <c r="Y142" s="65"/>
      <c r="Z142" s="65"/>
      <c r="AA142" s="65"/>
      <c r="AB142" s="65"/>
      <c r="AC142" s="65"/>
      <c r="AD142" s="65"/>
      <c r="AE142" s="65"/>
      <c r="AF142" s="68"/>
      <c r="AG142" s="66">
        <v>44867</v>
      </c>
      <c r="AH142" s="67" t="s">
        <v>14308</v>
      </c>
      <c r="AI142" s="65" t="s">
        <v>3060</v>
      </c>
      <c r="AJ142" s="65"/>
      <c r="AK142" s="97">
        <f t="shared" ref="AK142:AK205" ca="1" si="5">TODAY() - S142</f>
        <v>565</v>
      </c>
      <c r="AL142">
        <f>IFERROR(VLOOKUP(A142,'DATA CLIENTES'!B4439:I8284,6,FALSE),0)</f>
        <v>0</v>
      </c>
    </row>
    <row r="143" spans="1:38" x14ac:dyDescent="0.25">
      <c r="A143" s="93" t="s">
        <v>14829</v>
      </c>
      <c r="B143" s="68" t="s">
        <v>14371</v>
      </c>
      <c r="C143" s="65"/>
      <c r="D143" s="65"/>
      <c r="E143" s="65"/>
      <c r="F143" s="69"/>
      <c r="G143" s="70"/>
      <c r="H143" s="65" t="s">
        <v>14374</v>
      </c>
      <c r="I143" s="75">
        <v>2912</v>
      </c>
      <c r="J143" s="75">
        <v>2912</v>
      </c>
      <c r="K143" s="75"/>
      <c r="L143" s="75"/>
      <c r="M143" s="75"/>
      <c r="N143" s="75">
        <f>Tabla1[[#This Row],[IMPORTE APROBADO]]-Tabla1[[#This Row],[AMORTIZACION2]]</f>
        <v>0</v>
      </c>
      <c r="O143" s="65" t="str">
        <f>TEXT(Tabla1[[#This Row],[EMISION]],"mmm")</f>
        <v>Ago</v>
      </c>
      <c r="P143" s="65" t="str">
        <f>TEXT(Tabla1[[#This Row],[EMISION]],"YYYY")</f>
        <v>2022</v>
      </c>
      <c r="Q143" s="71">
        <v>44797</v>
      </c>
      <c r="R143" s="65" t="str">
        <f>TEXT(Tabla1[[#This Row],[VENCIMIENTO]],"mmm")</f>
        <v>Ago</v>
      </c>
      <c r="S143" s="71">
        <f t="shared" si="3"/>
        <v>44804</v>
      </c>
      <c r="T143" s="72">
        <f ca="1">Tabla1[[#This Row],[EMISION]]+Tabla1[[#This Row],[PLAZO]]-TODAY()</f>
        <v>-565</v>
      </c>
      <c r="U143" s="64">
        <f t="shared" ca="1" si="4"/>
        <v>0</v>
      </c>
      <c r="V143" s="72"/>
      <c r="W143" s="73" t="s">
        <v>14307</v>
      </c>
      <c r="X143" s="65">
        <v>7</v>
      </c>
      <c r="Y143" s="65"/>
      <c r="Z143" s="65"/>
      <c r="AA143" s="65"/>
      <c r="AB143" s="65"/>
      <c r="AC143" s="65"/>
      <c r="AD143" s="65"/>
      <c r="AE143" s="65"/>
      <c r="AF143" s="68"/>
      <c r="AG143" s="66">
        <v>44867</v>
      </c>
      <c r="AH143" s="67" t="s">
        <v>14308</v>
      </c>
      <c r="AI143" s="65" t="s">
        <v>3060</v>
      </c>
      <c r="AJ143" s="65"/>
      <c r="AK143" s="97">
        <f t="shared" ca="1" si="5"/>
        <v>565</v>
      </c>
      <c r="AL143">
        <f>IFERROR(VLOOKUP(A143,'DATA CLIENTES'!B4440:I8284,6,FALSE),0)</f>
        <v>0</v>
      </c>
    </row>
    <row r="144" spans="1:38" x14ac:dyDescent="0.25">
      <c r="A144" s="93" t="s">
        <v>6999</v>
      </c>
      <c r="B144" s="68" t="s">
        <v>14310</v>
      </c>
      <c r="C144" s="65"/>
      <c r="D144" s="65"/>
      <c r="E144" s="65"/>
      <c r="F144" s="69"/>
      <c r="G144" s="70"/>
      <c r="H144" s="65" t="s">
        <v>14375</v>
      </c>
      <c r="I144" s="75">
        <v>1269.55</v>
      </c>
      <c r="J144" s="75"/>
      <c r="K144" s="75"/>
      <c r="L144" s="75"/>
      <c r="M144" s="75"/>
      <c r="N144" s="75">
        <f>Tabla1[[#This Row],[IMPORTE APROBADO]]-Tabla1[[#This Row],[AMORTIZACION2]]</f>
        <v>1269.55</v>
      </c>
      <c r="O144" s="65" t="str">
        <f>TEXT(Tabla1[[#This Row],[EMISION]],"mmm")</f>
        <v>Ago</v>
      </c>
      <c r="P144" s="65" t="str">
        <f>TEXT(Tabla1[[#This Row],[EMISION]],"YYYY")</f>
        <v>2022</v>
      </c>
      <c r="Q144" s="71">
        <v>44799</v>
      </c>
      <c r="R144" s="65" t="str">
        <f>TEXT(Tabla1[[#This Row],[VENCIMIENTO]],"mmm")</f>
        <v>Set</v>
      </c>
      <c r="S144" s="71">
        <f t="shared" si="3"/>
        <v>44829</v>
      </c>
      <c r="T144" s="72">
        <f ca="1">Tabla1[[#This Row],[EMISION]]+Tabla1[[#This Row],[PLAZO]]-TODAY()</f>
        <v>-540</v>
      </c>
      <c r="U144" s="64">
        <f t="shared" ca="1" si="4"/>
        <v>0</v>
      </c>
      <c r="V144" s="72"/>
      <c r="W144" s="73" t="s">
        <v>14307</v>
      </c>
      <c r="X144" s="65">
        <v>30</v>
      </c>
      <c r="Y144" s="65"/>
      <c r="Z144" s="65"/>
      <c r="AA144" s="65"/>
      <c r="AB144" s="65"/>
      <c r="AC144" s="65"/>
      <c r="AD144" s="65"/>
      <c r="AE144" s="65"/>
      <c r="AF144" s="68"/>
      <c r="AG144" s="66"/>
      <c r="AH144" s="67" t="s">
        <v>14313</v>
      </c>
      <c r="AI144" s="65" t="s">
        <v>3060</v>
      </c>
      <c r="AJ144" s="65"/>
      <c r="AK144" s="97">
        <f t="shared" ca="1" si="5"/>
        <v>540</v>
      </c>
      <c r="AL144">
        <f>IFERROR(VLOOKUP(A144,'DATA CLIENTES'!B4441:I8284,6,FALSE),0)</f>
        <v>0</v>
      </c>
    </row>
    <row r="145" spans="1:38" x14ac:dyDescent="0.25">
      <c r="A145" s="93" t="s">
        <v>6999</v>
      </c>
      <c r="B145" s="68" t="s">
        <v>14310</v>
      </c>
      <c r="C145" s="65"/>
      <c r="D145" s="65"/>
      <c r="E145" s="65"/>
      <c r="F145" s="69"/>
      <c r="G145" s="70"/>
      <c r="H145" s="65" t="s">
        <v>14376</v>
      </c>
      <c r="I145" s="75">
        <v>1244.77</v>
      </c>
      <c r="J145" s="75"/>
      <c r="K145" s="75"/>
      <c r="L145" s="75"/>
      <c r="M145" s="75"/>
      <c r="N145" s="75">
        <f>Tabla1[[#This Row],[IMPORTE APROBADO]]-Tabla1[[#This Row],[AMORTIZACION2]]</f>
        <v>1244.77</v>
      </c>
      <c r="O145" s="65" t="str">
        <f>TEXT(Tabla1[[#This Row],[EMISION]],"mmm")</f>
        <v>Ago</v>
      </c>
      <c r="P145" s="65" t="str">
        <f>TEXT(Tabla1[[#This Row],[EMISION]],"YYYY")</f>
        <v>2022</v>
      </c>
      <c r="Q145" s="71">
        <v>44800</v>
      </c>
      <c r="R145" s="65" t="str">
        <f>TEXT(Tabla1[[#This Row],[VENCIMIENTO]],"mmm")</f>
        <v>Set</v>
      </c>
      <c r="S145" s="71">
        <f t="shared" si="3"/>
        <v>44830</v>
      </c>
      <c r="T145" s="72">
        <f ca="1">Tabla1[[#This Row],[EMISION]]+Tabla1[[#This Row],[PLAZO]]-TODAY()</f>
        <v>-539</v>
      </c>
      <c r="U145" s="64">
        <f t="shared" ca="1" si="4"/>
        <v>0</v>
      </c>
      <c r="V145" s="72"/>
      <c r="W145" s="73" t="s">
        <v>14307</v>
      </c>
      <c r="X145" s="65">
        <v>30</v>
      </c>
      <c r="Y145" s="65"/>
      <c r="Z145" s="65"/>
      <c r="AA145" s="65"/>
      <c r="AB145" s="65"/>
      <c r="AC145" s="65"/>
      <c r="AD145" s="65"/>
      <c r="AE145" s="65"/>
      <c r="AF145" s="68"/>
      <c r="AG145" s="66"/>
      <c r="AH145" s="67" t="s">
        <v>14313</v>
      </c>
      <c r="AI145" s="65" t="s">
        <v>3060</v>
      </c>
      <c r="AJ145" s="65"/>
      <c r="AK145" s="97">
        <f t="shared" ca="1" si="5"/>
        <v>539</v>
      </c>
      <c r="AL145">
        <f>IFERROR(VLOOKUP(A145,'DATA CLIENTES'!B4442:I8284,6,FALSE),0)</f>
        <v>0</v>
      </c>
    </row>
    <row r="146" spans="1:38" x14ac:dyDescent="0.25">
      <c r="A146" s="65"/>
      <c r="B146" s="68" t="s">
        <v>8996</v>
      </c>
      <c r="C146" s="65"/>
      <c r="D146" s="65"/>
      <c r="E146" s="65"/>
      <c r="F146" s="69"/>
      <c r="G146" s="70"/>
      <c r="H146" s="65" t="s">
        <v>14377</v>
      </c>
      <c r="I146" s="75">
        <v>5058.3999999999996</v>
      </c>
      <c r="J146" s="75">
        <f>4058+1000.4</f>
        <v>5058.3999999999996</v>
      </c>
      <c r="K146" s="75"/>
      <c r="L146" s="75"/>
      <c r="M146" s="75"/>
      <c r="N146" s="75">
        <f>Tabla1[[#This Row],[IMPORTE APROBADO]]-Tabla1[[#This Row],[AMORTIZACION2]]</f>
        <v>0</v>
      </c>
      <c r="O146" s="65" t="str">
        <f>TEXT(Tabla1[[#This Row],[EMISION]],"mmm")</f>
        <v>Ago</v>
      </c>
      <c r="P146" s="65" t="str">
        <f>TEXT(Tabla1[[#This Row],[EMISION]],"YYYY")</f>
        <v>2022</v>
      </c>
      <c r="Q146" s="71">
        <v>44804</v>
      </c>
      <c r="R146" s="65" t="str">
        <f>TEXT(Tabla1[[#This Row],[VENCIMIENTO]],"mmm")</f>
        <v>Set</v>
      </c>
      <c r="S146" s="71">
        <f t="shared" si="3"/>
        <v>44811</v>
      </c>
      <c r="T146" s="72">
        <f ca="1">Tabla1[[#This Row],[EMISION]]+Tabla1[[#This Row],[PLAZO]]-TODAY()</f>
        <v>-558</v>
      </c>
      <c r="U146" s="64">
        <f t="shared" ca="1" si="4"/>
        <v>0</v>
      </c>
      <c r="V146" s="72" t="s">
        <v>3070</v>
      </c>
      <c r="W146" s="73" t="s">
        <v>14307</v>
      </c>
      <c r="X146" s="65">
        <v>7</v>
      </c>
      <c r="Y146" s="65"/>
      <c r="Z146" s="65"/>
      <c r="AA146" s="65"/>
      <c r="AB146" s="65"/>
      <c r="AC146" s="65"/>
      <c r="AD146" s="65"/>
      <c r="AE146" s="65"/>
      <c r="AF146" s="68"/>
      <c r="AG146" s="66">
        <v>44823</v>
      </c>
      <c r="AH146" s="67" t="s">
        <v>14308</v>
      </c>
      <c r="AI146" s="65" t="s">
        <v>3060</v>
      </c>
      <c r="AJ146" s="65"/>
      <c r="AK146" s="97">
        <f t="shared" ca="1" si="5"/>
        <v>558</v>
      </c>
      <c r="AL146">
        <f>IFERROR(VLOOKUP(A146,'DATA CLIENTES'!B4443:I8284,6,FALSE),0)</f>
        <v>0</v>
      </c>
    </row>
    <row r="147" spans="1:38" x14ac:dyDescent="0.25">
      <c r="A147" s="93" t="s">
        <v>5473</v>
      </c>
      <c r="B147" s="68" t="s">
        <v>14378</v>
      </c>
      <c r="C147" s="65"/>
      <c r="D147" s="65"/>
      <c r="E147" s="65"/>
      <c r="F147" s="69"/>
      <c r="G147" s="70"/>
      <c r="H147" s="65" t="s">
        <v>14379</v>
      </c>
      <c r="I147" s="75">
        <v>4080.57</v>
      </c>
      <c r="J147" s="75">
        <v>4080.57</v>
      </c>
      <c r="K147" s="75"/>
      <c r="L147" s="75"/>
      <c r="M147" s="75"/>
      <c r="N147" s="75">
        <f>Tabla1[[#This Row],[IMPORTE APROBADO]]-Tabla1[[#This Row],[AMORTIZACION2]]</f>
        <v>0</v>
      </c>
      <c r="O147" s="65" t="str">
        <f>TEXT(Tabla1[[#This Row],[EMISION]],"mmm")</f>
        <v>Set</v>
      </c>
      <c r="P147" s="65" t="str">
        <f>TEXT(Tabla1[[#This Row],[EMISION]],"YYYY")</f>
        <v>2022</v>
      </c>
      <c r="Q147" s="71">
        <v>44805</v>
      </c>
      <c r="R147" s="65" t="str">
        <f>TEXT(Tabla1[[#This Row],[VENCIMIENTO]],"mmm")</f>
        <v>Set</v>
      </c>
      <c r="S147" s="71">
        <f t="shared" si="3"/>
        <v>44812</v>
      </c>
      <c r="T147" s="72">
        <f ca="1">Tabla1[[#This Row],[EMISION]]+Tabla1[[#This Row],[PLAZO]]-TODAY()</f>
        <v>-557</v>
      </c>
      <c r="U147" s="64">
        <f t="shared" ca="1" si="4"/>
        <v>0</v>
      </c>
      <c r="V147" s="72"/>
      <c r="W147" s="73" t="s">
        <v>14307</v>
      </c>
      <c r="X147" s="65">
        <v>7</v>
      </c>
      <c r="Y147" s="65"/>
      <c r="Z147" s="65"/>
      <c r="AA147" s="65"/>
      <c r="AB147" s="65"/>
      <c r="AC147" s="65"/>
      <c r="AD147" s="65"/>
      <c r="AE147" s="65"/>
      <c r="AF147" s="68"/>
      <c r="AG147" s="66">
        <v>44809</v>
      </c>
      <c r="AH147" s="67" t="s">
        <v>14308</v>
      </c>
      <c r="AI147" s="65" t="s">
        <v>3060</v>
      </c>
      <c r="AJ147" s="65"/>
      <c r="AK147" s="97">
        <f t="shared" ca="1" si="5"/>
        <v>557</v>
      </c>
      <c r="AL147">
        <f>IFERROR(VLOOKUP(A147,'DATA CLIENTES'!B4444:I8284,6,FALSE),0)</f>
        <v>0</v>
      </c>
    </row>
    <row r="148" spans="1:38" x14ac:dyDescent="0.25">
      <c r="A148" s="93" t="s">
        <v>9658</v>
      </c>
      <c r="B148" s="68" t="s">
        <v>14332</v>
      </c>
      <c r="C148" s="65"/>
      <c r="D148" s="65"/>
      <c r="E148" s="65"/>
      <c r="F148" s="69"/>
      <c r="G148" s="70"/>
      <c r="H148" s="65" t="s">
        <v>14380</v>
      </c>
      <c r="I148" s="75">
        <v>398.97</v>
      </c>
      <c r="J148" s="75">
        <v>398.97</v>
      </c>
      <c r="K148" s="75"/>
      <c r="L148" s="75"/>
      <c r="M148" s="75"/>
      <c r="N148" s="75">
        <f>Tabla1[[#This Row],[IMPORTE APROBADO]]-Tabla1[[#This Row],[AMORTIZACION2]]</f>
        <v>0</v>
      </c>
      <c r="O148" s="65" t="str">
        <f>TEXT(Tabla1[[#This Row],[EMISION]],"mmm")</f>
        <v>Set</v>
      </c>
      <c r="P148" s="65" t="str">
        <f>TEXT(Tabla1[[#This Row],[EMISION]],"YYYY")</f>
        <v>2022</v>
      </c>
      <c r="Q148" s="71">
        <v>44806</v>
      </c>
      <c r="R148" s="65" t="str">
        <f>TEXT(Tabla1[[#This Row],[VENCIMIENTO]],"mmm")</f>
        <v>Set</v>
      </c>
      <c r="S148" s="71">
        <f t="shared" si="3"/>
        <v>44813</v>
      </c>
      <c r="T148" s="72">
        <f ca="1">Tabla1[[#This Row],[EMISION]]+Tabla1[[#This Row],[PLAZO]]-TODAY()</f>
        <v>-556</v>
      </c>
      <c r="U148" s="64">
        <f t="shared" ca="1" si="4"/>
        <v>0</v>
      </c>
      <c r="V148" s="72"/>
      <c r="W148" s="73" t="s">
        <v>14307</v>
      </c>
      <c r="X148" s="65">
        <v>7</v>
      </c>
      <c r="Y148" s="65"/>
      <c r="Z148" s="65"/>
      <c r="AA148" s="65"/>
      <c r="AB148" s="65"/>
      <c r="AC148" s="65"/>
      <c r="AD148" s="65"/>
      <c r="AE148" s="65"/>
      <c r="AF148" s="68"/>
      <c r="AG148" s="66">
        <v>44818</v>
      </c>
      <c r="AH148" s="67" t="s">
        <v>14308</v>
      </c>
      <c r="AI148" s="65" t="s">
        <v>3060</v>
      </c>
      <c r="AJ148" s="65"/>
      <c r="AK148" s="97">
        <f t="shared" ca="1" si="5"/>
        <v>556</v>
      </c>
      <c r="AL148">
        <f>IFERROR(VLOOKUP(A148,'DATA CLIENTES'!B4445:I8284,6,FALSE),0)</f>
        <v>0</v>
      </c>
    </row>
    <row r="149" spans="1:38" x14ac:dyDescent="0.25">
      <c r="A149" s="93" t="s">
        <v>5547</v>
      </c>
      <c r="B149" s="68" t="s">
        <v>5548</v>
      </c>
      <c r="C149" s="65"/>
      <c r="D149" s="65"/>
      <c r="E149" s="65"/>
      <c r="F149" s="69"/>
      <c r="G149" s="70"/>
      <c r="H149" s="65" t="s">
        <v>14381</v>
      </c>
      <c r="I149" s="75">
        <v>4436.4399999999996</v>
      </c>
      <c r="J149" s="75">
        <f>800+3636.44</f>
        <v>4436.4400000000005</v>
      </c>
      <c r="K149" s="75"/>
      <c r="L149" s="75"/>
      <c r="M149" s="75"/>
      <c r="N149" s="75">
        <f>Tabla1[[#This Row],[IMPORTE APROBADO]]-Tabla1[[#This Row],[AMORTIZACION2]]</f>
        <v>0</v>
      </c>
      <c r="O149" s="65" t="str">
        <f>TEXT(Tabla1[[#This Row],[EMISION]],"mmm")</f>
        <v>Set</v>
      </c>
      <c r="P149" s="65" t="str">
        <f>TEXT(Tabla1[[#This Row],[EMISION]],"YYYY")</f>
        <v>2022</v>
      </c>
      <c r="Q149" s="71">
        <v>44807</v>
      </c>
      <c r="R149" s="65" t="str">
        <f>TEXT(Tabla1[[#This Row],[VENCIMIENTO]],"mmm")</f>
        <v>Set</v>
      </c>
      <c r="S149" s="71">
        <f t="shared" si="3"/>
        <v>44822</v>
      </c>
      <c r="T149" s="72">
        <f ca="1">Tabla1[[#This Row],[EMISION]]+Tabla1[[#This Row],[PLAZO]]-TODAY()</f>
        <v>-547</v>
      </c>
      <c r="U149" s="64">
        <f t="shared" ca="1" si="4"/>
        <v>0</v>
      </c>
      <c r="V149" s="72"/>
      <c r="W149" s="73" t="s">
        <v>14307</v>
      </c>
      <c r="X149" s="65">
        <v>15</v>
      </c>
      <c r="Y149" s="65"/>
      <c r="Z149" s="65"/>
      <c r="AA149" s="65"/>
      <c r="AB149" s="65"/>
      <c r="AC149" s="65"/>
      <c r="AD149" s="65"/>
      <c r="AE149" s="65"/>
      <c r="AF149" s="68"/>
      <c r="AG149" s="66">
        <v>44830</v>
      </c>
      <c r="AH149" s="67" t="s">
        <v>14308</v>
      </c>
      <c r="AI149" s="65" t="s">
        <v>3060</v>
      </c>
      <c r="AJ149" s="65"/>
      <c r="AK149" s="97">
        <f t="shared" ca="1" si="5"/>
        <v>547</v>
      </c>
      <c r="AL149">
        <f>IFERROR(VLOOKUP(A149,'DATA CLIENTES'!B4446:I8284,6,FALSE),0)</f>
        <v>0</v>
      </c>
    </row>
    <row r="150" spans="1:38" x14ac:dyDescent="0.25">
      <c r="A150" s="93" t="s">
        <v>9812</v>
      </c>
      <c r="B150" s="68" t="s">
        <v>9813</v>
      </c>
      <c r="C150" s="65"/>
      <c r="D150" s="65"/>
      <c r="E150" s="65"/>
      <c r="F150" s="69"/>
      <c r="G150" s="70"/>
      <c r="H150" s="65" t="s">
        <v>14382</v>
      </c>
      <c r="I150" s="75">
        <v>7158.99</v>
      </c>
      <c r="J150" s="75">
        <f>3658.99+1500+2000</f>
        <v>7158.99</v>
      </c>
      <c r="K150" s="75"/>
      <c r="L150" s="75"/>
      <c r="M150" s="75"/>
      <c r="N150" s="75">
        <f>Tabla1[[#This Row],[IMPORTE APROBADO]]-Tabla1[[#This Row],[AMORTIZACION2]]</f>
        <v>0</v>
      </c>
      <c r="O150" s="65" t="str">
        <f>TEXT(Tabla1[[#This Row],[EMISION]],"mmm")</f>
        <v>Set</v>
      </c>
      <c r="P150" s="65" t="str">
        <f>TEXT(Tabla1[[#This Row],[EMISION]],"YYYY")</f>
        <v>2022</v>
      </c>
      <c r="Q150" s="71">
        <v>44807</v>
      </c>
      <c r="R150" s="65" t="str">
        <f>TEXT(Tabla1[[#This Row],[VENCIMIENTO]],"mmm")</f>
        <v>Set</v>
      </c>
      <c r="S150" s="71">
        <f t="shared" si="3"/>
        <v>44832</v>
      </c>
      <c r="T150" s="72">
        <f ca="1">Tabla1[[#This Row],[EMISION]]+Tabla1[[#This Row],[PLAZO]]-TODAY()</f>
        <v>-537</v>
      </c>
      <c r="U150" s="64">
        <f t="shared" ca="1" si="4"/>
        <v>0</v>
      </c>
      <c r="V150" s="72"/>
      <c r="W150" s="73" t="s">
        <v>14307</v>
      </c>
      <c r="X150" s="65">
        <v>25</v>
      </c>
      <c r="Y150" s="65"/>
      <c r="Z150" s="65"/>
      <c r="AA150" s="65"/>
      <c r="AB150" s="65"/>
      <c r="AC150" s="65"/>
      <c r="AD150" s="65"/>
      <c r="AE150" s="65"/>
      <c r="AF150" s="68"/>
      <c r="AG150" s="66">
        <v>44853</v>
      </c>
      <c r="AH150" s="67" t="s">
        <v>14308</v>
      </c>
      <c r="AI150" s="65" t="s">
        <v>3060</v>
      </c>
      <c r="AJ150" s="65"/>
      <c r="AK150" s="97">
        <f t="shared" ca="1" si="5"/>
        <v>537</v>
      </c>
      <c r="AL150">
        <f>IFERROR(VLOOKUP(A150,'DATA CLIENTES'!B4447:I8284,6,FALSE),0)</f>
        <v>0</v>
      </c>
    </row>
    <row r="151" spans="1:38" x14ac:dyDescent="0.25">
      <c r="A151" s="93" t="s">
        <v>14830</v>
      </c>
      <c r="B151" s="68" t="s">
        <v>14383</v>
      </c>
      <c r="C151" s="65"/>
      <c r="D151" s="65"/>
      <c r="E151" s="65"/>
      <c r="F151" s="69"/>
      <c r="G151" s="70"/>
      <c r="H151" s="65" t="s">
        <v>14384</v>
      </c>
      <c r="I151" s="75">
        <v>10900</v>
      </c>
      <c r="J151" s="75">
        <v>10900</v>
      </c>
      <c r="K151" s="75"/>
      <c r="L151" s="75"/>
      <c r="M151" s="75"/>
      <c r="N151" s="75">
        <f>Tabla1[[#This Row],[IMPORTE APROBADO]]-Tabla1[[#This Row],[AMORTIZACION2]]</f>
        <v>0</v>
      </c>
      <c r="O151" s="65" t="str">
        <f>TEXT(Tabla1[[#This Row],[EMISION]],"mmm")</f>
        <v>Set</v>
      </c>
      <c r="P151" s="65" t="str">
        <f>TEXT(Tabla1[[#This Row],[EMISION]],"YYYY")</f>
        <v>2022</v>
      </c>
      <c r="Q151" s="71">
        <v>44807</v>
      </c>
      <c r="R151" s="65" t="str">
        <f>TEXT(Tabla1[[#This Row],[VENCIMIENTO]],"mmm")</f>
        <v>Set</v>
      </c>
      <c r="S151" s="71">
        <f t="shared" si="3"/>
        <v>44814</v>
      </c>
      <c r="T151" s="72">
        <f ca="1">Tabla1[[#This Row],[EMISION]]+Tabla1[[#This Row],[PLAZO]]-TODAY()</f>
        <v>-555</v>
      </c>
      <c r="U151" s="64">
        <f t="shared" ca="1" si="4"/>
        <v>0</v>
      </c>
      <c r="V151" s="72"/>
      <c r="W151" s="73" t="s">
        <v>14307</v>
      </c>
      <c r="X151" s="65">
        <v>7</v>
      </c>
      <c r="Y151" s="65"/>
      <c r="Z151" s="65"/>
      <c r="AA151" s="65"/>
      <c r="AB151" s="65"/>
      <c r="AC151" s="65"/>
      <c r="AD151" s="65"/>
      <c r="AE151" s="65"/>
      <c r="AF151" s="68"/>
      <c r="AG151" s="66">
        <v>44812</v>
      </c>
      <c r="AH151" s="67" t="s">
        <v>14308</v>
      </c>
      <c r="AI151" s="65" t="s">
        <v>3060</v>
      </c>
      <c r="AJ151" s="65"/>
      <c r="AK151" s="97">
        <f t="shared" ca="1" si="5"/>
        <v>555</v>
      </c>
      <c r="AL151">
        <f>IFERROR(VLOOKUP(A151,'DATA CLIENTES'!B4448:I8284,6,FALSE),0)</f>
        <v>0</v>
      </c>
    </row>
    <row r="152" spans="1:38" x14ac:dyDescent="0.25">
      <c r="A152" s="93" t="s">
        <v>14831</v>
      </c>
      <c r="B152" s="68" t="s">
        <v>14385</v>
      </c>
      <c r="C152" s="65"/>
      <c r="D152" s="65"/>
      <c r="E152" s="65"/>
      <c r="F152" s="69"/>
      <c r="G152" s="70"/>
      <c r="H152" s="65" t="s">
        <v>14386</v>
      </c>
      <c r="I152" s="75">
        <v>885.93</v>
      </c>
      <c r="J152" s="75">
        <f>200+200+300+185.93</f>
        <v>885.93000000000006</v>
      </c>
      <c r="K152" s="75"/>
      <c r="L152" s="75"/>
      <c r="M152" s="75"/>
      <c r="N152" s="75">
        <f>Tabla1[[#This Row],[IMPORTE APROBADO]]-Tabla1[[#This Row],[AMORTIZACION2]]</f>
        <v>0</v>
      </c>
      <c r="O152" s="65" t="str">
        <f>TEXT(Tabla1[[#This Row],[EMISION]],"mmm")</f>
        <v>Set</v>
      </c>
      <c r="P152" s="65" t="str">
        <f>TEXT(Tabla1[[#This Row],[EMISION]],"YYYY")</f>
        <v>2022</v>
      </c>
      <c r="Q152" s="71">
        <v>44807</v>
      </c>
      <c r="R152" s="65" t="str">
        <f>TEXT(Tabla1[[#This Row],[VENCIMIENTO]],"mmm")</f>
        <v>Set</v>
      </c>
      <c r="S152" s="71">
        <f t="shared" si="3"/>
        <v>44822</v>
      </c>
      <c r="T152" s="72">
        <f ca="1">Tabla1[[#This Row],[EMISION]]+Tabla1[[#This Row],[PLAZO]]-TODAY()</f>
        <v>-547</v>
      </c>
      <c r="U152" s="64">
        <f t="shared" ca="1" si="4"/>
        <v>0</v>
      </c>
      <c r="V152" s="72"/>
      <c r="W152" s="73" t="s">
        <v>14307</v>
      </c>
      <c r="X152" s="65">
        <v>15</v>
      </c>
      <c r="Y152" s="65"/>
      <c r="Z152" s="65"/>
      <c r="AA152" s="65"/>
      <c r="AB152" s="65"/>
      <c r="AC152" s="65"/>
      <c r="AD152" s="65"/>
      <c r="AE152" s="65"/>
      <c r="AF152" s="68"/>
      <c r="AG152" s="66">
        <v>44845</v>
      </c>
      <c r="AH152" s="67" t="s">
        <v>14308</v>
      </c>
      <c r="AI152" s="65" t="s">
        <v>3060</v>
      </c>
      <c r="AJ152" s="65"/>
      <c r="AK152" s="97">
        <f t="shared" ca="1" si="5"/>
        <v>547</v>
      </c>
      <c r="AL152">
        <f>IFERROR(VLOOKUP(A152,'DATA CLIENTES'!B4449:I8284,6,FALSE),0)</f>
        <v>0</v>
      </c>
    </row>
    <row r="153" spans="1:38" x14ac:dyDescent="0.25">
      <c r="A153" s="93" t="s">
        <v>14831</v>
      </c>
      <c r="B153" s="68" t="s">
        <v>14385</v>
      </c>
      <c r="C153" s="65"/>
      <c r="D153" s="65"/>
      <c r="E153" s="65"/>
      <c r="F153" s="69"/>
      <c r="G153" s="70"/>
      <c r="H153" s="65" t="s">
        <v>14387</v>
      </c>
      <c r="I153" s="75">
        <f>3703.48-3537.42</f>
        <v>166.05999999999995</v>
      </c>
      <c r="J153" s="75">
        <v>166.06</v>
      </c>
      <c r="K153" s="75"/>
      <c r="L153" s="75"/>
      <c r="M153" s="75"/>
      <c r="N153" s="75">
        <f>Tabla1[[#This Row],[IMPORTE APROBADO]]-Tabla1[[#This Row],[AMORTIZACION2]]</f>
        <v>0</v>
      </c>
      <c r="O153" s="65" t="str">
        <f>TEXT(Tabla1[[#This Row],[EMISION]],"mmm")</f>
        <v>Set</v>
      </c>
      <c r="P153" s="65" t="str">
        <f>TEXT(Tabla1[[#This Row],[EMISION]],"YYYY")</f>
        <v>2022</v>
      </c>
      <c r="Q153" s="71">
        <v>44807</v>
      </c>
      <c r="R153" s="65" t="str">
        <f>TEXT(Tabla1[[#This Row],[VENCIMIENTO]],"mmm")</f>
        <v>Set</v>
      </c>
      <c r="S153" s="71">
        <f t="shared" si="3"/>
        <v>44822</v>
      </c>
      <c r="T153" s="72">
        <f ca="1">Tabla1[[#This Row],[EMISION]]+Tabla1[[#This Row],[PLAZO]]-TODAY()</f>
        <v>-547</v>
      </c>
      <c r="U153" s="64">
        <f t="shared" ca="1" si="4"/>
        <v>0</v>
      </c>
      <c r="V153" s="72"/>
      <c r="W153" s="73" t="s">
        <v>14307</v>
      </c>
      <c r="X153" s="65">
        <v>15</v>
      </c>
      <c r="Y153" s="65"/>
      <c r="Z153" s="65"/>
      <c r="AA153" s="65"/>
      <c r="AB153" s="65"/>
      <c r="AC153" s="65"/>
      <c r="AD153" s="65"/>
      <c r="AE153" s="65"/>
      <c r="AF153" s="68"/>
      <c r="AG153" s="66">
        <v>44845</v>
      </c>
      <c r="AH153" s="67" t="s">
        <v>14308</v>
      </c>
      <c r="AI153" s="65" t="s">
        <v>3060</v>
      </c>
      <c r="AJ153" s="65"/>
      <c r="AK153" s="97">
        <f t="shared" ca="1" si="5"/>
        <v>547</v>
      </c>
      <c r="AL153">
        <f>IFERROR(VLOOKUP(A153,'DATA CLIENTES'!B4450:I8284,6,FALSE),0)</f>
        <v>0</v>
      </c>
    </row>
    <row r="154" spans="1:38" x14ac:dyDescent="0.25">
      <c r="A154" s="93" t="s">
        <v>9690</v>
      </c>
      <c r="B154" s="68" t="s">
        <v>14336</v>
      </c>
      <c r="C154" s="65"/>
      <c r="D154" s="65"/>
      <c r="E154" s="65"/>
      <c r="F154" s="69"/>
      <c r="G154" s="70"/>
      <c r="H154" s="65" t="s">
        <v>14388</v>
      </c>
      <c r="I154" s="75">
        <v>3437.65</v>
      </c>
      <c r="J154" s="75">
        <f>200+200+200+192.9+300+400+7.1+200+200+137.65+200+200+200+200+200.01+200+200</f>
        <v>3437.66</v>
      </c>
      <c r="K154" s="75"/>
      <c r="L154" s="75"/>
      <c r="M154" s="75"/>
      <c r="N154" s="75">
        <f>Tabla1[[#This Row],[IMPORTE APROBADO]]-Tabla1[[#This Row],[AMORTIZACION2]]</f>
        <v>-9.9999999997635314E-3</v>
      </c>
      <c r="O154" s="65" t="str">
        <f>TEXT(Tabla1[[#This Row],[EMISION]],"mmm")</f>
        <v>Set</v>
      </c>
      <c r="P154" s="65" t="str">
        <f>TEXT(Tabla1[[#This Row],[EMISION]],"YYYY")</f>
        <v>2022</v>
      </c>
      <c r="Q154" s="71">
        <v>44807</v>
      </c>
      <c r="R154" s="65" t="str">
        <f>TEXT(Tabla1[[#This Row],[VENCIMIENTO]],"mmm")</f>
        <v>Set</v>
      </c>
      <c r="S154" s="71">
        <f t="shared" si="3"/>
        <v>44822</v>
      </c>
      <c r="T154" s="72">
        <f ca="1">Tabla1[[#This Row],[EMISION]]+Tabla1[[#This Row],[PLAZO]]-TODAY()</f>
        <v>-547</v>
      </c>
      <c r="U154" s="64">
        <f t="shared" ca="1" si="4"/>
        <v>0</v>
      </c>
      <c r="V154" s="72"/>
      <c r="W154" s="73" t="s">
        <v>14307</v>
      </c>
      <c r="X154" s="65">
        <v>15</v>
      </c>
      <c r="Y154" s="65"/>
      <c r="Z154" s="65"/>
      <c r="AA154" s="65"/>
      <c r="AB154" s="65"/>
      <c r="AC154" s="65"/>
      <c r="AD154" s="65"/>
      <c r="AE154" s="65"/>
      <c r="AF154" s="68"/>
      <c r="AG154" s="66">
        <v>44872</v>
      </c>
      <c r="AH154" s="67" t="s">
        <v>14308</v>
      </c>
      <c r="AI154" s="65" t="s">
        <v>3060</v>
      </c>
      <c r="AJ154" s="65"/>
      <c r="AK154" s="97">
        <f t="shared" ca="1" si="5"/>
        <v>547</v>
      </c>
      <c r="AL154">
        <f>IFERROR(VLOOKUP(A154,'DATA CLIENTES'!B4451:I8284,6,FALSE),0)</f>
        <v>0</v>
      </c>
    </row>
    <row r="155" spans="1:38" x14ac:dyDescent="0.25">
      <c r="A155" s="93" t="s">
        <v>9690</v>
      </c>
      <c r="B155" s="68" t="s">
        <v>14336</v>
      </c>
      <c r="C155" s="65"/>
      <c r="D155" s="65"/>
      <c r="E155" s="65"/>
      <c r="F155" s="69"/>
      <c r="G155" s="70"/>
      <c r="H155" s="65" t="s">
        <v>14389</v>
      </c>
      <c r="I155" s="75">
        <v>760.64</v>
      </c>
      <c r="J155" s="75">
        <f>300+300+160.62</f>
        <v>760.62</v>
      </c>
      <c r="K155" s="75"/>
      <c r="L155" s="75"/>
      <c r="M155" s="75"/>
      <c r="N155" s="75">
        <f>Tabla1[[#This Row],[IMPORTE APROBADO]]-Tabla1[[#This Row],[AMORTIZACION2]]</f>
        <v>1.999999999998181E-2</v>
      </c>
      <c r="O155" s="65" t="str">
        <f>TEXT(Tabla1[[#This Row],[EMISION]],"mmm")</f>
        <v>Set</v>
      </c>
      <c r="P155" s="65" t="str">
        <f>TEXT(Tabla1[[#This Row],[EMISION]],"YYYY")</f>
        <v>2022</v>
      </c>
      <c r="Q155" s="71">
        <v>44807</v>
      </c>
      <c r="R155" s="65" t="str">
        <f>TEXT(Tabla1[[#This Row],[VENCIMIENTO]],"mmm")</f>
        <v>Set</v>
      </c>
      <c r="S155" s="71">
        <f t="shared" si="3"/>
        <v>44822</v>
      </c>
      <c r="T155" s="72">
        <f ca="1">Tabla1[[#This Row],[EMISION]]+Tabla1[[#This Row],[PLAZO]]-TODAY()</f>
        <v>-547</v>
      </c>
      <c r="U155" s="64">
        <f t="shared" ca="1" si="4"/>
        <v>0</v>
      </c>
      <c r="V155" s="72"/>
      <c r="W155" s="73" t="s">
        <v>14307</v>
      </c>
      <c r="X155" s="65">
        <v>15</v>
      </c>
      <c r="Y155" s="65"/>
      <c r="Z155" s="65"/>
      <c r="AA155" s="65"/>
      <c r="AB155" s="65"/>
      <c r="AC155" s="65"/>
      <c r="AD155" s="65"/>
      <c r="AE155" s="65"/>
      <c r="AF155" s="68"/>
      <c r="AG155" s="66">
        <v>44812</v>
      </c>
      <c r="AH155" s="67" t="s">
        <v>14308</v>
      </c>
      <c r="AI155" s="65" t="s">
        <v>3060</v>
      </c>
      <c r="AJ155" s="65"/>
      <c r="AK155" s="97">
        <f t="shared" ca="1" si="5"/>
        <v>547</v>
      </c>
      <c r="AL155">
        <f>IFERROR(VLOOKUP(A155,'DATA CLIENTES'!B4452:I8284,6,FALSE),0)</f>
        <v>0</v>
      </c>
    </row>
    <row r="156" spans="1:38" x14ac:dyDescent="0.25">
      <c r="A156" s="93" t="s">
        <v>9505</v>
      </c>
      <c r="B156" s="68" t="s">
        <v>14367</v>
      </c>
      <c r="C156" s="65"/>
      <c r="D156" s="65"/>
      <c r="E156" s="65"/>
      <c r="F156" s="69"/>
      <c r="G156" s="70"/>
      <c r="H156" s="65" t="s">
        <v>14390</v>
      </c>
      <c r="I156" s="75">
        <v>1459.6</v>
      </c>
      <c r="J156" s="75">
        <f>400+400+300+359.6</f>
        <v>1459.6</v>
      </c>
      <c r="K156" s="75"/>
      <c r="L156" s="75"/>
      <c r="M156" s="75"/>
      <c r="N156" s="75">
        <f>Tabla1[[#This Row],[IMPORTE APROBADO]]-Tabla1[[#This Row],[AMORTIZACION2]]</f>
        <v>0</v>
      </c>
      <c r="O156" s="65" t="str">
        <f>TEXT(Tabla1[[#This Row],[EMISION]],"mmm")</f>
        <v>Set</v>
      </c>
      <c r="P156" s="65" t="str">
        <f>TEXT(Tabla1[[#This Row],[EMISION]],"YYYY")</f>
        <v>2022</v>
      </c>
      <c r="Q156" s="71">
        <v>44807</v>
      </c>
      <c r="R156" s="65" t="str">
        <f>TEXT(Tabla1[[#This Row],[VENCIMIENTO]],"mmm")</f>
        <v>Set</v>
      </c>
      <c r="S156" s="71">
        <f t="shared" si="3"/>
        <v>44822</v>
      </c>
      <c r="T156" s="72">
        <f ca="1">Tabla1[[#This Row],[EMISION]]+Tabla1[[#This Row],[PLAZO]]-TODAY()</f>
        <v>-547</v>
      </c>
      <c r="U156" s="64">
        <f t="shared" ca="1" si="4"/>
        <v>0</v>
      </c>
      <c r="V156" s="72"/>
      <c r="W156" s="73" t="s">
        <v>14307</v>
      </c>
      <c r="X156" s="65">
        <v>15</v>
      </c>
      <c r="Y156" s="65"/>
      <c r="Z156" s="65"/>
      <c r="AA156" s="65"/>
      <c r="AB156" s="65"/>
      <c r="AC156" s="65"/>
      <c r="AD156" s="65"/>
      <c r="AE156" s="65"/>
      <c r="AF156" s="68"/>
      <c r="AG156" s="66">
        <v>44831</v>
      </c>
      <c r="AH156" s="67" t="s">
        <v>14308</v>
      </c>
      <c r="AI156" s="65" t="s">
        <v>3060</v>
      </c>
      <c r="AJ156" s="65"/>
      <c r="AK156" s="97">
        <f t="shared" ca="1" si="5"/>
        <v>547</v>
      </c>
      <c r="AL156">
        <f>IFERROR(VLOOKUP(A156,'DATA CLIENTES'!B4453:I8284,6,FALSE),0)</f>
        <v>0</v>
      </c>
    </row>
    <row r="157" spans="1:38" x14ac:dyDescent="0.25">
      <c r="A157" s="93" t="s">
        <v>11389</v>
      </c>
      <c r="B157" s="68" t="s">
        <v>14391</v>
      </c>
      <c r="C157" s="65"/>
      <c r="D157" s="65"/>
      <c r="E157" s="65"/>
      <c r="F157" s="69"/>
      <c r="G157" s="70"/>
      <c r="H157" s="65" t="s">
        <v>14392</v>
      </c>
      <c r="I157" s="75">
        <v>200.74</v>
      </c>
      <c r="J157" s="75">
        <f>100.74+100</f>
        <v>200.74</v>
      </c>
      <c r="K157" s="75"/>
      <c r="L157" s="75"/>
      <c r="M157" s="75"/>
      <c r="N157" s="75">
        <f>Tabla1[[#This Row],[IMPORTE APROBADO]]-Tabla1[[#This Row],[AMORTIZACION2]]</f>
        <v>0</v>
      </c>
      <c r="O157" s="65" t="str">
        <f>TEXT(Tabla1[[#This Row],[EMISION]],"mmm")</f>
        <v>Set</v>
      </c>
      <c r="P157" s="65" t="str">
        <f>TEXT(Tabla1[[#This Row],[EMISION]],"YYYY")</f>
        <v>2022</v>
      </c>
      <c r="Q157" s="71">
        <v>44813</v>
      </c>
      <c r="R157" s="65" t="str">
        <f>TEXT(Tabla1[[#This Row],[VENCIMIENTO]],"mmm")</f>
        <v>Oct</v>
      </c>
      <c r="S157" s="71">
        <f t="shared" ref="S157:S172" si="6">Q157+X157</f>
        <v>44843</v>
      </c>
      <c r="T157" s="72">
        <f ca="1">Tabla1[[#This Row],[EMISION]]+Tabla1[[#This Row],[PLAZO]]-TODAY()</f>
        <v>-526</v>
      </c>
      <c r="U157" s="64">
        <f t="shared" ref="U157:U172" ca="1" si="7">IF(T157&gt;=0,$U$4,IF(AND(T157&lt;=-1,T157&gt;=-30),$U$5,IF(AND(T157&lt;=-31,T157&gt;=-60),$U$6,IF(AND(T157&lt;=-61,T157&gt;=-90),$U$7,$U$8))))</f>
        <v>0</v>
      </c>
      <c r="V157" s="72"/>
      <c r="W157" s="73" t="s">
        <v>14307</v>
      </c>
      <c r="X157" s="65">
        <v>30</v>
      </c>
      <c r="Y157" s="65"/>
      <c r="Z157" s="65"/>
      <c r="AA157" s="65"/>
      <c r="AB157" s="65"/>
      <c r="AC157" s="65"/>
      <c r="AD157" s="65"/>
      <c r="AE157" s="65"/>
      <c r="AF157" s="68"/>
      <c r="AG157" s="66">
        <v>44867</v>
      </c>
      <c r="AH157" s="67" t="s">
        <v>14308</v>
      </c>
      <c r="AI157" s="65" t="s">
        <v>3060</v>
      </c>
      <c r="AJ157" s="65"/>
      <c r="AK157" s="97">
        <f t="shared" ca="1" si="5"/>
        <v>526</v>
      </c>
      <c r="AL157">
        <f>IFERROR(VLOOKUP(A157,'DATA CLIENTES'!B4454:I8284,6,FALSE),0)</f>
        <v>0</v>
      </c>
    </row>
    <row r="158" spans="1:38" x14ac:dyDescent="0.25">
      <c r="A158" s="93" t="s">
        <v>6999</v>
      </c>
      <c r="B158" s="68" t="s">
        <v>14310</v>
      </c>
      <c r="C158" s="65"/>
      <c r="D158" s="65"/>
      <c r="E158" s="65"/>
      <c r="F158" s="69"/>
      <c r="G158" s="70"/>
      <c r="H158" s="65" t="s">
        <v>14393</v>
      </c>
      <c r="I158" s="75">
        <v>3481.26</v>
      </c>
      <c r="J158" s="75"/>
      <c r="K158" s="75"/>
      <c r="L158" s="75"/>
      <c r="M158" s="75"/>
      <c r="N158" s="75">
        <f>Tabla1[[#This Row],[IMPORTE APROBADO]]-Tabla1[[#This Row],[AMORTIZACION2]]</f>
        <v>3481.26</v>
      </c>
      <c r="O158" s="65" t="str">
        <f>TEXT(Tabla1[[#This Row],[EMISION]],"mmm")</f>
        <v>Set</v>
      </c>
      <c r="P158" s="65" t="str">
        <f>TEXT(Tabla1[[#This Row],[EMISION]],"YYYY")</f>
        <v>2022</v>
      </c>
      <c r="Q158" s="71">
        <v>44814</v>
      </c>
      <c r="R158" s="65" t="str">
        <f>TEXT(Tabla1[[#This Row],[VENCIMIENTO]],"mmm")</f>
        <v>Oct</v>
      </c>
      <c r="S158" s="71">
        <f t="shared" si="6"/>
        <v>44844</v>
      </c>
      <c r="T158" s="72">
        <f ca="1">Tabla1[[#This Row],[EMISION]]+Tabla1[[#This Row],[PLAZO]]-TODAY()</f>
        <v>-525</v>
      </c>
      <c r="U158" s="64">
        <f t="shared" ca="1" si="7"/>
        <v>0</v>
      </c>
      <c r="V158" s="72"/>
      <c r="W158" s="73" t="s">
        <v>14307</v>
      </c>
      <c r="X158" s="65">
        <v>30</v>
      </c>
      <c r="Y158" s="65"/>
      <c r="Z158" s="65"/>
      <c r="AA158" s="65"/>
      <c r="AB158" s="65"/>
      <c r="AC158" s="65"/>
      <c r="AD158" s="65"/>
      <c r="AE158" s="65"/>
      <c r="AF158" s="68"/>
      <c r="AG158" s="66"/>
      <c r="AH158" s="67" t="s">
        <v>14313</v>
      </c>
      <c r="AI158" s="65" t="s">
        <v>3060</v>
      </c>
      <c r="AJ158" s="65"/>
      <c r="AK158" s="97">
        <f t="shared" ca="1" si="5"/>
        <v>525</v>
      </c>
      <c r="AL158">
        <f>IFERROR(VLOOKUP(A158,'DATA CLIENTES'!B4455:I8284,6,FALSE),0)</f>
        <v>0</v>
      </c>
    </row>
    <row r="159" spans="1:38" x14ac:dyDescent="0.25">
      <c r="A159" s="93" t="s">
        <v>6999</v>
      </c>
      <c r="B159" s="68" t="s">
        <v>14310</v>
      </c>
      <c r="C159" s="65"/>
      <c r="D159" s="65"/>
      <c r="E159" s="65"/>
      <c r="F159" s="69"/>
      <c r="G159" s="70"/>
      <c r="H159" s="65" t="s">
        <v>14394</v>
      </c>
      <c r="I159" s="75">
        <v>736.09</v>
      </c>
      <c r="J159" s="75"/>
      <c r="K159" s="75"/>
      <c r="L159" s="75"/>
      <c r="M159" s="75"/>
      <c r="N159" s="75">
        <f>Tabla1[[#This Row],[IMPORTE APROBADO]]-Tabla1[[#This Row],[AMORTIZACION2]]</f>
        <v>736.09</v>
      </c>
      <c r="O159" s="65" t="str">
        <f>TEXT(Tabla1[[#This Row],[EMISION]],"mmm")</f>
        <v>Set</v>
      </c>
      <c r="P159" s="65" t="str">
        <f>TEXT(Tabla1[[#This Row],[EMISION]],"YYYY")</f>
        <v>2022</v>
      </c>
      <c r="Q159" s="71">
        <v>44814</v>
      </c>
      <c r="R159" s="65" t="str">
        <f>TEXT(Tabla1[[#This Row],[VENCIMIENTO]],"mmm")</f>
        <v>Oct</v>
      </c>
      <c r="S159" s="71">
        <f t="shared" si="6"/>
        <v>44844</v>
      </c>
      <c r="T159" s="72">
        <f ca="1">Tabla1[[#This Row],[EMISION]]+Tabla1[[#This Row],[PLAZO]]-TODAY()</f>
        <v>-525</v>
      </c>
      <c r="U159" s="64">
        <f t="shared" ca="1" si="7"/>
        <v>0</v>
      </c>
      <c r="V159" s="72"/>
      <c r="W159" s="73" t="s">
        <v>14307</v>
      </c>
      <c r="X159" s="65">
        <v>30</v>
      </c>
      <c r="Y159" s="65"/>
      <c r="Z159" s="65"/>
      <c r="AA159" s="65"/>
      <c r="AB159" s="65"/>
      <c r="AC159" s="65"/>
      <c r="AD159" s="65"/>
      <c r="AE159" s="65"/>
      <c r="AF159" s="68"/>
      <c r="AG159" s="66"/>
      <c r="AH159" s="67" t="s">
        <v>14313</v>
      </c>
      <c r="AI159" s="65" t="s">
        <v>3060</v>
      </c>
      <c r="AJ159" s="65"/>
      <c r="AK159" s="97">
        <f t="shared" ca="1" si="5"/>
        <v>525</v>
      </c>
      <c r="AL159">
        <f>IFERROR(VLOOKUP(A159,'DATA CLIENTES'!B4456:I8284,6,FALSE),0)</f>
        <v>0</v>
      </c>
    </row>
    <row r="160" spans="1:38" x14ac:dyDescent="0.25">
      <c r="A160" s="93" t="s">
        <v>6575</v>
      </c>
      <c r="B160" s="68" t="s">
        <v>6576</v>
      </c>
      <c r="C160" s="65"/>
      <c r="D160" s="65"/>
      <c r="E160" s="65"/>
      <c r="F160" s="69"/>
      <c r="G160" s="70"/>
      <c r="H160" s="65" t="s">
        <v>14395</v>
      </c>
      <c r="I160" s="75">
        <v>6161.63</v>
      </c>
      <c r="J160" s="75">
        <v>6161.63</v>
      </c>
      <c r="K160" s="75"/>
      <c r="L160" s="75"/>
      <c r="M160" s="75"/>
      <c r="N160" s="75">
        <f>Tabla1[[#This Row],[IMPORTE APROBADO]]-Tabla1[[#This Row],[AMORTIZACION2]]</f>
        <v>0</v>
      </c>
      <c r="O160" s="65" t="str">
        <f>TEXT(Tabla1[[#This Row],[EMISION]],"mmm")</f>
        <v>Set</v>
      </c>
      <c r="P160" s="65" t="str">
        <f>TEXT(Tabla1[[#This Row],[EMISION]],"YYYY")</f>
        <v>2022</v>
      </c>
      <c r="Q160" s="71">
        <v>44814</v>
      </c>
      <c r="R160" s="65" t="str">
        <f>TEXT(Tabla1[[#This Row],[VENCIMIENTO]],"mmm")</f>
        <v>Set</v>
      </c>
      <c r="S160" s="71">
        <f t="shared" si="6"/>
        <v>44829</v>
      </c>
      <c r="T160" s="72">
        <f ca="1">Tabla1[[#This Row],[EMISION]]+Tabla1[[#This Row],[PLAZO]]-TODAY()</f>
        <v>-540</v>
      </c>
      <c r="U160" s="64">
        <f t="shared" ca="1" si="7"/>
        <v>0</v>
      </c>
      <c r="V160" s="72"/>
      <c r="W160" s="73" t="s">
        <v>14307</v>
      </c>
      <c r="X160" s="65">
        <v>15</v>
      </c>
      <c r="Y160" s="65"/>
      <c r="Z160" s="65"/>
      <c r="AA160" s="65"/>
      <c r="AB160" s="65"/>
      <c r="AC160" s="65"/>
      <c r="AD160" s="65"/>
      <c r="AE160" s="65"/>
      <c r="AF160" s="68"/>
      <c r="AG160" s="66">
        <v>44835</v>
      </c>
      <c r="AH160" s="67" t="s">
        <v>14308</v>
      </c>
      <c r="AI160" s="65" t="s">
        <v>3060</v>
      </c>
      <c r="AJ160" s="65"/>
      <c r="AK160" s="97">
        <f t="shared" ca="1" si="5"/>
        <v>540</v>
      </c>
      <c r="AL160">
        <f>IFERROR(VLOOKUP(A160,'DATA CLIENTES'!B4457:I8284,6,FALSE),0)</f>
        <v>0</v>
      </c>
    </row>
    <row r="161" spans="1:38" x14ac:dyDescent="0.25">
      <c r="A161" s="93" t="s">
        <v>8742</v>
      </c>
      <c r="B161" s="68" t="s">
        <v>8743</v>
      </c>
      <c r="C161" s="65"/>
      <c r="D161" s="65"/>
      <c r="E161" s="65"/>
      <c r="F161" s="69"/>
      <c r="G161" s="70"/>
      <c r="H161" s="65" t="s">
        <v>14396</v>
      </c>
      <c r="I161" s="75">
        <v>18400</v>
      </c>
      <c r="J161" s="75">
        <f>7400+1000+10000</f>
        <v>18400</v>
      </c>
      <c r="K161" s="75"/>
      <c r="L161" s="75"/>
      <c r="M161" s="75"/>
      <c r="N161" s="75">
        <f>Tabla1[[#This Row],[IMPORTE APROBADO]]-Tabla1[[#This Row],[AMORTIZACION2]]</f>
        <v>0</v>
      </c>
      <c r="O161" s="65" t="str">
        <f>TEXT(Tabla1[[#This Row],[EMISION]],"mmm")</f>
        <v>Set</v>
      </c>
      <c r="P161" s="65" t="str">
        <f>TEXT(Tabla1[[#This Row],[EMISION]],"YYYY")</f>
        <v>2022</v>
      </c>
      <c r="Q161" s="71">
        <v>44816</v>
      </c>
      <c r="R161" s="65" t="str">
        <f>TEXT(Tabla1[[#This Row],[VENCIMIENTO]],"mmm")</f>
        <v>Set</v>
      </c>
      <c r="S161" s="71">
        <f t="shared" si="6"/>
        <v>44823</v>
      </c>
      <c r="T161" s="72">
        <f ca="1">Tabla1[[#This Row],[EMISION]]+Tabla1[[#This Row],[PLAZO]]-TODAY()</f>
        <v>-546</v>
      </c>
      <c r="U161" s="64">
        <f t="shared" ca="1" si="7"/>
        <v>0</v>
      </c>
      <c r="V161" s="72"/>
      <c r="W161" s="73" t="s">
        <v>14307</v>
      </c>
      <c r="X161" s="65">
        <v>7</v>
      </c>
      <c r="Y161" s="65"/>
      <c r="Z161" s="65"/>
      <c r="AA161" s="65"/>
      <c r="AB161" s="65"/>
      <c r="AC161" s="65"/>
      <c r="AD161" s="65"/>
      <c r="AE161" s="65"/>
      <c r="AF161" s="68"/>
      <c r="AG161" s="66">
        <v>44845</v>
      </c>
      <c r="AH161" s="67" t="s">
        <v>14308</v>
      </c>
      <c r="AI161" s="65" t="s">
        <v>3060</v>
      </c>
      <c r="AJ161" s="65"/>
      <c r="AK161" s="97">
        <f t="shared" ca="1" si="5"/>
        <v>546</v>
      </c>
      <c r="AL161">
        <f>IFERROR(VLOOKUP(A161,'DATA CLIENTES'!B4458:I8284,6,FALSE),0)</f>
        <v>0</v>
      </c>
    </row>
    <row r="162" spans="1:38" x14ac:dyDescent="0.25">
      <c r="A162" s="93" t="s">
        <v>14832</v>
      </c>
      <c r="B162" s="68" t="s">
        <v>14397</v>
      </c>
      <c r="C162" s="65"/>
      <c r="D162" s="65"/>
      <c r="E162" s="65"/>
      <c r="F162" s="69"/>
      <c r="G162" s="70"/>
      <c r="H162" s="65" t="s">
        <v>14398</v>
      </c>
      <c r="I162" s="75">
        <v>200</v>
      </c>
      <c r="J162" s="75">
        <f>100+100</f>
        <v>200</v>
      </c>
      <c r="K162" s="75"/>
      <c r="L162" s="75"/>
      <c r="M162" s="75"/>
      <c r="N162" s="75">
        <f>Tabla1[[#This Row],[IMPORTE APROBADO]]-Tabla1[[#This Row],[AMORTIZACION2]]</f>
        <v>0</v>
      </c>
      <c r="O162" s="65" t="str">
        <f>TEXT(Tabla1[[#This Row],[EMISION]],"mmm")</f>
        <v>Set</v>
      </c>
      <c r="P162" s="65" t="str">
        <f>TEXT(Tabla1[[#This Row],[EMISION]],"YYYY")</f>
        <v>2022</v>
      </c>
      <c r="Q162" s="71">
        <v>44823</v>
      </c>
      <c r="R162" s="65" t="str">
        <f>TEXT(Tabla1[[#This Row],[VENCIMIENTO]],"mmm")</f>
        <v>Oct</v>
      </c>
      <c r="S162" s="71">
        <f t="shared" si="6"/>
        <v>44853</v>
      </c>
      <c r="T162" s="72">
        <f ca="1">Tabla1[[#This Row],[EMISION]]+Tabla1[[#This Row],[PLAZO]]-TODAY()</f>
        <v>-516</v>
      </c>
      <c r="U162" s="64">
        <f t="shared" ca="1" si="7"/>
        <v>0</v>
      </c>
      <c r="V162" s="72"/>
      <c r="W162" s="73" t="s">
        <v>14307</v>
      </c>
      <c r="X162" s="65">
        <v>30</v>
      </c>
      <c r="Y162" s="65"/>
      <c r="Z162" s="65"/>
      <c r="AA162" s="65"/>
      <c r="AB162" s="65"/>
      <c r="AC162" s="65"/>
      <c r="AD162" s="65"/>
      <c r="AE162" s="65"/>
      <c r="AF162" s="68"/>
      <c r="AG162" s="66">
        <v>44867</v>
      </c>
      <c r="AH162" s="67" t="s">
        <v>14308</v>
      </c>
      <c r="AI162" s="65" t="s">
        <v>3060</v>
      </c>
      <c r="AJ162" s="65"/>
      <c r="AK162" s="97">
        <f t="shared" ca="1" si="5"/>
        <v>516</v>
      </c>
      <c r="AL162">
        <f>IFERROR(VLOOKUP(A162,'DATA CLIENTES'!B4459:I8284,6,FALSE),0)</f>
        <v>0</v>
      </c>
    </row>
    <row r="163" spans="1:38" x14ac:dyDescent="0.25">
      <c r="A163" s="65"/>
      <c r="B163" s="68" t="s">
        <v>14399</v>
      </c>
      <c r="C163" s="65"/>
      <c r="D163" s="65"/>
      <c r="E163" s="65"/>
      <c r="F163" s="69"/>
      <c r="G163" s="70"/>
      <c r="H163" s="65" t="s">
        <v>14400</v>
      </c>
      <c r="I163" s="75">
        <v>2795.5</v>
      </c>
      <c r="J163" s="75">
        <f>2000+795.5</f>
        <v>2795.5</v>
      </c>
      <c r="K163" s="75"/>
      <c r="L163" s="75"/>
      <c r="M163" s="75"/>
      <c r="N163" s="75">
        <f>Tabla1[[#This Row],[IMPORTE APROBADO]]-Tabla1[[#This Row],[AMORTIZACION2]]</f>
        <v>0</v>
      </c>
      <c r="O163" s="65" t="str">
        <f>TEXT(Tabla1[[#This Row],[EMISION]],"mmm")</f>
        <v>Set</v>
      </c>
      <c r="P163" s="65" t="str">
        <f>TEXT(Tabla1[[#This Row],[EMISION]],"YYYY")</f>
        <v>2022</v>
      </c>
      <c r="Q163" s="71">
        <v>44825</v>
      </c>
      <c r="R163" s="65" t="str">
        <f>TEXT(Tabla1[[#This Row],[VENCIMIENTO]],"mmm")</f>
        <v>Oct</v>
      </c>
      <c r="S163" s="71">
        <f t="shared" si="6"/>
        <v>44855</v>
      </c>
      <c r="T163" s="72">
        <f ca="1">Tabla1[[#This Row],[EMISION]]+Tabla1[[#This Row],[PLAZO]]-TODAY()</f>
        <v>-514</v>
      </c>
      <c r="U163" s="64">
        <f t="shared" ca="1" si="7"/>
        <v>0</v>
      </c>
      <c r="V163" s="72" t="s">
        <v>3070</v>
      </c>
      <c r="W163" s="73" t="s">
        <v>14307</v>
      </c>
      <c r="X163" s="65">
        <v>30</v>
      </c>
      <c r="Y163" s="65"/>
      <c r="Z163" s="65"/>
      <c r="AA163" s="65"/>
      <c r="AB163" s="65"/>
      <c r="AC163" s="65"/>
      <c r="AD163" s="65"/>
      <c r="AE163" s="65"/>
      <c r="AF163" s="68"/>
      <c r="AG163" s="66">
        <v>44982</v>
      </c>
      <c r="AH163" s="67" t="s">
        <v>14308</v>
      </c>
      <c r="AI163" s="65" t="s">
        <v>3060</v>
      </c>
      <c r="AJ163" s="65"/>
      <c r="AK163" s="97">
        <f t="shared" ca="1" si="5"/>
        <v>514</v>
      </c>
      <c r="AL163">
        <f>IFERROR(VLOOKUP(A163,'DATA CLIENTES'!B4460:I8284,6,FALSE),0)</f>
        <v>0</v>
      </c>
    </row>
    <row r="164" spans="1:38" x14ac:dyDescent="0.25">
      <c r="A164" s="93" t="s">
        <v>9309</v>
      </c>
      <c r="B164" s="68" t="s">
        <v>9310</v>
      </c>
      <c r="C164" s="65"/>
      <c r="D164" s="65"/>
      <c r="E164" s="65"/>
      <c r="F164" s="69"/>
      <c r="G164" s="70"/>
      <c r="H164" s="65" t="s">
        <v>14401</v>
      </c>
      <c r="I164" s="75">
        <v>7320.63</v>
      </c>
      <c r="J164" s="75">
        <f>4500+2820.63</f>
        <v>7320.63</v>
      </c>
      <c r="K164" s="75"/>
      <c r="L164" s="75"/>
      <c r="M164" s="75"/>
      <c r="N164" s="75">
        <f>Tabla1[[#This Row],[IMPORTE APROBADO]]-Tabla1[[#This Row],[AMORTIZACION2]]</f>
        <v>0</v>
      </c>
      <c r="O164" s="65" t="str">
        <f>TEXT(Tabla1[[#This Row],[EMISION]],"mmm")</f>
        <v>Set</v>
      </c>
      <c r="P164" s="65" t="str">
        <f>TEXT(Tabla1[[#This Row],[EMISION]],"YYYY")</f>
        <v>2022</v>
      </c>
      <c r="Q164" s="71">
        <v>44825</v>
      </c>
      <c r="R164" s="65" t="str">
        <f>TEXT(Tabla1[[#This Row],[VENCIMIENTO]],"mmm")</f>
        <v>Oct</v>
      </c>
      <c r="S164" s="71">
        <f t="shared" si="6"/>
        <v>44840</v>
      </c>
      <c r="T164" s="72">
        <f ca="1">Tabla1[[#This Row],[EMISION]]+Tabla1[[#This Row],[PLAZO]]-TODAY()</f>
        <v>-529</v>
      </c>
      <c r="U164" s="64">
        <f t="shared" ca="1" si="7"/>
        <v>0</v>
      </c>
      <c r="V164" s="72"/>
      <c r="W164" s="73" t="s">
        <v>14307</v>
      </c>
      <c r="X164" s="65">
        <v>15</v>
      </c>
      <c r="Y164" s="65"/>
      <c r="Z164" s="65"/>
      <c r="AA164" s="65"/>
      <c r="AB164" s="65"/>
      <c r="AC164" s="65"/>
      <c r="AD164" s="65"/>
      <c r="AE164" s="65"/>
      <c r="AF164" s="68"/>
      <c r="AG164" s="66">
        <v>44868</v>
      </c>
      <c r="AH164" s="67" t="s">
        <v>14308</v>
      </c>
      <c r="AI164" s="65" t="s">
        <v>3060</v>
      </c>
      <c r="AJ164" s="65"/>
      <c r="AK164" s="97">
        <f t="shared" ca="1" si="5"/>
        <v>529</v>
      </c>
      <c r="AL164">
        <f>IFERROR(VLOOKUP(A164,'DATA CLIENTES'!B4461:I8284,6,FALSE),0)</f>
        <v>0</v>
      </c>
    </row>
    <row r="165" spans="1:38" x14ac:dyDescent="0.25">
      <c r="A165" s="93" t="s">
        <v>9309</v>
      </c>
      <c r="B165" s="68" t="s">
        <v>9310</v>
      </c>
      <c r="C165" s="65"/>
      <c r="D165" s="65"/>
      <c r="E165" s="65"/>
      <c r="F165" s="69"/>
      <c r="G165" s="70"/>
      <c r="H165" s="65" t="s">
        <v>14402</v>
      </c>
      <c r="I165" s="75">
        <v>8376.52</v>
      </c>
      <c r="J165" s="75">
        <f>2679.37+2000+2000+1697.15</f>
        <v>8376.52</v>
      </c>
      <c r="K165" s="75"/>
      <c r="L165" s="75"/>
      <c r="M165" s="75"/>
      <c r="N165" s="75">
        <f>Tabla1[[#This Row],[IMPORTE APROBADO]]-Tabla1[[#This Row],[AMORTIZACION2]]</f>
        <v>0</v>
      </c>
      <c r="O165" s="65" t="str">
        <f>TEXT(Tabla1[[#This Row],[EMISION]],"mmm")</f>
        <v>Set</v>
      </c>
      <c r="P165" s="65" t="str">
        <f>TEXT(Tabla1[[#This Row],[EMISION]],"YYYY")</f>
        <v>2022</v>
      </c>
      <c r="Q165" s="71">
        <v>44825</v>
      </c>
      <c r="R165" s="65" t="str">
        <f>TEXT(Tabla1[[#This Row],[VENCIMIENTO]],"mmm")</f>
        <v>Oct</v>
      </c>
      <c r="S165" s="71">
        <f t="shared" si="6"/>
        <v>44840</v>
      </c>
      <c r="T165" s="72">
        <f ca="1">Tabla1[[#This Row],[EMISION]]+Tabla1[[#This Row],[PLAZO]]-TODAY()</f>
        <v>-529</v>
      </c>
      <c r="U165" s="64">
        <f t="shared" ca="1" si="7"/>
        <v>0</v>
      </c>
      <c r="V165" s="72"/>
      <c r="W165" s="73" t="s">
        <v>14307</v>
      </c>
      <c r="X165" s="65">
        <v>15</v>
      </c>
      <c r="Y165" s="65"/>
      <c r="Z165" s="65"/>
      <c r="AA165" s="65"/>
      <c r="AB165" s="65"/>
      <c r="AC165" s="65"/>
      <c r="AD165" s="65"/>
      <c r="AE165" s="65"/>
      <c r="AF165" s="68"/>
      <c r="AG165" s="66">
        <v>44883</v>
      </c>
      <c r="AH165" s="67" t="s">
        <v>14308</v>
      </c>
      <c r="AI165" s="65" t="s">
        <v>3060</v>
      </c>
      <c r="AJ165" s="65"/>
      <c r="AK165" s="97">
        <f t="shared" ca="1" si="5"/>
        <v>529</v>
      </c>
      <c r="AL165">
        <f>IFERROR(VLOOKUP(A165,'DATA CLIENTES'!B4462:I8284,6,FALSE),0)</f>
        <v>0</v>
      </c>
    </row>
    <row r="166" spans="1:38" x14ac:dyDescent="0.25">
      <c r="A166" s="93" t="s">
        <v>4700</v>
      </c>
      <c r="B166" s="68" t="s">
        <v>14403</v>
      </c>
      <c r="C166" s="65"/>
      <c r="D166" s="65"/>
      <c r="E166" s="65"/>
      <c r="F166" s="69"/>
      <c r="G166" s="70"/>
      <c r="H166" s="65" t="s">
        <v>14404</v>
      </c>
      <c r="I166" s="75">
        <v>980.58999999999992</v>
      </c>
      <c r="J166" s="75">
        <f>150+830.59</f>
        <v>980.59</v>
      </c>
      <c r="K166" s="75"/>
      <c r="L166" s="75"/>
      <c r="M166" s="75"/>
      <c r="N166" s="75">
        <f>Tabla1[[#This Row],[IMPORTE APROBADO]]-Tabla1[[#This Row],[AMORTIZACION2]]</f>
        <v>0</v>
      </c>
      <c r="O166" s="65" t="str">
        <f>TEXT(Tabla1[[#This Row],[EMISION]],"mmm")</f>
        <v>Set</v>
      </c>
      <c r="P166" s="65" t="str">
        <f>TEXT(Tabla1[[#This Row],[EMISION]],"YYYY")</f>
        <v>2022</v>
      </c>
      <c r="Q166" s="71">
        <v>44826</v>
      </c>
      <c r="R166" s="65" t="str">
        <f>TEXT(Tabla1[[#This Row],[VENCIMIENTO]],"mmm")</f>
        <v>Set</v>
      </c>
      <c r="S166" s="71">
        <f t="shared" si="6"/>
        <v>44833</v>
      </c>
      <c r="T166" s="72">
        <f ca="1">Tabla1[[#This Row],[EMISION]]+Tabla1[[#This Row],[PLAZO]]-TODAY()</f>
        <v>-536</v>
      </c>
      <c r="U166" s="64">
        <f t="shared" ca="1" si="7"/>
        <v>0</v>
      </c>
      <c r="V166" s="72"/>
      <c r="W166" s="73" t="s">
        <v>14307</v>
      </c>
      <c r="X166" s="65">
        <v>7</v>
      </c>
      <c r="Y166" s="65"/>
      <c r="Z166" s="65"/>
      <c r="AA166" s="65"/>
      <c r="AB166" s="65"/>
      <c r="AC166" s="65"/>
      <c r="AD166" s="65"/>
      <c r="AE166" s="65"/>
      <c r="AF166" s="68"/>
      <c r="AG166" s="66">
        <v>44830</v>
      </c>
      <c r="AH166" s="67" t="s">
        <v>14308</v>
      </c>
      <c r="AI166" s="65" t="s">
        <v>3060</v>
      </c>
      <c r="AJ166" s="65"/>
      <c r="AK166" s="97">
        <f t="shared" ca="1" si="5"/>
        <v>536</v>
      </c>
      <c r="AL166">
        <f>IFERROR(VLOOKUP(A166,'DATA CLIENTES'!B4463:I8284,6,FALSE),0)</f>
        <v>0</v>
      </c>
    </row>
    <row r="167" spans="1:38" x14ac:dyDescent="0.25">
      <c r="A167" s="93" t="s">
        <v>6999</v>
      </c>
      <c r="B167" s="68" t="s">
        <v>14310</v>
      </c>
      <c r="C167" s="65"/>
      <c r="D167" s="65"/>
      <c r="E167" s="65"/>
      <c r="F167" s="69"/>
      <c r="G167" s="70"/>
      <c r="H167" s="65" t="s">
        <v>14405</v>
      </c>
      <c r="I167" s="75">
        <v>379.2</v>
      </c>
      <c r="J167" s="75"/>
      <c r="K167" s="75"/>
      <c r="L167" s="75"/>
      <c r="M167" s="75"/>
      <c r="N167" s="75">
        <f>Tabla1[[#This Row],[IMPORTE APROBADO]]-Tabla1[[#This Row],[AMORTIZACION2]]</f>
        <v>379.2</v>
      </c>
      <c r="O167" s="65" t="str">
        <f>TEXT(Tabla1[[#This Row],[EMISION]],"mmm")</f>
        <v>Set</v>
      </c>
      <c r="P167" s="65" t="str">
        <f>TEXT(Tabla1[[#This Row],[EMISION]],"YYYY")</f>
        <v>2022</v>
      </c>
      <c r="Q167" s="71">
        <v>44826</v>
      </c>
      <c r="R167" s="65" t="str">
        <f>TEXT(Tabla1[[#This Row],[VENCIMIENTO]],"mmm")</f>
        <v>Oct</v>
      </c>
      <c r="S167" s="71">
        <f t="shared" si="6"/>
        <v>44856</v>
      </c>
      <c r="T167" s="72">
        <f ca="1">Tabla1[[#This Row],[EMISION]]+Tabla1[[#This Row],[PLAZO]]-TODAY()</f>
        <v>-513</v>
      </c>
      <c r="U167" s="64">
        <f t="shared" ca="1" si="7"/>
        <v>0</v>
      </c>
      <c r="V167" s="72"/>
      <c r="W167" s="73" t="s">
        <v>14307</v>
      </c>
      <c r="X167" s="65">
        <v>30</v>
      </c>
      <c r="Y167" s="65"/>
      <c r="Z167" s="65"/>
      <c r="AA167" s="65"/>
      <c r="AB167" s="65"/>
      <c r="AC167" s="65"/>
      <c r="AD167" s="65"/>
      <c r="AE167" s="65"/>
      <c r="AF167" s="68"/>
      <c r="AG167" s="66"/>
      <c r="AH167" s="67" t="s">
        <v>14313</v>
      </c>
      <c r="AI167" s="65" t="s">
        <v>3060</v>
      </c>
      <c r="AJ167" s="65"/>
      <c r="AK167" s="97">
        <f t="shared" ca="1" si="5"/>
        <v>513</v>
      </c>
      <c r="AL167">
        <f>IFERROR(VLOOKUP(A167,'DATA CLIENTES'!B4464:I8284,6,FALSE),0)</f>
        <v>0</v>
      </c>
    </row>
    <row r="168" spans="1:38" x14ac:dyDescent="0.25">
      <c r="A168" s="93" t="s">
        <v>5436</v>
      </c>
      <c r="B168" s="68" t="s">
        <v>14335</v>
      </c>
      <c r="C168" s="65"/>
      <c r="D168" s="65"/>
      <c r="E168" s="65"/>
      <c r="F168" s="69"/>
      <c r="G168" s="70"/>
      <c r="H168" s="65" t="s">
        <v>14406</v>
      </c>
      <c r="I168" s="75">
        <v>2042.7</v>
      </c>
      <c r="J168" s="75">
        <f>200+200+200+400+600+200+150+92.7</f>
        <v>2042.7</v>
      </c>
      <c r="K168" s="75"/>
      <c r="L168" s="75"/>
      <c r="M168" s="75"/>
      <c r="N168" s="75">
        <f>Tabla1[[#This Row],[IMPORTE APROBADO]]-Tabla1[[#This Row],[AMORTIZACION2]]</f>
        <v>0</v>
      </c>
      <c r="O168" s="65" t="str">
        <f>TEXT(Tabla1[[#This Row],[EMISION]],"mmm")</f>
        <v>Set</v>
      </c>
      <c r="P168" s="65" t="str">
        <f>TEXT(Tabla1[[#This Row],[EMISION]],"YYYY")</f>
        <v>2022</v>
      </c>
      <c r="Q168" s="71">
        <v>44826</v>
      </c>
      <c r="R168" s="65" t="str">
        <f>TEXT(Tabla1[[#This Row],[VENCIMIENTO]],"mmm")</f>
        <v>Oct</v>
      </c>
      <c r="S168" s="71">
        <f t="shared" si="6"/>
        <v>44841</v>
      </c>
      <c r="T168" s="72">
        <f ca="1">Tabla1[[#This Row],[EMISION]]+Tabla1[[#This Row],[PLAZO]]-TODAY()</f>
        <v>-528</v>
      </c>
      <c r="U168" s="64">
        <f t="shared" ca="1" si="7"/>
        <v>0</v>
      </c>
      <c r="V168" s="72"/>
      <c r="W168" s="73" t="s">
        <v>14307</v>
      </c>
      <c r="X168" s="65">
        <v>15</v>
      </c>
      <c r="Y168" s="65"/>
      <c r="Z168" s="65"/>
      <c r="AA168" s="65"/>
      <c r="AB168" s="65"/>
      <c r="AC168" s="65"/>
      <c r="AD168" s="65"/>
      <c r="AE168" s="65"/>
      <c r="AF168" s="68"/>
      <c r="AG168" s="66">
        <v>44875</v>
      </c>
      <c r="AH168" s="67" t="s">
        <v>14308</v>
      </c>
      <c r="AI168" s="65" t="s">
        <v>3060</v>
      </c>
      <c r="AJ168" s="65"/>
      <c r="AK168" s="97">
        <f t="shared" ca="1" si="5"/>
        <v>528</v>
      </c>
      <c r="AL168">
        <f>IFERROR(VLOOKUP(A168,'DATA CLIENTES'!B4465:I8284,6,FALSE),0)</f>
        <v>0</v>
      </c>
    </row>
    <row r="169" spans="1:38" x14ac:dyDescent="0.25">
      <c r="A169" s="93" t="s">
        <v>8786</v>
      </c>
      <c r="B169" s="68" t="s">
        <v>8787</v>
      </c>
      <c r="C169" s="65"/>
      <c r="D169" s="65"/>
      <c r="E169" s="65"/>
      <c r="F169" s="69"/>
      <c r="G169" s="70"/>
      <c r="H169" s="65" t="s">
        <v>14407</v>
      </c>
      <c r="I169" s="75">
        <v>1928.8399999999997</v>
      </c>
      <c r="J169" s="75">
        <f>800+200+203.84+503.84+221.16</f>
        <v>1928.84</v>
      </c>
      <c r="K169" s="75"/>
      <c r="L169" s="75"/>
      <c r="M169" s="75"/>
      <c r="N169" s="75">
        <f>Tabla1[[#This Row],[IMPORTE APROBADO]]-Tabla1[[#This Row],[AMORTIZACION2]]</f>
        <v>0</v>
      </c>
      <c r="O169" s="65" t="str">
        <f>TEXT(Tabla1[[#This Row],[EMISION]],"mmm")</f>
        <v>Set</v>
      </c>
      <c r="P169" s="65" t="str">
        <f>TEXT(Tabla1[[#This Row],[EMISION]],"YYYY")</f>
        <v>2022</v>
      </c>
      <c r="Q169" s="71">
        <v>44826</v>
      </c>
      <c r="R169" s="65" t="str">
        <f>TEXT(Tabla1[[#This Row],[VENCIMIENTO]],"mmm")</f>
        <v>Oct</v>
      </c>
      <c r="S169" s="71">
        <f t="shared" si="6"/>
        <v>44841</v>
      </c>
      <c r="T169" s="72">
        <f ca="1">Tabla1[[#This Row],[EMISION]]+Tabla1[[#This Row],[PLAZO]]-TODAY()</f>
        <v>-528</v>
      </c>
      <c r="U169" s="64">
        <f t="shared" ca="1" si="7"/>
        <v>0</v>
      </c>
      <c r="V169" s="72"/>
      <c r="W169" s="73" t="s">
        <v>14307</v>
      </c>
      <c r="X169" s="65">
        <v>15</v>
      </c>
      <c r="Y169" s="65"/>
      <c r="Z169" s="65"/>
      <c r="AA169" s="65"/>
      <c r="AB169" s="65"/>
      <c r="AC169" s="65"/>
      <c r="AD169" s="65"/>
      <c r="AE169" s="65"/>
      <c r="AF169" s="68"/>
      <c r="AG169" s="66">
        <v>44848</v>
      </c>
      <c r="AH169" s="67" t="s">
        <v>14308</v>
      </c>
      <c r="AI169" s="65" t="s">
        <v>3060</v>
      </c>
      <c r="AJ169" s="65"/>
      <c r="AK169" s="97">
        <f t="shared" ca="1" si="5"/>
        <v>528</v>
      </c>
      <c r="AL169">
        <f>IFERROR(VLOOKUP(A169,'DATA CLIENTES'!B4466:I8284,6,FALSE),0)</f>
        <v>0</v>
      </c>
    </row>
    <row r="170" spans="1:38" x14ac:dyDescent="0.25">
      <c r="A170" s="93" t="s">
        <v>8786</v>
      </c>
      <c r="B170" s="68" t="s">
        <v>8787</v>
      </c>
      <c r="C170" s="65"/>
      <c r="D170" s="65"/>
      <c r="E170" s="65"/>
      <c r="F170" s="69"/>
      <c r="G170" s="70"/>
      <c r="H170" s="65" t="s">
        <v>14408</v>
      </c>
      <c r="I170" s="75">
        <v>75</v>
      </c>
      <c r="J170" s="75">
        <v>75</v>
      </c>
      <c r="K170" s="75"/>
      <c r="L170" s="75"/>
      <c r="M170" s="75"/>
      <c r="N170" s="75">
        <f>Tabla1[[#This Row],[IMPORTE APROBADO]]-Tabla1[[#This Row],[AMORTIZACION2]]</f>
        <v>0</v>
      </c>
      <c r="O170" s="65" t="str">
        <f>TEXT(Tabla1[[#This Row],[EMISION]],"mmm")</f>
        <v>Set</v>
      </c>
      <c r="P170" s="65" t="str">
        <f>TEXT(Tabla1[[#This Row],[EMISION]],"YYYY")</f>
        <v>2022</v>
      </c>
      <c r="Q170" s="71">
        <v>44826</v>
      </c>
      <c r="R170" s="65" t="str">
        <f>TEXT(Tabla1[[#This Row],[VENCIMIENTO]],"mmm")</f>
        <v>Oct</v>
      </c>
      <c r="S170" s="71">
        <f t="shared" si="6"/>
        <v>44841</v>
      </c>
      <c r="T170" s="72">
        <f ca="1">Tabla1[[#This Row],[EMISION]]+Tabla1[[#This Row],[PLAZO]]-TODAY()</f>
        <v>-528</v>
      </c>
      <c r="U170" s="64">
        <f t="shared" ca="1" si="7"/>
        <v>0</v>
      </c>
      <c r="V170" s="72"/>
      <c r="W170" s="73" t="s">
        <v>14307</v>
      </c>
      <c r="X170" s="65">
        <v>15</v>
      </c>
      <c r="Y170" s="65"/>
      <c r="Z170" s="65"/>
      <c r="AA170" s="65"/>
      <c r="AB170" s="65"/>
      <c r="AC170" s="65"/>
      <c r="AD170" s="65"/>
      <c r="AE170" s="65"/>
      <c r="AF170" s="68"/>
      <c r="AG170" s="66">
        <v>44848</v>
      </c>
      <c r="AH170" s="67" t="s">
        <v>14308</v>
      </c>
      <c r="AI170" s="65" t="s">
        <v>3060</v>
      </c>
      <c r="AJ170" s="65"/>
      <c r="AK170" s="97">
        <f t="shared" ca="1" si="5"/>
        <v>528</v>
      </c>
      <c r="AL170">
        <f>IFERROR(VLOOKUP(A170,'DATA CLIENTES'!B4467:I8284,6,FALSE),0)</f>
        <v>0</v>
      </c>
    </row>
    <row r="171" spans="1:38" x14ac:dyDescent="0.25">
      <c r="A171" s="93" t="s">
        <v>9383</v>
      </c>
      <c r="B171" s="68" t="s">
        <v>9384</v>
      </c>
      <c r="C171" s="65"/>
      <c r="D171" s="65"/>
      <c r="E171" s="65"/>
      <c r="F171" s="69"/>
      <c r="G171" s="70"/>
      <c r="H171" s="65" t="s">
        <v>14409</v>
      </c>
      <c r="I171" s="75">
        <v>14140</v>
      </c>
      <c r="J171" s="75">
        <v>14140</v>
      </c>
      <c r="K171" s="75"/>
      <c r="L171" s="75"/>
      <c r="M171" s="75"/>
      <c r="N171" s="75">
        <f>Tabla1[[#This Row],[IMPORTE APROBADO]]-Tabla1[[#This Row],[AMORTIZACION2]]</f>
        <v>0</v>
      </c>
      <c r="O171" s="65" t="str">
        <f>TEXT(Tabla1[[#This Row],[EMISION]],"mmm")</f>
        <v>Set</v>
      </c>
      <c r="P171" s="65" t="str">
        <f>TEXT(Tabla1[[#This Row],[EMISION]],"YYYY")</f>
        <v>2022</v>
      </c>
      <c r="Q171" s="71">
        <v>44830</v>
      </c>
      <c r="R171" s="65" t="str">
        <f>TEXT(Tabla1[[#This Row],[VENCIMIENTO]],"mmm")</f>
        <v>Oct</v>
      </c>
      <c r="S171" s="71">
        <f t="shared" si="6"/>
        <v>44860</v>
      </c>
      <c r="T171" s="72">
        <f ca="1">Tabla1[[#This Row],[EMISION]]+Tabla1[[#This Row],[PLAZO]]-TODAY()</f>
        <v>-509</v>
      </c>
      <c r="U171" s="64">
        <f t="shared" ca="1" si="7"/>
        <v>0</v>
      </c>
      <c r="V171" s="72"/>
      <c r="W171" s="73" t="s">
        <v>14307</v>
      </c>
      <c r="X171" s="65">
        <v>30</v>
      </c>
      <c r="Y171" s="65"/>
      <c r="Z171" s="65"/>
      <c r="AA171" s="65"/>
      <c r="AB171" s="65"/>
      <c r="AC171" s="65"/>
      <c r="AD171" s="65"/>
      <c r="AE171" s="65"/>
      <c r="AF171" s="68"/>
      <c r="AG171" s="66">
        <v>44862</v>
      </c>
      <c r="AH171" s="67" t="s">
        <v>14308</v>
      </c>
      <c r="AI171" s="65" t="s">
        <v>3060</v>
      </c>
      <c r="AJ171" s="65"/>
      <c r="AK171" s="97">
        <f t="shared" ca="1" si="5"/>
        <v>509</v>
      </c>
      <c r="AL171">
        <f>IFERROR(VLOOKUP(A171,'DATA CLIENTES'!B4468:I8284,6,FALSE),0)</f>
        <v>0</v>
      </c>
    </row>
    <row r="172" spans="1:38" x14ac:dyDescent="0.25">
      <c r="A172" s="93" t="s">
        <v>6116</v>
      </c>
      <c r="B172" s="68" t="s">
        <v>14311</v>
      </c>
      <c r="C172" s="65"/>
      <c r="D172" s="65"/>
      <c r="E172" s="65"/>
      <c r="F172" s="69"/>
      <c r="G172" s="70"/>
      <c r="H172" s="65" t="s">
        <v>14410</v>
      </c>
      <c r="I172" s="75">
        <v>14630</v>
      </c>
      <c r="J172" s="75">
        <v>14630</v>
      </c>
      <c r="K172" s="75"/>
      <c r="L172" s="75"/>
      <c r="M172" s="75"/>
      <c r="N172" s="75">
        <f>Tabla1[[#This Row],[IMPORTE APROBADO]]-Tabla1[[#This Row],[AMORTIZACION2]]</f>
        <v>0</v>
      </c>
      <c r="O172" s="65" t="str">
        <f>TEXT(Tabla1[[#This Row],[EMISION]],"mmm")</f>
        <v>Set</v>
      </c>
      <c r="P172" s="65" t="str">
        <f>TEXT(Tabla1[[#This Row],[EMISION]],"YYYY")</f>
        <v>2022</v>
      </c>
      <c r="Q172" s="71">
        <v>44830</v>
      </c>
      <c r="R172" s="65" t="str">
        <f>TEXT(Tabla1[[#This Row],[VENCIMIENTO]],"mmm")</f>
        <v>Oct</v>
      </c>
      <c r="S172" s="71">
        <f t="shared" si="6"/>
        <v>44860</v>
      </c>
      <c r="T172" s="72">
        <f ca="1">Tabla1[[#This Row],[EMISION]]+Tabla1[[#This Row],[PLAZO]]-TODAY()</f>
        <v>-509</v>
      </c>
      <c r="U172" s="64">
        <f t="shared" ca="1" si="7"/>
        <v>0</v>
      </c>
      <c r="V172" s="72"/>
      <c r="W172" s="73" t="s">
        <v>14307</v>
      </c>
      <c r="X172" s="65">
        <v>30</v>
      </c>
      <c r="Y172" s="65"/>
      <c r="Z172" s="65"/>
      <c r="AA172" s="65"/>
      <c r="AB172" s="65"/>
      <c r="AC172" s="65"/>
      <c r="AD172" s="65"/>
      <c r="AE172" s="65"/>
      <c r="AF172" s="68"/>
      <c r="AG172" s="66">
        <v>44982</v>
      </c>
      <c r="AH172" s="67" t="s">
        <v>14308</v>
      </c>
      <c r="AI172" s="65" t="s">
        <v>3060</v>
      </c>
      <c r="AJ172" s="65"/>
      <c r="AK172" s="97">
        <f t="shared" ca="1" si="5"/>
        <v>509</v>
      </c>
      <c r="AL172">
        <f>IFERROR(VLOOKUP(A172,'DATA CLIENTES'!B4469:I8284,6,FALSE),0)</f>
        <v>0</v>
      </c>
    </row>
    <row r="173" spans="1:38" x14ac:dyDescent="0.25">
      <c r="A173" s="93" t="s">
        <v>6496</v>
      </c>
      <c r="B173" s="68" t="s">
        <v>6497</v>
      </c>
      <c r="C173" s="65"/>
      <c r="D173" s="65"/>
      <c r="E173" s="65"/>
      <c r="F173" s="69"/>
      <c r="G173" s="70"/>
      <c r="H173" s="65" t="s">
        <v>14411</v>
      </c>
      <c r="I173" s="75">
        <v>3532.6182800000001</v>
      </c>
      <c r="J173" s="75">
        <f>1200+1350+982.65</f>
        <v>3532.65</v>
      </c>
      <c r="K173" s="75"/>
      <c r="L173" s="75"/>
      <c r="M173" s="75"/>
      <c r="N173" s="75">
        <f>Tabla1[[#This Row],[IMPORTE APROBADO]]-Tabla1[[#This Row],[AMORTIZACION2]]</f>
        <v>-3.1719999999950232E-2</v>
      </c>
      <c r="O173" s="65" t="str">
        <f>TEXT(Tabla1[[#This Row],[EMISION]],"mmm")</f>
        <v>Set</v>
      </c>
      <c r="P173" s="65" t="str">
        <f>TEXT(Tabla1[[#This Row],[EMISION]],"YYYY")</f>
        <v>2022</v>
      </c>
      <c r="Q173" s="71">
        <v>44831</v>
      </c>
      <c r="R173" s="65" t="str">
        <f>TEXT(Tabla1[[#This Row],[VENCIMIENTO]],"mmm")</f>
        <v>Oct</v>
      </c>
      <c r="S173" s="71">
        <f t="shared" ref="S173:S185" si="8">Q173+X173</f>
        <v>44838</v>
      </c>
      <c r="T173" s="72">
        <f ca="1">Tabla1[[#This Row],[EMISION]]+Tabla1[[#This Row],[PLAZO]]-TODAY()</f>
        <v>-531</v>
      </c>
      <c r="U173" s="64">
        <f t="shared" ref="U173:U185" ca="1" si="9">IF(T173&gt;=0,$U$4,IF(AND(T173&lt;=-1,T173&gt;=-30),$U$5,IF(AND(T173&lt;=-31,T173&gt;=-60),$U$6,IF(AND(T173&lt;=-61,T173&gt;=-90),$U$7,$U$8))))</f>
        <v>0</v>
      </c>
      <c r="V173" s="72"/>
      <c r="W173" s="73" t="s">
        <v>14307</v>
      </c>
      <c r="X173" s="65">
        <v>7</v>
      </c>
      <c r="Y173" s="65"/>
      <c r="Z173" s="65"/>
      <c r="AA173" s="65"/>
      <c r="AB173" s="65"/>
      <c r="AC173" s="65"/>
      <c r="AD173" s="65"/>
      <c r="AE173" s="65"/>
      <c r="AF173" s="68"/>
      <c r="AG173" s="66">
        <v>44844</v>
      </c>
      <c r="AH173" s="67" t="s">
        <v>14308</v>
      </c>
      <c r="AI173" s="65" t="s">
        <v>3060</v>
      </c>
      <c r="AJ173" s="65"/>
      <c r="AK173" s="97">
        <f t="shared" ca="1" si="5"/>
        <v>531</v>
      </c>
      <c r="AL173">
        <f>IFERROR(VLOOKUP(A173,'DATA CLIENTES'!B4470:I8284,6,FALSE),0)</f>
        <v>0</v>
      </c>
    </row>
    <row r="174" spans="1:38" x14ac:dyDescent="0.25">
      <c r="A174" s="93" t="s">
        <v>6507</v>
      </c>
      <c r="B174" s="68" t="s">
        <v>6508</v>
      </c>
      <c r="C174" s="65"/>
      <c r="D174" s="65"/>
      <c r="E174" s="65"/>
      <c r="F174" s="69"/>
      <c r="G174" s="70"/>
      <c r="H174" s="65" t="s">
        <v>14412</v>
      </c>
      <c r="I174" s="75">
        <v>29170.016600000003</v>
      </c>
      <c r="J174" s="75">
        <f>11000+5500+4500+3000+2170+3000</f>
        <v>29170</v>
      </c>
      <c r="K174" s="75"/>
      <c r="L174" s="75"/>
      <c r="M174" s="75"/>
      <c r="N174" s="75">
        <f>Tabla1[[#This Row],[IMPORTE APROBADO]]-Tabla1[[#This Row],[AMORTIZACION2]]</f>
        <v>1.6600000002654269E-2</v>
      </c>
      <c r="O174" s="65" t="str">
        <f>TEXT(Tabla1[[#This Row],[EMISION]],"mmm")</f>
        <v>Set</v>
      </c>
      <c r="P174" s="65" t="str">
        <f>TEXT(Tabla1[[#This Row],[EMISION]],"YYYY")</f>
        <v>2022</v>
      </c>
      <c r="Q174" s="71">
        <v>44831</v>
      </c>
      <c r="R174" s="65" t="str">
        <f>TEXT(Tabla1[[#This Row],[VENCIMIENTO]],"mmm")</f>
        <v>Oct</v>
      </c>
      <c r="S174" s="71">
        <f t="shared" si="8"/>
        <v>44846</v>
      </c>
      <c r="T174" s="72">
        <f ca="1">Tabla1[[#This Row],[EMISION]]+Tabla1[[#This Row],[PLAZO]]-TODAY()</f>
        <v>-523</v>
      </c>
      <c r="U174" s="64">
        <f t="shared" ca="1" si="9"/>
        <v>0</v>
      </c>
      <c r="V174" s="72"/>
      <c r="W174" s="73" t="s">
        <v>14307</v>
      </c>
      <c r="X174" s="65">
        <v>15</v>
      </c>
      <c r="Y174" s="65"/>
      <c r="Z174" s="65"/>
      <c r="AA174" s="65"/>
      <c r="AB174" s="65"/>
      <c r="AC174" s="65"/>
      <c r="AD174" s="65"/>
      <c r="AE174" s="65"/>
      <c r="AF174" s="68"/>
      <c r="AG174" s="66">
        <v>44851</v>
      </c>
      <c r="AH174" s="67" t="s">
        <v>14308</v>
      </c>
      <c r="AI174" s="65" t="s">
        <v>3060</v>
      </c>
      <c r="AJ174" s="65"/>
      <c r="AK174" s="97">
        <f t="shared" ca="1" si="5"/>
        <v>523</v>
      </c>
      <c r="AL174">
        <f>IFERROR(VLOOKUP(A174,'DATA CLIENTES'!B4471:I8284,6,FALSE),0)</f>
        <v>0</v>
      </c>
    </row>
    <row r="175" spans="1:38" x14ac:dyDescent="0.25">
      <c r="A175" s="93" t="s">
        <v>9383</v>
      </c>
      <c r="B175" s="68" t="s">
        <v>9384</v>
      </c>
      <c r="C175" s="65"/>
      <c r="D175" s="65"/>
      <c r="E175" s="65"/>
      <c r="F175" s="69"/>
      <c r="G175" s="70"/>
      <c r="H175" s="65" t="s">
        <v>14413</v>
      </c>
      <c r="I175" s="75">
        <v>1230</v>
      </c>
      <c r="J175" s="75">
        <v>1230</v>
      </c>
      <c r="K175" s="75"/>
      <c r="L175" s="75"/>
      <c r="M175" s="75"/>
      <c r="N175" s="75">
        <f>Tabla1[[#This Row],[IMPORTE APROBADO]]-Tabla1[[#This Row],[AMORTIZACION2]]</f>
        <v>0</v>
      </c>
      <c r="O175" s="65" t="str">
        <f>TEXT(Tabla1[[#This Row],[EMISION]],"mmm")</f>
        <v>Set</v>
      </c>
      <c r="P175" s="65" t="str">
        <f>TEXT(Tabla1[[#This Row],[EMISION]],"YYYY")</f>
        <v>2022</v>
      </c>
      <c r="Q175" s="71">
        <v>44832</v>
      </c>
      <c r="R175" s="65" t="str">
        <f>TEXT(Tabla1[[#This Row],[VENCIMIENTO]],"mmm")</f>
        <v>Oct</v>
      </c>
      <c r="S175" s="71">
        <f t="shared" si="8"/>
        <v>44862</v>
      </c>
      <c r="T175" s="72">
        <f ca="1">Tabla1[[#This Row],[EMISION]]+Tabla1[[#This Row],[PLAZO]]-TODAY()</f>
        <v>-507</v>
      </c>
      <c r="U175" s="64">
        <f t="shared" ca="1" si="9"/>
        <v>0</v>
      </c>
      <c r="V175" s="72"/>
      <c r="W175" s="73" t="s">
        <v>14307</v>
      </c>
      <c r="X175" s="65">
        <v>30</v>
      </c>
      <c r="Y175" s="65"/>
      <c r="Z175" s="65"/>
      <c r="AA175" s="65"/>
      <c r="AB175" s="65"/>
      <c r="AC175" s="65"/>
      <c r="AD175" s="65"/>
      <c r="AE175" s="65"/>
      <c r="AF175" s="68"/>
      <c r="AG175" s="66">
        <v>44862</v>
      </c>
      <c r="AH175" s="67" t="s">
        <v>14308</v>
      </c>
      <c r="AI175" s="65" t="s">
        <v>3060</v>
      </c>
      <c r="AJ175" s="65"/>
      <c r="AK175" s="97">
        <f t="shared" ca="1" si="5"/>
        <v>507</v>
      </c>
      <c r="AL175">
        <f>IFERROR(VLOOKUP(A175,'DATA CLIENTES'!B4472:I8284,6,FALSE),0)</f>
        <v>0</v>
      </c>
    </row>
    <row r="176" spans="1:38" x14ac:dyDescent="0.25">
      <c r="A176" s="93" t="s">
        <v>10005</v>
      </c>
      <c r="B176" s="68" t="s">
        <v>14414</v>
      </c>
      <c r="C176" s="65"/>
      <c r="D176" s="65"/>
      <c r="E176" s="65"/>
      <c r="F176" s="69"/>
      <c r="G176" s="70"/>
      <c r="H176" s="65" t="s">
        <v>14415</v>
      </c>
      <c r="I176" s="75">
        <v>9229.5112749999989</v>
      </c>
      <c r="J176" s="75">
        <v>9229.51</v>
      </c>
      <c r="K176" s="75"/>
      <c r="L176" s="75"/>
      <c r="M176" s="75"/>
      <c r="N176" s="75">
        <f>Tabla1[[#This Row],[IMPORTE APROBADO]]-Tabla1[[#This Row],[AMORTIZACION2]]</f>
        <v>1.2749999987136107E-3</v>
      </c>
      <c r="O176" s="65" t="str">
        <f>TEXT(Tabla1[[#This Row],[EMISION]],"mmm")</f>
        <v>Set</v>
      </c>
      <c r="P176" s="65" t="str">
        <f>TEXT(Tabla1[[#This Row],[EMISION]],"YYYY")</f>
        <v>2022</v>
      </c>
      <c r="Q176" s="71">
        <v>44833</v>
      </c>
      <c r="R176" s="65" t="str">
        <f>TEXT(Tabla1[[#This Row],[VENCIMIENTO]],"mmm")</f>
        <v>Oct</v>
      </c>
      <c r="S176" s="71">
        <f t="shared" si="8"/>
        <v>44848</v>
      </c>
      <c r="T176" s="72">
        <f ca="1">Tabla1[[#This Row],[EMISION]]+Tabla1[[#This Row],[PLAZO]]-TODAY()</f>
        <v>-521</v>
      </c>
      <c r="U176" s="64">
        <f t="shared" ca="1" si="9"/>
        <v>0</v>
      </c>
      <c r="V176" s="72"/>
      <c r="W176" s="73" t="s">
        <v>14307</v>
      </c>
      <c r="X176" s="65">
        <v>15</v>
      </c>
      <c r="Y176" s="65"/>
      <c r="Z176" s="65"/>
      <c r="AA176" s="65"/>
      <c r="AB176" s="65"/>
      <c r="AC176" s="65"/>
      <c r="AD176" s="65"/>
      <c r="AE176" s="65"/>
      <c r="AF176" s="68"/>
      <c r="AG176" s="66">
        <v>44846</v>
      </c>
      <c r="AH176" s="67" t="s">
        <v>14308</v>
      </c>
      <c r="AI176" s="65" t="s">
        <v>3060</v>
      </c>
      <c r="AJ176" s="65"/>
      <c r="AK176" s="97">
        <f t="shared" ca="1" si="5"/>
        <v>521</v>
      </c>
      <c r="AL176">
        <f>IFERROR(VLOOKUP(A176,'DATA CLIENTES'!B4473:I8284,6,FALSE),0)</f>
        <v>0</v>
      </c>
    </row>
    <row r="177" spans="1:38" x14ac:dyDescent="0.25">
      <c r="A177" s="93" t="s">
        <v>5473</v>
      </c>
      <c r="B177" s="68" t="s">
        <v>14378</v>
      </c>
      <c r="C177" s="65"/>
      <c r="D177" s="65"/>
      <c r="E177" s="65"/>
      <c r="F177" s="69"/>
      <c r="G177" s="70"/>
      <c r="H177" s="65" t="s">
        <v>14416</v>
      </c>
      <c r="I177" s="75">
        <v>175.06638000000001</v>
      </c>
      <c r="J177" s="75">
        <v>175.07</v>
      </c>
      <c r="K177" s="75"/>
      <c r="L177" s="75"/>
      <c r="M177" s="75"/>
      <c r="N177" s="75">
        <f>Tabla1[[#This Row],[IMPORTE APROBADO]]-Tabla1[[#This Row],[AMORTIZACION2]]</f>
        <v>-3.6199999999837473E-3</v>
      </c>
      <c r="O177" s="65" t="str">
        <f>TEXT(Tabla1[[#This Row],[EMISION]],"mmm")</f>
        <v>Oct</v>
      </c>
      <c r="P177" s="65" t="str">
        <f>TEXT(Tabla1[[#This Row],[EMISION]],"YYYY")</f>
        <v>2022</v>
      </c>
      <c r="Q177" s="71">
        <v>44835</v>
      </c>
      <c r="R177" s="65" t="str">
        <f>TEXT(Tabla1[[#This Row],[VENCIMIENTO]],"mmm")</f>
        <v>Oct</v>
      </c>
      <c r="S177" s="71">
        <f t="shared" si="8"/>
        <v>44850</v>
      </c>
      <c r="T177" s="72">
        <f ca="1">Tabla1[[#This Row],[EMISION]]+Tabla1[[#This Row],[PLAZO]]-TODAY()</f>
        <v>-519</v>
      </c>
      <c r="U177" s="64">
        <f t="shared" ca="1" si="9"/>
        <v>0</v>
      </c>
      <c r="V177" s="72"/>
      <c r="W177" s="73" t="s">
        <v>14307</v>
      </c>
      <c r="X177" s="65">
        <v>15</v>
      </c>
      <c r="Y177" s="65"/>
      <c r="Z177" s="65"/>
      <c r="AA177" s="65"/>
      <c r="AB177" s="65"/>
      <c r="AC177" s="65"/>
      <c r="AD177" s="65"/>
      <c r="AE177" s="65"/>
      <c r="AF177" s="68"/>
      <c r="AG177" s="66">
        <v>44848</v>
      </c>
      <c r="AH177" s="67" t="s">
        <v>14308</v>
      </c>
      <c r="AI177" s="65" t="s">
        <v>3060</v>
      </c>
      <c r="AJ177" s="65"/>
      <c r="AK177" s="97">
        <f t="shared" ca="1" si="5"/>
        <v>519</v>
      </c>
      <c r="AL177">
        <f>IFERROR(VLOOKUP(A177,'DATA CLIENTES'!B4474:I8284,6,FALSE),0)</f>
        <v>0</v>
      </c>
    </row>
    <row r="178" spans="1:38" x14ac:dyDescent="0.25">
      <c r="A178" s="93" t="s">
        <v>5473</v>
      </c>
      <c r="B178" s="68" t="s">
        <v>14378</v>
      </c>
      <c r="C178" s="65"/>
      <c r="D178" s="65"/>
      <c r="E178" s="65"/>
      <c r="F178" s="69"/>
      <c r="G178" s="70"/>
      <c r="H178" s="65" t="s">
        <v>14417</v>
      </c>
      <c r="I178" s="75">
        <v>5607.3382000000001</v>
      </c>
      <c r="J178" s="75">
        <v>5607.3</v>
      </c>
      <c r="K178" s="75"/>
      <c r="L178" s="75"/>
      <c r="M178" s="75"/>
      <c r="N178" s="75">
        <f>Tabla1[[#This Row],[IMPORTE APROBADO]]-Tabla1[[#This Row],[AMORTIZACION2]]</f>
        <v>3.819999999996071E-2</v>
      </c>
      <c r="O178" s="65" t="str">
        <f>TEXT(Tabla1[[#This Row],[EMISION]],"mmm")</f>
        <v>Oct</v>
      </c>
      <c r="P178" s="65" t="str">
        <f>TEXT(Tabla1[[#This Row],[EMISION]],"YYYY")</f>
        <v>2022</v>
      </c>
      <c r="Q178" s="71">
        <v>44835</v>
      </c>
      <c r="R178" s="65" t="str">
        <f>TEXT(Tabla1[[#This Row],[VENCIMIENTO]],"mmm")</f>
        <v>Oct</v>
      </c>
      <c r="S178" s="71">
        <f t="shared" si="8"/>
        <v>44842</v>
      </c>
      <c r="T178" s="72">
        <f ca="1">Tabla1[[#This Row],[EMISION]]+Tabla1[[#This Row],[PLAZO]]-TODAY()</f>
        <v>-527</v>
      </c>
      <c r="U178" s="64">
        <f t="shared" ca="1" si="9"/>
        <v>0</v>
      </c>
      <c r="V178" s="72"/>
      <c r="W178" s="73" t="s">
        <v>14307</v>
      </c>
      <c r="X178" s="65">
        <v>7</v>
      </c>
      <c r="Y178" s="65"/>
      <c r="Z178" s="65"/>
      <c r="AA178" s="65"/>
      <c r="AB178" s="65"/>
      <c r="AC178" s="65"/>
      <c r="AD178" s="65"/>
      <c r="AE178" s="65"/>
      <c r="AF178" s="68"/>
      <c r="AG178" s="66">
        <v>44846</v>
      </c>
      <c r="AH178" s="67" t="s">
        <v>14308</v>
      </c>
      <c r="AI178" s="65" t="s">
        <v>3060</v>
      </c>
      <c r="AJ178" s="65"/>
      <c r="AK178" s="97">
        <f t="shared" ca="1" si="5"/>
        <v>527</v>
      </c>
      <c r="AL178">
        <f>IFERROR(VLOOKUP(A178,'DATA CLIENTES'!B4475:I8284,6,FALSE),0)</f>
        <v>0</v>
      </c>
    </row>
    <row r="179" spans="1:38" x14ac:dyDescent="0.25">
      <c r="A179" s="93" t="s">
        <v>9570</v>
      </c>
      <c r="B179" s="68" t="s">
        <v>14418</v>
      </c>
      <c r="C179" s="65"/>
      <c r="D179" s="65"/>
      <c r="E179" s="65"/>
      <c r="F179" s="69"/>
      <c r="G179" s="70"/>
      <c r="H179" s="65" t="s">
        <v>14419</v>
      </c>
      <c r="I179" s="75">
        <v>1179.8800000000001</v>
      </c>
      <c r="J179" s="75">
        <v>1179.8800000000001</v>
      </c>
      <c r="K179" s="75"/>
      <c r="L179" s="75"/>
      <c r="M179" s="75"/>
      <c r="N179" s="75">
        <f>Tabla1[[#This Row],[IMPORTE APROBADO]]-Tabla1[[#This Row],[AMORTIZACION2]]</f>
        <v>0</v>
      </c>
      <c r="O179" s="65" t="str">
        <f>TEXT(Tabla1[[#This Row],[EMISION]],"mmm")</f>
        <v>Oct</v>
      </c>
      <c r="P179" s="65" t="str">
        <f>TEXT(Tabla1[[#This Row],[EMISION]],"YYYY")</f>
        <v>2022</v>
      </c>
      <c r="Q179" s="71">
        <v>44835</v>
      </c>
      <c r="R179" s="65" t="str">
        <f>TEXT(Tabla1[[#This Row],[VENCIMIENTO]],"mmm")</f>
        <v>Oct</v>
      </c>
      <c r="S179" s="71">
        <f t="shared" si="8"/>
        <v>44865</v>
      </c>
      <c r="T179" s="72">
        <f ca="1">Tabla1[[#This Row],[EMISION]]+Tabla1[[#This Row],[PLAZO]]-TODAY()</f>
        <v>-504</v>
      </c>
      <c r="U179" s="64">
        <f t="shared" ca="1" si="9"/>
        <v>0</v>
      </c>
      <c r="V179" s="72"/>
      <c r="W179" s="73" t="s">
        <v>14307</v>
      </c>
      <c r="X179" s="65">
        <v>30</v>
      </c>
      <c r="Y179" s="65"/>
      <c r="Z179" s="65"/>
      <c r="AA179" s="65"/>
      <c r="AB179" s="65"/>
      <c r="AC179" s="65"/>
      <c r="AD179" s="65"/>
      <c r="AE179" s="65"/>
      <c r="AF179" s="68"/>
      <c r="AG179" s="66">
        <v>44852</v>
      </c>
      <c r="AH179" s="67" t="s">
        <v>14308</v>
      </c>
      <c r="AI179" s="65" t="s">
        <v>3060</v>
      </c>
      <c r="AJ179" s="65"/>
      <c r="AK179" s="97">
        <f t="shared" ca="1" si="5"/>
        <v>504</v>
      </c>
      <c r="AL179">
        <f>IFERROR(VLOOKUP(A179,'DATA CLIENTES'!B4476:I8284,6,FALSE),0)</f>
        <v>0</v>
      </c>
    </row>
    <row r="180" spans="1:38" x14ac:dyDescent="0.25">
      <c r="A180" s="93" t="s">
        <v>14421</v>
      </c>
      <c r="B180" s="68" t="s">
        <v>14420</v>
      </c>
      <c r="C180" s="65"/>
      <c r="D180" s="65"/>
      <c r="E180" s="65"/>
      <c r="F180" s="69"/>
      <c r="G180" s="70"/>
      <c r="H180" s="65" t="s">
        <v>14422</v>
      </c>
      <c r="I180" s="75">
        <v>875.4</v>
      </c>
      <c r="J180" s="75">
        <f>400+475.4</f>
        <v>875.4</v>
      </c>
      <c r="K180" s="75"/>
      <c r="L180" s="75"/>
      <c r="M180" s="75"/>
      <c r="N180" s="75">
        <f>Tabla1[[#This Row],[IMPORTE APROBADO]]-Tabla1[[#This Row],[AMORTIZACION2]]</f>
        <v>0</v>
      </c>
      <c r="O180" s="65" t="str">
        <f>TEXT(Tabla1[[#This Row],[EMISION]],"mmm")</f>
        <v>Oct</v>
      </c>
      <c r="P180" s="65" t="str">
        <f>TEXT(Tabla1[[#This Row],[EMISION]],"YYYY")</f>
        <v>2022</v>
      </c>
      <c r="Q180" s="71">
        <v>44835</v>
      </c>
      <c r="R180" s="65" t="str">
        <f>TEXT(Tabla1[[#This Row],[VENCIMIENTO]],"mmm")</f>
        <v>Oct</v>
      </c>
      <c r="S180" s="71">
        <f t="shared" si="8"/>
        <v>44850</v>
      </c>
      <c r="T180" s="72">
        <f ca="1">Tabla1[[#This Row],[EMISION]]+Tabla1[[#This Row],[PLAZO]]-TODAY()</f>
        <v>-519</v>
      </c>
      <c r="U180" s="64">
        <f t="shared" ca="1" si="9"/>
        <v>0</v>
      </c>
      <c r="V180" s="72"/>
      <c r="W180" s="73" t="s">
        <v>14307</v>
      </c>
      <c r="X180" s="65">
        <v>15</v>
      </c>
      <c r="Y180" s="65"/>
      <c r="Z180" s="65"/>
      <c r="AA180" s="65"/>
      <c r="AB180" s="65"/>
      <c r="AC180" s="65"/>
      <c r="AD180" s="65"/>
      <c r="AE180" s="65"/>
      <c r="AF180" s="68"/>
      <c r="AG180" s="66">
        <v>44855</v>
      </c>
      <c r="AH180" s="67" t="s">
        <v>14308</v>
      </c>
      <c r="AI180" s="65" t="s">
        <v>3060</v>
      </c>
      <c r="AJ180" s="65"/>
      <c r="AK180" s="97">
        <f t="shared" ca="1" si="5"/>
        <v>519</v>
      </c>
      <c r="AL180">
        <f>IFERROR(VLOOKUP(A180,'DATA CLIENTES'!B4477:I8284,6,FALSE),0)</f>
        <v>0</v>
      </c>
    </row>
    <row r="181" spans="1:38" x14ac:dyDescent="0.25">
      <c r="A181" s="93" t="s">
        <v>9505</v>
      </c>
      <c r="B181" s="68" t="s">
        <v>14367</v>
      </c>
      <c r="C181" s="65"/>
      <c r="D181" s="65"/>
      <c r="E181" s="65"/>
      <c r="F181" s="69"/>
      <c r="G181" s="70"/>
      <c r="H181" s="65" t="s">
        <v>14423</v>
      </c>
      <c r="I181" s="75">
        <v>222.95999999999998</v>
      </c>
      <c r="J181" s="75">
        <v>222.96</v>
      </c>
      <c r="K181" s="75"/>
      <c r="L181" s="75"/>
      <c r="M181" s="75"/>
      <c r="N181" s="75">
        <f>Tabla1[[#This Row],[IMPORTE APROBADO]]-Tabla1[[#This Row],[AMORTIZACION2]]</f>
        <v>0</v>
      </c>
      <c r="O181" s="65" t="str">
        <f>TEXT(Tabla1[[#This Row],[EMISION]],"mmm")</f>
        <v>Oct</v>
      </c>
      <c r="P181" s="65" t="str">
        <f>TEXT(Tabla1[[#This Row],[EMISION]],"YYYY")</f>
        <v>2022</v>
      </c>
      <c r="Q181" s="71">
        <v>44835</v>
      </c>
      <c r="R181" s="65" t="str">
        <f>TEXT(Tabla1[[#This Row],[VENCIMIENTO]],"mmm")</f>
        <v>Oct</v>
      </c>
      <c r="S181" s="71">
        <f t="shared" si="8"/>
        <v>44850</v>
      </c>
      <c r="T181" s="72">
        <f ca="1">Tabla1[[#This Row],[EMISION]]+Tabla1[[#This Row],[PLAZO]]-TODAY()</f>
        <v>-519</v>
      </c>
      <c r="U181" s="64">
        <f t="shared" ca="1" si="9"/>
        <v>0</v>
      </c>
      <c r="V181" s="72"/>
      <c r="W181" s="73" t="s">
        <v>14307</v>
      </c>
      <c r="X181" s="65">
        <v>15</v>
      </c>
      <c r="Y181" s="65"/>
      <c r="Z181" s="65"/>
      <c r="AA181" s="65"/>
      <c r="AB181" s="65"/>
      <c r="AC181" s="65"/>
      <c r="AD181" s="65"/>
      <c r="AE181" s="65"/>
      <c r="AF181" s="68"/>
      <c r="AG181" s="66">
        <v>44852</v>
      </c>
      <c r="AH181" s="67" t="s">
        <v>14308</v>
      </c>
      <c r="AI181" s="65" t="s">
        <v>3060</v>
      </c>
      <c r="AJ181" s="65"/>
      <c r="AK181" s="97">
        <f t="shared" ca="1" si="5"/>
        <v>519</v>
      </c>
      <c r="AL181">
        <f>IFERROR(VLOOKUP(A181,'DATA CLIENTES'!B4478:I8284,6,FALSE),0)</f>
        <v>0</v>
      </c>
    </row>
    <row r="182" spans="1:38" x14ac:dyDescent="0.25">
      <c r="A182" s="93" t="s">
        <v>14425</v>
      </c>
      <c r="B182" s="68" t="s">
        <v>14424</v>
      </c>
      <c r="C182" s="65"/>
      <c r="D182" s="65"/>
      <c r="E182" s="65"/>
      <c r="F182" s="69"/>
      <c r="G182" s="70"/>
      <c r="H182" s="65" t="s">
        <v>14426</v>
      </c>
      <c r="I182" s="75">
        <v>655.20000000000005</v>
      </c>
      <c r="J182" s="75">
        <f>355.2+300</f>
        <v>655.20000000000005</v>
      </c>
      <c r="K182" s="75"/>
      <c r="L182" s="75"/>
      <c r="M182" s="75"/>
      <c r="N182" s="75">
        <f>Tabla1[[#This Row],[IMPORTE APROBADO]]-Tabla1[[#This Row],[AMORTIZACION2]]</f>
        <v>0</v>
      </c>
      <c r="O182" s="65" t="str">
        <f>TEXT(Tabla1[[#This Row],[EMISION]],"mmm")</f>
        <v>Oct</v>
      </c>
      <c r="P182" s="65" t="str">
        <f>TEXT(Tabla1[[#This Row],[EMISION]],"YYYY")</f>
        <v>2022</v>
      </c>
      <c r="Q182" s="71">
        <v>44838</v>
      </c>
      <c r="R182" s="65" t="str">
        <f>TEXT(Tabla1[[#This Row],[VENCIMIENTO]],"mmm")</f>
        <v>Nov</v>
      </c>
      <c r="S182" s="71">
        <f t="shared" si="8"/>
        <v>44868</v>
      </c>
      <c r="T182" s="72">
        <f ca="1">Tabla1[[#This Row],[EMISION]]+Tabla1[[#This Row],[PLAZO]]-TODAY()</f>
        <v>-501</v>
      </c>
      <c r="U182" s="64">
        <f t="shared" ca="1" si="9"/>
        <v>0</v>
      </c>
      <c r="V182" s="72"/>
      <c r="W182" s="73" t="s">
        <v>14307</v>
      </c>
      <c r="X182" s="65">
        <v>30</v>
      </c>
      <c r="Y182" s="65"/>
      <c r="Z182" s="65"/>
      <c r="AA182" s="65"/>
      <c r="AB182" s="65"/>
      <c r="AC182" s="65"/>
      <c r="AD182" s="65"/>
      <c r="AE182" s="65"/>
      <c r="AF182" s="68"/>
      <c r="AG182" s="66">
        <v>44867</v>
      </c>
      <c r="AH182" s="67" t="s">
        <v>14308</v>
      </c>
      <c r="AI182" s="65" t="s">
        <v>3060</v>
      </c>
      <c r="AJ182" s="65"/>
      <c r="AK182" s="97">
        <f t="shared" ca="1" si="5"/>
        <v>501</v>
      </c>
      <c r="AL182">
        <f>IFERROR(VLOOKUP(A182,'DATA CLIENTES'!B4479:I8284,6,FALSE),0)</f>
        <v>0</v>
      </c>
    </row>
    <row r="183" spans="1:38" x14ac:dyDescent="0.25">
      <c r="A183" s="93" t="s">
        <v>14428</v>
      </c>
      <c r="B183" s="68" t="s">
        <v>14427</v>
      </c>
      <c r="C183" s="65"/>
      <c r="D183" s="65"/>
      <c r="E183" s="65"/>
      <c r="F183" s="69"/>
      <c r="G183" s="70"/>
      <c r="H183" s="65" t="s">
        <v>14429</v>
      </c>
      <c r="I183" s="75">
        <v>4204.3</v>
      </c>
      <c r="J183" s="75">
        <v>4204.3</v>
      </c>
      <c r="K183" s="75"/>
      <c r="L183" s="75"/>
      <c r="M183" s="75"/>
      <c r="N183" s="75">
        <f>Tabla1[[#This Row],[IMPORTE APROBADO]]-Tabla1[[#This Row],[AMORTIZACION2]]</f>
        <v>0</v>
      </c>
      <c r="O183" s="65" t="str">
        <f>TEXT(Tabla1[[#This Row],[EMISION]],"mmm")</f>
        <v>Oct</v>
      </c>
      <c r="P183" s="65" t="str">
        <f>TEXT(Tabla1[[#This Row],[EMISION]],"YYYY")</f>
        <v>2022</v>
      </c>
      <c r="Q183" s="71">
        <v>44838</v>
      </c>
      <c r="R183" s="65" t="str">
        <f>TEXT(Tabla1[[#This Row],[VENCIMIENTO]],"mmm")</f>
        <v>Oct</v>
      </c>
      <c r="S183" s="71">
        <f t="shared" si="8"/>
        <v>44853</v>
      </c>
      <c r="T183" s="72">
        <f ca="1">Tabla1[[#This Row],[EMISION]]+Tabla1[[#This Row],[PLAZO]]-TODAY()</f>
        <v>-516</v>
      </c>
      <c r="U183" s="64">
        <f t="shared" ca="1" si="9"/>
        <v>0</v>
      </c>
      <c r="V183" s="72"/>
      <c r="W183" s="73" t="s">
        <v>14307</v>
      </c>
      <c r="X183" s="65">
        <v>15</v>
      </c>
      <c r="Y183" s="65"/>
      <c r="Z183" s="65"/>
      <c r="AA183" s="65"/>
      <c r="AB183" s="65"/>
      <c r="AC183" s="65"/>
      <c r="AD183" s="65"/>
      <c r="AE183" s="65"/>
      <c r="AF183" s="68"/>
      <c r="AG183" s="66">
        <v>44860</v>
      </c>
      <c r="AH183" s="67" t="s">
        <v>14308</v>
      </c>
      <c r="AI183" s="65" t="s">
        <v>3060</v>
      </c>
      <c r="AJ183" s="65"/>
      <c r="AK183" s="97">
        <f t="shared" ca="1" si="5"/>
        <v>516</v>
      </c>
      <c r="AL183">
        <f>IFERROR(VLOOKUP(A183,'DATA CLIENTES'!B4480:I8284,6,FALSE),0)</f>
        <v>0</v>
      </c>
    </row>
    <row r="184" spans="1:38" x14ac:dyDescent="0.25">
      <c r="A184" s="93" t="s">
        <v>6575</v>
      </c>
      <c r="B184" s="68" t="s">
        <v>6576</v>
      </c>
      <c r="C184" s="65"/>
      <c r="D184" s="65"/>
      <c r="E184" s="65"/>
      <c r="F184" s="69"/>
      <c r="G184" s="70"/>
      <c r="H184" s="65" t="s">
        <v>14431</v>
      </c>
      <c r="I184" s="75">
        <v>1529.93</v>
      </c>
      <c r="J184" s="75">
        <v>1529.93</v>
      </c>
      <c r="K184" s="75"/>
      <c r="L184" s="75"/>
      <c r="M184" s="75"/>
      <c r="N184" s="75">
        <f>Tabla1[[#This Row],[IMPORTE APROBADO]]-Tabla1[[#This Row],[AMORTIZACION2]]</f>
        <v>0</v>
      </c>
      <c r="O184" s="65" t="str">
        <f>TEXT(Tabla1[[#This Row],[EMISION]],"mmm")</f>
        <v>Oct</v>
      </c>
      <c r="P184" s="65" t="str">
        <f>TEXT(Tabla1[[#This Row],[EMISION]],"YYYY")</f>
        <v>2022</v>
      </c>
      <c r="Q184" s="71">
        <v>44838</v>
      </c>
      <c r="R184" s="65" t="str">
        <f>TEXT(Tabla1[[#This Row],[VENCIMIENTO]],"mmm")</f>
        <v>Oct</v>
      </c>
      <c r="S184" s="71">
        <f t="shared" si="8"/>
        <v>44853</v>
      </c>
      <c r="T184" s="72">
        <f ca="1">Tabla1[[#This Row],[EMISION]]+Tabla1[[#This Row],[PLAZO]]-TODAY()</f>
        <v>-516</v>
      </c>
      <c r="U184" s="64">
        <f t="shared" ca="1" si="9"/>
        <v>0</v>
      </c>
      <c r="V184" s="72"/>
      <c r="W184" s="73" t="s">
        <v>14307</v>
      </c>
      <c r="X184" s="65">
        <v>15</v>
      </c>
      <c r="Y184" s="65"/>
      <c r="Z184" s="65"/>
      <c r="AA184" s="65"/>
      <c r="AB184" s="65"/>
      <c r="AC184" s="65"/>
      <c r="AD184" s="65"/>
      <c r="AE184" s="65"/>
      <c r="AF184" s="68"/>
      <c r="AG184" s="66">
        <v>44863</v>
      </c>
      <c r="AH184" s="67" t="s">
        <v>14308</v>
      </c>
      <c r="AI184" s="65" t="s">
        <v>3060</v>
      </c>
      <c r="AJ184" s="65"/>
      <c r="AK184" s="97">
        <f t="shared" ca="1" si="5"/>
        <v>516</v>
      </c>
      <c r="AL184">
        <f>IFERROR(VLOOKUP(A184,'DATA CLIENTES'!B4481:I8284,6,FALSE),0)</f>
        <v>0</v>
      </c>
    </row>
    <row r="185" spans="1:38" x14ac:dyDescent="0.25">
      <c r="A185" s="93" t="s">
        <v>6575</v>
      </c>
      <c r="B185" s="68" t="s">
        <v>6576</v>
      </c>
      <c r="C185" s="65"/>
      <c r="D185" s="65"/>
      <c r="E185" s="65"/>
      <c r="F185" s="69"/>
      <c r="G185" s="70"/>
      <c r="H185" s="65" t="s">
        <v>14432</v>
      </c>
      <c r="I185" s="75">
        <v>2126.6899999999996</v>
      </c>
      <c r="J185" s="75">
        <v>2126.69</v>
      </c>
      <c r="K185" s="75"/>
      <c r="L185" s="75"/>
      <c r="M185" s="75"/>
      <c r="N185" s="75">
        <f>Tabla1[[#This Row],[IMPORTE APROBADO]]-Tabla1[[#This Row],[AMORTIZACION2]]</f>
        <v>0</v>
      </c>
      <c r="O185" s="65" t="str">
        <f>TEXT(Tabla1[[#This Row],[EMISION]],"mmm")</f>
        <v>Oct</v>
      </c>
      <c r="P185" s="65" t="str">
        <f>TEXT(Tabla1[[#This Row],[EMISION]],"YYYY")</f>
        <v>2022</v>
      </c>
      <c r="Q185" s="71">
        <v>44838</v>
      </c>
      <c r="R185" s="65" t="str">
        <f>TEXT(Tabla1[[#This Row],[VENCIMIENTO]],"mmm")</f>
        <v>Oct</v>
      </c>
      <c r="S185" s="71">
        <f t="shared" si="8"/>
        <v>44853</v>
      </c>
      <c r="T185" s="72">
        <f ca="1">Tabla1[[#This Row],[EMISION]]+Tabla1[[#This Row],[PLAZO]]-TODAY()</f>
        <v>-516</v>
      </c>
      <c r="U185" s="64">
        <f t="shared" ca="1" si="9"/>
        <v>0</v>
      </c>
      <c r="V185" s="72"/>
      <c r="W185" s="73" t="s">
        <v>14307</v>
      </c>
      <c r="X185" s="65">
        <v>15</v>
      </c>
      <c r="Y185" s="65"/>
      <c r="Z185" s="65"/>
      <c r="AA185" s="65"/>
      <c r="AB185" s="65"/>
      <c r="AC185" s="65"/>
      <c r="AD185" s="65"/>
      <c r="AE185" s="65"/>
      <c r="AF185" s="68"/>
      <c r="AG185" s="66">
        <v>44863</v>
      </c>
      <c r="AH185" s="67" t="s">
        <v>14308</v>
      </c>
      <c r="AI185" s="65" t="s">
        <v>3060</v>
      </c>
      <c r="AJ185" s="65"/>
      <c r="AK185" s="97">
        <f t="shared" ca="1" si="5"/>
        <v>516</v>
      </c>
      <c r="AL185">
        <f>IFERROR(VLOOKUP(A185,'DATA CLIENTES'!B4482:I8284,6,FALSE),0)</f>
        <v>0</v>
      </c>
    </row>
    <row r="186" spans="1:38" x14ac:dyDescent="0.25">
      <c r="A186" s="93" t="s">
        <v>5547</v>
      </c>
      <c r="B186" s="68" t="s">
        <v>5548</v>
      </c>
      <c r="C186" s="65"/>
      <c r="D186" s="65"/>
      <c r="E186" s="65"/>
      <c r="F186" s="69"/>
      <c r="G186" s="70"/>
      <c r="H186" s="65" t="s">
        <v>14434</v>
      </c>
      <c r="I186" s="75">
        <v>3198.7464</v>
      </c>
      <c r="J186" s="75">
        <f>1000+800+1400</f>
        <v>3200</v>
      </c>
      <c r="K186" s="75"/>
      <c r="L186" s="75"/>
      <c r="M186" s="75"/>
      <c r="N186" s="75">
        <f>Tabla1[[#This Row],[IMPORTE APROBADO]]-Tabla1[[#This Row],[AMORTIZACION2]]</f>
        <v>-1.2536000000000058</v>
      </c>
      <c r="O186" s="65" t="str">
        <f>TEXT(Tabla1[[#This Row],[EMISION]],"mmm")</f>
        <v>Oct</v>
      </c>
      <c r="P186" s="65" t="str">
        <f>TEXT(Tabla1[[#This Row],[EMISION]],"YYYY")</f>
        <v>2022</v>
      </c>
      <c r="Q186" s="71">
        <v>44845</v>
      </c>
      <c r="R186" s="65" t="str">
        <f>TEXT(Tabla1[[#This Row],[VENCIMIENTO]],"mmm")</f>
        <v>Oct</v>
      </c>
      <c r="S186" s="71">
        <f t="shared" ref="S186:S195" si="10">Q186+X186</f>
        <v>44860</v>
      </c>
      <c r="T186" s="72">
        <f ca="1">Tabla1[[#This Row],[EMISION]]+Tabla1[[#This Row],[PLAZO]]-TODAY()</f>
        <v>-509</v>
      </c>
      <c r="U186" s="64">
        <f t="shared" ref="U186:U195" ca="1" si="11">IF(T186&gt;=0,$U$4,IF(AND(T186&lt;=-1,T186&gt;=-30),$U$5,IF(AND(T186&lt;=-31,T186&gt;=-60),$U$6,IF(AND(T186&lt;=-61,T186&gt;=-90),$U$7,$U$8))))</f>
        <v>0</v>
      </c>
      <c r="V186" s="72"/>
      <c r="W186" s="73" t="s">
        <v>14307</v>
      </c>
      <c r="X186" s="65">
        <v>15</v>
      </c>
      <c r="Y186" s="65"/>
      <c r="Z186" s="65"/>
      <c r="AA186" s="65"/>
      <c r="AB186" s="65"/>
      <c r="AC186" s="65"/>
      <c r="AD186" s="65"/>
      <c r="AE186" s="65"/>
      <c r="AF186" s="68"/>
      <c r="AG186" s="66">
        <v>44868</v>
      </c>
      <c r="AH186" s="67" t="s">
        <v>14308</v>
      </c>
      <c r="AI186" s="65" t="s">
        <v>3060</v>
      </c>
      <c r="AJ186" s="65"/>
      <c r="AK186" s="97">
        <f t="shared" ca="1" si="5"/>
        <v>509</v>
      </c>
      <c r="AL186">
        <f>IFERROR(VLOOKUP(A186,'DATA CLIENTES'!B4483:I8284,6,FALSE),0)</f>
        <v>0</v>
      </c>
    </row>
    <row r="187" spans="1:38" x14ac:dyDescent="0.25">
      <c r="A187" s="93" t="s">
        <v>9345</v>
      </c>
      <c r="B187" s="68" t="s">
        <v>14330</v>
      </c>
      <c r="C187" s="65"/>
      <c r="D187" s="65"/>
      <c r="E187" s="65"/>
      <c r="F187" s="69"/>
      <c r="G187" s="70"/>
      <c r="H187" s="65" t="s">
        <v>14435</v>
      </c>
      <c r="I187" s="75">
        <v>5255</v>
      </c>
      <c r="J187" s="75">
        <v>5255</v>
      </c>
      <c r="K187" s="75"/>
      <c r="L187" s="75"/>
      <c r="M187" s="75"/>
      <c r="N187" s="75">
        <f>Tabla1[[#This Row],[IMPORTE APROBADO]]-Tabla1[[#This Row],[AMORTIZACION2]]</f>
        <v>0</v>
      </c>
      <c r="O187" s="65" t="str">
        <f>TEXT(Tabla1[[#This Row],[EMISION]],"mmm")</f>
        <v>Oct</v>
      </c>
      <c r="P187" s="65" t="str">
        <f>TEXT(Tabla1[[#This Row],[EMISION]],"YYYY")</f>
        <v>2022</v>
      </c>
      <c r="Q187" s="71">
        <v>44845</v>
      </c>
      <c r="R187" s="65" t="str">
        <f>TEXT(Tabla1[[#This Row],[VENCIMIENTO]],"mmm")</f>
        <v>Oct</v>
      </c>
      <c r="S187" s="71">
        <f t="shared" si="10"/>
        <v>44852</v>
      </c>
      <c r="T187" s="72">
        <f ca="1">Tabla1[[#This Row],[EMISION]]+Tabla1[[#This Row],[PLAZO]]-TODAY()</f>
        <v>-517</v>
      </c>
      <c r="U187" s="64">
        <f t="shared" ca="1" si="11"/>
        <v>0</v>
      </c>
      <c r="V187" s="72"/>
      <c r="W187" s="73" t="s">
        <v>14307</v>
      </c>
      <c r="X187" s="65">
        <v>7</v>
      </c>
      <c r="Y187" s="65"/>
      <c r="Z187" s="65"/>
      <c r="AA187" s="65"/>
      <c r="AB187" s="65"/>
      <c r="AC187" s="65"/>
      <c r="AD187" s="65"/>
      <c r="AE187" s="65"/>
      <c r="AF187" s="68"/>
      <c r="AG187" s="66">
        <v>44853</v>
      </c>
      <c r="AH187" s="67" t="s">
        <v>14308</v>
      </c>
      <c r="AI187" s="65" t="s">
        <v>3060</v>
      </c>
      <c r="AJ187" s="65"/>
      <c r="AK187" s="97">
        <f t="shared" ca="1" si="5"/>
        <v>517</v>
      </c>
      <c r="AL187">
        <f>IFERROR(VLOOKUP(A187,'DATA CLIENTES'!B4484:I8284,6,FALSE),0)</f>
        <v>0</v>
      </c>
    </row>
    <row r="188" spans="1:38" x14ac:dyDescent="0.25">
      <c r="A188" s="93" t="s">
        <v>9824</v>
      </c>
      <c r="B188" s="68" t="s">
        <v>14331</v>
      </c>
      <c r="C188" s="65"/>
      <c r="D188" s="65"/>
      <c r="E188" s="65"/>
      <c r="F188" s="69"/>
      <c r="G188" s="70"/>
      <c r="H188" s="65" t="s">
        <v>14436</v>
      </c>
      <c r="I188" s="75">
        <v>6450</v>
      </c>
      <c r="J188" s="75">
        <f>4000+2450</f>
        <v>6450</v>
      </c>
      <c r="K188" s="75"/>
      <c r="L188" s="75"/>
      <c r="M188" s="75"/>
      <c r="N188" s="75">
        <f>Tabla1[[#This Row],[IMPORTE APROBADO]]-Tabla1[[#This Row],[AMORTIZACION2]]</f>
        <v>0</v>
      </c>
      <c r="O188" s="65" t="str">
        <f>TEXT(Tabla1[[#This Row],[EMISION]],"mmm")</f>
        <v>Oct</v>
      </c>
      <c r="P188" s="65" t="str">
        <f>TEXT(Tabla1[[#This Row],[EMISION]],"YYYY")</f>
        <v>2022</v>
      </c>
      <c r="Q188" s="71">
        <v>44845</v>
      </c>
      <c r="R188" s="65" t="str">
        <f>TEXT(Tabla1[[#This Row],[VENCIMIENTO]],"mmm")</f>
        <v>Oct</v>
      </c>
      <c r="S188" s="71">
        <f t="shared" si="10"/>
        <v>44860</v>
      </c>
      <c r="T188" s="72">
        <f ca="1">Tabla1[[#This Row],[EMISION]]+Tabla1[[#This Row],[PLAZO]]-TODAY()</f>
        <v>-509</v>
      </c>
      <c r="U188" s="64">
        <f t="shared" ca="1" si="11"/>
        <v>0</v>
      </c>
      <c r="V188" s="72"/>
      <c r="W188" s="73" t="s">
        <v>14307</v>
      </c>
      <c r="X188" s="65">
        <v>15</v>
      </c>
      <c r="Y188" s="65"/>
      <c r="Z188" s="65"/>
      <c r="AA188" s="65"/>
      <c r="AB188" s="65"/>
      <c r="AC188" s="65"/>
      <c r="AD188" s="65"/>
      <c r="AE188" s="65"/>
      <c r="AF188" s="68"/>
      <c r="AG188" s="66">
        <v>44865</v>
      </c>
      <c r="AH188" s="67" t="s">
        <v>14308</v>
      </c>
      <c r="AI188" s="65" t="s">
        <v>3060</v>
      </c>
      <c r="AJ188" s="65"/>
      <c r="AK188" s="97">
        <f t="shared" ca="1" si="5"/>
        <v>509</v>
      </c>
      <c r="AL188">
        <f>IFERROR(VLOOKUP(A188,'DATA CLIENTES'!B4485:I8284,6,FALSE),0)</f>
        <v>0</v>
      </c>
    </row>
    <row r="189" spans="1:38" x14ac:dyDescent="0.25">
      <c r="A189" s="93" t="s">
        <v>9824</v>
      </c>
      <c r="B189" s="68" t="s">
        <v>14331</v>
      </c>
      <c r="C189" s="65"/>
      <c r="D189" s="65"/>
      <c r="E189" s="65"/>
      <c r="F189" s="69"/>
      <c r="G189" s="70"/>
      <c r="H189" s="65" t="s">
        <v>14437</v>
      </c>
      <c r="I189" s="75">
        <v>3180</v>
      </c>
      <c r="J189" s="75">
        <f>1050+2130</f>
        <v>3180</v>
      </c>
      <c r="K189" s="75"/>
      <c r="L189" s="75"/>
      <c r="M189" s="75"/>
      <c r="N189" s="75">
        <f>Tabla1[[#This Row],[IMPORTE APROBADO]]-Tabla1[[#This Row],[AMORTIZACION2]]</f>
        <v>0</v>
      </c>
      <c r="O189" s="65" t="str">
        <f>TEXT(Tabla1[[#This Row],[EMISION]],"mmm")</f>
        <v>Oct</v>
      </c>
      <c r="P189" s="65" t="str">
        <f>TEXT(Tabla1[[#This Row],[EMISION]],"YYYY")</f>
        <v>2022</v>
      </c>
      <c r="Q189" s="71">
        <v>44845</v>
      </c>
      <c r="R189" s="65" t="str">
        <f>TEXT(Tabla1[[#This Row],[VENCIMIENTO]],"mmm")</f>
        <v>Oct</v>
      </c>
      <c r="S189" s="71">
        <f t="shared" si="10"/>
        <v>44860</v>
      </c>
      <c r="T189" s="72">
        <f ca="1">Tabla1[[#This Row],[EMISION]]+Tabla1[[#This Row],[PLAZO]]-TODAY()</f>
        <v>-509</v>
      </c>
      <c r="U189" s="64">
        <f t="shared" ca="1" si="11"/>
        <v>0</v>
      </c>
      <c r="V189" s="72"/>
      <c r="W189" s="73" t="s">
        <v>14307</v>
      </c>
      <c r="X189" s="65">
        <v>15</v>
      </c>
      <c r="Y189" s="65"/>
      <c r="Z189" s="65"/>
      <c r="AA189" s="65"/>
      <c r="AB189" s="65"/>
      <c r="AC189" s="65"/>
      <c r="AD189" s="65"/>
      <c r="AE189" s="65"/>
      <c r="AF189" s="68"/>
      <c r="AG189" s="66">
        <v>44868</v>
      </c>
      <c r="AH189" s="67" t="s">
        <v>14308</v>
      </c>
      <c r="AI189" s="65" t="s">
        <v>3060</v>
      </c>
      <c r="AJ189" s="65"/>
      <c r="AK189" s="97">
        <f t="shared" ca="1" si="5"/>
        <v>509</v>
      </c>
      <c r="AL189">
        <f>IFERROR(VLOOKUP(A189,'DATA CLIENTES'!B4486:I8284,6,FALSE),0)</f>
        <v>0</v>
      </c>
    </row>
    <row r="190" spans="1:38" x14ac:dyDescent="0.25">
      <c r="A190" s="93" t="s">
        <v>14428</v>
      </c>
      <c r="B190" s="68" t="s">
        <v>14427</v>
      </c>
      <c r="C190" s="65"/>
      <c r="D190" s="65"/>
      <c r="E190" s="65"/>
      <c r="F190" s="69"/>
      <c r="G190" s="70"/>
      <c r="H190" s="65" t="s">
        <v>14438</v>
      </c>
      <c r="I190" s="75">
        <v>21935.007700000002</v>
      </c>
      <c r="J190" s="75">
        <f>5000+2000+5000+3400+6535.01</f>
        <v>21935.010000000002</v>
      </c>
      <c r="K190" s="75"/>
      <c r="L190" s="75"/>
      <c r="M190" s="75"/>
      <c r="N190" s="75">
        <f>Tabla1[[#This Row],[IMPORTE APROBADO]]-Tabla1[[#This Row],[AMORTIZACION2]]</f>
        <v>-2.3000000001047738E-3</v>
      </c>
      <c r="O190" s="65" t="str">
        <f>TEXT(Tabla1[[#This Row],[EMISION]],"mmm")</f>
        <v>Oct</v>
      </c>
      <c r="P190" s="65" t="str">
        <f>TEXT(Tabla1[[#This Row],[EMISION]],"YYYY")</f>
        <v>2022</v>
      </c>
      <c r="Q190" s="71">
        <v>44847</v>
      </c>
      <c r="R190" s="65" t="str">
        <f>TEXT(Tabla1[[#This Row],[VENCIMIENTO]],"mmm")</f>
        <v>Oct</v>
      </c>
      <c r="S190" s="71">
        <f t="shared" si="10"/>
        <v>44862</v>
      </c>
      <c r="T190" s="72">
        <f ca="1">Tabla1[[#This Row],[EMISION]]+Tabla1[[#This Row],[PLAZO]]-TODAY()</f>
        <v>-507</v>
      </c>
      <c r="U190" s="64">
        <f t="shared" ca="1" si="11"/>
        <v>0</v>
      </c>
      <c r="V190" s="72"/>
      <c r="W190" s="73" t="s">
        <v>14307</v>
      </c>
      <c r="X190" s="65">
        <v>15</v>
      </c>
      <c r="Y190" s="65"/>
      <c r="Z190" s="65"/>
      <c r="AA190" s="65"/>
      <c r="AB190" s="65"/>
      <c r="AC190" s="65"/>
      <c r="AD190" s="65"/>
      <c r="AE190" s="65"/>
      <c r="AF190" s="68"/>
      <c r="AG190" s="66">
        <v>44881</v>
      </c>
      <c r="AH190" s="67" t="s">
        <v>14308</v>
      </c>
      <c r="AI190" s="65" t="s">
        <v>3060</v>
      </c>
      <c r="AJ190" s="65"/>
      <c r="AK190" s="97">
        <f t="shared" ca="1" si="5"/>
        <v>507</v>
      </c>
      <c r="AL190">
        <f>IFERROR(VLOOKUP(A190,'DATA CLIENTES'!B4487:I8284,6,FALSE),0)</f>
        <v>0</v>
      </c>
    </row>
    <row r="191" spans="1:38" x14ac:dyDescent="0.25">
      <c r="A191" s="93" t="s">
        <v>8742</v>
      </c>
      <c r="B191" s="68" t="s">
        <v>8743</v>
      </c>
      <c r="C191" s="65"/>
      <c r="D191" s="65"/>
      <c r="E191" s="65"/>
      <c r="F191" s="69"/>
      <c r="G191" s="70"/>
      <c r="H191" s="65" t="s">
        <v>14439</v>
      </c>
      <c r="I191" s="75">
        <v>23900</v>
      </c>
      <c r="J191" s="75">
        <f>3900+2000+3000+5000+5000+560+1440+2000+1000</f>
        <v>23900</v>
      </c>
      <c r="K191" s="75"/>
      <c r="L191" s="75"/>
      <c r="M191" s="75"/>
      <c r="N191" s="75">
        <f>Tabla1[[#This Row],[IMPORTE APROBADO]]-Tabla1[[#This Row],[AMORTIZACION2]]</f>
        <v>0</v>
      </c>
      <c r="O191" s="65" t="str">
        <f>TEXT(Tabla1[[#This Row],[EMISION]],"mmm")</f>
        <v>Oct</v>
      </c>
      <c r="P191" s="65" t="str">
        <f>TEXT(Tabla1[[#This Row],[EMISION]],"YYYY")</f>
        <v>2022</v>
      </c>
      <c r="Q191" s="71">
        <v>44849</v>
      </c>
      <c r="R191" s="65" t="str">
        <f>TEXT(Tabla1[[#This Row],[VENCIMIENTO]],"mmm")</f>
        <v>Oct</v>
      </c>
      <c r="S191" s="71">
        <f t="shared" si="10"/>
        <v>44864</v>
      </c>
      <c r="T191" s="72">
        <f ca="1">Tabla1[[#This Row],[EMISION]]+Tabla1[[#This Row],[PLAZO]]-TODAY()</f>
        <v>-505</v>
      </c>
      <c r="U191" s="64">
        <f t="shared" ca="1" si="11"/>
        <v>0</v>
      </c>
      <c r="V191" s="72"/>
      <c r="W191" s="73" t="s">
        <v>14307</v>
      </c>
      <c r="X191" s="65">
        <v>15</v>
      </c>
      <c r="Y191" s="65"/>
      <c r="Z191" s="65"/>
      <c r="AA191" s="65"/>
      <c r="AB191" s="65"/>
      <c r="AC191" s="65"/>
      <c r="AD191" s="65"/>
      <c r="AE191" s="65"/>
      <c r="AF191" s="68"/>
      <c r="AG191" s="66">
        <v>44924</v>
      </c>
      <c r="AH191" s="67" t="s">
        <v>14308</v>
      </c>
      <c r="AI191" s="65" t="s">
        <v>3060</v>
      </c>
      <c r="AJ191" s="65"/>
      <c r="AK191" s="97">
        <f t="shared" ca="1" si="5"/>
        <v>505</v>
      </c>
      <c r="AL191">
        <f>IFERROR(VLOOKUP(A191,'DATA CLIENTES'!B4488:I8284,6,FALSE),0)</f>
        <v>0</v>
      </c>
    </row>
    <row r="192" spans="1:38" x14ac:dyDescent="0.25">
      <c r="A192" s="93" t="s">
        <v>6422</v>
      </c>
      <c r="B192" s="68" t="s">
        <v>14440</v>
      </c>
      <c r="C192" s="65"/>
      <c r="D192" s="65"/>
      <c r="E192" s="65"/>
      <c r="F192" s="69"/>
      <c r="G192" s="70"/>
      <c r="H192" s="65" t="s">
        <v>14441</v>
      </c>
      <c r="I192" s="75">
        <v>1286.8000000000002</v>
      </c>
      <c r="J192" s="75">
        <v>1286.8</v>
      </c>
      <c r="K192" s="75"/>
      <c r="L192" s="75"/>
      <c r="M192" s="75"/>
      <c r="N192" s="75">
        <f>Tabla1[[#This Row],[IMPORTE APROBADO]]-Tabla1[[#This Row],[AMORTIZACION2]]</f>
        <v>0</v>
      </c>
      <c r="O192" s="65" t="str">
        <f>TEXT(Tabla1[[#This Row],[EMISION]],"mmm")</f>
        <v>Oct</v>
      </c>
      <c r="P192" s="65" t="str">
        <f>TEXT(Tabla1[[#This Row],[EMISION]],"YYYY")</f>
        <v>2022</v>
      </c>
      <c r="Q192" s="71">
        <v>44851</v>
      </c>
      <c r="R192" s="65" t="str">
        <f>TEXT(Tabla1[[#This Row],[VENCIMIENTO]],"mmm")</f>
        <v>Oct</v>
      </c>
      <c r="S192" s="71">
        <f t="shared" si="10"/>
        <v>44858</v>
      </c>
      <c r="T192" s="72">
        <f ca="1">Tabla1[[#This Row],[EMISION]]+Tabla1[[#This Row],[PLAZO]]-TODAY()</f>
        <v>-511</v>
      </c>
      <c r="U192" s="64">
        <f t="shared" ca="1" si="11"/>
        <v>0</v>
      </c>
      <c r="V192" s="72"/>
      <c r="W192" s="73" t="s">
        <v>14307</v>
      </c>
      <c r="X192" s="65">
        <v>7</v>
      </c>
      <c r="Y192" s="65"/>
      <c r="Z192" s="65"/>
      <c r="AA192" s="65"/>
      <c r="AB192" s="65"/>
      <c r="AC192" s="65"/>
      <c r="AD192" s="65"/>
      <c r="AE192" s="65"/>
      <c r="AF192" s="68"/>
      <c r="AG192" s="66">
        <v>44868</v>
      </c>
      <c r="AH192" s="67" t="s">
        <v>14308</v>
      </c>
      <c r="AI192" s="65" t="s">
        <v>3060</v>
      </c>
      <c r="AJ192" s="65"/>
      <c r="AK192" s="97">
        <f t="shared" ca="1" si="5"/>
        <v>511</v>
      </c>
      <c r="AL192">
        <f>IFERROR(VLOOKUP(A192,'DATA CLIENTES'!B4489:I8284,6,FALSE),0)</f>
        <v>0</v>
      </c>
    </row>
    <row r="193" spans="1:38" x14ac:dyDescent="0.25">
      <c r="A193" s="93" t="s">
        <v>6422</v>
      </c>
      <c r="B193" s="68" t="s">
        <v>14440</v>
      </c>
      <c r="C193" s="65"/>
      <c r="D193" s="65"/>
      <c r="E193" s="65"/>
      <c r="F193" s="69"/>
      <c r="G193" s="70"/>
      <c r="H193" s="65" t="s">
        <v>14442</v>
      </c>
      <c r="I193" s="75">
        <v>1483.3600000000001</v>
      </c>
      <c r="J193" s="75">
        <v>1483.36</v>
      </c>
      <c r="K193" s="75"/>
      <c r="L193" s="75"/>
      <c r="M193" s="75"/>
      <c r="N193" s="75">
        <f>Tabla1[[#This Row],[IMPORTE APROBADO]]-Tabla1[[#This Row],[AMORTIZACION2]]</f>
        <v>0</v>
      </c>
      <c r="O193" s="65" t="str">
        <f>TEXT(Tabla1[[#This Row],[EMISION]],"mmm")</f>
        <v>Oct</v>
      </c>
      <c r="P193" s="65" t="str">
        <f>TEXT(Tabla1[[#This Row],[EMISION]],"YYYY")</f>
        <v>2022</v>
      </c>
      <c r="Q193" s="71">
        <v>44851</v>
      </c>
      <c r="R193" s="65" t="str">
        <f>TEXT(Tabla1[[#This Row],[VENCIMIENTO]],"mmm")</f>
        <v>Oct</v>
      </c>
      <c r="S193" s="71">
        <f t="shared" si="10"/>
        <v>44858</v>
      </c>
      <c r="T193" s="72">
        <f ca="1">Tabla1[[#This Row],[EMISION]]+Tabla1[[#This Row],[PLAZO]]-TODAY()</f>
        <v>-511</v>
      </c>
      <c r="U193" s="64">
        <f t="shared" ca="1" si="11"/>
        <v>0</v>
      </c>
      <c r="V193" s="72"/>
      <c r="W193" s="73" t="s">
        <v>14307</v>
      </c>
      <c r="X193" s="65">
        <v>7</v>
      </c>
      <c r="Y193" s="65"/>
      <c r="Z193" s="65"/>
      <c r="AA193" s="65"/>
      <c r="AB193" s="65"/>
      <c r="AC193" s="65"/>
      <c r="AD193" s="65"/>
      <c r="AE193" s="65"/>
      <c r="AF193" s="68"/>
      <c r="AG193" s="66">
        <v>44870</v>
      </c>
      <c r="AH193" s="67" t="s">
        <v>14308</v>
      </c>
      <c r="AI193" s="65" t="s">
        <v>3060</v>
      </c>
      <c r="AJ193" s="65"/>
      <c r="AK193" s="97">
        <f t="shared" ca="1" si="5"/>
        <v>511</v>
      </c>
      <c r="AL193">
        <f>IFERROR(VLOOKUP(A193,'DATA CLIENTES'!B4490:I8284,6,FALSE),0)</f>
        <v>0</v>
      </c>
    </row>
    <row r="194" spans="1:38" x14ac:dyDescent="0.25">
      <c r="A194" s="93" t="s">
        <v>10005</v>
      </c>
      <c r="B194" s="68" t="s">
        <v>14443</v>
      </c>
      <c r="C194" s="65"/>
      <c r="D194" s="65"/>
      <c r="E194" s="65"/>
      <c r="F194" s="69"/>
      <c r="G194" s="70"/>
      <c r="H194" s="65" t="s">
        <v>14444</v>
      </c>
      <c r="I194" s="75">
        <v>1069.3</v>
      </c>
      <c r="J194" s="75">
        <v>1069.3</v>
      </c>
      <c r="K194" s="75"/>
      <c r="L194" s="75"/>
      <c r="M194" s="75"/>
      <c r="N194" s="75">
        <f>Tabla1[[#This Row],[IMPORTE APROBADO]]-Tabla1[[#This Row],[AMORTIZACION2]]</f>
        <v>0</v>
      </c>
      <c r="O194" s="65" t="str">
        <f>TEXT(Tabla1[[#This Row],[EMISION]],"mmm")</f>
        <v>Oct</v>
      </c>
      <c r="P194" s="65" t="str">
        <f>TEXT(Tabla1[[#This Row],[EMISION]],"YYYY")</f>
        <v>2022</v>
      </c>
      <c r="Q194" s="71">
        <v>44851</v>
      </c>
      <c r="R194" s="65" t="str">
        <f>TEXT(Tabla1[[#This Row],[VENCIMIENTO]],"mmm")</f>
        <v>Oct</v>
      </c>
      <c r="S194" s="71">
        <f t="shared" si="10"/>
        <v>44858</v>
      </c>
      <c r="T194" s="72">
        <f ca="1">Tabla1[[#This Row],[EMISION]]+Tabla1[[#This Row],[PLAZO]]-TODAY()</f>
        <v>-511</v>
      </c>
      <c r="U194" s="64">
        <f t="shared" ca="1" si="11"/>
        <v>0</v>
      </c>
      <c r="V194" s="72"/>
      <c r="W194" s="73" t="s">
        <v>14307</v>
      </c>
      <c r="X194" s="65">
        <v>7</v>
      </c>
      <c r="Y194" s="65"/>
      <c r="Z194" s="65"/>
      <c r="AA194" s="65"/>
      <c r="AB194" s="65"/>
      <c r="AC194" s="65"/>
      <c r="AD194" s="65"/>
      <c r="AE194" s="65"/>
      <c r="AF194" s="68"/>
      <c r="AG194" s="66">
        <v>44862</v>
      </c>
      <c r="AH194" s="67" t="s">
        <v>14308</v>
      </c>
      <c r="AI194" s="65" t="s">
        <v>3060</v>
      </c>
      <c r="AJ194" s="65"/>
      <c r="AK194" s="97">
        <f t="shared" ca="1" si="5"/>
        <v>511</v>
      </c>
      <c r="AL194">
        <f>IFERROR(VLOOKUP(A194,'DATA CLIENTES'!B4491:I8284,6,FALSE),0)</f>
        <v>0</v>
      </c>
    </row>
    <row r="195" spans="1:38" x14ac:dyDescent="0.25">
      <c r="A195" s="93" t="s">
        <v>9366</v>
      </c>
      <c r="B195" s="68" t="s">
        <v>14333</v>
      </c>
      <c r="C195" s="65"/>
      <c r="D195" s="65"/>
      <c r="E195" s="65"/>
      <c r="F195" s="69"/>
      <c r="G195" s="70"/>
      <c r="H195" s="65" t="s">
        <v>14445</v>
      </c>
      <c r="I195" s="75">
        <v>6439.3600000000006</v>
      </c>
      <c r="J195" s="75">
        <v>6439.36</v>
      </c>
      <c r="K195" s="75"/>
      <c r="L195" s="75"/>
      <c r="M195" s="75"/>
      <c r="N195" s="75">
        <f>Tabla1[[#This Row],[IMPORTE APROBADO]]-Tabla1[[#This Row],[AMORTIZACION2]]</f>
        <v>0</v>
      </c>
      <c r="O195" s="65" t="str">
        <f>TEXT(Tabla1[[#This Row],[EMISION]],"mmm")</f>
        <v>Oct</v>
      </c>
      <c r="P195" s="65" t="str">
        <f>TEXT(Tabla1[[#This Row],[EMISION]],"YYYY")</f>
        <v>2022</v>
      </c>
      <c r="Q195" s="71">
        <v>44852</v>
      </c>
      <c r="R195" s="65" t="str">
        <f>TEXT(Tabla1[[#This Row],[VENCIMIENTO]],"mmm")</f>
        <v>Nov</v>
      </c>
      <c r="S195" s="71">
        <f t="shared" si="10"/>
        <v>44867</v>
      </c>
      <c r="T195" s="72">
        <f ca="1">Tabla1[[#This Row],[EMISION]]+Tabla1[[#This Row],[PLAZO]]-TODAY()</f>
        <v>-502</v>
      </c>
      <c r="U195" s="64">
        <f t="shared" ca="1" si="11"/>
        <v>0</v>
      </c>
      <c r="V195" s="72"/>
      <c r="W195" s="73" t="s">
        <v>14307</v>
      </c>
      <c r="X195" s="65">
        <v>15</v>
      </c>
      <c r="Y195" s="65"/>
      <c r="Z195" s="65"/>
      <c r="AA195" s="65"/>
      <c r="AB195" s="65"/>
      <c r="AC195" s="65"/>
      <c r="AD195" s="65"/>
      <c r="AE195" s="65"/>
      <c r="AF195" s="68"/>
      <c r="AG195" s="66">
        <v>44865</v>
      </c>
      <c r="AH195" s="67" t="s">
        <v>14308</v>
      </c>
      <c r="AI195" s="65" t="s">
        <v>3060</v>
      </c>
      <c r="AJ195" s="65"/>
      <c r="AK195" s="97">
        <f t="shared" ca="1" si="5"/>
        <v>502</v>
      </c>
      <c r="AL195">
        <f>IFERROR(VLOOKUP(A195,'DATA CLIENTES'!B4492:I8284,6,FALSE),0)</f>
        <v>0</v>
      </c>
    </row>
    <row r="196" spans="1:38" x14ac:dyDescent="0.25">
      <c r="A196" s="93" t="s">
        <v>5294</v>
      </c>
      <c r="B196" s="68" t="s">
        <v>14306</v>
      </c>
      <c r="C196" s="65"/>
      <c r="D196" s="65"/>
      <c r="E196" s="65"/>
      <c r="F196" s="69"/>
      <c r="G196" s="70"/>
      <c r="H196" s="65" t="s">
        <v>14446</v>
      </c>
      <c r="I196" s="75">
        <v>19549.028320000001</v>
      </c>
      <c r="J196" s="75">
        <v>19549.03</v>
      </c>
      <c r="K196" s="75"/>
      <c r="L196" s="75"/>
      <c r="M196" s="75"/>
      <c r="N196" s="75">
        <f>Tabla1[[#This Row],[IMPORTE APROBADO]]-Tabla1[[#This Row],[AMORTIZACION2]]</f>
        <v>-1.6799999975773972E-3</v>
      </c>
      <c r="O196" s="65" t="str">
        <f>TEXT(Tabla1[[#This Row],[EMISION]],"mmm")</f>
        <v>Oct</v>
      </c>
      <c r="P196" s="65" t="str">
        <f>TEXT(Tabla1[[#This Row],[EMISION]],"YYYY")</f>
        <v>2022</v>
      </c>
      <c r="Q196" s="71">
        <v>44853</v>
      </c>
      <c r="R196" s="65" t="str">
        <f>TEXT(Tabla1[[#This Row],[VENCIMIENTO]],"mmm")</f>
        <v>Nov</v>
      </c>
      <c r="S196" s="71">
        <f t="shared" ref="S196:S209" si="12">Q196+X196</f>
        <v>44883</v>
      </c>
      <c r="T196" s="72">
        <f ca="1">Tabla1[[#This Row],[EMISION]]+Tabla1[[#This Row],[PLAZO]]-TODAY()</f>
        <v>-486</v>
      </c>
      <c r="U196" s="64">
        <f t="shared" ref="U196:U209" ca="1" si="13">IF(T196&gt;=0,$U$4,IF(AND(T196&lt;=-1,T196&gt;=-30),$U$5,IF(AND(T196&lt;=-31,T196&gt;=-60),$U$6,IF(AND(T196&lt;=-61,T196&gt;=-90),$U$7,$U$8))))</f>
        <v>0</v>
      </c>
      <c r="V196" s="72"/>
      <c r="W196" s="73" t="s">
        <v>14307</v>
      </c>
      <c r="X196" s="65">
        <v>30</v>
      </c>
      <c r="Y196" s="65"/>
      <c r="Z196" s="65"/>
      <c r="AA196" s="65"/>
      <c r="AB196" s="65"/>
      <c r="AC196" s="65"/>
      <c r="AD196" s="65"/>
      <c r="AE196" s="65"/>
      <c r="AF196" s="68"/>
      <c r="AG196" s="66">
        <v>44883</v>
      </c>
      <c r="AH196" s="67" t="s">
        <v>14308</v>
      </c>
      <c r="AI196" s="65" t="s">
        <v>3060</v>
      </c>
      <c r="AJ196" s="65"/>
      <c r="AK196" s="97">
        <f t="shared" ca="1" si="5"/>
        <v>486</v>
      </c>
      <c r="AL196">
        <f>IFERROR(VLOOKUP(A196,'DATA CLIENTES'!B4493:I8284,6,FALSE),0)</f>
        <v>0</v>
      </c>
    </row>
    <row r="197" spans="1:38" x14ac:dyDescent="0.25">
      <c r="A197" s="93" t="s">
        <v>6507</v>
      </c>
      <c r="B197" s="68" t="s">
        <v>6508</v>
      </c>
      <c r="C197" s="65"/>
      <c r="D197" s="65"/>
      <c r="E197" s="65"/>
      <c r="F197" s="69"/>
      <c r="G197" s="70"/>
      <c r="H197" s="65" t="s">
        <v>14447</v>
      </c>
      <c r="I197" s="75">
        <v>40738.800000000003</v>
      </c>
      <c r="J197" s="75">
        <v>40738.800000000003</v>
      </c>
      <c r="K197" s="75"/>
      <c r="L197" s="75"/>
      <c r="M197" s="75"/>
      <c r="N197" s="75">
        <f>Tabla1[[#This Row],[IMPORTE APROBADO]]-Tabla1[[#This Row],[AMORTIZACION2]]</f>
        <v>0</v>
      </c>
      <c r="O197" s="65" t="str">
        <f>TEXT(Tabla1[[#This Row],[EMISION]],"mmm")</f>
        <v>Oct</v>
      </c>
      <c r="P197" s="65" t="str">
        <f>TEXT(Tabla1[[#This Row],[EMISION]],"YYYY")</f>
        <v>2022</v>
      </c>
      <c r="Q197" s="71">
        <v>44853</v>
      </c>
      <c r="R197" s="65" t="str">
        <f>TEXT(Tabla1[[#This Row],[VENCIMIENTO]],"mmm")</f>
        <v>Nov</v>
      </c>
      <c r="S197" s="71">
        <f t="shared" si="12"/>
        <v>44868</v>
      </c>
      <c r="T197" s="72">
        <f ca="1">Tabla1[[#This Row],[EMISION]]+Tabla1[[#This Row],[PLAZO]]-TODAY()</f>
        <v>-501</v>
      </c>
      <c r="U197" s="64">
        <f t="shared" ca="1" si="13"/>
        <v>0</v>
      </c>
      <c r="V197" s="72"/>
      <c r="W197" s="73" t="s">
        <v>14307</v>
      </c>
      <c r="X197" s="65">
        <v>15</v>
      </c>
      <c r="Y197" s="65"/>
      <c r="Z197" s="65"/>
      <c r="AA197" s="65"/>
      <c r="AB197" s="65"/>
      <c r="AC197" s="65"/>
      <c r="AD197" s="65"/>
      <c r="AE197" s="65"/>
      <c r="AF197" s="68"/>
      <c r="AG197" s="66">
        <v>44853</v>
      </c>
      <c r="AH197" s="67" t="s">
        <v>14308</v>
      </c>
      <c r="AI197" s="65" t="s">
        <v>3060</v>
      </c>
      <c r="AJ197" s="65"/>
      <c r="AK197" s="97">
        <f t="shared" ca="1" si="5"/>
        <v>501</v>
      </c>
      <c r="AL197">
        <f>IFERROR(VLOOKUP(A197,'DATA CLIENTES'!B4494:I8284,6,FALSE),0)</f>
        <v>0</v>
      </c>
    </row>
    <row r="198" spans="1:38" x14ac:dyDescent="0.25">
      <c r="A198" s="93" t="s">
        <v>6507</v>
      </c>
      <c r="B198" s="68" t="s">
        <v>6508</v>
      </c>
      <c r="C198" s="65"/>
      <c r="D198" s="65"/>
      <c r="E198" s="65"/>
      <c r="F198" s="69"/>
      <c r="G198" s="70"/>
      <c r="H198" s="65" t="s">
        <v>14448</v>
      </c>
      <c r="I198" s="75">
        <v>8096</v>
      </c>
      <c r="J198" s="75">
        <f>801.2+6000+500+794.88</f>
        <v>8096.08</v>
      </c>
      <c r="K198" s="75"/>
      <c r="L198" s="75"/>
      <c r="M198" s="75"/>
      <c r="N198" s="75">
        <f>Tabla1[[#This Row],[IMPORTE APROBADO]]-Tabla1[[#This Row],[AMORTIZACION2]]</f>
        <v>-7.999999999992724E-2</v>
      </c>
      <c r="O198" s="65" t="str">
        <f>TEXT(Tabla1[[#This Row],[EMISION]],"mmm")</f>
        <v>Oct</v>
      </c>
      <c r="P198" s="65" t="str">
        <f>TEXT(Tabla1[[#This Row],[EMISION]],"YYYY")</f>
        <v>2022</v>
      </c>
      <c r="Q198" s="71">
        <v>44853</v>
      </c>
      <c r="R198" s="65" t="str">
        <f>TEXT(Tabla1[[#This Row],[VENCIMIENTO]],"mmm")</f>
        <v>Nov</v>
      </c>
      <c r="S198" s="71">
        <f t="shared" si="12"/>
        <v>44868</v>
      </c>
      <c r="T198" s="72">
        <f ca="1">Tabla1[[#This Row],[EMISION]]+Tabla1[[#This Row],[PLAZO]]-TODAY()</f>
        <v>-501</v>
      </c>
      <c r="U198" s="64">
        <f t="shared" ca="1" si="13"/>
        <v>0</v>
      </c>
      <c r="V198" s="72"/>
      <c r="W198" s="73" t="s">
        <v>14307</v>
      </c>
      <c r="X198" s="65">
        <v>15</v>
      </c>
      <c r="Y198" s="65"/>
      <c r="Z198" s="65"/>
      <c r="AA198" s="65"/>
      <c r="AB198" s="65"/>
      <c r="AC198" s="65"/>
      <c r="AD198" s="65"/>
      <c r="AE198" s="65"/>
      <c r="AF198" s="68"/>
      <c r="AG198" s="66">
        <v>44859</v>
      </c>
      <c r="AH198" s="67" t="s">
        <v>14308</v>
      </c>
      <c r="AI198" s="65" t="s">
        <v>3060</v>
      </c>
      <c r="AJ198" s="65"/>
      <c r="AK198" s="97">
        <f t="shared" ca="1" si="5"/>
        <v>501</v>
      </c>
      <c r="AL198">
        <f>IFERROR(VLOOKUP(A198,'DATA CLIENTES'!B4495:I8284,6,FALSE),0)</f>
        <v>0</v>
      </c>
    </row>
    <row r="199" spans="1:38" x14ac:dyDescent="0.25">
      <c r="A199" s="93" t="s">
        <v>9570</v>
      </c>
      <c r="B199" s="68" t="s">
        <v>14418</v>
      </c>
      <c r="C199" s="65"/>
      <c r="D199" s="65"/>
      <c r="E199" s="65"/>
      <c r="F199" s="69"/>
      <c r="G199" s="70"/>
      <c r="H199" s="65" t="s">
        <v>14449</v>
      </c>
      <c r="I199" s="75">
        <v>1012.63</v>
      </c>
      <c r="J199" s="75">
        <v>1012.63</v>
      </c>
      <c r="K199" s="75"/>
      <c r="L199" s="75"/>
      <c r="M199" s="75"/>
      <c r="N199" s="75">
        <f>Tabla1[[#This Row],[IMPORTE APROBADO]]-Tabla1[[#This Row],[AMORTIZACION2]]</f>
        <v>0</v>
      </c>
      <c r="O199" s="65" t="str">
        <f>TEXT(Tabla1[[#This Row],[EMISION]],"mmm")</f>
        <v>Oct</v>
      </c>
      <c r="P199" s="65" t="str">
        <f>TEXT(Tabla1[[#This Row],[EMISION]],"YYYY")</f>
        <v>2022</v>
      </c>
      <c r="Q199" s="71">
        <v>44855</v>
      </c>
      <c r="R199" s="65" t="str">
        <f>TEXT(Tabla1[[#This Row],[VENCIMIENTO]],"mmm")</f>
        <v>Nov</v>
      </c>
      <c r="S199" s="71">
        <f t="shared" si="12"/>
        <v>44870</v>
      </c>
      <c r="T199" s="72">
        <f ca="1">Tabla1[[#This Row],[EMISION]]+Tabla1[[#This Row],[PLAZO]]-TODAY()</f>
        <v>-499</v>
      </c>
      <c r="U199" s="64">
        <f t="shared" ca="1" si="13"/>
        <v>0</v>
      </c>
      <c r="V199" s="72"/>
      <c r="W199" s="73" t="s">
        <v>14307</v>
      </c>
      <c r="X199" s="65">
        <v>15</v>
      </c>
      <c r="Y199" s="65"/>
      <c r="Z199" s="65"/>
      <c r="AA199" s="65"/>
      <c r="AB199" s="65"/>
      <c r="AC199" s="65"/>
      <c r="AD199" s="65"/>
      <c r="AE199" s="65"/>
      <c r="AF199" s="68"/>
      <c r="AG199" s="66">
        <v>44881</v>
      </c>
      <c r="AH199" s="67" t="s">
        <v>14308</v>
      </c>
      <c r="AI199" s="65" t="s">
        <v>3060</v>
      </c>
      <c r="AJ199" s="65"/>
      <c r="AK199" s="97">
        <f t="shared" ca="1" si="5"/>
        <v>499</v>
      </c>
      <c r="AL199">
        <f>IFERROR(VLOOKUP(A199,'DATA CLIENTES'!B4496:I8284,6,FALSE),0)</f>
        <v>0</v>
      </c>
    </row>
    <row r="200" spans="1:38" x14ac:dyDescent="0.25">
      <c r="A200" s="93" t="s">
        <v>6507</v>
      </c>
      <c r="B200" s="68" t="s">
        <v>6508</v>
      </c>
      <c r="C200" s="65"/>
      <c r="D200" s="65"/>
      <c r="E200" s="65"/>
      <c r="F200" s="69"/>
      <c r="G200" s="70"/>
      <c r="H200" s="65" t="s">
        <v>14450</v>
      </c>
      <c r="I200" s="75">
        <v>14630.581</v>
      </c>
      <c r="J200" s="75">
        <f>1295.53+3335.05+10000</f>
        <v>14630.58</v>
      </c>
      <c r="K200" s="75"/>
      <c r="L200" s="75"/>
      <c r="M200" s="75"/>
      <c r="N200" s="75">
        <f>Tabla1[[#This Row],[IMPORTE APROBADO]]-Tabla1[[#This Row],[AMORTIZACION2]]</f>
        <v>1.0000000002037268E-3</v>
      </c>
      <c r="O200" s="65" t="str">
        <f>TEXT(Tabla1[[#This Row],[EMISION]],"mmm")</f>
        <v>Oct</v>
      </c>
      <c r="P200" s="65" t="str">
        <f>TEXT(Tabla1[[#This Row],[EMISION]],"YYYY")</f>
        <v>2022</v>
      </c>
      <c r="Q200" s="71">
        <v>44856</v>
      </c>
      <c r="R200" s="65" t="str">
        <f>TEXT(Tabla1[[#This Row],[VENCIMIENTO]],"mmm")</f>
        <v>Oct</v>
      </c>
      <c r="S200" s="71">
        <f t="shared" si="12"/>
        <v>44863</v>
      </c>
      <c r="T200" s="72">
        <f ca="1">Tabla1[[#This Row],[EMISION]]+Tabla1[[#This Row],[PLAZO]]-TODAY()</f>
        <v>-506</v>
      </c>
      <c r="U200" s="64">
        <f t="shared" ca="1" si="13"/>
        <v>0</v>
      </c>
      <c r="V200" s="72"/>
      <c r="W200" s="73" t="s">
        <v>14307</v>
      </c>
      <c r="X200" s="65">
        <v>7</v>
      </c>
      <c r="Y200" s="65"/>
      <c r="Z200" s="65"/>
      <c r="AA200" s="65"/>
      <c r="AB200" s="65"/>
      <c r="AC200" s="65"/>
      <c r="AD200" s="65"/>
      <c r="AE200" s="65"/>
      <c r="AF200" s="68"/>
      <c r="AG200" s="66">
        <v>44861</v>
      </c>
      <c r="AH200" s="67" t="s">
        <v>14308</v>
      </c>
      <c r="AI200" s="65" t="s">
        <v>3060</v>
      </c>
      <c r="AJ200" s="65"/>
      <c r="AK200" s="97">
        <f t="shared" ca="1" si="5"/>
        <v>506</v>
      </c>
      <c r="AL200">
        <f>IFERROR(VLOOKUP(A200,'DATA CLIENTES'!B4497:I8284,6,FALSE),0)</f>
        <v>0</v>
      </c>
    </row>
    <row r="201" spans="1:38" x14ac:dyDescent="0.25">
      <c r="A201" s="93" t="s">
        <v>9812</v>
      </c>
      <c r="B201" s="68" t="s">
        <v>9813</v>
      </c>
      <c r="C201" s="65"/>
      <c r="D201" s="65"/>
      <c r="E201" s="65"/>
      <c r="F201" s="69"/>
      <c r="G201" s="70"/>
      <c r="H201" s="65" t="s">
        <v>14451</v>
      </c>
      <c r="I201" s="75">
        <v>2540</v>
      </c>
      <c r="J201" s="75">
        <v>2540</v>
      </c>
      <c r="K201" s="75"/>
      <c r="L201" s="75"/>
      <c r="M201" s="75"/>
      <c r="N201" s="75">
        <f>Tabla1[[#This Row],[IMPORTE APROBADO]]-Tabla1[[#This Row],[AMORTIZACION2]]</f>
        <v>0</v>
      </c>
      <c r="O201" s="65" t="str">
        <f>TEXT(Tabla1[[#This Row],[EMISION]],"mmm")</f>
        <v>Oct</v>
      </c>
      <c r="P201" s="65" t="str">
        <f>TEXT(Tabla1[[#This Row],[EMISION]],"YYYY")</f>
        <v>2022</v>
      </c>
      <c r="Q201" s="71">
        <v>44860</v>
      </c>
      <c r="R201" s="65" t="str">
        <f>TEXT(Tabla1[[#This Row],[VENCIMIENTO]],"mmm")</f>
        <v>Nov</v>
      </c>
      <c r="S201" s="71">
        <f t="shared" si="12"/>
        <v>44875</v>
      </c>
      <c r="T201" s="72">
        <f ca="1">Tabla1[[#This Row],[EMISION]]+Tabla1[[#This Row],[PLAZO]]-TODAY()</f>
        <v>-494</v>
      </c>
      <c r="U201" s="64">
        <f t="shared" ca="1" si="13"/>
        <v>0</v>
      </c>
      <c r="V201" s="72"/>
      <c r="W201" s="73" t="s">
        <v>14307</v>
      </c>
      <c r="X201" s="65">
        <v>15</v>
      </c>
      <c r="Y201" s="65"/>
      <c r="Z201" s="65"/>
      <c r="AA201" s="65"/>
      <c r="AB201" s="65"/>
      <c r="AC201" s="65"/>
      <c r="AD201" s="65"/>
      <c r="AE201" s="65"/>
      <c r="AF201" s="68"/>
      <c r="AG201" s="66">
        <v>44877</v>
      </c>
      <c r="AH201" s="67" t="s">
        <v>14308</v>
      </c>
      <c r="AI201" s="65" t="s">
        <v>3060</v>
      </c>
      <c r="AJ201" s="65"/>
      <c r="AK201" s="97">
        <f t="shared" ca="1" si="5"/>
        <v>494</v>
      </c>
      <c r="AL201">
        <f>IFERROR(VLOOKUP(A201,'DATA CLIENTES'!B4498:I8284,6,FALSE),0)</f>
        <v>0</v>
      </c>
    </row>
    <row r="202" spans="1:38" x14ac:dyDescent="0.25">
      <c r="A202" s="93" t="s">
        <v>8786</v>
      </c>
      <c r="B202" s="68" t="s">
        <v>8787</v>
      </c>
      <c r="C202" s="65"/>
      <c r="D202" s="65"/>
      <c r="E202" s="65"/>
      <c r="F202" s="69"/>
      <c r="G202" s="70"/>
      <c r="H202" s="65" t="s">
        <v>14452</v>
      </c>
      <c r="I202" s="75">
        <v>980.76</v>
      </c>
      <c r="J202" s="75">
        <f>200+75.76+125+250+130+200</f>
        <v>980.76</v>
      </c>
      <c r="K202" s="75"/>
      <c r="L202" s="75"/>
      <c r="M202" s="75"/>
      <c r="N202" s="75">
        <f>Tabla1[[#This Row],[IMPORTE APROBADO]]-Tabla1[[#This Row],[AMORTIZACION2]]</f>
        <v>0</v>
      </c>
      <c r="O202" s="65" t="str">
        <f>TEXT(Tabla1[[#This Row],[EMISION]],"mmm")</f>
        <v>Oct</v>
      </c>
      <c r="P202" s="65" t="str">
        <f>TEXT(Tabla1[[#This Row],[EMISION]],"YYYY")</f>
        <v>2022</v>
      </c>
      <c r="Q202" s="71">
        <v>44860</v>
      </c>
      <c r="R202" s="65" t="str">
        <f>TEXT(Tabla1[[#This Row],[VENCIMIENTO]],"mmm")</f>
        <v>Nov</v>
      </c>
      <c r="S202" s="71">
        <f t="shared" si="12"/>
        <v>44875</v>
      </c>
      <c r="T202" s="72">
        <f ca="1">Tabla1[[#This Row],[EMISION]]+Tabla1[[#This Row],[PLAZO]]-TODAY()</f>
        <v>-494</v>
      </c>
      <c r="U202" s="64">
        <f t="shared" ca="1" si="13"/>
        <v>0</v>
      </c>
      <c r="V202" s="72"/>
      <c r="W202" s="73" t="s">
        <v>14307</v>
      </c>
      <c r="X202" s="65">
        <v>15</v>
      </c>
      <c r="Y202" s="65"/>
      <c r="Z202" s="65"/>
      <c r="AA202" s="65"/>
      <c r="AB202" s="65"/>
      <c r="AC202" s="65"/>
      <c r="AD202" s="65"/>
      <c r="AE202" s="65"/>
      <c r="AF202" s="68"/>
      <c r="AG202" s="66">
        <v>44893</v>
      </c>
      <c r="AH202" s="67" t="s">
        <v>14308</v>
      </c>
      <c r="AI202" s="65" t="s">
        <v>3060</v>
      </c>
      <c r="AJ202" s="65"/>
      <c r="AK202" s="97">
        <f t="shared" ca="1" si="5"/>
        <v>494</v>
      </c>
      <c r="AL202">
        <f>IFERROR(VLOOKUP(A202,'DATA CLIENTES'!B4499:I8284,6,FALSE),0)</f>
        <v>0</v>
      </c>
    </row>
    <row r="203" spans="1:38" x14ac:dyDescent="0.25">
      <c r="A203" s="93" t="s">
        <v>6657</v>
      </c>
      <c r="B203" s="68" t="s">
        <v>6658</v>
      </c>
      <c r="C203" s="65"/>
      <c r="D203" s="65"/>
      <c r="E203" s="65"/>
      <c r="F203" s="69"/>
      <c r="G203" s="70"/>
      <c r="H203" s="65" t="s">
        <v>14453</v>
      </c>
      <c r="I203" s="75">
        <v>1678.27</v>
      </c>
      <c r="J203" s="75">
        <f>1000+678.27</f>
        <v>1678.27</v>
      </c>
      <c r="K203" s="75"/>
      <c r="L203" s="75"/>
      <c r="M203" s="75"/>
      <c r="N203" s="75">
        <f>Tabla1[[#This Row],[IMPORTE APROBADO]]-Tabla1[[#This Row],[AMORTIZACION2]]</f>
        <v>0</v>
      </c>
      <c r="O203" s="65" t="str">
        <f>TEXT(Tabla1[[#This Row],[EMISION]],"mmm")</f>
        <v>Oct</v>
      </c>
      <c r="P203" s="65" t="str">
        <f>TEXT(Tabla1[[#This Row],[EMISION]],"YYYY")</f>
        <v>2022</v>
      </c>
      <c r="Q203" s="71">
        <v>44861</v>
      </c>
      <c r="R203" s="65" t="str">
        <f>TEXT(Tabla1[[#This Row],[VENCIMIENTO]],"mmm")</f>
        <v>Nov</v>
      </c>
      <c r="S203" s="71">
        <f t="shared" si="12"/>
        <v>44876</v>
      </c>
      <c r="T203" s="72">
        <f ca="1">Tabla1[[#This Row],[EMISION]]+Tabla1[[#This Row],[PLAZO]]-TODAY()</f>
        <v>-493</v>
      </c>
      <c r="U203" s="64">
        <f t="shared" ca="1" si="13"/>
        <v>0</v>
      </c>
      <c r="V203" s="72"/>
      <c r="W203" s="73" t="s">
        <v>14307</v>
      </c>
      <c r="X203" s="65">
        <v>15</v>
      </c>
      <c r="Y203" s="65"/>
      <c r="Z203" s="65"/>
      <c r="AA203" s="65"/>
      <c r="AB203" s="65"/>
      <c r="AC203" s="65"/>
      <c r="AD203" s="65"/>
      <c r="AE203" s="65"/>
      <c r="AF203" s="68"/>
      <c r="AG203" s="66">
        <v>44859</v>
      </c>
      <c r="AH203" s="67" t="s">
        <v>14308</v>
      </c>
      <c r="AI203" s="65" t="s">
        <v>3060</v>
      </c>
      <c r="AJ203" s="65"/>
      <c r="AK203" s="97">
        <f t="shared" ca="1" si="5"/>
        <v>493</v>
      </c>
      <c r="AL203">
        <f>IFERROR(VLOOKUP(A203,'DATA CLIENTES'!B4500:I8284,6,FALSE),0)</f>
        <v>0</v>
      </c>
    </row>
    <row r="204" spans="1:38" x14ac:dyDescent="0.25">
      <c r="A204" s="93" t="s">
        <v>6657</v>
      </c>
      <c r="B204" s="68" t="s">
        <v>6658</v>
      </c>
      <c r="C204" s="65"/>
      <c r="D204" s="65"/>
      <c r="E204" s="65"/>
      <c r="F204" s="69"/>
      <c r="G204" s="70"/>
      <c r="H204" s="65" t="s">
        <v>14454</v>
      </c>
      <c r="I204" s="75">
        <v>714.03</v>
      </c>
      <c r="J204" s="75">
        <f>321.73+392.3</f>
        <v>714.03</v>
      </c>
      <c r="K204" s="75"/>
      <c r="L204" s="75"/>
      <c r="M204" s="75"/>
      <c r="N204" s="75">
        <f>Tabla1[[#This Row],[IMPORTE APROBADO]]-Tabla1[[#This Row],[AMORTIZACION2]]</f>
        <v>0</v>
      </c>
      <c r="O204" s="65" t="str">
        <f>TEXT(Tabla1[[#This Row],[EMISION]],"mmm")</f>
        <v>Oct</v>
      </c>
      <c r="P204" s="65" t="str">
        <f>TEXT(Tabla1[[#This Row],[EMISION]],"YYYY")</f>
        <v>2022</v>
      </c>
      <c r="Q204" s="71">
        <v>44861</v>
      </c>
      <c r="R204" s="65" t="str">
        <f>TEXT(Tabla1[[#This Row],[VENCIMIENTO]],"mmm")</f>
        <v>Nov</v>
      </c>
      <c r="S204" s="71">
        <f t="shared" si="12"/>
        <v>44876</v>
      </c>
      <c r="T204" s="72">
        <f ca="1">Tabla1[[#This Row],[EMISION]]+Tabla1[[#This Row],[PLAZO]]-TODAY()</f>
        <v>-493</v>
      </c>
      <c r="U204" s="64">
        <f t="shared" ca="1" si="13"/>
        <v>0</v>
      </c>
      <c r="V204" s="72"/>
      <c r="W204" s="73" t="s">
        <v>14307</v>
      </c>
      <c r="X204" s="65">
        <v>15</v>
      </c>
      <c r="Y204" s="65"/>
      <c r="Z204" s="65"/>
      <c r="AA204" s="65"/>
      <c r="AB204" s="65"/>
      <c r="AC204" s="65"/>
      <c r="AD204" s="65"/>
      <c r="AE204" s="65"/>
      <c r="AF204" s="68"/>
      <c r="AG204" s="66">
        <v>44860</v>
      </c>
      <c r="AH204" s="67" t="s">
        <v>14308</v>
      </c>
      <c r="AI204" s="65" t="s">
        <v>3060</v>
      </c>
      <c r="AJ204" s="65"/>
      <c r="AK204" s="97">
        <f t="shared" ca="1" si="5"/>
        <v>493</v>
      </c>
      <c r="AL204">
        <f>IFERROR(VLOOKUP(A204,'DATA CLIENTES'!B4501:I8284,6,FALSE),0)</f>
        <v>0</v>
      </c>
    </row>
    <row r="205" spans="1:38" x14ac:dyDescent="0.25">
      <c r="A205" s="93" t="s">
        <v>6657</v>
      </c>
      <c r="B205" s="68" t="s">
        <v>6658</v>
      </c>
      <c r="C205" s="65"/>
      <c r="D205" s="65"/>
      <c r="E205" s="65"/>
      <c r="F205" s="69"/>
      <c r="G205" s="70"/>
      <c r="H205" s="65" t="s">
        <v>14455</v>
      </c>
      <c r="I205" s="75">
        <v>6185</v>
      </c>
      <c r="J205" s="75">
        <f>607.7+1000+300+467+500+1000+1000+1000+310.3</f>
        <v>6185</v>
      </c>
      <c r="K205" s="75"/>
      <c r="L205" s="75"/>
      <c r="M205" s="75"/>
      <c r="N205" s="75">
        <f>Tabla1[[#This Row],[IMPORTE APROBADO]]-Tabla1[[#This Row],[AMORTIZACION2]]</f>
        <v>0</v>
      </c>
      <c r="O205" s="65" t="str">
        <f>TEXT(Tabla1[[#This Row],[EMISION]],"mmm")</f>
        <v>Oct</v>
      </c>
      <c r="P205" s="65" t="str">
        <f>TEXT(Tabla1[[#This Row],[EMISION]],"YYYY")</f>
        <v>2022</v>
      </c>
      <c r="Q205" s="71">
        <v>44861</v>
      </c>
      <c r="R205" s="65" t="str">
        <f>TEXT(Tabla1[[#This Row],[VENCIMIENTO]],"mmm")</f>
        <v>Nov</v>
      </c>
      <c r="S205" s="71">
        <f t="shared" si="12"/>
        <v>44876</v>
      </c>
      <c r="T205" s="72">
        <f ca="1">Tabla1[[#This Row],[EMISION]]+Tabla1[[#This Row],[PLAZO]]-TODAY()</f>
        <v>-493</v>
      </c>
      <c r="U205" s="64">
        <f t="shared" ca="1" si="13"/>
        <v>0</v>
      </c>
      <c r="V205" s="72"/>
      <c r="W205" s="73" t="s">
        <v>14307</v>
      </c>
      <c r="X205" s="65">
        <v>15</v>
      </c>
      <c r="Y205" s="65"/>
      <c r="Z205" s="65"/>
      <c r="AA205" s="65"/>
      <c r="AB205" s="65"/>
      <c r="AC205" s="65"/>
      <c r="AD205" s="65"/>
      <c r="AE205" s="65"/>
      <c r="AF205" s="68"/>
      <c r="AG205" s="66">
        <v>44883</v>
      </c>
      <c r="AH205" s="67" t="s">
        <v>14308</v>
      </c>
      <c r="AI205" s="65" t="s">
        <v>3060</v>
      </c>
      <c r="AJ205" s="65"/>
      <c r="AK205" s="97">
        <f t="shared" ca="1" si="5"/>
        <v>493</v>
      </c>
      <c r="AL205">
        <f>IFERROR(VLOOKUP(A205,'DATA CLIENTES'!B4502:I8284,6,FALSE),0)</f>
        <v>0</v>
      </c>
    </row>
    <row r="206" spans="1:38" x14ac:dyDescent="0.25">
      <c r="A206" s="93" t="s">
        <v>6507</v>
      </c>
      <c r="B206" s="68" t="s">
        <v>6508</v>
      </c>
      <c r="C206" s="65"/>
      <c r="D206" s="65"/>
      <c r="E206" s="65"/>
      <c r="F206" s="69"/>
      <c r="G206" s="70"/>
      <c r="H206" s="65" t="s">
        <v>14456</v>
      </c>
      <c r="I206" s="75">
        <v>3600.02988</v>
      </c>
      <c r="J206" s="75">
        <v>3600.03</v>
      </c>
      <c r="K206" s="75"/>
      <c r="L206" s="75"/>
      <c r="M206" s="75"/>
      <c r="N206" s="75">
        <f>Tabla1[[#This Row],[IMPORTE APROBADO]]-Tabla1[[#This Row],[AMORTIZACION2]]</f>
        <v>-1.2000000015177648E-4</v>
      </c>
      <c r="O206" s="65" t="str">
        <f>TEXT(Tabla1[[#This Row],[EMISION]],"mmm")</f>
        <v>Oct</v>
      </c>
      <c r="P206" s="65" t="str">
        <f>TEXT(Tabla1[[#This Row],[EMISION]],"YYYY")</f>
        <v>2022</v>
      </c>
      <c r="Q206" s="71">
        <v>44862</v>
      </c>
      <c r="R206" s="65" t="str">
        <f>TEXT(Tabla1[[#This Row],[VENCIMIENTO]],"mmm")</f>
        <v>Nov</v>
      </c>
      <c r="S206" s="71">
        <f t="shared" si="12"/>
        <v>44877</v>
      </c>
      <c r="T206" s="72">
        <f ca="1">Tabla1[[#This Row],[EMISION]]+Tabla1[[#This Row],[PLAZO]]-TODAY()</f>
        <v>-492</v>
      </c>
      <c r="U206" s="64">
        <f t="shared" ca="1" si="13"/>
        <v>0</v>
      </c>
      <c r="V206" s="72"/>
      <c r="W206" s="73" t="s">
        <v>14307</v>
      </c>
      <c r="X206" s="65">
        <v>15</v>
      </c>
      <c r="Y206" s="65"/>
      <c r="Z206" s="65"/>
      <c r="AA206" s="65"/>
      <c r="AB206" s="65"/>
      <c r="AC206" s="65"/>
      <c r="AD206" s="65"/>
      <c r="AE206" s="65"/>
      <c r="AF206" s="68"/>
      <c r="AG206" s="66">
        <v>44865</v>
      </c>
      <c r="AH206" s="67" t="s">
        <v>14308</v>
      </c>
      <c r="AI206" s="65" t="s">
        <v>3060</v>
      </c>
      <c r="AJ206" s="65"/>
      <c r="AK206" s="97">
        <f t="shared" ref="AK206:AK269" ca="1" si="14">TODAY() - S206</f>
        <v>492</v>
      </c>
      <c r="AL206">
        <f>IFERROR(VLOOKUP(A206,'DATA CLIENTES'!B4503:I8284,6,FALSE),0)</f>
        <v>0</v>
      </c>
    </row>
    <row r="207" spans="1:38" x14ac:dyDescent="0.25">
      <c r="A207" s="93" t="s">
        <v>6507</v>
      </c>
      <c r="B207" s="68" t="s">
        <v>6508</v>
      </c>
      <c r="C207" s="65"/>
      <c r="D207" s="65"/>
      <c r="E207" s="65"/>
      <c r="F207" s="69"/>
      <c r="G207" s="70"/>
      <c r="H207" s="65" t="s">
        <v>14457</v>
      </c>
      <c r="I207" s="75">
        <v>23499.995500000001</v>
      </c>
      <c r="J207" s="75">
        <f>2449.97+6050+1168.92+2900+3500+4600+2831.11</f>
        <v>23500</v>
      </c>
      <c r="K207" s="75"/>
      <c r="L207" s="75"/>
      <c r="M207" s="75"/>
      <c r="N207" s="75">
        <f>Tabla1[[#This Row],[IMPORTE APROBADO]]-Tabla1[[#This Row],[AMORTIZACION2]]</f>
        <v>-4.4999999990977813E-3</v>
      </c>
      <c r="O207" s="65" t="str">
        <f>TEXT(Tabla1[[#This Row],[EMISION]],"mmm")</f>
        <v>Oct</v>
      </c>
      <c r="P207" s="65" t="str">
        <f>TEXT(Tabla1[[#This Row],[EMISION]],"YYYY")</f>
        <v>2022</v>
      </c>
      <c r="Q207" s="71">
        <v>44862</v>
      </c>
      <c r="R207" s="65" t="str">
        <f>TEXT(Tabla1[[#This Row],[VENCIMIENTO]],"mmm")</f>
        <v>Nov</v>
      </c>
      <c r="S207" s="71">
        <f t="shared" si="12"/>
        <v>44877</v>
      </c>
      <c r="T207" s="72">
        <f ca="1">Tabla1[[#This Row],[EMISION]]+Tabla1[[#This Row],[PLAZO]]-TODAY()</f>
        <v>-492</v>
      </c>
      <c r="U207" s="64">
        <f t="shared" ca="1" si="13"/>
        <v>0</v>
      </c>
      <c r="V207" s="72"/>
      <c r="W207" s="73" t="s">
        <v>14307</v>
      </c>
      <c r="X207" s="65">
        <v>15</v>
      </c>
      <c r="Y207" s="65"/>
      <c r="Z207" s="65"/>
      <c r="AA207" s="65"/>
      <c r="AB207" s="65"/>
      <c r="AC207" s="65"/>
      <c r="AD207" s="65"/>
      <c r="AE207" s="65"/>
      <c r="AF207" s="68"/>
      <c r="AG207" s="66">
        <v>44882</v>
      </c>
      <c r="AH207" s="67" t="s">
        <v>14308</v>
      </c>
      <c r="AI207" s="65" t="s">
        <v>3060</v>
      </c>
      <c r="AJ207" s="65"/>
      <c r="AK207" s="97">
        <f t="shared" ca="1" si="14"/>
        <v>492</v>
      </c>
      <c r="AL207">
        <f>IFERROR(VLOOKUP(A207,'DATA CLIENTES'!B4504:I8284,6,FALSE),0)</f>
        <v>0</v>
      </c>
    </row>
    <row r="208" spans="1:38" x14ac:dyDescent="0.25">
      <c r="A208" s="93" t="s">
        <v>8577</v>
      </c>
      <c r="B208" s="68" t="s">
        <v>14458</v>
      </c>
      <c r="C208" s="65"/>
      <c r="D208" s="65"/>
      <c r="E208" s="65"/>
      <c r="F208" s="69"/>
      <c r="G208" s="70"/>
      <c r="H208" s="65" t="s">
        <v>14459</v>
      </c>
      <c r="I208" s="75">
        <f>1169.19-684</f>
        <v>485.19000000000005</v>
      </c>
      <c r="J208" s="75">
        <v>485.19</v>
      </c>
      <c r="K208" s="75"/>
      <c r="L208" s="75"/>
      <c r="M208" s="75"/>
      <c r="N208" s="75">
        <f>Tabla1[[#This Row],[IMPORTE APROBADO]]-Tabla1[[#This Row],[AMORTIZACION2]]</f>
        <v>0</v>
      </c>
      <c r="O208" s="65" t="str">
        <f>TEXT(Tabla1[[#This Row],[EMISION]],"mmm")</f>
        <v>Oct</v>
      </c>
      <c r="P208" s="65" t="str">
        <f>TEXT(Tabla1[[#This Row],[EMISION]],"YYYY")</f>
        <v>2022</v>
      </c>
      <c r="Q208" s="71">
        <v>44862</v>
      </c>
      <c r="R208" s="65" t="str">
        <f>TEXT(Tabla1[[#This Row],[VENCIMIENTO]],"mmm")</f>
        <v>Nov</v>
      </c>
      <c r="S208" s="71">
        <f t="shared" si="12"/>
        <v>44869</v>
      </c>
      <c r="T208" s="72">
        <f ca="1">Tabla1[[#This Row],[EMISION]]+Tabla1[[#This Row],[PLAZO]]-TODAY()</f>
        <v>-500</v>
      </c>
      <c r="U208" s="64">
        <f t="shared" ca="1" si="13"/>
        <v>0</v>
      </c>
      <c r="V208" s="72"/>
      <c r="W208" s="73" t="s">
        <v>14307</v>
      </c>
      <c r="X208" s="65">
        <v>7</v>
      </c>
      <c r="Y208" s="65"/>
      <c r="Z208" s="65"/>
      <c r="AA208" s="65"/>
      <c r="AB208" s="65"/>
      <c r="AC208" s="65"/>
      <c r="AD208" s="65"/>
      <c r="AE208" s="65"/>
      <c r="AF208" s="68"/>
      <c r="AG208" s="66">
        <v>44868</v>
      </c>
      <c r="AH208" s="67" t="s">
        <v>14308</v>
      </c>
      <c r="AI208" s="65" t="s">
        <v>3060</v>
      </c>
      <c r="AJ208" s="65"/>
      <c r="AK208" s="97">
        <f t="shared" ca="1" si="14"/>
        <v>500</v>
      </c>
      <c r="AL208">
        <f>IFERROR(VLOOKUP(A208,'DATA CLIENTES'!B4505:I8284,6,FALSE),0)</f>
        <v>0</v>
      </c>
    </row>
    <row r="209" spans="1:38" x14ac:dyDescent="0.25">
      <c r="A209" s="93" t="s">
        <v>9887</v>
      </c>
      <c r="B209" s="68" t="s">
        <v>9888</v>
      </c>
      <c r="C209" s="65"/>
      <c r="D209" s="65"/>
      <c r="E209" s="65"/>
      <c r="F209" s="69"/>
      <c r="G209" s="70"/>
      <c r="H209" s="65" t="s">
        <v>14460</v>
      </c>
      <c r="I209" s="75">
        <v>1082.98</v>
      </c>
      <c r="J209" s="75">
        <v>1082.98</v>
      </c>
      <c r="K209" s="75"/>
      <c r="L209" s="75"/>
      <c r="M209" s="75"/>
      <c r="N209" s="75">
        <f>Tabla1[[#This Row],[IMPORTE APROBADO]]-Tabla1[[#This Row],[AMORTIZACION2]]</f>
        <v>0</v>
      </c>
      <c r="O209" s="65" t="str">
        <f>TEXT(Tabla1[[#This Row],[EMISION]],"mmm")</f>
        <v>Oct</v>
      </c>
      <c r="P209" s="65" t="str">
        <f>TEXT(Tabla1[[#This Row],[EMISION]],"YYYY")</f>
        <v>2022</v>
      </c>
      <c r="Q209" s="71">
        <v>44862</v>
      </c>
      <c r="R209" s="65" t="str">
        <f>TEXT(Tabla1[[#This Row],[VENCIMIENTO]],"mmm")</f>
        <v>Nov</v>
      </c>
      <c r="S209" s="71">
        <f t="shared" si="12"/>
        <v>44877</v>
      </c>
      <c r="T209" s="72">
        <f ca="1">Tabla1[[#This Row],[EMISION]]+Tabla1[[#This Row],[PLAZO]]-TODAY()</f>
        <v>-492</v>
      </c>
      <c r="U209" s="64">
        <f t="shared" ca="1" si="13"/>
        <v>0</v>
      </c>
      <c r="V209" s="72"/>
      <c r="W209" s="73" t="s">
        <v>14307</v>
      </c>
      <c r="X209" s="65">
        <v>15</v>
      </c>
      <c r="Y209" s="65"/>
      <c r="Z209" s="65"/>
      <c r="AA209" s="65"/>
      <c r="AB209" s="65"/>
      <c r="AC209" s="65"/>
      <c r="AD209" s="65"/>
      <c r="AE209" s="65"/>
      <c r="AF209" s="68"/>
      <c r="AG209" s="66">
        <v>44881</v>
      </c>
      <c r="AH209" s="67" t="s">
        <v>14308</v>
      </c>
      <c r="AI209" s="65" t="s">
        <v>3060</v>
      </c>
      <c r="AJ209" s="65"/>
      <c r="AK209" s="97">
        <f t="shared" ca="1" si="14"/>
        <v>492</v>
      </c>
      <c r="AL209">
        <f>IFERROR(VLOOKUP(A209,'DATA CLIENTES'!B4506:I8284,6,FALSE),0)</f>
        <v>0</v>
      </c>
    </row>
    <row r="210" spans="1:38" x14ac:dyDescent="0.25">
      <c r="A210" s="93" t="s">
        <v>9887</v>
      </c>
      <c r="B210" s="68" t="s">
        <v>9888</v>
      </c>
      <c r="C210" s="65"/>
      <c r="D210" s="65"/>
      <c r="E210" s="65"/>
      <c r="F210" s="69"/>
      <c r="G210" s="70"/>
      <c r="H210" s="65" t="s">
        <v>14461</v>
      </c>
      <c r="I210" s="75">
        <v>606.25</v>
      </c>
      <c r="J210" s="75">
        <v>606.29999999999995</v>
      </c>
      <c r="K210" s="75"/>
      <c r="L210" s="75"/>
      <c r="M210" s="75"/>
      <c r="N210" s="75">
        <f>Tabla1[[#This Row],[IMPORTE APROBADO]]-Tabla1[[#This Row],[AMORTIZACION2]]</f>
        <v>-4.9999999999954525E-2</v>
      </c>
      <c r="O210" s="65" t="str">
        <f>TEXT(Tabla1[[#This Row],[EMISION]],"mmm")</f>
        <v>Oct</v>
      </c>
      <c r="P210" s="65" t="str">
        <f>TEXT(Tabla1[[#This Row],[EMISION]],"YYYY")</f>
        <v>2022</v>
      </c>
      <c r="Q210" s="71">
        <v>44862</v>
      </c>
      <c r="R210" s="65" t="str">
        <f>TEXT(Tabla1[[#This Row],[VENCIMIENTO]],"mmm")</f>
        <v>Nov</v>
      </c>
      <c r="S210" s="71">
        <f t="shared" ref="S210:S224" si="15">Q210+X210</f>
        <v>44877</v>
      </c>
      <c r="T210" s="72">
        <f ca="1">Tabla1[[#This Row],[EMISION]]+Tabla1[[#This Row],[PLAZO]]-TODAY()</f>
        <v>-492</v>
      </c>
      <c r="U210" s="64">
        <f t="shared" ref="U210:U224" ca="1" si="16">IF(T210&gt;=0,$U$4,IF(AND(T210&lt;=-1,T210&gt;=-30),$U$5,IF(AND(T210&lt;=-31,T210&gt;=-60),$U$6,IF(AND(T210&lt;=-61,T210&gt;=-90),$U$7,$U$8))))</f>
        <v>0</v>
      </c>
      <c r="V210" s="72"/>
      <c r="W210" s="73" t="s">
        <v>14307</v>
      </c>
      <c r="X210" s="65">
        <v>15</v>
      </c>
      <c r="Y210" s="65"/>
      <c r="Z210" s="65"/>
      <c r="AA210" s="65"/>
      <c r="AB210" s="65"/>
      <c r="AC210" s="65"/>
      <c r="AD210" s="65"/>
      <c r="AE210" s="65"/>
      <c r="AF210" s="68"/>
      <c r="AG210" s="66">
        <v>44882</v>
      </c>
      <c r="AH210" s="67" t="s">
        <v>14308</v>
      </c>
      <c r="AI210" s="65" t="s">
        <v>3060</v>
      </c>
      <c r="AJ210" s="65"/>
      <c r="AK210" s="97">
        <f t="shared" ca="1" si="14"/>
        <v>492</v>
      </c>
      <c r="AL210">
        <f>IFERROR(VLOOKUP(A210,'DATA CLIENTES'!B4507:I8284,6,FALSE),0)</f>
        <v>0</v>
      </c>
    </row>
    <row r="211" spans="1:38" x14ac:dyDescent="0.25">
      <c r="A211" s="93" t="s">
        <v>9345</v>
      </c>
      <c r="B211" s="68" t="s">
        <v>14330</v>
      </c>
      <c r="C211" s="65"/>
      <c r="D211" s="65"/>
      <c r="E211" s="65"/>
      <c r="F211" s="69"/>
      <c r="G211" s="70"/>
      <c r="H211" s="65" t="s">
        <v>14462</v>
      </c>
      <c r="I211" s="75">
        <v>18684.996609999998</v>
      </c>
      <c r="J211" s="75">
        <f>4685+5500+2500+2000+2000+2000</f>
        <v>18685</v>
      </c>
      <c r="K211" s="75"/>
      <c r="L211" s="75"/>
      <c r="M211" s="75"/>
      <c r="N211" s="75">
        <f>Tabla1[[#This Row],[IMPORTE APROBADO]]-Tabla1[[#This Row],[AMORTIZACION2]]</f>
        <v>-3.3900000016728882E-3</v>
      </c>
      <c r="O211" s="65" t="str">
        <f>TEXT(Tabla1[[#This Row],[EMISION]],"mmm")</f>
        <v>Oct</v>
      </c>
      <c r="P211" s="65" t="str">
        <f>TEXT(Tabla1[[#This Row],[EMISION]],"YYYY")</f>
        <v>2022</v>
      </c>
      <c r="Q211" s="71">
        <v>44863</v>
      </c>
      <c r="R211" s="65" t="str">
        <f>TEXT(Tabla1[[#This Row],[VENCIMIENTO]],"mmm")</f>
        <v>Nov</v>
      </c>
      <c r="S211" s="71">
        <f t="shared" si="15"/>
        <v>44878</v>
      </c>
      <c r="T211" s="72">
        <f ca="1">Tabla1[[#This Row],[EMISION]]+Tabla1[[#This Row],[PLAZO]]-TODAY()</f>
        <v>-491</v>
      </c>
      <c r="U211" s="64">
        <f t="shared" ca="1" si="16"/>
        <v>0</v>
      </c>
      <c r="V211" s="72"/>
      <c r="W211" s="73" t="s">
        <v>14307</v>
      </c>
      <c r="X211" s="65">
        <v>15</v>
      </c>
      <c r="Y211" s="65"/>
      <c r="Z211" s="65"/>
      <c r="AA211" s="65"/>
      <c r="AB211" s="65"/>
      <c r="AC211" s="65"/>
      <c r="AD211" s="65"/>
      <c r="AE211" s="65"/>
      <c r="AF211" s="68"/>
      <c r="AG211" s="66">
        <v>44901</v>
      </c>
      <c r="AH211" s="67" t="s">
        <v>14308</v>
      </c>
      <c r="AI211" s="65" t="s">
        <v>3060</v>
      </c>
      <c r="AJ211" s="65"/>
      <c r="AK211" s="97">
        <f t="shared" ca="1" si="14"/>
        <v>491</v>
      </c>
      <c r="AL211">
        <f>IFERROR(VLOOKUP(A211,'DATA CLIENTES'!B4508:I8284,6,FALSE),0)</f>
        <v>0</v>
      </c>
    </row>
    <row r="212" spans="1:38" x14ac:dyDescent="0.25">
      <c r="A212" s="93" t="s">
        <v>8072</v>
      </c>
      <c r="B212" s="68" t="s">
        <v>14463</v>
      </c>
      <c r="C212" s="65"/>
      <c r="D212" s="65"/>
      <c r="E212" s="65"/>
      <c r="F212" s="69"/>
      <c r="G212" s="70"/>
      <c r="H212" s="65" t="s">
        <v>14464</v>
      </c>
      <c r="I212" s="75">
        <v>5997</v>
      </c>
      <c r="J212" s="75">
        <f>1820+1000+350+231</f>
        <v>3401</v>
      </c>
      <c r="K212" s="75"/>
      <c r="L212" s="75"/>
      <c r="M212" s="75"/>
      <c r="N212" s="75">
        <f>Tabla1[[#This Row],[IMPORTE APROBADO]]-Tabla1[[#This Row],[AMORTIZACION2]]</f>
        <v>2596</v>
      </c>
      <c r="O212" s="65" t="str">
        <f>TEXT(Tabla1[[#This Row],[EMISION]],"mmm")</f>
        <v>Oct</v>
      </c>
      <c r="P212" s="65" t="str">
        <f>TEXT(Tabla1[[#This Row],[EMISION]],"YYYY")</f>
        <v>2022</v>
      </c>
      <c r="Q212" s="71">
        <v>44865</v>
      </c>
      <c r="R212" s="65" t="str">
        <f>TEXT(Tabla1[[#This Row],[VENCIMIENTO]],"mmm")</f>
        <v>Dic</v>
      </c>
      <c r="S212" s="71">
        <f t="shared" si="15"/>
        <v>44925</v>
      </c>
      <c r="T212" s="72">
        <f ca="1">Tabla1[[#This Row],[EMISION]]+Tabla1[[#This Row],[PLAZO]]-TODAY()</f>
        <v>-444</v>
      </c>
      <c r="U212" s="64">
        <f t="shared" ca="1" si="16"/>
        <v>0</v>
      </c>
      <c r="V212" s="72" t="s">
        <v>14465</v>
      </c>
      <c r="W212" s="73" t="s">
        <v>14307</v>
      </c>
      <c r="X212" s="65">
        <v>60</v>
      </c>
      <c r="Y212" s="65"/>
      <c r="Z212" s="65"/>
      <c r="AA212" s="65"/>
      <c r="AB212" s="65"/>
      <c r="AC212" s="65"/>
      <c r="AD212" s="65"/>
      <c r="AE212" s="65"/>
      <c r="AF212" s="68"/>
      <c r="AG212" s="66"/>
      <c r="AH212" s="67" t="s">
        <v>14313</v>
      </c>
      <c r="AI212" s="65" t="s">
        <v>3060</v>
      </c>
      <c r="AJ212" s="65"/>
      <c r="AK212" s="97">
        <f t="shared" ca="1" si="14"/>
        <v>444</v>
      </c>
      <c r="AL212">
        <f>IFERROR(VLOOKUP(A212,'DATA CLIENTES'!B4509:I8284,6,FALSE),0)</f>
        <v>0</v>
      </c>
    </row>
    <row r="213" spans="1:38" x14ac:dyDescent="0.25">
      <c r="A213" s="93" t="s">
        <v>14428</v>
      </c>
      <c r="B213" s="68" t="s">
        <v>14427</v>
      </c>
      <c r="C213" s="65"/>
      <c r="D213" s="65"/>
      <c r="E213" s="65"/>
      <c r="F213" s="69"/>
      <c r="G213" s="70"/>
      <c r="H213" s="65" t="s">
        <v>14466</v>
      </c>
      <c r="I213" s="75">
        <v>21674.002400000001</v>
      </c>
      <c r="J213" s="75">
        <f>7000+4500+4174+6000</f>
        <v>21674</v>
      </c>
      <c r="K213" s="75"/>
      <c r="L213" s="75"/>
      <c r="M213" s="75"/>
      <c r="N213" s="75">
        <f>Tabla1[[#This Row],[IMPORTE APROBADO]]-Tabla1[[#This Row],[AMORTIZACION2]]</f>
        <v>2.4000000012165401E-3</v>
      </c>
      <c r="O213" s="65" t="str">
        <f>TEXT(Tabla1[[#This Row],[EMISION]],"mmm")</f>
        <v>Oct</v>
      </c>
      <c r="P213" s="65" t="str">
        <f>TEXT(Tabla1[[#This Row],[EMISION]],"YYYY")</f>
        <v>2022</v>
      </c>
      <c r="Q213" s="71">
        <v>44865</v>
      </c>
      <c r="R213" s="65" t="str">
        <f>TEXT(Tabla1[[#This Row],[VENCIMIENTO]],"mmm")</f>
        <v>Nov</v>
      </c>
      <c r="S213" s="71">
        <f t="shared" si="15"/>
        <v>44880</v>
      </c>
      <c r="T213" s="72">
        <f ca="1">Tabla1[[#This Row],[EMISION]]+Tabla1[[#This Row],[PLAZO]]-TODAY()</f>
        <v>-489</v>
      </c>
      <c r="U213" s="64">
        <f t="shared" ca="1" si="16"/>
        <v>0</v>
      </c>
      <c r="V213" s="72"/>
      <c r="W213" s="73" t="s">
        <v>14307</v>
      </c>
      <c r="X213" s="65">
        <v>15</v>
      </c>
      <c r="Y213" s="65"/>
      <c r="Z213" s="65"/>
      <c r="AA213" s="65"/>
      <c r="AB213" s="65"/>
      <c r="AC213" s="65"/>
      <c r="AD213" s="65"/>
      <c r="AE213" s="65"/>
      <c r="AF213" s="68"/>
      <c r="AG213" s="66">
        <v>44902</v>
      </c>
      <c r="AH213" s="67" t="s">
        <v>14308</v>
      </c>
      <c r="AI213" s="65" t="s">
        <v>3060</v>
      </c>
      <c r="AJ213" s="65"/>
      <c r="AK213" s="97">
        <f t="shared" ca="1" si="14"/>
        <v>489</v>
      </c>
      <c r="AL213">
        <f>IFERROR(VLOOKUP(A213,'DATA CLIENTES'!B4510:I8284,6,FALSE),0)</f>
        <v>0</v>
      </c>
    </row>
    <row r="214" spans="1:38" x14ac:dyDescent="0.25">
      <c r="A214" s="93" t="s">
        <v>3254</v>
      </c>
      <c r="B214" s="68" t="s">
        <v>14467</v>
      </c>
      <c r="C214" s="65"/>
      <c r="D214" s="65"/>
      <c r="E214" s="65"/>
      <c r="F214" s="69"/>
      <c r="G214" s="70"/>
      <c r="H214" s="65" t="s">
        <v>14468</v>
      </c>
      <c r="I214" s="75">
        <v>895</v>
      </c>
      <c r="J214" s="75">
        <f>100+795</f>
        <v>895</v>
      </c>
      <c r="K214" s="75"/>
      <c r="L214" s="75"/>
      <c r="M214" s="75"/>
      <c r="N214" s="75">
        <f>Tabla1[[#This Row],[IMPORTE APROBADO]]-Tabla1[[#This Row],[AMORTIZACION2]]</f>
        <v>0</v>
      </c>
      <c r="O214" s="65" t="str">
        <f>TEXT(Tabla1[[#This Row],[EMISION]],"mmm")</f>
        <v>Nov</v>
      </c>
      <c r="P214" s="65" t="str">
        <f>TEXT(Tabla1[[#This Row],[EMISION]],"YYYY")</f>
        <v>2022</v>
      </c>
      <c r="Q214" s="71">
        <v>44867</v>
      </c>
      <c r="R214" s="65" t="str">
        <f>TEXT(Tabla1[[#This Row],[VENCIMIENTO]],"mmm")</f>
        <v>Dic</v>
      </c>
      <c r="S214" s="71">
        <f t="shared" si="15"/>
        <v>44897</v>
      </c>
      <c r="T214" s="72">
        <f ca="1">Tabla1[[#This Row],[EMISION]]+Tabla1[[#This Row],[PLAZO]]-TODAY()</f>
        <v>-472</v>
      </c>
      <c r="U214" s="64">
        <f t="shared" ca="1" si="16"/>
        <v>0</v>
      </c>
      <c r="V214" s="72"/>
      <c r="W214" s="73" t="s">
        <v>14307</v>
      </c>
      <c r="X214" s="65">
        <v>30</v>
      </c>
      <c r="Y214" s="65"/>
      <c r="Z214" s="65"/>
      <c r="AA214" s="65"/>
      <c r="AB214" s="65"/>
      <c r="AC214" s="65"/>
      <c r="AD214" s="65"/>
      <c r="AE214" s="65"/>
      <c r="AF214" s="68"/>
      <c r="AG214" s="66">
        <v>44910</v>
      </c>
      <c r="AH214" s="67" t="s">
        <v>14308</v>
      </c>
      <c r="AI214" s="65" t="s">
        <v>3060</v>
      </c>
      <c r="AJ214" s="65"/>
      <c r="AK214" s="97">
        <f t="shared" ca="1" si="14"/>
        <v>472</v>
      </c>
      <c r="AL214">
        <f>IFERROR(VLOOKUP(A214,'DATA CLIENTES'!B4511:I8284,6,FALSE),0)</f>
        <v>0</v>
      </c>
    </row>
    <row r="215" spans="1:38" x14ac:dyDescent="0.25">
      <c r="A215" s="93" t="s">
        <v>9366</v>
      </c>
      <c r="B215" s="68" t="s">
        <v>14333</v>
      </c>
      <c r="C215" s="65"/>
      <c r="D215" s="65"/>
      <c r="E215" s="65"/>
      <c r="F215" s="69"/>
      <c r="G215" s="70"/>
      <c r="H215" s="65" t="s">
        <v>14469</v>
      </c>
      <c r="I215" s="75">
        <v>7574</v>
      </c>
      <c r="J215" s="75">
        <v>7574</v>
      </c>
      <c r="K215" s="75"/>
      <c r="L215" s="75"/>
      <c r="M215" s="75"/>
      <c r="N215" s="75">
        <f>Tabla1[[#This Row],[IMPORTE APROBADO]]-Tabla1[[#This Row],[AMORTIZACION2]]</f>
        <v>0</v>
      </c>
      <c r="O215" s="65" t="str">
        <f>TEXT(Tabla1[[#This Row],[EMISION]],"mmm")</f>
        <v>Nov</v>
      </c>
      <c r="P215" s="65" t="str">
        <f>TEXT(Tabla1[[#This Row],[EMISION]],"YYYY")</f>
        <v>2022</v>
      </c>
      <c r="Q215" s="71">
        <v>44869</v>
      </c>
      <c r="R215" s="65" t="str">
        <f>TEXT(Tabla1[[#This Row],[VENCIMIENTO]],"mmm")</f>
        <v>Nov</v>
      </c>
      <c r="S215" s="71">
        <f t="shared" si="15"/>
        <v>44884</v>
      </c>
      <c r="T215" s="72">
        <f ca="1">Tabla1[[#This Row],[EMISION]]+Tabla1[[#This Row],[PLAZO]]-TODAY()</f>
        <v>-485</v>
      </c>
      <c r="U215" s="64">
        <f t="shared" ca="1" si="16"/>
        <v>0</v>
      </c>
      <c r="V215" s="72"/>
      <c r="W215" s="73" t="s">
        <v>14307</v>
      </c>
      <c r="X215" s="65">
        <v>15</v>
      </c>
      <c r="Y215" s="65"/>
      <c r="Z215" s="65"/>
      <c r="AA215" s="65"/>
      <c r="AB215" s="65"/>
      <c r="AC215" s="65"/>
      <c r="AD215" s="65"/>
      <c r="AE215" s="65"/>
      <c r="AF215" s="68"/>
      <c r="AG215" s="66">
        <v>44879</v>
      </c>
      <c r="AH215" s="67" t="s">
        <v>14308</v>
      </c>
      <c r="AI215" s="65" t="s">
        <v>3060</v>
      </c>
      <c r="AJ215" s="65"/>
      <c r="AK215" s="97">
        <f t="shared" ca="1" si="14"/>
        <v>485</v>
      </c>
      <c r="AL215">
        <f>IFERROR(VLOOKUP(A215,'DATA CLIENTES'!B4512:I8284,6,FALSE),0)</f>
        <v>0</v>
      </c>
    </row>
    <row r="216" spans="1:38" x14ac:dyDescent="0.25">
      <c r="A216" s="93" t="s">
        <v>13132</v>
      </c>
      <c r="B216" s="68" t="s">
        <v>13133</v>
      </c>
      <c r="C216" s="65"/>
      <c r="D216" s="65"/>
      <c r="E216" s="65"/>
      <c r="F216" s="69"/>
      <c r="G216" s="70"/>
      <c r="H216" s="65" t="s">
        <v>14470</v>
      </c>
      <c r="I216" s="75">
        <v>1300</v>
      </c>
      <c r="J216" s="75">
        <f>300+400+600</f>
        <v>1300</v>
      </c>
      <c r="K216" s="75"/>
      <c r="L216" s="75"/>
      <c r="M216" s="75"/>
      <c r="N216" s="75">
        <f>Tabla1[[#This Row],[IMPORTE APROBADO]]-Tabla1[[#This Row],[AMORTIZACION2]]</f>
        <v>0</v>
      </c>
      <c r="O216" s="65" t="str">
        <f>TEXT(Tabla1[[#This Row],[EMISION]],"mmm")</f>
        <v>Nov</v>
      </c>
      <c r="P216" s="65" t="str">
        <f>TEXT(Tabla1[[#This Row],[EMISION]],"YYYY")</f>
        <v>2022</v>
      </c>
      <c r="Q216" s="71">
        <v>44870</v>
      </c>
      <c r="R216" s="65" t="str">
        <f>TEXT(Tabla1[[#This Row],[VENCIMIENTO]],"mmm")</f>
        <v>Ene</v>
      </c>
      <c r="S216" s="71">
        <f t="shared" si="15"/>
        <v>44930</v>
      </c>
      <c r="T216" s="72">
        <f ca="1">Tabla1[[#This Row],[EMISION]]+Tabla1[[#This Row],[PLAZO]]-TODAY()</f>
        <v>-439</v>
      </c>
      <c r="U216" s="64">
        <f t="shared" ca="1" si="16"/>
        <v>0</v>
      </c>
      <c r="V216" s="72"/>
      <c r="W216" s="73" t="s">
        <v>14307</v>
      </c>
      <c r="X216" s="65">
        <v>60</v>
      </c>
      <c r="Y216" s="65"/>
      <c r="Z216" s="65"/>
      <c r="AA216" s="65"/>
      <c r="AB216" s="65"/>
      <c r="AC216" s="65"/>
      <c r="AD216" s="65"/>
      <c r="AE216" s="65"/>
      <c r="AF216" s="68"/>
      <c r="AG216" s="66">
        <v>44926</v>
      </c>
      <c r="AH216" s="67" t="s">
        <v>14308</v>
      </c>
      <c r="AI216" s="65" t="s">
        <v>3060</v>
      </c>
      <c r="AJ216" s="65"/>
      <c r="AK216" s="97">
        <f t="shared" ca="1" si="14"/>
        <v>439</v>
      </c>
      <c r="AL216">
        <f>IFERROR(VLOOKUP(A216,'DATA CLIENTES'!B4513:I8284,6,FALSE),0)</f>
        <v>0</v>
      </c>
    </row>
    <row r="217" spans="1:38" x14ac:dyDescent="0.25">
      <c r="A217" s="93" t="s">
        <v>8577</v>
      </c>
      <c r="B217" s="68" t="s">
        <v>14458</v>
      </c>
      <c r="C217" s="65"/>
      <c r="D217" s="65"/>
      <c r="E217" s="65"/>
      <c r="F217" s="69"/>
      <c r="G217" s="70"/>
      <c r="H217" s="65" t="s">
        <v>14471</v>
      </c>
      <c r="I217" s="75">
        <v>1103.4000000000001</v>
      </c>
      <c r="J217" s="75">
        <v>1103.4000000000001</v>
      </c>
      <c r="K217" s="75"/>
      <c r="L217" s="75"/>
      <c r="M217" s="75"/>
      <c r="N217" s="75">
        <f>Tabla1[[#This Row],[IMPORTE APROBADO]]-Tabla1[[#This Row],[AMORTIZACION2]]</f>
        <v>0</v>
      </c>
      <c r="O217" s="65" t="str">
        <f>TEXT(Tabla1[[#This Row],[EMISION]],"mmm")</f>
        <v>Nov</v>
      </c>
      <c r="P217" s="65" t="str">
        <f>TEXT(Tabla1[[#This Row],[EMISION]],"YYYY")</f>
        <v>2022</v>
      </c>
      <c r="Q217" s="71">
        <v>44870</v>
      </c>
      <c r="R217" s="65" t="str">
        <f>TEXT(Tabla1[[#This Row],[VENCIMIENTO]],"mmm")</f>
        <v>Nov</v>
      </c>
      <c r="S217" s="71">
        <f t="shared" si="15"/>
        <v>44877</v>
      </c>
      <c r="T217" s="72">
        <f ca="1">Tabla1[[#This Row],[EMISION]]+Tabla1[[#This Row],[PLAZO]]-TODAY()</f>
        <v>-492</v>
      </c>
      <c r="U217" s="64">
        <f t="shared" ca="1" si="16"/>
        <v>0</v>
      </c>
      <c r="V217" s="72"/>
      <c r="W217" s="73" t="s">
        <v>14307</v>
      </c>
      <c r="X217" s="65">
        <v>7</v>
      </c>
      <c r="Y217" s="65"/>
      <c r="Z217" s="65"/>
      <c r="AA217" s="65"/>
      <c r="AB217" s="65"/>
      <c r="AC217" s="65"/>
      <c r="AD217" s="65"/>
      <c r="AE217" s="65"/>
      <c r="AF217" s="68"/>
      <c r="AG217" s="66">
        <v>44881</v>
      </c>
      <c r="AH217" s="67" t="s">
        <v>14308</v>
      </c>
      <c r="AI217" s="65" t="s">
        <v>3060</v>
      </c>
      <c r="AJ217" s="65"/>
      <c r="AK217" s="97">
        <f t="shared" ca="1" si="14"/>
        <v>492</v>
      </c>
      <c r="AL217">
        <f>IFERROR(VLOOKUP(A217,'DATA CLIENTES'!B4514:I8284,6,FALSE),0)</f>
        <v>0</v>
      </c>
    </row>
    <row r="218" spans="1:38" x14ac:dyDescent="0.25">
      <c r="A218" s="93" t="s">
        <v>9824</v>
      </c>
      <c r="B218" s="68" t="s">
        <v>14331</v>
      </c>
      <c r="C218" s="65"/>
      <c r="D218" s="65"/>
      <c r="E218" s="65"/>
      <c r="F218" s="69"/>
      <c r="G218" s="70"/>
      <c r="H218" s="65" t="s">
        <v>14472</v>
      </c>
      <c r="I218" s="75">
        <v>1587.36</v>
      </c>
      <c r="J218" s="75">
        <f>1107.78+479.58</f>
        <v>1587.36</v>
      </c>
      <c r="K218" s="75"/>
      <c r="L218" s="75"/>
      <c r="M218" s="75"/>
      <c r="N218" s="75">
        <f>Tabla1[[#This Row],[IMPORTE APROBADO]]-Tabla1[[#This Row],[AMORTIZACION2]]</f>
        <v>0</v>
      </c>
      <c r="O218" s="65" t="str">
        <f>TEXT(Tabla1[[#This Row],[EMISION]],"mmm")</f>
        <v>Nov</v>
      </c>
      <c r="P218" s="65" t="str">
        <f>TEXT(Tabla1[[#This Row],[EMISION]],"YYYY")</f>
        <v>2022</v>
      </c>
      <c r="Q218" s="71">
        <v>44870</v>
      </c>
      <c r="R218" s="65" t="str">
        <f>TEXT(Tabla1[[#This Row],[VENCIMIENTO]],"mmm")</f>
        <v>Nov</v>
      </c>
      <c r="S218" s="71">
        <f t="shared" si="15"/>
        <v>44885</v>
      </c>
      <c r="T218" s="72">
        <f ca="1">Tabla1[[#This Row],[EMISION]]+Tabla1[[#This Row],[PLAZO]]-TODAY()</f>
        <v>-484</v>
      </c>
      <c r="U218" s="64">
        <f t="shared" ca="1" si="16"/>
        <v>0</v>
      </c>
      <c r="V218" s="72"/>
      <c r="W218" s="73" t="s">
        <v>14307</v>
      </c>
      <c r="X218" s="65">
        <v>15</v>
      </c>
      <c r="Y218" s="65"/>
      <c r="Z218" s="65"/>
      <c r="AA218" s="65"/>
      <c r="AB218" s="65"/>
      <c r="AC218" s="65"/>
      <c r="AD218" s="65"/>
      <c r="AE218" s="65"/>
      <c r="AF218" s="68"/>
      <c r="AG218" s="66">
        <v>44911</v>
      </c>
      <c r="AH218" s="67" t="s">
        <v>14308</v>
      </c>
      <c r="AI218" s="65" t="s">
        <v>3060</v>
      </c>
      <c r="AJ218" s="65"/>
      <c r="AK218" s="97">
        <f t="shared" ca="1" si="14"/>
        <v>484</v>
      </c>
      <c r="AL218">
        <f>IFERROR(VLOOKUP(A218,'DATA CLIENTES'!B4515:I8284,6,FALSE),0)</f>
        <v>0</v>
      </c>
    </row>
    <row r="219" spans="1:38" x14ac:dyDescent="0.25">
      <c r="A219" s="93" t="s">
        <v>9824</v>
      </c>
      <c r="B219" s="68" t="s">
        <v>14331</v>
      </c>
      <c r="C219" s="65"/>
      <c r="D219" s="65"/>
      <c r="E219" s="65"/>
      <c r="F219" s="69"/>
      <c r="G219" s="70"/>
      <c r="H219" s="65" t="s">
        <v>14473</v>
      </c>
      <c r="I219" s="75">
        <v>11520.4195</v>
      </c>
      <c r="J219" s="75">
        <f>2000+2000+1000+1000+2000+200+800+1000+1000+520.42</f>
        <v>11520.42</v>
      </c>
      <c r="K219" s="75"/>
      <c r="L219" s="75"/>
      <c r="M219" s="75"/>
      <c r="N219" s="75">
        <f>Tabla1[[#This Row],[IMPORTE APROBADO]]-Tabla1[[#This Row],[AMORTIZACION2]]</f>
        <v>-5.0000000010186341E-4</v>
      </c>
      <c r="O219" s="65" t="str">
        <f>TEXT(Tabla1[[#This Row],[EMISION]],"mmm")</f>
        <v>Nov</v>
      </c>
      <c r="P219" s="65" t="str">
        <f>TEXT(Tabla1[[#This Row],[EMISION]],"YYYY")</f>
        <v>2022</v>
      </c>
      <c r="Q219" s="71">
        <v>44870</v>
      </c>
      <c r="R219" s="65" t="str">
        <f>TEXT(Tabla1[[#This Row],[VENCIMIENTO]],"mmm")</f>
        <v>Nov</v>
      </c>
      <c r="S219" s="71">
        <f t="shared" si="15"/>
        <v>44885</v>
      </c>
      <c r="T219" s="72">
        <f ca="1">Tabla1[[#This Row],[EMISION]]+Tabla1[[#This Row],[PLAZO]]-TODAY()</f>
        <v>-484</v>
      </c>
      <c r="U219" s="64">
        <f t="shared" ca="1" si="16"/>
        <v>0</v>
      </c>
      <c r="V219" s="72"/>
      <c r="W219" s="73" t="s">
        <v>14307</v>
      </c>
      <c r="X219" s="65">
        <v>15</v>
      </c>
      <c r="Y219" s="65"/>
      <c r="Z219" s="65"/>
      <c r="AA219" s="65"/>
      <c r="AB219" s="65"/>
      <c r="AC219" s="65"/>
      <c r="AD219" s="65"/>
      <c r="AE219" s="65"/>
      <c r="AF219" s="68"/>
      <c r="AG219" s="66">
        <v>44911</v>
      </c>
      <c r="AH219" s="67" t="s">
        <v>14308</v>
      </c>
      <c r="AI219" s="65" t="s">
        <v>3060</v>
      </c>
      <c r="AJ219" s="65"/>
      <c r="AK219" s="97">
        <f t="shared" ca="1" si="14"/>
        <v>484</v>
      </c>
      <c r="AL219">
        <f>IFERROR(VLOOKUP(A219,'DATA CLIENTES'!B4516:I8284,6,FALSE),0)</f>
        <v>0</v>
      </c>
    </row>
    <row r="220" spans="1:38" x14ac:dyDescent="0.25">
      <c r="A220" s="93" t="s">
        <v>10005</v>
      </c>
      <c r="B220" s="68" t="s">
        <v>14443</v>
      </c>
      <c r="C220" s="65"/>
      <c r="D220" s="65"/>
      <c r="E220" s="65"/>
      <c r="F220" s="69"/>
      <c r="G220" s="70"/>
      <c r="H220" s="65" t="s">
        <v>14474</v>
      </c>
      <c r="I220" s="75">
        <v>870</v>
      </c>
      <c r="J220" s="75">
        <v>870</v>
      </c>
      <c r="K220" s="75"/>
      <c r="L220" s="75"/>
      <c r="M220" s="75"/>
      <c r="N220" s="75">
        <f>Tabla1[[#This Row],[IMPORTE APROBADO]]-Tabla1[[#This Row],[AMORTIZACION2]]</f>
        <v>0</v>
      </c>
      <c r="O220" s="65" t="str">
        <f>TEXT(Tabla1[[#This Row],[EMISION]],"mmm")</f>
        <v>Nov</v>
      </c>
      <c r="P220" s="65" t="str">
        <f>TEXT(Tabla1[[#This Row],[EMISION]],"YYYY")</f>
        <v>2022</v>
      </c>
      <c r="Q220" s="71">
        <v>44872</v>
      </c>
      <c r="R220" s="65" t="str">
        <f>TEXT(Tabla1[[#This Row],[VENCIMIENTO]],"mmm")</f>
        <v>Nov</v>
      </c>
      <c r="S220" s="71">
        <f t="shared" si="15"/>
        <v>44887</v>
      </c>
      <c r="T220" s="72">
        <f ca="1">Tabla1[[#This Row],[EMISION]]+Tabla1[[#This Row],[PLAZO]]-TODAY()</f>
        <v>-482</v>
      </c>
      <c r="U220" s="64">
        <f t="shared" ca="1" si="16"/>
        <v>0</v>
      </c>
      <c r="V220" s="72"/>
      <c r="W220" s="73" t="s">
        <v>14307</v>
      </c>
      <c r="X220" s="65">
        <v>15</v>
      </c>
      <c r="Y220" s="65"/>
      <c r="Z220" s="65"/>
      <c r="AA220" s="65"/>
      <c r="AB220" s="65"/>
      <c r="AC220" s="65"/>
      <c r="AD220" s="65"/>
      <c r="AE220" s="65"/>
      <c r="AF220" s="68"/>
      <c r="AG220" s="66">
        <v>44889</v>
      </c>
      <c r="AH220" s="67" t="s">
        <v>14308</v>
      </c>
      <c r="AI220" s="65" t="s">
        <v>3060</v>
      </c>
      <c r="AJ220" s="65"/>
      <c r="AK220" s="97">
        <f t="shared" ca="1" si="14"/>
        <v>482</v>
      </c>
      <c r="AL220">
        <f>IFERROR(VLOOKUP(A220,'DATA CLIENTES'!B4517:I8284,6,FALSE),0)</f>
        <v>0</v>
      </c>
    </row>
    <row r="221" spans="1:38" x14ac:dyDescent="0.25">
      <c r="A221" s="93" t="s">
        <v>10005</v>
      </c>
      <c r="B221" s="68" t="s">
        <v>14443</v>
      </c>
      <c r="C221" s="65"/>
      <c r="D221" s="65"/>
      <c r="E221" s="65"/>
      <c r="F221" s="69"/>
      <c r="G221" s="70"/>
      <c r="H221" s="65" t="s">
        <v>14475</v>
      </c>
      <c r="I221" s="75">
        <v>5099.3387000000012</v>
      </c>
      <c r="J221" s="75">
        <v>5099.34</v>
      </c>
      <c r="K221" s="75"/>
      <c r="L221" s="75"/>
      <c r="M221" s="75"/>
      <c r="N221" s="75">
        <f>Tabla1[[#This Row],[IMPORTE APROBADO]]-Tabla1[[#This Row],[AMORTIZACION2]]</f>
        <v>-1.2999999989915523E-3</v>
      </c>
      <c r="O221" s="65" t="str">
        <f>TEXT(Tabla1[[#This Row],[EMISION]],"mmm")</f>
        <v>Nov</v>
      </c>
      <c r="P221" s="65" t="str">
        <f>TEXT(Tabla1[[#This Row],[EMISION]],"YYYY")</f>
        <v>2022</v>
      </c>
      <c r="Q221" s="71">
        <v>44873</v>
      </c>
      <c r="R221" s="65" t="str">
        <f>TEXT(Tabla1[[#This Row],[VENCIMIENTO]],"mmm")</f>
        <v>Nov</v>
      </c>
      <c r="S221" s="71">
        <f t="shared" si="15"/>
        <v>44888</v>
      </c>
      <c r="T221" s="72">
        <f ca="1">Tabla1[[#This Row],[EMISION]]+Tabla1[[#This Row],[PLAZO]]-TODAY()</f>
        <v>-481</v>
      </c>
      <c r="U221" s="64">
        <f t="shared" ca="1" si="16"/>
        <v>0</v>
      </c>
      <c r="V221" s="72"/>
      <c r="W221" s="73" t="s">
        <v>14307</v>
      </c>
      <c r="X221" s="65">
        <v>15</v>
      </c>
      <c r="Y221" s="65"/>
      <c r="Z221" s="65"/>
      <c r="AA221" s="65"/>
      <c r="AB221" s="65"/>
      <c r="AC221" s="65"/>
      <c r="AD221" s="65"/>
      <c r="AE221" s="65"/>
      <c r="AF221" s="68"/>
      <c r="AG221" s="66">
        <v>44891</v>
      </c>
      <c r="AH221" s="67" t="s">
        <v>14308</v>
      </c>
      <c r="AI221" s="65" t="s">
        <v>3060</v>
      </c>
      <c r="AJ221" s="65"/>
      <c r="AK221" s="97">
        <f t="shared" ca="1" si="14"/>
        <v>481</v>
      </c>
      <c r="AL221">
        <f>IFERROR(VLOOKUP(A221,'DATA CLIENTES'!B4518:I8284,6,FALSE),0)</f>
        <v>0</v>
      </c>
    </row>
    <row r="222" spans="1:38" x14ac:dyDescent="0.25">
      <c r="A222" s="93" t="s">
        <v>4620</v>
      </c>
      <c r="B222" s="68" t="s">
        <v>4621</v>
      </c>
      <c r="C222" s="65"/>
      <c r="D222" s="65"/>
      <c r="E222" s="65"/>
      <c r="F222" s="69"/>
      <c r="G222" s="70"/>
      <c r="H222" s="65" t="s">
        <v>14476</v>
      </c>
      <c r="I222" s="75">
        <v>712.88810000000001</v>
      </c>
      <c r="J222" s="75">
        <v>712.89</v>
      </c>
      <c r="K222" s="75"/>
      <c r="L222" s="75"/>
      <c r="M222" s="75"/>
      <c r="N222" s="75">
        <f>Tabla1[[#This Row],[IMPORTE APROBADO]]-Tabla1[[#This Row],[AMORTIZACION2]]</f>
        <v>-1.8999999999778083E-3</v>
      </c>
      <c r="O222" s="65" t="str">
        <f>TEXT(Tabla1[[#This Row],[EMISION]],"mmm")</f>
        <v>Nov</v>
      </c>
      <c r="P222" s="65" t="str">
        <f>TEXT(Tabla1[[#This Row],[EMISION]],"YYYY")</f>
        <v>2022</v>
      </c>
      <c r="Q222" s="71">
        <v>44877</v>
      </c>
      <c r="R222" s="65" t="str">
        <f>TEXT(Tabla1[[#This Row],[VENCIMIENTO]],"mmm")</f>
        <v>Ene</v>
      </c>
      <c r="S222" s="71">
        <f t="shared" si="15"/>
        <v>44937</v>
      </c>
      <c r="T222" s="72">
        <f ca="1">Tabla1[[#This Row],[EMISION]]+Tabla1[[#This Row],[PLAZO]]-TODAY()</f>
        <v>-432</v>
      </c>
      <c r="U222" s="64">
        <f t="shared" ca="1" si="16"/>
        <v>0</v>
      </c>
      <c r="V222" s="72" t="s">
        <v>14477</v>
      </c>
      <c r="W222" s="73" t="s">
        <v>14307</v>
      </c>
      <c r="X222" s="65">
        <v>60</v>
      </c>
      <c r="Y222" s="65"/>
      <c r="Z222" s="65"/>
      <c r="AA222" s="65"/>
      <c r="AB222" s="65"/>
      <c r="AC222" s="65"/>
      <c r="AD222" s="65"/>
      <c r="AE222" s="65"/>
      <c r="AF222" s="68"/>
      <c r="AG222" s="66">
        <v>44913</v>
      </c>
      <c r="AH222" s="67" t="s">
        <v>14308</v>
      </c>
      <c r="AI222" s="65" t="s">
        <v>3060</v>
      </c>
      <c r="AJ222" s="65"/>
      <c r="AK222" s="97">
        <f t="shared" ca="1" si="14"/>
        <v>432</v>
      </c>
      <c r="AL222">
        <f>IFERROR(VLOOKUP(A222,'DATA CLIENTES'!B4519:I8284,6,FALSE),0)</f>
        <v>0</v>
      </c>
    </row>
    <row r="223" spans="1:38" x14ac:dyDescent="0.25">
      <c r="A223" s="93" t="s">
        <v>4620</v>
      </c>
      <c r="B223" s="68" t="s">
        <v>4621</v>
      </c>
      <c r="C223" s="65"/>
      <c r="D223" s="65"/>
      <c r="E223" s="65"/>
      <c r="F223" s="69"/>
      <c r="G223" s="70"/>
      <c r="H223" s="65" t="s">
        <v>14478</v>
      </c>
      <c r="I223" s="75">
        <v>120.61944</v>
      </c>
      <c r="J223" s="75">
        <v>120.62</v>
      </c>
      <c r="K223" s="75"/>
      <c r="L223" s="75"/>
      <c r="M223" s="75"/>
      <c r="N223" s="75">
        <f>Tabla1[[#This Row],[IMPORTE APROBADO]]-Tabla1[[#This Row],[AMORTIZACION2]]</f>
        <v>-5.6000000000722139E-4</v>
      </c>
      <c r="O223" s="65" t="str">
        <f>TEXT(Tabla1[[#This Row],[EMISION]],"mmm")</f>
        <v>Nov</v>
      </c>
      <c r="P223" s="65" t="str">
        <f>TEXT(Tabla1[[#This Row],[EMISION]],"YYYY")</f>
        <v>2022</v>
      </c>
      <c r="Q223" s="71">
        <v>44877</v>
      </c>
      <c r="R223" s="65" t="str">
        <f>TEXT(Tabla1[[#This Row],[VENCIMIENTO]],"mmm")</f>
        <v>Ene</v>
      </c>
      <c r="S223" s="71">
        <f t="shared" si="15"/>
        <v>44937</v>
      </c>
      <c r="T223" s="72">
        <f ca="1">Tabla1[[#This Row],[EMISION]]+Tabla1[[#This Row],[PLAZO]]-TODAY()</f>
        <v>-432</v>
      </c>
      <c r="U223" s="64">
        <f t="shared" ca="1" si="16"/>
        <v>0</v>
      </c>
      <c r="V223" s="72" t="s">
        <v>14477</v>
      </c>
      <c r="W223" s="73" t="s">
        <v>14307</v>
      </c>
      <c r="X223" s="65">
        <v>60</v>
      </c>
      <c r="Y223" s="65"/>
      <c r="Z223" s="65"/>
      <c r="AA223" s="65"/>
      <c r="AB223" s="65"/>
      <c r="AC223" s="65"/>
      <c r="AD223" s="65"/>
      <c r="AE223" s="65"/>
      <c r="AF223" s="68"/>
      <c r="AG223" s="66">
        <v>44913</v>
      </c>
      <c r="AH223" s="67" t="s">
        <v>14308</v>
      </c>
      <c r="AI223" s="65" t="s">
        <v>3060</v>
      </c>
      <c r="AJ223" s="65"/>
      <c r="AK223" s="97">
        <f t="shared" ca="1" si="14"/>
        <v>432</v>
      </c>
      <c r="AL223">
        <f>IFERROR(VLOOKUP(A223,'DATA CLIENTES'!B4520:I8284,6,FALSE),0)</f>
        <v>0</v>
      </c>
    </row>
    <row r="224" spans="1:38" x14ac:dyDescent="0.25">
      <c r="A224" s="93" t="s">
        <v>7452</v>
      </c>
      <c r="B224" s="68" t="s">
        <v>7453</v>
      </c>
      <c r="C224" s="65"/>
      <c r="D224" s="65"/>
      <c r="E224" s="65"/>
      <c r="F224" s="69"/>
      <c r="G224" s="70"/>
      <c r="H224" s="65" t="s">
        <v>14479</v>
      </c>
      <c r="I224" s="75">
        <v>3787.2070000000003</v>
      </c>
      <c r="J224" s="75">
        <f>2200+1587.21</f>
        <v>3787.21</v>
      </c>
      <c r="K224" s="75"/>
      <c r="L224" s="75"/>
      <c r="M224" s="75"/>
      <c r="N224" s="75">
        <f>Tabla1[[#This Row],[IMPORTE APROBADO]]-Tabla1[[#This Row],[AMORTIZACION2]]</f>
        <v>-2.9999999997016857E-3</v>
      </c>
      <c r="O224" s="65" t="str">
        <f>TEXT(Tabla1[[#This Row],[EMISION]],"mmm")</f>
        <v>Nov</v>
      </c>
      <c r="P224" s="65" t="str">
        <f>TEXT(Tabla1[[#This Row],[EMISION]],"YYYY")</f>
        <v>2022</v>
      </c>
      <c r="Q224" s="71">
        <v>44877</v>
      </c>
      <c r="R224" s="65" t="str">
        <f>TEXT(Tabla1[[#This Row],[VENCIMIENTO]],"mmm")</f>
        <v>Ene</v>
      </c>
      <c r="S224" s="71">
        <f t="shared" si="15"/>
        <v>44937</v>
      </c>
      <c r="T224" s="72">
        <f ca="1">Tabla1[[#This Row],[EMISION]]+Tabla1[[#This Row],[PLAZO]]-TODAY()</f>
        <v>-432</v>
      </c>
      <c r="U224" s="64">
        <f t="shared" ca="1" si="16"/>
        <v>0</v>
      </c>
      <c r="V224" s="72" t="s">
        <v>14477</v>
      </c>
      <c r="W224" s="73" t="s">
        <v>14307</v>
      </c>
      <c r="X224" s="65">
        <v>60</v>
      </c>
      <c r="Y224" s="65"/>
      <c r="Z224" s="65"/>
      <c r="AA224" s="65"/>
      <c r="AB224" s="65"/>
      <c r="AC224" s="65"/>
      <c r="AD224" s="65"/>
      <c r="AE224" s="65"/>
      <c r="AF224" s="68"/>
      <c r="AG224" s="66">
        <v>44986</v>
      </c>
      <c r="AH224" s="67" t="s">
        <v>14308</v>
      </c>
      <c r="AI224" s="65" t="s">
        <v>3060</v>
      </c>
      <c r="AJ224" s="65"/>
      <c r="AK224" s="97">
        <f t="shared" ca="1" si="14"/>
        <v>432</v>
      </c>
      <c r="AL224">
        <f>IFERROR(VLOOKUP(A224,'DATA CLIENTES'!B4521:I8284,6,FALSE),0)</f>
        <v>0</v>
      </c>
    </row>
    <row r="225" spans="1:38" x14ac:dyDescent="0.25">
      <c r="A225" s="93" t="s">
        <v>4616</v>
      </c>
      <c r="B225" s="68" t="s">
        <v>4617</v>
      </c>
      <c r="C225" s="65"/>
      <c r="D225" s="65"/>
      <c r="E225" s="65"/>
      <c r="F225" s="69"/>
      <c r="G225" s="70"/>
      <c r="H225" s="65" t="s">
        <v>14480</v>
      </c>
      <c r="I225" s="75">
        <v>1300.5740000000001</v>
      </c>
      <c r="J225" s="75">
        <f>500.57+800</f>
        <v>1300.57</v>
      </c>
      <c r="K225" s="75"/>
      <c r="L225" s="75"/>
      <c r="M225" s="75"/>
      <c r="N225" s="75">
        <f>Tabla1[[#This Row],[IMPORTE APROBADO]]-Tabla1[[#This Row],[AMORTIZACION2]]</f>
        <v>4.0000000001327862E-3</v>
      </c>
      <c r="O225" s="65" t="str">
        <f>TEXT(Tabla1[[#This Row],[EMISION]],"mmm")</f>
        <v>Nov</v>
      </c>
      <c r="P225" s="65" t="str">
        <f>TEXT(Tabla1[[#This Row],[EMISION]],"YYYY")</f>
        <v>2022</v>
      </c>
      <c r="Q225" s="71">
        <v>44877</v>
      </c>
      <c r="R225" s="65" t="str">
        <f>TEXT(Tabla1[[#This Row],[VENCIMIENTO]],"mmm")</f>
        <v>Ene</v>
      </c>
      <c r="S225" s="71">
        <f t="shared" ref="S225:S246" si="17">Q225+X225</f>
        <v>44937</v>
      </c>
      <c r="T225" s="72">
        <f ca="1">Tabla1[[#This Row],[EMISION]]+Tabla1[[#This Row],[PLAZO]]-TODAY()</f>
        <v>-432</v>
      </c>
      <c r="U225" s="64">
        <f t="shared" ref="U225:U246" ca="1" si="18">IF(T225&gt;=0,$U$4,IF(AND(T225&lt;=-1,T225&gt;=-30),$U$5,IF(AND(T225&lt;=-31,T225&gt;=-60),$U$6,IF(AND(T225&lt;=-61,T225&gt;=-90),$U$7,$U$8))))</f>
        <v>0</v>
      </c>
      <c r="V225" s="72" t="s">
        <v>14477</v>
      </c>
      <c r="W225" s="73" t="s">
        <v>14307</v>
      </c>
      <c r="X225" s="65">
        <v>60</v>
      </c>
      <c r="Y225" s="65"/>
      <c r="Z225" s="65"/>
      <c r="AA225" s="65"/>
      <c r="AB225" s="65"/>
      <c r="AC225" s="65"/>
      <c r="AD225" s="65"/>
      <c r="AE225" s="65"/>
      <c r="AF225" s="68"/>
      <c r="AG225" s="66">
        <v>44960</v>
      </c>
      <c r="AH225" s="67" t="s">
        <v>14308</v>
      </c>
      <c r="AI225" s="65" t="s">
        <v>3060</v>
      </c>
      <c r="AJ225" s="65"/>
      <c r="AK225" s="97">
        <f t="shared" ca="1" si="14"/>
        <v>432</v>
      </c>
      <c r="AL225">
        <f>IFERROR(VLOOKUP(A225,'DATA CLIENTES'!B4522:I8284,6,FALSE),0)</f>
        <v>0</v>
      </c>
    </row>
    <row r="226" spans="1:38" x14ac:dyDescent="0.25">
      <c r="A226" s="93" t="s">
        <v>4616</v>
      </c>
      <c r="B226" s="68" t="s">
        <v>4617</v>
      </c>
      <c r="C226" s="65"/>
      <c r="D226" s="65"/>
      <c r="E226" s="65"/>
      <c r="F226" s="69"/>
      <c r="G226" s="70"/>
      <c r="H226" s="65" t="s">
        <v>14481</v>
      </c>
      <c r="I226" s="75">
        <v>187.16756000000001</v>
      </c>
      <c r="J226" s="75">
        <f>166.49+3.45+17.23</f>
        <v>187.17</v>
      </c>
      <c r="K226" s="75"/>
      <c r="L226" s="75"/>
      <c r="M226" s="75"/>
      <c r="N226" s="75">
        <f>Tabla1[[#This Row],[IMPORTE APROBADO]]-Tabla1[[#This Row],[AMORTIZACION2]]</f>
        <v>-2.4399999999786814E-3</v>
      </c>
      <c r="O226" s="65" t="str">
        <f>TEXT(Tabla1[[#This Row],[EMISION]],"mmm")</f>
        <v>Nov</v>
      </c>
      <c r="P226" s="65" t="str">
        <f>TEXT(Tabla1[[#This Row],[EMISION]],"YYYY")</f>
        <v>2022</v>
      </c>
      <c r="Q226" s="71">
        <v>44877</v>
      </c>
      <c r="R226" s="65" t="str">
        <f>TEXT(Tabla1[[#This Row],[VENCIMIENTO]],"mmm")</f>
        <v>Ene</v>
      </c>
      <c r="S226" s="71">
        <f t="shared" si="17"/>
        <v>44937</v>
      </c>
      <c r="T226" s="72">
        <f ca="1">Tabla1[[#This Row],[EMISION]]+Tabla1[[#This Row],[PLAZO]]-TODAY()</f>
        <v>-432</v>
      </c>
      <c r="U226" s="64">
        <f t="shared" ca="1" si="18"/>
        <v>0</v>
      </c>
      <c r="V226" s="72" t="s">
        <v>14477</v>
      </c>
      <c r="W226" s="73" t="s">
        <v>14307</v>
      </c>
      <c r="X226" s="65">
        <v>60</v>
      </c>
      <c r="Y226" s="65"/>
      <c r="Z226" s="65"/>
      <c r="AA226" s="65"/>
      <c r="AB226" s="65"/>
      <c r="AC226" s="65"/>
      <c r="AD226" s="65"/>
      <c r="AE226" s="65"/>
      <c r="AF226" s="68"/>
      <c r="AG226" s="66">
        <v>44916</v>
      </c>
      <c r="AH226" s="67" t="s">
        <v>14308</v>
      </c>
      <c r="AI226" s="65" t="s">
        <v>3060</v>
      </c>
      <c r="AJ226" s="65"/>
      <c r="AK226" s="97">
        <f t="shared" ca="1" si="14"/>
        <v>432</v>
      </c>
      <c r="AL226">
        <f>IFERROR(VLOOKUP(A226,'DATA CLIENTES'!B4523:I8284,6,FALSE),0)</f>
        <v>0</v>
      </c>
    </row>
    <row r="227" spans="1:38" x14ac:dyDescent="0.25">
      <c r="A227" s="93" t="s">
        <v>6999</v>
      </c>
      <c r="B227" s="68" t="s">
        <v>14310</v>
      </c>
      <c r="C227" s="65"/>
      <c r="D227" s="65"/>
      <c r="E227" s="65"/>
      <c r="F227" s="69"/>
      <c r="G227" s="70"/>
      <c r="H227" s="65" t="s">
        <v>14482</v>
      </c>
      <c r="I227" s="75">
        <v>1282.9199999999998</v>
      </c>
      <c r="J227" s="75"/>
      <c r="K227" s="75"/>
      <c r="L227" s="75"/>
      <c r="M227" s="75"/>
      <c r="N227" s="75">
        <f>Tabla1[[#This Row],[IMPORTE APROBADO]]-Tabla1[[#This Row],[AMORTIZACION2]]</f>
        <v>1282.9199999999998</v>
      </c>
      <c r="O227" s="65" t="str">
        <f>TEXT(Tabla1[[#This Row],[EMISION]],"mmm")</f>
        <v>Nov</v>
      </c>
      <c r="P227" s="65" t="str">
        <f>TEXT(Tabla1[[#This Row],[EMISION]],"YYYY")</f>
        <v>2022</v>
      </c>
      <c r="Q227" s="71">
        <v>44880</v>
      </c>
      <c r="R227" s="65" t="str">
        <f>TEXT(Tabla1[[#This Row],[VENCIMIENTO]],"mmm")</f>
        <v>Dic</v>
      </c>
      <c r="S227" s="71">
        <f t="shared" si="17"/>
        <v>44925</v>
      </c>
      <c r="T227" s="72">
        <f ca="1">Tabla1[[#This Row],[EMISION]]+Tabla1[[#This Row],[PLAZO]]-TODAY()</f>
        <v>-444</v>
      </c>
      <c r="U227" s="64">
        <f t="shared" ca="1" si="18"/>
        <v>0</v>
      </c>
      <c r="V227" s="72"/>
      <c r="W227" s="73" t="s">
        <v>14307</v>
      </c>
      <c r="X227" s="65">
        <v>45</v>
      </c>
      <c r="Y227" s="65"/>
      <c r="Z227" s="65"/>
      <c r="AA227" s="65"/>
      <c r="AB227" s="65"/>
      <c r="AC227" s="65"/>
      <c r="AD227" s="65"/>
      <c r="AE227" s="65"/>
      <c r="AF227" s="68"/>
      <c r="AG227" s="66"/>
      <c r="AH227" s="67" t="s">
        <v>14313</v>
      </c>
      <c r="AI227" s="65" t="s">
        <v>3060</v>
      </c>
      <c r="AJ227" s="65"/>
      <c r="AK227" s="97">
        <f t="shared" ca="1" si="14"/>
        <v>444</v>
      </c>
      <c r="AL227">
        <f>IFERROR(VLOOKUP(A227,'DATA CLIENTES'!B4524:I8284,6,FALSE),0)</f>
        <v>0</v>
      </c>
    </row>
    <row r="228" spans="1:38" x14ac:dyDescent="0.25">
      <c r="A228" s="93" t="s">
        <v>9406</v>
      </c>
      <c r="B228" s="68" t="s">
        <v>9407</v>
      </c>
      <c r="C228" s="65"/>
      <c r="D228" s="65"/>
      <c r="E228" s="65"/>
      <c r="F228" s="69"/>
      <c r="G228" s="70"/>
      <c r="H228" s="65" t="s">
        <v>14483</v>
      </c>
      <c r="I228" s="75">
        <v>1018.56</v>
      </c>
      <c r="J228" s="75">
        <v>1018.56</v>
      </c>
      <c r="K228" s="75"/>
      <c r="L228" s="75"/>
      <c r="M228" s="75"/>
      <c r="N228" s="75">
        <f>Tabla1[[#This Row],[IMPORTE APROBADO]]-Tabla1[[#This Row],[AMORTIZACION2]]</f>
        <v>0</v>
      </c>
      <c r="O228" s="65" t="str">
        <f>TEXT(Tabla1[[#This Row],[EMISION]],"mmm")</f>
        <v>Nov</v>
      </c>
      <c r="P228" s="65" t="str">
        <f>TEXT(Tabla1[[#This Row],[EMISION]],"YYYY")</f>
        <v>2022</v>
      </c>
      <c r="Q228" s="71">
        <v>44882</v>
      </c>
      <c r="R228" s="65" t="str">
        <f>TEXT(Tabla1[[#This Row],[VENCIMIENTO]],"mmm")</f>
        <v>Dic</v>
      </c>
      <c r="S228" s="71">
        <f t="shared" si="17"/>
        <v>44897</v>
      </c>
      <c r="T228" s="72">
        <f ca="1">Tabla1[[#This Row],[EMISION]]+Tabla1[[#This Row],[PLAZO]]-TODAY()</f>
        <v>-472</v>
      </c>
      <c r="U228" s="64">
        <f t="shared" ca="1" si="18"/>
        <v>0</v>
      </c>
      <c r="V228" s="72"/>
      <c r="W228" s="73" t="s">
        <v>14307</v>
      </c>
      <c r="X228" s="65">
        <v>15</v>
      </c>
      <c r="Y228" s="65"/>
      <c r="Z228" s="65"/>
      <c r="AA228" s="65"/>
      <c r="AB228" s="65"/>
      <c r="AC228" s="65"/>
      <c r="AD228" s="65"/>
      <c r="AE228" s="65"/>
      <c r="AF228" s="68"/>
      <c r="AG228" s="66">
        <v>44901</v>
      </c>
      <c r="AH228" s="67" t="s">
        <v>14308</v>
      </c>
      <c r="AI228" s="65" t="s">
        <v>3060</v>
      </c>
      <c r="AJ228" s="65"/>
      <c r="AK228" s="97">
        <f t="shared" ca="1" si="14"/>
        <v>472</v>
      </c>
      <c r="AL228">
        <f>IFERROR(VLOOKUP(A228,'DATA CLIENTES'!B4525:I8284,6,FALSE),0)</f>
        <v>0</v>
      </c>
    </row>
    <row r="229" spans="1:38" x14ac:dyDescent="0.25">
      <c r="A229" s="93" t="s">
        <v>6243</v>
      </c>
      <c r="B229" s="68" t="s">
        <v>6244</v>
      </c>
      <c r="C229" s="65"/>
      <c r="D229" s="65"/>
      <c r="E229" s="65"/>
      <c r="F229" s="69"/>
      <c r="G229" s="70"/>
      <c r="H229" s="65" t="s">
        <v>14484</v>
      </c>
      <c r="I229" s="75">
        <v>1960.71</v>
      </c>
      <c r="J229" s="75">
        <f>1000+960.71</f>
        <v>1960.71</v>
      </c>
      <c r="K229" s="75"/>
      <c r="L229" s="75"/>
      <c r="M229" s="75"/>
      <c r="N229" s="75">
        <f>Tabla1[[#This Row],[IMPORTE APROBADO]]-Tabla1[[#This Row],[AMORTIZACION2]]</f>
        <v>0</v>
      </c>
      <c r="O229" s="65" t="str">
        <f>TEXT(Tabla1[[#This Row],[EMISION]],"mmm")</f>
        <v>Nov</v>
      </c>
      <c r="P229" s="65" t="str">
        <f>TEXT(Tabla1[[#This Row],[EMISION]],"YYYY")</f>
        <v>2022</v>
      </c>
      <c r="Q229" s="71">
        <v>44882</v>
      </c>
      <c r="R229" s="65" t="str">
        <f>TEXT(Tabla1[[#This Row],[VENCIMIENTO]],"mmm")</f>
        <v>Dic</v>
      </c>
      <c r="S229" s="71">
        <f t="shared" si="17"/>
        <v>44897</v>
      </c>
      <c r="T229" s="72">
        <f ca="1">Tabla1[[#This Row],[EMISION]]+Tabla1[[#This Row],[PLAZO]]-TODAY()</f>
        <v>-472</v>
      </c>
      <c r="U229" s="64">
        <f t="shared" ca="1" si="18"/>
        <v>0</v>
      </c>
      <c r="V229" s="72"/>
      <c r="W229" s="73" t="s">
        <v>14307</v>
      </c>
      <c r="X229" s="65">
        <v>15</v>
      </c>
      <c r="Y229" s="65"/>
      <c r="Z229" s="65"/>
      <c r="AA229" s="65"/>
      <c r="AB229" s="65"/>
      <c r="AC229" s="65"/>
      <c r="AD229" s="65"/>
      <c r="AE229" s="65"/>
      <c r="AF229" s="68"/>
      <c r="AG229" s="66">
        <v>44914</v>
      </c>
      <c r="AH229" s="67" t="s">
        <v>14308</v>
      </c>
      <c r="AI229" s="65" t="s">
        <v>3060</v>
      </c>
      <c r="AJ229" s="65"/>
      <c r="AK229" s="97">
        <f t="shared" ca="1" si="14"/>
        <v>472</v>
      </c>
      <c r="AL229">
        <f>IFERROR(VLOOKUP(A229,'DATA CLIENTES'!B4526:I8284,6,FALSE),0)</f>
        <v>0</v>
      </c>
    </row>
    <row r="230" spans="1:38" x14ac:dyDescent="0.25">
      <c r="A230" s="93" t="s">
        <v>5470</v>
      </c>
      <c r="B230" s="68" t="s">
        <v>5471</v>
      </c>
      <c r="C230" s="65"/>
      <c r="D230" s="65"/>
      <c r="E230" s="65"/>
      <c r="F230" s="69"/>
      <c r="G230" s="70"/>
      <c r="H230" s="65" t="s">
        <v>14485</v>
      </c>
      <c r="I230" s="75">
        <v>2590</v>
      </c>
      <c r="J230" s="75">
        <v>2590</v>
      </c>
      <c r="K230" s="75"/>
      <c r="L230" s="75"/>
      <c r="M230" s="75"/>
      <c r="N230" s="75">
        <f>Tabla1[[#This Row],[IMPORTE APROBADO]]-Tabla1[[#This Row],[AMORTIZACION2]]</f>
        <v>0</v>
      </c>
      <c r="O230" s="65" t="str">
        <f>TEXT(Tabla1[[#This Row],[EMISION]],"mmm")</f>
        <v>Nov</v>
      </c>
      <c r="P230" s="65" t="str">
        <f>TEXT(Tabla1[[#This Row],[EMISION]],"YYYY")</f>
        <v>2022</v>
      </c>
      <c r="Q230" s="71">
        <v>44882</v>
      </c>
      <c r="R230" s="65" t="str">
        <f>TEXT(Tabla1[[#This Row],[VENCIMIENTO]],"mmm")</f>
        <v>Dic</v>
      </c>
      <c r="S230" s="71">
        <f t="shared" si="17"/>
        <v>44897</v>
      </c>
      <c r="T230" s="72">
        <f ca="1">Tabla1[[#This Row],[EMISION]]+Tabla1[[#This Row],[PLAZO]]-TODAY()</f>
        <v>-472</v>
      </c>
      <c r="U230" s="64">
        <f t="shared" ca="1" si="18"/>
        <v>0</v>
      </c>
      <c r="V230" s="72"/>
      <c r="W230" s="73" t="s">
        <v>14307</v>
      </c>
      <c r="X230" s="65">
        <v>15</v>
      </c>
      <c r="Y230" s="65"/>
      <c r="Z230" s="65"/>
      <c r="AA230" s="65"/>
      <c r="AB230" s="65"/>
      <c r="AC230" s="65"/>
      <c r="AD230" s="65"/>
      <c r="AE230" s="65"/>
      <c r="AF230" s="68"/>
      <c r="AG230" s="66">
        <v>44900</v>
      </c>
      <c r="AH230" s="67" t="s">
        <v>14308</v>
      </c>
      <c r="AI230" s="65" t="s">
        <v>3060</v>
      </c>
      <c r="AJ230" s="65"/>
      <c r="AK230" s="97">
        <f t="shared" ca="1" si="14"/>
        <v>472</v>
      </c>
      <c r="AL230">
        <f>IFERROR(VLOOKUP(A230,'DATA CLIENTES'!B4527:I8284,6,FALSE),0)</f>
        <v>0</v>
      </c>
    </row>
    <row r="231" spans="1:38" x14ac:dyDescent="0.25">
      <c r="A231" s="93" t="s">
        <v>9690</v>
      </c>
      <c r="B231" s="68" t="s">
        <v>14336</v>
      </c>
      <c r="C231" s="65"/>
      <c r="D231" s="65"/>
      <c r="E231" s="65"/>
      <c r="F231" s="69"/>
      <c r="G231" s="70"/>
      <c r="H231" s="65" t="s">
        <v>14486</v>
      </c>
      <c r="I231" s="75">
        <v>2510.5500000000002</v>
      </c>
      <c r="J231" s="75">
        <f>200+200+200+150+150+200+200+200+200+200+200+200+210.5</f>
        <v>2510.5</v>
      </c>
      <c r="K231" s="75"/>
      <c r="L231" s="75"/>
      <c r="M231" s="75"/>
      <c r="N231" s="75">
        <f>Tabla1[[#This Row],[IMPORTE APROBADO]]-Tabla1[[#This Row],[AMORTIZACION2]]</f>
        <v>5.0000000000181899E-2</v>
      </c>
      <c r="O231" s="65" t="str">
        <f>TEXT(Tabla1[[#This Row],[EMISION]],"mmm")</f>
        <v>Nov</v>
      </c>
      <c r="P231" s="65" t="str">
        <f>TEXT(Tabla1[[#This Row],[EMISION]],"YYYY")</f>
        <v>2022</v>
      </c>
      <c r="Q231" s="71">
        <v>44882</v>
      </c>
      <c r="R231" s="65" t="str">
        <f>TEXT(Tabla1[[#This Row],[VENCIMIENTO]],"mmm")</f>
        <v>Dic</v>
      </c>
      <c r="S231" s="71">
        <f t="shared" si="17"/>
        <v>44912</v>
      </c>
      <c r="T231" s="72">
        <f ca="1">Tabla1[[#This Row],[EMISION]]+Tabla1[[#This Row],[PLAZO]]-TODAY()</f>
        <v>-457</v>
      </c>
      <c r="U231" s="64">
        <f t="shared" ca="1" si="18"/>
        <v>0</v>
      </c>
      <c r="V231" s="72"/>
      <c r="W231" s="73" t="s">
        <v>14307</v>
      </c>
      <c r="X231" s="65">
        <v>30</v>
      </c>
      <c r="Y231" s="65"/>
      <c r="Z231" s="65"/>
      <c r="AA231" s="65"/>
      <c r="AB231" s="65"/>
      <c r="AC231" s="65"/>
      <c r="AD231" s="65"/>
      <c r="AE231" s="65"/>
      <c r="AF231" s="68"/>
      <c r="AG231" s="66">
        <v>44960</v>
      </c>
      <c r="AH231" s="67" t="s">
        <v>14308</v>
      </c>
      <c r="AI231" s="65" t="s">
        <v>3060</v>
      </c>
      <c r="AJ231" s="65"/>
      <c r="AK231" s="97">
        <f t="shared" ca="1" si="14"/>
        <v>457</v>
      </c>
      <c r="AL231">
        <f>IFERROR(VLOOKUP(A231,'DATA CLIENTES'!B4528:I8284,6,FALSE),0)</f>
        <v>0</v>
      </c>
    </row>
    <row r="232" spans="1:38" x14ac:dyDescent="0.25">
      <c r="A232" s="93" t="s">
        <v>9658</v>
      </c>
      <c r="B232" s="68" t="s">
        <v>14332</v>
      </c>
      <c r="C232" s="65"/>
      <c r="D232" s="65"/>
      <c r="E232" s="65"/>
      <c r="F232" s="69"/>
      <c r="G232" s="70"/>
      <c r="H232" s="65" t="s">
        <v>14487</v>
      </c>
      <c r="I232" s="75">
        <v>1044.42</v>
      </c>
      <c r="J232" s="75">
        <f>200+300+400+144.42</f>
        <v>1044.42</v>
      </c>
      <c r="K232" s="75"/>
      <c r="L232" s="75"/>
      <c r="M232" s="75"/>
      <c r="N232" s="75">
        <f>Tabla1[[#This Row],[IMPORTE APROBADO]]-Tabla1[[#This Row],[AMORTIZACION2]]</f>
        <v>0</v>
      </c>
      <c r="O232" s="65" t="str">
        <f>TEXT(Tabla1[[#This Row],[EMISION]],"mmm")</f>
        <v>Nov</v>
      </c>
      <c r="P232" s="65" t="str">
        <f>TEXT(Tabla1[[#This Row],[EMISION]],"YYYY")</f>
        <v>2022</v>
      </c>
      <c r="Q232" s="71">
        <v>44882</v>
      </c>
      <c r="R232" s="65" t="str">
        <f>TEXT(Tabla1[[#This Row],[VENCIMIENTO]],"mmm")</f>
        <v>Dic</v>
      </c>
      <c r="S232" s="71">
        <f t="shared" si="17"/>
        <v>44897</v>
      </c>
      <c r="T232" s="72">
        <f ca="1">Tabla1[[#This Row],[EMISION]]+Tabla1[[#This Row],[PLAZO]]-TODAY()</f>
        <v>-472</v>
      </c>
      <c r="U232" s="64">
        <f t="shared" ca="1" si="18"/>
        <v>0</v>
      </c>
      <c r="V232" s="72"/>
      <c r="W232" s="73" t="s">
        <v>14307</v>
      </c>
      <c r="X232" s="65">
        <v>15</v>
      </c>
      <c r="Y232" s="65"/>
      <c r="Z232" s="65"/>
      <c r="AA232" s="65"/>
      <c r="AB232" s="65"/>
      <c r="AC232" s="65"/>
      <c r="AD232" s="65"/>
      <c r="AE232" s="65"/>
      <c r="AF232" s="68"/>
      <c r="AG232" s="66">
        <v>44912</v>
      </c>
      <c r="AH232" s="67" t="s">
        <v>14308</v>
      </c>
      <c r="AI232" s="65" t="s">
        <v>3060</v>
      </c>
      <c r="AJ232" s="65"/>
      <c r="AK232" s="97">
        <f t="shared" ca="1" si="14"/>
        <v>472</v>
      </c>
      <c r="AL232">
        <f>IFERROR(VLOOKUP(A232,'DATA CLIENTES'!B4529:I8284,6,FALSE),0)</f>
        <v>0</v>
      </c>
    </row>
    <row r="233" spans="1:38" x14ac:dyDescent="0.25">
      <c r="A233" s="93" t="s">
        <v>9812</v>
      </c>
      <c r="B233" s="68" t="s">
        <v>9813</v>
      </c>
      <c r="C233" s="65"/>
      <c r="D233" s="65"/>
      <c r="E233" s="65"/>
      <c r="F233" s="69"/>
      <c r="G233" s="70"/>
      <c r="H233" s="65" t="s">
        <v>14488</v>
      </c>
      <c r="I233" s="75">
        <v>2295.6000000000004</v>
      </c>
      <c r="J233" s="75">
        <v>2295.6</v>
      </c>
      <c r="K233" s="75"/>
      <c r="L233" s="75"/>
      <c r="M233" s="75"/>
      <c r="N233" s="75">
        <f>Tabla1[[#This Row],[IMPORTE APROBADO]]-Tabla1[[#This Row],[AMORTIZACION2]]</f>
        <v>0</v>
      </c>
      <c r="O233" s="65" t="str">
        <f>TEXT(Tabla1[[#This Row],[EMISION]],"mmm")</f>
        <v>Nov</v>
      </c>
      <c r="P233" s="65" t="str">
        <f>TEXT(Tabla1[[#This Row],[EMISION]],"YYYY")</f>
        <v>2022</v>
      </c>
      <c r="Q233" s="71">
        <v>44883</v>
      </c>
      <c r="R233" s="65" t="str">
        <f>TEXT(Tabla1[[#This Row],[VENCIMIENTO]],"mmm")</f>
        <v>Dic</v>
      </c>
      <c r="S233" s="71">
        <f t="shared" si="17"/>
        <v>44898</v>
      </c>
      <c r="T233" s="72">
        <f ca="1">Tabla1[[#This Row],[EMISION]]+Tabla1[[#This Row],[PLAZO]]-TODAY()</f>
        <v>-471</v>
      </c>
      <c r="U233" s="64">
        <f t="shared" ca="1" si="18"/>
        <v>0</v>
      </c>
      <c r="V233" s="72"/>
      <c r="W233" s="73" t="s">
        <v>14307</v>
      </c>
      <c r="X233" s="65">
        <v>15</v>
      </c>
      <c r="Y233" s="65"/>
      <c r="Z233" s="65"/>
      <c r="AA233" s="65"/>
      <c r="AB233" s="65"/>
      <c r="AC233" s="65"/>
      <c r="AD233" s="65"/>
      <c r="AE233" s="65"/>
      <c r="AF233" s="68"/>
      <c r="AG233" s="66">
        <v>44916</v>
      </c>
      <c r="AH233" s="67" t="s">
        <v>14308</v>
      </c>
      <c r="AI233" s="65" t="s">
        <v>3060</v>
      </c>
      <c r="AJ233" s="65"/>
      <c r="AK233" s="97">
        <f t="shared" ca="1" si="14"/>
        <v>471</v>
      </c>
      <c r="AL233">
        <f>IFERROR(VLOOKUP(A233,'DATA CLIENTES'!B4530:I8284,6,FALSE),0)</f>
        <v>0</v>
      </c>
    </row>
    <row r="234" spans="1:38" x14ac:dyDescent="0.25">
      <c r="A234" s="93" t="s">
        <v>9812</v>
      </c>
      <c r="B234" s="68" t="s">
        <v>9813</v>
      </c>
      <c r="C234" s="65"/>
      <c r="D234" s="65"/>
      <c r="E234" s="65"/>
      <c r="F234" s="69"/>
      <c r="G234" s="70"/>
      <c r="H234" s="65" t="s">
        <v>14489</v>
      </c>
      <c r="I234" s="75">
        <v>1045.2</v>
      </c>
      <c r="J234" s="75">
        <v>1045.2</v>
      </c>
      <c r="K234" s="75"/>
      <c r="L234" s="75"/>
      <c r="M234" s="75"/>
      <c r="N234" s="75">
        <f>Tabla1[[#This Row],[IMPORTE APROBADO]]-Tabla1[[#This Row],[AMORTIZACION2]]</f>
        <v>0</v>
      </c>
      <c r="O234" s="65" t="str">
        <f>TEXT(Tabla1[[#This Row],[EMISION]],"mmm")</f>
        <v>Nov</v>
      </c>
      <c r="P234" s="65" t="str">
        <f>TEXT(Tabla1[[#This Row],[EMISION]],"YYYY")</f>
        <v>2022</v>
      </c>
      <c r="Q234" s="71">
        <v>44883</v>
      </c>
      <c r="R234" s="65" t="str">
        <f>TEXT(Tabla1[[#This Row],[VENCIMIENTO]],"mmm")</f>
        <v>Dic</v>
      </c>
      <c r="S234" s="71">
        <f t="shared" si="17"/>
        <v>44898</v>
      </c>
      <c r="T234" s="72">
        <f ca="1">Tabla1[[#This Row],[EMISION]]+Tabla1[[#This Row],[PLAZO]]-TODAY()</f>
        <v>-471</v>
      </c>
      <c r="U234" s="64">
        <f t="shared" ca="1" si="18"/>
        <v>0</v>
      </c>
      <c r="V234" s="72"/>
      <c r="W234" s="73" t="s">
        <v>14307</v>
      </c>
      <c r="X234" s="65">
        <v>15</v>
      </c>
      <c r="Y234" s="65"/>
      <c r="Z234" s="65"/>
      <c r="AA234" s="65"/>
      <c r="AB234" s="65"/>
      <c r="AC234" s="65"/>
      <c r="AD234" s="65"/>
      <c r="AE234" s="65"/>
      <c r="AF234" s="68"/>
      <c r="AG234" s="66">
        <v>44905</v>
      </c>
      <c r="AH234" s="67" t="s">
        <v>14308</v>
      </c>
      <c r="AI234" s="65" t="s">
        <v>3060</v>
      </c>
      <c r="AJ234" s="65"/>
      <c r="AK234" s="97">
        <f t="shared" ca="1" si="14"/>
        <v>471</v>
      </c>
      <c r="AL234">
        <f>IFERROR(VLOOKUP(A234,'DATA CLIENTES'!B4531:I8284,6,FALSE),0)</f>
        <v>0</v>
      </c>
    </row>
    <row r="235" spans="1:38" x14ac:dyDescent="0.25">
      <c r="A235" s="93" t="s">
        <v>14428</v>
      </c>
      <c r="B235" s="68" t="s">
        <v>14427</v>
      </c>
      <c r="C235" s="65"/>
      <c r="D235" s="65"/>
      <c r="E235" s="65"/>
      <c r="F235" s="69"/>
      <c r="G235" s="70"/>
      <c r="H235" s="65" t="s">
        <v>14490</v>
      </c>
      <c r="I235" s="75">
        <v>2416.5500000000002</v>
      </c>
      <c r="J235" s="75">
        <v>2416.5500000000002</v>
      </c>
      <c r="K235" s="75"/>
      <c r="L235" s="75"/>
      <c r="M235" s="75"/>
      <c r="N235" s="75">
        <f>Tabla1[[#This Row],[IMPORTE APROBADO]]-Tabla1[[#This Row],[AMORTIZACION2]]</f>
        <v>0</v>
      </c>
      <c r="O235" s="65" t="str">
        <f>TEXT(Tabla1[[#This Row],[EMISION]],"mmm")</f>
        <v>Nov</v>
      </c>
      <c r="P235" s="65" t="str">
        <f>TEXT(Tabla1[[#This Row],[EMISION]],"YYYY")</f>
        <v>2022</v>
      </c>
      <c r="Q235" s="71">
        <v>44884</v>
      </c>
      <c r="R235" s="65" t="str">
        <f>TEXT(Tabla1[[#This Row],[VENCIMIENTO]],"mmm")</f>
        <v>Dic</v>
      </c>
      <c r="S235" s="71">
        <f t="shared" si="17"/>
        <v>44899</v>
      </c>
      <c r="T235" s="72">
        <f ca="1">Tabla1[[#This Row],[EMISION]]+Tabla1[[#This Row],[PLAZO]]-TODAY()</f>
        <v>-470</v>
      </c>
      <c r="U235" s="64">
        <f t="shared" ca="1" si="18"/>
        <v>0</v>
      </c>
      <c r="V235" s="72"/>
      <c r="W235" s="73" t="s">
        <v>14307</v>
      </c>
      <c r="X235" s="65">
        <v>15</v>
      </c>
      <c r="Y235" s="65"/>
      <c r="Z235" s="65"/>
      <c r="AA235" s="65"/>
      <c r="AB235" s="65"/>
      <c r="AC235" s="65"/>
      <c r="AD235" s="65"/>
      <c r="AE235" s="65"/>
      <c r="AF235" s="68"/>
      <c r="AG235" s="66">
        <v>44917</v>
      </c>
      <c r="AH235" s="67" t="s">
        <v>14308</v>
      </c>
      <c r="AI235" s="65" t="s">
        <v>3060</v>
      </c>
      <c r="AJ235" s="65"/>
      <c r="AK235" s="97">
        <f t="shared" ca="1" si="14"/>
        <v>470</v>
      </c>
      <c r="AL235">
        <f>IFERROR(VLOOKUP(A235,'DATA CLIENTES'!B4532:I8284,6,FALSE),0)</f>
        <v>0</v>
      </c>
    </row>
    <row r="236" spans="1:38" x14ac:dyDescent="0.25">
      <c r="A236" s="93" t="s">
        <v>14428</v>
      </c>
      <c r="B236" s="68" t="s">
        <v>14427</v>
      </c>
      <c r="C236" s="65"/>
      <c r="D236" s="65"/>
      <c r="E236" s="65"/>
      <c r="F236" s="69"/>
      <c r="G236" s="70"/>
      <c r="H236" s="65" t="s">
        <v>14491</v>
      </c>
      <c r="I236" s="75">
        <v>5341.85</v>
      </c>
      <c r="J236" s="75">
        <f>5000+341.85</f>
        <v>5341.85</v>
      </c>
      <c r="K236" s="75"/>
      <c r="L236" s="75"/>
      <c r="M236" s="75"/>
      <c r="N236" s="75">
        <f>Tabla1[[#This Row],[IMPORTE APROBADO]]-Tabla1[[#This Row],[AMORTIZACION2]]</f>
        <v>0</v>
      </c>
      <c r="O236" s="65" t="str">
        <f>TEXT(Tabla1[[#This Row],[EMISION]],"mmm")</f>
        <v>Nov</v>
      </c>
      <c r="P236" s="65" t="str">
        <f>TEXT(Tabla1[[#This Row],[EMISION]],"YYYY")</f>
        <v>2022</v>
      </c>
      <c r="Q236" s="71">
        <v>44884</v>
      </c>
      <c r="R236" s="65" t="str">
        <f>TEXT(Tabla1[[#This Row],[VENCIMIENTO]],"mmm")</f>
        <v>Dic</v>
      </c>
      <c r="S236" s="71">
        <f t="shared" si="17"/>
        <v>44899</v>
      </c>
      <c r="T236" s="72">
        <f ca="1">Tabla1[[#This Row],[EMISION]]+Tabla1[[#This Row],[PLAZO]]-TODAY()</f>
        <v>-470</v>
      </c>
      <c r="U236" s="64">
        <f t="shared" ca="1" si="18"/>
        <v>0</v>
      </c>
      <c r="V236" s="72"/>
      <c r="W236" s="73" t="s">
        <v>14307</v>
      </c>
      <c r="X236" s="65">
        <v>15</v>
      </c>
      <c r="Y236" s="65"/>
      <c r="Z236" s="65"/>
      <c r="AA236" s="65"/>
      <c r="AB236" s="65"/>
      <c r="AC236" s="65"/>
      <c r="AD236" s="65"/>
      <c r="AE236" s="65"/>
      <c r="AF236" s="68"/>
      <c r="AG236" s="66">
        <v>44917</v>
      </c>
      <c r="AH236" s="67" t="s">
        <v>14308</v>
      </c>
      <c r="AI236" s="65" t="s">
        <v>3060</v>
      </c>
      <c r="AJ236" s="65"/>
      <c r="AK236" s="97">
        <f t="shared" ca="1" si="14"/>
        <v>470</v>
      </c>
      <c r="AL236">
        <f>IFERROR(VLOOKUP(A236,'DATA CLIENTES'!B4533:I8284,6,FALSE),0)</f>
        <v>0</v>
      </c>
    </row>
    <row r="237" spans="1:38" x14ac:dyDescent="0.25">
      <c r="A237" s="93" t="s">
        <v>9158</v>
      </c>
      <c r="B237" s="68" t="s">
        <v>9159</v>
      </c>
      <c r="C237" s="65"/>
      <c r="D237" s="65"/>
      <c r="E237" s="65"/>
      <c r="F237" s="69"/>
      <c r="G237" s="70"/>
      <c r="H237" s="65" t="s">
        <v>14492</v>
      </c>
      <c r="I237" s="75">
        <v>5191.75</v>
      </c>
      <c r="J237" s="75">
        <f>750+1000+1750+691.75+350+650</f>
        <v>5191.75</v>
      </c>
      <c r="K237" s="75"/>
      <c r="L237" s="75"/>
      <c r="M237" s="75"/>
      <c r="N237" s="75">
        <f>Tabla1[[#This Row],[IMPORTE APROBADO]]-Tabla1[[#This Row],[AMORTIZACION2]]</f>
        <v>0</v>
      </c>
      <c r="O237" s="65" t="str">
        <f>TEXT(Tabla1[[#This Row],[EMISION]],"mmm")</f>
        <v>Nov</v>
      </c>
      <c r="P237" s="65" t="str">
        <f>TEXT(Tabla1[[#This Row],[EMISION]],"YYYY")</f>
        <v>2022</v>
      </c>
      <c r="Q237" s="71">
        <v>44884</v>
      </c>
      <c r="R237" s="65" t="str">
        <f>TEXT(Tabla1[[#This Row],[VENCIMIENTO]],"mmm")</f>
        <v>Dic</v>
      </c>
      <c r="S237" s="71">
        <f t="shared" si="17"/>
        <v>44899</v>
      </c>
      <c r="T237" s="72">
        <f ca="1">Tabla1[[#This Row],[EMISION]]+Tabla1[[#This Row],[PLAZO]]-TODAY()</f>
        <v>-470</v>
      </c>
      <c r="U237" s="64">
        <f t="shared" ca="1" si="18"/>
        <v>0</v>
      </c>
      <c r="V237" s="72"/>
      <c r="W237" s="73" t="s">
        <v>14307</v>
      </c>
      <c r="X237" s="65">
        <v>15</v>
      </c>
      <c r="Y237" s="65"/>
      <c r="Z237" s="65"/>
      <c r="AA237" s="65"/>
      <c r="AB237" s="65"/>
      <c r="AC237" s="65"/>
      <c r="AD237" s="65"/>
      <c r="AE237" s="65"/>
      <c r="AF237" s="68"/>
      <c r="AG237" s="66">
        <v>44946</v>
      </c>
      <c r="AH237" s="67" t="s">
        <v>14308</v>
      </c>
      <c r="AI237" s="65" t="s">
        <v>3060</v>
      </c>
      <c r="AJ237" s="65"/>
      <c r="AK237" s="97">
        <f t="shared" ca="1" si="14"/>
        <v>470</v>
      </c>
      <c r="AL237">
        <f>IFERROR(VLOOKUP(A237,'DATA CLIENTES'!B4534:I8284,6,FALSE),0)</f>
        <v>0</v>
      </c>
    </row>
    <row r="238" spans="1:38" x14ac:dyDescent="0.25">
      <c r="A238" s="93" t="s">
        <v>6657</v>
      </c>
      <c r="B238" s="68" t="s">
        <v>6658</v>
      </c>
      <c r="C238" s="65"/>
      <c r="D238" s="65"/>
      <c r="E238" s="65"/>
      <c r="F238" s="69"/>
      <c r="G238" s="70"/>
      <c r="H238" s="65" t="s">
        <v>14493</v>
      </c>
      <c r="I238" s="75">
        <v>1019.72</v>
      </c>
      <c r="J238" s="75">
        <f>1000+19.72</f>
        <v>1019.72</v>
      </c>
      <c r="K238" s="75"/>
      <c r="L238" s="75"/>
      <c r="M238" s="75"/>
      <c r="N238" s="75">
        <f>Tabla1[[#This Row],[IMPORTE APROBADO]]-Tabla1[[#This Row],[AMORTIZACION2]]</f>
        <v>0</v>
      </c>
      <c r="O238" s="65" t="str">
        <f>TEXT(Tabla1[[#This Row],[EMISION]],"mmm")</f>
        <v>Nov</v>
      </c>
      <c r="P238" s="65" t="str">
        <f>TEXT(Tabla1[[#This Row],[EMISION]],"YYYY")</f>
        <v>2022</v>
      </c>
      <c r="Q238" s="71">
        <v>44886</v>
      </c>
      <c r="R238" s="65" t="str">
        <f>TEXT(Tabla1[[#This Row],[VENCIMIENTO]],"mmm")</f>
        <v>Dic</v>
      </c>
      <c r="S238" s="71">
        <f t="shared" si="17"/>
        <v>44901</v>
      </c>
      <c r="T238" s="72">
        <f ca="1">Tabla1[[#This Row],[EMISION]]+Tabla1[[#This Row],[PLAZO]]-TODAY()</f>
        <v>-468</v>
      </c>
      <c r="U238" s="64">
        <f t="shared" ca="1" si="18"/>
        <v>0</v>
      </c>
      <c r="V238" s="72"/>
      <c r="W238" s="73" t="s">
        <v>14307</v>
      </c>
      <c r="X238" s="65">
        <v>15</v>
      </c>
      <c r="Y238" s="65"/>
      <c r="Z238" s="65"/>
      <c r="AA238" s="65"/>
      <c r="AB238" s="65"/>
      <c r="AC238" s="65"/>
      <c r="AD238" s="65"/>
      <c r="AE238" s="65"/>
      <c r="AF238" s="68"/>
      <c r="AG238" s="66">
        <v>44885</v>
      </c>
      <c r="AH238" s="67" t="s">
        <v>14308</v>
      </c>
      <c r="AI238" s="65" t="s">
        <v>3060</v>
      </c>
      <c r="AJ238" s="65"/>
      <c r="AK238" s="97">
        <f t="shared" ca="1" si="14"/>
        <v>468</v>
      </c>
      <c r="AL238">
        <f>IFERROR(VLOOKUP(A238,'DATA CLIENTES'!B4535:I8284,6,FALSE),0)</f>
        <v>0</v>
      </c>
    </row>
    <row r="239" spans="1:38" x14ac:dyDescent="0.25">
      <c r="A239" s="93" t="s">
        <v>6657</v>
      </c>
      <c r="B239" s="68" t="s">
        <v>6658</v>
      </c>
      <c r="C239" s="65"/>
      <c r="D239" s="65"/>
      <c r="E239" s="65"/>
      <c r="F239" s="69"/>
      <c r="G239" s="70"/>
      <c r="H239" s="65" t="s">
        <v>14494</v>
      </c>
      <c r="I239" s="75">
        <v>7094</v>
      </c>
      <c r="J239" s="75">
        <f>480.28+500+500+500+1000+1000+1000+1000+665.1+448.62</f>
        <v>7094</v>
      </c>
      <c r="K239" s="75"/>
      <c r="L239" s="75"/>
      <c r="M239" s="75"/>
      <c r="N239" s="75">
        <f>Tabla1[[#This Row],[IMPORTE APROBADO]]-Tabla1[[#This Row],[AMORTIZACION2]]</f>
        <v>0</v>
      </c>
      <c r="O239" s="65" t="str">
        <f>TEXT(Tabla1[[#This Row],[EMISION]],"mmm")</f>
        <v>Nov</v>
      </c>
      <c r="P239" s="65" t="str">
        <f>TEXT(Tabla1[[#This Row],[EMISION]],"YYYY")</f>
        <v>2022</v>
      </c>
      <c r="Q239" s="71">
        <v>44886</v>
      </c>
      <c r="R239" s="65" t="str">
        <f>TEXT(Tabla1[[#This Row],[VENCIMIENTO]],"mmm")</f>
        <v>Dic</v>
      </c>
      <c r="S239" s="71">
        <f t="shared" si="17"/>
        <v>44901</v>
      </c>
      <c r="T239" s="72">
        <f ca="1">Tabla1[[#This Row],[EMISION]]+Tabla1[[#This Row],[PLAZO]]-TODAY()</f>
        <v>-468</v>
      </c>
      <c r="U239" s="64">
        <f t="shared" ca="1" si="18"/>
        <v>0</v>
      </c>
      <c r="V239" s="72"/>
      <c r="W239" s="73" t="s">
        <v>14307</v>
      </c>
      <c r="X239" s="65">
        <v>15</v>
      </c>
      <c r="Y239" s="65"/>
      <c r="Z239" s="65"/>
      <c r="AA239" s="65"/>
      <c r="AB239" s="65"/>
      <c r="AC239" s="65"/>
      <c r="AD239" s="65"/>
      <c r="AE239" s="65"/>
      <c r="AF239" s="68"/>
      <c r="AG239" s="66">
        <v>44953</v>
      </c>
      <c r="AH239" s="67" t="s">
        <v>14308</v>
      </c>
      <c r="AI239" s="65" t="s">
        <v>3060</v>
      </c>
      <c r="AJ239" s="65"/>
      <c r="AK239" s="97">
        <f t="shared" ca="1" si="14"/>
        <v>468</v>
      </c>
      <c r="AL239">
        <f>IFERROR(VLOOKUP(A239,'DATA CLIENTES'!B4536:I8284,6,FALSE),0)</f>
        <v>0</v>
      </c>
    </row>
    <row r="240" spans="1:38" x14ac:dyDescent="0.25">
      <c r="A240" s="93" t="s">
        <v>6657</v>
      </c>
      <c r="B240" s="68" t="s">
        <v>6658</v>
      </c>
      <c r="C240" s="65"/>
      <c r="D240" s="65"/>
      <c r="E240" s="65"/>
      <c r="F240" s="69"/>
      <c r="G240" s="70"/>
      <c r="H240" s="65" t="s">
        <v>14495</v>
      </c>
      <c r="I240" s="75">
        <v>487.64</v>
      </c>
      <c r="J240" s="75">
        <f>487.64</f>
        <v>487.64</v>
      </c>
      <c r="K240" s="75"/>
      <c r="L240" s="75"/>
      <c r="M240" s="75"/>
      <c r="N240" s="75">
        <f>Tabla1[[#This Row],[IMPORTE APROBADO]]-Tabla1[[#This Row],[AMORTIZACION2]]</f>
        <v>0</v>
      </c>
      <c r="O240" s="65" t="str">
        <f>TEXT(Tabla1[[#This Row],[EMISION]],"mmm")</f>
        <v>Nov</v>
      </c>
      <c r="P240" s="65" t="str">
        <f>TEXT(Tabla1[[#This Row],[EMISION]],"YYYY")</f>
        <v>2022</v>
      </c>
      <c r="Q240" s="71">
        <v>44886</v>
      </c>
      <c r="R240" s="65" t="str">
        <f>TEXT(Tabla1[[#This Row],[VENCIMIENTO]],"mmm")</f>
        <v>Dic</v>
      </c>
      <c r="S240" s="71">
        <f t="shared" si="17"/>
        <v>44901</v>
      </c>
      <c r="T240" s="72">
        <f ca="1">Tabla1[[#This Row],[EMISION]]+Tabla1[[#This Row],[PLAZO]]-TODAY()</f>
        <v>-468</v>
      </c>
      <c r="U240" s="64">
        <f t="shared" ca="1" si="18"/>
        <v>0</v>
      </c>
      <c r="V240" s="72"/>
      <c r="W240" s="73" t="s">
        <v>14307</v>
      </c>
      <c r="X240" s="65">
        <v>15</v>
      </c>
      <c r="Y240" s="65"/>
      <c r="Z240" s="65"/>
      <c r="AA240" s="65"/>
      <c r="AB240" s="65"/>
      <c r="AC240" s="65"/>
      <c r="AD240" s="65"/>
      <c r="AE240" s="65"/>
      <c r="AF240" s="68"/>
      <c r="AG240" s="66">
        <v>44953</v>
      </c>
      <c r="AH240" s="67" t="s">
        <v>14308</v>
      </c>
      <c r="AI240" s="65" t="s">
        <v>3060</v>
      </c>
      <c r="AJ240" s="65"/>
      <c r="AK240" s="97">
        <f t="shared" ca="1" si="14"/>
        <v>468</v>
      </c>
      <c r="AL240">
        <f>IFERROR(VLOOKUP(A240,'DATA CLIENTES'!B4537:I8284,6,FALSE),0)</f>
        <v>0</v>
      </c>
    </row>
    <row r="241" spans="1:38" x14ac:dyDescent="0.25">
      <c r="A241" s="93" t="s">
        <v>6657</v>
      </c>
      <c r="B241" s="68" t="s">
        <v>6658</v>
      </c>
      <c r="C241" s="65"/>
      <c r="D241" s="65"/>
      <c r="E241" s="65"/>
      <c r="F241" s="69"/>
      <c r="G241" s="70"/>
      <c r="H241" s="65" t="s">
        <v>14496</v>
      </c>
      <c r="I241" s="75">
        <v>628.72</v>
      </c>
      <c r="J241" s="75">
        <f>63.74+565</f>
        <v>628.74</v>
      </c>
      <c r="K241" s="75"/>
      <c r="L241" s="75"/>
      <c r="M241" s="75"/>
      <c r="N241" s="75">
        <f>Tabla1[[#This Row],[IMPORTE APROBADO]]-Tabla1[[#This Row],[AMORTIZACION2]]</f>
        <v>-1.999999999998181E-2</v>
      </c>
      <c r="O241" s="65" t="str">
        <f>TEXT(Tabla1[[#This Row],[EMISION]],"mmm")</f>
        <v>Nov</v>
      </c>
      <c r="P241" s="65" t="str">
        <f>TEXT(Tabla1[[#This Row],[EMISION]],"YYYY")</f>
        <v>2022</v>
      </c>
      <c r="Q241" s="71">
        <v>44886</v>
      </c>
      <c r="R241" s="65" t="str">
        <f>TEXT(Tabla1[[#This Row],[VENCIMIENTO]],"mmm")</f>
        <v>Dic</v>
      </c>
      <c r="S241" s="71">
        <f t="shared" si="17"/>
        <v>44901</v>
      </c>
      <c r="T241" s="72">
        <f ca="1">Tabla1[[#This Row],[EMISION]]+Tabla1[[#This Row],[PLAZO]]-TODAY()</f>
        <v>-468</v>
      </c>
      <c r="U241" s="64">
        <f t="shared" ca="1" si="18"/>
        <v>0</v>
      </c>
      <c r="V241" s="72"/>
      <c r="W241" s="73" t="s">
        <v>14307</v>
      </c>
      <c r="X241" s="65">
        <v>15</v>
      </c>
      <c r="Y241" s="65"/>
      <c r="Z241" s="65"/>
      <c r="AA241" s="65"/>
      <c r="AB241" s="65"/>
      <c r="AC241" s="65"/>
      <c r="AD241" s="65"/>
      <c r="AE241" s="65"/>
      <c r="AF241" s="68"/>
      <c r="AG241" s="66">
        <v>44953</v>
      </c>
      <c r="AH241" s="67" t="s">
        <v>14308</v>
      </c>
      <c r="AI241" s="65" t="s">
        <v>3060</v>
      </c>
      <c r="AJ241" s="65"/>
      <c r="AK241" s="97">
        <f t="shared" ca="1" si="14"/>
        <v>468</v>
      </c>
      <c r="AL241">
        <f>IFERROR(VLOOKUP(A241,'DATA CLIENTES'!B4538:I8284,6,FALSE),0)</f>
        <v>0</v>
      </c>
    </row>
    <row r="242" spans="1:38" x14ac:dyDescent="0.25">
      <c r="A242" s="93" t="s">
        <v>5547</v>
      </c>
      <c r="B242" s="68" t="s">
        <v>5548</v>
      </c>
      <c r="C242" s="65"/>
      <c r="D242" s="65"/>
      <c r="E242" s="65"/>
      <c r="F242" s="69"/>
      <c r="G242" s="70"/>
      <c r="H242" s="65" t="s">
        <v>14497</v>
      </c>
      <c r="I242" s="75">
        <v>4290</v>
      </c>
      <c r="J242" s="75">
        <f>500+3793</f>
        <v>4293</v>
      </c>
      <c r="K242" s="75"/>
      <c r="L242" s="75"/>
      <c r="M242" s="75"/>
      <c r="N242" s="75">
        <f>Tabla1[[#This Row],[IMPORTE APROBADO]]-Tabla1[[#This Row],[AMORTIZACION2]]</f>
        <v>-3</v>
      </c>
      <c r="O242" s="65" t="str">
        <f>TEXT(Tabla1[[#This Row],[EMISION]],"mmm")</f>
        <v>Nov</v>
      </c>
      <c r="P242" s="65" t="str">
        <f>TEXT(Tabla1[[#This Row],[EMISION]],"YYYY")</f>
        <v>2022</v>
      </c>
      <c r="Q242" s="71">
        <v>44886</v>
      </c>
      <c r="R242" s="65" t="str">
        <f>TEXT(Tabla1[[#This Row],[VENCIMIENTO]],"mmm")</f>
        <v>Dic</v>
      </c>
      <c r="S242" s="71">
        <f t="shared" si="17"/>
        <v>44901</v>
      </c>
      <c r="T242" s="72">
        <f ca="1">Tabla1[[#This Row],[EMISION]]+Tabla1[[#This Row],[PLAZO]]-TODAY()</f>
        <v>-468</v>
      </c>
      <c r="U242" s="64">
        <f t="shared" ca="1" si="18"/>
        <v>0</v>
      </c>
      <c r="V242" s="72"/>
      <c r="W242" s="73" t="s">
        <v>14307</v>
      </c>
      <c r="X242" s="65">
        <v>15</v>
      </c>
      <c r="Y242" s="65"/>
      <c r="Z242" s="65"/>
      <c r="AA242" s="65"/>
      <c r="AB242" s="65"/>
      <c r="AC242" s="65"/>
      <c r="AD242" s="65"/>
      <c r="AE242" s="65"/>
      <c r="AF242" s="68"/>
      <c r="AG242" s="66">
        <v>44909</v>
      </c>
      <c r="AH242" s="67" t="s">
        <v>14308</v>
      </c>
      <c r="AI242" s="65" t="s">
        <v>3060</v>
      </c>
      <c r="AJ242" s="65"/>
      <c r="AK242" s="97">
        <f t="shared" ca="1" si="14"/>
        <v>468</v>
      </c>
      <c r="AL242">
        <f>IFERROR(VLOOKUP(A242,'DATA CLIENTES'!B4539:I8284,6,FALSE),0)</f>
        <v>0</v>
      </c>
    </row>
    <row r="243" spans="1:38" x14ac:dyDescent="0.25">
      <c r="A243" s="93" t="s">
        <v>14428</v>
      </c>
      <c r="B243" s="68" t="s">
        <v>14427</v>
      </c>
      <c r="C243" s="65"/>
      <c r="D243" s="65"/>
      <c r="E243" s="65"/>
      <c r="F243" s="69"/>
      <c r="G243" s="70"/>
      <c r="H243" s="65" t="s">
        <v>14498</v>
      </c>
      <c r="I243" s="75">
        <v>5594.6</v>
      </c>
      <c r="J243" s="75">
        <v>5594.6</v>
      </c>
      <c r="K243" s="75"/>
      <c r="L243" s="75"/>
      <c r="M243" s="75"/>
      <c r="N243" s="75">
        <f>Tabla1[[#This Row],[IMPORTE APROBADO]]-Tabla1[[#This Row],[AMORTIZACION2]]</f>
        <v>0</v>
      </c>
      <c r="O243" s="65" t="str">
        <f>TEXT(Tabla1[[#This Row],[EMISION]],"mmm")</f>
        <v>Nov</v>
      </c>
      <c r="P243" s="65" t="str">
        <f>TEXT(Tabla1[[#This Row],[EMISION]],"YYYY")</f>
        <v>2022</v>
      </c>
      <c r="Q243" s="71">
        <v>44886</v>
      </c>
      <c r="R243" s="65" t="str">
        <f>TEXT(Tabla1[[#This Row],[VENCIMIENTO]],"mmm")</f>
        <v>Dic</v>
      </c>
      <c r="S243" s="71">
        <f t="shared" si="17"/>
        <v>44901</v>
      </c>
      <c r="T243" s="72">
        <f ca="1">Tabla1[[#This Row],[EMISION]]+Tabla1[[#This Row],[PLAZO]]-TODAY()</f>
        <v>-468</v>
      </c>
      <c r="U243" s="64">
        <f t="shared" ca="1" si="18"/>
        <v>0</v>
      </c>
      <c r="V243" s="72"/>
      <c r="W243" s="73" t="s">
        <v>14307</v>
      </c>
      <c r="X243" s="65">
        <v>15</v>
      </c>
      <c r="Y243" s="65"/>
      <c r="Z243" s="65"/>
      <c r="AA243" s="65"/>
      <c r="AB243" s="65"/>
      <c r="AC243" s="65"/>
      <c r="AD243" s="65"/>
      <c r="AE243" s="65"/>
      <c r="AF243" s="68"/>
      <c r="AG243" s="66">
        <v>44917</v>
      </c>
      <c r="AH243" s="67" t="s">
        <v>14308</v>
      </c>
      <c r="AI243" s="65" t="s">
        <v>3060</v>
      </c>
      <c r="AJ243" s="65"/>
      <c r="AK243" s="97">
        <f t="shared" ca="1" si="14"/>
        <v>468</v>
      </c>
      <c r="AL243">
        <f>IFERROR(VLOOKUP(A243,'DATA CLIENTES'!B4540:I8284,6,FALSE),0)</f>
        <v>0</v>
      </c>
    </row>
    <row r="244" spans="1:38" x14ac:dyDescent="0.25">
      <c r="A244" s="93" t="s">
        <v>9309</v>
      </c>
      <c r="B244" s="68" t="s">
        <v>9310</v>
      </c>
      <c r="C244" s="65"/>
      <c r="D244" s="65"/>
      <c r="E244" s="65"/>
      <c r="F244" s="69"/>
      <c r="G244" s="70"/>
      <c r="H244" s="65" t="s">
        <v>14499</v>
      </c>
      <c r="I244" s="75">
        <v>3563.0000000000005</v>
      </c>
      <c r="J244" s="75">
        <f>1900+1663</f>
        <v>3563</v>
      </c>
      <c r="K244" s="75"/>
      <c r="L244" s="75"/>
      <c r="M244" s="75"/>
      <c r="N244" s="75">
        <f>Tabla1[[#This Row],[IMPORTE APROBADO]]-Tabla1[[#This Row],[AMORTIZACION2]]</f>
        <v>0</v>
      </c>
      <c r="O244" s="65" t="str">
        <f>TEXT(Tabla1[[#This Row],[EMISION]],"mmm")</f>
        <v>Nov</v>
      </c>
      <c r="P244" s="65" t="str">
        <f>TEXT(Tabla1[[#This Row],[EMISION]],"YYYY")</f>
        <v>2022</v>
      </c>
      <c r="Q244" s="71">
        <v>44886</v>
      </c>
      <c r="R244" s="65" t="str">
        <f>TEXT(Tabla1[[#This Row],[VENCIMIENTO]],"mmm")</f>
        <v>Dic</v>
      </c>
      <c r="S244" s="71">
        <f t="shared" si="17"/>
        <v>44916</v>
      </c>
      <c r="T244" s="72">
        <f ca="1">Tabla1[[#This Row],[EMISION]]+Tabla1[[#This Row],[PLAZO]]-TODAY()</f>
        <v>-453</v>
      </c>
      <c r="U244" s="64">
        <f t="shared" ca="1" si="18"/>
        <v>0</v>
      </c>
      <c r="V244" s="72"/>
      <c r="W244" s="73" t="s">
        <v>14307</v>
      </c>
      <c r="X244" s="65">
        <v>30</v>
      </c>
      <c r="Y244" s="65"/>
      <c r="Z244" s="65"/>
      <c r="AA244" s="65"/>
      <c r="AB244" s="65"/>
      <c r="AC244" s="65"/>
      <c r="AD244" s="65"/>
      <c r="AE244" s="65"/>
      <c r="AF244" s="68"/>
      <c r="AG244" s="66">
        <v>44935</v>
      </c>
      <c r="AH244" s="67" t="s">
        <v>14308</v>
      </c>
      <c r="AI244" s="65" t="s">
        <v>3060</v>
      </c>
      <c r="AJ244" s="65"/>
      <c r="AK244" s="97">
        <f t="shared" ca="1" si="14"/>
        <v>453</v>
      </c>
      <c r="AL244">
        <f>IFERROR(VLOOKUP(A244,'DATA CLIENTES'!B4541:I8284,6,FALSE),0)</f>
        <v>0</v>
      </c>
    </row>
    <row r="245" spans="1:38" x14ac:dyDescent="0.25">
      <c r="A245" s="93" t="s">
        <v>9309</v>
      </c>
      <c r="B245" s="68" t="s">
        <v>9310</v>
      </c>
      <c r="C245" s="65"/>
      <c r="D245" s="65"/>
      <c r="E245" s="65"/>
      <c r="F245" s="69"/>
      <c r="G245" s="70"/>
      <c r="H245" s="65" t="s">
        <v>14500</v>
      </c>
      <c r="I245" s="75">
        <v>18323.64</v>
      </c>
      <c r="J245" s="75">
        <f>1337+600+900+2000+1000+1500+1000+1000+1000+500+800+1686.64+3000+1000+1000</f>
        <v>18323.64</v>
      </c>
      <c r="K245" s="75"/>
      <c r="L245" s="75"/>
      <c r="M245" s="75"/>
      <c r="N245" s="75">
        <f>Tabla1[[#This Row],[IMPORTE APROBADO]]-Tabla1[[#This Row],[AMORTIZACION2]]</f>
        <v>0</v>
      </c>
      <c r="O245" s="65" t="str">
        <f>TEXT(Tabla1[[#This Row],[EMISION]],"mmm")</f>
        <v>Nov</v>
      </c>
      <c r="P245" s="65" t="str">
        <f>TEXT(Tabla1[[#This Row],[EMISION]],"YYYY")</f>
        <v>2022</v>
      </c>
      <c r="Q245" s="71">
        <v>44886</v>
      </c>
      <c r="R245" s="65" t="str">
        <f>TEXT(Tabla1[[#This Row],[VENCIMIENTO]],"mmm")</f>
        <v>Dic</v>
      </c>
      <c r="S245" s="71">
        <f t="shared" si="17"/>
        <v>44916</v>
      </c>
      <c r="T245" s="72">
        <f ca="1">Tabla1[[#This Row],[EMISION]]+Tabla1[[#This Row],[PLAZO]]-TODAY()</f>
        <v>-453</v>
      </c>
      <c r="U245" s="64">
        <f t="shared" ca="1" si="18"/>
        <v>0</v>
      </c>
      <c r="V245" s="72"/>
      <c r="W245" s="73" t="s">
        <v>14307</v>
      </c>
      <c r="X245" s="65">
        <v>30</v>
      </c>
      <c r="Y245" s="65"/>
      <c r="Z245" s="65"/>
      <c r="AA245" s="65"/>
      <c r="AB245" s="65"/>
      <c r="AC245" s="65"/>
      <c r="AD245" s="65"/>
      <c r="AE245" s="65"/>
      <c r="AF245" s="68"/>
      <c r="AG245" s="66">
        <v>45001</v>
      </c>
      <c r="AH245" s="67" t="s">
        <v>14308</v>
      </c>
      <c r="AI245" s="65" t="s">
        <v>3060</v>
      </c>
      <c r="AJ245" s="65"/>
      <c r="AK245" s="97">
        <f t="shared" ca="1" si="14"/>
        <v>453</v>
      </c>
      <c r="AL245">
        <f>IFERROR(VLOOKUP(A245,'DATA CLIENTES'!B4542:I8284,6,FALSE),0)</f>
        <v>0</v>
      </c>
    </row>
    <row r="246" spans="1:38" x14ac:dyDescent="0.25">
      <c r="A246" s="93" t="s">
        <v>9887</v>
      </c>
      <c r="B246" s="68" t="s">
        <v>9888</v>
      </c>
      <c r="C246" s="65"/>
      <c r="D246" s="65"/>
      <c r="E246" s="65"/>
      <c r="F246" s="69"/>
      <c r="G246" s="70"/>
      <c r="H246" s="65" t="s">
        <v>14501</v>
      </c>
      <c r="I246" s="75">
        <v>808.98</v>
      </c>
      <c r="J246" s="75">
        <v>808.98</v>
      </c>
      <c r="K246" s="75"/>
      <c r="L246" s="75"/>
      <c r="M246" s="75"/>
      <c r="N246" s="75">
        <f>Tabla1[[#This Row],[IMPORTE APROBADO]]-Tabla1[[#This Row],[AMORTIZACION2]]</f>
        <v>0</v>
      </c>
      <c r="O246" s="65" t="str">
        <f>TEXT(Tabla1[[#This Row],[EMISION]],"mmm")</f>
        <v>Nov</v>
      </c>
      <c r="P246" s="65" t="str">
        <f>TEXT(Tabla1[[#This Row],[EMISION]],"YYYY")</f>
        <v>2022</v>
      </c>
      <c r="Q246" s="71">
        <v>44887</v>
      </c>
      <c r="R246" s="65" t="str">
        <f>TEXT(Tabla1[[#This Row],[VENCIMIENTO]],"mmm")</f>
        <v>Dic</v>
      </c>
      <c r="S246" s="71">
        <f t="shared" si="17"/>
        <v>44902</v>
      </c>
      <c r="T246" s="72">
        <f ca="1">Tabla1[[#This Row],[EMISION]]+Tabla1[[#This Row],[PLAZO]]-TODAY()</f>
        <v>-467</v>
      </c>
      <c r="U246" s="64">
        <f t="shared" ca="1" si="18"/>
        <v>0</v>
      </c>
      <c r="V246" s="72"/>
      <c r="W246" s="73" t="s">
        <v>14307</v>
      </c>
      <c r="X246" s="65">
        <v>15</v>
      </c>
      <c r="Y246" s="65"/>
      <c r="Z246" s="65"/>
      <c r="AA246" s="65"/>
      <c r="AB246" s="65"/>
      <c r="AC246" s="65"/>
      <c r="AD246" s="65"/>
      <c r="AE246" s="65"/>
      <c r="AF246" s="68"/>
      <c r="AG246" s="66">
        <v>44908</v>
      </c>
      <c r="AH246" s="67" t="s">
        <v>14308</v>
      </c>
      <c r="AI246" s="65" t="s">
        <v>3060</v>
      </c>
      <c r="AJ246" s="65"/>
      <c r="AK246" s="97">
        <f t="shared" ca="1" si="14"/>
        <v>467</v>
      </c>
      <c r="AL246">
        <f>IFERROR(VLOOKUP(A246,'DATA CLIENTES'!B4543:I8284,6,FALSE),0)</f>
        <v>0</v>
      </c>
    </row>
    <row r="247" spans="1:38" x14ac:dyDescent="0.25">
      <c r="A247" s="93" t="s">
        <v>6654</v>
      </c>
      <c r="B247" s="68" t="s">
        <v>14502</v>
      </c>
      <c r="C247" s="65"/>
      <c r="D247" s="65"/>
      <c r="E247" s="65"/>
      <c r="F247" s="69"/>
      <c r="G247" s="70"/>
      <c r="H247" s="65" t="s">
        <v>14503</v>
      </c>
      <c r="I247" s="75">
        <v>1541.5912500000002</v>
      </c>
      <c r="J247" s="75">
        <f>541.6+1000</f>
        <v>1541.6</v>
      </c>
      <c r="K247" s="75"/>
      <c r="L247" s="75"/>
      <c r="M247" s="75"/>
      <c r="N247" s="75">
        <f>Tabla1[[#This Row],[IMPORTE APROBADO]]-Tabla1[[#This Row],[AMORTIZACION2]]</f>
        <v>-8.7499999997362465E-3</v>
      </c>
      <c r="O247" s="65" t="str">
        <f>TEXT(Tabla1[[#This Row],[EMISION]],"mmm")</f>
        <v>Nov</v>
      </c>
      <c r="P247" s="65" t="str">
        <f>TEXT(Tabla1[[#This Row],[EMISION]],"YYYY")</f>
        <v>2022</v>
      </c>
      <c r="Q247" s="71">
        <v>44890</v>
      </c>
      <c r="R247" s="65" t="str">
        <f>TEXT(Tabla1[[#This Row],[VENCIMIENTO]],"mmm")</f>
        <v>Dic</v>
      </c>
      <c r="S247" s="71">
        <f t="shared" ref="S247:S263" si="19">Q247+X247</f>
        <v>44897</v>
      </c>
      <c r="T247" s="72">
        <f ca="1">Tabla1[[#This Row],[EMISION]]+Tabla1[[#This Row],[PLAZO]]-TODAY()</f>
        <v>-472</v>
      </c>
      <c r="U247" s="64">
        <f t="shared" ref="U247:U263" ca="1" si="20">IF(T247&gt;=0,$U$4,IF(AND(T247&lt;=-1,T247&gt;=-30),$U$5,IF(AND(T247&lt;=-31,T247&gt;=-60),$U$6,IF(AND(T247&lt;=-61,T247&gt;=-90),$U$7,$U$8))))</f>
        <v>0</v>
      </c>
      <c r="V247" s="72"/>
      <c r="W247" s="73" t="s">
        <v>14307</v>
      </c>
      <c r="X247" s="65">
        <v>7</v>
      </c>
      <c r="Y247" s="65"/>
      <c r="Z247" s="65"/>
      <c r="AA247" s="65"/>
      <c r="AB247" s="65"/>
      <c r="AC247" s="65"/>
      <c r="AD247" s="65"/>
      <c r="AE247" s="65"/>
      <c r="AF247" s="68"/>
      <c r="AG247" s="66">
        <v>44905</v>
      </c>
      <c r="AH247" s="67" t="s">
        <v>14308</v>
      </c>
      <c r="AI247" s="65" t="s">
        <v>3060</v>
      </c>
      <c r="AJ247" s="65"/>
      <c r="AK247" s="97">
        <f t="shared" ca="1" si="14"/>
        <v>472</v>
      </c>
      <c r="AL247">
        <f>IFERROR(VLOOKUP(A247,'DATA CLIENTES'!B4544:I8284,6,FALSE),0)</f>
        <v>0</v>
      </c>
    </row>
    <row r="248" spans="1:38" x14ac:dyDescent="0.25">
      <c r="A248" s="93" t="s">
        <v>5473</v>
      </c>
      <c r="B248" s="68" t="s">
        <v>14378</v>
      </c>
      <c r="C248" s="65"/>
      <c r="D248" s="65"/>
      <c r="E248" s="65"/>
      <c r="F248" s="69"/>
      <c r="G248" s="70"/>
      <c r="H248" s="65" t="s">
        <v>14504</v>
      </c>
      <c r="I248" s="75">
        <v>15114.2</v>
      </c>
      <c r="J248" s="75">
        <f>13114.2+2000</f>
        <v>15114.2</v>
      </c>
      <c r="K248" s="75"/>
      <c r="L248" s="75"/>
      <c r="M248" s="75"/>
      <c r="N248" s="75">
        <f>Tabla1[[#This Row],[IMPORTE APROBADO]]-Tabla1[[#This Row],[AMORTIZACION2]]</f>
        <v>0</v>
      </c>
      <c r="O248" s="65" t="str">
        <f>TEXT(Tabla1[[#This Row],[EMISION]],"mmm")</f>
        <v>Nov</v>
      </c>
      <c r="P248" s="65" t="str">
        <f>TEXT(Tabla1[[#This Row],[EMISION]],"YYYY")</f>
        <v>2022</v>
      </c>
      <c r="Q248" s="71">
        <v>44893</v>
      </c>
      <c r="R248" s="65" t="str">
        <f>TEXT(Tabla1[[#This Row],[VENCIMIENTO]],"mmm")</f>
        <v>Dic</v>
      </c>
      <c r="S248" s="71">
        <f t="shared" si="19"/>
        <v>44900</v>
      </c>
      <c r="T248" s="72">
        <f ca="1">Tabla1[[#This Row],[EMISION]]+Tabla1[[#This Row],[PLAZO]]-TODAY()</f>
        <v>-469</v>
      </c>
      <c r="U248" s="64">
        <f t="shared" ca="1" si="20"/>
        <v>0</v>
      </c>
      <c r="V248" s="72"/>
      <c r="W248" s="73" t="s">
        <v>14307</v>
      </c>
      <c r="X248" s="65">
        <v>7</v>
      </c>
      <c r="Y248" s="65"/>
      <c r="Z248" s="65"/>
      <c r="AA248" s="65"/>
      <c r="AB248" s="65"/>
      <c r="AC248" s="65"/>
      <c r="AD248" s="65"/>
      <c r="AE248" s="65"/>
      <c r="AF248" s="68"/>
      <c r="AG248" s="66">
        <v>44910</v>
      </c>
      <c r="AH248" s="67" t="s">
        <v>14308</v>
      </c>
      <c r="AI248" s="65" t="s">
        <v>3060</v>
      </c>
      <c r="AJ248" s="65"/>
      <c r="AK248" s="97">
        <f t="shared" ca="1" si="14"/>
        <v>469</v>
      </c>
      <c r="AL248">
        <f>IFERROR(VLOOKUP(A248,'DATA CLIENTES'!B4545:I8284,6,FALSE),0)</f>
        <v>0</v>
      </c>
    </row>
    <row r="249" spans="1:38" x14ac:dyDescent="0.25">
      <c r="A249" s="93" t="s">
        <v>7188</v>
      </c>
      <c r="B249" s="68" t="s">
        <v>7189</v>
      </c>
      <c r="C249" s="65"/>
      <c r="D249" s="65"/>
      <c r="E249" s="65"/>
      <c r="F249" s="69"/>
      <c r="G249" s="70"/>
      <c r="H249" s="65" t="s">
        <v>14505</v>
      </c>
      <c r="I249" s="75">
        <v>1409.6199999999997</v>
      </c>
      <c r="J249" s="75">
        <v>1409.62</v>
      </c>
      <c r="K249" s="75"/>
      <c r="L249" s="75"/>
      <c r="M249" s="75"/>
      <c r="N249" s="75">
        <f>Tabla1[[#This Row],[IMPORTE APROBADO]]-Tabla1[[#This Row],[AMORTIZACION2]]</f>
        <v>0</v>
      </c>
      <c r="O249" s="65" t="str">
        <f>TEXT(Tabla1[[#This Row],[EMISION]],"mmm")</f>
        <v>Nov</v>
      </c>
      <c r="P249" s="65" t="str">
        <f>TEXT(Tabla1[[#This Row],[EMISION]],"YYYY")</f>
        <v>2022</v>
      </c>
      <c r="Q249" s="71">
        <v>44893</v>
      </c>
      <c r="R249" s="65" t="str">
        <f>TEXT(Tabla1[[#This Row],[VENCIMIENTO]],"mmm")</f>
        <v>Dic</v>
      </c>
      <c r="S249" s="71">
        <f t="shared" si="19"/>
        <v>44908</v>
      </c>
      <c r="T249" s="72">
        <f ca="1">Tabla1[[#This Row],[EMISION]]+Tabla1[[#This Row],[PLAZO]]-TODAY()</f>
        <v>-461</v>
      </c>
      <c r="U249" s="64">
        <f t="shared" ca="1" si="20"/>
        <v>0</v>
      </c>
      <c r="V249" s="72"/>
      <c r="W249" s="73" t="s">
        <v>14307</v>
      </c>
      <c r="X249" s="65">
        <v>15</v>
      </c>
      <c r="Y249" s="65"/>
      <c r="Z249" s="65"/>
      <c r="AA249" s="65"/>
      <c r="AB249" s="65"/>
      <c r="AC249" s="65"/>
      <c r="AD249" s="65"/>
      <c r="AE249" s="65"/>
      <c r="AF249" s="68"/>
      <c r="AG249" s="66">
        <v>44908</v>
      </c>
      <c r="AH249" s="67" t="s">
        <v>14308</v>
      </c>
      <c r="AI249" s="65" t="s">
        <v>3060</v>
      </c>
      <c r="AJ249" s="65"/>
      <c r="AK249" s="97">
        <f t="shared" ca="1" si="14"/>
        <v>461</v>
      </c>
      <c r="AL249">
        <f>IFERROR(VLOOKUP(A249,'DATA CLIENTES'!B4546:I8284,6,FALSE),0)</f>
        <v>0</v>
      </c>
    </row>
    <row r="250" spans="1:38" x14ac:dyDescent="0.25">
      <c r="A250" s="93" t="s">
        <v>6507</v>
      </c>
      <c r="B250" s="68" t="s">
        <v>6508</v>
      </c>
      <c r="C250" s="65"/>
      <c r="D250" s="65"/>
      <c r="E250" s="65"/>
      <c r="F250" s="69"/>
      <c r="G250" s="70"/>
      <c r="H250" s="65" t="s">
        <v>14506</v>
      </c>
      <c r="I250" s="75">
        <v>18507.510000000002</v>
      </c>
      <c r="J250" s="75">
        <f>5000+3000+5000+1000+3307.51+1200</f>
        <v>18507.510000000002</v>
      </c>
      <c r="K250" s="75"/>
      <c r="L250" s="75"/>
      <c r="M250" s="75"/>
      <c r="N250" s="75">
        <f>Tabla1[[#This Row],[IMPORTE APROBADO]]-Tabla1[[#This Row],[AMORTIZACION2]]</f>
        <v>0</v>
      </c>
      <c r="O250" s="65" t="str">
        <f>TEXT(Tabla1[[#This Row],[EMISION]],"mmm")</f>
        <v>Nov</v>
      </c>
      <c r="P250" s="65" t="str">
        <f>TEXT(Tabla1[[#This Row],[EMISION]],"YYYY")</f>
        <v>2022</v>
      </c>
      <c r="Q250" s="71">
        <v>44893</v>
      </c>
      <c r="R250" s="65" t="str">
        <f>TEXT(Tabla1[[#This Row],[VENCIMIENTO]],"mmm")</f>
        <v>Dic</v>
      </c>
      <c r="S250" s="71">
        <f t="shared" si="19"/>
        <v>44908</v>
      </c>
      <c r="T250" s="72">
        <f ca="1">Tabla1[[#This Row],[EMISION]]+Tabla1[[#This Row],[PLAZO]]-TODAY()</f>
        <v>-461</v>
      </c>
      <c r="U250" s="64">
        <f t="shared" ca="1" si="20"/>
        <v>0</v>
      </c>
      <c r="V250" s="72"/>
      <c r="W250" s="73" t="s">
        <v>14307</v>
      </c>
      <c r="X250" s="65">
        <v>15</v>
      </c>
      <c r="Y250" s="65"/>
      <c r="Z250" s="65"/>
      <c r="AA250" s="65"/>
      <c r="AB250" s="65"/>
      <c r="AC250" s="65"/>
      <c r="AD250" s="65"/>
      <c r="AE250" s="65"/>
      <c r="AF250" s="68"/>
      <c r="AG250" s="66">
        <v>44922</v>
      </c>
      <c r="AH250" s="67" t="s">
        <v>14308</v>
      </c>
      <c r="AI250" s="65" t="s">
        <v>3060</v>
      </c>
      <c r="AJ250" s="65"/>
      <c r="AK250" s="97">
        <f t="shared" ca="1" si="14"/>
        <v>461</v>
      </c>
      <c r="AL250">
        <f>IFERROR(VLOOKUP(A250,'DATA CLIENTES'!B4547:I8284,6,FALSE),0)</f>
        <v>0</v>
      </c>
    </row>
    <row r="251" spans="1:38" x14ac:dyDescent="0.25">
      <c r="A251" s="93" t="s">
        <v>8565</v>
      </c>
      <c r="B251" s="68" t="s">
        <v>14334</v>
      </c>
      <c r="C251" s="65"/>
      <c r="D251" s="65"/>
      <c r="E251" s="65"/>
      <c r="F251" s="69"/>
      <c r="G251" s="70"/>
      <c r="H251" s="65" t="s">
        <v>14507</v>
      </c>
      <c r="I251" s="75">
        <v>1121.7600000000002</v>
      </c>
      <c r="J251" s="75">
        <v>1121.76</v>
      </c>
      <c r="K251" s="75"/>
      <c r="L251" s="75"/>
      <c r="M251" s="75"/>
      <c r="N251" s="75">
        <f>Tabla1[[#This Row],[IMPORTE APROBADO]]-Tabla1[[#This Row],[AMORTIZACION2]]</f>
        <v>0</v>
      </c>
      <c r="O251" s="65" t="str">
        <f>TEXT(Tabla1[[#This Row],[EMISION]],"mmm")</f>
        <v>Nov</v>
      </c>
      <c r="P251" s="65" t="str">
        <f>TEXT(Tabla1[[#This Row],[EMISION]],"YYYY")</f>
        <v>2022</v>
      </c>
      <c r="Q251" s="71">
        <v>44894</v>
      </c>
      <c r="R251" s="65" t="str">
        <f>TEXT(Tabla1[[#This Row],[VENCIMIENTO]],"mmm")</f>
        <v>Dic</v>
      </c>
      <c r="S251" s="71">
        <f t="shared" si="19"/>
        <v>44901</v>
      </c>
      <c r="T251" s="72">
        <f ca="1">Tabla1[[#This Row],[EMISION]]+Tabla1[[#This Row],[PLAZO]]-TODAY()</f>
        <v>-468</v>
      </c>
      <c r="U251" s="64">
        <f t="shared" ca="1" si="20"/>
        <v>0</v>
      </c>
      <c r="V251" s="72"/>
      <c r="W251" s="73" t="s">
        <v>14307</v>
      </c>
      <c r="X251" s="65">
        <v>7</v>
      </c>
      <c r="Y251" s="65"/>
      <c r="Z251" s="65"/>
      <c r="AA251" s="65"/>
      <c r="AB251" s="65"/>
      <c r="AC251" s="65"/>
      <c r="AD251" s="65"/>
      <c r="AE251" s="65"/>
      <c r="AF251" s="68"/>
      <c r="AG251" s="66">
        <v>44909</v>
      </c>
      <c r="AH251" s="67" t="s">
        <v>14308</v>
      </c>
      <c r="AI251" s="65" t="s">
        <v>3060</v>
      </c>
      <c r="AJ251" s="65"/>
      <c r="AK251" s="97">
        <f t="shared" ca="1" si="14"/>
        <v>468</v>
      </c>
      <c r="AL251">
        <f>IFERROR(VLOOKUP(A251,'DATA CLIENTES'!B4548:I8284,6,FALSE),0)</f>
        <v>0</v>
      </c>
    </row>
    <row r="252" spans="1:38" x14ac:dyDescent="0.25">
      <c r="A252" s="93" t="s">
        <v>6694</v>
      </c>
      <c r="B252" s="68" t="s">
        <v>6695</v>
      </c>
      <c r="C252" s="65"/>
      <c r="D252" s="65"/>
      <c r="E252" s="65"/>
      <c r="F252" s="69"/>
      <c r="G252" s="70"/>
      <c r="H252" s="65" t="s">
        <v>14508</v>
      </c>
      <c r="I252" s="75">
        <v>1584</v>
      </c>
      <c r="J252" s="75">
        <f>300+300+300+300+384</f>
        <v>1584</v>
      </c>
      <c r="K252" s="75"/>
      <c r="L252" s="75"/>
      <c r="M252" s="75"/>
      <c r="N252" s="75">
        <f>Tabla1[[#This Row],[IMPORTE APROBADO]]-Tabla1[[#This Row],[AMORTIZACION2]]</f>
        <v>0</v>
      </c>
      <c r="O252" s="65" t="str">
        <f>TEXT(Tabla1[[#This Row],[EMISION]],"mmm")</f>
        <v>Nov</v>
      </c>
      <c r="P252" s="65" t="str">
        <f>TEXT(Tabla1[[#This Row],[EMISION]],"YYYY")</f>
        <v>2022</v>
      </c>
      <c r="Q252" s="71">
        <v>44894</v>
      </c>
      <c r="R252" s="65" t="str">
        <f>TEXT(Tabla1[[#This Row],[VENCIMIENTO]],"mmm")</f>
        <v>Dic</v>
      </c>
      <c r="S252" s="71">
        <f t="shared" si="19"/>
        <v>44909</v>
      </c>
      <c r="T252" s="72">
        <f ca="1">Tabla1[[#This Row],[EMISION]]+Tabla1[[#This Row],[PLAZO]]-TODAY()</f>
        <v>-460</v>
      </c>
      <c r="U252" s="64">
        <f t="shared" ca="1" si="20"/>
        <v>0</v>
      </c>
      <c r="V252" s="72"/>
      <c r="W252" s="73" t="s">
        <v>14307</v>
      </c>
      <c r="X252" s="65">
        <v>15</v>
      </c>
      <c r="Y252" s="65"/>
      <c r="Z252" s="65"/>
      <c r="AA252" s="65"/>
      <c r="AB252" s="65"/>
      <c r="AC252" s="65"/>
      <c r="AD252" s="65"/>
      <c r="AE252" s="65"/>
      <c r="AF252" s="68"/>
      <c r="AG252" s="66">
        <v>44936</v>
      </c>
      <c r="AH252" s="67" t="s">
        <v>14308</v>
      </c>
      <c r="AI252" s="65" t="s">
        <v>3060</v>
      </c>
      <c r="AJ252" s="65"/>
      <c r="AK252" s="97">
        <f t="shared" ca="1" si="14"/>
        <v>460</v>
      </c>
      <c r="AL252">
        <f>IFERROR(VLOOKUP(A252,'DATA CLIENTES'!B4549:I8284,6,FALSE),0)</f>
        <v>0</v>
      </c>
    </row>
    <row r="253" spans="1:38" x14ac:dyDescent="0.25">
      <c r="A253" s="93" t="s">
        <v>5294</v>
      </c>
      <c r="B253" s="68" t="s">
        <v>14306</v>
      </c>
      <c r="C253" s="65"/>
      <c r="D253" s="65"/>
      <c r="E253" s="65"/>
      <c r="F253" s="69"/>
      <c r="G253" s="70"/>
      <c r="H253" s="65" t="s">
        <v>14509</v>
      </c>
      <c r="I253" s="75">
        <v>27070</v>
      </c>
      <c r="J253" s="75">
        <f>15000+12070</f>
        <v>27070</v>
      </c>
      <c r="K253" s="75"/>
      <c r="L253" s="75"/>
      <c r="M253" s="75"/>
      <c r="N253" s="75">
        <f>Tabla1[[#This Row],[IMPORTE APROBADO]]-Tabla1[[#This Row],[AMORTIZACION2]]</f>
        <v>0</v>
      </c>
      <c r="O253" s="65" t="str">
        <f>TEXT(Tabla1[[#This Row],[EMISION]],"mmm")</f>
        <v>Nov</v>
      </c>
      <c r="P253" s="65" t="str">
        <f>TEXT(Tabla1[[#This Row],[EMISION]],"YYYY")</f>
        <v>2022</v>
      </c>
      <c r="Q253" s="71">
        <v>44895</v>
      </c>
      <c r="R253" s="65" t="str">
        <f>TEXT(Tabla1[[#This Row],[VENCIMIENTO]],"mmm")</f>
        <v>Ene</v>
      </c>
      <c r="S253" s="71">
        <f t="shared" si="19"/>
        <v>44940</v>
      </c>
      <c r="T253" s="72">
        <f ca="1">Tabla1[[#This Row],[EMISION]]+Tabla1[[#This Row],[PLAZO]]-TODAY()</f>
        <v>-429</v>
      </c>
      <c r="U253" s="64">
        <f t="shared" ca="1" si="20"/>
        <v>0</v>
      </c>
      <c r="V253" s="72"/>
      <c r="W253" s="73" t="s">
        <v>14307</v>
      </c>
      <c r="X253" s="65">
        <v>45</v>
      </c>
      <c r="Y253" s="65"/>
      <c r="Z253" s="65"/>
      <c r="AA253" s="65"/>
      <c r="AB253" s="65"/>
      <c r="AC253" s="65"/>
      <c r="AD253" s="65"/>
      <c r="AE253" s="65"/>
      <c r="AF253" s="68"/>
      <c r="AG253" s="66">
        <v>44947</v>
      </c>
      <c r="AH253" s="67" t="s">
        <v>14308</v>
      </c>
      <c r="AI253" s="65" t="s">
        <v>3060</v>
      </c>
      <c r="AJ253" s="65"/>
      <c r="AK253" s="97">
        <f t="shared" ca="1" si="14"/>
        <v>429</v>
      </c>
      <c r="AL253">
        <f>IFERROR(VLOOKUP(A253,'DATA CLIENTES'!B4550:I8284,6,FALSE),0)</f>
        <v>0</v>
      </c>
    </row>
    <row r="254" spans="1:38" x14ac:dyDescent="0.25">
      <c r="A254" s="93" t="s">
        <v>5294</v>
      </c>
      <c r="B254" s="68" t="s">
        <v>14306</v>
      </c>
      <c r="C254" s="65"/>
      <c r="D254" s="65"/>
      <c r="E254" s="65"/>
      <c r="F254" s="69"/>
      <c r="G254" s="70"/>
      <c r="H254" s="65" t="s">
        <v>14510</v>
      </c>
      <c r="I254" s="75">
        <v>13193.680000000002</v>
      </c>
      <c r="J254" s="75">
        <v>11636.08</v>
      </c>
      <c r="K254" s="75"/>
      <c r="L254" s="75"/>
      <c r="M254" s="75"/>
      <c r="N254" s="75">
        <f>Tabla1[[#This Row],[IMPORTE APROBADO]]-Tabla1[[#This Row],[AMORTIZACION2]]</f>
        <v>1557.6000000000022</v>
      </c>
      <c r="O254" s="65" t="str">
        <f>TEXT(Tabla1[[#This Row],[EMISION]],"mmm")</f>
        <v>Nov</v>
      </c>
      <c r="P254" s="65" t="str">
        <f>TEXT(Tabla1[[#This Row],[EMISION]],"YYYY")</f>
        <v>2022</v>
      </c>
      <c r="Q254" s="71">
        <v>44895</v>
      </c>
      <c r="R254" s="65" t="str">
        <f>TEXT(Tabla1[[#This Row],[VENCIMIENTO]],"mmm")</f>
        <v>Dic</v>
      </c>
      <c r="S254" s="71">
        <f t="shared" si="19"/>
        <v>44925</v>
      </c>
      <c r="T254" s="72">
        <f ca="1">Tabla1[[#This Row],[EMISION]]+Tabla1[[#This Row],[PLAZO]]-TODAY()</f>
        <v>-444</v>
      </c>
      <c r="U254" s="64">
        <f t="shared" ca="1" si="20"/>
        <v>0</v>
      </c>
      <c r="V254" s="72"/>
      <c r="W254" s="73" t="s">
        <v>14307</v>
      </c>
      <c r="X254" s="65">
        <v>30</v>
      </c>
      <c r="Y254" s="65"/>
      <c r="Z254" s="65"/>
      <c r="AA254" s="65"/>
      <c r="AB254" s="65"/>
      <c r="AC254" s="65"/>
      <c r="AD254" s="65"/>
      <c r="AE254" s="65"/>
      <c r="AF254" s="68"/>
      <c r="AG254" s="66">
        <v>44925</v>
      </c>
      <c r="AH254" s="67" t="s">
        <v>14308</v>
      </c>
      <c r="AI254" s="65" t="s">
        <v>3060</v>
      </c>
      <c r="AJ254" s="65"/>
      <c r="AK254" s="97">
        <f t="shared" ca="1" si="14"/>
        <v>444</v>
      </c>
      <c r="AL254">
        <f>IFERROR(VLOOKUP(A254,'DATA CLIENTES'!B4551:I8284,6,FALSE),0)</f>
        <v>0</v>
      </c>
    </row>
    <row r="255" spans="1:38" x14ac:dyDescent="0.25">
      <c r="A255" s="93" t="s">
        <v>5294</v>
      </c>
      <c r="B255" s="68" t="s">
        <v>14306</v>
      </c>
      <c r="C255" s="65"/>
      <c r="D255" s="65"/>
      <c r="E255" s="65"/>
      <c r="F255" s="69"/>
      <c r="G255" s="70"/>
      <c r="H255" s="65" t="s">
        <v>14511</v>
      </c>
      <c r="I255" s="75">
        <v>-1557.6</v>
      </c>
      <c r="J255" s="75"/>
      <c r="K255" s="75"/>
      <c r="L255" s="75"/>
      <c r="M255" s="75"/>
      <c r="N255" s="75">
        <f>Tabla1[[#This Row],[IMPORTE APROBADO]]-Tabla1[[#This Row],[AMORTIZACION2]]</f>
        <v>-1557.6</v>
      </c>
      <c r="O255" s="65" t="str">
        <f>TEXT(Tabla1[[#This Row],[EMISION]],"mmm")</f>
        <v>Nov</v>
      </c>
      <c r="P255" s="65" t="str">
        <f>TEXT(Tabla1[[#This Row],[EMISION]],"YYYY")</f>
        <v>2022</v>
      </c>
      <c r="Q255" s="71">
        <v>44895</v>
      </c>
      <c r="R255" s="65" t="str">
        <f>TEXT(Tabla1[[#This Row],[VENCIMIENTO]],"mmm")</f>
        <v>Dic</v>
      </c>
      <c r="S255" s="71">
        <f t="shared" si="19"/>
        <v>44925</v>
      </c>
      <c r="T255" s="72">
        <f ca="1">Tabla1[[#This Row],[EMISION]]+Tabla1[[#This Row],[PLAZO]]-TODAY()</f>
        <v>-444</v>
      </c>
      <c r="U255" s="64">
        <f t="shared" ca="1" si="20"/>
        <v>0</v>
      </c>
      <c r="V255" s="72"/>
      <c r="W255" s="73" t="s">
        <v>14307</v>
      </c>
      <c r="X255" s="65">
        <v>30</v>
      </c>
      <c r="Y255" s="65"/>
      <c r="Z255" s="65"/>
      <c r="AA255" s="65"/>
      <c r="AB255" s="65"/>
      <c r="AC255" s="65"/>
      <c r="AD255" s="65"/>
      <c r="AE255" s="65"/>
      <c r="AF255" s="68"/>
      <c r="AG255" s="66">
        <v>44925</v>
      </c>
      <c r="AH255" s="67" t="s">
        <v>14308</v>
      </c>
      <c r="AI255" s="65" t="s">
        <v>3060</v>
      </c>
      <c r="AJ255" s="65"/>
      <c r="AK255" s="97">
        <f t="shared" ca="1" si="14"/>
        <v>444</v>
      </c>
      <c r="AL255">
        <f>IFERROR(VLOOKUP(A255,'DATA CLIENTES'!B4552:I8284,6,FALSE),0)</f>
        <v>0</v>
      </c>
    </row>
    <row r="256" spans="1:38" x14ac:dyDescent="0.25">
      <c r="A256" s="93" t="s">
        <v>9366</v>
      </c>
      <c r="B256" s="68" t="s">
        <v>14333</v>
      </c>
      <c r="C256" s="65"/>
      <c r="D256" s="65"/>
      <c r="E256" s="65"/>
      <c r="F256" s="69"/>
      <c r="G256" s="70"/>
      <c r="H256" s="65" t="s">
        <v>14512</v>
      </c>
      <c r="I256" s="75">
        <v>31586</v>
      </c>
      <c r="J256" s="75">
        <v>31586</v>
      </c>
      <c r="K256" s="75"/>
      <c r="L256" s="75"/>
      <c r="M256" s="75"/>
      <c r="N256" s="75">
        <f>Tabla1[[#This Row],[IMPORTE APROBADO]]-Tabla1[[#This Row],[AMORTIZACION2]]</f>
        <v>0</v>
      </c>
      <c r="O256" s="65" t="str">
        <f>TEXT(Tabla1[[#This Row],[EMISION]],"mmm")</f>
        <v>Nov</v>
      </c>
      <c r="P256" s="65" t="str">
        <f>TEXT(Tabla1[[#This Row],[EMISION]],"YYYY")</f>
        <v>2022</v>
      </c>
      <c r="Q256" s="71">
        <v>44895</v>
      </c>
      <c r="R256" s="65" t="str">
        <f>TEXT(Tabla1[[#This Row],[VENCIMIENTO]],"mmm")</f>
        <v>Dic</v>
      </c>
      <c r="S256" s="71">
        <f t="shared" si="19"/>
        <v>44925</v>
      </c>
      <c r="T256" s="72">
        <f ca="1">Tabla1[[#This Row],[EMISION]]+Tabla1[[#This Row],[PLAZO]]-TODAY()</f>
        <v>-444</v>
      </c>
      <c r="U256" s="64">
        <f t="shared" ca="1" si="20"/>
        <v>0</v>
      </c>
      <c r="V256" s="72"/>
      <c r="W256" s="73" t="s">
        <v>14307</v>
      </c>
      <c r="X256" s="65">
        <v>30</v>
      </c>
      <c r="Y256" s="65"/>
      <c r="Z256" s="65"/>
      <c r="AA256" s="65"/>
      <c r="AB256" s="65"/>
      <c r="AC256" s="65"/>
      <c r="AD256" s="65"/>
      <c r="AE256" s="65"/>
      <c r="AF256" s="68"/>
      <c r="AG256" s="66">
        <v>44918</v>
      </c>
      <c r="AH256" s="67" t="s">
        <v>14308</v>
      </c>
      <c r="AI256" s="65" t="s">
        <v>3060</v>
      </c>
      <c r="AJ256" s="65"/>
      <c r="AK256" s="97">
        <f t="shared" ca="1" si="14"/>
        <v>444</v>
      </c>
      <c r="AL256">
        <f>IFERROR(VLOOKUP(A256,'DATA CLIENTES'!B4553:I8284,6,FALSE),0)</f>
        <v>0</v>
      </c>
    </row>
    <row r="257" spans="1:38" x14ac:dyDescent="0.25">
      <c r="A257" s="93" t="s">
        <v>9050</v>
      </c>
      <c r="B257" s="68" t="s">
        <v>9051</v>
      </c>
      <c r="C257" s="65"/>
      <c r="D257" s="65"/>
      <c r="E257" s="65"/>
      <c r="F257" s="69"/>
      <c r="G257" s="70"/>
      <c r="H257" s="65" t="s">
        <v>14513</v>
      </c>
      <c r="I257" s="75">
        <v>9024.1552000000011</v>
      </c>
      <c r="J257" s="75">
        <f>5124+2000+1900</f>
        <v>9024</v>
      </c>
      <c r="K257" s="75"/>
      <c r="L257" s="75"/>
      <c r="M257" s="75"/>
      <c r="N257" s="75">
        <f>Tabla1[[#This Row],[IMPORTE APROBADO]]-Tabla1[[#This Row],[AMORTIZACION2]]</f>
        <v>0.15520000000105938</v>
      </c>
      <c r="O257" s="65" t="str">
        <f>TEXT(Tabla1[[#This Row],[EMISION]],"mmm")</f>
        <v>Nov</v>
      </c>
      <c r="P257" s="65" t="str">
        <f>TEXT(Tabla1[[#This Row],[EMISION]],"YYYY")</f>
        <v>2022</v>
      </c>
      <c r="Q257" s="71">
        <v>44895</v>
      </c>
      <c r="R257" s="65" t="str">
        <f>TEXT(Tabla1[[#This Row],[VENCIMIENTO]],"mmm")</f>
        <v>Dic</v>
      </c>
      <c r="S257" s="71">
        <f t="shared" si="19"/>
        <v>44910</v>
      </c>
      <c r="T257" s="72">
        <f ca="1">Tabla1[[#This Row],[EMISION]]+Tabla1[[#This Row],[PLAZO]]-TODAY()</f>
        <v>-459</v>
      </c>
      <c r="U257" s="64">
        <f t="shared" ca="1" si="20"/>
        <v>0</v>
      </c>
      <c r="V257" s="72"/>
      <c r="W257" s="73" t="s">
        <v>14307</v>
      </c>
      <c r="X257" s="65">
        <v>15</v>
      </c>
      <c r="Y257" s="65"/>
      <c r="Z257" s="65"/>
      <c r="AA257" s="65"/>
      <c r="AB257" s="65"/>
      <c r="AC257" s="65"/>
      <c r="AD257" s="65"/>
      <c r="AE257" s="65"/>
      <c r="AF257" s="68"/>
      <c r="AG257" s="66">
        <v>44924</v>
      </c>
      <c r="AH257" s="67" t="s">
        <v>14308</v>
      </c>
      <c r="AI257" s="65" t="s">
        <v>3060</v>
      </c>
      <c r="AJ257" s="65"/>
      <c r="AK257" s="97">
        <f t="shared" ca="1" si="14"/>
        <v>459</v>
      </c>
      <c r="AL257">
        <f>IFERROR(VLOOKUP(A257,'DATA CLIENTES'!B4554:I8284,6,FALSE),0)</f>
        <v>0</v>
      </c>
    </row>
    <row r="258" spans="1:38" x14ac:dyDescent="0.25">
      <c r="A258" s="93" t="s">
        <v>10005</v>
      </c>
      <c r="B258" s="68" t="s">
        <v>14443</v>
      </c>
      <c r="C258" s="65"/>
      <c r="D258" s="65"/>
      <c r="E258" s="65"/>
      <c r="F258" s="69"/>
      <c r="G258" s="70"/>
      <c r="H258" s="65" t="s">
        <v>14514</v>
      </c>
      <c r="I258" s="75">
        <v>2290</v>
      </c>
      <c r="J258" s="75">
        <v>2290</v>
      </c>
      <c r="K258" s="75"/>
      <c r="L258" s="75"/>
      <c r="M258" s="75"/>
      <c r="N258" s="75">
        <f>Tabla1[[#This Row],[IMPORTE APROBADO]]-Tabla1[[#This Row],[AMORTIZACION2]]</f>
        <v>0</v>
      </c>
      <c r="O258" s="65" t="str">
        <f>TEXT(Tabla1[[#This Row],[EMISION]],"mmm")</f>
        <v>Nov</v>
      </c>
      <c r="P258" s="65" t="str">
        <f>TEXT(Tabla1[[#This Row],[EMISION]],"YYYY")</f>
        <v>2022</v>
      </c>
      <c r="Q258" s="71">
        <v>44895</v>
      </c>
      <c r="R258" s="65" t="str">
        <f>TEXT(Tabla1[[#This Row],[VENCIMIENTO]],"mmm")</f>
        <v>Dic</v>
      </c>
      <c r="S258" s="71">
        <f t="shared" si="19"/>
        <v>44910</v>
      </c>
      <c r="T258" s="72">
        <f ca="1">Tabla1[[#This Row],[EMISION]]+Tabla1[[#This Row],[PLAZO]]-TODAY()</f>
        <v>-459</v>
      </c>
      <c r="U258" s="64">
        <f t="shared" ca="1" si="20"/>
        <v>0</v>
      </c>
      <c r="V258" s="72"/>
      <c r="W258" s="73" t="s">
        <v>14307</v>
      </c>
      <c r="X258" s="65">
        <v>15</v>
      </c>
      <c r="Y258" s="65"/>
      <c r="Z258" s="65"/>
      <c r="AA258" s="65"/>
      <c r="AB258" s="65"/>
      <c r="AC258" s="65"/>
      <c r="AD258" s="65"/>
      <c r="AE258" s="65"/>
      <c r="AF258" s="68"/>
      <c r="AG258" s="66">
        <v>44917</v>
      </c>
      <c r="AH258" s="67" t="s">
        <v>14308</v>
      </c>
      <c r="AI258" s="65" t="s">
        <v>3060</v>
      </c>
      <c r="AJ258" s="65"/>
      <c r="AK258" s="97">
        <f t="shared" ca="1" si="14"/>
        <v>459</v>
      </c>
      <c r="AL258">
        <f>IFERROR(VLOOKUP(A258,'DATA CLIENTES'!B4555:I8284,6,FALSE),0)</f>
        <v>0</v>
      </c>
    </row>
    <row r="259" spans="1:38" x14ac:dyDescent="0.25">
      <c r="A259" s="93" t="s">
        <v>10005</v>
      </c>
      <c r="B259" s="68" t="s">
        <v>14443</v>
      </c>
      <c r="C259" s="65"/>
      <c r="D259" s="65"/>
      <c r="E259" s="65"/>
      <c r="F259" s="69"/>
      <c r="G259" s="70"/>
      <c r="H259" s="65" t="s">
        <v>14515</v>
      </c>
      <c r="I259" s="75">
        <v>1580</v>
      </c>
      <c r="J259" s="75">
        <v>1580</v>
      </c>
      <c r="K259" s="75"/>
      <c r="L259" s="75"/>
      <c r="M259" s="75"/>
      <c r="N259" s="75">
        <f>Tabla1[[#This Row],[IMPORTE APROBADO]]-Tabla1[[#This Row],[AMORTIZACION2]]</f>
        <v>0</v>
      </c>
      <c r="O259" s="65" t="str">
        <f>TEXT(Tabla1[[#This Row],[EMISION]],"mmm")</f>
        <v>Nov</v>
      </c>
      <c r="P259" s="65" t="str">
        <f>TEXT(Tabla1[[#This Row],[EMISION]],"YYYY")</f>
        <v>2022</v>
      </c>
      <c r="Q259" s="71">
        <v>44895</v>
      </c>
      <c r="R259" s="65" t="str">
        <f>TEXT(Tabla1[[#This Row],[VENCIMIENTO]],"mmm")</f>
        <v>Dic</v>
      </c>
      <c r="S259" s="71">
        <f t="shared" si="19"/>
        <v>44910</v>
      </c>
      <c r="T259" s="72">
        <f ca="1">Tabla1[[#This Row],[EMISION]]+Tabla1[[#This Row],[PLAZO]]-TODAY()</f>
        <v>-459</v>
      </c>
      <c r="U259" s="64">
        <f t="shared" ca="1" si="20"/>
        <v>0</v>
      </c>
      <c r="V259" s="72"/>
      <c r="W259" s="73" t="s">
        <v>14307</v>
      </c>
      <c r="X259" s="65">
        <v>15</v>
      </c>
      <c r="Y259" s="65"/>
      <c r="Z259" s="65"/>
      <c r="AA259" s="65"/>
      <c r="AB259" s="65"/>
      <c r="AC259" s="65"/>
      <c r="AD259" s="65"/>
      <c r="AE259" s="65"/>
      <c r="AF259" s="68"/>
      <c r="AG259" s="66">
        <v>44910</v>
      </c>
      <c r="AH259" s="67" t="s">
        <v>14308</v>
      </c>
      <c r="AI259" s="65" t="s">
        <v>3060</v>
      </c>
      <c r="AJ259" s="65"/>
      <c r="AK259" s="97">
        <f t="shared" ca="1" si="14"/>
        <v>459</v>
      </c>
      <c r="AL259">
        <f>IFERROR(VLOOKUP(A259,'DATA CLIENTES'!B4556:I8284,6,FALSE),0)</f>
        <v>0</v>
      </c>
    </row>
    <row r="260" spans="1:38" x14ac:dyDescent="0.25">
      <c r="A260" s="93" t="s">
        <v>5436</v>
      </c>
      <c r="B260" s="68" t="s">
        <v>14335</v>
      </c>
      <c r="C260" s="65"/>
      <c r="D260" s="65"/>
      <c r="E260" s="65"/>
      <c r="F260" s="69"/>
      <c r="G260" s="70"/>
      <c r="H260" s="65" t="s">
        <v>14516</v>
      </c>
      <c r="I260" s="75">
        <v>1496.3999999999999</v>
      </c>
      <c r="J260" s="75">
        <f>100+150+100+150+150+200+150+190</f>
        <v>1190</v>
      </c>
      <c r="K260" s="75"/>
      <c r="L260" s="75"/>
      <c r="M260" s="75"/>
      <c r="N260" s="75">
        <f>Tabla1[[#This Row],[IMPORTE APROBADO]]-Tabla1[[#This Row],[AMORTIZACION2]]</f>
        <v>306.39999999999986</v>
      </c>
      <c r="O260" s="65" t="str">
        <f>TEXT(Tabla1[[#This Row],[EMISION]],"mmm")</f>
        <v>Nov</v>
      </c>
      <c r="P260" s="65" t="str">
        <f>TEXT(Tabla1[[#This Row],[EMISION]],"YYYY")</f>
        <v>2022</v>
      </c>
      <c r="Q260" s="71">
        <v>44895</v>
      </c>
      <c r="R260" s="65" t="str">
        <f>TEXT(Tabla1[[#This Row],[VENCIMIENTO]],"mmm")</f>
        <v>Dic</v>
      </c>
      <c r="S260" s="71">
        <f t="shared" si="19"/>
        <v>44910</v>
      </c>
      <c r="T260" s="72">
        <f ca="1">Tabla1[[#This Row],[EMISION]]+Tabla1[[#This Row],[PLAZO]]-TODAY()</f>
        <v>-459</v>
      </c>
      <c r="U260" s="64">
        <f t="shared" ca="1" si="20"/>
        <v>0</v>
      </c>
      <c r="V260" s="72"/>
      <c r="W260" s="73" t="s">
        <v>14307</v>
      </c>
      <c r="X260" s="65">
        <v>15</v>
      </c>
      <c r="Y260" s="65"/>
      <c r="Z260" s="65"/>
      <c r="AA260" s="65"/>
      <c r="AB260" s="65"/>
      <c r="AC260" s="65"/>
      <c r="AD260" s="65"/>
      <c r="AE260" s="65"/>
      <c r="AF260" s="68"/>
      <c r="AG260" s="66">
        <v>44951</v>
      </c>
      <c r="AH260" s="67" t="s">
        <v>14308</v>
      </c>
      <c r="AI260" s="65" t="s">
        <v>3060</v>
      </c>
      <c r="AJ260" s="65"/>
      <c r="AK260" s="97">
        <f t="shared" ca="1" si="14"/>
        <v>459</v>
      </c>
      <c r="AL260">
        <f>IFERROR(VLOOKUP(A260,'DATA CLIENTES'!B4557:I8284,6,FALSE),0)</f>
        <v>0</v>
      </c>
    </row>
    <row r="261" spans="1:38" x14ac:dyDescent="0.25">
      <c r="A261" s="93" t="s">
        <v>14518</v>
      </c>
      <c r="B261" s="68" t="s">
        <v>14517</v>
      </c>
      <c r="C261" s="65"/>
      <c r="D261" s="65"/>
      <c r="E261" s="65"/>
      <c r="F261" s="69"/>
      <c r="G261" s="70"/>
      <c r="H261" s="65" t="s">
        <v>14519</v>
      </c>
      <c r="I261" s="75">
        <v>1900</v>
      </c>
      <c r="J261" s="75">
        <v>1900</v>
      </c>
      <c r="K261" s="75"/>
      <c r="L261" s="75"/>
      <c r="M261" s="75"/>
      <c r="N261" s="75">
        <f>Tabla1[[#This Row],[IMPORTE APROBADO]]-Tabla1[[#This Row],[AMORTIZACION2]]</f>
        <v>0</v>
      </c>
      <c r="O261" s="65" t="str">
        <f>TEXT(Tabla1[[#This Row],[EMISION]],"mmm")</f>
        <v>Nov</v>
      </c>
      <c r="P261" s="65" t="str">
        <f>TEXT(Tabla1[[#This Row],[EMISION]],"YYYY")</f>
        <v>2022</v>
      </c>
      <c r="Q261" s="71">
        <v>44895</v>
      </c>
      <c r="R261" s="65" t="str">
        <f>TEXT(Tabla1[[#This Row],[VENCIMIENTO]],"mmm")</f>
        <v>Dic</v>
      </c>
      <c r="S261" s="71">
        <f t="shared" si="19"/>
        <v>44910</v>
      </c>
      <c r="T261" s="72">
        <f ca="1">Tabla1[[#This Row],[EMISION]]+Tabla1[[#This Row],[PLAZO]]-TODAY()</f>
        <v>-459</v>
      </c>
      <c r="U261" s="64">
        <f t="shared" ca="1" si="20"/>
        <v>0</v>
      </c>
      <c r="V261" s="72"/>
      <c r="W261" s="73" t="s">
        <v>14307</v>
      </c>
      <c r="X261" s="65">
        <v>15</v>
      </c>
      <c r="Y261" s="65"/>
      <c r="Z261" s="65"/>
      <c r="AA261" s="65"/>
      <c r="AB261" s="65"/>
      <c r="AC261" s="65"/>
      <c r="AD261" s="65"/>
      <c r="AE261" s="65"/>
      <c r="AF261" s="68"/>
      <c r="AG261" s="66">
        <v>44921</v>
      </c>
      <c r="AH261" s="67" t="s">
        <v>14308</v>
      </c>
      <c r="AI261" s="65" t="s">
        <v>3060</v>
      </c>
      <c r="AJ261" s="65"/>
      <c r="AK261" s="97">
        <f t="shared" ca="1" si="14"/>
        <v>459</v>
      </c>
      <c r="AL261">
        <f>IFERROR(VLOOKUP(A261,'DATA CLIENTES'!B4558:I8284,6,FALSE),0)</f>
        <v>0</v>
      </c>
    </row>
    <row r="262" spans="1:38" x14ac:dyDescent="0.25">
      <c r="A262" s="93" t="s">
        <v>5294</v>
      </c>
      <c r="B262" s="68" t="s">
        <v>14306</v>
      </c>
      <c r="C262" s="65"/>
      <c r="D262" s="65"/>
      <c r="E262" s="65"/>
      <c r="F262" s="69"/>
      <c r="G262" s="70"/>
      <c r="H262" s="65" t="s">
        <v>14520</v>
      </c>
      <c r="I262" s="75">
        <v>1320</v>
      </c>
      <c r="J262" s="75">
        <v>1320</v>
      </c>
      <c r="K262" s="75"/>
      <c r="L262" s="75"/>
      <c r="M262" s="75"/>
      <c r="N262" s="75">
        <f>Tabla1[[#This Row],[IMPORTE APROBADO]]-Tabla1[[#This Row],[AMORTIZACION2]]</f>
        <v>0</v>
      </c>
      <c r="O262" s="65" t="str">
        <f>TEXT(Tabla1[[#This Row],[EMISION]],"mmm")</f>
        <v>Dic</v>
      </c>
      <c r="P262" s="65" t="str">
        <f>TEXT(Tabla1[[#This Row],[EMISION]],"YYYY")</f>
        <v>2022</v>
      </c>
      <c r="Q262" s="71">
        <v>44896</v>
      </c>
      <c r="R262" s="65" t="str">
        <f>TEXT(Tabla1[[#This Row],[VENCIMIENTO]],"mmm")</f>
        <v>Dic</v>
      </c>
      <c r="S262" s="71">
        <f t="shared" si="19"/>
        <v>44926</v>
      </c>
      <c r="T262" s="72">
        <f ca="1">Tabla1[[#This Row],[EMISION]]+Tabla1[[#This Row],[PLAZO]]-TODAY()</f>
        <v>-443</v>
      </c>
      <c r="U262" s="64">
        <f t="shared" ca="1" si="20"/>
        <v>0</v>
      </c>
      <c r="V262" s="72"/>
      <c r="W262" s="73" t="s">
        <v>14307</v>
      </c>
      <c r="X262" s="65">
        <v>30</v>
      </c>
      <c r="Y262" s="65"/>
      <c r="Z262" s="65"/>
      <c r="AA262" s="65"/>
      <c r="AB262" s="65"/>
      <c r="AC262" s="65"/>
      <c r="AD262" s="65"/>
      <c r="AE262" s="65"/>
      <c r="AF262" s="68"/>
      <c r="AG262" s="66">
        <v>44928</v>
      </c>
      <c r="AH262" s="67" t="s">
        <v>14308</v>
      </c>
      <c r="AI262" s="65" t="s">
        <v>3060</v>
      </c>
      <c r="AJ262" s="65"/>
      <c r="AK262" s="97">
        <f t="shared" ca="1" si="14"/>
        <v>443</v>
      </c>
      <c r="AL262">
        <f>IFERROR(VLOOKUP(A262,'DATA CLIENTES'!B4559:I8284,6,FALSE),0)</f>
        <v>0</v>
      </c>
    </row>
    <row r="263" spans="1:38" x14ac:dyDescent="0.25">
      <c r="A263" s="93" t="s">
        <v>7026</v>
      </c>
      <c r="B263" s="68" t="s">
        <v>7027</v>
      </c>
      <c r="C263" s="65"/>
      <c r="D263" s="65"/>
      <c r="E263" s="65"/>
      <c r="F263" s="69"/>
      <c r="G263" s="70"/>
      <c r="H263" s="65" t="s">
        <v>14521</v>
      </c>
      <c r="I263" s="75">
        <v>971.42000000000007</v>
      </c>
      <c r="J263" s="75">
        <v>972</v>
      </c>
      <c r="K263" s="75"/>
      <c r="L263" s="75"/>
      <c r="M263" s="75"/>
      <c r="N263" s="75">
        <f>Tabla1[[#This Row],[IMPORTE APROBADO]]-Tabla1[[#This Row],[AMORTIZACION2]]</f>
        <v>-0.57999999999992724</v>
      </c>
      <c r="O263" s="65" t="str">
        <f>TEXT(Tabla1[[#This Row],[EMISION]],"mmm")</f>
        <v>Dic</v>
      </c>
      <c r="P263" s="65" t="str">
        <f>TEXT(Tabla1[[#This Row],[EMISION]],"YYYY")</f>
        <v>2022</v>
      </c>
      <c r="Q263" s="71">
        <v>44896</v>
      </c>
      <c r="R263" s="65" t="str">
        <f>TEXT(Tabla1[[#This Row],[VENCIMIENTO]],"mmm")</f>
        <v>Dic</v>
      </c>
      <c r="S263" s="71">
        <f t="shared" si="19"/>
        <v>44926</v>
      </c>
      <c r="T263" s="72">
        <f ca="1">Tabla1[[#This Row],[EMISION]]+Tabla1[[#This Row],[PLAZO]]-TODAY()</f>
        <v>-443</v>
      </c>
      <c r="U263" s="64">
        <f t="shared" ca="1" si="20"/>
        <v>0</v>
      </c>
      <c r="V263" s="72"/>
      <c r="W263" s="73" t="s">
        <v>14307</v>
      </c>
      <c r="X263" s="65">
        <v>30</v>
      </c>
      <c r="Y263" s="65"/>
      <c r="Z263" s="65"/>
      <c r="AA263" s="65"/>
      <c r="AB263" s="65"/>
      <c r="AC263" s="65"/>
      <c r="AD263" s="65"/>
      <c r="AE263" s="65"/>
      <c r="AF263" s="68"/>
      <c r="AG263" s="66">
        <v>44895</v>
      </c>
      <c r="AH263" s="67" t="s">
        <v>14308</v>
      </c>
      <c r="AI263" s="65" t="s">
        <v>3060</v>
      </c>
      <c r="AJ263" s="65"/>
      <c r="AK263" s="97">
        <f t="shared" ca="1" si="14"/>
        <v>443</v>
      </c>
      <c r="AL263">
        <f>IFERROR(VLOOKUP(A263,'DATA CLIENTES'!B4560:I8284,6,FALSE),0)</f>
        <v>0</v>
      </c>
    </row>
    <row r="264" spans="1:38" x14ac:dyDescent="0.25">
      <c r="A264" s="93" t="s">
        <v>14523</v>
      </c>
      <c r="B264" s="68" t="s">
        <v>14522</v>
      </c>
      <c r="C264" s="65"/>
      <c r="D264" s="65"/>
      <c r="E264" s="65"/>
      <c r="F264" s="69"/>
      <c r="G264" s="70"/>
      <c r="H264" s="65" t="s">
        <v>14524</v>
      </c>
      <c r="I264" s="75">
        <v>290.13</v>
      </c>
      <c r="J264" s="75">
        <f>150+140</f>
        <v>290</v>
      </c>
      <c r="K264" s="75"/>
      <c r="L264" s="75"/>
      <c r="M264" s="75"/>
      <c r="N264" s="75">
        <f>Tabla1[[#This Row],[IMPORTE APROBADO]]-Tabla1[[#This Row],[AMORTIZACION2]]</f>
        <v>0.12999999999999545</v>
      </c>
      <c r="O264" s="65" t="str">
        <f>TEXT(Tabla1[[#This Row],[EMISION]],"mmm")</f>
        <v>Dic</v>
      </c>
      <c r="P264" s="65" t="str">
        <f>TEXT(Tabla1[[#This Row],[EMISION]],"YYYY")</f>
        <v>2022</v>
      </c>
      <c r="Q264" s="71">
        <v>44908</v>
      </c>
      <c r="R264" s="65" t="str">
        <f>TEXT(Tabla1[[#This Row],[VENCIMIENTO]],"mmm")</f>
        <v>Ene</v>
      </c>
      <c r="S264" s="71">
        <f t="shared" ref="S264:S268" si="21">Q264+X264</f>
        <v>44938</v>
      </c>
      <c r="T264" s="72">
        <f ca="1">Tabla1[[#This Row],[EMISION]]+Tabla1[[#This Row],[PLAZO]]-TODAY()</f>
        <v>-431</v>
      </c>
      <c r="U264" s="64">
        <f t="shared" ref="U264:U268" ca="1" si="22">IF(T264&gt;=0,$U$4,IF(AND(T264&lt;=-1,T264&gt;=-30),$U$5,IF(AND(T264&lt;=-31,T264&gt;=-60),$U$6,IF(AND(T264&lt;=-61,T264&gt;=-90),$U$7,$U$8))))</f>
        <v>0</v>
      </c>
      <c r="V264" s="72"/>
      <c r="W264" s="73" t="s">
        <v>14307</v>
      </c>
      <c r="X264" s="65">
        <v>30</v>
      </c>
      <c r="Y264" s="65"/>
      <c r="Z264" s="65"/>
      <c r="AA264" s="65"/>
      <c r="AB264" s="65"/>
      <c r="AC264" s="65"/>
      <c r="AD264" s="65"/>
      <c r="AE264" s="65"/>
      <c r="AF264" s="68"/>
      <c r="AG264" s="66">
        <v>44985</v>
      </c>
      <c r="AH264" s="67" t="s">
        <v>14308</v>
      </c>
      <c r="AI264" s="65" t="s">
        <v>3060</v>
      </c>
      <c r="AJ264" s="65"/>
      <c r="AK264" s="97">
        <f t="shared" ca="1" si="14"/>
        <v>431</v>
      </c>
      <c r="AL264">
        <f>IFERROR(VLOOKUP(A264,'DATA CLIENTES'!B4561:I8284,6,FALSE),0)</f>
        <v>0</v>
      </c>
    </row>
    <row r="265" spans="1:38" x14ac:dyDescent="0.25">
      <c r="A265" s="93" t="s">
        <v>6999</v>
      </c>
      <c r="B265" s="68" t="s">
        <v>14310</v>
      </c>
      <c r="C265" s="65"/>
      <c r="D265" s="65"/>
      <c r="E265" s="65"/>
      <c r="F265" s="69"/>
      <c r="G265" s="70"/>
      <c r="H265" s="65" t="s">
        <v>14525</v>
      </c>
      <c r="I265" s="75">
        <v>870.79</v>
      </c>
      <c r="J265" s="75"/>
      <c r="K265" s="75"/>
      <c r="L265" s="75"/>
      <c r="M265" s="75"/>
      <c r="N265" s="75">
        <f>Tabla1[[#This Row],[IMPORTE APROBADO]]-Tabla1[[#This Row],[AMORTIZACION2]]</f>
        <v>870.79</v>
      </c>
      <c r="O265" s="65" t="str">
        <f>TEXT(Tabla1[[#This Row],[EMISION]],"mmm")</f>
        <v>Dic</v>
      </c>
      <c r="P265" s="65" t="str">
        <f>TEXT(Tabla1[[#This Row],[EMISION]],"YYYY")</f>
        <v>2022</v>
      </c>
      <c r="Q265" s="71">
        <v>44908</v>
      </c>
      <c r="R265" s="65" t="str">
        <f>TEXT(Tabla1[[#This Row],[VENCIMIENTO]],"mmm")</f>
        <v>Ene</v>
      </c>
      <c r="S265" s="71">
        <f t="shared" si="21"/>
        <v>44938</v>
      </c>
      <c r="T265" s="72">
        <f ca="1">Tabla1[[#This Row],[EMISION]]+Tabla1[[#This Row],[PLAZO]]-TODAY()</f>
        <v>-431</v>
      </c>
      <c r="U265" s="64">
        <f t="shared" ca="1" si="22"/>
        <v>0</v>
      </c>
      <c r="V265" s="72"/>
      <c r="W265" s="73" t="s">
        <v>14307</v>
      </c>
      <c r="X265" s="65">
        <v>30</v>
      </c>
      <c r="Y265" s="65"/>
      <c r="Z265" s="65"/>
      <c r="AA265" s="65"/>
      <c r="AB265" s="65"/>
      <c r="AC265" s="65"/>
      <c r="AD265" s="65"/>
      <c r="AE265" s="65"/>
      <c r="AF265" s="68"/>
      <c r="AG265" s="66"/>
      <c r="AH265" s="67" t="s">
        <v>14313</v>
      </c>
      <c r="AI265" s="65" t="s">
        <v>3060</v>
      </c>
      <c r="AJ265" s="65"/>
      <c r="AK265" s="97">
        <f t="shared" ca="1" si="14"/>
        <v>431</v>
      </c>
      <c r="AL265">
        <f>IFERROR(VLOOKUP(A265,'DATA CLIENTES'!B4562:I8284,6,FALSE),0)</f>
        <v>0</v>
      </c>
    </row>
    <row r="266" spans="1:38" x14ac:dyDescent="0.25">
      <c r="A266" s="93" t="s">
        <v>5547</v>
      </c>
      <c r="B266" s="68" t="s">
        <v>5548</v>
      </c>
      <c r="C266" s="65"/>
      <c r="D266" s="65"/>
      <c r="E266" s="65"/>
      <c r="F266" s="69"/>
      <c r="G266" s="70"/>
      <c r="H266" s="65" t="s">
        <v>14526</v>
      </c>
      <c r="I266" s="75">
        <v>4655</v>
      </c>
      <c r="J266" s="75">
        <f>1500+2000+1155</f>
        <v>4655</v>
      </c>
      <c r="K266" s="75"/>
      <c r="L266" s="75"/>
      <c r="M266" s="75"/>
      <c r="N266" s="75">
        <f>Tabla1[[#This Row],[IMPORTE APROBADO]]-Tabla1[[#This Row],[AMORTIZACION2]]</f>
        <v>0</v>
      </c>
      <c r="O266" s="65" t="str">
        <f>TEXT(Tabla1[[#This Row],[EMISION]],"mmm")</f>
        <v>Dic</v>
      </c>
      <c r="P266" s="65" t="str">
        <f>TEXT(Tabla1[[#This Row],[EMISION]],"YYYY")</f>
        <v>2022</v>
      </c>
      <c r="Q266" s="71">
        <v>44912</v>
      </c>
      <c r="R266" s="65" t="str">
        <f>TEXT(Tabla1[[#This Row],[VENCIMIENTO]],"mmm")</f>
        <v>Ene</v>
      </c>
      <c r="S266" s="71">
        <f t="shared" si="21"/>
        <v>44927</v>
      </c>
      <c r="T266" s="72">
        <f ca="1">Tabla1[[#This Row],[EMISION]]+Tabla1[[#This Row],[PLAZO]]-TODAY()</f>
        <v>-442</v>
      </c>
      <c r="U266" s="64">
        <f t="shared" ca="1" si="22"/>
        <v>0</v>
      </c>
      <c r="V266" s="72"/>
      <c r="W266" s="73" t="s">
        <v>14307</v>
      </c>
      <c r="X266" s="65">
        <v>15</v>
      </c>
      <c r="Y266" s="65"/>
      <c r="Z266" s="65"/>
      <c r="AA266" s="65"/>
      <c r="AB266" s="65"/>
      <c r="AC266" s="65"/>
      <c r="AD266" s="65"/>
      <c r="AE266" s="65"/>
      <c r="AF266" s="68"/>
      <c r="AG266" s="66">
        <v>44937</v>
      </c>
      <c r="AH266" s="67" t="s">
        <v>14308</v>
      </c>
      <c r="AI266" s="65" t="s">
        <v>3060</v>
      </c>
      <c r="AJ266" s="65"/>
      <c r="AK266" s="97">
        <f t="shared" ca="1" si="14"/>
        <v>442</v>
      </c>
      <c r="AL266">
        <f>IFERROR(VLOOKUP(A266,'DATA CLIENTES'!B4563:I8284,6,FALSE),0)</f>
        <v>0</v>
      </c>
    </row>
    <row r="267" spans="1:38" x14ac:dyDescent="0.25">
      <c r="A267" s="93" t="s">
        <v>6575</v>
      </c>
      <c r="B267" s="68" t="s">
        <v>6576</v>
      </c>
      <c r="C267" s="65"/>
      <c r="D267" s="65"/>
      <c r="E267" s="65"/>
      <c r="F267" s="69"/>
      <c r="G267" s="70"/>
      <c r="H267" s="65" t="s">
        <v>14527</v>
      </c>
      <c r="I267" s="75">
        <v>5566.7</v>
      </c>
      <c r="J267" s="75">
        <v>5566.7</v>
      </c>
      <c r="K267" s="75"/>
      <c r="L267" s="75"/>
      <c r="M267" s="75"/>
      <c r="N267" s="75">
        <f>Tabla1[[#This Row],[IMPORTE APROBADO]]-Tabla1[[#This Row],[AMORTIZACION2]]</f>
        <v>0</v>
      </c>
      <c r="O267" s="65" t="str">
        <f>TEXT(Tabla1[[#This Row],[EMISION]],"mmm")</f>
        <v>Dic</v>
      </c>
      <c r="P267" s="65" t="str">
        <f>TEXT(Tabla1[[#This Row],[EMISION]],"YYYY")</f>
        <v>2022</v>
      </c>
      <c r="Q267" s="71">
        <v>44912</v>
      </c>
      <c r="R267" s="65" t="str">
        <f>TEXT(Tabla1[[#This Row],[VENCIMIENTO]],"mmm")</f>
        <v>Ene</v>
      </c>
      <c r="S267" s="71">
        <f t="shared" si="21"/>
        <v>44927</v>
      </c>
      <c r="T267" s="72">
        <f ca="1">Tabla1[[#This Row],[EMISION]]+Tabla1[[#This Row],[PLAZO]]-TODAY()</f>
        <v>-442</v>
      </c>
      <c r="U267" s="64">
        <f t="shared" ca="1" si="22"/>
        <v>0</v>
      </c>
      <c r="V267" s="72"/>
      <c r="W267" s="73" t="s">
        <v>14307</v>
      </c>
      <c r="X267" s="65">
        <v>15</v>
      </c>
      <c r="Y267" s="65"/>
      <c r="Z267" s="65"/>
      <c r="AA267" s="65"/>
      <c r="AB267" s="65"/>
      <c r="AC267" s="65"/>
      <c r="AD267" s="65"/>
      <c r="AE267" s="65"/>
      <c r="AF267" s="68"/>
      <c r="AG267" s="66">
        <v>44935</v>
      </c>
      <c r="AH267" s="67" t="s">
        <v>14308</v>
      </c>
      <c r="AI267" s="65" t="s">
        <v>3060</v>
      </c>
      <c r="AJ267" s="65"/>
      <c r="AK267" s="97">
        <f t="shared" ca="1" si="14"/>
        <v>442</v>
      </c>
      <c r="AL267">
        <f>IFERROR(VLOOKUP(A267,'DATA CLIENTES'!B4564:I8284,6,FALSE),0)</f>
        <v>0</v>
      </c>
    </row>
    <row r="268" spans="1:38" x14ac:dyDescent="0.25">
      <c r="A268" s="93" t="s">
        <v>10005</v>
      </c>
      <c r="B268" s="68" t="s">
        <v>14414</v>
      </c>
      <c r="C268" s="65"/>
      <c r="D268" s="65"/>
      <c r="E268" s="65"/>
      <c r="F268" s="69"/>
      <c r="G268" s="70"/>
      <c r="H268" s="65" t="s">
        <v>14528</v>
      </c>
      <c r="I268" s="75">
        <v>2066.9899999999998</v>
      </c>
      <c r="J268" s="75">
        <v>2066.9899999999998</v>
      </c>
      <c r="K268" s="75"/>
      <c r="L268" s="75"/>
      <c r="M268" s="75"/>
      <c r="N268" s="75">
        <f>Tabla1[[#This Row],[IMPORTE APROBADO]]-Tabla1[[#This Row],[AMORTIZACION2]]</f>
        <v>0</v>
      </c>
      <c r="O268" s="65" t="str">
        <f>TEXT(Tabla1[[#This Row],[EMISION]],"mmm")</f>
        <v>Dic</v>
      </c>
      <c r="P268" s="65" t="str">
        <f>TEXT(Tabla1[[#This Row],[EMISION]],"YYYY")</f>
        <v>2022</v>
      </c>
      <c r="Q268" s="71">
        <v>44914</v>
      </c>
      <c r="R268" s="65" t="str">
        <f>TEXT(Tabla1[[#This Row],[VENCIMIENTO]],"mmm")</f>
        <v>Ene</v>
      </c>
      <c r="S268" s="71">
        <f t="shared" si="21"/>
        <v>44929</v>
      </c>
      <c r="T268" s="72">
        <f ca="1">Tabla1[[#This Row],[EMISION]]+Tabla1[[#This Row],[PLAZO]]-TODAY()</f>
        <v>-440</v>
      </c>
      <c r="U268" s="64">
        <f t="shared" ca="1" si="22"/>
        <v>0</v>
      </c>
      <c r="V268" s="72"/>
      <c r="W268" s="73" t="s">
        <v>14307</v>
      </c>
      <c r="X268" s="65">
        <v>15</v>
      </c>
      <c r="Y268" s="65"/>
      <c r="Z268" s="65"/>
      <c r="AA268" s="65"/>
      <c r="AB268" s="65"/>
      <c r="AC268" s="65"/>
      <c r="AD268" s="65"/>
      <c r="AE268" s="65"/>
      <c r="AF268" s="68"/>
      <c r="AG268" s="66">
        <v>44923</v>
      </c>
      <c r="AH268" s="67" t="s">
        <v>14308</v>
      </c>
      <c r="AI268" s="65" t="s">
        <v>3060</v>
      </c>
      <c r="AJ268" s="65"/>
      <c r="AK268" s="97">
        <f t="shared" ca="1" si="14"/>
        <v>440</v>
      </c>
      <c r="AL268">
        <f>IFERROR(VLOOKUP(A268,'DATA CLIENTES'!B4565:I8284,6,FALSE),0)</f>
        <v>0</v>
      </c>
    </row>
    <row r="269" spans="1:38" x14ac:dyDescent="0.25">
      <c r="A269" s="93" t="s">
        <v>10005</v>
      </c>
      <c r="B269" s="68" t="s">
        <v>14414</v>
      </c>
      <c r="C269" s="65"/>
      <c r="D269" s="65"/>
      <c r="E269" s="65"/>
      <c r="F269" s="69"/>
      <c r="G269" s="70"/>
      <c r="H269" s="65" t="s">
        <v>14529</v>
      </c>
      <c r="I269" s="75">
        <v>1300</v>
      </c>
      <c r="J269" s="75">
        <v>1300</v>
      </c>
      <c r="K269" s="75"/>
      <c r="L269" s="75"/>
      <c r="M269" s="75"/>
      <c r="N269" s="75">
        <f>Tabla1[[#This Row],[IMPORTE APROBADO]]-Tabla1[[#This Row],[AMORTIZACION2]]</f>
        <v>0</v>
      </c>
      <c r="O269" s="65" t="str">
        <f>TEXT(Tabla1[[#This Row],[EMISION]],"mmm")</f>
        <v>Dic</v>
      </c>
      <c r="P269" s="65" t="str">
        <f>TEXT(Tabla1[[#This Row],[EMISION]],"YYYY")</f>
        <v>2022</v>
      </c>
      <c r="Q269" s="71">
        <v>44919</v>
      </c>
      <c r="R269" s="65" t="str">
        <f>TEXT(Tabla1[[#This Row],[VENCIMIENTO]],"mmm")</f>
        <v>Ene</v>
      </c>
      <c r="S269" s="71">
        <f t="shared" ref="S269:S288" si="23">Q269+X269</f>
        <v>44934</v>
      </c>
      <c r="T269" s="72">
        <f ca="1">Tabla1[[#This Row],[EMISION]]+Tabla1[[#This Row],[PLAZO]]-TODAY()</f>
        <v>-435</v>
      </c>
      <c r="U269" s="64">
        <f t="shared" ref="U269:U288" ca="1" si="24">IF(T269&gt;=0,$U$4,IF(AND(T269&lt;=-1,T269&gt;=-30),$U$5,IF(AND(T269&lt;=-31,T269&gt;=-60),$U$6,IF(AND(T269&lt;=-61,T269&gt;=-90),$U$7,$U$8))))</f>
        <v>0</v>
      </c>
      <c r="V269" s="72"/>
      <c r="W269" s="73" t="s">
        <v>14307</v>
      </c>
      <c r="X269" s="65">
        <v>15</v>
      </c>
      <c r="Y269" s="65"/>
      <c r="Z269" s="65"/>
      <c r="AA269" s="65"/>
      <c r="AB269" s="65"/>
      <c r="AC269" s="65"/>
      <c r="AD269" s="65"/>
      <c r="AE269" s="65"/>
      <c r="AF269" s="68"/>
      <c r="AG269" s="66">
        <v>44942</v>
      </c>
      <c r="AH269" s="67" t="s">
        <v>14308</v>
      </c>
      <c r="AI269" s="65" t="s">
        <v>3060</v>
      </c>
      <c r="AJ269" s="65"/>
      <c r="AK269" s="97">
        <f t="shared" ca="1" si="14"/>
        <v>435</v>
      </c>
      <c r="AL269">
        <f>IFERROR(VLOOKUP(A269,'DATA CLIENTES'!B4566:I8284,6,FALSE),0)</f>
        <v>0</v>
      </c>
    </row>
    <row r="270" spans="1:38" x14ac:dyDescent="0.25">
      <c r="A270" s="93" t="s">
        <v>10005</v>
      </c>
      <c r="B270" s="68" t="s">
        <v>14414</v>
      </c>
      <c r="C270" s="65"/>
      <c r="D270" s="65"/>
      <c r="E270" s="65"/>
      <c r="F270" s="69"/>
      <c r="G270" s="70"/>
      <c r="H270" s="65" t="s">
        <v>14530</v>
      </c>
      <c r="I270" s="75">
        <v>2320.15</v>
      </c>
      <c r="J270" s="75">
        <v>2320.1</v>
      </c>
      <c r="K270" s="75"/>
      <c r="L270" s="75"/>
      <c r="M270" s="75"/>
      <c r="N270" s="75">
        <f>Tabla1[[#This Row],[IMPORTE APROBADO]]-Tabla1[[#This Row],[AMORTIZACION2]]</f>
        <v>5.0000000000181899E-2</v>
      </c>
      <c r="O270" s="65" t="str">
        <f>TEXT(Tabla1[[#This Row],[EMISION]],"mmm")</f>
        <v>Dic</v>
      </c>
      <c r="P270" s="65" t="str">
        <f>TEXT(Tabla1[[#This Row],[EMISION]],"YYYY")</f>
        <v>2022</v>
      </c>
      <c r="Q270" s="71">
        <v>44919</v>
      </c>
      <c r="R270" s="65" t="str">
        <f>TEXT(Tabla1[[#This Row],[VENCIMIENTO]],"mmm")</f>
        <v>Ene</v>
      </c>
      <c r="S270" s="71">
        <f t="shared" si="23"/>
        <v>44934</v>
      </c>
      <c r="T270" s="72">
        <f ca="1">Tabla1[[#This Row],[EMISION]]+Tabla1[[#This Row],[PLAZO]]-TODAY()</f>
        <v>-435</v>
      </c>
      <c r="U270" s="64">
        <f t="shared" ca="1" si="24"/>
        <v>0</v>
      </c>
      <c r="V270" s="72"/>
      <c r="W270" s="73" t="s">
        <v>14307</v>
      </c>
      <c r="X270" s="65">
        <v>15</v>
      </c>
      <c r="Y270" s="65"/>
      <c r="Z270" s="65"/>
      <c r="AA270" s="65"/>
      <c r="AB270" s="65"/>
      <c r="AC270" s="65"/>
      <c r="AD270" s="65"/>
      <c r="AE270" s="65"/>
      <c r="AF270" s="68"/>
      <c r="AG270" s="66">
        <v>44937</v>
      </c>
      <c r="AH270" s="67" t="s">
        <v>14308</v>
      </c>
      <c r="AI270" s="65" t="s">
        <v>3060</v>
      </c>
      <c r="AJ270" s="65"/>
      <c r="AK270" s="97">
        <f t="shared" ref="AK270:AK333" ca="1" si="25">TODAY() - S270</f>
        <v>435</v>
      </c>
      <c r="AL270">
        <f>IFERROR(VLOOKUP(A270,'DATA CLIENTES'!B4567:I8284,6,FALSE),0)</f>
        <v>0</v>
      </c>
    </row>
    <row r="271" spans="1:38" x14ac:dyDescent="0.25">
      <c r="A271" s="93" t="s">
        <v>14428</v>
      </c>
      <c r="B271" s="68" t="s">
        <v>14427</v>
      </c>
      <c r="C271" s="65"/>
      <c r="D271" s="65"/>
      <c r="E271" s="65"/>
      <c r="F271" s="69"/>
      <c r="G271" s="70"/>
      <c r="H271" s="65" t="s">
        <v>14531</v>
      </c>
      <c r="I271" s="75">
        <v>1728.6599999999999</v>
      </c>
      <c r="J271" s="75">
        <v>1728.66</v>
      </c>
      <c r="K271" s="75"/>
      <c r="L271" s="75"/>
      <c r="M271" s="75"/>
      <c r="N271" s="75">
        <f>Tabla1[[#This Row],[IMPORTE APROBADO]]-Tabla1[[#This Row],[AMORTIZACION2]]</f>
        <v>0</v>
      </c>
      <c r="O271" s="65" t="str">
        <f>TEXT(Tabla1[[#This Row],[EMISION]],"mmm")</f>
        <v>Dic</v>
      </c>
      <c r="P271" s="65" t="str">
        <f>TEXT(Tabla1[[#This Row],[EMISION]],"YYYY")</f>
        <v>2022</v>
      </c>
      <c r="Q271" s="71">
        <v>44919</v>
      </c>
      <c r="R271" s="65" t="str">
        <f>TEXT(Tabla1[[#This Row],[VENCIMIENTO]],"mmm")</f>
        <v>Ene</v>
      </c>
      <c r="S271" s="71">
        <f t="shared" si="23"/>
        <v>44934</v>
      </c>
      <c r="T271" s="72">
        <f ca="1">Tabla1[[#This Row],[EMISION]]+Tabla1[[#This Row],[PLAZO]]-TODAY()</f>
        <v>-435</v>
      </c>
      <c r="U271" s="64">
        <f t="shared" ca="1" si="24"/>
        <v>0</v>
      </c>
      <c r="V271" s="72"/>
      <c r="W271" s="73" t="s">
        <v>14307</v>
      </c>
      <c r="X271" s="65">
        <v>15</v>
      </c>
      <c r="Y271" s="65"/>
      <c r="Z271" s="65"/>
      <c r="AA271" s="65"/>
      <c r="AB271" s="65"/>
      <c r="AC271" s="65"/>
      <c r="AD271" s="65"/>
      <c r="AE271" s="65"/>
      <c r="AF271" s="68"/>
      <c r="AG271" s="66">
        <v>44928</v>
      </c>
      <c r="AH271" s="67" t="s">
        <v>14308</v>
      </c>
      <c r="AI271" s="65" t="s">
        <v>3060</v>
      </c>
      <c r="AJ271" s="65"/>
      <c r="AK271" s="97">
        <f t="shared" ca="1" si="25"/>
        <v>435</v>
      </c>
      <c r="AL271">
        <f>IFERROR(VLOOKUP(A271,'DATA CLIENTES'!B4568:I8284,6,FALSE),0)</f>
        <v>0</v>
      </c>
    </row>
    <row r="272" spans="1:38" x14ac:dyDescent="0.25">
      <c r="A272" s="93" t="s">
        <v>9366</v>
      </c>
      <c r="B272" s="68" t="s">
        <v>14333</v>
      </c>
      <c r="C272" s="65"/>
      <c r="D272" s="65"/>
      <c r="E272" s="65"/>
      <c r="F272" s="69"/>
      <c r="G272" s="70"/>
      <c r="H272" s="65" t="s">
        <v>14532</v>
      </c>
      <c r="I272" s="75">
        <v>19155</v>
      </c>
      <c r="J272" s="75">
        <v>19155</v>
      </c>
      <c r="K272" s="75"/>
      <c r="L272" s="75"/>
      <c r="M272" s="75"/>
      <c r="N272" s="75">
        <f>Tabla1[[#This Row],[IMPORTE APROBADO]]-Tabla1[[#This Row],[AMORTIZACION2]]</f>
        <v>0</v>
      </c>
      <c r="O272" s="65" t="str">
        <f>TEXT(Tabla1[[#This Row],[EMISION]],"mmm")</f>
        <v>Dic</v>
      </c>
      <c r="P272" s="65" t="str">
        <f>TEXT(Tabla1[[#This Row],[EMISION]],"YYYY")</f>
        <v>2022</v>
      </c>
      <c r="Q272" s="71">
        <v>44921</v>
      </c>
      <c r="R272" s="65" t="str">
        <f>TEXT(Tabla1[[#This Row],[VENCIMIENTO]],"mmm")</f>
        <v>Ene</v>
      </c>
      <c r="S272" s="71">
        <f t="shared" si="23"/>
        <v>44951</v>
      </c>
      <c r="T272" s="72">
        <f ca="1">Tabla1[[#This Row],[EMISION]]+Tabla1[[#This Row],[PLAZO]]-TODAY()</f>
        <v>-418</v>
      </c>
      <c r="U272" s="64">
        <f t="shared" ca="1" si="24"/>
        <v>0</v>
      </c>
      <c r="V272" s="72"/>
      <c r="W272" s="73" t="s">
        <v>14307</v>
      </c>
      <c r="X272" s="65">
        <v>30</v>
      </c>
      <c r="Y272" s="65"/>
      <c r="Z272" s="65"/>
      <c r="AA272" s="65"/>
      <c r="AB272" s="65"/>
      <c r="AC272" s="65"/>
      <c r="AD272" s="65"/>
      <c r="AE272" s="65"/>
      <c r="AF272" s="68"/>
      <c r="AG272" s="66">
        <v>44960</v>
      </c>
      <c r="AH272" s="67" t="s">
        <v>14308</v>
      </c>
      <c r="AI272" s="65" t="s">
        <v>3060</v>
      </c>
      <c r="AJ272" s="65"/>
      <c r="AK272" s="97">
        <f t="shared" ca="1" si="25"/>
        <v>418</v>
      </c>
      <c r="AL272">
        <f>IFERROR(VLOOKUP(A272,'DATA CLIENTES'!B4569:I8284,6,FALSE),0)</f>
        <v>0</v>
      </c>
    </row>
    <row r="273" spans="1:38" x14ac:dyDescent="0.25">
      <c r="A273" s="93" t="s">
        <v>14428</v>
      </c>
      <c r="B273" s="68" t="s">
        <v>14427</v>
      </c>
      <c r="C273" s="65"/>
      <c r="D273" s="65"/>
      <c r="E273" s="65"/>
      <c r="F273" s="69"/>
      <c r="G273" s="70"/>
      <c r="H273" s="65" t="s">
        <v>14533</v>
      </c>
      <c r="I273" s="75">
        <v>29957.870000000003</v>
      </c>
      <c r="J273" s="75">
        <f>8271.34+10000+6000+2000+3686.53</f>
        <v>29957.87</v>
      </c>
      <c r="K273" s="75"/>
      <c r="L273" s="75"/>
      <c r="M273" s="75"/>
      <c r="N273" s="75">
        <f>Tabla1[[#This Row],[IMPORTE APROBADO]]-Tabla1[[#This Row],[AMORTIZACION2]]</f>
        <v>0</v>
      </c>
      <c r="O273" s="65" t="str">
        <f>TEXT(Tabla1[[#This Row],[EMISION]],"mmm")</f>
        <v>Dic</v>
      </c>
      <c r="P273" s="65" t="str">
        <f>TEXT(Tabla1[[#This Row],[EMISION]],"YYYY")</f>
        <v>2022</v>
      </c>
      <c r="Q273" s="71">
        <v>44921</v>
      </c>
      <c r="R273" s="65" t="str">
        <f>TEXT(Tabla1[[#This Row],[VENCIMIENTO]],"mmm")</f>
        <v>Ene</v>
      </c>
      <c r="S273" s="71">
        <f t="shared" si="23"/>
        <v>44936</v>
      </c>
      <c r="T273" s="72">
        <f ca="1">Tabla1[[#This Row],[EMISION]]+Tabla1[[#This Row],[PLAZO]]-TODAY()</f>
        <v>-433</v>
      </c>
      <c r="U273" s="64">
        <f t="shared" ca="1" si="24"/>
        <v>0</v>
      </c>
      <c r="V273" s="72"/>
      <c r="W273" s="73" t="s">
        <v>14307</v>
      </c>
      <c r="X273" s="65">
        <v>15</v>
      </c>
      <c r="Y273" s="65"/>
      <c r="Z273" s="65"/>
      <c r="AA273" s="65"/>
      <c r="AB273" s="65"/>
      <c r="AC273" s="65"/>
      <c r="AD273" s="65"/>
      <c r="AE273" s="65"/>
      <c r="AF273" s="68"/>
      <c r="AG273" s="66">
        <v>44965</v>
      </c>
      <c r="AH273" s="67" t="s">
        <v>14308</v>
      </c>
      <c r="AI273" s="65" t="s">
        <v>3060</v>
      </c>
      <c r="AJ273" s="65"/>
      <c r="AK273" s="97">
        <f t="shared" ca="1" si="25"/>
        <v>433</v>
      </c>
      <c r="AL273">
        <f>IFERROR(VLOOKUP(A273,'DATA CLIENTES'!B4570:I8284,6,FALSE),0)</f>
        <v>0</v>
      </c>
    </row>
    <row r="274" spans="1:38" x14ac:dyDescent="0.25">
      <c r="A274" s="93" t="s">
        <v>4620</v>
      </c>
      <c r="B274" s="68" t="s">
        <v>4621</v>
      </c>
      <c r="C274" s="65"/>
      <c r="D274" s="65"/>
      <c r="E274" s="65"/>
      <c r="F274" s="69"/>
      <c r="G274" s="70"/>
      <c r="H274" s="65" t="s">
        <v>14534</v>
      </c>
      <c r="I274" s="75">
        <v>999.93999999999994</v>
      </c>
      <c r="J274" s="75">
        <v>693.68</v>
      </c>
      <c r="K274" s="75"/>
      <c r="L274" s="75"/>
      <c r="M274" s="75"/>
      <c r="N274" s="75">
        <f>Tabla1[[#This Row],[IMPORTE APROBADO]]-Tabla1[[#This Row],[AMORTIZACION2]]</f>
        <v>306.26</v>
      </c>
      <c r="O274" s="65" t="str">
        <f>TEXT(Tabla1[[#This Row],[EMISION]],"mmm")</f>
        <v>Dic</v>
      </c>
      <c r="P274" s="65" t="str">
        <f>TEXT(Tabla1[[#This Row],[EMISION]],"YYYY")</f>
        <v>2022</v>
      </c>
      <c r="Q274" s="71">
        <v>44922</v>
      </c>
      <c r="R274" s="65" t="str">
        <f>TEXT(Tabla1[[#This Row],[VENCIMIENTO]],"mmm")</f>
        <v>Feb</v>
      </c>
      <c r="S274" s="71">
        <f t="shared" si="23"/>
        <v>44982</v>
      </c>
      <c r="T274" s="72">
        <f ca="1">Tabla1[[#This Row],[EMISION]]+Tabla1[[#This Row],[PLAZO]]-TODAY()</f>
        <v>-387</v>
      </c>
      <c r="U274" s="64">
        <f t="shared" ca="1" si="24"/>
        <v>0</v>
      </c>
      <c r="V274" s="72" t="s">
        <v>14477</v>
      </c>
      <c r="W274" s="73" t="s">
        <v>14307</v>
      </c>
      <c r="X274" s="65">
        <v>60</v>
      </c>
      <c r="Y274" s="65"/>
      <c r="Z274" s="65"/>
      <c r="AA274" s="65"/>
      <c r="AB274" s="65"/>
      <c r="AC274" s="65"/>
      <c r="AD274" s="65"/>
      <c r="AE274" s="65"/>
      <c r="AF274" s="68"/>
      <c r="AG274" s="66">
        <v>44994</v>
      </c>
      <c r="AH274" s="67" t="s">
        <v>14308</v>
      </c>
      <c r="AI274" s="65" t="s">
        <v>3060</v>
      </c>
      <c r="AJ274" s="65"/>
      <c r="AK274" s="97">
        <f t="shared" ca="1" si="25"/>
        <v>387</v>
      </c>
      <c r="AL274">
        <f>IFERROR(VLOOKUP(A274,'DATA CLIENTES'!B4571:I8284,6,FALSE),0)</f>
        <v>0</v>
      </c>
    </row>
    <row r="275" spans="1:38" x14ac:dyDescent="0.25">
      <c r="A275" s="93" t="s">
        <v>9824</v>
      </c>
      <c r="B275" s="68" t="s">
        <v>14331</v>
      </c>
      <c r="C275" s="65"/>
      <c r="D275" s="65"/>
      <c r="E275" s="65"/>
      <c r="F275" s="69"/>
      <c r="G275" s="70"/>
      <c r="H275" s="65" t="s">
        <v>14535</v>
      </c>
      <c r="I275" s="75">
        <v>5990</v>
      </c>
      <c r="J275" s="75">
        <f>2000+2500+1490</f>
        <v>5990</v>
      </c>
      <c r="K275" s="75"/>
      <c r="L275" s="75"/>
      <c r="M275" s="75"/>
      <c r="N275" s="75">
        <f>Tabla1[[#This Row],[IMPORTE APROBADO]]-Tabla1[[#This Row],[AMORTIZACION2]]</f>
        <v>0</v>
      </c>
      <c r="O275" s="65" t="str">
        <f>TEXT(Tabla1[[#This Row],[EMISION]],"mmm")</f>
        <v>Dic</v>
      </c>
      <c r="P275" s="65" t="str">
        <f>TEXT(Tabla1[[#This Row],[EMISION]],"YYYY")</f>
        <v>2022</v>
      </c>
      <c r="Q275" s="71">
        <v>44922</v>
      </c>
      <c r="R275" s="65" t="str">
        <f>TEXT(Tabla1[[#This Row],[VENCIMIENTO]],"mmm")</f>
        <v>Ene</v>
      </c>
      <c r="S275" s="71">
        <f t="shared" si="23"/>
        <v>44937</v>
      </c>
      <c r="T275" s="72">
        <f ca="1">Tabla1[[#This Row],[EMISION]]+Tabla1[[#This Row],[PLAZO]]-TODAY()</f>
        <v>-432</v>
      </c>
      <c r="U275" s="64">
        <f t="shared" ca="1" si="24"/>
        <v>0</v>
      </c>
      <c r="V275" s="72"/>
      <c r="W275" s="73" t="s">
        <v>14307</v>
      </c>
      <c r="X275" s="65">
        <v>15</v>
      </c>
      <c r="Y275" s="65"/>
      <c r="Z275" s="65"/>
      <c r="AA275" s="65"/>
      <c r="AB275" s="65"/>
      <c r="AC275" s="65"/>
      <c r="AD275" s="65"/>
      <c r="AE275" s="65"/>
      <c r="AF275" s="68"/>
      <c r="AG275" s="66">
        <v>44946</v>
      </c>
      <c r="AH275" s="67" t="s">
        <v>14308</v>
      </c>
      <c r="AI275" s="65" t="s">
        <v>3060</v>
      </c>
      <c r="AJ275" s="65"/>
      <c r="AK275" s="97">
        <f t="shared" ca="1" si="25"/>
        <v>432</v>
      </c>
      <c r="AL275">
        <f>IFERROR(VLOOKUP(A275,'DATA CLIENTES'!B4572:I8284,6,FALSE),0)</f>
        <v>0</v>
      </c>
    </row>
    <row r="276" spans="1:38" x14ac:dyDescent="0.25">
      <c r="A276" s="93" t="s">
        <v>14518</v>
      </c>
      <c r="B276" s="68" t="s">
        <v>14517</v>
      </c>
      <c r="C276" s="65"/>
      <c r="D276" s="65"/>
      <c r="E276" s="65"/>
      <c r="F276" s="69"/>
      <c r="G276" s="70"/>
      <c r="H276" s="65" t="s">
        <v>14536</v>
      </c>
      <c r="I276" s="75">
        <v>1900</v>
      </c>
      <c r="J276" s="75">
        <f>1000+500+400</f>
        <v>1900</v>
      </c>
      <c r="K276" s="75"/>
      <c r="L276" s="75"/>
      <c r="M276" s="75"/>
      <c r="N276" s="75">
        <f>Tabla1[[#This Row],[IMPORTE APROBADO]]-Tabla1[[#This Row],[AMORTIZACION2]]</f>
        <v>0</v>
      </c>
      <c r="O276" s="65" t="str">
        <f>TEXT(Tabla1[[#This Row],[EMISION]],"mmm")</f>
        <v>Dic</v>
      </c>
      <c r="P276" s="65" t="str">
        <f>TEXT(Tabla1[[#This Row],[EMISION]],"YYYY")</f>
        <v>2022</v>
      </c>
      <c r="Q276" s="71">
        <v>44922</v>
      </c>
      <c r="R276" s="65" t="str">
        <f>TEXT(Tabla1[[#This Row],[VENCIMIENTO]],"mmm")</f>
        <v>Ene</v>
      </c>
      <c r="S276" s="71">
        <f t="shared" si="23"/>
        <v>44937</v>
      </c>
      <c r="T276" s="72">
        <f ca="1">Tabla1[[#This Row],[EMISION]]+Tabla1[[#This Row],[PLAZO]]-TODAY()</f>
        <v>-432</v>
      </c>
      <c r="U276" s="64">
        <f t="shared" ca="1" si="24"/>
        <v>0</v>
      </c>
      <c r="V276" s="72"/>
      <c r="W276" s="73" t="s">
        <v>14307</v>
      </c>
      <c r="X276" s="65">
        <v>15</v>
      </c>
      <c r="Y276" s="65"/>
      <c r="Z276" s="65"/>
      <c r="AA276" s="65"/>
      <c r="AB276" s="65"/>
      <c r="AC276" s="65"/>
      <c r="AD276" s="65"/>
      <c r="AE276" s="65"/>
      <c r="AF276" s="68"/>
      <c r="AG276" s="66">
        <v>44977</v>
      </c>
      <c r="AH276" s="67" t="s">
        <v>14308</v>
      </c>
      <c r="AI276" s="65" t="s">
        <v>3060</v>
      </c>
      <c r="AJ276" s="65"/>
      <c r="AK276" s="97">
        <f t="shared" ca="1" si="25"/>
        <v>432</v>
      </c>
      <c r="AL276">
        <f>IFERROR(VLOOKUP(A276,'DATA CLIENTES'!B4573:I8284,6,FALSE),0)</f>
        <v>0</v>
      </c>
    </row>
    <row r="277" spans="1:38" x14ac:dyDescent="0.25">
      <c r="A277" s="93" t="s">
        <v>8205</v>
      </c>
      <c r="B277" s="68" t="s">
        <v>14537</v>
      </c>
      <c r="C277" s="65"/>
      <c r="D277" s="65"/>
      <c r="E277" s="65"/>
      <c r="F277" s="69"/>
      <c r="G277" s="70"/>
      <c r="H277" s="65" t="s">
        <v>14538</v>
      </c>
      <c r="I277" s="75">
        <v>72000</v>
      </c>
      <c r="J277" s="75">
        <f>64000+8000</f>
        <v>72000</v>
      </c>
      <c r="K277" s="75"/>
      <c r="L277" s="75"/>
      <c r="M277" s="75"/>
      <c r="N277" s="75">
        <f>Tabla1[[#This Row],[IMPORTE APROBADO]]-Tabla1[[#This Row],[AMORTIZACION2]]</f>
        <v>0</v>
      </c>
      <c r="O277" s="65" t="str">
        <f>TEXT(Tabla1[[#This Row],[EMISION]],"mmm")</f>
        <v>Dic</v>
      </c>
      <c r="P277" s="65" t="str">
        <f>TEXT(Tabla1[[#This Row],[EMISION]],"YYYY")</f>
        <v>2022</v>
      </c>
      <c r="Q277" s="71">
        <v>44923</v>
      </c>
      <c r="R277" s="65" t="str">
        <f>TEXT(Tabla1[[#This Row],[VENCIMIENTO]],"mmm")</f>
        <v>Ene</v>
      </c>
      <c r="S277" s="71">
        <f t="shared" si="23"/>
        <v>44930</v>
      </c>
      <c r="T277" s="72">
        <f ca="1">Tabla1[[#This Row],[EMISION]]+Tabla1[[#This Row],[PLAZO]]-TODAY()</f>
        <v>-439</v>
      </c>
      <c r="U277" s="64">
        <f t="shared" ca="1" si="24"/>
        <v>0</v>
      </c>
      <c r="V277" s="72" t="s">
        <v>3087</v>
      </c>
      <c r="W277" s="73" t="s">
        <v>14307</v>
      </c>
      <c r="X277" s="65">
        <v>7</v>
      </c>
      <c r="Y277" s="65"/>
      <c r="Z277" s="65"/>
      <c r="AA277" s="65"/>
      <c r="AB277" s="65"/>
      <c r="AC277" s="65"/>
      <c r="AD277" s="65"/>
      <c r="AE277" s="65"/>
      <c r="AF277" s="68"/>
      <c r="AG277" s="66">
        <v>44929</v>
      </c>
      <c r="AH277" s="67" t="s">
        <v>14308</v>
      </c>
      <c r="AI277" s="65" t="s">
        <v>3060</v>
      </c>
      <c r="AJ277" s="65"/>
      <c r="AK277" s="97">
        <f t="shared" ca="1" si="25"/>
        <v>439</v>
      </c>
      <c r="AL277">
        <f>IFERROR(VLOOKUP(A277,'DATA CLIENTES'!B4574:I8284,6,FALSE),0)</f>
        <v>0</v>
      </c>
    </row>
    <row r="278" spans="1:38" x14ac:dyDescent="0.25">
      <c r="A278" s="93" t="s">
        <v>6507</v>
      </c>
      <c r="B278" s="68" t="s">
        <v>6508</v>
      </c>
      <c r="C278" s="65"/>
      <c r="D278" s="65"/>
      <c r="E278" s="65"/>
      <c r="F278" s="69"/>
      <c r="G278" s="70"/>
      <c r="H278" s="65" t="s">
        <v>14539</v>
      </c>
      <c r="I278" s="75">
        <v>10556.4</v>
      </c>
      <c r="J278" s="75">
        <f>7000+3556.4</f>
        <v>10556.4</v>
      </c>
      <c r="K278" s="75"/>
      <c r="L278" s="75"/>
      <c r="M278" s="75"/>
      <c r="N278" s="75">
        <f>Tabla1[[#This Row],[IMPORTE APROBADO]]-Tabla1[[#This Row],[AMORTIZACION2]]</f>
        <v>0</v>
      </c>
      <c r="O278" s="65" t="str">
        <f>TEXT(Tabla1[[#This Row],[EMISION]],"mmm")</f>
        <v>Dic</v>
      </c>
      <c r="P278" s="65" t="str">
        <f>TEXT(Tabla1[[#This Row],[EMISION]],"YYYY")</f>
        <v>2022</v>
      </c>
      <c r="Q278" s="71">
        <v>44923</v>
      </c>
      <c r="R278" s="65" t="str">
        <f>TEXT(Tabla1[[#This Row],[VENCIMIENTO]],"mmm")</f>
        <v>Ene</v>
      </c>
      <c r="S278" s="71">
        <f t="shared" si="23"/>
        <v>44938</v>
      </c>
      <c r="T278" s="72">
        <f ca="1">Tabla1[[#This Row],[EMISION]]+Tabla1[[#This Row],[PLAZO]]-TODAY()</f>
        <v>-431</v>
      </c>
      <c r="U278" s="64">
        <f t="shared" ca="1" si="24"/>
        <v>0</v>
      </c>
      <c r="V278" s="72"/>
      <c r="W278" s="73" t="s">
        <v>14307</v>
      </c>
      <c r="X278" s="65">
        <v>15</v>
      </c>
      <c r="Y278" s="65"/>
      <c r="Z278" s="65"/>
      <c r="AA278" s="65"/>
      <c r="AB278" s="65"/>
      <c r="AC278" s="65"/>
      <c r="AD278" s="65"/>
      <c r="AE278" s="65"/>
      <c r="AF278" s="68"/>
      <c r="AG278" s="66">
        <v>44933</v>
      </c>
      <c r="AH278" s="67" t="s">
        <v>14308</v>
      </c>
      <c r="AI278" s="65" t="s">
        <v>3060</v>
      </c>
      <c r="AJ278" s="65"/>
      <c r="AK278" s="97">
        <f t="shared" ca="1" si="25"/>
        <v>431</v>
      </c>
      <c r="AL278">
        <f>IFERROR(VLOOKUP(A278,'DATA CLIENTES'!B4575:I8284,6,FALSE),0)</f>
        <v>0</v>
      </c>
    </row>
    <row r="279" spans="1:38" x14ac:dyDescent="0.25">
      <c r="A279" s="93" t="s">
        <v>8161</v>
      </c>
      <c r="B279" s="68" t="s">
        <v>8162</v>
      </c>
      <c r="C279" s="65"/>
      <c r="D279" s="65"/>
      <c r="E279" s="65"/>
      <c r="F279" s="69"/>
      <c r="G279" s="70"/>
      <c r="H279" s="65" t="s">
        <v>14540</v>
      </c>
      <c r="I279" s="75">
        <v>10791</v>
      </c>
      <c r="J279" s="75">
        <f>10791</f>
        <v>10791</v>
      </c>
      <c r="K279" s="75"/>
      <c r="L279" s="75"/>
      <c r="M279" s="75"/>
      <c r="N279" s="75">
        <f>Tabla1[[#This Row],[IMPORTE APROBADO]]-Tabla1[[#This Row],[AMORTIZACION2]]</f>
        <v>0</v>
      </c>
      <c r="O279" s="65" t="str">
        <f>TEXT(Tabla1[[#This Row],[EMISION]],"mmm")</f>
        <v>Dic</v>
      </c>
      <c r="P279" s="65" t="str">
        <f>TEXT(Tabla1[[#This Row],[EMISION]],"YYYY")</f>
        <v>2022</v>
      </c>
      <c r="Q279" s="71">
        <v>44924</v>
      </c>
      <c r="R279" s="65" t="str">
        <f>TEXT(Tabla1[[#This Row],[VENCIMIENTO]],"mmm")</f>
        <v>Ene</v>
      </c>
      <c r="S279" s="71">
        <f t="shared" si="23"/>
        <v>44954</v>
      </c>
      <c r="T279" s="72">
        <f ca="1">Tabla1[[#This Row],[EMISION]]+Tabla1[[#This Row],[PLAZO]]-TODAY()</f>
        <v>-415</v>
      </c>
      <c r="U279" s="64">
        <f t="shared" ca="1" si="24"/>
        <v>0</v>
      </c>
      <c r="V279" s="72"/>
      <c r="W279" s="73" t="s">
        <v>14307</v>
      </c>
      <c r="X279" s="65">
        <v>30</v>
      </c>
      <c r="Y279" s="65"/>
      <c r="Z279" s="65"/>
      <c r="AA279" s="65"/>
      <c r="AB279" s="65"/>
      <c r="AC279" s="65"/>
      <c r="AD279" s="65"/>
      <c r="AE279" s="65"/>
      <c r="AF279" s="68"/>
      <c r="AG279" s="66">
        <v>44960</v>
      </c>
      <c r="AH279" s="67" t="s">
        <v>14308</v>
      </c>
      <c r="AI279" s="65" t="s">
        <v>3060</v>
      </c>
      <c r="AJ279" s="65"/>
      <c r="AK279" s="97">
        <f t="shared" ca="1" si="25"/>
        <v>415</v>
      </c>
      <c r="AL279">
        <f>IFERROR(VLOOKUP(A279,'DATA CLIENTES'!B4576:I8284,6,FALSE),0)</f>
        <v>0</v>
      </c>
    </row>
    <row r="280" spans="1:38" x14ac:dyDescent="0.25">
      <c r="A280" s="93" t="s">
        <v>9824</v>
      </c>
      <c r="B280" s="68" t="s">
        <v>14331</v>
      </c>
      <c r="C280" s="65"/>
      <c r="D280" s="65"/>
      <c r="E280" s="65"/>
      <c r="F280" s="69"/>
      <c r="G280" s="70"/>
      <c r="H280" s="65" t="s">
        <v>14541</v>
      </c>
      <c r="I280" s="75">
        <v>2153.7600000000002</v>
      </c>
      <c r="J280" s="75">
        <v>2153.8000000000002</v>
      </c>
      <c r="K280" s="75"/>
      <c r="L280" s="75"/>
      <c r="M280" s="75"/>
      <c r="N280" s="75">
        <f>Tabla1[[#This Row],[IMPORTE APROBADO]]-Tabla1[[#This Row],[AMORTIZACION2]]</f>
        <v>-3.999999999996362E-2</v>
      </c>
      <c r="O280" s="65" t="str">
        <f>TEXT(Tabla1[[#This Row],[EMISION]],"mmm")</f>
        <v>Dic</v>
      </c>
      <c r="P280" s="65" t="str">
        <f>TEXT(Tabla1[[#This Row],[EMISION]],"YYYY")</f>
        <v>2022</v>
      </c>
      <c r="Q280" s="71">
        <v>44924</v>
      </c>
      <c r="R280" s="65" t="str">
        <f>TEXT(Tabla1[[#This Row],[VENCIMIENTO]],"mmm")</f>
        <v>Ene</v>
      </c>
      <c r="S280" s="71">
        <f t="shared" si="23"/>
        <v>44939</v>
      </c>
      <c r="T280" s="72">
        <f ca="1">Tabla1[[#This Row],[EMISION]]+Tabla1[[#This Row],[PLAZO]]-TODAY()</f>
        <v>-430</v>
      </c>
      <c r="U280" s="64">
        <f t="shared" ca="1" si="24"/>
        <v>0</v>
      </c>
      <c r="V280" s="72"/>
      <c r="W280" s="73" t="s">
        <v>14307</v>
      </c>
      <c r="X280" s="65">
        <v>15</v>
      </c>
      <c r="Y280" s="65"/>
      <c r="Z280" s="65"/>
      <c r="AA280" s="65"/>
      <c r="AB280" s="65"/>
      <c r="AC280" s="65"/>
      <c r="AD280" s="65"/>
      <c r="AE280" s="65"/>
      <c r="AF280" s="68"/>
      <c r="AG280" s="66">
        <v>44943</v>
      </c>
      <c r="AH280" s="67" t="s">
        <v>14308</v>
      </c>
      <c r="AI280" s="65" t="s">
        <v>3060</v>
      </c>
      <c r="AJ280" s="65"/>
      <c r="AK280" s="97">
        <f t="shared" ca="1" si="25"/>
        <v>430</v>
      </c>
      <c r="AL280">
        <f>IFERROR(VLOOKUP(A280,'DATA CLIENTES'!B4577:I8284,6,FALSE),0)</f>
        <v>0</v>
      </c>
    </row>
    <row r="281" spans="1:38" x14ac:dyDescent="0.25">
      <c r="A281" s="93" t="s">
        <v>11952</v>
      </c>
      <c r="B281" s="68" t="s">
        <v>11953</v>
      </c>
      <c r="C281" s="65"/>
      <c r="D281" s="65"/>
      <c r="E281" s="65"/>
      <c r="F281" s="69"/>
      <c r="G281" s="70"/>
      <c r="H281" s="65" t="s">
        <v>14542</v>
      </c>
      <c r="I281" s="75">
        <v>15817.289999999999</v>
      </c>
      <c r="J281" s="75"/>
      <c r="K281" s="75"/>
      <c r="L281" s="75"/>
      <c r="M281" s="75"/>
      <c r="N281" s="75">
        <f>Tabla1[[#This Row],[IMPORTE APROBADO]]-Tabla1[[#This Row],[AMORTIZACION2]]</f>
        <v>15817.289999999999</v>
      </c>
      <c r="O281" s="65" t="str">
        <f>TEXT(Tabla1[[#This Row],[EMISION]],"mmm")</f>
        <v>Dic</v>
      </c>
      <c r="P281" s="65" t="str">
        <f>TEXT(Tabla1[[#This Row],[EMISION]],"YYYY")</f>
        <v>2022</v>
      </c>
      <c r="Q281" s="71">
        <v>44925</v>
      </c>
      <c r="R281" s="65" t="str">
        <f>TEXT(Tabla1[[#This Row],[VENCIMIENTO]],"mmm")</f>
        <v>Ene</v>
      </c>
      <c r="S281" s="71">
        <f t="shared" si="23"/>
        <v>44955</v>
      </c>
      <c r="T281" s="72">
        <f ca="1">Tabla1[[#This Row],[EMISION]]+Tabla1[[#This Row],[PLAZO]]-TODAY()</f>
        <v>-414</v>
      </c>
      <c r="U281" s="64">
        <f t="shared" ca="1" si="24"/>
        <v>0</v>
      </c>
      <c r="V281" s="72" t="s">
        <v>14312</v>
      </c>
      <c r="W281" s="73" t="s">
        <v>14307</v>
      </c>
      <c r="X281" s="65">
        <v>30</v>
      </c>
      <c r="Y281" s="65"/>
      <c r="Z281" s="65"/>
      <c r="AA281" s="65"/>
      <c r="AB281" s="65"/>
      <c r="AC281" s="65"/>
      <c r="AD281" s="65"/>
      <c r="AE281" s="65"/>
      <c r="AF281" s="68"/>
      <c r="AG281" s="66"/>
      <c r="AH281" s="67" t="s">
        <v>14313</v>
      </c>
      <c r="AI281" s="65" t="s">
        <v>3060</v>
      </c>
      <c r="AJ281" s="65"/>
      <c r="AK281" s="97">
        <f t="shared" ca="1" si="25"/>
        <v>414</v>
      </c>
      <c r="AL281">
        <f>IFERROR(VLOOKUP(A281,'DATA CLIENTES'!B4578:I8284,6,FALSE),0)</f>
        <v>0</v>
      </c>
    </row>
    <row r="282" spans="1:38" x14ac:dyDescent="0.25">
      <c r="A282" s="93" t="s">
        <v>11389</v>
      </c>
      <c r="B282" s="68" t="s">
        <v>14391</v>
      </c>
      <c r="C282" s="65"/>
      <c r="D282" s="65"/>
      <c r="E282" s="65"/>
      <c r="F282" s="69"/>
      <c r="G282" s="70"/>
      <c r="H282" s="65" t="s">
        <v>14543</v>
      </c>
      <c r="I282" s="75">
        <v>15821.95</v>
      </c>
      <c r="J282" s="75"/>
      <c r="K282" s="75"/>
      <c r="L282" s="75"/>
      <c r="M282" s="75"/>
      <c r="N282" s="75">
        <f>Tabla1[[#This Row],[IMPORTE APROBADO]]-Tabla1[[#This Row],[AMORTIZACION2]]</f>
        <v>15821.95</v>
      </c>
      <c r="O282" s="65" t="str">
        <f>TEXT(Tabla1[[#This Row],[EMISION]],"mmm")</f>
        <v>Dic</v>
      </c>
      <c r="P282" s="65" t="str">
        <f>TEXT(Tabla1[[#This Row],[EMISION]],"YYYY")</f>
        <v>2022</v>
      </c>
      <c r="Q282" s="71">
        <v>44925</v>
      </c>
      <c r="R282" s="65" t="str">
        <f>TEXT(Tabla1[[#This Row],[VENCIMIENTO]],"mmm")</f>
        <v>Ene</v>
      </c>
      <c r="S282" s="71">
        <f t="shared" si="23"/>
        <v>44955</v>
      </c>
      <c r="T282" s="72">
        <f ca="1">Tabla1[[#This Row],[EMISION]]+Tabla1[[#This Row],[PLAZO]]-TODAY()</f>
        <v>-414</v>
      </c>
      <c r="U282" s="64">
        <f t="shared" ca="1" si="24"/>
        <v>0</v>
      </c>
      <c r="V282" s="72" t="s">
        <v>14312</v>
      </c>
      <c r="W282" s="73" t="s">
        <v>14307</v>
      </c>
      <c r="X282" s="65">
        <v>30</v>
      </c>
      <c r="Y282" s="65"/>
      <c r="Z282" s="65"/>
      <c r="AA282" s="65"/>
      <c r="AB282" s="65"/>
      <c r="AC282" s="65"/>
      <c r="AD282" s="65"/>
      <c r="AE282" s="65"/>
      <c r="AF282" s="68"/>
      <c r="AG282" s="66"/>
      <c r="AH282" s="67" t="s">
        <v>14313</v>
      </c>
      <c r="AI282" s="65" t="s">
        <v>3060</v>
      </c>
      <c r="AJ282" s="65"/>
      <c r="AK282" s="97">
        <f t="shared" ca="1" si="25"/>
        <v>414</v>
      </c>
      <c r="AL282">
        <f>IFERROR(VLOOKUP(A282,'DATA CLIENTES'!B4579:I8284,6,FALSE),0)</f>
        <v>0</v>
      </c>
    </row>
    <row r="283" spans="1:38" x14ac:dyDescent="0.25">
      <c r="A283" s="93" t="s">
        <v>8786</v>
      </c>
      <c r="B283" s="68" t="s">
        <v>8787</v>
      </c>
      <c r="C283" s="65"/>
      <c r="D283" s="65"/>
      <c r="E283" s="65"/>
      <c r="F283" s="69"/>
      <c r="G283" s="70"/>
      <c r="H283" s="65" t="s">
        <v>14544</v>
      </c>
      <c r="I283" s="75">
        <v>1412.56</v>
      </c>
      <c r="J283" s="75">
        <f>250+200.6+200+200+150+190+221.9</f>
        <v>1412.5</v>
      </c>
      <c r="K283" s="75"/>
      <c r="L283" s="75"/>
      <c r="M283" s="75"/>
      <c r="N283" s="75">
        <f>Tabla1[[#This Row],[IMPORTE APROBADO]]-Tabla1[[#This Row],[AMORTIZACION2]]</f>
        <v>5.999999999994543E-2</v>
      </c>
      <c r="O283" s="65" t="str">
        <f>TEXT(Tabla1[[#This Row],[EMISION]],"mmm")</f>
        <v>Dic</v>
      </c>
      <c r="P283" s="65" t="str">
        <f>TEXT(Tabla1[[#This Row],[EMISION]],"YYYY")</f>
        <v>2022</v>
      </c>
      <c r="Q283" s="71">
        <v>44925</v>
      </c>
      <c r="R283" s="65" t="str">
        <f>TEXT(Tabla1[[#This Row],[VENCIMIENTO]],"mmm")</f>
        <v>Ene</v>
      </c>
      <c r="S283" s="71">
        <f t="shared" si="23"/>
        <v>44940</v>
      </c>
      <c r="T283" s="72">
        <f ca="1">Tabla1[[#This Row],[EMISION]]+Tabla1[[#This Row],[PLAZO]]-TODAY()</f>
        <v>-429</v>
      </c>
      <c r="U283" s="64">
        <f t="shared" ca="1" si="24"/>
        <v>0</v>
      </c>
      <c r="V283" s="72"/>
      <c r="W283" s="73" t="s">
        <v>14307</v>
      </c>
      <c r="X283" s="65">
        <v>15</v>
      </c>
      <c r="Y283" s="65"/>
      <c r="Z283" s="65"/>
      <c r="AA283" s="65"/>
      <c r="AB283" s="65"/>
      <c r="AC283" s="65"/>
      <c r="AD283" s="65"/>
      <c r="AE283" s="65"/>
      <c r="AF283" s="68"/>
      <c r="AG283" s="66">
        <v>44971</v>
      </c>
      <c r="AH283" s="67" t="s">
        <v>14308</v>
      </c>
      <c r="AI283" s="65" t="s">
        <v>3060</v>
      </c>
      <c r="AJ283" s="65"/>
      <c r="AK283" s="97">
        <f t="shared" ca="1" si="25"/>
        <v>429</v>
      </c>
      <c r="AL283">
        <f>IFERROR(VLOOKUP(A283,'DATA CLIENTES'!B4580:I8284,6,FALSE),0)</f>
        <v>0</v>
      </c>
    </row>
    <row r="284" spans="1:38" x14ac:dyDescent="0.25">
      <c r="A284" s="93" t="s">
        <v>12958</v>
      </c>
      <c r="B284" s="68" t="s">
        <v>14545</v>
      </c>
      <c r="C284" s="65"/>
      <c r="D284" s="65"/>
      <c r="E284" s="65"/>
      <c r="F284" s="69"/>
      <c r="G284" s="70"/>
      <c r="H284" s="65" t="s">
        <v>14546</v>
      </c>
      <c r="I284" s="75">
        <v>15780.92</v>
      </c>
      <c r="J284" s="75"/>
      <c r="K284" s="75"/>
      <c r="L284" s="75"/>
      <c r="M284" s="75"/>
      <c r="N284" s="75">
        <f>Tabla1[[#This Row],[IMPORTE APROBADO]]-Tabla1[[#This Row],[AMORTIZACION2]]</f>
        <v>15780.92</v>
      </c>
      <c r="O284" s="65" t="str">
        <f>TEXT(Tabla1[[#This Row],[EMISION]],"mmm")</f>
        <v>Dic</v>
      </c>
      <c r="P284" s="65" t="str">
        <f>TEXT(Tabla1[[#This Row],[EMISION]],"YYYY")</f>
        <v>2022</v>
      </c>
      <c r="Q284" s="71">
        <v>44926</v>
      </c>
      <c r="R284" s="65" t="str">
        <f>TEXT(Tabla1[[#This Row],[VENCIMIENTO]],"mmm")</f>
        <v>Ene</v>
      </c>
      <c r="S284" s="71">
        <f t="shared" si="23"/>
        <v>44956</v>
      </c>
      <c r="T284" s="72">
        <f ca="1">Tabla1[[#This Row],[EMISION]]+Tabla1[[#This Row],[PLAZO]]-TODAY()</f>
        <v>-413</v>
      </c>
      <c r="U284" s="64">
        <f t="shared" ca="1" si="24"/>
        <v>0</v>
      </c>
      <c r="V284" s="72" t="s">
        <v>14312</v>
      </c>
      <c r="W284" s="73" t="s">
        <v>14307</v>
      </c>
      <c r="X284" s="65">
        <v>30</v>
      </c>
      <c r="Y284" s="65"/>
      <c r="Z284" s="65"/>
      <c r="AA284" s="65"/>
      <c r="AB284" s="65"/>
      <c r="AC284" s="65"/>
      <c r="AD284" s="65"/>
      <c r="AE284" s="65"/>
      <c r="AF284" s="68"/>
      <c r="AG284" s="66"/>
      <c r="AH284" s="67" t="s">
        <v>14313</v>
      </c>
      <c r="AI284" s="65" t="s">
        <v>3060</v>
      </c>
      <c r="AJ284" s="65"/>
      <c r="AK284" s="97">
        <f t="shared" ca="1" si="25"/>
        <v>413</v>
      </c>
      <c r="AL284">
        <f>IFERROR(VLOOKUP(A284,'DATA CLIENTES'!B4581:I8284,6,FALSE),0)</f>
        <v>0</v>
      </c>
    </row>
    <row r="285" spans="1:38" x14ac:dyDescent="0.25">
      <c r="A285" s="93" t="s">
        <v>13132</v>
      </c>
      <c r="B285" s="68" t="s">
        <v>13133</v>
      </c>
      <c r="C285" s="65"/>
      <c r="D285" s="65"/>
      <c r="E285" s="65"/>
      <c r="F285" s="69"/>
      <c r="G285" s="70"/>
      <c r="H285" s="65" t="s">
        <v>14547</v>
      </c>
      <c r="I285" s="75">
        <v>15814.800000000001</v>
      </c>
      <c r="J285" s="75"/>
      <c r="K285" s="75"/>
      <c r="L285" s="75"/>
      <c r="M285" s="75"/>
      <c r="N285" s="75">
        <f>Tabla1[[#This Row],[IMPORTE APROBADO]]-Tabla1[[#This Row],[AMORTIZACION2]]</f>
        <v>15814.800000000001</v>
      </c>
      <c r="O285" s="65" t="str">
        <f>TEXT(Tabla1[[#This Row],[EMISION]],"mmm")</f>
        <v>Dic</v>
      </c>
      <c r="P285" s="65" t="str">
        <f>TEXT(Tabla1[[#This Row],[EMISION]],"YYYY")</f>
        <v>2022</v>
      </c>
      <c r="Q285" s="71">
        <v>44926</v>
      </c>
      <c r="R285" s="65" t="str">
        <f>TEXT(Tabla1[[#This Row],[VENCIMIENTO]],"mmm")</f>
        <v>Ene</v>
      </c>
      <c r="S285" s="71">
        <f t="shared" si="23"/>
        <v>44956</v>
      </c>
      <c r="T285" s="72">
        <f ca="1">Tabla1[[#This Row],[EMISION]]+Tabla1[[#This Row],[PLAZO]]-TODAY()</f>
        <v>-413</v>
      </c>
      <c r="U285" s="64">
        <f t="shared" ca="1" si="24"/>
        <v>0</v>
      </c>
      <c r="V285" s="72" t="s">
        <v>14312</v>
      </c>
      <c r="W285" s="73" t="s">
        <v>14307</v>
      </c>
      <c r="X285" s="65">
        <v>30</v>
      </c>
      <c r="Y285" s="65"/>
      <c r="Z285" s="65"/>
      <c r="AA285" s="65"/>
      <c r="AB285" s="65"/>
      <c r="AC285" s="65"/>
      <c r="AD285" s="65"/>
      <c r="AE285" s="65"/>
      <c r="AF285" s="68"/>
      <c r="AG285" s="66"/>
      <c r="AH285" s="67" t="s">
        <v>14313</v>
      </c>
      <c r="AI285" s="65" t="s">
        <v>3060</v>
      </c>
      <c r="AJ285" s="65"/>
      <c r="AK285" s="97">
        <f t="shared" ca="1" si="25"/>
        <v>413</v>
      </c>
      <c r="AL285">
        <f>IFERROR(VLOOKUP(A285,'DATA CLIENTES'!B4582:I8284,6,FALSE),0)</f>
        <v>0</v>
      </c>
    </row>
    <row r="286" spans="1:38" x14ac:dyDescent="0.25">
      <c r="A286" s="93" t="s">
        <v>9263</v>
      </c>
      <c r="B286" s="68" t="s">
        <v>9264</v>
      </c>
      <c r="C286" s="65"/>
      <c r="D286" s="65"/>
      <c r="E286" s="65"/>
      <c r="F286" s="69"/>
      <c r="G286" s="70"/>
      <c r="H286" s="65" t="s">
        <v>14548</v>
      </c>
      <c r="I286" s="75">
        <v>2257.14</v>
      </c>
      <c r="J286" s="75">
        <v>2257.14</v>
      </c>
      <c r="K286" s="75"/>
      <c r="L286" s="75"/>
      <c r="M286" s="75"/>
      <c r="N286" s="75">
        <f>Tabla1[[#This Row],[IMPORTE APROBADO]]-Tabla1[[#This Row],[AMORTIZACION2]]</f>
        <v>0</v>
      </c>
      <c r="O286" s="65" t="str">
        <f>TEXT(Tabla1[[#This Row],[EMISION]],"mmm")</f>
        <v>Dic</v>
      </c>
      <c r="P286" s="65" t="str">
        <f>TEXT(Tabla1[[#This Row],[EMISION]],"YYYY")</f>
        <v>2022</v>
      </c>
      <c r="Q286" s="71">
        <v>44926</v>
      </c>
      <c r="R286" s="65" t="str">
        <f>TEXT(Tabla1[[#This Row],[VENCIMIENTO]],"mmm")</f>
        <v>Ene</v>
      </c>
      <c r="S286" s="71">
        <f t="shared" si="23"/>
        <v>44941</v>
      </c>
      <c r="T286" s="72">
        <f ca="1">Tabla1[[#This Row],[EMISION]]+Tabla1[[#This Row],[PLAZO]]-TODAY()</f>
        <v>-428</v>
      </c>
      <c r="U286" s="64">
        <f t="shared" ca="1" si="24"/>
        <v>0</v>
      </c>
      <c r="V286" s="72"/>
      <c r="W286" s="73" t="s">
        <v>14307</v>
      </c>
      <c r="X286" s="65">
        <v>15</v>
      </c>
      <c r="Y286" s="65"/>
      <c r="Z286" s="65"/>
      <c r="AA286" s="65"/>
      <c r="AB286" s="65"/>
      <c r="AC286" s="65"/>
      <c r="AD286" s="65"/>
      <c r="AE286" s="65"/>
      <c r="AF286" s="68"/>
      <c r="AG286" s="66">
        <v>44956</v>
      </c>
      <c r="AH286" s="67" t="s">
        <v>14308</v>
      </c>
      <c r="AI286" s="65" t="s">
        <v>3060</v>
      </c>
      <c r="AJ286" s="65"/>
      <c r="AK286" s="97">
        <f t="shared" ca="1" si="25"/>
        <v>428</v>
      </c>
      <c r="AL286">
        <f>IFERROR(VLOOKUP(A286,'DATA CLIENTES'!B4583:I8284,6,FALSE),0)</f>
        <v>0</v>
      </c>
    </row>
    <row r="287" spans="1:38" x14ac:dyDescent="0.25">
      <c r="A287" s="93" t="s">
        <v>9263</v>
      </c>
      <c r="B287" s="68" t="s">
        <v>9264</v>
      </c>
      <c r="C287" s="65"/>
      <c r="D287" s="65"/>
      <c r="E287" s="65"/>
      <c r="F287" s="69"/>
      <c r="G287" s="70"/>
      <c r="H287" s="65" t="s">
        <v>14549</v>
      </c>
      <c r="I287" s="75">
        <v>1320</v>
      </c>
      <c r="J287" s="75">
        <v>1320</v>
      </c>
      <c r="K287" s="75"/>
      <c r="L287" s="75"/>
      <c r="M287" s="75"/>
      <c r="N287" s="75">
        <f>Tabla1[[#This Row],[IMPORTE APROBADO]]-Tabla1[[#This Row],[AMORTIZACION2]]</f>
        <v>0</v>
      </c>
      <c r="O287" s="65" t="str">
        <f>TEXT(Tabla1[[#This Row],[EMISION]],"mmm")</f>
        <v>Dic</v>
      </c>
      <c r="P287" s="65" t="str">
        <f>TEXT(Tabla1[[#This Row],[EMISION]],"YYYY")</f>
        <v>2022</v>
      </c>
      <c r="Q287" s="71">
        <v>44926</v>
      </c>
      <c r="R287" s="65" t="str">
        <f>TEXT(Tabla1[[#This Row],[VENCIMIENTO]],"mmm")</f>
        <v>Ene</v>
      </c>
      <c r="S287" s="71">
        <f t="shared" si="23"/>
        <v>44941</v>
      </c>
      <c r="T287" s="72">
        <f ca="1">Tabla1[[#This Row],[EMISION]]+Tabla1[[#This Row],[PLAZO]]-TODAY()</f>
        <v>-428</v>
      </c>
      <c r="U287" s="64">
        <f t="shared" ca="1" si="24"/>
        <v>0</v>
      </c>
      <c r="V287" s="72"/>
      <c r="W287" s="73" t="s">
        <v>14307</v>
      </c>
      <c r="X287" s="65">
        <v>15</v>
      </c>
      <c r="Y287" s="65"/>
      <c r="Z287" s="65"/>
      <c r="AA287" s="65"/>
      <c r="AB287" s="65"/>
      <c r="AC287" s="65"/>
      <c r="AD287" s="65"/>
      <c r="AE287" s="65"/>
      <c r="AF287" s="68"/>
      <c r="AG287" s="66">
        <v>44956</v>
      </c>
      <c r="AH287" s="67" t="s">
        <v>14308</v>
      </c>
      <c r="AI287" s="65" t="s">
        <v>3060</v>
      </c>
      <c r="AJ287" s="65"/>
      <c r="AK287" s="97">
        <f t="shared" ca="1" si="25"/>
        <v>428</v>
      </c>
      <c r="AL287">
        <f>IFERROR(VLOOKUP(A287,'DATA CLIENTES'!B4584:I8284,6,FALSE),0)</f>
        <v>0</v>
      </c>
    </row>
    <row r="288" spans="1:38" x14ac:dyDescent="0.25">
      <c r="A288" s="93" t="s">
        <v>14428</v>
      </c>
      <c r="B288" s="68" t="s">
        <v>14427</v>
      </c>
      <c r="C288" s="65"/>
      <c r="D288" s="65"/>
      <c r="E288" s="65"/>
      <c r="F288" s="69"/>
      <c r="G288" s="70"/>
      <c r="H288" s="65" t="s">
        <v>14550</v>
      </c>
      <c r="I288" s="75">
        <v>2900</v>
      </c>
      <c r="J288" s="75">
        <v>2900</v>
      </c>
      <c r="K288" s="75"/>
      <c r="L288" s="75"/>
      <c r="M288" s="75"/>
      <c r="N288" s="75">
        <f>Tabla1[[#This Row],[IMPORTE APROBADO]]-Tabla1[[#This Row],[AMORTIZACION2]]</f>
        <v>0</v>
      </c>
      <c r="O288" s="65" t="str">
        <f>TEXT(Tabla1[[#This Row],[EMISION]],"mmm")</f>
        <v>Dic</v>
      </c>
      <c r="P288" s="65" t="str">
        <f>TEXT(Tabla1[[#This Row],[EMISION]],"YYYY")</f>
        <v>2022</v>
      </c>
      <c r="Q288" s="71">
        <v>44926</v>
      </c>
      <c r="R288" s="65" t="str">
        <f>TEXT(Tabla1[[#This Row],[VENCIMIENTO]],"mmm")</f>
        <v>Ene</v>
      </c>
      <c r="S288" s="71">
        <f t="shared" si="23"/>
        <v>44941</v>
      </c>
      <c r="T288" s="72">
        <f ca="1">Tabla1[[#This Row],[EMISION]]+Tabla1[[#This Row],[PLAZO]]-TODAY()</f>
        <v>-428</v>
      </c>
      <c r="U288" s="64">
        <f t="shared" ca="1" si="24"/>
        <v>0</v>
      </c>
      <c r="V288" s="72"/>
      <c r="W288" s="73" t="s">
        <v>14307</v>
      </c>
      <c r="X288" s="65">
        <v>15</v>
      </c>
      <c r="Y288" s="65"/>
      <c r="Z288" s="65"/>
      <c r="AA288" s="65"/>
      <c r="AB288" s="65"/>
      <c r="AC288" s="65"/>
      <c r="AD288" s="65"/>
      <c r="AE288" s="65"/>
      <c r="AF288" s="68"/>
      <c r="AG288" s="66">
        <v>44965</v>
      </c>
      <c r="AH288" s="67" t="s">
        <v>14308</v>
      </c>
      <c r="AI288" s="65" t="s">
        <v>3060</v>
      </c>
      <c r="AJ288" s="65"/>
      <c r="AK288" s="97">
        <f t="shared" ca="1" si="25"/>
        <v>428</v>
      </c>
      <c r="AL288">
        <f>IFERROR(VLOOKUP(A288,'DATA CLIENTES'!B4585:I8284,6,FALSE),0)</f>
        <v>0</v>
      </c>
    </row>
    <row r="289" spans="1:38" x14ac:dyDescent="0.25">
      <c r="A289" s="93" t="s">
        <v>3665</v>
      </c>
      <c r="B289" s="68" t="s">
        <v>3666</v>
      </c>
      <c r="C289" s="65"/>
      <c r="D289" s="65"/>
      <c r="E289" s="65"/>
      <c r="F289" s="69" t="s">
        <v>7000</v>
      </c>
      <c r="G289" s="70"/>
      <c r="H289" s="65" t="s">
        <v>14552</v>
      </c>
      <c r="I289" s="75">
        <v>600</v>
      </c>
      <c r="J289" s="75">
        <v>600</v>
      </c>
      <c r="K289" s="75"/>
      <c r="L289" s="75"/>
      <c r="M289" s="75"/>
      <c r="N289" s="75">
        <f>Tabla1[[#This Row],[IMPORTE APROBADO]]-Tabla1[[#This Row],[AMORTIZACION2]]</f>
        <v>0</v>
      </c>
      <c r="O289" s="65" t="str">
        <f>TEXT(Tabla1[[#This Row],[EMISION]],"mmm")</f>
        <v>Ene</v>
      </c>
      <c r="P289" s="65" t="str">
        <f>TEXT(Tabla1[[#This Row],[EMISION]],"YYYY")</f>
        <v>2023</v>
      </c>
      <c r="Q289" s="71">
        <v>44929</v>
      </c>
      <c r="R289" s="65" t="str">
        <f>TEXT(Tabla1[[#This Row],[VENCIMIENTO]],"mmm")</f>
        <v>Ene</v>
      </c>
      <c r="S289" s="71">
        <f t="shared" ref="S289:S301" si="26">Q289+X289</f>
        <v>44936</v>
      </c>
      <c r="T289" s="72">
        <f ca="1">Tabla1[[#This Row],[EMISION]]+Tabla1[[#This Row],[PLAZO]]-TODAY()</f>
        <v>-433</v>
      </c>
      <c r="U289" s="64">
        <f t="shared" ref="U289:U301" ca="1" si="27">IF(T289&gt;=0,$U$4,IF(AND(T289&lt;=-1,T289&gt;=-30),$U$5,IF(AND(T289&lt;=-31,T289&gt;=-60),$U$6,IF(AND(T289&lt;=-61,T289&gt;=-90),$U$7,$U$8))))</f>
        <v>0</v>
      </c>
      <c r="V289" s="72"/>
      <c r="W289" s="73" t="s">
        <v>14307</v>
      </c>
      <c r="X289" s="65">
        <v>7</v>
      </c>
      <c r="Y289" s="65"/>
      <c r="Z289" s="65"/>
      <c r="AA289" s="65"/>
      <c r="AB289" s="65"/>
      <c r="AC289" s="65"/>
      <c r="AD289" s="65"/>
      <c r="AE289" s="65"/>
      <c r="AF289" s="68"/>
      <c r="AG289" s="66">
        <v>44936</v>
      </c>
      <c r="AH289" s="67" t="s">
        <v>14308</v>
      </c>
      <c r="AI289" s="65" t="s">
        <v>3060</v>
      </c>
      <c r="AJ289" s="65"/>
      <c r="AK289" s="97">
        <f t="shared" ca="1" si="25"/>
        <v>433</v>
      </c>
      <c r="AL289">
        <f>IFERROR(VLOOKUP(A289,'DATA CLIENTES'!B4586:I8284,6,FALSE),0)</f>
        <v>0</v>
      </c>
    </row>
    <row r="290" spans="1:38" x14ac:dyDescent="0.25">
      <c r="A290" s="93" t="s">
        <v>14554</v>
      </c>
      <c r="B290" s="68" t="s">
        <v>14553</v>
      </c>
      <c r="C290" s="65"/>
      <c r="D290" s="65"/>
      <c r="E290" s="65"/>
      <c r="F290" s="69" t="s">
        <v>7000</v>
      </c>
      <c r="G290" s="70"/>
      <c r="H290" s="65" t="s">
        <v>14555</v>
      </c>
      <c r="I290" s="75">
        <v>725</v>
      </c>
      <c r="J290" s="75">
        <f>150+30+50+80+70+195+150</f>
        <v>725</v>
      </c>
      <c r="K290" s="75"/>
      <c r="L290" s="75"/>
      <c r="M290" s="75"/>
      <c r="N290" s="75">
        <f>Tabla1[[#This Row],[IMPORTE APROBADO]]-Tabla1[[#This Row],[AMORTIZACION2]]</f>
        <v>0</v>
      </c>
      <c r="O290" s="65" t="str">
        <f>TEXT(Tabla1[[#This Row],[EMISION]],"mmm")</f>
        <v>Ene</v>
      </c>
      <c r="P290" s="65" t="str">
        <f>TEXT(Tabla1[[#This Row],[EMISION]],"YYYY")</f>
        <v>2023</v>
      </c>
      <c r="Q290" s="71">
        <v>44931</v>
      </c>
      <c r="R290" s="65" t="str">
        <f>TEXT(Tabla1[[#This Row],[VENCIMIENTO]],"mmm")</f>
        <v>Feb</v>
      </c>
      <c r="S290" s="71">
        <f t="shared" si="26"/>
        <v>44976</v>
      </c>
      <c r="T290" s="72">
        <f ca="1">Tabla1[[#This Row],[EMISION]]+Tabla1[[#This Row],[PLAZO]]-TODAY()</f>
        <v>-393</v>
      </c>
      <c r="U290" s="64">
        <f t="shared" ca="1" si="27"/>
        <v>0</v>
      </c>
      <c r="V290" s="72" t="s">
        <v>14556</v>
      </c>
      <c r="W290" s="73" t="s">
        <v>14307</v>
      </c>
      <c r="X290" s="65">
        <v>45</v>
      </c>
      <c r="Y290" s="65"/>
      <c r="Z290" s="65"/>
      <c r="AA290" s="65"/>
      <c r="AB290" s="65"/>
      <c r="AC290" s="65"/>
      <c r="AD290" s="65"/>
      <c r="AE290" s="65"/>
      <c r="AF290" s="68"/>
      <c r="AG290" s="66">
        <v>45098</v>
      </c>
      <c r="AH290" s="67" t="s">
        <v>14308</v>
      </c>
      <c r="AI290" s="65" t="s">
        <v>3060</v>
      </c>
      <c r="AJ290" s="65"/>
      <c r="AK290" s="97">
        <f t="shared" ca="1" si="25"/>
        <v>393</v>
      </c>
      <c r="AL290">
        <f>IFERROR(VLOOKUP(A290,'DATA CLIENTES'!B4587:I8284,6,FALSE),0)</f>
        <v>0</v>
      </c>
    </row>
    <row r="291" spans="1:38" x14ac:dyDescent="0.25">
      <c r="A291" s="93" t="s">
        <v>6507</v>
      </c>
      <c r="B291" s="68" t="s">
        <v>6508</v>
      </c>
      <c r="C291" s="65"/>
      <c r="D291" s="65"/>
      <c r="E291" s="65"/>
      <c r="F291" s="69" t="s">
        <v>14557</v>
      </c>
      <c r="G291" s="70"/>
      <c r="H291" s="65" t="s">
        <v>14558</v>
      </c>
      <c r="I291" s="75">
        <v>13144</v>
      </c>
      <c r="J291" s="75">
        <f>4000+9144</f>
        <v>13144</v>
      </c>
      <c r="K291" s="75"/>
      <c r="L291" s="75"/>
      <c r="M291" s="75"/>
      <c r="N291" s="75">
        <f>Tabla1[[#This Row],[IMPORTE APROBADO]]-Tabla1[[#This Row],[AMORTIZACION2]]</f>
        <v>0</v>
      </c>
      <c r="O291" s="65" t="str">
        <f>TEXT(Tabla1[[#This Row],[EMISION]],"mmm")</f>
        <v>Ene</v>
      </c>
      <c r="P291" s="65" t="str">
        <f>TEXT(Tabla1[[#This Row],[EMISION]],"YYYY")</f>
        <v>2023</v>
      </c>
      <c r="Q291" s="71">
        <v>44931</v>
      </c>
      <c r="R291" s="65" t="str">
        <f>TEXT(Tabla1[[#This Row],[VENCIMIENTO]],"mmm")</f>
        <v>Ene</v>
      </c>
      <c r="S291" s="71">
        <f t="shared" si="26"/>
        <v>44946</v>
      </c>
      <c r="T291" s="72">
        <f ca="1">Tabla1[[#This Row],[EMISION]]+Tabla1[[#This Row],[PLAZO]]-TODAY()</f>
        <v>-423</v>
      </c>
      <c r="U291" s="64">
        <f t="shared" ca="1" si="27"/>
        <v>0</v>
      </c>
      <c r="V291" s="72"/>
      <c r="W291" s="73" t="s">
        <v>14307</v>
      </c>
      <c r="X291" s="65">
        <v>15</v>
      </c>
      <c r="Y291" s="65"/>
      <c r="Z291" s="65"/>
      <c r="AA291" s="65"/>
      <c r="AB291" s="65"/>
      <c r="AC291" s="65"/>
      <c r="AD291" s="65"/>
      <c r="AE291" s="65"/>
      <c r="AF291" s="68"/>
      <c r="AG291" s="66">
        <v>44940</v>
      </c>
      <c r="AH291" s="67" t="s">
        <v>14308</v>
      </c>
      <c r="AI291" s="65" t="s">
        <v>3060</v>
      </c>
      <c r="AJ291" s="65"/>
      <c r="AK291" s="97">
        <f t="shared" ca="1" si="25"/>
        <v>423</v>
      </c>
      <c r="AL291">
        <f>IFERROR(VLOOKUP(A291,'DATA CLIENTES'!B4588:I8284,6,FALSE),0)</f>
        <v>0</v>
      </c>
    </row>
    <row r="292" spans="1:38" x14ac:dyDescent="0.25">
      <c r="A292" s="93" t="s">
        <v>9887</v>
      </c>
      <c r="B292" s="68" t="s">
        <v>9888</v>
      </c>
      <c r="C292" s="65"/>
      <c r="D292" s="65"/>
      <c r="E292" s="65"/>
      <c r="F292" s="69" t="s">
        <v>14559</v>
      </c>
      <c r="G292" s="70"/>
      <c r="H292" s="65" t="s">
        <v>14560</v>
      </c>
      <c r="I292" s="75">
        <v>1063.0700000000002</v>
      </c>
      <c r="J292" s="75">
        <v>1063.0999999999999</v>
      </c>
      <c r="K292" s="75"/>
      <c r="L292" s="75"/>
      <c r="M292" s="75"/>
      <c r="N292" s="75">
        <f>Tabla1[[#This Row],[IMPORTE APROBADO]]-Tabla1[[#This Row],[AMORTIZACION2]]</f>
        <v>-2.9999999999745341E-2</v>
      </c>
      <c r="O292" s="65" t="str">
        <f>TEXT(Tabla1[[#This Row],[EMISION]],"mmm")</f>
        <v>Ene</v>
      </c>
      <c r="P292" s="65" t="str">
        <f>TEXT(Tabla1[[#This Row],[EMISION]],"YYYY")</f>
        <v>2023</v>
      </c>
      <c r="Q292" s="71">
        <v>44931</v>
      </c>
      <c r="R292" s="65" t="str">
        <f>TEXT(Tabla1[[#This Row],[VENCIMIENTO]],"mmm")</f>
        <v>Ene</v>
      </c>
      <c r="S292" s="71">
        <f t="shared" si="26"/>
        <v>44946</v>
      </c>
      <c r="T292" s="72">
        <f ca="1">Tabla1[[#This Row],[EMISION]]+Tabla1[[#This Row],[PLAZO]]-TODAY()</f>
        <v>-423</v>
      </c>
      <c r="U292" s="64">
        <f t="shared" ca="1" si="27"/>
        <v>0</v>
      </c>
      <c r="V292" s="72"/>
      <c r="W292" s="73" t="s">
        <v>14307</v>
      </c>
      <c r="X292" s="65">
        <v>15</v>
      </c>
      <c r="Y292" s="65"/>
      <c r="Z292" s="65"/>
      <c r="AA292" s="65"/>
      <c r="AB292" s="65"/>
      <c r="AC292" s="65"/>
      <c r="AD292" s="65"/>
      <c r="AE292" s="65"/>
      <c r="AF292" s="68"/>
      <c r="AG292" s="66">
        <v>44953</v>
      </c>
      <c r="AH292" s="67" t="s">
        <v>14308</v>
      </c>
      <c r="AI292" s="65" t="s">
        <v>3060</v>
      </c>
      <c r="AJ292" s="65"/>
      <c r="AK292" s="97">
        <f t="shared" ca="1" si="25"/>
        <v>423</v>
      </c>
      <c r="AL292">
        <f>IFERROR(VLOOKUP(A292,'DATA CLIENTES'!B4589:I8284,6,FALSE),0)</f>
        <v>0</v>
      </c>
    </row>
    <row r="293" spans="1:38" x14ac:dyDescent="0.25">
      <c r="A293" s="93" t="s">
        <v>14562</v>
      </c>
      <c r="B293" s="68" t="s">
        <v>14561</v>
      </c>
      <c r="C293" s="65"/>
      <c r="D293" s="65"/>
      <c r="E293" s="65"/>
      <c r="F293" s="69" t="s">
        <v>10941</v>
      </c>
      <c r="G293" s="70"/>
      <c r="H293" s="65" t="s">
        <v>14563</v>
      </c>
      <c r="I293" s="75">
        <v>1142.22</v>
      </c>
      <c r="J293" s="75">
        <v>1142</v>
      </c>
      <c r="K293" s="75"/>
      <c r="L293" s="75"/>
      <c r="M293" s="75"/>
      <c r="N293" s="75">
        <f>Tabla1[[#This Row],[IMPORTE APROBADO]]-Tabla1[[#This Row],[AMORTIZACION2]]</f>
        <v>0.22000000000002728</v>
      </c>
      <c r="O293" s="65" t="str">
        <f>TEXT(Tabla1[[#This Row],[EMISION]],"mmm")</f>
        <v>Ene</v>
      </c>
      <c r="P293" s="65" t="str">
        <f>TEXT(Tabla1[[#This Row],[EMISION]],"YYYY")</f>
        <v>2023</v>
      </c>
      <c r="Q293" s="71">
        <v>44933</v>
      </c>
      <c r="R293" s="65" t="str">
        <f>TEXT(Tabla1[[#This Row],[VENCIMIENTO]],"mmm")</f>
        <v>Ene</v>
      </c>
      <c r="S293" s="71">
        <f t="shared" si="26"/>
        <v>44948</v>
      </c>
      <c r="T293" s="72">
        <f ca="1">Tabla1[[#This Row],[EMISION]]+Tabla1[[#This Row],[PLAZO]]-TODAY()</f>
        <v>-421</v>
      </c>
      <c r="U293" s="64">
        <f t="shared" ca="1" si="27"/>
        <v>0</v>
      </c>
      <c r="V293" s="72" t="s">
        <v>3070</v>
      </c>
      <c r="W293" s="73" t="s">
        <v>14307</v>
      </c>
      <c r="X293" s="65">
        <v>15</v>
      </c>
      <c r="Y293" s="65"/>
      <c r="Z293" s="65"/>
      <c r="AA293" s="65"/>
      <c r="AB293" s="65"/>
      <c r="AC293" s="65"/>
      <c r="AD293" s="65"/>
      <c r="AE293" s="65"/>
      <c r="AF293" s="68"/>
      <c r="AG293" s="66">
        <v>44952</v>
      </c>
      <c r="AH293" s="67" t="s">
        <v>14308</v>
      </c>
      <c r="AI293" s="65" t="s">
        <v>3060</v>
      </c>
      <c r="AJ293" s="65"/>
      <c r="AK293" s="97">
        <f t="shared" ca="1" si="25"/>
        <v>421</v>
      </c>
      <c r="AL293">
        <f>IFERROR(VLOOKUP(A293,'DATA CLIENTES'!B4590:I8284,6,FALSE),0)</f>
        <v>0</v>
      </c>
    </row>
    <row r="294" spans="1:38" x14ac:dyDescent="0.25">
      <c r="A294" s="93" t="s">
        <v>5473</v>
      </c>
      <c r="B294" s="68" t="s">
        <v>14378</v>
      </c>
      <c r="C294" s="65"/>
      <c r="D294" s="65"/>
      <c r="E294" s="65"/>
      <c r="F294" s="69" t="s">
        <v>14559</v>
      </c>
      <c r="G294" s="70"/>
      <c r="H294" s="65" t="s">
        <v>14564</v>
      </c>
      <c r="I294" s="75">
        <v>17050</v>
      </c>
      <c r="J294" s="75">
        <f>10000+7050</f>
        <v>17050</v>
      </c>
      <c r="K294" s="75"/>
      <c r="L294" s="75"/>
      <c r="M294" s="75"/>
      <c r="N294" s="75">
        <f>Tabla1[[#This Row],[IMPORTE APROBADO]]-Tabla1[[#This Row],[AMORTIZACION2]]</f>
        <v>0</v>
      </c>
      <c r="O294" s="65" t="str">
        <f>TEXT(Tabla1[[#This Row],[EMISION]],"mmm")</f>
        <v>Ene</v>
      </c>
      <c r="P294" s="65" t="str">
        <f>TEXT(Tabla1[[#This Row],[EMISION]],"YYYY")</f>
        <v>2023</v>
      </c>
      <c r="Q294" s="71">
        <v>44937</v>
      </c>
      <c r="R294" s="65" t="str">
        <f>TEXT(Tabla1[[#This Row],[VENCIMIENTO]],"mmm")</f>
        <v>Ene</v>
      </c>
      <c r="S294" s="71">
        <f t="shared" si="26"/>
        <v>44952</v>
      </c>
      <c r="T294" s="72">
        <f ca="1">Tabla1[[#This Row],[EMISION]]+Tabla1[[#This Row],[PLAZO]]-TODAY()</f>
        <v>-417</v>
      </c>
      <c r="U294" s="64">
        <f t="shared" ca="1" si="27"/>
        <v>0</v>
      </c>
      <c r="V294" s="72"/>
      <c r="W294" s="73" t="s">
        <v>14307</v>
      </c>
      <c r="X294" s="65">
        <v>15</v>
      </c>
      <c r="Y294" s="65"/>
      <c r="Z294" s="65"/>
      <c r="AA294" s="65"/>
      <c r="AB294" s="65"/>
      <c r="AC294" s="65"/>
      <c r="AD294" s="65"/>
      <c r="AE294" s="65"/>
      <c r="AF294" s="68"/>
      <c r="AG294" s="66">
        <v>44957</v>
      </c>
      <c r="AH294" s="67" t="s">
        <v>14308</v>
      </c>
      <c r="AI294" s="65" t="s">
        <v>3060</v>
      </c>
      <c r="AJ294" s="65"/>
      <c r="AK294" s="97">
        <f t="shared" ca="1" si="25"/>
        <v>417</v>
      </c>
      <c r="AL294">
        <f>IFERROR(VLOOKUP(A294,'DATA CLIENTES'!B4591:I8284,6,FALSE),0)</f>
        <v>0</v>
      </c>
    </row>
    <row r="295" spans="1:38" x14ac:dyDescent="0.25">
      <c r="A295" s="93" t="s">
        <v>6507</v>
      </c>
      <c r="B295" s="68" t="s">
        <v>6508</v>
      </c>
      <c r="C295" s="65"/>
      <c r="D295" s="65"/>
      <c r="E295" s="65"/>
      <c r="F295" s="69" t="s">
        <v>14559</v>
      </c>
      <c r="G295" s="70"/>
      <c r="H295" s="65" t="s">
        <v>14565</v>
      </c>
      <c r="I295" s="75">
        <v>24894</v>
      </c>
      <c r="J295" s="75">
        <f>9824+6000+6000+3070</f>
        <v>24894</v>
      </c>
      <c r="K295" s="75"/>
      <c r="L295" s="75"/>
      <c r="M295" s="75"/>
      <c r="N295" s="75">
        <f>Tabla1[[#This Row],[IMPORTE APROBADO]]-Tabla1[[#This Row],[AMORTIZACION2]]</f>
        <v>0</v>
      </c>
      <c r="O295" s="65" t="str">
        <f>TEXT(Tabla1[[#This Row],[EMISION]],"mmm")</f>
        <v>Ene</v>
      </c>
      <c r="P295" s="65" t="str">
        <f>TEXT(Tabla1[[#This Row],[EMISION]],"YYYY")</f>
        <v>2023</v>
      </c>
      <c r="Q295" s="71">
        <v>44937</v>
      </c>
      <c r="R295" s="65" t="str">
        <f>TEXT(Tabla1[[#This Row],[VENCIMIENTO]],"mmm")</f>
        <v>Feb</v>
      </c>
      <c r="S295" s="71">
        <f t="shared" si="26"/>
        <v>44962</v>
      </c>
      <c r="T295" s="72">
        <f ca="1">Tabla1[[#This Row],[EMISION]]+Tabla1[[#This Row],[PLAZO]]-TODAY()</f>
        <v>-407</v>
      </c>
      <c r="U295" s="64">
        <f t="shared" ca="1" si="27"/>
        <v>0</v>
      </c>
      <c r="V295" s="72"/>
      <c r="W295" s="73" t="s">
        <v>14307</v>
      </c>
      <c r="X295" s="65">
        <v>25</v>
      </c>
      <c r="Y295" s="65"/>
      <c r="Z295" s="65"/>
      <c r="AA295" s="65"/>
      <c r="AB295" s="65"/>
      <c r="AC295" s="65"/>
      <c r="AD295" s="65"/>
      <c r="AE295" s="65"/>
      <c r="AF295" s="68"/>
      <c r="AG295" s="66">
        <v>44961</v>
      </c>
      <c r="AH295" s="67" t="s">
        <v>14308</v>
      </c>
      <c r="AI295" s="65" t="s">
        <v>3060</v>
      </c>
      <c r="AJ295" s="65"/>
      <c r="AK295" s="97">
        <f t="shared" ca="1" si="25"/>
        <v>407</v>
      </c>
      <c r="AL295">
        <f>IFERROR(VLOOKUP(A295,'DATA CLIENTES'!B4592:I8284,6,FALSE),0)</f>
        <v>0</v>
      </c>
    </row>
    <row r="296" spans="1:38" x14ac:dyDescent="0.25">
      <c r="A296" s="93" t="s">
        <v>6507</v>
      </c>
      <c r="B296" s="68" t="s">
        <v>6508</v>
      </c>
      <c r="C296" s="65"/>
      <c r="D296" s="65"/>
      <c r="E296" s="65"/>
      <c r="F296" s="69" t="s">
        <v>14559</v>
      </c>
      <c r="G296" s="70"/>
      <c r="H296" s="65" t="s">
        <v>14566</v>
      </c>
      <c r="I296" s="75">
        <v>7092</v>
      </c>
      <c r="J296" s="75">
        <v>7092</v>
      </c>
      <c r="K296" s="75"/>
      <c r="L296" s="75"/>
      <c r="M296" s="75"/>
      <c r="N296" s="75">
        <f>Tabla1[[#This Row],[IMPORTE APROBADO]]-Tabla1[[#This Row],[AMORTIZACION2]]</f>
        <v>0</v>
      </c>
      <c r="O296" s="65" t="str">
        <f>TEXT(Tabla1[[#This Row],[EMISION]],"mmm")</f>
        <v>Ene</v>
      </c>
      <c r="P296" s="65" t="str">
        <f>TEXT(Tabla1[[#This Row],[EMISION]],"YYYY")</f>
        <v>2023</v>
      </c>
      <c r="Q296" s="71">
        <v>44937</v>
      </c>
      <c r="R296" s="65" t="str">
        <f>TEXT(Tabla1[[#This Row],[VENCIMIENTO]],"mmm")</f>
        <v>Feb</v>
      </c>
      <c r="S296" s="71">
        <f t="shared" si="26"/>
        <v>44962</v>
      </c>
      <c r="T296" s="72">
        <f ca="1">Tabla1[[#This Row],[EMISION]]+Tabla1[[#This Row],[PLAZO]]-TODAY()</f>
        <v>-407</v>
      </c>
      <c r="U296" s="64">
        <f t="shared" ca="1" si="27"/>
        <v>0</v>
      </c>
      <c r="V296" s="72"/>
      <c r="W296" s="73" t="s">
        <v>14307</v>
      </c>
      <c r="X296" s="65">
        <v>25</v>
      </c>
      <c r="Y296" s="65"/>
      <c r="Z296" s="65"/>
      <c r="AA296" s="65"/>
      <c r="AB296" s="65"/>
      <c r="AC296" s="65"/>
      <c r="AD296" s="65"/>
      <c r="AE296" s="65"/>
      <c r="AF296" s="68"/>
      <c r="AG296" s="66">
        <v>44956</v>
      </c>
      <c r="AH296" s="67" t="s">
        <v>14308</v>
      </c>
      <c r="AI296" s="65" t="s">
        <v>3060</v>
      </c>
      <c r="AJ296" s="65"/>
      <c r="AK296" s="97">
        <f t="shared" ca="1" si="25"/>
        <v>407</v>
      </c>
      <c r="AL296">
        <f>IFERROR(VLOOKUP(A296,'DATA CLIENTES'!B4593:I8284,6,FALSE),0)</f>
        <v>0</v>
      </c>
    </row>
    <row r="297" spans="1:38" x14ac:dyDescent="0.25">
      <c r="A297" s="93" t="s">
        <v>3665</v>
      </c>
      <c r="B297" s="68" t="s">
        <v>3666</v>
      </c>
      <c r="C297" s="65"/>
      <c r="D297" s="65"/>
      <c r="E297" s="65"/>
      <c r="F297" s="69" t="s">
        <v>7000</v>
      </c>
      <c r="G297" s="70"/>
      <c r="H297" s="65" t="s">
        <v>14567</v>
      </c>
      <c r="I297" s="75">
        <v>175.5</v>
      </c>
      <c r="J297" s="75">
        <v>175.5</v>
      </c>
      <c r="K297" s="75"/>
      <c r="L297" s="75"/>
      <c r="M297" s="75"/>
      <c r="N297" s="75">
        <f>Tabla1[[#This Row],[IMPORTE APROBADO]]-Tabla1[[#This Row],[AMORTIZACION2]]</f>
        <v>0</v>
      </c>
      <c r="O297" s="65" t="str">
        <f>TEXT(Tabla1[[#This Row],[EMISION]],"mmm")</f>
        <v>Ene</v>
      </c>
      <c r="P297" s="65" t="str">
        <f>TEXT(Tabla1[[#This Row],[EMISION]],"YYYY")</f>
        <v>2023</v>
      </c>
      <c r="Q297" s="71">
        <v>44938</v>
      </c>
      <c r="R297" s="65" t="str">
        <f>TEXT(Tabla1[[#This Row],[VENCIMIENTO]],"mmm")</f>
        <v>Ene</v>
      </c>
      <c r="S297" s="71">
        <f t="shared" si="26"/>
        <v>44945</v>
      </c>
      <c r="T297" s="72">
        <f ca="1">Tabla1[[#This Row],[EMISION]]+Tabla1[[#This Row],[PLAZO]]-TODAY()</f>
        <v>-424</v>
      </c>
      <c r="U297" s="64">
        <f t="shared" ca="1" si="27"/>
        <v>0</v>
      </c>
      <c r="V297" s="72"/>
      <c r="W297" s="73" t="s">
        <v>14307</v>
      </c>
      <c r="X297" s="65">
        <v>7</v>
      </c>
      <c r="Y297" s="65"/>
      <c r="Z297" s="65"/>
      <c r="AA297" s="65"/>
      <c r="AB297" s="65"/>
      <c r="AC297" s="65"/>
      <c r="AD297" s="65"/>
      <c r="AE297" s="65"/>
      <c r="AF297" s="68"/>
      <c r="AG297" s="66">
        <v>44977</v>
      </c>
      <c r="AH297" s="67" t="s">
        <v>14308</v>
      </c>
      <c r="AI297" s="65" t="s">
        <v>3060</v>
      </c>
      <c r="AJ297" s="65"/>
      <c r="AK297" s="97">
        <f t="shared" ca="1" si="25"/>
        <v>424</v>
      </c>
      <c r="AL297">
        <f>IFERROR(VLOOKUP(A297,'DATA CLIENTES'!B4594:I8284,6,FALSE),0)</f>
        <v>0</v>
      </c>
    </row>
    <row r="298" spans="1:38" x14ac:dyDescent="0.25">
      <c r="A298" s="93" t="s">
        <v>5547</v>
      </c>
      <c r="B298" s="68" t="s">
        <v>5548</v>
      </c>
      <c r="C298" s="65"/>
      <c r="D298" s="65"/>
      <c r="E298" s="65"/>
      <c r="F298" s="69" t="s">
        <v>14559</v>
      </c>
      <c r="G298" s="70"/>
      <c r="H298" s="65" t="s">
        <v>14568</v>
      </c>
      <c r="I298" s="75">
        <v>5095.79</v>
      </c>
      <c r="J298" s="75">
        <f>2700+2395.79</f>
        <v>5095.79</v>
      </c>
      <c r="K298" s="75"/>
      <c r="L298" s="75"/>
      <c r="M298" s="75"/>
      <c r="N298" s="75">
        <f>Tabla1[[#This Row],[IMPORTE APROBADO]]-Tabla1[[#This Row],[AMORTIZACION2]]</f>
        <v>0</v>
      </c>
      <c r="O298" s="65" t="str">
        <f>TEXT(Tabla1[[#This Row],[EMISION]],"mmm")</f>
        <v>Ene</v>
      </c>
      <c r="P298" s="65" t="str">
        <f>TEXT(Tabla1[[#This Row],[EMISION]],"YYYY")</f>
        <v>2023</v>
      </c>
      <c r="Q298" s="71">
        <v>44938</v>
      </c>
      <c r="R298" s="65" t="str">
        <f>TEXT(Tabla1[[#This Row],[VENCIMIENTO]],"mmm")</f>
        <v>Ene</v>
      </c>
      <c r="S298" s="71">
        <f t="shared" si="26"/>
        <v>44953</v>
      </c>
      <c r="T298" s="72">
        <f ca="1">Tabla1[[#This Row],[EMISION]]+Tabla1[[#This Row],[PLAZO]]-TODAY()</f>
        <v>-416</v>
      </c>
      <c r="U298" s="64">
        <f t="shared" ca="1" si="27"/>
        <v>0</v>
      </c>
      <c r="V298" s="72"/>
      <c r="W298" s="73" t="s">
        <v>14307</v>
      </c>
      <c r="X298" s="65">
        <v>15</v>
      </c>
      <c r="Y298" s="65"/>
      <c r="Z298" s="65"/>
      <c r="AA298" s="65"/>
      <c r="AB298" s="65"/>
      <c r="AC298" s="65"/>
      <c r="AD298" s="65"/>
      <c r="AE298" s="65"/>
      <c r="AF298" s="68"/>
      <c r="AG298" s="66">
        <v>44959</v>
      </c>
      <c r="AH298" s="67" t="s">
        <v>14308</v>
      </c>
      <c r="AI298" s="65" t="s">
        <v>3060</v>
      </c>
      <c r="AJ298" s="65"/>
      <c r="AK298" s="97">
        <f t="shared" ca="1" si="25"/>
        <v>416</v>
      </c>
      <c r="AL298">
        <f>IFERROR(VLOOKUP(A298,'DATA CLIENTES'!B4595:I8284,6,FALSE),0)</f>
        <v>0</v>
      </c>
    </row>
    <row r="299" spans="1:38" x14ac:dyDescent="0.25">
      <c r="A299" s="93" t="s">
        <v>5547</v>
      </c>
      <c r="B299" s="68" t="s">
        <v>5548</v>
      </c>
      <c r="C299" s="65"/>
      <c r="D299" s="65"/>
      <c r="E299" s="65"/>
      <c r="F299" s="69" t="s">
        <v>14559</v>
      </c>
      <c r="G299" s="70"/>
      <c r="H299" s="65" t="s">
        <v>14569</v>
      </c>
      <c r="I299" s="75">
        <v>4674.1499999999996</v>
      </c>
      <c r="J299" s="75">
        <v>4673.71</v>
      </c>
      <c r="K299" s="75"/>
      <c r="L299" s="75"/>
      <c r="M299" s="75"/>
      <c r="N299" s="75">
        <f>Tabla1[[#This Row],[IMPORTE APROBADO]]-Tabla1[[#This Row],[AMORTIZACION2]]</f>
        <v>0.43999999999959982</v>
      </c>
      <c r="O299" s="65" t="str">
        <f>TEXT(Tabla1[[#This Row],[EMISION]],"mmm")</f>
        <v>Ene</v>
      </c>
      <c r="P299" s="65" t="str">
        <f>TEXT(Tabla1[[#This Row],[EMISION]],"YYYY")</f>
        <v>2023</v>
      </c>
      <c r="Q299" s="71">
        <v>44938</v>
      </c>
      <c r="R299" s="65" t="str">
        <f>TEXT(Tabla1[[#This Row],[VENCIMIENTO]],"mmm")</f>
        <v>Ene</v>
      </c>
      <c r="S299" s="71">
        <f t="shared" si="26"/>
        <v>44953</v>
      </c>
      <c r="T299" s="72">
        <f ca="1">Tabla1[[#This Row],[EMISION]]+Tabla1[[#This Row],[PLAZO]]-TODAY()</f>
        <v>-416</v>
      </c>
      <c r="U299" s="64">
        <f t="shared" ca="1" si="27"/>
        <v>0</v>
      </c>
      <c r="V299" s="72"/>
      <c r="W299" s="73" t="s">
        <v>14307</v>
      </c>
      <c r="X299" s="65">
        <v>15</v>
      </c>
      <c r="Y299" s="65"/>
      <c r="Z299" s="65"/>
      <c r="AA299" s="65"/>
      <c r="AB299" s="65"/>
      <c r="AC299" s="65"/>
      <c r="AD299" s="65"/>
      <c r="AE299" s="65"/>
      <c r="AF299" s="68"/>
      <c r="AG299" s="66">
        <v>44959</v>
      </c>
      <c r="AH299" s="67" t="s">
        <v>14308</v>
      </c>
      <c r="AI299" s="65" t="s">
        <v>3060</v>
      </c>
      <c r="AJ299" s="65"/>
      <c r="AK299" s="97">
        <f t="shared" ca="1" si="25"/>
        <v>416</v>
      </c>
      <c r="AL299">
        <f>IFERROR(VLOOKUP(A299,'DATA CLIENTES'!B4596:I8284,6,FALSE),0)</f>
        <v>0</v>
      </c>
    </row>
    <row r="300" spans="1:38" x14ac:dyDescent="0.25">
      <c r="A300" s="93" t="s">
        <v>9812</v>
      </c>
      <c r="B300" s="68" t="s">
        <v>9813</v>
      </c>
      <c r="C300" s="65"/>
      <c r="D300" s="65"/>
      <c r="E300" s="65"/>
      <c r="F300" s="69" t="s">
        <v>14559</v>
      </c>
      <c r="G300" s="70"/>
      <c r="H300" s="65" t="s">
        <v>14570</v>
      </c>
      <c r="I300" s="75">
        <v>2534.9560000000001</v>
      </c>
      <c r="J300" s="75">
        <f>1534.96+1000</f>
        <v>2534.96</v>
      </c>
      <c r="K300" s="75"/>
      <c r="L300" s="75"/>
      <c r="M300" s="75"/>
      <c r="N300" s="75">
        <f>Tabla1[[#This Row],[IMPORTE APROBADO]]-Tabla1[[#This Row],[AMORTIZACION2]]</f>
        <v>-3.9999999999054126E-3</v>
      </c>
      <c r="O300" s="65" t="str">
        <f>TEXT(Tabla1[[#This Row],[EMISION]],"mmm")</f>
        <v>Ene</v>
      </c>
      <c r="P300" s="65" t="str">
        <f>TEXT(Tabla1[[#This Row],[EMISION]],"YYYY")</f>
        <v>2023</v>
      </c>
      <c r="Q300" s="71">
        <v>44938</v>
      </c>
      <c r="R300" s="65" t="str">
        <f>TEXT(Tabla1[[#This Row],[VENCIMIENTO]],"mmm")</f>
        <v>Ene</v>
      </c>
      <c r="S300" s="71">
        <f t="shared" si="26"/>
        <v>44953</v>
      </c>
      <c r="T300" s="72">
        <f ca="1">Tabla1[[#This Row],[EMISION]]+Tabla1[[#This Row],[PLAZO]]-TODAY()</f>
        <v>-416</v>
      </c>
      <c r="U300" s="64">
        <f t="shared" ca="1" si="27"/>
        <v>0</v>
      </c>
      <c r="V300" s="72"/>
      <c r="W300" s="73" t="s">
        <v>14307</v>
      </c>
      <c r="X300" s="65">
        <v>15</v>
      </c>
      <c r="Y300" s="65"/>
      <c r="Z300" s="65"/>
      <c r="AA300" s="65"/>
      <c r="AB300" s="65"/>
      <c r="AC300" s="65"/>
      <c r="AD300" s="65"/>
      <c r="AE300" s="65"/>
      <c r="AF300" s="68"/>
      <c r="AG300" s="66">
        <v>44966</v>
      </c>
      <c r="AH300" s="67" t="s">
        <v>14308</v>
      </c>
      <c r="AI300" s="65" t="s">
        <v>3060</v>
      </c>
      <c r="AJ300" s="65"/>
      <c r="AK300" s="97">
        <f t="shared" ca="1" si="25"/>
        <v>416</v>
      </c>
      <c r="AL300">
        <f>IFERROR(VLOOKUP(A300,'DATA CLIENTES'!B4597:I8284,6,FALSE),0)</f>
        <v>0</v>
      </c>
    </row>
    <row r="301" spans="1:38" x14ac:dyDescent="0.25">
      <c r="A301" s="93" t="s">
        <v>9383</v>
      </c>
      <c r="B301" s="68" t="s">
        <v>9384</v>
      </c>
      <c r="C301" s="65"/>
      <c r="D301" s="65"/>
      <c r="E301" s="65"/>
      <c r="F301" s="69" t="s">
        <v>14571</v>
      </c>
      <c r="G301" s="70"/>
      <c r="H301" s="65" t="s">
        <v>14572</v>
      </c>
      <c r="I301" s="75">
        <v>10200</v>
      </c>
      <c r="J301" s="75">
        <v>10200</v>
      </c>
      <c r="K301" s="75"/>
      <c r="L301" s="75"/>
      <c r="M301" s="75"/>
      <c r="N301" s="75">
        <f>Tabla1[[#This Row],[IMPORTE APROBADO]]-Tabla1[[#This Row],[AMORTIZACION2]]</f>
        <v>0</v>
      </c>
      <c r="O301" s="65" t="str">
        <f>TEXT(Tabla1[[#This Row],[EMISION]],"mmm")</f>
        <v>Ene</v>
      </c>
      <c r="P301" s="65" t="str">
        <f>TEXT(Tabla1[[#This Row],[EMISION]],"YYYY")</f>
        <v>2023</v>
      </c>
      <c r="Q301" s="71">
        <v>44938</v>
      </c>
      <c r="R301" s="65" t="str">
        <f>TEXT(Tabla1[[#This Row],[VENCIMIENTO]],"mmm")</f>
        <v>Feb</v>
      </c>
      <c r="S301" s="71">
        <f t="shared" si="26"/>
        <v>44968</v>
      </c>
      <c r="T301" s="72">
        <f ca="1">Tabla1[[#This Row],[EMISION]]+Tabla1[[#This Row],[PLAZO]]-TODAY()</f>
        <v>-401</v>
      </c>
      <c r="U301" s="64">
        <f t="shared" ca="1" si="27"/>
        <v>0</v>
      </c>
      <c r="V301" s="72"/>
      <c r="W301" s="73" t="s">
        <v>14307</v>
      </c>
      <c r="X301" s="65">
        <v>30</v>
      </c>
      <c r="Y301" s="65"/>
      <c r="Z301" s="65"/>
      <c r="AA301" s="65"/>
      <c r="AB301" s="65"/>
      <c r="AC301" s="65"/>
      <c r="AD301" s="65"/>
      <c r="AE301" s="65"/>
      <c r="AF301" s="68"/>
      <c r="AG301" s="66">
        <v>44973</v>
      </c>
      <c r="AH301" s="67" t="s">
        <v>14308</v>
      </c>
      <c r="AI301" s="65" t="s">
        <v>3060</v>
      </c>
      <c r="AJ301" s="65"/>
      <c r="AK301" s="97">
        <f t="shared" ca="1" si="25"/>
        <v>401</v>
      </c>
      <c r="AL301">
        <f>IFERROR(VLOOKUP(A301,'DATA CLIENTES'!B4598:I8284,6,FALSE),0)</f>
        <v>0</v>
      </c>
    </row>
    <row r="302" spans="1:38" x14ac:dyDescent="0.25">
      <c r="A302" s="93" t="s">
        <v>8553</v>
      </c>
      <c r="B302" s="68" t="s">
        <v>14573</v>
      </c>
      <c r="C302" s="65"/>
      <c r="D302" s="65"/>
      <c r="E302" s="65"/>
      <c r="F302" s="69" t="s">
        <v>14574</v>
      </c>
      <c r="G302" s="70"/>
      <c r="H302" s="65" t="s">
        <v>14575</v>
      </c>
      <c r="I302" s="75">
        <v>1440</v>
      </c>
      <c r="J302" s="75">
        <v>1440</v>
      </c>
      <c r="K302" s="75"/>
      <c r="L302" s="75"/>
      <c r="M302" s="75"/>
      <c r="N302" s="75">
        <f>Tabla1[[#This Row],[IMPORTE APROBADO]]-Tabla1[[#This Row],[AMORTIZACION2]]</f>
        <v>0</v>
      </c>
      <c r="O302" s="65" t="str">
        <f>TEXT(Tabla1[[#This Row],[EMISION]],"mmm")</f>
        <v>Ene</v>
      </c>
      <c r="P302" s="65" t="str">
        <f>TEXT(Tabla1[[#This Row],[EMISION]],"YYYY")</f>
        <v>2023</v>
      </c>
      <c r="Q302" s="71">
        <v>44947</v>
      </c>
      <c r="R302" s="65" t="str">
        <f>TEXT(Tabla1[[#This Row],[VENCIMIENTO]],"mmm")</f>
        <v>Feb</v>
      </c>
      <c r="S302" s="71">
        <f t="shared" ref="S302:S308" si="28">Q302+X302</f>
        <v>44962</v>
      </c>
      <c r="T302" s="72">
        <f ca="1">Tabla1[[#This Row],[EMISION]]+Tabla1[[#This Row],[PLAZO]]-TODAY()</f>
        <v>-407</v>
      </c>
      <c r="U302" s="64">
        <f t="shared" ref="U302:U308" ca="1" si="29">IF(T302&gt;=0,$U$4,IF(AND(T302&lt;=-1,T302&gt;=-30),$U$5,IF(AND(T302&lt;=-31,T302&gt;=-60),$U$6,IF(AND(T302&lt;=-61,T302&gt;=-90),$U$7,$U$8))))</f>
        <v>0</v>
      </c>
      <c r="V302" s="72"/>
      <c r="W302" s="73" t="s">
        <v>14307</v>
      </c>
      <c r="X302" s="65">
        <v>15</v>
      </c>
      <c r="Y302" s="65"/>
      <c r="Z302" s="65"/>
      <c r="AA302" s="65"/>
      <c r="AB302" s="65"/>
      <c r="AC302" s="65"/>
      <c r="AD302" s="65"/>
      <c r="AE302" s="65"/>
      <c r="AF302" s="68"/>
      <c r="AG302" s="66">
        <v>44965</v>
      </c>
      <c r="AH302" s="67" t="s">
        <v>14308</v>
      </c>
      <c r="AI302" s="65" t="s">
        <v>3060</v>
      </c>
      <c r="AJ302" s="65"/>
      <c r="AK302" s="97">
        <f t="shared" ca="1" si="25"/>
        <v>407</v>
      </c>
      <c r="AL302">
        <f>IFERROR(VLOOKUP(A302,'DATA CLIENTES'!B4599:I8284,6,FALSE),0)</f>
        <v>0</v>
      </c>
    </row>
    <row r="303" spans="1:38" x14ac:dyDescent="0.25">
      <c r="A303" s="93" t="s">
        <v>7188</v>
      </c>
      <c r="B303" s="68" t="s">
        <v>7189</v>
      </c>
      <c r="C303" s="65"/>
      <c r="D303" s="65"/>
      <c r="E303" s="65"/>
      <c r="F303" s="69" t="s">
        <v>14559</v>
      </c>
      <c r="G303" s="70"/>
      <c r="H303" s="65" t="s">
        <v>14576</v>
      </c>
      <c r="I303" s="75">
        <v>1415.24</v>
      </c>
      <c r="J303" s="75">
        <f>1415.2</f>
        <v>1415.2</v>
      </c>
      <c r="K303" s="75"/>
      <c r="L303" s="75"/>
      <c r="M303" s="75"/>
      <c r="N303" s="75">
        <f>Tabla1[[#This Row],[IMPORTE APROBADO]]-Tabla1[[#This Row],[AMORTIZACION2]]</f>
        <v>3.999999999996362E-2</v>
      </c>
      <c r="O303" s="65" t="str">
        <f>TEXT(Tabla1[[#This Row],[EMISION]],"mmm")</f>
        <v>Ene</v>
      </c>
      <c r="P303" s="65" t="str">
        <f>TEXT(Tabla1[[#This Row],[EMISION]],"YYYY")</f>
        <v>2023</v>
      </c>
      <c r="Q303" s="71">
        <v>44947</v>
      </c>
      <c r="R303" s="65" t="str">
        <f>TEXT(Tabla1[[#This Row],[VENCIMIENTO]],"mmm")</f>
        <v>Feb</v>
      </c>
      <c r="S303" s="71">
        <f t="shared" si="28"/>
        <v>44962</v>
      </c>
      <c r="T303" s="72">
        <f ca="1">Tabla1[[#This Row],[EMISION]]+Tabla1[[#This Row],[PLAZO]]-TODAY()</f>
        <v>-407</v>
      </c>
      <c r="U303" s="64">
        <f t="shared" ca="1" si="29"/>
        <v>0</v>
      </c>
      <c r="V303" s="72"/>
      <c r="W303" s="73" t="s">
        <v>14307</v>
      </c>
      <c r="X303" s="65">
        <v>15</v>
      </c>
      <c r="Y303" s="65"/>
      <c r="Z303" s="65"/>
      <c r="AA303" s="65"/>
      <c r="AB303" s="65"/>
      <c r="AC303" s="65"/>
      <c r="AD303" s="65"/>
      <c r="AE303" s="65"/>
      <c r="AF303" s="68"/>
      <c r="AG303" s="66">
        <v>44965</v>
      </c>
      <c r="AH303" s="67" t="s">
        <v>14308</v>
      </c>
      <c r="AI303" s="65" t="s">
        <v>3060</v>
      </c>
      <c r="AJ303" s="65"/>
      <c r="AK303" s="97">
        <f t="shared" ca="1" si="25"/>
        <v>407</v>
      </c>
      <c r="AL303">
        <f>IFERROR(VLOOKUP(A303,'DATA CLIENTES'!B4600:I8284,6,FALSE),0)</f>
        <v>0</v>
      </c>
    </row>
    <row r="304" spans="1:38" x14ac:dyDescent="0.25">
      <c r="A304" s="93" t="s">
        <v>9986</v>
      </c>
      <c r="B304" s="68" t="s">
        <v>14577</v>
      </c>
      <c r="C304" s="65"/>
      <c r="D304" s="65"/>
      <c r="E304" s="65"/>
      <c r="F304" s="69" t="s">
        <v>14559</v>
      </c>
      <c r="G304" s="70"/>
      <c r="H304" s="65" t="s">
        <v>14578</v>
      </c>
      <c r="I304" s="75">
        <v>2528.5500000000002</v>
      </c>
      <c r="J304" s="75">
        <f>1000+1528.55</f>
        <v>2528.5500000000002</v>
      </c>
      <c r="K304" s="75"/>
      <c r="L304" s="75"/>
      <c r="M304" s="75"/>
      <c r="N304" s="75">
        <f>Tabla1[[#This Row],[IMPORTE APROBADO]]-Tabla1[[#This Row],[AMORTIZACION2]]</f>
        <v>0</v>
      </c>
      <c r="O304" s="65" t="str">
        <f>TEXT(Tabla1[[#This Row],[EMISION]],"mmm")</f>
        <v>Ene</v>
      </c>
      <c r="P304" s="65" t="str">
        <f>TEXT(Tabla1[[#This Row],[EMISION]],"YYYY")</f>
        <v>2023</v>
      </c>
      <c r="Q304" s="71">
        <v>44947</v>
      </c>
      <c r="R304" s="65" t="str">
        <f>TEXT(Tabla1[[#This Row],[VENCIMIENTO]],"mmm")</f>
        <v>Feb</v>
      </c>
      <c r="S304" s="71">
        <f t="shared" si="28"/>
        <v>44962</v>
      </c>
      <c r="T304" s="72">
        <f ca="1">Tabla1[[#This Row],[EMISION]]+Tabla1[[#This Row],[PLAZO]]-TODAY()</f>
        <v>-407</v>
      </c>
      <c r="U304" s="64">
        <f t="shared" ca="1" si="29"/>
        <v>0</v>
      </c>
      <c r="V304" s="72"/>
      <c r="W304" s="73" t="s">
        <v>14307</v>
      </c>
      <c r="X304" s="65">
        <v>15</v>
      </c>
      <c r="Y304" s="65"/>
      <c r="Z304" s="65"/>
      <c r="AA304" s="65"/>
      <c r="AB304" s="65"/>
      <c r="AC304" s="65"/>
      <c r="AD304" s="65"/>
      <c r="AE304" s="65"/>
      <c r="AF304" s="68"/>
      <c r="AG304" s="66">
        <v>44972</v>
      </c>
      <c r="AH304" s="67" t="s">
        <v>14308</v>
      </c>
      <c r="AI304" s="65" t="s">
        <v>3060</v>
      </c>
      <c r="AJ304" s="65"/>
      <c r="AK304" s="97">
        <f t="shared" ca="1" si="25"/>
        <v>407</v>
      </c>
      <c r="AL304">
        <f>IFERROR(VLOOKUP(A304,'DATA CLIENTES'!B4601:I8284,6,FALSE),0)</f>
        <v>0</v>
      </c>
    </row>
    <row r="305" spans="1:38" x14ac:dyDescent="0.25">
      <c r="A305" s="93" t="s">
        <v>9824</v>
      </c>
      <c r="B305" s="68" t="s">
        <v>14331</v>
      </c>
      <c r="C305" s="65"/>
      <c r="D305" s="65"/>
      <c r="E305" s="65"/>
      <c r="F305" s="69" t="s">
        <v>14557</v>
      </c>
      <c r="G305" s="70"/>
      <c r="H305" s="65" t="s">
        <v>14579</v>
      </c>
      <c r="I305" s="75">
        <v>18615</v>
      </c>
      <c r="J305" s="75">
        <f>4900+1305+5000+2000+1000+1410+3000</f>
        <v>18615</v>
      </c>
      <c r="K305" s="75"/>
      <c r="L305" s="75"/>
      <c r="M305" s="75"/>
      <c r="N305" s="75">
        <f>Tabla1[[#This Row],[IMPORTE APROBADO]]-Tabla1[[#This Row],[AMORTIZACION2]]</f>
        <v>0</v>
      </c>
      <c r="O305" s="65" t="str">
        <f>TEXT(Tabla1[[#This Row],[EMISION]],"mmm")</f>
        <v>Ene</v>
      </c>
      <c r="P305" s="65" t="str">
        <f>TEXT(Tabla1[[#This Row],[EMISION]],"YYYY")</f>
        <v>2023</v>
      </c>
      <c r="Q305" s="71">
        <v>44949</v>
      </c>
      <c r="R305" s="65" t="str">
        <f>TEXT(Tabla1[[#This Row],[VENCIMIENTO]],"mmm")</f>
        <v>Feb</v>
      </c>
      <c r="S305" s="71">
        <f t="shared" si="28"/>
        <v>44985</v>
      </c>
      <c r="T305" s="72">
        <f ca="1">Tabla1[[#This Row],[EMISION]]+Tabla1[[#This Row],[PLAZO]]-TODAY()</f>
        <v>-384</v>
      </c>
      <c r="U305" s="64">
        <f t="shared" ca="1" si="29"/>
        <v>0</v>
      </c>
      <c r="V305" s="72"/>
      <c r="W305" s="73" t="s">
        <v>14282</v>
      </c>
      <c r="X305" s="65">
        <v>36</v>
      </c>
      <c r="Y305" s="65"/>
      <c r="Z305" s="65"/>
      <c r="AA305" s="65"/>
      <c r="AB305" s="65"/>
      <c r="AC305" s="65"/>
      <c r="AD305" s="65"/>
      <c r="AE305" s="65"/>
      <c r="AF305" s="68"/>
      <c r="AG305" s="66">
        <v>45000</v>
      </c>
      <c r="AH305" s="67" t="s">
        <v>14308</v>
      </c>
      <c r="AI305" s="65" t="s">
        <v>3060</v>
      </c>
      <c r="AJ305" s="65"/>
      <c r="AK305" s="97">
        <f t="shared" ca="1" si="25"/>
        <v>384</v>
      </c>
      <c r="AL305">
        <f>IFERROR(VLOOKUP(A305,'DATA CLIENTES'!B4602:I8284,6,FALSE),0)</f>
        <v>0</v>
      </c>
    </row>
    <row r="306" spans="1:38" x14ac:dyDescent="0.25">
      <c r="A306" s="93" t="s">
        <v>9809</v>
      </c>
      <c r="B306" s="68" t="s">
        <v>14329</v>
      </c>
      <c r="C306" s="65"/>
      <c r="D306" s="65"/>
      <c r="E306" s="65"/>
      <c r="F306" s="69" t="s">
        <v>14559</v>
      </c>
      <c r="G306" s="70"/>
      <c r="H306" s="65" t="s">
        <v>14580</v>
      </c>
      <c r="I306" s="75">
        <v>1074.2100000000003</v>
      </c>
      <c r="J306" s="75">
        <v>1074.2</v>
      </c>
      <c r="K306" s="75"/>
      <c r="L306" s="75"/>
      <c r="M306" s="75"/>
      <c r="N306" s="75">
        <f>Tabla1[[#This Row],[IMPORTE APROBADO]]-Tabla1[[#This Row],[AMORTIZACION2]]</f>
        <v>1.0000000000218279E-2</v>
      </c>
      <c r="O306" s="65" t="str">
        <f>TEXT(Tabla1[[#This Row],[EMISION]],"mmm")</f>
        <v>Ene</v>
      </c>
      <c r="P306" s="65" t="str">
        <f>TEXT(Tabla1[[#This Row],[EMISION]],"YYYY")</f>
        <v>2023</v>
      </c>
      <c r="Q306" s="71">
        <v>44951</v>
      </c>
      <c r="R306" s="65" t="str">
        <f>TEXT(Tabla1[[#This Row],[VENCIMIENTO]],"mmm")</f>
        <v>Feb</v>
      </c>
      <c r="S306" s="71">
        <f t="shared" si="28"/>
        <v>44966</v>
      </c>
      <c r="T306" s="72">
        <f ca="1">Tabla1[[#This Row],[EMISION]]+Tabla1[[#This Row],[PLAZO]]-TODAY()</f>
        <v>-403</v>
      </c>
      <c r="U306" s="64">
        <f t="shared" ca="1" si="29"/>
        <v>0</v>
      </c>
      <c r="V306" s="72"/>
      <c r="W306" s="73" t="s">
        <v>14307</v>
      </c>
      <c r="X306" s="65">
        <v>15</v>
      </c>
      <c r="Y306" s="65"/>
      <c r="Z306" s="65"/>
      <c r="AA306" s="65"/>
      <c r="AB306" s="65"/>
      <c r="AC306" s="65"/>
      <c r="AD306" s="65"/>
      <c r="AE306" s="65"/>
      <c r="AF306" s="68"/>
      <c r="AG306" s="66">
        <v>44961</v>
      </c>
      <c r="AH306" s="67" t="s">
        <v>14308</v>
      </c>
      <c r="AI306" s="65" t="s">
        <v>3060</v>
      </c>
      <c r="AJ306" s="65"/>
      <c r="AK306" s="97">
        <f t="shared" ca="1" si="25"/>
        <v>403</v>
      </c>
      <c r="AL306">
        <f>IFERROR(VLOOKUP(A306,'DATA CLIENTES'!B4603:I8284,6,FALSE),0)</f>
        <v>0</v>
      </c>
    </row>
    <row r="307" spans="1:38" x14ac:dyDescent="0.25">
      <c r="A307" s="93" t="s">
        <v>5461</v>
      </c>
      <c r="B307" s="68" t="s">
        <v>14309</v>
      </c>
      <c r="C307" s="65"/>
      <c r="D307" s="65"/>
      <c r="E307" s="65"/>
      <c r="F307" s="69" t="s">
        <v>14559</v>
      </c>
      <c r="G307" s="70"/>
      <c r="H307" s="65" t="s">
        <v>14581</v>
      </c>
      <c r="I307" s="75">
        <v>12701.2</v>
      </c>
      <c r="J307" s="75">
        <v>12701.2</v>
      </c>
      <c r="K307" s="75"/>
      <c r="L307" s="75"/>
      <c r="M307" s="75"/>
      <c r="N307" s="75">
        <f>Tabla1[[#This Row],[IMPORTE APROBADO]]-Tabla1[[#This Row],[AMORTIZACION2]]</f>
        <v>0</v>
      </c>
      <c r="O307" s="65" t="str">
        <f>TEXT(Tabla1[[#This Row],[EMISION]],"mmm")</f>
        <v>Ene</v>
      </c>
      <c r="P307" s="65" t="str">
        <f>TEXT(Tabla1[[#This Row],[EMISION]],"YYYY")</f>
        <v>2023</v>
      </c>
      <c r="Q307" s="71">
        <v>44952</v>
      </c>
      <c r="R307" s="65" t="str">
        <f>TEXT(Tabla1[[#This Row],[VENCIMIENTO]],"mmm")</f>
        <v>Feb</v>
      </c>
      <c r="S307" s="71">
        <f t="shared" si="28"/>
        <v>44982</v>
      </c>
      <c r="T307" s="72">
        <f ca="1">Tabla1[[#This Row],[EMISION]]+Tabla1[[#This Row],[PLAZO]]-TODAY()</f>
        <v>-387</v>
      </c>
      <c r="U307" s="64">
        <f t="shared" ca="1" si="29"/>
        <v>0</v>
      </c>
      <c r="V307" s="72"/>
      <c r="W307" s="73" t="s">
        <v>14307</v>
      </c>
      <c r="X307" s="65">
        <v>30</v>
      </c>
      <c r="Y307" s="65"/>
      <c r="Z307" s="65"/>
      <c r="AA307" s="65"/>
      <c r="AB307" s="65"/>
      <c r="AC307" s="65"/>
      <c r="AD307" s="65"/>
      <c r="AE307" s="65"/>
      <c r="AF307" s="68"/>
      <c r="AG307" s="66">
        <v>44985</v>
      </c>
      <c r="AH307" s="67" t="s">
        <v>14308</v>
      </c>
      <c r="AI307" s="65" t="s">
        <v>3060</v>
      </c>
      <c r="AJ307" s="65"/>
      <c r="AK307" s="97">
        <f t="shared" ca="1" si="25"/>
        <v>387</v>
      </c>
      <c r="AL307">
        <f>IFERROR(VLOOKUP(A307,'DATA CLIENTES'!B4604:I8284,6,FALSE),0)</f>
        <v>0</v>
      </c>
    </row>
    <row r="308" spans="1:38" x14ac:dyDescent="0.25">
      <c r="A308" s="93" t="s">
        <v>14583</v>
      </c>
      <c r="B308" s="68" t="s">
        <v>14582</v>
      </c>
      <c r="C308" s="65"/>
      <c r="D308" s="65"/>
      <c r="E308" s="65"/>
      <c r="F308" s="69" t="s">
        <v>7000</v>
      </c>
      <c r="G308" s="70"/>
      <c r="H308" s="65" t="s">
        <v>14584</v>
      </c>
      <c r="I308" s="75">
        <v>239</v>
      </c>
      <c r="J308" s="75">
        <f>239</f>
        <v>239</v>
      </c>
      <c r="K308" s="75"/>
      <c r="L308" s="75"/>
      <c r="M308" s="75"/>
      <c r="N308" s="75">
        <f>Tabla1[[#This Row],[IMPORTE APROBADO]]-Tabla1[[#This Row],[AMORTIZACION2]]</f>
        <v>0</v>
      </c>
      <c r="O308" s="65" t="str">
        <f>TEXT(Tabla1[[#This Row],[EMISION]],"mmm")</f>
        <v>Ene</v>
      </c>
      <c r="P308" s="65" t="str">
        <f>TEXT(Tabla1[[#This Row],[EMISION]],"YYYY")</f>
        <v>2023</v>
      </c>
      <c r="Q308" s="71">
        <v>44956</v>
      </c>
      <c r="R308" s="65" t="str">
        <f>TEXT(Tabla1[[#This Row],[VENCIMIENTO]],"mmm")</f>
        <v>Feb</v>
      </c>
      <c r="S308" s="71">
        <f t="shared" si="28"/>
        <v>44963</v>
      </c>
      <c r="T308" s="72">
        <f ca="1">Tabla1[[#This Row],[EMISION]]+Tabla1[[#This Row],[PLAZO]]-TODAY()</f>
        <v>-406</v>
      </c>
      <c r="U308" s="64">
        <f t="shared" ca="1" si="29"/>
        <v>0</v>
      </c>
      <c r="V308" s="72"/>
      <c r="W308" s="73" t="s">
        <v>14307</v>
      </c>
      <c r="X308" s="65">
        <v>7</v>
      </c>
      <c r="Y308" s="65"/>
      <c r="Z308" s="65"/>
      <c r="AA308" s="65"/>
      <c r="AB308" s="65"/>
      <c r="AC308" s="65"/>
      <c r="AD308" s="65"/>
      <c r="AE308" s="65"/>
      <c r="AF308" s="68"/>
      <c r="AG308" s="66">
        <v>44957</v>
      </c>
      <c r="AH308" s="67" t="s">
        <v>14308</v>
      </c>
      <c r="AI308" s="65" t="s">
        <v>3060</v>
      </c>
      <c r="AJ308" s="65"/>
      <c r="AK308" s="97">
        <f t="shared" ca="1" si="25"/>
        <v>406</v>
      </c>
      <c r="AL308">
        <f>IFERROR(VLOOKUP(A308,'DATA CLIENTES'!B4605:I8284,6,FALSE),0)</f>
        <v>0</v>
      </c>
    </row>
    <row r="309" spans="1:38" x14ac:dyDescent="0.25">
      <c r="A309" s="93" t="s">
        <v>5473</v>
      </c>
      <c r="B309" s="68" t="s">
        <v>14378</v>
      </c>
      <c r="C309" s="65"/>
      <c r="D309" s="65"/>
      <c r="E309" s="65"/>
      <c r="F309" s="69" t="s">
        <v>14559</v>
      </c>
      <c r="G309" s="70"/>
      <c r="H309" s="65" t="s">
        <v>14585</v>
      </c>
      <c r="I309" s="75">
        <v>8291.1</v>
      </c>
      <c r="J309" s="75">
        <f>5000+3291.1</f>
        <v>8291.1</v>
      </c>
      <c r="K309" s="75"/>
      <c r="L309" s="75"/>
      <c r="M309" s="75"/>
      <c r="N309" s="75">
        <f>Tabla1[[#This Row],[IMPORTE APROBADO]]-Tabla1[[#This Row],[AMORTIZACION2]]</f>
        <v>0</v>
      </c>
      <c r="O309" s="65" t="str">
        <f>TEXT(Tabla1[[#This Row],[EMISION]],"mmm")</f>
        <v>Ene</v>
      </c>
      <c r="P309" s="65" t="str">
        <f>TEXT(Tabla1[[#This Row],[EMISION]],"YYYY")</f>
        <v>2023</v>
      </c>
      <c r="Q309" s="71">
        <v>44957</v>
      </c>
      <c r="R309" s="65" t="str">
        <f>TEXT(Tabla1[[#This Row],[VENCIMIENTO]],"mmm")</f>
        <v>Feb</v>
      </c>
      <c r="S309" s="71">
        <f t="shared" ref="S309:S316" si="30">Q309+X309</f>
        <v>44972</v>
      </c>
      <c r="T309" s="72">
        <f ca="1">Tabla1[[#This Row],[EMISION]]+Tabla1[[#This Row],[PLAZO]]-TODAY()</f>
        <v>-397</v>
      </c>
      <c r="U309" s="64">
        <f t="shared" ref="U309:U316" ca="1" si="31">IF(T309&gt;=0,$U$4,IF(AND(T309&lt;=-1,T309&gt;=-30),$U$5,IF(AND(T309&lt;=-31,T309&gt;=-60),$U$6,IF(AND(T309&lt;=-61,T309&gt;=-90),$U$7,$U$8))))</f>
        <v>0</v>
      </c>
      <c r="V309" s="72"/>
      <c r="W309" s="73" t="s">
        <v>14307</v>
      </c>
      <c r="X309" s="65">
        <v>15</v>
      </c>
      <c r="Y309" s="65"/>
      <c r="Z309" s="65"/>
      <c r="AA309" s="65"/>
      <c r="AB309" s="65"/>
      <c r="AC309" s="65"/>
      <c r="AD309" s="65"/>
      <c r="AE309" s="65"/>
      <c r="AF309" s="68"/>
      <c r="AG309" s="66">
        <v>44977</v>
      </c>
      <c r="AH309" s="67" t="s">
        <v>14308</v>
      </c>
      <c r="AI309" s="65" t="s">
        <v>3060</v>
      </c>
      <c r="AJ309" s="65"/>
      <c r="AK309" s="97">
        <f t="shared" ca="1" si="25"/>
        <v>397</v>
      </c>
      <c r="AL309">
        <f>IFERROR(VLOOKUP(A309,'DATA CLIENTES'!B4606:I8284,6,FALSE),0)</f>
        <v>0</v>
      </c>
    </row>
    <row r="310" spans="1:38" x14ac:dyDescent="0.25">
      <c r="A310" s="93" t="s">
        <v>5473</v>
      </c>
      <c r="B310" s="68" t="s">
        <v>14378</v>
      </c>
      <c r="C310" s="65"/>
      <c r="D310" s="65"/>
      <c r="E310" s="65"/>
      <c r="F310" s="69" t="s">
        <v>14559</v>
      </c>
      <c r="G310" s="70"/>
      <c r="H310" s="65" t="s">
        <v>14586</v>
      </c>
      <c r="I310" s="75">
        <v>6740</v>
      </c>
      <c r="J310" s="75">
        <f>1748.9+4991.1</f>
        <v>6740</v>
      </c>
      <c r="K310" s="75"/>
      <c r="L310" s="75"/>
      <c r="M310" s="75"/>
      <c r="N310" s="75">
        <f>Tabla1[[#This Row],[IMPORTE APROBADO]]-Tabla1[[#This Row],[AMORTIZACION2]]</f>
        <v>0</v>
      </c>
      <c r="O310" s="65" t="str">
        <f>TEXT(Tabla1[[#This Row],[EMISION]],"mmm")</f>
        <v>Ene</v>
      </c>
      <c r="P310" s="65" t="str">
        <f>TEXT(Tabla1[[#This Row],[EMISION]],"YYYY")</f>
        <v>2023</v>
      </c>
      <c r="Q310" s="71">
        <v>44957</v>
      </c>
      <c r="R310" s="65" t="str">
        <f>TEXT(Tabla1[[#This Row],[VENCIMIENTO]],"mmm")</f>
        <v>Feb</v>
      </c>
      <c r="S310" s="71">
        <f t="shared" si="30"/>
        <v>44972</v>
      </c>
      <c r="T310" s="72">
        <f ca="1">Tabla1[[#This Row],[EMISION]]+Tabla1[[#This Row],[PLAZO]]-TODAY()</f>
        <v>-397</v>
      </c>
      <c r="U310" s="64">
        <f t="shared" ca="1" si="31"/>
        <v>0</v>
      </c>
      <c r="V310" s="72"/>
      <c r="W310" s="73" t="s">
        <v>14307</v>
      </c>
      <c r="X310" s="65">
        <v>15</v>
      </c>
      <c r="Y310" s="65"/>
      <c r="Z310" s="65"/>
      <c r="AA310" s="65"/>
      <c r="AB310" s="65"/>
      <c r="AC310" s="65"/>
      <c r="AD310" s="65"/>
      <c r="AE310" s="65"/>
      <c r="AF310" s="68"/>
      <c r="AG310" s="66">
        <v>44978</v>
      </c>
      <c r="AH310" s="67" t="s">
        <v>14308</v>
      </c>
      <c r="AI310" s="65" t="s">
        <v>3060</v>
      </c>
      <c r="AJ310" s="65"/>
      <c r="AK310" s="97">
        <f t="shared" ca="1" si="25"/>
        <v>397</v>
      </c>
      <c r="AL310">
        <f>IFERROR(VLOOKUP(A310,'DATA CLIENTES'!B4607:I8284,6,FALSE),0)</f>
        <v>0</v>
      </c>
    </row>
    <row r="311" spans="1:38" x14ac:dyDescent="0.25">
      <c r="A311" s="93" t="s">
        <v>9263</v>
      </c>
      <c r="B311" s="68" t="s">
        <v>9264</v>
      </c>
      <c r="C311" s="65"/>
      <c r="D311" s="65"/>
      <c r="E311" s="65"/>
      <c r="F311" s="69" t="s">
        <v>14571</v>
      </c>
      <c r="G311" s="70"/>
      <c r="H311" s="65" t="s">
        <v>14587</v>
      </c>
      <c r="I311" s="75">
        <v>4052</v>
      </c>
      <c r="J311" s="75">
        <v>4052</v>
      </c>
      <c r="K311" s="75"/>
      <c r="L311" s="75"/>
      <c r="M311" s="75"/>
      <c r="N311" s="75">
        <f>Tabla1[[#This Row],[IMPORTE APROBADO]]-Tabla1[[#This Row],[AMORTIZACION2]]</f>
        <v>0</v>
      </c>
      <c r="O311" s="65" t="str">
        <f>TEXT(Tabla1[[#This Row],[EMISION]],"mmm")</f>
        <v>Ene</v>
      </c>
      <c r="P311" s="65" t="str">
        <f>TEXT(Tabla1[[#This Row],[EMISION]],"YYYY")</f>
        <v>2023</v>
      </c>
      <c r="Q311" s="71">
        <v>44957</v>
      </c>
      <c r="R311" s="65" t="str">
        <f>TEXT(Tabla1[[#This Row],[VENCIMIENTO]],"mmm")</f>
        <v>Feb</v>
      </c>
      <c r="S311" s="71">
        <f t="shared" si="30"/>
        <v>44972</v>
      </c>
      <c r="T311" s="72">
        <f ca="1">Tabla1[[#This Row],[EMISION]]+Tabla1[[#This Row],[PLAZO]]-TODAY()</f>
        <v>-397</v>
      </c>
      <c r="U311" s="64">
        <f t="shared" ca="1" si="31"/>
        <v>0</v>
      </c>
      <c r="V311" s="72"/>
      <c r="W311" s="73" t="s">
        <v>14307</v>
      </c>
      <c r="X311" s="65">
        <v>15</v>
      </c>
      <c r="Y311" s="65"/>
      <c r="Z311" s="65"/>
      <c r="AA311" s="65"/>
      <c r="AB311" s="65"/>
      <c r="AC311" s="65"/>
      <c r="AD311" s="65"/>
      <c r="AE311" s="65"/>
      <c r="AF311" s="68"/>
      <c r="AG311" s="66">
        <v>44978</v>
      </c>
      <c r="AH311" s="67" t="s">
        <v>14308</v>
      </c>
      <c r="AI311" s="65" t="s">
        <v>3060</v>
      </c>
      <c r="AJ311" s="65"/>
      <c r="AK311" s="97">
        <f t="shared" ca="1" si="25"/>
        <v>397</v>
      </c>
      <c r="AL311">
        <f>IFERROR(VLOOKUP(A311,'DATA CLIENTES'!B4608:I8284,6,FALSE),0)</f>
        <v>0</v>
      </c>
    </row>
    <row r="312" spans="1:38" x14ac:dyDescent="0.25">
      <c r="A312" s="93" t="s">
        <v>9366</v>
      </c>
      <c r="B312" s="68" t="s">
        <v>14333</v>
      </c>
      <c r="C312" s="65"/>
      <c r="D312" s="65"/>
      <c r="E312" s="65"/>
      <c r="F312" s="69" t="s">
        <v>14559</v>
      </c>
      <c r="G312" s="70"/>
      <c r="H312" s="65" t="s">
        <v>14588</v>
      </c>
      <c r="I312" s="75">
        <v>34849</v>
      </c>
      <c r="J312" s="75">
        <f>22000+12849</f>
        <v>34849</v>
      </c>
      <c r="K312" s="75"/>
      <c r="L312" s="75"/>
      <c r="M312" s="75"/>
      <c r="N312" s="75">
        <f>Tabla1[[#This Row],[IMPORTE APROBADO]]-Tabla1[[#This Row],[AMORTIZACION2]]</f>
        <v>0</v>
      </c>
      <c r="O312" s="65" t="str">
        <f>TEXT(Tabla1[[#This Row],[EMISION]],"mmm")</f>
        <v>Ene</v>
      </c>
      <c r="P312" s="65" t="str">
        <f>TEXT(Tabla1[[#This Row],[EMISION]],"YYYY")</f>
        <v>2023</v>
      </c>
      <c r="Q312" s="71">
        <v>44957</v>
      </c>
      <c r="R312" s="65" t="str">
        <f>TEXT(Tabla1[[#This Row],[VENCIMIENTO]],"mmm")</f>
        <v>Mar</v>
      </c>
      <c r="S312" s="71">
        <f t="shared" si="30"/>
        <v>44997</v>
      </c>
      <c r="T312" s="72">
        <f ca="1">Tabla1[[#This Row],[EMISION]]+Tabla1[[#This Row],[PLAZO]]-TODAY()</f>
        <v>-372</v>
      </c>
      <c r="U312" s="64">
        <f t="shared" ca="1" si="31"/>
        <v>0</v>
      </c>
      <c r="V312" s="72"/>
      <c r="W312" s="73" t="s">
        <v>14307</v>
      </c>
      <c r="X312" s="65">
        <v>40</v>
      </c>
      <c r="Y312" s="65"/>
      <c r="Z312" s="65"/>
      <c r="AA312" s="65"/>
      <c r="AB312" s="65"/>
      <c r="AC312" s="65"/>
      <c r="AD312" s="65"/>
      <c r="AE312" s="65"/>
      <c r="AF312" s="68"/>
      <c r="AG312" s="66">
        <v>45006</v>
      </c>
      <c r="AH312" s="67" t="s">
        <v>14308</v>
      </c>
      <c r="AI312" s="65" t="s">
        <v>3060</v>
      </c>
      <c r="AJ312" s="65"/>
      <c r="AK312" s="97">
        <f t="shared" ca="1" si="25"/>
        <v>372</v>
      </c>
      <c r="AL312">
        <f>IFERROR(VLOOKUP(A312,'DATA CLIENTES'!B4609:I8284,6,FALSE),0)</f>
        <v>0</v>
      </c>
    </row>
    <row r="313" spans="1:38" x14ac:dyDescent="0.25">
      <c r="A313" s="93" t="s">
        <v>9248</v>
      </c>
      <c r="B313" s="68" t="s">
        <v>14430</v>
      </c>
      <c r="C313" s="65"/>
      <c r="D313" s="65"/>
      <c r="E313" s="65"/>
      <c r="F313" s="69" t="s">
        <v>14571</v>
      </c>
      <c r="G313" s="70"/>
      <c r="H313" s="65" t="s">
        <v>14589</v>
      </c>
      <c r="I313" s="75">
        <v>3354.72</v>
      </c>
      <c r="J313" s="75">
        <v>3354.72</v>
      </c>
      <c r="K313" s="75"/>
      <c r="L313" s="75"/>
      <c r="M313" s="75"/>
      <c r="N313" s="75">
        <f>Tabla1[[#This Row],[IMPORTE APROBADO]]-Tabla1[[#This Row],[AMORTIZACION2]]</f>
        <v>0</v>
      </c>
      <c r="O313" s="65" t="str">
        <f>TEXT(Tabla1[[#This Row],[EMISION]],"mmm")</f>
        <v>Ene</v>
      </c>
      <c r="P313" s="65" t="str">
        <f>TEXT(Tabla1[[#This Row],[EMISION]],"YYYY")</f>
        <v>2023</v>
      </c>
      <c r="Q313" s="71">
        <v>44957</v>
      </c>
      <c r="R313" s="65" t="str">
        <f>TEXT(Tabla1[[#This Row],[VENCIMIENTO]],"mmm")</f>
        <v>Feb</v>
      </c>
      <c r="S313" s="71">
        <f t="shared" si="30"/>
        <v>44972</v>
      </c>
      <c r="T313" s="72">
        <f ca="1">Tabla1[[#This Row],[EMISION]]+Tabla1[[#This Row],[PLAZO]]-TODAY()</f>
        <v>-397</v>
      </c>
      <c r="U313" s="64">
        <f t="shared" ca="1" si="31"/>
        <v>0</v>
      </c>
      <c r="V313" s="72"/>
      <c r="W313" s="73" t="s">
        <v>14307</v>
      </c>
      <c r="X313" s="65">
        <v>15</v>
      </c>
      <c r="Y313" s="65"/>
      <c r="Z313" s="65"/>
      <c r="AA313" s="65"/>
      <c r="AB313" s="65"/>
      <c r="AC313" s="65"/>
      <c r="AD313" s="65"/>
      <c r="AE313" s="65"/>
      <c r="AF313" s="68"/>
      <c r="AG313" s="66">
        <v>44978</v>
      </c>
      <c r="AH313" s="67" t="s">
        <v>14308</v>
      </c>
      <c r="AI313" s="65" t="s">
        <v>3060</v>
      </c>
      <c r="AJ313" s="65"/>
      <c r="AK313" s="97">
        <f t="shared" ca="1" si="25"/>
        <v>397</v>
      </c>
      <c r="AL313">
        <f>IFERROR(VLOOKUP(A313,'DATA CLIENTES'!B4610:I8284,6,FALSE),0)</f>
        <v>0</v>
      </c>
    </row>
    <row r="314" spans="1:38" x14ac:dyDescent="0.25">
      <c r="A314" s="93" t="s">
        <v>9248</v>
      </c>
      <c r="B314" s="68" t="s">
        <v>14430</v>
      </c>
      <c r="C314" s="65"/>
      <c r="D314" s="65"/>
      <c r="E314" s="65"/>
      <c r="F314" s="69" t="s">
        <v>14571</v>
      </c>
      <c r="G314" s="70"/>
      <c r="H314" s="65" t="s">
        <v>14590</v>
      </c>
      <c r="I314" s="75">
        <v>2906</v>
      </c>
      <c r="J314" s="75">
        <v>2906</v>
      </c>
      <c r="K314" s="75"/>
      <c r="L314" s="75"/>
      <c r="M314" s="75"/>
      <c r="N314" s="75">
        <f>Tabla1[[#This Row],[IMPORTE APROBADO]]-Tabla1[[#This Row],[AMORTIZACION2]]</f>
        <v>0</v>
      </c>
      <c r="O314" s="65" t="str">
        <f>TEXT(Tabla1[[#This Row],[EMISION]],"mmm")</f>
        <v>Ene</v>
      </c>
      <c r="P314" s="65" t="str">
        <f>TEXT(Tabla1[[#This Row],[EMISION]],"YYYY")</f>
        <v>2023</v>
      </c>
      <c r="Q314" s="71">
        <v>44957</v>
      </c>
      <c r="R314" s="65" t="str">
        <f>TEXT(Tabla1[[#This Row],[VENCIMIENTO]],"mmm")</f>
        <v>Feb</v>
      </c>
      <c r="S314" s="71">
        <f t="shared" si="30"/>
        <v>44972</v>
      </c>
      <c r="T314" s="72">
        <f ca="1">Tabla1[[#This Row],[EMISION]]+Tabla1[[#This Row],[PLAZO]]-TODAY()</f>
        <v>-397</v>
      </c>
      <c r="U314" s="64">
        <f t="shared" ca="1" si="31"/>
        <v>0</v>
      </c>
      <c r="V314" s="72"/>
      <c r="W314" s="73" t="s">
        <v>14307</v>
      </c>
      <c r="X314" s="65">
        <v>15</v>
      </c>
      <c r="Y314" s="65"/>
      <c r="Z314" s="65"/>
      <c r="AA314" s="65"/>
      <c r="AB314" s="65"/>
      <c r="AC314" s="65"/>
      <c r="AD314" s="65"/>
      <c r="AE314" s="65"/>
      <c r="AF314" s="68"/>
      <c r="AG314" s="66">
        <v>44978</v>
      </c>
      <c r="AH314" s="67" t="s">
        <v>14308</v>
      </c>
      <c r="AI314" s="65" t="s">
        <v>3060</v>
      </c>
      <c r="AJ314" s="65"/>
      <c r="AK314" s="97">
        <f t="shared" ca="1" si="25"/>
        <v>397</v>
      </c>
      <c r="AL314">
        <f>IFERROR(VLOOKUP(A314,'DATA CLIENTES'!B4611:I8284,6,FALSE),0)</f>
        <v>0</v>
      </c>
    </row>
    <row r="315" spans="1:38" x14ac:dyDescent="0.25">
      <c r="A315" s="93" t="s">
        <v>6943</v>
      </c>
      <c r="B315" s="68" t="s">
        <v>6944</v>
      </c>
      <c r="C315" s="65"/>
      <c r="D315" s="65"/>
      <c r="E315" s="65"/>
      <c r="F315" s="69" t="s">
        <v>14559</v>
      </c>
      <c r="G315" s="70"/>
      <c r="H315" s="65" t="s">
        <v>14591</v>
      </c>
      <c r="I315" s="75">
        <v>3152.36</v>
      </c>
      <c r="J315" s="75">
        <v>3153</v>
      </c>
      <c r="K315" s="75"/>
      <c r="L315" s="75"/>
      <c r="M315" s="75"/>
      <c r="N315" s="75">
        <f>Tabla1[[#This Row],[IMPORTE APROBADO]]-Tabla1[[#This Row],[AMORTIZACION2]]</f>
        <v>-0.63999999999987267</v>
      </c>
      <c r="O315" s="65" t="str">
        <f>TEXT(Tabla1[[#This Row],[EMISION]],"mmm")</f>
        <v>Ene</v>
      </c>
      <c r="P315" s="65" t="str">
        <f>TEXT(Tabla1[[#This Row],[EMISION]],"YYYY")</f>
        <v>2023</v>
      </c>
      <c r="Q315" s="71">
        <v>44957</v>
      </c>
      <c r="R315" s="65" t="str">
        <f>TEXT(Tabla1[[#This Row],[VENCIMIENTO]],"mmm")</f>
        <v>Feb</v>
      </c>
      <c r="S315" s="71">
        <f t="shared" si="30"/>
        <v>44972</v>
      </c>
      <c r="T315" s="72">
        <f ca="1">Tabla1[[#This Row],[EMISION]]+Tabla1[[#This Row],[PLAZO]]-TODAY()</f>
        <v>-397</v>
      </c>
      <c r="U315" s="64">
        <f t="shared" ca="1" si="31"/>
        <v>0</v>
      </c>
      <c r="V315" s="72"/>
      <c r="W315" s="73" t="s">
        <v>14307</v>
      </c>
      <c r="X315" s="65">
        <v>15</v>
      </c>
      <c r="Y315" s="65"/>
      <c r="Z315" s="65"/>
      <c r="AA315" s="65"/>
      <c r="AB315" s="65"/>
      <c r="AC315" s="65"/>
      <c r="AD315" s="65"/>
      <c r="AE315" s="65"/>
      <c r="AF315" s="68"/>
      <c r="AG315" s="66">
        <v>44971</v>
      </c>
      <c r="AH315" s="67" t="s">
        <v>14308</v>
      </c>
      <c r="AI315" s="65" t="s">
        <v>3060</v>
      </c>
      <c r="AJ315" s="65"/>
      <c r="AK315" s="97">
        <f t="shared" ca="1" si="25"/>
        <v>397</v>
      </c>
      <c r="AL315">
        <f>IFERROR(VLOOKUP(A315,'DATA CLIENTES'!B4612:I8284,6,FALSE),0)</f>
        <v>0</v>
      </c>
    </row>
    <row r="316" spans="1:38" x14ac:dyDescent="0.25">
      <c r="A316" s="93" t="s">
        <v>6694</v>
      </c>
      <c r="B316" s="68" t="s">
        <v>6695</v>
      </c>
      <c r="C316" s="65"/>
      <c r="D316" s="65"/>
      <c r="E316" s="65"/>
      <c r="F316" s="69" t="s">
        <v>14559</v>
      </c>
      <c r="G316" s="70"/>
      <c r="H316" s="65" t="s">
        <v>14592</v>
      </c>
      <c r="I316" s="75">
        <v>753.36</v>
      </c>
      <c r="J316" s="75">
        <f>353.36+400</f>
        <v>753.36</v>
      </c>
      <c r="K316" s="75"/>
      <c r="L316" s="75"/>
      <c r="M316" s="75"/>
      <c r="N316" s="75">
        <f>Tabla1[[#This Row],[IMPORTE APROBADO]]-Tabla1[[#This Row],[AMORTIZACION2]]</f>
        <v>0</v>
      </c>
      <c r="O316" s="65" t="str">
        <f>TEXT(Tabla1[[#This Row],[EMISION]],"mmm")</f>
        <v>Ene</v>
      </c>
      <c r="P316" s="65" t="str">
        <f>TEXT(Tabla1[[#This Row],[EMISION]],"YYYY")</f>
        <v>2023</v>
      </c>
      <c r="Q316" s="71">
        <v>44957</v>
      </c>
      <c r="R316" s="65" t="str">
        <f>TEXT(Tabla1[[#This Row],[VENCIMIENTO]],"mmm")</f>
        <v>Feb</v>
      </c>
      <c r="S316" s="71">
        <f t="shared" si="30"/>
        <v>44972</v>
      </c>
      <c r="T316" s="72">
        <f ca="1">Tabla1[[#This Row],[EMISION]]+Tabla1[[#This Row],[PLAZO]]-TODAY()</f>
        <v>-397</v>
      </c>
      <c r="U316" s="64">
        <f t="shared" ca="1" si="31"/>
        <v>0</v>
      </c>
      <c r="V316" s="72"/>
      <c r="W316" s="73" t="s">
        <v>14307</v>
      </c>
      <c r="X316" s="65">
        <v>15</v>
      </c>
      <c r="Y316" s="65"/>
      <c r="Z316" s="65"/>
      <c r="AA316" s="65"/>
      <c r="AB316" s="65"/>
      <c r="AC316" s="65"/>
      <c r="AD316" s="65"/>
      <c r="AE316" s="65"/>
      <c r="AF316" s="68"/>
      <c r="AG316" s="66">
        <v>44978</v>
      </c>
      <c r="AH316" s="67" t="s">
        <v>14308</v>
      </c>
      <c r="AI316" s="65" t="s">
        <v>3060</v>
      </c>
      <c r="AJ316" s="65"/>
      <c r="AK316" s="97">
        <f t="shared" ca="1" si="25"/>
        <v>397</v>
      </c>
      <c r="AL316">
        <f>IFERROR(VLOOKUP(A316,'DATA CLIENTES'!B4613:I8284,6,FALSE),0)</f>
        <v>0</v>
      </c>
    </row>
    <row r="317" spans="1:38" x14ac:dyDescent="0.25">
      <c r="A317" s="93" t="s">
        <v>5547</v>
      </c>
      <c r="B317" s="68" t="s">
        <v>5548</v>
      </c>
      <c r="C317" s="65"/>
      <c r="D317" s="65"/>
      <c r="E317" s="65"/>
      <c r="F317" s="69" t="s">
        <v>14557</v>
      </c>
      <c r="G317" s="70"/>
      <c r="H317" s="65" t="s">
        <v>14593</v>
      </c>
      <c r="I317" s="75">
        <v>3799.9</v>
      </c>
      <c r="J317" s="75">
        <f>1000+1000+1000+800</f>
        <v>3800</v>
      </c>
      <c r="K317" s="75"/>
      <c r="L317" s="75"/>
      <c r="M317" s="75"/>
      <c r="N317" s="75">
        <f>Tabla1[[#This Row],[IMPORTE APROBADO]]-Tabla1[[#This Row],[AMORTIZACION2]]</f>
        <v>-9.9999999999909051E-2</v>
      </c>
      <c r="O317" s="65" t="str">
        <f>TEXT(Tabla1[[#This Row],[EMISION]],"mmm")</f>
        <v>Feb</v>
      </c>
      <c r="P317" s="65" t="str">
        <f>TEXT(Tabla1[[#This Row],[EMISION]],"YYYY")</f>
        <v>2023</v>
      </c>
      <c r="Q317" s="71">
        <v>44960</v>
      </c>
      <c r="R317" s="65" t="str">
        <f>TEXT(Tabla1[[#This Row],[VENCIMIENTO]],"mmm")</f>
        <v>Feb</v>
      </c>
      <c r="S317" s="71">
        <f t="shared" ref="S317:S327" si="32">Q317+X317</f>
        <v>44985</v>
      </c>
      <c r="T317" s="72">
        <f ca="1">Tabla1[[#This Row],[EMISION]]+Tabla1[[#This Row],[PLAZO]]-TODAY()</f>
        <v>-384</v>
      </c>
      <c r="U317" s="64">
        <f t="shared" ref="U317:U327" ca="1" si="33">IF(T317&gt;=0,$U$4,IF(AND(T317&lt;=-1,T317&gt;=-30),$U$5,IF(AND(T317&lt;=-31,T317&gt;=-60),$U$6,IF(AND(T317&lt;=-61,T317&gt;=-90),$U$7,$U$8))))</f>
        <v>0</v>
      </c>
      <c r="V317" s="72"/>
      <c r="W317" s="73" t="s">
        <v>14307</v>
      </c>
      <c r="X317" s="65">
        <v>25</v>
      </c>
      <c r="Y317" s="65"/>
      <c r="Z317" s="65"/>
      <c r="AA317" s="65"/>
      <c r="AB317" s="65"/>
      <c r="AC317" s="65"/>
      <c r="AD317" s="65"/>
      <c r="AE317" s="65"/>
      <c r="AF317" s="68"/>
      <c r="AG317" s="66">
        <v>44992</v>
      </c>
      <c r="AH317" s="67" t="s">
        <v>14308</v>
      </c>
      <c r="AI317" s="65" t="s">
        <v>3060</v>
      </c>
      <c r="AJ317" s="65"/>
      <c r="AK317" s="97">
        <f t="shared" ca="1" si="25"/>
        <v>384</v>
      </c>
      <c r="AL317">
        <f>IFERROR(VLOOKUP(A317,'DATA CLIENTES'!B4614:I8284,6,FALSE),0)</f>
        <v>0</v>
      </c>
    </row>
    <row r="318" spans="1:38" x14ac:dyDescent="0.25">
      <c r="A318" s="93" t="s">
        <v>5547</v>
      </c>
      <c r="B318" s="68" t="s">
        <v>5548</v>
      </c>
      <c r="C318" s="65"/>
      <c r="D318" s="65"/>
      <c r="E318" s="65"/>
      <c r="F318" s="69" t="s">
        <v>14559</v>
      </c>
      <c r="G318" s="70"/>
      <c r="H318" s="65" t="s">
        <v>14594</v>
      </c>
      <c r="I318" s="75">
        <v>5040.7299999999996</v>
      </c>
      <c r="J318" s="75">
        <f>1000+1000+500+600+500+500+500+440.73</f>
        <v>5040.7299999999996</v>
      </c>
      <c r="K318" s="75"/>
      <c r="L318" s="75"/>
      <c r="M318" s="75"/>
      <c r="N318" s="75">
        <f>Tabla1[[#This Row],[IMPORTE APROBADO]]-Tabla1[[#This Row],[AMORTIZACION2]]</f>
        <v>0</v>
      </c>
      <c r="O318" s="65" t="str">
        <f>TEXT(Tabla1[[#This Row],[EMISION]],"mmm")</f>
        <v>Feb</v>
      </c>
      <c r="P318" s="65" t="str">
        <f>TEXT(Tabla1[[#This Row],[EMISION]],"YYYY")</f>
        <v>2023</v>
      </c>
      <c r="Q318" s="71">
        <v>44961</v>
      </c>
      <c r="R318" s="65" t="str">
        <f>TEXT(Tabla1[[#This Row],[VENCIMIENTO]],"mmm")</f>
        <v>Mar</v>
      </c>
      <c r="S318" s="71">
        <f t="shared" si="32"/>
        <v>44986</v>
      </c>
      <c r="T318" s="72">
        <f ca="1">Tabla1[[#This Row],[EMISION]]+Tabla1[[#This Row],[PLAZO]]-TODAY()</f>
        <v>-383</v>
      </c>
      <c r="U318" s="64">
        <f t="shared" ca="1" si="33"/>
        <v>0</v>
      </c>
      <c r="V318" s="72"/>
      <c r="W318" s="73" t="s">
        <v>14307</v>
      </c>
      <c r="X318" s="65">
        <v>25</v>
      </c>
      <c r="Y318" s="65"/>
      <c r="Z318" s="65"/>
      <c r="AA318" s="65"/>
      <c r="AB318" s="65"/>
      <c r="AC318" s="65"/>
      <c r="AD318" s="65"/>
      <c r="AE318" s="65"/>
      <c r="AF318" s="68"/>
      <c r="AG318" s="66">
        <v>45043</v>
      </c>
      <c r="AH318" s="67" t="s">
        <v>14308</v>
      </c>
      <c r="AI318" s="65" t="s">
        <v>3060</v>
      </c>
      <c r="AJ318" s="65"/>
      <c r="AK318" s="97">
        <f t="shared" ca="1" si="25"/>
        <v>383</v>
      </c>
      <c r="AL318">
        <f>IFERROR(VLOOKUP(A318,'DATA CLIENTES'!B4615:I8284,6,FALSE),0)</f>
        <v>0</v>
      </c>
    </row>
    <row r="319" spans="1:38" x14ac:dyDescent="0.25">
      <c r="A319" s="93" t="s">
        <v>5547</v>
      </c>
      <c r="B319" s="68" t="s">
        <v>5548</v>
      </c>
      <c r="C319" s="65"/>
      <c r="D319" s="65"/>
      <c r="E319" s="65"/>
      <c r="F319" s="69" t="s">
        <v>14559</v>
      </c>
      <c r="G319" s="70"/>
      <c r="H319" s="65" t="s">
        <v>14595</v>
      </c>
      <c r="I319" s="75">
        <v>1834.48</v>
      </c>
      <c r="J319" s="75">
        <f>59.27+800+500+475.3</f>
        <v>1834.57</v>
      </c>
      <c r="K319" s="75"/>
      <c r="L319" s="75"/>
      <c r="M319" s="75"/>
      <c r="N319" s="75">
        <f>Tabla1[[#This Row],[IMPORTE APROBADO]]-Tabla1[[#This Row],[AMORTIZACION2]]</f>
        <v>-8.9999999999918145E-2</v>
      </c>
      <c r="O319" s="65" t="str">
        <f>TEXT(Tabla1[[#This Row],[EMISION]],"mmm")</f>
        <v>Feb</v>
      </c>
      <c r="P319" s="65" t="str">
        <f>TEXT(Tabla1[[#This Row],[EMISION]],"YYYY")</f>
        <v>2023</v>
      </c>
      <c r="Q319" s="71">
        <v>44961</v>
      </c>
      <c r="R319" s="65" t="str">
        <f>TEXT(Tabla1[[#This Row],[VENCIMIENTO]],"mmm")</f>
        <v>Mar</v>
      </c>
      <c r="S319" s="71">
        <f t="shared" si="32"/>
        <v>44986</v>
      </c>
      <c r="T319" s="72">
        <f ca="1">Tabla1[[#This Row],[EMISION]]+Tabla1[[#This Row],[PLAZO]]-TODAY()</f>
        <v>-383</v>
      </c>
      <c r="U319" s="64">
        <f t="shared" ca="1" si="33"/>
        <v>0</v>
      </c>
      <c r="V319" s="72"/>
      <c r="W319" s="73" t="s">
        <v>14307</v>
      </c>
      <c r="X319" s="65">
        <v>25</v>
      </c>
      <c r="Y319" s="65"/>
      <c r="Z319" s="65"/>
      <c r="AA319" s="65"/>
      <c r="AB319" s="65"/>
      <c r="AC319" s="65"/>
      <c r="AD319" s="65"/>
      <c r="AE319" s="65"/>
      <c r="AF319" s="68"/>
      <c r="AG319" s="66">
        <v>45089</v>
      </c>
      <c r="AH319" s="67" t="s">
        <v>14308</v>
      </c>
      <c r="AI319" s="65" t="s">
        <v>3060</v>
      </c>
      <c r="AJ319" s="65"/>
      <c r="AK319" s="97">
        <f t="shared" ca="1" si="25"/>
        <v>383</v>
      </c>
      <c r="AL319">
        <f>IFERROR(VLOOKUP(A319,'DATA CLIENTES'!B4616:I8284,6,FALSE),0)</f>
        <v>0</v>
      </c>
    </row>
    <row r="320" spans="1:38" x14ac:dyDescent="0.25">
      <c r="A320" s="93" t="s">
        <v>6507</v>
      </c>
      <c r="B320" s="68" t="s">
        <v>6508</v>
      </c>
      <c r="C320" s="65"/>
      <c r="D320" s="65"/>
      <c r="E320" s="65"/>
      <c r="F320" s="69" t="s">
        <v>14557</v>
      </c>
      <c r="G320" s="70"/>
      <c r="H320" s="65" t="s">
        <v>14596</v>
      </c>
      <c r="I320" s="75">
        <v>14281</v>
      </c>
      <c r="J320" s="75">
        <f>1099+10000+3182</f>
        <v>14281</v>
      </c>
      <c r="K320" s="75"/>
      <c r="L320" s="75"/>
      <c r="M320" s="75"/>
      <c r="N320" s="75">
        <f>Tabla1[[#This Row],[IMPORTE APROBADO]]-Tabla1[[#This Row],[AMORTIZACION2]]</f>
        <v>0</v>
      </c>
      <c r="O320" s="65" t="str">
        <f>TEXT(Tabla1[[#This Row],[EMISION]],"mmm")</f>
        <v>Feb</v>
      </c>
      <c r="P320" s="65" t="str">
        <f>TEXT(Tabla1[[#This Row],[EMISION]],"YYYY")</f>
        <v>2023</v>
      </c>
      <c r="Q320" s="71">
        <v>44961</v>
      </c>
      <c r="R320" s="65" t="str">
        <f>TEXT(Tabla1[[#This Row],[VENCIMIENTO]],"mmm")</f>
        <v>Feb</v>
      </c>
      <c r="S320" s="71">
        <f t="shared" si="32"/>
        <v>44976</v>
      </c>
      <c r="T320" s="72">
        <f ca="1">Tabla1[[#This Row],[EMISION]]+Tabla1[[#This Row],[PLAZO]]-TODAY()</f>
        <v>-393</v>
      </c>
      <c r="U320" s="64">
        <f t="shared" ca="1" si="33"/>
        <v>0</v>
      </c>
      <c r="V320" s="72"/>
      <c r="W320" s="73" t="s">
        <v>14307</v>
      </c>
      <c r="X320" s="65">
        <v>15</v>
      </c>
      <c r="Y320" s="65"/>
      <c r="Z320" s="65"/>
      <c r="AA320" s="65"/>
      <c r="AB320" s="65"/>
      <c r="AC320" s="65"/>
      <c r="AD320" s="65"/>
      <c r="AE320" s="65"/>
      <c r="AF320" s="68"/>
      <c r="AG320" s="66">
        <v>44984</v>
      </c>
      <c r="AH320" s="67" t="s">
        <v>14308</v>
      </c>
      <c r="AI320" s="65" t="s">
        <v>3060</v>
      </c>
      <c r="AJ320" s="65"/>
      <c r="AK320" s="97">
        <f t="shared" ca="1" si="25"/>
        <v>393</v>
      </c>
      <c r="AL320">
        <f>IFERROR(VLOOKUP(A320,'DATA CLIENTES'!B4617:I8284,6,FALSE),0)</f>
        <v>0</v>
      </c>
    </row>
    <row r="321" spans="1:38" x14ac:dyDescent="0.25">
      <c r="A321" s="93" t="s">
        <v>6575</v>
      </c>
      <c r="B321" s="68" t="s">
        <v>6576</v>
      </c>
      <c r="C321" s="65"/>
      <c r="D321" s="65"/>
      <c r="E321" s="65"/>
      <c r="F321" s="69" t="s">
        <v>14559</v>
      </c>
      <c r="G321" s="70"/>
      <c r="H321" s="65" t="s">
        <v>14597</v>
      </c>
      <c r="I321" s="75">
        <v>5342.69</v>
      </c>
      <c r="J321" s="75">
        <f>5250+92.7</f>
        <v>5342.7</v>
      </c>
      <c r="K321" s="75"/>
      <c r="L321" s="75"/>
      <c r="M321" s="75"/>
      <c r="N321" s="75">
        <f>Tabla1[[#This Row],[IMPORTE APROBADO]]-Tabla1[[#This Row],[AMORTIZACION2]]</f>
        <v>-1.0000000000218279E-2</v>
      </c>
      <c r="O321" s="65" t="str">
        <f>TEXT(Tabla1[[#This Row],[EMISION]],"mmm")</f>
        <v>Feb</v>
      </c>
      <c r="P321" s="65" t="str">
        <f>TEXT(Tabla1[[#This Row],[EMISION]],"YYYY")</f>
        <v>2023</v>
      </c>
      <c r="Q321" s="71">
        <v>44961</v>
      </c>
      <c r="R321" s="65" t="str">
        <f>TEXT(Tabla1[[#This Row],[VENCIMIENTO]],"mmm")</f>
        <v>Mar</v>
      </c>
      <c r="S321" s="71">
        <f t="shared" si="32"/>
        <v>44986</v>
      </c>
      <c r="T321" s="72">
        <f ca="1">Tabla1[[#This Row],[EMISION]]+Tabla1[[#This Row],[PLAZO]]-TODAY()</f>
        <v>-383</v>
      </c>
      <c r="U321" s="64">
        <f t="shared" ca="1" si="33"/>
        <v>0</v>
      </c>
      <c r="V321" s="72"/>
      <c r="W321" s="73" t="s">
        <v>14307</v>
      </c>
      <c r="X321" s="65">
        <v>25</v>
      </c>
      <c r="Y321" s="65"/>
      <c r="Z321" s="65"/>
      <c r="AA321" s="65"/>
      <c r="AB321" s="65"/>
      <c r="AC321" s="65"/>
      <c r="AD321" s="65"/>
      <c r="AE321" s="65"/>
      <c r="AF321" s="68"/>
      <c r="AG321" s="66">
        <v>45003</v>
      </c>
      <c r="AH321" s="67" t="s">
        <v>14308</v>
      </c>
      <c r="AI321" s="65" t="s">
        <v>3060</v>
      </c>
      <c r="AJ321" s="65"/>
      <c r="AK321" s="97">
        <f t="shared" ca="1" si="25"/>
        <v>383</v>
      </c>
      <c r="AL321">
        <f>IFERROR(VLOOKUP(A321,'DATA CLIENTES'!B4618:I8284,6,FALSE),0)</f>
        <v>0</v>
      </c>
    </row>
    <row r="322" spans="1:38" x14ac:dyDescent="0.25">
      <c r="A322" s="93" t="s">
        <v>5294</v>
      </c>
      <c r="B322" s="68" t="s">
        <v>14306</v>
      </c>
      <c r="C322" s="65"/>
      <c r="D322" s="65"/>
      <c r="E322" s="65"/>
      <c r="F322" s="69" t="s">
        <v>14559</v>
      </c>
      <c r="G322" s="70"/>
      <c r="H322" s="65" t="s">
        <v>14598</v>
      </c>
      <c r="I322" s="75">
        <v>14085</v>
      </c>
      <c r="J322" s="75">
        <f>14085</f>
        <v>14085</v>
      </c>
      <c r="K322" s="75"/>
      <c r="L322" s="75"/>
      <c r="M322" s="75"/>
      <c r="N322" s="75">
        <f>Tabla1[[#This Row],[IMPORTE APROBADO]]-Tabla1[[#This Row],[AMORTIZACION2]]</f>
        <v>0</v>
      </c>
      <c r="O322" s="65" t="str">
        <f>TEXT(Tabla1[[#This Row],[EMISION]],"mmm")</f>
        <v>Feb</v>
      </c>
      <c r="P322" s="65" t="str">
        <f>TEXT(Tabla1[[#This Row],[EMISION]],"YYYY")</f>
        <v>2023</v>
      </c>
      <c r="Q322" s="71">
        <v>44965</v>
      </c>
      <c r="R322" s="65" t="str">
        <f>TEXT(Tabla1[[#This Row],[VENCIMIENTO]],"mmm")</f>
        <v>Mar</v>
      </c>
      <c r="S322" s="71">
        <f t="shared" si="32"/>
        <v>44995</v>
      </c>
      <c r="T322" s="72">
        <f ca="1">Tabla1[[#This Row],[EMISION]]+Tabla1[[#This Row],[PLAZO]]-TODAY()</f>
        <v>-374</v>
      </c>
      <c r="U322" s="64">
        <f t="shared" ca="1" si="33"/>
        <v>0</v>
      </c>
      <c r="V322" s="72"/>
      <c r="W322" s="73" t="s">
        <v>14307</v>
      </c>
      <c r="X322" s="65">
        <v>30</v>
      </c>
      <c r="Y322" s="65"/>
      <c r="Z322" s="65"/>
      <c r="AA322" s="65"/>
      <c r="AB322" s="65"/>
      <c r="AC322" s="65"/>
      <c r="AD322" s="65"/>
      <c r="AE322" s="65"/>
      <c r="AF322" s="68"/>
      <c r="AG322" s="66">
        <v>44995</v>
      </c>
      <c r="AH322" s="67" t="s">
        <v>14308</v>
      </c>
      <c r="AI322" s="65" t="s">
        <v>3060</v>
      </c>
      <c r="AJ322" s="65"/>
      <c r="AK322" s="97">
        <f t="shared" ca="1" si="25"/>
        <v>374</v>
      </c>
      <c r="AL322">
        <f>IFERROR(VLOOKUP(A322,'DATA CLIENTES'!B4619:I8284,6,FALSE),0)</f>
        <v>0</v>
      </c>
    </row>
    <row r="323" spans="1:38" x14ac:dyDescent="0.25">
      <c r="A323" s="93" t="s">
        <v>5294</v>
      </c>
      <c r="B323" s="68" t="s">
        <v>14306</v>
      </c>
      <c r="C323" s="65"/>
      <c r="D323" s="65"/>
      <c r="E323" s="65"/>
      <c r="F323" s="69" t="s">
        <v>14559</v>
      </c>
      <c r="G323" s="70"/>
      <c r="H323" s="65" t="s">
        <v>14599</v>
      </c>
      <c r="I323" s="75">
        <v>14217.5</v>
      </c>
      <c r="J323" s="75">
        <v>14217.5</v>
      </c>
      <c r="K323" s="75"/>
      <c r="L323" s="75"/>
      <c r="M323" s="75"/>
      <c r="N323" s="75">
        <f>Tabla1[[#This Row],[IMPORTE APROBADO]]-Tabla1[[#This Row],[AMORTIZACION2]]</f>
        <v>0</v>
      </c>
      <c r="O323" s="65" t="str">
        <f>TEXT(Tabla1[[#This Row],[EMISION]],"mmm")</f>
        <v>Feb</v>
      </c>
      <c r="P323" s="65" t="str">
        <f>TEXT(Tabla1[[#This Row],[EMISION]],"YYYY")</f>
        <v>2023</v>
      </c>
      <c r="Q323" s="71">
        <v>44965</v>
      </c>
      <c r="R323" s="65" t="str">
        <f>TEXT(Tabla1[[#This Row],[VENCIMIENTO]],"mmm")</f>
        <v>Mar</v>
      </c>
      <c r="S323" s="71">
        <f t="shared" si="32"/>
        <v>45010</v>
      </c>
      <c r="T323" s="72">
        <f ca="1">Tabla1[[#This Row],[EMISION]]+Tabla1[[#This Row],[PLAZO]]-TODAY()</f>
        <v>-359</v>
      </c>
      <c r="U323" s="64">
        <f t="shared" ca="1" si="33"/>
        <v>0</v>
      </c>
      <c r="V323" s="72"/>
      <c r="W323" s="73" t="s">
        <v>14307</v>
      </c>
      <c r="X323" s="65">
        <v>45</v>
      </c>
      <c r="Y323" s="65"/>
      <c r="Z323" s="65"/>
      <c r="AA323" s="65"/>
      <c r="AB323" s="65"/>
      <c r="AC323" s="65"/>
      <c r="AD323" s="65"/>
      <c r="AE323" s="65"/>
      <c r="AF323" s="68"/>
      <c r="AG323" s="66">
        <v>45015</v>
      </c>
      <c r="AH323" s="67" t="s">
        <v>14308</v>
      </c>
      <c r="AI323" s="65" t="s">
        <v>3060</v>
      </c>
      <c r="AJ323" s="65"/>
      <c r="AK323" s="97">
        <f t="shared" ca="1" si="25"/>
        <v>359</v>
      </c>
      <c r="AL323">
        <f>IFERROR(VLOOKUP(A323,'DATA CLIENTES'!B4620:I8284,6,FALSE),0)</f>
        <v>0</v>
      </c>
    </row>
    <row r="324" spans="1:38" x14ac:dyDescent="0.25">
      <c r="A324" s="93" t="s">
        <v>7188</v>
      </c>
      <c r="B324" s="68" t="s">
        <v>7189</v>
      </c>
      <c r="C324" s="65"/>
      <c r="D324" s="65"/>
      <c r="E324" s="65"/>
      <c r="F324" s="69" t="s">
        <v>14559</v>
      </c>
      <c r="G324" s="70"/>
      <c r="H324" s="65" t="s">
        <v>14600</v>
      </c>
      <c r="I324" s="75">
        <v>1327.0170480000002</v>
      </c>
      <c r="J324" s="75">
        <v>1327.1</v>
      </c>
      <c r="K324" s="75"/>
      <c r="L324" s="75"/>
      <c r="M324" s="75"/>
      <c r="N324" s="75">
        <f>Tabla1[[#This Row],[IMPORTE APROBADO]]-Tabla1[[#This Row],[AMORTIZACION2]]</f>
        <v>-8.2951999999750115E-2</v>
      </c>
      <c r="O324" s="65" t="str">
        <f>TEXT(Tabla1[[#This Row],[EMISION]],"mmm")</f>
        <v>Feb</v>
      </c>
      <c r="P324" s="65" t="str">
        <f>TEXT(Tabla1[[#This Row],[EMISION]],"YYYY")</f>
        <v>2023</v>
      </c>
      <c r="Q324" s="71">
        <v>44965</v>
      </c>
      <c r="R324" s="65" t="str">
        <f>TEXT(Tabla1[[#This Row],[VENCIMIENTO]],"mmm")</f>
        <v>Feb</v>
      </c>
      <c r="S324" s="71">
        <f t="shared" si="32"/>
        <v>44980</v>
      </c>
      <c r="T324" s="72">
        <f ca="1">Tabla1[[#This Row],[EMISION]]+Tabla1[[#This Row],[PLAZO]]-TODAY()</f>
        <v>-389</v>
      </c>
      <c r="U324" s="64">
        <f t="shared" ca="1" si="33"/>
        <v>0</v>
      </c>
      <c r="V324" s="72"/>
      <c r="W324" s="73" t="s">
        <v>14307</v>
      </c>
      <c r="X324" s="65">
        <v>15</v>
      </c>
      <c r="Y324" s="65"/>
      <c r="Z324" s="65"/>
      <c r="AA324" s="65"/>
      <c r="AB324" s="65"/>
      <c r="AC324" s="65"/>
      <c r="AD324" s="65"/>
      <c r="AE324" s="65"/>
      <c r="AF324" s="68"/>
      <c r="AG324" s="66">
        <v>45000</v>
      </c>
      <c r="AH324" s="67" t="s">
        <v>14308</v>
      </c>
      <c r="AI324" s="65" t="s">
        <v>3060</v>
      </c>
      <c r="AJ324" s="65"/>
      <c r="AK324" s="97">
        <f t="shared" ca="1" si="25"/>
        <v>389</v>
      </c>
      <c r="AL324">
        <f>IFERROR(VLOOKUP(A324,'DATA CLIENTES'!B4621:I8284,6,FALSE),0)</f>
        <v>0</v>
      </c>
    </row>
    <row r="325" spans="1:38" x14ac:dyDescent="0.25">
      <c r="A325" s="93" t="s">
        <v>10005</v>
      </c>
      <c r="B325" s="68" t="s">
        <v>14443</v>
      </c>
      <c r="C325" s="65"/>
      <c r="D325" s="65"/>
      <c r="E325" s="65"/>
      <c r="F325" s="69" t="s">
        <v>14559</v>
      </c>
      <c r="G325" s="70"/>
      <c r="H325" s="65" t="s">
        <v>14601</v>
      </c>
      <c r="I325" s="75">
        <v>1300.7424000000001</v>
      </c>
      <c r="J325" s="75">
        <v>1301</v>
      </c>
      <c r="K325" s="75"/>
      <c r="L325" s="75"/>
      <c r="M325" s="75"/>
      <c r="N325" s="75">
        <f>Tabla1[[#This Row],[IMPORTE APROBADO]]-Tabla1[[#This Row],[AMORTIZACION2]]</f>
        <v>-0.25759999999991123</v>
      </c>
      <c r="O325" s="65" t="str">
        <f>TEXT(Tabla1[[#This Row],[EMISION]],"mmm")</f>
        <v>Feb</v>
      </c>
      <c r="P325" s="65" t="str">
        <f>TEXT(Tabla1[[#This Row],[EMISION]],"YYYY")</f>
        <v>2023</v>
      </c>
      <c r="Q325" s="71">
        <v>44965</v>
      </c>
      <c r="R325" s="65" t="str">
        <f>TEXT(Tabla1[[#This Row],[VENCIMIENTO]],"mmm")</f>
        <v>Feb</v>
      </c>
      <c r="S325" s="71">
        <f t="shared" si="32"/>
        <v>44972</v>
      </c>
      <c r="T325" s="72">
        <f ca="1">Tabla1[[#This Row],[EMISION]]+Tabla1[[#This Row],[PLAZO]]-TODAY()</f>
        <v>-397</v>
      </c>
      <c r="U325" s="64">
        <f t="shared" ca="1" si="33"/>
        <v>0</v>
      </c>
      <c r="V325" s="72"/>
      <c r="W325" s="73" t="s">
        <v>14307</v>
      </c>
      <c r="X325" s="65">
        <v>7</v>
      </c>
      <c r="Y325" s="65"/>
      <c r="Z325" s="65"/>
      <c r="AA325" s="65"/>
      <c r="AB325" s="65"/>
      <c r="AC325" s="65"/>
      <c r="AD325" s="65"/>
      <c r="AE325" s="65"/>
      <c r="AF325" s="68"/>
      <c r="AG325" s="66">
        <v>44974</v>
      </c>
      <c r="AH325" s="67" t="s">
        <v>14308</v>
      </c>
      <c r="AI325" s="65" t="s">
        <v>3060</v>
      </c>
      <c r="AJ325" s="65"/>
      <c r="AK325" s="97">
        <f t="shared" ca="1" si="25"/>
        <v>397</v>
      </c>
      <c r="AL325">
        <f>IFERROR(VLOOKUP(A325,'DATA CLIENTES'!B4622:I8284,6,FALSE),0)</f>
        <v>0</v>
      </c>
    </row>
    <row r="326" spans="1:38" x14ac:dyDescent="0.25">
      <c r="A326" s="93" t="s">
        <v>9809</v>
      </c>
      <c r="B326" s="68" t="s">
        <v>14329</v>
      </c>
      <c r="C326" s="65"/>
      <c r="D326" s="65"/>
      <c r="E326" s="65"/>
      <c r="F326" s="69" t="s">
        <v>14559</v>
      </c>
      <c r="G326" s="70"/>
      <c r="H326" s="65" t="s">
        <v>14602</v>
      </c>
      <c r="I326" s="75">
        <v>1747.054916</v>
      </c>
      <c r="J326" s="75">
        <f>1747.05</f>
        <v>1747.05</v>
      </c>
      <c r="K326" s="75"/>
      <c r="L326" s="75"/>
      <c r="M326" s="75"/>
      <c r="N326" s="75">
        <f>Tabla1[[#This Row],[IMPORTE APROBADO]]-Tabla1[[#This Row],[AMORTIZACION2]]</f>
        <v>4.9160000000938453E-3</v>
      </c>
      <c r="O326" s="65" t="str">
        <f>TEXT(Tabla1[[#This Row],[EMISION]],"mmm")</f>
        <v>Feb</v>
      </c>
      <c r="P326" s="65" t="str">
        <f>TEXT(Tabla1[[#This Row],[EMISION]],"YYYY")</f>
        <v>2023</v>
      </c>
      <c r="Q326" s="71">
        <v>44965</v>
      </c>
      <c r="R326" s="65" t="str">
        <f>TEXT(Tabla1[[#This Row],[VENCIMIENTO]],"mmm")</f>
        <v>Feb</v>
      </c>
      <c r="S326" s="71">
        <f t="shared" si="32"/>
        <v>44980</v>
      </c>
      <c r="T326" s="72">
        <f ca="1">Tabla1[[#This Row],[EMISION]]+Tabla1[[#This Row],[PLAZO]]-TODAY()</f>
        <v>-389</v>
      </c>
      <c r="U326" s="64">
        <f t="shared" ca="1" si="33"/>
        <v>0</v>
      </c>
      <c r="V326" s="72"/>
      <c r="W326" s="73" t="s">
        <v>14307</v>
      </c>
      <c r="X326" s="65">
        <v>15</v>
      </c>
      <c r="Y326" s="65"/>
      <c r="Z326" s="65"/>
      <c r="AA326" s="65"/>
      <c r="AB326" s="65"/>
      <c r="AC326" s="65"/>
      <c r="AD326" s="65"/>
      <c r="AE326" s="65"/>
      <c r="AF326" s="68"/>
      <c r="AG326" s="66">
        <v>44981</v>
      </c>
      <c r="AH326" s="67" t="s">
        <v>14308</v>
      </c>
      <c r="AI326" s="65" t="s">
        <v>3060</v>
      </c>
      <c r="AJ326" s="65"/>
      <c r="AK326" s="97">
        <f t="shared" ca="1" si="25"/>
        <v>389</v>
      </c>
      <c r="AL326">
        <f>IFERROR(VLOOKUP(A326,'DATA CLIENTES'!B4623:I8284,6,FALSE),0)</f>
        <v>0</v>
      </c>
    </row>
    <row r="327" spans="1:38" x14ac:dyDescent="0.25">
      <c r="A327" s="93" t="s">
        <v>4620</v>
      </c>
      <c r="B327" s="68" t="s">
        <v>4621</v>
      </c>
      <c r="C327" s="65"/>
      <c r="D327" s="65"/>
      <c r="E327" s="65"/>
      <c r="F327" s="69" t="s">
        <v>7000</v>
      </c>
      <c r="G327" s="70"/>
      <c r="H327" s="65" t="s">
        <v>14603</v>
      </c>
      <c r="I327" s="75">
        <v>795.57996000000014</v>
      </c>
      <c r="J327" s="75">
        <f>795.58</f>
        <v>795.58</v>
      </c>
      <c r="K327" s="75"/>
      <c r="L327" s="75"/>
      <c r="M327" s="75"/>
      <c r="N327" s="75">
        <f>Tabla1[[#This Row],[IMPORTE APROBADO]]-Tabla1[[#This Row],[AMORTIZACION2]]</f>
        <v>-3.9999999899009708E-5</v>
      </c>
      <c r="O327" s="65" t="str">
        <f>TEXT(Tabla1[[#This Row],[EMISION]],"mmm")</f>
        <v>Feb</v>
      </c>
      <c r="P327" s="65" t="str">
        <f>TEXT(Tabla1[[#This Row],[EMISION]],"YYYY")</f>
        <v>2023</v>
      </c>
      <c r="Q327" s="71">
        <v>44966</v>
      </c>
      <c r="R327" s="65" t="str">
        <f>TEXT(Tabla1[[#This Row],[VENCIMIENTO]],"mmm")</f>
        <v>Abr</v>
      </c>
      <c r="S327" s="71">
        <f t="shared" si="32"/>
        <v>45026</v>
      </c>
      <c r="T327" s="72">
        <f ca="1">Tabla1[[#This Row],[EMISION]]+Tabla1[[#This Row],[PLAZO]]-TODAY()</f>
        <v>-343</v>
      </c>
      <c r="U327" s="64">
        <f t="shared" ca="1" si="33"/>
        <v>0</v>
      </c>
      <c r="V327" s="72" t="s">
        <v>14477</v>
      </c>
      <c r="W327" s="73" t="s">
        <v>14307</v>
      </c>
      <c r="X327" s="65">
        <v>60</v>
      </c>
      <c r="Y327" s="65"/>
      <c r="Z327" s="65"/>
      <c r="AA327" s="65"/>
      <c r="AB327" s="65"/>
      <c r="AC327" s="65"/>
      <c r="AD327" s="65"/>
      <c r="AE327" s="65"/>
      <c r="AF327" s="68"/>
      <c r="AG327" s="66">
        <v>45028</v>
      </c>
      <c r="AH327" s="67" t="s">
        <v>14308</v>
      </c>
      <c r="AI327" s="65" t="s">
        <v>3060</v>
      </c>
      <c r="AJ327" s="65"/>
      <c r="AK327" s="97">
        <f t="shared" ca="1" si="25"/>
        <v>343</v>
      </c>
      <c r="AL327">
        <f>IFERROR(VLOOKUP(A327,'DATA CLIENTES'!B4624:I8284,6,FALSE),0)</f>
        <v>0</v>
      </c>
    </row>
    <row r="328" spans="1:38" x14ac:dyDescent="0.25">
      <c r="A328" s="93" t="s">
        <v>5470</v>
      </c>
      <c r="B328" s="68" t="s">
        <v>5471</v>
      </c>
      <c r="C328" s="65"/>
      <c r="D328" s="65"/>
      <c r="E328" s="65"/>
      <c r="F328" s="69" t="s">
        <v>14557</v>
      </c>
      <c r="G328" s="70"/>
      <c r="H328" s="65" t="s">
        <v>14604</v>
      </c>
      <c r="I328" s="75">
        <v>1066.0605869999999</v>
      </c>
      <c r="J328" s="75">
        <v>1066.06</v>
      </c>
      <c r="K328" s="75"/>
      <c r="L328" s="75"/>
      <c r="M328" s="75"/>
      <c r="N328" s="75">
        <f>Tabla1[[#This Row],[IMPORTE APROBADO]]-Tabla1[[#This Row],[AMORTIZACION2]]</f>
        <v>5.8699999999589636E-4</v>
      </c>
      <c r="O328" s="65" t="str">
        <f>TEXT(Tabla1[[#This Row],[EMISION]],"mmm")</f>
        <v>Feb</v>
      </c>
      <c r="P328" s="65" t="str">
        <f>TEXT(Tabla1[[#This Row],[EMISION]],"YYYY")</f>
        <v>2023</v>
      </c>
      <c r="Q328" s="71">
        <v>44966</v>
      </c>
      <c r="R328" s="65" t="str">
        <f>TEXT(Tabla1[[#This Row],[VENCIMIENTO]],"mmm")</f>
        <v>Feb</v>
      </c>
      <c r="S328" s="71">
        <f t="shared" ref="S328:S338" si="34">Q328+X328</f>
        <v>44973</v>
      </c>
      <c r="T328" s="72">
        <f ca="1">Tabla1[[#This Row],[EMISION]]+Tabla1[[#This Row],[PLAZO]]-TODAY()</f>
        <v>-396</v>
      </c>
      <c r="U328" s="64">
        <f t="shared" ref="U328:U338" ca="1" si="35">IF(T328&gt;=0,$U$4,IF(AND(T328&lt;=-1,T328&gt;=-30),$U$5,IF(AND(T328&lt;=-31,T328&gt;=-60),$U$6,IF(AND(T328&lt;=-61,T328&gt;=-90),$U$7,$U$8))))</f>
        <v>0</v>
      </c>
      <c r="V328" s="72"/>
      <c r="W328" s="73" t="s">
        <v>14307</v>
      </c>
      <c r="X328" s="65">
        <v>7</v>
      </c>
      <c r="Y328" s="65"/>
      <c r="Z328" s="65"/>
      <c r="AA328" s="65"/>
      <c r="AB328" s="65"/>
      <c r="AC328" s="65"/>
      <c r="AD328" s="65"/>
      <c r="AE328" s="65"/>
      <c r="AF328" s="68"/>
      <c r="AG328" s="66">
        <v>44975</v>
      </c>
      <c r="AH328" s="67" t="s">
        <v>14308</v>
      </c>
      <c r="AI328" s="65" t="s">
        <v>3060</v>
      </c>
      <c r="AJ328" s="65"/>
      <c r="AK328" s="97">
        <f t="shared" ca="1" si="25"/>
        <v>396</v>
      </c>
      <c r="AL328">
        <f>IFERROR(VLOOKUP(A328,'DATA CLIENTES'!B4625:I8284,6,FALSE),0)</f>
        <v>0</v>
      </c>
    </row>
    <row r="329" spans="1:38" x14ac:dyDescent="0.25">
      <c r="A329" s="93" t="s">
        <v>7452</v>
      </c>
      <c r="B329" s="68" t="s">
        <v>7453</v>
      </c>
      <c r="C329" s="65"/>
      <c r="D329" s="65"/>
      <c r="E329" s="65"/>
      <c r="F329" s="69" t="s">
        <v>7000</v>
      </c>
      <c r="G329" s="70"/>
      <c r="H329" s="65" t="s">
        <v>14605</v>
      </c>
      <c r="I329" s="75">
        <v>4756.05</v>
      </c>
      <c r="J329" s="75">
        <f>756.05+2500+1500</f>
        <v>4756.05</v>
      </c>
      <c r="K329" s="75"/>
      <c r="L329" s="75"/>
      <c r="M329" s="75"/>
      <c r="N329" s="75">
        <f>Tabla1[[#This Row],[IMPORTE APROBADO]]-Tabla1[[#This Row],[AMORTIZACION2]]</f>
        <v>0</v>
      </c>
      <c r="O329" s="65" t="str">
        <f>TEXT(Tabla1[[#This Row],[EMISION]],"mmm")</f>
        <v>Feb</v>
      </c>
      <c r="P329" s="65" t="str">
        <f>TEXT(Tabla1[[#This Row],[EMISION]],"YYYY")</f>
        <v>2023</v>
      </c>
      <c r="Q329" s="71">
        <v>44967</v>
      </c>
      <c r="R329" s="65" t="str">
        <f>TEXT(Tabla1[[#This Row],[VENCIMIENTO]],"mmm")</f>
        <v>Abr</v>
      </c>
      <c r="S329" s="71">
        <f t="shared" si="34"/>
        <v>45027</v>
      </c>
      <c r="T329" s="72">
        <f ca="1">Tabla1[[#This Row],[EMISION]]+Tabla1[[#This Row],[PLAZO]]-TODAY()</f>
        <v>-342</v>
      </c>
      <c r="U329" s="64">
        <f t="shared" ca="1" si="35"/>
        <v>0</v>
      </c>
      <c r="V329" s="72" t="s">
        <v>14477</v>
      </c>
      <c r="W329" s="73" t="s">
        <v>14307</v>
      </c>
      <c r="X329" s="65">
        <v>60</v>
      </c>
      <c r="Y329" s="65"/>
      <c r="Z329" s="65"/>
      <c r="AA329" s="65"/>
      <c r="AB329" s="65"/>
      <c r="AC329" s="65"/>
      <c r="AD329" s="65"/>
      <c r="AE329" s="65"/>
      <c r="AF329" s="68"/>
      <c r="AG329" s="66">
        <v>45063</v>
      </c>
      <c r="AH329" s="67" t="s">
        <v>14308</v>
      </c>
      <c r="AI329" s="65" t="s">
        <v>3060</v>
      </c>
      <c r="AJ329" s="65"/>
      <c r="AK329" s="97">
        <f t="shared" ca="1" si="25"/>
        <v>342</v>
      </c>
      <c r="AL329">
        <f>IFERROR(VLOOKUP(A329,'DATA CLIENTES'!B4626:I8284,6,FALSE),0)</f>
        <v>0</v>
      </c>
    </row>
    <row r="330" spans="1:38" x14ac:dyDescent="0.25">
      <c r="A330" s="93" t="s">
        <v>6875</v>
      </c>
      <c r="B330" s="68" t="s">
        <v>6876</v>
      </c>
      <c r="C330" s="65"/>
      <c r="D330" s="65"/>
      <c r="E330" s="65"/>
      <c r="F330" s="69" t="s">
        <v>14559</v>
      </c>
      <c r="G330" s="70"/>
      <c r="H330" s="65" t="s">
        <v>14606</v>
      </c>
      <c r="I330" s="75">
        <v>1629.27613</v>
      </c>
      <c r="J330" s="75">
        <f>500+306+423+300+100.28</f>
        <v>1629.28</v>
      </c>
      <c r="K330" s="75"/>
      <c r="L330" s="75"/>
      <c r="M330" s="75"/>
      <c r="N330" s="75">
        <f>Tabla1[[#This Row],[IMPORTE APROBADO]]-Tabla1[[#This Row],[AMORTIZACION2]]</f>
        <v>-3.8700000000062573E-3</v>
      </c>
      <c r="O330" s="65" t="str">
        <f>TEXT(Tabla1[[#This Row],[EMISION]],"mmm")</f>
        <v>Feb</v>
      </c>
      <c r="P330" s="65" t="str">
        <f>TEXT(Tabla1[[#This Row],[EMISION]],"YYYY")</f>
        <v>2023</v>
      </c>
      <c r="Q330" s="71">
        <v>44970</v>
      </c>
      <c r="R330" s="65" t="str">
        <f>TEXT(Tabla1[[#This Row],[VENCIMIENTO]],"mmm")</f>
        <v>Feb</v>
      </c>
      <c r="S330" s="71">
        <f t="shared" si="34"/>
        <v>44985</v>
      </c>
      <c r="T330" s="72">
        <f ca="1">Tabla1[[#This Row],[EMISION]]+Tabla1[[#This Row],[PLAZO]]-TODAY()</f>
        <v>-384</v>
      </c>
      <c r="U330" s="64">
        <f t="shared" ca="1" si="35"/>
        <v>0</v>
      </c>
      <c r="V330" s="72"/>
      <c r="W330" s="73" t="s">
        <v>14307</v>
      </c>
      <c r="X330" s="65">
        <v>15</v>
      </c>
      <c r="Y330" s="65"/>
      <c r="Z330" s="65"/>
      <c r="AA330" s="65"/>
      <c r="AB330" s="65"/>
      <c r="AC330" s="65"/>
      <c r="AD330" s="65"/>
      <c r="AE330" s="65"/>
      <c r="AF330" s="68"/>
      <c r="AG330" s="66">
        <v>44996</v>
      </c>
      <c r="AH330" s="67" t="s">
        <v>14308</v>
      </c>
      <c r="AI330" s="65" t="s">
        <v>3060</v>
      </c>
      <c r="AJ330" s="65"/>
      <c r="AK330" s="97">
        <f t="shared" ca="1" si="25"/>
        <v>384</v>
      </c>
      <c r="AL330">
        <f>IFERROR(VLOOKUP(A330,'DATA CLIENTES'!B4627:I8284,6,FALSE),0)</f>
        <v>0</v>
      </c>
    </row>
    <row r="331" spans="1:38" x14ac:dyDescent="0.25">
      <c r="A331" s="93" t="s">
        <v>6507</v>
      </c>
      <c r="B331" s="68" t="s">
        <v>6508</v>
      </c>
      <c r="C331" s="65"/>
      <c r="D331" s="65"/>
      <c r="E331" s="65"/>
      <c r="F331" s="69" t="s">
        <v>14559</v>
      </c>
      <c r="G331" s="70"/>
      <c r="H331" s="65" t="s">
        <v>14607</v>
      </c>
      <c r="I331" s="75">
        <v>15153.49</v>
      </c>
      <c r="J331" s="75">
        <f>15153.49</f>
        <v>15153.49</v>
      </c>
      <c r="K331" s="75"/>
      <c r="L331" s="75"/>
      <c r="M331" s="75"/>
      <c r="N331" s="75">
        <f>Tabla1[[#This Row],[IMPORTE APROBADO]]-Tabla1[[#This Row],[AMORTIZACION2]]</f>
        <v>0</v>
      </c>
      <c r="O331" s="65" t="str">
        <f>TEXT(Tabla1[[#This Row],[EMISION]],"mmm")</f>
        <v>Feb</v>
      </c>
      <c r="P331" s="65" t="str">
        <f>TEXT(Tabla1[[#This Row],[EMISION]],"YYYY")</f>
        <v>2023</v>
      </c>
      <c r="Q331" s="71">
        <v>44970</v>
      </c>
      <c r="R331" s="65" t="str">
        <f>TEXT(Tabla1[[#This Row],[VENCIMIENTO]],"mmm")</f>
        <v>Feb</v>
      </c>
      <c r="S331" s="71">
        <f t="shared" si="34"/>
        <v>44985</v>
      </c>
      <c r="T331" s="72">
        <f ca="1">Tabla1[[#This Row],[EMISION]]+Tabla1[[#This Row],[PLAZO]]-TODAY()</f>
        <v>-384</v>
      </c>
      <c r="U331" s="64">
        <f t="shared" ca="1" si="35"/>
        <v>0</v>
      </c>
      <c r="V331" s="72"/>
      <c r="W331" s="73" t="s">
        <v>14307</v>
      </c>
      <c r="X331" s="65">
        <v>15</v>
      </c>
      <c r="Y331" s="65"/>
      <c r="Z331" s="65"/>
      <c r="AA331" s="65"/>
      <c r="AB331" s="65"/>
      <c r="AC331" s="65"/>
      <c r="AD331" s="65"/>
      <c r="AE331" s="65"/>
      <c r="AF331" s="68"/>
      <c r="AG331" s="66">
        <v>44985</v>
      </c>
      <c r="AH331" s="67" t="s">
        <v>14308</v>
      </c>
      <c r="AI331" s="65" t="s">
        <v>3060</v>
      </c>
      <c r="AJ331" s="65"/>
      <c r="AK331" s="97">
        <f t="shared" ca="1" si="25"/>
        <v>384</v>
      </c>
      <c r="AL331">
        <f>IFERROR(VLOOKUP(A331,'DATA CLIENTES'!B4628:I8284,6,FALSE),0)</f>
        <v>0</v>
      </c>
    </row>
    <row r="332" spans="1:38" x14ac:dyDescent="0.25">
      <c r="A332" s="93" t="s">
        <v>9345</v>
      </c>
      <c r="B332" s="68" t="s">
        <v>14330</v>
      </c>
      <c r="C332" s="65"/>
      <c r="D332" s="65"/>
      <c r="E332" s="65"/>
      <c r="F332" s="69" t="s">
        <v>14559</v>
      </c>
      <c r="G332" s="70"/>
      <c r="H332" s="65" t="s">
        <v>14608</v>
      </c>
      <c r="I332" s="75">
        <v>12810</v>
      </c>
      <c r="J332" s="75">
        <v>12810</v>
      </c>
      <c r="K332" s="75"/>
      <c r="L332" s="75"/>
      <c r="M332" s="75"/>
      <c r="N332" s="75">
        <f>Tabla1[[#This Row],[IMPORTE APROBADO]]-Tabla1[[#This Row],[AMORTIZACION2]]</f>
        <v>0</v>
      </c>
      <c r="O332" s="65" t="str">
        <f>TEXT(Tabla1[[#This Row],[EMISION]],"mmm")</f>
        <v>Feb</v>
      </c>
      <c r="P332" s="65" t="str">
        <f>TEXT(Tabla1[[#This Row],[EMISION]],"YYYY")</f>
        <v>2023</v>
      </c>
      <c r="Q332" s="71">
        <v>44970</v>
      </c>
      <c r="R332" s="65" t="str">
        <f>TEXT(Tabla1[[#This Row],[VENCIMIENTO]],"mmm")</f>
        <v>Feb</v>
      </c>
      <c r="S332" s="71">
        <f t="shared" si="34"/>
        <v>44985</v>
      </c>
      <c r="T332" s="72">
        <f ca="1">Tabla1[[#This Row],[EMISION]]+Tabla1[[#This Row],[PLAZO]]-TODAY()</f>
        <v>-384</v>
      </c>
      <c r="U332" s="64">
        <f t="shared" ca="1" si="35"/>
        <v>0</v>
      </c>
      <c r="V332" s="72"/>
      <c r="W332" s="73" t="s">
        <v>14307</v>
      </c>
      <c r="X332" s="65">
        <v>15</v>
      </c>
      <c r="Y332" s="65"/>
      <c r="Z332" s="65"/>
      <c r="AA332" s="65"/>
      <c r="AB332" s="65"/>
      <c r="AC332" s="65"/>
      <c r="AD332" s="65"/>
      <c r="AE332" s="65"/>
      <c r="AF332" s="68"/>
      <c r="AG332" s="66">
        <v>44988</v>
      </c>
      <c r="AH332" s="67" t="s">
        <v>14308</v>
      </c>
      <c r="AI332" s="65" t="s">
        <v>3060</v>
      </c>
      <c r="AJ332" s="65"/>
      <c r="AK332" s="97">
        <f t="shared" ca="1" si="25"/>
        <v>384</v>
      </c>
      <c r="AL332">
        <f>IFERROR(VLOOKUP(A332,'DATA CLIENTES'!B4629:I8284,6,FALSE),0)</f>
        <v>0</v>
      </c>
    </row>
    <row r="333" spans="1:38" x14ac:dyDescent="0.25">
      <c r="A333" s="93" t="s">
        <v>7473</v>
      </c>
      <c r="B333" s="68" t="s">
        <v>7474</v>
      </c>
      <c r="C333" s="65"/>
      <c r="D333" s="65"/>
      <c r="E333" s="65"/>
      <c r="F333" s="69" t="s">
        <v>14559</v>
      </c>
      <c r="G333" s="70"/>
      <c r="H333" s="65" t="s">
        <v>14609</v>
      </c>
      <c r="I333" s="75">
        <v>6714.8826919999992</v>
      </c>
      <c r="J333" s="75">
        <f>300+300+300+400+300+300+300+500+300+200+300+300+150+300+300+300+200+300+300+200+300+565</f>
        <v>6715</v>
      </c>
      <c r="K333" s="75"/>
      <c r="L333" s="75"/>
      <c r="M333" s="75"/>
      <c r="N333" s="75">
        <f>Tabla1[[#This Row],[IMPORTE APROBADO]]-Tabla1[[#This Row],[AMORTIZACION2]]</f>
        <v>-0.11730800000077579</v>
      </c>
      <c r="O333" s="65" t="str">
        <f>TEXT(Tabla1[[#This Row],[EMISION]],"mmm")</f>
        <v>Feb</v>
      </c>
      <c r="P333" s="65" t="str">
        <f>TEXT(Tabla1[[#This Row],[EMISION]],"YYYY")</f>
        <v>2023</v>
      </c>
      <c r="Q333" s="71">
        <v>44970</v>
      </c>
      <c r="R333" s="65" t="str">
        <f>TEXT(Tabla1[[#This Row],[VENCIMIENTO]],"mmm")</f>
        <v>Mar</v>
      </c>
      <c r="S333" s="71">
        <f t="shared" si="34"/>
        <v>45000</v>
      </c>
      <c r="T333" s="72">
        <f ca="1">Tabla1[[#This Row],[EMISION]]+Tabla1[[#This Row],[PLAZO]]-TODAY()</f>
        <v>-369</v>
      </c>
      <c r="U333" s="64">
        <f t="shared" ca="1" si="35"/>
        <v>0</v>
      </c>
      <c r="V333" s="72"/>
      <c r="W333" s="73" t="s">
        <v>14307</v>
      </c>
      <c r="X333" s="65">
        <v>30</v>
      </c>
      <c r="Y333" s="65"/>
      <c r="Z333" s="65"/>
      <c r="AA333" s="65"/>
      <c r="AB333" s="65"/>
      <c r="AC333" s="65"/>
      <c r="AD333" s="65"/>
      <c r="AE333" s="65"/>
      <c r="AF333" s="68"/>
      <c r="AG333" s="66">
        <v>45080</v>
      </c>
      <c r="AH333" s="67" t="s">
        <v>14308</v>
      </c>
      <c r="AI333" s="65" t="s">
        <v>3060</v>
      </c>
      <c r="AJ333" s="65"/>
      <c r="AK333" s="97">
        <f t="shared" ca="1" si="25"/>
        <v>369</v>
      </c>
      <c r="AL333">
        <f>IFERROR(VLOOKUP(A333,'DATA CLIENTES'!B4630:I8284,6,FALSE),0)</f>
        <v>0</v>
      </c>
    </row>
    <row r="334" spans="1:38" x14ac:dyDescent="0.25">
      <c r="A334" s="93" t="s">
        <v>9887</v>
      </c>
      <c r="B334" s="68" t="s">
        <v>9888</v>
      </c>
      <c r="C334" s="65"/>
      <c r="D334" s="65"/>
      <c r="E334" s="65"/>
      <c r="F334" s="69" t="s">
        <v>14559</v>
      </c>
      <c r="G334" s="70"/>
      <c r="H334" s="65" t="s">
        <v>14610</v>
      </c>
      <c r="I334" s="75">
        <v>695.01538700000003</v>
      </c>
      <c r="J334" s="75">
        <v>695.02</v>
      </c>
      <c r="K334" s="75"/>
      <c r="L334" s="75"/>
      <c r="M334" s="75"/>
      <c r="N334" s="75">
        <f>Tabla1[[#This Row],[IMPORTE APROBADO]]-Tabla1[[#This Row],[AMORTIZACION2]]</f>
        <v>-4.6129999999493521E-3</v>
      </c>
      <c r="O334" s="65" t="str">
        <f>TEXT(Tabla1[[#This Row],[EMISION]],"mmm")</f>
        <v>Feb</v>
      </c>
      <c r="P334" s="65" t="str">
        <f>TEXT(Tabla1[[#This Row],[EMISION]],"YYYY")</f>
        <v>2023</v>
      </c>
      <c r="Q334" s="71">
        <v>44970</v>
      </c>
      <c r="R334" s="65" t="str">
        <f>TEXT(Tabla1[[#This Row],[VENCIMIENTO]],"mmm")</f>
        <v>Feb</v>
      </c>
      <c r="S334" s="71">
        <f t="shared" si="34"/>
        <v>44985</v>
      </c>
      <c r="T334" s="72">
        <f ca="1">Tabla1[[#This Row],[EMISION]]+Tabla1[[#This Row],[PLAZO]]-TODAY()</f>
        <v>-384</v>
      </c>
      <c r="U334" s="64">
        <f t="shared" ca="1" si="35"/>
        <v>0</v>
      </c>
      <c r="V334" s="72"/>
      <c r="W334" s="73" t="s">
        <v>14307</v>
      </c>
      <c r="X334" s="65">
        <v>15</v>
      </c>
      <c r="Y334" s="65"/>
      <c r="Z334" s="65"/>
      <c r="AA334" s="65"/>
      <c r="AB334" s="65"/>
      <c r="AC334" s="65"/>
      <c r="AD334" s="65"/>
      <c r="AE334" s="65"/>
      <c r="AF334" s="68"/>
      <c r="AG334" s="66">
        <v>44987</v>
      </c>
      <c r="AH334" s="67" t="s">
        <v>14308</v>
      </c>
      <c r="AI334" s="65" t="s">
        <v>3060</v>
      </c>
      <c r="AJ334" s="65"/>
      <c r="AK334" s="97">
        <f t="shared" ref="AK334:AK397" ca="1" si="36">TODAY() - S334</f>
        <v>384</v>
      </c>
      <c r="AL334">
        <f>IFERROR(VLOOKUP(A334,'DATA CLIENTES'!B4631:I8284,6,FALSE),0)</f>
        <v>0</v>
      </c>
    </row>
    <row r="335" spans="1:38" x14ac:dyDescent="0.25">
      <c r="A335" s="93" t="s">
        <v>9887</v>
      </c>
      <c r="B335" s="68" t="s">
        <v>9888</v>
      </c>
      <c r="C335" s="65"/>
      <c r="D335" s="65"/>
      <c r="E335" s="65"/>
      <c r="F335" s="69" t="s">
        <v>14559</v>
      </c>
      <c r="G335" s="70"/>
      <c r="H335" s="65" t="s">
        <v>14611</v>
      </c>
      <c r="I335" s="75">
        <v>56</v>
      </c>
      <c r="J335" s="75">
        <v>56</v>
      </c>
      <c r="K335" s="75"/>
      <c r="L335" s="75"/>
      <c r="M335" s="75"/>
      <c r="N335" s="75">
        <f>Tabla1[[#This Row],[IMPORTE APROBADO]]-Tabla1[[#This Row],[AMORTIZACION2]]</f>
        <v>0</v>
      </c>
      <c r="O335" s="65" t="str">
        <f>TEXT(Tabla1[[#This Row],[EMISION]],"mmm")</f>
        <v>Feb</v>
      </c>
      <c r="P335" s="65" t="str">
        <f>TEXT(Tabla1[[#This Row],[EMISION]],"YYYY")</f>
        <v>2023</v>
      </c>
      <c r="Q335" s="71">
        <v>44970</v>
      </c>
      <c r="R335" s="65" t="str">
        <f>TEXT(Tabla1[[#This Row],[VENCIMIENTO]],"mmm")</f>
        <v>Feb</v>
      </c>
      <c r="S335" s="71">
        <f t="shared" si="34"/>
        <v>44985</v>
      </c>
      <c r="T335" s="72">
        <f ca="1">Tabla1[[#This Row],[EMISION]]+Tabla1[[#This Row],[PLAZO]]-TODAY()</f>
        <v>-384</v>
      </c>
      <c r="U335" s="64">
        <f t="shared" ca="1" si="35"/>
        <v>0</v>
      </c>
      <c r="V335" s="72"/>
      <c r="W335" s="73" t="s">
        <v>14307</v>
      </c>
      <c r="X335" s="65">
        <v>15</v>
      </c>
      <c r="Y335" s="65"/>
      <c r="Z335" s="65"/>
      <c r="AA335" s="65"/>
      <c r="AB335" s="65"/>
      <c r="AC335" s="65"/>
      <c r="AD335" s="65"/>
      <c r="AE335" s="65"/>
      <c r="AF335" s="68"/>
      <c r="AG335" s="66">
        <v>44987</v>
      </c>
      <c r="AH335" s="67" t="s">
        <v>14308</v>
      </c>
      <c r="AI335" s="65" t="s">
        <v>3060</v>
      </c>
      <c r="AJ335" s="65"/>
      <c r="AK335" s="97">
        <f t="shared" ca="1" si="36"/>
        <v>384</v>
      </c>
      <c r="AL335">
        <f>IFERROR(VLOOKUP(A335,'DATA CLIENTES'!B4632:I8284,6,FALSE),0)</f>
        <v>0</v>
      </c>
    </row>
    <row r="336" spans="1:38" x14ac:dyDescent="0.25">
      <c r="A336" s="93" t="s">
        <v>6875</v>
      </c>
      <c r="B336" s="68" t="s">
        <v>6876</v>
      </c>
      <c r="C336" s="65"/>
      <c r="D336" s="65"/>
      <c r="E336" s="65"/>
      <c r="F336" s="69" t="s">
        <v>14557</v>
      </c>
      <c r="G336" s="70"/>
      <c r="H336" s="65" t="s">
        <v>14612</v>
      </c>
      <c r="I336" s="75">
        <v>357.5</v>
      </c>
      <c r="J336" s="75">
        <f>150+206.72</f>
        <v>356.72</v>
      </c>
      <c r="K336" s="75"/>
      <c r="L336" s="75"/>
      <c r="M336" s="75"/>
      <c r="N336" s="75">
        <f>Tabla1[[#This Row],[IMPORTE APROBADO]]-Tabla1[[#This Row],[AMORTIZACION2]]</f>
        <v>0.77999999999997272</v>
      </c>
      <c r="O336" s="65" t="str">
        <f>TEXT(Tabla1[[#This Row],[EMISION]],"mmm")</f>
        <v>Feb</v>
      </c>
      <c r="P336" s="65" t="str">
        <f>TEXT(Tabla1[[#This Row],[EMISION]],"YYYY")</f>
        <v>2023</v>
      </c>
      <c r="Q336" s="71">
        <v>44972</v>
      </c>
      <c r="R336" s="65" t="str">
        <f>TEXT(Tabla1[[#This Row],[VENCIMIENTO]],"mmm")</f>
        <v>Mar</v>
      </c>
      <c r="S336" s="71">
        <f t="shared" si="34"/>
        <v>44987</v>
      </c>
      <c r="T336" s="72">
        <f ca="1">Tabla1[[#This Row],[EMISION]]+Tabla1[[#This Row],[PLAZO]]-TODAY()</f>
        <v>-382</v>
      </c>
      <c r="U336" s="64">
        <f t="shared" ca="1" si="35"/>
        <v>0</v>
      </c>
      <c r="V336" s="72"/>
      <c r="W336" s="73" t="s">
        <v>14307</v>
      </c>
      <c r="X336" s="65">
        <v>15</v>
      </c>
      <c r="Y336" s="65"/>
      <c r="Z336" s="65"/>
      <c r="AA336" s="65"/>
      <c r="AB336" s="65"/>
      <c r="AC336" s="65"/>
      <c r="AD336" s="65"/>
      <c r="AE336" s="65"/>
      <c r="AF336" s="68"/>
      <c r="AG336" s="66">
        <v>44996</v>
      </c>
      <c r="AH336" s="67" t="s">
        <v>14308</v>
      </c>
      <c r="AI336" s="65" t="s">
        <v>3060</v>
      </c>
      <c r="AJ336" s="65"/>
      <c r="AK336" s="97">
        <f t="shared" ca="1" si="36"/>
        <v>382</v>
      </c>
      <c r="AL336">
        <f>IFERROR(VLOOKUP(A336,'DATA CLIENTES'!B4633:I8284,6,FALSE),0)</f>
        <v>0</v>
      </c>
    </row>
    <row r="337" spans="1:38" x14ac:dyDescent="0.25">
      <c r="A337" s="93" t="s">
        <v>6943</v>
      </c>
      <c r="B337" s="68" t="s">
        <v>6944</v>
      </c>
      <c r="C337" s="65"/>
      <c r="D337" s="65"/>
      <c r="E337" s="65"/>
      <c r="F337" s="69" t="s">
        <v>14559</v>
      </c>
      <c r="G337" s="70"/>
      <c r="H337" s="65" t="s">
        <v>14613</v>
      </c>
      <c r="I337" s="75">
        <v>5317.9135619999997</v>
      </c>
      <c r="J337" s="75">
        <f>1500+2500+1317.91</f>
        <v>5317.91</v>
      </c>
      <c r="K337" s="75"/>
      <c r="L337" s="75"/>
      <c r="M337" s="75"/>
      <c r="N337" s="75">
        <f>Tabla1[[#This Row],[IMPORTE APROBADO]]-Tabla1[[#This Row],[AMORTIZACION2]]</f>
        <v>3.5619999998743879E-3</v>
      </c>
      <c r="O337" s="65" t="str">
        <f>TEXT(Tabla1[[#This Row],[EMISION]],"mmm")</f>
        <v>Feb</v>
      </c>
      <c r="P337" s="65" t="str">
        <f>TEXT(Tabla1[[#This Row],[EMISION]],"YYYY")</f>
        <v>2023</v>
      </c>
      <c r="Q337" s="71">
        <v>44973</v>
      </c>
      <c r="R337" s="65" t="str">
        <f>TEXT(Tabla1[[#This Row],[VENCIMIENTO]],"mmm")</f>
        <v>Mar</v>
      </c>
      <c r="S337" s="71">
        <f t="shared" si="34"/>
        <v>44998</v>
      </c>
      <c r="T337" s="72">
        <f ca="1">Tabla1[[#This Row],[EMISION]]+Tabla1[[#This Row],[PLAZO]]-TODAY()</f>
        <v>-371</v>
      </c>
      <c r="U337" s="64">
        <f t="shared" ca="1" si="35"/>
        <v>0</v>
      </c>
      <c r="V337" s="72"/>
      <c r="W337" s="73" t="s">
        <v>14307</v>
      </c>
      <c r="X337" s="65">
        <v>25</v>
      </c>
      <c r="Y337" s="65"/>
      <c r="Z337" s="65"/>
      <c r="AA337" s="65"/>
      <c r="AB337" s="65"/>
      <c r="AC337" s="65"/>
      <c r="AD337" s="65"/>
      <c r="AE337" s="65"/>
      <c r="AF337" s="68"/>
      <c r="AG337" s="66">
        <v>45054</v>
      </c>
      <c r="AH337" s="67" t="s">
        <v>14308</v>
      </c>
      <c r="AI337" s="65" t="s">
        <v>3060</v>
      </c>
      <c r="AJ337" s="65"/>
      <c r="AK337" s="97">
        <f t="shared" ca="1" si="36"/>
        <v>371</v>
      </c>
      <c r="AL337">
        <f>IFERROR(VLOOKUP(A337,'DATA CLIENTES'!B4634:I8284,6,FALSE),0)</f>
        <v>0</v>
      </c>
    </row>
    <row r="338" spans="1:38" x14ac:dyDescent="0.25">
      <c r="A338" s="93" t="s">
        <v>10005</v>
      </c>
      <c r="B338" s="68" t="s">
        <v>14443</v>
      </c>
      <c r="C338" s="65"/>
      <c r="D338" s="65"/>
      <c r="E338" s="65"/>
      <c r="F338" s="69" t="s">
        <v>14559</v>
      </c>
      <c r="G338" s="70"/>
      <c r="H338" s="65" t="s">
        <v>14614</v>
      </c>
      <c r="I338" s="75">
        <v>1974.9</v>
      </c>
      <c r="J338" s="75">
        <v>1974.9</v>
      </c>
      <c r="K338" s="75"/>
      <c r="L338" s="75"/>
      <c r="M338" s="75"/>
      <c r="N338" s="75">
        <f>Tabla1[[#This Row],[IMPORTE APROBADO]]-Tabla1[[#This Row],[AMORTIZACION2]]</f>
        <v>0</v>
      </c>
      <c r="O338" s="65" t="str">
        <f>TEXT(Tabla1[[#This Row],[EMISION]],"mmm")</f>
        <v>Feb</v>
      </c>
      <c r="P338" s="65" t="str">
        <f>TEXT(Tabla1[[#This Row],[EMISION]],"YYYY")</f>
        <v>2023</v>
      </c>
      <c r="Q338" s="71">
        <v>44974</v>
      </c>
      <c r="R338" s="65" t="str">
        <f>TEXT(Tabla1[[#This Row],[VENCIMIENTO]],"mmm")</f>
        <v>Mar</v>
      </c>
      <c r="S338" s="71">
        <f t="shared" si="34"/>
        <v>44989</v>
      </c>
      <c r="T338" s="72">
        <f ca="1">Tabla1[[#This Row],[EMISION]]+Tabla1[[#This Row],[PLAZO]]-TODAY()</f>
        <v>-380</v>
      </c>
      <c r="U338" s="80">
        <f t="shared" ca="1" si="35"/>
        <v>0</v>
      </c>
      <c r="V338" s="72"/>
      <c r="W338" s="73" t="s">
        <v>14307</v>
      </c>
      <c r="X338" s="65">
        <v>15</v>
      </c>
      <c r="Y338" s="65"/>
      <c r="Z338" s="65"/>
      <c r="AA338" s="65"/>
      <c r="AB338" s="65"/>
      <c r="AC338" s="65"/>
      <c r="AD338" s="65"/>
      <c r="AE338" s="65"/>
      <c r="AF338" s="68"/>
      <c r="AG338" s="66">
        <v>44992</v>
      </c>
      <c r="AH338" s="67" t="s">
        <v>14308</v>
      </c>
      <c r="AI338" s="65" t="s">
        <v>3060</v>
      </c>
      <c r="AJ338" s="65"/>
      <c r="AK338" s="97">
        <f t="shared" ca="1" si="36"/>
        <v>380</v>
      </c>
      <c r="AL338">
        <f>IFERROR(VLOOKUP(A338,'DATA CLIENTES'!B4635:I8284,6,FALSE),0)</f>
        <v>0</v>
      </c>
    </row>
    <row r="339" spans="1:38" x14ac:dyDescent="0.25">
      <c r="A339" s="93" t="s">
        <v>5473</v>
      </c>
      <c r="B339" s="68" t="s">
        <v>14378</v>
      </c>
      <c r="C339" s="65"/>
      <c r="D339" s="65"/>
      <c r="E339" s="65"/>
      <c r="F339" s="69" t="s">
        <v>14559</v>
      </c>
      <c r="G339" s="70"/>
      <c r="H339" s="65" t="s">
        <v>14615</v>
      </c>
      <c r="I339" s="75">
        <v>4897.5</v>
      </c>
      <c r="J339" s="75">
        <v>4897.5</v>
      </c>
      <c r="K339" s="75"/>
      <c r="L339" s="75"/>
      <c r="M339" s="75"/>
      <c r="N339" s="75">
        <f>Tabla1[[#This Row],[IMPORTE APROBADO]]-Tabla1[[#This Row],[AMORTIZACION2]]</f>
        <v>0</v>
      </c>
      <c r="O339" s="65" t="str">
        <f>TEXT(Tabla1[[#This Row],[EMISION]],"mmm")</f>
        <v>Feb</v>
      </c>
      <c r="P339" s="65" t="str">
        <f>TEXT(Tabla1[[#This Row],[EMISION]],"YYYY")</f>
        <v>2023</v>
      </c>
      <c r="Q339" s="71">
        <v>44978</v>
      </c>
      <c r="R339" s="65" t="str">
        <f>TEXT(Tabla1[[#This Row],[VENCIMIENTO]],"mmm")</f>
        <v>Mar</v>
      </c>
      <c r="S339" s="71">
        <f t="shared" ref="S339:S346" si="37">Q339+X339</f>
        <v>44993</v>
      </c>
      <c r="T339" s="72">
        <f ca="1">Tabla1[[#This Row],[EMISION]]+Tabla1[[#This Row],[PLAZO]]-TODAY()</f>
        <v>-376</v>
      </c>
      <c r="U339" s="80">
        <f t="shared" ref="U339:U346" ca="1" si="38">IF(T339&gt;=0,$U$4,IF(AND(T339&lt;=-1,T339&gt;=-30),$U$5,IF(AND(T339&lt;=-31,T339&gt;=-60),$U$6,IF(AND(T339&lt;=-61,T339&gt;=-90),$U$7,$U$8))))</f>
        <v>0</v>
      </c>
      <c r="V339" s="72"/>
      <c r="W339" s="73" t="s">
        <v>14307</v>
      </c>
      <c r="X339" s="65">
        <v>15</v>
      </c>
      <c r="Y339" s="65"/>
      <c r="Z339" s="65"/>
      <c r="AA339" s="65"/>
      <c r="AB339" s="65"/>
      <c r="AC339" s="65"/>
      <c r="AD339" s="65"/>
      <c r="AE339" s="65"/>
      <c r="AF339" s="68"/>
      <c r="AG339" s="66">
        <v>44995</v>
      </c>
      <c r="AH339" s="67" t="s">
        <v>14308</v>
      </c>
      <c r="AI339" s="65" t="s">
        <v>3060</v>
      </c>
      <c r="AJ339" s="65"/>
      <c r="AK339" s="97">
        <f t="shared" ca="1" si="36"/>
        <v>376</v>
      </c>
      <c r="AL339">
        <f>IFERROR(VLOOKUP(A339,'DATA CLIENTES'!B4636:I8284,6,FALSE),0)</f>
        <v>0</v>
      </c>
    </row>
    <row r="340" spans="1:38" x14ac:dyDescent="0.25">
      <c r="A340" s="93" t="s">
        <v>9570</v>
      </c>
      <c r="B340" s="68" t="s">
        <v>14418</v>
      </c>
      <c r="C340" s="65"/>
      <c r="D340" s="65"/>
      <c r="E340" s="65"/>
      <c r="F340" s="69" t="s">
        <v>14559</v>
      </c>
      <c r="G340" s="70"/>
      <c r="H340" s="65" t="s">
        <v>14616</v>
      </c>
      <c r="I340" s="75">
        <v>711.75</v>
      </c>
      <c r="J340" s="75">
        <v>711.8</v>
      </c>
      <c r="K340" s="75"/>
      <c r="L340" s="75"/>
      <c r="M340" s="75"/>
      <c r="N340" s="75">
        <f>Tabla1[[#This Row],[IMPORTE APROBADO]]-Tabla1[[#This Row],[AMORTIZACION2]]</f>
        <v>-4.9999999999954525E-2</v>
      </c>
      <c r="O340" s="65" t="str">
        <f>TEXT(Tabla1[[#This Row],[EMISION]],"mmm")</f>
        <v>Feb</v>
      </c>
      <c r="P340" s="65" t="str">
        <f>TEXT(Tabla1[[#This Row],[EMISION]],"YYYY")</f>
        <v>2023</v>
      </c>
      <c r="Q340" s="71">
        <v>44978</v>
      </c>
      <c r="R340" s="65" t="str">
        <f>TEXT(Tabla1[[#This Row],[VENCIMIENTO]],"mmm")</f>
        <v>Mar</v>
      </c>
      <c r="S340" s="71">
        <f t="shared" si="37"/>
        <v>44993</v>
      </c>
      <c r="T340" s="72">
        <f ca="1">Tabla1[[#This Row],[EMISION]]+Tabla1[[#This Row],[PLAZO]]-TODAY()</f>
        <v>-376</v>
      </c>
      <c r="U340" s="80">
        <f t="shared" ca="1" si="38"/>
        <v>0</v>
      </c>
      <c r="V340" s="72"/>
      <c r="W340" s="73" t="s">
        <v>14307</v>
      </c>
      <c r="X340" s="65">
        <v>15</v>
      </c>
      <c r="Y340" s="65"/>
      <c r="Z340" s="65"/>
      <c r="AA340" s="65"/>
      <c r="AB340" s="65"/>
      <c r="AC340" s="65"/>
      <c r="AD340" s="65"/>
      <c r="AE340" s="65"/>
      <c r="AF340" s="68"/>
      <c r="AG340" s="66">
        <v>44999</v>
      </c>
      <c r="AH340" s="67" t="s">
        <v>14308</v>
      </c>
      <c r="AI340" s="65" t="s">
        <v>3060</v>
      </c>
      <c r="AJ340" s="65"/>
      <c r="AK340" s="97">
        <f t="shared" ca="1" si="36"/>
        <v>376</v>
      </c>
      <c r="AL340">
        <f>IFERROR(VLOOKUP(A340,'DATA CLIENTES'!B4637:I8284,6,FALSE),0)</f>
        <v>0</v>
      </c>
    </row>
    <row r="341" spans="1:38" x14ac:dyDescent="0.25">
      <c r="A341" s="93" t="s">
        <v>8786</v>
      </c>
      <c r="B341" s="68" t="s">
        <v>8787</v>
      </c>
      <c r="C341" s="65"/>
      <c r="D341" s="65"/>
      <c r="E341" s="65"/>
      <c r="F341" s="69" t="s">
        <v>14559</v>
      </c>
      <c r="G341" s="70"/>
      <c r="H341" s="65" t="s">
        <v>14617</v>
      </c>
      <c r="I341" s="75">
        <v>1271.25334</v>
      </c>
      <c r="J341" s="75">
        <f>201.3+200+200+200+200+270</f>
        <v>1271.3</v>
      </c>
      <c r="K341" s="75"/>
      <c r="L341" s="75"/>
      <c r="M341" s="75"/>
      <c r="N341" s="75">
        <f>Tabla1[[#This Row],[IMPORTE APROBADO]]-Tabla1[[#This Row],[AMORTIZACION2]]</f>
        <v>-4.6659999999974389E-2</v>
      </c>
      <c r="O341" s="65" t="str">
        <f>TEXT(Tabla1[[#This Row],[EMISION]],"mmm")</f>
        <v>Feb</v>
      </c>
      <c r="P341" s="65" t="str">
        <f>TEXT(Tabla1[[#This Row],[EMISION]],"YYYY")</f>
        <v>2023</v>
      </c>
      <c r="Q341" s="71">
        <v>44978</v>
      </c>
      <c r="R341" s="65" t="str">
        <f>TEXT(Tabla1[[#This Row],[VENCIMIENTO]],"mmm")</f>
        <v>Mar</v>
      </c>
      <c r="S341" s="71">
        <f t="shared" si="37"/>
        <v>44993</v>
      </c>
      <c r="T341" s="72">
        <f ca="1">Tabla1[[#This Row],[EMISION]]+Tabla1[[#This Row],[PLAZO]]-TODAY()</f>
        <v>-376</v>
      </c>
      <c r="U341" s="80">
        <f t="shared" ca="1" si="38"/>
        <v>0</v>
      </c>
      <c r="V341" s="72"/>
      <c r="W341" s="73" t="s">
        <v>14307</v>
      </c>
      <c r="X341" s="65">
        <v>15</v>
      </c>
      <c r="Y341" s="65"/>
      <c r="Z341" s="65"/>
      <c r="AA341" s="65"/>
      <c r="AB341" s="65"/>
      <c r="AC341" s="65"/>
      <c r="AD341" s="65"/>
      <c r="AE341" s="65"/>
      <c r="AF341" s="68"/>
      <c r="AG341" s="66">
        <v>45012</v>
      </c>
      <c r="AH341" s="67" t="s">
        <v>14308</v>
      </c>
      <c r="AI341" s="65" t="s">
        <v>3060</v>
      </c>
      <c r="AJ341" s="65"/>
      <c r="AK341" s="97">
        <f t="shared" ca="1" si="36"/>
        <v>376</v>
      </c>
      <c r="AL341">
        <f>IFERROR(VLOOKUP(A341,'DATA CLIENTES'!B4638:I8284,6,FALSE),0)</f>
        <v>0</v>
      </c>
    </row>
    <row r="342" spans="1:38" x14ac:dyDescent="0.25">
      <c r="A342" s="93" t="s">
        <v>14428</v>
      </c>
      <c r="B342" s="68" t="s">
        <v>14427</v>
      </c>
      <c r="C342" s="65"/>
      <c r="D342" s="65"/>
      <c r="E342" s="65"/>
      <c r="F342" s="69" t="s">
        <v>14559</v>
      </c>
      <c r="G342" s="70"/>
      <c r="H342" s="65" t="s">
        <v>14618</v>
      </c>
      <c r="I342" s="75">
        <v>2602.1120000000001</v>
      </c>
      <c r="J342" s="75">
        <v>2602.11</v>
      </c>
      <c r="K342" s="75"/>
      <c r="L342" s="75"/>
      <c r="M342" s="75"/>
      <c r="N342" s="75">
        <f>Tabla1[[#This Row],[IMPORTE APROBADO]]-Tabla1[[#This Row],[AMORTIZACION2]]</f>
        <v>1.9999999999527063E-3</v>
      </c>
      <c r="O342" s="65" t="str">
        <f>TEXT(Tabla1[[#This Row],[EMISION]],"mmm")</f>
        <v>Feb</v>
      </c>
      <c r="P342" s="65" t="str">
        <f>TEXT(Tabla1[[#This Row],[EMISION]],"YYYY")</f>
        <v>2023</v>
      </c>
      <c r="Q342" s="71">
        <v>44978</v>
      </c>
      <c r="R342" s="65" t="str">
        <f>TEXT(Tabla1[[#This Row],[VENCIMIENTO]],"mmm")</f>
        <v>Mar</v>
      </c>
      <c r="S342" s="71">
        <f t="shared" si="37"/>
        <v>44993</v>
      </c>
      <c r="T342" s="72">
        <f ca="1">Tabla1[[#This Row],[EMISION]]+Tabla1[[#This Row],[PLAZO]]-TODAY()</f>
        <v>-376</v>
      </c>
      <c r="U342" s="80">
        <f t="shared" ca="1" si="38"/>
        <v>0</v>
      </c>
      <c r="V342" s="72"/>
      <c r="W342" s="73" t="s">
        <v>14307</v>
      </c>
      <c r="X342" s="65">
        <v>15</v>
      </c>
      <c r="Y342" s="65"/>
      <c r="Z342" s="65"/>
      <c r="AA342" s="65"/>
      <c r="AB342" s="65"/>
      <c r="AC342" s="65"/>
      <c r="AD342" s="65"/>
      <c r="AE342" s="65"/>
      <c r="AF342" s="68"/>
      <c r="AG342" s="66">
        <v>44995</v>
      </c>
      <c r="AH342" s="67" t="s">
        <v>14308</v>
      </c>
      <c r="AI342" s="65" t="s">
        <v>3060</v>
      </c>
      <c r="AJ342" s="65"/>
      <c r="AK342" s="97">
        <f t="shared" ca="1" si="36"/>
        <v>376</v>
      </c>
      <c r="AL342">
        <f>IFERROR(VLOOKUP(A342,'DATA CLIENTES'!B4639:I8284,6,FALSE),0)</f>
        <v>0</v>
      </c>
    </row>
    <row r="343" spans="1:38" x14ac:dyDescent="0.25">
      <c r="A343" s="93" t="s">
        <v>8565</v>
      </c>
      <c r="B343" s="68" t="s">
        <v>14334</v>
      </c>
      <c r="C343" s="65"/>
      <c r="D343" s="65"/>
      <c r="E343" s="65"/>
      <c r="F343" s="69" t="s">
        <v>14559</v>
      </c>
      <c r="G343" s="70"/>
      <c r="H343" s="65" t="s">
        <v>14619</v>
      </c>
      <c r="I343" s="75">
        <v>1218.954287</v>
      </c>
      <c r="J343" s="75">
        <f>800+418.1</f>
        <v>1218.0999999999999</v>
      </c>
      <c r="K343" s="75"/>
      <c r="L343" s="75"/>
      <c r="M343" s="75"/>
      <c r="N343" s="75">
        <f>Tabla1[[#This Row],[IMPORTE APROBADO]]-Tabla1[[#This Row],[AMORTIZACION2]]</f>
        <v>0.85428700000011304</v>
      </c>
      <c r="O343" s="65" t="str">
        <f>TEXT(Tabla1[[#This Row],[EMISION]],"mmm")</f>
        <v>Feb</v>
      </c>
      <c r="P343" s="65" t="str">
        <f>TEXT(Tabla1[[#This Row],[EMISION]],"YYYY")</f>
        <v>2023</v>
      </c>
      <c r="Q343" s="71">
        <v>44978</v>
      </c>
      <c r="R343" s="65" t="str">
        <f>TEXT(Tabla1[[#This Row],[VENCIMIENTO]],"mmm")</f>
        <v>Mar</v>
      </c>
      <c r="S343" s="71">
        <f t="shared" si="37"/>
        <v>44993</v>
      </c>
      <c r="T343" s="72">
        <f ca="1">Tabla1[[#This Row],[EMISION]]+Tabla1[[#This Row],[PLAZO]]-TODAY()</f>
        <v>-376</v>
      </c>
      <c r="U343" s="80">
        <f t="shared" ca="1" si="38"/>
        <v>0</v>
      </c>
      <c r="V343" s="72"/>
      <c r="W343" s="73" t="s">
        <v>14307</v>
      </c>
      <c r="X343" s="65">
        <v>15</v>
      </c>
      <c r="Y343" s="65"/>
      <c r="Z343" s="65"/>
      <c r="AA343" s="65"/>
      <c r="AB343" s="65"/>
      <c r="AC343" s="65"/>
      <c r="AD343" s="65"/>
      <c r="AE343" s="65"/>
      <c r="AF343" s="68"/>
      <c r="AG343" s="66">
        <v>45007</v>
      </c>
      <c r="AH343" s="67" t="s">
        <v>14308</v>
      </c>
      <c r="AI343" s="65" t="s">
        <v>3060</v>
      </c>
      <c r="AJ343" s="65"/>
      <c r="AK343" s="97">
        <f t="shared" ca="1" si="36"/>
        <v>376</v>
      </c>
      <c r="AL343">
        <f>IFERROR(VLOOKUP(A343,'DATA CLIENTES'!B4640:I8284,6,FALSE),0)</f>
        <v>0</v>
      </c>
    </row>
    <row r="344" spans="1:38" x14ac:dyDescent="0.25">
      <c r="A344" s="93" t="s">
        <v>8553</v>
      </c>
      <c r="B344" s="68" t="s">
        <v>14573</v>
      </c>
      <c r="C344" s="65"/>
      <c r="D344" s="65"/>
      <c r="E344" s="65"/>
      <c r="F344" s="69" t="s">
        <v>14574</v>
      </c>
      <c r="G344" s="70"/>
      <c r="H344" s="65" t="s">
        <v>14620</v>
      </c>
      <c r="I344" s="75">
        <v>552</v>
      </c>
      <c r="J344" s="75">
        <v>552</v>
      </c>
      <c r="K344" s="75"/>
      <c r="L344" s="75"/>
      <c r="M344" s="75"/>
      <c r="N344" s="75">
        <f>Tabla1[[#This Row],[IMPORTE APROBADO]]-Tabla1[[#This Row],[AMORTIZACION2]]</f>
        <v>0</v>
      </c>
      <c r="O344" s="65" t="str">
        <f>TEXT(Tabla1[[#This Row],[EMISION]],"mmm")</f>
        <v>Feb</v>
      </c>
      <c r="P344" s="65" t="str">
        <f>TEXT(Tabla1[[#This Row],[EMISION]],"YYYY")</f>
        <v>2023</v>
      </c>
      <c r="Q344" s="71">
        <v>44979</v>
      </c>
      <c r="R344" s="65" t="str">
        <f>TEXT(Tabla1[[#This Row],[VENCIMIENTO]],"mmm")</f>
        <v>Mar</v>
      </c>
      <c r="S344" s="71">
        <f t="shared" si="37"/>
        <v>44986</v>
      </c>
      <c r="T344" s="72">
        <f ca="1">Tabla1[[#This Row],[EMISION]]+Tabla1[[#This Row],[PLAZO]]-TODAY()</f>
        <v>-383</v>
      </c>
      <c r="U344" s="80">
        <f t="shared" ca="1" si="38"/>
        <v>0</v>
      </c>
      <c r="V344" s="72"/>
      <c r="W344" s="73" t="s">
        <v>14307</v>
      </c>
      <c r="X344" s="65">
        <v>7</v>
      </c>
      <c r="Y344" s="65"/>
      <c r="Z344" s="65"/>
      <c r="AA344" s="65"/>
      <c r="AB344" s="65"/>
      <c r="AC344" s="65"/>
      <c r="AD344" s="65"/>
      <c r="AE344" s="65"/>
      <c r="AF344" s="68"/>
      <c r="AG344" s="66">
        <v>44999</v>
      </c>
      <c r="AH344" s="67" t="s">
        <v>14308</v>
      </c>
      <c r="AI344" s="65" t="s">
        <v>3060</v>
      </c>
      <c r="AJ344" s="65"/>
      <c r="AK344" s="97">
        <f t="shared" ca="1" si="36"/>
        <v>383</v>
      </c>
      <c r="AL344">
        <f>IFERROR(VLOOKUP(A344,'DATA CLIENTES'!B4641:I8284,6,FALSE),0)</f>
        <v>0</v>
      </c>
    </row>
    <row r="345" spans="1:38" x14ac:dyDescent="0.25">
      <c r="A345" s="93" t="s">
        <v>9925</v>
      </c>
      <c r="B345" s="68" t="s">
        <v>14621</v>
      </c>
      <c r="C345" s="65"/>
      <c r="D345" s="65"/>
      <c r="E345" s="65"/>
      <c r="F345" s="69" t="s">
        <v>7000</v>
      </c>
      <c r="G345" s="70"/>
      <c r="H345" s="65" t="s">
        <v>14622</v>
      </c>
      <c r="I345" s="75">
        <v>3850</v>
      </c>
      <c r="J345" s="75"/>
      <c r="K345" s="75"/>
      <c r="L345" s="75"/>
      <c r="M345" s="75"/>
      <c r="N345" s="75">
        <f>Tabla1[[#This Row],[IMPORTE APROBADO]]-Tabla1[[#This Row],[AMORTIZACION2]]</f>
        <v>3850</v>
      </c>
      <c r="O345" s="65" t="str">
        <f>TEXT(Tabla1[[#This Row],[EMISION]],"mmm")</f>
        <v>Feb</v>
      </c>
      <c r="P345" s="65" t="str">
        <f>TEXT(Tabla1[[#This Row],[EMISION]],"YYYY")</f>
        <v>2023</v>
      </c>
      <c r="Q345" s="71">
        <v>44979</v>
      </c>
      <c r="R345" s="65" t="str">
        <f>TEXT(Tabla1[[#This Row],[VENCIMIENTO]],"mmm")</f>
        <v>Mar</v>
      </c>
      <c r="S345" s="71">
        <f t="shared" si="37"/>
        <v>45009</v>
      </c>
      <c r="T345" s="72">
        <f ca="1">Tabla1[[#This Row],[EMISION]]+Tabla1[[#This Row],[PLAZO]]-TODAY()</f>
        <v>-360</v>
      </c>
      <c r="U345" s="80">
        <f t="shared" ca="1" si="38"/>
        <v>0</v>
      </c>
      <c r="V345" s="72" t="s">
        <v>14551</v>
      </c>
      <c r="W345" s="73" t="s">
        <v>14307</v>
      </c>
      <c r="X345" s="65">
        <v>30</v>
      </c>
      <c r="Y345" s="65"/>
      <c r="Z345" s="65"/>
      <c r="AA345" s="65"/>
      <c r="AB345" s="65"/>
      <c r="AC345" s="65"/>
      <c r="AD345" s="65"/>
      <c r="AE345" s="65"/>
      <c r="AF345" s="68"/>
      <c r="AG345" s="66"/>
      <c r="AH345" s="67" t="s">
        <v>14313</v>
      </c>
      <c r="AI345" s="65" t="s">
        <v>3060</v>
      </c>
      <c r="AJ345" s="65"/>
      <c r="AK345" s="97">
        <f t="shared" ca="1" si="36"/>
        <v>360</v>
      </c>
      <c r="AL345">
        <f>IFERROR(VLOOKUP(A345,'DATA CLIENTES'!B4642:I8284,6,FALSE),0)</f>
        <v>0</v>
      </c>
    </row>
    <row r="346" spans="1:38" x14ac:dyDescent="0.25">
      <c r="A346" s="93" t="s">
        <v>9505</v>
      </c>
      <c r="B346" s="68" t="s">
        <v>14367</v>
      </c>
      <c r="C346" s="65"/>
      <c r="D346" s="65"/>
      <c r="E346" s="65"/>
      <c r="F346" s="69" t="s">
        <v>14559</v>
      </c>
      <c r="G346" s="70"/>
      <c r="H346" s="65" t="s">
        <v>14623</v>
      </c>
      <c r="I346" s="75">
        <v>1812.044032</v>
      </c>
      <c r="J346" s="75">
        <v>1812.1</v>
      </c>
      <c r="K346" s="75"/>
      <c r="L346" s="75"/>
      <c r="M346" s="75"/>
      <c r="N346" s="75">
        <f>Tabla1[[#This Row],[IMPORTE APROBADO]]-Tabla1[[#This Row],[AMORTIZACION2]]</f>
        <v>-5.5967999999893436E-2</v>
      </c>
      <c r="O346" s="65" t="str">
        <f>TEXT(Tabla1[[#This Row],[EMISION]],"mmm")</f>
        <v>Feb</v>
      </c>
      <c r="P346" s="65" t="str">
        <f>TEXT(Tabla1[[#This Row],[EMISION]],"YYYY")</f>
        <v>2023</v>
      </c>
      <c r="Q346" s="71">
        <v>44980</v>
      </c>
      <c r="R346" s="65" t="str">
        <f>TEXT(Tabla1[[#This Row],[VENCIMIENTO]],"mmm")</f>
        <v>Mar</v>
      </c>
      <c r="S346" s="71">
        <f t="shared" si="37"/>
        <v>44995</v>
      </c>
      <c r="T346" s="72">
        <f ca="1">Tabla1[[#This Row],[EMISION]]+Tabla1[[#This Row],[PLAZO]]-TODAY()</f>
        <v>-374</v>
      </c>
      <c r="U346" s="80">
        <f t="shared" ca="1" si="38"/>
        <v>0</v>
      </c>
      <c r="V346" s="72"/>
      <c r="W346" s="73" t="s">
        <v>14307</v>
      </c>
      <c r="X346" s="65">
        <v>15</v>
      </c>
      <c r="Y346" s="65"/>
      <c r="Z346" s="65"/>
      <c r="AA346" s="65"/>
      <c r="AB346" s="65"/>
      <c r="AC346" s="65"/>
      <c r="AD346" s="65"/>
      <c r="AE346" s="65"/>
      <c r="AF346" s="68"/>
      <c r="AG346" s="66">
        <v>45001</v>
      </c>
      <c r="AH346" s="67" t="s">
        <v>14308</v>
      </c>
      <c r="AI346" s="65" t="s">
        <v>3060</v>
      </c>
      <c r="AJ346" s="65"/>
      <c r="AK346" s="97">
        <f t="shared" ca="1" si="36"/>
        <v>374</v>
      </c>
      <c r="AL346">
        <f>IFERROR(VLOOKUP(A346,'DATA CLIENTES'!B4643:I8284,6,FALSE),0)</f>
        <v>0</v>
      </c>
    </row>
    <row r="347" spans="1:38" x14ac:dyDescent="0.25">
      <c r="A347" s="93" t="s">
        <v>14624</v>
      </c>
      <c r="B347" s="68" t="s">
        <v>6944</v>
      </c>
      <c r="C347" s="65"/>
      <c r="D347" s="65"/>
      <c r="E347" s="65"/>
      <c r="F347" s="69" t="s">
        <v>14557</v>
      </c>
      <c r="G347" s="70"/>
      <c r="H347" s="65" t="s">
        <v>14625</v>
      </c>
      <c r="I347" s="75">
        <v>4470</v>
      </c>
      <c r="J347" s="75">
        <f>682.09</f>
        <v>682.09</v>
      </c>
      <c r="K347" s="75"/>
      <c r="L347" s="75"/>
      <c r="M347" s="75"/>
      <c r="N347" s="75">
        <f>Tabla1[[#This Row],[IMPORTE APROBADO]]-Tabla1[[#This Row],[AMORTIZACION2]]</f>
        <v>3787.91</v>
      </c>
      <c r="O347" s="65" t="str">
        <f>TEXT(Tabla1[[#This Row],[EMISION]],"mmm")</f>
        <v>Feb</v>
      </c>
      <c r="P347" s="65" t="str">
        <f>TEXT(Tabla1[[#This Row],[EMISION]],"YYYY")</f>
        <v>2023</v>
      </c>
      <c r="Q347" s="71">
        <v>44982</v>
      </c>
      <c r="R347" s="65" t="str">
        <f>TEXT(Tabla1[[#This Row],[VENCIMIENTO]],"mmm")</f>
        <v>Mar</v>
      </c>
      <c r="S347" s="71">
        <f t="shared" ref="S347:S351" si="39">Q347+X347</f>
        <v>44997</v>
      </c>
      <c r="T347" s="72">
        <f ca="1">Tabla1[[#This Row],[EMISION]]+Tabla1[[#This Row],[PLAZO]]-TODAY()</f>
        <v>-372</v>
      </c>
      <c r="U347" s="80">
        <f t="shared" ref="U347:U351" ca="1" si="40">IF(T347&gt;=0,$U$4,IF(AND(T347&lt;=-1,T347&gt;=-30),$U$5,IF(AND(T347&lt;=-31,T347&gt;=-60),$U$6,IF(AND(T347&lt;=-61,T347&gt;=-90),$U$7,$U$8))))</f>
        <v>0</v>
      </c>
      <c r="V347" s="72" t="s">
        <v>3070</v>
      </c>
      <c r="W347" s="73" t="s">
        <v>14307</v>
      </c>
      <c r="X347" s="65">
        <v>15</v>
      </c>
      <c r="Y347" s="65"/>
      <c r="Z347" s="65"/>
      <c r="AA347" s="65"/>
      <c r="AB347" s="65"/>
      <c r="AC347" s="65"/>
      <c r="AD347" s="65"/>
      <c r="AE347" s="65"/>
      <c r="AF347" s="68"/>
      <c r="AG347" s="66">
        <v>45219</v>
      </c>
      <c r="AH347" s="67" t="s">
        <v>14308</v>
      </c>
      <c r="AI347" s="65" t="s">
        <v>3060</v>
      </c>
      <c r="AJ347" s="65"/>
      <c r="AK347" s="97">
        <f t="shared" ca="1" si="36"/>
        <v>372</v>
      </c>
      <c r="AL347">
        <f>IFERROR(VLOOKUP(A347,'DATA CLIENTES'!B4644:I8284,6,FALSE),0)</f>
        <v>0</v>
      </c>
    </row>
    <row r="348" spans="1:38" x14ac:dyDescent="0.25">
      <c r="A348" s="93" t="s">
        <v>6694</v>
      </c>
      <c r="B348" s="68" t="s">
        <v>6695</v>
      </c>
      <c r="C348" s="65"/>
      <c r="D348" s="65"/>
      <c r="E348" s="65"/>
      <c r="F348" s="69" t="s">
        <v>14559</v>
      </c>
      <c r="G348" s="70"/>
      <c r="H348" s="65" t="s">
        <v>14626</v>
      </c>
      <c r="I348" s="75">
        <v>439.10237999999998</v>
      </c>
      <c r="J348" s="75">
        <f>250+189.1</f>
        <v>439.1</v>
      </c>
      <c r="K348" s="75"/>
      <c r="L348" s="75"/>
      <c r="M348" s="75"/>
      <c r="N348" s="75">
        <f>Tabla1[[#This Row],[IMPORTE APROBADO]]-Tabla1[[#This Row],[AMORTIZACION2]]</f>
        <v>2.3799999999596366E-3</v>
      </c>
      <c r="O348" s="65" t="str">
        <f>TEXT(Tabla1[[#This Row],[EMISION]],"mmm")</f>
        <v>Feb</v>
      </c>
      <c r="P348" s="65" t="str">
        <f>TEXT(Tabla1[[#This Row],[EMISION]],"YYYY")</f>
        <v>2023</v>
      </c>
      <c r="Q348" s="71">
        <v>44982</v>
      </c>
      <c r="R348" s="65" t="str">
        <f>TEXT(Tabla1[[#This Row],[VENCIMIENTO]],"mmm")</f>
        <v>Mar</v>
      </c>
      <c r="S348" s="71">
        <f t="shared" si="39"/>
        <v>44989</v>
      </c>
      <c r="T348" s="72">
        <f ca="1">Tabla1[[#This Row],[EMISION]]+Tabla1[[#This Row],[PLAZO]]-TODAY()</f>
        <v>-380</v>
      </c>
      <c r="U348" s="80">
        <f t="shared" ca="1" si="40"/>
        <v>0</v>
      </c>
      <c r="V348" s="72"/>
      <c r="W348" s="73" t="s">
        <v>14307</v>
      </c>
      <c r="X348" s="65">
        <v>7</v>
      </c>
      <c r="Y348" s="65"/>
      <c r="Z348" s="65"/>
      <c r="AA348" s="65"/>
      <c r="AB348" s="65"/>
      <c r="AC348" s="65"/>
      <c r="AD348" s="65"/>
      <c r="AE348" s="65"/>
      <c r="AF348" s="68"/>
      <c r="AG348" s="66">
        <v>44993</v>
      </c>
      <c r="AH348" s="67" t="s">
        <v>14308</v>
      </c>
      <c r="AI348" s="65" t="s">
        <v>3060</v>
      </c>
      <c r="AJ348" s="65"/>
      <c r="AK348" s="97">
        <f t="shared" ca="1" si="36"/>
        <v>380</v>
      </c>
      <c r="AL348">
        <f>IFERROR(VLOOKUP(A348,'DATA CLIENTES'!B4645:I8284,6,FALSE),0)</f>
        <v>0</v>
      </c>
    </row>
    <row r="349" spans="1:38" x14ac:dyDescent="0.25">
      <c r="A349" s="93" t="s">
        <v>6507</v>
      </c>
      <c r="B349" s="68" t="s">
        <v>6508</v>
      </c>
      <c r="C349" s="65"/>
      <c r="D349" s="65"/>
      <c r="E349" s="65"/>
      <c r="F349" s="69" t="s">
        <v>14557</v>
      </c>
      <c r="G349" s="70"/>
      <c r="H349" s="65" t="s">
        <v>14627</v>
      </c>
      <c r="I349" s="75">
        <v>10664.47</v>
      </c>
      <c r="J349" s="75">
        <f>3164.47+3000+4500</f>
        <v>10664.47</v>
      </c>
      <c r="K349" s="75"/>
      <c r="L349" s="75"/>
      <c r="M349" s="75"/>
      <c r="N349" s="75">
        <f>Tabla1[[#This Row],[IMPORTE APROBADO]]-Tabla1[[#This Row],[AMORTIZACION2]]</f>
        <v>0</v>
      </c>
      <c r="O349" s="65" t="str">
        <f>TEXT(Tabla1[[#This Row],[EMISION]],"mmm")</f>
        <v>Feb</v>
      </c>
      <c r="P349" s="65" t="str">
        <f>TEXT(Tabla1[[#This Row],[EMISION]],"YYYY")</f>
        <v>2023</v>
      </c>
      <c r="Q349" s="71">
        <v>44984</v>
      </c>
      <c r="R349" s="65" t="str">
        <f>TEXT(Tabla1[[#This Row],[VENCIMIENTO]],"mmm")</f>
        <v>Mar</v>
      </c>
      <c r="S349" s="71">
        <f t="shared" si="39"/>
        <v>45009</v>
      </c>
      <c r="T349" s="72">
        <f ca="1">Tabla1[[#This Row],[EMISION]]+Tabla1[[#This Row],[PLAZO]]-TODAY()</f>
        <v>-360</v>
      </c>
      <c r="U349" s="80">
        <f t="shared" ca="1" si="40"/>
        <v>0</v>
      </c>
      <c r="V349" s="72"/>
      <c r="W349" s="73" t="s">
        <v>14307</v>
      </c>
      <c r="X349" s="65">
        <v>25</v>
      </c>
      <c r="Y349" s="65"/>
      <c r="Z349" s="65"/>
      <c r="AA349" s="65"/>
      <c r="AB349" s="65"/>
      <c r="AC349" s="65"/>
      <c r="AD349" s="65"/>
      <c r="AE349" s="65"/>
      <c r="AF349" s="68"/>
      <c r="AG349" s="66">
        <v>44994</v>
      </c>
      <c r="AH349" s="67" t="s">
        <v>14308</v>
      </c>
      <c r="AI349" s="65" t="s">
        <v>3060</v>
      </c>
      <c r="AJ349" s="65"/>
      <c r="AK349" s="97">
        <f t="shared" ca="1" si="36"/>
        <v>360</v>
      </c>
      <c r="AL349">
        <f>IFERROR(VLOOKUP(A349,'DATA CLIENTES'!B4646:I8284,6,FALSE),0)</f>
        <v>0</v>
      </c>
    </row>
    <row r="350" spans="1:38" x14ac:dyDescent="0.25">
      <c r="A350" s="93" t="s">
        <v>9824</v>
      </c>
      <c r="B350" s="68" t="s">
        <v>14331</v>
      </c>
      <c r="C350" s="65"/>
      <c r="D350" s="65"/>
      <c r="E350" s="65"/>
      <c r="F350" s="69" t="s">
        <v>14557</v>
      </c>
      <c r="G350" s="70"/>
      <c r="H350" s="65" t="s">
        <v>14628</v>
      </c>
      <c r="I350" s="75">
        <v>6487.99</v>
      </c>
      <c r="J350" s="75">
        <f>700+787.9+1000+1000+1000+2000.1</f>
        <v>6488</v>
      </c>
      <c r="K350" s="75"/>
      <c r="L350" s="75"/>
      <c r="M350" s="75"/>
      <c r="N350" s="75">
        <f>Tabla1[[#This Row],[IMPORTE APROBADO]]-Tabla1[[#This Row],[AMORTIZACION2]]</f>
        <v>-1.0000000000218279E-2</v>
      </c>
      <c r="O350" s="65" t="str">
        <f>TEXT(Tabla1[[#This Row],[EMISION]],"mmm")</f>
        <v>Feb</v>
      </c>
      <c r="P350" s="65" t="str">
        <f>TEXT(Tabla1[[#This Row],[EMISION]],"YYYY")</f>
        <v>2023</v>
      </c>
      <c r="Q350" s="71">
        <v>44985</v>
      </c>
      <c r="R350" s="65" t="str">
        <f>TEXT(Tabla1[[#This Row],[VENCIMIENTO]],"mmm")</f>
        <v>Mar</v>
      </c>
      <c r="S350" s="71">
        <f t="shared" si="39"/>
        <v>44992</v>
      </c>
      <c r="T350" s="72">
        <f ca="1">Tabla1[[#This Row],[EMISION]]+Tabla1[[#This Row],[PLAZO]]-TODAY()</f>
        <v>-377</v>
      </c>
      <c r="U350" s="80">
        <f t="shared" ca="1" si="40"/>
        <v>0</v>
      </c>
      <c r="V350" s="72"/>
      <c r="W350" s="73" t="s">
        <v>14307</v>
      </c>
      <c r="X350" s="65">
        <v>7</v>
      </c>
      <c r="Y350" s="65"/>
      <c r="Z350" s="65"/>
      <c r="AA350" s="65"/>
      <c r="AB350" s="65"/>
      <c r="AC350" s="65"/>
      <c r="AD350" s="65"/>
      <c r="AE350" s="65"/>
      <c r="AF350" s="68"/>
      <c r="AG350" s="66">
        <v>45002</v>
      </c>
      <c r="AH350" s="67" t="s">
        <v>14308</v>
      </c>
      <c r="AI350" s="65" t="s">
        <v>3060</v>
      </c>
      <c r="AJ350" s="65"/>
      <c r="AK350" s="97">
        <f t="shared" ca="1" si="36"/>
        <v>377</v>
      </c>
      <c r="AL350">
        <f>IFERROR(VLOOKUP(A350,'DATA CLIENTES'!B4647:I8284,6,FALSE),0)</f>
        <v>0</v>
      </c>
    </row>
    <row r="351" spans="1:38" x14ac:dyDescent="0.25">
      <c r="A351" s="93" t="s">
        <v>14428</v>
      </c>
      <c r="B351" s="68" t="s">
        <v>14427</v>
      </c>
      <c r="C351" s="65"/>
      <c r="D351" s="65"/>
      <c r="E351" s="65"/>
      <c r="F351" s="69" t="s">
        <v>14557</v>
      </c>
      <c r="G351" s="70"/>
      <c r="H351" s="65" t="s">
        <v>14629</v>
      </c>
      <c r="I351" s="75">
        <v>25697.4</v>
      </c>
      <c r="J351" s="75">
        <f>5000+5000+5000+5000+5697.4</f>
        <v>25697.4</v>
      </c>
      <c r="K351" s="75"/>
      <c r="L351" s="75"/>
      <c r="M351" s="75"/>
      <c r="N351" s="75">
        <f>Tabla1[[#This Row],[IMPORTE APROBADO]]-Tabla1[[#This Row],[AMORTIZACION2]]</f>
        <v>0</v>
      </c>
      <c r="O351" s="65" t="str">
        <f>TEXT(Tabla1[[#This Row],[EMISION]],"mmm")</f>
        <v>Feb</v>
      </c>
      <c r="P351" s="65" t="str">
        <f>TEXT(Tabla1[[#This Row],[EMISION]],"YYYY")</f>
        <v>2023</v>
      </c>
      <c r="Q351" s="71">
        <v>44985</v>
      </c>
      <c r="R351" s="65" t="str">
        <f>TEXT(Tabla1[[#This Row],[VENCIMIENTO]],"mmm")</f>
        <v>Mar</v>
      </c>
      <c r="S351" s="71">
        <f t="shared" si="39"/>
        <v>45010</v>
      </c>
      <c r="T351" s="72">
        <f ca="1">Tabla1[[#This Row],[EMISION]]+Tabla1[[#This Row],[PLAZO]]-TODAY()</f>
        <v>-359</v>
      </c>
      <c r="U351" s="80">
        <f t="shared" ca="1" si="40"/>
        <v>0</v>
      </c>
      <c r="V351" s="72"/>
      <c r="W351" s="73" t="s">
        <v>14307</v>
      </c>
      <c r="X351" s="65">
        <v>25</v>
      </c>
      <c r="Y351" s="65"/>
      <c r="Z351" s="65"/>
      <c r="AA351" s="65"/>
      <c r="AB351" s="65"/>
      <c r="AC351" s="65"/>
      <c r="AD351" s="65"/>
      <c r="AE351" s="65"/>
      <c r="AF351" s="68"/>
      <c r="AG351" s="66">
        <v>45024</v>
      </c>
      <c r="AH351" s="67" t="s">
        <v>14308</v>
      </c>
      <c r="AI351" s="65" t="s">
        <v>3060</v>
      </c>
      <c r="AJ351" s="65"/>
      <c r="AK351" s="97">
        <f t="shared" ca="1" si="36"/>
        <v>359</v>
      </c>
      <c r="AL351">
        <f>IFERROR(VLOOKUP(A351,'DATA CLIENTES'!B4648:I8284,6,FALSE),0)</f>
        <v>0</v>
      </c>
    </row>
    <row r="352" spans="1:38" x14ac:dyDescent="0.25">
      <c r="A352" s="93" t="s">
        <v>6507</v>
      </c>
      <c r="B352" s="68" t="s">
        <v>6508</v>
      </c>
      <c r="C352" s="65"/>
      <c r="D352" s="65"/>
      <c r="E352" s="65"/>
      <c r="F352" s="69" t="s">
        <v>14559</v>
      </c>
      <c r="G352" s="70"/>
      <c r="H352" s="65" t="s">
        <v>14630</v>
      </c>
      <c r="I352" s="75">
        <v>6470</v>
      </c>
      <c r="J352" s="75">
        <v>6470</v>
      </c>
      <c r="K352" s="75"/>
      <c r="L352" s="75"/>
      <c r="M352" s="75"/>
      <c r="N352" s="75">
        <f>Tabla1[[#This Row],[IMPORTE APROBADO]]-Tabla1[[#This Row],[AMORTIZACION2]]</f>
        <v>0</v>
      </c>
      <c r="O352" s="65" t="str">
        <f>TEXT(Tabla1[[#This Row],[EMISION]],"mmm")</f>
        <v>Feb</v>
      </c>
      <c r="P352" s="65" t="str">
        <f>TEXT(Tabla1[[#This Row],[EMISION]],"YYYY")</f>
        <v>2023</v>
      </c>
      <c r="Q352" s="71">
        <v>44985</v>
      </c>
      <c r="R352" s="65" t="str">
        <f>TEXT(Tabla1[[#This Row],[VENCIMIENTO]],"mmm")</f>
        <v>Mar</v>
      </c>
      <c r="S352" s="71">
        <f t="shared" ref="S352:S359" si="41">Q352+X352</f>
        <v>45015</v>
      </c>
      <c r="T352" s="72">
        <f ca="1">Tabla1[[#This Row],[EMISION]]+Tabla1[[#This Row],[PLAZO]]-TODAY()</f>
        <v>-354</v>
      </c>
      <c r="U352" s="80">
        <f t="shared" ref="U352:U359" ca="1" si="42">IF(T352&gt;=0,$U$4,IF(AND(T352&lt;=-1,T352&gt;=-30),$U$5,IF(AND(T352&lt;=-31,T352&gt;=-60),$U$6,IF(AND(T352&lt;=-61,T352&gt;=-90),$U$7,$U$8))))</f>
        <v>0</v>
      </c>
      <c r="V352" s="72"/>
      <c r="W352" s="73" t="s">
        <v>14307</v>
      </c>
      <c r="X352" s="65">
        <v>30</v>
      </c>
      <c r="Y352" s="65"/>
      <c r="Z352" s="65"/>
      <c r="AA352" s="65"/>
      <c r="AB352" s="65"/>
      <c r="AC352" s="65"/>
      <c r="AD352" s="65"/>
      <c r="AE352" s="65"/>
      <c r="AF352" s="68"/>
      <c r="AG352" s="66">
        <v>44996</v>
      </c>
      <c r="AH352" s="67" t="s">
        <v>14308</v>
      </c>
      <c r="AI352" s="65" t="s">
        <v>3060</v>
      </c>
      <c r="AJ352" s="65"/>
      <c r="AK352" s="97">
        <f t="shared" ca="1" si="36"/>
        <v>354</v>
      </c>
      <c r="AL352">
        <f>IFERROR(VLOOKUP(A352,'DATA CLIENTES'!B4649:I8284,6,FALSE),0)</f>
        <v>0</v>
      </c>
    </row>
    <row r="353" spans="1:38" x14ac:dyDescent="0.25">
      <c r="A353" s="93" t="s">
        <v>6507</v>
      </c>
      <c r="B353" s="68" t="s">
        <v>6508</v>
      </c>
      <c r="C353" s="65"/>
      <c r="D353" s="65"/>
      <c r="E353" s="65"/>
      <c r="F353" s="69" t="s">
        <v>14559</v>
      </c>
      <c r="G353" s="70"/>
      <c r="H353" s="65" t="s">
        <v>14631</v>
      </c>
      <c r="I353" s="75">
        <v>14694.333676000002</v>
      </c>
      <c r="J353" s="75">
        <v>14694.33</v>
      </c>
      <c r="K353" s="75"/>
      <c r="L353" s="75"/>
      <c r="M353" s="75"/>
      <c r="N353" s="75">
        <f>Tabla1[[#This Row],[IMPORTE APROBADO]]-Tabla1[[#This Row],[AMORTIZACION2]]</f>
        <v>3.676000002087676E-3</v>
      </c>
      <c r="O353" s="65" t="str">
        <f>TEXT(Tabla1[[#This Row],[EMISION]],"mmm")</f>
        <v>Feb</v>
      </c>
      <c r="P353" s="65" t="str">
        <f>TEXT(Tabla1[[#This Row],[EMISION]],"YYYY")</f>
        <v>2023</v>
      </c>
      <c r="Q353" s="71">
        <v>44985</v>
      </c>
      <c r="R353" s="65" t="str">
        <f>TEXT(Tabla1[[#This Row],[VENCIMIENTO]],"mmm")</f>
        <v>Mar</v>
      </c>
      <c r="S353" s="71">
        <f t="shared" si="41"/>
        <v>45010</v>
      </c>
      <c r="T353" s="72">
        <f ca="1">Tabla1[[#This Row],[EMISION]]+Tabla1[[#This Row],[PLAZO]]-TODAY()</f>
        <v>-359</v>
      </c>
      <c r="U353" s="80">
        <f t="shared" ca="1" si="42"/>
        <v>0</v>
      </c>
      <c r="V353" s="72"/>
      <c r="W353" s="73" t="s">
        <v>14307</v>
      </c>
      <c r="X353" s="65">
        <v>25</v>
      </c>
      <c r="Y353" s="65"/>
      <c r="Z353" s="65"/>
      <c r="AA353" s="65"/>
      <c r="AB353" s="65"/>
      <c r="AC353" s="65"/>
      <c r="AD353" s="65"/>
      <c r="AE353" s="65"/>
      <c r="AF353" s="68"/>
      <c r="AG353" s="66">
        <v>44996</v>
      </c>
      <c r="AH353" s="67" t="s">
        <v>14308</v>
      </c>
      <c r="AI353" s="65" t="s">
        <v>3060</v>
      </c>
      <c r="AJ353" s="65"/>
      <c r="AK353" s="97">
        <f t="shared" ca="1" si="36"/>
        <v>359</v>
      </c>
      <c r="AL353">
        <f>IFERROR(VLOOKUP(A353,'DATA CLIENTES'!B4650:I8284,6,FALSE),0)</f>
        <v>0</v>
      </c>
    </row>
    <row r="354" spans="1:38" x14ac:dyDescent="0.25">
      <c r="A354" s="93" t="s">
        <v>10005</v>
      </c>
      <c r="B354" s="68" t="s">
        <v>14443</v>
      </c>
      <c r="C354" s="65"/>
      <c r="D354" s="65"/>
      <c r="E354" s="65"/>
      <c r="F354" s="69" t="s">
        <v>14557</v>
      </c>
      <c r="G354" s="70"/>
      <c r="H354" s="65" t="s">
        <v>14632</v>
      </c>
      <c r="I354" s="75">
        <v>4280.3999999999996</v>
      </c>
      <c r="J354" s="75">
        <v>4280.3999999999996</v>
      </c>
      <c r="K354" s="75"/>
      <c r="L354" s="75"/>
      <c r="M354" s="75"/>
      <c r="N354" s="75">
        <f>Tabla1[[#This Row],[IMPORTE APROBADO]]-Tabla1[[#This Row],[AMORTIZACION2]]</f>
        <v>0</v>
      </c>
      <c r="O354" s="65" t="str">
        <f>TEXT(Tabla1[[#This Row],[EMISION]],"mmm")</f>
        <v>Feb</v>
      </c>
      <c r="P354" s="65" t="str">
        <f>TEXT(Tabla1[[#This Row],[EMISION]],"YYYY")</f>
        <v>2023</v>
      </c>
      <c r="Q354" s="71">
        <v>44985</v>
      </c>
      <c r="R354" s="65" t="str">
        <f>TEXT(Tabla1[[#This Row],[VENCIMIENTO]],"mmm")</f>
        <v>Mar</v>
      </c>
      <c r="S354" s="71">
        <f t="shared" si="41"/>
        <v>45000</v>
      </c>
      <c r="T354" s="72">
        <f ca="1">Tabla1[[#This Row],[EMISION]]+Tabla1[[#This Row],[PLAZO]]-TODAY()</f>
        <v>-369</v>
      </c>
      <c r="U354" s="80">
        <f t="shared" ca="1" si="42"/>
        <v>0</v>
      </c>
      <c r="V354" s="72"/>
      <c r="W354" s="73" t="s">
        <v>14307</v>
      </c>
      <c r="X354" s="65">
        <v>15</v>
      </c>
      <c r="Y354" s="65"/>
      <c r="Z354" s="65"/>
      <c r="AA354" s="65"/>
      <c r="AB354" s="65"/>
      <c r="AC354" s="65"/>
      <c r="AD354" s="65"/>
      <c r="AE354" s="65"/>
      <c r="AF354" s="68"/>
      <c r="AG354" s="66">
        <v>45003</v>
      </c>
      <c r="AH354" s="67" t="s">
        <v>14308</v>
      </c>
      <c r="AI354" s="65" t="s">
        <v>3060</v>
      </c>
      <c r="AJ354" s="65"/>
      <c r="AK354" s="97">
        <f t="shared" ca="1" si="36"/>
        <v>369</v>
      </c>
      <c r="AL354">
        <f>IFERROR(VLOOKUP(A354,'DATA CLIENTES'!B4651:I8284,6,FALSE),0)</f>
        <v>0</v>
      </c>
    </row>
    <row r="355" spans="1:38" x14ac:dyDescent="0.25">
      <c r="A355" s="93" t="s">
        <v>4620</v>
      </c>
      <c r="B355" s="68" t="s">
        <v>4621</v>
      </c>
      <c r="C355" s="65"/>
      <c r="D355" s="65"/>
      <c r="E355" s="65"/>
      <c r="F355" s="69" t="s">
        <v>7000</v>
      </c>
      <c r="G355" s="70"/>
      <c r="H355" s="65" t="s">
        <v>14634</v>
      </c>
      <c r="I355" s="75">
        <v>-306.26</v>
      </c>
      <c r="J355" s="75"/>
      <c r="K355" s="75"/>
      <c r="L355" s="75"/>
      <c r="M355" s="75"/>
      <c r="N355" s="75">
        <f>Tabla1[[#This Row],[IMPORTE APROBADO]]-Tabla1[[#This Row],[AMORTIZACION2]]</f>
        <v>-306.26</v>
      </c>
      <c r="O355" s="65" t="str">
        <f>TEXT(Tabla1[[#This Row],[EMISION]],"mmm")</f>
        <v>Mar</v>
      </c>
      <c r="P355" s="65" t="str">
        <f>TEXT(Tabla1[[#This Row],[EMISION]],"YYYY")</f>
        <v>2023</v>
      </c>
      <c r="Q355" s="71">
        <v>44986</v>
      </c>
      <c r="R355" s="65" t="str">
        <f>TEXT(Tabla1[[#This Row],[VENCIMIENTO]],"mmm")</f>
        <v>Abr</v>
      </c>
      <c r="S355" s="71">
        <f t="shared" si="41"/>
        <v>45046</v>
      </c>
      <c r="T355" s="72">
        <f ca="1">Tabla1[[#This Row],[EMISION]]+Tabla1[[#This Row],[PLAZO]]-TODAY()</f>
        <v>-323</v>
      </c>
      <c r="U355" s="80">
        <f t="shared" ca="1" si="42"/>
        <v>0</v>
      </c>
      <c r="V355" s="72" t="s">
        <v>14477</v>
      </c>
      <c r="W355" s="73" t="s">
        <v>14307</v>
      </c>
      <c r="X355" s="65">
        <v>60</v>
      </c>
      <c r="Y355" s="65"/>
      <c r="Z355" s="65"/>
      <c r="AA355" s="65"/>
      <c r="AB355" s="65"/>
      <c r="AC355" s="65"/>
      <c r="AD355" s="65"/>
      <c r="AE355" s="65"/>
      <c r="AF355" s="68"/>
      <c r="AG355" s="66">
        <v>44994</v>
      </c>
      <c r="AH355" s="67" t="s">
        <v>14308</v>
      </c>
      <c r="AI355" s="65" t="s">
        <v>3060</v>
      </c>
      <c r="AJ355" s="65"/>
      <c r="AK355" s="97">
        <f t="shared" ca="1" si="36"/>
        <v>323</v>
      </c>
      <c r="AL355">
        <f>IFERROR(VLOOKUP(A355,'DATA CLIENTES'!B4652:I8284,6,FALSE),0)</f>
        <v>0</v>
      </c>
    </row>
    <row r="356" spans="1:38" x14ac:dyDescent="0.25">
      <c r="A356" s="93" t="s">
        <v>9248</v>
      </c>
      <c r="B356" s="68" t="s">
        <v>14430</v>
      </c>
      <c r="C356" s="65"/>
      <c r="D356" s="65"/>
      <c r="E356" s="65"/>
      <c r="F356" s="69" t="s">
        <v>14571</v>
      </c>
      <c r="G356" s="70"/>
      <c r="H356" s="65" t="s">
        <v>14635</v>
      </c>
      <c r="I356" s="75">
        <v>4621</v>
      </c>
      <c r="J356" s="75">
        <v>4621</v>
      </c>
      <c r="K356" s="75"/>
      <c r="L356" s="75"/>
      <c r="M356" s="75"/>
      <c r="N356" s="75">
        <f>Tabla1[[#This Row],[IMPORTE APROBADO]]-Tabla1[[#This Row],[AMORTIZACION2]]</f>
        <v>0</v>
      </c>
      <c r="O356" s="65" t="str">
        <f>TEXT(Tabla1[[#This Row],[EMISION]],"mmm")</f>
        <v>Mar</v>
      </c>
      <c r="P356" s="65" t="str">
        <f>TEXT(Tabla1[[#This Row],[EMISION]],"YYYY")</f>
        <v>2023</v>
      </c>
      <c r="Q356" s="71">
        <v>44988</v>
      </c>
      <c r="R356" s="65" t="str">
        <f>TEXT(Tabla1[[#This Row],[VENCIMIENTO]],"mmm")</f>
        <v>Mar</v>
      </c>
      <c r="S356" s="71">
        <f t="shared" si="41"/>
        <v>45003</v>
      </c>
      <c r="T356" s="72">
        <f ca="1">Tabla1[[#This Row],[EMISION]]+Tabla1[[#This Row],[PLAZO]]-TODAY()</f>
        <v>-366</v>
      </c>
      <c r="U356" s="80">
        <f t="shared" ca="1" si="42"/>
        <v>0</v>
      </c>
      <c r="V356" s="72"/>
      <c r="W356" s="73" t="s">
        <v>14307</v>
      </c>
      <c r="X356" s="65">
        <v>15</v>
      </c>
      <c r="Y356" s="65"/>
      <c r="Z356" s="65"/>
      <c r="AA356" s="65"/>
      <c r="AB356" s="65"/>
      <c r="AC356" s="65"/>
      <c r="AD356" s="65"/>
      <c r="AE356" s="65"/>
      <c r="AF356" s="68"/>
      <c r="AG356" s="66">
        <v>45012</v>
      </c>
      <c r="AH356" s="67" t="s">
        <v>14308</v>
      </c>
      <c r="AI356" s="65" t="s">
        <v>3060</v>
      </c>
      <c r="AJ356" s="65"/>
      <c r="AK356" s="97">
        <f t="shared" ca="1" si="36"/>
        <v>366</v>
      </c>
      <c r="AL356">
        <f>IFERROR(VLOOKUP(A356,'DATA CLIENTES'!B4653:I8284,6,FALSE),0)</f>
        <v>0</v>
      </c>
    </row>
    <row r="357" spans="1:38" x14ac:dyDescent="0.25">
      <c r="A357" s="93" t="s">
        <v>9263</v>
      </c>
      <c r="B357" s="68" t="s">
        <v>9264</v>
      </c>
      <c r="C357" s="65"/>
      <c r="D357" s="65"/>
      <c r="E357" s="65"/>
      <c r="F357" s="69" t="s">
        <v>14571</v>
      </c>
      <c r="G357" s="70"/>
      <c r="H357" s="65" t="s">
        <v>14636</v>
      </c>
      <c r="I357" s="75">
        <v>1860</v>
      </c>
      <c r="J357" s="75">
        <f>1860</f>
        <v>1860</v>
      </c>
      <c r="K357" s="75"/>
      <c r="L357" s="75"/>
      <c r="M357" s="75"/>
      <c r="N357" s="75">
        <f>Tabla1[[#This Row],[IMPORTE APROBADO]]-Tabla1[[#This Row],[AMORTIZACION2]]</f>
        <v>0</v>
      </c>
      <c r="O357" s="65" t="str">
        <f>TEXT(Tabla1[[#This Row],[EMISION]],"mmm")</f>
        <v>Mar</v>
      </c>
      <c r="P357" s="65" t="str">
        <f>TEXT(Tabla1[[#This Row],[EMISION]],"YYYY")</f>
        <v>2023</v>
      </c>
      <c r="Q357" s="71">
        <v>44988</v>
      </c>
      <c r="R357" s="65" t="str">
        <f>TEXT(Tabla1[[#This Row],[VENCIMIENTO]],"mmm")</f>
        <v>Mar</v>
      </c>
      <c r="S357" s="71">
        <f t="shared" si="41"/>
        <v>45003</v>
      </c>
      <c r="T357" s="72">
        <f ca="1">Tabla1[[#This Row],[EMISION]]+Tabla1[[#This Row],[PLAZO]]-TODAY()</f>
        <v>-366</v>
      </c>
      <c r="U357" s="80">
        <f t="shared" ca="1" si="42"/>
        <v>0</v>
      </c>
      <c r="V357" s="72"/>
      <c r="W357" s="73" t="s">
        <v>14307</v>
      </c>
      <c r="X357" s="65">
        <v>15</v>
      </c>
      <c r="Y357" s="65"/>
      <c r="Z357" s="65"/>
      <c r="AA357" s="65"/>
      <c r="AB357" s="65"/>
      <c r="AC357" s="65"/>
      <c r="AD357" s="65"/>
      <c r="AE357" s="65"/>
      <c r="AF357" s="68"/>
      <c r="AG357" s="66">
        <v>45009</v>
      </c>
      <c r="AH357" s="67" t="s">
        <v>14308</v>
      </c>
      <c r="AI357" s="65" t="s">
        <v>3060</v>
      </c>
      <c r="AJ357" s="65"/>
      <c r="AK357" s="97">
        <f t="shared" ca="1" si="36"/>
        <v>366</v>
      </c>
      <c r="AL357">
        <f>IFERROR(VLOOKUP(A357,'DATA CLIENTES'!B4654:I8284,6,FALSE),0)</f>
        <v>0</v>
      </c>
    </row>
    <row r="358" spans="1:38" x14ac:dyDescent="0.25">
      <c r="A358" s="93" t="s">
        <v>9263</v>
      </c>
      <c r="B358" s="68" t="s">
        <v>9264</v>
      </c>
      <c r="C358" s="65"/>
      <c r="D358" s="65"/>
      <c r="E358" s="65"/>
      <c r="F358" s="69" t="s">
        <v>14571</v>
      </c>
      <c r="G358" s="70"/>
      <c r="H358" s="65" t="s">
        <v>14637</v>
      </c>
      <c r="I358" s="75">
        <v>4497</v>
      </c>
      <c r="J358" s="75">
        <f>1440+3057</f>
        <v>4497</v>
      </c>
      <c r="K358" s="75"/>
      <c r="L358" s="75"/>
      <c r="M358" s="75"/>
      <c r="N358" s="75">
        <f>Tabla1[[#This Row],[IMPORTE APROBADO]]-Tabla1[[#This Row],[AMORTIZACION2]]</f>
        <v>0</v>
      </c>
      <c r="O358" s="65" t="str">
        <f>TEXT(Tabla1[[#This Row],[EMISION]],"mmm")</f>
        <v>Mar</v>
      </c>
      <c r="P358" s="65" t="str">
        <f>TEXT(Tabla1[[#This Row],[EMISION]],"YYYY")</f>
        <v>2023</v>
      </c>
      <c r="Q358" s="71">
        <v>44988</v>
      </c>
      <c r="R358" s="65" t="str">
        <f>TEXT(Tabla1[[#This Row],[VENCIMIENTO]],"mmm")</f>
        <v>Mar</v>
      </c>
      <c r="S358" s="71">
        <f t="shared" si="41"/>
        <v>45003</v>
      </c>
      <c r="T358" s="72">
        <f ca="1">Tabla1[[#This Row],[EMISION]]+Tabla1[[#This Row],[PLAZO]]-TODAY()</f>
        <v>-366</v>
      </c>
      <c r="U358" s="80">
        <f t="shared" ca="1" si="42"/>
        <v>0</v>
      </c>
      <c r="V358" s="72"/>
      <c r="W358" s="73" t="s">
        <v>14307</v>
      </c>
      <c r="X358" s="65">
        <v>15</v>
      </c>
      <c r="Y358" s="65"/>
      <c r="Z358" s="65"/>
      <c r="AA358" s="65"/>
      <c r="AB358" s="65"/>
      <c r="AC358" s="65"/>
      <c r="AD358" s="65"/>
      <c r="AE358" s="65"/>
      <c r="AF358" s="68"/>
      <c r="AG358" s="66">
        <v>45012</v>
      </c>
      <c r="AH358" s="67" t="s">
        <v>14308</v>
      </c>
      <c r="AI358" s="65" t="s">
        <v>3060</v>
      </c>
      <c r="AJ358" s="65"/>
      <c r="AK358" s="97">
        <f t="shared" ca="1" si="36"/>
        <v>366</v>
      </c>
      <c r="AL358">
        <f>IFERROR(VLOOKUP(A358,'DATA CLIENTES'!B4655:I8284,6,FALSE),0)</f>
        <v>0</v>
      </c>
    </row>
    <row r="359" spans="1:38" x14ac:dyDescent="0.25">
      <c r="A359" s="93" t="s">
        <v>6116</v>
      </c>
      <c r="B359" s="68" t="s">
        <v>14311</v>
      </c>
      <c r="C359" s="65"/>
      <c r="D359" s="65"/>
      <c r="E359" s="65"/>
      <c r="F359" s="69" t="s">
        <v>7000</v>
      </c>
      <c r="G359" s="70"/>
      <c r="H359" s="65" t="s">
        <v>14638</v>
      </c>
      <c r="I359" s="75">
        <v>15093.4</v>
      </c>
      <c r="J359" s="75">
        <f>15093.4</f>
        <v>15093.4</v>
      </c>
      <c r="K359" s="75"/>
      <c r="L359" s="75"/>
      <c r="M359" s="75"/>
      <c r="N359" s="75">
        <f>Tabla1[[#This Row],[IMPORTE APROBADO]]-Tabla1[[#This Row],[AMORTIZACION2]]</f>
        <v>0</v>
      </c>
      <c r="O359" s="65" t="str">
        <f>TEXT(Tabla1[[#This Row],[EMISION]],"mmm")</f>
        <v>Mar</v>
      </c>
      <c r="P359" s="65" t="str">
        <f>TEXT(Tabla1[[#This Row],[EMISION]],"YYYY")</f>
        <v>2023</v>
      </c>
      <c r="Q359" s="71">
        <v>44991</v>
      </c>
      <c r="R359" s="65" t="str">
        <f>TEXT(Tabla1[[#This Row],[VENCIMIENTO]],"mmm")</f>
        <v>Abr</v>
      </c>
      <c r="S359" s="71">
        <f t="shared" si="41"/>
        <v>45021</v>
      </c>
      <c r="T359" s="72">
        <f ca="1">Tabla1[[#This Row],[EMISION]]+Tabla1[[#This Row],[PLAZO]]-TODAY()</f>
        <v>-348</v>
      </c>
      <c r="U359" s="80">
        <f t="shared" ca="1" si="42"/>
        <v>0</v>
      </c>
      <c r="V359" s="72"/>
      <c r="W359" s="73" t="s">
        <v>14307</v>
      </c>
      <c r="X359" s="65">
        <v>30</v>
      </c>
      <c r="Y359" s="65"/>
      <c r="Z359" s="65"/>
      <c r="AA359" s="65"/>
      <c r="AB359" s="65"/>
      <c r="AC359" s="65"/>
      <c r="AD359" s="65"/>
      <c r="AE359" s="65"/>
      <c r="AF359" s="68"/>
      <c r="AG359" s="66">
        <v>45194</v>
      </c>
      <c r="AH359" s="67" t="s">
        <v>14308</v>
      </c>
      <c r="AI359" s="65" t="s">
        <v>3060</v>
      </c>
      <c r="AJ359" s="65"/>
      <c r="AK359" s="97">
        <f t="shared" ca="1" si="36"/>
        <v>348</v>
      </c>
      <c r="AL359">
        <f>IFERROR(VLOOKUP(A359,'DATA CLIENTES'!B4656:I8284,6,FALSE),0)</f>
        <v>0</v>
      </c>
    </row>
    <row r="360" spans="1:38" x14ac:dyDescent="0.25">
      <c r="A360" s="93" t="s">
        <v>6116</v>
      </c>
      <c r="B360" s="68" t="s">
        <v>14311</v>
      </c>
      <c r="C360" s="65"/>
      <c r="D360" s="65"/>
      <c r="E360" s="65"/>
      <c r="F360" s="69" t="s">
        <v>14557</v>
      </c>
      <c r="G360" s="70"/>
      <c r="H360" s="65" t="s">
        <v>14639</v>
      </c>
      <c r="I360" s="75">
        <v>9444.7999980000004</v>
      </c>
      <c r="J360" s="75">
        <v>9444.7999999999993</v>
      </c>
      <c r="K360" s="75"/>
      <c r="L360" s="75"/>
      <c r="M360" s="75"/>
      <c r="N360" s="75">
        <f>Tabla1[[#This Row],[IMPORTE APROBADO]]-Tabla1[[#This Row],[AMORTIZACION2]]</f>
        <v>-1.9999988580821082E-6</v>
      </c>
      <c r="O360" s="65" t="str">
        <f>TEXT(Tabla1[[#This Row],[EMISION]],"mmm")</f>
        <v>Mar</v>
      </c>
      <c r="P360" s="65" t="str">
        <f>TEXT(Tabla1[[#This Row],[EMISION]],"YYYY")</f>
        <v>2023</v>
      </c>
      <c r="Q360" s="71">
        <v>44993</v>
      </c>
      <c r="R360" s="65" t="str">
        <f>TEXT(Tabla1[[#This Row],[VENCIMIENTO]],"mmm")</f>
        <v>Abr</v>
      </c>
      <c r="S360" s="71">
        <f t="shared" ref="S360:S366" si="43">Q360+X360</f>
        <v>45023</v>
      </c>
      <c r="T360" s="72">
        <f ca="1">Tabla1[[#This Row],[EMISION]]+Tabla1[[#This Row],[PLAZO]]-TODAY()</f>
        <v>-346</v>
      </c>
      <c r="U360" s="80">
        <f t="shared" ref="U360:U366" ca="1" si="44">IF(T360&gt;=0,$U$4,IF(AND(T360&lt;=-1,T360&gt;=-30),$U$5,IF(AND(T360&lt;=-31,T360&gt;=-60),$U$6,IF(AND(T360&lt;=-61,T360&gt;=-90),$U$7,$U$8))))</f>
        <v>0</v>
      </c>
      <c r="V360" s="72"/>
      <c r="W360" s="73" t="s">
        <v>14307</v>
      </c>
      <c r="X360" s="65">
        <v>30</v>
      </c>
      <c r="Y360" s="65"/>
      <c r="Z360" s="65"/>
      <c r="AA360" s="65"/>
      <c r="AB360" s="65"/>
      <c r="AC360" s="65"/>
      <c r="AD360" s="65"/>
      <c r="AE360" s="65"/>
      <c r="AF360" s="68"/>
      <c r="AG360" s="66">
        <v>45036</v>
      </c>
      <c r="AH360" s="67" t="s">
        <v>14308</v>
      </c>
      <c r="AI360" s="65" t="s">
        <v>3060</v>
      </c>
      <c r="AJ360" s="65"/>
      <c r="AK360" s="97">
        <f t="shared" ca="1" si="36"/>
        <v>346</v>
      </c>
      <c r="AL360">
        <f>IFERROR(VLOOKUP(A360,'DATA CLIENTES'!B4657:I8284,6,FALSE),0)</f>
        <v>0</v>
      </c>
    </row>
    <row r="361" spans="1:38" x14ac:dyDescent="0.25">
      <c r="A361" s="93" t="s">
        <v>5445</v>
      </c>
      <c r="B361" s="68" t="s">
        <v>5446</v>
      </c>
      <c r="C361" s="65"/>
      <c r="D361" s="65"/>
      <c r="E361" s="65"/>
      <c r="F361" s="69" t="s">
        <v>7000</v>
      </c>
      <c r="G361" s="70"/>
      <c r="H361" s="65" t="s">
        <v>14640</v>
      </c>
      <c r="I361" s="75">
        <v>440.16</v>
      </c>
      <c r="J361" s="75">
        <f>220+220</f>
        <v>440</v>
      </c>
      <c r="K361" s="75"/>
      <c r="L361" s="75"/>
      <c r="M361" s="75"/>
      <c r="N361" s="75">
        <f>Tabla1[[#This Row],[IMPORTE APROBADO]]-Tabla1[[#This Row],[AMORTIZACION2]]</f>
        <v>0.16000000000002501</v>
      </c>
      <c r="O361" s="65" t="str">
        <f>TEXT(Tabla1[[#This Row],[EMISION]],"mmm")</f>
        <v>Mar</v>
      </c>
      <c r="P361" s="65" t="str">
        <f>TEXT(Tabla1[[#This Row],[EMISION]],"YYYY")</f>
        <v>2023</v>
      </c>
      <c r="Q361" s="71">
        <v>44994</v>
      </c>
      <c r="R361" s="65" t="str">
        <f>TEXT(Tabla1[[#This Row],[VENCIMIENTO]],"mmm")</f>
        <v>Mar</v>
      </c>
      <c r="S361" s="71">
        <f t="shared" si="43"/>
        <v>45009</v>
      </c>
      <c r="T361" s="72">
        <f ca="1">Tabla1[[#This Row],[EMISION]]+Tabla1[[#This Row],[PLAZO]]-TODAY()</f>
        <v>-360</v>
      </c>
      <c r="U361" s="80">
        <f t="shared" ca="1" si="44"/>
        <v>0</v>
      </c>
      <c r="V361" s="72" t="s">
        <v>14641</v>
      </c>
      <c r="W361" s="73" t="s">
        <v>14307</v>
      </c>
      <c r="X361" s="65">
        <v>15</v>
      </c>
      <c r="Y361" s="65"/>
      <c r="Z361" s="65"/>
      <c r="AA361" s="65"/>
      <c r="AB361" s="65"/>
      <c r="AC361" s="65"/>
      <c r="AD361" s="65"/>
      <c r="AE361" s="65"/>
      <c r="AF361" s="68"/>
      <c r="AG361" s="66">
        <v>45013</v>
      </c>
      <c r="AH361" s="67" t="s">
        <v>14308</v>
      </c>
      <c r="AI361" s="65" t="s">
        <v>3060</v>
      </c>
      <c r="AJ361" s="65"/>
      <c r="AK361" s="97">
        <f t="shared" ca="1" si="36"/>
        <v>360</v>
      </c>
      <c r="AL361">
        <f>IFERROR(VLOOKUP(A361,'DATA CLIENTES'!B4658:I8284,6,FALSE),0)</f>
        <v>0</v>
      </c>
    </row>
    <row r="362" spans="1:38" x14ac:dyDescent="0.25">
      <c r="A362" s="93" t="s">
        <v>7964</v>
      </c>
      <c r="B362" s="68" t="s">
        <v>14642</v>
      </c>
      <c r="C362" s="65"/>
      <c r="D362" s="65"/>
      <c r="E362" s="65"/>
      <c r="F362" s="69" t="s">
        <v>14643</v>
      </c>
      <c r="G362" s="70"/>
      <c r="H362" s="65" t="s">
        <v>14644</v>
      </c>
      <c r="I362" s="75">
        <v>24328</v>
      </c>
      <c r="J362" s="75">
        <v>24328</v>
      </c>
      <c r="K362" s="75"/>
      <c r="L362" s="75"/>
      <c r="M362" s="75"/>
      <c r="N362" s="75">
        <f>Tabla1[[#This Row],[IMPORTE APROBADO]]-Tabla1[[#This Row],[AMORTIZACION2]]</f>
        <v>0</v>
      </c>
      <c r="O362" s="65" t="str">
        <f>TEXT(Tabla1[[#This Row],[EMISION]],"mmm")</f>
        <v>Mar</v>
      </c>
      <c r="P362" s="65" t="str">
        <f>TEXT(Tabla1[[#This Row],[EMISION]],"YYYY")</f>
        <v>2023</v>
      </c>
      <c r="Q362" s="71">
        <v>44994</v>
      </c>
      <c r="R362" s="65" t="str">
        <f>TEXT(Tabla1[[#This Row],[VENCIMIENTO]],"mmm")</f>
        <v>Mar</v>
      </c>
      <c r="S362" s="71">
        <f t="shared" si="43"/>
        <v>45001</v>
      </c>
      <c r="T362" s="72">
        <f ca="1">Tabla1[[#This Row],[EMISION]]+Tabla1[[#This Row],[PLAZO]]-TODAY()</f>
        <v>-368</v>
      </c>
      <c r="U362" s="80">
        <f t="shared" ca="1" si="44"/>
        <v>0</v>
      </c>
      <c r="V362" s="72"/>
      <c r="W362" s="73" t="s">
        <v>14307</v>
      </c>
      <c r="X362" s="65">
        <v>7</v>
      </c>
      <c r="Y362" s="65"/>
      <c r="Z362" s="65"/>
      <c r="AA362" s="65"/>
      <c r="AB362" s="65"/>
      <c r="AC362" s="65"/>
      <c r="AD362" s="65"/>
      <c r="AE362" s="65"/>
      <c r="AF362" s="68"/>
      <c r="AG362" s="66">
        <v>45008</v>
      </c>
      <c r="AH362" s="67" t="s">
        <v>14308</v>
      </c>
      <c r="AI362" s="65" t="s">
        <v>3060</v>
      </c>
      <c r="AJ362" s="65"/>
      <c r="AK362" s="97">
        <f t="shared" ca="1" si="36"/>
        <v>368</v>
      </c>
      <c r="AL362">
        <f>IFERROR(VLOOKUP(A362,'DATA CLIENTES'!B4659:I8284,6,FALSE),0)</f>
        <v>0</v>
      </c>
    </row>
    <row r="363" spans="1:38" x14ac:dyDescent="0.25">
      <c r="A363" s="93" t="s">
        <v>6507</v>
      </c>
      <c r="B363" s="68" t="s">
        <v>6508</v>
      </c>
      <c r="C363" s="65"/>
      <c r="D363" s="65"/>
      <c r="E363" s="65"/>
      <c r="F363" s="69" t="s">
        <v>14557</v>
      </c>
      <c r="G363" s="70"/>
      <c r="H363" s="65" t="s">
        <v>14645</v>
      </c>
      <c r="I363" s="75">
        <v>34163.3995</v>
      </c>
      <c r="J363" s="75">
        <f>5163.5+14600+14400</f>
        <v>34163.5</v>
      </c>
      <c r="K363" s="75"/>
      <c r="L363" s="75"/>
      <c r="M363" s="75"/>
      <c r="N363" s="75">
        <f>Tabla1[[#This Row],[IMPORTE APROBADO]]-Tabla1[[#This Row],[AMORTIZACION2]]</f>
        <v>-0.10050000000046566</v>
      </c>
      <c r="O363" s="65" t="str">
        <f>TEXT(Tabla1[[#This Row],[EMISION]],"mmm")</f>
        <v>Mar</v>
      </c>
      <c r="P363" s="65" t="str">
        <f>TEXT(Tabla1[[#This Row],[EMISION]],"YYYY")</f>
        <v>2023</v>
      </c>
      <c r="Q363" s="71">
        <v>44995</v>
      </c>
      <c r="R363" s="65" t="str">
        <f>TEXT(Tabla1[[#This Row],[VENCIMIENTO]],"mmm")</f>
        <v>Mar</v>
      </c>
      <c r="S363" s="71">
        <f t="shared" si="43"/>
        <v>45010</v>
      </c>
      <c r="T363" s="72">
        <f ca="1">Tabla1[[#This Row],[EMISION]]+Tabla1[[#This Row],[PLAZO]]-TODAY()</f>
        <v>-359</v>
      </c>
      <c r="U363" s="80">
        <f t="shared" ca="1" si="44"/>
        <v>0</v>
      </c>
      <c r="V363" s="72"/>
      <c r="W363" s="73" t="s">
        <v>14307</v>
      </c>
      <c r="X363" s="65">
        <v>15</v>
      </c>
      <c r="Y363" s="65"/>
      <c r="Z363" s="65"/>
      <c r="AA363" s="65"/>
      <c r="AB363" s="65"/>
      <c r="AC363" s="65"/>
      <c r="AD363" s="65"/>
      <c r="AE363" s="65"/>
      <c r="AF363" s="68"/>
      <c r="AG363" s="66">
        <v>45012</v>
      </c>
      <c r="AH363" s="67" t="s">
        <v>14308</v>
      </c>
      <c r="AI363" s="65" t="s">
        <v>3060</v>
      </c>
      <c r="AJ363" s="65"/>
      <c r="AK363" s="97">
        <f t="shared" ca="1" si="36"/>
        <v>359</v>
      </c>
      <c r="AL363">
        <f>IFERROR(VLOOKUP(A363,'DATA CLIENTES'!B4660:I8284,6,FALSE),0)</f>
        <v>0</v>
      </c>
    </row>
    <row r="364" spans="1:38" x14ac:dyDescent="0.25">
      <c r="A364" s="93" t="s">
        <v>7452</v>
      </c>
      <c r="B364" s="68" t="s">
        <v>7453</v>
      </c>
      <c r="C364" s="65"/>
      <c r="D364" s="65"/>
      <c r="E364" s="65"/>
      <c r="F364" s="69" t="s">
        <v>7000</v>
      </c>
      <c r="G364" s="70"/>
      <c r="H364" s="65" t="s">
        <v>14646</v>
      </c>
      <c r="I364" s="75">
        <v>2342.3200000000002</v>
      </c>
      <c r="J364" s="75">
        <f>42.32+2300</f>
        <v>2342.3200000000002</v>
      </c>
      <c r="K364" s="75"/>
      <c r="L364" s="75"/>
      <c r="M364" s="75"/>
      <c r="N364" s="75">
        <f>Tabla1[[#This Row],[IMPORTE APROBADO]]-Tabla1[[#This Row],[AMORTIZACION2]]</f>
        <v>0</v>
      </c>
      <c r="O364" s="65" t="str">
        <f>TEXT(Tabla1[[#This Row],[EMISION]],"mmm")</f>
        <v>Mar</v>
      </c>
      <c r="P364" s="65" t="str">
        <f>TEXT(Tabla1[[#This Row],[EMISION]],"YYYY")</f>
        <v>2023</v>
      </c>
      <c r="Q364" s="71">
        <v>44996</v>
      </c>
      <c r="R364" s="65" t="str">
        <f>TEXT(Tabla1[[#This Row],[VENCIMIENTO]],"mmm")</f>
        <v>May</v>
      </c>
      <c r="S364" s="71">
        <f t="shared" si="43"/>
        <v>45056</v>
      </c>
      <c r="T364" s="72">
        <f ca="1">Tabla1[[#This Row],[EMISION]]+Tabla1[[#This Row],[PLAZO]]-TODAY()</f>
        <v>-313</v>
      </c>
      <c r="U364" s="80">
        <f t="shared" ca="1" si="44"/>
        <v>0</v>
      </c>
      <c r="V364" s="72" t="s">
        <v>14477</v>
      </c>
      <c r="W364" s="73" t="s">
        <v>14307</v>
      </c>
      <c r="X364" s="65">
        <v>60</v>
      </c>
      <c r="Y364" s="65"/>
      <c r="Z364" s="65"/>
      <c r="AA364" s="65"/>
      <c r="AB364" s="65"/>
      <c r="AC364" s="65"/>
      <c r="AD364" s="65"/>
      <c r="AE364" s="65"/>
      <c r="AF364" s="68"/>
      <c r="AG364" s="66">
        <v>45086</v>
      </c>
      <c r="AH364" s="67" t="s">
        <v>14308</v>
      </c>
      <c r="AI364" s="65" t="s">
        <v>3060</v>
      </c>
      <c r="AJ364" s="65"/>
      <c r="AK364" s="97">
        <f t="shared" ca="1" si="36"/>
        <v>313</v>
      </c>
      <c r="AL364">
        <f>IFERROR(VLOOKUP(A364,'DATA CLIENTES'!B4661:I8284,6,FALSE),0)</f>
        <v>0</v>
      </c>
    </row>
    <row r="365" spans="1:38" x14ac:dyDescent="0.25">
      <c r="A365" s="93" t="s">
        <v>6694</v>
      </c>
      <c r="B365" s="68" t="s">
        <v>6695</v>
      </c>
      <c r="C365" s="65"/>
      <c r="D365" s="65"/>
      <c r="E365" s="65"/>
      <c r="F365" s="69" t="s">
        <v>14559</v>
      </c>
      <c r="G365" s="70"/>
      <c r="H365" s="65" t="s">
        <v>14647</v>
      </c>
      <c r="I365" s="75">
        <v>879.44634400000007</v>
      </c>
      <c r="J365" s="75">
        <f>400+200+279.45</f>
        <v>879.45</v>
      </c>
      <c r="K365" s="75"/>
      <c r="L365" s="75"/>
      <c r="M365" s="75"/>
      <c r="N365" s="75">
        <f>Tabla1[[#This Row],[IMPORTE APROBADO]]-Tabla1[[#This Row],[AMORTIZACION2]]</f>
        <v>-3.6559999999781212E-3</v>
      </c>
      <c r="O365" s="65" t="str">
        <f>TEXT(Tabla1[[#This Row],[EMISION]],"mmm")</f>
        <v>Mar</v>
      </c>
      <c r="P365" s="65" t="str">
        <f>TEXT(Tabla1[[#This Row],[EMISION]],"YYYY")</f>
        <v>2023</v>
      </c>
      <c r="Q365" s="71">
        <v>44998</v>
      </c>
      <c r="R365" s="65" t="str">
        <f>TEXT(Tabla1[[#This Row],[VENCIMIENTO]],"mmm")</f>
        <v>Mar</v>
      </c>
      <c r="S365" s="71">
        <f t="shared" si="43"/>
        <v>45013</v>
      </c>
      <c r="T365" s="72">
        <f ca="1">Tabla1[[#This Row],[EMISION]]+Tabla1[[#This Row],[PLAZO]]-TODAY()</f>
        <v>-356</v>
      </c>
      <c r="U365" s="80">
        <f t="shared" ca="1" si="44"/>
        <v>0</v>
      </c>
      <c r="V365" s="72"/>
      <c r="W365" s="73" t="s">
        <v>14307</v>
      </c>
      <c r="X365" s="65">
        <v>15</v>
      </c>
      <c r="Y365" s="65"/>
      <c r="Z365" s="65"/>
      <c r="AA365" s="65"/>
      <c r="AB365" s="65"/>
      <c r="AC365" s="65"/>
      <c r="AD365" s="65"/>
      <c r="AE365" s="65"/>
      <c r="AF365" s="68"/>
      <c r="AG365" s="66">
        <v>45024</v>
      </c>
      <c r="AH365" s="67" t="s">
        <v>14308</v>
      </c>
      <c r="AI365" s="65" t="s">
        <v>3060</v>
      </c>
      <c r="AJ365" s="65"/>
      <c r="AK365" s="97">
        <f t="shared" ca="1" si="36"/>
        <v>356</v>
      </c>
      <c r="AL365">
        <f>IFERROR(VLOOKUP(A365,'DATA CLIENTES'!B4662:I8284,6,FALSE),0)</f>
        <v>0</v>
      </c>
    </row>
    <row r="366" spans="1:38" x14ac:dyDescent="0.25">
      <c r="A366" s="93" t="s">
        <v>9887</v>
      </c>
      <c r="B366" s="68" t="s">
        <v>9888</v>
      </c>
      <c r="C366" s="65"/>
      <c r="D366" s="65"/>
      <c r="E366" s="65"/>
      <c r="F366" s="69" t="s">
        <v>14559</v>
      </c>
      <c r="G366" s="70"/>
      <c r="H366" s="65" t="s">
        <v>14648</v>
      </c>
      <c r="I366" s="75">
        <v>649.6</v>
      </c>
      <c r="J366" s="75">
        <v>650</v>
      </c>
      <c r="K366" s="75"/>
      <c r="L366" s="75"/>
      <c r="M366" s="75"/>
      <c r="N366" s="75">
        <f>Tabla1[[#This Row],[IMPORTE APROBADO]]-Tabla1[[#This Row],[AMORTIZACION2]]</f>
        <v>-0.39999999999997726</v>
      </c>
      <c r="O366" s="65" t="str">
        <f>TEXT(Tabla1[[#This Row],[EMISION]],"mmm")</f>
        <v>Mar</v>
      </c>
      <c r="P366" s="65" t="str">
        <f>TEXT(Tabla1[[#This Row],[EMISION]],"YYYY")</f>
        <v>2023</v>
      </c>
      <c r="Q366" s="71">
        <v>44998</v>
      </c>
      <c r="R366" s="65" t="str">
        <f>TEXT(Tabla1[[#This Row],[VENCIMIENTO]],"mmm")</f>
        <v>Mar</v>
      </c>
      <c r="S366" s="71">
        <f t="shared" si="43"/>
        <v>45013</v>
      </c>
      <c r="T366" s="72">
        <f ca="1">Tabla1[[#This Row],[EMISION]]+Tabla1[[#This Row],[PLAZO]]-TODAY()</f>
        <v>-356</v>
      </c>
      <c r="U366" s="80">
        <f t="shared" ca="1" si="44"/>
        <v>0</v>
      </c>
      <c r="V366" s="72"/>
      <c r="W366" s="73" t="s">
        <v>14307</v>
      </c>
      <c r="X366" s="65">
        <v>15</v>
      </c>
      <c r="Y366" s="65"/>
      <c r="Z366" s="65"/>
      <c r="AA366" s="65"/>
      <c r="AB366" s="65"/>
      <c r="AC366" s="65"/>
      <c r="AD366" s="65"/>
      <c r="AE366" s="65"/>
      <c r="AF366" s="68"/>
      <c r="AG366" s="66">
        <v>45019</v>
      </c>
      <c r="AH366" s="67" t="s">
        <v>14308</v>
      </c>
      <c r="AI366" s="65" t="s">
        <v>3060</v>
      </c>
      <c r="AJ366" s="65"/>
      <c r="AK366" s="97">
        <f t="shared" ca="1" si="36"/>
        <v>356</v>
      </c>
      <c r="AL366">
        <f>IFERROR(VLOOKUP(A366,'DATA CLIENTES'!B4663:I8284,6,FALSE),0)</f>
        <v>0</v>
      </c>
    </row>
    <row r="367" spans="1:38" x14ac:dyDescent="0.25">
      <c r="A367" s="93" t="s">
        <v>10005</v>
      </c>
      <c r="B367" s="68" t="s">
        <v>14414</v>
      </c>
      <c r="C367" s="65"/>
      <c r="D367" s="65"/>
      <c r="E367" s="65"/>
      <c r="F367" s="69" t="s">
        <v>14559</v>
      </c>
      <c r="G367" s="70"/>
      <c r="H367" s="65" t="s">
        <v>14649</v>
      </c>
      <c r="I367" s="75">
        <v>3230.4487799999997</v>
      </c>
      <c r="J367" s="75">
        <f>1000+230+1000+1000</f>
        <v>3230</v>
      </c>
      <c r="K367" s="75"/>
      <c r="L367" s="75"/>
      <c r="M367" s="75"/>
      <c r="N367" s="75">
        <f>Tabla1[[#This Row],[IMPORTE APROBADO]]-Tabla1[[#This Row],[AMORTIZACION2]]</f>
        <v>0.44877999999971507</v>
      </c>
      <c r="O367" s="65" t="str">
        <f>TEXT(Tabla1[[#This Row],[EMISION]],"mmm")</f>
        <v>Mar</v>
      </c>
      <c r="P367" s="65" t="str">
        <f>TEXT(Tabla1[[#This Row],[EMISION]],"YYYY")</f>
        <v>2023</v>
      </c>
      <c r="Q367" s="71">
        <v>45000</v>
      </c>
      <c r="R367" s="65" t="str">
        <f>TEXT(Tabla1[[#This Row],[VENCIMIENTO]],"mmm")</f>
        <v>Mar</v>
      </c>
      <c r="S367" s="71">
        <f t="shared" ref="S367:S375" si="45">Q367+X367</f>
        <v>45015</v>
      </c>
      <c r="T367" s="72">
        <f ca="1">Tabla1[[#This Row],[EMISION]]+Tabla1[[#This Row],[PLAZO]]-TODAY()</f>
        <v>-354</v>
      </c>
      <c r="U367" s="80">
        <f t="shared" ref="U367:U375" ca="1" si="46">IF(T367&gt;=0,$U$4,IF(AND(T367&lt;=-1,T367&gt;=-30),$U$5,IF(AND(T367&lt;=-31,T367&gt;=-60),$U$6,IF(AND(T367&lt;=-61,T367&gt;=-90),$U$7,$U$8))))</f>
        <v>0</v>
      </c>
      <c r="V367" s="72"/>
      <c r="W367" s="73" t="s">
        <v>14307</v>
      </c>
      <c r="X367" s="65">
        <v>15</v>
      </c>
      <c r="Y367" s="65"/>
      <c r="Z367" s="65"/>
      <c r="AA367" s="65"/>
      <c r="AB367" s="65"/>
      <c r="AC367" s="65"/>
      <c r="AD367" s="65"/>
      <c r="AE367" s="65"/>
      <c r="AF367" s="68"/>
      <c r="AG367" s="66">
        <v>45027</v>
      </c>
      <c r="AH367" s="67" t="s">
        <v>14308</v>
      </c>
      <c r="AI367" s="65" t="s">
        <v>3060</v>
      </c>
      <c r="AJ367" s="65"/>
      <c r="AK367" s="97">
        <f t="shared" ca="1" si="36"/>
        <v>354</v>
      </c>
      <c r="AL367">
        <f>IFERROR(VLOOKUP(A367,'DATA CLIENTES'!B4664:I8284,6,FALSE),0)</f>
        <v>0</v>
      </c>
    </row>
    <row r="368" spans="1:38" x14ac:dyDescent="0.25">
      <c r="A368" s="93" t="s">
        <v>6503</v>
      </c>
      <c r="B368" s="68" t="s">
        <v>14650</v>
      </c>
      <c r="C368" s="65"/>
      <c r="D368" s="65"/>
      <c r="E368" s="65"/>
      <c r="F368" s="69" t="s">
        <v>7000</v>
      </c>
      <c r="G368" s="70"/>
      <c r="H368" s="65" t="s">
        <v>14651</v>
      </c>
      <c r="I368" s="75">
        <v>1100.04</v>
      </c>
      <c r="J368" s="75">
        <f>300+500+300.1</f>
        <v>1100.0999999999999</v>
      </c>
      <c r="K368" s="75"/>
      <c r="L368" s="75"/>
      <c r="M368" s="75"/>
      <c r="N368" s="75">
        <f>Tabla1[[#This Row],[IMPORTE APROBADO]]-Tabla1[[#This Row],[AMORTIZACION2]]</f>
        <v>-5.999999999994543E-2</v>
      </c>
      <c r="O368" s="65" t="str">
        <f>TEXT(Tabla1[[#This Row],[EMISION]],"mmm")</f>
        <v>Mar</v>
      </c>
      <c r="P368" s="65" t="str">
        <f>TEXT(Tabla1[[#This Row],[EMISION]],"YYYY")</f>
        <v>2023</v>
      </c>
      <c r="Q368" s="71">
        <v>45000</v>
      </c>
      <c r="R368" s="65" t="str">
        <f>TEXT(Tabla1[[#This Row],[VENCIMIENTO]],"mmm")</f>
        <v>Mar</v>
      </c>
      <c r="S368" s="71">
        <f t="shared" si="45"/>
        <v>45015</v>
      </c>
      <c r="T368" s="72">
        <f ca="1">Tabla1[[#This Row],[EMISION]]+Tabla1[[#This Row],[PLAZO]]-TODAY()</f>
        <v>-354</v>
      </c>
      <c r="U368" s="80">
        <f t="shared" ca="1" si="46"/>
        <v>0</v>
      </c>
      <c r="V368" s="72" t="s">
        <v>14641</v>
      </c>
      <c r="W368" s="73" t="s">
        <v>14307</v>
      </c>
      <c r="X368" s="65">
        <v>15</v>
      </c>
      <c r="Y368" s="65"/>
      <c r="Z368" s="65"/>
      <c r="AA368" s="65"/>
      <c r="AB368" s="65"/>
      <c r="AC368" s="65"/>
      <c r="AD368" s="65"/>
      <c r="AE368" s="65"/>
      <c r="AF368" s="68"/>
      <c r="AG368" s="66">
        <v>45020</v>
      </c>
      <c r="AH368" s="67" t="s">
        <v>14308</v>
      </c>
      <c r="AI368" s="65" t="s">
        <v>3060</v>
      </c>
      <c r="AJ368" s="65"/>
      <c r="AK368" s="97">
        <f t="shared" ca="1" si="36"/>
        <v>354</v>
      </c>
      <c r="AL368">
        <f>IFERROR(VLOOKUP(A368,'DATA CLIENTES'!B4665:I8284,6,FALSE),0)</f>
        <v>0</v>
      </c>
    </row>
    <row r="369" spans="1:38" x14ac:dyDescent="0.25">
      <c r="A369" s="93" t="s">
        <v>9505</v>
      </c>
      <c r="B369" s="68" t="s">
        <v>14367</v>
      </c>
      <c r="C369" s="65"/>
      <c r="D369" s="65"/>
      <c r="E369" s="65"/>
      <c r="F369" s="69" t="s">
        <v>14559</v>
      </c>
      <c r="G369" s="70"/>
      <c r="H369" s="65" t="s">
        <v>14652</v>
      </c>
      <c r="I369" s="75">
        <v>3588.25</v>
      </c>
      <c r="J369" s="75">
        <f>650+400+500+500+1018.3+520</f>
        <v>3588.3</v>
      </c>
      <c r="K369" s="75"/>
      <c r="L369" s="75"/>
      <c r="M369" s="75"/>
      <c r="N369" s="75">
        <f>Tabla1[[#This Row],[IMPORTE APROBADO]]-Tabla1[[#This Row],[AMORTIZACION2]]</f>
        <v>-5.0000000000181899E-2</v>
      </c>
      <c r="O369" s="65" t="str">
        <f>TEXT(Tabla1[[#This Row],[EMISION]],"mmm")</f>
        <v>Mar</v>
      </c>
      <c r="P369" s="65" t="str">
        <f>TEXT(Tabla1[[#This Row],[EMISION]],"YYYY")</f>
        <v>2023</v>
      </c>
      <c r="Q369" s="71">
        <v>45001</v>
      </c>
      <c r="R369" s="65" t="str">
        <f>TEXT(Tabla1[[#This Row],[VENCIMIENTO]],"mmm")</f>
        <v>Mar</v>
      </c>
      <c r="S369" s="71">
        <f t="shared" si="45"/>
        <v>45016</v>
      </c>
      <c r="T369" s="72">
        <f ca="1">Tabla1[[#This Row],[EMISION]]+Tabla1[[#This Row],[PLAZO]]-TODAY()</f>
        <v>-353</v>
      </c>
      <c r="U369" s="80">
        <f t="shared" ca="1" si="46"/>
        <v>0</v>
      </c>
      <c r="V369" s="72"/>
      <c r="W369" s="73" t="s">
        <v>14307</v>
      </c>
      <c r="X369" s="65">
        <v>15</v>
      </c>
      <c r="Y369" s="65"/>
      <c r="Z369" s="65"/>
      <c r="AA369" s="65"/>
      <c r="AB369" s="65"/>
      <c r="AC369" s="65"/>
      <c r="AD369" s="65"/>
      <c r="AE369" s="65"/>
      <c r="AF369" s="68"/>
      <c r="AG369" s="66">
        <v>45056</v>
      </c>
      <c r="AH369" s="67" t="s">
        <v>14308</v>
      </c>
      <c r="AI369" s="65" t="s">
        <v>3060</v>
      </c>
      <c r="AJ369" s="65"/>
      <c r="AK369" s="97">
        <f t="shared" ca="1" si="36"/>
        <v>353</v>
      </c>
      <c r="AL369">
        <f>IFERROR(VLOOKUP(A369,'DATA CLIENTES'!B4666:I8284,6,FALSE),0)</f>
        <v>0</v>
      </c>
    </row>
    <row r="370" spans="1:38" x14ac:dyDescent="0.25">
      <c r="A370" s="93" t="s">
        <v>9809</v>
      </c>
      <c r="B370" s="68" t="s">
        <v>14329</v>
      </c>
      <c r="C370" s="65"/>
      <c r="D370" s="65"/>
      <c r="E370" s="65"/>
      <c r="F370" s="69" t="s">
        <v>14559</v>
      </c>
      <c r="G370" s="70"/>
      <c r="H370" s="65" t="s">
        <v>14653</v>
      </c>
      <c r="I370" s="75">
        <v>1165.797</v>
      </c>
      <c r="J370" s="75">
        <v>1165.8</v>
      </c>
      <c r="K370" s="75"/>
      <c r="L370" s="75"/>
      <c r="M370" s="75"/>
      <c r="N370" s="75">
        <f>Tabla1[[#This Row],[IMPORTE APROBADO]]-Tabla1[[#This Row],[AMORTIZACION2]]</f>
        <v>-2.9999999999290594E-3</v>
      </c>
      <c r="O370" s="65" t="str">
        <f>TEXT(Tabla1[[#This Row],[EMISION]],"mmm")</f>
        <v>Mar</v>
      </c>
      <c r="P370" s="65" t="str">
        <f>TEXT(Tabla1[[#This Row],[EMISION]],"YYYY")</f>
        <v>2023</v>
      </c>
      <c r="Q370" s="71">
        <v>45001</v>
      </c>
      <c r="R370" s="65" t="str">
        <f>TEXT(Tabla1[[#This Row],[VENCIMIENTO]],"mmm")</f>
        <v>Mar</v>
      </c>
      <c r="S370" s="71">
        <f t="shared" si="45"/>
        <v>45016</v>
      </c>
      <c r="T370" s="72">
        <f ca="1">Tabla1[[#This Row],[EMISION]]+Tabla1[[#This Row],[PLAZO]]-TODAY()</f>
        <v>-353</v>
      </c>
      <c r="U370" s="80">
        <f t="shared" ca="1" si="46"/>
        <v>0</v>
      </c>
      <c r="V370" s="72"/>
      <c r="W370" s="73" t="s">
        <v>14307</v>
      </c>
      <c r="X370" s="65">
        <v>15</v>
      </c>
      <c r="Y370" s="65"/>
      <c r="Z370" s="65"/>
      <c r="AA370" s="65"/>
      <c r="AB370" s="65"/>
      <c r="AC370" s="65"/>
      <c r="AD370" s="65"/>
      <c r="AE370" s="65"/>
      <c r="AF370" s="68"/>
      <c r="AG370" s="66">
        <v>45019</v>
      </c>
      <c r="AH370" s="67" t="s">
        <v>14308</v>
      </c>
      <c r="AI370" s="65" t="s">
        <v>3060</v>
      </c>
      <c r="AJ370" s="65"/>
      <c r="AK370" s="97">
        <f t="shared" ca="1" si="36"/>
        <v>353</v>
      </c>
      <c r="AL370">
        <f>IFERROR(VLOOKUP(A370,'DATA CLIENTES'!B4667:I8284,6,FALSE),0)</f>
        <v>0</v>
      </c>
    </row>
    <row r="371" spans="1:38" x14ac:dyDescent="0.25">
      <c r="A371" s="93" t="s">
        <v>5473</v>
      </c>
      <c r="B371" s="68" t="s">
        <v>14378</v>
      </c>
      <c r="C371" s="65"/>
      <c r="D371" s="65"/>
      <c r="E371" s="65"/>
      <c r="F371" s="69" t="s">
        <v>14559</v>
      </c>
      <c r="G371" s="70"/>
      <c r="H371" s="65" t="s">
        <v>14654</v>
      </c>
      <c r="I371" s="75">
        <v>2640</v>
      </c>
      <c r="J371" s="75">
        <v>2640</v>
      </c>
      <c r="K371" s="75"/>
      <c r="L371" s="75"/>
      <c r="M371" s="75"/>
      <c r="N371" s="75">
        <f>Tabla1[[#This Row],[IMPORTE APROBADO]]-Tabla1[[#This Row],[AMORTIZACION2]]</f>
        <v>0</v>
      </c>
      <c r="O371" s="65" t="str">
        <f>TEXT(Tabla1[[#This Row],[EMISION]],"mmm")</f>
        <v>Mar</v>
      </c>
      <c r="P371" s="65" t="str">
        <f>TEXT(Tabla1[[#This Row],[EMISION]],"YYYY")</f>
        <v>2023</v>
      </c>
      <c r="Q371" s="71">
        <v>45001</v>
      </c>
      <c r="R371" s="65" t="str">
        <f>TEXT(Tabla1[[#This Row],[VENCIMIENTO]],"mmm")</f>
        <v>Mar</v>
      </c>
      <c r="S371" s="71">
        <f t="shared" si="45"/>
        <v>45016</v>
      </c>
      <c r="T371" s="72">
        <f ca="1">Tabla1[[#This Row],[EMISION]]+Tabla1[[#This Row],[PLAZO]]-TODAY()</f>
        <v>-353</v>
      </c>
      <c r="U371" s="80">
        <f t="shared" ca="1" si="46"/>
        <v>0</v>
      </c>
      <c r="V371" s="72"/>
      <c r="W371" s="73" t="s">
        <v>14307</v>
      </c>
      <c r="X371" s="65">
        <v>15</v>
      </c>
      <c r="Y371" s="65"/>
      <c r="Z371" s="65"/>
      <c r="AA371" s="65"/>
      <c r="AB371" s="65"/>
      <c r="AC371" s="65"/>
      <c r="AD371" s="65"/>
      <c r="AE371" s="65"/>
      <c r="AF371" s="68"/>
      <c r="AG371" s="66">
        <v>45020</v>
      </c>
      <c r="AH371" s="67" t="s">
        <v>14308</v>
      </c>
      <c r="AI371" s="65" t="s">
        <v>3060</v>
      </c>
      <c r="AJ371" s="65"/>
      <c r="AK371" s="97">
        <f t="shared" ca="1" si="36"/>
        <v>353</v>
      </c>
      <c r="AL371">
        <f>IFERROR(VLOOKUP(A371,'DATA CLIENTES'!B4668:I8284,6,FALSE),0)</f>
        <v>0</v>
      </c>
    </row>
    <row r="372" spans="1:38" x14ac:dyDescent="0.25">
      <c r="A372" s="93" t="s">
        <v>9053</v>
      </c>
      <c r="B372" s="68" t="s">
        <v>14655</v>
      </c>
      <c r="C372" s="65"/>
      <c r="D372" s="65"/>
      <c r="E372" s="65"/>
      <c r="F372" s="69" t="s">
        <v>14559</v>
      </c>
      <c r="G372" s="70"/>
      <c r="H372" s="65" t="s">
        <v>14656</v>
      </c>
      <c r="I372" s="75">
        <v>3010</v>
      </c>
      <c r="J372" s="75">
        <f>400+410+500+300+300+150+200+350+400</f>
        <v>3010</v>
      </c>
      <c r="K372" s="75"/>
      <c r="L372" s="75"/>
      <c r="M372" s="75"/>
      <c r="N372" s="75">
        <f>Tabla1[[#This Row],[IMPORTE APROBADO]]-Tabla1[[#This Row],[AMORTIZACION2]]</f>
        <v>0</v>
      </c>
      <c r="O372" s="65" t="str">
        <f>TEXT(Tabla1[[#This Row],[EMISION]],"mmm")</f>
        <v>Mar</v>
      </c>
      <c r="P372" s="65" t="str">
        <f>TEXT(Tabla1[[#This Row],[EMISION]],"YYYY")</f>
        <v>2023</v>
      </c>
      <c r="Q372" s="71">
        <v>45001</v>
      </c>
      <c r="R372" s="65" t="str">
        <f>TEXT(Tabla1[[#This Row],[VENCIMIENTO]],"mmm")</f>
        <v>Abr</v>
      </c>
      <c r="S372" s="71">
        <f t="shared" si="45"/>
        <v>45021</v>
      </c>
      <c r="T372" s="72">
        <f ca="1">Tabla1[[#This Row],[EMISION]]+Tabla1[[#This Row],[PLAZO]]-TODAY()</f>
        <v>-348</v>
      </c>
      <c r="U372" s="80">
        <f t="shared" ca="1" si="46"/>
        <v>0</v>
      </c>
      <c r="V372" s="72"/>
      <c r="W372" s="73" t="s">
        <v>14307</v>
      </c>
      <c r="X372" s="65">
        <v>20</v>
      </c>
      <c r="Y372" s="65"/>
      <c r="Z372" s="65"/>
      <c r="AA372" s="65"/>
      <c r="AB372" s="65"/>
      <c r="AC372" s="65"/>
      <c r="AD372" s="65"/>
      <c r="AE372" s="65"/>
      <c r="AF372" s="68"/>
      <c r="AG372" s="66">
        <v>45052</v>
      </c>
      <c r="AH372" s="67" t="s">
        <v>14308</v>
      </c>
      <c r="AI372" s="65" t="s">
        <v>3060</v>
      </c>
      <c r="AJ372" s="65"/>
      <c r="AK372" s="97">
        <f t="shared" ca="1" si="36"/>
        <v>348</v>
      </c>
      <c r="AL372">
        <f>IFERROR(VLOOKUP(A372,'DATA CLIENTES'!B4669:I8284,6,FALSE),0)</f>
        <v>0</v>
      </c>
    </row>
    <row r="373" spans="1:38" x14ac:dyDescent="0.25">
      <c r="A373" s="93" t="s">
        <v>7967</v>
      </c>
      <c r="B373" s="68" t="s">
        <v>7968</v>
      </c>
      <c r="C373" s="65"/>
      <c r="D373" s="65"/>
      <c r="E373" s="65"/>
      <c r="F373" s="69" t="s">
        <v>14643</v>
      </c>
      <c r="G373" s="70"/>
      <c r="H373" s="65" t="s">
        <v>14657</v>
      </c>
      <c r="I373" s="75">
        <v>7778</v>
      </c>
      <c r="J373" s="75">
        <v>7778</v>
      </c>
      <c r="K373" s="75"/>
      <c r="L373" s="75"/>
      <c r="M373" s="75"/>
      <c r="N373" s="75">
        <f>Tabla1[[#This Row],[IMPORTE APROBADO]]-Tabla1[[#This Row],[AMORTIZACION2]]</f>
        <v>0</v>
      </c>
      <c r="O373" s="65" t="str">
        <f>TEXT(Tabla1[[#This Row],[EMISION]],"mmm")</f>
        <v>Mar</v>
      </c>
      <c r="P373" s="65" t="str">
        <f>TEXT(Tabla1[[#This Row],[EMISION]],"YYYY")</f>
        <v>2023</v>
      </c>
      <c r="Q373" s="71">
        <v>45005</v>
      </c>
      <c r="R373" s="65" t="str">
        <f>TEXT(Tabla1[[#This Row],[VENCIMIENTO]],"mmm")</f>
        <v>Mar</v>
      </c>
      <c r="S373" s="71">
        <f t="shared" si="45"/>
        <v>45012</v>
      </c>
      <c r="T373" s="72">
        <f ca="1">Tabla1[[#This Row],[EMISION]]+Tabla1[[#This Row],[PLAZO]]-TODAY()</f>
        <v>-357</v>
      </c>
      <c r="U373" s="80">
        <f t="shared" ca="1" si="46"/>
        <v>0</v>
      </c>
      <c r="V373" s="72" t="s">
        <v>14658</v>
      </c>
      <c r="W373" s="73" t="s">
        <v>14307</v>
      </c>
      <c r="X373" s="65">
        <v>7</v>
      </c>
      <c r="Y373" s="65"/>
      <c r="Z373" s="65"/>
      <c r="AA373" s="65"/>
      <c r="AB373" s="65"/>
      <c r="AC373" s="65"/>
      <c r="AD373" s="65"/>
      <c r="AE373" s="65"/>
      <c r="AF373" s="68"/>
      <c r="AG373" s="66">
        <v>45009</v>
      </c>
      <c r="AH373" s="67" t="s">
        <v>14308</v>
      </c>
      <c r="AI373" s="65" t="s">
        <v>3060</v>
      </c>
      <c r="AJ373" s="65"/>
      <c r="AK373" s="97">
        <f t="shared" ca="1" si="36"/>
        <v>357</v>
      </c>
      <c r="AL373">
        <f>IFERROR(VLOOKUP(A373,'DATA CLIENTES'!B4670:I8284,6,FALSE),0)</f>
        <v>0</v>
      </c>
    </row>
    <row r="374" spans="1:38" x14ac:dyDescent="0.25">
      <c r="A374" s="93" t="s">
        <v>7967</v>
      </c>
      <c r="B374" s="68" t="s">
        <v>7968</v>
      </c>
      <c r="C374" s="65"/>
      <c r="D374" s="65"/>
      <c r="E374" s="65"/>
      <c r="F374" s="69" t="s">
        <v>14643</v>
      </c>
      <c r="G374" s="70"/>
      <c r="H374" s="65" t="s">
        <v>14659</v>
      </c>
      <c r="I374" s="75">
        <v>7778</v>
      </c>
      <c r="J374" s="75">
        <v>7778</v>
      </c>
      <c r="K374" s="75"/>
      <c r="L374" s="75"/>
      <c r="M374" s="75"/>
      <c r="N374" s="75">
        <f>Tabla1[[#This Row],[IMPORTE APROBADO]]-Tabla1[[#This Row],[AMORTIZACION2]]</f>
        <v>0</v>
      </c>
      <c r="O374" s="65" t="str">
        <f>TEXT(Tabla1[[#This Row],[EMISION]],"mmm")</f>
        <v>Mar</v>
      </c>
      <c r="P374" s="65" t="str">
        <f>TEXT(Tabla1[[#This Row],[EMISION]],"YYYY")</f>
        <v>2023</v>
      </c>
      <c r="Q374" s="71">
        <v>45005</v>
      </c>
      <c r="R374" s="65" t="str">
        <f>TEXT(Tabla1[[#This Row],[VENCIMIENTO]],"mmm")</f>
        <v>Mar</v>
      </c>
      <c r="S374" s="71">
        <f t="shared" si="45"/>
        <v>45012</v>
      </c>
      <c r="T374" s="72">
        <f ca="1">Tabla1[[#This Row],[EMISION]]+Tabla1[[#This Row],[PLAZO]]-TODAY()</f>
        <v>-357</v>
      </c>
      <c r="U374" s="80">
        <f t="shared" ca="1" si="46"/>
        <v>0</v>
      </c>
      <c r="V374" s="72" t="s">
        <v>14658</v>
      </c>
      <c r="W374" s="73" t="s">
        <v>14307</v>
      </c>
      <c r="X374" s="65">
        <v>7</v>
      </c>
      <c r="Y374" s="65"/>
      <c r="Z374" s="65"/>
      <c r="AA374" s="65"/>
      <c r="AB374" s="65"/>
      <c r="AC374" s="65"/>
      <c r="AD374" s="65"/>
      <c r="AE374" s="65"/>
      <c r="AF374" s="68"/>
      <c r="AG374" s="66">
        <v>45009</v>
      </c>
      <c r="AH374" s="67" t="s">
        <v>14308</v>
      </c>
      <c r="AI374" s="65" t="s">
        <v>3060</v>
      </c>
      <c r="AJ374" s="65"/>
      <c r="AK374" s="97">
        <f t="shared" ca="1" si="36"/>
        <v>357</v>
      </c>
      <c r="AL374">
        <f>IFERROR(VLOOKUP(A374,'DATA CLIENTES'!B4671:I8284,6,FALSE),0)</f>
        <v>0</v>
      </c>
    </row>
    <row r="375" spans="1:38" x14ac:dyDescent="0.25">
      <c r="A375" s="93" t="s">
        <v>7967</v>
      </c>
      <c r="B375" s="68" t="s">
        <v>7968</v>
      </c>
      <c r="C375" s="65"/>
      <c r="D375" s="65"/>
      <c r="E375" s="65"/>
      <c r="F375" s="69" t="s">
        <v>14643</v>
      </c>
      <c r="G375" s="70"/>
      <c r="H375" s="65" t="s">
        <v>14660</v>
      </c>
      <c r="I375" s="75">
        <v>7778</v>
      </c>
      <c r="J375" s="75">
        <v>7778</v>
      </c>
      <c r="K375" s="75"/>
      <c r="L375" s="75"/>
      <c r="M375" s="75"/>
      <c r="N375" s="75">
        <f>Tabla1[[#This Row],[IMPORTE APROBADO]]-Tabla1[[#This Row],[AMORTIZACION2]]</f>
        <v>0</v>
      </c>
      <c r="O375" s="65" t="str">
        <f>TEXT(Tabla1[[#This Row],[EMISION]],"mmm")</f>
        <v>Mar</v>
      </c>
      <c r="P375" s="65" t="str">
        <f>TEXT(Tabla1[[#This Row],[EMISION]],"YYYY")</f>
        <v>2023</v>
      </c>
      <c r="Q375" s="71">
        <v>45005</v>
      </c>
      <c r="R375" s="65" t="str">
        <f>TEXT(Tabla1[[#This Row],[VENCIMIENTO]],"mmm")</f>
        <v>Mar</v>
      </c>
      <c r="S375" s="71">
        <f t="shared" si="45"/>
        <v>45012</v>
      </c>
      <c r="T375" s="72">
        <f ca="1">Tabla1[[#This Row],[EMISION]]+Tabla1[[#This Row],[PLAZO]]-TODAY()</f>
        <v>-357</v>
      </c>
      <c r="U375" s="80">
        <f t="shared" ca="1" si="46"/>
        <v>0</v>
      </c>
      <c r="V375" s="72" t="s">
        <v>14658</v>
      </c>
      <c r="W375" s="73" t="s">
        <v>14307</v>
      </c>
      <c r="X375" s="65">
        <v>7</v>
      </c>
      <c r="Y375" s="65"/>
      <c r="Z375" s="65"/>
      <c r="AA375" s="65"/>
      <c r="AB375" s="65"/>
      <c r="AC375" s="65"/>
      <c r="AD375" s="65"/>
      <c r="AE375" s="65"/>
      <c r="AF375" s="68"/>
      <c r="AG375" s="66">
        <v>45009</v>
      </c>
      <c r="AH375" s="67" t="s">
        <v>14308</v>
      </c>
      <c r="AI375" s="65" t="s">
        <v>3060</v>
      </c>
      <c r="AJ375" s="65"/>
      <c r="AK375" s="97">
        <f t="shared" ca="1" si="36"/>
        <v>357</v>
      </c>
      <c r="AL375">
        <f>IFERROR(VLOOKUP(A375,'DATA CLIENTES'!B4672:I8284,6,FALSE),0)</f>
        <v>0</v>
      </c>
    </row>
    <row r="376" spans="1:38" x14ac:dyDescent="0.25">
      <c r="A376" s="93" t="s">
        <v>7078</v>
      </c>
      <c r="B376" s="68" t="s">
        <v>7079</v>
      </c>
      <c r="C376" s="65"/>
      <c r="D376" s="65"/>
      <c r="E376" s="65"/>
      <c r="F376" s="69" t="s">
        <v>7000</v>
      </c>
      <c r="G376" s="70"/>
      <c r="H376" s="65" t="s">
        <v>14661</v>
      </c>
      <c r="I376" s="75">
        <v>690.01199999999994</v>
      </c>
      <c r="J376" s="75">
        <f>448.8+241.3</f>
        <v>690.1</v>
      </c>
      <c r="K376" s="75"/>
      <c r="L376" s="75"/>
      <c r="M376" s="75"/>
      <c r="N376" s="75">
        <f>Tabla1[[#This Row],[IMPORTE APROBADO]]-Tabla1[[#This Row],[AMORTIZACION2]]</f>
        <v>-8.8000000000079126E-2</v>
      </c>
      <c r="O376" s="65" t="str">
        <f>TEXT(Tabla1[[#This Row],[EMISION]],"mmm")</f>
        <v>Mar</v>
      </c>
      <c r="P376" s="65" t="str">
        <f>TEXT(Tabla1[[#This Row],[EMISION]],"YYYY")</f>
        <v>2023</v>
      </c>
      <c r="Q376" s="71">
        <v>45007</v>
      </c>
      <c r="R376" s="65" t="str">
        <f>TEXT(Tabla1[[#This Row],[VENCIMIENTO]],"mmm")</f>
        <v>Mar</v>
      </c>
      <c r="S376" s="71">
        <f t="shared" ref="S376:S386" si="47">Q376+X376</f>
        <v>45014</v>
      </c>
      <c r="T376" s="72">
        <f ca="1">Tabla1[[#This Row],[EMISION]]+Tabla1[[#This Row],[PLAZO]]-TODAY()</f>
        <v>-355</v>
      </c>
      <c r="U376" s="80">
        <f t="shared" ref="U376:U386" ca="1" si="48">IF(T376&gt;=0,$U$4,IF(AND(T376&lt;=-1,T376&gt;=-30),$U$5,IF(AND(T376&lt;=-31,T376&gt;=-60),$U$6,IF(AND(T376&lt;=-61,T376&gt;=-90),$U$7,$U$8))))</f>
        <v>0</v>
      </c>
      <c r="V376" s="72" t="s">
        <v>14641</v>
      </c>
      <c r="W376" s="73" t="s">
        <v>14307</v>
      </c>
      <c r="X376" s="65">
        <v>7</v>
      </c>
      <c r="Y376" s="65"/>
      <c r="Z376" s="65"/>
      <c r="AA376" s="65"/>
      <c r="AB376" s="65"/>
      <c r="AC376" s="65"/>
      <c r="AD376" s="65"/>
      <c r="AE376" s="65"/>
      <c r="AF376" s="68"/>
      <c r="AG376" s="66">
        <v>45042</v>
      </c>
      <c r="AH376" s="67" t="s">
        <v>14308</v>
      </c>
      <c r="AI376" s="65" t="s">
        <v>3060</v>
      </c>
      <c r="AJ376" s="65"/>
      <c r="AK376" s="97">
        <f t="shared" ca="1" si="36"/>
        <v>355</v>
      </c>
      <c r="AL376">
        <f>IFERROR(VLOOKUP(A376,'DATA CLIENTES'!B4673:I8284,6,FALSE),0)</f>
        <v>0</v>
      </c>
    </row>
    <row r="377" spans="1:38" x14ac:dyDescent="0.25">
      <c r="A377" s="93" t="s">
        <v>9345</v>
      </c>
      <c r="B377" s="68" t="s">
        <v>14330</v>
      </c>
      <c r="C377" s="65"/>
      <c r="D377" s="65"/>
      <c r="E377" s="65"/>
      <c r="F377" s="69" t="s">
        <v>14559</v>
      </c>
      <c r="G377" s="70"/>
      <c r="H377" s="65" t="s">
        <v>14662</v>
      </c>
      <c r="I377" s="75">
        <v>10650</v>
      </c>
      <c r="J377" s="75">
        <f>5000+5650</f>
        <v>10650</v>
      </c>
      <c r="K377" s="75"/>
      <c r="L377" s="75"/>
      <c r="M377" s="75"/>
      <c r="N377" s="75">
        <f>Tabla1[[#This Row],[IMPORTE APROBADO]]-Tabla1[[#This Row],[AMORTIZACION2]]</f>
        <v>0</v>
      </c>
      <c r="O377" s="65" t="str">
        <f>TEXT(Tabla1[[#This Row],[EMISION]],"mmm")</f>
        <v>Mar</v>
      </c>
      <c r="P377" s="65" t="str">
        <f>TEXT(Tabla1[[#This Row],[EMISION]],"YYYY")</f>
        <v>2023</v>
      </c>
      <c r="Q377" s="71">
        <v>45010</v>
      </c>
      <c r="R377" s="65" t="str">
        <f>TEXT(Tabla1[[#This Row],[VENCIMIENTO]],"mmm")</f>
        <v>Abr</v>
      </c>
      <c r="S377" s="71">
        <f t="shared" si="47"/>
        <v>45025</v>
      </c>
      <c r="T377" s="72">
        <f ca="1">Tabla1[[#This Row],[EMISION]]+Tabla1[[#This Row],[PLAZO]]-TODAY()</f>
        <v>-344</v>
      </c>
      <c r="U377" s="80">
        <f t="shared" ca="1" si="48"/>
        <v>0</v>
      </c>
      <c r="V377" s="72"/>
      <c r="W377" s="73" t="s">
        <v>14307</v>
      </c>
      <c r="X377" s="65">
        <v>15</v>
      </c>
      <c r="Y377" s="65"/>
      <c r="Z377" s="65"/>
      <c r="AA377" s="65"/>
      <c r="AB377" s="65"/>
      <c r="AC377" s="65"/>
      <c r="AD377" s="65"/>
      <c r="AE377" s="65"/>
      <c r="AF377" s="68"/>
      <c r="AG377" s="66">
        <v>45035</v>
      </c>
      <c r="AH377" s="67" t="s">
        <v>14308</v>
      </c>
      <c r="AI377" s="65" t="s">
        <v>3060</v>
      </c>
      <c r="AJ377" s="65"/>
      <c r="AK377" s="97">
        <f t="shared" ca="1" si="36"/>
        <v>344</v>
      </c>
      <c r="AL377">
        <f>IFERROR(VLOOKUP(A377,'DATA CLIENTES'!B4674:I8284,6,FALSE),0)</f>
        <v>0</v>
      </c>
    </row>
    <row r="378" spans="1:38" x14ac:dyDescent="0.25">
      <c r="A378" s="93" t="s">
        <v>6507</v>
      </c>
      <c r="B378" s="68" t="s">
        <v>6508</v>
      </c>
      <c r="C378" s="65"/>
      <c r="D378" s="65"/>
      <c r="E378" s="65"/>
      <c r="F378" s="69" t="s">
        <v>14559</v>
      </c>
      <c r="G378" s="70"/>
      <c r="H378" s="65" t="s">
        <v>14663</v>
      </c>
      <c r="I378" s="75">
        <v>20059.645245</v>
      </c>
      <c r="J378" s="75">
        <f>3000+17059.65</f>
        <v>20059.650000000001</v>
      </c>
      <c r="K378" s="75"/>
      <c r="L378" s="75"/>
      <c r="M378" s="75"/>
      <c r="N378" s="75">
        <f>Tabla1[[#This Row],[IMPORTE APROBADO]]-Tabla1[[#This Row],[AMORTIZACION2]]</f>
        <v>-4.7550000017508864E-3</v>
      </c>
      <c r="O378" s="65" t="str">
        <f>TEXT(Tabla1[[#This Row],[EMISION]],"mmm")</f>
        <v>Mar</v>
      </c>
      <c r="P378" s="65" t="str">
        <f>TEXT(Tabla1[[#This Row],[EMISION]],"YYYY")</f>
        <v>2023</v>
      </c>
      <c r="Q378" s="71">
        <v>45010</v>
      </c>
      <c r="R378" s="65" t="str">
        <f>TEXT(Tabla1[[#This Row],[VENCIMIENTO]],"mmm")</f>
        <v>Abr</v>
      </c>
      <c r="S378" s="71">
        <f t="shared" si="47"/>
        <v>45035</v>
      </c>
      <c r="T378" s="72">
        <f ca="1">Tabla1[[#This Row],[EMISION]]+Tabla1[[#This Row],[PLAZO]]-TODAY()</f>
        <v>-334</v>
      </c>
      <c r="U378" s="80">
        <f t="shared" ca="1" si="48"/>
        <v>0</v>
      </c>
      <c r="V378" s="72"/>
      <c r="W378" s="73" t="s">
        <v>14307</v>
      </c>
      <c r="X378" s="65">
        <v>25</v>
      </c>
      <c r="Y378" s="65"/>
      <c r="Z378" s="65"/>
      <c r="AA378" s="65"/>
      <c r="AB378" s="65"/>
      <c r="AC378" s="65"/>
      <c r="AD378" s="65"/>
      <c r="AE378" s="65"/>
      <c r="AF378" s="68"/>
      <c r="AG378" s="66">
        <v>45031</v>
      </c>
      <c r="AH378" s="67" t="s">
        <v>14308</v>
      </c>
      <c r="AI378" s="65" t="s">
        <v>3060</v>
      </c>
      <c r="AJ378" s="65"/>
      <c r="AK378" s="97">
        <f t="shared" ca="1" si="36"/>
        <v>334</v>
      </c>
      <c r="AL378">
        <f>IFERROR(VLOOKUP(A378,'DATA CLIENTES'!B4675:I8284,6,FALSE),0)</f>
        <v>0</v>
      </c>
    </row>
    <row r="379" spans="1:38" x14ac:dyDescent="0.25">
      <c r="A379" s="93" t="s">
        <v>7967</v>
      </c>
      <c r="B379" s="68" t="s">
        <v>7968</v>
      </c>
      <c r="C379" s="65"/>
      <c r="D379" s="65"/>
      <c r="E379" s="65"/>
      <c r="F379" s="69" t="s">
        <v>14643</v>
      </c>
      <c r="G379" s="70"/>
      <c r="H379" s="65" t="s">
        <v>14664</v>
      </c>
      <c r="I379" s="75">
        <v>7778</v>
      </c>
      <c r="J379" s="75">
        <v>7778</v>
      </c>
      <c r="K379" s="75"/>
      <c r="L379" s="75"/>
      <c r="M379" s="75"/>
      <c r="N379" s="75">
        <f>Tabla1[[#This Row],[IMPORTE APROBADO]]-Tabla1[[#This Row],[AMORTIZACION2]]</f>
        <v>0</v>
      </c>
      <c r="O379" s="65" t="str">
        <f>TEXT(Tabla1[[#This Row],[EMISION]],"mmm")</f>
        <v>Mar</v>
      </c>
      <c r="P379" s="65" t="str">
        <f>TEXT(Tabla1[[#This Row],[EMISION]],"YYYY")</f>
        <v>2023</v>
      </c>
      <c r="Q379" s="71">
        <v>45012</v>
      </c>
      <c r="R379" s="65" t="str">
        <f>TEXT(Tabla1[[#This Row],[VENCIMIENTO]],"mmm")</f>
        <v>Abr</v>
      </c>
      <c r="S379" s="71">
        <f t="shared" si="47"/>
        <v>45019</v>
      </c>
      <c r="T379" s="72">
        <f ca="1">Tabla1[[#This Row],[EMISION]]+Tabla1[[#This Row],[PLAZO]]-TODAY()</f>
        <v>-350</v>
      </c>
      <c r="U379" s="80">
        <f t="shared" ca="1" si="48"/>
        <v>0</v>
      </c>
      <c r="V379" s="72" t="s">
        <v>14658</v>
      </c>
      <c r="W379" s="73" t="s">
        <v>14307</v>
      </c>
      <c r="X379" s="65">
        <v>7</v>
      </c>
      <c r="Y379" s="65"/>
      <c r="Z379" s="65"/>
      <c r="AA379" s="65"/>
      <c r="AB379" s="65"/>
      <c r="AC379" s="65"/>
      <c r="AD379" s="65"/>
      <c r="AE379" s="65"/>
      <c r="AF379" s="68"/>
      <c r="AG379" s="66">
        <v>45016</v>
      </c>
      <c r="AH379" s="67" t="s">
        <v>14308</v>
      </c>
      <c r="AI379" s="65" t="s">
        <v>3060</v>
      </c>
      <c r="AJ379" s="65"/>
      <c r="AK379" s="97">
        <f t="shared" ca="1" si="36"/>
        <v>350</v>
      </c>
      <c r="AL379">
        <f>IFERROR(VLOOKUP(A379,'DATA CLIENTES'!B4676:I8284,6,FALSE),0)</f>
        <v>0</v>
      </c>
    </row>
    <row r="380" spans="1:38" x14ac:dyDescent="0.25">
      <c r="A380" s="93" t="s">
        <v>7967</v>
      </c>
      <c r="B380" s="68" t="s">
        <v>7968</v>
      </c>
      <c r="C380" s="65"/>
      <c r="D380" s="65"/>
      <c r="E380" s="65"/>
      <c r="F380" s="69" t="s">
        <v>14643</v>
      </c>
      <c r="G380" s="70"/>
      <c r="H380" s="65" t="s">
        <v>14665</v>
      </c>
      <c r="I380" s="75">
        <v>7778</v>
      </c>
      <c r="J380" s="75">
        <v>7778</v>
      </c>
      <c r="K380" s="75"/>
      <c r="L380" s="75"/>
      <c r="M380" s="75"/>
      <c r="N380" s="75">
        <f>Tabla1[[#This Row],[IMPORTE APROBADO]]-Tabla1[[#This Row],[AMORTIZACION2]]</f>
        <v>0</v>
      </c>
      <c r="O380" s="65" t="str">
        <f>TEXT(Tabla1[[#This Row],[EMISION]],"mmm")</f>
        <v>Mar</v>
      </c>
      <c r="P380" s="65" t="str">
        <f>TEXT(Tabla1[[#This Row],[EMISION]],"YYYY")</f>
        <v>2023</v>
      </c>
      <c r="Q380" s="71">
        <v>45012</v>
      </c>
      <c r="R380" s="65" t="str">
        <f>TEXT(Tabla1[[#This Row],[VENCIMIENTO]],"mmm")</f>
        <v>Abr</v>
      </c>
      <c r="S380" s="71">
        <f t="shared" si="47"/>
        <v>45019</v>
      </c>
      <c r="T380" s="72">
        <f ca="1">Tabla1[[#This Row],[EMISION]]+Tabla1[[#This Row],[PLAZO]]-TODAY()</f>
        <v>-350</v>
      </c>
      <c r="U380" s="80">
        <f t="shared" ca="1" si="48"/>
        <v>0</v>
      </c>
      <c r="V380" s="72" t="s">
        <v>14658</v>
      </c>
      <c r="W380" s="73" t="s">
        <v>14307</v>
      </c>
      <c r="X380" s="65">
        <v>7</v>
      </c>
      <c r="Y380" s="65"/>
      <c r="Z380" s="65"/>
      <c r="AA380" s="65"/>
      <c r="AB380" s="65"/>
      <c r="AC380" s="65"/>
      <c r="AD380" s="65"/>
      <c r="AE380" s="65"/>
      <c r="AF380" s="68"/>
      <c r="AG380" s="66">
        <v>45016</v>
      </c>
      <c r="AH380" s="67" t="s">
        <v>14308</v>
      </c>
      <c r="AI380" s="65" t="s">
        <v>3060</v>
      </c>
      <c r="AJ380" s="65"/>
      <c r="AK380" s="97">
        <f t="shared" ca="1" si="36"/>
        <v>350</v>
      </c>
      <c r="AL380">
        <f>IFERROR(VLOOKUP(A380,'DATA CLIENTES'!B4677:I8284,6,FALSE),0)</f>
        <v>0</v>
      </c>
    </row>
    <row r="381" spans="1:38" x14ac:dyDescent="0.25">
      <c r="A381" s="93" t="s">
        <v>7967</v>
      </c>
      <c r="B381" s="68" t="s">
        <v>7968</v>
      </c>
      <c r="C381" s="65"/>
      <c r="D381" s="65"/>
      <c r="E381" s="65"/>
      <c r="F381" s="69" t="s">
        <v>14643</v>
      </c>
      <c r="G381" s="70"/>
      <c r="H381" s="65" t="s">
        <v>14666</v>
      </c>
      <c r="I381" s="75">
        <v>7778</v>
      </c>
      <c r="J381" s="75">
        <v>7778</v>
      </c>
      <c r="K381" s="75"/>
      <c r="L381" s="75"/>
      <c r="M381" s="75"/>
      <c r="N381" s="75">
        <f>Tabla1[[#This Row],[IMPORTE APROBADO]]-Tabla1[[#This Row],[AMORTIZACION2]]</f>
        <v>0</v>
      </c>
      <c r="O381" s="65" t="str">
        <f>TEXT(Tabla1[[#This Row],[EMISION]],"mmm")</f>
        <v>Mar</v>
      </c>
      <c r="P381" s="65" t="str">
        <f>TEXT(Tabla1[[#This Row],[EMISION]],"YYYY")</f>
        <v>2023</v>
      </c>
      <c r="Q381" s="71">
        <v>45012</v>
      </c>
      <c r="R381" s="65" t="str">
        <f>TEXT(Tabla1[[#This Row],[VENCIMIENTO]],"mmm")</f>
        <v>Abr</v>
      </c>
      <c r="S381" s="71">
        <f t="shared" si="47"/>
        <v>45019</v>
      </c>
      <c r="T381" s="72">
        <f ca="1">Tabla1[[#This Row],[EMISION]]+Tabla1[[#This Row],[PLAZO]]-TODAY()</f>
        <v>-350</v>
      </c>
      <c r="U381" s="80">
        <f t="shared" ca="1" si="48"/>
        <v>0</v>
      </c>
      <c r="V381" s="72" t="s">
        <v>14658</v>
      </c>
      <c r="W381" s="73" t="s">
        <v>14307</v>
      </c>
      <c r="X381" s="65">
        <v>7</v>
      </c>
      <c r="Y381" s="65"/>
      <c r="Z381" s="65"/>
      <c r="AA381" s="65"/>
      <c r="AB381" s="65"/>
      <c r="AC381" s="65"/>
      <c r="AD381" s="65"/>
      <c r="AE381" s="65"/>
      <c r="AF381" s="68"/>
      <c r="AG381" s="66">
        <v>45016</v>
      </c>
      <c r="AH381" s="67" t="s">
        <v>14308</v>
      </c>
      <c r="AI381" s="65" t="s">
        <v>3060</v>
      </c>
      <c r="AJ381" s="65"/>
      <c r="AK381" s="97">
        <f t="shared" ca="1" si="36"/>
        <v>350</v>
      </c>
      <c r="AL381">
        <f>IFERROR(VLOOKUP(A381,'DATA CLIENTES'!B4678:I8284,6,FALSE),0)</f>
        <v>0</v>
      </c>
    </row>
    <row r="382" spans="1:38" x14ac:dyDescent="0.25">
      <c r="A382" s="93" t="s">
        <v>7967</v>
      </c>
      <c r="B382" s="68" t="s">
        <v>7968</v>
      </c>
      <c r="C382" s="65"/>
      <c r="D382" s="65"/>
      <c r="E382" s="65"/>
      <c r="F382" s="69" t="s">
        <v>14643</v>
      </c>
      <c r="G382" s="70"/>
      <c r="H382" s="65" t="s">
        <v>14667</v>
      </c>
      <c r="I382" s="75">
        <v>7778</v>
      </c>
      <c r="J382" s="75">
        <v>7778</v>
      </c>
      <c r="K382" s="75"/>
      <c r="L382" s="75"/>
      <c r="M382" s="75"/>
      <c r="N382" s="75">
        <f>Tabla1[[#This Row],[IMPORTE APROBADO]]-Tabla1[[#This Row],[AMORTIZACION2]]</f>
        <v>0</v>
      </c>
      <c r="O382" s="65" t="str">
        <f>TEXT(Tabla1[[#This Row],[EMISION]],"mmm")</f>
        <v>Mar</v>
      </c>
      <c r="P382" s="65" t="str">
        <f>TEXT(Tabla1[[#This Row],[EMISION]],"YYYY")</f>
        <v>2023</v>
      </c>
      <c r="Q382" s="71">
        <v>45012</v>
      </c>
      <c r="R382" s="65" t="str">
        <f>TEXT(Tabla1[[#This Row],[VENCIMIENTO]],"mmm")</f>
        <v>Abr</v>
      </c>
      <c r="S382" s="71">
        <f t="shared" si="47"/>
        <v>45019</v>
      </c>
      <c r="T382" s="72">
        <f ca="1">Tabla1[[#This Row],[EMISION]]+Tabla1[[#This Row],[PLAZO]]-TODAY()</f>
        <v>-350</v>
      </c>
      <c r="U382" s="80">
        <f t="shared" ca="1" si="48"/>
        <v>0</v>
      </c>
      <c r="V382" s="72" t="s">
        <v>14658</v>
      </c>
      <c r="W382" s="73" t="s">
        <v>14307</v>
      </c>
      <c r="X382" s="65">
        <v>7</v>
      </c>
      <c r="Y382" s="65"/>
      <c r="Z382" s="65"/>
      <c r="AA382" s="65"/>
      <c r="AB382" s="65"/>
      <c r="AC382" s="65"/>
      <c r="AD382" s="65"/>
      <c r="AE382" s="65"/>
      <c r="AF382" s="68"/>
      <c r="AG382" s="66">
        <v>45016</v>
      </c>
      <c r="AH382" s="67" t="s">
        <v>14308</v>
      </c>
      <c r="AI382" s="65" t="s">
        <v>3060</v>
      </c>
      <c r="AJ382" s="65"/>
      <c r="AK382" s="97">
        <f t="shared" ca="1" si="36"/>
        <v>350</v>
      </c>
      <c r="AL382">
        <f>IFERROR(VLOOKUP(A382,'DATA CLIENTES'!B4679:I8284,6,FALSE),0)</f>
        <v>0</v>
      </c>
    </row>
    <row r="383" spans="1:38" x14ac:dyDescent="0.25">
      <c r="A383" s="93" t="s">
        <v>7967</v>
      </c>
      <c r="B383" s="68" t="s">
        <v>7968</v>
      </c>
      <c r="C383" s="65"/>
      <c r="D383" s="65"/>
      <c r="E383" s="65"/>
      <c r="F383" s="69" t="s">
        <v>14643</v>
      </c>
      <c r="G383" s="70"/>
      <c r="H383" s="65" t="s">
        <v>14668</v>
      </c>
      <c r="I383" s="75">
        <v>7778</v>
      </c>
      <c r="J383" s="75">
        <v>7778</v>
      </c>
      <c r="K383" s="75"/>
      <c r="L383" s="75"/>
      <c r="M383" s="75"/>
      <c r="N383" s="75">
        <f>Tabla1[[#This Row],[IMPORTE APROBADO]]-Tabla1[[#This Row],[AMORTIZACION2]]</f>
        <v>0</v>
      </c>
      <c r="O383" s="65" t="str">
        <f>TEXT(Tabla1[[#This Row],[EMISION]],"mmm")</f>
        <v>Mar</v>
      </c>
      <c r="P383" s="65" t="str">
        <f>TEXT(Tabla1[[#This Row],[EMISION]],"YYYY")</f>
        <v>2023</v>
      </c>
      <c r="Q383" s="71">
        <v>45012</v>
      </c>
      <c r="R383" s="65" t="str">
        <f>TEXT(Tabla1[[#This Row],[VENCIMIENTO]],"mmm")</f>
        <v>Abr</v>
      </c>
      <c r="S383" s="71">
        <f t="shared" si="47"/>
        <v>45019</v>
      </c>
      <c r="T383" s="72">
        <f ca="1">Tabla1[[#This Row],[EMISION]]+Tabla1[[#This Row],[PLAZO]]-TODAY()</f>
        <v>-350</v>
      </c>
      <c r="U383" s="80">
        <f t="shared" ca="1" si="48"/>
        <v>0</v>
      </c>
      <c r="V383" s="72" t="s">
        <v>14658</v>
      </c>
      <c r="W383" s="73" t="s">
        <v>14307</v>
      </c>
      <c r="X383" s="65">
        <v>7</v>
      </c>
      <c r="Y383" s="65"/>
      <c r="Z383" s="65"/>
      <c r="AA383" s="65"/>
      <c r="AB383" s="65"/>
      <c r="AC383" s="65"/>
      <c r="AD383" s="65"/>
      <c r="AE383" s="65"/>
      <c r="AF383" s="68"/>
      <c r="AG383" s="66">
        <v>45020</v>
      </c>
      <c r="AH383" s="67" t="s">
        <v>14308</v>
      </c>
      <c r="AI383" s="65" t="s">
        <v>3060</v>
      </c>
      <c r="AJ383" s="65"/>
      <c r="AK383" s="97">
        <f t="shared" ca="1" si="36"/>
        <v>350</v>
      </c>
      <c r="AL383">
        <f>IFERROR(VLOOKUP(A383,'DATA CLIENTES'!B4680:I8284,6,FALSE),0)</f>
        <v>0</v>
      </c>
    </row>
    <row r="384" spans="1:38" x14ac:dyDescent="0.25">
      <c r="A384" s="93" t="s">
        <v>14428</v>
      </c>
      <c r="B384" s="68" t="s">
        <v>14427</v>
      </c>
      <c r="C384" s="65"/>
      <c r="D384" s="65"/>
      <c r="E384" s="65"/>
      <c r="F384" s="69" t="s">
        <v>14559</v>
      </c>
      <c r="G384" s="70"/>
      <c r="H384" s="65" t="s">
        <v>14669</v>
      </c>
      <c r="I384" s="75">
        <v>1835.8920000000001</v>
      </c>
      <c r="J384" s="75">
        <v>1835.89</v>
      </c>
      <c r="K384" s="75"/>
      <c r="L384" s="75"/>
      <c r="M384" s="75"/>
      <c r="N384" s="75">
        <f>Tabla1[[#This Row],[IMPORTE APROBADO]]-Tabla1[[#This Row],[AMORTIZACION2]]</f>
        <v>1.9999999999527063E-3</v>
      </c>
      <c r="O384" s="65" t="str">
        <f>TEXT(Tabla1[[#This Row],[EMISION]],"mmm")</f>
        <v>Mar</v>
      </c>
      <c r="P384" s="65" t="str">
        <f>TEXT(Tabla1[[#This Row],[EMISION]],"YYYY")</f>
        <v>2023</v>
      </c>
      <c r="Q384" s="71">
        <v>45013</v>
      </c>
      <c r="R384" s="65" t="str">
        <f>TEXT(Tabla1[[#This Row],[VENCIMIENTO]],"mmm")</f>
        <v>Abr</v>
      </c>
      <c r="S384" s="71">
        <f t="shared" si="47"/>
        <v>45020</v>
      </c>
      <c r="T384" s="72">
        <f ca="1">Tabla1[[#This Row],[EMISION]]+Tabla1[[#This Row],[PLAZO]]-TODAY()</f>
        <v>-349</v>
      </c>
      <c r="U384" s="80">
        <f t="shared" ca="1" si="48"/>
        <v>0</v>
      </c>
      <c r="V384" s="72"/>
      <c r="W384" s="73" t="s">
        <v>14307</v>
      </c>
      <c r="X384" s="65">
        <v>7</v>
      </c>
      <c r="Y384" s="65"/>
      <c r="Z384" s="65"/>
      <c r="AA384" s="65"/>
      <c r="AB384" s="65"/>
      <c r="AC384" s="65"/>
      <c r="AD384" s="65"/>
      <c r="AE384" s="65"/>
      <c r="AF384" s="68"/>
      <c r="AG384" s="66">
        <v>45015</v>
      </c>
      <c r="AH384" s="67" t="s">
        <v>14308</v>
      </c>
      <c r="AI384" s="65" t="s">
        <v>3060</v>
      </c>
      <c r="AJ384" s="65"/>
      <c r="AK384" s="97">
        <f t="shared" ca="1" si="36"/>
        <v>349</v>
      </c>
      <c r="AL384">
        <f>IFERROR(VLOOKUP(A384,'DATA CLIENTES'!B4681:I8284,6,FALSE),0)</f>
        <v>0</v>
      </c>
    </row>
    <row r="385" spans="1:38" x14ac:dyDescent="0.25">
      <c r="A385" s="93" t="s">
        <v>9824</v>
      </c>
      <c r="B385" s="68" t="s">
        <v>14331</v>
      </c>
      <c r="C385" s="65"/>
      <c r="D385" s="65"/>
      <c r="E385" s="65"/>
      <c r="F385" s="69" t="s">
        <v>14559</v>
      </c>
      <c r="G385" s="70"/>
      <c r="H385" s="65" t="s">
        <v>14670</v>
      </c>
      <c r="I385" s="75">
        <v>9059.1370530000004</v>
      </c>
      <c r="J385" s="75">
        <f>1000+2000+900+1600+1000+1000+1529.2+30</f>
        <v>9059.2000000000007</v>
      </c>
      <c r="K385" s="75"/>
      <c r="L385" s="75"/>
      <c r="M385" s="75"/>
      <c r="N385" s="75">
        <f>Tabla1[[#This Row],[IMPORTE APROBADO]]-Tabla1[[#This Row],[AMORTIZACION2]]</f>
        <v>-6.2947000000349362E-2</v>
      </c>
      <c r="O385" s="65" t="str">
        <f>TEXT(Tabla1[[#This Row],[EMISION]],"mmm")</f>
        <v>Mar</v>
      </c>
      <c r="P385" s="65" t="str">
        <f>TEXT(Tabla1[[#This Row],[EMISION]],"YYYY")</f>
        <v>2023</v>
      </c>
      <c r="Q385" s="71">
        <v>45014</v>
      </c>
      <c r="R385" s="65" t="str">
        <f>TEXT(Tabla1[[#This Row],[VENCIMIENTO]],"mmm")</f>
        <v>Abr</v>
      </c>
      <c r="S385" s="71">
        <f t="shared" si="47"/>
        <v>45034</v>
      </c>
      <c r="T385" s="72">
        <f ca="1">Tabla1[[#This Row],[EMISION]]+Tabla1[[#This Row],[PLAZO]]-TODAY()</f>
        <v>-335</v>
      </c>
      <c r="U385" s="80">
        <f t="shared" ca="1" si="48"/>
        <v>0</v>
      </c>
      <c r="V385" s="72"/>
      <c r="W385" s="73" t="s">
        <v>14307</v>
      </c>
      <c r="X385" s="65">
        <v>20</v>
      </c>
      <c r="Y385" s="65"/>
      <c r="Z385" s="65"/>
      <c r="AA385" s="65"/>
      <c r="AB385" s="65"/>
      <c r="AC385" s="65"/>
      <c r="AD385" s="65"/>
      <c r="AE385" s="65"/>
      <c r="AF385" s="68"/>
      <c r="AG385" s="66">
        <v>45050</v>
      </c>
      <c r="AH385" s="67" t="s">
        <v>14308</v>
      </c>
      <c r="AI385" s="65" t="s">
        <v>3060</v>
      </c>
      <c r="AJ385" s="65"/>
      <c r="AK385" s="97">
        <f t="shared" ca="1" si="36"/>
        <v>335</v>
      </c>
      <c r="AL385">
        <f>IFERROR(VLOOKUP(A385,'DATA CLIENTES'!B4682:I8284,6,FALSE),0)</f>
        <v>0</v>
      </c>
    </row>
    <row r="386" spans="1:38" x14ac:dyDescent="0.25">
      <c r="A386" s="93" t="s">
        <v>8786</v>
      </c>
      <c r="B386" s="68" t="s">
        <v>8787</v>
      </c>
      <c r="C386" s="65"/>
      <c r="D386" s="65"/>
      <c r="E386" s="65"/>
      <c r="F386" s="69" t="s">
        <v>14559</v>
      </c>
      <c r="G386" s="70"/>
      <c r="H386" s="65" t="s">
        <v>14671</v>
      </c>
      <c r="I386" s="75">
        <v>1259.0674999999999</v>
      </c>
      <c r="J386" s="75">
        <f>200+259.1+200+150+200+250</f>
        <v>1259.0999999999999</v>
      </c>
      <c r="K386" s="75"/>
      <c r="L386" s="75"/>
      <c r="M386" s="75"/>
      <c r="N386" s="75">
        <f>Tabla1[[#This Row],[IMPORTE APROBADO]]-Tabla1[[#This Row],[AMORTIZACION2]]</f>
        <v>-3.2500000000027285E-2</v>
      </c>
      <c r="O386" s="65" t="str">
        <f>TEXT(Tabla1[[#This Row],[EMISION]],"mmm")</f>
        <v>Mar</v>
      </c>
      <c r="P386" s="65" t="str">
        <f>TEXT(Tabla1[[#This Row],[EMISION]],"YYYY")</f>
        <v>2023</v>
      </c>
      <c r="Q386" s="71">
        <v>45014</v>
      </c>
      <c r="R386" s="65" t="str">
        <f>TEXT(Tabla1[[#This Row],[VENCIMIENTO]],"mmm")</f>
        <v>Abr</v>
      </c>
      <c r="S386" s="71">
        <f t="shared" si="47"/>
        <v>45029</v>
      </c>
      <c r="T386" s="72">
        <f ca="1">Tabla1[[#This Row],[EMISION]]+Tabla1[[#This Row],[PLAZO]]-TODAY()</f>
        <v>-340</v>
      </c>
      <c r="U386" s="80">
        <f t="shared" ca="1" si="48"/>
        <v>0</v>
      </c>
      <c r="V386" s="72"/>
      <c r="W386" s="73" t="s">
        <v>14307</v>
      </c>
      <c r="X386" s="65">
        <v>15</v>
      </c>
      <c r="Y386" s="65"/>
      <c r="Z386" s="65"/>
      <c r="AA386" s="65"/>
      <c r="AB386" s="65"/>
      <c r="AC386" s="65"/>
      <c r="AD386" s="65"/>
      <c r="AE386" s="65"/>
      <c r="AF386" s="68"/>
      <c r="AG386" s="66">
        <v>45050</v>
      </c>
      <c r="AH386" s="67" t="s">
        <v>14308</v>
      </c>
      <c r="AI386" s="65" t="s">
        <v>3060</v>
      </c>
      <c r="AJ386" s="65"/>
      <c r="AK386" s="97">
        <f t="shared" ca="1" si="36"/>
        <v>340</v>
      </c>
      <c r="AL386">
        <f>IFERROR(VLOOKUP(A386,'DATA CLIENTES'!B4683:I8284,6,FALSE),0)</f>
        <v>0</v>
      </c>
    </row>
    <row r="387" spans="1:38" x14ac:dyDescent="0.25">
      <c r="A387" s="93" t="s">
        <v>14562</v>
      </c>
      <c r="B387" s="68" t="s">
        <v>14561</v>
      </c>
      <c r="C387" s="65"/>
      <c r="D387" s="65"/>
      <c r="E387" s="65"/>
      <c r="F387" s="69" t="s">
        <v>14557</v>
      </c>
      <c r="G387" s="70"/>
      <c r="H387" s="65" t="s">
        <v>14672</v>
      </c>
      <c r="I387" s="75">
        <v>1697.8</v>
      </c>
      <c r="J387" s="75"/>
      <c r="K387" s="75"/>
      <c r="L387" s="75"/>
      <c r="M387" s="75"/>
      <c r="N387" s="75">
        <f>Tabla1[[#This Row],[IMPORTE APROBADO]]-Tabla1[[#This Row],[AMORTIZACION2]]</f>
        <v>1697.8</v>
      </c>
      <c r="O387" s="65" t="str">
        <f>TEXT(Tabla1[[#This Row],[EMISION]],"mmm")</f>
        <v>Mar</v>
      </c>
      <c r="P387" s="65" t="str">
        <f>TEXT(Tabla1[[#This Row],[EMISION]],"YYYY")</f>
        <v>2023</v>
      </c>
      <c r="Q387" s="71">
        <v>45016</v>
      </c>
      <c r="R387" s="65" t="str">
        <f>TEXT(Tabla1[[#This Row],[VENCIMIENTO]],"mmm")</f>
        <v>Abr</v>
      </c>
      <c r="S387" s="71">
        <f t="shared" ref="S387:S389" si="49">Q387+X387</f>
        <v>45031</v>
      </c>
      <c r="T387" s="72">
        <f ca="1">Tabla1[[#This Row],[EMISION]]+Tabla1[[#This Row],[PLAZO]]-TODAY()</f>
        <v>-338</v>
      </c>
      <c r="U387" s="80">
        <f t="shared" ref="U387:U389" ca="1" si="50">IF(T387&gt;=0,$U$4,IF(AND(T387&lt;=-1,T387&gt;=-30),$U$5,IF(AND(T387&lt;=-31,T387&gt;=-60),$U$6,IF(AND(T387&lt;=-61,T387&gt;=-90),$U$7,$U$8))))</f>
        <v>0</v>
      </c>
      <c r="V387" s="72" t="s">
        <v>3070</v>
      </c>
      <c r="W387" s="73" t="s">
        <v>14307</v>
      </c>
      <c r="X387" s="65">
        <v>15</v>
      </c>
      <c r="Y387" s="65"/>
      <c r="Z387" s="65"/>
      <c r="AA387" s="65"/>
      <c r="AB387" s="65"/>
      <c r="AC387" s="65"/>
      <c r="AD387" s="65"/>
      <c r="AE387" s="65"/>
      <c r="AF387" s="68"/>
      <c r="AG387" s="66">
        <v>45034</v>
      </c>
      <c r="AH387" s="67" t="s">
        <v>14308</v>
      </c>
      <c r="AI387" s="65" t="s">
        <v>3060</v>
      </c>
      <c r="AJ387" s="65"/>
      <c r="AK387" s="97">
        <f t="shared" ca="1" si="36"/>
        <v>338</v>
      </c>
      <c r="AL387">
        <f>IFERROR(VLOOKUP(A387,'DATA CLIENTES'!B4684:I8284,6,FALSE),0)</f>
        <v>0</v>
      </c>
    </row>
    <row r="388" spans="1:38" x14ac:dyDescent="0.25">
      <c r="A388" s="93" t="s">
        <v>14673</v>
      </c>
      <c r="B388" s="68" t="s">
        <v>8996</v>
      </c>
      <c r="C388" s="65"/>
      <c r="D388" s="65"/>
      <c r="E388" s="65"/>
      <c r="F388" s="69" t="s">
        <v>14557</v>
      </c>
      <c r="G388" s="70"/>
      <c r="H388" s="65" t="s">
        <v>14674</v>
      </c>
      <c r="I388" s="75">
        <v>1731.75</v>
      </c>
      <c r="J388" s="75">
        <v>1732</v>
      </c>
      <c r="K388" s="75"/>
      <c r="L388" s="75"/>
      <c r="M388" s="75"/>
      <c r="N388" s="75">
        <f>Tabla1[[#This Row],[IMPORTE APROBADO]]-Tabla1[[#This Row],[AMORTIZACION2]]</f>
        <v>-0.25</v>
      </c>
      <c r="O388" s="65" t="str">
        <f>TEXT(Tabla1[[#This Row],[EMISION]],"mmm")</f>
        <v>Mar</v>
      </c>
      <c r="P388" s="65" t="str">
        <f>TEXT(Tabla1[[#This Row],[EMISION]],"YYYY")</f>
        <v>2023</v>
      </c>
      <c r="Q388" s="71">
        <v>45016</v>
      </c>
      <c r="R388" s="65" t="str">
        <f>TEXT(Tabla1[[#This Row],[VENCIMIENTO]],"mmm")</f>
        <v>Abr</v>
      </c>
      <c r="S388" s="71">
        <f t="shared" si="49"/>
        <v>45023</v>
      </c>
      <c r="T388" s="72">
        <f ca="1">Tabla1[[#This Row],[EMISION]]+Tabla1[[#This Row],[PLAZO]]-TODAY()</f>
        <v>-346</v>
      </c>
      <c r="U388" s="80">
        <f t="shared" ca="1" si="50"/>
        <v>0</v>
      </c>
      <c r="V388" s="72" t="s">
        <v>3070</v>
      </c>
      <c r="W388" s="73" t="s">
        <v>14307</v>
      </c>
      <c r="X388" s="65">
        <v>7</v>
      </c>
      <c r="Y388" s="65"/>
      <c r="Z388" s="65"/>
      <c r="AA388" s="65"/>
      <c r="AB388" s="65"/>
      <c r="AC388" s="65"/>
      <c r="AD388" s="65"/>
      <c r="AE388" s="65"/>
      <c r="AF388" s="68"/>
      <c r="AG388" s="66">
        <v>45035</v>
      </c>
      <c r="AH388" s="67" t="s">
        <v>14308</v>
      </c>
      <c r="AI388" s="65" t="s">
        <v>3060</v>
      </c>
      <c r="AJ388" s="65"/>
      <c r="AK388" s="97">
        <f t="shared" ca="1" si="36"/>
        <v>346</v>
      </c>
      <c r="AL388">
        <f>IFERROR(VLOOKUP(A388,'DATA CLIENTES'!B4685:I8284,6,FALSE),0)</f>
        <v>0</v>
      </c>
    </row>
    <row r="389" spans="1:38" x14ac:dyDescent="0.25">
      <c r="A389" s="93" t="s">
        <v>14428</v>
      </c>
      <c r="B389" s="68" t="s">
        <v>14427</v>
      </c>
      <c r="C389" s="65"/>
      <c r="D389" s="65"/>
      <c r="E389" s="65"/>
      <c r="F389" s="69" t="s">
        <v>14557</v>
      </c>
      <c r="G389" s="70"/>
      <c r="H389" s="65" t="s">
        <v>14675</v>
      </c>
      <c r="I389" s="75">
        <v>38921.56</v>
      </c>
      <c r="J389" s="75">
        <f>5000+5000+2000+2500+12000+12144.6</f>
        <v>38644.6</v>
      </c>
      <c r="K389" s="75"/>
      <c r="L389" s="75"/>
      <c r="M389" s="75"/>
      <c r="N389" s="75">
        <f>Tabla1[[#This Row],[IMPORTE APROBADO]]-Tabla1[[#This Row],[AMORTIZACION2]]</f>
        <v>276.95999999999913</v>
      </c>
      <c r="O389" s="65" t="str">
        <f>TEXT(Tabla1[[#This Row],[EMISION]],"mmm")</f>
        <v>Mar</v>
      </c>
      <c r="P389" s="65" t="str">
        <f>TEXT(Tabla1[[#This Row],[EMISION]],"YYYY")</f>
        <v>2023</v>
      </c>
      <c r="Q389" s="71">
        <v>45016</v>
      </c>
      <c r="R389" s="65" t="str">
        <f>TEXT(Tabla1[[#This Row],[VENCIMIENTO]],"mmm")</f>
        <v>Abr</v>
      </c>
      <c r="S389" s="71">
        <f t="shared" si="49"/>
        <v>45026</v>
      </c>
      <c r="T389" s="72">
        <f ca="1">Tabla1[[#This Row],[EMISION]]+Tabla1[[#This Row],[PLAZO]]-TODAY()</f>
        <v>-343</v>
      </c>
      <c r="U389" s="80">
        <f t="shared" ca="1" si="50"/>
        <v>0</v>
      </c>
      <c r="V389" s="72"/>
      <c r="W389" s="73" t="s">
        <v>14307</v>
      </c>
      <c r="X389" s="65">
        <v>10</v>
      </c>
      <c r="Y389" s="65"/>
      <c r="Z389" s="65"/>
      <c r="AA389" s="65"/>
      <c r="AB389" s="65"/>
      <c r="AC389" s="65"/>
      <c r="AD389" s="65"/>
      <c r="AE389" s="65"/>
      <c r="AF389" s="68"/>
      <c r="AG389" s="66">
        <v>45055</v>
      </c>
      <c r="AH389" s="67" t="s">
        <v>14308</v>
      </c>
      <c r="AI389" s="65" t="s">
        <v>3060</v>
      </c>
      <c r="AJ389" s="65"/>
      <c r="AK389" s="97">
        <f t="shared" ca="1" si="36"/>
        <v>343</v>
      </c>
      <c r="AL389">
        <f>IFERROR(VLOOKUP(A389,'DATA CLIENTES'!B4686:I8284,6,FALSE),0)</f>
        <v>0</v>
      </c>
    </row>
    <row r="390" spans="1:38" x14ac:dyDescent="0.25">
      <c r="A390" s="93" t="s">
        <v>5265</v>
      </c>
      <c r="B390" s="68" t="s">
        <v>5266</v>
      </c>
      <c r="C390" s="65"/>
      <c r="D390" s="65"/>
      <c r="E390" s="65"/>
      <c r="F390" s="69" t="s">
        <v>14676</v>
      </c>
      <c r="G390" s="70"/>
      <c r="H390" s="65" t="s">
        <v>14677</v>
      </c>
      <c r="I390" s="75">
        <v>1150.02</v>
      </c>
      <c r="J390" s="75">
        <f>350+800</f>
        <v>1150</v>
      </c>
      <c r="K390" s="75"/>
      <c r="L390" s="75"/>
      <c r="M390" s="75"/>
      <c r="N390" s="75">
        <f>Tabla1[[#This Row],[IMPORTE APROBADO]]-Tabla1[[#This Row],[AMORTIZACION2]]</f>
        <v>1.999999999998181E-2</v>
      </c>
      <c r="O390" s="65" t="str">
        <f>TEXT(Tabla1[[#This Row],[EMISION]],"mmm")</f>
        <v>Abr</v>
      </c>
      <c r="P390" s="65" t="str">
        <f>TEXT(Tabla1[[#This Row],[EMISION]],"YYYY")</f>
        <v>2023</v>
      </c>
      <c r="Q390" s="71">
        <v>45017</v>
      </c>
      <c r="R390" s="65" t="str">
        <f>TEXT(Tabla1[[#This Row],[VENCIMIENTO]],"mmm")</f>
        <v>Abr</v>
      </c>
      <c r="S390" s="71">
        <f t="shared" ref="S390:S392" si="51">Q390+X390</f>
        <v>45032</v>
      </c>
      <c r="T390" s="72">
        <f ca="1">Tabla1[[#This Row],[EMISION]]+Tabla1[[#This Row],[PLAZO]]-TODAY()</f>
        <v>-337</v>
      </c>
      <c r="U390" s="80">
        <f t="shared" ref="U390:U392" ca="1" si="52">IF(T390&gt;=0,$U$4,IF(AND(T390&lt;=-1,T390&gt;=-30),$U$5,IF(AND(T390&lt;=-31,T390&gt;=-60),$U$6,IF(AND(T390&lt;=-61,T390&gt;=-90),$U$7,$U$8))))</f>
        <v>0</v>
      </c>
      <c r="V390" s="72" t="s">
        <v>14641</v>
      </c>
      <c r="W390" s="73" t="s">
        <v>14307</v>
      </c>
      <c r="X390" s="65">
        <v>15</v>
      </c>
      <c r="Y390" s="65"/>
      <c r="Z390" s="65"/>
      <c r="AA390" s="65"/>
      <c r="AB390" s="65"/>
      <c r="AC390" s="65"/>
      <c r="AD390" s="65"/>
      <c r="AE390" s="65"/>
      <c r="AF390" s="68"/>
      <c r="AG390" s="66">
        <v>45042</v>
      </c>
      <c r="AH390" s="67" t="s">
        <v>14308</v>
      </c>
      <c r="AI390" s="65" t="s">
        <v>3060</v>
      </c>
      <c r="AJ390" s="65"/>
      <c r="AK390" s="97">
        <f t="shared" ca="1" si="36"/>
        <v>337</v>
      </c>
      <c r="AL390">
        <f>IFERROR(VLOOKUP(A390,'DATA CLIENTES'!B4687:I8284,6,FALSE),0)</f>
        <v>0</v>
      </c>
    </row>
    <row r="391" spans="1:38" x14ac:dyDescent="0.25">
      <c r="A391" s="93" t="s">
        <v>14428</v>
      </c>
      <c r="B391" s="68" t="s">
        <v>14427</v>
      </c>
      <c r="C391" s="65"/>
      <c r="D391" s="65"/>
      <c r="E391" s="65"/>
      <c r="F391" s="69" t="s">
        <v>14557</v>
      </c>
      <c r="G391" s="70"/>
      <c r="H391" s="65" t="s">
        <v>14678</v>
      </c>
      <c r="I391" s="75">
        <v>-276.95999999999998</v>
      </c>
      <c r="J391" s="75"/>
      <c r="K391" s="75"/>
      <c r="L391" s="75"/>
      <c r="M391" s="75"/>
      <c r="N391" s="75">
        <f>Tabla1[[#This Row],[IMPORTE APROBADO]]-Tabla1[[#This Row],[AMORTIZACION2]]</f>
        <v>-276.95999999999998</v>
      </c>
      <c r="O391" s="65" t="str">
        <f>TEXT(Tabla1[[#This Row],[EMISION]],"mmm")</f>
        <v>Abr</v>
      </c>
      <c r="P391" s="65" t="str">
        <f>TEXT(Tabla1[[#This Row],[EMISION]],"YYYY")</f>
        <v>2023</v>
      </c>
      <c r="Q391" s="71">
        <v>45019</v>
      </c>
      <c r="R391" s="65" t="str">
        <f>TEXT(Tabla1[[#This Row],[VENCIMIENTO]],"mmm")</f>
        <v>Abr</v>
      </c>
      <c r="S391" s="71">
        <f t="shared" si="51"/>
        <v>45029</v>
      </c>
      <c r="T391" s="72">
        <f ca="1">Tabla1[[#This Row],[EMISION]]+Tabla1[[#This Row],[PLAZO]]-TODAY()</f>
        <v>-340</v>
      </c>
      <c r="U391" s="80">
        <f t="shared" ca="1" si="52"/>
        <v>0</v>
      </c>
      <c r="V391" s="72"/>
      <c r="W391" s="73" t="s">
        <v>14307</v>
      </c>
      <c r="X391" s="65">
        <v>10</v>
      </c>
      <c r="Y391" s="65"/>
      <c r="Z391" s="65"/>
      <c r="AA391" s="65"/>
      <c r="AB391" s="65"/>
      <c r="AC391" s="65"/>
      <c r="AD391" s="65"/>
      <c r="AE391" s="65"/>
      <c r="AF391" s="68"/>
      <c r="AG391" s="66">
        <v>45055</v>
      </c>
      <c r="AH391" s="67" t="s">
        <v>14308</v>
      </c>
      <c r="AI391" s="65" t="s">
        <v>3060</v>
      </c>
      <c r="AJ391" s="65"/>
      <c r="AK391" s="97">
        <f t="shared" ca="1" si="36"/>
        <v>340</v>
      </c>
      <c r="AL391">
        <f>IFERROR(VLOOKUP(A391,'DATA CLIENTES'!B4688:I8284,6,FALSE),0)</f>
        <v>0</v>
      </c>
    </row>
    <row r="392" spans="1:38" x14ac:dyDescent="0.25">
      <c r="A392" s="93" t="s">
        <v>6999</v>
      </c>
      <c r="B392" s="68" t="s">
        <v>14310</v>
      </c>
      <c r="C392" s="65"/>
      <c r="D392" s="65"/>
      <c r="E392" s="65"/>
      <c r="F392" s="69" t="s">
        <v>7000</v>
      </c>
      <c r="G392" s="70"/>
      <c r="H392" s="65" t="s">
        <v>14679</v>
      </c>
      <c r="I392" s="75">
        <v>2390</v>
      </c>
      <c r="J392" s="75"/>
      <c r="K392" s="75"/>
      <c r="L392" s="75"/>
      <c r="M392" s="75"/>
      <c r="N392" s="75">
        <f>Tabla1[[#This Row],[IMPORTE APROBADO]]-Tabla1[[#This Row],[AMORTIZACION2]]</f>
        <v>2390</v>
      </c>
      <c r="O392" s="65" t="str">
        <f>TEXT(Tabla1[[#This Row],[EMISION]],"mmm")</f>
        <v>Abr</v>
      </c>
      <c r="P392" s="65" t="str">
        <f>TEXT(Tabla1[[#This Row],[EMISION]],"YYYY")</f>
        <v>2023</v>
      </c>
      <c r="Q392" s="71">
        <v>45020</v>
      </c>
      <c r="R392" s="65" t="str">
        <f>TEXT(Tabla1[[#This Row],[VENCIMIENTO]],"mmm")</f>
        <v>May</v>
      </c>
      <c r="S392" s="71">
        <f t="shared" si="51"/>
        <v>45050</v>
      </c>
      <c r="T392" s="72">
        <f ca="1">Tabla1[[#This Row],[EMISION]]+Tabla1[[#This Row],[PLAZO]]-TODAY()</f>
        <v>-319</v>
      </c>
      <c r="U392" s="80">
        <f t="shared" ca="1" si="52"/>
        <v>0</v>
      </c>
      <c r="V392" s="72"/>
      <c r="W392" s="73" t="s">
        <v>14307</v>
      </c>
      <c r="X392" s="65">
        <v>30</v>
      </c>
      <c r="Y392" s="65"/>
      <c r="Z392" s="65"/>
      <c r="AA392" s="65"/>
      <c r="AB392" s="65"/>
      <c r="AC392" s="65"/>
      <c r="AD392" s="65"/>
      <c r="AE392" s="65"/>
      <c r="AF392" s="68"/>
      <c r="AG392" s="66"/>
      <c r="AH392" s="67" t="s">
        <v>14313</v>
      </c>
      <c r="AI392" s="65" t="s">
        <v>3060</v>
      </c>
      <c r="AJ392" s="65"/>
      <c r="AK392" s="97">
        <f t="shared" ca="1" si="36"/>
        <v>319</v>
      </c>
      <c r="AL392">
        <f>IFERROR(VLOOKUP(A392,'DATA CLIENTES'!B4689:I8284,6,FALSE),0)</f>
        <v>0</v>
      </c>
    </row>
    <row r="393" spans="1:38" x14ac:dyDescent="0.25">
      <c r="A393" s="93" t="s">
        <v>8553</v>
      </c>
      <c r="B393" s="68" t="s">
        <v>14573</v>
      </c>
      <c r="C393" s="65"/>
      <c r="D393" s="65"/>
      <c r="E393" s="65"/>
      <c r="F393" s="69" t="s">
        <v>14574</v>
      </c>
      <c r="G393" s="70"/>
      <c r="H393" s="65" t="s">
        <v>14680</v>
      </c>
      <c r="I393" s="75">
        <v>720</v>
      </c>
      <c r="J393" s="75">
        <v>720</v>
      </c>
      <c r="K393" s="75"/>
      <c r="L393" s="75"/>
      <c r="M393" s="75"/>
      <c r="N393" s="75">
        <f>Tabla1[[#This Row],[IMPORTE APROBADO]]-Tabla1[[#This Row],[AMORTIZACION2]]</f>
        <v>0</v>
      </c>
      <c r="O393" s="65" t="str">
        <f>TEXT(Tabla1[[#This Row],[EMISION]],"mmm")</f>
        <v>Abr</v>
      </c>
      <c r="P393" s="65" t="str">
        <f>TEXT(Tabla1[[#This Row],[EMISION]],"YYYY")</f>
        <v>2023</v>
      </c>
      <c r="Q393" s="71">
        <v>45026</v>
      </c>
      <c r="R393" s="65" t="str">
        <f>TEXT(Tabla1[[#This Row],[VENCIMIENTO]],"mmm")</f>
        <v>Abr</v>
      </c>
      <c r="S393" s="71">
        <f t="shared" ref="S393:S409" si="53">Q393+X393</f>
        <v>45041</v>
      </c>
      <c r="T393" s="72">
        <f ca="1">Tabla1[[#This Row],[EMISION]]+Tabla1[[#This Row],[PLAZO]]-TODAY()</f>
        <v>-328</v>
      </c>
      <c r="U393" s="80">
        <f t="shared" ref="U393:U409" ca="1" si="54">IF(T393&gt;=0,$U$4,IF(AND(T393&lt;=-1,T393&gt;=-30),$U$5,IF(AND(T393&lt;=-31,T393&gt;=-60),$U$6,IF(AND(T393&lt;=-61,T393&gt;=-90),$U$7,$U$8))))</f>
        <v>0</v>
      </c>
      <c r="V393" s="72"/>
      <c r="W393" s="73" t="s">
        <v>14307</v>
      </c>
      <c r="X393" s="65">
        <v>15</v>
      </c>
      <c r="Y393" s="65"/>
      <c r="Z393" s="65"/>
      <c r="AA393" s="65"/>
      <c r="AB393" s="65"/>
      <c r="AC393" s="65"/>
      <c r="AD393" s="65"/>
      <c r="AE393" s="65"/>
      <c r="AF393" s="68"/>
      <c r="AG393" s="66">
        <v>45055</v>
      </c>
      <c r="AH393" s="67" t="s">
        <v>14308</v>
      </c>
      <c r="AI393" s="65" t="s">
        <v>3060</v>
      </c>
      <c r="AJ393" s="65"/>
      <c r="AK393" s="97">
        <f t="shared" ca="1" si="36"/>
        <v>328</v>
      </c>
      <c r="AL393">
        <f>IFERROR(VLOOKUP(A393,'DATA CLIENTES'!B4690:I8284,6,FALSE),0)</f>
        <v>0</v>
      </c>
    </row>
    <row r="394" spans="1:38" x14ac:dyDescent="0.25">
      <c r="A394" s="93" t="s">
        <v>9824</v>
      </c>
      <c r="B394" s="68" t="s">
        <v>14331</v>
      </c>
      <c r="C394" s="65"/>
      <c r="D394" s="65"/>
      <c r="E394" s="65"/>
      <c r="F394" s="69" t="s">
        <v>14557</v>
      </c>
      <c r="G394" s="70"/>
      <c r="H394" s="65" t="s">
        <v>14681</v>
      </c>
      <c r="I394" s="75">
        <v>6250</v>
      </c>
      <c r="J394" s="75">
        <f>1000+1000+1000+1000+1250+1000</f>
        <v>6250</v>
      </c>
      <c r="K394" s="75"/>
      <c r="L394" s="75"/>
      <c r="M394" s="75"/>
      <c r="N394" s="75">
        <f>Tabla1[[#This Row],[IMPORTE APROBADO]]-Tabla1[[#This Row],[AMORTIZACION2]]</f>
        <v>0</v>
      </c>
      <c r="O394" s="65" t="str">
        <f>TEXT(Tabla1[[#This Row],[EMISION]],"mmm")</f>
        <v>Abr</v>
      </c>
      <c r="P394" s="65" t="str">
        <f>TEXT(Tabla1[[#This Row],[EMISION]],"YYYY")</f>
        <v>2023</v>
      </c>
      <c r="Q394" s="71">
        <v>45027</v>
      </c>
      <c r="R394" s="65" t="str">
        <f>TEXT(Tabla1[[#This Row],[VENCIMIENTO]],"mmm")</f>
        <v>May</v>
      </c>
      <c r="S394" s="71">
        <f t="shared" si="53"/>
        <v>45052</v>
      </c>
      <c r="T394" s="72">
        <f ca="1">Tabla1[[#This Row],[EMISION]]+Tabla1[[#This Row],[PLAZO]]-TODAY()</f>
        <v>-317</v>
      </c>
      <c r="U394" s="80">
        <f t="shared" ca="1" si="54"/>
        <v>0</v>
      </c>
      <c r="V394" s="72"/>
      <c r="W394" s="73" t="s">
        <v>14307</v>
      </c>
      <c r="X394" s="65">
        <v>25</v>
      </c>
      <c r="Y394" s="65"/>
      <c r="Z394" s="65"/>
      <c r="AA394" s="65"/>
      <c r="AB394" s="65"/>
      <c r="AC394" s="65"/>
      <c r="AD394" s="65"/>
      <c r="AE394" s="65"/>
      <c r="AF394" s="68"/>
      <c r="AG394" s="66">
        <v>45066</v>
      </c>
      <c r="AH394" s="67" t="s">
        <v>14308</v>
      </c>
      <c r="AI394" s="65" t="s">
        <v>3060</v>
      </c>
      <c r="AJ394" s="65"/>
      <c r="AK394" s="97">
        <f t="shared" ca="1" si="36"/>
        <v>317</v>
      </c>
      <c r="AL394">
        <f>IFERROR(VLOOKUP(A394,'DATA CLIENTES'!B4691:I8284,6,FALSE),0)</f>
        <v>0</v>
      </c>
    </row>
    <row r="395" spans="1:38" x14ac:dyDescent="0.25">
      <c r="A395" s="93" t="s">
        <v>10005</v>
      </c>
      <c r="B395" s="68" t="s">
        <v>14443</v>
      </c>
      <c r="C395" s="65"/>
      <c r="D395" s="65"/>
      <c r="E395" s="65"/>
      <c r="F395" s="69" t="s">
        <v>14557</v>
      </c>
      <c r="G395" s="70"/>
      <c r="H395" s="65" t="s">
        <v>14682</v>
      </c>
      <c r="I395" s="75">
        <v>2878</v>
      </c>
      <c r="J395" s="75">
        <f>878+1000+1000</f>
        <v>2878</v>
      </c>
      <c r="K395" s="75"/>
      <c r="L395" s="75"/>
      <c r="M395" s="75"/>
      <c r="N395" s="75">
        <f>Tabla1[[#This Row],[IMPORTE APROBADO]]-Tabla1[[#This Row],[AMORTIZACION2]]</f>
        <v>0</v>
      </c>
      <c r="O395" s="65" t="str">
        <f>TEXT(Tabla1[[#This Row],[EMISION]],"mmm")</f>
        <v>Abr</v>
      </c>
      <c r="P395" s="65" t="str">
        <f>TEXT(Tabla1[[#This Row],[EMISION]],"YYYY")</f>
        <v>2023</v>
      </c>
      <c r="Q395" s="71">
        <v>45027</v>
      </c>
      <c r="R395" s="65" t="str">
        <f>TEXT(Tabla1[[#This Row],[VENCIMIENTO]],"mmm")</f>
        <v>Abr</v>
      </c>
      <c r="S395" s="71">
        <f t="shared" si="53"/>
        <v>45034</v>
      </c>
      <c r="T395" s="72">
        <f ca="1">Tabla1[[#This Row],[EMISION]]+Tabla1[[#This Row],[PLAZO]]-TODAY()</f>
        <v>-335</v>
      </c>
      <c r="U395" s="80">
        <f t="shared" ca="1" si="54"/>
        <v>0</v>
      </c>
      <c r="V395" s="72"/>
      <c r="W395" s="73" t="s">
        <v>14307</v>
      </c>
      <c r="X395" s="65">
        <v>7</v>
      </c>
      <c r="Y395" s="65"/>
      <c r="Z395" s="65"/>
      <c r="AA395" s="65"/>
      <c r="AB395" s="65"/>
      <c r="AC395" s="65"/>
      <c r="AD395" s="65"/>
      <c r="AE395" s="65"/>
      <c r="AF395" s="68"/>
      <c r="AG395" s="66">
        <v>45040</v>
      </c>
      <c r="AH395" s="67" t="s">
        <v>14308</v>
      </c>
      <c r="AI395" s="65" t="s">
        <v>3060</v>
      </c>
      <c r="AJ395" s="65"/>
      <c r="AK395" s="97">
        <f t="shared" ca="1" si="36"/>
        <v>335</v>
      </c>
      <c r="AL395">
        <f>IFERROR(VLOOKUP(A395,'DATA CLIENTES'!B4692:I8284,6,FALSE),0)</f>
        <v>0</v>
      </c>
    </row>
    <row r="396" spans="1:38" x14ac:dyDescent="0.25">
      <c r="A396" s="93" t="s">
        <v>7452</v>
      </c>
      <c r="B396" s="68" t="s">
        <v>7453</v>
      </c>
      <c r="C396" s="65"/>
      <c r="D396" s="65"/>
      <c r="E396" s="65"/>
      <c r="F396" s="69" t="s">
        <v>7000</v>
      </c>
      <c r="G396" s="70"/>
      <c r="H396" s="65" t="s">
        <v>14683</v>
      </c>
      <c r="I396" s="75">
        <v>3262.39</v>
      </c>
      <c r="J396" s="75">
        <f>500+412.39+2100+250</f>
        <v>3262.39</v>
      </c>
      <c r="K396" s="75"/>
      <c r="L396" s="75"/>
      <c r="M396" s="75"/>
      <c r="N396" s="75">
        <f>Tabla1[[#This Row],[IMPORTE APROBADO]]-Tabla1[[#This Row],[AMORTIZACION2]]</f>
        <v>0</v>
      </c>
      <c r="O396" s="65" t="str">
        <f>TEXT(Tabla1[[#This Row],[EMISION]],"mmm")</f>
        <v>Abr</v>
      </c>
      <c r="P396" s="65" t="str">
        <f>TEXT(Tabla1[[#This Row],[EMISION]],"YYYY")</f>
        <v>2023</v>
      </c>
      <c r="Q396" s="71">
        <v>45027</v>
      </c>
      <c r="R396" s="65" t="str">
        <f>TEXT(Tabla1[[#This Row],[VENCIMIENTO]],"mmm")</f>
        <v>Jun</v>
      </c>
      <c r="S396" s="71">
        <f t="shared" si="53"/>
        <v>45087</v>
      </c>
      <c r="T396" s="72">
        <f ca="1">Tabla1[[#This Row],[EMISION]]+Tabla1[[#This Row],[PLAZO]]-TODAY()</f>
        <v>-282</v>
      </c>
      <c r="U396" s="80">
        <f t="shared" ca="1" si="54"/>
        <v>0</v>
      </c>
      <c r="V396" s="72" t="s">
        <v>14477</v>
      </c>
      <c r="W396" s="73" t="s">
        <v>14307</v>
      </c>
      <c r="X396" s="65">
        <v>60</v>
      </c>
      <c r="Y396" s="65"/>
      <c r="Z396" s="65"/>
      <c r="AA396" s="65"/>
      <c r="AB396" s="65"/>
      <c r="AC396" s="65"/>
      <c r="AD396" s="65"/>
      <c r="AE396" s="65"/>
      <c r="AF396" s="68"/>
      <c r="AG396" s="66">
        <v>45141</v>
      </c>
      <c r="AH396" s="67" t="s">
        <v>14308</v>
      </c>
      <c r="AI396" s="65" t="s">
        <v>3060</v>
      </c>
      <c r="AJ396" s="65"/>
      <c r="AK396" s="97">
        <f t="shared" ca="1" si="36"/>
        <v>282</v>
      </c>
      <c r="AL396">
        <f>IFERROR(VLOOKUP(A396,'DATA CLIENTES'!B4693:I8284,6,FALSE),0)</f>
        <v>0</v>
      </c>
    </row>
    <row r="397" spans="1:38" x14ac:dyDescent="0.25">
      <c r="A397" s="93" t="s">
        <v>14833</v>
      </c>
      <c r="B397" s="68" t="s">
        <v>4621</v>
      </c>
      <c r="C397" s="65"/>
      <c r="D397" s="65"/>
      <c r="E397" s="65"/>
      <c r="F397" s="69" t="s">
        <v>7000</v>
      </c>
      <c r="G397" s="70"/>
      <c r="H397" s="65" t="s">
        <v>14684</v>
      </c>
      <c r="I397" s="75">
        <v>61.72</v>
      </c>
      <c r="J397" s="75">
        <v>61.72</v>
      </c>
      <c r="K397" s="75"/>
      <c r="L397" s="75"/>
      <c r="M397" s="75"/>
      <c r="N397" s="75">
        <f>Tabla1[[#This Row],[IMPORTE APROBADO]]-Tabla1[[#This Row],[AMORTIZACION2]]</f>
        <v>0</v>
      </c>
      <c r="O397" s="65" t="str">
        <f>TEXT(Tabla1[[#This Row],[EMISION]],"mmm")</f>
        <v>Abr</v>
      </c>
      <c r="P397" s="65" t="str">
        <f>TEXT(Tabla1[[#This Row],[EMISION]],"YYYY")</f>
        <v>2023</v>
      </c>
      <c r="Q397" s="71">
        <v>45027</v>
      </c>
      <c r="R397" s="65" t="str">
        <f>TEXT(Tabla1[[#This Row],[VENCIMIENTO]],"mmm")</f>
        <v>Jun</v>
      </c>
      <c r="S397" s="71">
        <f t="shared" si="53"/>
        <v>45087</v>
      </c>
      <c r="T397" s="72">
        <f ca="1">Tabla1[[#This Row],[EMISION]]+Tabla1[[#This Row],[PLAZO]]-TODAY()</f>
        <v>-282</v>
      </c>
      <c r="U397" s="80">
        <f t="shared" ca="1" si="54"/>
        <v>0</v>
      </c>
      <c r="V397" s="72" t="s">
        <v>14477</v>
      </c>
      <c r="W397" s="73" t="s">
        <v>14307</v>
      </c>
      <c r="X397" s="65">
        <v>60</v>
      </c>
      <c r="Y397" s="65"/>
      <c r="Z397" s="65"/>
      <c r="AA397" s="65"/>
      <c r="AB397" s="65"/>
      <c r="AC397" s="65"/>
      <c r="AD397" s="65"/>
      <c r="AE397" s="65"/>
      <c r="AF397" s="68"/>
      <c r="AG397" s="66">
        <v>45094</v>
      </c>
      <c r="AH397" s="67" t="s">
        <v>14308</v>
      </c>
      <c r="AI397" s="65" t="s">
        <v>3060</v>
      </c>
      <c r="AJ397" s="65"/>
      <c r="AK397" s="97">
        <f t="shared" ca="1" si="36"/>
        <v>282</v>
      </c>
      <c r="AL397">
        <f>IFERROR(VLOOKUP(A397,'DATA CLIENTES'!B4694:I8284,6,FALSE),0)</f>
        <v>0</v>
      </c>
    </row>
    <row r="398" spans="1:38" x14ac:dyDescent="0.25">
      <c r="A398" s="93" t="s">
        <v>14428</v>
      </c>
      <c r="B398" s="68" t="s">
        <v>14427</v>
      </c>
      <c r="C398" s="65"/>
      <c r="D398" s="65"/>
      <c r="E398" s="65"/>
      <c r="F398" s="69" t="s">
        <v>14557</v>
      </c>
      <c r="G398" s="70"/>
      <c r="H398" s="65" t="s">
        <v>14685</v>
      </c>
      <c r="I398" s="75">
        <v>19844.5</v>
      </c>
      <c r="J398" s="75">
        <v>19844.5</v>
      </c>
      <c r="K398" s="75"/>
      <c r="L398" s="75"/>
      <c r="M398" s="75"/>
      <c r="N398" s="75">
        <f>Tabla1[[#This Row],[IMPORTE APROBADO]]-Tabla1[[#This Row],[AMORTIZACION2]]</f>
        <v>0</v>
      </c>
      <c r="O398" s="65" t="str">
        <f>TEXT(Tabla1[[#This Row],[EMISION]],"mmm")</f>
        <v>Abr</v>
      </c>
      <c r="P398" s="65" t="str">
        <f>TEXT(Tabla1[[#This Row],[EMISION]],"YYYY")</f>
        <v>2023</v>
      </c>
      <c r="Q398" s="71">
        <v>45028</v>
      </c>
      <c r="R398" s="65" t="str">
        <f>TEXT(Tabla1[[#This Row],[VENCIMIENTO]],"mmm")</f>
        <v>Abr</v>
      </c>
      <c r="S398" s="71">
        <f t="shared" si="53"/>
        <v>45043</v>
      </c>
      <c r="T398" s="72">
        <f ca="1">Tabla1[[#This Row],[EMISION]]+Tabla1[[#This Row],[PLAZO]]-TODAY()</f>
        <v>-326</v>
      </c>
      <c r="U398" s="80">
        <f t="shared" ca="1" si="54"/>
        <v>0</v>
      </c>
      <c r="V398" s="72"/>
      <c r="W398" s="73" t="s">
        <v>14307</v>
      </c>
      <c r="X398" s="65">
        <v>15</v>
      </c>
      <c r="Y398" s="65"/>
      <c r="Z398" s="65"/>
      <c r="AA398" s="65"/>
      <c r="AB398" s="65"/>
      <c r="AC398" s="65"/>
      <c r="AD398" s="65"/>
      <c r="AE398" s="65"/>
      <c r="AF398" s="68"/>
      <c r="AG398" s="66">
        <v>45062</v>
      </c>
      <c r="AH398" s="67" t="s">
        <v>14308</v>
      </c>
      <c r="AI398" s="65" t="s">
        <v>3060</v>
      </c>
      <c r="AJ398" s="65"/>
      <c r="AK398" s="97">
        <f t="shared" ref="AK398:AK461" ca="1" si="55">TODAY() - S398</f>
        <v>326</v>
      </c>
      <c r="AL398">
        <f>IFERROR(VLOOKUP(A398,'DATA CLIENTES'!B4695:I8284,6,FALSE),0)</f>
        <v>0</v>
      </c>
    </row>
    <row r="399" spans="1:38" x14ac:dyDescent="0.25">
      <c r="A399" s="93" t="s">
        <v>6999</v>
      </c>
      <c r="B399" s="68" t="s">
        <v>14310</v>
      </c>
      <c r="C399" s="65"/>
      <c r="D399" s="65"/>
      <c r="E399" s="65"/>
      <c r="F399" s="69" t="s">
        <v>7000</v>
      </c>
      <c r="G399" s="70"/>
      <c r="H399" s="65" t="s">
        <v>14686</v>
      </c>
      <c r="I399" s="75">
        <v>1481.9</v>
      </c>
      <c r="J399" s="75"/>
      <c r="K399" s="75"/>
      <c r="L399" s="75"/>
      <c r="M399" s="75"/>
      <c r="N399" s="75">
        <f>Tabla1[[#This Row],[IMPORTE APROBADO]]-Tabla1[[#This Row],[AMORTIZACION2]]</f>
        <v>1481.9</v>
      </c>
      <c r="O399" s="65" t="str">
        <f>TEXT(Tabla1[[#This Row],[EMISION]],"mmm")</f>
        <v>Abr</v>
      </c>
      <c r="P399" s="65" t="str">
        <f>TEXT(Tabla1[[#This Row],[EMISION]],"YYYY")</f>
        <v>2023</v>
      </c>
      <c r="Q399" s="71">
        <v>45028</v>
      </c>
      <c r="R399" s="65" t="str">
        <f>TEXT(Tabla1[[#This Row],[VENCIMIENTO]],"mmm")</f>
        <v>May</v>
      </c>
      <c r="S399" s="71">
        <f t="shared" si="53"/>
        <v>45073</v>
      </c>
      <c r="T399" s="72">
        <f ca="1">Tabla1[[#This Row],[EMISION]]+Tabla1[[#This Row],[PLAZO]]-TODAY()</f>
        <v>-296</v>
      </c>
      <c r="U399" s="80">
        <f t="shared" ca="1" si="54"/>
        <v>0</v>
      </c>
      <c r="V399" s="72"/>
      <c r="W399" s="73" t="s">
        <v>14307</v>
      </c>
      <c r="X399" s="65">
        <v>45</v>
      </c>
      <c r="Y399" s="65"/>
      <c r="Z399" s="65"/>
      <c r="AA399" s="65"/>
      <c r="AB399" s="65"/>
      <c r="AC399" s="65"/>
      <c r="AD399" s="65"/>
      <c r="AE399" s="65"/>
      <c r="AF399" s="68"/>
      <c r="AG399" s="66"/>
      <c r="AH399" s="67" t="s">
        <v>14313</v>
      </c>
      <c r="AI399" s="65" t="s">
        <v>3060</v>
      </c>
      <c r="AJ399" s="65"/>
      <c r="AK399" s="97">
        <f t="shared" ca="1" si="55"/>
        <v>296</v>
      </c>
      <c r="AL399">
        <f>IFERROR(VLOOKUP(A399,'DATA CLIENTES'!B4696:I8284,6,FALSE),0)</f>
        <v>0</v>
      </c>
    </row>
    <row r="400" spans="1:38" x14ac:dyDescent="0.25">
      <c r="A400" s="93" t="s">
        <v>7964</v>
      </c>
      <c r="B400" s="68" t="s">
        <v>14642</v>
      </c>
      <c r="C400" s="65"/>
      <c r="D400" s="65"/>
      <c r="E400" s="65"/>
      <c r="F400" s="69" t="s">
        <v>14574</v>
      </c>
      <c r="G400" s="70"/>
      <c r="H400" s="65" t="s">
        <v>14687</v>
      </c>
      <c r="I400" s="75">
        <v>475</v>
      </c>
      <c r="J400" s="75">
        <v>475</v>
      </c>
      <c r="K400" s="75"/>
      <c r="L400" s="75"/>
      <c r="M400" s="75"/>
      <c r="N400" s="75">
        <f>Tabla1[[#This Row],[IMPORTE APROBADO]]-Tabla1[[#This Row],[AMORTIZACION2]]</f>
        <v>0</v>
      </c>
      <c r="O400" s="65" t="str">
        <f>TEXT(Tabla1[[#This Row],[EMISION]],"mmm")</f>
        <v>Abr</v>
      </c>
      <c r="P400" s="65" t="str">
        <f>TEXT(Tabla1[[#This Row],[EMISION]],"YYYY")</f>
        <v>2023</v>
      </c>
      <c r="Q400" s="71">
        <v>45028</v>
      </c>
      <c r="R400" s="65" t="str">
        <f>TEXT(Tabla1[[#This Row],[VENCIMIENTO]],"mmm")</f>
        <v>Abr</v>
      </c>
      <c r="S400" s="71">
        <f t="shared" si="53"/>
        <v>45035</v>
      </c>
      <c r="T400" s="72">
        <f ca="1">Tabla1[[#This Row],[EMISION]]+Tabla1[[#This Row],[PLAZO]]-TODAY()</f>
        <v>-334</v>
      </c>
      <c r="U400" s="80">
        <f t="shared" ca="1" si="54"/>
        <v>0</v>
      </c>
      <c r="V400" s="72"/>
      <c r="W400" s="73" t="s">
        <v>14307</v>
      </c>
      <c r="X400" s="65">
        <v>7</v>
      </c>
      <c r="Y400" s="65"/>
      <c r="Z400" s="65"/>
      <c r="AA400" s="65"/>
      <c r="AB400" s="65"/>
      <c r="AC400" s="65"/>
      <c r="AD400" s="65"/>
      <c r="AE400" s="65"/>
      <c r="AF400" s="68"/>
      <c r="AG400" s="66">
        <v>45035</v>
      </c>
      <c r="AH400" s="67" t="s">
        <v>14308</v>
      </c>
      <c r="AI400" s="65" t="s">
        <v>3060</v>
      </c>
      <c r="AJ400" s="65"/>
      <c r="AK400" s="97">
        <f t="shared" ca="1" si="55"/>
        <v>334</v>
      </c>
      <c r="AL400">
        <f>IFERROR(VLOOKUP(A400,'DATA CLIENTES'!B4697:I8284,6,FALSE),0)</f>
        <v>0</v>
      </c>
    </row>
    <row r="401" spans="1:38" x14ac:dyDescent="0.25">
      <c r="A401" s="93" t="s">
        <v>7964</v>
      </c>
      <c r="B401" s="68" t="s">
        <v>14642</v>
      </c>
      <c r="C401" s="65"/>
      <c r="D401" s="65"/>
      <c r="E401" s="65"/>
      <c r="F401" s="69" t="s">
        <v>14574</v>
      </c>
      <c r="G401" s="70"/>
      <c r="H401" s="65" t="s">
        <v>14688</v>
      </c>
      <c r="I401" s="75">
        <v>765</v>
      </c>
      <c r="J401" s="75">
        <v>765</v>
      </c>
      <c r="K401" s="75"/>
      <c r="L401" s="75"/>
      <c r="M401" s="75"/>
      <c r="N401" s="75">
        <f>Tabla1[[#This Row],[IMPORTE APROBADO]]-Tabla1[[#This Row],[AMORTIZACION2]]</f>
        <v>0</v>
      </c>
      <c r="O401" s="65" t="str">
        <f>TEXT(Tabla1[[#This Row],[EMISION]],"mmm")</f>
        <v>Abr</v>
      </c>
      <c r="P401" s="65" t="str">
        <f>TEXT(Tabla1[[#This Row],[EMISION]],"YYYY")</f>
        <v>2023</v>
      </c>
      <c r="Q401" s="71">
        <v>45028</v>
      </c>
      <c r="R401" s="65" t="str">
        <f>TEXT(Tabla1[[#This Row],[VENCIMIENTO]],"mmm")</f>
        <v>Abr</v>
      </c>
      <c r="S401" s="71">
        <f t="shared" si="53"/>
        <v>45035</v>
      </c>
      <c r="T401" s="72">
        <f ca="1">Tabla1[[#This Row],[EMISION]]+Tabla1[[#This Row],[PLAZO]]-TODAY()</f>
        <v>-334</v>
      </c>
      <c r="U401" s="80">
        <f t="shared" ca="1" si="54"/>
        <v>0</v>
      </c>
      <c r="V401" s="72"/>
      <c r="W401" s="73" t="s">
        <v>14307</v>
      </c>
      <c r="X401" s="65">
        <v>7</v>
      </c>
      <c r="Y401" s="65"/>
      <c r="Z401" s="65"/>
      <c r="AA401" s="65"/>
      <c r="AB401" s="65"/>
      <c r="AC401" s="65"/>
      <c r="AD401" s="65"/>
      <c r="AE401" s="65"/>
      <c r="AF401" s="68"/>
      <c r="AG401" s="66">
        <v>45040</v>
      </c>
      <c r="AH401" s="67" t="s">
        <v>14308</v>
      </c>
      <c r="AI401" s="65" t="s">
        <v>3060</v>
      </c>
      <c r="AJ401" s="65"/>
      <c r="AK401" s="97">
        <f t="shared" ca="1" si="55"/>
        <v>334</v>
      </c>
      <c r="AL401">
        <f>IFERROR(VLOOKUP(A401,'DATA CLIENTES'!B4698:I8284,6,FALSE),0)</f>
        <v>0</v>
      </c>
    </row>
    <row r="402" spans="1:38" x14ac:dyDescent="0.25">
      <c r="A402" s="93" t="s">
        <v>9248</v>
      </c>
      <c r="B402" s="68" t="s">
        <v>14430</v>
      </c>
      <c r="C402" s="65"/>
      <c r="D402" s="65"/>
      <c r="E402" s="65"/>
      <c r="F402" s="69" t="s">
        <v>14571</v>
      </c>
      <c r="G402" s="70"/>
      <c r="H402" s="65" t="s">
        <v>14689</v>
      </c>
      <c r="I402" s="75">
        <v>489.89332999999999</v>
      </c>
      <c r="J402" s="75">
        <v>489.89</v>
      </c>
      <c r="K402" s="75"/>
      <c r="L402" s="75"/>
      <c r="M402" s="75"/>
      <c r="N402" s="75">
        <f>Tabla1[[#This Row],[IMPORTE APROBADO]]-Tabla1[[#This Row],[AMORTIZACION2]]</f>
        <v>3.3300000000053842E-3</v>
      </c>
      <c r="O402" s="65" t="str">
        <f>TEXT(Tabla1[[#This Row],[EMISION]],"mmm")</f>
        <v>Abr</v>
      </c>
      <c r="P402" s="65" t="str">
        <f>TEXT(Tabla1[[#This Row],[EMISION]],"YYYY")</f>
        <v>2023</v>
      </c>
      <c r="Q402" s="71">
        <v>45029</v>
      </c>
      <c r="R402" s="65" t="str">
        <f>TEXT(Tabla1[[#This Row],[VENCIMIENTO]],"mmm")</f>
        <v>Abr</v>
      </c>
      <c r="S402" s="71">
        <f t="shared" si="53"/>
        <v>45044</v>
      </c>
      <c r="T402" s="72">
        <f ca="1">Tabla1[[#This Row],[EMISION]]+Tabla1[[#This Row],[PLAZO]]-TODAY()</f>
        <v>-325</v>
      </c>
      <c r="U402" s="80">
        <f t="shared" ca="1" si="54"/>
        <v>0</v>
      </c>
      <c r="V402" s="72"/>
      <c r="W402" s="73" t="s">
        <v>14307</v>
      </c>
      <c r="X402" s="65">
        <v>15</v>
      </c>
      <c r="Y402" s="65"/>
      <c r="Z402" s="65"/>
      <c r="AA402" s="65"/>
      <c r="AB402" s="65"/>
      <c r="AC402" s="65"/>
      <c r="AD402" s="65"/>
      <c r="AE402" s="65"/>
      <c r="AF402" s="68"/>
      <c r="AG402" s="66">
        <v>45047</v>
      </c>
      <c r="AH402" s="67" t="s">
        <v>14308</v>
      </c>
      <c r="AI402" s="65" t="s">
        <v>3060</v>
      </c>
      <c r="AJ402" s="65"/>
      <c r="AK402" s="97">
        <f t="shared" ca="1" si="55"/>
        <v>325</v>
      </c>
      <c r="AL402">
        <f>IFERROR(VLOOKUP(A402,'DATA CLIENTES'!B4699:I8284,6,FALSE),0)</f>
        <v>0</v>
      </c>
    </row>
    <row r="403" spans="1:38" x14ac:dyDescent="0.25">
      <c r="A403" s="93" t="s">
        <v>9248</v>
      </c>
      <c r="B403" s="68" t="s">
        <v>14430</v>
      </c>
      <c r="C403" s="65"/>
      <c r="D403" s="65"/>
      <c r="E403" s="65"/>
      <c r="F403" s="69" t="s">
        <v>14571</v>
      </c>
      <c r="G403" s="70"/>
      <c r="H403" s="65" t="s">
        <v>14690</v>
      </c>
      <c r="I403" s="75">
        <v>3572</v>
      </c>
      <c r="J403" s="75">
        <v>3572</v>
      </c>
      <c r="K403" s="75"/>
      <c r="L403" s="75"/>
      <c r="M403" s="75"/>
      <c r="N403" s="75">
        <f>Tabla1[[#This Row],[IMPORTE APROBADO]]-Tabla1[[#This Row],[AMORTIZACION2]]</f>
        <v>0</v>
      </c>
      <c r="O403" s="65" t="str">
        <f>TEXT(Tabla1[[#This Row],[EMISION]],"mmm")</f>
        <v>Abr</v>
      </c>
      <c r="P403" s="65" t="str">
        <f>TEXT(Tabla1[[#This Row],[EMISION]],"YYYY")</f>
        <v>2023</v>
      </c>
      <c r="Q403" s="71">
        <v>45029</v>
      </c>
      <c r="R403" s="65" t="str">
        <f>TEXT(Tabla1[[#This Row],[VENCIMIENTO]],"mmm")</f>
        <v>Abr</v>
      </c>
      <c r="S403" s="71">
        <f t="shared" si="53"/>
        <v>45044</v>
      </c>
      <c r="T403" s="72">
        <f ca="1">Tabla1[[#This Row],[EMISION]]+Tabla1[[#This Row],[PLAZO]]-TODAY()</f>
        <v>-325</v>
      </c>
      <c r="U403" s="80">
        <f t="shared" ca="1" si="54"/>
        <v>0</v>
      </c>
      <c r="V403" s="72"/>
      <c r="W403" s="73" t="s">
        <v>14307</v>
      </c>
      <c r="X403" s="65">
        <v>15</v>
      </c>
      <c r="Y403" s="65"/>
      <c r="Z403" s="65"/>
      <c r="AA403" s="65"/>
      <c r="AB403" s="65"/>
      <c r="AC403" s="65"/>
      <c r="AD403" s="65"/>
      <c r="AE403" s="65"/>
      <c r="AF403" s="68"/>
      <c r="AG403" s="66">
        <v>45047</v>
      </c>
      <c r="AH403" s="67" t="s">
        <v>14308</v>
      </c>
      <c r="AI403" s="65" t="s">
        <v>3060</v>
      </c>
      <c r="AJ403" s="65"/>
      <c r="AK403" s="97">
        <f t="shared" ca="1" si="55"/>
        <v>325</v>
      </c>
      <c r="AL403">
        <f>IFERROR(VLOOKUP(A403,'DATA CLIENTES'!B4700:I8284,6,FALSE),0)</f>
        <v>0</v>
      </c>
    </row>
    <row r="404" spans="1:38" x14ac:dyDescent="0.25">
      <c r="A404" s="93" t="s">
        <v>14428</v>
      </c>
      <c r="B404" s="68" t="s">
        <v>14427</v>
      </c>
      <c r="C404" s="65"/>
      <c r="D404" s="65"/>
      <c r="E404" s="65"/>
      <c r="F404" s="69" t="s">
        <v>14557</v>
      </c>
      <c r="G404" s="70"/>
      <c r="H404" s="65" t="s">
        <v>14691</v>
      </c>
      <c r="I404" s="75">
        <v>999.6</v>
      </c>
      <c r="J404" s="75">
        <v>999.6</v>
      </c>
      <c r="K404" s="75"/>
      <c r="L404" s="75"/>
      <c r="M404" s="75"/>
      <c r="N404" s="75">
        <f>Tabla1[[#This Row],[IMPORTE APROBADO]]-Tabla1[[#This Row],[AMORTIZACION2]]</f>
        <v>0</v>
      </c>
      <c r="O404" s="65" t="str">
        <f>TEXT(Tabla1[[#This Row],[EMISION]],"mmm")</f>
        <v>Abr</v>
      </c>
      <c r="P404" s="65" t="str">
        <f>TEXT(Tabla1[[#This Row],[EMISION]],"YYYY")</f>
        <v>2023</v>
      </c>
      <c r="Q404" s="71">
        <v>45029</v>
      </c>
      <c r="R404" s="65" t="str">
        <f>TEXT(Tabla1[[#This Row],[VENCIMIENTO]],"mmm")</f>
        <v>Abr</v>
      </c>
      <c r="S404" s="71">
        <f t="shared" si="53"/>
        <v>45044</v>
      </c>
      <c r="T404" s="72">
        <f ca="1">Tabla1[[#This Row],[EMISION]]+Tabla1[[#This Row],[PLAZO]]-TODAY()</f>
        <v>-325</v>
      </c>
      <c r="U404" s="80">
        <f t="shared" ca="1" si="54"/>
        <v>0</v>
      </c>
      <c r="V404" s="72"/>
      <c r="W404" s="73" t="s">
        <v>14307</v>
      </c>
      <c r="X404" s="65">
        <v>15</v>
      </c>
      <c r="Y404" s="65"/>
      <c r="Z404" s="65"/>
      <c r="AA404" s="65"/>
      <c r="AB404" s="65"/>
      <c r="AC404" s="65"/>
      <c r="AD404" s="65"/>
      <c r="AE404" s="65"/>
      <c r="AF404" s="68"/>
      <c r="AG404" s="66">
        <v>45038</v>
      </c>
      <c r="AH404" s="67" t="s">
        <v>14308</v>
      </c>
      <c r="AI404" s="65" t="s">
        <v>3060</v>
      </c>
      <c r="AJ404" s="65"/>
      <c r="AK404" s="97">
        <f t="shared" ca="1" si="55"/>
        <v>325</v>
      </c>
      <c r="AL404">
        <f>IFERROR(VLOOKUP(A404,'DATA CLIENTES'!B4701:I8284,6,FALSE),0)</f>
        <v>0</v>
      </c>
    </row>
    <row r="405" spans="1:38" x14ac:dyDescent="0.25">
      <c r="A405" s="93" t="s">
        <v>9263</v>
      </c>
      <c r="B405" s="68" t="s">
        <v>9264</v>
      </c>
      <c r="C405" s="65"/>
      <c r="D405" s="65"/>
      <c r="E405" s="65"/>
      <c r="F405" s="69" t="s">
        <v>14571</v>
      </c>
      <c r="G405" s="70"/>
      <c r="H405" s="65" t="s">
        <v>14692</v>
      </c>
      <c r="I405" s="75">
        <v>1627.59025</v>
      </c>
      <c r="J405" s="75">
        <v>1627.59</v>
      </c>
      <c r="K405" s="75"/>
      <c r="L405" s="75"/>
      <c r="M405" s="75"/>
      <c r="N405" s="75">
        <f>Tabla1[[#This Row],[IMPORTE APROBADO]]-Tabla1[[#This Row],[AMORTIZACION2]]</f>
        <v>2.500000000509317E-4</v>
      </c>
      <c r="O405" s="65" t="str">
        <f>TEXT(Tabla1[[#This Row],[EMISION]],"mmm")</f>
        <v>Abr</v>
      </c>
      <c r="P405" s="65" t="str">
        <f>TEXT(Tabla1[[#This Row],[EMISION]],"YYYY")</f>
        <v>2023</v>
      </c>
      <c r="Q405" s="71">
        <v>45029</v>
      </c>
      <c r="R405" s="65" t="str">
        <f>TEXT(Tabla1[[#This Row],[VENCIMIENTO]],"mmm")</f>
        <v>Abr</v>
      </c>
      <c r="S405" s="71">
        <f t="shared" si="53"/>
        <v>45044</v>
      </c>
      <c r="T405" s="72">
        <f ca="1">Tabla1[[#This Row],[EMISION]]+Tabla1[[#This Row],[PLAZO]]-TODAY()</f>
        <v>-325</v>
      </c>
      <c r="U405" s="80">
        <f t="shared" ca="1" si="54"/>
        <v>0</v>
      </c>
      <c r="V405" s="72"/>
      <c r="W405" s="73" t="s">
        <v>14307</v>
      </c>
      <c r="X405" s="65">
        <v>15</v>
      </c>
      <c r="Y405" s="65"/>
      <c r="Z405" s="65"/>
      <c r="AA405" s="65"/>
      <c r="AB405" s="65"/>
      <c r="AC405" s="65"/>
      <c r="AD405" s="65"/>
      <c r="AE405" s="65"/>
      <c r="AF405" s="68"/>
      <c r="AG405" s="66">
        <v>45058</v>
      </c>
      <c r="AH405" s="67" t="s">
        <v>14308</v>
      </c>
      <c r="AI405" s="65" t="s">
        <v>3060</v>
      </c>
      <c r="AJ405" s="65"/>
      <c r="AK405" s="97">
        <f t="shared" ca="1" si="55"/>
        <v>325</v>
      </c>
      <c r="AL405">
        <f>IFERROR(VLOOKUP(A405,'DATA CLIENTES'!B4702:I8284,6,FALSE),0)</f>
        <v>0</v>
      </c>
    </row>
    <row r="406" spans="1:38" x14ac:dyDescent="0.25">
      <c r="A406" s="93" t="s">
        <v>9263</v>
      </c>
      <c r="B406" s="68" t="s">
        <v>9264</v>
      </c>
      <c r="C406" s="65"/>
      <c r="D406" s="65"/>
      <c r="E406" s="65"/>
      <c r="F406" s="69" t="s">
        <v>14571</v>
      </c>
      <c r="G406" s="70"/>
      <c r="H406" s="65" t="s">
        <v>14693</v>
      </c>
      <c r="I406" s="75">
        <v>4571.43</v>
      </c>
      <c r="J406" s="75">
        <v>4571.43</v>
      </c>
      <c r="K406" s="75"/>
      <c r="L406" s="75"/>
      <c r="M406" s="75"/>
      <c r="N406" s="75">
        <f>Tabla1[[#This Row],[IMPORTE APROBADO]]-Tabla1[[#This Row],[AMORTIZACION2]]</f>
        <v>0</v>
      </c>
      <c r="O406" s="65" t="str">
        <f>TEXT(Tabla1[[#This Row],[EMISION]],"mmm")</f>
        <v>Abr</v>
      </c>
      <c r="P406" s="65" t="str">
        <f>TEXT(Tabla1[[#This Row],[EMISION]],"YYYY")</f>
        <v>2023</v>
      </c>
      <c r="Q406" s="71">
        <v>45029</v>
      </c>
      <c r="R406" s="65" t="str">
        <f>TEXT(Tabla1[[#This Row],[VENCIMIENTO]],"mmm")</f>
        <v>Abr</v>
      </c>
      <c r="S406" s="71">
        <f t="shared" si="53"/>
        <v>45044</v>
      </c>
      <c r="T406" s="72">
        <f ca="1">Tabla1[[#This Row],[EMISION]]+Tabla1[[#This Row],[PLAZO]]-TODAY()</f>
        <v>-325</v>
      </c>
      <c r="U406" s="80">
        <f t="shared" ca="1" si="54"/>
        <v>0</v>
      </c>
      <c r="V406" s="72"/>
      <c r="W406" s="73" t="s">
        <v>14307</v>
      </c>
      <c r="X406" s="65">
        <v>15</v>
      </c>
      <c r="Y406" s="65"/>
      <c r="Z406" s="65"/>
      <c r="AA406" s="65"/>
      <c r="AB406" s="65"/>
      <c r="AC406" s="65"/>
      <c r="AD406" s="65"/>
      <c r="AE406" s="65"/>
      <c r="AF406" s="68"/>
      <c r="AG406" s="66">
        <v>45058</v>
      </c>
      <c r="AH406" s="67" t="s">
        <v>14308</v>
      </c>
      <c r="AI406" s="65" t="s">
        <v>3060</v>
      </c>
      <c r="AJ406" s="65"/>
      <c r="AK406" s="97">
        <f t="shared" ca="1" si="55"/>
        <v>325</v>
      </c>
      <c r="AL406">
        <f>IFERROR(VLOOKUP(A406,'DATA CLIENTES'!B4703:I8284,6,FALSE),0)</f>
        <v>0</v>
      </c>
    </row>
    <row r="407" spans="1:38" x14ac:dyDescent="0.25">
      <c r="A407" s="93" t="s">
        <v>5294</v>
      </c>
      <c r="B407" s="68" t="s">
        <v>14306</v>
      </c>
      <c r="C407" s="65"/>
      <c r="D407" s="65"/>
      <c r="E407" s="65"/>
      <c r="F407" s="69" t="s">
        <v>14559</v>
      </c>
      <c r="G407" s="70"/>
      <c r="H407" s="65" t="s">
        <v>14694</v>
      </c>
      <c r="I407" s="75">
        <v>11250</v>
      </c>
      <c r="J407" s="75">
        <v>11250</v>
      </c>
      <c r="K407" s="75"/>
      <c r="L407" s="75"/>
      <c r="M407" s="75"/>
      <c r="N407" s="75">
        <f>Tabla1[[#This Row],[IMPORTE APROBADO]]-Tabla1[[#This Row],[AMORTIZACION2]]</f>
        <v>0</v>
      </c>
      <c r="O407" s="65" t="str">
        <f>TEXT(Tabla1[[#This Row],[EMISION]],"mmm")</f>
        <v>Abr</v>
      </c>
      <c r="P407" s="65" t="str">
        <f>TEXT(Tabla1[[#This Row],[EMISION]],"YYYY")</f>
        <v>2023</v>
      </c>
      <c r="Q407" s="71">
        <v>45029</v>
      </c>
      <c r="R407" s="65" t="str">
        <f>TEXT(Tabla1[[#This Row],[VENCIMIENTO]],"mmm")</f>
        <v>May</v>
      </c>
      <c r="S407" s="71">
        <f t="shared" si="53"/>
        <v>45059</v>
      </c>
      <c r="T407" s="72">
        <f ca="1">Tabla1[[#This Row],[EMISION]]+Tabla1[[#This Row],[PLAZO]]-TODAY()</f>
        <v>-310</v>
      </c>
      <c r="U407" s="80">
        <f t="shared" ca="1" si="54"/>
        <v>0</v>
      </c>
      <c r="V407" s="72"/>
      <c r="W407" s="73" t="s">
        <v>14307</v>
      </c>
      <c r="X407" s="65">
        <v>30</v>
      </c>
      <c r="Y407" s="65"/>
      <c r="Z407" s="65"/>
      <c r="AA407" s="65"/>
      <c r="AB407" s="65"/>
      <c r="AC407" s="65"/>
      <c r="AD407" s="65"/>
      <c r="AE407" s="65"/>
      <c r="AF407" s="68"/>
      <c r="AG407" s="66">
        <v>45062</v>
      </c>
      <c r="AH407" s="67" t="s">
        <v>14308</v>
      </c>
      <c r="AI407" s="65" t="s">
        <v>3060</v>
      </c>
      <c r="AJ407" s="65"/>
      <c r="AK407" s="97">
        <f t="shared" ca="1" si="55"/>
        <v>310</v>
      </c>
      <c r="AL407">
        <f>IFERROR(VLOOKUP(A407,'DATA CLIENTES'!B4704:I8284,6,FALSE),0)</f>
        <v>0</v>
      </c>
    </row>
    <row r="408" spans="1:38" x14ac:dyDescent="0.25">
      <c r="A408" s="93" t="s">
        <v>5294</v>
      </c>
      <c r="B408" s="68" t="s">
        <v>14306</v>
      </c>
      <c r="C408" s="65"/>
      <c r="D408" s="65"/>
      <c r="E408" s="65"/>
      <c r="F408" s="69" t="s">
        <v>14559</v>
      </c>
      <c r="G408" s="70"/>
      <c r="H408" s="65" t="s">
        <v>14695</v>
      </c>
      <c r="I408" s="75">
        <v>6169</v>
      </c>
      <c r="J408" s="75">
        <v>6169</v>
      </c>
      <c r="K408" s="75"/>
      <c r="L408" s="75"/>
      <c r="M408" s="75"/>
      <c r="N408" s="75">
        <f>Tabla1[[#This Row],[IMPORTE APROBADO]]-Tabla1[[#This Row],[AMORTIZACION2]]</f>
        <v>0</v>
      </c>
      <c r="O408" s="65" t="str">
        <f>TEXT(Tabla1[[#This Row],[EMISION]],"mmm")</f>
        <v>Abr</v>
      </c>
      <c r="P408" s="65" t="str">
        <f>TEXT(Tabla1[[#This Row],[EMISION]],"YYYY")</f>
        <v>2023</v>
      </c>
      <c r="Q408" s="71">
        <v>45029</v>
      </c>
      <c r="R408" s="65" t="str">
        <f>TEXT(Tabla1[[#This Row],[VENCIMIENTO]],"mmm")</f>
        <v>May</v>
      </c>
      <c r="S408" s="71">
        <f t="shared" si="53"/>
        <v>45074</v>
      </c>
      <c r="T408" s="72">
        <f ca="1">Tabla1[[#This Row],[EMISION]]+Tabla1[[#This Row],[PLAZO]]-TODAY()</f>
        <v>-295</v>
      </c>
      <c r="U408" s="80">
        <f t="shared" ca="1" si="54"/>
        <v>0</v>
      </c>
      <c r="V408" s="72"/>
      <c r="W408" s="73" t="s">
        <v>14307</v>
      </c>
      <c r="X408" s="65">
        <v>45</v>
      </c>
      <c r="Y408" s="65"/>
      <c r="Z408" s="65"/>
      <c r="AA408" s="65"/>
      <c r="AB408" s="65"/>
      <c r="AC408" s="65"/>
      <c r="AD408" s="65"/>
      <c r="AE408" s="65"/>
      <c r="AF408" s="68"/>
      <c r="AG408" s="66">
        <v>45082</v>
      </c>
      <c r="AH408" s="67" t="s">
        <v>14308</v>
      </c>
      <c r="AI408" s="65" t="s">
        <v>3060</v>
      </c>
      <c r="AJ408" s="65"/>
      <c r="AK408" s="97">
        <f t="shared" ca="1" si="55"/>
        <v>295</v>
      </c>
      <c r="AL408">
        <f>IFERROR(VLOOKUP(A408,'DATA CLIENTES'!B4705:I8284,6,FALSE),0)</f>
        <v>0</v>
      </c>
    </row>
    <row r="409" spans="1:38" x14ac:dyDescent="0.25">
      <c r="A409" s="93" t="s">
        <v>14696</v>
      </c>
      <c r="B409" s="68" t="s">
        <v>14383</v>
      </c>
      <c r="C409" s="65"/>
      <c r="D409" s="65"/>
      <c r="E409" s="65"/>
      <c r="F409" s="69" t="s">
        <v>14559</v>
      </c>
      <c r="G409" s="70"/>
      <c r="H409" s="65" t="s">
        <v>14697</v>
      </c>
      <c r="I409" s="75">
        <v>5800</v>
      </c>
      <c r="J409" s="75">
        <v>5800</v>
      </c>
      <c r="K409" s="75"/>
      <c r="L409" s="75"/>
      <c r="M409" s="75"/>
      <c r="N409" s="75">
        <f>Tabla1[[#This Row],[IMPORTE APROBADO]]-Tabla1[[#This Row],[AMORTIZACION2]]</f>
        <v>0</v>
      </c>
      <c r="O409" s="65" t="str">
        <f>TEXT(Tabla1[[#This Row],[EMISION]],"mmm")</f>
        <v>Abr</v>
      </c>
      <c r="P409" s="65" t="str">
        <f>TEXT(Tabla1[[#This Row],[EMISION]],"YYYY")</f>
        <v>2023</v>
      </c>
      <c r="Q409" s="71">
        <v>45030</v>
      </c>
      <c r="R409" s="65" t="str">
        <f>TEXT(Tabla1[[#This Row],[VENCIMIENTO]],"mmm")</f>
        <v>Abr</v>
      </c>
      <c r="S409" s="71">
        <f t="shared" si="53"/>
        <v>45045</v>
      </c>
      <c r="T409" s="72">
        <f ca="1">Tabla1[[#This Row],[EMISION]]+Tabla1[[#This Row],[PLAZO]]-TODAY()</f>
        <v>-324</v>
      </c>
      <c r="U409" s="80">
        <f t="shared" ca="1" si="54"/>
        <v>0</v>
      </c>
      <c r="V409" s="72"/>
      <c r="W409" s="73" t="s">
        <v>14307</v>
      </c>
      <c r="X409" s="65">
        <v>15</v>
      </c>
      <c r="Y409" s="65"/>
      <c r="Z409" s="65"/>
      <c r="AA409" s="65"/>
      <c r="AB409" s="65"/>
      <c r="AC409" s="65"/>
      <c r="AD409" s="65"/>
      <c r="AE409" s="65"/>
      <c r="AF409" s="68"/>
      <c r="AG409" s="66">
        <v>45054</v>
      </c>
      <c r="AH409" s="67" t="s">
        <v>14308</v>
      </c>
      <c r="AI409" s="65" t="s">
        <v>3060</v>
      </c>
      <c r="AJ409" s="65"/>
      <c r="AK409" s="97">
        <f t="shared" ca="1" si="55"/>
        <v>324</v>
      </c>
      <c r="AL409">
        <f>IFERROR(VLOOKUP(A409,'DATA CLIENTES'!B4706:I8284,6,FALSE),0)</f>
        <v>0</v>
      </c>
    </row>
    <row r="410" spans="1:38" x14ac:dyDescent="0.25">
      <c r="A410" s="93" t="s">
        <v>9309</v>
      </c>
      <c r="B410" s="68" t="s">
        <v>9310</v>
      </c>
      <c r="C410" s="65"/>
      <c r="D410" s="65"/>
      <c r="E410" s="65"/>
      <c r="F410" s="69" t="s">
        <v>14557</v>
      </c>
      <c r="G410" s="70"/>
      <c r="H410" s="65" t="s">
        <v>14698</v>
      </c>
      <c r="I410" s="75">
        <v>12296.2</v>
      </c>
      <c r="J410" s="75">
        <f>6134.24+6134.24</f>
        <v>12268.48</v>
      </c>
      <c r="K410" s="75"/>
      <c r="L410" s="75"/>
      <c r="M410" s="75"/>
      <c r="N410" s="75">
        <f>Tabla1[[#This Row],[IMPORTE APROBADO]]-Tabla1[[#This Row],[AMORTIZACION2]]</f>
        <v>27.720000000001164</v>
      </c>
      <c r="O410" s="65" t="str">
        <f>TEXT(Tabla1[[#This Row],[EMISION]],"mmm")</f>
        <v>Abr</v>
      </c>
      <c r="P410" s="65" t="str">
        <f>TEXT(Tabla1[[#This Row],[EMISION]],"YYYY")</f>
        <v>2023</v>
      </c>
      <c r="Q410" s="71">
        <v>45031</v>
      </c>
      <c r="R410" s="65" t="str">
        <f>TEXT(Tabla1[[#This Row],[VENCIMIENTO]],"mmm")</f>
        <v>May</v>
      </c>
      <c r="S410" s="71">
        <f t="shared" ref="S410:S415" si="56">Q410+X410</f>
        <v>45051</v>
      </c>
      <c r="T410" s="72">
        <f ca="1">Tabla1[[#This Row],[EMISION]]+Tabla1[[#This Row],[PLAZO]]-TODAY()</f>
        <v>-318</v>
      </c>
      <c r="U410" s="80">
        <f t="shared" ref="U410:U415" ca="1" si="57">IF(T410&gt;=0,$U$4,IF(AND(T410&lt;=-1,T410&gt;=-30),$U$5,IF(AND(T410&lt;=-31,T410&gt;=-60),$U$6,IF(AND(T410&lt;=-61,T410&gt;=-90),$U$7,$U$8))))</f>
        <v>0</v>
      </c>
      <c r="V410" s="72"/>
      <c r="W410" s="73" t="s">
        <v>14307</v>
      </c>
      <c r="X410" s="65">
        <v>20</v>
      </c>
      <c r="Y410" s="65"/>
      <c r="Z410" s="65"/>
      <c r="AA410" s="65"/>
      <c r="AB410" s="65"/>
      <c r="AC410" s="65"/>
      <c r="AD410" s="65"/>
      <c r="AE410" s="65"/>
      <c r="AF410" s="68"/>
      <c r="AG410" s="66">
        <v>45057</v>
      </c>
      <c r="AH410" s="67" t="s">
        <v>14308</v>
      </c>
      <c r="AI410" s="65" t="s">
        <v>3060</v>
      </c>
      <c r="AJ410" s="65"/>
      <c r="AK410" s="97">
        <f t="shared" ca="1" si="55"/>
        <v>318</v>
      </c>
      <c r="AL410">
        <f>IFERROR(VLOOKUP(A410,'DATA CLIENTES'!B4707:I8284,6,FALSE),0)</f>
        <v>0</v>
      </c>
    </row>
    <row r="411" spans="1:38" x14ac:dyDescent="0.25">
      <c r="A411" s="93" t="s">
        <v>6507</v>
      </c>
      <c r="B411" s="68" t="s">
        <v>6508</v>
      </c>
      <c r="C411" s="65"/>
      <c r="D411" s="65"/>
      <c r="E411" s="65"/>
      <c r="F411" s="69" t="s">
        <v>14557</v>
      </c>
      <c r="G411" s="70"/>
      <c r="H411" s="65" t="s">
        <v>14699</v>
      </c>
      <c r="I411" s="75">
        <v>23186.18</v>
      </c>
      <c r="J411" s="75">
        <f>8000+2000+8186.18+5000</f>
        <v>23186.18</v>
      </c>
      <c r="K411" s="75"/>
      <c r="L411" s="75"/>
      <c r="M411" s="75"/>
      <c r="N411" s="75">
        <f>Tabla1[[#This Row],[IMPORTE APROBADO]]-Tabla1[[#This Row],[AMORTIZACION2]]</f>
        <v>0</v>
      </c>
      <c r="O411" s="65" t="str">
        <f>TEXT(Tabla1[[#This Row],[EMISION]],"mmm")</f>
        <v>Abr</v>
      </c>
      <c r="P411" s="65" t="str">
        <f>TEXT(Tabla1[[#This Row],[EMISION]],"YYYY")</f>
        <v>2023</v>
      </c>
      <c r="Q411" s="71">
        <v>45031</v>
      </c>
      <c r="R411" s="65" t="str">
        <f>TEXT(Tabla1[[#This Row],[VENCIMIENTO]],"mmm")</f>
        <v>Abr</v>
      </c>
      <c r="S411" s="71">
        <f t="shared" si="56"/>
        <v>45041</v>
      </c>
      <c r="T411" s="72">
        <f ca="1">Tabla1[[#This Row],[EMISION]]+Tabla1[[#This Row],[PLAZO]]-TODAY()</f>
        <v>-328</v>
      </c>
      <c r="U411" s="80">
        <f t="shared" ca="1" si="57"/>
        <v>0</v>
      </c>
      <c r="V411" s="72"/>
      <c r="W411" s="73" t="s">
        <v>14307</v>
      </c>
      <c r="X411" s="65">
        <v>10</v>
      </c>
      <c r="Y411" s="65"/>
      <c r="Z411" s="65"/>
      <c r="AA411" s="65"/>
      <c r="AB411" s="65"/>
      <c r="AC411" s="65"/>
      <c r="AD411" s="65"/>
      <c r="AE411" s="65"/>
      <c r="AF411" s="68"/>
      <c r="AG411" s="66">
        <v>45043</v>
      </c>
      <c r="AH411" s="67" t="s">
        <v>14308</v>
      </c>
      <c r="AI411" s="65" t="s">
        <v>3060</v>
      </c>
      <c r="AJ411" s="65"/>
      <c r="AK411" s="97">
        <f t="shared" ca="1" si="55"/>
        <v>328</v>
      </c>
      <c r="AL411">
        <f>IFERROR(VLOOKUP(A411,'DATA CLIENTES'!B4708:I8284,6,FALSE),0)</f>
        <v>0</v>
      </c>
    </row>
    <row r="412" spans="1:38" x14ac:dyDescent="0.25">
      <c r="A412" s="93" t="s">
        <v>9345</v>
      </c>
      <c r="B412" s="68" t="s">
        <v>14330</v>
      </c>
      <c r="C412" s="65"/>
      <c r="D412" s="65"/>
      <c r="E412" s="65"/>
      <c r="F412" s="69" t="s">
        <v>14557</v>
      </c>
      <c r="G412" s="70"/>
      <c r="H412" s="65" t="s">
        <v>14700</v>
      </c>
      <c r="I412" s="75">
        <v>4460.8980000000001</v>
      </c>
      <c r="J412" s="75">
        <f>2700+1760+0.9</f>
        <v>4460.8999999999996</v>
      </c>
      <c r="K412" s="75"/>
      <c r="L412" s="75"/>
      <c r="M412" s="75"/>
      <c r="N412" s="75">
        <f>Tabla1[[#This Row],[IMPORTE APROBADO]]-Tabla1[[#This Row],[AMORTIZACION2]]</f>
        <v>-1.9999999994979589E-3</v>
      </c>
      <c r="O412" s="65" t="str">
        <f>TEXT(Tabla1[[#This Row],[EMISION]],"mmm")</f>
        <v>Abr</v>
      </c>
      <c r="P412" s="65" t="str">
        <f>TEXT(Tabla1[[#This Row],[EMISION]],"YYYY")</f>
        <v>2023</v>
      </c>
      <c r="Q412" s="71">
        <v>45033</v>
      </c>
      <c r="R412" s="65" t="str">
        <f>TEXT(Tabla1[[#This Row],[VENCIMIENTO]],"mmm")</f>
        <v>Abr</v>
      </c>
      <c r="S412" s="71">
        <f t="shared" si="56"/>
        <v>45040</v>
      </c>
      <c r="T412" s="72">
        <f ca="1">Tabla1[[#This Row],[EMISION]]+Tabla1[[#This Row],[PLAZO]]-TODAY()</f>
        <v>-329</v>
      </c>
      <c r="U412" s="80">
        <f t="shared" ca="1" si="57"/>
        <v>0</v>
      </c>
      <c r="V412" s="72"/>
      <c r="W412" s="73" t="s">
        <v>14307</v>
      </c>
      <c r="X412" s="65">
        <v>7</v>
      </c>
      <c r="Y412" s="65"/>
      <c r="Z412" s="65"/>
      <c r="AA412" s="65"/>
      <c r="AB412" s="65"/>
      <c r="AC412" s="65"/>
      <c r="AD412" s="65"/>
      <c r="AE412" s="65"/>
      <c r="AF412" s="68"/>
      <c r="AG412" s="66">
        <v>45048</v>
      </c>
      <c r="AH412" s="67" t="s">
        <v>14308</v>
      </c>
      <c r="AI412" s="65" t="s">
        <v>3060</v>
      </c>
      <c r="AJ412" s="65"/>
      <c r="AK412" s="97">
        <f t="shared" ca="1" si="55"/>
        <v>329</v>
      </c>
      <c r="AL412">
        <f>IFERROR(VLOOKUP(A412,'DATA CLIENTES'!B4709:I8284,6,FALSE),0)</f>
        <v>0</v>
      </c>
    </row>
    <row r="413" spans="1:38" x14ac:dyDescent="0.25">
      <c r="A413" s="93" t="s">
        <v>14562</v>
      </c>
      <c r="B413" s="68" t="s">
        <v>14561</v>
      </c>
      <c r="C413" s="65"/>
      <c r="D413" s="65"/>
      <c r="E413" s="65"/>
      <c r="F413" s="69" t="s">
        <v>14557</v>
      </c>
      <c r="G413" s="70"/>
      <c r="H413" s="65" t="s">
        <v>14701</v>
      </c>
      <c r="I413" s="75">
        <v>-1697.8</v>
      </c>
      <c r="J413" s="75"/>
      <c r="K413" s="75"/>
      <c r="L413" s="75"/>
      <c r="M413" s="75"/>
      <c r="N413" s="75">
        <f>Tabla1[[#This Row],[IMPORTE APROBADO]]-Tabla1[[#This Row],[AMORTIZACION2]]</f>
        <v>-1697.8</v>
      </c>
      <c r="O413" s="65" t="str">
        <f>TEXT(Tabla1[[#This Row],[EMISION]],"mmm")</f>
        <v>Abr</v>
      </c>
      <c r="P413" s="65" t="str">
        <f>TEXT(Tabla1[[#This Row],[EMISION]],"YYYY")</f>
        <v>2023</v>
      </c>
      <c r="Q413" s="71">
        <v>45034</v>
      </c>
      <c r="R413" s="65" t="str">
        <f>TEXT(Tabla1[[#This Row],[VENCIMIENTO]],"mmm")</f>
        <v>May</v>
      </c>
      <c r="S413" s="71">
        <f t="shared" si="56"/>
        <v>45049</v>
      </c>
      <c r="T413" s="72">
        <f ca="1">Tabla1[[#This Row],[EMISION]]+Tabla1[[#This Row],[PLAZO]]-TODAY()</f>
        <v>-320</v>
      </c>
      <c r="U413" s="80">
        <f t="shared" ca="1" si="57"/>
        <v>0</v>
      </c>
      <c r="V413" s="72" t="s">
        <v>3070</v>
      </c>
      <c r="W413" s="73" t="s">
        <v>14307</v>
      </c>
      <c r="X413" s="65">
        <v>15</v>
      </c>
      <c r="Y413" s="65"/>
      <c r="Z413" s="65"/>
      <c r="AA413" s="65"/>
      <c r="AB413" s="65"/>
      <c r="AC413" s="65"/>
      <c r="AD413" s="65"/>
      <c r="AE413" s="65"/>
      <c r="AF413" s="68"/>
      <c r="AG413" s="66">
        <v>45034</v>
      </c>
      <c r="AH413" s="67" t="s">
        <v>14308</v>
      </c>
      <c r="AI413" s="65" t="s">
        <v>3060</v>
      </c>
      <c r="AJ413" s="65"/>
      <c r="AK413" s="97">
        <f t="shared" ca="1" si="55"/>
        <v>320</v>
      </c>
      <c r="AL413">
        <f>IFERROR(VLOOKUP(A413,'DATA CLIENTES'!B4710:I8284,6,FALSE),0)</f>
        <v>0</v>
      </c>
    </row>
    <row r="414" spans="1:38" x14ac:dyDescent="0.25">
      <c r="A414" s="93" t="s">
        <v>14832</v>
      </c>
      <c r="B414" s="68" t="s">
        <v>14397</v>
      </c>
      <c r="C414" s="65"/>
      <c r="D414" s="65"/>
      <c r="E414" s="65"/>
      <c r="F414" s="69" t="s">
        <v>14702</v>
      </c>
      <c r="G414" s="70"/>
      <c r="H414" s="65" t="s">
        <v>14703</v>
      </c>
      <c r="I414" s="75">
        <v>75</v>
      </c>
      <c r="J414" s="75">
        <v>75</v>
      </c>
      <c r="K414" s="75"/>
      <c r="L414" s="75"/>
      <c r="M414" s="75"/>
      <c r="N414" s="75">
        <f>Tabla1[[#This Row],[IMPORTE APROBADO]]-Tabla1[[#This Row],[AMORTIZACION2]]</f>
        <v>0</v>
      </c>
      <c r="O414" s="65" t="str">
        <f>TEXT(Tabla1[[#This Row],[EMISION]],"mmm")</f>
        <v>Abr</v>
      </c>
      <c r="P414" s="65" t="str">
        <f>TEXT(Tabla1[[#This Row],[EMISION]],"YYYY")</f>
        <v>2023</v>
      </c>
      <c r="Q414" s="71">
        <v>45035</v>
      </c>
      <c r="R414" s="65" t="str">
        <f>TEXT(Tabla1[[#This Row],[VENCIMIENTO]],"mmm")</f>
        <v>May</v>
      </c>
      <c r="S414" s="71">
        <f t="shared" si="56"/>
        <v>45050</v>
      </c>
      <c r="T414" s="72">
        <f ca="1">Tabla1[[#This Row],[EMISION]]+Tabla1[[#This Row],[PLAZO]]-TODAY()</f>
        <v>-319</v>
      </c>
      <c r="U414" s="80">
        <f t="shared" ca="1" si="57"/>
        <v>0</v>
      </c>
      <c r="V414" s="72"/>
      <c r="W414" s="73" t="s">
        <v>14307</v>
      </c>
      <c r="X414" s="65">
        <v>15</v>
      </c>
      <c r="Y414" s="65"/>
      <c r="Z414" s="65"/>
      <c r="AA414" s="65"/>
      <c r="AB414" s="65"/>
      <c r="AC414" s="65"/>
      <c r="AD414" s="65"/>
      <c r="AE414" s="65"/>
      <c r="AF414" s="68"/>
      <c r="AG414" s="66">
        <v>45038</v>
      </c>
      <c r="AH414" s="67" t="s">
        <v>14308</v>
      </c>
      <c r="AI414" s="65" t="s">
        <v>3060</v>
      </c>
      <c r="AJ414" s="65"/>
      <c r="AK414" s="97">
        <f t="shared" ca="1" si="55"/>
        <v>319</v>
      </c>
      <c r="AL414">
        <f>IFERROR(VLOOKUP(A414,'DATA CLIENTES'!B4711:I8284,6,FALSE),0)</f>
        <v>0</v>
      </c>
    </row>
    <row r="415" spans="1:38" x14ac:dyDescent="0.25">
      <c r="A415" s="93" t="s">
        <v>6694</v>
      </c>
      <c r="B415" s="68" t="s">
        <v>6695</v>
      </c>
      <c r="C415" s="65"/>
      <c r="D415" s="65"/>
      <c r="E415" s="65"/>
      <c r="F415" s="69" t="s">
        <v>14559</v>
      </c>
      <c r="G415" s="70"/>
      <c r="H415" s="65" t="s">
        <v>14704</v>
      </c>
      <c r="I415" s="75">
        <v>1050.9114340000001</v>
      </c>
      <c r="J415" s="75">
        <f>500+500+50.91</f>
        <v>1050.9100000000001</v>
      </c>
      <c r="K415" s="75"/>
      <c r="L415" s="75"/>
      <c r="M415" s="75"/>
      <c r="N415" s="75">
        <f>Tabla1[[#This Row],[IMPORTE APROBADO]]-Tabla1[[#This Row],[AMORTIZACION2]]</f>
        <v>1.4340000000174769E-3</v>
      </c>
      <c r="O415" s="65" t="str">
        <f>TEXT(Tabla1[[#This Row],[EMISION]],"mmm")</f>
        <v>Abr</v>
      </c>
      <c r="P415" s="65" t="str">
        <f>TEXT(Tabla1[[#This Row],[EMISION]],"YYYY")</f>
        <v>2023</v>
      </c>
      <c r="Q415" s="71">
        <v>45037</v>
      </c>
      <c r="R415" s="65" t="str">
        <f>TEXT(Tabla1[[#This Row],[VENCIMIENTO]],"mmm")</f>
        <v>May</v>
      </c>
      <c r="S415" s="71">
        <f t="shared" si="56"/>
        <v>45052</v>
      </c>
      <c r="T415" s="72">
        <f ca="1">Tabla1[[#This Row],[EMISION]]+Tabla1[[#This Row],[PLAZO]]-TODAY()</f>
        <v>-317</v>
      </c>
      <c r="U415" s="80">
        <f t="shared" ca="1" si="57"/>
        <v>0</v>
      </c>
      <c r="V415" s="72"/>
      <c r="W415" s="73" t="s">
        <v>14307</v>
      </c>
      <c r="X415" s="65">
        <v>15</v>
      </c>
      <c r="Y415" s="65"/>
      <c r="Z415" s="65"/>
      <c r="AA415" s="65"/>
      <c r="AB415" s="65"/>
      <c r="AC415" s="65"/>
      <c r="AD415" s="65"/>
      <c r="AE415" s="65"/>
      <c r="AF415" s="68"/>
      <c r="AG415" s="66">
        <v>45064</v>
      </c>
      <c r="AH415" s="67" t="s">
        <v>14308</v>
      </c>
      <c r="AI415" s="65" t="s">
        <v>3060</v>
      </c>
      <c r="AJ415" s="65"/>
      <c r="AK415" s="97">
        <f t="shared" ca="1" si="55"/>
        <v>317</v>
      </c>
      <c r="AL415">
        <f>IFERROR(VLOOKUP(A415,'DATA CLIENTES'!B4712:I8284,6,FALSE),0)</f>
        <v>0</v>
      </c>
    </row>
    <row r="416" spans="1:38" x14ac:dyDescent="0.25">
      <c r="A416" s="93" t="s">
        <v>6694</v>
      </c>
      <c r="B416" s="68" t="s">
        <v>6695</v>
      </c>
      <c r="C416" s="65"/>
      <c r="D416" s="65"/>
      <c r="E416" s="65"/>
      <c r="F416" s="69" t="s">
        <v>14557</v>
      </c>
      <c r="G416" s="70"/>
      <c r="H416" s="65" t="s">
        <v>14705</v>
      </c>
      <c r="I416" s="75">
        <v>164.4</v>
      </c>
      <c r="J416" s="75">
        <v>164.4</v>
      </c>
      <c r="K416" s="75"/>
      <c r="L416" s="75"/>
      <c r="M416" s="75"/>
      <c r="N416" s="75">
        <f>Tabla1[[#This Row],[IMPORTE APROBADO]]-Tabla1[[#This Row],[AMORTIZACION2]]</f>
        <v>0</v>
      </c>
      <c r="O416" s="65" t="str">
        <f>TEXT(Tabla1[[#This Row],[EMISION]],"mmm")</f>
        <v>Abr</v>
      </c>
      <c r="P416" s="65" t="str">
        <f>TEXT(Tabla1[[#This Row],[EMISION]],"YYYY")</f>
        <v>2023</v>
      </c>
      <c r="Q416" s="71">
        <v>45037</v>
      </c>
      <c r="R416" s="65" t="str">
        <f>TEXT(Tabla1[[#This Row],[VENCIMIENTO]],"mmm")</f>
        <v>May</v>
      </c>
      <c r="S416" s="71">
        <f t="shared" ref="S416:S422" si="58">Q416+X416</f>
        <v>45052</v>
      </c>
      <c r="T416" s="72">
        <f ca="1">Tabla1[[#This Row],[EMISION]]+Tabla1[[#This Row],[PLAZO]]-TODAY()</f>
        <v>-317</v>
      </c>
      <c r="U416" s="80">
        <f t="shared" ref="U416:U422" ca="1" si="59">IF(T416&gt;=0,$U$4,IF(AND(T416&lt;=-1,T416&gt;=-30),$U$5,IF(AND(T416&lt;=-31,T416&gt;=-60),$U$6,IF(AND(T416&lt;=-61,T416&gt;=-90),$U$7,$U$8))))</f>
        <v>0</v>
      </c>
      <c r="V416" s="72"/>
      <c r="W416" s="73" t="s">
        <v>14307</v>
      </c>
      <c r="X416" s="65">
        <v>15</v>
      </c>
      <c r="Y416" s="65"/>
      <c r="Z416" s="65"/>
      <c r="AA416" s="65"/>
      <c r="AB416" s="65"/>
      <c r="AC416" s="65"/>
      <c r="AD416" s="65"/>
      <c r="AE416" s="65"/>
      <c r="AF416" s="68"/>
      <c r="AG416" s="66">
        <v>45064</v>
      </c>
      <c r="AH416" s="67" t="s">
        <v>14308</v>
      </c>
      <c r="AI416" s="65" t="s">
        <v>3060</v>
      </c>
      <c r="AJ416" s="65"/>
      <c r="AK416" s="97">
        <f t="shared" ca="1" si="55"/>
        <v>317</v>
      </c>
      <c r="AL416">
        <f>IFERROR(VLOOKUP(A416,'DATA CLIENTES'!B4713:I8284,6,FALSE),0)</f>
        <v>0</v>
      </c>
    </row>
    <row r="417" spans="1:38" x14ac:dyDescent="0.25">
      <c r="A417" s="93" t="s">
        <v>6507</v>
      </c>
      <c r="B417" s="68" t="s">
        <v>6508</v>
      </c>
      <c r="C417" s="65"/>
      <c r="D417" s="65"/>
      <c r="E417" s="65"/>
      <c r="F417" s="69" t="s">
        <v>14559</v>
      </c>
      <c r="G417" s="70"/>
      <c r="H417" s="65" t="s">
        <v>14706</v>
      </c>
      <c r="I417" s="75">
        <v>11964.942592000001</v>
      </c>
      <c r="J417" s="75">
        <f>3380+8585</f>
        <v>11965</v>
      </c>
      <c r="K417" s="75"/>
      <c r="L417" s="75"/>
      <c r="M417" s="75"/>
      <c r="N417" s="75">
        <f>Tabla1[[#This Row],[IMPORTE APROBADO]]-Tabla1[[#This Row],[AMORTIZACION2]]</f>
        <v>-5.7407999998758896E-2</v>
      </c>
      <c r="O417" s="65" t="str">
        <f>TEXT(Tabla1[[#This Row],[EMISION]],"mmm")</f>
        <v>Abr</v>
      </c>
      <c r="P417" s="65" t="str">
        <f>TEXT(Tabla1[[#This Row],[EMISION]],"YYYY")</f>
        <v>2023</v>
      </c>
      <c r="Q417" s="71">
        <v>45037</v>
      </c>
      <c r="R417" s="65" t="str">
        <f>TEXT(Tabla1[[#This Row],[VENCIMIENTO]],"mmm")</f>
        <v>May</v>
      </c>
      <c r="S417" s="71">
        <f t="shared" si="58"/>
        <v>45062</v>
      </c>
      <c r="T417" s="72">
        <f ca="1">Tabla1[[#This Row],[EMISION]]+Tabla1[[#This Row],[PLAZO]]-TODAY()</f>
        <v>-307</v>
      </c>
      <c r="U417" s="80">
        <f t="shared" ca="1" si="59"/>
        <v>0</v>
      </c>
      <c r="V417" s="72"/>
      <c r="W417" s="73" t="s">
        <v>14307</v>
      </c>
      <c r="X417" s="65">
        <v>25</v>
      </c>
      <c r="Y417" s="65"/>
      <c r="Z417" s="65"/>
      <c r="AA417" s="65"/>
      <c r="AB417" s="65"/>
      <c r="AC417" s="65"/>
      <c r="AD417" s="65"/>
      <c r="AE417" s="65"/>
      <c r="AF417" s="68"/>
      <c r="AG417" s="66">
        <v>45042</v>
      </c>
      <c r="AH417" s="67" t="s">
        <v>14308</v>
      </c>
      <c r="AI417" s="65" t="s">
        <v>3060</v>
      </c>
      <c r="AJ417" s="65"/>
      <c r="AK417" s="97">
        <f t="shared" ca="1" si="55"/>
        <v>307</v>
      </c>
      <c r="AL417">
        <f>IFERROR(VLOOKUP(A417,'DATA CLIENTES'!B4714:I8284,6,FALSE),0)</f>
        <v>0</v>
      </c>
    </row>
    <row r="418" spans="1:38" x14ac:dyDescent="0.25">
      <c r="A418" s="93" t="s">
        <v>9658</v>
      </c>
      <c r="B418" s="68" t="s">
        <v>14332</v>
      </c>
      <c r="C418" s="65"/>
      <c r="D418" s="65"/>
      <c r="E418" s="65"/>
      <c r="F418" s="69" t="s">
        <v>14559</v>
      </c>
      <c r="G418" s="70"/>
      <c r="H418" s="65" t="s">
        <v>14707</v>
      </c>
      <c r="I418" s="75">
        <v>1013.6104240000001</v>
      </c>
      <c r="J418" s="75">
        <f>300+400+313.7</f>
        <v>1013.7</v>
      </c>
      <c r="K418" s="75"/>
      <c r="L418" s="75"/>
      <c r="M418" s="75"/>
      <c r="N418" s="75">
        <f>Tabla1[[#This Row],[IMPORTE APROBADO]]-Tabla1[[#This Row],[AMORTIZACION2]]</f>
        <v>-8.9575999999965461E-2</v>
      </c>
      <c r="O418" s="65" t="str">
        <f>TEXT(Tabla1[[#This Row],[EMISION]],"mmm")</f>
        <v>Abr</v>
      </c>
      <c r="P418" s="65" t="str">
        <f>TEXT(Tabla1[[#This Row],[EMISION]],"YYYY")</f>
        <v>2023</v>
      </c>
      <c r="Q418" s="71">
        <v>45041</v>
      </c>
      <c r="R418" s="65" t="str">
        <f>TEXT(Tabla1[[#This Row],[VENCIMIENTO]],"mmm")</f>
        <v>May</v>
      </c>
      <c r="S418" s="71">
        <f t="shared" si="58"/>
        <v>45056</v>
      </c>
      <c r="T418" s="72">
        <f ca="1">Tabla1[[#This Row],[EMISION]]+Tabla1[[#This Row],[PLAZO]]-TODAY()</f>
        <v>-313</v>
      </c>
      <c r="U418" s="80">
        <f t="shared" ca="1" si="59"/>
        <v>0</v>
      </c>
      <c r="V418" s="72"/>
      <c r="W418" s="73" t="s">
        <v>14307</v>
      </c>
      <c r="X418" s="65">
        <v>15</v>
      </c>
      <c r="Y418" s="65"/>
      <c r="Z418" s="65"/>
      <c r="AA418" s="65"/>
      <c r="AB418" s="65"/>
      <c r="AC418" s="65"/>
      <c r="AD418" s="65"/>
      <c r="AE418" s="65"/>
      <c r="AF418" s="68"/>
      <c r="AG418" s="66">
        <v>45068</v>
      </c>
      <c r="AH418" s="67" t="s">
        <v>14308</v>
      </c>
      <c r="AI418" s="65" t="s">
        <v>3060</v>
      </c>
      <c r="AJ418" s="65"/>
      <c r="AK418" s="97">
        <f t="shared" ca="1" si="55"/>
        <v>313</v>
      </c>
      <c r="AL418">
        <f>IFERROR(VLOOKUP(A418,'DATA CLIENTES'!B4715:I8284,6,FALSE),0)</f>
        <v>0</v>
      </c>
    </row>
    <row r="419" spans="1:38" x14ac:dyDescent="0.25">
      <c r="A419" s="93" t="s">
        <v>10005</v>
      </c>
      <c r="B419" s="68" t="s">
        <v>14443</v>
      </c>
      <c r="C419" s="65"/>
      <c r="D419" s="65"/>
      <c r="E419" s="65"/>
      <c r="F419" s="69" t="s">
        <v>14559</v>
      </c>
      <c r="G419" s="70"/>
      <c r="H419" s="65" t="s">
        <v>14708</v>
      </c>
      <c r="I419" s="75">
        <v>4149.6666599999999</v>
      </c>
      <c r="J419" s="75">
        <f>1149+1000+1000+1000.7</f>
        <v>4149.7</v>
      </c>
      <c r="K419" s="75"/>
      <c r="L419" s="75"/>
      <c r="M419" s="75"/>
      <c r="N419" s="75">
        <f>Tabla1[[#This Row],[IMPORTE APROBADO]]-Tabla1[[#This Row],[AMORTIZACION2]]</f>
        <v>-3.3339999999952852E-2</v>
      </c>
      <c r="O419" s="65" t="str">
        <f>TEXT(Tabla1[[#This Row],[EMISION]],"mmm")</f>
        <v>Abr</v>
      </c>
      <c r="P419" s="65" t="str">
        <f>TEXT(Tabla1[[#This Row],[EMISION]],"YYYY")</f>
        <v>2023</v>
      </c>
      <c r="Q419" s="71">
        <v>45042</v>
      </c>
      <c r="R419" s="65" t="str">
        <f>TEXT(Tabla1[[#This Row],[VENCIMIENTO]],"mmm")</f>
        <v>May</v>
      </c>
      <c r="S419" s="71">
        <f t="shared" si="58"/>
        <v>45062</v>
      </c>
      <c r="T419" s="72">
        <f ca="1">Tabla1[[#This Row],[EMISION]]+Tabla1[[#This Row],[PLAZO]]-TODAY()</f>
        <v>-307</v>
      </c>
      <c r="U419" s="80">
        <f t="shared" ca="1" si="59"/>
        <v>0</v>
      </c>
      <c r="V419" s="72"/>
      <c r="W419" s="73" t="s">
        <v>14307</v>
      </c>
      <c r="X419" s="65">
        <v>20</v>
      </c>
      <c r="Y419" s="65"/>
      <c r="Z419" s="65"/>
      <c r="AA419" s="65"/>
      <c r="AB419" s="65"/>
      <c r="AC419" s="65"/>
      <c r="AD419" s="65"/>
      <c r="AE419" s="65"/>
      <c r="AF419" s="68"/>
      <c r="AG419" s="66">
        <v>45072</v>
      </c>
      <c r="AH419" s="67" t="s">
        <v>14308</v>
      </c>
      <c r="AI419" s="65" t="s">
        <v>3060</v>
      </c>
      <c r="AJ419" s="65"/>
      <c r="AK419" s="97">
        <f t="shared" ca="1" si="55"/>
        <v>307</v>
      </c>
      <c r="AL419">
        <f>IFERROR(VLOOKUP(A419,'DATA CLIENTES'!B4716:I8284,6,FALSE),0)</f>
        <v>0</v>
      </c>
    </row>
    <row r="420" spans="1:38" x14ac:dyDescent="0.25">
      <c r="A420" s="93" t="s">
        <v>6507</v>
      </c>
      <c r="B420" s="68" t="s">
        <v>6508</v>
      </c>
      <c r="C420" s="65"/>
      <c r="D420" s="65"/>
      <c r="E420" s="65"/>
      <c r="F420" s="69" t="s">
        <v>14559</v>
      </c>
      <c r="G420" s="70"/>
      <c r="H420" s="65" t="s">
        <v>14709</v>
      </c>
      <c r="I420" s="75">
        <v>4005</v>
      </c>
      <c r="J420" s="75">
        <v>4005</v>
      </c>
      <c r="K420" s="75"/>
      <c r="L420" s="75"/>
      <c r="M420" s="75"/>
      <c r="N420" s="75">
        <f>Tabla1[[#This Row],[IMPORTE APROBADO]]-Tabla1[[#This Row],[AMORTIZACION2]]</f>
        <v>0</v>
      </c>
      <c r="O420" s="65" t="str">
        <f>TEXT(Tabla1[[#This Row],[EMISION]],"mmm")</f>
        <v>Abr</v>
      </c>
      <c r="P420" s="65" t="str">
        <f>TEXT(Tabla1[[#This Row],[EMISION]],"YYYY")</f>
        <v>2023</v>
      </c>
      <c r="Q420" s="71">
        <v>45043</v>
      </c>
      <c r="R420" s="65" t="str">
        <f>TEXT(Tabla1[[#This Row],[VENCIMIENTO]],"mmm")</f>
        <v>May</v>
      </c>
      <c r="S420" s="71">
        <f t="shared" si="58"/>
        <v>45068</v>
      </c>
      <c r="T420" s="72">
        <f ca="1">Tabla1[[#This Row],[EMISION]]+Tabla1[[#This Row],[PLAZO]]-TODAY()</f>
        <v>-301</v>
      </c>
      <c r="U420" s="80">
        <f t="shared" ca="1" si="59"/>
        <v>0</v>
      </c>
      <c r="V420" s="72"/>
      <c r="W420" s="73" t="s">
        <v>14307</v>
      </c>
      <c r="X420" s="65">
        <v>25</v>
      </c>
      <c r="Y420" s="65"/>
      <c r="Z420" s="65"/>
      <c r="AA420" s="65"/>
      <c r="AB420" s="65"/>
      <c r="AC420" s="65"/>
      <c r="AD420" s="65"/>
      <c r="AE420" s="65"/>
      <c r="AF420" s="68"/>
      <c r="AG420" s="66">
        <v>45073</v>
      </c>
      <c r="AH420" s="67" t="s">
        <v>14308</v>
      </c>
      <c r="AI420" s="65" t="s">
        <v>3060</v>
      </c>
      <c r="AJ420" s="65"/>
      <c r="AK420" s="97">
        <f t="shared" ca="1" si="55"/>
        <v>301</v>
      </c>
      <c r="AL420">
        <f>IFERROR(VLOOKUP(A420,'DATA CLIENTES'!B4717:I8284,6,FALSE),0)</f>
        <v>0</v>
      </c>
    </row>
    <row r="421" spans="1:38" x14ac:dyDescent="0.25">
      <c r="A421" s="93" t="s">
        <v>5294</v>
      </c>
      <c r="B421" s="68" t="s">
        <v>14306</v>
      </c>
      <c r="C421" s="65"/>
      <c r="D421" s="65"/>
      <c r="E421" s="65"/>
      <c r="F421" s="69" t="s">
        <v>14559</v>
      </c>
      <c r="G421" s="70"/>
      <c r="H421" s="65" t="s">
        <v>14710</v>
      </c>
      <c r="I421" s="75">
        <v>10486.80255</v>
      </c>
      <c r="J421" s="75">
        <v>10486.8</v>
      </c>
      <c r="K421" s="75"/>
      <c r="L421" s="75"/>
      <c r="M421" s="75"/>
      <c r="N421" s="75">
        <f>Tabla1[[#This Row],[IMPORTE APROBADO]]-Tabla1[[#This Row],[AMORTIZACION2]]</f>
        <v>2.5500000010652002E-3</v>
      </c>
      <c r="O421" s="65" t="str">
        <f>TEXT(Tabla1[[#This Row],[EMISION]],"mmm")</f>
        <v>Abr</v>
      </c>
      <c r="P421" s="65" t="str">
        <f>TEXT(Tabla1[[#This Row],[EMISION]],"YYYY")</f>
        <v>2023</v>
      </c>
      <c r="Q421" s="71">
        <v>45043</v>
      </c>
      <c r="R421" s="65" t="str">
        <f>TEXT(Tabla1[[#This Row],[VENCIMIENTO]],"mmm")</f>
        <v>May</v>
      </c>
      <c r="S421" s="71">
        <f t="shared" si="58"/>
        <v>45073</v>
      </c>
      <c r="T421" s="72">
        <f ca="1">Tabla1[[#This Row],[EMISION]]+Tabla1[[#This Row],[PLAZO]]-TODAY()</f>
        <v>-296</v>
      </c>
      <c r="U421" s="80">
        <f t="shared" ca="1" si="59"/>
        <v>0</v>
      </c>
      <c r="V421" s="72"/>
      <c r="W421" s="73" t="s">
        <v>14307</v>
      </c>
      <c r="X421" s="65">
        <v>30</v>
      </c>
      <c r="Y421" s="65"/>
      <c r="Z421" s="65"/>
      <c r="AA421" s="65"/>
      <c r="AB421" s="65"/>
      <c r="AC421" s="65"/>
      <c r="AD421" s="65"/>
      <c r="AE421" s="65"/>
      <c r="AF421" s="68"/>
      <c r="AG421" s="66">
        <v>45076</v>
      </c>
      <c r="AH421" s="67" t="s">
        <v>14308</v>
      </c>
      <c r="AI421" s="65" t="s">
        <v>3060</v>
      </c>
      <c r="AJ421" s="65"/>
      <c r="AK421" s="97">
        <f t="shared" ca="1" si="55"/>
        <v>296</v>
      </c>
      <c r="AL421">
        <f>IFERROR(VLOOKUP(A421,'DATA CLIENTES'!B4718:I8284,6,FALSE),0)</f>
        <v>0</v>
      </c>
    </row>
    <row r="422" spans="1:38" x14ac:dyDescent="0.25">
      <c r="A422" s="93" t="s">
        <v>5294</v>
      </c>
      <c r="B422" s="68" t="s">
        <v>14306</v>
      </c>
      <c r="C422" s="65"/>
      <c r="D422" s="65"/>
      <c r="E422" s="65"/>
      <c r="F422" s="69" t="s">
        <v>14559</v>
      </c>
      <c r="G422" s="70"/>
      <c r="H422" s="65" t="s">
        <v>14711</v>
      </c>
      <c r="I422" s="75">
        <v>14319.2</v>
      </c>
      <c r="J422" s="75">
        <v>14170.16</v>
      </c>
      <c r="K422" s="75"/>
      <c r="L422" s="75"/>
      <c r="M422" s="75"/>
      <c r="N422" s="78">
        <f>Tabla1[[#This Row],[IMPORTE APROBADO]]-Tabla1[[#This Row],[AMORTIZACION2]]</f>
        <v>149.04000000000087</v>
      </c>
      <c r="O422" s="65" t="str">
        <f>TEXT(Tabla1[[#This Row],[EMISION]],"mmm")</f>
        <v>Abr</v>
      </c>
      <c r="P422" s="65" t="str">
        <f>TEXT(Tabla1[[#This Row],[EMISION]],"YYYY")</f>
        <v>2023</v>
      </c>
      <c r="Q422" s="71">
        <v>45043</v>
      </c>
      <c r="R422" s="65" t="str">
        <f>TEXT(Tabla1[[#This Row],[VENCIMIENTO]],"mmm")</f>
        <v>Jun</v>
      </c>
      <c r="S422" s="71">
        <f t="shared" si="58"/>
        <v>45088</v>
      </c>
      <c r="T422" s="72">
        <f ca="1">Tabla1[[#This Row],[EMISION]]+Tabla1[[#This Row],[PLAZO]]-TODAY()</f>
        <v>-281</v>
      </c>
      <c r="U422" s="80">
        <f t="shared" ca="1" si="59"/>
        <v>0</v>
      </c>
      <c r="V422" s="72"/>
      <c r="W422" s="73" t="s">
        <v>14307</v>
      </c>
      <c r="X422" s="65">
        <v>45</v>
      </c>
      <c r="Y422" s="65"/>
      <c r="Z422" s="65"/>
      <c r="AA422" s="65"/>
      <c r="AB422" s="65"/>
      <c r="AC422" s="65"/>
      <c r="AD422" s="65"/>
      <c r="AE422" s="65"/>
      <c r="AF422" s="68"/>
      <c r="AG422" s="66">
        <v>45099</v>
      </c>
      <c r="AH422" s="67" t="s">
        <v>14308</v>
      </c>
      <c r="AI422" s="65" t="s">
        <v>3060</v>
      </c>
      <c r="AJ422" s="65"/>
      <c r="AK422" s="97">
        <f t="shared" ca="1" si="55"/>
        <v>281</v>
      </c>
      <c r="AL422">
        <f>IFERROR(VLOOKUP(A422,'DATA CLIENTES'!B4719:I8284,6,FALSE),0)</f>
        <v>0</v>
      </c>
    </row>
    <row r="423" spans="1:38" x14ac:dyDescent="0.25">
      <c r="A423" s="93" t="s">
        <v>14834</v>
      </c>
      <c r="B423" s="68" t="s">
        <v>14712</v>
      </c>
      <c r="C423" s="65"/>
      <c r="D423" s="65"/>
      <c r="E423" s="65"/>
      <c r="F423" s="69" t="s">
        <v>14713</v>
      </c>
      <c r="G423" s="70"/>
      <c r="H423" s="65" t="s">
        <v>14714</v>
      </c>
      <c r="I423" s="75">
        <v>680</v>
      </c>
      <c r="J423" s="75">
        <f>270+410</f>
        <v>680</v>
      </c>
      <c r="K423" s="75"/>
      <c r="L423" s="75"/>
      <c r="M423" s="75"/>
      <c r="N423" s="75">
        <f>Tabla1[[#This Row],[IMPORTE APROBADO]]-Tabla1[[#This Row],[AMORTIZACION2]]</f>
        <v>0</v>
      </c>
      <c r="O423" s="65" t="str">
        <f>TEXT(Tabla1[[#This Row],[EMISION]],"mmm")</f>
        <v>Abr</v>
      </c>
      <c r="P423" s="65" t="str">
        <f>TEXT(Tabla1[[#This Row],[EMISION]],"YYYY")</f>
        <v>2023</v>
      </c>
      <c r="Q423" s="71">
        <v>45044</v>
      </c>
      <c r="R423" s="65" t="str">
        <f>TEXT(Tabla1[[#This Row],[VENCIMIENTO]],"mmm")</f>
        <v>Jun</v>
      </c>
      <c r="S423" s="71">
        <f t="shared" ref="S423:S426" si="60">Q423+X423</f>
        <v>45079</v>
      </c>
      <c r="T423" s="72">
        <f ca="1">Tabla1[[#This Row],[EMISION]]+Tabla1[[#This Row],[PLAZO]]-TODAY()</f>
        <v>-290</v>
      </c>
      <c r="U423" s="80">
        <f t="shared" ref="U423:U426" ca="1" si="61">IF(T423&gt;=0,$U$4,IF(AND(T423&lt;=-1,T423&gt;=-30),$U$5,IF(AND(T423&lt;=-31,T423&gt;=-60),$U$6,IF(AND(T423&lt;=-61,T423&gt;=-90),$U$7,$U$8))))</f>
        <v>0</v>
      </c>
      <c r="V423" s="72"/>
      <c r="W423" s="73" t="s">
        <v>14307</v>
      </c>
      <c r="X423" s="65">
        <v>35</v>
      </c>
      <c r="Y423" s="65"/>
      <c r="Z423" s="65"/>
      <c r="AA423" s="65"/>
      <c r="AB423" s="65"/>
      <c r="AC423" s="65"/>
      <c r="AD423" s="65"/>
      <c r="AE423" s="65"/>
      <c r="AF423" s="68"/>
      <c r="AG423" s="66">
        <v>45045</v>
      </c>
      <c r="AH423" s="67" t="s">
        <v>14308</v>
      </c>
      <c r="AI423" s="65" t="s">
        <v>3060</v>
      </c>
      <c r="AJ423" s="65"/>
      <c r="AK423" s="97">
        <f t="shared" ca="1" si="55"/>
        <v>290</v>
      </c>
      <c r="AL423">
        <f>IFERROR(VLOOKUP(A423,'DATA CLIENTES'!B4720:I8284,6,FALSE),0)</f>
        <v>0</v>
      </c>
    </row>
    <row r="424" spans="1:38" x14ac:dyDescent="0.25">
      <c r="A424" s="93" t="s">
        <v>6039</v>
      </c>
      <c r="B424" s="68" t="s">
        <v>6040</v>
      </c>
      <c r="C424" s="65"/>
      <c r="D424" s="65"/>
      <c r="E424" s="65"/>
      <c r="F424" s="69" t="s">
        <v>14571</v>
      </c>
      <c r="G424" s="70"/>
      <c r="H424" s="65" t="s">
        <v>14715</v>
      </c>
      <c r="I424" s="75">
        <v>2811.3657039999998</v>
      </c>
      <c r="J424" s="75">
        <v>2811.37</v>
      </c>
      <c r="K424" s="75"/>
      <c r="L424" s="75"/>
      <c r="M424" s="75"/>
      <c r="N424" s="75">
        <f>Tabla1[[#This Row],[IMPORTE APROBADO]]-Tabla1[[#This Row],[AMORTIZACION2]]</f>
        <v>-4.2960000000675791E-3</v>
      </c>
      <c r="O424" s="65" t="str">
        <f>TEXT(Tabla1[[#This Row],[EMISION]],"mmm")</f>
        <v>Abr</v>
      </c>
      <c r="P424" s="65" t="str">
        <f>TEXT(Tabla1[[#This Row],[EMISION]],"YYYY")</f>
        <v>2023</v>
      </c>
      <c r="Q424" s="71">
        <v>45045</v>
      </c>
      <c r="R424" s="65" t="str">
        <f>TEXT(Tabla1[[#This Row],[VENCIMIENTO]],"mmm")</f>
        <v>May</v>
      </c>
      <c r="S424" s="71">
        <f t="shared" si="60"/>
        <v>45065</v>
      </c>
      <c r="T424" s="72">
        <f ca="1">Tabla1[[#This Row],[EMISION]]+Tabla1[[#This Row],[PLAZO]]-TODAY()</f>
        <v>-304</v>
      </c>
      <c r="U424" s="80">
        <f t="shared" ca="1" si="61"/>
        <v>0</v>
      </c>
      <c r="V424" s="72"/>
      <c r="W424" s="73" t="s">
        <v>14307</v>
      </c>
      <c r="X424" s="65">
        <v>20</v>
      </c>
      <c r="Y424" s="65"/>
      <c r="Z424" s="65"/>
      <c r="AA424" s="65"/>
      <c r="AB424" s="65"/>
      <c r="AC424" s="65"/>
      <c r="AD424" s="65"/>
      <c r="AE424" s="65"/>
      <c r="AF424" s="68"/>
      <c r="AG424" s="66">
        <v>45065</v>
      </c>
      <c r="AH424" s="67" t="s">
        <v>14308</v>
      </c>
      <c r="AI424" s="65" t="s">
        <v>3060</v>
      </c>
      <c r="AJ424" s="65"/>
      <c r="AK424" s="97">
        <f t="shared" ca="1" si="55"/>
        <v>304</v>
      </c>
      <c r="AL424">
        <f>IFERROR(VLOOKUP(A424,'DATA CLIENTES'!B4721:I8284,6,FALSE),0)</f>
        <v>0</v>
      </c>
    </row>
    <row r="425" spans="1:38" x14ac:dyDescent="0.25">
      <c r="A425" s="93" t="s">
        <v>6039</v>
      </c>
      <c r="B425" s="68" t="s">
        <v>6040</v>
      </c>
      <c r="C425" s="65"/>
      <c r="D425" s="65"/>
      <c r="E425" s="65"/>
      <c r="F425" s="69" t="s">
        <v>14571</v>
      </c>
      <c r="G425" s="70"/>
      <c r="H425" s="65" t="s">
        <v>14716</v>
      </c>
      <c r="I425" s="75">
        <v>1245.72</v>
      </c>
      <c r="J425" s="75">
        <v>1245.72</v>
      </c>
      <c r="K425" s="75"/>
      <c r="L425" s="75"/>
      <c r="M425" s="75"/>
      <c r="N425" s="75">
        <f>Tabla1[[#This Row],[IMPORTE APROBADO]]-Tabla1[[#This Row],[AMORTIZACION2]]</f>
        <v>0</v>
      </c>
      <c r="O425" s="65" t="str">
        <f>TEXT(Tabla1[[#This Row],[EMISION]],"mmm")</f>
        <v>Abr</v>
      </c>
      <c r="P425" s="65" t="str">
        <f>TEXT(Tabla1[[#This Row],[EMISION]],"YYYY")</f>
        <v>2023</v>
      </c>
      <c r="Q425" s="71">
        <v>45045</v>
      </c>
      <c r="R425" s="65" t="str">
        <f>TEXT(Tabla1[[#This Row],[VENCIMIENTO]],"mmm")</f>
        <v>May</v>
      </c>
      <c r="S425" s="71">
        <f t="shared" si="60"/>
        <v>45065</v>
      </c>
      <c r="T425" s="72">
        <f ca="1">Tabla1[[#This Row],[EMISION]]+Tabla1[[#This Row],[PLAZO]]-TODAY()</f>
        <v>-304</v>
      </c>
      <c r="U425" s="80">
        <f t="shared" ca="1" si="61"/>
        <v>0</v>
      </c>
      <c r="V425" s="72"/>
      <c r="W425" s="73" t="s">
        <v>14307</v>
      </c>
      <c r="X425" s="65">
        <v>20</v>
      </c>
      <c r="Y425" s="65"/>
      <c r="Z425" s="65"/>
      <c r="AA425" s="65"/>
      <c r="AB425" s="65"/>
      <c r="AC425" s="65"/>
      <c r="AD425" s="65"/>
      <c r="AE425" s="65"/>
      <c r="AF425" s="68"/>
      <c r="AG425" s="66">
        <v>45065</v>
      </c>
      <c r="AH425" s="67" t="s">
        <v>14308</v>
      </c>
      <c r="AI425" s="65" t="s">
        <v>3060</v>
      </c>
      <c r="AJ425" s="65"/>
      <c r="AK425" s="97">
        <f t="shared" ca="1" si="55"/>
        <v>304</v>
      </c>
      <c r="AL425">
        <f>IFERROR(VLOOKUP(A425,'DATA CLIENTES'!B4722:I8284,6,FALSE),0)</f>
        <v>0</v>
      </c>
    </row>
    <row r="426" spans="1:38" x14ac:dyDescent="0.25">
      <c r="A426" s="93" t="s">
        <v>9366</v>
      </c>
      <c r="B426" s="68" t="s">
        <v>14333</v>
      </c>
      <c r="C426" s="65"/>
      <c r="D426" s="65"/>
      <c r="E426" s="65"/>
      <c r="F426" s="69" t="s">
        <v>14559</v>
      </c>
      <c r="G426" s="70"/>
      <c r="H426" s="65" t="s">
        <v>14717</v>
      </c>
      <c r="I426" s="75">
        <v>33899.100854999997</v>
      </c>
      <c r="J426" s="75">
        <f>20000+13899.1</f>
        <v>33899.1</v>
      </c>
      <c r="K426" s="75"/>
      <c r="L426" s="75"/>
      <c r="M426" s="75"/>
      <c r="N426" s="75">
        <f>Tabla1[[#This Row],[IMPORTE APROBADO]]-Tabla1[[#This Row],[AMORTIZACION2]]</f>
        <v>8.549999984097667E-4</v>
      </c>
      <c r="O426" s="65" t="str">
        <f>TEXT(Tabla1[[#This Row],[EMISION]],"mmm")</f>
        <v>Abr</v>
      </c>
      <c r="P426" s="65" t="str">
        <f>TEXT(Tabla1[[#This Row],[EMISION]],"YYYY")</f>
        <v>2023</v>
      </c>
      <c r="Q426" s="71">
        <v>45045</v>
      </c>
      <c r="R426" s="65" t="str">
        <f>TEXT(Tabla1[[#This Row],[VENCIMIENTO]],"mmm")</f>
        <v>Jun</v>
      </c>
      <c r="S426" s="71">
        <f t="shared" si="60"/>
        <v>45090</v>
      </c>
      <c r="T426" s="72">
        <f ca="1">Tabla1[[#This Row],[EMISION]]+Tabla1[[#This Row],[PLAZO]]-TODAY()</f>
        <v>-279</v>
      </c>
      <c r="U426" s="80">
        <f t="shared" ca="1" si="61"/>
        <v>0</v>
      </c>
      <c r="V426" s="72"/>
      <c r="W426" s="73" t="s">
        <v>14307</v>
      </c>
      <c r="X426" s="65">
        <v>45</v>
      </c>
      <c r="Y426" s="65"/>
      <c r="Z426" s="65"/>
      <c r="AA426" s="65"/>
      <c r="AB426" s="65"/>
      <c r="AC426" s="65"/>
      <c r="AD426" s="65"/>
      <c r="AE426" s="65"/>
      <c r="AF426" s="68"/>
      <c r="AG426" s="66">
        <v>45094</v>
      </c>
      <c r="AH426" s="67" t="s">
        <v>14308</v>
      </c>
      <c r="AI426" s="65" t="s">
        <v>3060</v>
      </c>
      <c r="AJ426" s="65"/>
      <c r="AK426" s="97">
        <f t="shared" ca="1" si="55"/>
        <v>279</v>
      </c>
      <c r="AL426">
        <f>IFERROR(VLOOKUP(A426,'DATA CLIENTES'!B4723:I8284,6,FALSE),0)</f>
        <v>0</v>
      </c>
    </row>
    <row r="427" spans="1:38" x14ac:dyDescent="0.25">
      <c r="A427" s="93" t="s">
        <v>5294</v>
      </c>
      <c r="B427" s="68" t="s">
        <v>14306</v>
      </c>
      <c r="C427" s="65"/>
      <c r="D427" s="65"/>
      <c r="E427" s="65"/>
      <c r="F427" s="69" t="s">
        <v>14559</v>
      </c>
      <c r="G427" s="70"/>
      <c r="H427" s="65" t="s">
        <v>14718</v>
      </c>
      <c r="I427" s="75">
        <v>-149.04</v>
      </c>
      <c r="J427" s="75"/>
      <c r="K427" s="75"/>
      <c r="L427" s="75"/>
      <c r="M427" s="75"/>
      <c r="N427" s="78">
        <f>Tabla1[[#This Row],[IMPORTE APROBADO]]-Tabla1[[#This Row],[AMORTIZACION2]]</f>
        <v>-149.04</v>
      </c>
      <c r="O427" s="65" t="str">
        <f>TEXT(Tabla1[[#This Row],[EMISION]],"mmm")</f>
        <v>May</v>
      </c>
      <c r="P427" s="65" t="str">
        <f>TEXT(Tabla1[[#This Row],[EMISION]],"YYYY")</f>
        <v>2023</v>
      </c>
      <c r="Q427" s="71">
        <v>45050</v>
      </c>
      <c r="R427" s="65" t="str">
        <f>TEXT(Tabla1[[#This Row],[VENCIMIENTO]],"mmm")</f>
        <v>Jun</v>
      </c>
      <c r="S427" s="71">
        <f t="shared" ref="S427:S431" si="62">Q427+X427</f>
        <v>45095</v>
      </c>
      <c r="T427" s="72">
        <f ca="1">Tabla1[[#This Row],[EMISION]]+Tabla1[[#This Row],[PLAZO]]-TODAY()</f>
        <v>-274</v>
      </c>
      <c r="U427" s="80">
        <f t="shared" ref="U427:U431" ca="1" si="63">IF(T427&gt;=0,$U$4,IF(AND(T427&lt;=-1,T427&gt;=-30),$U$5,IF(AND(T427&lt;=-31,T427&gt;=-60),$U$6,IF(AND(T427&lt;=-61,T427&gt;=-90),$U$7,$U$8))))</f>
        <v>0</v>
      </c>
      <c r="V427" s="72"/>
      <c r="W427" s="73" t="s">
        <v>14307</v>
      </c>
      <c r="X427" s="65">
        <v>45</v>
      </c>
      <c r="Y427" s="65"/>
      <c r="Z427" s="65"/>
      <c r="AA427" s="65"/>
      <c r="AB427" s="65"/>
      <c r="AC427" s="65"/>
      <c r="AD427" s="65"/>
      <c r="AE427" s="65"/>
      <c r="AF427" s="68"/>
      <c r="AG427" s="66">
        <v>45099</v>
      </c>
      <c r="AH427" s="67" t="s">
        <v>14308</v>
      </c>
      <c r="AI427" s="65" t="s">
        <v>3060</v>
      </c>
      <c r="AJ427" s="65"/>
      <c r="AK427" s="97">
        <f t="shared" ca="1" si="55"/>
        <v>274</v>
      </c>
      <c r="AL427">
        <f>IFERROR(VLOOKUP(A427,'DATA CLIENTES'!B4724:I8284,6,FALSE),0)</f>
        <v>0</v>
      </c>
    </row>
    <row r="428" spans="1:38" x14ac:dyDescent="0.25">
      <c r="A428" s="93" t="s">
        <v>9887</v>
      </c>
      <c r="B428" s="68" t="s">
        <v>9888</v>
      </c>
      <c r="C428" s="65"/>
      <c r="D428" s="65"/>
      <c r="E428" s="65"/>
      <c r="F428" s="69" t="s">
        <v>14559</v>
      </c>
      <c r="G428" s="70"/>
      <c r="H428" s="65" t="s">
        <v>14719</v>
      </c>
      <c r="I428" s="75">
        <v>827.60160800000006</v>
      </c>
      <c r="J428" s="75">
        <v>827.6</v>
      </c>
      <c r="K428" s="75"/>
      <c r="L428" s="75"/>
      <c r="M428" s="75"/>
      <c r="N428" s="75">
        <f>Tabla1[[#This Row],[IMPORTE APROBADO]]-Tabla1[[#This Row],[AMORTIZACION2]]</f>
        <v>1.6080000000329164E-3</v>
      </c>
      <c r="O428" s="65" t="str">
        <f>TEXT(Tabla1[[#This Row],[EMISION]],"mmm")</f>
        <v>May</v>
      </c>
      <c r="P428" s="65" t="str">
        <f>TEXT(Tabla1[[#This Row],[EMISION]],"YYYY")</f>
        <v>2023</v>
      </c>
      <c r="Q428" s="71">
        <v>45051</v>
      </c>
      <c r="R428" s="65" t="str">
        <f>TEXT(Tabla1[[#This Row],[VENCIMIENTO]],"mmm")</f>
        <v>May</v>
      </c>
      <c r="S428" s="71">
        <f t="shared" si="62"/>
        <v>45066</v>
      </c>
      <c r="T428" s="72">
        <f ca="1">Tabla1[[#This Row],[EMISION]]+Tabla1[[#This Row],[PLAZO]]-TODAY()</f>
        <v>-303</v>
      </c>
      <c r="U428" s="80">
        <f t="shared" ca="1" si="63"/>
        <v>0</v>
      </c>
      <c r="V428" s="72"/>
      <c r="W428" s="73" t="s">
        <v>14307</v>
      </c>
      <c r="X428" s="65">
        <v>15</v>
      </c>
      <c r="Y428" s="65"/>
      <c r="Z428" s="65"/>
      <c r="AA428" s="65"/>
      <c r="AB428" s="65"/>
      <c r="AC428" s="65"/>
      <c r="AD428" s="65"/>
      <c r="AE428" s="65"/>
      <c r="AF428" s="68"/>
      <c r="AG428" s="66">
        <v>45073</v>
      </c>
      <c r="AH428" s="67" t="s">
        <v>14308</v>
      </c>
      <c r="AI428" s="65" t="s">
        <v>3060</v>
      </c>
      <c r="AJ428" s="65"/>
      <c r="AK428" s="97">
        <f t="shared" ca="1" si="55"/>
        <v>303</v>
      </c>
      <c r="AL428">
        <f>IFERROR(VLOOKUP(A428,'DATA CLIENTES'!B4725:I8284,6,FALSE),0)</f>
        <v>0</v>
      </c>
    </row>
    <row r="429" spans="1:38" x14ac:dyDescent="0.25">
      <c r="A429" s="93" t="s">
        <v>5294</v>
      </c>
      <c r="B429" s="68" t="s">
        <v>14306</v>
      </c>
      <c r="C429" s="65"/>
      <c r="D429" s="65"/>
      <c r="E429" s="65"/>
      <c r="F429" s="69" t="s">
        <v>14559</v>
      </c>
      <c r="G429" s="70"/>
      <c r="H429" s="65" t="s">
        <v>14720</v>
      </c>
      <c r="I429" s="75">
        <v>4240.25</v>
      </c>
      <c r="J429" s="75">
        <v>4240.25</v>
      </c>
      <c r="K429" s="75"/>
      <c r="L429" s="75"/>
      <c r="M429" s="75"/>
      <c r="N429" s="75">
        <f>Tabla1[[#This Row],[IMPORTE APROBADO]]-Tabla1[[#This Row],[AMORTIZACION2]]</f>
        <v>0</v>
      </c>
      <c r="O429" s="65" t="str">
        <f>TEXT(Tabla1[[#This Row],[EMISION]],"mmm")</f>
        <v>May</v>
      </c>
      <c r="P429" s="65" t="str">
        <f>TEXT(Tabla1[[#This Row],[EMISION]],"YYYY")</f>
        <v>2023</v>
      </c>
      <c r="Q429" s="71">
        <v>45051</v>
      </c>
      <c r="R429" s="65" t="str">
        <f>TEXT(Tabla1[[#This Row],[VENCIMIENTO]],"mmm")</f>
        <v>Jun</v>
      </c>
      <c r="S429" s="71">
        <f t="shared" si="62"/>
        <v>45081</v>
      </c>
      <c r="T429" s="72">
        <f ca="1">Tabla1[[#This Row],[EMISION]]+Tabla1[[#This Row],[PLAZO]]-TODAY()</f>
        <v>-288</v>
      </c>
      <c r="U429" s="80">
        <f t="shared" ca="1" si="63"/>
        <v>0</v>
      </c>
      <c r="V429" s="72"/>
      <c r="W429" s="73" t="s">
        <v>14307</v>
      </c>
      <c r="X429" s="65">
        <v>30</v>
      </c>
      <c r="Y429" s="65"/>
      <c r="Z429" s="65"/>
      <c r="AA429" s="65"/>
      <c r="AB429" s="65"/>
      <c r="AC429" s="65"/>
      <c r="AD429" s="65"/>
      <c r="AE429" s="65"/>
      <c r="AF429" s="68"/>
      <c r="AG429" s="66">
        <v>45083</v>
      </c>
      <c r="AH429" s="67" t="s">
        <v>14308</v>
      </c>
      <c r="AI429" s="65" t="s">
        <v>3060</v>
      </c>
      <c r="AJ429" s="65"/>
      <c r="AK429" s="97">
        <f t="shared" ca="1" si="55"/>
        <v>288</v>
      </c>
      <c r="AL429">
        <f>IFERROR(VLOOKUP(A429,'DATA CLIENTES'!B4726:I8284,6,FALSE),0)</f>
        <v>0</v>
      </c>
    </row>
    <row r="430" spans="1:38" x14ac:dyDescent="0.25">
      <c r="A430" s="93" t="s">
        <v>14835</v>
      </c>
      <c r="B430" s="68" t="s">
        <v>14721</v>
      </c>
      <c r="C430" s="65"/>
      <c r="D430" s="65"/>
      <c r="E430" s="65"/>
      <c r="F430" s="69" t="s">
        <v>14643</v>
      </c>
      <c r="G430" s="70"/>
      <c r="H430" s="65" t="s">
        <v>14722</v>
      </c>
      <c r="I430" s="75">
        <v>7700</v>
      </c>
      <c r="J430" s="75">
        <f>4000+3700</f>
        <v>7700</v>
      </c>
      <c r="K430" s="75"/>
      <c r="L430" s="75"/>
      <c r="M430" s="75"/>
      <c r="N430" s="75">
        <f>Tabla1[[#This Row],[IMPORTE APROBADO]]-Tabla1[[#This Row],[AMORTIZACION2]]</f>
        <v>0</v>
      </c>
      <c r="O430" s="65" t="str">
        <f>TEXT(Tabla1[[#This Row],[EMISION]],"mmm")</f>
        <v>May</v>
      </c>
      <c r="P430" s="65" t="str">
        <f>TEXT(Tabla1[[#This Row],[EMISION]],"YYYY")</f>
        <v>2023</v>
      </c>
      <c r="Q430" s="71">
        <v>45051</v>
      </c>
      <c r="R430" s="65" t="str">
        <f>TEXT(Tabla1[[#This Row],[VENCIMIENTO]],"mmm")</f>
        <v>May</v>
      </c>
      <c r="S430" s="71">
        <f t="shared" si="62"/>
        <v>45058</v>
      </c>
      <c r="T430" s="72">
        <f ca="1">Tabla1[[#This Row],[EMISION]]+Tabla1[[#This Row],[PLAZO]]-TODAY()</f>
        <v>-311</v>
      </c>
      <c r="U430" s="80">
        <f t="shared" ca="1" si="63"/>
        <v>0</v>
      </c>
      <c r="V430" s="72" t="s">
        <v>14658</v>
      </c>
      <c r="W430" s="73" t="s">
        <v>14307</v>
      </c>
      <c r="X430" s="65">
        <v>7</v>
      </c>
      <c r="Y430" s="65"/>
      <c r="Z430" s="65"/>
      <c r="AA430" s="65"/>
      <c r="AB430" s="65"/>
      <c r="AC430" s="65"/>
      <c r="AD430" s="65"/>
      <c r="AE430" s="65"/>
      <c r="AF430" s="68"/>
      <c r="AG430" s="66">
        <v>45072</v>
      </c>
      <c r="AH430" s="67" t="s">
        <v>14308</v>
      </c>
      <c r="AI430" s="65" t="s">
        <v>3060</v>
      </c>
      <c r="AJ430" s="65"/>
      <c r="AK430" s="97">
        <f t="shared" ca="1" si="55"/>
        <v>311</v>
      </c>
      <c r="AL430">
        <f>IFERROR(VLOOKUP(A430,'DATA CLIENTES'!B4727:I8284,6,FALSE),0)</f>
        <v>0</v>
      </c>
    </row>
    <row r="431" spans="1:38" x14ac:dyDescent="0.25">
      <c r="A431" s="93" t="s">
        <v>8751</v>
      </c>
      <c r="B431" s="68" t="s">
        <v>14723</v>
      </c>
      <c r="C431" s="65"/>
      <c r="D431" s="65"/>
      <c r="E431" s="65"/>
      <c r="F431" s="69" t="s">
        <v>14559</v>
      </c>
      <c r="G431" s="70"/>
      <c r="H431" s="65" t="s">
        <v>14724</v>
      </c>
      <c r="I431" s="75">
        <v>1000.432712</v>
      </c>
      <c r="J431" s="75">
        <f>400+150+200+250</f>
        <v>1000</v>
      </c>
      <c r="K431" s="75"/>
      <c r="L431" s="75"/>
      <c r="M431" s="75"/>
      <c r="N431" s="75">
        <f>Tabla1[[#This Row],[IMPORTE APROBADO]]-Tabla1[[#This Row],[AMORTIZACION2]]</f>
        <v>0.43271200000003773</v>
      </c>
      <c r="O431" s="65" t="str">
        <f>TEXT(Tabla1[[#This Row],[EMISION]],"mmm")</f>
        <v>May</v>
      </c>
      <c r="P431" s="65" t="str">
        <f>TEXT(Tabla1[[#This Row],[EMISION]],"YYYY")</f>
        <v>2023</v>
      </c>
      <c r="Q431" s="71">
        <v>45056</v>
      </c>
      <c r="R431" s="65" t="str">
        <f>TEXT(Tabla1[[#This Row],[VENCIMIENTO]],"mmm")</f>
        <v>May</v>
      </c>
      <c r="S431" s="71">
        <f t="shared" si="62"/>
        <v>45076</v>
      </c>
      <c r="T431" s="72">
        <f ca="1">Tabla1[[#This Row],[EMISION]]+Tabla1[[#This Row],[PLAZO]]-TODAY()</f>
        <v>-293</v>
      </c>
      <c r="U431" s="80">
        <f t="shared" ca="1" si="63"/>
        <v>0</v>
      </c>
      <c r="V431" s="72"/>
      <c r="W431" s="73" t="s">
        <v>14307</v>
      </c>
      <c r="X431" s="65">
        <v>20</v>
      </c>
      <c r="Y431" s="65"/>
      <c r="Z431" s="65"/>
      <c r="AA431" s="65"/>
      <c r="AB431" s="65"/>
      <c r="AC431" s="65"/>
      <c r="AD431" s="65"/>
      <c r="AE431" s="65"/>
      <c r="AF431" s="68"/>
      <c r="AG431" s="66">
        <v>45079</v>
      </c>
      <c r="AH431" s="67" t="s">
        <v>14308</v>
      </c>
      <c r="AI431" s="65" t="s">
        <v>3060</v>
      </c>
      <c r="AJ431" s="65"/>
      <c r="AK431" s="97">
        <f t="shared" ca="1" si="55"/>
        <v>293</v>
      </c>
      <c r="AL431">
        <f>IFERROR(VLOOKUP(A431,'DATA CLIENTES'!B4728:I8284,6,FALSE),0)</f>
        <v>0</v>
      </c>
    </row>
    <row r="432" spans="1:38" x14ac:dyDescent="0.25">
      <c r="A432" s="93" t="s">
        <v>6507</v>
      </c>
      <c r="B432" s="68" t="s">
        <v>6508</v>
      </c>
      <c r="C432" s="65"/>
      <c r="D432" s="65"/>
      <c r="E432" s="65"/>
      <c r="F432" s="69" t="s">
        <v>14725</v>
      </c>
      <c r="G432" s="70"/>
      <c r="H432" s="65" t="s">
        <v>14726</v>
      </c>
      <c r="I432" s="75">
        <v>20960</v>
      </c>
      <c r="J432" s="75">
        <f>5000+5360+6000+4000+600</f>
        <v>20960</v>
      </c>
      <c r="K432" s="75"/>
      <c r="L432" s="75"/>
      <c r="M432" s="75"/>
      <c r="N432" s="75">
        <f>Tabla1[[#This Row],[IMPORTE APROBADO]]-Tabla1[[#This Row],[AMORTIZACION2]]</f>
        <v>0</v>
      </c>
      <c r="O432" s="65" t="str">
        <f>TEXT(Tabla1[[#This Row],[EMISION]],"mmm")</f>
        <v>May</v>
      </c>
      <c r="P432" s="65" t="str">
        <f>TEXT(Tabla1[[#This Row],[EMISION]],"YYYY")</f>
        <v>2023</v>
      </c>
      <c r="Q432" s="71">
        <v>45056</v>
      </c>
      <c r="R432" s="65" t="str">
        <f>TEXT(Tabla1[[#This Row],[VENCIMIENTO]],"mmm")</f>
        <v>May</v>
      </c>
      <c r="S432" s="71">
        <f t="shared" ref="S432:S439" si="64">Q432+X432</f>
        <v>45063</v>
      </c>
      <c r="T432" s="72">
        <f ca="1">Tabla1[[#This Row],[EMISION]]+Tabla1[[#This Row],[PLAZO]]-TODAY()</f>
        <v>-306</v>
      </c>
      <c r="U432" s="80">
        <f t="shared" ref="U432:U439" ca="1" si="65">IF(T432&gt;=0,$U$4,IF(AND(T432&lt;=-1,T432&gt;=-30),$U$5,IF(AND(T432&lt;=-31,T432&gt;=-60),$U$6,IF(AND(T432&lt;=-61,T432&gt;=-90),$U$7,$U$8))))</f>
        <v>0</v>
      </c>
      <c r="V432" s="72"/>
      <c r="W432" s="73" t="s">
        <v>14307</v>
      </c>
      <c r="X432" s="65">
        <v>7</v>
      </c>
      <c r="Y432" s="65"/>
      <c r="Z432" s="65"/>
      <c r="AA432" s="65"/>
      <c r="AB432" s="65"/>
      <c r="AC432" s="65"/>
      <c r="AD432" s="65"/>
      <c r="AE432" s="65"/>
      <c r="AF432" s="68"/>
      <c r="AG432" s="66">
        <v>45077</v>
      </c>
      <c r="AH432" s="67" t="s">
        <v>14308</v>
      </c>
      <c r="AI432" s="65" t="s">
        <v>3060</v>
      </c>
      <c r="AJ432" s="65"/>
      <c r="AK432" s="97">
        <f t="shared" ca="1" si="55"/>
        <v>306</v>
      </c>
      <c r="AL432">
        <f>IFERROR(VLOOKUP(A432,'DATA CLIENTES'!B4729:I8284,6,FALSE),0)</f>
        <v>0</v>
      </c>
    </row>
    <row r="433" spans="1:38" x14ac:dyDescent="0.25">
      <c r="A433" s="93" t="s">
        <v>9812</v>
      </c>
      <c r="B433" s="68" t="s">
        <v>9813</v>
      </c>
      <c r="C433" s="65"/>
      <c r="D433" s="65"/>
      <c r="E433" s="65"/>
      <c r="F433" s="69" t="s">
        <v>14725</v>
      </c>
      <c r="G433" s="70"/>
      <c r="H433" s="65" t="s">
        <v>14727</v>
      </c>
      <c r="I433" s="75">
        <v>2528.3992760000001</v>
      </c>
      <c r="J433" s="75">
        <v>2528.4</v>
      </c>
      <c r="K433" s="75"/>
      <c r="L433" s="75"/>
      <c r="M433" s="75"/>
      <c r="N433" s="75">
        <f>Tabla1[[#This Row],[IMPORTE APROBADO]]-Tabla1[[#This Row],[AMORTIZACION2]]</f>
        <v>-7.2399999999106512E-4</v>
      </c>
      <c r="O433" s="65" t="str">
        <f>TEXT(Tabla1[[#This Row],[EMISION]],"mmm")</f>
        <v>May</v>
      </c>
      <c r="P433" s="65" t="str">
        <f>TEXT(Tabla1[[#This Row],[EMISION]],"YYYY")</f>
        <v>2023</v>
      </c>
      <c r="Q433" s="71">
        <v>45056</v>
      </c>
      <c r="R433" s="65" t="str">
        <f>TEXT(Tabla1[[#This Row],[VENCIMIENTO]],"mmm")</f>
        <v>May</v>
      </c>
      <c r="S433" s="71">
        <f t="shared" si="64"/>
        <v>45071</v>
      </c>
      <c r="T433" s="72">
        <f ca="1">Tabla1[[#This Row],[EMISION]]+Tabla1[[#This Row],[PLAZO]]-TODAY()</f>
        <v>-298</v>
      </c>
      <c r="U433" s="80">
        <f t="shared" ca="1" si="65"/>
        <v>0</v>
      </c>
      <c r="V433" s="72"/>
      <c r="W433" s="73" t="s">
        <v>14307</v>
      </c>
      <c r="X433" s="65">
        <v>15</v>
      </c>
      <c r="Y433" s="65"/>
      <c r="Z433" s="65"/>
      <c r="AA433" s="65"/>
      <c r="AB433" s="65"/>
      <c r="AC433" s="65"/>
      <c r="AD433" s="65"/>
      <c r="AE433" s="65"/>
      <c r="AF433" s="68"/>
      <c r="AG433" s="66">
        <v>45073</v>
      </c>
      <c r="AH433" s="67" t="s">
        <v>14308</v>
      </c>
      <c r="AI433" s="65" t="s">
        <v>3060</v>
      </c>
      <c r="AJ433" s="65"/>
      <c r="AK433" s="97">
        <f t="shared" ca="1" si="55"/>
        <v>298</v>
      </c>
      <c r="AL433">
        <f>IFERROR(VLOOKUP(A433,'DATA CLIENTES'!B4730:I8284,6,FALSE),0)</f>
        <v>0</v>
      </c>
    </row>
    <row r="434" spans="1:38" x14ac:dyDescent="0.25">
      <c r="A434" s="93" t="s">
        <v>9345</v>
      </c>
      <c r="B434" s="68" t="s">
        <v>14330</v>
      </c>
      <c r="C434" s="65"/>
      <c r="D434" s="65"/>
      <c r="E434" s="65"/>
      <c r="F434" s="69" t="s">
        <v>14725</v>
      </c>
      <c r="G434" s="70"/>
      <c r="H434" s="65" t="s">
        <v>14728</v>
      </c>
      <c r="I434" s="75">
        <v>3360</v>
      </c>
      <c r="J434" s="75">
        <v>3360</v>
      </c>
      <c r="K434" s="75"/>
      <c r="L434" s="75"/>
      <c r="M434" s="75"/>
      <c r="N434" s="75">
        <f>Tabla1[[#This Row],[IMPORTE APROBADO]]-Tabla1[[#This Row],[AMORTIZACION2]]</f>
        <v>0</v>
      </c>
      <c r="O434" s="65" t="str">
        <f>TEXT(Tabla1[[#This Row],[EMISION]],"mmm")</f>
        <v>May</v>
      </c>
      <c r="P434" s="65" t="str">
        <f>TEXT(Tabla1[[#This Row],[EMISION]],"YYYY")</f>
        <v>2023</v>
      </c>
      <c r="Q434" s="71">
        <v>45057</v>
      </c>
      <c r="R434" s="65" t="str">
        <f>TEXT(Tabla1[[#This Row],[VENCIMIENTO]],"mmm")</f>
        <v>May</v>
      </c>
      <c r="S434" s="71">
        <f t="shared" si="64"/>
        <v>45064</v>
      </c>
      <c r="T434" s="72">
        <f ca="1">Tabla1[[#This Row],[EMISION]]+Tabla1[[#This Row],[PLAZO]]-TODAY()</f>
        <v>-305</v>
      </c>
      <c r="U434" s="80">
        <f t="shared" ca="1" si="65"/>
        <v>0</v>
      </c>
      <c r="V434" s="72"/>
      <c r="W434" s="73" t="s">
        <v>14307</v>
      </c>
      <c r="X434" s="65">
        <v>7</v>
      </c>
      <c r="Y434" s="65"/>
      <c r="Z434" s="65"/>
      <c r="AA434" s="65"/>
      <c r="AB434" s="65"/>
      <c r="AC434" s="65"/>
      <c r="AD434" s="65"/>
      <c r="AE434" s="65"/>
      <c r="AF434" s="68"/>
      <c r="AG434" s="66">
        <v>45068</v>
      </c>
      <c r="AH434" s="67" t="s">
        <v>14308</v>
      </c>
      <c r="AI434" s="65" t="s">
        <v>3060</v>
      </c>
      <c r="AJ434" s="65"/>
      <c r="AK434" s="97">
        <f t="shared" ca="1" si="55"/>
        <v>305</v>
      </c>
      <c r="AL434">
        <f>IFERROR(VLOOKUP(A434,'DATA CLIENTES'!B4731:I8284,6,FALSE),0)</f>
        <v>0</v>
      </c>
    </row>
    <row r="435" spans="1:38" x14ac:dyDescent="0.25">
      <c r="A435" s="93" t="s">
        <v>9158</v>
      </c>
      <c r="B435" s="68" t="s">
        <v>9159</v>
      </c>
      <c r="C435" s="65"/>
      <c r="D435" s="65"/>
      <c r="E435" s="65"/>
      <c r="F435" s="69" t="s">
        <v>14559</v>
      </c>
      <c r="G435" s="70"/>
      <c r="H435" s="65" t="s">
        <v>14729</v>
      </c>
      <c r="I435" s="75">
        <v>6450</v>
      </c>
      <c r="J435" s="75">
        <f>1000+800+500+500+500+600+500+500+500+500+550</f>
        <v>6450</v>
      </c>
      <c r="K435" s="75"/>
      <c r="L435" s="75"/>
      <c r="M435" s="75"/>
      <c r="N435" s="75">
        <f>Tabla1[[#This Row],[IMPORTE APROBADO]]-Tabla1[[#This Row],[AMORTIZACION2]]</f>
        <v>0</v>
      </c>
      <c r="O435" s="65" t="str">
        <f>TEXT(Tabla1[[#This Row],[EMISION]],"mmm")</f>
        <v>May</v>
      </c>
      <c r="P435" s="65" t="str">
        <f>TEXT(Tabla1[[#This Row],[EMISION]],"YYYY")</f>
        <v>2023</v>
      </c>
      <c r="Q435" s="71">
        <v>45058</v>
      </c>
      <c r="R435" s="65" t="str">
        <f>TEXT(Tabla1[[#This Row],[VENCIMIENTO]],"mmm")</f>
        <v>Jun</v>
      </c>
      <c r="S435" s="71">
        <f t="shared" si="64"/>
        <v>45078</v>
      </c>
      <c r="T435" s="72">
        <f ca="1">Tabla1[[#This Row],[EMISION]]+Tabla1[[#This Row],[PLAZO]]-TODAY()</f>
        <v>-291</v>
      </c>
      <c r="U435" s="80">
        <f t="shared" ca="1" si="65"/>
        <v>0</v>
      </c>
      <c r="V435" s="72"/>
      <c r="W435" s="73" t="s">
        <v>14307</v>
      </c>
      <c r="X435" s="65">
        <v>20</v>
      </c>
      <c r="Y435" s="65"/>
      <c r="Z435" s="65"/>
      <c r="AA435" s="65"/>
      <c r="AB435" s="65"/>
      <c r="AC435" s="65"/>
      <c r="AD435" s="65"/>
      <c r="AE435" s="65"/>
      <c r="AF435" s="68"/>
      <c r="AG435" s="66">
        <v>45149</v>
      </c>
      <c r="AH435" s="67" t="s">
        <v>14308</v>
      </c>
      <c r="AI435" s="65" t="s">
        <v>3060</v>
      </c>
      <c r="AJ435" s="65"/>
      <c r="AK435" s="97">
        <f t="shared" ca="1" si="55"/>
        <v>291</v>
      </c>
      <c r="AL435">
        <f>IFERROR(VLOOKUP(A435,'DATA CLIENTES'!B4732:I8284,6,FALSE),0)</f>
        <v>0</v>
      </c>
    </row>
    <row r="436" spans="1:38" x14ac:dyDescent="0.25">
      <c r="A436" s="93" t="s">
        <v>5743</v>
      </c>
      <c r="B436" s="68" t="s">
        <v>14730</v>
      </c>
      <c r="C436" s="65"/>
      <c r="D436" s="65"/>
      <c r="E436" s="65"/>
      <c r="F436" s="69" t="s">
        <v>14559</v>
      </c>
      <c r="G436" s="70"/>
      <c r="H436" s="65" t="s">
        <v>14731</v>
      </c>
      <c r="I436" s="75">
        <v>732.6400000000001</v>
      </c>
      <c r="J436" s="75">
        <f>300+300+132.64</f>
        <v>732.64</v>
      </c>
      <c r="K436" s="75"/>
      <c r="L436" s="75"/>
      <c r="M436" s="75"/>
      <c r="N436" s="75">
        <f>Tabla1[[#This Row],[IMPORTE APROBADO]]-Tabla1[[#This Row],[AMORTIZACION2]]</f>
        <v>0</v>
      </c>
      <c r="O436" s="65" t="str">
        <f>TEXT(Tabla1[[#This Row],[EMISION]],"mmm")</f>
        <v>May</v>
      </c>
      <c r="P436" s="65" t="str">
        <f>TEXT(Tabla1[[#This Row],[EMISION]],"YYYY")</f>
        <v>2023</v>
      </c>
      <c r="Q436" s="71">
        <v>45058</v>
      </c>
      <c r="R436" s="65" t="str">
        <f>TEXT(Tabla1[[#This Row],[VENCIMIENTO]],"mmm")</f>
        <v>Jun</v>
      </c>
      <c r="S436" s="71">
        <f t="shared" si="64"/>
        <v>45088</v>
      </c>
      <c r="T436" s="72">
        <f ca="1">Tabla1[[#This Row],[EMISION]]+Tabla1[[#This Row],[PLAZO]]-TODAY()</f>
        <v>-281</v>
      </c>
      <c r="U436" s="80">
        <f t="shared" ca="1" si="65"/>
        <v>0</v>
      </c>
      <c r="V436" s="72"/>
      <c r="W436" s="73" t="s">
        <v>14307</v>
      </c>
      <c r="X436" s="65">
        <v>30</v>
      </c>
      <c r="Y436" s="65"/>
      <c r="Z436" s="65"/>
      <c r="AA436" s="65"/>
      <c r="AB436" s="65"/>
      <c r="AC436" s="65"/>
      <c r="AD436" s="65"/>
      <c r="AE436" s="65"/>
      <c r="AF436" s="68"/>
      <c r="AG436" s="66">
        <v>45077</v>
      </c>
      <c r="AH436" s="67" t="s">
        <v>14308</v>
      </c>
      <c r="AI436" s="65" t="s">
        <v>3060</v>
      </c>
      <c r="AJ436" s="65"/>
      <c r="AK436" s="97">
        <f t="shared" ca="1" si="55"/>
        <v>281</v>
      </c>
      <c r="AL436">
        <f>IFERROR(VLOOKUP(A436,'DATA CLIENTES'!B4733:I8284,6,FALSE),0)</f>
        <v>0</v>
      </c>
    </row>
    <row r="437" spans="1:38" x14ac:dyDescent="0.25">
      <c r="A437" s="93" t="s">
        <v>5743</v>
      </c>
      <c r="B437" s="68" t="s">
        <v>14730</v>
      </c>
      <c r="C437" s="65"/>
      <c r="D437" s="65"/>
      <c r="E437" s="65"/>
      <c r="F437" s="69" t="s">
        <v>14559</v>
      </c>
      <c r="G437" s="70"/>
      <c r="H437" s="65" t="s">
        <v>14732</v>
      </c>
      <c r="I437" s="75">
        <v>432.62817900000005</v>
      </c>
      <c r="J437" s="75">
        <f>167.36+265.2</f>
        <v>432.56</v>
      </c>
      <c r="K437" s="75"/>
      <c r="L437" s="75"/>
      <c r="M437" s="75"/>
      <c r="N437" s="75">
        <f>Tabla1[[#This Row],[IMPORTE APROBADO]]-Tabla1[[#This Row],[AMORTIZACION2]]</f>
        <v>6.8179000000043288E-2</v>
      </c>
      <c r="O437" s="65" t="str">
        <f>TEXT(Tabla1[[#This Row],[EMISION]],"mmm")</f>
        <v>May</v>
      </c>
      <c r="P437" s="65" t="str">
        <f>TEXT(Tabla1[[#This Row],[EMISION]],"YYYY")</f>
        <v>2023</v>
      </c>
      <c r="Q437" s="71">
        <v>45058</v>
      </c>
      <c r="R437" s="65" t="str">
        <f>TEXT(Tabla1[[#This Row],[VENCIMIENTO]],"mmm")</f>
        <v>Jun</v>
      </c>
      <c r="S437" s="71">
        <f t="shared" si="64"/>
        <v>45088</v>
      </c>
      <c r="T437" s="72">
        <f ca="1">Tabla1[[#This Row],[EMISION]]+Tabla1[[#This Row],[PLAZO]]-TODAY()</f>
        <v>-281</v>
      </c>
      <c r="U437" s="80">
        <f t="shared" ca="1" si="65"/>
        <v>0</v>
      </c>
      <c r="V437" s="72"/>
      <c r="W437" s="73" t="s">
        <v>14307</v>
      </c>
      <c r="X437" s="65">
        <v>30</v>
      </c>
      <c r="Y437" s="65"/>
      <c r="Z437" s="65"/>
      <c r="AA437" s="65"/>
      <c r="AB437" s="65"/>
      <c r="AC437" s="65"/>
      <c r="AD437" s="65"/>
      <c r="AE437" s="65"/>
      <c r="AF437" s="68"/>
      <c r="AG437" s="66">
        <v>45079</v>
      </c>
      <c r="AH437" s="67" t="s">
        <v>14308</v>
      </c>
      <c r="AI437" s="65" t="s">
        <v>3060</v>
      </c>
      <c r="AJ437" s="65"/>
      <c r="AK437" s="97">
        <f t="shared" ca="1" si="55"/>
        <v>281</v>
      </c>
      <c r="AL437">
        <f>IFERROR(VLOOKUP(A437,'DATA CLIENTES'!B4734:I8284,6,FALSE),0)</f>
        <v>0</v>
      </c>
    </row>
    <row r="438" spans="1:38" x14ac:dyDescent="0.25">
      <c r="A438" s="93" t="s">
        <v>5743</v>
      </c>
      <c r="B438" s="68" t="s">
        <v>14730</v>
      </c>
      <c r="C438" s="65"/>
      <c r="D438" s="65"/>
      <c r="E438" s="65"/>
      <c r="F438" s="69" t="s">
        <v>14559</v>
      </c>
      <c r="G438" s="70"/>
      <c r="H438" s="65" t="s">
        <v>14733</v>
      </c>
      <c r="I438" s="75">
        <v>863.81066799999996</v>
      </c>
      <c r="J438" s="75">
        <f>200+300+363.8</f>
        <v>863.8</v>
      </c>
      <c r="K438" s="75"/>
      <c r="L438" s="75"/>
      <c r="M438" s="75"/>
      <c r="N438" s="75">
        <f>Tabla1[[#This Row],[IMPORTE APROBADO]]-Tabla1[[#This Row],[AMORTIZACION2]]</f>
        <v>1.066800000000967E-2</v>
      </c>
      <c r="O438" s="65" t="str">
        <f>TEXT(Tabla1[[#This Row],[EMISION]],"mmm")</f>
        <v>May</v>
      </c>
      <c r="P438" s="65" t="str">
        <f>TEXT(Tabla1[[#This Row],[EMISION]],"YYYY")</f>
        <v>2023</v>
      </c>
      <c r="Q438" s="71">
        <v>45058</v>
      </c>
      <c r="R438" s="65" t="str">
        <f>TEXT(Tabla1[[#This Row],[VENCIMIENTO]],"mmm")</f>
        <v>Jun</v>
      </c>
      <c r="S438" s="71">
        <f t="shared" si="64"/>
        <v>45088</v>
      </c>
      <c r="T438" s="72">
        <f ca="1">Tabla1[[#This Row],[EMISION]]+Tabla1[[#This Row],[PLAZO]]-TODAY()</f>
        <v>-281</v>
      </c>
      <c r="U438" s="80">
        <f t="shared" ca="1" si="65"/>
        <v>0</v>
      </c>
      <c r="V438" s="72"/>
      <c r="W438" s="73" t="s">
        <v>14307</v>
      </c>
      <c r="X438" s="65">
        <v>30</v>
      </c>
      <c r="Y438" s="65"/>
      <c r="Z438" s="65"/>
      <c r="AA438" s="65"/>
      <c r="AB438" s="65"/>
      <c r="AC438" s="65"/>
      <c r="AD438" s="65"/>
      <c r="AE438" s="65"/>
      <c r="AF438" s="68"/>
      <c r="AG438" s="66">
        <v>45092</v>
      </c>
      <c r="AH438" s="67" t="s">
        <v>14308</v>
      </c>
      <c r="AI438" s="65" t="s">
        <v>3060</v>
      </c>
      <c r="AJ438" s="65"/>
      <c r="AK438" s="97">
        <f t="shared" ca="1" si="55"/>
        <v>281</v>
      </c>
      <c r="AL438">
        <f>IFERROR(VLOOKUP(A438,'DATA CLIENTES'!B4735:I8284,6,FALSE),0)</f>
        <v>0</v>
      </c>
    </row>
    <row r="439" spans="1:38" x14ac:dyDescent="0.25">
      <c r="A439" s="93" t="s">
        <v>9809</v>
      </c>
      <c r="B439" s="68" t="s">
        <v>14329</v>
      </c>
      <c r="C439" s="65"/>
      <c r="D439" s="65"/>
      <c r="E439" s="65"/>
      <c r="F439" s="69" t="s">
        <v>14559</v>
      </c>
      <c r="G439" s="70"/>
      <c r="H439" s="65" t="s">
        <v>14734</v>
      </c>
      <c r="I439" s="75">
        <v>1125.1814319999999</v>
      </c>
      <c r="J439" s="75">
        <v>1125.18</v>
      </c>
      <c r="K439" s="75"/>
      <c r="L439" s="75"/>
      <c r="M439" s="75"/>
      <c r="N439" s="75">
        <f>Tabla1[[#This Row],[IMPORTE APROBADO]]-Tabla1[[#This Row],[AMORTIZACION2]]</f>
        <v>1.4319999997951527E-3</v>
      </c>
      <c r="O439" s="65" t="str">
        <f>TEXT(Tabla1[[#This Row],[EMISION]],"mmm")</f>
        <v>May</v>
      </c>
      <c r="P439" s="65" t="str">
        <f>TEXT(Tabla1[[#This Row],[EMISION]],"YYYY")</f>
        <v>2023</v>
      </c>
      <c r="Q439" s="71">
        <v>45061</v>
      </c>
      <c r="R439" s="65" t="str">
        <f>TEXT(Tabla1[[#This Row],[VENCIMIENTO]],"mmm")</f>
        <v>May</v>
      </c>
      <c r="S439" s="71">
        <f t="shared" si="64"/>
        <v>45076</v>
      </c>
      <c r="T439" s="72">
        <f ca="1">Tabla1[[#This Row],[EMISION]]+Tabla1[[#This Row],[PLAZO]]-TODAY()</f>
        <v>-293</v>
      </c>
      <c r="U439" s="80">
        <f t="shared" ca="1" si="65"/>
        <v>0</v>
      </c>
      <c r="V439" s="72"/>
      <c r="W439" s="73" t="s">
        <v>14307</v>
      </c>
      <c r="X439" s="65">
        <v>15</v>
      </c>
      <c r="Y439" s="65"/>
      <c r="Z439" s="65"/>
      <c r="AA439" s="65"/>
      <c r="AB439" s="65"/>
      <c r="AC439" s="65"/>
      <c r="AD439" s="65"/>
      <c r="AE439" s="65"/>
      <c r="AF439" s="68"/>
      <c r="AG439" s="66">
        <v>45078</v>
      </c>
      <c r="AH439" s="67" t="s">
        <v>14308</v>
      </c>
      <c r="AI439" s="65" t="s">
        <v>3060</v>
      </c>
      <c r="AJ439" s="65"/>
      <c r="AK439" s="97">
        <f t="shared" ca="1" si="55"/>
        <v>293</v>
      </c>
      <c r="AL439">
        <f>IFERROR(VLOOKUP(A439,'DATA CLIENTES'!B4736:I8284,6,FALSE),0)</f>
        <v>0</v>
      </c>
    </row>
    <row r="440" spans="1:38" x14ac:dyDescent="0.25">
      <c r="A440" s="93" t="s">
        <v>7188</v>
      </c>
      <c r="B440" s="68" t="s">
        <v>7189</v>
      </c>
      <c r="C440" s="65"/>
      <c r="D440" s="65"/>
      <c r="E440" s="65"/>
      <c r="F440" s="69" t="s">
        <v>14725</v>
      </c>
      <c r="G440" s="70"/>
      <c r="H440" s="65" t="s">
        <v>14735</v>
      </c>
      <c r="I440" s="75">
        <v>2439.9333960000004</v>
      </c>
      <c r="J440" s="75">
        <v>2440</v>
      </c>
      <c r="K440" s="75"/>
      <c r="L440" s="75"/>
      <c r="M440" s="75"/>
      <c r="N440" s="75">
        <f>Tabla1[[#This Row],[IMPORTE APROBADO]]-Tabla1[[#This Row],[AMORTIZACION2]]</f>
        <v>-6.6603999999642838E-2</v>
      </c>
      <c r="O440" s="65" t="str">
        <f>TEXT(Tabla1[[#This Row],[EMISION]],"mmm")</f>
        <v>May</v>
      </c>
      <c r="P440" s="65" t="str">
        <f>TEXT(Tabla1[[#This Row],[EMISION]],"YYYY")</f>
        <v>2023</v>
      </c>
      <c r="Q440" s="71">
        <v>45062</v>
      </c>
      <c r="R440" s="65" t="str">
        <f>TEXT(Tabla1[[#This Row],[VENCIMIENTO]],"mmm")</f>
        <v>May</v>
      </c>
      <c r="S440" s="71">
        <f t="shared" ref="S440:S444" si="66">Q440+X440</f>
        <v>45077</v>
      </c>
      <c r="T440" s="72">
        <f ca="1">Tabla1[[#This Row],[EMISION]]+Tabla1[[#This Row],[PLAZO]]-TODAY()</f>
        <v>-292</v>
      </c>
      <c r="U440" s="80">
        <f t="shared" ref="U440:U444" ca="1" si="67">IF(T440&gt;=0,$U$4,IF(AND(T440&lt;=-1,T440&gt;=-30),$U$5,IF(AND(T440&lt;=-31,T440&gt;=-60),$U$6,IF(AND(T440&lt;=-61,T440&gt;=-90),$U$7,$U$8))))</f>
        <v>0</v>
      </c>
      <c r="V440" s="72"/>
      <c r="W440" s="73" t="s">
        <v>14307</v>
      </c>
      <c r="X440" s="65">
        <v>15</v>
      </c>
      <c r="Y440" s="65"/>
      <c r="Z440" s="65"/>
      <c r="AA440" s="65"/>
      <c r="AB440" s="65"/>
      <c r="AC440" s="65"/>
      <c r="AD440" s="65"/>
      <c r="AE440" s="65"/>
      <c r="AF440" s="68"/>
      <c r="AG440" s="66">
        <v>45076</v>
      </c>
      <c r="AH440" s="67" t="s">
        <v>14308</v>
      </c>
      <c r="AI440" s="65" t="s">
        <v>3060</v>
      </c>
      <c r="AJ440" s="65"/>
      <c r="AK440" s="97">
        <f t="shared" ca="1" si="55"/>
        <v>292</v>
      </c>
      <c r="AL440">
        <f>IFERROR(VLOOKUP(A440,'DATA CLIENTES'!B4737:I8284,6,FALSE),0)</f>
        <v>0</v>
      </c>
    </row>
    <row r="441" spans="1:38" x14ac:dyDescent="0.25">
      <c r="A441" s="93" t="s">
        <v>9309</v>
      </c>
      <c r="B441" s="68" t="s">
        <v>9310</v>
      </c>
      <c r="C441" s="65"/>
      <c r="D441" s="65"/>
      <c r="E441" s="65"/>
      <c r="F441" s="69" t="s">
        <v>14559</v>
      </c>
      <c r="G441" s="70"/>
      <c r="H441" s="65" t="s">
        <v>14736</v>
      </c>
      <c r="I441" s="75">
        <v>3325.6814340000005</v>
      </c>
      <c r="J441" s="75">
        <f>3325.68</f>
        <v>3325.68</v>
      </c>
      <c r="K441" s="75"/>
      <c r="L441" s="75"/>
      <c r="M441" s="75"/>
      <c r="N441" s="75">
        <f>Tabla1[[#This Row],[IMPORTE APROBADO]]-Tabla1[[#This Row],[AMORTIZACION2]]</f>
        <v>1.4340000006995979E-3</v>
      </c>
      <c r="O441" s="65" t="str">
        <f>TEXT(Tabla1[[#This Row],[EMISION]],"mmm")</f>
        <v>May</v>
      </c>
      <c r="P441" s="65" t="str">
        <f>TEXT(Tabla1[[#This Row],[EMISION]],"YYYY")</f>
        <v>2023</v>
      </c>
      <c r="Q441" s="71">
        <v>45064</v>
      </c>
      <c r="R441" s="65" t="str">
        <f>TEXT(Tabla1[[#This Row],[VENCIMIENTO]],"mmm")</f>
        <v>Jun</v>
      </c>
      <c r="S441" s="71">
        <f t="shared" si="66"/>
        <v>45099</v>
      </c>
      <c r="T441" s="72">
        <f ca="1">Tabla1[[#This Row],[EMISION]]+Tabla1[[#This Row],[PLAZO]]-TODAY()</f>
        <v>-270</v>
      </c>
      <c r="U441" s="80">
        <f t="shared" ca="1" si="67"/>
        <v>0</v>
      </c>
      <c r="V441" s="72"/>
      <c r="W441" s="73" t="s">
        <v>14307</v>
      </c>
      <c r="X441" s="65">
        <v>35</v>
      </c>
      <c r="Y441" s="65"/>
      <c r="Z441" s="65"/>
      <c r="AA441" s="65"/>
      <c r="AB441" s="65"/>
      <c r="AC441" s="65"/>
      <c r="AD441" s="65"/>
      <c r="AE441" s="65"/>
      <c r="AF441" s="68"/>
      <c r="AG441" s="66">
        <v>45117</v>
      </c>
      <c r="AH441" s="67" t="s">
        <v>14308</v>
      </c>
      <c r="AI441" s="65" t="s">
        <v>3060</v>
      </c>
      <c r="AJ441" s="65"/>
      <c r="AK441" s="97">
        <f t="shared" ca="1" si="55"/>
        <v>270</v>
      </c>
      <c r="AL441">
        <f>IFERROR(VLOOKUP(A441,'DATA CLIENTES'!B4738:I8284,6,FALSE),0)</f>
        <v>0</v>
      </c>
    </row>
    <row r="442" spans="1:38" x14ac:dyDescent="0.25">
      <c r="A442" s="93" t="s">
        <v>9309</v>
      </c>
      <c r="B442" s="68" t="s">
        <v>9310</v>
      </c>
      <c r="C442" s="65"/>
      <c r="D442" s="65"/>
      <c r="E442" s="65"/>
      <c r="F442" s="69" t="s">
        <v>14559</v>
      </c>
      <c r="G442" s="70"/>
      <c r="H442" s="65" t="s">
        <v>14737</v>
      </c>
      <c r="I442" s="75">
        <v>4968.184956000001</v>
      </c>
      <c r="J442" s="75">
        <f>1674.32+2000+1000+293.86</f>
        <v>4968.1799999999994</v>
      </c>
      <c r="K442" s="75"/>
      <c r="L442" s="75"/>
      <c r="M442" s="75"/>
      <c r="N442" s="75">
        <f>Tabla1[[#This Row],[IMPORTE APROBADO]]-Tabla1[[#This Row],[AMORTIZACION2]]</f>
        <v>4.9560000015844707E-3</v>
      </c>
      <c r="O442" s="65" t="str">
        <f>TEXT(Tabla1[[#This Row],[EMISION]],"mmm")</f>
        <v>May</v>
      </c>
      <c r="P442" s="65" t="str">
        <f>TEXT(Tabla1[[#This Row],[EMISION]],"YYYY")</f>
        <v>2023</v>
      </c>
      <c r="Q442" s="71">
        <v>45064</v>
      </c>
      <c r="R442" s="65" t="str">
        <f>TEXT(Tabla1[[#This Row],[VENCIMIENTO]],"mmm")</f>
        <v>Jun</v>
      </c>
      <c r="S442" s="71">
        <f t="shared" si="66"/>
        <v>45099</v>
      </c>
      <c r="T442" s="72">
        <f ca="1">Tabla1[[#This Row],[EMISION]]+Tabla1[[#This Row],[PLAZO]]-TODAY()</f>
        <v>-270</v>
      </c>
      <c r="U442" s="80">
        <f t="shared" ca="1" si="67"/>
        <v>0</v>
      </c>
      <c r="V442" s="72"/>
      <c r="W442" s="73" t="s">
        <v>14307</v>
      </c>
      <c r="X442" s="65">
        <v>35</v>
      </c>
      <c r="Y442" s="65"/>
      <c r="Z442" s="65"/>
      <c r="AA442" s="65"/>
      <c r="AB442" s="65"/>
      <c r="AC442" s="65"/>
      <c r="AD442" s="65"/>
      <c r="AE442" s="65"/>
      <c r="AF442" s="68"/>
      <c r="AG442" s="66">
        <v>45153</v>
      </c>
      <c r="AH442" s="67" t="s">
        <v>14308</v>
      </c>
      <c r="AI442" s="65" t="s">
        <v>3060</v>
      </c>
      <c r="AJ442" s="65"/>
      <c r="AK442" s="97">
        <f t="shared" ca="1" si="55"/>
        <v>270</v>
      </c>
      <c r="AL442">
        <f>IFERROR(VLOOKUP(A442,'DATA CLIENTES'!B4739:I8284,6,FALSE),0)</f>
        <v>0</v>
      </c>
    </row>
    <row r="443" spans="1:38" x14ac:dyDescent="0.25">
      <c r="A443" s="93" t="s">
        <v>9309</v>
      </c>
      <c r="B443" s="68" t="s">
        <v>9310</v>
      </c>
      <c r="C443" s="65"/>
      <c r="D443" s="65"/>
      <c r="E443" s="65"/>
      <c r="F443" s="69" t="s">
        <v>14725</v>
      </c>
      <c r="G443" s="70"/>
      <c r="H443" s="65" t="s">
        <v>14738</v>
      </c>
      <c r="I443" s="75">
        <v>10997.64</v>
      </c>
      <c r="J443" s="75"/>
      <c r="K443" s="75"/>
      <c r="L443" s="75"/>
      <c r="M443" s="75"/>
      <c r="N443" s="75">
        <f>Tabla1[[#This Row],[IMPORTE APROBADO]]-Tabla1[[#This Row],[AMORTIZACION2]]</f>
        <v>10997.64</v>
      </c>
      <c r="O443" s="65" t="str">
        <f>TEXT(Tabla1[[#This Row],[EMISION]],"mmm")</f>
        <v>May</v>
      </c>
      <c r="P443" s="65" t="str">
        <f>TEXT(Tabla1[[#This Row],[EMISION]],"YYYY")</f>
        <v>2023</v>
      </c>
      <c r="Q443" s="71">
        <v>45064</v>
      </c>
      <c r="R443" s="65" t="str">
        <f>TEXT(Tabla1[[#This Row],[VENCIMIENTO]],"mmm")</f>
        <v>Jun</v>
      </c>
      <c r="S443" s="71">
        <f t="shared" si="66"/>
        <v>45099</v>
      </c>
      <c r="T443" s="72">
        <f ca="1">Tabla1[[#This Row],[EMISION]]+Tabla1[[#This Row],[PLAZO]]-TODAY()</f>
        <v>-270</v>
      </c>
      <c r="U443" s="80">
        <f t="shared" ca="1" si="67"/>
        <v>0</v>
      </c>
      <c r="V443" s="72"/>
      <c r="W443" s="73" t="s">
        <v>14307</v>
      </c>
      <c r="X443" s="65">
        <v>35</v>
      </c>
      <c r="Y443" s="65"/>
      <c r="Z443" s="65"/>
      <c r="AA443" s="65"/>
      <c r="AB443" s="65"/>
      <c r="AC443" s="65"/>
      <c r="AD443" s="65"/>
      <c r="AE443" s="65"/>
      <c r="AF443" s="68"/>
      <c r="AG443" s="66">
        <v>45071</v>
      </c>
      <c r="AH443" s="67" t="s">
        <v>14308</v>
      </c>
      <c r="AI443" s="65" t="s">
        <v>3060</v>
      </c>
      <c r="AJ443" s="65"/>
      <c r="AK443" s="97">
        <f t="shared" ca="1" si="55"/>
        <v>270</v>
      </c>
      <c r="AL443">
        <f>IFERROR(VLOOKUP(A443,'DATA CLIENTES'!B4740:I8284,6,FALSE),0)</f>
        <v>0</v>
      </c>
    </row>
    <row r="444" spans="1:38" x14ac:dyDescent="0.25">
      <c r="A444" s="93" t="s">
        <v>5473</v>
      </c>
      <c r="B444" s="68" t="s">
        <v>14378</v>
      </c>
      <c r="C444" s="65"/>
      <c r="D444" s="65"/>
      <c r="E444" s="65"/>
      <c r="F444" s="69" t="s">
        <v>14559</v>
      </c>
      <c r="G444" s="70"/>
      <c r="H444" s="65" t="s">
        <v>14739</v>
      </c>
      <c r="I444" s="75">
        <v>5060.3466699999999</v>
      </c>
      <c r="J444" s="75">
        <f>2000+2000+1060.3</f>
        <v>5060.3</v>
      </c>
      <c r="K444" s="75"/>
      <c r="L444" s="75"/>
      <c r="M444" s="75"/>
      <c r="N444" s="75">
        <f>Tabla1[[#This Row],[IMPORTE APROBADO]]-Tabla1[[#This Row],[AMORTIZACION2]]</f>
        <v>4.6669999999721767E-2</v>
      </c>
      <c r="O444" s="65" t="str">
        <f>TEXT(Tabla1[[#This Row],[EMISION]],"mmm")</f>
        <v>May</v>
      </c>
      <c r="P444" s="65" t="str">
        <f>TEXT(Tabla1[[#This Row],[EMISION]],"YYYY")</f>
        <v>2023</v>
      </c>
      <c r="Q444" s="71">
        <v>45064</v>
      </c>
      <c r="R444" s="65" t="str">
        <f>TEXT(Tabla1[[#This Row],[VENCIMIENTO]],"mmm")</f>
        <v>Jun</v>
      </c>
      <c r="S444" s="71">
        <f t="shared" si="66"/>
        <v>45084</v>
      </c>
      <c r="T444" s="72">
        <f ca="1">Tabla1[[#This Row],[EMISION]]+Tabla1[[#This Row],[PLAZO]]-TODAY()</f>
        <v>-285</v>
      </c>
      <c r="U444" s="80">
        <f t="shared" ca="1" si="67"/>
        <v>0</v>
      </c>
      <c r="V444" s="72"/>
      <c r="W444" s="73" t="s">
        <v>14307</v>
      </c>
      <c r="X444" s="65">
        <v>20</v>
      </c>
      <c r="Y444" s="65"/>
      <c r="Z444" s="65"/>
      <c r="AA444" s="65"/>
      <c r="AB444" s="65"/>
      <c r="AC444" s="65"/>
      <c r="AD444" s="65"/>
      <c r="AE444" s="65"/>
      <c r="AF444" s="68"/>
      <c r="AG444" s="66">
        <v>45094</v>
      </c>
      <c r="AH444" s="67" t="s">
        <v>14308</v>
      </c>
      <c r="AI444" s="65" t="s">
        <v>3060</v>
      </c>
      <c r="AJ444" s="65"/>
      <c r="AK444" s="97">
        <f t="shared" ca="1" si="55"/>
        <v>285</v>
      </c>
      <c r="AL444">
        <f>IFERROR(VLOOKUP(A444,'DATA CLIENTES'!B4741:I8284,6,FALSE),0)</f>
        <v>0</v>
      </c>
    </row>
    <row r="445" spans="1:38" x14ac:dyDescent="0.25">
      <c r="A445" s="93" t="s">
        <v>8786</v>
      </c>
      <c r="B445" s="68" t="s">
        <v>8787</v>
      </c>
      <c r="C445" s="65"/>
      <c r="D445" s="65"/>
      <c r="E445" s="65"/>
      <c r="F445" s="69" t="s">
        <v>14559</v>
      </c>
      <c r="G445" s="70"/>
      <c r="H445" s="65" t="s">
        <v>14740</v>
      </c>
      <c r="I445" s="75">
        <v>1058.08</v>
      </c>
      <c r="J445" s="75">
        <f>200+200+150.1+208+200+99.8</f>
        <v>1057.9000000000001</v>
      </c>
      <c r="K445" s="75"/>
      <c r="L445" s="75"/>
      <c r="M445" s="75"/>
      <c r="N445" s="75">
        <f>Tabla1[[#This Row],[IMPORTE APROBADO]]-Tabla1[[#This Row],[AMORTIZACION2]]</f>
        <v>0.17999999999983629</v>
      </c>
      <c r="O445" s="65" t="str">
        <f>TEXT(Tabla1[[#This Row],[EMISION]],"mmm")</f>
        <v>May</v>
      </c>
      <c r="P445" s="65" t="str">
        <f>TEXT(Tabla1[[#This Row],[EMISION]],"YYYY")</f>
        <v>2023</v>
      </c>
      <c r="Q445" s="71">
        <v>45065</v>
      </c>
      <c r="R445" s="65" t="str">
        <f>TEXT(Tabla1[[#This Row],[VENCIMIENTO]],"mmm")</f>
        <v>Jun</v>
      </c>
      <c r="S445" s="71">
        <f t="shared" ref="S445" si="68">Q445+X445</f>
        <v>45085</v>
      </c>
      <c r="T445" s="72">
        <f ca="1">Tabla1[[#This Row],[EMISION]]+Tabla1[[#This Row],[PLAZO]]-TODAY()</f>
        <v>-284</v>
      </c>
      <c r="U445" s="80">
        <f t="shared" ref="U445" ca="1" si="69">IF(T445&gt;=0,$U$4,IF(AND(T445&lt;=-1,T445&gt;=-30),$U$5,IF(AND(T445&lt;=-31,T445&gt;=-60),$U$6,IF(AND(T445&lt;=-61,T445&gt;=-90),$U$7,$U$8))))</f>
        <v>0</v>
      </c>
      <c r="V445" s="72"/>
      <c r="W445" s="73" t="s">
        <v>14307</v>
      </c>
      <c r="X445" s="65">
        <v>20</v>
      </c>
      <c r="Y445" s="65"/>
      <c r="Z445" s="65"/>
      <c r="AA445" s="65"/>
      <c r="AB445" s="65"/>
      <c r="AC445" s="65"/>
      <c r="AD445" s="65"/>
      <c r="AE445" s="65"/>
      <c r="AF445" s="68"/>
      <c r="AG445" s="66">
        <v>45105</v>
      </c>
      <c r="AH445" s="67" t="s">
        <v>14308</v>
      </c>
      <c r="AI445" s="65" t="s">
        <v>3060</v>
      </c>
      <c r="AJ445" s="65"/>
      <c r="AK445" s="97">
        <f t="shared" ca="1" si="55"/>
        <v>284</v>
      </c>
      <c r="AL445">
        <f>IFERROR(VLOOKUP(A445,'DATA CLIENTES'!B4742:I8284,6,FALSE),0)</f>
        <v>0</v>
      </c>
    </row>
    <row r="446" spans="1:38" x14ac:dyDescent="0.25">
      <c r="A446" s="93" t="s">
        <v>6039</v>
      </c>
      <c r="B446" s="68" t="s">
        <v>6040</v>
      </c>
      <c r="C446" s="65"/>
      <c r="D446" s="65"/>
      <c r="E446" s="65"/>
      <c r="F446" s="69" t="s">
        <v>14571</v>
      </c>
      <c r="G446" s="70"/>
      <c r="H446" s="65" t="s">
        <v>14741</v>
      </c>
      <c r="I446" s="75">
        <v>7398</v>
      </c>
      <c r="J446" s="75">
        <v>7398</v>
      </c>
      <c r="K446" s="75"/>
      <c r="L446" s="75"/>
      <c r="M446" s="75"/>
      <c r="N446" s="75">
        <f>Tabla1[[#This Row],[IMPORTE APROBADO]]-Tabla1[[#This Row],[AMORTIZACION2]]</f>
        <v>0</v>
      </c>
      <c r="O446" s="65" t="str">
        <f>TEXT(Tabla1[[#This Row],[EMISION]],"mmm")</f>
        <v>May</v>
      </c>
      <c r="P446" s="65" t="str">
        <f>TEXT(Tabla1[[#This Row],[EMISION]],"YYYY")</f>
        <v>2023</v>
      </c>
      <c r="Q446" s="71">
        <v>45071</v>
      </c>
      <c r="R446" s="65" t="str">
        <f>TEXT(Tabla1[[#This Row],[VENCIMIENTO]],"mmm")</f>
        <v>Jun</v>
      </c>
      <c r="S446" s="71">
        <f t="shared" ref="S446:S458" si="70">Q446+X446</f>
        <v>45091</v>
      </c>
      <c r="T446" s="72">
        <f ca="1">Tabla1[[#This Row],[EMISION]]+Tabla1[[#This Row],[PLAZO]]-TODAY()</f>
        <v>-278</v>
      </c>
      <c r="U446" s="80">
        <f t="shared" ref="U446:U458" ca="1" si="71">IF(T446&gt;=0,$U$4,IF(AND(T446&lt;=-1,T446&gt;=-30),$U$5,IF(AND(T446&lt;=-31,T446&gt;=-60),$U$6,IF(AND(T446&lt;=-61,T446&gt;=-90),$U$7,$U$8))))</f>
        <v>0</v>
      </c>
      <c r="V446" s="72"/>
      <c r="W446" s="73" t="s">
        <v>14307</v>
      </c>
      <c r="X446" s="65">
        <v>20</v>
      </c>
      <c r="Y446" s="65"/>
      <c r="Z446" s="65"/>
      <c r="AA446" s="65"/>
      <c r="AB446" s="65"/>
      <c r="AC446" s="65"/>
      <c r="AD446" s="65"/>
      <c r="AE446" s="65"/>
      <c r="AF446" s="68"/>
      <c r="AG446" s="66">
        <v>45092</v>
      </c>
      <c r="AH446" s="67" t="s">
        <v>14308</v>
      </c>
      <c r="AI446" s="65" t="s">
        <v>3060</v>
      </c>
      <c r="AJ446" s="65"/>
      <c r="AK446" s="97">
        <f t="shared" ca="1" si="55"/>
        <v>278</v>
      </c>
      <c r="AL446">
        <f>IFERROR(VLOOKUP(A446,'DATA CLIENTES'!B4743:I8284,6,FALSE),0)</f>
        <v>0</v>
      </c>
    </row>
    <row r="447" spans="1:38" x14ac:dyDescent="0.25">
      <c r="A447" s="93" t="s">
        <v>6039</v>
      </c>
      <c r="B447" s="68" t="s">
        <v>6040</v>
      </c>
      <c r="C447" s="65"/>
      <c r="D447" s="65"/>
      <c r="E447" s="65"/>
      <c r="F447" s="69" t="s">
        <v>14571</v>
      </c>
      <c r="G447" s="70"/>
      <c r="H447" s="65" t="s">
        <v>14742</v>
      </c>
      <c r="I447" s="75">
        <v>3544.0314000000003</v>
      </c>
      <c r="J447" s="75">
        <v>3544.03</v>
      </c>
      <c r="K447" s="75"/>
      <c r="L447" s="75"/>
      <c r="M447" s="75"/>
      <c r="N447" s="75">
        <f>Tabla1[[#This Row],[IMPORTE APROBADO]]-Tabla1[[#This Row],[AMORTIZACION2]]</f>
        <v>1.4000000001033186E-3</v>
      </c>
      <c r="O447" s="65" t="str">
        <f>TEXT(Tabla1[[#This Row],[EMISION]],"mmm")</f>
        <v>May</v>
      </c>
      <c r="P447" s="65" t="str">
        <f>TEXT(Tabla1[[#This Row],[EMISION]],"YYYY")</f>
        <v>2023</v>
      </c>
      <c r="Q447" s="71">
        <v>45071</v>
      </c>
      <c r="R447" s="65" t="str">
        <f>TEXT(Tabla1[[#This Row],[VENCIMIENTO]],"mmm")</f>
        <v>Jun</v>
      </c>
      <c r="S447" s="71">
        <f t="shared" si="70"/>
        <v>45091</v>
      </c>
      <c r="T447" s="72">
        <f ca="1">Tabla1[[#This Row],[EMISION]]+Tabla1[[#This Row],[PLAZO]]-TODAY()</f>
        <v>-278</v>
      </c>
      <c r="U447" s="80">
        <f t="shared" ca="1" si="71"/>
        <v>0</v>
      </c>
      <c r="V447" s="72"/>
      <c r="W447" s="73" t="s">
        <v>14307</v>
      </c>
      <c r="X447" s="65">
        <v>20</v>
      </c>
      <c r="Y447" s="65"/>
      <c r="Z447" s="65"/>
      <c r="AA447" s="65"/>
      <c r="AB447" s="65"/>
      <c r="AC447" s="65"/>
      <c r="AD447" s="65"/>
      <c r="AE447" s="65"/>
      <c r="AF447" s="68"/>
      <c r="AG447" s="66">
        <v>45092</v>
      </c>
      <c r="AH447" s="67" t="s">
        <v>14308</v>
      </c>
      <c r="AI447" s="65" t="s">
        <v>3060</v>
      </c>
      <c r="AJ447" s="65"/>
      <c r="AK447" s="97">
        <f t="shared" ca="1" si="55"/>
        <v>278</v>
      </c>
      <c r="AL447">
        <f>IFERROR(VLOOKUP(A447,'DATA CLIENTES'!B4744:I8284,6,FALSE),0)</f>
        <v>0</v>
      </c>
    </row>
    <row r="448" spans="1:38" x14ac:dyDescent="0.25">
      <c r="A448" s="93" t="s">
        <v>6039</v>
      </c>
      <c r="B448" s="68" t="s">
        <v>6040</v>
      </c>
      <c r="C448" s="65"/>
      <c r="D448" s="65"/>
      <c r="E448" s="65"/>
      <c r="F448" s="69" t="s">
        <v>14571</v>
      </c>
      <c r="G448" s="70"/>
      <c r="H448" s="65" t="s">
        <v>14743</v>
      </c>
      <c r="I448" s="75">
        <v>1835</v>
      </c>
      <c r="J448" s="75">
        <v>1835</v>
      </c>
      <c r="K448" s="75"/>
      <c r="L448" s="75"/>
      <c r="M448" s="75"/>
      <c r="N448" s="75">
        <f>Tabla1[[#This Row],[IMPORTE APROBADO]]-Tabla1[[#This Row],[AMORTIZACION2]]</f>
        <v>0</v>
      </c>
      <c r="O448" s="65" t="str">
        <f>TEXT(Tabla1[[#This Row],[EMISION]],"mmm")</f>
        <v>May</v>
      </c>
      <c r="P448" s="65" t="str">
        <f>TEXT(Tabla1[[#This Row],[EMISION]],"YYYY")</f>
        <v>2023</v>
      </c>
      <c r="Q448" s="71">
        <v>45071</v>
      </c>
      <c r="R448" s="65" t="str">
        <f>TEXT(Tabla1[[#This Row],[VENCIMIENTO]],"mmm")</f>
        <v>Jun</v>
      </c>
      <c r="S448" s="71">
        <f t="shared" si="70"/>
        <v>45091</v>
      </c>
      <c r="T448" s="72">
        <f ca="1">Tabla1[[#This Row],[EMISION]]+Tabla1[[#This Row],[PLAZO]]-TODAY()</f>
        <v>-278</v>
      </c>
      <c r="U448" s="80">
        <f t="shared" ca="1" si="71"/>
        <v>0</v>
      </c>
      <c r="V448" s="72"/>
      <c r="W448" s="73" t="s">
        <v>14307</v>
      </c>
      <c r="X448" s="65">
        <v>20</v>
      </c>
      <c r="Y448" s="65"/>
      <c r="Z448" s="65"/>
      <c r="AA448" s="65"/>
      <c r="AB448" s="65"/>
      <c r="AC448" s="65"/>
      <c r="AD448" s="65"/>
      <c r="AE448" s="65"/>
      <c r="AF448" s="68"/>
      <c r="AG448" s="66">
        <v>45093</v>
      </c>
      <c r="AH448" s="67" t="s">
        <v>14308</v>
      </c>
      <c r="AI448" s="65" t="s">
        <v>3060</v>
      </c>
      <c r="AJ448" s="65"/>
      <c r="AK448" s="97">
        <f t="shared" ca="1" si="55"/>
        <v>278</v>
      </c>
      <c r="AL448">
        <f>IFERROR(VLOOKUP(A448,'DATA CLIENTES'!B4745:I8284,6,FALSE),0)</f>
        <v>0</v>
      </c>
    </row>
    <row r="449" spans="1:38" x14ac:dyDescent="0.25">
      <c r="A449" s="93" t="s">
        <v>9309</v>
      </c>
      <c r="B449" s="68" t="s">
        <v>9310</v>
      </c>
      <c r="C449" s="65"/>
      <c r="D449" s="65"/>
      <c r="E449" s="65"/>
      <c r="F449" s="69" t="s">
        <v>14725</v>
      </c>
      <c r="G449" s="70"/>
      <c r="H449" s="65" t="s">
        <v>14744</v>
      </c>
      <c r="I449" s="75">
        <v>-10997.6384</v>
      </c>
      <c r="J449" s="75"/>
      <c r="K449" s="75"/>
      <c r="L449" s="75"/>
      <c r="M449" s="75"/>
      <c r="N449" s="75">
        <f>Tabla1[[#This Row],[IMPORTE APROBADO]]-Tabla1[[#This Row],[AMORTIZACION2]]</f>
        <v>-10997.6384</v>
      </c>
      <c r="O449" s="65" t="str">
        <f>TEXT(Tabla1[[#This Row],[EMISION]],"mmm")</f>
        <v>May</v>
      </c>
      <c r="P449" s="65" t="str">
        <f>TEXT(Tabla1[[#This Row],[EMISION]],"YYYY")</f>
        <v>2023</v>
      </c>
      <c r="Q449" s="71">
        <v>45071</v>
      </c>
      <c r="R449" s="65" t="str">
        <f>TEXT(Tabla1[[#This Row],[VENCIMIENTO]],"mmm")</f>
        <v>Jun</v>
      </c>
      <c r="S449" s="71">
        <f t="shared" si="70"/>
        <v>45106</v>
      </c>
      <c r="T449" s="72">
        <f ca="1">Tabla1[[#This Row],[EMISION]]+Tabla1[[#This Row],[PLAZO]]-TODAY()</f>
        <v>-263</v>
      </c>
      <c r="U449" s="80">
        <f t="shared" ca="1" si="71"/>
        <v>0</v>
      </c>
      <c r="V449" s="72"/>
      <c r="W449" s="73" t="s">
        <v>14307</v>
      </c>
      <c r="X449" s="65">
        <v>35</v>
      </c>
      <c r="Y449" s="65"/>
      <c r="Z449" s="65"/>
      <c r="AA449" s="65"/>
      <c r="AB449" s="65"/>
      <c r="AC449" s="65"/>
      <c r="AD449" s="65"/>
      <c r="AE449" s="65"/>
      <c r="AF449" s="68"/>
      <c r="AG449" s="66">
        <v>45071</v>
      </c>
      <c r="AH449" s="67" t="s">
        <v>14308</v>
      </c>
      <c r="AI449" s="65" t="s">
        <v>3060</v>
      </c>
      <c r="AJ449" s="65"/>
      <c r="AK449" s="97">
        <f t="shared" ca="1" si="55"/>
        <v>263</v>
      </c>
      <c r="AL449">
        <f>IFERROR(VLOOKUP(A449,'DATA CLIENTES'!B4746:I8284,6,FALSE),0)</f>
        <v>0</v>
      </c>
    </row>
    <row r="450" spans="1:38" x14ac:dyDescent="0.25">
      <c r="A450" s="93" t="s">
        <v>9309</v>
      </c>
      <c r="B450" s="68" t="s">
        <v>9310</v>
      </c>
      <c r="C450" s="65"/>
      <c r="D450" s="65"/>
      <c r="E450" s="65"/>
      <c r="F450" s="69" t="s">
        <v>14725</v>
      </c>
      <c r="G450" s="70"/>
      <c r="H450" s="65" t="s">
        <v>14745</v>
      </c>
      <c r="I450" s="75">
        <v>10997.64</v>
      </c>
      <c r="J450" s="75">
        <f>706.14+2500+1000+500+500+500+500+1500+500+500+500+300+1000+491.5</f>
        <v>10997.64</v>
      </c>
      <c r="K450" s="75"/>
      <c r="L450" s="75"/>
      <c r="M450" s="75"/>
      <c r="N450" s="75">
        <f>Tabla1[[#This Row],[IMPORTE APROBADO]]-Tabla1[[#This Row],[AMORTIZACION2]]</f>
        <v>0</v>
      </c>
      <c r="O450" s="65" t="str">
        <f>TEXT(Tabla1[[#This Row],[EMISION]],"mmm")</f>
        <v>May</v>
      </c>
      <c r="P450" s="65" t="str">
        <f>TEXT(Tabla1[[#This Row],[EMISION]],"YYYY")</f>
        <v>2023</v>
      </c>
      <c r="Q450" s="71">
        <v>45071</v>
      </c>
      <c r="R450" s="65" t="str">
        <f>TEXT(Tabla1[[#This Row],[VENCIMIENTO]],"mmm")</f>
        <v>Jun</v>
      </c>
      <c r="S450" s="71">
        <f t="shared" si="70"/>
        <v>45089</v>
      </c>
      <c r="T450" s="72">
        <f ca="1">Tabla1[[#This Row],[EMISION]]+Tabla1[[#This Row],[PLAZO]]-TODAY()</f>
        <v>-280</v>
      </c>
      <c r="U450" s="80">
        <f t="shared" ca="1" si="71"/>
        <v>0</v>
      </c>
      <c r="V450" s="72"/>
      <c r="W450" s="73" t="s">
        <v>14307</v>
      </c>
      <c r="X450" s="65">
        <v>18</v>
      </c>
      <c r="Y450" s="65"/>
      <c r="Z450" s="65"/>
      <c r="AA450" s="65"/>
      <c r="AB450" s="65"/>
      <c r="AC450" s="65"/>
      <c r="AD450" s="65"/>
      <c r="AE450" s="65"/>
      <c r="AF450" s="68"/>
      <c r="AG450" s="66">
        <v>45273</v>
      </c>
      <c r="AH450" s="67" t="s">
        <v>14308</v>
      </c>
      <c r="AI450" s="65" t="s">
        <v>3060</v>
      </c>
      <c r="AJ450" s="65"/>
      <c r="AK450" s="97">
        <f t="shared" ca="1" si="55"/>
        <v>280</v>
      </c>
      <c r="AL450">
        <f>IFERROR(VLOOKUP(A450,'DATA CLIENTES'!B4747:I8284,6,FALSE),0)</f>
        <v>0</v>
      </c>
    </row>
    <row r="451" spans="1:38" x14ac:dyDescent="0.25">
      <c r="A451" s="93" t="s">
        <v>9248</v>
      </c>
      <c r="B451" s="68" t="s">
        <v>14430</v>
      </c>
      <c r="C451" s="65"/>
      <c r="D451" s="65"/>
      <c r="E451" s="65"/>
      <c r="F451" s="69" t="s">
        <v>14571</v>
      </c>
      <c r="G451" s="70"/>
      <c r="H451" s="65" t="s">
        <v>14746</v>
      </c>
      <c r="I451" s="75">
        <v>672</v>
      </c>
      <c r="J451" s="75">
        <v>672</v>
      </c>
      <c r="K451" s="75"/>
      <c r="L451" s="75"/>
      <c r="M451" s="75"/>
      <c r="N451" s="75">
        <f>Tabla1[[#This Row],[IMPORTE APROBADO]]-Tabla1[[#This Row],[AMORTIZACION2]]</f>
        <v>0</v>
      </c>
      <c r="O451" s="65" t="str">
        <f>TEXT(Tabla1[[#This Row],[EMISION]],"mmm")</f>
        <v>May</v>
      </c>
      <c r="P451" s="65" t="str">
        <f>TEXT(Tabla1[[#This Row],[EMISION]],"YYYY")</f>
        <v>2023</v>
      </c>
      <c r="Q451" s="71">
        <v>45071</v>
      </c>
      <c r="R451" s="65" t="str">
        <f>TEXT(Tabla1[[#This Row],[VENCIMIENTO]],"mmm")</f>
        <v>Jun</v>
      </c>
      <c r="S451" s="71">
        <f t="shared" si="70"/>
        <v>45086</v>
      </c>
      <c r="T451" s="72">
        <f ca="1">Tabla1[[#This Row],[EMISION]]+Tabla1[[#This Row],[PLAZO]]-TODAY()</f>
        <v>-283</v>
      </c>
      <c r="U451" s="80">
        <f t="shared" ca="1" si="71"/>
        <v>0</v>
      </c>
      <c r="V451" s="72"/>
      <c r="W451" s="73" t="s">
        <v>14307</v>
      </c>
      <c r="X451" s="65">
        <v>15</v>
      </c>
      <c r="Y451" s="65"/>
      <c r="Z451" s="65"/>
      <c r="AA451" s="65"/>
      <c r="AB451" s="65"/>
      <c r="AC451" s="65"/>
      <c r="AD451" s="65"/>
      <c r="AE451" s="65"/>
      <c r="AF451" s="68"/>
      <c r="AG451" s="66">
        <v>45108</v>
      </c>
      <c r="AH451" s="67" t="s">
        <v>14308</v>
      </c>
      <c r="AI451" s="65" t="s">
        <v>3060</v>
      </c>
      <c r="AJ451" s="65"/>
      <c r="AK451" s="97">
        <f t="shared" ca="1" si="55"/>
        <v>283</v>
      </c>
      <c r="AL451">
        <f>IFERROR(VLOOKUP(A451,'DATA CLIENTES'!B4748:I8284,6,FALSE),0)</f>
        <v>0</v>
      </c>
    </row>
    <row r="452" spans="1:38" x14ac:dyDescent="0.25">
      <c r="A452" s="93" t="s">
        <v>9248</v>
      </c>
      <c r="B452" s="68" t="s">
        <v>14430</v>
      </c>
      <c r="C452" s="65"/>
      <c r="D452" s="65"/>
      <c r="E452" s="65"/>
      <c r="F452" s="69" t="s">
        <v>14571</v>
      </c>
      <c r="G452" s="70"/>
      <c r="H452" s="65" t="s">
        <v>14747</v>
      </c>
      <c r="I452" s="75">
        <v>3855</v>
      </c>
      <c r="J452" s="75">
        <v>3855</v>
      </c>
      <c r="K452" s="75"/>
      <c r="L452" s="75"/>
      <c r="M452" s="75"/>
      <c r="N452" s="75">
        <f>Tabla1[[#This Row],[IMPORTE APROBADO]]-Tabla1[[#This Row],[AMORTIZACION2]]</f>
        <v>0</v>
      </c>
      <c r="O452" s="65" t="str">
        <f>TEXT(Tabla1[[#This Row],[EMISION]],"mmm")</f>
        <v>May</v>
      </c>
      <c r="P452" s="65" t="str">
        <f>TEXT(Tabla1[[#This Row],[EMISION]],"YYYY")</f>
        <v>2023</v>
      </c>
      <c r="Q452" s="71">
        <v>45071</v>
      </c>
      <c r="R452" s="65" t="str">
        <f>TEXT(Tabla1[[#This Row],[VENCIMIENTO]],"mmm")</f>
        <v>Jun</v>
      </c>
      <c r="S452" s="71">
        <f t="shared" si="70"/>
        <v>45086</v>
      </c>
      <c r="T452" s="72">
        <f ca="1">Tabla1[[#This Row],[EMISION]]+Tabla1[[#This Row],[PLAZO]]-TODAY()</f>
        <v>-283</v>
      </c>
      <c r="U452" s="80">
        <f t="shared" ca="1" si="71"/>
        <v>0</v>
      </c>
      <c r="V452" s="72"/>
      <c r="W452" s="73" t="s">
        <v>14307</v>
      </c>
      <c r="X452" s="65">
        <v>15</v>
      </c>
      <c r="Y452" s="65"/>
      <c r="Z452" s="65"/>
      <c r="AA452" s="65"/>
      <c r="AB452" s="65"/>
      <c r="AC452" s="65"/>
      <c r="AD452" s="65"/>
      <c r="AE452" s="65"/>
      <c r="AF452" s="68"/>
      <c r="AG452" s="66">
        <v>45108</v>
      </c>
      <c r="AH452" s="67" t="s">
        <v>14308</v>
      </c>
      <c r="AI452" s="65" t="s">
        <v>3060</v>
      </c>
      <c r="AJ452" s="65"/>
      <c r="AK452" s="97">
        <f t="shared" ca="1" si="55"/>
        <v>283</v>
      </c>
      <c r="AL452">
        <f>IFERROR(VLOOKUP(A452,'DATA CLIENTES'!B4749:I8284,6,FALSE),0)</f>
        <v>0</v>
      </c>
    </row>
    <row r="453" spans="1:38" x14ac:dyDescent="0.25">
      <c r="A453" s="93" t="s">
        <v>9824</v>
      </c>
      <c r="B453" s="68" t="s">
        <v>14331</v>
      </c>
      <c r="C453" s="65"/>
      <c r="D453" s="65"/>
      <c r="E453" s="65"/>
      <c r="F453" s="69" t="s">
        <v>14559</v>
      </c>
      <c r="G453" s="70"/>
      <c r="H453" s="65" t="s">
        <v>14748</v>
      </c>
      <c r="I453" s="75">
        <v>12648.16065</v>
      </c>
      <c r="J453" s="75">
        <f>3000+1000+1000+900+800+1000+1000+1000+1000+812.9+900+235.26</f>
        <v>12648.16</v>
      </c>
      <c r="K453" s="75"/>
      <c r="L453" s="75"/>
      <c r="M453" s="75"/>
      <c r="N453" s="75">
        <f>Tabla1[[#This Row],[IMPORTE APROBADO]]-Tabla1[[#This Row],[AMORTIZACION2]]</f>
        <v>6.4999999995052349E-4</v>
      </c>
      <c r="O453" s="65" t="str">
        <f>TEXT(Tabla1[[#This Row],[EMISION]],"mmm")</f>
        <v>May</v>
      </c>
      <c r="P453" s="65" t="str">
        <f>TEXT(Tabla1[[#This Row],[EMISION]],"YYYY")</f>
        <v>2023</v>
      </c>
      <c r="Q453" s="71">
        <v>45071</v>
      </c>
      <c r="R453" s="65" t="str">
        <f>TEXT(Tabla1[[#This Row],[VENCIMIENTO]],"mmm")</f>
        <v>Jun</v>
      </c>
      <c r="S453" s="71">
        <f t="shared" si="70"/>
        <v>45101</v>
      </c>
      <c r="T453" s="72">
        <f ca="1">Tabla1[[#This Row],[EMISION]]+Tabla1[[#This Row],[PLAZO]]-TODAY()</f>
        <v>-268</v>
      </c>
      <c r="U453" s="80">
        <f t="shared" ca="1" si="71"/>
        <v>0</v>
      </c>
      <c r="V453" s="72"/>
      <c r="W453" s="73" t="s">
        <v>14307</v>
      </c>
      <c r="X453" s="65">
        <v>30</v>
      </c>
      <c r="Y453" s="65"/>
      <c r="Z453" s="65"/>
      <c r="AA453" s="65"/>
      <c r="AB453" s="65"/>
      <c r="AC453" s="65"/>
      <c r="AD453" s="65"/>
      <c r="AE453" s="65"/>
      <c r="AF453" s="68"/>
      <c r="AG453" s="66">
        <v>45134</v>
      </c>
      <c r="AH453" s="67" t="s">
        <v>14308</v>
      </c>
      <c r="AI453" s="65" t="s">
        <v>3060</v>
      </c>
      <c r="AJ453" s="65"/>
      <c r="AK453" s="97">
        <f t="shared" ca="1" si="55"/>
        <v>268</v>
      </c>
      <c r="AL453">
        <f>IFERROR(VLOOKUP(A453,'DATA CLIENTES'!B4750:I8284,6,FALSE),0)</f>
        <v>0</v>
      </c>
    </row>
    <row r="454" spans="1:38" x14ac:dyDescent="0.25">
      <c r="A454" s="93" t="s">
        <v>9824</v>
      </c>
      <c r="B454" s="68" t="s">
        <v>14331</v>
      </c>
      <c r="C454" s="65"/>
      <c r="D454" s="65"/>
      <c r="E454" s="65"/>
      <c r="F454" s="69" t="s">
        <v>14725</v>
      </c>
      <c r="G454" s="70"/>
      <c r="H454" s="65" t="s">
        <v>14749</v>
      </c>
      <c r="I454" s="75">
        <v>10512.917873</v>
      </c>
      <c r="J454" s="75">
        <f>564.74+1000+1000+800+800+700+1000+800+800+1000+700+1348.18</f>
        <v>10512.92</v>
      </c>
      <c r="K454" s="75"/>
      <c r="L454" s="75"/>
      <c r="M454" s="75"/>
      <c r="N454" s="75">
        <f>Tabla1[[#This Row],[IMPORTE APROBADO]]-Tabla1[[#This Row],[AMORTIZACION2]]</f>
        <v>-2.1269999997457489E-3</v>
      </c>
      <c r="O454" s="65" t="str">
        <f>TEXT(Tabla1[[#This Row],[EMISION]],"mmm")</f>
        <v>May</v>
      </c>
      <c r="P454" s="65" t="str">
        <f>TEXT(Tabla1[[#This Row],[EMISION]],"YYYY")</f>
        <v>2023</v>
      </c>
      <c r="Q454" s="71">
        <v>45071</v>
      </c>
      <c r="R454" s="65" t="str">
        <f>TEXT(Tabla1[[#This Row],[VENCIMIENTO]],"mmm")</f>
        <v>Jun</v>
      </c>
      <c r="S454" s="71">
        <f t="shared" si="70"/>
        <v>45101</v>
      </c>
      <c r="T454" s="72">
        <f ca="1">Tabla1[[#This Row],[EMISION]]+Tabla1[[#This Row],[PLAZO]]-TODAY()</f>
        <v>-268</v>
      </c>
      <c r="U454" s="80">
        <f t="shared" ca="1" si="71"/>
        <v>0</v>
      </c>
      <c r="V454" s="72"/>
      <c r="W454" s="73" t="s">
        <v>14307</v>
      </c>
      <c r="X454" s="65">
        <v>30</v>
      </c>
      <c r="Y454" s="65"/>
      <c r="Z454" s="65"/>
      <c r="AA454" s="65"/>
      <c r="AB454" s="65"/>
      <c r="AC454" s="65"/>
      <c r="AD454" s="65"/>
      <c r="AE454" s="65"/>
      <c r="AF454" s="68"/>
      <c r="AG454" s="66">
        <v>45150</v>
      </c>
      <c r="AH454" s="67" t="s">
        <v>14308</v>
      </c>
      <c r="AI454" s="65" t="s">
        <v>3060</v>
      </c>
      <c r="AJ454" s="65"/>
      <c r="AK454" s="97">
        <f t="shared" ca="1" si="55"/>
        <v>268</v>
      </c>
      <c r="AL454">
        <f>IFERROR(VLOOKUP(A454,'DATA CLIENTES'!B4751:I8284,6,FALSE),0)</f>
        <v>0</v>
      </c>
    </row>
    <row r="455" spans="1:38" x14ac:dyDescent="0.25">
      <c r="A455" s="93" t="s">
        <v>9263</v>
      </c>
      <c r="B455" s="68" t="s">
        <v>9264</v>
      </c>
      <c r="C455" s="65"/>
      <c r="D455" s="65"/>
      <c r="E455" s="65"/>
      <c r="F455" s="69" t="s">
        <v>14571</v>
      </c>
      <c r="G455" s="70"/>
      <c r="H455" s="65" t="s">
        <v>14750</v>
      </c>
      <c r="I455" s="75">
        <v>372</v>
      </c>
      <c r="J455" s="75">
        <v>372</v>
      </c>
      <c r="K455" s="75"/>
      <c r="L455" s="75"/>
      <c r="M455" s="75"/>
      <c r="N455" s="75">
        <f>Tabla1[[#This Row],[IMPORTE APROBADO]]-Tabla1[[#This Row],[AMORTIZACION2]]</f>
        <v>0</v>
      </c>
      <c r="O455" s="65" t="str">
        <f>TEXT(Tabla1[[#This Row],[EMISION]],"mmm")</f>
        <v>May</v>
      </c>
      <c r="P455" s="65" t="str">
        <f>TEXT(Tabla1[[#This Row],[EMISION]],"YYYY")</f>
        <v>2023</v>
      </c>
      <c r="Q455" s="71">
        <v>45071</v>
      </c>
      <c r="R455" s="65" t="str">
        <f>TEXT(Tabla1[[#This Row],[VENCIMIENTO]],"mmm")</f>
        <v>Jun</v>
      </c>
      <c r="S455" s="71">
        <f t="shared" si="70"/>
        <v>45086</v>
      </c>
      <c r="T455" s="72">
        <f ca="1">Tabla1[[#This Row],[EMISION]]+Tabla1[[#This Row],[PLAZO]]-TODAY()</f>
        <v>-283</v>
      </c>
      <c r="U455" s="80">
        <f t="shared" ca="1" si="71"/>
        <v>0</v>
      </c>
      <c r="V455" s="72"/>
      <c r="W455" s="73" t="s">
        <v>14307</v>
      </c>
      <c r="X455" s="65">
        <v>15</v>
      </c>
      <c r="Y455" s="65"/>
      <c r="Z455" s="65"/>
      <c r="AA455" s="65"/>
      <c r="AB455" s="65"/>
      <c r="AC455" s="65"/>
      <c r="AD455" s="65"/>
      <c r="AE455" s="65"/>
      <c r="AF455" s="68"/>
      <c r="AG455" s="66">
        <v>45110</v>
      </c>
      <c r="AH455" s="67" t="s">
        <v>14308</v>
      </c>
      <c r="AI455" s="65" t="s">
        <v>3060</v>
      </c>
      <c r="AJ455" s="65"/>
      <c r="AK455" s="97">
        <f t="shared" ca="1" si="55"/>
        <v>283</v>
      </c>
      <c r="AL455">
        <f>IFERROR(VLOOKUP(A455,'DATA CLIENTES'!B4752:I8284,6,FALSE),0)</f>
        <v>0</v>
      </c>
    </row>
    <row r="456" spans="1:38" x14ac:dyDescent="0.25">
      <c r="A456" s="93" t="s">
        <v>9263</v>
      </c>
      <c r="B456" s="68" t="s">
        <v>9264</v>
      </c>
      <c r="C456" s="65"/>
      <c r="D456" s="65"/>
      <c r="E456" s="65"/>
      <c r="F456" s="69" t="s">
        <v>14571</v>
      </c>
      <c r="G456" s="70"/>
      <c r="H456" s="65" t="s">
        <v>14751</v>
      </c>
      <c r="I456" s="75">
        <v>6100</v>
      </c>
      <c r="J456" s="75">
        <v>6100</v>
      </c>
      <c r="K456" s="75"/>
      <c r="L456" s="75"/>
      <c r="M456" s="75"/>
      <c r="N456" s="75">
        <f>Tabla1[[#This Row],[IMPORTE APROBADO]]-Tabla1[[#This Row],[AMORTIZACION2]]</f>
        <v>0</v>
      </c>
      <c r="O456" s="65" t="str">
        <f>TEXT(Tabla1[[#This Row],[EMISION]],"mmm")</f>
        <v>May</v>
      </c>
      <c r="P456" s="65" t="str">
        <f>TEXT(Tabla1[[#This Row],[EMISION]],"YYYY")</f>
        <v>2023</v>
      </c>
      <c r="Q456" s="71">
        <v>45071</v>
      </c>
      <c r="R456" s="65" t="str">
        <f>TEXT(Tabla1[[#This Row],[VENCIMIENTO]],"mmm")</f>
        <v>Jun</v>
      </c>
      <c r="S456" s="71">
        <f t="shared" si="70"/>
        <v>45086</v>
      </c>
      <c r="T456" s="72">
        <f ca="1">Tabla1[[#This Row],[EMISION]]+Tabla1[[#This Row],[PLAZO]]-TODAY()</f>
        <v>-283</v>
      </c>
      <c r="U456" s="80">
        <f t="shared" ca="1" si="71"/>
        <v>0</v>
      </c>
      <c r="V456" s="72"/>
      <c r="W456" s="73" t="s">
        <v>14307</v>
      </c>
      <c r="X456" s="65">
        <v>15</v>
      </c>
      <c r="Y456" s="65"/>
      <c r="Z456" s="65"/>
      <c r="AA456" s="65"/>
      <c r="AB456" s="65"/>
      <c r="AC456" s="65"/>
      <c r="AD456" s="65"/>
      <c r="AE456" s="65"/>
      <c r="AF456" s="68"/>
      <c r="AG456" s="66">
        <v>45110</v>
      </c>
      <c r="AH456" s="67" t="s">
        <v>14308</v>
      </c>
      <c r="AI456" s="65" t="s">
        <v>3060</v>
      </c>
      <c r="AJ456" s="65"/>
      <c r="AK456" s="97">
        <f t="shared" ca="1" si="55"/>
        <v>283</v>
      </c>
      <c r="AL456">
        <f>IFERROR(VLOOKUP(A456,'DATA CLIENTES'!B4753:I8284,6,FALSE),0)</f>
        <v>0</v>
      </c>
    </row>
    <row r="457" spans="1:38" x14ac:dyDescent="0.25">
      <c r="A457" s="93" t="s">
        <v>7967</v>
      </c>
      <c r="B457" s="68" t="s">
        <v>7968</v>
      </c>
      <c r="C457" s="65"/>
      <c r="D457" s="65"/>
      <c r="E457" s="65"/>
      <c r="F457" s="69" t="s">
        <v>14643</v>
      </c>
      <c r="G457" s="70"/>
      <c r="H457" s="65" t="s">
        <v>14752</v>
      </c>
      <c r="I457" s="75">
        <v>23680</v>
      </c>
      <c r="J457" s="75">
        <v>23680</v>
      </c>
      <c r="K457" s="75"/>
      <c r="L457" s="75"/>
      <c r="M457" s="75"/>
      <c r="N457" s="75">
        <f>Tabla1[[#This Row],[IMPORTE APROBADO]]-Tabla1[[#This Row],[AMORTIZACION2]]</f>
        <v>0</v>
      </c>
      <c r="O457" s="65" t="str">
        <f>TEXT(Tabla1[[#This Row],[EMISION]],"mmm")</f>
        <v>May</v>
      </c>
      <c r="P457" s="65" t="str">
        <f>TEXT(Tabla1[[#This Row],[EMISION]],"YYYY")</f>
        <v>2023</v>
      </c>
      <c r="Q457" s="71">
        <v>45071</v>
      </c>
      <c r="R457" s="65" t="str">
        <f>TEXT(Tabla1[[#This Row],[VENCIMIENTO]],"mmm")</f>
        <v>Jun</v>
      </c>
      <c r="S457" s="71">
        <f t="shared" si="70"/>
        <v>45078</v>
      </c>
      <c r="T457" s="72">
        <f ca="1">Tabla1[[#This Row],[EMISION]]+Tabla1[[#This Row],[PLAZO]]-TODAY()</f>
        <v>-291</v>
      </c>
      <c r="U457" s="80">
        <f t="shared" ca="1" si="71"/>
        <v>0</v>
      </c>
      <c r="V457" s="72" t="s">
        <v>14658</v>
      </c>
      <c r="W457" s="73" t="s">
        <v>14307</v>
      </c>
      <c r="X457" s="65">
        <v>7</v>
      </c>
      <c r="Y457" s="65"/>
      <c r="Z457" s="65"/>
      <c r="AA457" s="65"/>
      <c r="AB457" s="65"/>
      <c r="AC457" s="65"/>
      <c r="AD457" s="65"/>
      <c r="AE457" s="65"/>
      <c r="AF457" s="68"/>
      <c r="AG457" s="66">
        <v>45072</v>
      </c>
      <c r="AH457" s="67" t="s">
        <v>14308</v>
      </c>
      <c r="AI457" s="65" t="s">
        <v>3060</v>
      </c>
      <c r="AJ457" s="65"/>
      <c r="AK457" s="97">
        <f t="shared" ca="1" si="55"/>
        <v>291</v>
      </c>
      <c r="AL457">
        <f>IFERROR(VLOOKUP(A457,'DATA CLIENTES'!B4754:I8284,6,FALSE),0)</f>
        <v>0</v>
      </c>
    </row>
    <row r="458" spans="1:38" x14ac:dyDescent="0.25">
      <c r="A458" s="93" t="s">
        <v>14836</v>
      </c>
      <c r="B458" s="68" t="s">
        <v>14753</v>
      </c>
      <c r="C458" s="65"/>
      <c r="D458" s="65"/>
      <c r="E458" s="65"/>
      <c r="F458" s="69" t="s">
        <v>14643</v>
      </c>
      <c r="G458" s="70"/>
      <c r="H458" s="65" t="s">
        <v>14754</v>
      </c>
      <c r="I458" s="75">
        <v>15998</v>
      </c>
      <c r="J458" s="75">
        <v>15998</v>
      </c>
      <c r="K458" s="75"/>
      <c r="L458" s="75"/>
      <c r="M458" s="75"/>
      <c r="N458" s="75">
        <f>Tabla1[[#This Row],[IMPORTE APROBADO]]-Tabla1[[#This Row],[AMORTIZACION2]]</f>
        <v>0</v>
      </c>
      <c r="O458" s="65" t="str">
        <f>TEXT(Tabla1[[#This Row],[EMISION]],"mmm")</f>
        <v>May</v>
      </c>
      <c r="P458" s="65" t="str">
        <f>TEXT(Tabla1[[#This Row],[EMISION]],"YYYY")</f>
        <v>2023</v>
      </c>
      <c r="Q458" s="71">
        <v>45071</v>
      </c>
      <c r="R458" s="65" t="str">
        <f>TEXT(Tabla1[[#This Row],[VENCIMIENTO]],"mmm")</f>
        <v>Jun</v>
      </c>
      <c r="S458" s="71">
        <f t="shared" si="70"/>
        <v>45078</v>
      </c>
      <c r="T458" s="72">
        <f ca="1">Tabla1[[#This Row],[EMISION]]+Tabla1[[#This Row],[PLAZO]]-TODAY()</f>
        <v>-291</v>
      </c>
      <c r="U458" s="80">
        <f t="shared" ca="1" si="71"/>
        <v>0</v>
      </c>
      <c r="V458" s="72"/>
      <c r="W458" s="73" t="s">
        <v>14307</v>
      </c>
      <c r="X458" s="65">
        <v>7</v>
      </c>
      <c r="Y458" s="65"/>
      <c r="Z458" s="65"/>
      <c r="AA458" s="65"/>
      <c r="AB458" s="65"/>
      <c r="AC458" s="65"/>
      <c r="AD458" s="65"/>
      <c r="AE458" s="65"/>
      <c r="AF458" s="68"/>
      <c r="AG458" s="66">
        <v>45075</v>
      </c>
      <c r="AH458" s="67" t="s">
        <v>14308</v>
      </c>
      <c r="AI458" s="65" t="s">
        <v>3060</v>
      </c>
      <c r="AJ458" s="65"/>
      <c r="AK458" s="97">
        <f t="shared" ca="1" si="55"/>
        <v>291</v>
      </c>
      <c r="AL458">
        <f>IFERROR(VLOOKUP(A458,'DATA CLIENTES'!B4755:I8284,6,FALSE),0)</f>
        <v>0</v>
      </c>
    </row>
    <row r="459" spans="1:38" x14ac:dyDescent="0.25">
      <c r="A459" s="93" t="s">
        <v>10210</v>
      </c>
      <c r="B459" s="68" t="s">
        <v>14755</v>
      </c>
      <c r="C459" s="65"/>
      <c r="D459" s="65"/>
      <c r="E459" s="65"/>
      <c r="F459" s="69" t="s">
        <v>14559</v>
      </c>
      <c r="G459" s="70"/>
      <c r="H459" s="65" t="s">
        <v>14756</v>
      </c>
      <c r="I459" s="75">
        <v>10150</v>
      </c>
      <c r="J459" s="75">
        <f>5150+5000</f>
        <v>10150</v>
      </c>
      <c r="K459" s="75"/>
      <c r="L459" s="75"/>
      <c r="M459" s="75"/>
      <c r="N459" s="75">
        <f>Tabla1[[#This Row],[IMPORTE APROBADO]]-Tabla1[[#This Row],[AMORTIZACION2]]</f>
        <v>0</v>
      </c>
      <c r="O459" s="65" t="str">
        <f>TEXT(Tabla1[[#This Row],[EMISION]],"mmm")</f>
        <v>May</v>
      </c>
      <c r="P459" s="65" t="str">
        <f>TEXT(Tabla1[[#This Row],[EMISION]],"YYYY")</f>
        <v>2023</v>
      </c>
      <c r="Q459" s="71">
        <v>45075</v>
      </c>
      <c r="R459" s="65" t="str">
        <f>TEXT(Tabla1[[#This Row],[VENCIMIENTO]],"mmm")</f>
        <v>Jun</v>
      </c>
      <c r="S459" s="71">
        <f t="shared" ref="S459:S470" si="72">Q459+X459</f>
        <v>45100</v>
      </c>
      <c r="T459" s="72">
        <f ca="1">Tabla1[[#This Row],[EMISION]]+Tabla1[[#This Row],[PLAZO]]-TODAY()</f>
        <v>-269</v>
      </c>
      <c r="U459" s="80">
        <f t="shared" ref="U459:U470" ca="1" si="73">IF(T459&gt;=0,$U$4,IF(AND(T459&lt;=-1,T459&gt;=-30),$U$5,IF(AND(T459&lt;=-31,T459&gt;=-60),$U$6,IF(AND(T459&lt;=-61,T459&gt;=-90),$U$7,$U$8))))</f>
        <v>0</v>
      </c>
      <c r="V459" s="72"/>
      <c r="W459" s="73" t="s">
        <v>14307</v>
      </c>
      <c r="X459" s="65">
        <v>25</v>
      </c>
      <c r="Y459" s="65"/>
      <c r="Z459" s="65"/>
      <c r="AA459" s="65"/>
      <c r="AB459" s="65"/>
      <c r="AC459" s="65"/>
      <c r="AD459" s="65"/>
      <c r="AE459" s="65"/>
      <c r="AF459" s="68"/>
      <c r="AG459" s="66">
        <v>45103</v>
      </c>
      <c r="AH459" s="67" t="s">
        <v>14308</v>
      </c>
      <c r="AI459" s="65" t="s">
        <v>3060</v>
      </c>
      <c r="AJ459" s="65"/>
      <c r="AK459" s="97">
        <f t="shared" ca="1" si="55"/>
        <v>269</v>
      </c>
      <c r="AL459">
        <f>IFERROR(VLOOKUP(A459,'DATA CLIENTES'!B4756:I8284,6,FALSE),0)</f>
        <v>0</v>
      </c>
    </row>
    <row r="460" spans="1:38" x14ac:dyDescent="0.25">
      <c r="A460" s="93" t="s">
        <v>6999</v>
      </c>
      <c r="B460" s="68" t="s">
        <v>14310</v>
      </c>
      <c r="C460" s="65"/>
      <c r="D460" s="65"/>
      <c r="E460" s="65"/>
      <c r="F460" s="69" t="s">
        <v>7000</v>
      </c>
      <c r="G460" s="70"/>
      <c r="H460" s="65" t="s">
        <v>14757</v>
      </c>
      <c r="I460" s="75">
        <v>844.37</v>
      </c>
      <c r="J460" s="75"/>
      <c r="K460" s="75"/>
      <c r="L460" s="75"/>
      <c r="M460" s="75"/>
      <c r="N460" s="75">
        <f>Tabla1[[#This Row],[IMPORTE APROBADO]]-Tabla1[[#This Row],[AMORTIZACION2]]</f>
        <v>844.37</v>
      </c>
      <c r="O460" s="65" t="str">
        <f>TEXT(Tabla1[[#This Row],[EMISION]],"mmm")</f>
        <v>May</v>
      </c>
      <c r="P460" s="65" t="str">
        <f>TEXT(Tabla1[[#This Row],[EMISION]],"YYYY")</f>
        <v>2023</v>
      </c>
      <c r="Q460" s="71">
        <v>45076</v>
      </c>
      <c r="R460" s="65" t="str">
        <f>TEXT(Tabla1[[#This Row],[VENCIMIENTO]],"mmm")</f>
        <v>Jul</v>
      </c>
      <c r="S460" s="71">
        <f t="shared" si="72"/>
        <v>45121</v>
      </c>
      <c r="T460" s="72">
        <f ca="1">Tabla1[[#This Row],[EMISION]]+Tabla1[[#This Row],[PLAZO]]-TODAY()</f>
        <v>-248</v>
      </c>
      <c r="U460" s="80">
        <f t="shared" ca="1" si="73"/>
        <v>0</v>
      </c>
      <c r="V460" s="72"/>
      <c r="W460" s="73" t="s">
        <v>14307</v>
      </c>
      <c r="X460" s="65">
        <v>45</v>
      </c>
      <c r="Y460" s="65"/>
      <c r="Z460" s="65"/>
      <c r="AA460" s="65"/>
      <c r="AB460" s="65"/>
      <c r="AC460" s="65"/>
      <c r="AD460" s="65"/>
      <c r="AE460" s="65"/>
      <c r="AF460" s="68"/>
      <c r="AG460" s="66"/>
      <c r="AH460" s="67" t="s">
        <v>14313</v>
      </c>
      <c r="AI460" s="65" t="s">
        <v>3060</v>
      </c>
      <c r="AJ460" s="65"/>
      <c r="AK460" s="97">
        <f t="shared" ca="1" si="55"/>
        <v>248</v>
      </c>
      <c r="AL460">
        <f>IFERROR(VLOOKUP(A460,'DATA CLIENTES'!B4757:I8284,6,FALSE),0)</f>
        <v>0</v>
      </c>
    </row>
    <row r="461" spans="1:38" x14ac:dyDescent="0.25">
      <c r="A461" s="93" t="s">
        <v>10210</v>
      </c>
      <c r="B461" s="68" t="s">
        <v>14755</v>
      </c>
      <c r="C461" s="65"/>
      <c r="D461" s="65"/>
      <c r="E461" s="65"/>
      <c r="F461" s="69" t="s">
        <v>14725</v>
      </c>
      <c r="G461" s="70"/>
      <c r="H461" s="65" t="s">
        <v>14758</v>
      </c>
      <c r="I461" s="75">
        <v>5706.82</v>
      </c>
      <c r="J461" s="75">
        <f>5706.82</f>
        <v>5706.82</v>
      </c>
      <c r="K461" s="75"/>
      <c r="L461" s="75"/>
      <c r="M461" s="75"/>
      <c r="N461" s="75">
        <f>Tabla1[[#This Row],[IMPORTE APROBADO]]-Tabla1[[#This Row],[AMORTIZACION2]]</f>
        <v>0</v>
      </c>
      <c r="O461" s="65" t="str">
        <f>TEXT(Tabla1[[#This Row],[EMISION]],"mmm")</f>
        <v>May</v>
      </c>
      <c r="P461" s="65" t="str">
        <f>TEXT(Tabla1[[#This Row],[EMISION]],"YYYY")</f>
        <v>2023</v>
      </c>
      <c r="Q461" s="71">
        <v>45076</v>
      </c>
      <c r="R461" s="65" t="str">
        <f>TEXT(Tabla1[[#This Row],[VENCIMIENTO]],"mmm")</f>
        <v>Jun</v>
      </c>
      <c r="S461" s="71">
        <f t="shared" si="72"/>
        <v>45101</v>
      </c>
      <c r="T461" s="72">
        <f ca="1">Tabla1[[#This Row],[EMISION]]+Tabla1[[#This Row],[PLAZO]]-TODAY()</f>
        <v>-268</v>
      </c>
      <c r="U461" s="80">
        <f t="shared" ca="1" si="73"/>
        <v>0</v>
      </c>
      <c r="V461" s="72"/>
      <c r="W461" s="73" t="s">
        <v>14307</v>
      </c>
      <c r="X461" s="65">
        <v>25</v>
      </c>
      <c r="Y461" s="65"/>
      <c r="Z461" s="65"/>
      <c r="AA461" s="65"/>
      <c r="AB461" s="65"/>
      <c r="AC461" s="65"/>
      <c r="AD461" s="65"/>
      <c r="AE461" s="65"/>
      <c r="AF461" s="68"/>
      <c r="AG461" s="66">
        <v>45103</v>
      </c>
      <c r="AH461" s="67" t="s">
        <v>14308</v>
      </c>
      <c r="AI461" s="65" t="s">
        <v>3060</v>
      </c>
      <c r="AJ461" s="65"/>
      <c r="AK461" s="97">
        <f t="shared" ca="1" si="55"/>
        <v>268</v>
      </c>
      <c r="AL461">
        <f>IFERROR(VLOOKUP(A461,'DATA CLIENTES'!B4758:I8284,6,FALSE),0)</f>
        <v>0</v>
      </c>
    </row>
    <row r="462" spans="1:38" x14ac:dyDescent="0.25">
      <c r="A462" s="93" t="s">
        <v>14833</v>
      </c>
      <c r="B462" s="68" t="s">
        <v>4621</v>
      </c>
      <c r="C462" s="65"/>
      <c r="D462" s="65"/>
      <c r="E462" s="65"/>
      <c r="F462" s="69" t="s">
        <v>7000</v>
      </c>
      <c r="G462" s="70"/>
      <c r="H462" s="65" t="s">
        <v>14759</v>
      </c>
      <c r="I462" s="75">
        <v>283.8</v>
      </c>
      <c r="J462" s="75">
        <v>283.8</v>
      </c>
      <c r="K462" s="75"/>
      <c r="L462" s="75"/>
      <c r="M462" s="75"/>
      <c r="N462" s="75">
        <f>Tabla1[[#This Row],[IMPORTE APROBADO]]-Tabla1[[#This Row],[AMORTIZACION2]]</f>
        <v>0</v>
      </c>
      <c r="O462" s="65" t="str">
        <f>TEXT(Tabla1[[#This Row],[EMISION]],"mmm")</f>
        <v>May</v>
      </c>
      <c r="P462" s="65" t="str">
        <f>TEXT(Tabla1[[#This Row],[EMISION]],"YYYY")</f>
        <v>2023</v>
      </c>
      <c r="Q462" s="71">
        <v>45076</v>
      </c>
      <c r="R462" s="65" t="str">
        <f>TEXT(Tabla1[[#This Row],[VENCIMIENTO]],"mmm")</f>
        <v>Jul</v>
      </c>
      <c r="S462" s="71">
        <f t="shared" si="72"/>
        <v>45136</v>
      </c>
      <c r="T462" s="72">
        <f ca="1">Tabla1[[#This Row],[EMISION]]+Tabla1[[#This Row],[PLAZO]]-TODAY()</f>
        <v>-233</v>
      </c>
      <c r="U462" s="80">
        <f t="shared" ca="1" si="73"/>
        <v>0</v>
      </c>
      <c r="V462" s="72" t="s">
        <v>14477</v>
      </c>
      <c r="W462" s="73" t="s">
        <v>14307</v>
      </c>
      <c r="X462" s="65">
        <v>60</v>
      </c>
      <c r="Y462" s="65"/>
      <c r="Z462" s="65"/>
      <c r="AA462" s="65"/>
      <c r="AB462" s="65"/>
      <c r="AC462" s="65"/>
      <c r="AD462" s="65"/>
      <c r="AE462" s="65"/>
      <c r="AF462" s="68"/>
      <c r="AG462" s="66">
        <v>45141</v>
      </c>
      <c r="AH462" s="67" t="s">
        <v>14308</v>
      </c>
      <c r="AI462" s="65" t="s">
        <v>3060</v>
      </c>
      <c r="AJ462" s="65"/>
      <c r="AK462" s="97">
        <f t="shared" ref="AK462:AK525" ca="1" si="74">TODAY() - S462</f>
        <v>233</v>
      </c>
      <c r="AL462">
        <f>IFERROR(VLOOKUP(A462,'DATA CLIENTES'!B4759:I8284,6,FALSE),0)</f>
        <v>0</v>
      </c>
    </row>
    <row r="463" spans="1:38" x14ac:dyDescent="0.25">
      <c r="A463" s="93" t="s">
        <v>9345</v>
      </c>
      <c r="B463" s="68" t="s">
        <v>14330</v>
      </c>
      <c r="C463" s="65"/>
      <c r="D463" s="65"/>
      <c r="E463" s="65"/>
      <c r="F463" s="69" t="s">
        <v>14559</v>
      </c>
      <c r="G463" s="70"/>
      <c r="H463" s="65" t="s">
        <v>14760</v>
      </c>
      <c r="I463" s="75">
        <v>2587.08</v>
      </c>
      <c r="J463" s="75">
        <v>2587.1</v>
      </c>
      <c r="K463" s="75"/>
      <c r="L463" s="75"/>
      <c r="M463" s="75"/>
      <c r="N463" s="75">
        <f>Tabla1[[#This Row],[IMPORTE APROBADO]]-Tabla1[[#This Row],[AMORTIZACION2]]</f>
        <v>-1.999999999998181E-2</v>
      </c>
      <c r="O463" s="65" t="str">
        <f>TEXT(Tabla1[[#This Row],[EMISION]],"mmm")</f>
        <v>May</v>
      </c>
      <c r="P463" s="65" t="str">
        <f>TEXT(Tabla1[[#This Row],[EMISION]],"YYYY")</f>
        <v>2023</v>
      </c>
      <c r="Q463" s="71">
        <v>45077</v>
      </c>
      <c r="R463" s="65" t="str">
        <f>TEXT(Tabla1[[#This Row],[VENCIMIENTO]],"mmm")</f>
        <v>Jun</v>
      </c>
      <c r="S463" s="71">
        <f t="shared" si="72"/>
        <v>45092</v>
      </c>
      <c r="T463" s="72">
        <f ca="1">Tabla1[[#This Row],[EMISION]]+Tabla1[[#This Row],[PLAZO]]-TODAY()</f>
        <v>-277</v>
      </c>
      <c r="U463" s="80">
        <f t="shared" ca="1" si="73"/>
        <v>0</v>
      </c>
      <c r="V463" s="72"/>
      <c r="W463" s="73" t="s">
        <v>14307</v>
      </c>
      <c r="X463" s="65">
        <v>15</v>
      </c>
      <c r="Y463" s="65"/>
      <c r="Z463" s="65"/>
      <c r="AA463" s="65"/>
      <c r="AB463" s="65"/>
      <c r="AC463" s="65"/>
      <c r="AD463" s="65"/>
      <c r="AE463" s="65"/>
      <c r="AF463" s="68"/>
      <c r="AG463" s="66">
        <v>45091</v>
      </c>
      <c r="AH463" s="67" t="s">
        <v>14308</v>
      </c>
      <c r="AI463" s="65" t="s">
        <v>3060</v>
      </c>
      <c r="AJ463" s="65"/>
      <c r="AK463" s="97">
        <f t="shared" ca="1" si="74"/>
        <v>277</v>
      </c>
      <c r="AL463">
        <f>IFERROR(VLOOKUP(A463,'DATA CLIENTES'!B4760:I8284,6,FALSE),0)</f>
        <v>0</v>
      </c>
    </row>
    <row r="464" spans="1:38" x14ac:dyDescent="0.25">
      <c r="A464" s="93" t="s">
        <v>9345</v>
      </c>
      <c r="B464" s="68" t="s">
        <v>14330</v>
      </c>
      <c r="C464" s="65"/>
      <c r="D464" s="65"/>
      <c r="E464" s="65"/>
      <c r="F464" s="69" t="s">
        <v>14725</v>
      </c>
      <c r="G464" s="70"/>
      <c r="H464" s="65" t="s">
        <v>14761</v>
      </c>
      <c r="I464" s="75">
        <v>2250</v>
      </c>
      <c r="J464" s="75">
        <f>1000+1250</f>
        <v>2250</v>
      </c>
      <c r="K464" s="75"/>
      <c r="L464" s="75"/>
      <c r="M464" s="75"/>
      <c r="N464" s="75">
        <f>Tabla1[[#This Row],[IMPORTE APROBADO]]-Tabla1[[#This Row],[AMORTIZACION2]]</f>
        <v>0</v>
      </c>
      <c r="O464" s="65" t="str">
        <f>TEXT(Tabla1[[#This Row],[EMISION]],"mmm")</f>
        <v>May</v>
      </c>
      <c r="P464" s="65" t="str">
        <f>TEXT(Tabla1[[#This Row],[EMISION]],"YYYY")</f>
        <v>2023</v>
      </c>
      <c r="Q464" s="71">
        <v>45077</v>
      </c>
      <c r="R464" s="65" t="str">
        <f>TEXT(Tabla1[[#This Row],[VENCIMIENTO]],"mmm")</f>
        <v>Jun</v>
      </c>
      <c r="S464" s="71">
        <f t="shared" si="72"/>
        <v>45092</v>
      </c>
      <c r="T464" s="72">
        <f ca="1">Tabla1[[#This Row],[EMISION]]+Tabla1[[#This Row],[PLAZO]]-TODAY()</f>
        <v>-277</v>
      </c>
      <c r="U464" s="80">
        <f t="shared" ca="1" si="73"/>
        <v>0</v>
      </c>
      <c r="V464" s="72"/>
      <c r="W464" s="73" t="s">
        <v>14307</v>
      </c>
      <c r="X464" s="65">
        <v>15</v>
      </c>
      <c r="Y464" s="65"/>
      <c r="Z464" s="65"/>
      <c r="AA464" s="65"/>
      <c r="AB464" s="65"/>
      <c r="AC464" s="65"/>
      <c r="AD464" s="65"/>
      <c r="AE464" s="65"/>
      <c r="AF464" s="68"/>
      <c r="AG464" s="66">
        <v>45094</v>
      </c>
      <c r="AH464" s="67" t="s">
        <v>14308</v>
      </c>
      <c r="AI464" s="65" t="s">
        <v>3060</v>
      </c>
      <c r="AJ464" s="65"/>
      <c r="AK464" s="97">
        <f t="shared" ca="1" si="74"/>
        <v>277</v>
      </c>
      <c r="AL464">
        <f>IFERROR(VLOOKUP(A464,'DATA CLIENTES'!B4761:I8284,6,FALSE),0)</f>
        <v>0</v>
      </c>
    </row>
    <row r="465" spans="1:38" x14ac:dyDescent="0.25">
      <c r="A465" s="93" t="s">
        <v>5436</v>
      </c>
      <c r="B465" s="68" t="s">
        <v>14335</v>
      </c>
      <c r="C465" s="65"/>
      <c r="D465" s="65"/>
      <c r="E465" s="65"/>
      <c r="F465" s="69" t="s">
        <v>14559</v>
      </c>
      <c r="G465" s="70"/>
      <c r="H465" s="65" t="s">
        <v>14762</v>
      </c>
      <c r="I465" s="75">
        <v>1045.485447</v>
      </c>
      <c r="J465" s="75">
        <f>150+150+200+200+200+145.5</f>
        <v>1045.5</v>
      </c>
      <c r="K465" s="75"/>
      <c r="L465" s="75"/>
      <c r="M465" s="75"/>
      <c r="N465" s="75">
        <f>Tabla1[[#This Row],[IMPORTE APROBADO]]-Tabla1[[#This Row],[AMORTIZACION2]]</f>
        <v>-1.4552999999978056E-2</v>
      </c>
      <c r="O465" s="65" t="str">
        <f>TEXT(Tabla1[[#This Row],[EMISION]],"mmm")</f>
        <v>May</v>
      </c>
      <c r="P465" s="65" t="str">
        <f>TEXT(Tabla1[[#This Row],[EMISION]],"YYYY")</f>
        <v>2023</v>
      </c>
      <c r="Q465" s="71">
        <v>45077</v>
      </c>
      <c r="R465" s="65" t="str">
        <f>TEXT(Tabla1[[#This Row],[VENCIMIENTO]],"mmm")</f>
        <v>Jun</v>
      </c>
      <c r="S465" s="71">
        <f t="shared" si="72"/>
        <v>45107</v>
      </c>
      <c r="T465" s="72">
        <f ca="1">Tabla1[[#This Row],[EMISION]]+Tabla1[[#This Row],[PLAZO]]-TODAY()</f>
        <v>-262</v>
      </c>
      <c r="U465" s="80">
        <f t="shared" ca="1" si="73"/>
        <v>0</v>
      </c>
      <c r="V465" s="72"/>
      <c r="W465" s="73" t="s">
        <v>14307</v>
      </c>
      <c r="X465" s="65">
        <v>30</v>
      </c>
      <c r="Y465" s="65"/>
      <c r="Z465" s="65"/>
      <c r="AA465" s="65"/>
      <c r="AB465" s="65"/>
      <c r="AC465" s="65"/>
      <c r="AD465" s="65"/>
      <c r="AE465" s="65"/>
      <c r="AF465" s="68"/>
      <c r="AG465" s="66">
        <v>45161</v>
      </c>
      <c r="AH465" s="67" t="s">
        <v>14308</v>
      </c>
      <c r="AI465" s="65" t="s">
        <v>3060</v>
      </c>
      <c r="AJ465" s="65"/>
      <c r="AK465" s="97">
        <f t="shared" ca="1" si="74"/>
        <v>262</v>
      </c>
      <c r="AL465">
        <f>IFERROR(VLOOKUP(A465,'DATA CLIENTES'!B4762:I8284,6,FALSE),0)</f>
        <v>0</v>
      </c>
    </row>
    <row r="466" spans="1:38" x14ac:dyDescent="0.25">
      <c r="A466" s="93" t="s">
        <v>5473</v>
      </c>
      <c r="B466" s="68" t="s">
        <v>14378</v>
      </c>
      <c r="C466" s="65"/>
      <c r="D466" s="65"/>
      <c r="E466" s="65"/>
      <c r="F466" s="69" t="s">
        <v>14559</v>
      </c>
      <c r="G466" s="70"/>
      <c r="H466" s="65" t="s">
        <v>14763</v>
      </c>
      <c r="I466" s="75">
        <v>3708</v>
      </c>
      <c r="J466" s="75">
        <f>1500+1000+1208</f>
        <v>3708</v>
      </c>
      <c r="K466" s="75"/>
      <c r="L466" s="75"/>
      <c r="M466" s="75"/>
      <c r="N466" s="75">
        <f>Tabla1[[#This Row],[IMPORTE APROBADO]]-Tabla1[[#This Row],[AMORTIZACION2]]</f>
        <v>0</v>
      </c>
      <c r="O466" s="65" t="str">
        <f>TEXT(Tabla1[[#This Row],[EMISION]],"mmm")</f>
        <v>May</v>
      </c>
      <c r="P466" s="65" t="str">
        <f>TEXT(Tabla1[[#This Row],[EMISION]],"YYYY")</f>
        <v>2023</v>
      </c>
      <c r="Q466" s="71">
        <v>45077</v>
      </c>
      <c r="R466" s="65" t="str">
        <f>TEXT(Tabla1[[#This Row],[VENCIMIENTO]],"mmm")</f>
        <v>Jun</v>
      </c>
      <c r="S466" s="71">
        <f t="shared" si="72"/>
        <v>45097</v>
      </c>
      <c r="T466" s="72">
        <f ca="1">Tabla1[[#This Row],[EMISION]]+Tabla1[[#This Row],[PLAZO]]-TODAY()</f>
        <v>-272</v>
      </c>
      <c r="U466" s="80">
        <f t="shared" ca="1" si="73"/>
        <v>0</v>
      </c>
      <c r="V466" s="72"/>
      <c r="W466" s="73" t="s">
        <v>14307</v>
      </c>
      <c r="X466" s="65">
        <v>20</v>
      </c>
      <c r="Y466" s="65"/>
      <c r="Z466" s="65"/>
      <c r="AA466" s="65"/>
      <c r="AB466" s="65"/>
      <c r="AC466" s="65"/>
      <c r="AD466" s="65"/>
      <c r="AE466" s="65"/>
      <c r="AF466" s="68"/>
      <c r="AG466" s="66">
        <v>45104</v>
      </c>
      <c r="AH466" s="67" t="s">
        <v>14308</v>
      </c>
      <c r="AI466" s="65" t="s">
        <v>3060</v>
      </c>
      <c r="AJ466" s="65"/>
      <c r="AK466" s="97">
        <f t="shared" ca="1" si="74"/>
        <v>272</v>
      </c>
      <c r="AL466">
        <f>IFERROR(VLOOKUP(A466,'DATA CLIENTES'!B4763:I8284,6,FALSE),0)</f>
        <v>0</v>
      </c>
    </row>
    <row r="467" spans="1:38" x14ac:dyDescent="0.25">
      <c r="A467" s="93" t="s">
        <v>6575</v>
      </c>
      <c r="B467" s="68" t="s">
        <v>6576</v>
      </c>
      <c r="C467" s="65"/>
      <c r="D467" s="65"/>
      <c r="E467" s="65"/>
      <c r="F467" s="69" t="s">
        <v>14725</v>
      </c>
      <c r="G467" s="70"/>
      <c r="H467" s="65" t="s">
        <v>14764</v>
      </c>
      <c r="I467" s="75">
        <v>5299.2910140000004</v>
      </c>
      <c r="J467" s="75">
        <f>1000+1000+500+500+500+500+1299.31</f>
        <v>5299.3099999999995</v>
      </c>
      <c r="K467" s="75"/>
      <c r="L467" s="75"/>
      <c r="M467" s="75"/>
      <c r="N467" s="75">
        <f>Tabla1[[#This Row],[IMPORTE APROBADO]]-Tabla1[[#This Row],[AMORTIZACION2]]</f>
        <v>-1.8985999999131309E-2</v>
      </c>
      <c r="O467" s="65" t="str">
        <f>TEXT(Tabla1[[#This Row],[EMISION]],"mmm")</f>
        <v>May</v>
      </c>
      <c r="P467" s="65" t="str">
        <f>TEXT(Tabla1[[#This Row],[EMISION]],"YYYY")</f>
        <v>2023</v>
      </c>
      <c r="Q467" s="71">
        <v>45077</v>
      </c>
      <c r="R467" s="65" t="str">
        <f>TEXT(Tabla1[[#This Row],[VENCIMIENTO]],"mmm")</f>
        <v>Jun</v>
      </c>
      <c r="S467" s="71">
        <f t="shared" si="72"/>
        <v>45107</v>
      </c>
      <c r="T467" s="72">
        <f ca="1">Tabla1[[#This Row],[EMISION]]+Tabla1[[#This Row],[PLAZO]]-TODAY()</f>
        <v>-262</v>
      </c>
      <c r="U467" s="80">
        <f t="shared" ca="1" si="73"/>
        <v>0</v>
      </c>
      <c r="V467" s="72"/>
      <c r="W467" s="73" t="s">
        <v>14307</v>
      </c>
      <c r="X467" s="65">
        <v>30</v>
      </c>
      <c r="Y467" s="65"/>
      <c r="Z467" s="65"/>
      <c r="AA467" s="65"/>
      <c r="AB467" s="65"/>
      <c r="AC467" s="65"/>
      <c r="AD467" s="65"/>
      <c r="AE467" s="65"/>
      <c r="AF467" s="68"/>
      <c r="AG467" s="66">
        <v>45199</v>
      </c>
      <c r="AH467" s="67" t="s">
        <v>14308</v>
      </c>
      <c r="AI467" s="65" t="s">
        <v>3060</v>
      </c>
      <c r="AJ467" s="65"/>
      <c r="AK467" s="97">
        <f t="shared" ca="1" si="74"/>
        <v>262</v>
      </c>
      <c r="AL467">
        <f>IFERROR(VLOOKUP(A467,'DATA CLIENTES'!B4764:I8284,6,FALSE),0)</f>
        <v>0</v>
      </c>
    </row>
    <row r="468" spans="1:38" x14ac:dyDescent="0.25">
      <c r="A468" s="93" t="s">
        <v>7209</v>
      </c>
      <c r="B468" s="68" t="s">
        <v>14765</v>
      </c>
      <c r="C468" s="65"/>
      <c r="D468" s="65"/>
      <c r="E468" s="65"/>
      <c r="F468" s="69" t="s">
        <v>14559</v>
      </c>
      <c r="G468" s="70"/>
      <c r="H468" s="65" t="s">
        <v>14766</v>
      </c>
      <c r="I468" s="75">
        <v>4105.1315379999996</v>
      </c>
      <c r="J468" s="75">
        <v>4105.13</v>
      </c>
      <c r="K468" s="75"/>
      <c r="L468" s="75"/>
      <c r="M468" s="75"/>
      <c r="N468" s="75">
        <f>Tabla1[[#This Row],[IMPORTE APROBADO]]-Tabla1[[#This Row],[AMORTIZACION2]]</f>
        <v>1.5379999995275284E-3</v>
      </c>
      <c r="O468" s="65" t="str">
        <f>TEXT(Tabla1[[#This Row],[EMISION]],"mmm")</f>
        <v>May</v>
      </c>
      <c r="P468" s="65" t="str">
        <f>TEXT(Tabla1[[#This Row],[EMISION]],"YYYY")</f>
        <v>2023</v>
      </c>
      <c r="Q468" s="71">
        <v>45077</v>
      </c>
      <c r="R468" s="65" t="str">
        <f>TEXT(Tabla1[[#This Row],[VENCIMIENTO]],"mmm")</f>
        <v>Jun</v>
      </c>
      <c r="S468" s="71">
        <f t="shared" si="72"/>
        <v>45102</v>
      </c>
      <c r="T468" s="72">
        <f ca="1">Tabla1[[#This Row],[EMISION]]+Tabla1[[#This Row],[PLAZO]]-TODAY()</f>
        <v>-267</v>
      </c>
      <c r="U468" s="80">
        <f t="shared" ca="1" si="73"/>
        <v>0</v>
      </c>
      <c r="V468" s="72"/>
      <c r="W468" s="73" t="s">
        <v>14307</v>
      </c>
      <c r="X468" s="65">
        <v>25</v>
      </c>
      <c r="Y468" s="65"/>
      <c r="Z468" s="65"/>
      <c r="AA468" s="65"/>
      <c r="AB468" s="65"/>
      <c r="AC468" s="65"/>
      <c r="AD468" s="65"/>
      <c r="AE468" s="65"/>
      <c r="AF468" s="68"/>
      <c r="AG468" s="66">
        <v>45103</v>
      </c>
      <c r="AH468" s="67" t="s">
        <v>14308</v>
      </c>
      <c r="AI468" s="65" t="s">
        <v>3060</v>
      </c>
      <c r="AJ468" s="65"/>
      <c r="AK468" s="97">
        <f t="shared" ca="1" si="74"/>
        <v>267</v>
      </c>
      <c r="AL468">
        <f>IFERROR(VLOOKUP(A468,'DATA CLIENTES'!B4765:I8284,6,FALSE),0)</f>
        <v>0</v>
      </c>
    </row>
    <row r="469" spans="1:38" x14ac:dyDescent="0.25">
      <c r="A469" s="93" t="s">
        <v>8565</v>
      </c>
      <c r="B469" s="68" t="s">
        <v>14334</v>
      </c>
      <c r="C469" s="65"/>
      <c r="D469" s="65"/>
      <c r="E469" s="65"/>
      <c r="F469" s="69" t="s">
        <v>14559</v>
      </c>
      <c r="G469" s="70"/>
      <c r="H469" s="65" t="s">
        <v>14767</v>
      </c>
      <c r="I469" s="75">
        <v>385.05055800000002</v>
      </c>
      <c r="J469" s="75">
        <f>350+35.1</f>
        <v>385.1</v>
      </c>
      <c r="K469" s="75"/>
      <c r="L469" s="75"/>
      <c r="M469" s="75"/>
      <c r="N469" s="75">
        <f>Tabla1[[#This Row],[IMPORTE APROBADO]]-Tabla1[[#This Row],[AMORTIZACION2]]</f>
        <v>-4.9441999999999098E-2</v>
      </c>
      <c r="O469" s="65" t="str">
        <f>TEXT(Tabla1[[#This Row],[EMISION]],"mmm")</f>
        <v>May</v>
      </c>
      <c r="P469" s="65" t="str">
        <f>TEXT(Tabla1[[#This Row],[EMISION]],"YYYY")</f>
        <v>2023</v>
      </c>
      <c r="Q469" s="71">
        <v>45077</v>
      </c>
      <c r="R469" s="65" t="str">
        <f>TEXT(Tabla1[[#This Row],[VENCIMIENTO]],"mmm")</f>
        <v>Jun</v>
      </c>
      <c r="S469" s="71">
        <f t="shared" si="72"/>
        <v>45092</v>
      </c>
      <c r="T469" s="72">
        <f ca="1">Tabla1[[#This Row],[EMISION]]+Tabla1[[#This Row],[PLAZO]]-TODAY()</f>
        <v>-277</v>
      </c>
      <c r="U469" s="80">
        <f t="shared" ca="1" si="73"/>
        <v>0</v>
      </c>
      <c r="V469" s="72"/>
      <c r="W469" s="73" t="s">
        <v>14307</v>
      </c>
      <c r="X469" s="65">
        <v>15</v>
      </c>
      <c r="Y469" s="65"/>
      <c r="Z469" s="65"/>
      <c r="AA469" s="65"/>
      <c r="AB469" s="65"/>
      <c r="AC469" s="65"/>
      <c r="AD469" s="65"/>
      <c r="AE469" s="65"/>
      <c r="AF469" s="68"/>
      <c r="AG469" s="66">
        <v>45092</v>
      </c>
      <c r="AH469" s="67" t="s">
        <v>14308</v>
      </c>
      <c r="AI469" s="65" t="s">
        <v>3060</v>
      </c>
      <c r="AJ469" s="65"/>
      <c r="AK469" s="97">
        <f t="shared" ca="1" si="74"/>
        <v>277</v>
      </c>
      <c r="AL469">
        <f>IFERROR(VLOOKUP(A469,'DATA CLIENTES'!B4766:I8284,6,FALSE),0)</f>
        <v>0</v>
      </c>
    </row>
    <row r="470" spans="1:38" x14ac:dyDescent="0.25">
      <c r="A470" s="93" t="s">
        <v>9412</v>
      </c>
      <c r="B470" s="68" t="s">
        <v>14768</v>
      </c>
      <c r="C470" s="65"/>
      <c r="D470" s="65"/>
      <c r="E470" s="65"/>
      <c r="F470" s="69" t="s">
        <v>14559</v>
      </c>
      <c r="G470" s="70"/>
      <c r="H470" s="65" t="s">
        <v>14769</v>
      </c>
      <c r="I470" s="75">
        <v>1410</v>
      </c>
      <c r="J470" s="75">
        <f>410+500+500</f>
        <v>1410</v>
      </c>
      <c r="K470" s="75"/>
      <c r="L470" s="75"/>
      <c r="M470" s="75"/>
      <c r="N470" s="75">
        <f>Tabla1[[#This Row],[IMPORTE APROBADO]]-Tabla1[[#This Row],[AMORTIZACION2]]</f>
        <v>0</v>
      </c>
      <c r="O470" s="65" t="str">
        <f>TEXT(Tabla1[[#This Row],[EMISION]],"mmm")</f>
        <v>May</v>
      </c>
      <c r="P470" s="65" t="str">
        <f>TEXT(Tabla1[[#This Row],[EMISION]],"YYYY")</f>
        <v>2023</v>
      </c>
      <c r="Q470" s="71">
        <v>45077</v>
      </c>
      <c r="R470" s="65" t="str">
        <f>TEXT(Tabla1[[#This Row],[VENCIMIENTO]],"mmm")</f>
        <v>Jun</v>
      </c>
      <c r="S470" s="71">
        <f t="shared" si="72"/>
        <v>45092</v>
      </c>
      <c r="T470" s="72">
        <f ca="1">Tabla1[[#This Row],[EMISION]]+Tabla1[[#This Row],[PLAZO]]-TODAY()</f>
        <v>-277</v>
      </c>
      <c r="U470" s="80">
        <f t="shared" ca="1" si="73"/>
        <v>0</v>
      </c>
      <c r="V470" s="72"/>
      <c r="W470" s="73" t="s">
        <v>14307</v>
      </c>
      <c r="X470" s="65">
        <v>15</v>
      </c>
      <c r="Y470" s="65"/>
      <c r="Z470" s="65"/>
      <c r="AA470" s="65"/>
      <c r="AB470" s="65"/>
      <c r="AC470" s="65"/>
      <c r="AD470" s="65"/>
      <c r="AE470" s="65"/>
      <c r="AF470" s="68"/>
      <c r="AG470" s="66">
        <v>45111</v>
      </c>
      <c r="AH470" s="67" t="s">
        <v>14308</v>
      </c>
      <c r="AI470" s="65" t="s">
        <v>3060</v>
      </c>
      <c r="AJ470" s="65"/>
      <c r="AK470" s="97">
        <f t="shared" ca="1" si="74"/>
        <v>277</v>
      </c>
      <c r="AL470">
        <f>IFERROR(VLOOKUP(A470,'DATA CLIENTES'!B4767:I8284,6,FALSE),0)</f>
        <v>0</v>
      </c>
    </row>
    <row r="471" spans="1:38" x14ac:dyDescent="0.25">
      <c r="A471" s="93" t="s">
        <v>12206</v>
      </c>
      <c r="B471" s="68" t="s">
        <v>14770</v>
      </c>
      <c r="C471" s="65"/>
      <c r="D471" s="65"/>
      <c r="E471" s="65"/>
      <c r="F471" s="69" t="s">
        <v>7000</v>
      </c>
      <c r="G471" s="70"/>
      <c r="H471" s="65" t="s">
        <v>14771</v>
      </c>
      <c r="I471" s="75">
        <v>1600</v>
      </c>
      <c r="J471" s="75"/>
      <c r="K471" s="75"/>
      <c r="L471" s="75"/>
      <c r="M471" s="75"/>
      <c r="N471" s="75">
        <f>Tabla1[[#This Row],[IMPORTE APROBADO]]-Tabla1[[#This Row],[AMORTIZACION2]]</f>
        <v>1600</v>
      </c>
      <c r="O471" s="65" t="str">
        <f>TEXT(Tabla1[[#This Row],[EMISION]],"mmm")</f>
        <v>Jun</v>
      </c>
      <c r="P471" s="65" t="str">
        <f>TEXT(Tabla1[[#This Row],[EMISION]],"YYYY")</f>
        <v>2023</v>
      </c>
      <c r="Q471" s="71">
        <v>45083</v>
      </c>
      <c r="R471" s="65" t="str">
        <f>TEXT(Tabla1[[#This Row],[VENCIMIENTO]],"mmm")</f>
        <v>Ago</v>
      </c>
      <c r="S471" s="71">
        <f t="shared" ref="S471:S473" si="75">Q471+X471</f>
        <v>45143</v>
      </c>
      <c r="T471" s="72">
        <f ca="1">Tabla1[[#This Row],[EMISION]]+Tabla1[[#This Row],[PLAZO]]-TODAY()</f>
        <v>-226</v>
      </c>
      <c r="U471" s="80">
        <f t="shared" ref="U471:U473" ca="1" si="76">IF(T471&gt;=0,$U$4,IF(AND(T471&lt;=-1,T471&gt;=-30),$U$5,IF(AND(T471&lt;=-31,T471&gt;=-60),$U$6,IF(AND(T471&lt;=-61,T471&gt;=-90),$U$7,$U$8))))</f>
        <v>0</v>
      </c>
      <c r="V471" s="72" t="s">
        <v>14312</v>
      </c>
      <c r="W471" s="73" t="s">
        <v>14307</v>
      </c>
      <c r="X471" s="65">
        <v>60</v>
      </c>
      <c r="Y471" s="65"/>
      <c r="Z471" s="65"/>
      <c r="AA471" s="65"/>
      <c r="AB471" s="65"/>
      <c r="AC471" s="65"/>
      <c r="AD471" s="65"/>
      <c r="AE471" s="65"/>
      <c r="AF471" s="68"/>
      <c r="AG471" s="66"/>
      <c r="AH471" s="67" t="s">
        <v>14313</v>
      </c>
      <c r="AI471" s="65" t="s">
        <v>3060</v>
      </c>
      <c r="AJ471" s="65"/>
      <c r="AK471" s="97">
        <f t="shared" ca="1" si="74"/>
        <v>226</v>
      </c>
      <c r="AL471">
        <f>IFERROR(VLOOKUP(A471,'DATA CLIENTES'!B4768:I8284,6,FALSE),0)</f>
        <v>0</v>
      </c>
    </row>
    <row r="472" spans="1:38" x14ac:dyDescent="0.25">
      <c r="A472" s="93" t="s">
        <v>9406</v>
      </c>
      <c r="B472" s="68" t="s">
        <v>9407</v>
      </c>
      <c r="C472" s="65"/>
      <c r="D472" s="65"/>
      <c r="E472" s="65"/>
      <c r="F472" s="69" t="s">
        <v>14559</v>
      </c>
      <c r="G472" s="70"/>
      <c r="H472" s="65" t="s">
        <v>14772</v>
      </c>
      <c r="I472" s="75">
        <v>1254.2</v>
      </c>
      <c r="J472" s="75">
        <v>1254.2</v>
      </c>
      <c r="K472" s="75"/>
      <c r="L472" s="75"/>
      <c r="M472" s="75"/>
      <c r="N472" s="75">
        <f>Tabla1[[#This Row],[IMPORTE APROBADO]]-Tabla1[[#This Row],[AMORTIZACION2]]</f>
        <v>0</v>
      </c>
      <c r="O472" s="65" t="str">
        <f>TEXT(Tabla1[[#This Row],[EMISION]],"mmm")</f>
        <v>Jun</v>
      </c>
      <c r="P472" s="65" t="str">
        <f>TEXT(Tabla1[[#This Row],[EMISION]],"YYYY")</f>
        <v>2023</v>
      </c>
      <c r="Q472" s="71">
        <v>45085</v>
      </c>
      <c r="R472" s="65" t="str">
        <f>TEXT(Tabla1[[#This Row],[VENCIMIENTO]],"mmm")</f>
        <v>Jun</v>
      </c>
      <c r="S472" s="71">
        <f t="shared" si="75"/>
        <v>45100</v>
      </c>
      <c r="T472" s="72">
        <f ca="1">Tabla1[[#This Row],[EMISION]]+Tabla1[[#This Row],[PLAZO]]-TODAY()</f>
        <v>-269</v>
      </c>
      <c r="U472" s="80">
        <f t="shared" ca="1" si="76"/>
        <v>0</v>
      </c>
      <c r="V472" s="72"/>
      <c r="W472" s="73" t="s">
        <v>14307</v>
      </c>
      <c r="X472" s="65">
        <v>15</v>
      </c>
      <c r="Y472" s="65"/>
      <c r="Z472" s="65"/>
      <c r="AA472" s="65"/>
      <c r="AB472" s="65"/>
      <c r="AC472" s="65"/>
      <c r="AD472" s="65"/>
      <c r="AE472" s="65"/>
      <c r="AF472" s="68"/>
      <c r="AG472" s="66">
        <v>45110</v>
      </c>
      <c r="AH472" s="67" t="s">
        <v>14308</v>
      </c>
      <c r="AI472" s="65" t="s">
        <v>3060</v>
      </c>
      <c r="AJ472" s="65"/>
      <c r="AK472" s="97">
        <f t="shared" ca="1" si="74"/>
        <v>269</v>
      </c>
      <c r="AL472">
        <f>IFERROR(VLOOKUP(A472,'DATA CLIENTES'!B4769:I8284,6,FALSE),0)</f>
        <v>0</v>
      </c>
    </row>
    <row r="473" spans="1:38" x14ac:dyDescent="0.25">
      <c r="A473" s="93" t="s">
        <v>9690</v>
      </c>
      <c r="B473" s="68" t="s">
        <v>14336</v>
      </c>
      <c r="C473" s="65"/>
      <c r="D473" s="65"/>
      <c r="E473" s="65"/>
      <c r="F473" s="69" t="s">
        <v>14559</v>
      </c>
      <c r="G473" s="70"/>
      <c r="H473" s="65" t="s">
        <v>14773</v>
      </c>
      <c r="I473" s="75">
        <v>1513.6757110000001</v>
      </c>
      <c r="J473" s="75">
        <f>200+150+100+100+100+100+100+100+100+100+100+100+63+100</f>
        <v>1513</v>
      </c>
      <c r="K473" s="75"/>
      <c r="L473" s="75"/>
      <c r="M473" s="75"/>
      <c r="N473" s="75">
        <f>Tabla1[[#This Row],[IMPORTE APROBADO]]-Tabla1[[#This Row],[AMORTIZACION2]]</f>
        <v>0.6757110000000921</v>
      </c>
      <c r="O473" s="65" t="str">
        <f>TEXT(Tabla1[[#This Row],[EMISION]],"mmm")</f>
        <v>Jun</v>
      </c>
      <c r="P473" s="65" t="str">
        <f>TEXT(Tabla1[[#This Row],[EMISION]],"YYYY")</f>
        <v>2023</v>
      </c>
      <c r="Q473" s="71">
        <v>45085</v>
      </c>
      <c r="R473" s="65" t="str">
        <f>TEXT(Tabla1[[#This Row],[VENCIMIENTO]],"mmm")</f>
        <v>Jul</v>
      </c>
      <c r="S473" s="71">
        <f t="shared" si="75"/>
        <v>45115</v>
      </c>
      <c r="T473" s="72">
        <f ca="1">Tabla1[[#This Row],[EMISION]]+Tabla1[[#This Row],[PLAZO]]-TODAY()</f>
        <v>-254</v>
      </c>
      <c r="U473" s="80">
        <f t="shared" ca="1" si="76"/>
        <v>0</v>
      </c>
      <c r="V473" s="72"/>
      <c r="W473" s="73" t="s">
        <v>14307</v>
      </c>
      <c r="X473" s="65">
        <v>30</v>
      </c>
      <c r="Y473" s="65"/>
      <c r="Z473" s="65"/>
      <c r="AA473" s="65"/>
      <c r="AB473" s="65"/>
      <c r="AC473" s="65"/>
      <c r="AD473" s="65"/>
      <c r="AE473" s="65"/>
      <c r="AF473" s="68"/>
      <c r="AG473" s="66">
        <v>45189</v>
      </c>
      <c r="AH473" s="67" t="s">
        <v>14308</v>
      </c>
      <c r="AI473" s="65" t="s">
        <v>3060</v>
      </c>
      <c r="AJ473" s="65"/>
      <c r="AK473" s="97">
        <f t="shared" ca="1" si="74"/>
        <v>254</v>
      </c>
      <c r="AL473">
        <f>IFERROR(VLOOKUP(A473,'DATA CLIENTES'!B4770:I8284,6,FALSE),0)</f>
        <v>0</v>
      </c>
    </row>
    <row r="474" spans="1:38" x14ac:dyDescent="0.25">
      <c r="A474" s="93" t="s">
        <v>14428</v>
      </c>
      <c r="B474" s="68" t="s">
        <v>14427</v>
      </c>
      <c r="C474" s="65"/>
      <c r="D474" s="65"/>
      <c r="E474" s="65"/>
      <c r="F474" s="69" t="s">
        <v>14559</v>
      </c>
      <c r="G474" s="70"/>
      <c r="H474" s="65" t="s">
        <v>14774</v>
      </c>
      <c r="I474" s="75">
        <v>130.5</v>
      </c>
      <c r="J474" s="75">
        <v>130.5</v>
      </c>
      <c r="K474" s="75"/>
      <c r="L474" s="75"/>
      <c r="M474" s="75"/>
      <c r="N474" s="75">
        <f>Tabla1[[#This Row],[IMPORTE APROBADO]]-Tabla1[[#This Row],[AMORTIZACION2]]</f>
        <v>0</v>
      </c>
      <c r="O474" s="65" t="str">
        <f>TEXT(Tabla1[[#This Row],[EMISION]],"mmm")</f>
        <v>Jun</v>
      </c>
      <c r="P474" s="65" t="str">
        <f>TEXT(Tabla1[[#This Row],[EMISION]],"YYYY")</f>
        <v>2023</v>
      </c>
      <c r="Q474" s="71">
        <v>45090</v>
      </c>
      <c r="R474" s="65" t="str">
        <f>TEXT(Tabla1[[#This Row],[VENCIMIENTO]],"mmm")</f>
        <v>Jul</v>
      </c>
      <c r="S474" s="71">
        <f t="shared" ref="S474:S483" si="77">Q474+X474</f>
        <v>45110</v>
      </c>
      <c r="T474" s="72">
        <f ca="1">Tabla1[[#This Row],[EMISION]]+Tabla1[[#This Row],[PLAZO]]-TODAY()</f>
        <v>-259</v>
      </c>
      <c r="U474" s="80">
        <f t="shared" ref="U474:U483" ca="1" si="78">IF(T474&gt;=0,$U$4,IF(AND(T474&lt;=-1,T474&gt;=-30),$U$5,IF(AND(T474&lt;=-31,T474&gt;=-60),$U$6,IF(AND(T474&lt;=-61,T474&gt;=-90),$U$7,$U$8))))</f>
        <v>0</v>
      </c>
      <c r="V474" s="72"/>
      <c r="W474" s="73" t="s">
        <v>14307</v>
      </c>
      <c r="X474" s="65">
        <v>20</v>
      </c>
      <c r="Y474" s="65"/>
      <c r="Z474" s="65"/>
      <c r="AA474" s="65"/>
      <c r="AB474" s="65"/>
      <c r="AC474" s="65"/>
      <c r="AD474" s="65"/>
      <c r="AE474" s="65"/>
      <c r="AF474" s="68"/>
      <c r="AG474" s="66">
        <v>45105</v>
      </c>
      <c r="AH474" s="67" t="s">
        <v>14308</v>
      </c>
      <c r="AI474" s="65" t="s">
        <v>3060</v>
      </c>
      <c r="AJ474" s="65"/>
      <c r="AK474" s="97">
        <f t="shared" ca="1" si="74"/>
        <v>259</v>
      </c>
      <c r="AL474">
        <f>IFERROR(VLOOKUP(A474,'DATA CLIENTES'!B4771:I8284,6,FALSE),0)</f>
        <v>0</v>
      </c>
    </row>
    <row r="475" spans="1:38" x14ac:dyDescent="0.25">
      <c r="A475" s="93" t="s">
        <v>14428</v>
      </c>
      <c r="B475" s="68" t="s">
        <v>14427</v>
      </c>
      <c r="C475" s="65"/>
      <c r="D475" s="65"/>
      <c r="E475" s="65"/>
      <c r="F475" s="69" t="s">
        <v>14559</v>
      </c>
      <c r="G475" s="70"/>
      <c r="H475" s="65" t="s">
        <v>14775</v>
      </c>
      <c r="I475" s="75">
        <v>5901.794406</v>
      </c>
      <c r="J475" s="75">
        <f>700+1000+1500+500+201.7+1000+1000</f>
        <v>5901.7</v>
      </c>
      <c r="K475" s="75"/>
      <c r="L475" s="75"/>
      <c r="M475" s="75"/>
      <c r="N475" s="75">
        <f>Tabla1[[#This Row],[IMPORTE APROBADO]]-Tabla1[[#This Row],[AMORTIZACION2]]</f>
        <v>9.4406000000162749E-2</v>
      </c>
      <c r="O475" s="65" t="str">
        <f>TEXT(Tabla1[[#This Row],[EMISION]],"mmm")</f>
        <v>Jun</v>
      </c>
      <c r="P475" s="65" t="str">
        <f>TEXT(Tabla1[[#This Row],[EMISION]],"YYYY")</f>
        <v>2023</v>
      </c>
      <c r="Q475" s="71">
        <v>45090</v>
      </c>
      <c r="R475" s="65" t="str">
        <f>TEXT(Tabla1[[#This Row],[VENCIMIENTO]],"mmm")</f>
        <v>Jul</v>
      </c>
      <c r="S475" s="71">
        <f t="shared" si="77"/>
        <v>45110</v>
      </c>
      <c r="T475" s="72">
        <f ca="1">Tabla1[[#This Row],[EMISION]]+Tabla1[[#This Row],[PLAZO]]-TODAY()</f>
        <v>-259</v>
      </c>
      <c r="U475" s="80">
        <f t="shared" ca="1" si="78"/>
        <v>0</v>
      </c>
      <c r="V475" s="72"/>
      <c r="W475" s="73" t="s">
        <v>14307</v>
      </c>
      <c r="X475" s="65">
        <v>20</v>
      </c>
      <c r="Y475" s="65"/>
      <c r="Z475" s="65"/>
      <c r="AA475" s="65"/>
      <c r="AB475" s="65"/>
      <c r="AC475" s="65"/>
      <c r="AD475" s="65"/>
      <c r="AE475" s="65"/>
      <c r="AF475" s="68"/>
      <c r="AG475" s="66">
        <v>45125</v>
      </c>
      <c r="AH475" s="67" t="s">
        <v>14308</v>
      </c>
      <c r="AI475" s="65" t="s">
        <v>3060</v>
      </c>
      <c r="AJ475" s="65"/>
      <c r="AK475" s="97">
        <f t="shared" ca="1" si="74"/>
        <v>259</v>
      </c>
      <c r="AL475">
        <f>IFERROR(VLOOKUP(A475,'DATA CLIENTES'!B4772:I8284,6,FALSE),0)</f>
        <v>0</v>
      </c>
    </row>
    <row r="476" spans="1:38" x14ac:dyDescent="0.25">
      <c r="A476" s="93" t="s">
        <v>6999</v>
      </c>
      <c r="B476" s="68" t="s">
        <v>14310</v>
      </c>
      <c r="C476" s="65"/>
      <c r="D476" s="65"/>
      <c r="E476" s="65"/>
      <c r="F476" s="69" t="s">
        <v>7000</v>
      </c>
      <c r="G476" s="70"/>
      <c r="H476" s="65" t="s">
        <v>14776</v>
      </c>
      <c r="I476" s="75">
        <v>835.6</v>
      </c>
      <c r="J476" s="75"/>
      <c r="K476" s="75"/>
      <c r="L476" s="75"/>
      <c r="M476" s="75"/>
      <c r="N476" s="75">
        <f>Tabla1[[#This Row],[IMPORTE APROBADO]]-Tabla1[[#This Row],[AMORTIZACION2]]</f>
        <v>835.6</v>
      </c>
      <c r="O476" s="65" t="str">
        <f>TEXT(Tabla1[[#This Row],[EMISION]],"mmm")</f>
        <v>Jun</v>
      </c>
      <c r="P476" s="65" t="str">
        <f>TEXT(Tabla1[[#This Row],[EMISION]],"YYYY")</f>
        <v>2023</v>
      </c>
      <c r="Q476" s="71">
        <v>45091</v>
      </c>
      <c r="R476" s="65" t="str">
        <f>TEXT(Tabla1[[#This Row],[VENCIMIENTO]],"mmm")</f>
        <v>Jul</v>
      </c>
      <c r="S476" s="71">
        <f t="shared" si="77"/>
        <v>45136</v>
      </c>
      <c r="T476" s="72">
        <f ca="1">Tabla1[[#This Row],[EMISION]]+Tabla1[[#This Row],[PLAZO]]-TODAY()</f>
        <v>-233</v>
      </c>
      <c r="U476" s="80">
        <f t="shared" ca="1" si="78"/>
        <v>0</v>
      </c>
      <c r="V476" s="72"/>
      <c r="W476" s="73" t="s">
        <v>14307</v>
      </c>
      <c r="X476" s="65">
        <v>45</v>
      </c>
      <c r="Y476" s="65"/>
      <c r="Z476" s="65"/>
      <c r="AA476" s="65"/>
      <c r="AB476" s="65"/>
      <c r="AC476" s="65"/>
      <c r="AD476" s="65"/>
      <c r="AE476" s="65"/>
      <c r="AF476" s="68"/>
      <c r="AG476" s="66"/>
      <c r="AH476" s="67" t="s">
        <v>14313</v>
      </c>
      <c r="AI476" s="65" t="s">
        <v>3060</v>
      </c>
      <c r="AJ476" s="65"/>
      <c r="AK476" s="97">
        <f t="shared" ca="1" si="74"/>
        <v>233</v>
      </c>
      <c r="AL476">
        <f>IFERROR(VLOOKUP(A476,'DATA CLIENTES'!B4773:I8284,6,FALSE),0)</f>
        <v>0</v>
      </c>
    </row>
    <row r="477" spans="1:38" x14ac:dyDescent="0.25">
      <c r="A477" s="93" t="s">
        <v>7964</v>
      </c>
      <c r="B477" s="68" t="s">
        <v>14642</v>
      </c>
      <c r="C477" s="65"/>
      <c r="D477" s="65"/>
      <c r="E477" s="65"/>
      <c r="F477" s="69" t="s">
        <v>14574</v>
      </c>
      <c r="G477" s="70"/>
      <c r="H477" s="65" t="s">
        <v>14777</v>
      </c>
      <c r="I477" s="75">
        <v>202</v>
      </c>
      <c r="J477" s="75">
        <v>202</v>
      </c>
      <c r="K477" s="75"/>
      <c r="L477" s="75"/>
      <c r="M477" s="75"/>
      <c r="N477" s="75">
        <f>Tabla1[[#This Row],[IMPORTE APROBADO]]-Tabla1[[#This Row],[AMORTIZACION2]]</f>
        <v>0</v>
      </c>
      <c r="O477" s="65" t="str">
        <f>TEXT(Tabla1[[#This Row],[EMISION]],"mmm")</f>
        <v>Jun</v>
      </c>
      <c r="P477" s="65" t="str">
        <f>TEXT(Tabla1[[#This Row],[EMISION]],"YYYY")</f>
        <v>2023</v>
      </c>
      <c r="Q477" s="71">
        <v>45091</v>
      </c>
      <c r="R477" s="65" t="str">
        <f>TEXT(Tabla1[[#This Row],[VENCIMIENTO]],"mmm")</f>
        <v>Jun</v>
      </c>
      <c r="S477" s="71">
        <f t="shared" si="77"/>
        <v>45098</v>
      </c>
      <c r="T477" s="72">
        <f ca="1">Tabla1[[#This Row],[EMISION]]+Tabla1[[#This Row],[PLAZO]]-TODAY()</f>
        <v>-271</v>
      </c>
      <c r="U477" s="80">
        <f t="shared" ca="1" si="78"/>
        <v>0</v>
      </c>
      <c r="V477" s="72"/>
      <c r="W477" s="73" t="s">
        <v>14307</v>
      </c>
      <c r="X477" s="65">
        <v>7</v>
      </c>
      <c r="Y477" s="65"/>
      <c r="Z477" s="65"/>
      <c r="AA477" s="65"/>
      <c r="AB477" s="65"/>
      <c r="AC477" s="65"/>
      <c r="AD477" s="65"/>
      <c r="AE477" s="65"/>
      <c r="AF477" s="68"/>
      <c r="AG477" s="66">
        <v>45096</v>
      </c>
      <c r="AH477" s="67" t="s">
        <v>14308</v>
      </c>
      <c r="AI477" s="65" t="s">
        <v>3060</v>
      </c>
      <c r="AJ477" s="65"/>
      <c r="AK477" s="97">
        <f t="shared" ca="1" si="74"/>
        <v>271</v>
      </c>
      <c r="AL477">
        <f>IFERROR(VLOOKUP(A477,'DATA CLIENTES'!B4774:I8284,6,FALSE),0)</f>
        <v>0</v>
      </c>
    </row>
    <row r="478" spans="1:38" x14ac:dyDescent="0.25">
      <c r="A478" s="93" t="s">
        <v>9119</v>
      </c>
      <c r="B478" s="68" t="s">
        <v>14778</v>
      </c>
      <c r="C478" s="65"/>
      <c r="D478" s="65"/>
      <c r="E478" s="65"/>
      <c r="F478" s="69" t="s">
        <v>14559</v>
      </c>
      <c r="G478" s="70"/>
      <c r="H478" s="65" t="s">
        <v>14779</v>
      </c>
      <c r="I478" s="75">
        <v>2359.551316</v>
      </c>
      <c r="J478" s="75">
        <f>541.64</f>
        <v>541.64</v>
      </c>
      <c r="K478" s="75"/>
      <c r="L478" s="75"/>
      <c r="M478" s="75"/>
      <c r="N478" s="75">
        <f>Tabla1[[#This Row],[IMPORTE APROBADO]]-Tabla1[[#This Row],[AMORTIZACION2]]</f>
        <v>1817.9113160000002</v>
      </c>
      <c r="O478" s="65" t="str">
        <f>TEXT(Tabla1[[#This Row],[EMISION]],"mmm")</f>
        <v>Jun</v>
      </c>
      <c r="P478" s="65" t="str">
        <f>TEXT(Tabla1[[#This Row],[EMISION]],"YYYY")</f>
        <v>2023</v>
      </c>
      <c r="Q478" s="71">
        <v>45092</v>
      </c>
      <c r="R478" s="65" t="str">
        <f>TEXT(Tabla1[[#This Row],[VENCIMIENTO]],"mmm")</f>
        <v>Jul</v>
      </c>
      <c r="S478" s="71">
        <f t="shared" si="77"/>
        <v>45122</v>
      </c>
      <c r="T478" s="72">
        <f ca="1">Tabla1[[#This Row],[EMISION]]+Tabla1[[#This Row],[PLAZO]]-TODAY()</f>
        <v>-247</v>
      </c>
      <c r="U478" s="80">
        <f t="shared" ca="1" si="78"/>
        <v>0</v>
      </c>
      <c r="V478" s="72"/>
      <c r="W478" s="73" t="s">
        <v>14307</v>
      </c>
      <c r="X478" s="65">
        <v>30</v>
      </c>
      <c r="Y478" s="65"/>
      <c r="Z478" s="65"/>
      <c r="AA478" s="65"/>
      <c r="AB478" s="65"/>
      <c r="AC478" s="65"/>
      <c r="AD478" s="65"/>
      <c r="AE478" s="65"/>
      <c r="AF478" s="68"/>
      <c r="AG478" s="66">
        <v>45154</v>
      </c>
      <c r="AH478" s="67" t="s">
        <v>14308</v>
      </c>
      <c r="AI478" s="65" t="s">
        <v>3060</v>
      </c>
      <c r="AJ478" s="65"/>
      <c r="AK478" s="97">
        <f t="shared" ca="1" si="74"/>
        <v>247</v>
      </c>
      <c r="AL478">
        <f>IFERROR(VLOOKUP(A478,'DATA CLIENTES'!B4775:I8284,6,FALSE),0)</f>
        <v>0</v>
      </c>
    </row>
    <row r="479" spans="1:38" x14ac:dyDescent="0.25">
      <c r="A479" s="93" t="s">
        <v>9345</v>
      </c>
      <c r="B479" s="68" t="s">
        <v>14330</v>
      </c>
      <c r="C479" s="65"/>
      <c r="D479" s="65"/>
      <c r="E479" s="65"/>
      <c r="F479" s="69" t="s">
        <v>14559</v>
      </c>
      <c r="G479" s="70"/>
      <c r="H479" s="65" t="s">
        <v>14780</v>
      </c>
      <c r="I479" s="75">
        <v>3366.7200000000003</v>
      </c>
      <c r="J479" s="75">
        <f>1650+1716.7</f>
        <v>3366.7</v>
      </c>
      <c r="K479" s="75"/>
      <c r="L479" s="75"/>
      <c r="M479" s="75"/>
      <c r="N479" s="75">
        <f>Tabla1[[#This Row],[IMPORTE APROBADO]]-Tabla1[[#This Row],[AMORTIZACION2]]</f>
        <v>2.0000000000436557E-2</v>
      </c>
      <c r="O479" s="65" t="str">
        <f>TEXT(Tabla1[[#This Row],[EMISION]],"mmm")</f>
        <v>Jun</v>
      </c>
      <c r="P479" s="65" t="str">
        <f>TEXT(Tabla1[[#This Row],[EMISION]],"YYYY")</f>
        <v>2023</v>
      </c>
      <c r="Q479" s="71">
        <v>45092</v>
      </c>
      <c r="R479" s="65" t="str">
        <f>TEXT(Tabla1[[#This Row],[VENCIMIENTO]],"mmm")</f>
        <v>Jul</v>
      </c>
      <c r="S479" s="71">
        <f t="shared" si="77"/>
        <v>45112</v>
      </c>
      <c r="T479" s="72">
        <f ca="1">Tabla1[[#This Row],[EMISION]]+Tabla1[[#This Row],[PLAZO]]-TODAY()</f>
        <v>-257</v>
      </c>
      <c r="U479" s="80">
        <f t="shared" ca="1" si="78"/>
        <v>0</v>
      </c>
      <c r="V479" s="72"/>
      <c r="W479" s="73" t="s">
        <v>14307</v>
      </c>
      <c r="X479" s="65">
        <v>20</v>
      </c>
      <c r="Y479" s="65"/>
      <c r="Z479" s="65"/>
      <c r="AA479" s="65"/>
      <c r="AB479" s="65"/>
      <c r="AC479" s="65"/>
      <c r="AD479" s="65"/>
      <c r="AE479" s="65"/>
      <c r="AF479" s="68"/>
      <c r="AG479" s="66">
        <v>45118</v>
      </c>
      <c r="AH479" s="67" t="s">
        <v>14308</v>
      </c>
      <c r="AI479" s="65" t="s">
        <v>3060</v>
      </c>
      <c r="AJ479" s="65"/>
      <c r="AK479" s="97">
        <f t="shared" ca="1" si="74"/>
        <v>257</v>
      </c>
      <c r="AL479">
        <f>IFERROR(VLOOKUP(A479,'DATA CLIENTES'!B4776:I8284,6,FALSE),0)</f>
        <v>0</v>
      </c>
    </row>
    <row r="480" spans="1:38" x14ac:dyDescent="0.25">
      <c r="A480" s="93" t="s">
        <v>9812</v>
      </c>
      <c r="B480" s="68" t="s">
        <v>9813</v>
      </c>
      <c r="C480" s="65"/>
      <c r="D480" s="65"/>
      <c r="E480" s="65"/>
      <c r="F480" s="69" t="s">
        <v>14725</v>
      </c>
      <c r="G480" s="70"/>
      <c r="H480" s="65" t="s">
        <v>14781</v>
      </c>
      <c r="I480" s="75">
        <v>3727.2</v>
      </c>
      <c r="J480" s="75">
        <v>3727.2</v>
      </c>
      <c r="K480" s="75"/>
      <c r="L480" s="75"/>
      <c r="M480" s="75"/>
      <c r="N480" s="75">
        <f>Tabla1[[#This Row],[IMPORTE APROBADO]]-Tabla1[[#This Row],[AMORTIZACION2]]</f>
        <v>0</v>
      </c>
      <c r="O480" s="65" t="str">
        <f>TEXT(Tabla1[[#This Row],[EMISION]],"mmm")</f>
        <v>Jun</v>
      </c>
      <c r="P480" s="65" t="str">
        <f>TEXT(Tabla1[[#This Row],[EMISION]],"YYYY")</f>
        <v>2023</v>
      </c>
      <c r="Q480" s="71">
        <v>45093</v>
      </c>
      <c r="R480" s="65" t="str">
        <f>TEXT(Tabla1[[#This Row],[VENCIMIENTO]],"mmm")</f>
        <v>Jul</v>
      </c>
      <c r="S480" s="71">
        <f t="shared" si="77"/>
        <v>45108</v>
      </c>
      <c r="T480" s="72">
        <f ca="1">Tabla1[[#This Row],[EMISION]]+Tabla1[[#This Row],[PLAZO]]-TODAY()</f>
        <v>-261</v>
      </c>
      <c r="U480" s="80">
        <f t="shared" ca="1" si="78"/>
        <v>0</v>
      </c>
      <c r="V480" s="72"/>
      <c r="W480" s="73" t="s">
        <v>14307</v>
      </c>
      <c r="X480" s="65">
        <v>15</v>
      </c>
      <c r="Y480" s="65"/>
      <c r="Z480" s="65"/>
      <c r="AA480" s="65"/>
      <c r="AB480" s="65"/>
      <c r="AC480" s="65"/>
      <c r="AD480" s="65"/>
      <c r="AE480" s="65"/>
      <c r="AF480" s="68"/>
      <c r="AG480" s="66">
        <v>45113</v>
      </c>
      <c r="AH480" s="67" t="s">
        <v>14308</v>
      </c>
      <c r="AI480" s="65" t="s">
        <v>3060</v>
      </c>
      <c r="AJ480" s="65"/>
      <c r="AK480" s="97">
        <f t="shared" ca="1" si="74"/>
        <v>261</v>
      </c>
      <c r="AL480">
        <f>IFERROR(VLOOKUP(A480,'DATA CLIENTES'!B4777:I8284,6,FALSE),0)</f>
        <v>0</v>
      </c>
    </row>
    <row r="481" spans="1:38" x14ac:dyDescent="0.25">
      <c r="A481" s="93" t="s">
        <v>10005</v>
      </c>
      <c r="B481" s="68" t="s">
        <v>14414</v>
      </c>
      <c r="C481" s="65"/>
      <c r="D481" s="65"/>
      <c r="E481" s="65"/>
      <c r="F481" s="69" t="s">
        <v>14725</v>
      </c>
      <c r="G481" s="70"/>
      <c r="H481" s="65" t="s">
        <v>14782</v>
      </c>
      <c r="I481" s="75">
        <v>2800</v>
      </c>
      <c r="J481" s="75">
        <f>900+900+500+500</f>
        <v>2800</v>
      </c>
      <c r="K481" s="75"/>
      <c r="L481" s="75"/>
      <c r="M481" s="75"/>
      <c r="N481" s="75">
        <f>Tabla1[[#This Row],[IMPORTE APROBADO]]-Tabla1[[#This Row],[AMORTIZACION2]]</f>
        <v>0</v>
      </c>
      <c r="O481" s="65" t="str">
        <f>TEXT(Tabla1[[#This Row],[EMISION]],"mmm")</f>
        <v>Jun</v>
      </c>
      <c r="P481" s="65" t="str">
        <f>TEXT(Tabla1[[#This Row],[EMISION]],"YYYY")</f>
        <v>2023</v>
      </c>
      <c r="Q481" s="71">
        <v>45094</v>
      </c>
      <c r="R481" s="65" t="str">
        <f>TEXT(Tabla1[[#This Row],[VENCIMIENTO]],"mmm")</f>
        <v>Jul</v>
      </c>
      <c r="S481" s="71">
        <f t="shared" si="77"/>
        <v>45109</v>
      </c>
      <c r="T481" s="72">
        <f ca="1">Tabla1[[#This Row],[EMISION]]+Tabla1[[#This Row],[PLAZO]]-TODAY()</f>
        <v>-260</v>
      </c>
      <c r="U481" s="80">
        <f t="shared" ca="1" si="78"/>
        <v>0</v>
      </c>
      <c r="V481" s="72"/>
      <c r="W481" s="73" t="s">
        <v>14307</v>
      </c>
      <c r="X481" s="65">
        <v>15</v>
      </c>
      <c r="Y481" s="65"/>
      <c r="Z481" s="65"/>
      <c r="AA481" s="65"/>
      <c r="AB481" s="65"/>
      <c r="AC481" s="65"/>
      <c r="AD481" s="65"/>
      <c r="AE481" s="65"/>
      <c r="AF481" s="68"/>
      <c r="AG481" s="66">
        <v>45119</v>
      </c>
      <c r="AH481" s="67" t="s">
        <v>14308</v>
      </c>
      <c r="AI481" s="65" t="s">
        <v>3060</v>
      </c>
      <c r="AJ481" s="65"/>
      <c r="AK481" s="97">
        <f t="shared" ca="1" si="74"/>
        <v>260</v>
      </c>
      <c r="AL481">
        <f>IFERROR(VLOOKUP(A481,'DATA CLIENTES'!B4778:I8284,6,FALSE),0)</f>
        <v>0</v>
      </c>
    </row>
    <row r="482" spans="1:38" x14ac:dyDescent="0.25">
      <c r="A482" s="93" t="s">
        <v>14833</v>
      </c>
      <c r="B482" s="68" t="s">
        <v>4621</v>
      </c>
      <c r="C482" s="65"/>
      <c r="D482" s="65"/>
      <c r="E482" s="65"/>
      <c r="F482" s="69" t="s">
        <v>7000</v>
      </c>
      <c r="G482" s="70"/>
      <c r="H482" s="65" t="s">
        <v>14783</v>
      </c>
      <c r="I482" s="75">
        <v>611.70000000000016</v>
      </c>
      <c r="J482" s="75">
        <v>611.70000000000005</v>
      </c>
      <c r="K482" s="75"/>
      <c r="L482" s="75"/>
      <c r="M482" s="75"/>
      <c r="N482" s="75">
        <f>Tabla1[[#This Row],[IMPORTE APROBADO]]-Tabla1[[#This Row],[AMORTIZACION2]]</f>
        <v>0</v>
      </c>
      <c r="O482" s="65" t="str">
        <f>TEXT(Tabla1[[#This Row],[EMISION]],"mmm")</f>
        <v>Jun</v>
      </c>
      <c r="P482" s="65" t="str">
        <f>TEXT(Tabla1[[#This Row],[EMISION]],"YYYY")</f>
        <v>2023</v>
      </c>
      <c r="Q482" s="71">
        <v>45094</v>
      </c>
      <c r="R482" s="65" t="str">
        <f>TEXT(Tabla1[[#This Row],[VENCIMIENTO]],"mmm")</f>
        <v>Ago</v>
      </c>
      <c r="S482" s="71">
        <f t="shared" si="77"/>
        <v>45154</v>
      </c>
      <c r="T482" s="72">
        <f ca="1">Tabla1[[#This Row],[EMISION]]+Tabla1[[#This Row],[PLAZO]]-TODAY()</f>
        <v>-215</v>
      </c>
      <c r="U482" s="80">
        <f t="shared" ca="1" si="78"/>
        <v>0</v>
      </c>
      <c r="V482" s="72" t="s">
        <v>14477</v>
      </c>
      <c r="W482" s="73" t="s">
        <v>14307</v>
      </c>
      <c r="X482" s="65">
        <v>60</v>
      </c>
      <c r="Y482" s="65"/>
      <c r="Z482" s="65"/>
      <c r="AA482" s="65"/>
      <c r="AB482" s="65"/>
      <c r="AC482" s="65"/>
      <c r="AD482" s="65"/>
      <c r="AE482" s="65"/>
      <c r="AF482" s="68"/>
      <c r="AG482" s="66">
        <v>45141</v>
      </c>
      <c r="AH482" s="67" t="s">
        <v>14308</v>
      </c>
      <c r="AI482" s="65" t="s">
        <v>3060</v>
      </c>
      <c r="AJ482" s="65"/>
      <c r="AK482" s="97">
        <f t="shared" ca="1" si="74"/>
        <v>215</v>
      </c>
      <c r="AL482">
        <f>IFERROR(VLOOKUP(A482,'DATA CLIENTES'!B4779:I8284,6,FALSE),0)</f>
        <v>0</v>
      </c>
    </row>
    <row r="483" spans="1:38" x14ac:dyDescent="0.25">
      <c r="A483" s="93" t="s">
        <v>9887</v>
      </c>
      <c r="B483" s="68" t="s">
        <v>9888</v>
      </c>
      <c r="C483" s="65"/>
      <c r="D483" s="65"/>
      <c r="E483" s="65"/>
      <c r="F483" s="69" t="s">
        <v>14559</v>
      </c>
      <c r="G483" s="70"/>
      <c r="H483" s="65" t="s">
        <v>14784</v>
      </c>
      <c r="I483" s="75">
        <v>1277.3997079999999</v>
      </c>
      <c r="J483" s="75">
        <f>1200+77.4</f>
        <v>1277.4000000000001</v>
      </c>
      <c r="K483" s="75"/>
      <c r="L483" s="75"/>
      <c r="M483" s="75"/>
      <c r="N483" s="75">
        <f>Tabla1[[#This Row],[IMPORTE APROBADO]]-Tabla1[[#This Row],[AMORTIZACION2]]</f>
        <v>-2.9200000017226557E-4</v>
      </c>
      <c r="O483" s="65" t="str">
        <f>TEXT(Tabla1[[#This Row],[EMISION]],"mmm")</f>
        <v>Jun</v>
      </c>
      <c r="P483" s="65" t="str">
        <f>TEXT(Tabla1[[#This Row],[EMISION]],"YYYY")</f>
        <v>2023</v>
      </c>
      <c r="Q483" s="71">
        <v>45096</v>
      </c>
      <c r="R483" s="65" t="str">
        <f>TEXT(Tabla1[[#This Row],[VENCIMIENTO]],"mmm")</f>
        <v>Jul</v>
      </c>
      <c r="S483" s="71">
        <f t="shared" si="77"/>
        <v>45121</v>
      </c>
      <c r="T483" s="72">
        <f ca="1">Tabla1[[#This Row],[EMISION]]+Tabla1[[#This Row],[PLAZO]]-TODAY()</f>
        <v>-248</v>
      </c>
      <c r="U483" s="80">
        <f t="shared" ca="1" si="78"/>
        <v>0</v>
      </c>
      <c r="V483" s="72"/>
      <c r="W483" s="73" t="s">
        <v>14307</v>
      </c>
      <c r="X483" s="65">
        <v>25</v>
      </c>
      <c r="Y483" s="65"/>
      <c r="Z483" s="65"/>
      <c r="AA483" s="65"/>
      <c r="AB483" s="65"/>
      <c r="AC483" s="65"/>
      <c r="AD483" s="65"/>
      <c r="AE483" s="65"/>
      <c r="AF483" s="68"/>
      <c r="AG483" s="66">
        <v>45142</v>
      </c>
      <c r="AH483" s="67" t="s">
        <v>14308</v>
      </c>
      <c r="AI483" s="65" t="s">
        <v>3060</v>
      </c>
      <c r="AJ483" s="65"/>
      <c r="AK483" s="97">
        <f t="shared" ca="1" si="74"/>
        <v>248</v>
      </c>
      <c r="AL483">
        <f>IFERROR(VLOOKUP(A483,'DATA CLIENTES'!B4780:I8284,6,FALSE),0)</f>
        <v>0</v>
      </c>
    </row>
    <row r="484" spans="1:38" x14ac:dyDescent="0.25">
      <c r="A484" s="93" t="s">
        <v>5547</v>
      </c>
      <c r="B484" s="68" t="s">
        <v>5548</v>
      </c>
      <c r="C484" s="65"/>
      <c r="D484" s="65"/>
      <c r="E484" s="65"/>
      <c r="F484" s="69" t="s">
        <v>14725</v>
      </c>
      <c r="G484" s="70"/>
      <c r="H484" s="65" t="s">
        <v>14785</v>
      </c>
      <c r="I484" s="75">
        <v>2076.5972700000002</v>
      </c>
      <c r="J484" s="75">
        <f>500+163</f>
        <v>663</v>
      </c>
      <c r="K484" s="75"/>
      <c r="L484" s="75"/>
      <c r="M484" s="75"/>
      <c r="N484" s="75">
        <f>Tabla1[[#This Row],[IMPORTE APROBADO]]-Tabla1[[#This Row],[AMORTIZACION2]]</f>
        <v>1413.5972700000002</v>
      </c>
      <c r="O484" s="65" t="str">
        <f>TEXT(Tabla1[[#This Row],[EMISION]],"mmm")</f>
        <v>Jun</v>
      </c>
      <c r="P484" s="65" t="str">
        <f>TEXT(Tabla1[[#This Row],[EMISION]],"YYYY")</f>
        <v>2023</v>
      </c>
      <c r="Q484" s="71">
        <v>45097</v>
      </c>
      <c r="R484" s="65" t="str">
        <f>TEXT(Tabla1[[#This Row],[VENCIMIENTO]],"mmm")</f>
        <v>Jul</v>
      </c>
      <c r="S484" s="71">
        <f t="shared" ref="S484:S487" si="79">Q484+X484</f>
        <v>45112</v>
      </c>
      <c r="T484" s="72">
        <f ca="1">Tabla1[[#This Row],[EMISION]]+Tabla1[[#This Row],[PLAZO]]-TODAY()</f>
        <v>-257</v>
      </c>
      <c r="U484" s="80">
        <f t="shared" ref="U484:U487" ca="1" si="80">IF(T484&gt;=0,$U$4,IF(AND(T484&lt;=-1,T484&gt;=-30),$U$5,IF(AND(T484&lt;=-31,T484&gt;=-60),$U$6,IF(AND(T484&lt;=-61,T484&gt;=-90),$U$7,$U$8))))</f>
        <v>0</v>
      </c>
      <c r="V484" s="72"/>
      <c r="W484" s="73" t="s">
        <v>14307</v>
      </c>
      <c r="X484" s="65">
        <v>15</v>
      </c>
      <c r="Y484" s="65"/>
      <c r="Z484" s="65"/>
      <c r="AA484" s="65"/>
      <c r="AB484" s="65"/>
      <c r="AC484" s="65"/>
      <c r="AD484" s="65"/>
      <c r="AE484" s="65"/>
      <c r="AF484" s="68"/>
      <c r="AG484" s="66">
        <v>45216</v>
      </c>
      <c r="AH484" s="67" t="s">
        <v>14308</v>
      </c>
      <c r="AI484" s="65" t="s">
        <v>3060</v>
      </c>
      <c r="AJ484" s="65"/>
      <c r="AK484" s="97">
        <f t="shared" ca="1" si="74"/>
        <v>257</v>
      </c>
      <c r="AL484">
        <f>IFERROR(VLOOKUP(A484,'DATA CLIENTES'!B4781:I8284,6,FALSE),0)</f>
        <v>0</v>
      </c>
    </row>
    <row r="485" spans="1:38" x14ac:dyDescent="0.25">
      <c r="A485" s="93" t="s">
        <v>14837</v>
      </c>
      <c r="B485" s="68" t="s">
        <v>14786</v>
      </c>
      <c r="C485" s="65"/>
      <c r="D485" s="65"/>
      <c r="E485" s="65"/>
      <c r="F485" s="69" t="s">
        <v>7000</v>
      </c>
      <c r="G485" s="70"/>
      <c r="H485" s="65" t="s">
        <v>14787</v>
      </c>
      <c r="I485" s="75">
        <v>176</v>
      </c>
      <c r="J485" s="75">
        <v>160.4</v>
      </c>
      <c r="K485" s="75"/>
      <c r="L485" s="75"/>
      <c r="M485" s="75"/>
      <c r="N485" s="75">
        <f>Tabla1[[#This Row],[IMPORTE APROBADO]]-Tabla1[[#This Row],[AMORTIZACION2]]</f>
        <v>15.599999999999994</v>
      </c>
      <c r="O485" s="65" t="str">
        <f>TEXT(Tabla1[[#This Row],[EMISION]],"mmm")</f>
        <v>Jun</v>
      </c>
      <c r="P485" s="65" t="str">
        <f>TEXT(Tabla1[[#This Row],[EMISION]],"YYYY")</f>
        <v>2023</v>
      </c>
      <c r="Q485" s="71">
        <v>45097</v>
      </c>
      <c r="R485" s="65" t="str">
        <f>TEXT(Tabla1[[#This Row],[VENCIMIENTO]],"mmm")</f>
        <v>Ago</v>
      </c>
      <c r="S485" s="71">
        <f t="shared" si="79"/>
        <v>45157</v>
      </c>
      <c r="T485" s="72">
        <f ca="1">Tabla1[[#This Row],[EMISION]]+Tabla1[[#This Row],[PLAZO]]-TODAY()</f>
        <v>-212</v>
      </c>
      <c r="U485" s="80">
        <f t="shared" ca="1" si="80"/>
        <v>0</v>
      </c>
      <c r="V485" s="72" t="s">
        <v>14477</v>
      </c>
      <c r="W485" s="73" t="s">
        <v>14307</v>
      </c>
      <c r="X485" s="65">
        <v>60</v>
      </c>
      <c r="Y485" s="65"/>
      <c r="Z485" s="65"/>
      <c r="AA485" s="65"/>
      <c r="AB485" s="65"/>
      <c r="AC485" s="65"/>
      <c r="AD485" s="65"/>
      <c r="AE485" s="65"/>
      <c r="AF485" s="68"/>
      <c r="AG485" s="66">
        <v>45141</v>
      </c>
      <c r="AH485" s="67" t="s">
        <v>14308</v>
      </c>
      <c r="AI485" s="65" t="s">
        <v>3060</v>
      </c>
      <c r="AJ485" s="65"/>
      <c r="AK485" s="97">
        <f t="shared" ca="1" si="74"/>
        <v>212</v>
      </c>
      <c r="AL485">
        <f>IFERROR(VLOOKUP(A485,'DATA CLIENTES'!B4782:I8284,6,FALSE),0)</f>
        <v>0</v>
      </c>
    </row>
    <row r="486" spans="1:38" x14ac:dyDescent="0.25">
      <c r="A486" s="93" t="s">
        <v>14833</v>
      </c>
      <c r="B486" s="68" t="s">
        <v>4621</v>
      </c>
      <c r="C486" s="65"/>
      <c r="D486" s="65"/>
      <c r="E486" s="65"/>
      <c r="F486" s="69" t="s">
        <v>7000</v>
      </c>
      <c r="G486" s="70"/>
      <c r="H486" s="65" t="s">
        <v>14788</v>
      </c>
      <c r="I486" s="75">
        <v>-15.6</v>
      </c>
      <c r="J486" s="75"/>
      <c r="K486" s="75"/>
      <c r="L486" s="75"/>
      <c r="M486" s="75"/>
      <c r="N486" s="75">
        <f>Tabla1[[#This Row],[IMPORTE APROBADO]]-Tabla1[[#This Row],[AMORTIZACION2]]</f>
        <v>-15.6</v>
      </c>
      <c r="O486" s="65" t="str">
        <f>TEXT(Tabla1[[#This Row],[EMISION]],"mmm")</f>
        <v>Jun</v>
      </c>
      <c r="P486" s="65" t="str">
        <f>TEXT(Tabla1[[#This Row],[EMISION]],"YYYY")</f>
        <v>2023</v>
      </c>
      <c r="Q486" s="71">
        <v>45098</v>
      </c>
      <c r="R486" s="65" t="str">
        <f>TEXT(Tabla1[[#This Row],[VENCIMIENTO]],"mmm")</f>
        <v>Ago</v>
      </c>
      <c r="S486" s="71">
        <f t="shared" si="79"/>
        <v>45158</v>
      </c>
      <c r="T486" s="72">
        <f ca="1">Tabla1[[#This Row],[EMISION]]+Tabla1[[#This Row],[PLAZO]]-TODAY()</f>
        <v>-211</v>
      </c>
      <c r="U486" s="80">
        <f t="shared" ca="1" si="80"/>
        <v>0</v>
      </c>
      <c r="V486" s="72" t="s">
        <v>14477</v>
      </c>
      <c r="W486" s="73" t="s">
        <v>14307</v>
      </c>
      <c r="X486" s="65">
        <v>60</v>
      </c>
      <c r="Y486" s="65"/>
      <c r="Z486" s="65"/>
      <c r="AA486" s="65"/>
      <c r="AB486" s="65"/>
      <c r="AC486" s="65"/>
      <c r="AD486" s="65"/>
      <c r="AE486" s="65"/>
      <c r="AF486" s="68"/>
      <c r="AG486" s="66">
        <v>45141</v>
      </c>
      <c r="AH486" s="67" t="s">
        <v>14308</v>
      </c>
      <c r="AI486" s="65" t="s">
        <v>3060</v>
      </c>
      <c r="AJ486" s="65"/>
      <c r="AK486" s="97">
        <f t="shared" ca="1" si="74"/>
        <v>211</v>
      </c>
      <c r="AL486">
        <f>IFERROR(VLOOKUP(A486,'DATA CLIENTES'!B4783:I8284,6,FALSE),0)</f>
        <v>0</v>
      </c>
    </row>
    <row r="487" spans="1:38" x14ac:dyDescent="0.25">
      <c r="A487" s="93" t="s">
        <v>10005</v>
      </c>
      <c r="B487" s="68" t="s">
        <v>14414</v>
      </c>
      <c r="C487" s="65"/>
      <c r="D487" s="65"/>
      <c r="E487" s="65"/>
      <c r="F487" s="69" t="s">
        <v>14559</v>
      </c>
      <c r="G487" s="70"/>
      <c r="H487" s="65" t="s">
        <v>14789</v>
      </c>
      <c r="I487" s="75">
        <v>3553.21</v>
      </c>
      <c r="J487" s="75">
        <f>553.2+400+600+1000+500+500</f>
        <v>3553.2</v>
      </c>
      <c r="K487" s="75"/>
      <c r="L487" s="75"/>
      <c r="M487" s="75"/>
      <c r="N487" s="75">
        <f>Tabla1[[#This Row],[IMPORTE APROBADO]]-Tabla1[[#This Row],[AMORTIZACION2]]</f>
        <v>1.0000000000218279E-2</v>
      </c>
      <c r="O487" s="65" t="str">
        <f>TEXT(Tabla1[[#This Row],[EMISION]],"mmm")</f>
        <v>Jun</v>
      </c>
      <c r="P487" s="65" t="str">
        <f>TEXT(Tabla1[[#This Row],[EMISION]],"YYYY")</f>
        <v>2023</v>
      </c>
      <c r="Q487" s="71">
        <v>45100</v>
      </c>
      <c r="R487" s="65" t="str">
        <f>TEXT(Tabla1[[#This Row],[VENCIMIENTO]],"mmm")</f>
        <v>Jul</v>
      </c>
      <c r="S487" s="71">
        <f t="shared" si="79"/>
        <v>45121</v>
      </c>
      <c r="T487" s="72">
        <f ca="1">Tabla1[[#This Row],[EMISION]]+Tabla1[[#This Row],[PLAZO]]-TODAY()</f>
        <v>-248</v>
      </c>
      <c r="U487" s="80">
        <f t="shared" ca="1" si="80"/>
        <v>0</v>
      </c>
      <c r="V487" s="72"/>
      <c r="W487" s="73" t="s">
        <v>14307</v>
      </c>
      <c r="X487" s="65">
        <v>21</v>
      </c>
      <c r="Y487" s="65"/>
      <c r="Z487" s="65"/>
      <c r="AA487" s="65"/>
      <c r="AB487" s="65"/>
      <c r="AC487" s="65"/>
      <c r="AD487" s="65"/>
      <c r="AE487" s="65"/>
      <c r="AF487" s="68"/>
      <c r="AG487" s="66">
        <v>45132</v>
      </c>
      <c r="AH487" s="67" t="s">
        <v>14308</v>
      </c>
      <c r="AI487" s="65" t="s">
        <v>3060</v>
      </c>
      <c r="AJ487" s="65"/>
      <c r="AK487" s="97">
        <f t="shared" ca="1" si="74"/>
        <v>248</v>
      </c>
      <c r="AL487">
        <f>IFERROR(VLOOKUP(A487,'DATA CLIENTES'!B4784:I8284,6,FALSE),0)</f>
        <v>0</v>
      </c>
    </row>
    <row r="488" spans="1:38" x14ac:dyDescent="0.25">
      <c r="A488" s="93" t="s">
        <v>8544</v>
      </c>
      <c r="B488" s="68" t="s">
        <v>8545</v>
      </c>
      <c r="C488" s="65"/>
      <c r="D488" s="65"/>
      <c r="E488" s="65"/>
      <c r="F488" s="69" t="s">
        <v>14559</v>
      </c>
      <c r="G488" s="70"/>
      <c r="H488" s="65" t="s">
        <v>14790</v>
      </c>
      <c r="I488" s="75">
        <v>6525</v>
      </c>
      <c r="J488" s="75">
        <v>6525</v>
      </c>
      <c r="K488" s="75"/>
      <c r="L488" s="75"/>
      <c r="M488" s="75"/>
      <c r="N488" s="75">
        <f>Tabla1[[#This Row],[IMPORTE APROBADO]]-Tabla1[[#This Row],[AMORTIZACION2]]</f>
        <v>0</v>
      </c>
      <c r="O488" s="65" t="str">
        <f>TEXT(Tabla1[[#This Row],[EMISION]],"mmm")</f>
        <v>Jun</v>
      </c>
      <c r="P488" s="65" t="str">
        <f>TEXT(Tabla1[[#This Row],[EMISION]],"YYYY")</f>
        <v>2023</v>
      </c>
      <c r="Q488" s="71">
        <v>45100</v>
      </c>
      <c r="R488" s="65" t="str">
        <f>TEXT(Tabla1[[#This Row],[VENCIMIENTO]],"mmm")</f>
        <v>Jul</v>
      </c>
      <c r="S488" s="71">
        <f t="shared" ref="S488:S492" si="81">Q488+X488</f>
        <v>45125</v>
      </c>
      <c r="T488" s="72">
        <f ca="1">Tabla1[[#This Row],[EMISION]]+Tabla1[[#This Row],[PLAZO]]-TODAY()</f>
        <v>-244</v>
      </c>
      <c r="U488" s="80">
        <f t="shared" ref="U488:U492" ca="1" si="82">IF(T488&gt;=0,$U$4,IF(AND(T488&lt;=-1,T488&gt;=-30),$U$5,IF(AND(T488&lt;=-31,T488&gt;=-60),$U$6,IF(AND(T488&lt;=-61,T488&gt;=-90),$U$7,$U$8))))</f>
        <v>0</v>
      </c>
      <c r="V488" s="72"/>
      <c r="W488" s="73" t="s">
        <v>14307</v>
      </c>
      <c r="X488" s="65">
        <v>25</v>
      </c>
      <c r="Y488" s="65"/>
      <c r="Z488" s="65"/>
      <c r="AA488" s="65"/>
      <c r="AB488" s="65"/>
      <c r="AC488" s="65"/>
      <c r="AD488" s="65"/>
      <c r="AE488" s="65"/>
      <c r="AF488" s="68"/>
      <c r="AG488" s="66">
        <v>45121</v>
      </c>
      <c r="AH488" s="67" t="s">
        <v>14308</v>
      </c>
      <c r="AI488" s="65" t="s">
        <v>3060</v>
      </c>
      <c r="AJ488" s="65"/>
      <c r="AK488" s="97">
        <f t="shared" ca="1" si="74"/>
        <v>244</v>
      </c>
      <c r="AL488">
        <f>IFERROR(VLOOKUP(A488,'DATA CLIENTES'!B4785:I8284,6,FALSE),0)</f>
        <v>0</v>
      </c>
    </row>
    <row r="489" spans="1:38" x14ac:dyDescent="0.25">
      <c r="A489" s="93" t="s">
        <v>5571</v>
      </c>
      <c r="B489" s="68" t="s">
        <v>5572</v>
      </c>
      <c r="C489" s="65"/>
      <c r="D489" s="65"/>
      <c r="E489" s="65"/>
      <c r="F489" s="69" t="s">
        <v>14571</v>
      </c>
      <c r="G489" s="70"/>
      <c r="H489" s="65" t="s">
        <v>14791</v>
      </c>
      <c r="I489" s="75">
        <v>750</v>
      </c>
      <c r="J489" s="75">
        <f>500+250</f>
        <v>750</v>
      </c>
      <c r="K489" s="75"/>
      <c r="L489" s="75"/>
      <c r="M489" s="75"/>
      <c r="N489" s="75">
        <f>Tabla1[[#This Row],[IMPORTE APROBADO]]-Tabla1[[#This Row],[AMORTIZACION2]]</f>
        <v>0</v>
      </c>
      <c r="O489" s="65" t="str">
        <f>TEXT(Tabla1[[#This Row],[EMISION]],"mmm")</f>
        <v>Jun</v>
      </c>
      <c r="P489" s="65" t="str">
        <f>TEXT(Tabla1[[#This Row],[EMISION]],"YYYY")</f>
        <v>2023</v>
      </c>
      <c r="Q489" s="71">
        <v>45103</v>
      </c>
      <c r="R489" s="65" t="str">
        <f>TEXT(Tabla1[[#This Row],[VENCIMIENTO]],"mmm")</f>
        <v>Jul</v>
      </c>
      <c r="S489" s="71">
        <f t="shared" si="81"/>
        <v>45118</v>
      </c>
      <c r="T489" s="72">
        <f ca="1">Tabla1[[#This Row],[EMISION]]+Tabla1[[#This Row],[PLAZO]]-TODAY()</f>
        <v>-251</v>
      </c>
      <c r="U489" s="80">
        <f t="shared" ca="1" si="82"/>
        <v>0</v>
      </c>
      <c r="V489" s="72"/>
      <c r="W489" s="73" t="s">
        <v>14307</v>
      </c>
      <c r="X489" s="65">
        <v>15</v>
      </c>
      <c r="Y489" s="65"/>
      <c r="Z489" s="65"/>
      <c r="AA489" s="65"/>
      <c r="AB489" s="65"/>
      <c r="AC489" s="65"/>
      <c r="AD489" s="65"/>
      <c r="AE489" s="65"/>
      <c r="AF489" s="68"/>
      <c r="AG489" s="66">
        <v>45142</v>
      </c>
      <c r="AH489" s="67" t="s">
        <v>14308</v>
      </c>
      <c r="AI489" s="65" t="s">
        <v>3060</v>
      </c>
      <c r="AJ489" s="65"/>
      <c r="AK489" s="97">
        <f t="shared" ca="1" si="74"/>
        <v>251</v>
      </c>
      <c r="AL489">
        <f>IFERROR(VLOOKUP(A489,'DATA CLIENTES'!B4786:I8284,6,FALSE),0)</f>
        <v>0</v>
      </c>
    </row>
    <row r="490" spans="1:38" x14ac:dyDescent="0.25">
      <c r="A490" s="93" t="s">
        <v>5571</v>
      </c>
      <c r="B490" s="68" t="s">
        <v>5572</v>
      </c>
      <c r="C490" s="65"/>
      <c r="D490" s="65"/>
      <c r="E490" s="65"/>
      <c r="F490" s="69" t="s">
        <v>14571</v>
      </c>
      <c r="G490" s="70"/>
      <c r="H490" s="65" t="s">
        <v>14792</v>
      </c>
      <c r="I490" s="75">
        <v>2900</v>
      </c>
      <c r="J490" s="75">
        <f>150+1000+150+500+250+200+200+320+130</f>
        <v>2900</v>
      </c>
      <c r="K490" s="75"/>
      <c r="L490" s="75"/>
      <c r="M490" s="75"/>
      <c r="N490" s="75">
        <f>Tabla1[[#This Row],[IMPORTE APROBADO]]-Tabla1[[#This Row],[AMORTIZACION2]]</f>
        <v>0</v>
      </c>
      <c r="O490" s="65" t="str">
        <f>TEXT(Tabla1[[#This Row],[EMISION]],"mmm")</f>
        <v>Jun</v>
      </c>
      <c r="P490" s="65" t="str">
        <f>TEXT(Tabla1[[#This Row],[EMISION]],"YYYY")</f>
        <v>2023</v>
      </c>
      <c r="Q490" s="71">
        <v>45104</v>
      </c>
      <c r="R490" s="65" t="str">
        <f>TEXT(Tabla1[[#This Row],[VENCIMIENTO]],"mmm")</f>
        <v>Jul</v>
      </c>
      <c r="S490" s="71">
        <f t="shared" si="81"/>
        <v>45119</v>
      </c>
      <c r="T490" s="72">
        <f ca="1">Tabla1[[#This Row],[EMISION]]+Tabla1[[#This Row],[PLAZO]]-TODAY()</f>
        <v>-250</v>
      </c>
      <c r="U490" s="80">
        <f t="shared" ca="1" si="82"/>
        <v>0</v>
      </c>
      <c r="V490" s="72"/>
      <c r="W490" s="73" t="s">
        <v>14307</v>
      </c>
      <c r="X490" s="65">
        <v>15</v>
      </c>
      <c r="Y490" s="65"/>
      <c r="Z490" s="65"/>
      <c r="AA490" s="65"/>
      <c r="AB490" s="65"/>
      <c r="AC490" s="65"/>
      <c r="AD490" s="65"/>
      <c r="AE490" s="65"/>
      <c r="AF490" s="68"/>
      <c r="AG490" s="66">
        <v>45164</v>
      </c>
      <c r="AH490" s="67" t="s">
        <v>14308</v>
      </c>
      <c r="AI490" s="65" t="s">
        <v>3060</v>
      </c>
      <c r="AJ490" s="65"/>
      <c r="AK490" s="97">
        <f t="shared" ca="1" si="74"/>
        <v>250</v>
      </c>
      <c r="AL490">
        <f>IFERROR(VLOOKUP(A490,'DATA CLIENTES'!B4787:I8284,6,FALSE),0)</f>
        <v>0</v>
      </c>
    </row>
    <row r="491" spans="1:38" x14ac:dyDescent="0.25">
      <c r="A491" s="93" t="s">
        <v>10210</v>
      </c>
      <c r="B491" s="68" t="s">
        <v>14793</v>
      </c>
      <c r="C491" s="65"/>
      <c r="D491" s="65"/>
      <c r="E491" s="65"/>
      <c r="F491" s="69" t="s">
        <v>14559</v>
      </c>
      <c r="G491" s="70"/>
      <c r="H491" s="65" t="s">
        <v>14794</v>
      </c>
      <c r="I491" s="75">
        <v>30962.959999999999</v>
      </c>
      <c r="J491" s="75">
        <f>7000+15000+2800+2170+3992.96</f>
        <v>30962.959999999999</v>
      </c>
      <c r="K491" s="75"/>
      <c r="L491" s="75"/>
      <c r="M491" s="75"/>
      <c r="N491" s="75">
        <f>Tabla1[[#This Row],[IMPORTE APROBADO]]-Tabla1[[#This Row],[AMORTIZACION2]]</f>
        <v>0</v>
      </c>
      <c r="O491" s="65" t="str">
        <f>TEXT(Tabla1[[#This Row],[EMISION]],"mmm")</f>
        <v>Jun</v>
      </c>
      <c r="P491" s="65" t="str">
        <f>TEXT(Tabla1[[#This Row],[EMISION]],"YYYY")</f>
        <v>2023</v>
      </c>
      <c r="Q491" s="71">
        <v>45105</v>
      </c>
      <c r="R491" s="65" t="str">
        <f>TEXT(Tabla1[[#This Row],[VENCIMIENTO]],"mmm")</f>
        <v>Jul</v>
      </c>
      <c r="S491" s="71">
        <f t="shared" si="81"/>
        <v>45135</v>
      </c>
      <c r="T491" s="72">
        <f ca="1">Tabla1[[#This Row],[EMISION]]+Tabla1[[#This Row],[PLAZO]]-TODAY()</f>
        <v>-234</v>
      </c>
      <c r="U491" s="80">
        <f t="shared" ca="1" si="82"/>
        <v>0</v>
      </c>
      <c r="V491" s="72"/>
      <c r="W491" s="73" t="s">
        <v>14307</v>
      </c>
      <c r="X491" s="65">
        <v>30</v>
      </c>
      <c r="Y491" s="65"/>
      <c r="Z491" s="65"/>
      <c r="AA491" s="65"/>
      <c r="AB491" s="65"/>
      <c r="AC491" s="65"/>
      <c r="AD491" s="65"/>
      <c r="AE491" s="65"/>
      <c r="AF491" s="68"/>
      <c r="AG491" s="66">
        <v>45133</v>
      </c>
      <c r="AH491" s="67" t="s">
        <v>14308</v>
      </c>
      <c r="AI491" s="65" t="s">
        <v>3060</v>
      </c>
      <c r="AJ491" s="65"/>
      <c r="AK491" s="97">
        <f t="shared" ca="1" si="74"/>
        <v>234</v>
      </c>
      <c r="AL491">
        <f>IFERROR(VLOOKUP(A491,'DATA CLIENTES'!B4788:I8284,6,FALSE),0)</f>
        <v>0</v>
      </c>
    </row>
    <row r="492" spans="1:38" x14ac:dyDescent="0.25">
      <c r="A492" s="93" t="s">
        <v>10210</v>
      </c>
      <c r="B492" s="68" t="s">
        <v>14793</v>
      </c>
      <c r="C492" s="65"/>
      <c r="D492" s="65"/>
      <c r="E492" s="65"/>
      <c r="F492" s="69" t="s">
        <v>14725</v>
      </c>
      <c r="G492" s="70"/>
      <c r="H492" s="65" t="s">
        <v>14795</v>
      </c>
      <c r="I492" s="75">
        <v>12150</v>
      </c>
      <c r="J492" s="75">
        <v>12150</v>
      </c>
      <c r="K492" s="75"/>
      <c r="L492" s="75"/>
      <c r="M492" s="75"/>
      <c r="N492" s="75">
        <f>Tabla1[[#This Row],[IMPORTE APROBADO]]-Tabla1[[#This Row],[AMORTIZACION2]]</f>
        <v>0</v>
      </c>
      <c r="O492" s="65" t="str">
        <f>TEXT(Tabla1[[#This Row],[EMISION]],"mmm")</f>
        <v>Jun</v>
      </c>
      <c r="P492" s="65" t="str">
        <f>TEXT(Tabla1[[#This Row],[EMISION]],"YYYY")</f>
        <v>2023</v>
      </c>
      <c r="Q492" s="71">
        <v>45105</v>
      </c>
      <c r="R492" s="65" t="str">
        <f>TEXT(Tabla1[[#This Row],[VENCIMIENTO]],"mmm")</f>
        <v>Jul</v>
      </c>
      <c r="S492" s="71">
        <f t="shared" si="81"/>
        <v>45120</v>
      </c>
      <c r="T492" s="72">
        <f ca="1">Tabla1[[#This Row],[EMISION]]+Tabla1[[#This Row],[PLAZO]]-TODAY()</f>
        <v>-249</v>
      </c>
      <c r="U492" s="80">
        <f t="shared" ca="1" si="82"/>
        <v>0</v>
      </c>
      <c r="V492" s="72"/>
      <c r="W492" s="73" t="s">
        <v>14307</v>
      </c>
      <c r="X492" s="65">
        <v>15</v>
      </c>
      <c r="Y492" s="65"/>
      <c r="Z492" s="65"/>
      <c r="AA492" s="65"/>
      <c r="AB492" s="65"/>
      <c r="AC492" s="65"/>
      <c r="AD492" s="65"/>
      <c r="AE492" s="65"/>
      <c r="AF492" s="68"/>
      <c r="AG492" s="66">
        <v>45111</v>
      </c>
      <c r="AH492" s="67" t="s">
        <v>14308</v>
      </c>
      <c r="AI492" s="65" t="s">
        <v>3060</v>
      </c>
      <c r="AJ492" s="65"/>
      <c r="AK492" s="97">
        <f t="shared" ca="1" si="74"/>
        <v>249</v>
      </c>
      <c r="AL492">
        <f>IFERROR(VLOOKUP(A492,'DATA CLIENTES'!B4789:I8284,6,FALSE),0)</f>
        <v>0</v>
      </c>
    </row>
    <row r="493" spans="1:38" x14ac:dyDescent="0.25">
      <c r="A493" s="93" t="s">
        <v>14624</v>
      </c>
      <c r="B493" s="68" t="s">
        <v>6944</v>
      </c>
      <c r="C493" s="65"/>
      <c r="D493" s="65"/>
      <c r="E493" s="65"/>
      <c r="F493" s="69" t="s">
        <v>14557</v>
      </c>
      <c r="G493" s="70"/>
      <c r="H493" s="65" t="s">
        <v>14796</v>
      </c>
      <c r="I493" s="75">
        <v>-3385</v>
      </c>
      <c r="J493" s="75"/>
      <c r="K493" s="75"/>
      <c r="L493" s="75"/>
      <c r="M493" s="75"/>
      <c r="N493" s="75">
        <f>Tabla1[[#This Row],[IMPORTE APROBADO]]-Tabla1[[#This Row],[AMORTIZACION2]]</f>
        <v>-3385</v>
      </c>
      <c r="O493" s="65" t="str">
        <f>TEXT(Tabla1[[#This Row],[EMISION]],"mmm")</f>
        <v>Jun</v>
      </c>
      <c r="P493" s="65" t="str">
        <f>TEXT(Tabla1[[#This Row],[EMISION]],"YYYY")</f>
        <v>2023</v>
      </c>
      <c r="Q493" s="71">
        <v>45105</v>
      </c>
      <c r="R493" s="65" t="str">
        <f>TEXT(Tabla1[[#This Row],[VENCIMIENTO]],"mmm")</f>
        <v>Jul</v>
      </c>
      <c r="S493" s="71">
        <f t="shared" ref="S493:S499" si="83">Q493+X493</f>
        <v>45120</v>
      </c>
      <c r="T493" s="72">
        <f ca="1">Tabla1[[#This Row],[EMISION]]+Tabla1[[#This Row],[PLAZO]]-TODAY()</f>
        <v>-249</v>
      </c>
      <c r="U493" s="80">
        <f t="shared" ref="U493:U499" ca="1" si="84">IF(T493&gt;=0,$U$4,IF(AND(T493&lt;=-1,T493&gt;=-30),$U$5,IF(AND(T493&lt;=-31,T493&gt;=-60),$U$6,IF(AND(T493&lt;=-61,T493&gt;=-90),$U$7,$U$8))))</f>
        <v>0</v>
      </c>
      <c r="V493" s="72" t="s">
        <v>3070</v>
      </c>
      <c r="W493" s="73" t="s">
        <v>14307</v>
      </c>
      <c r="X493" s="65">
        <v>15</v>
      </c>
      <c r="Y493" s="65"/>
      <c r="Z493" s="65"/>
      <c r="AA493" s="65"/>
      <c r="AB493" s="65"/>
      <c r="AC493" s="65"/>
      <c r="AD493" s="65"/>
      <c r="AE493" s="65"/>
      <c r="AF493" s="68"/>
      <c r="AG493" s="66">
        <v>45216</v>
      </c>
      <c r="AH493" s="67" t="s">
        <v>14308</v>
      </c>
      <c r="AI493" s="65" t="s">
        <v>3060</v>
      </c>
      <c r="AJ493" s="65"/>
      <c r="AK493" s="97">
        <f t="shared" ca="1" si="74"/>
        <v>249</v>
      </c>
      <c r="AL493">
        <f>IFERROR(VLOOKUP(A493,'DATA CLIENTES'!B4790:I8284,6,FALSE),0)</f>
        <v>0</v>
      </c>
    </row>
    <row r="494" spans="1:38" x14ac:dyDescent="0.25">
      <c r="A494" s="93" t="s">
        <v>5294</v>
      </c>
      <c r="B494" s="68" t="s">
        <v>14306</v>
      </c>
      <c r="C494" s="65"/>
      <c r="D494" s="65"/>
      <c r="E494" s="65"/>
      <c r="F494" s="69" t="s">
        <v>14559</v>
      </c>
      <c r="G494" s="70"/>
      <c r="H494" s="65" t="s">
        <v>14797</v>
      </c>
      <c r="I494" s="75">
        <v>11025.52</v>
      </c>
      <c r="J494" s="75">
        <v>11025.52</v>
      </c>
      <c r="K494" s="75"/>
      <c r="L494" s="75"/>
      <c r="M494" s="75"/>
      <c r="N494" s="75">
        <f>Tabla1[[#This Row],[IMPORTE APROBADO]]-Tabla1[[#This Row],[AMORTIZACION2]]</f>
        <v>0</v>
      </c>
      <c r="O494" s="65" t="str">
        <f>TEXT(Tabla1[[#This Row],[EMISION]],"mmm")</f>
        <v>Jun</v>
      </c>
      <c r="P494" s="65" t="str">
        <f>TEXT(Tabla1[[#This Row],[EMISION]],"YYYY")</f>
        <v>2023</v>
      </c>
      <c r="Q494" s="71">
        <v>45106</v>
      </c>
      <c r="R494" s="65" t="str">
        <f>TEXT(Tabla1[[#This Row],[VENCIMIENTO]],"mmm")</f>
        <v>Ago</v>
      </c>
      <c r="S494" s="71">
        <f t="shared" si="83"/>
        <v>45166</v>
      </c>
      <c r="T494" s="72">
        <f ca="1">Tabla1[[#This Row],[EMISION]]+Tabla1[[#This Row],[PLAZO]]-TODAY()</f>
        <v>-203</v>
      </c>
      <c r="U494" s="80">
        <f t="shared" ca="1" si="84"/>
        <v>0</v>
      </c>
      <c r="V494" s="72"/>
      <c r="W494" s="73" t="s">
        <v>14307</v>
      </c>
      <c r="X494" s="65">
        <v>60</v>
      </c>
      <c r="Y494" s="65"/>
      <c r="Z494" s="65"/>
      <c r="AA494" s="65"/>
      <c r="AB494" s="65"/>
      <c r="AC494" s="65"/>
      <c r="AD494" s="65"/>
      <c r="AE494" s="65"/>
      <c r="AF494" s="68"/>
      <c r="AG494" s="66">
        <v>45176</v>
      </c>
      <c r="AH494" s="67" t="s">
        <v>14308</v>
      </c>
      <c r="AI494" s="65" t="s">
        <v>3060</v>
      </c>
      <c r="AJ494" s="65"/>
      <c r="AK494" s="97">
        <f t="shared" ca="1" si="74"/>
        <v>203</v>
      </c>
      <c r="AL494">
        <f>IFERROR(VLOOKUP(A494,'DATA CLIENTES'!B4791:I8284,6,FALSE),0)</f>
        <v>0</v>
      </c>
    </row>
    <row r="495" spans="1:38" x14ac:dyDescent="0.25">
      <c r="A495" s="93" t="s">
        <v>5294</v>
      </c>
      <c r="B495" s="68" t="s">
        <v>14306</v>
      </c>
      <c r="C495" s="65"/>
      <c r="D495" s="65"/>
      <c r="E495" s="65"/>
      <c r="F495" s="69" t="s">
        <v>14559</v>
      </c>
      <c r="G495" s="70"/>
      <c r="H495" s="65" t="s">
        <v>14798</v>
      </c>
      <c r="I495" s="75">
        <v>20511</v>
      </c>
      <c r="J495" s="75">
        <v>20511</v>
      </c>
      <c r="K495" s="75"/>
      <c r="L495" s="75"/>
      <c r="M495" s="75"/>
      <c r="N495" s="75">
        <f>Tabla1[[#This Row],[IMPORTE APROBADO]]-Tabla1[[#This Row],[AMORTIZACION2]]</f>
        <v>0</v>
      </c>
      <c r="O495" s="65" t="str">
        <f>TEXT(Tabla1[[#This Row],[EMISION]],"mmm")</f>
        <v>Jun</v>
      </c>
      <c r="P495" s="65" t="str">
        <f>TEXT(Tabla1[[#This Row],[EMISION]],"YYYY")</f>
        <v>2023</v>
      </c>
      <c r="Q495" s="71">
        <v>45106</v>
      </c>
      <c r="R495" s="65" t="str">
        <f>TEXT(Tabla1[[#This Row],[VENCIMIENTO]],"mmm")</f>
        <v>Jul</v>
      </c>
      <c r="S495" s="71">
        <f t="shared" si="83"/>
        <v>45136</v>
      </c>
      <c r="T495" s="72">
        <f ca="1">Tabla1[[#This Row],[EMISION]]+Tabla1[[#This Row],[PLAZO]]-TODAY()</f>
        <v>-233</v>
      </c>
      <c r="U495" s="80">
        <f t="shared" ca="1" si="84"/>
        <v>0</v>
      </c>
      <c r="V495" s="72"/>
      <c r="W495" s="73" t="s">
        <v>14307</v>
      </c>
      <c r="X495" s="65">
        <v>30</v>
      </c>
      <c r="Y495" s="65"/>
      <c r="Z495" s="65"/>
      <c r="AA495" s="65"/>
      <c r="AB495" s="65"/>
      <c r="AC495" s="65"/>
      <c r="AD495" s="65"/>
      <c r="AE495" s="65"/>
      <c r="AF495" s="68"/>
      <c r="AG495" s="66">
        <v>45136</v>
      </c>
      <c r="AH495" s="67" t="s">
        <v>14308</v>
      </c>
      <c r="AI495" s="65" t="s">
        <v>3060</v>
      </c>
      <c r="AJ495" s="65"/>
      <c r="AK495" s="97">
        <f t="shared" ca="1" si="74"/>
        <v>233</v>
      </c>
      <c r="AL495">
        <f>IFERROR(VLOOKUP(A495,'DATA CLIENTES'!B4792:I8284,6,FALSE),0)</f>
        <v>0</v>
      </c>
    </row>
    <row r="496" spans="1:38" x14ac:dyDescent="0.25">
      <c r="A496" s="93" t="s">
        <v>5294</v>
      </c>
      <c r="B496" s="68" t="s">
        <v>14306</v>
      </c>
      <c r="C496" s="65"/>
      <c r="D496" s="65"/>
      <c r="E496" s="65"/>
      <c r="F496" s="69" t="s">
        <v>14559</v>
      </c>
      <c r="G496" s="70"/>
      <c r="H496" s="65" t="s">
        <v>14799</v>
      </c>
      <c r="I496" s="75">
        <v>19780</v>
      </c>
      <c r="J496" s="75">
        <v>19780</v>
      </c>
      <c r="K496" s="75"/>
      <c r="L496" s="75"/>
      <c r="M496" s="75"/>
      <c r="N496" s="75">
        <f>Tabla1[[#This Row],[IMPORTE APROBADO]]-Tabla1[[#This Row],[AMORTIZACION2]]</f>
        <v>0</v>
      </c>
      <c r="O496" s="65" t="str">
        <f>TEXT(Tabla1[[#This Row],[EMISION]],"mmm")</f>
        <v>Jun</v>
      </c>
      <c r="P496" s="65" t="str">
        <f>TEXT(Tabla1[[#This Row],[EMISION]],"YYYY")</f>
        <v>2023</v>
      </c>
      <c r="Q496" s="71">
        <v>45106</v>
      </c>
      <c r="R496" s="65" t="str">
        <f>TEXT(Tabla1[[#This Row],[VENCIMIENTO]],"mmm")</f>
        <v>Ago</v>
      </c>
      <c r="S496" s="71">
        <f t="shared" si="83"/>
        <v>45141</v>
      </c>
      <c r="T496" s="72">
        <f ca="1">Tabla1[[#This Row],[EMISION]]+Tabla1[[#This Row],[PLAZO]]-TODAY()</f>
        <v>-228</v>
      </c>
      <c r="U496" s="80">
        <f t="shared" ca="1" si="84"/>
        <v>0</v>
      </c>
      <c r="V496" s="72"/>
      <c r="W496" s="73" t="s">
        <v>14307</v>
      </c>
      <c r="X496" s="65">
        <v>35</v>
      </c>
      <c r="Y496" s="65"/>
      <c r="Z496" s="65"/>
      <c r="AA496" s="65"/>
      <c r="AB496" s="65"/>
      <c r="AC496" s="65"/>
      <c r="AD496" s="65"/>
      <c r="AE496" s="65"/>
      <c r="AF496" s="68"/>
      <c r="AG496" s="66">
        <v>45141</v>
      </c>
      <c r="AH496" s="67" t="s">
        <v>14308</v>
      </c>
      <c r="AI496" s="65" t="s">
        <v>3060</v>
      </c>
      <c r="AJ496" s="65"/>
      <c r="AK496" s="97">
        <f t="shared" ca="1" si="74"/>
        <v>228</v>
      </c>
      <c r="AL496">
        <f>IFERROR(VLOOKUP(A496,'DATA CLIENTES'!B4793:I8284,6,FALSE),0)</f>
        <v>0</v>
      </c>
    </row>
    <row r="497" spans="1:38" x14ac:dyDescent="0.25">
      <c r="A497" s="93" t="s">
        <v>5461</v>
      </c>
      <c r="B497" s="68" t="s">
        <v>14309</v>
      </c>
      <c r="C497" s="65"/>
      <c r="D497" s="65"/>
      <c r="E497" s="65"/>
      <c r="F497" s="69" t="s">
        <v>14559</v>
      </c>
      <c r="G497" s="70"/>
      <c r="H497" s="65" t="s">
        <v>14800</v>
      </c>
      <c r="I497" s="75">
        <v>8595</v>
      </c>
      <c r="J497" s="75">
        <v>8595</v>
      </c>
      <c r="K497" s="75"/>
      <c r="L497" s="75"/>
      <c r="M497" s="75"/>
      <c r="N497" s="75">
        <f>Tabla1[[#This Row],[IMPORTE APROBADO]]-Tabla1[[#This Row],[AMORTIZACION2]]</f>
        <v>0</v>
      </c>
      <c r="O497" s="65" t="str">
        <f>TEXT(Tabla1[[#This Row],[EMISION]],"mmm")</f>
        <v>Jun</v>
      </c>
      <c r="P497" s="65" t="str">
        <f>TEXT(Tabla1[[#This Row],[EMISION]],"YYYY")</f>
        <v>2023</v>
      </c>
      <c r="Q497" s="71">
        <v>45106</v>
      </c>
      <c r="R497" s="65" t="str">
        <f>TEXT(Tabla1[[#This Row],[VENCIMIENTO]],"mmm")</f>
        <v>Ago</v>
      </c>
      <c r="S497" s="71">
        <f t="shared" si="83"/>
        <v>45161</v>
      </c>
      <c r="T497" s="72">
        <f ca="1">Tabla1[[#This Row],[EMISION]]+Tabla1[[#This Row],[PLAZO]]-TODAY()</f>
        <v>-208</v>
      </c>
      <c r="U497" s="80">
        <f t="shared" ca="1" si="84"/>
        <v>0</v>
      </c>
      <c r="V497" s="72"/>
      <c r="W497" s="73" t="s">
        <v>14307</v>
      </c>
      <c r="X497" s="65">
        <v>55</v>
      </c>
      <c r="Y497" s="65"/>
      <c r="Z497" s="65"/>
      <c r="AA497" s="65"/>
      <c r="AB497" s="65"/>
      <c r="AC497" s="65"/>
      <c r="AD497" s="65"/>
      <c r="AE497" s="65"/>
      <c r="AF497" s="68"/>
      <c r="AG497" s="66">
        <v>45169</v>
      </c>
      <c r="AH497" s="67" t="s">
        <v>14308</v>
      </c>
      <c r="AI497" s="65" t="s">
        <v>3060</v>
      </c>
      <c r="AJ497" s="65"/>
      <c r="AK497" s="97">
        <f t="shared" ca="1" si="74"/>
        <v>208</v>
      </c>
      <c r="AL497">
        <f>IFERROR(VLOOKUP(A497,'DATA CLIENTES'!B4794:I8284,6,FALSE),0)</f>
        <v>0</v>
      </c>
    </row>
    <row r="498" spans="1:38" x14ac:dyDescent="0.25">
      <c r="A498" s="93" t="s">
        <v>5461</v>
      </c>
      <c r="B498" s="68" t="s">
        <v>14309</v>
      </c>
      <c r="C498" s="65"/>
      <c r="D498" s="65"/>
      <c r="E498" s="65"/>
      <c r="F498" s="69" t="s">
        <v>14559</v>
      </c>
      <c r="G498" s="70"/>
      <c r="H498" s="65" t="s">
        <v>14801</v>
      </c>
      <c r="I498" s="75">
        <v>16810</v>
      </c>
      <c r="J498" s="75">
        <v>16810</v>
      </c>
      <c r="K498" s="75"/>
      <c r="L498" s="75"/>
      <c r="M498" s="75"/>
      <c r="N498" s="75">
        <f>Tabla1[[#This Row],[IMPORTE APROBADO]]-Tabla1[[#This Row],[AMORTIZACION2]]</f>
        <v>0</v>
      </c>
      <c r="O498" s="65" t="str">
        <f>TEXT(Tabla1[[#This Row],[EMISION]],"mmm")</f>
        <v>Jun</v>
      </c>
      <c r="P498" s="65" t="str">
        <f>TEXT(Tabla1[[#This Row],[EMISION]],"YYYY")</f>
        <v>2023</v>
      </c>
      <c r="Q498" s="71">
        <v>45106</v>
      </c>
      <c r="R498" s="65" t="str">
        <f>TEXT(Tabla1[[#This Row],[VENCIMIENTO]],"mmm")</f>
        <v>Ago</v>
      </c>
      <c r="S498" s="71">
        <f t="shared" si="83"/>
        <v>45151</v>
      </c>
      <c r="T498" s="72">
        <f ca="1">Tabla1[[#This Row],[EMISION]]+Tabla1[[#This Row],[PLAZO]]-TODAY()</f>
        <v>-218</v>
      </c>
      <c r="U498" s="80">
        <f t="shared" ca="1" si="84"/>
        <v>0</v>
      </c>
      <c r="V498" s="72"/>
      <c r="W498" s="73" t="s">
        <v>14307</v>
      </c>
      <c r="X498" s="65">
        <v>45</v>
      </c>
      <c r="Y498" s="65"/>
      <c r="Z498" s="65"/>
      <c r="AA498" s="65"/>
      <c r="AB498" s="65"/>
      <c r="AC498" s="65"/>
      <c r="AD498" s="65"/>
      <c r="AE498" s="65"/>
      <c r="AF498" s="68"/>
      <c r="AG498" s="66">
        <v>45153</v>
      </c>
      <c r="AH498" s="67" t="s">
        <v>14308</v>
      </c>
      <c r="AI498" s="65" t="s">
        <v>3060</v>
      </c>
      <c r="AJ498" s="65"/>
      <c r="AK498" s="97">
        <f t="shared" ca="1" si="74"/>
        <v>218</v>
      </c>
      <c r="AL498">
        <f>IFERROR(VLOOKUP(A498,'DATA CLIENTES'!B4795:I8284,6,FALSE),0)</f>
        <v>0</v>
      </c>
    </row>
    <row r="499" spans="1:38" x14ac:dyDescent="0.25">
      <c r="A499" s="93" t="s">
        <v>5461</v>
      </c>
      <c r="B499" s="68" t="s">
        <v>14309</v>
      </c>
      <c r="C499" s="65"/>
      <c r="D499" s="65"/>
      <c r="E499" s="65"/>
      <c r="F499" s="69" t="s">
        <v>14559</v>
      </c>
      <c r="G499" s="70"/>
      <c r="H499" s="65" t="s">
        <v>14802</v>
      </c>
      <c r="I499" s="75">
        <v>17596</v>
      </c>
      <c r="J499" s="75">
        <v>17596</v>
      </c>
      <c r="K499" s="75"/>
      <c r="L499" s="75"/>
      <c r="M499" s="75"/>
      <c r="N499" s="75">
        <f>Tabla1[[#This Row],[IMPORTE APROBADO]]-Tabla1[[#This Row],[AMORTIZACION2]]</f>
        <v>0</v>
      </c>
      <c r="O499" s="65" t="str">
        <f>TEXT(Tabla1[[#This Row],[EMISION]],"mmm")</f>
        <v>Jun</v>
      </c>
      <c r="P499" s="65" t="str">
        <f>TEXT(Tabla1[[#This Row],[EMISION]],"YYYY")</f>
        <v>2023</v>
      </c>
      <c r="Q499" s="71">
        <v>45106</v>
      </c>
      <c r="R499" s="65" t="str">
        <f>TEXT(Tabla1[[#This Row],[VENCIMIENTO]],"mmm")</f>
        <v>Ago</v>
      </c>
      <c r="S499" s="71">
        <f t="shared" si="83"/>
        <v>45156</v>
      </c>
      <c r="T499" s="72">
        <f ca="1">Tabla1[[#This Row],[EMISION]]+Tabla1[[#This Row],[PLAZO]]-TODAY()</f>
        <v>-213</v>
      </c>
      <c r="U499" s="80">
        <f t="shared" ca="1" si="84"/>
        <v>0</v>
      </c>
      <c r="V499" s="72"/>
      <c r="W499" s="73" t="s">
        <v>14307</v>
      </c>
      <c r="X499" s="65">
        <v>50</v>
      </c>
      <c r="Y499" s="65"/>
      <c r="Z499" s="65"/>
      <c r="AA499" s="65"/>
      <c r="AB499" s="65"/>
      <c r="AC499" s="65"/>
      <c r="AD499" s="65"/>
      <c r="AE499" s="65"/>
      <c r="AF499" s="68"/>
      <c r="AG499" s="66">
        <v>45159</v>
      </c>
      <c r="AH499" s="67" t="s">
        <v>14308</v>
      </c>
      <c r="AI499" s="65" t="s">
        <v>3060</v>
      </c>
      <c r="AJ499" s="65"/>
      <c r="AK499" s="97">
        <f t="shared" ca="1" si="74"/>
        <v>213</v>
      </c>
      <c r="AL499">
        <f>IFERROR(VLOOKUP(A499,'DATA CLIENTES'!B4796:I8284,6,FALSE),0)</f>
        <v>0</v>
      </c>
    </row>
    <row r="500" spans="1:38" x14ac:dyDescent="0.25">
      <c r="A500" s="93" t="s">
        <v>8786</v>
      </c>
      <c r="B500" s="68" t="s">
        <v>8787</v>
      </c>
      <c r="C500" s="65"/>
      <c r="D500" s="65"/>
      <c r="E500" s="65"/>
      <c r="F500" s="69" t="s">
        <v>14559</v>
      </c>
      <c r="G500" s="70"/>
      <c r="H500" s="65" t="s">
        <v>14803</v>
      </c>
      <c r="I500" s="75">
        <v>1359.52</v>
      </c>
      <c r="J500" s="75">
        <f>100+200+110+150+178+150+200+150+121.7</f>
        <v>1359.7</v>
      </c>
      <c r="K500" s="75"/>
      <c r="L500" s="75"/>
      <c r="M500" s="75"/>
      <c r="N500" s="75">
        <f>Tabla1[[#This Row],[IMPORTE APROBADO]]-Tabla1[[#This Row],[AMORTIZACION2]]</f>
        <v>-0.18000000000006366</v>
      </c>
      <c r="O500" s="65" t="str">
        <f>TEXT(Tabla1[[#This Row],[EMISION]],"mmm")</f>
        <v>Jun</v>
      </c>
      <c r="P500" s="65" t="str">
        <f>TEXT(Tabla1[[#This Row],[EMISION]],"YYYY")</f>
        <v>2023</v>
      </c>
      <c r="Q500" s="71">
        <v>45107</v>
      </c>
      <c r="R500" s="65" t="str">
        <f>TEXT(Tabla1[[#This Row],[VENCIMIENTO]],"mmm")</f>
        <v>Jul</v>
      </c>
      <c r="S500" s="71">
        <f t="shared" ref="S500:S505" si="85">Q500+X500</f>
        <v>45128</v>
      </c>
      <c r="T500" s="72">
        <f ca="1">Tabla1[[#This Row],[EMISION]]+Tabla1[[#This Row],[PLAZO]]-TODAY()</f>
        <v>-241</v>
      </c>
      <c r="U500" s="80">
        <f t="shared" ref="U500:U505" ca="1" si="86">IF(T500&gt;=0,$U$4,IF(AND(T500&lt;=-1,T500&gt;=-30),$U$5,IF(AND(T500&lt;=-31,T500&gt;=-60),$U$6,IF(AND(T500&lt;=-61,T500&gt;=-90),$U$7,$U$8))))</f>
        <v>0</v>
      </c>
      <c r="V500" s="72"/>
      <c r="W500" s="73" t="s">
        <v>14307</v>
      </c>
      <c r="X500" s="65">
        <v>21</v>
      </c>
      <c r="Y500" s="65"/>
      <c r="Z500" s="65"/>
      <c r="AA500" s="65"/>
      <c r="AB500" s="65"/>
      <c r="AC500" s="65"/>
      <c r="AD500" s="65"/>
      <c r="AE500" s="65"/>
      <c r="AF500" s="68"/>
      <c r="AG500" s="66">
        <v>45163</v>
      </c>
      <c r="AH500" s="67" t="s">
        <v>14308</v>
      </c>
      <c r="AI500" s="65" t="s">
        <v>3060</v>
      </c>
      <c r="AJ500" s="65"/>
      <c r="AK500" s="97">
        <f t="shared" ca="1" si="74"/>
        <v>241</v>
      </c>
      <c r="AL500">
        <f>IFERROR(VLOOKUP(A500,'DATA CLIENTES'!B4797:I8284,6,FALSE),0)</f>
        <v>0</v>
      </c>
    </row>
    <row r="501" spans="1:38" x14ac:dyDescent="0.25">
      <c r="A501" s="93" t="s">
        <v>7329</v>
      </c>
      <c r="B501" s="77" t="s">
        <v>7330</v>
      </c>
      <c r="C501" s="65"/>
      <c r="D501" s="65"/>
      <c r="E501" s="65"/>
      <c r="F501" s="69" t="s">
        <v>14676</v>
      </c>
      <c r="G501" s="70"/>
      <c r="H501" s="65">
        <v>5600000004</v>
      </c>
      <c r="I501" s="75">
        <v>230.04</v>
      </c>
      <c r="J501" s="75">
        <f>100+131</f>
        <v>231</v>
      </c>
      <c r="K501" s="75"/>
      <c r="L501" s="75"/>
      <c r="M501" s="75"/>
      <c r="N501" s="75">
        <f>Tabla1[[#This Row],[IMPORTE APROBADO]]-Tabla1[[#This Row],[AMORTIZACION2]]</f>
        <v>-0.96000000000000796</v>
      </c>
      <c r="O501" s="65" t="str">
        <f>TEXT(Tabla1[[#This Row],[EMISION]],"mmm")</f>
        <v>Jul</v>
      </c>
      <c r="P501" s="65" t="str">
        <f>TEXT(Tabla1[[#This Row],[EMISION]],"YYYY")</f>
        <v>2023</v>
      </c>
      <c r="Q501" s="71">
        <v>45112</v>
      </c>
      <c r="R501" s="65" t="str">
        <f>TEXT(Tabla1[[#This Row],[VENCIMIENTO]],"mmm")</f>
        <v>Jul</v>
      </c>
      <c r="S501" s="71">
        <f t="shared" si="85"/>
        <v>45119</v>
      </c>
      <c r="T501" s="72">
        <f ca="1">Tabla1[[#This Row],[EMISION]]+Tabla1[[#This Row],[PLAZO]]-TODAY()</f>
        <v>-250</v>
      </c>
      <c r="U501" s="80">
        <f t="shared" ca="1" si="86"/>
        <v>0</v>
      </c>
      <c r="V501" s="72"/>
      <c r="W501" s="73" t="s">
        <v>14307</v>
      </c>
      <c r="X501" s="65">
        <v>7</v>
      </c>
      <c r="Y501" s="65"/>
      <c r="Z501" s="65"/>
      <c r="AA501" s="65"/>
      <c r="AB501" s="65"/>
      <c r="AC501" s="65"/>
      <c r="AD501" s="65"/>
      <c r="AE501" s="65"/>
      <c r="AF501" s="68"/>
      <c r="AG501" s="66">
        <v>45126</v>
      </c>
      <c r="AH501" s="67" t="s">
        <v>14308</v>
      </c>
      <c r="AI501" s="65" t="s">
        <v>3060</v>
      </c>
      <c r="AJ501" s="65"/>
      <c r="AK501" s="97">
        <f t="shared" ca="1" si="74"/>
        <v>250</v>
      </c>
      <c r="AL501">
        <f>IFERROR(VLOOKUP(A501,'DATA CLIENTES'!B4798:I8284,6,FALSE),0)</f>
        <v>0</v>
      </c>
    </row>
    <row r="502" spans="1:38" x14ac:dyDescent="0.25">
      <c r="A502" s="93" t="s">
        <v>10210</v>
      </c>
      <c r="B502" s="68" t="s">
        <v>14755</v>
      </c>
      <c r="C502" s="65"/>
      <c r="D502" s="65"/>
      <c r="E502" s="65"/>
      <c r="F502" s="69" t="s">
        <v>14804</v>
      </c>
      <c r="G502" s="70"/>
      <c r="H502" s="65">
        <v>5600000010</v>
      </c>
      <c r="I502" s="75">
        <v>17500</v>
      </c>
      <c r="J502" s="75">
        <v>17500</v>
      </c>
      <c r="K502" s="75"/>
      <c r="L502" s="75"/>
      <c r="M502" s="75"/>
      <c r="N502" s="75">
        <f>Tabla1[[#This Row],[IMPORTE APROBADO]]-Tabla1[[#This Row],[AMORTIZACION2]]</f>
        <v>0</v>
      </c>
      <c r="O502" s="65" t="str">
        <f>TEXT(Tabla1[[#This Row],[EMISION]],"mmm")</f>
        <v>Jul</v>
      </c>
      <c r="P502" s="65" t="str">
        <f>TEXT(Tabla1[[#This Row],[EMISION]],"YYYY")</f>
        <v>2023</v>
      </c>
      <c r="Q502" s="71">
        <v>45113</v>
      </c>
      <c r="R502" s="65" t="str">
        <f>TEXT(Tabla1[[#This Row],[VENCIMIENTO]],"mmm")</f>
        <v>Jul</v>
      </c>
      <c r="S502" s="71">
        <f t="shared" si="85"/>
        <v>45128</v>
      </c>
      <c r="T502" s="72">
        <f ca="1">Tabla1[[#This Row],[EMISION]]+Tabla1[[#This Row],[PLAZO]]-TODAY()</f>
        <v>-241</v>
      </c>
      <c r="U502" s="80">
        <f t="shared" ca="1" si="86"/>
        <v>0</v>
      </c>
      <c r="V502" s="72"/>
      <c r="W502" s="73" t="s">
        <v>14307</v>
      </c>
      <c r="X502" s="65">
        <v>15</v>
      </c>
      <c r="Y502" s="65"/>
      <c r="Z502" s="65"/>
      <c r="AA502" s="65"/>
      <c r="AB502" s="65"/>
      <c r="AC502" s="65"/>
      <c r="AD502" s="65"/>
      <c r="AE502" s="65"/>
      <c r="AF502" s="68"/>
      <c r="AG502" s="66">
        <v>45132</v>
      </c>
      <c r="AH502" s="67" t="s">
        <v>14308</v>
      </c>
      <c r="AI502" s="65" t="s">
        <v>3060</v>
      </c>
      <c r="AJ502" s="65"/>
      <c r="AK502" s="97">
        <f t="shared" ca="1" si="74"/>
        <v>241</v>
      </c>
      <c r="AL502">
        <f>IFERROR(VLOOKUP(A502,'DATA CLIENTES'!B4799:I8284,6,FALSE),0)</f>
        <v>0</v>
      </c>
    </row>
    <row r="503" spans="1:38" x14ac:dyDescent="0.25">
      <c r="A503" s="93" t="s">
        <v>8995</v>
      </c>
      <c r="B503" s="68" t="s">
        <v>8996</v>
      </c>
      <c r="C503" s="65"/>
      <c r="D503" s="65"/>
      <c r="E503" s="65"/>
      <c r="F503" s="69" t="s">
        <v>14804</v>
      </c>
      <c r="G503" s="70"/>
      <c r="H503" s="65">
        <v>5600000014</v>
      </c>
      <c r="I503" s="75">
        <v>9600.16</v>
      </c>
      <c r="J503" s="75">
        <f>600+1000+1400+500+500+700+500+1400+500+2500.1</f>
        <v>9600.1</v>
      </c>
      <c r="K503" s="75"/>
      <c r="L503" s="75"/>
      <c r="M503" s="75"/>
      <c r="N503" s="75">
        <f>Tabla1[[#This Row],[IMPORTE APROBADO]]-Tabla1[[#This Row],[AMORTIZACION2]]</f>
        <v>5.9999999999490683E-2</v>
      </c>
      <c r="O503" s="65" t="str">
        <f>TEXT(Tabla1[[#This Row],[EMISION]],"mmm")</f>
        <v>Jul</v>
      </c>
      <c r="P503" s="65" t="str">
        <f>TEXT(Tabla1[[#This Row],[EMISION]],"YYYY")</f>
        <v>2023</v>
      </c>
      <c r="Q503" s="71">
        <v>45114</v>
      </c>
      <c r="R503" s="65" t="str">
        <f>TEXT(Tabla1[[#This Row],[VENCIMIENTO]],"mmm")</f>
        <v>Jul</v>
      </c>
      <c r="S503" s="71">
        <f t="shared" si="85"/>
        <v>45129</v>
      </c>
      <c r="T503" s="72">
        <f ca="1">Tabla1[[#This Row],[EMISION]]+Tabla1[[#This Row],[PLAZO]]-TODAY()</f>
        <v>-240</v>
      </c>
      <c r="U503" s="80">
        <f t="shared" ca="1" si="86"/>
        <v>0</v>
      </c>
      <c r="V503" s="72"/>
      <c r="W503" s="73" t="s">
        <v>14307</v>
      </c>
      <c r="X503" s="65">
        <v>15</v>
      </c>
      <c r="Y503" s="65"/>
      <c r="Z503" s="65"/>
      <c r="AA503" s="65"/>
      <c r="AB503" s="65"/>
      <c r="AC503" s="65"/>
      <c r="AD503" s="65"/>
      <c r="AE503" s="65"/>
      <c r="AF503" s="68"/>
      <c r="AG503" s="66">
        <v>45170</v>
      </c>
      <c r="AH503" s="67" t="s">
        <v>14308</v>
      </c>
      <c r="AI503" s="65" t="s">
        <v>3060</v>
      </c>
      <c r="AJ503" s="65"/>
      <c r="AK503" s="97">
        <f t="shared" ca="1" si="74"/>
        <v>240</v>
      </c>
      <c r="AL503">
        <f>IFERROR(VLOOKUP(A503,'DATA CLIENTES'!B4800:I8284,6,FALSE),0)</f>
        <v>0</v>
      </c>
    </row>
    <row r="504" spans="1:38" x14ac:dyDescent="0.25">
      <c r="A504" s="93" t="s">
        <v>9570</v>
      </c>
      <c r="B504" s="68" t="s">
        <v>9571</v>
      </c>
      <c r="C504" s="65"/>
      <c r="D504" s="65"/>
      <c r="E504" s="65"/>
      <c r="F504" s="69" t="s">
        <v>14559</v>
      </c>
      <c r="G504" s="70"/>
      <c r="H504" s="65">
        <v>5500000014</v>
      </c>
      <c r="I504" s="75">
        <v>781.24</v>
      </c>
      <c r="J504" s="75"/>
      <c r="K504" s="75"/>
      <c r="L504" s="75"/>
      <c r="M504" s="75"/>
      <c r="N504" s="75">
        <f>Tabla1[[#This Row],[IMPORTE APROBADO]]-Tabla1[[#This Row],[AMORTIZACION2]]</f>
        <v>781.24</v>
      </c>
      <c r="O504" s="65" t="str">
        <f>TEXT(Tabla1[[#This Row],[EMISION]],"mmm")</f>
        <v>Jul</v>
      </c>
      <c r="P504" s="65" t="str">
        <f>TEXT(Tabla1[[#This Row],[EMISION]],"YYYY")</f>
        <v>2023</v>
      </c>
      <c r="Q504" s="71">
        <v>45114</v>
      </c>
      <c r="R504" s="65" t="str">
        <f>TEXT(Tabla1[[#This Row],[VENCIMIENTO]],"mmm")</f>
        <v>Jul</v>
      </c>
      <c r="S504" s="71">
        <f t="shared" si="85"/>
        <v>45129</v>
      </c>
      <c r="T504" s="72">
        <f ca="1">Tabla1[[#This Row],[EMISION]]+Tabla1[[#This Row],[PLAZO]]-TODAY()</f>
        <v>-240</v>
      </c>
      <c r="U504" s="80">
        <f t="shared" ca="1" si="86"/>
        <v>0</v>
      </c>
      <c r="V504" s="72"/>
      <c r="W504" s="73" t="s">
        <v>14307</v>
      </c>
      <c r="X504" s="65">
        <v>15</v>
      </c>
      <c r="Y504" s="65"/>
      <c r="Z504" s="65"/>
      <c r="AA504" s="65"/>
      <c r="AB504" s="65"/>
      <c r="AC504" s="65"/>
      <c r="AD504" s="65"/>
      <c r="AE504" s="65"/>
      <c r="AF504" s="68"/>
      <c r="AG504" s="66">
        <v>45133</v>
      </c>
      <c r="AH504" s="67" t="s">
        <v>14308</v>
      </c>
      <c r="AI504" s="65" t="s">
        <v>3060</v>
      </c>
      <c r="AJ504" s="65"/>
      <c r="AK504" s="97">
        <f t="shared" ca="1" si="74"/>
        <v>240</v>
      </c>
      <c r="AL504">
        <f>IFERROR(VLOOKUP(A504,'DATA CLIENTES'!B4801:I8284,6,FALSE),0)</f>
        <v>0</v>
      </c>
    </row>
    <row r="505" spans="1:38" x14ac:dyDescent="0.25">
      <c r="A505" s="93" t="s">
        <v>9809</v>
      </c>
      <c r="B505" s="68" t="s">
        <v>9810</v>
      </c>
      <c r="C505" s="65"/>
      <c r="D505" s="65"/>
      <c r="E505" s="65"/>
      <c r="F505" s="69" t="s">
        <v>14559</v>
      </c>
      <c r="G505" s="70"/>
      <c r="H505" s="65">
        <v>5500000015</v>
      </c>
      <c r="I505" s="75">
        <v>1334.72</v>
      </c>
      <c r="J505" s="75">
        <f>500+834.72</f>
        <v>1334.72</v>
      </c>
      <c r="K505" s="75"/>
      <c r="L505" s="75"/>
      <c r="M505" s="75"/>
      <c r="N505" s="75">
        <f>Tabla1[[#This Row],[IMPORTE APROBADO]]-Tabla1[[#This Row],[AMORTIZACION2]]</f>
        <v>0</v>
      </c>
      <c r="O505" s="65" t="str">
        <f>TEXT(Tabla1[[#This Row],[EMISION]],"mmm")</f>
        <v>Jul</v>
      </c>
      <c r="P505" s="65" t="str">
        <f>TEXT(Tabla1[[#This Row],[EMISION]],"YYYY")</f>
        <v>2023</v>
      </c>
      <c r="Q505" s="71">
        <v>45114</v>
      </c>
      <c r="R505" s="65" t="str">
        <f>TEXT(Tabla1[[#This Row],[VENCIMIENTO]],"mmm")</f>
        <v>Jul</v>
      </c>
      <c r="S505" s="71">
        <f t="shared" si="85"/>
        <v>45129</v>
      </c>
      <c r="T505" s="72">
        <f ca="1">Tabla1[[#This Row],[EMISION]]+Tabla1[[#This Row],[PLAZO]]-TODAY()</f>
        <v>-240</v>
      </c>
      <c r="U505" s="80">
        <f t="shared" ca="1" si="86"/>
        <v>0</v>
      </c>
      <c r="V505" s="72"/>
      <c r="W505" s="73" t="s">
        <v>14307</v>
      </c>
      <c r="X505" s="65">
        <v>15</v>
      </c>
      <c r="Y505" s="65"/>
      <c r="Z505" s="65"/>
      <c r="AA505" s="65"/>
      <c r="AB505" s="65"/>
      <c r="AC505" s="65"/>
      <c r="AD505" s="65"/>
      <c r="AE505" s="65"/>
      <c r="AF505" s="68"/>
      <c r="AG505" s="66">
        <v>45133</v>
      </c>
      <c r="AH505" s="67" t="s">
        <v>14308</v>
      </c>
      <c r="AI505" s="65" t="s">
        <v>3060</v>
      </c>
      <c r="AJ505" s="65"/>
      <c r="AK505" s="97">
        <f t="shared" ca="1" si="74"/>
        <v>240</v>
      </c>
      <c r="AL505">
        <f>IFERROR(VLOOKUP(A505,'DATA CLIENTES'!B4802:I8284,6,FALSE),0)</f>
        <v>0</v>
      </c>
    </row>
    <row r="506" spans="1:38" x14ac:dyDescent="0.25">
      <c r="A506" s="93" t="s">
        <v>7964</v>
      </c>
      <c r="B506" s="68" t="s">
        <v>7965</v>
      </c>
      <c r="C506" s="65"/>
      <c r="D506" s="65"/>
      <c r="E506" s="65"/>
      <c r="F506" s="69" t="s">
        <v>14574</v>
      </c>
      <c r="G506" s="70"/>
      <c r="H506" s="65">
        <v>5300000030</v>
      </c>
      <c r="I506" s="75">
        <v>475</v>
      </c>
      <c r="J506" s="75">
        <v>475</v>
      </c>
      <c r="K506" s="75"/>
      <c r="L506" s="75"/>
      <c r="M506" s="75"/>
      <c r="N506" s="75">
        <f>Tabla1[[#This Row],[IMPORTE APROBADO]]-Tabla1[[#This Row],[AMORTIZACION2]]</f>
        <v>0</v>
      </c>
      <c r="O506" s="65" t="str">
        <f>TEXT(Tabla1[[#This Row],[EMISION]],"mmm")</f>
        <v>Jul</v>
      </c>
      <c r="P506" s="65" t="str">
        <f>TEXT(Tabla1[[#This Row],[EMISION]],"YYYY")</f>
        <v>2023</v>
      </c>
      <c r="Q506" s="71">
        <v>45119</v>
      </c>
      <c r="R506" s="65" t="str">
        <f>TEXT(Tabla1[[#This Row],[VENCIMIENTO]],"mmm")</f>
        <v>Jul</v>
      </c>
      <c r="S506" s="71">
        <f t="shared" ref="S506:S512" si="87">Q506+X506</f>
        <v>45134</v>
      </c>
      <c r="T506" s="72">
        <f ca="1">Tabla1[[#This Row],[EMISION]]+Tabla1[[#This Row],[PLAZO]]-TODAY()</f>
        <v>-235</v>
      </c>
      <c r="U506" s="80">
        <f t="shared" ref="U506:U512" ca="1" si="88">IF(T506&gt;=0,$U$4,IF(AND(T506&lt;=-1,T506&gt;=-30),$U$5,IF(AND(T506&lt;=-31,T506&gt;=-60),$U$6,IF(AND(T506&lt;=-61,T506&gt;=-90),$U$7,$U$8))))</f>
        <v>0</v>
      </c>
      <c r="V506" s="72"/>
      <c r="W506" s="73" t="s">
        <v>14307</v>
      </c>
      <c r="X506" s="65">
        <v>15</v>
      </c>
      <c r="Y506" s="65"/>
      <c r="Z506" s="65"/>
      <c r="AA506" s="65"/>
      <c r="AB506" s="65"/>
      <c r="AC506" s="65"/>
      <c r="AD506" s="65"/>
      <c r="AE506" s="65"/>
      <c r="AF506" s="68"/>
      <c r="AG506" s="66">
        <v>45124</v>
      </c>
      <c r="AH506" s="67" t="s">
        <v>14308</v>
      </c>
      <c r="AI506" s="65" t="s">
        <v>3060</v>
      </c>
      <c r="AJ506" s="65"/>
      <c r="AK506" s="97">
        <f t="shared" ca="1" si="74"/>
        <v>235</v>
      </c>
      <c r="AL506">
        <f>IFERROR(VLOOKUP(A506,'DATA CLIENTES'!B4803:I8284,6,FALSE),0)</f>
        <v>0</v>
      </c>
    </row>
    <row r="507" spans="1:38" x14ac:dyDescent="0.25">
      <c r="A507" s="93" t="s">
        <v>9812</v>
      </c>
      <c r="B507" s="68" t="s">
        <v>9813</v>
      </c>
      <c r="C507" s="65"/>
      <c r="D507" s="65"/>
      <c r="E507" s="65"/>
      <c r="F507" s="69" t="s">
        <v>14804</v>
      </c>
      <c r="G507" s="70"/>
      <c r="H507" s="65">
        <v>5500000067</v>
      </c>
      <c r="I507" s="75">
        <v>1408</v>
      </c>
      <c r="J507" s="75">
        <f>1408</f>
        <v>1408</v>
      </c>
      <c r="K507" s="75"/>
      <c r="L507" s="75"/>
      <c r="M507" s="75"/>
      <c r="N507" s="75">
        <f>Tabla1[[#This Row],[IMPORTE APROBADO]]-Tabla1[[#This Row],[AMORTIZACION2]]</f>
        <v>0</v>
      </c>
      <c r="O507" s="65" t="str">
        <f>TEXT(Tabla1[[#This Row],[EMISION]],"mmm")</f>
        <v>Jul</v>
      </c>
      <c r="P507" s="65" t="str">
        <f>TEXT(Tabla1[[#This Row],[EMISION]],"YYYY")</f>
        <v>2023</v>
      </c>
      <c r="Q507" s="71">
        <v>45120</v>
      </c>
      <c r="R507" s="65" t="str">
        <f>TEXT(Tabla1[[#This Row],[VENCIMIENTO]],"mmm")</f>
        <v>Jul</v>
      </c>
      <c r="S507" s="71">
        <f t="shared" si="87"/>
        <v>45135</v>
      </c>
      <c r="T507" s="72">
        <f ca="1">Tabla1[[#This Row],[EMISION]]+Tabla1[[#This Row],[PLAZO]]-TODAY()</f>
        <v>-234</v>
      </c>
      <c r="U507" s="80">
        <f t="shared" ca="1" si="88"/>
        <v>0</v>
      </c>
      <c r="V507" s="72"/>
      <c r="W507" s="73" t="s">
        <v>14307</v>
      </c>
      <c r="X507" s="65">
        <v>15</v>
      </c>
      <c r="Y507" s="65"/>
      <c r="Z507" s="65"/>
      <c r="AA507" s="65"/>
      <c r="AB507" s="65"/>
      <c r="AC507" s="65"/>
      <c r="AD507" s="65"/>
      <c r="AE507" s="65"/>
      <c r="AF507" s="68"/>
      <c r="AG507" s="66">
        <v>45141</v>
      </c>
      <c r="AH507" s="67" t="s">
        <v>14308</v>
      </c>
      <c r="AI507" s="65" t="s">
        <v>3060</v>
      </c>
      <c r="AJ507" s="65"/>
      <c r="AK507" s="97">
        <f t="shared" ca="1" si="74"/>
        <v>234</v>
      </c>
      <c r="AL507">
        <f>IFERROR(VLOOKUP(A507,'DATA CLIENTES'!B4804:I8284,6,FALSE),0)</f>
        <v>0</v>
      </c>
    </row>
    <row r="508" spans="1:38" x14ac:dyDescent="0.25">
      <c r="A508" s="93" t="s">
        <v>9248</v>
      </c>
      <c r="B508" s="68" t="s">
        <v>9249</v>
      </c>
      <c r="C508" s="65"/>
      <c r="D508" s="65"/>
      <c r="E508" s="65"/>
      <c r="F508" s="69" t="s">
        <v>11799</v>
      </c>
      <c r="G508" s="70"/>
      <c r="H508" s="65">
        <v>5600000042</v>
      </c>
      <c r="I508" s="75">
        <v>6282.46</v>
      </c>
      <c r="J508" s="75">
        <v>6282.46</v>
      </c>
      <c r="K508" s="75"/>
      <c r="L508" s="75"/>
      <c r="M508" s="75"/>
      <c r="N508" s="75">
        <f>Tabla1[[#This Row],[IMPORTE APROBADO]]-Tabla1[[#This Row],[AMORTIZACION2]]</f>
        <v>0</v>
      </c>
      <c r="O508" s="65" t="str">
        <f>TEXT(Tabla1[[#This Row],[EMISION]],"mmm")</f>
        <v>Jul</v>
      </c>
      <c r="P508" s="65" t="str">
        <f>TEXT(Tabla1[[#This Row],[EMISION]],"YYYY")</f>
        <v>2023</v>
      </c>
      <c r="Q508" s="71">
        <v>45120</v>
      </c>
      <c r="R508" s="65" t="str">
        <f>TEXT(Tabla1[[#This Row],[VENCIMIENTO]],"mmm")</f>
        <v>Jul</v>
      </c>
      <c r="S508" s="71">
        <f t="shared" si="87"/>
        <v>45135</v>
      </c>
      <c r="T508" s="72">
        <f ca="1">Tabla1[[#This Row],[EMISION]]+Tabla1[[#This Row],[PLAZO]]-TODAY()</f>
        <v>-234</v>
      </c>
      <c r="U508" s="80">
        <f t="shared" ca="1" si="88"/>
        <v>0</v>
      </c>
      <c r="V508" s="72"/>
      <c r="W508" s="73" t="s">
        <v>14307</v>
      </c>
      <c r="X508" s="65">
        <v>15</v>
      </c>
      <c r="Y508" s="65"/>
      <c r="Z508" s="65"/>
      <c r="AA508" s="65"/>
      <c r="AB508" s="65"/>
      <c r="AC508" s="65"/>
      <c r="AD508" s="65"/>
      <c r="AE508" s="65"/>
      <c r="AF508" s="68"/>
      <c r="AG508" s="66">
        <v>45147</v>
      </c>
      <c r="AH508" s="67" t="s">
        <v>14308</v>
      </c>
      <c r="AI508" s="65" t="s">
        <v>3060</v>
      </c>
      <c r="AJ508" s="65"/>
      <c r="AK508" s="97">
        <f t="shared" ca="1" si="74"/>
        <v>234</v>
      </c>
      <c r="AL508">
        <f>IFERROR(VLOOKUP(A508,'DATA CLIENTES'!B4805:I8284,6,FALSE),0)</f>
        <v>0</v>
      </c>
    </row>
    <row r="509" spans="1:38" x14ac:dyDescent="0.25">
      <c r="A509" s="93" t="s">
        <v>9263</v>
      </c>
      <c r="B509" s="68" t="s">
        <v>9264</v>
      </c>
      <c r="C509" s="65"/>
      <c r="D509" s="65"/>
      <c r="E509" s="65"/>
      <c r="F509" s="69" t="s">
        <v>11799</v>
      </c>
      <c r="G509" s="70"/>
      <c r="H509" s="65">
        <v>5600000043</v>
      </c>
      <c r="I509" s="75">
        <v>1200</v>
      </c>
      <c r="J509" s="75">
        <f>1200</f>
        <v>1200</v>
      </c>
      <c r="K509" s="75"/>
      <c r="L509" s="75"/>
      <c r="M509" s="75"/>
      <c r="N509" s="75">
        <f>Tabla1[[#This Row],[IMPORTE APROBADO]]-Tabla1[[#This Row],[AMORTIZACION2]]</f>
        <v>0</v>
      </c>
      <c r="O509" s="65" t="str">
        <f>TEXT(Tabla1[[#This Row],[EMISION]],"mmm")</f>
        <v>Jul</v>
      </c>
      <c r="P509" s="65" t="str">
        <f>TEXT(Tabla1[[#This Row],[EMISION]],"YYYY")</f>
        <v>2023</v>
      </c>
      <c r="Q509" s="71">
        <v>45120</v>
      </c>
      <c r="R509" s="65" t="str">
        <f>TEXT(Tabla1[[#This Row],[VENCIMIENTO]],"mmm")</f>
        <v>Jul</v>
      </c>
      <c r="S509" s="71">
        <f t="shared" si="87"/>
        <v>45135</v>
      </c>
      <c r="T509" s="72">
        <f ca="1">Tabla1[[#This Row],[EMISION]]+Tabla1[[#This Row],[PLAZO]]-TODAY()</f>
        <v>-234</v>
      </c>
      <c r="U509" s="80">
        <f t="shared" ca="1" si="88"/>
        <v>0</v>
      </c>
      <c r="V509" s="72"/>
      <c r="W509" s="73" t="s">
        <v>14307</v>
      </c>
      <c r="X509" s="65">
        <v>15</v>
      </c>
      <c r="Y509" s="65"/>
      <c r="Z509" s="65"/>
      <c r="AA509" s="65"/>
      <c r="AB509" s="65"/>
      <c r="AC509" s="65"/>
      <c r="AD509" s="65"/>
      <c r="AE509" s="65"/>
      <c r="AF509" s="68"/>
      <c r="AG509" s="66">
        <v>45146</v>
      </c>
      <c r="AH509" s="67" t="s">
        <v>14308</v>
      </c>
      <c r="AI509" s="65" t="s">
        <v>3060</v>
      </c>
      <c r="AJ509" s="65"/>
      <c r="AK509" s="97">
        <f t="shared" ca="1" si="74"/>
        <v>234</v>
      </c>
      <c r="AL509">
        <f>IFERROR(VLOOKUP(A509,'DATA CLIENTES'!B4806:I8284,6,FALSE),0)</f>
        <v>0</v>
      </c>
    </row>
    <row r="510" spans="1:38" x14ac:dyDescent="0.25">
      <c r="A510" s="93" t="s">
        <v>6039</v>
      </c>
      <c r="B510" s="68" t="s">
        <v>6040</v>
      </c>
      <c r="C510" s="65"/>
      <c r="D510" s="65"/>
      <c r="E510" s="65"/>
      <c r="F510" s="69" t="s">
        <v>11799</v>
      </c>
      <c r="G510" s="70"/>
      <c r="H510" s="65">
        <v>5500000070</v>
      </c>
      <c r="I510" s="75">
        <v>1181.8799999999999</v>
      </c>
      <c r="J510" s="75">
        <v>1181.8800000000001</v>
      </c>
      <c r="K510" s="75"/>
      <c r="L510" s="75"/>
      <c r="M510" s="75"/>
      <c r="N510" s="75">
        <f>Tabla1[[#This Row],[IMPORTE APROBADO]]-Tabla1[[#This Row],[AMORTIZACION2]]</f>
        <v>0</v>
      </c>
      <c r="O510" s="65" t="str">
        <f>TEXT(Tabla1[[#This Row],[EMISION]],"mmm")</f>
        <v>Jul</v>
      </c>
      <c r="P510" s="65" t="str">
        <f>TEXT(Tabla1[[#This Row],[EMISION]],"YYYY")</f>
        <v>2023</v>
      </c>
      <c r="Q510" s="71">
        <v>45121</v>
      </c>
      <c r="R510" s="65" t="str">
        <f>TEXT(Tabla1[[#This Row],[VENCIMIENTO]],"mmm")</f>
        <v>Jul</v>
      </c>
      <c r="S510" s="71">
        <f t="shared" si="87"/>
        <v>45136</v>
      </c>
      <c r="T510" s="72">
        <f ca="1">Tabla1[[#This Row],[EMISION]]+Tabla1[[#This Row],[PLAZO]]-TODAY()</f>
        <v>-233</v>
      </c>
      <c r="U510" s="80">
        <f t="shared" ca="1" si="88"/>
        <v>0</v>
      </c>
      <c r="V510" s="72"/>
      <c r="W510" s="73" t="s">
        <v>14307</v>
      </c>
      <c r="X510" s="65">
        <v>15</v>
      </c>
      <c r="Y510" s="65"/>
      <c r="Z510" s="65"/>
      <c r="AA510" s="65"/>
      <c r="AB510" s="65"/>
      <c r="AC510" s="65"/>
      <c r="AD510" s="65"/>
      <c r="AE510" s="65"/>
      <c r="AF510" s="68"/>
      <c r="AG510" s="66">
        <v>45140</v>
      </c>
      <c r="AH510" s="67" t="s">
        <v>14308</v>
      </c>
      <c r="AI510" s="65" t="s">
        <v>3060</v>
      </c>
      <c r="AJ510" s="65"/>
      <c r="AK510" s="97">
        <f t="shared" ca="1" si="74"/>
        <v>233</v>
      </c>
      <c r="AL510">
        <f>IFERROR(VLOOKUP(A510,'DATA CLIENTES'!B4807:I8284,6,FALSE),0)</f>
        <v>0</v>
      </c>
    </row>
    <row r="511" spans="1:38" x14ac:dyDescent="0.25">
      <c r="A511" s="93" t="s">
        <v>6039</v>
      </c>
      <c r="B511" s="68" t="s">
        <v>6040</v>
      </c>
      <c r="C511" s="65"/>
      <c r="D511" s="65"/>
      <c r="E511" s="65"/>
      <c r="F511" s="69" t="s">
        <v>11799</v>
      </c>
      <c r="G511" s="70"/>
      <c r="H511" s="65">
        <v>5600000045</v>
      </c>
      <c r="I511" s="75">
        <v>2999.94</v>
      </c>
      <c r="J511" s="75">
        <v>2999.94</v>
      </c>
      <c r="K511" s="75"/>
      <c r="L511" s="75"/>
      <c r="M511" s="75"/>
      <c r="N511" s="75">
        <f>Tabla1[[#This Row],[IMPORTE APROBADO]]-Tabla1[[#This Row],[AMORTIZACION2]]</f>
        <v>0</v>
      </c>
      <c r="O511" s="65" t="str">
        <f>TEXT(Tabla1[[#This Row],[EMISION]],"mmm")</f>
        <v>Jul</v>
      </c>
      <c r="P511" s="65" t="str">
        <f>TEXT(Tabla1[[#This Row],[EMISION]],"YYYY")</f>
        <v>2023</v>
      </c>
      <c r="Q511" s="71">
        <v>45121</v>
      </c>
      <c r="R511" s="65" t="str">
        <f>TEXT(Tabla1[[#This Row],[VENCIMIENTO]],"mmm")</f>
        <v>Jul</v>
      </c>
      <c r="S511" s="71">
        <f t="shared" si="87"/>
        <v>45136</v>
      </c>
      <c r="T511" s="72">
        <f ca="1">Tabla1[[#This Row],[EMISION]]+Tabla1[[#This Row],[PLAZO]]-TODAY()</f>
        <v>-233</v>
      </c>
      <c r="U511" s="80">
        <f t="shared" ca="1" si="88"/>
        <v>0</v>
      </c>
      <c r="V511" s="72"/>
      <c r="W511" s="73" t="s">
        <v>14307</v>
      </c>
      <c r="X511" s="65">
        <v>15</v>
      </c>
      <c r="Y511" s="65"/>
      <c r="Z511" s="65"/>
      <c r="AA511" s="65"/>
      <c r="AB511" s="65"/>
      <c r="AC511" s="65"/>
      <c r="AD511" s="65"/>
      <c r="AE511" s="65"/>
      <c r="AF511" s="68"/>
      <c r="AG511" s="66">
        <v>45140</v>
      </c>
      <c r="AH511" s="67" t="s">
        <v>14308</v>
      </c>
      <c r="AI511" s="65" t="s">
        <v>3060</v>
      </c>
      <c r="AJ511" s="65"/>
      <c r="AK511" s="97">
        <f t="shared" ca="1" si="74"/>
        <v>233</v>
      </c>
      <c r="AL511">
        <f>IFERROR(VLOOKUP(A511,'DATA CLIENTES'!B4808:I8284,6,FALSE),0)</f>
        <v>0</v>
      </c>
    </row>
    <row r="512" spans="1:38" x14ac:dyDescent="0.25">
      <c r="A512" s="93" t="s">
        <v>9248</v>
      </c>
      <c r="B512" s="68" t="s">
        <v>9249</v>
      </c>
      <c r="C512" s="65"/>
      <c r="D512" s="65"/>
      <c r="E512" s="65"/>
      <c r="F512" s="69" t="s">
        <v>11799</v>
      </c>
      <c r="G512" s="70"/>
      <c r="H512" s="65">
        <v>5500000071</v>
      </c>
      <c r="I512" s="75">
        <v>270</v>
      </c>
      <c r="J512" s="75">
        <v>270</v>
      </c>
      <c r="K512" s="75"/>
      <c r="L512" s="75"/>
      <c r="M512" s="75"/>
      <c r="N512" s="75">
        <f>Tabla1[[#This Row],[IMPORTE APROBADO]]-Tabla1[[#This Row],[AMORTIZACION2]]</f>
        <v>0</v>
      </c>
      <c r="O512" s="65" t="str">
        <f>TEXT(Tabla1[[#This Row],[EMISION]],"mmm")</f>
        <v>Jul</v>
      </c>
      <c r="P512" s="65" t="str">
        <f>TEXT(Tabla1[[#This Row],[EMISION]],"YYYY")</f>
        <v>2023</v>
      </c>
      <c r="Q512" s="71">
        <v>45121</v>
      </c>
      <c r="R512" s="65" t="str">
        <f>TEXT(Tabla1[[#This Row],[VENCIMIENTO]],"mmm")</f>
        <v>Jul</v>
      </c>
      <c r="S512" s="71">
        <f t="shared" si="87"/>
        <v>45136</v>
      </c>
      <c r="T512" s="72">
        <f ca="1">Tabla1[[#This Row],[EMISION]]+Tabla1[[#This Row],[PLAZO]]-TODAY()</f>
        <v>-233</v>
      </c>
      <c r="U512" s="80">
        <f t="shared" ca="1" si="88"/>
        <v>0</v>
      </c>
      <c r="V512" s="72"/>
      <c r="W512" s="73" t="s">
        <v>14307</v>
      </c>
      <c r="X512" s="65">
        <v>15</v>
      </c>
      <c r="Y512" s="65"/>
      <c r="Z512" s="65"/>
      <c r="AA512" s="65"/>
      <c r="AB512" s="65"/>
      <c r="AC512" s="65"/>
      <c r="AD512" s="65"/>
      <c r="AE512" s="65"/>
      <c r="AF512" s="68"/>
      <c r="AG512" s="66">
        <v>45147</v>
      </c>
      <c r="AH512" s="67" t="s">
        <v>14308</v>
      </c>
      <c r="AI512" s="65" t="s">
        <v>3060</v>
      </c>
      <c r="AJ512" s="65"/>
      <c r="AK512" s="97">
        <f t="shared" ca="1" si="74"/>
        <v>233</v>
      </c>
      <c r="AL512">
        <f>IFERROR(VLOOKUP(A512,'DATA CLIENTES'!B4809:I8284,6,FALSE),0)</f>
        <v>0</v>
      </c>
    </row>
    <row r="513" spans="1:38" x14ac:dyDescent="0.25">
      <c r="A513" s="93" t="s">
        <v>9263</v>
      </c>
      <c r="B513" s="68" t="s">
        <v>9264</v>
      </c>
      <c r="C513" s="65"/>
      <c r="D513" s="65"/>
      <c r="E513" s="65"/>
      <c r="F513" s="69" t="s">
        <v>11799</v>
      </c>
      <c r="G513" s="70"/>
      <c r="H513" s="65">
        <v>5500000072</v>
      </c>
      <c r="I513" s="75">
        <v>1391.4</v>
      </c>
      <c r="J513" s="75">
        <v>1391.4</v>
      </c>
      <c r="K513" s="75"/>
      <c r="L513" s="75"/>
      <c r="M513" s="75"/>
      <c r="N513" s="75">
        <f>Tabla1[[#This Row],[IMPORTE APROBADO]]-Tabla1[[#This Row],[AMORTIZACION2]]</f>
        <v>0</v>
      </c>
      <c r="O513" s="65" t="str">
        <f>TEXT(Tabla1[[#This Row],[EMISION]],"mmm")</f>
        <v>Jul</v>
      </c>
      <c r="P513" s="65" t="str">
        <f>TEXT(Tabla1[[#This Row],[EMISION]],"YYYY")</f>
        <v>2023</v>
      </c>
      <c r="Q513" s="71">
        <v>45121</v>
      </c>
      <c r="R513" s="65" t="str">
        <f>TEXT(Tabla1[[#This Row],[VENCIMIENTO]],"mmm")</f>
        <v>Jul</v>
      </c>
      <c r="S513" s="71">
        <f t="shared" ref="S513:S517" si="89">Q513+X513</f>
        <v>45136</v>
      </c>
      <c r="T513" s="72">
        <f ca="1">Tabla1[[#This Row],[EMISION]]+Tabla1[[#This Row],[PLAZO]]-TODAY()</f>
        <v>-233</v>
      </c>
      <c r="U513" s="80">
        <f t="shared" ref="U513:U517" ca="1" si="90">IF(T513&gt;=0,$U$4,IF(AND(T513&lt;=-1,T513&gt;=-30),$U$5,IF(AND(T513&lt;=-31,T513&gt;=-60),$U$6,IF(AND(T513&lt;=-61,T513&gt;=-90),$U$7,$U$8))))</f>
        <v>0</v>
      </c>
      <c r="V513" s="72"/>
      <c r="W513" s="73" t="s">
        <v>14307</v>
      </c>
      <c r="X513" s="65">
        <v>15</v>
      </c>
      <c r="Y513" s="65"/>
      <c r="Z513" s="65"/>
      <c r="AA513" s="65"/>
      <c r="AB513" s="65"/>
      <c r="AC513" s="65"/>
      <c r="AD513" s="65"/>
      <c r="AE513" s="65"/>
      <c r="AF513" s="68"/>
      <c r="AG513" s="66">
        <v>45146</v>
      </c>
      <c r="AH513" s="67" t="s">
        <v>14308</v>
      </c>
      <c r="AI513" s="65" t="s">
        <v>3060</v>
      </c>
      <c r="AJ513" s="65"/>
      <c r="AK513" s="97">
        <f t="shared" ca="1" si="74"/>
        <v>233</v>
      </c>
      <c r="AL513">
        <f>IFERROR(VLOOKUP(A513,'DATA CLIENTES'!B4810:I8284,6,FALSE),0)</f>
        <v>0</v>
      </c>
    </row>
    <row r="514" spans="1:38" x14ac:dyDescent="0.25">
      <c r="A514" s="93" t="s">
        <v>6694</v>
      </c>
      <c r="B514" s="68" t="s">
        <v>6695</v>
      </c>
      <c r="C514" s="65"/>
      <c r="D514" s="65"/>
      <c r="E514" s="65"/>
      <c r="F514" s="69" t="s">
        <v>14804</v>
      </c>
      <c r="G514" s="70"/>
      <c r="H514" s="65">
        <v>5500000091</v>
      </c>
      <c r="I514" s="75">
        <v>762.59999999999991</v>
      </c>
      <c r="J514" s="75">
        <f>400+300+62.6</f>
        <v>762.6</v>
      </c>
      <c r="K514" s="75"/>
      <c r="L514" s="75"/>
      <c r="M514" s="75"/>
      <c r="N514" s="75">
        <f>Tabla1[[#This Row],[IMPORTE APROBADO]]-Tabla1[[#This Row],[AMORTIZACION2]]</f>
        <v>0</v>
      </c>
      <c r="O514" s="65" t="str">
        <f>TEXT(Tabla1[[#This Row],[EMISION]],"mmm")</f>
        <v>Jul</v>
      </c>
      <c r="P514" s="65" t="str">
        <f>TEXT(Tabla1[[#This Row],[EMISION]],"YYYY")</f>
        <v>2023</v>
      </c>
      <c r="Q514" s="71">
        <v>45125</v>
      </c>
      <c r="R514" s="65" t="str">
        <f>TEXT(Tabla1[[#This Row],[VENCIMIENTO]],"mmm")</f>
        <v>Ago</v>
      </c>
      <c r="S514" s="71">
        <f t="shared" si="89"/>
        <v>45140</v>
      </c>
      <c r="T514" s="72">
        <f ca="1">Tabla1[[#This Row],[EMISION]]+Tabla1[[#This Row],[PLAZO]]-TODAY()</f>
        <v>-229</v>
      </c>
      <c r="U514" s="80">
        <f t="shared" ca="1" si="90"/>
        <v>0</v>
      </c>
      <c r="V514" s="72"/>
      <c r="W514" s="73" t="s">
        <v>14307</v>
      </c>
      <c r="X514" s="65">
        <v>15</v>
      </c>
      <c r="Y514" s="65"/>
      <c r="Z514" s="65"/>
      <c r="AA514" s="65"/>
      <c r="AB514" s="65"/>
      <c r="AC514" s="65"/>
      <c r="AD514" s="65"/>
      <c r="AE514" s="65"/>
      <c r="AF514" s="68"/>
      <c r="AG514" s="66">
        <v>45139</v>
      </c>
      <c r="AH514" s="67" t="s">
        <v>14308</v>
      </c>
      <c r="AI514" s="65" t="s">
        <v>3060</v>
      </c>
      <c r="AJ514" s="65"/>
      <c r="AK514" s="97">
        <f t="shared" ca="1" si="74"/>
        <v>229</v>
      </c>
      <c r="AL514">
        <f>IFERROR(VLOOKUP(A514,'DATA CLIENTES'!B4811:I8284,6,FALSE),0)</f>
        <v>0</v>
      </c>
    </row>
    <row r="515" spans="1:38" x14ac:dyDescent="0.25">
      <c r="A515" s="93" t="s">
        <v>6694</v>
      </c>
      <c r="B515" s="68" t="s">
        <v>6695</v>
      </c>
      <c r="C515" s="65"/>
      <c r="D515" s="65"/>
      <c r="E515" s="65"/>
      <c r="F515" s="69" t="s">
        <v>14804</v>
      </c>
      <c r="G515" s="70"/>
      <c r="H515" s="65">
        <v>5600000056</v>
      </c>
      <c r="I515" s="75">
        <v>280.01</v>
      </c>
      <c r="J515" s="75">
        <v>280.01</v>
      </c>
      <c r="K515" s="75"/>
      <c r="L515" s="75"/>
      <c r="M515" s="75"/>
      <c r="N515" s="75">
        <f>Tabla1[[#This Row],[IMPORTE APROBADO]]-Tabla1[[#This Row],[AMORTIZACION2]]</f>
        <v>0</v>
      </c>
      <c r="O515" s="65" t="str">
        <f>TEXT(Tabla1[[#This Row],[EMISION]],"mmm")</f>
        <v>Jul</v>
      </c>
      <c r="P515" s="65" t="str">
        <f>TEXT(Tabla1[[#This Row],[EMISION]],"YYYY")</f>
        <v>2023</v>
      </c>
      <c r="Q515" s="71">
        <v>45125</v>
      </c>
      <c r="R515" s="65" t="str">
        <f>TEXT(Tabla1[[#This Row],[VENCIMIENTO]],"mmm")</f>
        <v>Ago</v>
      </c>
      <c r="S515" s="71">
        <f t="shared" si="89"/>
        <v>45140</v>
      </c>
      <c r="T515" s="72">
        <f ca="1">Tabla1[[#This Row],[EMISION]]+Tabla1[[#This Row],[PLAZO]]-TODAY()</f>
        <v>-229</v>
      </c>
      <c r="U515" s="80">
        <f t="shared" ca="1" si="90"/>
        <v>0</v>
      </c>
      <c r="V515" s="72"/>
      <c r="W515" s="73" t="s">
        <v>14307</v>
      </c>
      <c r="X515" s="65">
        <v>15</v>
      </c>
      <c r="Y515" s="65"/>
      <c r="Z515" s="65"/>
      <c r="AA515" s="65"/>
      <c r="AB515" s="65"/>
      <c r="AC515" s="65"/>
      <c r="AD515" s="65"/>
      <c r="AE515" s="65"/>
      <c r="AF515" s="68"/>
      <c r="AG515" s="66">
        <v>45139</v>
      </c>
      <c r="AH515" s="67" t="s">
        <v>14308</v>
      </c>
      <c r="AI515" s="65" t="s">
        <v>3060</v>
      </c>
      <c r="AJ515" s="65"/>
      <c r="AK515" s="97">
        <f t="shared" ca="1" si="74"/>
        <v>229</v>
      </c>
      <c r="AL515">
        <f>IFERROR(VLOOKUP(A515,'DATA CLIENTES'!B4812:I8284,6,FALSE),0)</f>
        <v>0</v>
      </c>
    </row>
    <row r="516" spans="1:38" x14ac:dyDescent="0.25">
      <c r="A516" s="93" t="s">
        <v>7923</v>
      </c>
      <c r="B516" s="68" t="s">
        <v>7924</v>
      </c>
      <c r="C516" s="65"/>
      <c r="D516" s="65"/>
      <c r="E516" s="65"/>
      <c r="F516" s="69" t="s">
        <v>14574</v>
      </c>
      <c r="G516" s="70"/>
      <c r="H516" s="65">
        <v>5300000046</v>
      </c>
      <c r="I516" s="75">
        <v>3967</v>
      </c>
      <c r="J516" s="75">
        <f>3967</f>
        <v>3967</v>
      </c>
      <c r="K516" s="75"/>
      <c r="L516" s="75"/>
      <c r="M516" s="75"/>
      <c r="N516" s="75">
        <f>Tabla1[[#This Row],[IMPORTE APROBADO]]-Tabla1[[#This Row],[AMORTIZACION2]]</f>
        <v>0</v>
      </c>
      <c r="O516" s="65" t="str">
        <f>TEXT(Tabla1[[#This Row],[EMISION]],"mmm")</f>
        <v>Jul</v>
      </c>
      <c r="P516" s="65" t="str">
        <f>TEXT(Tabla1[[#This Row],[EMISION]],"YYYY")</f>
        <v>2023</v>
      </c>
      <c r="Q516" s="71">
        <v>45127</v>
      </c>
      <c r="R516" s="65" t="str">
        <f>TEXT(Tabla1[[#This Row],[VENCIMIENTO]],"mmm")</f>
        <v>Jul</v>
      </c>
      <c r="S516" s="71">
        <f t="shared" si="89"/>
        <v>45134</v>
      </c>
      <c r="T516" s="72">
        <f ca="1">Tabla1[[#This Row],[EMISION]]+Tabla1[[#This Row],[PLAZO]]-TODAY()</f>
        <v>-235</v>
      </c>
      <c r="U516" s="80">
        <f t="shared" ca="1" si="90"/>
        <v>0</v>
      </c>
      <c r="V516" s="72"/>
      <c r="W516" s="73" t="s">
        <v>14307</v>
      </c>
      <c r="X516" s="65">
        <v>7</v>
      </c>
      <c r="Y516" s="65"/>
      <c r="Z516" s="65"/>
      <c r="AA516" s="65"/>
      <c r="AB516" s="65"/>
      <c r="AC516" s="65"/>
      <c r="AD516" s="65"/>
      <c r="AE516" s="65"/>
      <c r="AF516" s="68"/>
      <c r="AG516" s="66">
        <v>45139</v>
      </c>
      <c r="AH516" s="67" t="s">
        <v>14308</v>
      </c>
      <c r="AI516" s="65" t="s">
        <v>3060</v>
      </c>
      <c r="AJ516" s="65"/>
      <c r="AK516" s="97">
        <f t="shared" ca="1" si="74"/>
        <v>235</v>
      </c>
      <c r="AL516">
        <f>IFERROR(VLOOKUP(A516,'DATA CLIENTES'!B4813:I8284,6,FALSE),0)</f>
        <v>0</v>
      </c>
    </row>
    <row r="517" spans="1:38" x14ac:dyDescent="0.25">
      <c r="A517" s="93" t="s">
        <v>7923</v>
      </c>
      <c r="B517" s="68" t="s">
        <v>7924</v>
      </c>
      <c r="C517" s="65"/>
      <c r="D517" s="65"/>
      <c r="E517" s="65"/>
      <c r="F517" s="69" t="s">
        <v>14805</v>
      </c>
      <c r="G517" s="70"/>
      <c r="H517" s="65">
        <v>5300000047</v>
      </c>
      <c r="I517" s="75">
        <v>200</v>
      </c>
      <c r="J517" s="75">
        <v>200</v>
      </c>
      <c r="K517" s="75"/>
      <c r="L517" s="75"/>
      <c r="M517" s="75"/>
      <c r="N517" s="75">
        <f>Tabla1[[#This Row],[IMPORTE APROBADO]]-Tabla1[[#This Row],[AMORTIZACION2]]</f>
        <v>0</v>
      </c>
      <c r="O517" s="65" t="str">
        <f>TEXT(Tabla1[[#This Row],[EMISION]],"mmm")</f>
        <v>Jul</v>
      </c>
      <c r="P517" s="65" t="str">
        <f>TEXT(Tabla1[[#This Row],[EMISION]],"YYYY")</f>
        <v>2023</v>
      </c>
      <c r="Q517" s="71">
        <v>45127</v>
      </c>
      <c r="R517" s="65" t="str">
        <f>TEXT(Tabla1[[#This Row],[VENCIMIENTO]],"mmm")</f>
        <v>Jul</v>
      </c>
      <c r="S517" s="71">
        <f t="shared" si="89"/>
        <v>45134</v>
      </c>
      <c r="T517" s="72">
        <f ca="1">Tabla1[[#This Row],[EMISION]]+Tabla1[[#This Row],[PLAZO]]-TODAY()</f>
        <v>-235</v>
      </c>
      <c r="U517" s="80">
        <f t="shared" ca="1" si="90"/>
        <v>0</v>
      </c>
      <c r="V517" s="72"/>
      <c r="W517" s="73" t="s">
        <v>14307</v>
      </c>
      <c r="X517" s="65">
        <v>7</v>
      </c>
      <c r="Y517" s="65"/>
      <c r="Z517" s="65"/>
      <c r="AA517" s="65"/>
      <c r="AB517" s="65"/>
      <c r="AC517" s="65"/>
      <c r="AD517" s="65"/>
      <c r="AE517" s="65"/>
      <c r="AF517" s="68"/>
      <c r="AG517" s="66">
        <v>45139</v>
      </c>
      <c r="AH517" s="67" t="s">
        <v>14308</v>
      </c>
      <c r="AI517" s="65" t="s">
        <v>3060</v>
      </c>
      <c r="AJ517" s="65"/>
      <c r="AK517" s="97">
        <f t="shared" ca="1" si="74"/>
        <v>235</v>
      </c>
      <c r="AL517">
        <f>IFERROR(VLOOKUP(A517,'DATA CLIENTES'!B4814:I8284,6,FALSE),0)</f>
        <v>0</v>
      </c>
    </row>
    <row r="518" spans="1:38" x14ac:dyDescent="0.25">
      <c r="A518" s="93" t="s">
        <v>5265</v>
      </c>
      <c r="B518" s="68" t="s">
        <v>5266</v>
      </c>
      <c r="C518" s="65"/>
      <c r="D518" s="65"/>
      <c r="E518" s="65"/>
      <c r="F518" s="69" t="s">
        <v>14676</v>
      </c>
      <c r="G518" s="70"/>
      <c r="H518" s="65">
        <v>5600000061</v>
      </c>
      <c r="I518" s="75">
        <v>1099.8</v>
      </c>
      <c r="J518" s="75">
        <f>200+400+160+339</f>
        <v>1099</v>
      </c>
      <c r="K518" s="75"/>
      <c r="L518" s="75"/>
      <c r="M518" s="75"/>
      <c r="N518" s="75">
        <f>Tabla1[[#This Row],[IMPORTE APROBADO]]-Tabla1[[#This Row],[AMORTIZACION2]]</f>
        <v>0.79999999999995453</v>
      </c>
      <c r="O518" s="65" t="str">
        <f>TEXT(Tabla1[[#This Row],[EMISION]],"mmm")</f>
        <v>Jul</v>
      </c>
      <c r="P518" s="65" t="str">
        <f>TEXT(Tabla1[[#This Row],[EMISION]],"YYYY")</f>
        <v>2023</v>
      </c>
      <c r="Q518" s="71">
        <v>45128</v>
      </c>
      <c r="R518" s="65" t="str">
        <f>TEXT(Tabla1[[#This Row],[VENCIMIENTO]],"mmm")</f>
        <v>Ago</v>
      </c>
      <c r="S518" s="71">
        <f t="shared" ref="S518:S524" si="91">Q518+X518</f>
        <v>45158</v>
      </c>
      <c r="T518" s="72">
        <f ca="1">Tabla1[[#This Row],[EMISION]]+Tabla1[[#This Row],[PLAZO]]-TODAY()</f>
        <v>-211</v>
      </c>
      <c r="U518" s="80">
        <f t="shared" ref="U518:U524" ca="1" si="92">IF(T518&gt;=0,$U$4,IF(AND(T518&lt;=-1,T518&gt;=-30),$U$5,IF(AND(T518&lt;=-31,T518&gt;=-60),$U$6,IF(AND(T518&lt;=-61,T518&gt;=-90),$U$7,$U$8))))</f>
        <v>0</v>
      </c>
      <c r="V518" s="72"/>
      <c r="W518" s="73" t="s">
        <v>14307</v>
      </c>
      <c r="X518" s="65">
        <v>30</v>
      </c>
      <c r="Y518" s="65"/>
      <c r="Z518" s="65"/>
      <c r="AA518" s="65"/>
      <c r="AB518" s="65"/>
      <c r="AC518" s="65"/>
      <c r="AD518" s="65"/>
      <c r="AE518" s="65"/>
      <c r="AF518" s="68"/>
      <c r="AG518" s="66">
        <v>45252</v>
      </c>
      <c r="AH518" s="67" t="s">
        <v>14308</v>
      </c>
      <c r="AI518" s="65" t="s">
        <v>3060</v>
      </c>
      <c r="AJ518" s="65"/>
      <c r="AK518" s="97">
        <f t="shared" ca="1" si="74"/>
        <v>211</v>
      </c>
      <c r="AL518">
        <f>IFERROR(VLOOKUP(A518,'DATA CLIENTES'!B4815:I8284,6,FALSE),0)</f>
        <v>0</v>
      </c>
    </row>
    <row r="519" spans="1:38" x14ac:dyDescent="0.25">
      <c r="A519" s="93" t="s">
        <v>6999</v>
      </c>
      <c r="B519" s="68" t="s">
        <v>7000</v>
      </c>
      <c r="C519" s="65"/>
      <c r="D519" s="65"/>
      <c r="E519" s="65"/>
      <c r="F519" s="69" t="s">
        <v>7000</v>
      </c>
      <c r="G519" s="70"/>
      <c r="H519" s="65">
        <v>5600000063</v>
      </c>
      <c r="I519" s="75">
        <v>1589.66</v>
      </c>
      <c r="J519" s="75"/>
      <c r="K519" s="75"/>
      <c r="L519" s="75"/>
      <c r="M519" s="75"/>
      <c r="N519" s="75">
        <f>Tabla1[[#This Row],[IMPORTE APROBADO]]-Tabla1[[#This Row],[AMORTIZACION2]]</f>
        <v>1589.66</v>
      </c>
      <c r="O519" s="65" t="str">
        <f>TEXT(Tabla1[[#This Row],[EMISION]],"mmm")</f>
        <v>Jul</v>
      </c>
      <c r="P519" s="65" t="str">
        <f>TEXT(Tabla1[[#This Row],[EMISION]],"YYYY")</f>
        <v>2023</v>
      </c>
      <c r="Q519" s="71">
        <v>45129</v>
      </c>
      <c r="R519" s="65" t="str">
        <f>TEXT(Tabla1[[#This Row],[VENCIMIENTO]],"mmm")</f>
        <v>Ago</v>
      </c>
      <c r="S519" s="71">
        <f t="shared" si="91"/>
        <v>45169</v>
      </c>
      <c r="T519" s="72">
        <f ca="1">Tabla1[[#This Row],[EMISION]]+Tabla1[[#This Row],[PLAZO]]-TODAY()</f>
        <v>-200</v>
      </c>
      <c r="U519" s="80">
        <f t="shared" ca="1" si="92"/>
        <v>0</v>
      </c>
      <c r="V519" s="72"/>
      <c r="W519" s="73" t="s">
        <v>14307</v>
      </c>
      <c r="X519" s="65">
        <v>40</v>
      </c>
      <c r="Y519" s="65"/>
      <c r="Z519" s="65"/>
      <c r="AA519" s="65"/>
      <c r="AB519" s="65"/>
      <c r="AC519" s="65"/>
      <c r="AD519" s="65"/>
      <c r="AE519" s="65"/>
      <c r="AF519" s="68"/>
      <c r="AG519" s="66"/>
      <c r="AH519" s="67" t="s">
        <v>14313</v>
      </c>
      <c r="AI519" s="65" t="s">
        <v>3060</v>
      </c>
      <c r="AJ519" s="65"/>
      <c r="AK519" s="97">
        <f t="shared" ca="1" si="74"/>
        <v>200</v>
      </c>
      <c r="AL519">
        <f>IFERROR(VLOOKUP(A519,'DATA CLIENTES'!B4816:I8284,6,FALSE),0)</f>
        <v>0</v>
      </c>
    </row>
    <row r="520" spans="1:38" x14ac:dyDescent="0.25">
      <c r="A520" s="93" t="s">
        <v>5470</v>
      </c>
      <c r="B520" s="68" t="s">
        <v>5471</v>
      </c>
      <c r="C520" s="65"/>
      <c r="D520" s="65"/>
      <c r="E520" s="65"/>
      <c r="F520" s="69" t="s">
        <v>14804</v>
      </c>
      <c r="G520" s="70"/>
      <c r="H520" s="65">
        <v>5600000065</v>
      </c>
      <c r="I520" s="75">
        <v>2372.04</v>
      </c>
      <c r="J520" s="75">
        <f>1400+972</f>
        <v>2372</v>
      </c>
      <c r="K520" s="75"/>
      <c r="L520" s="75"/>
      <c r="M520" s="75"/>
      <c r="N520" s="75">
        <f>Tabla1[[#This Row],[IMPORTE APROBADO]]-Tabla1[[#This Row],[AMORTIZACION2]]</f>
        <v>3.999999999996362E-2</v>
      </c>
      <c r="O520" s="65" t="str">
        <f>TEXT(Tabla1[[#This Row],[EMISION]],"mmm")</f>
        <v>Jul</v>
      </c>
      <c r="P520" s="65" t="str">
        <f>TEXT(Tabla1[[#This Row],[EMISION]],"YYYY")</f>
        <v>2023</v>
      </c>
      <c r="Q520" s="71">
        <v>45129</v>
      </c>
      <c r="R520" s="65" t="str">
        <f>TEXT(Tabla1[[#This Row],[VENCIMIENTO]],"mmm")</f>
        <v>Ago</v>
      </c>
      <c r="S520" s="71">
        <f t="shared" si="91"/>
        <v>45144</v>
      </c>
      <c r="T520" s="72">
        <f ca="1">Tabla1[[#This Row],[EMISION]]+Tabla1[[#This Row],[PLAZO]]-TODAY()</f>
        <v>-225</v>
      </c>
      <c r="U520" s="80">
        <f t="shared" ca="1" si="92"/>
        <v>0</v>
      </c>
      <c r="V520" s="72"/>
      <c r="W520" s="73" t="s">
        <v>14307</v>
      </c>
      <c r="X520" s="65">
        <v>15</v>
      </c>
      <c r="Y520" s="65"/>
      <c r="Z520" s="65"/>
      <c r="AA520" s="65"/>
      <c r="AB520" s="65"/>
      <c r="AC520" s="65"/>
      <c r="AD520" s="65"/>
      <c r="AE520" s="65"/>
      <c r="AF520" s="68"/>
      <c r="AG520" s="66">
        <v>45155</v>
      </c>
      <c r="AH520" s="67" t="s">
        <v>14308</v>
      </c>
      <c r="AI520" s="65" t="s">
        <v>3060</v>
      </c>
      <c r="AJ520" s="65"/>
      <c r="AK520" s="97">
        <f t="shared" ca="1" si="74"/>
        <v>225</v>
      </c>
      <c r="AL520">
        <f>IFERROR(VLOOKUP(A520,'DATA CLIENTES'!B4817:I8284,6,FALSE),0)</f>
        <v>0</v>
      </c>
    </row>
    <row r="521" spans="1:38" x14ac:dyDescent="0.25">
      <c r="A521" s="93" t="s">
        <v>8577</v>
      </c>
      <c r="B521" s="68" t="s">
        <v>8578</v>
      </c>
      <c r="C521" s="65"/>
      <c r="D521" s="65"/>
      <c r="E521" s="65"/>
      <c r="F521" s="69" t="s">
        <v>14559</v>
      </c>
      <c r="G521" s="70"/>
      <c r="H521" s="65">
        <v>2700006075</v>
      </c>
      <c r="I521" s="75">
        <v>800.43000000000006</v>
      </c>
      <c r="J521" s="75"/>
      <c r="K521" s="75"/>
      <c r="L521" s="75"/>
      <c r="M521" s="75"/>
      <c r="N521" s="75">
        <f>Tabla1[[#This Row],[IMPORTE APROBADO]]-Tabla1[[#This Row],[AMORTIZACION2]]</f>
        <v>800.43000000000006</v>
      </c>
      <c r="O521" s="65" t="str">
        <f>TEXT(Tabla1[[#This Row],[EMISION]],"mmm")</f>
        <v>Jul</v>
      </c>
      <c r="P521" s="65" t="str">
        <f>TEXT(Tabla1[[#This Row],[EMISION]],"YYYY")</f>
        <v>2023</v>
      </c>
      <c r="Q521" s="71">
        <v>45131</v>
      </c>
      <c r="R521" s="65" t="str">
        <f>TEXT(Tabla1[[#This Row],[VENCIMIENTO]],"mmm")</f>
        <v>Ago</v>
      </c>
      <c r="S521" s="71">
        <f t="shared" si="91"/>
        <v>45156</v>
      </c>
      <c r="T521" s="72">
        <f ca="1">Tabla1[[#This Row],[EMISION]]+Tabla1[[#This Row],[PLAZO]]-TODAY()</f>
        <v>-213</v>
      </c>
      <c r="U521" s="80">
        <f t="shared" ca="1" si="92"/>
        <v>0</v>
      </c>
      <c r="V521" s="72"/>
      <c r="W521" s="73" t="s">
        <v>14307</v>
      </c>
      <c r="X521" s="65">
        <v>25</v>
      </c>
      <c r="Y521" s="65"/>
      <c r="Z521" s="65"/>
      <c r="AA521" s="65"/>
      <c r="AB521" s="65"/>
      <c r="AC521" s="65"/>
      <c r="AD521" s="65"/>
      <c r="AE521" s="65"/>
      <c r="AF521" s="68"/>
      <c r="AG521" s="66">
        <v>45138</v>
      </c>
      <c r="AH521" s="67" t="s">
        <v>14308</v>
      </c>
      <c r="AI521" s="65" t="s">
        <v>3060</v>
      </c>
      <c r="AJ521" s="65"/>
      <c r="AK521" s="97">
        <f t="shared" ca="1" si="74"/>
        <v>213</v>
      </c>
      <c r="AL521">
        <f>IFERROR(VLOOKUP(A521,'DATA CLIENTES'!B4818:I8284,6,FALSE),0)</f>
        <v>0</v>
      </c>
    </row>
    <row r="522" spans="1:38" x14ac:dyDescent="0.25">
      <c r="A522" s="93" t="s">
        <v>9284</v>
      </c>
      <c r="B522" s="68" t="s">
        <v>9285</v>
      </c>
      <c r="C522" s="65"/>
      <c r="D522" s="65"/>
      <c r="E522" s="65"/>
      <c r="F522" s="69" t="s">
        <v>14559</v>
      </c>
      <c r="G522" s="70"/>
      <c r="H522" s="65">
        <v>5500000124</v>
      </c>
      <c r="I522" s="75">
        <v>1889.8600000000001</v>
      </c>
      <c r="J522" s="75">
        <f>500+500+400+489</f>
        <v>1889</v>
      </c>
      <c r="K522" s="75"/>
      <c r="L522" s="75"/>
      <c r="M522" s="75"/>
      <c r="N522" s="75">
        <f>Tabla1[[#This Row],[IMPORTE APROBADO]]-Tabla1[[#This Row],[AMORTIZACION2]]</f>
        <v>0.86000000000012733</v>
      </c>
      <c r="O522" s="65" t="str">
        <f>TEXT(Tabla1[[#This Row],[EMISION]],"mmm")</f>
        <v>Jul</v>
      </c>
      <c r="P522" s="65" t="str">
        <f>TEXT(Tabla1[[#This Row],[EMISION]],"YYYY")</f>
        <v>2023</v>
      </c>
      <c r="Q522" s="71">
        <v>45131</v>
      </c>
      <c r="R522" s="65" t="str">
        <f>TEXT(Tabla1[[#This Row],[VENCIMIENTO]],"mmm")</f>
        <v>Ago</v>
      </c>
      <c r="S522" s="71">
        <f t="shared" si="91"/>
        <v>45156</v>
      </c>
      <c r="T522" s="72">
        <f ca="1">Tabla1[[#This Row],[EMISION]]+Tabla1[[#This Row],[PLAZO]]-TODAY()</f>
        <v>-213</v>
      </c>
      <c r="U522" s="80">
        <f t="shared" ca="1" si="92"/>
        <v>0</v>
      </c>
      <c r="V522" s="72"/>
      <c r="W522" s="73" t="s">
        <v>14307</v>
      </c>
      <c r="X522" s="65">
        <v>25</v>
      </c>
      <c r="Y522" s="65"/>
      <c r="Z522" s="65"/>
      <c r="AA522" s="65"/>
      <c r="AB522" s="65"/>
      <c r="AC522" s="65"/>
      <c r="AD522" s="65"/>
      <c r="AE522" s="65"/>
      <c r="AF522" s="68"/>
      <c r="AG522" s="66">
        <v>45167</v>
      </c>
      <c r="AH522" s="67" t="s">
        <v>14308</v>
      </c>
      <c r="AI522" s="65" t="s">
        <v>3060</v>
      </c>
      <c r="AJ522" s="65"/>
      <c r="AK522" s="97">
        <f t="shared" ca="1" si="74"/>
        <v>213</v>
      </c>
      <c r="AL522">
        <f>IFERROR(VLOOKUP(A522,'DATA CLIENTES'!B4819:I8284,6,FALSE),0)</f>
        <v>0</v>
      </c>
    </row>
    <row r="523" spans="1:38" x14ac:dyDescent="0.25">
      <c r="A523" s="93" t="s">
        <v>5743</v>
      </c>
      <c r="B523" s="68" t="s">
        <v>14806</v>
      </c>
      <c r="C523" s="65"/>
      <c r="D523" s="65"/>
      <c r="E523" s="65"/>
      <c r="F523" s="69" t="s">
        <v>14559</v>
      </c>
      <c r="G523" s="70"/>
      <c r="H523" s="65">
        <v>5500000130</v>
      </c>
      <c r="I523" s="75">
        <v>469.92</v>
      </c>
      <c r="J523" s="75">
        <f>150+119.9+200</f>
        <v>469.9</v>
      </c>
      <c r="K523" s="75"/>
      <c r="L523" s="75"/>
      <c r="M523" s="75"/>
      <c r="N523" s="75">
        <f>Tabla1[[#This Row],[IMPORTE APROBADO]]-Tabla1[[#This Row],[AMORTIZACION2]]</f>
        <v>2.0000000000038654E-2</v>
      </c>
      <c r="O523" s="65" t="str">
        <f>TEXT(Tabla1[[#This Row],[EMISION]],"mmm")</f>
        <v>Jul</v>
      </c>
      <c r="P523" s="65" t="str">
        <f>TEXT(Tabla1[[#This Row],[EMISION]],"YYYY")</f>
        <v>2023</v>
      </c>
      <c r="Q523" s="71">
        <v>45131</v>
      </c>
      <c r="R523" s="65" t="str">
        <f>TEXT(Tabla1[[#This Row],[VENCIMIENTO]],"mmm")</f>
        <v>Ago</v>
      </c>
      <c r="S523" s="71">
        <f t="shared" si="91"/>
        <v>45161</v>
      </c>
      <c r="T523" s="72">
        <f ca="1">Tabla1[[#This Row],[EMISION]]+Tabla1[[#This Row],[PLAZO]]-TODAY()</f>
        <v>-208</v>
      </c>
      <c r="U523" s="80">
        <f t="shared" ca="1" si="92"/>
        <v>0</v>
      </c>
      <c r="V523" s="72"/>
      <c r="W523" s="73" t="s">
        <v>14307</v>
      </c>
      <c r="X523" s="65">
        <v>30</v>
      </c>
      <c r="Y523" s="65"/>
      <c r="Z523" s="65"/>
      <c r="AA523" s="65"/>
      <c r="AB523" s="65"/>
      <c r="AC523" s="65"/>
      <c r="AD523" s="65"/>
      <c r="AE523" s="65"/>
      <c r="AF523" s="68"/>
      <c r="AG523" s="66">
        <v>45156</v>
      </c>
      <c r="AH523" s="67" t="s">
        <v>14308</v>
      </c>
      <c r="AI523" s="65" t="s">
        <v>3060</v>
      </c>
      <c r="AJ523" s="65"/>
      <c r="AK523" s="97">
        <f t="shared" ca="1" si="74"/>
        <v>208</v>
      </c>
      <c r="AL523">
        <f>IFERROR(VLOOKUP(A523,'DATA CLIENTES'!B4820:I8284,6,FALSE),0)</f>
        <v>0</v>
      </c>
    </row>
    <row r="524" spans="1:38" x14ac:dyDescent="0.25">
      <c r="A524" s="93" t="s">
        <v>5473</v>
      </c>
      <c r="B524" s="68" t="s">
        <v>14807</v>
      </c>
      <c r="C524" s="65"/>
      <c r="D524" s="65"/>
      <c r="E524" s="65"/>
      <c r="F524" s="69" t="s">
        <v>14559</v>
      </c>
      <c r="G524" s="70"/>
      <c r="H524" s="65">
        <v>5500000131</v>
      </c>
      <c r="I524" s="75">
        <v>6593.6</v>
      </c>
      <c r="J524" s="75">
        <v>6593.6</v>
      </c>
      <c r="K524" s="75"/>
      <c r="L524" s="75"/>
      <c r="M524" s="75"/>
      <c r="N524" s="75">
        <f>Tabla1[[#This Row],[IMPORTE APROBADO]]-Tabla1[[#This Row],[AMORTIZACION2]]</f>
        <v>0</v>
      </c>
      <c r="O524" s="65" t="str">
        <f>TEXT(Tabla1[[#This Row],[EMISION]],"mmm")</f>
        <v>Jul</v>
      </c>
      <c r="P524" s="65" t="str">
        <f>TEXT(Tabla1[[#This Row],[EMISION]],"YYYY")</f>
        <v>2023</v>
      </c>
      <c r="Q524" s="71">
        <v>45131</v>
      </c>
      <c r="R524" s="65" t="str">
        <f>TEXT(Tabla1[[#This Row],[VENCIMIENTO]],"mmm")</f>
        <v>Ago</v>
      </c>
      <c r="S524" s="71">
        <f t="shared" si="91"/>
        <v>45151</v>
      </c>
      <c r="T524" s="72">
        <f ca="1">Tabla1[[#This Row],[EMISION]]+Tabla1[[#This Row],[PLAZO]]-TODAY()</f>
        <v>-218</v>
      </c>
      <c r="U524" s="80">
        <f t="shared" ca="1" si="92"/>
        <v>0</v>
      </c>
      <c r="V524" s="72"/>
      <c r="W524" s="73" t="s">
        <v>14307</v>
      </c>
      <c r="X524" s="65">
        <v>20</v>
      </c>
      <c r="Y524" s="65"/>
      <c r="Z524" s="65"/>
      <c r="AA524" s="65"/>
      <c r="AB524" s="65"/>
      <c r="AC524" s="65"/>
      <c r="AD524" s="65"/>
      <c r="AE524" s="65"/>
      <c r="AF524" s="68"/>
      <c r="AG524" s="66">
        <v>45146</v>
      </c>
      <c r="AH524" s="67" t="s">
        <v>14308</v>
      </c>
      <c r="AI524" s="65" t="s">
        <v>3060</v>
      </c>
      <c r="AJ524" s="65"/>
      <c r="AK524" s="97">
        <f t="shared" ca="1" si="74"/>
        <v>218</v>
      </c>
      <c r="AL524">
        <f>IFERROR(VLOOKUP(A524,'DATA CLIENTES'!B4821:I8284,6,FALSE),0)</f>
        <v>0</v>
      </c>
    </row>
    <row r="525" spans="1:38" x14ac:dyDescent="0.25">
      <c r="A525" s="93" t="s">
        <v>10257</v>
      </c>
      <c r="B525" s="68" t="s">
        <v>10258</v>
      </c>
      <c r="C525" s="65"/>
      <c r="D525" s="65"/>
      <c r="E525" s="65"/>
      <c r="F525" s="69" t="s">
        <v>14808</v>
      </c>
      <c r="G525" s="70"/>
      <c r="H525" s="65">
        <v>5300000060</v>
      </c>
      <c r="I525" s="75">
        <v>42291</v>
      </c>
      <c r="J525" s="75">
        <f>10000+2590+22630</f>
        <v>35220</v>
      </c>
      <c r="K525" s="75"/>
      <c r="L525" s="75"/>
      <c r="M525" s="75"/>
      <c r="N525" s="75">
        <f>Tabla1[[#This Row],[IMPORTE APROBADO]]-Tabla1[[#This Row],[AMORTIZACION2]]</f>
        <v>7071</v>
      </c>
      <c r="O525" s="65" t="str">
        <f>TEXT(Tabla1[[#This Row],[EMISION]],"mmm")</f>
        <v>Jul</v>
      </c>
      <c r="P525" s="65" t="str">
        <f>TEXT(Tabla1[[#This Row],[EMISION]],"YYYY")</f>
        <v>2023</v>
      </c>
      <c r="Q525" s="71">
        <v>45132</v>
      </c>
      <c r="R525" s="65" t="str">
        <f>TEXT(Tabla1[[#This Row],[VENCIMIENTO]],"mmm")</f>
        <v>Ago</v>
      </c>
      <c r="S525" s="71">
        <f t="shared" ref="S525:S534" si="93">Q525+X525</f>
        <v>45147</v>
      </c>
      <c r="T525" s="72">
        <f ca="1">Tabla1[[#This Row],[EMISION]]+Tabla1[[#This Row],[PLAZO]]-TODAY()</f>
        <v>-222</v>
      </c>
      <c r="U525" s="80">
        <f t="shared" ref="U525:U534" ca="1" si="94">IF(T525&gt;=0,$U$4,IF(AND(T525&lt;=-1,T525&gt;=-30),$U$5,IF(AND(T525&lt;=-31,T525&gt;=-60),$U$6,IF(AND(T525&lt;=-61,T525&gt;=-90),$U$7,$U$8))))</f>
        <v>0</v>
      </c>
      <c r="V525" s="72"/>
      <c r="W525" s="73" t="s">
        <v>14307</v>
      </c>
      <c r="X525" s="65">
        <v>15</v>
      </c>
      <c r="Y525" s="65"/>
      <c r="Z525" s="65"/>
      <c r="AA525" s="65"/>
      <c r="AB525" s="65"/>
      <c r="AC525" s="65"/>
      <c r="AD525" s="65"/>
      <c r="AE525" s="65"/>
      <c r="AF525" s="68"/>
      <c r="AG525" s="66"/>
      <c r="AH525" s="67" t="s">
        <v>14313</v>
      </c>
      <c r="AI525" s="65" t="s">
        <v>3060</v>
      </c>
      <c r="AJ525" s="65"/>
      <c r="AK525" s="97">
        <f t="shared" ca="1" si="74"/>
        <v>222</v>
      </c>
      <c r="AL525">
        <f>IFERROR(VLOOKUP(A525,'DATA CLIENTES'!B4822:I8284,6,FALSE),0)</f>
        <v>0</v>
      </c>
    </row>
    <row r="526" spans="1:38" x14ac:dyDescent="0.25">
      <c r="A526" s="93" t="s">
        <v>9570</v>
      </c>
      <c r="B526" s="68" t="s">
        <v>9571</v>
      </c>
      <c r="C526" s="65"/>
      <c r="D526" s="65"/>
      <c r="E526" s="65"/>
      <c r="F526" s="69" t="s">
        <v>14559</v>
      </c>
      <c r="G526" s="70"/>
      <c r="H526" s="65">
        <v>5500000008</v>
      </c>
      <c r="I526" s="75">
        <v>-781.24</v>
      </c>
      <c r="J526" s="75"/>
      <c r="K526" s="75"/>
      <c r="L526" s="75"/>
      <c r="M526" s="75"/>
      <c r="N526" s="75">
        <f>Tabla1[[#This Row],[IMPORTE APROBADO]]-Tabla1[[#This Row],[AMORTIZACION2]]</f>
        <v>-781.24</v>
      </c>
      <c r="O526" s="65" t="str">
        <f>TEXT(Tabla1[[#This Row],[EMISION]],"mmm")</f>
        <v>Jul</v>
      </c>
      <c r="P526" s="65" t="str">
        <f>TEXT(Tabla1[[#This Row],[EMISION]],"YYYY")</f>
        <v>2023</v>
      </c>
      <c r="Q526" s="71">
        <v>45133</v>
      </c>
      <c r="R526" s="65" t="str">
        <f>TEXT(Tabla1[[#This Row],[VENCIMIENTO]],"mmm")</f>
        <v>Ago</v>
      </c>
      <c r="S526" s="71">
        <f t="shared" si="93"/>
        <v>45148</v>
      </c>
      <c r="T526" s="72">
        <f ca="1">Tabla1[[#This Row],[EMISION]]+Tabla1[[#This Row],[PLAZO]]-TODAY()</f>
        <v>-221</v>
      </c>
      <c r="U526" s="80">
        <f t="shared" ca="1" si="94"/>
        <v>0</v>
      </c>
      <c r="V526" s="72"/>
      <c r="W526" s="73" t="s">
        <v>14307</v>
      </c>
      <c r="X526" s="65">
        <v>15</v>
      </c>
      <c r="Y526" s="65"/>
      <c r="Z526" s="65"/>
      <c r="AA526" s="65"/>
      <c r="AB526" s="65"/>
      <c r="AC526" s="65"/>
      <c r="AD526" s="65"/>
      <c r="AE526" s="65"/>
      <c r="AF526" s="68"/>
      <c r="AG526" s="66">
        <v>45133</v>
      </c>
      <c r="AH526" s="67" t="s">
        <v>14308</v>
      </c>
      <c r="AI526" s="65" t="s">
        <v>3060</v>
      </c>
      <c r="AJ526" s="65"/>
      <c r="AK526" s="97">
        <f t="shared" ref="AK526:AK589" ca="1" si="95">TODAY() - S526</f>
        <v>221</v>
      </c>
      <c r="AL526">
        <f>IFERROR(VLOOKUP(A526,'DATA CLIENTES'!B4823:I8284,6,FALSE),0)</f>
        <v>0</v>
      </c>
    </row>
    <row r="527" spans="1:38" x14ac:dyDescent="0.25">
      <c r="A527" s="93" t="s">
        <v>10210</v>
      </c>
      <c r="B527" s="68" t="s">
        <v>14755</v>
      </c>
      <c r="C527" s="65"/>
      <c r="D527" s="65"/>
      <c r="E527" s="65"/>
      <c r="F527" s="69" t="s">
        <v>14804</v>
      </c>
      <c r="G527" s="70"/>
      <c r="H527" s="65">
        <v>5600000078</v>
      </c>
      <c r="I527" s="75">
        <v>3900</v>
      </c>
      <c r="J527" s="75">
        <f>3900</f>
        <v>3900</v>
      </c>
      <c r="K527" s="75"/>
      <c r="L527" s="75"/>
      <c r="M527" s="75"/>
      <c r="N527" s="75">
        <f>Tabla1[[#This Row],[IMPORTE APROBADO]]-Tabla1[[#This Row],[AMORTIZACION2]]</f>
        <v>0</v>
      </c>
      <c r="O527" s="65" t="str">
        <f>TEXT(Tabla1[[#This Row],[EMISION]],"mmm")</f>
        <v>Jul</v>
      </c>
      <c r="P527" s="65" t="str">
        <f>TEXT(Tabla1[[#This Row],[EMISION]],"YYYY")</f>
        <v>2023</v>
      </c>
      <c r="Q527" s="71">
        <v>45134</v>
      </c>
      <c r="R527" s="65" t="str">
        <f>TEXT(Tabla1[[#This Row],[VENCIMIENTO]],"mmm")</f>
        <v>Ago</v>
      </c>
      <c r="S527" s="71">
        <f t="shared" si="93"/>
        <v>45149</v>
      </c>
      <c r="T527" s="72">
        <f ca="1">Tabla1[[#This Row],[EMISION]]+Tabla1[[#This Row],[PLAZO]]-TODAY()</f>
        <v>-220</v>
      </c>
      <c r="U527" s="80">
        <f t="shared" ca="1" si="94"/>
        <v>0</v>
      </c>
      <c r="V527" s="72"/>
      <c r="W527" s="73" t="s">
        <v>14307</v>
      </c>
      <c r="X527" s="65">
        <v>15</v>
      </c>
      <c r="Y527" s="65"/>
      <c r="Z527" s="65"/>
      <c r="AA527" s="65"/>
      <c r="AB527" s="65"/>
      <c r="AC527" s="65"/>
      <c r="AD527" s="65"/>
      <c r="AE527" s="65"/>
      <c r="AF527" s="68"/>
      <c r="AG527" s="66">
        <v>45145</v>
      </c>
      <c r="AH527" s="67" t="s">
        <v>14308</v>
      </c>
      <c r="AI527" s="65" t="s">
        <v>3060</v>
      </c>
      <c r="AJ527" s="65"/>
      <c r="AK527" s="97">
        <f t="shared" ca="1" si="95"/>
        <v>220</v>
      </c>
      <c r="AL527">
        <f>IFERROR(VLOOKUP(A527,'DATA CLIENTES'!B4824:I8284,6,FALSE),0)</f>
        <v>0</v>
      </c>
    </row>
    <row r="528" spans="1:38" x14ac:dyDescent="0.25">
      <c r="A528" s="93" t="s">
        <v>10210</v>
      </c>
      <c r="B528" s="68" t="s">
        <v>14755</v>
      </c>
      <c r="C528" s="65"/>
      <c r="D528" s="65"/>
      <c r="E528" s="65"/>
      <c r="F528" s="69" t="s">
        <v>14804</v>
      </c>
      <c r="G528" s="70"/>
      <c r="H528" s="65">
        <v>5600000082</v>
      </c>
      <c r="I528" s="75">
        <v>7600</v>
      </c>
      <c r="J528" s="75">
        <v>7600</v>
      </c>
      <c r="K528" s="75"/>
      <c r="L528" s="75"/>
      <c r="M528" s="75"/>
      <c r="N528" s="75">
        <f>Tabla1[[#This Row],[IMPORTE APROBADO]]-Tabla1[[#This Row],[AMORTIZACION2]]</f>
        <v>0</v>
      </c>
      <c r="O528" s="65" t="str">
        <f>TEXT(Tabla1[[#This Row],[EMISION]],"mmm")</f>
        <v>Jul</v>
      </c>
      <c r="P528" s="65" t="str">
        <f>TEXT(Tabla1[[#This Row],[EMISION]],"YYYY")</f>
        <v>2023</v>
      </c>
      <c r="Q528" s="71">
        <v>45134</v>
      </c>
      <c r="R528" s="65" t="str">
        <f>TEXT(Tabla1[[#This Row],[VENCIMIENTO]],"mmm")</f>
        <v>Ago</v>
      </c>
      <c r="S528" s="71">
        <f t="shared" si="93"/>
        <v>45149</v>
      </c>
      <c r="T528" s="72">
        <f ca="1">Tabla1[[#This Row],[EMISION]]+Tabla1[[#This Row],[PLAZO]]-TODAY()</f>
        <v>-220</v>
      </c>
      <c r="U528" s="80">
        <f t="shared" ca="1" si="94"/>
        <v>0</v>
      </c>
      <c r="V528" s="72"/>
      <c r="W528" s="73" t="s">
        <v>14307</v>
      </c>
      <c r="X528" s="65">
        <v>15</v>
      </c>
      <c r="Y528" s="65"/>
      <c r="Z528" s="65"/>
      <c r="AA528" s="65"/>
      <c r="AB528" s="65"/>
      <c r="AC528" s="65"/>
      <c r="AD528" s="65"/>
      <c r="AE528" s="65"/>
      <c r="AF528" s="68"/>
      <c r="AG528" s="66">
        <v>45145</v>
      </c>
      <c r="AH528" s="67" t="s">
        <v>14308</v>
      </c>
      <c r="AI528" s="65" t="s">
        <v>3060</v>
      </c>
      <c r="AJ528" s="65"/>
      <c r="AK528" s="97">
        <f t="shared" ca="1" si="95"/>
        <v>220</v>
      </c>
      <c r="AL528">
        <f>IFERROR(VLOOKUP(A528,'DATA CLIENTES'!B4825:I8284,6,FALSE),0)</f>
        <v>0</v>
      </c>
    </row>
    <row r="529" spans="1:38" x14ac:dyDescent="0.25">
      <c r="A529" s="93" t="s">
        <v>9119</v>
      </c>
      <c r="B529" s="68" t="s">
        <v>9120</v>
      </c>
      <c r="C529" s="65"/>
      <c r="D529" s="65"/>
      <c r="E529" s="65"/>
      <c r="F529" s="69" t="s">
        <v>14559</v>
      </c>
      <c r="G529" s="70"/>
      <c r="H529" s="65">
        <v>5500000010</v>
      </c>
      <c r="I529" s="75">
        <v>-1817.91</v>
      </c>
      <c r="J529" s="75"/>
      <c r="K529" s="75"/>
      <c r="L529" s="75"/>
      <c r="M529" s="75"/>
      <c r="N529" s="75">
        <f>Tabla1[[#This Row],[IMPORTE APROBADO]]-Tabla1[[#This Row],[AMORTIZACION2]]</f>
        <v>-1817.91</v>
      </c>
      <c r="O529" s="65" t="str">
        <f>TEXT(Tabla1[[#This Row],[EMISION]],"mmm")</f>
        <v>Jul</v>
      </c>
      <c r="P529" s="65" t="str">
        <f>TEXT(Tabla1[[#This Row],[EMISION]],"YYYY")</f>
        <v>2023</v>
      </c>
      <c r="Q529" s="71">
        <v>45134</v>
      </c>
      <c r="R529" s="65" t="str">
        <f>TEXT(Tabla1[[#This Row],[VENCIMIENTO]],"mmm")</f>
        <v>Ago</v>
      </c>
      <c r="S529" s="71">
        <f t="shared" si="93"/>
        <v>45149</v>
      </c>
      <c r="T529" s="72">
        <f ca="1">Tabla1[[#This Row],[EMISION]]+Tabla1[[#This Row],[PLAZO]]-TODAY()</f>
        <v>-220</v>
      </c>
      <c r="U529" s="80">
        <f t="shared" ca="1" si="94"/>
        <v>0</v>
      </c>
      <c r="V529" s="72"/>
      <c r="W529" s="73" t="s">
        <v>14307</v>
      </c>
      <c r="X529" s="65">
        <v>15</v>
      </c>
      <c r="Y529" s="65"/>
      <c r="Z529" s="65"/>
      <c r="AA529" s="65"/>
      <c r="AB529" s="65"/>
      <c r="AC529" s="65"/>
      <c r="AD529" s="65"/>
      <c r="AE529" s="65"/>
      <c r="AF529" s="68"/>
      <c r="AG529" s="66">
        <v>45154</v>
      </c>
      <c r="AH529" s="67" t="s">
        <v>14308</v>
      </c>
      <c r="AI529" s="65" t="s">
        <v>3060</v>
      </c>
      <c r="AJ529" s="65"/>
      <c r="AK529" s="97">
        <f t="shared" ca="1" si="95"/>
        <v>220</v>
      </c>
      <c r="AL529">
        <f>IFERROR(VLOOKUP(A529,'DATA CLIENTES'!B4826:I8284,6,FALSE),0)</f>
        <v>0</v>
      </c>
    </row>
    <row r="530" spans="1:38" x14ac:dyDescent="0.25">
      <c r="A530" s="93" t="s">
        <v>7329</v>
      </c>
      <c r="B530" s="68" t="s">
        <v>7330</v>
      </c>
      <c r="C530" s="65"/>
      <c r="D530" s="65"/>
      <c r="E530" s="65"/>
      <c r="F530" s="69" t="s">
        <v>14676</v>
      </c>
      <c r="G530" s="70"/>
      <c r="H530" s="65">
        <v>5600000085</v>
      </c>
      <c r="I530" s="75">
        <v>659.88</v>
      </c>
      <c r="J530" s="75">
        <f>153+150+100+256.88</f>
        <v>659.88</v>
      </c>
      <c r="K530" s="75"/>
      <c r="L530" s="75"/>
      <c r="M530" s="75"/>
      <c r="N530" s="75">
        <f>Tabla1[[#This Row],[IMPORTE APROBADO]]-Tabla1[[#This Row],[AMORTIZACION2]]</f>
        <v>0</v>
      </c>
      <c r="O530" s="65" t="str">
        <f>TEXT(Tabla1[[#This Row],[EMISION]],"mmm")</f>
        <v>Jul</v>
      </c>
      <c r="P530" s="65" t="str">
        <f>TEXT(Tabla1[[#This Row],[EMISION]],"YYYY")</f>
        <v>2023</v>
      </c>
      <c r="Q530" s="71">
        <v>45138</v>
      </c>
      <c r="R530" s="65" t="str">
        <f>TEXT(Tabla1[[#This Row],[VENCIMIENTO]],"mmm")</f>
        <v>Ago</v>
      </c>
      <c r="S530" s="71">
        <f t="shared" si="93"/>
        <v>45168</v>
      </c>
      <c r="T530" s="72">
        <f ca="1">Tabla1[[#This Row],[EMISION]]+Tabla1[[#This Row],[PLAZO]]-TODAY()</f>
        <v>-201</v>
      </c>
      <c r="U530" s="80">
        <f t="shared" ca="1" si="94"/>
        <v>0</v>
      </c>
      <c r="V530" s="72"/>
      <c r="W530" s="73" t="s">
        <v>14307</v>
      </c>
      <c r="X530" s="65">
        <v>30</v>
      </c>
      <c r="Y530" s="65"/>
      <c r="Z530" s="65"/>
      <c r="AA530" s="65"/>
      <c r="AB530" s="65"/>
      <c r="AC530" s="65"/>
      <c r="AD530" s="65"/>
      <c r="AE530" s="65"/>
      <c r="AF530" s="68"/>
      <c r="AG530" s="66">
        <v>45217</v>
      </c>
      <c r="AH530" s="67" t="s">
        <v>14308</v>
      </c>
      <c r="AI530" s="65" t="s">
        <v>3060</v>
      </c>
      <c r="AJ530" s="65"/>
      <c r="AK530" s="97">
        <f t="shared" ca="1" si="95"/>
        <v>201</v>
      </c>
      <c r="AL530">
        <f>IFERROR(VLOOKUP(A530,'DATA CLIENTES'!B4827:I8284,6,FALSE),0)</f>
        <v>0</v>
      </c>
    </row>
    <row r="531" spans="1:38" x14ac:dyDescent="0.25">
      <c r="A531" s="93" t="s">
        <v>10210</v>
      </c>
      <c r="B531" s="68" t="s">
        <v>14755</v>
      </c>
      <c r="C531" s="65"/>
      <c r="D531" s="65"/>
      <c r="E531" s="65"/>
      <c r="F531" s="69" t="s">
        <v>14559</v>
      </c>
      <c r="G531" s="70"/>
      <c r="H531" s="65">
        <v>5500000178</v>
      </c>
      <c r="I531" s="75">
        <v>14196.9</v>
      </c>
      <c r="J531" s="75">
        <f>1500+12000+696.9</f>
        <v>14196.9</v>
      </c>
      <c r="K531" s="75"/>
      <c r="L531" s="75"/>
      <c r="M531" s="75"/>
      <c r="N531" s="75">
        <f>Tabla1[[#This Row],[IMPORTE APROBADO]]-Tabla1[[#This Row],[AMORTIZACION2]]</f>
        <v>0</v>
      </c>
      <c r="O531" s="65" t="str">
        <f>TEXT(Tabla1[[#This Row],[EMISION]],"mmm")</f>
        <v>Jul</v>
      </c>
      <c r="P531" s="65" t="str">
        <f>TEXT(Tabla1[[#This Row],[EMISION]],"YYYY")</f>
        <v>2023</v>
      </c>
      <c r="Q531" s="71">
        <v>45138</v>
      </c>
      <c r="R531" s="65" t="str">
        <f>TEXT(Tabla1[[#This Row],[VENCIMIENTO]],"mmm")</f>
        <v>Ago</v>
      </c>
      <c r="S531" s="71">
        <f t="shared" si="93"/>
        <v>45163</v>
      </c>
      <c r="T531" s="72">
        <f ca="1">Tabla1[[#This Row],[EMISION]]+Tabla1[[#This Row],[PLAZO]]-TODAY()</f>
        <v>-206</v>
      </c>
      <c r="U531" s="80">
        <f t="shared" ca="1" si="94"/>
        <v>0</v>
      </c>
      <c r="V531" s="72"/>
      <c r="W531" s="73" t="s">
        <v>14307</v>
      </c>
      <c r="X531" s="65">
        <v>25</v>
      </c>
      <c r="Y531" s="65"/>
      <c r="Z531" s="65"/>
      <c r="AA531" s="65"/>
      <c r="AB531" s="65"/>
      <c r="AC531" s="65"/>
      <c r="AD531" s="65"/>
      <c r="AE531" s="65"/>
      <c r="AF531" s="68"/>
      <c r="AG531" s="66">
        <v>45161</v>
      </c>
      <c r="AH531" s="67" t="s">
        <v>14308</v>
      </c>
      <c r="AI531" s="65" t="s">
        <v>3060</v>
      </c>
      <c r="AJ531" s="65"/>
      <c r="AK531" s="97">
        <f t="shared" ca="1" si="95"/>
        <v>206</v>
      </c>
      <c r="AL531">
        <f>IFERROR(VLOOKUP(A531,'DATA CLIENTES'!B4828:I8284,6,FALSE),0)</f>
        <v>0</v>
      </c>
    </row>
    <row r="532" spans="1:38" x14ac:dyDescent="0.25">
      <c r="A532" s="93" t="s">
        <v>5294</v>
      </c>
      <c r="B532" s="68" t="s">
        <v>14306</v>
      </c>
      <c r="C532" s="65"/>
      <c r="D532" s="65"/>
      <c r="E532" s="65"/>
      <c r="F532" s="69" t="s">
        <v>14559</v>
      </c>
      <c r="G532" s="70"/>
      <c r="H532" s="65">
        <v>5500000182</v>
      </c>
      <c r="I532" s="75">
        <v>14472.45</v>
      </c>
      <c r="J532" s="75">
        <f>149.04+8000+3472.46+2850.95</f>
        <v>14472.45</v>
      </c>
      <c r="K532" s="75"/>
      <c r="L532" s="75"/>
      <c r="M532" s="75"/>
      <c r="N532" s="75">
        <f>Tabla1[[#This Row],[IMPORTE APROBADO]]-Tabla1[[#This Row],[AMORTIZACION2]]</f>
        <v>0</v>
      </c>
      <c r="O532" s="65" t="str">
        <f>TEXT(Tabla1[[#This Row],[EMISION]],"mmm")</f>
        <v>Jul</v>
      </c>
      <c r="P532" s="65" t="str">
        <f>TEXT(Tabla1[[#This Row],[EMISION]],"YYYY")</f>
        <v>2023</v>
      </c>
      <c r="Q532" s="71">
        <v>45138</v>
      </c>
      <c r="R532" s="65" t="str">
        <f>TEXT(Tabla1[[#This Row],[VENCIMIENTO]],"mmm")</f>
        <v>Ago</v>
      </c>
      <c r="S532" s="71">
        <f t="shared" si="93"/>
        <v>45168</v>
      </c>
      <c r="T532" s="72">
        <f ca="1">Tabla1[[#This Row],[EMISION]]+Tabla1[[#This Row],[PLAZO]]-TODAY()</f>
        <v>-201</v>
      </c>
      <c r="U532" s="80">
        <f t="shared" ca="1" si="94"/>
        <v>0</v>
      </c>
      <c r="V532" s="72"/>
      <c r="W532" s="73" t="s">
        <v>14307</v>
      </c>
      <c r="X532" s="65">
        <v>30</v>
      </c>
      <c r="Y532" s="65"/>
      <c r="Z532" s="65"/>
      <c r="AA532" s="65"/>
      <c r="AB532" s="65"/>
      <c r="AC532" s="65"/>
      <c r="AD532" s="65"/>
      <c r="AE532" s="65"/>
      <c r="AF532" s="68"/>
      <c r="AG532" s="66">
        <v>45273</v>
      </c>
      <c r="AH532" s="67" t="s">
        <v>14308</v>
      </c>
      <c r="AI532" s="65" t="s">
        <v>3060</v>
      </c>
      <c r="AJ532" s="65"/>
      <c r="AK532" s="97">
        <f t="shared" ca="1" si="95"/>
        <v>201</v>
      </c>
      <c r="AL532">
        <f>IFERROR(VLOOKUP(A532,'DATA CLIENTES'!B4829:I8284,6,FALSE),0)</f>
        <v>0</v>
      </c>
    </row>
    <row r="533" spans="1:38" x14ac:dyDescent="0.25">
      <c r="A533" s="93" t="s">
        <v>8577</v>
      </c>
      <c r="B533" s="68" t="s">
        <v>8578</v>
      </c>
      <c r="C533" s="65"/>
      <c r="D533" s="65"/>
      <c r="E533" s="65"/>
      <c r="F533" s="69" t="s">
        <v>14559</v>
      </c>
      <c r="G533" s="70"/>
      <c r="H533" s="65">
        <v>5500000012</v>
      </c>
      <c r="I533" s="75">
        <v>-800.43000000000006</v>
      </c>
      <c r="J533" s="75"/>
      <c r="K533" s="75"/>
      <c r="L533" s="75"/>
      <c r="M533" s="75"/>
      <c r="N533" s="75">
        <f>Tabla1[[#This Row],[IMPORTE APROBADO]]-Tabla1[[#This Row],[AMORTIZACION2]]</f>
        <v>-800.43000000000006</v>
      </c>
      <c r="O533" s="65" t="str">
        <f>TEXT(Tabla1[[#This Row],[EMISION]],"mmm")</f>
        <v>Jul</v>
      </c>
      <c r="P533" s="65" t="str">
        <f>TEXT(Tabla1[[#This Row],[EMISION]],"YYYY")</f>
        <v>2023</v>
      </c>
      <c r="Q533" s="71">
        <v>45138</v>
      </c>
      <c r="R533" s="65" t="str">
        <f>TEXT(Tabla1[[#This Row],[VENCIMIENTO]],"mmm")</f>
        <v>Ago</v>
      </c>
      <c r="S533" s="71">
        <f t="shared" si="93"/>
        <v>45163</v>
      </c>
      <c r="T533" s="72">
        <f ca="1">Tabla1[[#This Row],[EMISION]]+Tabla1[[#This Row],[PLAZO]]-TODAY()</f>
        <v>-206</v>
      </c>
      <c r="U533" s="80">
        <f t="shared" ca="1" si="94"/>
        <v>0</v>
      </c>
      <c r="V533" s="72"/>
      <c r="W533" s="73" t="s">
        <v>14307</v>
      </c>
      <c r="X533" s="65">
        <v>25</v>
      </c>
      <c r="Y533" s="65"/>
      <c r="Z533" s="65"/>
      <c r="AA533" s="65"/>
      <c r="AB533" s="65"/>
      <c r="AC533" s="65"/>
      <c r="AD533" s="65"/>
      <c r="AE533" s="65"/>
      <c r="AF533" s="68"/>
      <c r="AG533" s="66">
        <v>45138</v>
      </c>
      <c r="AH533" s="67" t="s">
        <v>14308</v>
      </c>
      <c r="AI533" s="65" t="s">
        <v>3060</v>
      </c>
      <c r="AJ533" s="65"/>
      <c r="AK533" s="97">
        <f t="shared" ca="1" si="95"/>
        <v>206</v>
      </c>
      <c r="AL533">
        <f>IFERROR(VLOOKUP(A533,'DATA CLIENTES'!B4830:I8284,6,FALSE),0)</f>
        <v>0</v>
      </c>
    </row>
    <row r="534" spans="1:38" x14ac:dyDescent="0.25">
      <c r="A534" s="93" t="s">
        <v>8577</v>
      </c>
      <c r="B534" s="68" t="s">
        <v>8578</v>
      </c>
      <c r="C534" s="65"/>
      <c r="D534" s="65"/>
      <c r="E534" s="65"/>
      <c r="F534" s="69" t="s">
        <v>14559</v>
      </c>
      <c r="G534" s="70"/>
      <c r="H534" s="65">
        <v>5500000181</v>
      </c>
      <c r="I534" s="75">
        <v>800.43000000000006</v>
      </c>
      <c r="J534" s="75">
        <v>800.43</v>
      </c>
      <c r="K534" s="75"/>
      <c r="L534" s="75"/>
      <c r="M534" s="75"/>
      <c r="N534" s="75">
        <f>Tabla1[[#This Row],[IMPORTE APROBADO]]-Tabla1[[#This Row],[AMORTIZACION2]]</f>
        <v>0</v>
      </c>
      <c r="O534" s="65" t="str">
        <f>TEXT(Tabla1[[#This Row],[EMISION]],"mmm")</f>
        <v>Jul</v>
      </c>
      <c r="P534" s="65" t="str">
        <f>TEXT(Tabla1[[#This Row],[EMISION]],"YYYY")</f>
        <v>2023</v>
      </c>
      <c r="Q534" s="71">
        <v>45138</v>
      </c>
      <c r="R534" s="65" t="str">
        <f>TEXT(Tabla1[[#This Row],[VENCIMIENTO]],"mmm")</f>
        <v>Ago</v>
      </c>
      <c r="S534" s="71">
        <f t="shared" si="93"/>
        <v>45158</v>
      </c>
      <c r="T534" s="72">
        <f ca="1">Tabla1[[#This Row],[EMISION]]+Tabla1[[#This Row],[PLAZO]]-TODAY()</f>
        <v>-211</v>
      </c>
      <c r="U534" s="80">
        <f t="shared" ca="1" si="94"/>
        <v>0</v>
      </c>
      <c r="V534" s="72"/>
      <c r="W534" s="73" t="s">
        <v>14307</v>
      </c>
      <c r="X534" s="65">
        <v>20</v>
      </c>
      <c r="Y534" s="65"/>
      <c r="Z534" s="65"/>
      <c r="AA534" s="65"/>
      <c r="AB534" s="65"/>
      <c r="AC534" s="65"/>
      <c r="AD534" s="65"/>
      <c r="AE534" s="65"/>
      <c r="AF534" s="68"/>
      <c r="AG534" s="66">
        <v>45157</v>
      </c>
      <c r="AH534" s="67" t="s">
        <v>14308</v>
      </c>
      <c r="AI534" s="65" t="s">
        <v>3060</v>
      </c>
      <c r="AJ534" s="65"/>
      <c r="AK534" s="97">
        <f t="shared" ca="1" si="95"/>
        <v>211</v>
      </c>
      <c r="AL534">
        <f>IFERROR(VLOOKUP(A534,'DATA CLIENTES'!B4831:I8284,6,FALSE),0)</f>
        <v>0</v>
      </c>
    </row>
    <row r="535" spans="1:38" x14ac:dyDescent="0.25">
      <c r="A535" s="93" t="s">
        <v>9986</v>
      </c>
      <c r="B535" s="68" t="s">
        <v>9987</v>
      </c>
      <c r="C535" s="65"/>
      <c r="D535" s="65"/>
      <c r="E535" s="65"/>
      <c r="F535" s="69" t="s">
        <v>14559</v>
      </c>
      <c r="G535" s="70"/>
      <c r="H535" s="65">
        <v>5500000179</v>
      </c>
      <c r="I535" s="75">
        <v>1960.8000000000002</v>
      </c>
      <c r="J535" s="75">
        <f>1000+960.8</f>
        <v>1960.8</v>
      </c>
      <c r="K535" s="75"/>
      <c r="L535" s="75"/>
      <c r="M535" s="75"/>
      <c r="N535" s="75">
        <f>Tabla1[[#This Row],[IMPORTE APROBADO]]-Tabla1[[#This Row],[AMORTIZACION2]]</f>
        <v>0</v>
      </c>
      <c r="O535" s="65" t="str">
        <f>TEXT(Tabla1[[#This Row],[EMISION]],"mmm")</f>
        <v>Jul</v>
      </c>
      <c r="P535" s="65" t="str">
        <f>TEXT(Tabla1[[#This Row],[EMISION]],"YYYY")</f>
        <v>2023</v>
      </c>
      <c r="Q535" s="71">
        <v>45138</v>
      </c>
      <c r="R535" s="65" t="str">
        <f>TEXT(Tabla1[[#This Row],[VENCIMIENTO]],"mmm")</f>
        <v>Ago</v>
      </c>
      <c r="S535" s="71">
        <f t="shared" ref="S535:S539" si="96">Q535+X535</f>
        <v>45158</v>
      </c>
      <c r="T535" s="72">
        <f ca="1">Tabla1[[#This Row],[EMISION]]+Tabla1[[#This Row],[PLAZO]]-TODAY()</f>
        <v>-211</v>
      </c>
      <c r="U535" s="80">
        <f t="shared" ref="U535:U539" ca="1" si="97">IF(T535&gt;=0,$U$4,IF(AND(T535&lt;=-1,T535&gt;=-30),$U$5,IF(AND(T535&lt;=-31,T535&gt;=-60),$U$6,IF(AND(T535&lt;=-61,T535&gt;=-90),$U$7,$U$8))))</f>
        <v>0</v>
      </c>
      <c r="V535" s="72"/>
      <c r="W535" s="73" t="s">
        <v>14307</v>
      </c>
      <c r="X535" s="65">
        <v>20</v>
      </c>
      <c r="Y535" s="65"/>
      <c r="Z535" s="65"/>
      <c r="AA535" s="65"/>
      <c r="AB535" s="65"/>
      <c r="AC535" s="65"/>
      <c r="AD535" s="65"/>
      <c r="AE535" s="65"/>
      <c r="AF535" s="68"/>
      <c r="AG535" s="66">
        <v>45188</v>
      </c>
      <c r="AH535" s="67" t="s">
        <v>14308</v>
      </c>
      <c r="AI535" s="65" t="s">
        <v>3060</v>
      </c>
      <c r="AJ535" s="65"/>
      <c r="AK535" s="97">
        <f t="shared" ca="1" si="95"/>
        <v>211</v>
      </c>
      <c r="AL535">
        <f>IFERROR(VLOOKUP(A535,'DATA CLIENTES'!B4832:I8284,6,FALSE),0)</f>
        <v>0</v>
      </c>
    </row>
    <row r="536" spans="1:38" x14ac:dyDescent="0.25">
      <c r="A536" s="93" t="s">
        <v>8565</v>
      </c>
      <c r="B536" s="68" t="s">
        <v>8566</v>
      </c>
      <c r="C536" s="65"/>
      <c r="D536" s="65"/>
      <c r="E536" s="65"/>
      <c r="F536" s="69" t="s">
        <v>14559</v>
      </c>
      <c r="G536" s="70"/>
      <c r="H536" s="65">
        <v>5500000180</v>
      </c>
      <c r="I536" s="75">
        <v>1672.8799999999999</v>
      </c>
      <c r="J536" s="75">
        <f>400+250+300+722.8</f>
        <v>1672.8</v>
      </c>
      <c r="K536" s="75"/>
      <c r="L536" s="75"/>
      <c r="M536" s="75"/>
      <c r="N536" s="75">
        <f>Tabla1[[#This Row],[IMPORTE APROBADO]]-Tabla1[[#This Row],[AMORTIZACION2]]</f>
        <v>7.999999999992724E-2</v>
      </c>
      <c r="O536" s="65" t="str">
        <f>TEXT(Tabla1[[#This Row],[EMISION]],"mmm")</f>
        <v>Jul</v>
      </c>
      <c r="P536" s="65" t="str">
        <f>TEXT(Tabla1[[#This Row],[EMISION]],"YYYY")</f>
        <v>2023</v>
      </c>
      <c r="Q536" s="71">
        <v>45138</v>
      </c>
      <c r="R536" s="65" t="str">
        <f>TEXT(Tabla1[[#This Row],[VENCIMIENTO]],"mmm")</f>
        <v>Ago</v>
      </c>
      <c r="S536" s="71">
        <f t="shared" si="96"/>
        <v>45158</v>
      </c>
      <c r="T536" s="72">
        <f ca="1">Tabla1[[#This Row],[EMISION]]+Tabla1[[#This Row],[PLAZO]]-TODAY()</f>
        <v>-211</v>
      </c>
      <c r="U536" s="80">
        <f t="shared" ca="1" si="97"/>
        <v>0</v>
      </c>
      <c r="V536" s="72"/>
      <c r="W536" s="73" t="s">
        <v>14307</v>
      </c>
      <c r="X536" s="65">
        <v>20</v>
      </c>
      <c r="Y536" s="65"/>
      <c r="Z536" s="65"/>
      <c r="AA536" s="65"/>
      <c r="AB536" s="65"/>
      <c r="AC536" s="65"/>
      <c r="AD536" s="65"/>
      <c r="AE536" s="65"/>
      <c r="AF536" s="68"/>
      <c r="AG536" s="66">
        <v>45181</v>
      </c>
      <c r="AH536" s="67" t="s">
        <v>14308</v>
      </c>
      <c r="AI536" s="65" t="s">
        <v>3060</v>
      </c>
      <c r="AJ536" s="65"/>
      <c r="AK536" s="97">
        <f t="shared" ca="1" si="95"/>
        <v>211</v>
      </c>
      <c r="AL536">
        <f>IFERROR(VLOOKUP(A536,'DATA CLIENTES'!B4833:I8284,6,FALSE),0)</f>
        <v>0</v>
      </c>
    </row>
    <row r="537" spans="1:38" x14ac:dyDescent="0.25">
      <c r="A537" s="93" t="s">
        <v>9812</v>
      </c>
      <c r="B537" s="68" t="s">
        <v>9813</v>
      </c>
      <c r="C537" s="65"/>
      <c r="D537" s="65"/>
      <c r="E537" s="65"/>
      <c r="F537" s="69" t="s">
        <v>14804</v>
      </c>
      <c r="G537" s="70"/>
      <c r="H537" s="65">
        <v>5500000204</v>
      </c>
      <c r="I537" s="75">
        <v>5030</v>
      </c>
      <c r="J537" s="75">
        <v>5030</v>
      </c>
      <c r="K537" s="75"/>
      <c r="L537" s="75"/>
      <c r="M537" s="75"/>
      <c r="N537" s="75">
        <f>Tabla1[[#This Row],[IMPORTE APROBADO]]-Tabla1[[#This Row],[AMORTIZACION2]]</f>
        <v>0</v>
      </c>
      <c r="O537" s="65" t="str">
        <f>TEXT(Tabla1[[#This Row],[EMISION]],"mmm")</f>
        <v>Ago</v>
      </c>
      <c r="P537" s="65" t="str">
        <f>TEXT(Tabla1[[#This Row],[EMISION]],"YYYY")</f>
        <v>2023</v>
      </c>
      <c r="Q537" s="71">
        <v>45141</v>
      </c>
      <c r="R537" s="65" t="str">
        <f>TEXT(Tabla1[[#This Row],[VENCIMIENTO]],"mmm")</f>
        <v>Ago</v>
      </c>
      <c r="S537" s="71">
        <f t="shared" si="96"/>
        <v>45156</v>
      </c>
      <c r="T537" s="72">
        <f ca="1">Tabla1[[#This Row],[EMISION]]+Tabla1[[#This Row],[PLAZO]]-TODAY()</f>
        <v>-213</v>
      </c>
      <c r="U537" s="80">
        <f t="shared" ca="1" si="97"/>
        <v>0</v>
      </c>
      <c r="V537" s="72"/>
      <c r="W537" s="73" t="s">
        <v>14307</v>
      </c>
      <c r="X537" s="65">
        <v>15</v>
      </c>
      <c r="Y537" s="65"/>
      <c r="Z537" s="65"/>
      <c r="AA537" s="65"/>
      <c r="AB537" s="65"/>
      <c r="AC537" s="65"/>
      <c r="AD537" s="65"/>
      <c r="AE537" s="65"/>
      <c r="AF537" s="68"/>
      <c r="AG537" s="66">
        <v>45156</v>
      </c>
      <c r="AH537" s="67" t="s">
        <v>14308</v>
      </c>
      <c r="AI537" s="65" t="s">
        <v>3060</v>
      </c>
      <c r="AJ537" s="65"/>
      <c r="AK537" s="97">
        <f t="shared" ca="1" si="95"/>
        <v>213</v>
      </c>
      <c r="AL537">
        <f>IFERROR(VLOOKUP(A537,'DATA CLIENTES'!B4834:I8284,6,FALSE),0)</f>
        <v>0</v>
      </c>
    </row>
    <row r="538" spans="1:38" x14ac:dyDescent="0.25">
      <c r="A538" s="93" t="s">
        <v>6039</v>
      </c>
      <c r="B538" s="68" t="s">
        <v>6040</v>
      </c>
      <c r="C538" s="65"/>
      <c r="D538" s="65"/>
      <c r="E538" s="65"/>
      <c r="F538" s="69" t="s">
        <v>11799</v>
      </c>
      <c r="G538" s="70"/>
      <c r="H538" s="65">
        <v>5500000213</v>
      </c>
      <c r="I538" s="75">
        <v>5919.96</v>
      </c>
      <c r="J538" s="75">
        <v>5919.96</v>
      </c>
      <c r="K538" s="75"/>
      <c r="L538" s="75"/>
      <c r="M538" s="75"/>
      <c r="N538" s="75">
        <f>Tabla1[[#This Row],[IMPORTE APROBADO]]-Tabla1[[#This Row],[AMORTIZACION2]]</f>
        <v>0</v>
      </c>
      <c r="O538" s="65" t="str">
        <f>TEXT(Tabla1[[#This Row],[EMISION]],"mmm")</f>
        <v>Ago</v>
      </c>
      <c r="P538" s="65" t="str">
        <f>TEXT(Tabla1[[#This Row],[EMISION]],"YYYY")</f>
        <v>2023</v>
      </c>
      <c r="Q538" s="71">
        <v>45141</v>
      </c>
      <c r="R538" s="65" t="str">
        <f>TEXT(Tabla1[[#This Row],[VENCIMIENTO]],"mmm")</f>
        <v>Ago</v>
      </c>
      <c r="S538" s="71">
        <f t="shared" si="96"/>
        <v>45161</v>
      </c>
      <c r="T538" s="72">
        <f ca="1">Tabla1[[#This Row],[EMISION]]+Tabla1[[#This Row],[PLAZO]]-TODAY()</f>
        <v>-208</v>
      </c>
      <c r="U538" s="80">
        <f t="shared" ca="1" si="97"/>
        <v>0</v>
      </c>
      <c r="V538" s="72"/>
      <c r="W538" s="73" t="s">
        <v>14307</v>
      </c>
      <c r="X538" s="65">
        <v>20</v>
      </c>
      <c r="Y538" s="65"/>
      <c r="Z538" s="65"/>
      <c r="AA538" s="65"/>
      <c r="AB538" s="65"/>
      <c r="AC538" s="65"/>
      <c r="AD538" s="65"/>
      <c r="AE538" s="65"/>
      <c r="AF538" s="68"/>
      <c r="AG538" s="66">
        <v>45160</v>
      </c>
      <c r="AH538" s="67" t="s">
        <v>14308</v>
      </c>
      <c r="AI538" s="65" t="s">
        <v>3060</v>
      </c>
      <c r="AJ538" s="65"/>
      <c r="AK538" s="97">
        <f t="shared" ca="1" si="95"/>
        <v>208</v>
      </c>
      <c r="AL538">
        <f>IFERROR(VLOOKUP(A538,'DATA CLIENTES'!B4835:I8284,6,FALSE),0)</f>
        <v>0</v>
      </c>
    </row>
    <row r="539" spans="1:38" x14ac:dyDescent="0.25">
      <c r="A539" s="93" t="s">
        <v>6999</v>
      </c>
      <c r="B539" s="68" t="s">
        <v>7000</v>
      </c>
      <c r="C539" s="65"/>
      <c r="D539" s="65"/>
      <c r="E539" s="65"/>
      <c r="F539" s="69" t="s">
        <v>14809</v>
      </c>
      <c r="G539" s="70"/>
      <c r="H539" s="65">
        <v>5600000096</v>
      </c>
      <c r="I539" s="75">
        <v>2202.21</v>
      </c>
      <c r="J539" s="75"/>
      <c r="K539" s="75"/>
      <c r="L539" s="75"/>
      <c r="M539" s="75"/>
      <c r="N539" s="75">
        <f>Tabla1[[#This Row],[IMPORTE APROBADO]]-Tabla1[[#This Row],[AMORTIZACION2]]</f>
        <v>2202.21</v>
      </c>
      <c r="O539" s="65" t="str">
        <f>TEXT(Tabla1[[#This Row],[EMISION]],"mmm")</f>
        <v>Ago</v>
      </c>
      <c r="P539" s="65" t="str">
        <f>TEXT(Tabla1[[#This Row],[EMISION]],"YYYY")</f>
        <v>2023</v>
      </c>
      <c r="Q539" s="71">
        <v>45141</v>
      </c>
      <c r="R539" s="65" t="str">
        <f>TEXT(Tabla1[[#This Row],[VENCIMIENTO]],"mmm")</f>
        <v>Set</v>
      </c>
      <c r="S539" s="71">
        <f t="shared" si="96"/>
        <v>45181</v>
      </c>
      <c r="T539" s="72">
        <f ca="1">Tabla1[[#This Row],[EMISION]]+Tabla1[[#This Row],[PLAZO]]-TODAY()</f>
        <v>-188</v>
      </c>
      <c r="U539" s="80">
        <f t="shared" ca="1" si="97"/>
        <v>0</v>
      </c>
      <c r="V539" s="72"/>
      <c r="W539" s="73" t="s">
        <v>14307</v>
      </c>
      <c r="X539" s="65">
        <v>40</v>
      </c>
      <c r="Y539" s="65"/>
      <c r="Z539" s="65"/>
      <c r="AA539" s="65"/>
      <c r="AB539" s="65"/>
      <c r="AC539" s="65"/>
      <c r="AD539" s="65"/>
      <c r="AE539" s="65"/>
      <c r="AF539" s="68"/>
      <c r="AG539" s="66"/>
      <c r="AH539" s="67" t="s">
        <v>14313</v>
      </c>
      <c r="AI539" s="65" t="s">
        <v>3060</v>
      </c>
      <c r="AJ539" s="65"/>
      <c r="AK539" s="97">
        <f t="shared" ca="1" si="95"/>
        <v>188</v>
      </c>
      <c r="AL539">
        <f>IFERROR(VLOOKUP(A539,'DATA CLIENTES'!B4836:I8284,6,FALSE),0)</f>
        <v>0</v>
      </c>
    </row>
    <row r="540" spans="1:38" x14ac:dyDescent="0.25">
      <c r="A540" s="93" t="s">
        <v>6039</v>
      </c>
      <c r="B540" s="68" t="s">
        <v>6040</v>
      </c>
      <c r="C540" s="65"/>
      <c r="D540" s="65"/>
      <c r="E540" s="65"/>
      <c r="F540" s="69" t="s">
        <v>11799</v>
      </c>
      <c r="G540" s="70"/>
      <c r="H540" s="65">
        <v>5600000103</v>
      </c>
      <c r="I540" s="75">
        <v>2192</v>
      </c>
      <c r="J540" s="75">
        <v>2192</v>
      </c>
      <c r="K540" s="75"/>
      <c r="L540" s="75"/>
      <c r="M540" s="75"/>
      <c r="N540" s="75">
        <f>Tabla1[[#This Row],[IMPORTE APROBADO]]-Tabla1[[#This Row],[AMORTIZACION2]]</f>
        <v>0</v>
      </c>
      <c r="O540" s="65" t="str">
        <f>TEXT(Tabla1[[#This Row],[EMISION]],"mmm")</f>
        <v>Ago</v>
      </c>
      <c r="P540" s="65" t="str">
        <f>TEXT(Tabla1[[#This Row],[EMISION]],"YYYY")</f>
        <v>2023</v>
      </c>
      <c r="Q540" s="71">
        <v>45142</v>
      </c>
      <c r="R540" s="65" t="str">
        <f>TEXT(Tabla1[[#This Row],[VENCIMIENTO]],"mmm")</f>
        <v>Ago</v>
      </c>
      <c r="S540" s="71">
        <f t="shared" ref="S540:S554" si="98">Q540+X540</f>
        <v>45162</v>
      </c>
      <c r="T540" s="72">
        <f ca="1">Tabla1[[#This Row],[EMISION]]+Tabla1[[#This Row],[PLAZO]]-TODAY()</f>
        <v>-207</v>
      </c>
      <c r="U540" s="80">
        <f t="shared" ref="U540:U554" ca="1" si="99">IF(T540&gt;=0,$U$4,IF(AND(T540&lt;=-1,T540&gt;=-30),$U$5,IF(AND(T540&lt;=-31,T540&gt;=-60),$U$6,IF(AND(T540&lt;=-61,T540&gt;=-90),$U$7,$U$8))))</f>
        <v>0</v>
      </c>
      <c r="V540" s="72"/>
      <c r="W540" s="73" t="s">
        <v>14307</v>
      </c>
      <c r="X540" s="65">
        <v>20</v>
      </c>
      <c r="Y540" s="65"/>
      <c r="Z540" s="65"/>
      <c r="AA540" s="65"/>
      <c r="AB540" s="65"/>
      <c r="AC540" s="65"/>
      <c r="AD540" s="65"/>
      <c r="AE540" s="65"/>
      <c r="AF540" s="68"/>
      <c r="AG540" s="66">
        <v>45160</v>
      </c>
      <c r="AH540" s="67" t="s">
        <v>14308</v>
      </c>
      <c r="AI540" s="65" t="s">
        <v>3060</v>
      </c>
      <c r="AJ540" s="65"/>
      <c r="AK540" s="97">
        <f t="shared" ca="1" si="95"/>
        <v>207</v>
      </c>
      <c r="AL540">
        <f>IFERROR(VLOOKUP(A540,'DATA CLIENTES'!B4837:I8284,6,FALSE),0)</f>
        <v>0</v>
      </c>
    </row>
    <row r="541" spans="1:38" x14ac:dyDescent="0.25">
      <c r="A541" s="93" t="s">
        <v>7756</v>
      </c>
      <c r="B541" s="68" t="s">
        <v>7757</v>
      </c>
      <c r="C541" s="65"/>
      <c r="D541" s="65"/>
      <c r="E541" s="65"/>
      <c r="F541" s="69" t="s">
        <v>11799</v>
      </c>
      <c r="G541" s="70"/>
      <c r="H541" s="65">
        <v>5600000101</v>
      </c>
      <c r="I541" s="75">
        <v>3068.75</v>
      </c>
      <c r="J541" s="75">
        <v>3068.75</v>
      </c>
      <c r="K541" s="75"/>
      <c r="L541" s="75"/>
      <c r="M541" s="75"/>
      <c r="N541" s="75">
        <f>Tabla1[[#This Row],[IMPORTE APROBADO]]-Tabla1[[#This Row],[AMORTIZACION2]]</f>
        <v>0</v>
      </c>
      <c r="O541" s="65" t="str">
        <f>TEXT(Tabla1[[#This Row],[EMISION]],"mmm")</f>
        <v>Ago</v>
      </c>
      <c r="P541" s="65" t="str">
        <f>TEXT(Tabla1[[#This Row],[EMISION]],"YYYY")</f>
        <v>2023</v>
      </c>
      <c r="Q541" s="71">
        <v>45142</v>
      </c>
      <c r="R541" s="65" t="str">
        <f>TEXT(Tabla1[[#This Row],[VENCIMIENTO]],"mmm")</f>
        <v>Ago</v>
      </c>
      <c r="S541" s="71">
        <f t="shared" si="98"/>
        <v>45149</v>
      </c>
      <c r="T541" s="72">
        <f ca="1">Tabla1[[#This Row],[EMISION]]+Tabla1[[#This Row],[PLAZO]]-TODAY()</f>
        <v>-220</v>
      </c>
      <c r="U541" s="80">
        <f t="shared" ca="1" si="99"/>
        <v>0</v>
      </c>
      <c r="V541" s="72"/>
      <c r="W541" s="73" t="s">
        <v>14307</v>
      </c>
      <c r="X541" s="65">
        <v>7</v>
      </c>
      <c r="Y541" s="65"/>
      <c r="Z541" s="65"/>
      <c r="AA541" s="65"/>
      <c r="AB541" s="65"/>
      <c r="AC541" s="65"/>
      <c r="AD541" s="65"/>
      <c r="AE541" s="65"/>
      <c r="AF541" s="68"/>
      <c r="AG541" s="66">
        <v>45146</v>
      </c>
      <c r="AH541" s="67" t="s">
        <v>14308</v>
      </c>
      <c r="AI541" s="65" t="s">
        <v>3060</v>
      </c>
      <c r="AJ541" s="65"/>
      <c r="AK541" s="97">
        <f t="shared" ca="1" si="95"/>
        <v>220</v>
      </c>
      <c r="AL541">
        <f>IFERROR(VLOOKUP(A541,'DATA CLIENTES'!B4838:I8284,6,FALSE),0)</f>
        <v>0</v>
      </c>
    </row>
    <row r="542" spans="1:38" x14ac:dyDescent="0.25">
      <c r="A542" s="93" t="s">
        <v>7756</v>
      </c>
      <c r="B542" s="68" t="s">
        <v>7757</v>
      </c>
      <c r="C542" s="65"/>
      <c r="D542" s="65"/>
      <c r="E542" s="65"/>
      <c r="F542" s="69" t="s">
        <v>11799</v>
      </c>
      <c r="G542" s="70"/>
      <c r="H542" s="65">
        <v>5600000102</v>
      </c>
      <c r="I542" s="75">
        <v>1085</v>
      </c>
      <c r="J542" s="75">
        <v>1085</v>
      </c>
      <c r="K542" s="75"/>
      <c r="L542" s="75"/>
      <c r="M542" s="75"/>
      <c r="N542" s="75">
        <f>Tabla1[[#This Row],[IMPORTE APROBADO]]-Tabla1[[#This Row],[AMORTIZACION2]]</f>
        <v>0</v>
      </c>
      <c r="O542" s="65" t="str">
        <f>TEXT(Tabla1[[#This Row],[EMISION]],"mmm")</f>
        <v>Ago</v>
      </c>
      <c r="P542" s="65" t="str">
        <f>TEXT(Tabla1[[#This Row],[EMISION]],"YYYY")</f>
        <v>2023</v>
      </c>
      <c r="Q542" s="71">
        <v>45142</v>
      </c>
      <c r="R542" s="65" t="str">
        <f>TEXT(Tabla1[[#This Row],[VENCIMIENTO]],"mmm")</f>
        <v>Ago</v>
      </c>
      <c r="S542" s="71">
        <f t="shared" si="98"/>
        <v>45149</v>
      </c>
      <c r="T542" s="72">
        <f ca="1">Tabla1[[#This Row],[EMISION]]+Tabla1[[#This Row],[PLAZO]]-TODAY()</f>
        <v>-220</v>
      </c>
      <c r="U542" s="80">
        <f t="shared" ca="1" si="99"/>
        <v>0</v>
      </c>
      <c r="V542" s="72"/>
      <c r="W542" s="73" t="s">
        <v>14307</v>
      </c>
      <c r="X542" s="65">
        <v>7</v>
      </c>
      <c r="Y542" s="65"/>
      <c r="Z542" s="65"/>
      <c r="AA542" s="65"/>
      <c r="AB542" s="65"/>
      <c r="AC542" s="65"/>
      <c r="AD542" s="65"/>
      <c r="AE542" s="65"/>
      <c r="AF542" s="68"/>
      <c r="AG542" s="66">
        <v>45146</v>
      </c>
      <c r="AH542" s="67" t="s">
        <v>14308</v>
      </c>
      <c r="AI542" s="65" t="s">
        <v>3060</v>
      </c>
      <c r="AJ542" s="65"/>
      <c r="AK542" s="97">
        <f t="shared" ca="1" si="95"/>
        <v>220</v>
      </c>
      <c r="AL542">
        <f>IFERROR(VLOOKUP(A542,'DATA CLIENTES'!B4839:I8284,6,FALSE),0)</f>
        <v>0</v>
      </c>
    </row>
    <row r="543" spans="1:38" x14ac:dyDescent="0.25">
      <c r="A543" s="93" t="s">
        <v>10210</v>
      </c>
      <c r="B543" s="68" t="s">
        <v>14755</v>
      </c>
      <c r="C543" s="65"/>
      <c r="D543" s="65"/>
      <c r="E543" s="65"/>
      <c r="F543" s="69" t="s">
        <v>14804</v>
      </c>
      <c r="G543" s="70"/>
      <c r="H543" s="65">
        <v>5600000116</v>
      </c>
      <c r="I543" s="75">
        <v>19600.009999999998</v>
      </c>
      <c r="J543" s="75">
        <f>3268.14+10000+6131.87+200</f>
        <v>19600.009999999998</v>
      </c>
      <c r="K543" s="75"/>
      <c r="L543" s="75"/>
      <c r="M543" s="75"/>
      <c r="N543" s="75">
        <f>Tabla1[[#This Row],[IMPORTE APROBADO]]-Tabla1[[#This Row],[AMORTIZACION2]]</f>
        <v>0</v>
      </c>
      <c r="O543" s="65" t="str">
        <f>TEXT(Tabla1[[#This Row],[EMISION]],"mmm")</f>
        <v>Ago</v>
      </c>
      <c r="P543" s="65" t="str">
        <f>TEXT(Tabla1[[#This Row],[EMISION]],"YYYY")</f>
        <v>2023</v>
      </c>
      <c r="Q543" s="71">
        <v>45148</v>
      </c>
      <c r="R543" s="65" t="str">
        <f>TEXT(Tabla1[[#This Row],[VENCIMIENTO]],"mmm")</f>
        <v>Ago</v>
      </c>
      <c r="S543" s="71">
        <f t="shared" si="98"/>
        <v>45163</v>
      </c>
      <c r="T543" s="72">
        <f ca="1">Tabla1[[#This Row],[EMISION]]+Tabla1[[#This Row],[PLAZO]]-TODAY()</f>
        <v>-206</v>
      </c>
      <c r="U543" s="80">
        <f t="shared" ca="1" si="99"/>
        <v>0</v>
      </c>
      <c r="V543" s="72"/>
      <c r="W543" s="73" t="s">
        <v>14307</v>
      </c>
      <c r="X543" s="65">
        <v>15</v>
      </c>
      <c r="Y543" s="65"/>
      <c r="Z543" s="65"/>
      <c r="AA543" s="65"/>
      <c r="AB543" s="65"/>
      <c r="AC543" s="65"/>
      <c r="AD543" s="65"/>
      <c r="AE543" s="65"/>
      <c r="AF543" s="68"/>
      <c r="AG543" s="66">
        <v>45191</v>
      </c>
      <c r="AH543" s="67" t="s">
        <v>14308</v>
      </c>
      <c r="AI543" s="65" t="s">
        <v>3060</v>
      </c>
      <c r="AJ543" s="65"/>
      <c r="AK543" s="97">
        <f t="shared" ca="1" si="95"/>
        <v>206</v>
      </c>
      <c r="AL543">
        <f>IFERROR(VLOOKUP(A543,'DATA CLIENTES'!B4840:I8284,6,FALSE),0)</f>
        <v>0</v>
      </c>
    </row>
    <row r="544" spans="1:38" x14ac:dyDescent="0.25">
      <c r="A544" s="93" t="s">
        <v>5473</v>
      </c>
      <c r="B544" s="68" t="s">
        <v>14807</v>
      </c>
      <c r="C544" s="65"/>
      <c r="D544" s="65"/>
      <c r="E544" s="65"/>
      <c r="F544" s="69" t="s">
        <v>14559</v>
      </c>
      <c r="G544" s="70"/>
      <c r="H544" s="65">
        <v>5500000248</v>
      </c>
      <c r="I544" s="75">
        <v>6109.8</v>
      </c>
      <c r="J544" s="75">
        <f>1500+1000+1000+600+1000+1009.8</f>
        <v>6109.8</v>
      </c>
      <c r="K544" s="75"/>
      <c r="L544" s="75"/>
      <c r="M544" s="75"/>
      <c r="N544" s="75">
        <f>Tabla1[[#This Row],[IMPORTE APROBADO]]-Tabla1[[#This Row],[AMORTIZACION2]]</f>
        <v>0</v>
      </c>
      <c r="O544" s="65" t="str">
        <f>TEXT(Tabla1[[#This Row],[EMISION]],"mmm")</f>
        <v>Ago</v>
      </c>
      <c r="P544" s="65" t="str">
        <f>TEXT(Tabla1[[#This Row],[EMISION]],"YYYY")</f>
        <v>2023</v>
      </c>
      <c r="Q544" s="71">
        <v>45148</v>
      </c>
      <c r="R544" s="65" t="str">
        <f>TEXT(Tabla1[[#This Row],[VENCIMIENTO]],"mmm")</f>
        <v>Ago</v>
      </c>
      <c r="S544" s="71">
        <f t="shared" si="98"/>
        <v>45168</v>
      </c>
      <c r="T544" s="72">
        <f ca="1">Tabla1[[#This Row],[EMISION]]+Tabla1[[#This Row],[PLAZO]]-TODAY()</f>
        <v>-201</v>
      </c>
      <c r="U544" s="80">
        <f t="shared" ca="1" si="99"/>
        <v>0</v>
      </c>
      <c r="V544" s="72"/>
      <c r="W544" s="73" t="s">
        <v>14307</v>
      </c>
      <c r="X544" s="65">
        <v>20</v>
      </c>
      <c r="Y544" s="65"/>
      <c r="Z544" s="65"/>
      <c r="AA544" s="65"/>
      <c r="AB544" s="65"/>
      <c r="AC544" s="65"/>
      <c r="AD544" s="65"/>
      <c r="AE544" s="65"/>
      <c r="AF544" s="68"/>
      <c r="AG544" s="66">
        <v>45183</v>
      </c>
      <c r="AH544" s="67" t="s">
        <v>14308</v>
      </c>
      <c r="AI544" s="65" t="s">
        <v>3060</v>
      </c>
      <c r="AJ544" s="65"/>
      <c r="AK544" s="97">
        <f t="shared" ca="1" si="95"/>
        <v>201</v>
      </c>
      <c r="AL544">
        <f>IFERROR(VLOOKUP(A544,'DATA CLIENTES'!B4841:I8284,6,FALSE),0)</f>
        <v>0</v>
      </c>
    </row>
    <row r="545" spans="1:38" x14ac:dyDescent="0.25">
      <c r="A545" s="93" t="s">
        <v>9887</v>
      </c>
      <c r="B545" s="68" t="s">
        <v>9888</v>
      </c>
      <c r="C545" s="65"/>
      <c r="D545" s="65"/>
      <c r="E545" s="65"/>
      <c r="F545" s="69" t="s">
        <v>14559</v>
      </c>
      <c r="G545" s="70"/>
      <c r="H545" s="65">
        <v>5500000250</v>
      </c>
      <c r="I545" s="75">
        <v>897.05000000000018</v>
      </c>
      <c r="J545" s="75">
        <f>400+497</f>
        <v>897</v>
      </c>
      <c r="K545" s="75"/>
      <c r="L545" s="75"/>
      <c r="M545" s="75"/>
      <c r="N545" s="75">
        <f>Tabla1[[#This Row],[IMPORTE APROBADO]]-Tabla1[[#This Row],[AMORTIZACION2]]</f>
        <v>5.0000000000181899E-2</v>
      </c>
      <c r="O545" s="65" t="str">
        <f>TEXT(Tabla1[[#This Row],[EMISION]],"mmm")</f>
        <v>Ago</v>
      </c>
      <c r="P545" s="65" t="str">
        <f>TEXT(Tabla1[[#This Row],[EMISION]],"YYYY")</f>
        <v>2023</v>
      </c>
      <c r="Q545" s="71">
        <v>45148</v>
      </c>
      <c r="R545" s="65" t="str">
        <f>TEXT(Tabla1[[#This Row],[VENCIMIENTO]],"mmm")</f>
        <v>Set</v>
      </c>
      <c r="S545" s="71">
        <f t="shared" si="98"/>
        <v>45178</v>
      </c>
      <c r="T545" s="72">
        <f ca="1">Tabla1[[#This Row],[EMISION]]+Tabla1[[#This Row],[PLAZO]]-TODAY()</f>
        <v>-191</v>
      </c>
      <c r="U545" s="80">
        <f t="shared" ca="1" si="99"/>
        <v>0</v>
      </c>
      <c r="V545" s="72"/>
      <c r="W545" s="73" t="s">
        <v>14307</v>
      </c>
      <c r="X545" s="65">
        <v>30</v>
      </c>
      <c r="Y545" s="65"/>
      <c r="Z545" s="65"/>
      <c r="AA545" s="65"/>
      <c r="AB545" s="65"/>
      <c r="AC545" s="65"/>
      <c r="AD545" s="65"/>
      <c r="AE545" s="65"/>
      <c r="AF545" s="68"/>
      <c r="AG545" s="66">
        <v>45185</v>
      </c>
      <c r="AH545" s="67" t="s">
        <v>14308</v>
      </c>
      <c r="AI545" s="65" t="s">
        <v>3060</v>
      </c>
      <c r="AJ545" s="65"/>
      <c r="AK545" s="97">
        <f t="shared" ca="1" si="95"/>
        <v>191</v>
      </c>
      <c r="AL545">
        <f>IFERROR(VLOOKUP(A545,'DATA CLIENTES'!B4842:I8284,6,FALSE),0)</f>
        <v>0</v>
      </c>
    </row>
    <row r="546" spans="1:38" x14ac:dyDescent="0.25">
      <c r="A546" s="93" t="s">
        <v>9887</v>
      </c>
      <c r="B546" s="68" t="s">
        <v>9888</v>
      </c>
      <c r="C546" s="65"/>
      <c r="D546" s="65"/>
      <c r="E546" s="65"/>
      <c r="F546" s="69" t="s">
        <v>14559</v>
      </c>
      <c r="G546" s="70"/>
      <c r="H546" s="65">
        <v>5500000251</v>
      </c>
      <c r="I546" s="75">
        <v>2172.7000000000003</v>
      </c>
      <c r="J546" s="75">
        <f>500+850+250+214.6+358.1</f>
        <v>2172.6999999999998</v>
      </c>
      <c r="K546" s="75"/>
      <c r="L546" s="75"/>
      <c r="M546" s="75"/>
      <c r="N546" s="75">
        <f>Tabla1[[#This Row],[IMPORTE APROBADO]]-Tabla1[[#This Row],[AMORTIZACION2]]</f>
        <v>0</v>
      </c>
      <c r="O546" s="65" t="str">
        <f>TEXT(Tabla1[[#This Row],[EMISION]],"mmm")</f>
        <v>Ago</v>
      </c>
      <c r="P546" s="65" t="str">
        <f>TEXT(Tabla1[[#This Row],[EMISION]],"YYYY")</f>
        <v>2023</v>
      </c>
      <c r="Q546" s="71">
        <v>45148</v>
      </c>
      <c r="R546" s="65" t="str">
        <f>TEXT(Tabla1[[#This Row],[VENCIMIENTO]],"mmm")</f>
        <v>Set</v>
      </c>
      <c r="S546" s="71">
        <f t="shared" si="98"/>
        <v>45178</v>
      </c>
      <c r="T546" s="72">
        <f ca="1">Tabla1[[#This Row],[EMISION]]+Tabla1[[#This Row],[PLAZO]]-TODAY()</f>
        <v>-191</v>
      </c>
      <c r="U546" s="80">
        <f t="shared" ca="1" si="99"/>
        <v>0</v>
      </c>
      <c r="V546" s="72"/>
      <c r="W546" s="73" t="s">
        <v>14307</v>
      </c>
      <c r="X546" s="65">
        <v>30</v>
      </c>
      <c r="Y546" s="65"/>
      <c r="Z546" s="65"/>
      <c r="AA546" s="65"/>
      <c r="AB546" s="65"/>
      <c r="AC546" s="65"/>
      <c r="AD546" s="65"/>
      <c r="AE546" s="65"/>
      <c r="AF546" s="68"/>
      <c r="AG546" s="66">
        <v>45232</v>
      </c>
      <c r="AH546" s="67" t="s">
        <v>14308</v>
      </c>
      <c r="AI546" s="65" t="s">
        <v>3060</v>
      </c>
      <c r="AJ546" s="65"/>
      <c r="AK546" s="97">
        <f t="shared" ca="1" si="95"/>
        <v>191</v>
      </c>
      <c r="AL546">
        <f>IFERROR(VLOOKUP(A546,'DATA CLIENTES'!B4843:I8284,6,FALSE),0)</f>
        <v>0</v>
      </c>
    </row>
    <row r="547" spans="1:38" x14ac:dyDescent="0.25">
      <c r="A547" s="93" t="s">
        <v>5461</v>
      </c>
      <c r="B547" s="68" t="s">
        <v>14810</v>
      </c>
      <c r="C547" s="65"/>
      <c r="D547" s="65"/>
      <c r="E547" s="65"/>
      <c r="F547" s="69" t="s">
        <v>14559</v>
      </c>
      <c r="G547" s="70"/>
      <c r="H547" s="65">
        <v>5500000255</v>
      </c>
      <c r="I547" s="75">
        <v>1677.3400000000001</v>
      </c>
      <c r="J547" s="75">
        <f>1528.27+149.07</f>
        <v>1677.34</v>
      </c>
      <c r="K547" s="75"/>
      <c r="L547" s="75"/>
      <c r="M547" s="75"/>
      <c r="N547" s="75">
        <f>Tabla1[[#This Row],[IMPORTE APROBADO]]-Tabla1[[#This Row],[AMORTIZACION2]]</f>
        <v>0</v>
      </c>
      <c r="O547" s="65" t="str">
        <f>TEXT(Tabla1[[#This Row],[EMISION]],"mmm")</f>
        <v>Ago</v>
      </c>
      <c r="P547" s="65" t="str">
        <f>TEXT(Tabla1[[#This Row],[EMISION]],"YYYY")</f>
        <v>2023</v>
      </c>
      <c r="Q547" s="71">
        <v>45148</v>
      </c>
      <c r="R547" s="65" t="str">
        <f>TEXT(Tabla1[[#This Row],[VENCIMIENTO]],"mmm")</f>
        <v>Ago</v>
      </c>
      <c r="S547" s="71">
        <f t="shared" si="98"/>
        <v>45168</v>
      </c>
      <c r="T547" s="72">
        <f ca="1">Tabla1[[#This Row],[EMISION]]+Tabla1[[#This Row],[PLAZO]]-TODAY()</f>
        <v>-201</v>
      </c>
      <c r="U547" s="80">
        <f t="shared" ca="1" si="99"/>
        <v>0</v>
      </c>
      <c r="V547" s="72"/>
      <c r="W547" s="73" t="s">
        <v>14307</v>
      </c>
      <c r="X547" s="65">
        <v>20</v>
      </c>
      <c r="Y547" s="65"/>
      <c r="Z547" s="65"/>
      <c r="AA547" s="65"/>
      <c r="AB547" s="65"/>
      <c r="AC547" s="65"/>
      <c r="AD547" s="65"/>
      <c r="AE547" s="65"/>
      <c r="AF547" s="68"/>
      <c r="AG547" s="66">
        <v>45279</v>
      </c>
      <c r="AH547" s="67" t="s">
        <v>14308</v>
      </c>
      <c r="AI547" s="65" t="s">
        <v>3060</v>
      </c>
      <c r="AJ547" s="65"/>
      <c r="AK547" s="97">
        <f t="shared" ca="1" si="95"/>
        <v>201</v>
      </c>
      <c r="AL547">
        <f>IFERROR(VLOOKUP(A547,'DATA CLIENTES'!B4844:I8284,6,FALSE),0)</f>
        <v>0</v>
      </c>
    </row>
    <row r="548" spans="1:38" x14ac:dyDescent="0.25">
      <c r="A548" s="93" t="s">
        <v>5294</v>
      </c>
      <c r="B548" s="68" t="s">
        <v>14811</v>
      </c>
      <c r="C548" s="65"/>
      <c r="D548" s="65"/>
      <c r="E548" s="65"/>
      <c r="F548" s="69" t="s">
        <v>14559</v>
      </c>
      <c r="G548" s="70"/>
      <c r="H548" s="65">
        <v>5500000256</v>
      </c>
      <c r="I548" s="75">
        <v>26495.789999999997</v>
      </c>
      <c r="J548" s="75">
        <v>26495.79</v>
      </c>
      <c r="K548" s="75"/>
      <c r="L548" s="75"/>
      <c r="M548" s="75"/>
      <c r="N548" s="75">
        <f>Tabla1[[#This Row],[IMPORTE APROBADO]]-Tabla1[[#This Row],[AMORTIZACION2]]</f>
        <v>0</v>
      </c>
      <c r="O548" s="65" t="str">
        <f>TEXT(Tabla1[[#This Row],[EMISION]],"mmm")</f>
        <v>Ago</v>
      </c>
      <c r="P548" s="65" t="str">
        <f>TEXT(Tabla1[[#This Row],[EMISION]],"YYYY")</f>
        <v>2023</v>
      </c>
      <c r="Q548" s="71">
        <v>45148</v>
      </c>
      <c r="R548" s="65" t="str">
        <f>TEXT(Tabla1[[#This Row],[VENCIMIENTO]],"mmm")</f>
        <v>Oct</v>
      </c>
      <c r="S548" s="71">
        <f t="shared" si="98"/>
        <v>45208</v>
      </c>
      <c r="T548" s="72">
        <f ca="1">Tabla1[[#This Row],[EMISION]]+Tabla1[[#This Row],[PLAZO]]-TODAY()</f>
        <v>-161</v>
      </c>
      <c r="U548" s="80">
        <f t="shared" ca="1" si="99"/>
        <v>0</v>
      </c>
      <c r="V548" s="72"/>
      <c r="W548" s="73" t="s">
        <v>14307</v>
      </c>
      <c r="X548" s="65">
        <v>60</v>
      </c>
      <c r="Y548" s="65"/>
      <c r="Z548" s="65"/>
      <c r="AA548" s="65"/>
      <c r="AB548" s="65"/>
      <c r="AC548" s="65"/>
      <c r="AD548" s="65"/>
      <c r="AE548" s="65"/>
      <c r="AF548" s="68"/>
      <c r="AG548" s="66">
        <v>45274</v>
      </c>
      <c r="AH548" s="67" t="s">
        <v>14308</v>
      </c>
      <c r="AI548" s="65" t="s">
        <v>3060</v>
      </c>
      <c r="AJ548" s="65"/>
      <c r="AK548" s="97">
        <f t="shared" ca="1" si="95"/>
        <v>161</v>
      </c>
      <c r="AL548">
        <f>IFERROR(VLOOKUP(A548,'DATA CLIENTES'!B4845:I8284,6,FALSE),0)</f>
        <v>0</v>
      </c>
    </row>
    <row r="549" spans="1:38" x14ac:dyDescent="0.25">
      <c r="A549" s="93" t="s">
        <v>5294</v>
      </c>
      <c r="B549" s="68" t="s">
        <v>14811</v>
      </c>
      <c r="C549" s="65"/>
      <c r="D549" s="65"/>
      <c r="E549" s="65"/>
      <c r="F549" s="69" t="s">
        <v>14559</v>
      </c>
      <c r="G549" s="70"/>
      <c r="H549" s="65">
        <v>5500000257</v>
      </c>
      <c r="I549" s="75">
        <v>31750.220000000005</v>
      </c>
      <c r="J549" s="75">
        <v>31750.22</v>
      </c>
      <c r="K549" s="75"/>
      <c r="L549" s="75"/>
      <c r="M549" s="75"/>
      <c r="N549" s="75">
        <f>Tabla1[[#This Row],[IMPORTE APROBADO]]-Tabla1[[#This Row],[AMORTIZACION2]]</f>
        <v>0</v>
      </c>
      <c r="O549" s="65" t="str">
        <f>TEXT(Tabla1[[#This Row],[EMISION]],"mmm")</f>
        <v>Ago</v>
      </c>
      <c r="P549" s="65" t="str">
        <f>TEXT(Tabla1[[#This Row],[EMISION]],"YYYY")</f>
        <v>2023</v>
      </c>
      <c r="Q549" s="71">
        <v>45148</v>
      </c>
      <c r="R549" s="65" t="str">
        <f>TEXT(Tabla1[[#This Row],[VENCIMIENTO]],"mmm")</f>
        <v>Set</v>
      </c>
      <c r="S549" s="71">
        <f t="shared" si="98"/>
        <v>45178</v>
      </c>
      <c r="T549" s="72">
        <f ca="1">Tabla1[[#This Row],[EMISION]]+Tabla1[[#This Row],[PLAZO]]-TODAY()</f>
        <v>-191</v>
      </c>
      <c r="U549" s="80">
        <f t="shared" ca="1" si="99"/>
        <v>0</v>
      </c>
      <c r="V549" s="72"/>
      <c r="W549" s="73" t="s">
        <v>14307</v>
      </c>
      <c r="X549" s="65">
        <v>30</v>
      </c>
      <c r="Y549" s="65"/>
      <c r="Z549" s="65"/>
      <c r="AA549" s="65"/>
      <c r="AB549" s="65"/>
      <c r="AC549" s="65"/>
      <c r="AD549" s="65"/>
      <c r="AE549" s="65"/>
      <c r="AF549" s="68"/>
      <c r="AG549" s="66">
        <v>45283</v>
      </c>
      <c r="AH549" s="67" t="s">
        <v>14308</v>
      </c>
      <c r="AI549" s="65" t="s">
        <v>3060</v>
      </c>
      <c r="AJ549" s="65"/>
      <c r="AK549" s="97">
        <f t="shared" ca="1" si="95"/>
        <v>191</v>
      </c>
      <c r="AL549">
        <f>IFERROR(VLOOKUP(A549,'DATA CLIENTES'!B4846:I8284,6,FALSE),0)</f>
        <v>0</v>
      </c>
    </row>
    <row r="550" spans="1:38" x14ac:dyDescent="0.25">
      <c r="A550" s="93" t="s">
        <v>7078</v>
      </c>
      <c r="B550" s="68" t="s">
        <v>7079</v>
      </c>
      <c r="C550" s="65"/>
      <c r="D550" s="65"/>
      <c r="E550" s="65"/>
      <c r="F550" s="69" t="s">
        <v>14676</v>
      </c>
      <c r="G550" s="70"/>
      <c r="H550" s="65">
        <v>5500000253</v>
      </c>
      <c r="I550" s="75">
        <v>1015.22</v>
      </c>
      <c r="J550" s="75">
        <f>115+400+300+200</f>
        <v>1015</v>
      </c>
      <c r="K550" s="75"/>
      <c r="L550" s="75"/>
      <c r="M550" s="75"/>
      <c r="N550" s="75">
        <f>Tabla1[[#This Row],[IMPORTE APROBADO]]-Tabla1[[#This Row],[AMORTIZACION2]]</f>
        <v>0.22000000000002728</v>
      </c>
      <c r="O550" s="65" t="str">
        <f>TEXT(Tabla1[[#This Row],[EMISION]],"mmm")</f>
        <v>Ago</v>
      </c>
      <c r="P550" s="65" t="str">
        <f>TEXT(Tabla1[[#This Row],[EMISION]],"YYYY")</f>
        <v>2023</v>
      </c>
      <c r="Q550" s="71">
        <v>45148</v>
      </c>
      <c r="R550" s="65" t="str">
        <f>TEXT(Tabla1[[#This Row],[VENCIMIENTO]],"mmm")</f>
        <v>Set</v>
      </c>
      <c r="S550" s="71">
        <f t="shared" si="98"/>
        <v>45178</v>
      </c>
      <c r="T550" s="72">
        <f ca="1">Tabla1[[#This Row],[EMISION]]+Tabla1[[#This Row],[PLAZO]]-TODAY()</f>
        <v>-191</v>
      </c>
      <c r="U550" s="80">
        <f t="shared" ca="1" si="99"/>
        <v>0</v>
      </c>
      <c r="V550" s="72"/>
      <c r="W550" s="73" t="s">
        <v>14307</v>
      </c>
      <c r="X550" s="65">
        <v>30</v>
      </c>
      <c r="Y550" s="65"/>
      <c r="Z550" s="65"/>
      <c r="AA550" s="65"/>
      <c r="AB550" s="65"/>
      <c r="AC550" s="65"/>
      <c r="AD550" s="65"/>
      <c r="AE550" s="65"/>
      <c r="AF550" s="68"/>
      <c r="AG550" s="66">
        <v>45198</v>
      </c>
      <c r="AH550" s="67" t="s">
        <v>14308</v>
      </c>
      <c r="AI550" s="65" t="s">
        <v>3060</v>
      </c>
      <c r="AJ550" s="65"/>
      <c r="AK550" s="97">
        <f t="shared" ca="1" si="95"/>
        <v>191</v>
      </c>
      <c r="AL550">
        <f>IFERROR(VLOOKUP(A550,'DATA CLIENTES'!B4847:I8284,6,FALSE),0)</f>
        <v>0</v>
      </c>
    </row>
    <row r="551" spans="1:38" x14ac:dyDescent="0.25">
      <c r="A551" s="93" t="s">
        <v>9980</v>
      </c>
      <c r="B551" s="68" t="s">
        <v>9981</v>
      </c>
      <c r="C551" s="65"/>
      <c r="D551" s="65"/>
      <c r="E551" s="65"/>
      <c r="F551" s="69" t="s">
        <v>14676</v>
      </c>
      <c r="G551" s="70"/>
      <c r="H551" s="65">
        <v>5500000254</v>
      </c>
      <c r="I551" s="75">
        <v>225.5</v>
      </c>
      <c r="J551" s="75">
        <f>100+50+75.5</f>
        <v>225.5</v>
      </c>
      <c r="K551" s="75"/>
      <c r="L551" s="75"/>
      <c r="M551" s="75"/>
      <c r="N551" s="75">
        <f>Tabla1[[#This Row],[IMPORTE APROBADO]]-Tabla1[[#This Row],[AMORTIZACION2]]</f>
        <v>0</v>
      </c>
      <c r="O551" s="65" t="str">
        <f>TEXT(Tabla1[[#This Row],[EMISION]],"mmm")</f>
        <v>Ago</v>
      </c>
      <c r="P551" s="65" t="str">
        <f>TEXT(Tabla1[[#This Row],[EMISION]],"YYYY")</f>
        <v>2023</v>
      </c>
      <c r="Q551" s="71">
        <v>45148</v>
      </c>
      <c r="R551" s="65" t="str">
        <f>TEXT(Tabla1[[#This Row],[VENCIMIENTO]],"mmm")</f>
        <v>Set</v>
      </c>
      <c r="S551" s="71">
        <f t="shared" si="98"/>
        <v>45178</v>
      </c>
      <c r="T551" s="72">
        <f ca="1">Tabla1[[#This Row],[EMISION]]+Tabla1[[#This Row],[PLAZO]]-TODAY()</f>
        <v>-191</v>
      </c>
      <c r="U551" s="80">
        <f t="shared" ca="1" si="99"/>
        <v>0</v>
      </c>
      <c r="V551" s="72"/>
      <c r="W551" s="73" t="s">
        <v>14307</v>
      </c>
      <c r="X551" s="65">
        <v>30</v>
      </c>
      <c r="Y551" s="65"/>
      <c r="Z551" s="65"/>
      <c r="AA551" s="65"/>
      <c r="AB551" s="65"/>
      <c r="AC551" s="65"/>
      <c r="AD551" s="65"/>
      <c r="AE551" s="65"/>
      <c r="AF551" s="68"/>
      <c r="AG551" s="66">
        <v>45184</v>
      </c>
      <c r="AH551" s="67" t="s">
        <v>14308</v>
      </c>
      <c r="AI551" s="65" t="s">
        <v>3060</v>
      </c>
      <c r="AJ551" s="65"/>
      <c r="AK551" s="97">
        <f t="shared" ca="1" si="95"/>
        <v>191</v>
      </c>
      <c r="AL551">
        <f>IFERROR(VLOOKUP(A551,'DATA CLIENTES'!B4848:I8284,6,FALSE),0)</f>
        <v>0</v>
      </c>
    </row>
    <row r="552" spans="1:38" x14ac:dyDescent="0.25">
      <c r="A552" s="93" t="s">
        <v>9980</v>
      </c>
      <c r="B552" s="68" t="s">
        <v>9981</v>
      </c>
      <c r="C552" s="65"/>
      <c r="D552" s="65"/>
      <c r="E552" s="65"/>
      <c r="F552" s="69" t="s">
        <v>14676</v>
      </c>
      <c r="G552" s="70"/>
      <c r="H552" s="65">
        <v>5600000121</v>
      </c>
      <c r="I552" s="75">
        <v>600.92999999999995</v>
      </c>
      <c r="J552" s="75">
        <f>24.5+100+150+100+80+146.5</f>
        <v>601</v>
      </c>
      <c r="K552" s="75"/>
      <c r="L552" s="75"/>
      <c r="M552" s="75"/>
      <c r="N552" s="75">
        <f>Tabla1[[#This Row],[IMPORTE APROBADO]]-Tabla1[[#This Row],[AMORTIZACION2]]</f>
        <v>-7.0000000000050022E-2</v>
      </c>
      <c r="O552" s="65" t="str">
        <f>TEXT(Tabla1[[#This Row],[EMISION]],"mmm")</f>
        <v>Ago</v>
      </c>
      <c r="P552" s="65" t="str">
        <f>TEXT(Tabla1[[#This Row],[EMISION]],"YYYY")</f>
        <v>2023</v>
      </c>
      <c r="Q552" s="71">
        <v>45148</v>
      </c>
      <c r="R552" s="65" t="str">
        <f>TEXT(Tabla1[[#This Row],[VENCIMIENTO]],"mmm")</f>
        <v>Set</v>
      </c>
      <c r="S552" s="71">
        <f t="shared" si="98"/>
        <v>45178</v>
      </c>
      <c r="T552" s="72">
        <f ca="1">Tabla1[[#This Row],[EMISION]]+Tabla1[[#This Row],[PLAZO]]-TODAY()</f>
        <v>-191</v>
      </c>
      <c r="U552" s="80">
        <f t="shared" ca="1" si="99"/>
        <v>0</v>
      </c>
      <c r="V552" s="72"/>
      <c r="W552" s="73" t="s">
        <v>14307</v>
      </c>
      <c r="X552" s="65">
        <v>30</v>
      </c>
      <c r="Y552" s="65"/>
      <c r="Z552" s="65"/>
      <c r="AA552" s="65"/>
      <c r="AB552" s="65"/>
      <c r="AC552" s="65"/>
      <c r="AD552" s="65"/>
      <c r="AE552" s="65"/>
      <c r="AF552" s="68"/>
      <c r="AG552" s="66">
        <v>45198</v>
      </c>
      <c r="AH552" s="67" t="s">
        <v>14308</v>
      </c>
      <c r="AI552" s="65" t="s">
        <v>3060</v>
      </c>
      <c r="AJ552" s="65"/>
      <c r="AK552" s="97">
        <f t="shared" ca="1" si="95"/>
        <v>191</v>
      </c>
      <c r="AL552">
        <f>IFERROR(VLOOKUP(A552,'DATA CLIENTES'!B4849:I8284,6,FALSE),0)</f>
        <v>0</v>
      </c>
    </row>
    <row r="553" spans="1:38" x14ac:dyDescent="0.25">
      <c r="A553" s="93" t="s">
        <v>9193</v>
      </c>
      <c r="B553" s="68" t="s">
        <v>9194</v>
      </c>
      <c r="C553" s="65"/>
      <c r="D553" s="65"/>
      <c r="E553" s="65"/>
      <c r="F553" s="69" t="s">
        <v>14676</v>
      </c>
      <c r="G553" s="70"/>
      <c r="H553" s="65">
        <v>5600000120</v>
      </c>
      <c r="I553" s="75">
        <v>1099.8</v>
      </c>
      <c r="J553" s="75">
        <f>100+300+700</f>
        <v>1100</v>
      </c>
      <c r="K553" s="75"/>
      <c r="L553" s="75"/>
      <c r="M553" s="75"/>
      <c r="N553" s="75">
        <f>Tabla1[[#This Row],[IMPORTE APROBADO]]-Tabla1[[#This Row],[AMORTIZACION2]]</f>
        <v>-0.20000000000004547</v>
      </c>
      <c r="O553" s="65" t="str">
        <f>TEXT(Tabla1[[#This Row],[EMISION]],"mmm")</f>
        <v>Ago</v>
      </c>
      <c r="P553" s="65" t="str">
        <f>TEXT(Tabla1[[#This Row],[EMISION]],"YYYY")</f>
        <v>2023</v>
      </c>
      <c r="Q553" s="71">
        <v>45148</v>
      </c>
      <c r="R553" s="65" t="str">
        <f>TEXT(Tabla1[[#This Row],[VENCIMIENTO]],"mmm")</f>
        <v>Set</v>
      </c>
      <c r="S553" s="71">
        <f t="shared" si="98"/>
        <v>45178</v>
      </c>
      <c r="T553" s="72">
        <f ca="1">Tabla1[[#This Row],[EMISION]]+Tabla1[[#This Row],[PLAZO]]-TODAY()</f>
        <v>-191</v>
      </c>
      <c r="U553" s="80">
        <f t="shared" ca="1" si="99"/>
        <v>0</v>
      </c>
      <c r="V553" s="72"/>
      <c r="W553" s="73" t="s">
        <v>14307</v>
      </c>
      <c r="X553" s="65">
        <v>30</v>
      </c>
      <c r="Y553" s="65"/>
      <c r="Z553" s="65"/>
      <c r="AA553" s="65"/>
      <c r="AB553" s="65"/>
      <c r="AC553" s="65"/>
      <c r="AD553" s="65"/>
      <c r="AE553" s="65"/>
      <c r="AF553" s="68"/>
      <c r="AG553" s="66">
        <v>45258</v>
      </c>
      <c r="AH553" s="67" t="s">
        <v>14308</v>
      </c>
      <c r="AI553" s="65" t="s">
        <v>3060</v>
      </c>
      <c r="AJ553" s="65"/>
      <c r="AK553" s="97">
        <f t="shared" ca="1" si="95"/>
        <v>191</v>
      </c>
      <c r="AL553">
        <f>IFERROR(VLOOKUP(A553,'DATA CLIENTES'!B4850:I8284,6,FALSE),0)</f>
        <v>0</v>
      </c>
    </row>
    <row r="554" spans="1:38" x14ac:dyDescent="0.25">
      <c r="A554" s="93" t="s">
        <v>9345</v>
      </c>
      <c r="B554" s="68" t="s">
        <v>9346</v>
      </c>
      <c r="C554" s="65"/>
      <c r="D554" s="65"/>
      <c r="E554" s="65"/>
      <c r="F554" s="69" t="s">
        <v>14804</v>
      </c>
      <c r="G554" s="70"/>
      <c r="H554" s="65">
        <v>5600000124</v>
      </c>
      <c r="I554" s="75">
        <v>2190</v>
      </c>
      <c r="J554" s="75">
        <f>1000+1190</f>
        <v>2190</v>
      </c>
      <c r="K554" s="75"/>
      <c r="L554" s="75"/>
      <c r="M554" s="75"/>
      <c r="N554" s="75">
        <f>Tabla1[[#This Row],[IMPORTE APROBADO]]-Tabla1[[#This Row],[AMORTIZACION2]]</f>
        <v>0</v>
      </c>
      <c r="O554" s="65" t="str">
        <f>TEXT(Tabla1[[#This Row],[EMISION]],"mmm")</f>
        <v>Ago</v>
      </c>
      <c r="P554" s="65" t="str">
        <f>TEXT(Tabla1[[#This Row],[EMISION]],"YYYY")</f>
        <v>2023</v>
      </c>
      <c r="Q554" s="71">
        <v>45149</v>
      </c>
      <c r="R554" s="65" t="str">
        <f>TEXT(Tabla1[[#This Row],[VENCIMIENTO]],"mmm")</f>
        <v>Ago</v>
      </c>
      <c r="S554" s="71">
        <f t="shared" si="98"/>
        <v>45164</v>
      </c>
      <c r="T554" s="72">
        <f ca="1">Tabla1[[#This Row],[EMISION]]+Tabla1[[#This Row],[PLAZO]]-TODAY()</f>
        <v>-205</v>
      </c>
      <c r="U554" s="80">
        <f t="shared" ca="1" si="99"/>
        <v>0</v>
      </c>
      <c r="V554" s="72"/>
      <c r="W554" s="73" t="s">
        <v>14307</v>
      </c>
      <c r="X554" s="65">
        <v>15</v>
      </c>
      <c r="Y554" s="65"/>
      <c r="Z554" s="65"/>
      <c r="AA554" s="65"/>
      <c r="AB554" s="65"/>
      <c r="AC554" s="65"/>
      <c r="AD554" s="65"/>
      <c r="AE554" s="65"/>
      <c r="AF554" s="68"/>
      <c r="AG554" s="66">
        <v>45175</v>
      </c>
      <c r="AH554" s="67" t="s">
        <v>14308</v>
      </c>
      <c r="AI554" s="65" t="s">
        <v>3060</v>
      </c>
      <c r="AJ554" s="65"/>
      <c r="AK554" s="97">
        <f t="shared" ca="1" si="95"/>
        <v>205</v>
      </c>
      <c r="AL554">
        <f>IFERROR(VLOOKUP(A554,'DATA CLIENTES'!B4851:I8284,6,FALSE),0)</f>
        <v>0</v>
      </c>
    </row>
    <row r="555" spans="1:38" x14ac:dyDescent="0.25">
      <c r="A555" s="93" t="s">
        <v>8544</v>
      </c>
      <c r="B555" s="68" t="s">
        <v>8545</v>
      </c>
      <c r="C555" s="65"/>
      <c r="D555" s="65"/>
      <c r="E555" s="65"/>
      <c r="F555" s="69" t="s">
        <v>14559</v>
      </c>
      <c r="G555" s="70"/>
      <c r="H555" s="65">
        <v>5500000268</v>
      </c>
      <c r="I555" s="75">
        <v>890</v>
      </c>
      <c r="J555" s="75">
        <v>890</v>
      </c>
      <c r="K555" s="75"/>
      <c r="L555" s="75"/>
      <c r="M555" s="75"/>
      <c r="N555" s="75">
        <f>Tabla1[[#This Row],[IMPORTE APROBADO]]-Tabla1[[#This Row],[AMORTIZACION2]]</f>
        <v>0</v>
      </c>
      <c r="O555" s="65" t="str">
        <f>TEXT(Tabla1[[#This Row],[EMISION]],"mmm")</f>
        <v>Ago</v>
      </c>
      <c r="P555" s="65" t="str">
        <f>TEXT(Tabla1[[#This Row],[EMISION]],"YYYY")</f>
        <v>2023</v>
      </c>
      <c r="Q555" s="71">
        <v>45150</v>
      </c>
      <c r="R555" s="65" t="str">
        <f>TEXT(Tabla1[[#This Row],[VENCIMIENTO]],"mmm")</f>
        <v>Ago</v>
      </c>
      <c r="S555" s="71">
        <f t="shared" ref="S555:S567" si="100">Q555+X555</f>
        <v>45165</v>
      </c>
      <c r="T555" s="72">
        <f ca="1">Tabla1[[#This Row],[EMISION]]+Tabla1[[#This Row],[PLAZO]]-TODAY()</f>
        <v>-204</v>
      </c>
      <c r="U555" s="80">
        <f t="shared" ref="U555:U567" ca="1" si="101">IF(T555&gt;=0,$U$4,IF(AND(T555&lt;=-1,T555&gt;=-30),$U$5,IF(AND(T555&lt;=-31,T555&gt;=-60),$U$6,IF(AND(T555&lt;=-61,T555&gt;=-90),$U$7,$U$8))))</f>
        <v>0</v>
      </c>
      <c r="V555" s="72"/>
      <c r="W555" s="73" t="s">
        <v>14307</v>
      </c>
      <c r="X555" s="65">
        <v>15</v>
      </c>
      <c r="Y555" s="65"/>
      <c r="Z555" s="65"/>
      <c r="AA555" s="65"/>
      <c r="AB555" s="65"/>
      <c r="AC555" s="65"/>
      <c r="AD555" s="65"/>
      <c r="AE555" s="65"/>
      <c r="AF555" s="68"/>
      <c r="AG555" s="66">
        <v>45183</v>
      </c>
      <c r="AH555" s="67" t="s">
        <v>14308</v>
      </c>
      <c r="AI555" s="65" t="s">
        <v>3060</v>
      </c>
      <c r="AJ555" s="65"/>
      <c r="AK555" s="97">
        <f t="shared" ca="1" si="95"/>
        <v>204</v>
      </c>
      <c r="AL555">
        <f>IFERROR(VLOOKUP(A555,'DATA CLIENTES'!B4852:I8284,6,FALSE),0)</f>
        <v>0</v>
      </c>
    </row>
    <row r="556" spans="1:38" x14ac:dyDescent="0.25">
      <c r="A556" s="93" t="s">
        <v>5294</v>
      </c>
      <c r="B556" s="68" t="s">
        <v>14811</v>
      </c>
      <c r="C556" s="65"/>
      <c r="D556" s="65"/>
      <c r="E556" s="65"/>
      <c r="F556" s="69" t="s">
        <v>14559</v>
      </c>
      <c r="G556" s="70"/>
      <c r="H556" s="65">
        <v>5500000270</v>
      </c>
      <c r="I556" s="75">
        <v>27297</v>
      </c>
      <c r="J556" s="75">
        <v>27297</v>
      </c>
      <c r="K556" s="75"/>
      <c r="L556" s="75"/>
      <c r="M556" s="75"/>
      <c r="N556" s="75">
        <f>Tabla1[[#This Row],[IMPORTE APROBADO]]-Tabla1[[#This Row],[AMORTIZACION2]]</f>
        <v>0</v>
      </c>
      <c r="O556" s="65" t="str">
        <f>TEXT(Tabla1[[#This Row],[EMISION]],"mmm")</f>
        <v>Ago</v>
      </c>
      <c r="P556" s="65" t="str">
        <f>TEXT(Tabla1[[#This Row],[EMISION]],"YYYY")</f>
        <v>2023</v>
      </c>
      <c r="Q556" s="71">
        <v>45152</v>
      </c>
      <c r="R556" s="65" t="str">
        <f>TEXT(Tabla1[[#This Row],[VENCIMIENTO]],"mmm")</f>
        <v>Set</v>
      </c>
      <c r="S556" s="71">
        <f t="shared" si="100"/>
        <v>45198</v>
      </c>
      <c r="T556" s="72">
        <f ca="1">Tabla1[[#This Row],[EMISION]]+Tabla1[[#This Row],[PLAZO]]-TODAY()</f>
        <v>-171</v>
      </c>
      <c r="U556" s="80">
        <f t="shared" ca="1" si="101"/>
        <v>0</v>
      </c>
      <c r="V556" s="72"/>
      <c r="W556" s="73" t="s">
        <v>14307</v>
      </c>
      <c r="X556" s="65">
        <v>46</v>
      </c>
      <c r="Y556" s="65"/>
      <c r="Z556" s="65"/>
      <c r="AA556" s="65"/>
      <c r="AB556" s="65"/>
      <c r="AC556" s="65"/>
      <c r="AD556" s="65"/>
      <c r="AE556" s="65"/>
      <c r="AF556" s="68"/>
      <c r="AG556" s="66">
        <v>45287</v>
      </c>
      <c r="AH556" s="67" t="s">
        <v>14308</v>
      </c>
      <c r="AI556" s="65" t="s">
        <v>3060</v>
      </c>
      <c r="AJ556" s="65"/>
      <c r="AK556" s="97">
        <f t="shared" ca="1" si="95"/>
        <v>171</v>
      </c>
      <c r="AL556">
        <f>IFERROR(VLOOKUP(A556,'DATA CLIENTES'!B4853:I8284,6,FALSE),0)</f>
        <v>0</v>
      </c>
    </row>
    <row r="557" spans="1:38" x14ac:dyDescent="0.25">
      <c r="A557" s="93" t="s">
        <v>9366</v>
      </c>
      <c r="B557" s="68" t="s">
        <v>9367</v>
      </c>
      <c r="C557" s="65"/>
      <c r="D557" s="65"/>
      <c r="E557" s="65"/>
      <c r="F557" s="69" t="s">
        <v>14559</v>
      </c>
      <c r="G557" s="70"/>
      <c r="H557" s="65">
        <v>5500000271</v>
      </c>
      <c r="I557" s="75">
        <v>15510</v>
      </c>
      <c r="J557" s="75">
        <v>15510</v>
      </c>
      <c r="K557" s="75"/>
      <c r="L557" s="75"/>
      <c r="M557" s="75"/>
      <c r="N557" s="75">
        <f>Tabla1[[#This Row],[IMPORTE APROBADO]]-Tabla1[[#This Row],[AMORTIZACION2]]</f>
        <v>0</v>
      </c>
      <c r="O557" s="65" t="str">
        <f>TEXT(Tabla1[[#This Row],[EMISION]],"mmm")</f>
        <v>Ago</v>
      </c>
      <c r="P557" s="65" t="str">
        <f>TEXT(Tabla1[[#This Row],[EMISION]],"YYYY")</f>
        <v>2023</v>
      </c>
      <c r="Q557" s="71">
        <v>45152</v>
      </c>
      <c r="R557" s="65" t="str">
        <f>TEXT(Tabla1[[#This Row],[VENCIMIENTO]],"mmm")</f>
        <v>Set</v>
      </c>
      <c r="S557" s="71">
        <f t="shared" si="100"/>
        <v>45182</v>
      </c>
      <c r="T557" s="72">
        <f ca="1">Tabla1[[#This Row],[EMISION]]+Tabla1[[#This Row],[PLAZO]]-TODAY()</f>
        <v>-187</v>
      </c>
      <c r="U557" s="80">
        <f t="shared" ca="1" si="101"/>
        <v>0</v>
      </c>
      <c r="V557" s="72"/>
      <c r="W557" s="73" t="s">
        <v>14307</v>
      </c>
      <c r="X557" s="65">
        <v>30</v>
      </c>
      <c r="Y557" s="65"/>
      <c r="Z557" s="65"/>
      <c r="AA557" s="65"/>
      <c r="AB557" s="65"/>
      <c r="AC557" s="65"/>
      <c r="AD557" s="65"/>
      <c r="AE557" s="65"/>
      <c r="AF557" s="68"/>
      <c r="AG557" s="66">
        <v>45188</v>
      </c>
      <c r="AH557" s="67" t="s">
        <v>14308</v>
      </c>
      <c r="AI557" s="65" t="s">
        <v>3060</v>
      </c>
      <c r="AJ557" s="65"/>
      <c r="AK557" s="97">
        <f t="shared" ca="1" si="95"/>
        <v>187</v>
      </c>
      <c r="AL557">
        <f>IFERROR(VLOOKUP(A557,'DATA CLIENTES'!B4854:I8284,6,FALSE),0)</f>
        <v>0</v>
      </c>
    </row>
    <row r="558" spans="1:38" x14ac:dyDescent="0.25">
      <c r="A558" s="93" t="s">
        <v>9824</v>
      </c>
      <c r="B558" s="68" t="s">
        <v>14331</v>
      </c>
      <c r="C558" s="65"/>
      <c r="D558" s="65"/>
      <c r="E558" s="65"/>
      <c r="F558" s="69" t="s">
        <v>14804</v>
      </c>
      <c r="G558" s="70"/>
      <c r="H558" s="65">
        <v>5600000132</v>
      </c>
      <c r="I558" s="75">
        <v>10850</v>
      </c>
      <c r="J558" s="75">
        <f>1000+900+1000+850+500+900+1000+800+1000+690+800+800+110+500</f>
        <v>10850</v>
      </c>
      <c r="K558" s="75"/>
      <c r="L558" s="75"/>
      <c r="M558" s="75"/>
      <c r="N558" s="75">
        <f>Tabla1[[#This Row],[IMPORTE APROBADO]]-Tabla1[[#This Row],[AMORTIZACION2]]</f>
        <v>0</v>
      </c>
      <c r="O558" s="65" t="str">
        <f>TEXT(Tabla1[[#This Row],[EMISION]],"mmm")</f>
        <v>Ago</v>
      </c>
      <c r="P558" s="65" t="str">
        <f>TEXT(Tabla1[[#This Row],[EMISION]],"YYYY")</f>
        <v>2023</v>
      </c>
      <c r="Q558" s="71">
        <v>45153</v>
      </c>
      <c r="R558" s="65" t="str">
        <f>TEXT(Tabla1[[#This Row],[VENCIMIENTO]],"mmm")</f>
        <v>Ago</v>
      </c>
      <c r="S558" s="71">
        <f t="shared" si="100"/>
        <v>45168</v>
      </c>
      <c r="T558" s="72">
        <f ca="1">Tabla1[[#This Row],[EMISION]]+Tabla1[[#This Row],[PLAZO]]-TODAY()</f>
        <v>-201</v>
      </c>
      <c r="U558" s="80">
        <f t="shared" ca="1" si="101"/>
        <v>0</v>
      </c>
      <c r="V558" s="72"/>
      <c r="W558" s="73" t="s">
        <v>14307</v>
      </c>
      <c r="X558" s="65">
        <v>15</v>
      </c>
      <c r="Y558" s="65"/>
      <c r="Z558" s="65"/>
      <c r="AA558" s="65"/>
      <c r="AB558" s="65"/>
      <c r="AC558" s="65"/>
      <c r="AD558" s="65"/>
      <c r="AE558" s="65"/>
      <c r="AF558" s="68"/>
      <c r="AG558" s="66">
        <v>45192</v>
      </c>
      <c r="AH558" s="67" t="s">
        <v>14308</v>
      </c>
      <c r="AI558" s="65" t="s">
        <v>3060</v>
      </c>
      <c r="AJ558" s="65"/>
      <c r="AK558" s="97">
        <f t="shared" ca="1" si="95"/>
        <v>201</v>
      </c>
      <c r="AL558">
        <f>IFERROR(VLOOKUP(A558,'DATA CLIENTES'!B4855:I8284,6,FALSE),0)</f>
        <v>0</v>
      </c>
    </row>
    <row r="559" spans="1:38" x14ac:dyDescent="0.25">
      <c r="A559" s="93" t="s">
        <v>8161</v>
      </c>
      <c r="B559" s="68" t="s">
        <v>8162</v>
      </c>
      <c r="C559" s="65"/>
      <c r="D559" s="65"/>
      <c r="E559" s="65"/>
      <c r="F559" s="69" t="s">
        <v>14805</v>
      </c>
      <c r="G559" s="70"/>
      <c r="H559" s="65">
        <v>5300000096</v>
      </c>
      <c r="I559" s="75">
        <v>600</v>
      </c>
      <c r="J559" s="75">
        <v>600</v>
      </c>
      <c r="K559" s="75"/>
      <c r="L559" s="75"/>
      <c r="M559" s="75"/>
      <c r="N559" s="75">
        <f>Tabla1[[#This Row],[IMPORTE APROBADO]]-Tabla1[[#This Row],[AMORTIZACION2]]</f>
        <v>0</v>
      </c>
      <c r="O559" s="65" t="str">
        <f>TEXT(Tabla1[[#This Row],[EMISION]],"mmm")</f>
        <v>Ago</v>
      </c>
      <c r="P559" s="65" t="str">
        <f>TEXT(Tabla1[[#This Row],[EMISION]],"YYYY")</f>
        <v>2023</v>
      </c>
      <c r="Q559" s="71">
        <v>45154</v>
      </c>
      <c r="R559" s="65" t="str">
        <f>TEXT(Tabla1[[#This Row],[VENCIMIENTO]],"mmm")</f>
        <v>Ago</v>
      </c>
      <c r="S559" s="71">
        <f t="shared" si="100"/>
        <v>45161</v>
      </c>
      <c r="T559" s="72">
        <f ca="1">Tabla1[[#This Row],[EMISION]]+Tabla1[[#This Row],[PLAZO]]-TODAY()</f>
        <v>-208</v>
      </c>
      <c r="U559" s="80">
        <f t="shared" ca="1" si="101"/>
        <v>0</v>
      </c>
      <c r="V559" s="72"/>
      <c r="W559" s="73" t="s">
        <v>14307</v>
      </c>
      <c r="X559" s="65">
        <v>7</v>
      </c>
      <c r="Y559" s="65"/>
      <c r="Z559" s="65"/>
      <c r="AA559" s="65"/>
      <c r="AB559" s="65"/>
      <c r="AC559" s="65"/>
      <c r="AD559" s="65"/>
      <c r="AE559" s="65"/>
      <c r="AF559" s="68"/>
      <c r="AG559" s="66">
        <v>45226</v>
      </c>
      <c r="AH559" s="67" t="s">
        <v>14308</v>
      </c>
      <c r="AI559" s="65" t="s">
        <v>3060</v>
      </c>
      <c r="AJ559" s="65"/>
      <c r="AK559" s="97">
        <f t="shared" ca="1" si="95"/>
        <v>208</v>
      </c>
      <c r="AL559">
        <f>IFERROR(VLOOKUP(A559,'DATA CLIENTES'!B4856:I8284,6,FALSE),0)</f>
        <v>0</v>
      </c>
    </row>
    <row r="560" spans="1:38" x14ac:dyDescent="0.25">
      <c r="A560" s="93" t="s">
        <v>8161</v>
      </c>
      <c r="B560" s="68" t="s">
        <v>8162</v>
      </c>
      <c r="C560" s="65"/>
      <c r="D560" s="65"/>
      <c r="E560" s="65"/>
      <c r="F560" s="69" t="s">
        <v>14805</v>
      </c>
      <c r="G560" s="70"/>
      <c r="H560" s="65">
        <v>5300000097</v>
      </c>
      <c r="I560" s="75">
        <v>400</v>
      </c>
      <c r="J560" s="75">
        <v>400</v>
      </c>
      <c r="K560" s="75"/>
      <c r="L560" s="75"/>
      <c r="M560" s="75"/>
      <c r="N560" s="75">
        <f>Tabla1[[#This Row],[IMPORTE APROBADO]]-Tabla1[[#This Row],[AMORTIZACION2]]</f>
        <v>0</v>
      </c>
      <c r="O560" s="65" t="str">
        <f>TEXT(Tabla1[[#This Row],[EMISION]],"mmm")</f>
        <v>Ago</v>
      </c>
      <c r="P560" s="65" t="str">
        <f>TEXT(Tabla1[[#This Row],[EMISION]],"YYYY")</f>
        <v>2023</v>
      </c>
      <c r="Q560" s="71">
        <v>45154</v>
      </c>
      <c r="R560" s="65" t="str">
        <f>TEXT(Tabla1[[#This Row],[VENCIMIENTO]],"mmm")</f>
        <v>Ago</v>
      </c>
      <c r="S560" s="71">
        <f t="shared" si="100"/>
        <v>45161</v>
      </c>
      <c r="T560" s="72">
        <f ca="1">Tabla1[[#This Row],[EMISION]]+Tabla1[[#This Row],[PLAZO]]-TODAY()</f>
        <v>-208</v>
      </c>
      <c r="U560" s="80">
        <f t="shared" ca="1" si="101"/>
        <v>0</v>
      </c>
      <c r="V560" s="72"/>
      <c r="W560" s="73" t="s">
        <v>14307</v>
      </c>
      <c r="X560" s="65">
        <v>7</v>
      </c>
      <c r="Y560" s="65"/>
      <c r="Z560" s="65"/>
      <c r="AA560" s="65"/>
      <c r="AB560" s="65"/>
      <c r="AC560" s="65"/>
      <c r="AD560" s="65"/>
      <c r="AE560" s="65"/>
      <c r="AF560" s="68"/>
      <c r="AG560" s="66">
        <v>45226</v>
      </c>
      <c r="AH560" s="67" t="s">
        <v>14308</v>
      </c>
      <c r="AI560" s="65" t="s">
        <v>3060</v>
      </c>
      <c r="AJ560" s="65"/>
      <c r="AK560" s="97">
        <f t="shared" ca="1" si="95"/>
        <v>208</v>
      </c>
      <c r="AL560">
        <f>IFERROR(VLOOKUP(A560,'DATA CLIENTES'!B4857:I8284,6,FALSE),0)</f>
        <v>0</v>
      </c>
    </row>
    <row r="561" spans="1:38" x14ac:dyDescent="0.25">
      <c r="A561" s="93" t="s">
        <v>9059</v>
      </c>
      <c r="B561" s="68" t="s">
        <v>9060</v>
      </c>
      <c r="C561" s="65"/>
      <c r="D561" s="65"/>
      <c r="E561" s="65"/>
      <c r="F561" s="69" t="s">
        <v>14812</v>
      </c>
      <c r="G561" s="70"/>
      <c r="H561" s="65">
        <v>5500000289</v>
      </c>
      <c r="I561" s="75">
        <v>4320</v>
      </c>
      <c r="J561" s="75">
        <v>4320</v>
      </c>
      <c r="K561" s="75"/>
      <c r="L561" s="75"/>
      <c r="M561" s="75"/>
      <c r="N561" s="75">
        <f>Tabla1[[#This Row],[IMPORTE APROBADO]]-Tabla1[[#This Row],[AMORTIZACION2]]</f>
        <v>0</v>
      </c>
      <c r="O561" s="65" t="str">
        <f>TEXT(Tabla1[[#This Row],[EMISION]],"mmm")</f>
        <v>Ago</v>
      </c>
      <c r="P561" s="65" t="str">
        <f>TEXT(Tabla1[[#This Row],[EMISION]],"YYYY")</f>
        <v>2023</v>
      </c>
      <c r="Q561" s="71">
        <v>45154</v>
      </c>
      <c r="R561" s="65" t="str">
        <f>TEXT(Tabla1[[#This Row],[VENCIMIENTO]],"mmm")</f>
        <v>Ago</v>
      </c>
      <c r="S561" s="71">
        <f t="shared" si="100"/>
        <v>45169</v>
      </c>
      <c r="T561" s="72">
        <f ca="1">Tabla1[[#This Row],[EMISION]]+Tabla1[[#This Row],[PLAZO]]-TODAY()</f>
        <v>-200</v>
      </c>
      <c r="U561" s="80">
        <f t="shared" ca="1" si="101"/>
        <v>0</v>
      </c>
      <c r="V561" s="72"/>
      <c r="W561" s="73" t="s">
        <v>14307</v>
      </c>
      <c r="X561" s="65">
        <v>15</v>
      </c>
      <c r="Y561" s="65"/>
      <c r="Z561" s="65"/>
      <c r="AA561" s="65"/>
      <c r="AB561" s="65"/>
      <c r="AC561" s="65"/>
      <c r="AD561" s="65"/>
      <c r="AE561" s="65"/>
      <c r="AF561" s="68"/>
      <c r="AG561" s="66">
        <v>45181</v>
      </c>
      <c r="AH561" s="67" t="s">
        <v>14308</v>
      </c>
      <c r="AI561" s="65" t="s">
        <v>3060</v>
      </c>
      <c r="AJ561" s="65"/>
      <c r="AK561" s="97">
        <f t="shared" ca="1" si="95"/>
        <v>200</v>
      </c>
      <c r="AL561">
        <f>IFERROR(VLOOKUP(A561,'DATA CLIENTES'!B4858:I8284,6,FALSE),0)</f>
        <v>0</v>
      </c>
    </row>
    <row r="562" spans="1:38" x14ac:dyDescent="0.25">
      <c r="A562" s="93" t="s">
        <v>8205</v>
      </c>
      <c r="B562" s="68" t="s">
        <v>8206</v>
      </c>
      <c r="C562" s="65"/>
      <c r="D562" s="65"/>
      <c r="E562" s="65"/>
      <c r="F562" s="69" t="s">
        <v>14808</v>
      </c>
      <c r="G562" s="70"/>
      <c r="H562" s="65">
        <v>5300000100</v>
      </c>
      <c r="I562" s="75">
        <v>66400</v>
      </c>
      <c r="J562" s="75">
        <v>66400</v>
      </c>
      <c r="K562" s="75"/>
      <c r="L562" s="75"/>
      <c r="M562" s="75"/>
      <c r="N562" s="75">
        <f>Tabla1[[#This Row],[IMPORTE APROBADO]]-Tabla1[[#This Row],[AMORTIZACION2]]</f>
        <v>0</v>
      </c>
      <c r="O562" s="65" t="str">
        <f>TEXT(Tabla1[[#This Row],[EMISION]],"mmm")</f>
        <v>Ago</v>
      </c>
      <c r="P562" s="65" t="str">
        <f>TEXT(Tabla1[[#This Row],[EMISION]],"YYYY")</f>
        <v>2023</v>
      </c>
      <c r="Q562" s="71">
        <v>45154</v>
      </c>
      <c r="R562" s="65" t="str">
        <f>TEXT(Tabla1[[#This Row],[VENCIMIENTO]],"mmm")</f>
        <v>Set</v>
      </c>
      <c r="S562" s="71">
        <f t="shared" si="100"/>
        <v>45184</v>
      </c>
      <c r="T562" s="72">
        <f ca="1">Tabla1[[#This Row],[EMISION]]+Tabla1[[#This Row],[PLAZO]]-TODAY()</f>
        <v>-185</v>
      </c>
      <c r="U562" s="80">
        <f t="shared" ca="1" si="101"/>
        <v>0</v>
      </c>
      <c r="V562" s="72"/>
      <c r="W562" s="73" t="s">
        <v>14307</v>
      </c>
      <c r="X562" s="65">
        <v>30</v>
      </c>
      <c r="Y562" s="65"/>
      <c r="Z562" s="65"/>
      <c r="AA562" s="65"/>
      <c r="AB562" s="65"/>
      <c r="AC562" s="65"/>
      <c r="AD562" s="65"/>
      <c r="AE562" s="65"/>
      <c r="AF562" s="68"/>
      <c r="AG562" s="66">
        <v>45245</v>
      </c>
      <c r="AH562" s="67" t="s">
        <v>14308</v>
      </c>
      <c r="AI562" s="65" t="s">
        <v>3060</v>
      </c>
      <c r="AJ562" s="65"/>
      <c r="AK562" s="97">
        <f t="shared" ca="1" si="95"/>
        <v>185</v>
      </c>
      <c r="AL562">
        <f>IFERROR(VLOOKUP(A562,'DATA CLIENTES'!B4859:I8284,6,FALSE),0)</f>
        <v>0</v>
      </c>
    </row>
    <row r="563" spans="1:38" x14ac:dyDescent="0.25">
      <c r="A563" s="93" t="s">
        <v>8205</v>
      </c>
      <c r="B563" s="68" t="s">
        <v>8206</v>
      </c>
      <c r="C563" s="65"/>
      <c r="D563" s="65"/>
      <c r="E563" s="65"/>
      <c r="F563" s="69" t="s">
        <v>14808</v>
      </c>
      <c r="G563" s="70"/>
      <c r="H563" s="65">
        <v>5300000102</v>
      </c>
      <c r="I563" s="75">
        <v>89000</v>
      </c>
      <c r="J563" s="75">
        <v>89000</v>
      </c>
      <c r="K563" s="75"/>
      <c r="L563" s="75"/>
      <c r="M563" s="75"/>
      <c r="N563" s="75">
        <f>Tabla1[[#This Row],[IMPORTE APROBADO]]-Tabla1[[#This Row],[AMORTIZACION2]]</f>
        <v>0</v>
      </c>
      <c r="O563" s="65" t="str">
        <f>TEXT(Tabla1[[#This Row],[EMISION]],"mmm")</f>
        <v>Ago</v>
      </c>
      <c r="P563" s="65" t="str">
        <f>TEXT(Tabla1[[#This Row],[EMISION]],"YYYY")</f>
        <v>2023</v>
      </c>
      <c r="Q563" s="71">
        <v>45154</v>
      </c>
      <c r="R563" s="65" t="str">
        <f>TEXT(Tabla1[[#This Row],[VENCIMIENTO]],"mmm")</f>
        <v>Set</v>
      </c>
      <c r="S563" s="71">
        <f t="shared" si="100"/>
        <v>45184</v>
      </c>
      <c r="T563" s="72">
        <f ca="1">Tabla1[[#This Row],[EMISION]]+Tabla1[[#This Row],[PLAZO]]-TODAY()</f>
        <v>-185</v>
      </c>
      <c r="U563" s="80">
        <f t="shared" ca="1" si="101"/>
        <v>0</v>
      </c>
      <c r="V563" s="72"/>
      <c r="W563" s="73" t="s">
        <v>14307</v>
      </c>
      <c r="X563" s="65">
        <v>30</v>
      </c>
      <c r="Y563" s="65"/>
      <c r="Z563" s="65"/>
      <c r="AA563" s="65"/>
      <c r="AB563" s="65"/>
      <c r="AC563" s="65"/>
      <c r="AD563" s="65"/>
      <c r="AE563" s="65"/>
      <c r="AF563" s="68"/>
      <c r="AG563" s="66">
        <v>45245</v>
      </c>
      <c r="AH563" s="67" t="s">
        <v>14308</v>
      </c>
      <c r="AI563" s="65" t="s">
        <v>3060</v>
      </c>
      <c r="AJ563" s="65"/>
      <c r="AK563" s="97">
        <f t="shared" ca="1" si="95"/>
        <v>185</v>
      </c>
      <c r="AL563">
        <f>IFERROR(VLOOKUP(A563,'DATA CLIENTES'!B4860:I8284,6,FALSE),0)</f>
        <v>0</v>
      </c>
    </row>
    <row r="564" spans="1:38" x14ac:dyDescent="0.25">
      <c r="A564" s="93" t="s">
        <v>9824</v>
      </c>
      <c r="B564" s="68" t="s">
        <v>14331</v>
      </c>
      <c r="C564" s="65"/>
      <c r="D564" s="65"/>
      <c r="E564" s="65"/>
      <c r="F564" s="69" t="s">
        <v>14559</v>
      </c>
      <c r="G564" s="70"/>
      <c r="H564" s="65">
        <v>5500000295</v>
      </c>
      <c r="I564" s="75">
        <v>6736.98</v>
      </c>
      <c r="J564" s="75">
        <f>700+1000+700+600+800+1000+1000+936.98</f>
        <v>6736.98</v>
      </c>
      <c r="K564" s="75"/>
      <c r="L564" s="75"/>
      <c r="M564" s="75"/>
      <c r="N564" s="75">
        <f>Tabla1[[#This Row],[IMPORTE APROBADO]]-Tabla1[[#This Row],[AMORTIZACION2]]</f>
        <v>0</v>
      </c>
      <c r="O564" s="65" t="str">
        <f>TEXT(Tabla1[[#This Row],[EMISION]],"mmm")</f>
        <v>Ago</v>
      </c>
      <c r="P564" s="65" t="str">
        <f>TEXT(Tabla1[[#This Row],[EMISION]],"YYYY")</f>
        <v>2023</v>
      </c>
      <c r="Q564" s="71">
        <v>45155</v>
      </c>
      <c r="R564" s="65" t="str">
        <f>TEXT(Tabla1[[#This Row],[VENCIMIENTO]],"mmm")</f>
        <v>Set</v>
      </c>
      <c r="S564" s="71">
        <f t="shared" si="100"/>
        <v>45185</v>
      </c>
      <c r="T564" s="72">
        <f ca="1">Tabla1[[#This Row],[EMISION]]+Tabla1[[#This Row],[PLAZO]]-TODAY()</f>
        <v>-184</v>
      </c>
      <c r="U564" s="80">
        <f t="shared" ca="1" si="101"/>
        <v>0</v>
      </c>
      <c r="V564" s="72"/>
      <c r="W564" s="73" t="s">
        <v>14307</v>
      </c>
      <c r="X564" s="65">
        <v>30</v>
      </c>
      <c r="Y564" s="65"/>
      <c r="Z564" s="65"/>
      <c r="AA564" s="65"/>
      <c r="AB564" s="65"/>
      <c r="AC564" s="65"/>
      <c r="AD564" s="65"/>
      <c r="AE564" s="65"/>
      <c r="AF564" s="68"/>
      <c r="AG564" s="66">
        <v>45210</v>
      </c>
      <c r="AH564" s="67" t="s">
        <v>14308</v>
      </c>
      <c r="AI564" s="65" t="s">
        <v>3060</v>
      </c>
      <c r="AJ564" s="65"/>
      <c r="AK564" s="97">
        <f t="shared" ca="1" si="95"/>
        <v>184</v>
      </c>
      <c r="AL564">
        <f>IFERROR(VLOOKUP(A564,'DATA CLIENTES'!B4861:I8284,6,FALSE),0)</f>
        <v>0</v>
      </c>
    </row>
    <row r="565" spans="1:38" x14ac:dyDescent="0.25">
      <c r="A565" s="93" t="s">
        <v>8205</v>
      </c>
      <c r="B565" s="68" t="s">
        <v>8206</v>
      </c>
      <c r="C565" s="65"/>
      <c r="D565" s="65"/>
      <c r="E565" s="65"/>
      <c r="F565" s="69" t="s">
        <v>14808</v>
      </c>
      <c r="G565" s="70"/>
      <c r="H565" s="65">
        <v>5300000104</v>
      </c>
      <c r="I565" s="75">
        <v>45200</v>
      </c>
      <c r="J565" s="75">
        <v>45200</v>
      </c>
      <c r="K565" s="75"/>
      <c r="L565" s="74"/>
      <c r="M565" s="75"/>
      <c r="N565" s="75">
        <f>Tabla1[[#This Row],[IMPORTE APROBADO]]-Tabla1[[#This Row],[AMORTIZACION2]]</f>
        <v>0</v>
      </c>
      <c r="O565" s="65" t="str">
        <f>TEXT(Tabla1[[#This Row],[EMISION]],"mmm")</f>
        <v>Ago</v>
      </c>
      <c r="P565" s="65" t="str">
        <f>TEXT(Tabla1[[#This Row],[EMISION]],"YYYY")</f>
        <v>2023</v>
      </c>
      <c r="Q565" s="71">
        <v>45155</v>
      </c>
      <c r="R565" s="65" t="str">
        <f>TEXT(Tabla1[[#This Row],[VENCIMIENTO]],"mmm")</f>
        <v>Set</v>
      </c>
      <c r="S565" s="71">
        <f t="shared" si="100"/>
        <v>45185</v>
      </c>
      <c r="T565" s="72">
        <f ca="1">Tabla1[[#This Row],[EMISION]]+Tabla1[[#This Row],[PLAZO]]-TODAY()</f>
        <v>-184</v>
      </c>
      <c r="U565" s="80">
        <f t="shared" ca="1" si="101"/>
        <v>0</v>
      </c>
      <c r="V565" s="72"/>
      <c r="W565" s="73" t="s">
        <v>14307</v>
      </c>
      <c r="X565" s="65">
        <v>30</v>
      </c>
      <c r="Y565" s="65"/>
      <c r="Z565" s="65"/>
      <c r="AA565" s="65"/>
      <c r="AB565" s="65"/>
      <c r="AC565" s="65"/>
      <c r="AD565" s="65"/>
      <c r="AE565" s="65"/>
      <c r="AF565" s="68"/>
      <c r="AG565" s="66">
        <v>45245</v>
      </c>
      <c r="AH565" s="67" t="s">
        <v>14308</v>
      </c>
      <c r="AI565" s="65" t="s">
        <v>3060</v>
      </c>
      <c r="AJ565" s="65"/>
      <c r="AK565" s="97">
        <f t="shared" ca="1" si="95"/>
        <v>184</v>
      </c>
      <c r="AL565">
        <f>IFERROR(VLOOKUP(A565,'DATA CLIENTES'!B4862:I8284,6,FALSE),0)</f>
        <v>0</v>
      </c>
    </row>
    <row r="566" spans="1:38" x14ac:dyDescent="0.25">
      <c r="A566" s="93" t="s">
        <v>8205</v>
      </c>
      <c r="B566" s="68" t="s">
        <v>8206</v>
      </c>
      <c r="C566" s="65"/>
      <c r="D566" s="65"/>
      <c r="E566" s="65"/>
      <c r="F566" s="69" t="s">
        <v>14808</v>
      </c>
      <c r="G566" s="70"/>
      <c r="H566" s="65">
        <v>5300000106</v>
      </c>
      <c r="I566" s="75">
        <v>16600</v>
      </c>
      <c r="J566" s="75">
        <v>16600</v>
      </c>
      <c r="K566" s="75"/>
      <c r="L566" s="74"/>
      <c r="M566" s="75"/>
      <c r="N566" s="75">
        <f>Tabla1[[#This Row],[IMPORTE APROBADO]]-Tabla1[[#This Row],[AMORTIZACION2]]</f>
        <v>0</v>
      </c>
      <c r="O566" s="65" t="str">
        <f>TEXT(Tabla1[[#This Row],[EMISION]],"mmm")</f>
        <v>Ago</v>
      </c>
      <c r="P566" s="65" t="str">
        <f>TEXT(Tabla1[[#This Row],[EMISION]],"YYYY")</f>
        <v>2023</v>
      </c>
      <c r="Q566" s="71">
        <v>45155</v>
      </c>
      <c r="R566" s="65" t="str">
        <f>TEXT(Tabla1[[#This Row],[VENCIMIENTO]],"mmm")</f>
        <v>Set</v>
      </c>
      <c r="S566" s="71">
        <f t="shared" si="100"/>
        <v>45185</v>
      </c>
      <c r="T566" s="72">
        <f ca="1">Tabla1[[#This Row],[EMISION]]+Tabla1[[#This Row],[PLAZO]]-TODAY()</f>
        <v>-184</v>
      </c>
      <c r="U566" s="80">
        <f t="shared" ca="1" si="101"/>
        <v>0</v>
      </c>
      <c r="V566" s="72"/>
      <c r="W566" s="73" t="s">
        <v>14307</v>
      </c>
      <c r="X566" s="65">
        <v>30</v>
      </c>
      <c r="Y566" s="65"/>
      <c r="Z566" s="65"/>
      <c r="AA566" s="65"/>
      <c r="AB566" s="65"/>
      <c r="AC566" s="65"/>
      <c r="AD566" s="65"/>
      <c r="AE566" s="65"/>
      <c r="AF566" s="68"/>
      <c r="AG566" s="66">
        <v>45245</v>
      </c>
      <c r="AH566" s="67" t="s">
        <v>14308</v>
      </c>
      <c r="AI566" s="65" t="s">
        <v>3060</v>
      </c>
      <c r="AJ566" s="65"/>
      <c r="AK566" s="97">
        <f t="shared" ca="1" si="95"/>
        <v>184</v>
      </c>
      <c r="AL566">
        <f>IFERROR(VLOOKUP(A566,'DATA CLIENTES'!B4863:I8284,6,FALSE),0)</f>
        <v>0</v>
      </c>
    </row>
    <row r="567" spans="1:38" x14ac:dyDescent="0.25">
      <c r="A567" s="93" t="s">
        <v>8205</v>
      </c>
      <c r="B567" s="68" t="s">
        <v>8206</v>
      </c>
      <c r="C567" s="65"/>
      <c r="D567" s="65"/>
      <c r="E567" s="65"/>
      <c r="F567" s="69" t="s">
        <v>14808</v>
      </c>
      <c r="G567" s="70"/>
      <c r="H567" s="65">
        <v>5300000105</v>
      </c>
      <c r="I567" s="75">
        <v>39200</v>
      </c>
      <c r="J567" s="75"/>
      <c r="K567" s="75"/>
      <c r="L567" s="74"/>
      <c r="M567" s="75"/>
      <c r="N567" s="75">
        <f>Tabla1[[#This Row],[IMPORTE APROBADO]]-Tabla1[[#This Row],[AMORTIZACION2]]</f>
        <v>39200</v>
      </c>
      <c r="O567" s="65" t="str">
        <f>TEXT(Tabla1[[#This Row],[EMISION]],"mmm")</f>
        <v>Ago</v>
      </c>
      <c r="P567" s="65" t="str">
        <f>TEXT(Tabla1[[#This Row],[EMISION]],"YYYY")</f>
        <v>2023</v>
      </c>
      <c r="Q567" s="71">
        <v>45155</v>
      </c>
      <c r="R567" s="65" t="str">
        <f>TEXT(Tabla1[[#This Row],[VENCIMIENTO]],"mmm")</f>
        <v>Set</v>
      </c>
      <c r="S567" s="71">
        <f t="shared" si="100"/>
        <v>45185</v>
      </c>
      <c r="T567" s="72">
        <f ca="1">Tabla1[[#This Row],[EMISION]]+Tabla1[[#This Row],[PLAZO]]-TODAY()</f>
        <v>-184</v>
      </c>
      <c r="U567" s="80">
        <f t="shared" ca="1" si="101"/>
        <v>0</v>
      </c>
      <c r="V567" s="72"/>
      <c r="W567" s="73" t="s">
        <v>14307</v>
      </c>
      <c r="X567" s="65">
        <v>30</v>
      </c>
      <c r="Y567" s="65"/>
      <c r="Z567" s="65"/>
      <c r="AA567" s="65"/>
      <c r="AB567" s="65"/>
      <c r="AC567" s="65"/>
      <c r="AD567" s="65"/>
      <c r="AE567" s="65"/>
      <c r="AF567" s="68"/>
      <c r="AG567" s="66">
        <v>45159</v>
      </c>
      <c r="AH567" s="67" t="s">
        <v>14308</v>
      </c>
      <c r="AI567" s="65" t="s">
        <v>3060</v>
      </c>
      <c r="AJ567" s="65"/>
      <c r="AK567" s="97">
        <f t="shared" ca="1" si="95"/>
        <v>184</v>
      </c>
      <c r="AL567">
        <f>IFERROR(VLOOKUP(A567,'DATA CLIENTES'!B4864:I8284,6,FALSE),0)</f>
        <v>0</v>
      </c>
    </row>
    <row r="568" spans="1:38" x14ac:dyDescent="0.25">
      <c r="A568" s="93" t="s">
        <v>8205</v>
      </c>
      <c r="B568" s="68" t="s">
        <v>8206</v>
      </c>
      <c r="C568" s="65"/>
      <c r="D568" s="65"/>
      <c r="E568" s="65"/>
      <c r="F568" s="69" t="s">
        <v>14808</v>
      </c>
      <c r="G568" s="70"/>
      <c r="H568" s="65">
        <v>5300000107</v>
      </c>
      <c r="I568" s="75">
        <v>16600</v>
      </c>
      <c r="J568" s="75">
        <v>16600</v>
      </c>
      <c r="K568" s="75"/>
      <c r="L568" s="74"/>
      <c r="M568" s="75"/>
      <c r="N568" s="75">
        <f>Tabla1[[#This Row],[IMPORTE APROBADO]]-Tabla1[[#This Row],[AMORTIZACION2]]</f>
        <v>0</v>
      </c>
      <c r="O568" s="65" t="str">
        <f>TEXT(Tabla1[[#This Row],[EMISION]],"mmm")</f>
        <v>Ago</v>
      </c>
      <c r="P568" s="65" t="str">
        <f>TEXT(Tabla1[[#This Row],[EMISION]],"YYYY")</f>
        <v>2023</v>
      </c>
      <c r="Q568" s="71">
        <v>45155</v>
      </c>
      <c r="R568" s="65" t="str">
        <f>TEXT(Tabla1[[#This Row],[VENCIMIENTO]],"mmm")</f>
        <v>Set</v>
      </c>
      <c r="S568" s="71">
        <f t="shared" ref="S568:S576" si="102">Q568+X568</f>
        <v>45185</v>
      </c>
      <c r="T568" s="72">
        <f ca="1">Tabla1[[#This Row],[EMISION]]+Tabla1[[#This Row],[PLAZO]]-TODAY()</f>
        <v>-184</v>
      </c>
      <c r="U568" s="80">
        <f t="shared" ref="U568:U576" ca="1" si="103">IF(T568&gt;=0,$U$4,IF(AND(T568&lt;=-1,T568&gt;=-30),$U$5,IF(AND(T568&lt;=-31,T568&gt;=-60),$U$6,IF(AND(T568&lt;=-61,T568&gt;=-90),$U$7,$U$8))))</f>
        <v>0</v>
      </c>
      <c r="V568" s="72"/>
      <c r="W568" s="73" t="s">
        <v>14307</v>
      </c>
      <c r="X568" s="65">
        <v>30</v>
      </c>
      <c r="Y568" s="65"/>
      <c r="Z568" s="65"/>
      <c r="AA568" s="65"/>
      <c r="AB568" s="65"/>
      <c r="AC568" s="65"/>
      <c r="AD568" s="65"/>
      <c r="AE568" s="65"/>
      <c r="AF568" s="68"/>
      <c r="AG568" s="66">
        <v>45245</v>
      </c>
      <c r="AH568" s="67" t="s">
        <v>14308</v>
      </c>
      <c r="AI568" s="65" t="s">
        <v>3060</v>
      </c>
      <c r="AJ568" s="65"/>
      <c r="AK568" s="97">
        <f t="shared" ca="1" si="95"/>
        <v>184</v>
      </c>
      <c r="AL568">
        <f>IFERROR(VLOOKUP(A568,'DATA CLIENTES'!B4865:I8284,6,FALSE),0)</f>
        <v>0</v>
      </c>
    </row>
    <row r="569" spans="1:38" x14ac:dyDescent="0.25">
      <c r="A569" s="93" t="s">
        <v>9809</v>
      </c>
      <c r="B569" s="68" t="s">
        <v>9810</v>
      </c>
      <c r="C569" s="65"/>
      <c r="D569" s="65"/>
      <c r="E569" s="65"/>
      <c r="F569" s="69" t="s">
        <v>14559</v>
      </c>
      <c r="G569" s="70"/>
      <c r="H569" s="65">
        <v>5500000310</v>
      </c>
      <c r="I569" s="75">
        <v>630.70000000000005</v>
      </c>
      <c r="J569" s="75">
        <v>630.70000000000005</v>
      </c>
      <c r="K569" s="75"/>
      <c r="L569" s="74"/>
      <c r="M569" s="75"/>
      <c r="N569" s="75">
        <f>Tabla1[[#This Row],[IMPORTE APROBADO]]-Tabla1[[#This Row],[AMORTIZACION2]]</f>
        <v>0</v>
      </c>
      <c r="O569" s="65" t="str">
        <f>TEXT(Tabla1[[#This Row],[EMISION]],"mmm")</f>
        <v>Ago</v>
      </c>
      <c r="P569" s="65" t="str">
        <f>TEXT(Tabla1[[#This Row],[EMISION]],"YYYY")</f>
        <v>2023</v>
      </c>
      <c r="Q569" s="71">
        <v>45156</v>
      </c>
      <c r="R569" s="65" t="str">
        <f>TEXT(Tabla1[[#This Row],[VENCIMIENTO]],"mmm")</f>
        <v>Set</v>
      </c>
      <c r="S569" s="71">
        <f t="shared" si="102"/>
        <v>45176</v>
      </c>
      <c r="T569" s="72">
        <f ca="1">Tabla1[[#This Row],[EMISION]]+Tabla1[[#This Row],[PLAZO]]-TODAY()</f>
        <v>-193</v>
      </c>
      <c r="U569" s="80">
        <f t="shared" ca="1" si="103"/>
        <v>0</v>
      </c>
      <c r="V569" s="72"/>
      <c r="W569" s="73" t="s">
        <v>14307</v>
      </c>
      <c r="X569" s="65">
        <v>20</v>
      </c>
      <c r="Y569" s="65"/>
      <c r="Z569" s="65"/>
      <c r="AA569" s="65"/>
      <c r="AB569" s="65"/>
      <c r="AC569" s="65"/>
      <c r="AD569" s="65"/>
      <c r="AE569" s="65"/>
      <c r="AF569" s="68"/>
      <c r="AG569" s="66">
        <v>45176</v>
      </c>
      <c r="AH569" s="67" t="s">
        <v>14308</v>
      </c>
      <c r="AI569" s="65" t="s">
        <v>3060</v>
      </c>
      <c r="AJ569" s="65"/>
      <c r="AK569" s="97">
        <f t="shared" ca="1" si="95"/>
        <v>193</v>
      </c>
      <c r="AL569">
        <f>IFERROR(VLOOKUP(A569,'DATA CLIENTES'!B4866:I8284,6,FALSE),0)</f>
        <v>0</v>
      </c>
    </row>
    <row r="570" spans="1:38" x14ac:dyDescent="0.25">
      <c r="A570" s="93" t="s">
        <v>9809</v>
      </c>
      <c r="B570" s="68" t="s">
        <v>9810</v>
      </c>
      <c r="C570" s="65"/>
      <c r="D570" s="65"/>
      <c r="E570" s="65"/>
      <c r="F570" s="69" t="s">
        <v>14559</v>
      </c>
      <c r="G570" s="70"/>
      <c r="H570" s="65">
        <v>5500000311</v>
      </c>
      <c r="I570" s="75">
        <v>1047.9599999999998</v>
      </c>
      <c r="J570" s="75">
        <v>1047.96</v>
      </c>
      <c r="K570" s="75"/>
      <c r="L570" s="74"/>
      <c r="M570" s="75"/>
      <c r="N570" s="75">
        <f>Tabla1[[#This Row],[IMPORTE APROBADO]]-Tabla1[[#This Row],[AMORTIZACION2]]</f>
        <v>0</v>
      </c>
      <c r="O570" s="65" t="str">
        <f>TEXT(Tabla1[[#This Row],[EMISION]],"mmm")</f>
        <v>Ago</v>
      </c>
      <c r="P570" s="65" t="str">
        <f>TEXT(Tabla1[[#This Row],[EMISION]],"YYYY")</f>
        <v>2023</v>
      </c>
      <c r="Q570" s="71">
        <v>45156</v>
      </c>
      <c r="R570" s="65" t="str">
        <f>TEXT(Tabla1[[#This Row],[VENCIMIENTO]],"mmm")</f>
        <v>Set</v>
      </c>
      <c r="S570" s="71">
        <f t="shared" si="102"/>
        <v>45176</v>
      </c>
      <c r="T570" s="72">
        <f ca="1">Tabla1[[#This Row],[EMISION]]+Tabla1[[#This Row],[PLAZO]]-TODAY()</f>
        <v>-193</v>
      </c>
      <c r="U570" s="80">
        <f t="shared" ca="1" si="103"/>
        <v>0</v>
      </c>
      <c r="V570" s="72"/>
      <c r="W570" s="73" t="s">
        <v>14307</v>
      </c>
      <c r="X570" s="65">
        <v>20</v>
      </c>
      <c r="Y570" s="65"/>
      <c r="Z570" s="65"/>
      <c r="AA570" s="65"/>
      <c r="AB570" s="65"/>
      <c r="AC570" s="65"/>
      <c r="AD570" s="65"/>
      <c r="AE570" s="65"/>
      <c r="AF570" s="68"/>
      <c r="AG570" s="66">
        <v>45176</v>
      </c>
      <c r="AH570" s="67" t="s">
        <v>14308</v>
      </c>
      <c r="AI570" s="65" t="s">
        <v>3060</v>
      </c>
      <c r="AJ570" s="65"/>
      <c r="AK570" s="97">
        <f t="shared" ca="1" si="95"/>
        <v>193</v>
      </c>
      <c r="AL570">
        <f>IFERROR(VLOOKUP(A570,'DATA CLIENTES'!B4867:I8284,6,FALSE),0)</f>
        <v>0</v>
      </c>
    </row>
    <row r="571" spans="1:38" x14ac:dyDescent="0.25">
      <c r="A571" s="93" t="s">
        <v>6694</v>
      </c>
      <c r="B571" s="68" t="s">
        <v>6695</v>
      </c>
      <c r="C571" s="65"/>
      <c r="D571" s="65"/>
      <c r="E571" s="65"/>
      <c r="F571" s="69" t="s">
        <v>14804</v>
      </c>
      <c r="G571" s="70"/>
      <c r="H571" s="65">
        <v>5500000309</v>
      </c>
      <c r="I571" s="75">
        <v>2195</v>
      </c>
      <c r="J571" s="75">
        <f>300+400+400+300+332</f>
        <v>1732</v>
      </c>
      <c r="K571" s="75"/>
      <c r="L571" s="75"/>
      <c r="M571" s="75"/>
      <c r="N571" s="75">
        <f>Tabla1[[#This Row],[IMPORTE APROBADO]]-Tabla1[[#This Row],[AMORTIZACION2]]</f>
        <v>463</v>
      </c>
      <c r="O571" s="65" t="str">
        <f>TEXT(Tabla1[[#This Row],[EMISION]],"mmm")</f>
        <v>Ago</v>
      </c>
      <c r="P571" s="65" t="str">
        <f>TEXT(Tabla1[[#This Row],[EMISION]],"YYYY")</f>
        <v>2023</v>
      </c>
      <c r="Q571" s="71">
        <v>45156</v>
      </c>
      <c r="R571" s="65" t="str">
        <f>TEXT(Tabla1[[#This Row],[VENCIMIENTO]],"mmm")</f>
        <v>Set</v>
      </c>
      <c r="S571" s="71">
        <f t="shared" si="102"/>
        <v>45176</v>
      </c>
      <c r="T571" s="72">
        <f ca="1">Tabla1[[#This Row],[EMISION]]+Tabla1[[#This Row],[PLAZO]]-TODAY()</f>
        <v>-193</v>
      </c>
      <c r="U571" s="80">
        <f t="shared" ca="1" si="103"/>
        <v>0</v>
      </c>
      <c r="V571" s="72"/>
      <c r="W571" s="73" t="s">
        <v>14307</v>
      </c>
      <c r="X571" s="65">
        <v>20</v>
      </c>
      <c r="Y571" s="65"/>
      <c r="Z571" s="65"/>
      <c r="AA571" s="65"/>
      <c r="AB571" s="65"/>
      <c r="AC571" s="65"/>
      <c r="AD571" s="65"/>
      <c r="AE571" s="65"/>
      <c r="AF571" s="68"/>
      <c r="AG571" s="66">
        <v>45190</v>
      </c>
      <c r="AH571" s="67" t="s">
        <v>14308</v>
      </c>
      <c r="AI571" s="65" t="s">
        <v>3060</v>
      </c>
      <c r="AJ571" s="65"/>
      <c r="AK571" s="97">
        <f t="shared" ca="1" si="95"/>
        <v>193</v>
      </c>
      <c r="AL571">
        <f>IFERROR(VLOOKUP(A571,'DATA CLIENTES'!B4868:I8284,6,FALSE),0)</f>
        <v>0</v>
      </c>
    </row>
    <row r="572" spans="1:38" x14ac:dyDescent="0.25">
      <c r="A572" s="93" t="s">
        <v>8205</v>
      </c>
      <c r="B572" s="68" t="s">
        <v>8206</v>
      </c>
      <c r="C572" s="65"/>
      <c r="D572" s="65"/>
      <c r="E572" s="65"/>
      <c r="F572" s="69" t="s">
        <v>14808</v>
      </c>
      <c r="G572" s="70"/>
      <c r="H572" s="65">
        <v>5300000110</v>
      </c>
      <c r="I572" s="75">
        <v>61800</v>
      </c>
      <c r="J572" s="75">
        <v>61800</v>
      </c>
      <c r="K572" s="75"/>
      <c r="L572" s="75"/>
      <c r="M572" s="75"/>
      <c r="N572" s="75">
        <f>Tabla1[[#This Row],[IMPORTE APROBADO]]-Tabla1[[#This Row],[AMORTIZACION2]]</f>
        <v>0</v>
      </c>
      <c r="O572" s="65" t="str">
        <f>TEXT(Tabla1[[#This Row],[EMISION]],"mmm")</f>
        <v>Ago</v>
      </c>
      <c r="P572" s="65" t="str">
        <f>TEXT(Tabla1[[#This Row],[EMISION]],"YYYY")</f>
        <v>2023</v>
      </c>
      <c r="Q572" s="71">
        <v>45156</v>
      </c>
      <c r="R572" s="65" t="str">
        <f>TEXT(Tabla1[[#This Row],[VENCIMIENTO]],"mmm")</f>
        <v>Set</v>
      </c>
      <c r="S572" s="71">
        <f t="shared" si="102"/>
        <v>45186</v>
      </c>
      <c r="T572" s="72">
        <f ca="1">Tabla1[[#This Row],[EMISION]]+Tabla1[[#This Row],[PLAZO]]-TODAY()</f>
        <v>-183</v>
      </c>
      <c r="U572" s="80">
        <f t="shared" ca="1" si="103"/>
        <v>0</v>
      </c>
      <c r="V572" s="72"/>
      <c r="W572" s="73" t="s">
        <v>14307</v>
      </c>
      <c r="X572" s="65">
        <v>30</v>
      </c>
      <c r="Y572" s="65"/>
      <c r="Z572" s="65"/>
      <c r="AA572" s="65"/>
      <c r="AB572" s="65"/>
      <c r="AC572" s="65"/>
      <c r="AD572" s="65"/>
      <c r="AE572" s="65"/>
      <c r="AF572" s="68"/>
      <c r="AG572" s="66">
        <v>45245</v>
      </c>
      <c r="AH572" s="67" t="s">
        <v>14308</v>
      </c>
      <c r="AI572" s="65" t="s">
        <v>3060</v>
      </c>
      <c r="AJ572" s="65"/>
      <c r="AK572" s="97">
        <f t="shared" ca="1" si="95"/>
        <v>183</v>
      </c>
      <c r="AL572">
        <f>IFERROR(VLOOKUP(A572,'DATA CLIENTES'!B4869:I8284,6,FALSE),0)</f>
        <v>0</v>
      </c>
    </row>
    <row r="573" spans="1:38" x14ac:dyDescent="0.25">
      <c r="A573" s="93" t="s">
        <v>12790</v>
      </c>
      <c r="B573" s="68" t="s">
        <v>12791</v>
      </c>
      <c r="C573" s="65"/>
      <c r="D573" s="65"/>
      <c r="E573" s="65"/>
      <c r="F573" s="69" t="s">
        <v>14809</v>
      </c>
      <c r="G573" s="70"/>
      <c r="H573" s="65">
        <v>5500000139</v>
      </c>
      <c r="I573" s="75">
        <v>45.27</v>
      </c>
      <c r="J573" s="75">
        <v>45.3</v>
      </c>
      <c r="K573" s="75"/>
      <c r="L573" s="75"/>
      <c r="M573" s="75"/>
      <c r="N573" s="75">
        <f>Tabla1[[#This Row],[IMPORTE APROBADO]]-Tabla1[[#This Row],[AMORTIZACION2]]</f>
        <v>-2.9999999999994031E-2</v>
      </c>
      <c r="O573" s="65" t="str">
        <f>TEXT(Tabla1[[#This Row],[EMISION]],"mmm")</f>
        <v>Ago</v>
      </c>
      <c r="P573" s="65" t="str">
        <f>TEXT(Tabla1[[#This Row],[EMISION]],"YYYY")</f>
        <v>2023</v>
      </c>
      <c r="Q573" s="71">
        <v>45156</v>
      </c>
      <c r="R573" s="65" t="str">
        <f>TEXT(Tabla1[[#This Row],[VENCIMIENTO]],"mmm")</f>
        <v>Set</v>
      </c>
      <c r="S573" s="71">
        <f t="shared" si="102"/>
        <v>45171</v>
      </c>
      <c r="T573" s="72">
        <f ca="1">Tabla1[[#This Row],[EMISION]]+Tabla1[[#This Row],[PLAZO]]-TODAY()</f>
        <v>-198</v>
      </c>
      <c r="U573" s="80">
        <f t="shared" ca="1" si="103"/>
        <v>0</v>
      </c>
      <c r="V573" s="72"/>
      <c r="W573" s="73" t="s">
        <v>14307</v>
      </c>
      <c r="X573" s="65">
        <v>15</v>
      </c>
      <c r="Y573" s="65"/>
      <c r="Z573" s="65"/>
      <c r="AA573" s="65"/>
      <c r="AB573" s="65"/>
      <c r="AC573" s="65"/>
      <c r="AD573" s="65"/>
      <c r="AE573" s="65"/>
      <c r="AF573" s="68"/>
      <c r="AG573" s="66">
        <v>45258</v>
      </c>
      <c r="AH573" s="67" t="s">
        <v>14308</v>
      </c>
      <c r="AI573" s="65" t="s">
        <v>3060</v>
      </c>
      <c r="AJ573" s="65"/>
      <c r="AK573" s="97">
        <f t="shared" ca="1" si="95"/>
        <v>198</v>
      </c>
      <c r="AL573">
        <f>IFERROR(VLOOKUP(A573,'DATA CLIENTES'!B4870:I8284,6,FALSE),0)</f>
        <v>0</v>
      </c>
    </row>
    <row r="574" spans="1:38" x14ac:dyDescent="0.25">
      <c r="A574" s="93" t="s">
        <v>9473</v>
      </c>
      <c r="B574" s="68" t="s">
        <v>9474</v>
      </c>
      <c r="C574" s="65"/>
      <c r="D574" s="65"/>
      <c r="E574" s="65"/>
      <c r="F574" s="69" t="s">
        <v>14812</v>
      </c>
      <c r="G574" s="70"/>
      <c r="H574" s="65">
        <v>5500000315</v>
      </c>
      <c r="I574" s="75">
        <v>3089</v>
      </c>
      <c r="J574" s="75">
        <v>3089</v>
      </c>
      <c r="K574" s="75"/>
      <c r="L574" s="75"/>
      <c r="M574" s="75"/>
      <c r="N574" s="75">
        <f>Tabla1[[#This Row],[IMPORTE APROBADO]]-Tabla1[[#This Row],[AMORTIZACION2]]</f>
        <v>0</v>
      </c>
      <c r="O574" s="65" t="str">
        <f>TEXT(Tabla1[[#This Row],[EMISION]],"mmm")</f>
        <v>Ago</v>
      </c>
      <c r="P574" s="65" t="str">
        <f>TEXT(Tabla1[[#This Row],[EMISION]],"YYYY")</f>
        <v>2023</v>
      </c>
      <c r="Q574" s="71">
        <v>45156</v>
      </c>
      <c r="R574" s="65" t="str">
        <f>TEXT(Tabla1[[#This Row],[VENCIMIENTO]],"mmm")</f>
        <v>Set</v>
      </c>
      <c r="S574" s="71">
        <f t="shared" si="102"/>
        <v>45171</v>
      </c>
      <c r="T574" s="72">
        <f ca="1">Tabla1[[#This Row],[EMISION]]+Tabla1[[#This Row],[PLAZO]]-TODAY()</f>
        <v>-198</v>
      </c>
      <c r="U574" s="80">
        <f t="shared" ca="1" si="103"/>
        <v>0</v>
      </c>
      <c r="V574" s="72"/>
      <c r="W574" s="73" t="s">
        <v>14307</v>
      </c>
      <c r="X574" s="65">
        <v>15</v>
      </c>
      <c r="Y574" s="65"/>
      <c r="Z574" s="65"/>
      <c r="AA574" s="65"/>
      <c r="AB574" s="65"/>
      <c r="AC574" s="65"/>
      <c r="AD574" s="65"/>
      <c r="AE574" s="65"/>
      <c r="AF574" s="68"/>
      <c r="AG574" s="66">
        <v>45175</v>
      </c>
      <c r="AH574" s="67" t="s">
        <v>14308</v>
      </c>
      <c r="AI574" s="65" t="s">
        <v>3060</v>
      </c>
      <c r="AJ574" s="65"/>
      <c r="AK574" s="97">
        <f t="shared" ca="1" si="95"/>
        <v>198</v>
      </c>
      <c r="AL574">
        <f>IFERROR(VLOOKUP(A574,'DATA CLIENTES'!B4871:I8284,6,FALSE),0)</f>
        <v>0</v>
      </c>
    </row>
    <row r="575" spans="1:38" x14ac:dyDescent="0.25">
      <c r="A575" s="93" t="s">
        <v>9658</v>
      </c>
      <c r="B575" s="68" t="s">
        <v>9659</v>
      </c>
      <c r="C575" s="65"/>
      <c r="D575" s="65"/>
      <c r="E575" s="65"/>
      <c r="F575" s="69" t="s">
        <v>14559</v>
      </c>
      <c r="G575" s="70"/>
      <c r="H575" s="65">
        <v>5500000303</v>
      </c>
      <c r="I575" s="75">
        <v>1607.26</v>
      </c>
      <c r="J575" s="75">
        <f>300+300+300+200+200+200+107</f>
        <v>1607</v>
      </c>
      <c r="K575" s="75"/>
      <c r="L575" s="75"/>
      <c r="M575" s="75"/>
      <c r="N575" s="75">
        <f>Tabla1[[#This Row],[IMPORTE APROBADO]]-Tabla1[[#This Row],[AMORTIZACION2]]</f>
        <v>0.25999999999999091</v>
      </c>
      <c r="O575" s="65" t="str">
        <f>TEXT(Tabla1[[#This Row],[EMISION]],"mmm")</f>
        <v>Ago</v>
      </c>
      <c r="P575" s="65" t="str">
        <f>TEXT(Tabla1[[#This Row],[EMISION]],"YYYY")</f>
        <v>2023</v>
      </c>
      <c r="Q575" s="71">
        <v>45156</v>
      </c>
      <c r="R575" s="65" t="str">
        <f>TEXT(Tabla1[[#This Row],[VENCIMIENTO]],"mmm")</f>
        <v>Set</v>
      </c>
      <c r="S575" s="71">
        <f t="shared" si="102"/>
        <v>45181</v>
      </c>
      <c r="T575" s="72">
        <f ca="1">Tabla1[[#This Row],[EMISION]]+Tabla1[[#This Row],[PLAZO]]-TODAY()</f>
        <v>-188</v>
      </c>
      <c r="U575" s="80">
        <f t="shared" ca="1" si="103"/>
        <v>0</v>
      </c>
      <c r="V575" s="72"/>
      <c r="W575" s="73" t="s">
        <v>14307</v>
      </c>
      <c r="X575" s="65">
        <v>25</v>
      </c>
      <c r="Y575" s="65"/>
      <c r="Z575" s="65"/>
      <c r="AA575" s="65"/>
      <c r="AB575" s="65"/>
      <c r="AC575" s="65"/>
      <c r="AD575" s="65"/>
      <c r="AE575" s="65"/>
      <c r="AF575" s="68"/>
      <c r="AG575" s="66">
        <v>45197</v>
      </c>
      <c r="AH575" s="67" t="s">
        <v>14308</v>
      </c>
      <c r="AI575" s="65" t="s">
        <v>3060</v>
      </c>
      <c r="AJ575" s="65"/>
      <c r="AK575" s="97">
        <f t="shared" ca="1" si="95"/>
        <v>188</v>
      </c>
      <c r="AL575">
        <f>IFERROR(VLOOKUP(A575,'DATA CLIENTES'!B4872:I8284,6,FALSE),0)</f>
        <v>0</v>
      </c>
    </row>
    <row r="576" spans="1:38" x14ac:dyDescent="0.25">
      <c r="A576" s="93" t="s">
        <v>7912</v>
      </c>
      <c r="B576" s="68" t="s">
        <v>7913</v>
      </c>
      <c r="C576" s="65"/>
      <c r="D576" s="65"/>
      <c r="E576" s="65"/>
      <c r="F576" s="69" t="s">
        <v>14808</v>
      </c>
      <c r="G576" s="70"/>
      <c r="H576" s="65">
        <v>5300000109</v>
      </c>
      <c r="I576" s="75">
        <v>47200</v>
      </c>
      <c r="J576" s="75">
        <v>47200</v>
      </c>
      <c r="K576" s="75"/>
      <c r="L576" s="75"/>
      <c r="M576" s="75"/>
      <c r="N576" s="75">
        <f>Tabla1[[#This Row],[IMPORTE APROBADO]]-Tabla1[[#This Row],[AMORTIZACION2]]</f>
        <v>0</v>
      </c>
      <c r="O576" s="65" t="str">
        <f>TEXT(Tabla1[[#This Row],[EMISION]],"mmm")</f>
        <v>Ago</v>
      </c>
      <c r="P576" s="65" t="str">
        <f>TEXT(Tabla1[[#This Row],[EMISION]],"YYYY")</f>
        <v>2023</v>
      </c>
      <c r="Q576" s="71">
        <v>45156</v>
      </c>
      <c r="R576" s="65" t="str">
        <f>TEXT(Tabla1[[#This Row],[VENCIMIENTO]],"mmm")</f>
        <v>Set</v>
      </c>
      <c r="S576" s="71">
        <f t="shared" si="102"/>
        <v>45186</v>
      </c>
      <c r="T576" s="72">
        <f ca="1">Tabla1[[#This Row],[EMISION]]+Tabla1[[#This Row],[PLAZO]]-TODAY()</f>
        <v>-183</v>
      </c>
      <c r="U576" s="80">
        <f t="shared" ca="1" si="103"/>
        <v>0</v>
      </c>
      <c r="V576" s="72"/>
      <c r="W576" s="73" t="s">
        <v>14307</v>
      </c>
      <c r="X576" s="65">
        <v>30</v>
      </c>
      <c r="Y576" s="65"/>
      <c r="Z576" s="65"/>
      <c r="AA576" s="65"/>
      <c r="AB576" s="65"/>
      <c r="AC576" s="65"/>
      <c r="AD576" s="65"/>
      <c r="AE576" s="65"/>
      <c r="AF576" s="68"/>
      <c r="AG576" s="66">
        <v>45176</v>
      </c>
      <c r="AH576" s="67" t="s">
        <v>14308</v>
      </c>
      <c r="AI576" s="65" t="s">
        <v>3060</v>
      </c>
      <c r="AJ576" s="65"/>
      <c r="AK576" s="97">
        <f t="shared" ca="1" si="95"/>
        <v>183</v>
      </c>
      <c r="AL576">
        <f>IFERROR(VLOOKUP(A576,'DATA CLIENTES'!B4873:I8284,6,FALSE),0)</f>
        <v>0</v>
      </c>
    </row>
    <row r="577" spans="1:38" x14ac:dyDescent="0.25">
      <c r="A577" s="93" t="s">
        <v>7473</v>
      </c>
      <c r="B577" s="68" t="s">
        <v>7474</v>
      </c>
      <c r="C577" s="65"/>
      <c r="D577" s="65"/>
      <c r="E577" s="65"/>
      <c r="F577" s="69" t="s">
        <v>14804</v>
      </c>
      <c r="G577" s="70"/>
      <c r="H577" s="65">
        <v>5500000324</v>
      </c>
      <c r="I577" s="75">
        <v>1080</v>
      </c>
      <c r="J577" s="75">
        <f>300+300+200+100+180</f>
        <v>1080</v>
      </c>
      <c r="K577" s="75"/>
      <c r="L577" s="75"/>
      <c r="M577" s="75"/>
      <c r="N577" s="75">
        <f>Tabla1[[#This Row],[IMPORTE APROBADO]]-Tabla1[[#This Row],[AMORTIZACION2]]</f>
        <v>0</v>
      </c>
      <c r="O577" s="65" t="str">
        <f>TEXT(Tabla1[[#This Row],[EMISION]],"mmm")</f>
        <v>Ago</v>
      </c>
      <c r="P577" s="65" t="str">
        <f>TEXT(Tabla1[[#This Row],[EMISION]],"YYYY")</f>
        <v>2023</v>
      </c>
      <c r="Q577" s="71">
        <v>45159</v>
      </c>
      <c r="R577" s="65" t="str">
        <f>TEXT(Tabla1[[#This Row],[VENCIMIENTO]],"mmm")</f>
        <v>Ago</v>
      </c>
      <c r="S577" s="71">
        <f t="shared" ref="S577:S593" si="104">Q577+X577</f>
        <v>45166</v>
      </c>
      <c r="T577" s="72">
        <f ca="1">Tabla1[[#This Row],[EMISION]]+Tabla1[[#This Row],[PLAZO]]-TODAY()</f>
        <v>-203</v>
      </c>
      <c r="U577" s="80">
        <f t="shared" ref="U577:U593" ca="1" si="105">IF(T577&gt;=0,$U$4,IF(AND(T577&lt;=-1,T577&gt;=-30),$U$5,IF(AND(T577&lt;=-31,T577&gt;=-60),$U$6,IF(AND(T577&lt;=-61,T577&gt;=-90),$U$7,$U$8))))</f>
        <v>0</v>
      </c>
      <c r="V577" s="72"/>
      <c r="W577" s="73" t="s">
        <v>14307</v>
      </c>
      <c r="X577" s="65">
        <v>7</v>
      </c>
      <c r="Y577" s="65"/>
      <c r="Z577" s="65"/>
      <c r="AA577" s="65"/>
      <c r="AB577" s="65"/>
      <c r="AC577" s="65"/>
      <c r="AD577" s="65"/>
      <c r="AE577" s="65"/>
      <c r="AF577" s="68"/>
      <c r="AG577" s="66">
        <v>45194</v>
      </c>
      <c r="AH577" s="67" t="s">
        <v>14308</v>
      </c>
      <c r="AI577" s="65" t="s">
        <v>3060</v>
      </c>
      <c r="AJ577" s="65"/>
      <c r="AK577" s="97">
        <f t="shared" ca="1" si="95"/>
        <v>203</v>
      </c>
      <c r="AL577">
        <f>IFERROR(VLOOKUP(A577,'DATA CLIENTES'!B4874:I8284,6,FALSE),0)</f>
        <v>0</v>
      </c>
    </row>
    <row r="578" spans="1:38" x14ac:dyDescent="0.25">
      <c r="A578" s="93" t="s">
        <v>8205</v>
      </c>
      <c r="B578" s="68" t="s">
        <v>8206</v>
      </c>
      <c r="C578" s="65"/>
      <c r="D578" s="65"/>
      <c r="E578" s="65"/>
      <c r="F578" s="69" t="s">
        <v>14808</v>
      </c>
      <c r="G578" s="70"/>
      <c r="H578" s="65">
        <v>5300000006</v>
      </c>
      <c r="I578" s="75">
        <v>-39200</v>
      </c>
      <c r="J578" s="75"/>
      <c r="K578" s="75"/>
      <c r="L578" s="75"/>
      <c r="M578" s="75"/>
      <c r="N578" s="75">
        <f>Tabla1[[#This Row],[IMPORTE APROBADO]]-Tabla1[[#This Row],[AMORTIZACION2]]</f>
        <v>-39200</v>
      </c>
      <c r="O578" s="65" t="str">
        <f>TEXT(Tabla1[[#This Row],[EMISION]],"mmm")</f>
        <v>Ago</v>
      </c>
      <c r="P578" s="65" t="str">
        <f>TEXT(Tabla1[[#This Row],[EMISION]],"YYYY")</f>
        <v>2023</v>
      </c>
      <c r="Q578" s="71">
        <v>45159</v>
      </c>
      <c r="R578" s="65" t="str">
        <f>TEXT(Tabla1[[#This Row],[VENCIMIENTO]],"mmm")</f>
        <v>Set</v>
      </c>
      <c r="S578" s="71">
        <f t="shared" si="104"/>
        <v>45189</v>
      </c>
      <c r="T578" s="72">
        <f ca="1">Tabla1[[#This Row],[EMISION]]+Tabla1[[#This Row],[PLAZO]]-TODAY()</f>
        <v>-180</v>
      </c>
      <c r="U578" s="80">
        <f t="shared" ca="1" si="105"/>
        <v>0</v>
      </c>
      <c r="V578" s="72"/>
      <c r="W578" s="73" t="s">
        <v>14307</v>
      </c>
      <c r="X578" s="65">
        <v>30</v>
      </c>
      <c r="Y578" s="65"/>
      <c r="Z578" s="65"/>
      <c r="AA578" s="65"/>
      <c r="AB578" s="65"/>
      <c r="AC578" s="65"/>
      <c r="AD578" s="65"/>
      <c r="AE578" s="65"/>
      <c r="AF578" s="68"/>
      <c r="AG578" s="66">
        <v>45159</v>
      </c>
      <c r="AH578" s="67" t="s">
        <v>14308</v>
      </c>
      <c r="AI578" s="65" t="s">
        <v>3060</v>
      </c>
      <c r="AJ578" s="65"/>
      <c r="AK578" s="97">
        <f t="shared" ca="1" si="95"/>
        <v>180</v>
      </c>
      <c r="AL578">
        <f>IFERROR(VLOOKUP(A578,'DATA CLIENTES'!B4875:I8284,6,FALSE),0)</f>
        <v>0</v>
      </c>
    </row>
    <row r="579" spans="1:38" x14ac:dyDescent="0.25">
      <c r="A579" s="93" t="s">
        <v>8205</v>
      </c>
      <c r="B579" s="68" t="s">
        <v>8206</v>
      </c>
      <c r="C579" s="65"/>
      <c r="D579" s="65"/>
      <c r="E579" s="65"/>
      <c r="F579" s="69" t="s">
        <v>14808</v>
      </c>
      <c r="G579" s="70"/>
      <c r="H579" s="65">
        <v>5300000111</v>
      </c>
      <c r="I579" s="75">
        <v>39200</v>
      </c>
      <c r="J579" s="75">
        <v>39200</v>
      </c>
      <c r="K579" s="75"/>
      <c r="L579" s="75"/>
      <c r="M579" s="75"/>
      <c r="N579" s="75">
        <f>Tabla1[[#This Row],[IMPORTE APROBADO]]-Tabla1[[#This Row],[AMORTIZACION2]]</f>
        <v>0</v>
      </c>
      <c r="O579" s="65" t="str">
        <f>TEXT(Tabla1[[#This Row],[EMISION]],"mmm")</f>
        <v>Ago</v>
      </c>
      <c r="P579" s="65" t="str">
        <f>TEXT(Tabla1[[#This Row],[EMISION]],"YYYY")</f>
        <v>2023</v>
      </c>
      <c r="Q579" s="71">
        <v>45159</v>
      </c>
      <c r="R579" s="65" t="str">
        <f>TEXT(Tabla1[[#This Row],[VENCIMIENTO]],"mmm")</f>
        <v>Set</v>
      </c>
      <c r="S579" s="71">
        <f t="shared" si="104"/>
        <v>45189</v>
      </c>
      <c r="T579" s="72">
        <f ca="1">Tabla1[[#This Row],[EMISION]]+Tabla1[[#This Row],[PLAZO]]-TODAY()</f>
        <v>-180</v>
      </c>
      <c r="U579" s="80">
        <f t="shared" ca="1" si="105"/>
        <v>0</v>
      </c>
      <c r="V579" s="72"/>
      <c r="W579" s="73" t="s">
        <v>14307</v>
      </c>
      <c r="X579" s="65">
        <v>30</v>
      </c>
      <c r="Y579" s="65"/>
      <c r="Z579" s="65"/>
      <c r="AA579" s="65"/>
      <c r="AB579" s="65"/>
      <c r="AC579" s="65"/>
      <c r="AD579" s="65"/>
      <c r="AE579" s="65"/>
      <c r="AF579" s="68"/>
      <c r="AG579" s="66">
        <v>45245</v>
      </c>
      <c r="AH579" s="67" t="s">
        <v>14308</v>
      </c>
      <c r="AI579" s="65" t="s">
        <v>3060</v>
      </c>
      <c r="AJ579" s="65"/>
      <c r="AK579" s="97">
        <f t="shared" ca="1" si="95"/>
        <v>180</v>
      </c>
      <c r="AL579">
        <f>IFERROR(VLOOKUP(A579,'DATA CLIENTES'!B4876:I8284,6,FALSE),0)</f>
        <v>0</v>
      </c>
    </row>
    <row r="580" spans="1:38" x14ac:dyDescent="0.25">
      <c r="A580" s="93" t="s">
        <v>9812</v>
      </c>
      <c r="B580" s="68" t="s">
        <v>9813</v>
      </c>
      <c r="C580" s="65"/>
      <c r="D580" s="65"/>
      <c r="E580" s="65"/>
      <c r="F580" s="69" t="s">
        <v>14804</v>
      </c>
      <c r="G580" s="70"/>
      <c r="H580" s="65">
        <v>5500000334</v>
      </c>
      <c r="I580" s="75">
        <v>2049</v>
      </c>
      <c r="J580" s="75">
        <v>2049</v>
      </c>
      <c r="K580" s="75"/>
      <c r="L580" s="75"/>
      <c r="M580" s="75"/>
      <c r="N580" s="75">
        <f>Tabla1[[#This Row],[IMPORTE APROBADO]]-Tabla1[[#This Row],[AMORTIZACION2]]</f>
        <v>0</v>
      </c>
      <c r="O580" s="65" t="str">
        <f>TEXT(Tabla1[[#This Row],[EMISION]],"mmm")</f>
        <v>Ago</v>
      </c>
      <c r="P580" s="65" t="str">
        <f>TEXT(Tabla1[[#This Row],[EMISION]],"YYYY")</f>
        <v>2023</v>
      </c>
      <c r="Q580" s="71">
        <v>45160</v>
      </c>
      <c r="R580" s="65" t="str">
        <f>TEXT(Tabla1[[#This Row],[VENCIMIENTO]],"mmm")</f>
        <v>Set</v>
      </c>
      <c r="S580" s="71">
        <f t="shared" si="104"/>
        <v>45175</v>
      </c>
      <c r="T580" s="72">
        <f ca="1">Tabla1[[#This Row],[EMISION]]+Tabla1[[#This Row],[PLAZO]]-TODAY()</f>
        <v>-194</v>
      </c>
      <c r="U580" s="80">
        <f t="shared" ca="1" si="105"/>
        <v>0</v>
      </c>
      <c r="V580" s="72"/>
      <c r="W580" s="73" t="s">
        <v>14307</v>
      </c>
      <c r="X580" s="65">
        <v>15</v>
      </c>
      <c r="Y580" s="65"/>
      <c r="Z580" s="65"/>
      <c r="AA580" s="65"/>
      <c r="AB580" s="65"/>
      <c r="AC580" s="65"/>
      <c r="AD580" s="65"/>
      <c r="AE580" s="65"/>
      <c r="AF580" s="68"/>
      <c r="AG580" s="66">
        <v>45190</v>
      </c>
      <c r="AH580" s="67" t="s">
        <v>14308</v>
      </c>
      <c r="AI580" s="65" t="s">
        <v>3060</v>
      </c>
      <c r="AJ580" s="65"/>
      <c r="AK580" s="97">
        <f t="shared" ca="1" si="95"/>
        <v>194</v>
      </c>
      <c r="AL580">
        <f>IFERROR(VLOOKUP(A580,'DATA CLIENTES'!B4877:I8284,6,FALSE),0)</f>
        <v>0</v>
      </c>
    </row>
    <row r="581" spans="1:38" x14ac:dyDescent="0.25">
      <c r="A581" s="93" t="s">
        <v>5470</v>
      </c>
      <c r="B581" s="68" t="s">
        <v>5471</v>
      </c>
      <c r="C581" s="65"/>
      <c r="D581" s="65"/>
      <c r="E581" s="65"/>
      <c r="F581" s="69" t="s">
        <v>14804</v>
      </c>
      <c r="G581" s="70"/>
      <c r="H581" s="65">
        <v>5500000340</v>
      </c>
      <c r="I581" s="75">
        <v>1151.76</v>
      </c>
      <c r="J581" s="75">
        <v>1151.76</v>
      </c>
      <c r="K581" s="75"/>
      <c r="L581" s="75"/>
      <c r="M581" s="75"/>
      <c r="N581" s="75">
        <f>Tabla1[[#This Row],[IMPORTE APROBADO]]-Tabla1[[#This Row],[AMORTIZACION2]]</f>
        <v>0</v>
      </c>
      <c r="O581" s="65" t="str">
        <f>TEXT(Tabla1[[#This Row],[EMISION]],"mmm")</f>
        <v>Ago</v>
      </c>
      <c r="P581" s="65" t="str">
        <f>TEXT(Tabla1[[#This Row],[EMISION]],"YYYY")</f>
        <v>2023</v>
      </c>
      <c r="Q581" s="71">
        <v>45160</v>
      </c>
      <c r="R581" s="65" t="str">
        <f>TEXT(Tabla1[[#This Row],[VENCIMIENTO]],"mmm")</f>
        <v>Set</v>
      </c>
      <c r="S581" s="71">
        <f t="shared" si="104"/>
        <v>45190</v>
      </c>
      <c r="T581" s="72">
        <f ca="1">Tabla1[[#This Row],[EMISION]]+Tabla1[[#This Row],[PLAZO]]-TODAY()</f>
        <v>-179</v>
      </c>
      <c r="U581" s="80">
        <f t="shared" ca="1" si="105"/>
        <v>0</v>
      </c>
      <c r="V581" s="72"/>
      <c r="W581" s="73" t="s">
        <v>14307</v>
      </c>
      <c r="X581" s="65">
        <v>30</v>
      </c>
      <c r="Y581" s="65"/>
      <c r="Z581" s="65"/>
      <c r="AA581" s="65"/>
      <c r="AB581" s="65"/>
      <c r="AC581" s="65"/>
      <c r="AD581" s="65"/>
      <c r="AE581" s="65"/>
      <c r="AF581" s="68"/>
      <c r="AG581" s="66">
        <v>45184</v>
      </c>
      <c r="AH581" s="67" t="s">
        <v>14308</v>
      </c>
      <c r="AI581" s="65" t="s">
        <v>3060</v>
      </c>
      <c r="AJ581" s="65"/>
      <c r="AK581" s="97">
        <f t="shared" ca="1" si="95"/>
        <v>179</v>
      </c>
      <c r="AL581">
        <f>IFERROR(VLOOKUP(A581,'DATA CLIENTES'!B4878:I8284,6,FALSE),0)</f>
        <v>0</v>
      </c>
    </row>
    <row r="582" spans="1:38" x14ac:dyDescent="0.25">
      <c r="A582" s="93" t="s">
        <v>5470</v>
      </c>
      <c r="B582" s="68" t="s">
        <v>5471</v>
      </c>
      <c r="C582" s="65"/>
      <c r="D582" s="65"/>
      <c r="E582" s="65"/>
      <c r="F582" s="69" t="s">
        <v>14804</v>
      </c>
      <c r="G582" s="70"/>
      <c r="H582" s="65">
        <v>5500000341</v>
      </c>
      <c r="I582" s="75">
        <v>1083.9100000000001</v>
      </c>
      <c r="J582" s="75">
        <f>948.24+135.67</f>
        <v>1083.9100000000001</v>
      </c>
      <c r="K582" s="75"/>
      <c r="L582" s="75"/>
      <c r="M582" s="75"/>
      <c r="N582" s="75">
        <f>Tabla1[[#This Row],[IMPORTE APROBADO]]-Tabla1[[#This Row],[AMORTIZACION2]]</f>
        <v>0</v>
      </c>
      <c r="O582" s="65" t="str">
        <f>TEXT(Tabla1[[#This Row],[EMISION]],"mmm")</f>
        <v>Ago</v>
      </c>
      <c r="P582" s="65" t="str">
        <f>TEXT(Tabla1[[#This Row],[EMISION]],"YYYY")</f>
        <v>2023</v>
      </c>
      <c r="Q582" s="71">
        <v>45160</v>
      </c>
      <c r="R582" s="65" t="str">
        <f>TEXT(Tabla1[[#This Row],[VENCIMIENTO]],"mmm")</f>
        <v>Set</v>
      </c>
      <c r="S582" s="71">
        <f t="shared" si="104"/>
        <v>45190</v>
      </c>
      <c r="T582" s="72">
        <f ca="1">Tabla1[[#This Row],[EMISION]]+Tabla1[[#This Row],[PLAZO]]-TODAY()</f>
        <v>-179</v>
      </c>
      <c r="U582" s="80">
        <f t="shared" ca="1" si="105"/>
        <v>0</v>
      </c>
      <c r="V582" s="72"/>
      <c r="W582" s="73" t="s">
        <v>14307</v>
      </c>
      <c r="X582" s="65">
        <v>30</v>
      </c>
      <c r="Y582" s="65"/>
      <c r="Z582" s="65"/>
      <c r="AA582" s="65"/>
      <c r="AB582" s="65"/>
      <c r="AC582" s="65"/>
      <c r="AD582" s="65"/>
      <c r="AE582" s="65"/>
      <c r="AF582" s="68"/>
      <c r="AG582" s="66">
        <v>45196</v>
      </c>
      <c r="AH582" s="67" t="s">
        <v>14308</v>
      </c>
      <c r="AI582" s="65" t="s">
        <v>3060</v>
      </c>
      <c r="AJ582" s="65"/>
      <c r="AK582" s="97">
        <f t="shared" ca="1" si="95"/>
        <v>179</v>
      </c>
      <c r="AL582">
        <f>IFERROR(VLOOKUP(A582,'DATA CLIENTES'!B4879:I8284,6,FALSE),0)</f>
        <v>0</v>
      </c>
    </row>
    <row r="583" spans="1:38" x14ac:dyDescent="0.25">
      <c r="A583" s="93" t="s">
        <v>5470</v>
      </c>
      <c r="B583" s="68" t="s">
        <v>5471</v>
      </c>
      <c r="C583" s="65"/>
      <c r="D583" s="65"/>
      <c r="E583" s="65"/>
      <c r="F583" s="69" t="s">
        <v>14804</v>
      </c>
      <c r="G583" s="70"/>
      <c r="H583" s="65">
        <v>5600000145</v>
      </c>
      <c r="I583" s="75">
        <v>2730</v>
      </c>
      <c r="J583" s="75">
        <f>1164.33+1000+567</f>
        <v>2731.33</v>
      </c>
      <c r="K583" s="75"/>
      <c r="L583" s="75"/>
      <c r="M583" s="75"/>
      <c r="N583" s="75">
        <f>Tabla1[[#This Row],[IMPORTE APROBADO]]-Tabla1[[#This Row],[AMORTIZACION2]]</f>
        <v>-1.3299999999999272</v>
      </c>
      <c r="O583" s="65" t="str">
        <f>TEXT(Tabla1[[#This Row],[EMISION]],"mmm")</f>
        <v>Ago</v>
      </c>
      <c r="P583" s="65" t="str">
        <f>TEXT(Tabla1[[#This Row],[EMISION]],"YYYY")</f>
        <v>2023</v>
      </c>
      <c r="Q583" s="71">
        <v>45160</v>
      </c>
      <c r="R583" s="65" t="str">
        <f>TEXT(Tabla1[[#This Row],[VENCIMIENTO]],"mmm")</f>
        <v>Set</v>
      </c>
      <c r="S583" s="71">
        <f t="shared" si="104"/>
        <v>45190</v>
      </c>
      <c r="T583" s="72">
        <f ca="1">Tabla1[[#This Row],[EMISION]]+Tabla1[[#This Row],[PLAZO]]-TODAY()</f>
        <v>-179</v>
      </c>
      <c r="U583" s="80">
        <f t="shared" ca="1" si="105"/>
        <v>0</v>
      </c>
      <c r="V583" s="72"/>
      <c r="W583" s="73" t="s">
        <v>14307</v>
      </c>
      <c r="X583" s="65">
        <v>30</v>
      </c>
      <c r="Y583" s="65"/>
      <c r="Z583" s="65"/>
      <c r="AA583" s="65"/>
      <c r="AB583" s="65"/>
      <c r="AC583" s="65"/>
      <c r="AD583" s="65"/>
      <c r="AE583" s="65"/>
      <c r="AF583" s="68"/>
      <c r="AG583" s="66">
        <v>45233</v>
      </c>
      <c r="AH583" s="67" t="s">
        <v>14308</v>
      </c>
      <c r="AI583" s="65" t="s">
        <v>3060</v>
      </c>
      <c r="AJ583" s="65"/>
      <c r="AK583" s="97">
        <f t="shared" ca="1" si="95"/>
        <v>179</v>
      </c>
      <c r="AL583">
        <f>IFERROR(VLOOKUP(A583,'DATA CLIENTES'!B4880:I8284,6,FALSE),0)</f>
        <v>0</v>
      </c>
    </row>
    <row r="584" spans="1:38" x14ac:dyDescent="0.25">
      <c r="A584" s="93" t="s">
        <v>10061</v>
      </c>
      <c r="B584" s="68" t="s">
        <v>10062</v>
      </c>
      <c r="C584" s="65"/>
      <c r="D584" s="65"/>
      <c r="E584" s="65"/>
      <c r="F584" s="69" t="s">
        <v>14812</v>
      </c>
      <c r="G584" s="70"/>
      <c r="H584" s="65">
        <v>5500000349</v>
      </c>
      <c r="I584" s="75">
        <v>9150</v>
      </c>
      <c r="J584" s="75"/>
      <c r="K584" s="75"/>
      <c r="L584" s="75"/>
      <c r="M584" s="75"/>
      <c r="N584" s="75">
        <f>Tabla1[[#This Row],[IMPORTE APROBADO]]-Tabla1[[#This Row],[AMORTIZACION2]]</f>
        <v>9150</v>
      </c>
      <c r="O584" s="65" t="str">
        <f>TEXT(Tabla1[[#This Row],[EMISION]],"mmm")</f>
        <v>Ago</v>
      </c>
      <c r="P584" s="65" t="str">
        <f>TEXT(Tabla1[[#This Row],[EMISION]],"YYYY")</f>
        <v>2023</v>
      </c>
      <c r="Q584" s="71">
        <v>45160</v>
      </c>
      <c r="R584" s="65" t="str">
        <f>TEXT(Tabla1[[#This Row],[VENCIMIENTO]],"mmm")</f>
        <v>Set</v>
      </c>
      <c r="S584" s="71">
        <f t="shared" si="104"/>
        <v>45180</v>
      </c>
      <c r="T584" s="72">
        <f ca="1">Tabla1[[#This Row],[EMISION]]+Tabla1[[#This Row],[PLAZO]]-TODAY()</f>
        <v>-189</v>
      </c>
      <c r="U584" s="80">
        <f t="shared" ca="1" si="105"/>
        <v>0</v>
      </c>
      <c r="V584" s="72"/>
      <c r="W584" s="73" t="s">
        <v>14307</v>
      </c>
      <c r="X584" s="65">
        <v>20</v>
      </c>
      <c r="Y584" s="65"/>
      <c r="Z584" s="65"/>
      <c r="AA584" s="65"/>
      <c r="AB584" s="65"/>
      <c r="AC584" s="65"/>
      <c r="AD584" s="65"/>
      <c r="AE584" s="65"/>
      <c r="AF584" s="68"/>
      <c r="AG584" s="66">
        <v>45169</v>
      </c>
      <c r="AH584" s="67" t="s">
        <v>14308</v>
      </c>
      <c r="AI584" s="65" t="s">
        <v>3060</v>
      </c>
      <c r="AJ584" s="65"/>
      <c r="AK584" s="97">
        <f t="shared" ca="1" si="95"/>
        <v>189</v>
      </c>
      <c r="AL584">
        <f>IFERROR(VLOOKUP(A584,'DATA CLIENTES'!B4881:I8284,6,FALSE),0)</f>
        <v>0</v>
      </c>
    </row>
    <row r="585" spans="1:38" x14ac:dyDescent="0.25">
      <c r="A585" s="93" t="s">
        <v>8751</v>
      </c>
      <c r="B585" s="68" t="s">
        <v>8752</v>
      </c>
      <c r="C585" s="65"/>
      <c r="D585" s="65"/>
      <c r="E585" s="65"/>
      <c r="F585" s="69" t="s">
        <v>14559</v>
      </c>
      <c r="G585" s="70"/>
      <c r="H585" s="65">
        <v>5500000336</v>
      </c>
      <c r="I585" s="75">
        <v>370.8</v>
      </c>
      <c r="J585" s="75">
        <f>170+200.8</f>
        <v>370.8</v>
      </c>
      <c r="K585" s="75"/>
      <c r="L585" s="75"/>
      <c r="M585" s="75"/>
      <c r="N585" s="75">
        <f>Tabla1[[#This Row],[IMPORTE APROBADO]]-Tabla1[[#This Row],[AMORTIZACION2]]</f>
        <v>0</v>
      </c>
      <c r="O585" s="65" t="str">
        <f>TEXT(Tabla1[[#This Row],[EMISION]],"mmm")</f>
        <v>Ago</v>
      </c>
      <c r="P585" s="65" t="str">
        <f>TEXT(Tabla1[[#This Row],[EMISION]],"YYYY")</f>
        <v>2023</v>
      </c>
      <c r="Q585" s="71">
        <v>45160</v>
      </c>
      <c r="R585" s="65" t="str">
        <f>TEXT(Tabla1[[#This Row],[VENCIMIENTO]],"mmm")</f>
        <v>Set</v>
      </c>
      <c r="S585" s="71">
        <f t="shared" si="104"/>
        <v>45175</v>
      </c>
      <c r="T585" s="72">
        <f ca="1">Tabla1[[#This Row],[EMISION]]+Tabla1[[#This Row],[PLAZO]]-TODAY()</f>
        <v>-194</v>
      </c>
      <c r="U585" s="80">
        <f t="shared" ca="1" si="105"/>
        <v>0</v>
      </c>
      <c r="V585" s="72"/>
      <c r="W585" s="73" t="s">
        <v>14307</v>
      </c>
      <c r="X585" s="65">
        <v>15</v>
      </c>
      <c r="Y585" s="65"/>
      <c r="Z585" s="65"/>
      <c r="AA585" s="65"/>
      <c r="AB585" s="65"/>
      <c r="AC585" s="65"/>
      <c r="AD585" s="65"/>
      <c r="AE585" s="65"/>
      <c r="AF585" s="68"/>
      <c r="AG585" s="66">
        <v>45206</v>
      </c>
      <c r="AH585" s="67" t="s">
        <v>14308</v>
      </c>
      <c r="AI585" s="65" t="s">
        <v>3060</v>
      </c>
      <c r="AJ585" s="65"/>
      <c r="AK585" s="97">
        <f t="shared" ca="1" si="95"/>
        <v>194</v>
      </c>
      <c r="AL585">
        <f>IFERROR(VLOOKUP(A585,'DATA CLIENTES'!B4882:I8284,6,FALSE),0)</f>
        <v>0</v>
      </c>
    </row>
    <row r="586" spans="1:38" x14ac:dyDescent="0.25">
      <c r="A586" s="93" t="s">
        <v>9248</v>
      </c>
      <c r="B586" s="68" t="s">
        <v>9249</v>
      </c>
      <c r="C586" s="65"/>
      <c r="D586" s="65"/>
      <c r="E586" s="65"/>
      <c r="F586" s="69" t="s">
        <v>11799</v>
      </c>
      <c r="G586" s="70"/>
      <c r="H586" s="65">
        <v>5600000146</v>
      </c>
      <c r="I586" s="75">
        <v>2586</v>
      </c>
      <c r="J586" s="75">
        <v>2586</v>
      </c>
      <c r="K586" s="75"/>
      <c r="L586" s="75"/>
      <c r="M586" s="75"/>
      <c r="N586" s="75">
        <f>Tabla1[[#This Row],[IMPORTE APROBADO]]-Tabla1[[#This Row],[AMORTIZACION2]]</f>
        <v>0</v>
      </c>
      <c r="O586" s="65" t="str">
        <f>TEXT(Tabla1[[#This Row],[EMISION]],"mmm")</f>
        <v>Ago</v>
      </c>
      <c r="P586" s="65" t="str">
        <f>TEXT(Tabla1[[#This Row],[EMISION]],"YYYY")</f>
        <v>2023</v>
      </c>
      <c r="Q586" s="71">
        <v>45161</v>
      </c>
      <c r="R586" s="65" t="str">
        <f>TEXT(Tabla1[[#This Row],[VENCIMIENTO]],"mmm")</f>
        <v>Set</v>
      </c>
      <c r="S586" s="71">
        <f t="shared" si="104"/>
        <v>45176</v>
      </c>
      <c r="T586" s="72">
        <f ca="1">Tabla1[[#This Row],[EMISION]]+Tabla1[[#This Row],[PLAZO]]-TODAY()</f>
        <v>-193</v>
      </c>
      <c r="U586" s="80">
        <f t="shared" ca="1" si="105"/>
        <v>0</v>
      </c>
      <c r="V586" s="72"/>
      <c r="W586" s="73" t="s">
        <v>14307</v>
      </c>
      <c r="X586" s="65">
        <v>15</v>
      </c>
      <c r="Y586" s="65"/>
      <c r="Z586" s="65"/>
      <c r="AA586" s="65"/>
      <c r="AB586" s="65"/>
      <c r="AC586" s="65"/>
      <c r="AD586" s="65"/>
      <c r="AE586" s="65"/>
      <c r="AF586" s="68"/>
      <c r="AG586" s="66">
        <v>45183</v>
      </c>
      <c r="AH586" s="67" t="s">
        <v>14308</v>
      </c>
      <c r="AI586" s="65" t="s">
        <v>3060</v>
      </c>
      <c r="AJ586" s="65"/>
      <c r="AK586" s="97">
        <f t="shared" ca="1" si="95"/>
        <v>193</v>
      </c>
      <c r="AL586">
        <f>IFERROR(VLOOKUP(A586,'DATA CLIENTES'!B4883:I8284,6,FALSE),0)</f>
        <v>0</v>
      </c>
    </row>
    <row r="587" spans="1:38" x14ac:dyDescent="0.25">
      <c r="A587" s="93" t="s">
        <v>9263</v>
      </c>
      <c r="B587" s="68" t="s">
        <v>9264</v>
      </c>
      <c r="C587" s="65"/>
      <c r="D587" s="65"/>
      <c r="E587" s="65"/>
      <c r="F587" s="69" t="s">
        <v>11799</v>
      </c>
      <c r="G587" s="70"/>
      <c r="H587" s="65">
        <v>5500000358</v>
      </c>
      <c r="I587" s="75">
        <v>3368</v>
      </c>
      <c r="J587" s="75">
        <v>3368</v>
      </c>
      <c r="K587" s="75"/>
      <c r="L587" s="75"/>
      <c r="M587" s="75"/>
      <c r="N587" s="75">
        <f>Tabla1[[#This Row],[IMPORTE APROBADO]]-Tabla1[[#This Row],[AMORTIZACION2]]</f>
        <v>0</v>
      </c>
      <c r="O587" s="65" t="str">
        <f>TEXT(Tabla1[[#This Row],[EMISION]],"mmm")</f>
        <v>Ago</v>
      </c>
      <c r="P587" s="65" t="str">
        <f>TEXT(Tabla1[[#This Row],[EMISION]],"YYYY")</f>
        <v>2023</v>
      </c>
      <c r="Q587" s="71">
        <v>45161</v>
      </c>
      <c r="R587" s="65" t="str">
        <f>TEXT(Tabla1[[#This Row],[VENCIMIENTO]],"mmm")</f>
        <v>Set</v>
      </c>
      <c r="S587" s="71">
        <f t="shared" si="104"/>
        <v>45176</v>
      </c>
      <c r="T587" s="72">
        <f ca="1">Tabla1[[#This Row],[EMISION]]+Tabla1[[#This Row],[PLAZO]]-TODAY()</f>
        <v>-193</v>
      </c>
      <c r="U587" s="80">
        <f t="shared" ca="1" si="105"/>
        <v>0</v>
      </c>
      <c r="V587" s="72"/>
      <c r="W587" s="73" t="s">
        <v>14307</v>
      </c>
      <c r="X587" s="65">
        <v>15</v>
      </c>
      <c r="Y587" s="65"/>
      <c r="Z587" s="65"/>
      <c r="AA587" s="65"/>
      <c r="AB587" s="65"/>
      <c r="AC587" s="65"/>
      <c r="AD587" s="65"/>
      <c r="AE587" s="65"/>
      <c r="AF587" s="68"/>
      <c r="AG587" s="66">
        <v>45187</v>
      </c>
      <c r="AH587" s="67" t="s">
        <v>14308</v>
      </c>
      <c r="AI587" s="65" t="s">
        <v>3060</v>
      </c>
      <c r="AJ587" s="65"/>
      <c r="AK587" s="97">
        <f t="shared" ca="1" si="95"/>
        <v>193</v>
      </c>
      <c r="AL587">
        <f>IFERROR(VLOOKUP(A587,'DATA CLIENTES'!B4884:I8284,6,FALSE),0)</f>
        <v>0</v>
      </c>
    </row>
    <row r="588" spans="1:38" x14ac:dyDescent="0.25">
      <c r="A588" s="93" t="s">
        <v>6039</v>
      </c>
      <c r="B588" s="68" t="s">
        <v>6040</v>
      </c>
      <c r="C588" s="65"/>
      <c r="D588" s="65"/>
      <c r="E588" s="65"/>
      <c r="F588" s="69" t="s">
        <v>11799</v>
      </c>
      <c r="G588" s="70"/>
      <c r="H588" s="65">
        <v>5600000149</v>
      </c>
      <c r="I588" s="75">
        <v>1840</v>
      </c>
      <c r="J588" s="75">
        <v>1840</v>
      </c>
      <c r="K588" s="75"/>
      <c r="L588" s="75"/>
      <c r="M588" s="75"/>
      <c r="N588" s="75">
        <f>Tabla1[[#This Row],[IMPORTE APROBADO]]-Tabla1[[#This Row],[AMORTIZACION2]]</f>
        <v>0</v>
      </c>
      <c r="O588" s="65" t="str">
        <f>TEXT(Tabla1[[#This Row],[EMISION]],"mmm")</f>
        <v>Ago</v>
      </c>
      <c r="P588" s="65" t="str">
        <f>TEXT(Tabla1[[#This Row],[EMISION]],"YYYY")</f>
        <v>2023</v>
      </c>
      <c r="Q588" s="71">
        <v>45162</v>
      </c>
      <c r="R588" s="65" t="str">
        <f>TEXT(Tabla1[[#This Row],[VENCIMIENTO]],"mmm")</f>
        <v>Set</v>
      </c>
      <c r="S588" s="71">
        <f t="shared" si="104"/>
        <v>45182</v>
      </c>
      <c r="T588" s="72">
        <f ca="1">Tabla1[[#This Row],[EMISION]]+Tabla1[[#This Row],[PLAZO]]-TODAY()</f>
        <v>-187</v>
      </c>
      <c r="U588" s="80">
        <f t="shared" ca="1" si="105"/>
        <v>0</v>
      </c>
      <c r="V588" s="72"/>
      <c r="W588" s="73" t="s">
        <v>14307</v>
      </c>
      <c r="X588" s="65">
        <v>20</v>
      </c>
      <c r="Y588" s="65"/>
      <c r="Z588" s="65"/>
      <c r="AA588" s="65"/>
      <c r="AB588" s="65"/>
      <c r="AC588" s="65"/>
      <c r="AD588" s="65"/>
      <c r="AE588" s="65"/>
      <c r="AF588" s="68"/>
      <c r="AG588" s="66">
        <v>45188</v>
      </c>
      <c r="AH588" s="67" t="s">
        <v>14308</v>
      </c>
      <c r="AI588" s="65" t="s">
        <v>3060</v>
      </c>
      <c r="AJ588" s="65"/>
      <c r="AK588" s="97">
        <f t="shared" ca="1" si="95"/>
        <v>187</v>
      </c>
      <c r="AL588">
        <f>IFERROR(VLOOKUP(A588,'DATA CLIENTES'!B4885:I8284,6,FALSE),0)</f>
        <v>0</v>
      </c>
    </row>
    <row r="589" spans="1:38" x14ac:dyDescent="0.25">
      <c r="A589" s="93" t="s">
        <v>9248</v>
      </c>
      <c r="B589" s="68" t="s">
        <v>9249</v>
      </c>
      <c r="C589" s="65"/>
      <c r="D589" s="65"/>
      <c r="E589" s="65"/>
      <c r="F589" s="69" t="s">
        <v>11799</v>
      </c>
      <c r="G589" s="70"/>
      <c r="H589" s="65">
        <v>5500000361</v>
      </c>
      <c r="I589" s="75">
        <v>1038</v>
      </c>
      <c r="J589" s="75">
        <v>1038</v>
      </c>
      <c r="K589" s="75"/>
      <c r="L589" s="75"/>
      <c r="M589" s="75"/>
      <c r="N589" s="75">
        <f>Tabla1[[#This Row],[IMPORTE APROBADO]]-Tabla1[[#This Row],[AMORTIZACION2]]</f>
        <v>0</v>
      </c>
      <c r="O589" s="65" t="str">
        <f>TEXT(Tabla1[[#This Row],[EMISION]],"mmm")</f>
        <v>Ago</v>
      </c>
      <c r="P589" s="65" t="str">
        <f>TEXT(Tabla1[[#This Row],[EMISION]],"YYYY")</f>
        <v>2023</v>
      </c>
      <c r="Q589" s="71">
        <v>45162</v>
      </c>
      <c r="R589" s="65" t="str">
        <f>TEXT(Tabla1[[#This Row],[VENCIMIENTO]],"mmm")</f>
        <v>Set</v>
      </c>
      <c r="S589" s="71">
        <f t="shared" si="104"/>
        <v>45177</v>
      </c>
      <c r="T589" s="72">
        <f ca="1">Tabla1[[#This Row],[EMISION]]+Tabla1[[#This Row],[PLAZO]]-TODAY()</f>
        <v>-192</v>
      </c>
      <c r="U589" s="80">
        <f t="shared" ca="1" si="105"/>
        <v>0</v>
      </c>
      <c r="V589" s="72"/>
      <c r="W589" s="73" t="s">
        <v>14307</v>
      </c>
      <c r="X589" s="65">
        <v>15</v>
      </c>
      <c r="Y589" s="65"/>
      <c r="Z589" s="65"/>
      <c r="AA589" s="65"/>
      <c r="AB589" s="65"/>
      <c r="AC589" s="65"/>
      <c r="AD589" s="65"/>
      <c r="AE589" s="65"/>
      <c r="AF589" s="68"/>
      <c r="AG589" s="66">
        <v>45183</v>
      </c>
      <c r="AH589" s="67" t="s">
        <v>14308</v>
      </c>
      <c r="AI589" s="65" t="s">
        <v>3060</v>
      </c>
      <c r="AJ589" s="65"/>
      <c r="AK589" s="97">
        <f t="shared" ca="1" si="95"/>
        <v>192</v>
      </c>
      <c r="AL589">
        <f>IFERROR(VLOOKUP(A589,'DATA CLIENTES'!B4886:I8284,6,FALSE),0)</f>
        <v>0</v>
      </c>
    </row>
    <row r="590" spans="1:38" x14ac:dyDescent="0.25">
      <c r="A590" s="93" t="s">
        <v>5647</v>
      </c>
      <c r="B590" s="68" t="s">
        <v>5648</v>
      </c>
      <c r="C590" s="65"/>
      <c r="D590" s="65"/>
      <c r="E590" s="65"/>
      <c r="F590" s="69" t="s">
        <v>14812</v>
      </c>
      <c r="G590" s="70"/>
      <c r="H590" s="65">
        <v>5600000148</v>
      </c>
      <c r="I590" s="75">
        <v>1550</v>
      </c>
      <c r="J590" s="75">
        <f>500+1050</f>
        <v>1550</v>
      </c>
      <c r="K590" s="75"/>
      <c r="L590" s="75"/>
      <c r="M590" s="75"/>
      <c r="N590" s="75">
        <f>Tabla1[[#This Row],[IMPORTE APROBADO]]-Tabla1[[#This Row],[AMORTIZACION2]]</f>
        <v>0</v>
      </c>
      <c r="O590" s="65" t="str">
        <f>TEXT(Tabla1[[#This Row],[EMISION]],"mmm")</f>
        <v>Ago</v>
      </c>
      <c r="P590" s="65" t="str">
        <f>TEXT(Tabla1[[#This Row],[EMISION]],"YYYY")</f>
        <v>2023</v>
      </c>
      <c r="Q590" s="71">
        <v>45162</v>
      </c>
      <c r="R590" s="65" t="str">
        <f>TEXT(Tabla1[[#This Row],[VENCIMIENTO]],"mmm")</f>
        <v>Set</v>
      </c>
      <c r="S590" s="71">
        <f t="shared" si="104"/>
        <v>45182</v>
      </c>
      <c r="T590" s="72">
        <f ca="1">Tabla1[[#This Row],[EMISION]]+Tabla1[[#This Row],[PLAZO]]-TODAY()</f>
        <v>-187</v>
      </c>
      <c r="U590" s="80">
        <f t="shared" ca="1" si="105"/>
        <v>0</v>
      </c>
      <c r="V590" s="72"/>
      <c r="W590" s="73" t="s">
        <v>14307</v>
      </c>
      <c r="X590" s="65">
        <v>20</v>
      </c>
      <c r="Y590" s="65"/>
      <c r="Z590" s="65"/>
      <c r="AA590" s="65"/>
      <c r="AB590" s="65"/>
      <c r="AC590" s="65"/>
      <c r="AD590" s="65"/>
      <c r="AE590" s="65"/>
      <c r="AF590" s="68"/>
      <c r="AG590" s="66">
        <v>45233</v>
      </c>
      <c r="AH590" s="67" t="s">
        <v>14308</v>
      </c>
      <c r="AI590" s="65" t="s">
        <v>3060</v>
      </c>
      <c r="AJ590" s="65"/>
      <c r="AK590" s="97">
        <f t="shared" ref="AK590:AK653" ca="1" si="106">TODAY() - S590</f>
        <v>187</v>
      </c>
      <c r="AL590">
        <f>IFERROR(VLOOKUP(A590,'DATA CLIENTES'!B4887:I8284,6,FALSE),0)</f>
        <v>0</v>
      </c>
    </row>
    <row r="591" spans="1:38" x14ac:dyDescent="0.25">
      <c r="A591" s="93" t="s">
        <v>5290</v>
      </c>
      <c r="B591" s="68" t="s">
        <v>5291</v>
      </c>
      <c r="C591" s="65"/>
      <c r="D591" s="65"/>
      <c r="E591" s="65"/>
      <c r="F591" s="69" t="s">
        <v>14676</v>
      </c>
      <c r="G591" s="70"/>
      <c r="H591" s="65">
        <v>5500000157</v>
      </c>
      <c r="I591" s="75">
        <v>271.92</v>
      </c>
      <c r="J591" s="75">
        <f>100+100+71.9</f>
        <v>271.89999999999998</v>
      </c>
      <c r="K591" s="75"/>
      <c r="L591" s="75"/>
      <c r="M591" s="75"/>
      <c r="N591" s="75">
        <f>Tabla1[[#This Row],[IMPORTE APROBADO]]-Tabla1[[#This Row],[AMORTIZACION2]]</f>
        <v>2.0000000000038654E-2</v>
      </c>
      <c r="O591" s="65" t="str">
        <f>TEXT(Tabla1[[#This Row],[EMISION]],"mmm")</f>
        <v>Ago</v>
      </c>
      <c r="P591" s="65" t="str">
        <f>TEXT(Tabla1[[#This Row],[EMISION]],"YYYY")</f>
        <v>2023</v>
      </c>
      <c r="Q591" s="71">
        <v>45162</v>
      </c>
      <c r="R591" s="65" t="str">
        <f>TEXT(Tabla1[[#This Row],[VENCIMIENTO]],"mmm")</f>
        <v>Set</v>
      </c>
      <c r="S591" s="71">
        <f t="shared" si="104"/>
        <v>45177</v>
      </c>
      <c r="T591" s="72">
        <f ca="1">Tabla1[[#This Row],[EMISION]]+Tabla1[[#This Row],[PLAZO]]-TODAY()</f>
        <v>-192</v>
      </c>
      <c r="U591" s="80">
        <f t="shared" ca="1" si="105"/>
        <v>0</v>
      </c>
      <c r="V591" s="72"/>
      <c r="W591" s="73" t="s">
        <v>14307</v>
      </c>
      <c r="X591" s="65">
        <v>15</v>
      </c>
      <c r="Y591" s="65"/>
      <c r="Z591" s="65"/>
      <c r="AA591" s="65"/>
      <c r="AB591" s="65"/>
      <c r="AC591" s="65"/>
      <c r="AD591" s="65"/>
      <c r="AE591" s="65"/>
      <c r="AF591" s="68"/>
      <c r="AG591" s="66">
        <v>45246</v>
      </c>
      <c r="AH591" s="67" t="s">
        <v>14308</v>
      </c>
      <c r="AI591" s="65" t="s">
        <v>3060</v>
      </c>
      <c r="AJ591" s="65"/>
      <c r="AK591" s="97">
        <f t="shared" ca="1" si="106"/>
        <v>192</v>
      </c>
      <c r="AL591">
        <f>IFERROR(VLOOKUP(A591,'DATA CLIENTES'!B4888:I8284,6,FALSE),0)</f>
        <v>0</v>
      </c>
    </row>
    <row r="592" spans="1:38" x14ac:dyDescent="0.25">
      <c r="A592" s="93" t="s">
        <v>9824</v>
      </c>
      <c r="B592" s="68" t="s">
        <v>14331</v>
      </c>
      <c r="C592" s="65"/>
      <c r="D592" s="65"/>
      <c r="E592" s="65"/>
      <c r="F592" s="69" t="s">
        <v>14559</v>
      </c>
      <c r="G592" s="70"/>
      <c r="H592" s="65">
        <v>5500000024</v>
      </c>
      <c r="I592" s="75">
        <v>-215.28</v>
      </c>
      <c r="J592" s="75"/>
      <c r="K592" s="75"/>
      <c r="L592" s="75"/>
      <c r="M592" s="75"/>
      <c r="N592" s="75">
        <f>Tabla1[[#This Row],[IMPORTE APROBADO]]-Tabla1[[#This Row],[AMORTIZACION2]]</f>
        <v>-215.28</v>
      </c>
      <c r="O592" s="65" t="str">
        <f>TEXT(Tabla1[[#This Row],[EMISION]],"mmm")</f>
        <v>Ago</v>
      </c>
      <c r="P592" s="65" t="str">
        <f>TEXT(Tabla1[[#This Row],[EMISION]],"YYYY")</f>
        <v>2023</v>
      </c>
      <c r="Q592" s="71">
        <v>45163</v>
      </c>
      <c r="R592" s="65" t="str">
        <f>TEXT(Tabla1[[#This Row],[VENCIMIENTO]],"mmm")</f>
        <v>Set</v>
      </c>
      <c r="S592" s="71">
        <f t="shared" si="104"/>
        <v>45193</v>
      </c>
      <c r="T592" s="72">
        <f ca="1">Tabla1[[#This Row],[EMISION]]+Tabla1[[#This Row],[PLAZO]]-TODAY()</f>
        <v>-176</v>
      </c>
      <c r="U592" s="80">
        <f t="shared" ca="1" si="105"/>
        <v>0</v>
      </c>
      <c r="V592" s="72"/>
      <c r="W592" s="73" t="s">
        <v>14307</v>
      </c>
      <c r="X592" s="65">
        <v>30</v>
      </c>
      <c r="Y592" s="65"/>
      <c r="Z592" s="65"/>
      <c r="AA592" s="65"/>
      <c r="AB592" s="65"/>
      <c r="AC592" s="65"/>
      <c r="AD592" s="65"/>
      <c r="AE592" s="65"/>
      <c r="AF592" s="68"/>
      <c r="AG592" s="66"/>
      <c r="AH592" s="67" t="s">
        <v>14313</v>
      </c>
      <c r="AI592" s="65" t="s">
        <v>3060</v>
      </c>
      <c r="AJ592" s="65"/>
      <c r="AK592" s="97">
        <f t="shared" ca="1" si="106"/>
        <v>176</v>
      </c>
      <c r="AL592">
        <f>IFERROR(VLOOKUP(A592,'DATA CLIENTES'!B4889:I8284,6,FALSE),0)</f>
        <v>0</v>
      </c>
    </row>
    <row r="593" spans="1:38" x14ac:dyDescent="0.25">
      <c r="A593" s="93" t="s">
        <v>6039</v>
      </c>
      <c r="B593" s="68" t="s">
        <v>6040</v>
      </c>
      <c r="C593" s="65"/>
      <c r="D593" s="65"/>
      <c r="E593" s="65"/>
      <c r="F593" s="69" t="s">
        <v>11799</v>
      </c>
      <c r="G593" s="70"/>
      <c r="H593" s="65">
        <v>5600000151</v>
      </c>
      <c r="I593" s="75">
        <v>4460.49</v>
      </c>
      <c r="J593" s="75">
        <v>4460.49</v>
      </c>
      <c r="K593" s="75"/>
      <c r="L593" s="75"/>
      <c r="M593" s="75"/>
      <c r="N593" s="75">
        <f>Tabla1[[#This Row],[IMPORTE APROBADO]]-Tabla1[[#This Row],[AMORTIZACION2]]</f>
        <v>0</v>
      </c>
      <c r="O593" s="65" t="str">
        <f>TEXT(Tabla1[[#This Row],[EMISION]],"mmm")</f>
        <v>Ago</v>
      </c>
      <c r="P593" s="65" t="str">
        <f>TEXT(Tabla1[[#This Row],[EMISION]],"YYYY")</f>
        <v>2023</v>
      </c>
      <c r="Q593" s="71">
        <v>45163</v>
      </c>
      <c r="R593" s="65" t="str">
        <f>TEXT(Tabla1[[#This Row],[VENCIMIENTO]],"mmm")</f>
        <v>Set</v>
      </c>
      <c r="S593" s="71">
        <f t="shared" si="104"/>
        <v>45183</v>
      </c>
      <c r="T593" s="72">
        <f ca="1">Tabla1[[#This Row],[EMISION]]+Tabla1[[#This Row],[PLAZO]]-TODAY()</f>
        <v>-186</v>
      </c>
      <c r="U593" s="80">
        <f t="shared" ca="1" si="105"/>
        <v>0</v>
      </c>
      <c r="V593" s="72"/>
      <c r="W593" s="73" t="s">
        <v>14307</v>
      </c>
      <c r="X593" s="65">
        <v>20</v>
      </c>
      <c r="Y593" s="65"/>
      <c r="Z593" s="65"/>
      <c r="AA593" s="65"/>
      <c r="AB593" s="65"/>
      <c r="AC593" s="65"/>
      <c r="AD593" s="65"/>
      <c r="AE593" s="65"/>
      <c r="AF593" s="68"/>
      <c r="AG593" s="66">
        <v>45187</v>
      </c>
      <c r="AH593" s="67" t="s">
        <v>14308</v>
      </c>
      <c r="AI593" s="65" t="s">
        <v>3060</v>
      </c>
      <c r="AJ593" s="65"/>
      <c r="AK593" s="97">
        <f t="shared" ca="1" si="106"/>
        <v>186</v>
      </c>
      <c r="AL593">
        <f>IFERROR(VLOOKUP(A593,'DATA CLIENTES'!B4890:I8284,6,FALSE),0)</f>
        <v>0</v>
      </c>
    </row>
    <row r="594" spans="1:38" x14ac:dyDescent="0.25">
      <c r="A594" s="93" t="s">
        <v>9245</v>
      </c>
      <c r="B594" s="68" t="s">
        <v>9246</v>
      </c>
      <c r="C594" s="65"/>
      <c r="D594" s="65"/>
      <c r="E594" s="65"/>
      <c r="F594" s="69" t="s">
        <v>14812</v>
      </c>
      <c r="G594" s="70"/>
      <c r="H594" s="65">
        <v>5500000373</v>
      </c>
      <c r="I594" s="75">
        <v>7560</v>
      </c>
      <c r="J594" s="75">
        <f>2000+2000+2000+1560</f>
        <v>7560</v>
      </c>
      <c r="K594" s="75"/>
      <c r="L594" s="75"/>
      <c r="M594" s="75"/>
      <c r="N594" s="75">
        <f>Tabla1[[#This Row],[IMPORTE APROBADO]]-Tabla1[[#This Row],[AMORTIZACION2]]</f>
        <v>0</v>
      </c>
      <c r="O594" s="65" t="str">
        <f>TEXT(Tabla1[[#This Row],[EMISION]],"mmm")</f>
        <v>Ago</v>
      </c>
      <c r="P594" s="65" t="str">
        <f>TEXT(Tabla1[[#This Row],[EMISION]],"YYYY")</f>
        <v>2023</v>
      </c>
      <c r="Q594" s="71">
        <v>45163</v>
      </c>
      <c r="R594" s="65" t="str">
        <f>TEXT(Tabla1[[#This Row],[VENCIMIENTO]],"mmm")</f>
        <v>Set</v>
      </c>
      <c r="S594" s="71">
        <f t="shared" ref="S594:S602" si="107">Q594+X594</f>
        <v>45183</v>
      </c>
      <c r="T594" s="72">
        <f ca="1">Tabla1[[#This Row],[EMISION]]+Tabla1[[#This Row],[PLAZO]]-TODAY()</f>
        <v>-186</v>
      </c>
      <c r="U594" s="80">
        <f t="shared" ref="U594:U602" ca="1" si="108">IF(T594&gt;=0,$U$4,IF(AND(T594&lt;=-1,T594&gt;=-30),$U$5,IF(AND(T594&lt;=-31,T594&gt;=-60),$U$6,IF(AND(T594&lt;=-61,T594&gt;=-90),$U$7,$U$8))))</f>
        <v>0</v>
      </c>
      <c r="V594" s="72"/>
      <c r="W594" s="73" t="s">
        <v>14307</v>
      </c>
      <c r="X594" s="65">
        <v>20</v>
      </c>
      <c r="Y594" s="65"/>
      <c r="Z594" s="65"/>
      <c r="AA594" s="65"/>
      <c r="AB594" s="65"/>
      <c r="AC594" s="65"/>
      <c r="AD594" s="65"/>
      <c r="AE594" s="65"/>
      <c r="AF594" s="68"/>
      <c r="AG594" s="66">
        <v>45198</v>
      </c>
      <c r="AH594" s="67" t="s">
        <v>14308</v>
      </c>
      <c r="AI594" s="65" t="s">
        <v>3060</v>
      </c>
      <c r="AJ594" s="65"/>
      <c r="AK594" s="97">
        <f t="shared" ca="1" si="106"/>
        <v>186</v>
      </c>
      <c r="AL594">
        <f>IFERROR(VLOOKUP(A594,'DATA CLIENTES'!B4891:I8284,6,FALSE),0)</f>
        <v>0</v>
      </c>
    </row>
    <row r="595" spans="1:38" x14ac:dyDescent="0.25">
      <c r="A595" s="93" t="s">
        <v>6180</v>
      </c>
      <c r="B595" s="68" t="s">
        <v>6181</v>
      </c>
      <c r="C595" s="65"/>
      <c r="D595" s="65"/>
      <c r="E595" s="65"/>
      <c r="F595" s="69" t="s">
        <v>14676</v>
      </c>
      <c r="G595" s="70"/>
      <c r="H595" s="65">
        <v>5500000374</v>
      </c>
      <c r="I595" s="75">
        <v>1366</v>
      </c>
      <c r="J595" s="75">
        <f>200+100+250+200+616</f>
        <v>1366</v>
      </c>
      <c r="K595" s="75"/>
      <c r="L595" s="75"/>
      <c r="M595" s="75"/>
      <c r="N595" s="75">
        <f>Tabla1[[#This Row],[IMPORTE APROBADO]]-Tabla1[[#This Row],[AMORTIZACION2]]</f>
        <v>0</v>
      </c>
      <c r="O595" s="65" t="str">
        <f>TEXT(Tabla1[[#This Row],[EMISION]],"mmm")</f>
        <v>Ago</v>
      </c>
      <c r="P595" s="65" t="str">
        <f>TEXT(Tabla1[[#This Row],[EMISION]],"YYYY")</f>
        <v>2023</v>
      </c>
      <c r="Q595" s="71">
        <v>45164</v>
      </c>
      <c r="R595" s="65" t="str">
        <f>TEXT(Tabla1[[#This Row],[VENCIMIENTO]],"mmm")</f>
        <v>Set</v>
      </c>
      <c r="S595" s="71">
        <f t="shared" si="107"/>
        <v>45194</v>
      </c>
      <c r="T595" s="72">
        <f ca="1">Tabla1[[#This Row],[EMISION]]+Tabla1[[#This Row],[PLAZO]]-TODAY()</f>
        <v>-175</v>
      </c>
      <c r="U595" s="80">
        <f t="shared" ca="1" si="108"/>
        <v>0</v>
      </c>
      <c r="V595" s="72"/>
      <c r="W595" s="73" t="s">
        <v>14307</v>
      </c>
      <c r="X595" s="65">
        <v>30</v>
      </c>
      <c r="Y595" s="65"/>
      <c r="Z595" s="65"/>
      <c r="AA595" s="65"/>
      <c r="AB595" s="65"/>
      <c r="AC595" s="65"/>
      <c r="AD595" s="65"/>
      <c r="AE595" s="65"/>
      <c r="AF595" s="68"/>
      <c r="AG595" s="66">
        <v>45262</v>
      </c>
      <c r="AH595" s="67" t="s">
        <v>14308</v>
      </c>
      <c r="AI595" s="65" t="s">
        <v>3060</v>
      </c>
      <c r="AJ595" s="65"/>
      <c r="AK595" s="97">
        <f t="shared" ca="1" si="106"/>
        <v>175</v>
      </c>
      <c r="AL595">
        <f>IFERROR(VLOOKUP(A595,'DATA CLIENTES'!B4892:I8284,6,FALSE),0)</f>
        <v>0</v>
      </c>
    </row>
    <row r="596" spans="1:38" x14ac:dyDescent="0.25">
      <c r="A596" s="93" t="s">
        <v>9272</v>
      </c>
      <c r="B596" s="68" t="s">
        <v>9273</v>
      </c>
      <c r="C596" s="65"/>
      <c r="D596" s="65"/>
      <c r="E596" s="65"/>
      <c r="F596" s="69" t="s">
        <v>14812</v>
      </c>
      <c r="G596" s="70"/>
      <c r="H596" s="65">
        <v>5500000381</v>
      </c>
      <c r="I596" s="75">
        <v>3105</v>
      </c>
      <c r="J596" s="75">
        <f>1500+1605</f>
        <v>3105</v>
      </c>
      <c r="K596" s="75"/>
      <c r="L596" s="75"/>
      <c r="M596" s="75"/>
      <c r="N596" s="75">
        <f>Tabla1[[#This Row],[IMPORTE APROBADO]]-Tabla1[[#This Row],[AMORTIZACION2]]</f>
        <v>0</v>
      </c>
      <c r="O596" s="65" t="str">
        <f>TEXT(Tabla1[[#This Row],[EMISION]],"mmm")</f>
        <v>Ago</v>
      </c>
      <c r="P596" s="65" t="str">
        <f>TEXT(Tabla1[[#This Row],[EMISION]],"YYYY")</f>
        <v>2023</v>
      </c>
      <c r="Q596" s="71">
        <v>45166</v>
      </c>
      <c r="R596" s="65" t="str">
        <f>TEXT(Tabla1[[#This Row],[VENCIMIENTO]],"mmm")</f>
        <v>Set</v>
      </c>
      <c r="S596" s="71">
        <f t="shared" si="107"/>
        <v>45186</v>
      </c>
      <c r="T596" s="72">
        <f ca="1">Tabla1[[#This Row],[EMISION]]+Tabla1[[#This Row],[PLAZO]]-TODAY()</f>
        <v>-183</v>
      </c>
      <c r="U596" s="80">
        <f t="shared" ca="1" si="108"/>
        <v>0</v>
      </c>
      <c r="V596" s="72"/>
      <c r="W596" s="73" t="s">
        <v>14307</v>
      </c>
      <c r="X596" s="65">
        <v>20</v>
      </c>
      <c r="Y596" s="65"/>
      <c r="Z596" s="65"/>
      <c r="AA596" s="65"/>
      <c r="AB596" s="65"/>
      <c r="AC596" s="65"/>
      <c r="AD596" s="65"/>
      <c r="AE596" s="65"/>
      <c r="AF596" s="68"/>
      <c r="AG596" s="66">
        <v>45187</v>
      </c>
      <c r="AH596" s="67" t="s">
        <v>14308</v>
      </c>
      <c r="AI596" s="65" t="s">
        <v>3060</v>
      </c>
      <c r="AJ596" s="65"/>
      <c r="AK596" s="97">
        <f t="shared" ca="1" si="106"/>
        <v>183</v>
      </c>
      <c r="AL596">
        <f>IFERROR(VLOOKUP(A596,'DATA CLIENTES'!B4893:I8284,6,FALSE),0)</f>
        <v>0</v>
      </c>
    </row>
    <row r="597" spans="1:38" x14ac:dyDescent="0.25">
      <c r="A597" s="93" t="s">
        <v>9470</v>
      </c>
      <c r="B597" s="68" t="s">
        <v>9471</v>
      </c>
      <c r="C597" s="65"/>
      <c r="D597" s="65"/>
      <c r="E597" s="65"/>
      <c r="F597" s="69" t="s">
        <v>14812</v>
      </c>
      <c r="G597" s="70"/>
      <c r="H597" s="65">
        <v>5500000392</v>
      </c>
      <c r="I597" s="75">
        <v>3845.7</v>
      </c>
      <c r="J597" s="75">
        <f>1000+350+150+100+2000+215+30</f>
        <v>3845</v>
      </c>
      <c r="K597" s="75"/>
      <c r="L597" s="75"/>
      <c r="M597" s="75"/>
      <c r="N597" s="75">
        <f>Tabla1[[#This Row],[IMPORTE APROBADO]]-Tabla1[[#This Row],[AMORTIZACION2]]</f>
        <v>0.6999999999998181</v>
      </c>
      <c r="O597" s="65" t="str">
        <f>TEXT(Tabla1[[#This Row],[EMISION]],"mmm")</f>
        <v>Ago</v>
      </c>
      <c r="P597" s="65" t="str">
        <f>TEXT(Tabla1[[#This Row],[EMISION]],"YYYY")</f>
        <v>2023</v>
      </c>
      <c r="Q597" s="71">
        <v>45166</v>
      </c>
      <c r="R597" s="65" t="str">
        <f>TEXT(Tabla1[[#This Row],[VENCIMIENTO]],"mmm")</f>
        <v>Set</v>
      </c>
      <c r="S597" s="71">
        <f t="shared" si="107"/>
        <v>45186</v>
      </c>
      <c r="T597" s="72">
        <f ca="1">Tabla1[[#This Row],[EMISION]]+Tabla1[[#This Row],[PLAZO]]-TODAY()</f>
        <v>-183</v>
      </c>
      <c r="U597" s="80">
        <f t="shared" ca="1" si="108"/>
        <v>0</v>
      </c>
      <c r="V597" s="72"/>
      <c r="W597" s="73" t="s">
        <v>14307</v>
      </c>
      <c r="X597" s="65">
        <v>20</v>
      </c>
      <c r="Y597" s="65"/>
      <c r="Z597" s="65"/>
      <c r="AA597" s="65"/>
      <c r="AB597" s="65"/>
      <c r="AC597" s="65"/>
      <c r="AD597" s="65"/>
      <c r="AE597" s="65"/>
      <c r="AF597" s="68"/>
      <c r="AG597" s="66">
        <v>45197</v>
      </c>
      <c r="AH597" s="67" t="s">
        <v>14308</v>
      </c>
      <c r="AI597" s="65" t="s">
        <v>3060</v>
      </c>
      <c r="AJ597" s="65"/>
      <c r="AK597" s="97">
        <f t="shared" ca="1" si="106"/>
        <v>183</v>
      </c>
      <c r="AL597">
        <f>IFERROR(VLOOKUP(A597,'DATA CLIENTES'!B4894:I8284,6,FALSE),0)</f>
        <v>0</v>
      </c>
    </row>
    <row r="598" spans="1:38" x14ac:dyDescent="0.25">
      <c r="A598" s="93" t="s">
        <v>10260</v>
      </c>
      <c r="B598" s="68" t="s">
        <v>10261</v>
      </c>
      <c r="C598" s="65"/>
      <c r="D598" s="65"/>
      <c r="E598" s="65"/>
      <c r="F598" s="69" t="s">
        <v>14559</v>
      </c>
      <c r="G598" s="70"/>
      <c r="H598" s="65">
        <v>5500006082</v>
      </c>
      <c r="I598" s="75">
        <v>583.79999999999995</v>
      </c>
      <c r="J598" s="75">
        <v>583.79999999999995</v>
      </c>
      <c r="K598" s="75"/>
      <c r="L598" s="75"/>
      <c r="M598" s="75"/>
      <c r="N598" s="75">
        <f>Tabla1[[#This Row],[IMPORTE APROBADO]]-Tabla1[[#This Row],[AMORTIZACION2]]</f>
        <v>0</v>
      </c>
      <c r="O598" s="65" t="str">
        <f>TEXT(Tabla1[[#This Row],[EMISION]],"mmm")</f>
        <v>Ago</v>
      </c>
      <c r="P598" s="65" t="str">
        <f>TEXT(Tabla1[[#This Row],[EMISION]],"YYYY")</f>
        <v>2023</v>
      </c>
      <c r="Q598" s="71">
        <v>45167</v>
      </c>
      <c r="R598" s="65" t="str">
        <f>TEXT(Tabla1[[#This Row],[VENCIMIENTO]],"mmm")</f>
        <v>Set</v>
      </c>
      <c r="S598" s="71">
        <f t="shared" si="107"/>
        <v>45187</v>
      </c>
      <c r="T598" s="72">
        <f ca="1">Tabla1[[#This Row],[EMISION]]+Tabla1[[#This Row],[PLAZO]]-TODAY()</f>
        <v>-182</v>
      </c>
      <c r="U598" s="80">
        <f t="shared" ca="1" si="108"/>
        <v>0</v>
      </c>
      <c r="V598" s="72"/>
      <c r="W598" s="73" t="s">
        <v>14307</v>
      </c>
      <c r="X598" s="65">
        <v>20</v>
      </c>
      <c r="Y598" s="65"/>
      <c r="Z598" s="65"/>
      <c r="AA598" s="65"/>
      <c r="AB598" s="65"/>
      <c r="AC598" s="65"/>
      <c r="AD598" s="65"/>
      <c r="AE598" s="65"/>
      <c r="AF598" s="68"/>
      <c r="AG598" s="66">
        <v>45191</v>
      </c>
      <c r="AH598" s="67" t="s">
        <v>14308</v>
      </c>
      <c r="AI598" s="65" t="s">
        <v>3060</v>
      </c>
      <c r="AJ598" s="65"/>
      <c r="AK598" s="97">
        <f t="shared" ca="1" si="106"/>
        <v>182</v>
      </c>
      <c r="AL598">
        <f>IFERROR(VLOOKUP(A598,'DATA CLIENTES'!B4895:I8284,6,FALSE),0)</f>
        <v>0</v>
      </c>
    </row>
    <row r="599" spans="1:38" x14ac:dyDescent="0.25">
      <c r="A599" s="93" t="s">
        <v>9412</v>
      </c>
      <c r="B599" s="68" t="s">
        <v>9413</v>
      </c>
      <c r="C599" s="65"/>
      <c r="D599" s="65"/>
      <c r="E599" s="65"/>
      <c r="F599" s="69" t="s">
        <v>14559</v>
      </c>
      <c r="G599" s="70"/>
      <c r="H599" s="65">
        <v>5500000394</v>
      </c>
      <c r="I599" s="75">
        <v>1289.96</v>
      </c>
      <c r="J599" s="75">
        <f>300+200+200+200+200+189.96</f>
        <v>1289.96</v>
      </c>
      <c r="K599" s="75"/>
      <c r="L599" s="75"/>
      <c r="M599" s="75"/>
      <c r="N599" s="75">
        <f>Tabla1[[#This Row],[IMPORTE APROBADO]]-Tabla1[[#This Row],[AMORTIZACION2]]</f>
        <v>0</v>
      </c>
      <c r="O599" s="65" t="str">
        <f>TEXT(Tabla1[[#This Row],[EMISION]],"mmm")</f>
        <v>Ago</v>
      </c>
      <c r="P599" s="65" t="str">
        <f>TEXT(Tabla1[[#This Row],[EMISION]],"YYYY")</f>
        <v>2023</v>
      </c>
      <c r="Q599" s="71">
        <v>45167</v>
      </c>
      <c r="R599" s="65" t="str">
        <f>TEXT(Tabla1[[#This Row],[VENCIMIENTO]],"mmm")</f>
        <v>Set</v>
      </c>
      <c r="S599" s="71">
        <f t="shared" si="107"/>
        <v>45187</v>
      </c>
      <c r="T599" s="72">
        <f ca="1">Tabla1[[#This Row],[EMISION]]+Tabla1[[#This Row],[PLAZO]]-TODAY()</f>
        <v>-182</v>
      </c>
      <c r="U599" s="80">
        <f t="shared" ca="1" si="108"/>
        <v>0</v>
      </c>
      <c r="V599" s="72"/>
      <c r="W599" s="73" t="s">
        <v>14307</v>
      </c>
      <c r="X599" s="65">
        <v>20</v>
      </c>
      <c r="Y599" s="65"/>
      <c r="Z599" s="65"/>
      <c r="AA599" s="65"/>
      <c r="AB599" s="65"/>
      <c r="AC599" s="65"/>
      <c r="AD599" s="65"/>
      <c r="AE599" s="65"/>
      <c r="AF599" s="68"/>
      <c r="AG599" s="66">
        <v>45215</v>
      </c>
      <c r="AH599" s="67" t="s">
        <v>14308</v>
      </c>
      <c r="AI599" s="65" t="s">
        <v>3060</v>
      </c>
      <c r="AJ599" s="65"/>
      <c r="AK599" s="97">
        <f t="shared" ca="1" si="106"/>
        <v>182</v>
      </c>
      <c r="AL599">
        <f>IFERROR(VLOOKUP(A599,'DATA CLIENTES'!B4896:I8284,6,FALSE),0)</f>
        <v>0</v>
      </c>
    </row>
    <row r="600" spans="1:38" x14ac:dyDescent="0.25">
      <c r="A600" s="93" t="s">
        <v>7188</v>
      </c>
      <c r="B600" s="68" t="s">
        <v>7189</v>
      </c>
      <c r="C600" s="65"/>
      <c r="D600" s="65"/>
      <c r="E600" s="65"/>
      <c r="F600" s="69" t="s">
        <v>14804</v>
      </c>
      <c r="G600" s="70"/>
      <c r="H600" s="65">
        <v>5500006083</v>
      </c>
      <c r="I600" s="75">
        <v>1363.64</v>
      </c>
      <c r="J600" s="75">
        <f>663.6+700</f>
        <v>1363.6</v>
      </c>
      <c r="K600" s="75"/>
      <c r="L600" s="75"/>
      <c r="M600" s="75"/>
      <c r="N600" s="75">
        <f>Tabla1[[#This Row],[IMPORTE APROBADO]]-Tabla1[[#This Row],[AMORTIZACION2]]</f>
        <v>4.0000000000190994E-2</v>
      </c>
      <c r="O600" s="65" t="str">
        <f>TEXT(Tabla1[[#This Row],[EMISION]],"mmm")</f>
        <v>Ago</v>
      </c>
      <c r="P600" s="65" t="str">
        <f>TEXT(Tabla1[[#This Row],[EMISION]],"YYYY")</f>
        <v>2023</v>
      </c>
      <c r="Q600" s="71">
        <v>45167</v>
      </c>
      <c r="R600" s="65" t="str">
        <f>TEXT(Tabla1[[#This Row],[VENCIMIENTO]],"mmm")</f>
        <v>Set</v>
      </c>
      <c r="S600" s="71">
        <f t="shared" si="107"/>
        <v>45187</v>
      </c>
      <c r="T600" s="72">
        <f ca="1">Tabla1[[#This Row],[EMISION]]+Tabla1[[#This Row],[PLAZO]]-TODAY()</f>
        <v>-182</v>
      </c>
      <c r="U600" s="80">
        <f t="shared" ca="1" si="108"/>
        <v>0</v>
      </c>
      <c r="V600" s="72"/>
      <c r="W600" s="73" t="s">
        <v>14307</v>
      </c>
      <c r="X600" s="65">
        <v>20</v>
      </c>
      <c r="Y600" s="65"/>
      <c r="Z600" s="65"/>
      <c r="AA600" s="65"/>
      <c r="AB600" s="65"/>
      <c r="AC600" s="65"/>
      <c r="AD600" s="65"/>
      <c r="AE600" s="65"/>
      <c r="AF600" s="68"/>
      <c r="AG600" s="66">
        <v>45195</v>
      </c>
      <c r="AH600" s="67" t="s">
        <v>14308</v>
      </c>
      <c r="AI600" s="65" t="s">
        <v>3060</v>
      </c>
      <c r="AJ600" s="65"/>
      <c r="AK600" s="97">
        <f t="shared" ca="1" si="106"/>
        <v>182</v>
      </c>
      <c r="AL600">
        <f>IFERROR(VLOOKUP(A600,'DATA CLIENTES'!B4897:I8284,6,FALSE),0)</f>
        <v>0</v>
      </c>
    </row>
    <row r="601" spans="1:38" x14ac:dyDescent="0.25">
      <c r="A601" s="93" t="s">
        <v>6419</v>
      </c>
      <c r="B601" s="68" t="s">
        <v>14813</v>
      </c>
      <c r="C601" s="65"/>
      <c r="D601" s="65"/>
      <c r="E601" s="65"/>
      <c r="F601" s="69" t="s">
        <v>14559</v>
      </c>
      <c r="G601" s="70"/>
      <c r="H601" s="65">
        <v>5500006093</v>
      </c>
      <c r="I601" s="75">
        <v>473</v>
      </c>
      <c r="J601" s="75">
        <f>50+423</f>
        <v>473</v>
      </c>
      <c r="K601" s="75"/>
      <c r="L601" s="75"/>
      <c r="M601" s="75"/>
      <c r="N601" s="75">
        <f>Tabla1[[#This Row],[IMPORTE APROBADO]]-Tabla1[[#This Row],[AMORTIZACION2]]</f>
        <v>0</v>
      </c>
      <c r="O601" s="65" t="str">
        <f>TEXT(Tabla1[[#This Row],[EMISION]],"mmm")</f>
        <v>Ago</v>
      </c>
      <c r="P601" s="65" t="str">
        <f>TEXT(Tabla1[[#This Row],[EMISION]],"YYYY")</f>
        <v>2023</v>
      </c>
      <c r="Q601" s="71">
        <v>45169</v>
      </c>
      <c r="R601" s="65" t="str">
        <f>TEXT(Tabla1[[#This Row],[VENCIMIENTO]],"mmm")</f>
        <v>Set</v>
      </c>
      <c r="S601" s="71">
        <f t="shared" si="107"/>
        <v>45189</v>
      </c>
      <c r="T601" s="72">
        <f ca="1">Tabla1[[#This Row],[EMISION]]+Tabla1[[#This Row],[PLAZO]]-TODAY()</f>
        <v>-180</v>
      </c>
      <c r="U601" s="80">
        <f t="shared" ca="1" si="108"/>
        <v>0</v>
      </c>
      <c r="V601" s="72"/>
      <c r="W601" s="73" t="s">
        <v>14307</v>
      </c>
      <c r="X601" s="65">
        <v>20</v>
      </c>
      <c r="Y601" s="65"/>
      <c r="Z601" s="65"/>
      <c r="AA601" s="65"/>
      <c r="AB601" s="65"/>
      <c r="AC601" s="65"/>
      <c r="AD601" s="65"/>
      <c r="AE601" s="65"/>
      <c r="AF601" s="68"/>
      <c r="AG601" s="66">
        <v>45189</v>
      </c>
      <c r="AH601" s="67" t="s">
        <v>14308</v>
      </c>
      <c r="AI601" s="65" t="s">
        <v>3060</v>
      </c>
      <c r="AJ601" s="65"/>
      <c r="AK601" s="97">
        <f t="shared" ca="1" si="106"/>
        <v>180</v>
      </c>
      <c r="AL601">
        <f>IFERROR(VLOOKUP(A601,'DATA CLIENTES'!B4898:I8284,6,FALSE),0)</f>
        <v>0</v>
      </c>
    </row>
    <row r="602" spans="1:38" x14ac:dyDescent="0.25">
      <c r="A602" s="93" t="s">
        <v>6419</v>
      </c>
      <c r="B602" s="68" t="s">
        <v>14813</v>
      </c>
      <c r="C602" s="65"/>
      <c r="D602" s="65"/>
      <c r="E602" s="65"/>
      <c r="F602" s="69" t="s">
        <v>14559</v>
      </c>
      <c r="G602" s="70"/>
      <c r="H602" s="65">
        <v>5500006094</v>
      </c>
      <c r="I602" s="75">
        <v>933.00999999999988</v>
      </c>
      <c r="J602" s="75">
        <f>377+56+300+200</f>
        <v>933</v>
      </c>
      <c r="K602" s="75"/>
      <c r="L602" s="75"/>
      <c r="M602" s="75"/>
      <c r="N602" s="75">
        <f>Tabla1[[#This Row],[IMPORTE APROBADO]]-Tabla1[[#This Row],[AMORTIZACION2]]</f>
        <v>9.9999999998772182E-3</v>
      </c>
      <c r="O602" s="65" t="str">
        <f>TEXT(Tabla1[[#This Row],[EMISION]],"mmm")</f>
        <v>Ago</v>
      </c>
      <c r="P602" s="65" t="str">
        <f>TEXT(Tabla1[[#This Row],[EMISION]],"YYYY")</f>
        <v>2023</v>
      </c>
      <c r="Q602" s="71">
        <v>45169</v>
      </c>
      <c r="R602" s="65" t="str">
        <f>TEXT(Tabla1[[#This Row],[VENCIMIENTO]],"mmm")</f>
        <v>Set</v>
      </c>
      <c r="S602" s="71">
        <f t="shared" si="107"/>
        <v>45189</v>
      </c>
      <c r="T602" s="72">
        <f ca="1">Tabla1[[#This Row],[EMISION]]+Tabla1[[#This Row],[PLAZO]]-TODAY()</f>
        <v>-180</v>
      </c>
      <c r="U602" s="80">
        <f t="shared" ca="1" si="108"/>
        <v>0</v>
      </c>
      <c r="V602" s="72"/>
      <c r="W602" s="73" t="s">
        <v>14307</v>
      </c>
      <c r="X602" s="65">
        <v>20</v>
      </c>
      <c r="Y602" s="65"/>
      <c r="Z602" s="65"/>
      <c r="AA602" s="65"/>
      <c r="AB602" s="65"/>
      <c r="AC602" s="65"/>
      <c r="AD602" s="65"/>
      <c r="AE602" s="65"/>
      <c r="AF602" s="68"/>
      <c r="AG602" s="66">
        <v>45196</v>
      </c>
      <c r="AH602" s="67" t="s">
        <v>14308</v>
      </c>
      <c r="AI602" s="65" t="s">
        <v>3060</v>
      </c>
      <c r="AJ602" s="65"/>
      <c r="AK602" s="97">
        <f t="shared" ca="1" si="106"/>
        <v>180</v>
      </c>
      <c r="AL602">
        <f>IFERROR(VLOOKUP(A602,'DATA CLIENTES'!B4899:I8284,6,FALSE),0)</f>
        <v>0</v>
      </c>
    </row>
    <row r="603" spans="1:38" x14ac:dyDescent="0.25">
      <c r="A603" s="93" t="s">
        <v>10061</v>
      </c>
      <c r="B603" s="68" t="s">
        <v>10062</v>
      </c>
      <c r="C603" s="65"/>
      <c r="D603" s="65"/>
      <c r="E603" s="65"/>
      <c r="F603" s="69" t="s">
        <v>14812</v>
      </c>
      <c r="G603" s="70"/>
      <c r="H603" s="65">
        <v>5500000026</v>
      </c>
      <c r="I603" s="75">
        <v>-9150</v>
      </c>
      <c r="J603" s="75"/>
      <c r="K603" s="75"/>
      <c r="L603" s="75"/>
      <c r="M603" s="75"/>
      <c r="N603" s="75">
        <f>Tabla1[[#This Row],[IMPORTE APROBADO]]-Tabla1[[#This Row],[AMORTIZACION2]]</f>
        <v>-9150</v>
      </c>
      <c r="O603" s="65" t="str">
        <f>TEXT(Tabla1[[#This Row],[EMISION]],"mmm")</f>
        <v>Ago</v>
      </c>
      <c r="P603" s="65" t="str">
        <f>TEXT(Tabla1[[#This Row],[EMISION]],"YYYY")</f>
        <v>2023</v>
      </c>
      <c r="Q603" s="71">
        <v>45169</v>
      </c>
      <c r="R603" s="65" t="str">
        <f>TEXT(Tabla1[[#This Row],[VENCIMIENTO]],"mmm")</f>
        <v>Set</v>
      </c>
      <c r="S603" s="71">
        <f t="shared" ref="S603" si="109">Q603+X603</f>
        <v>45189</v>
      </c>
      <c r="T603" s="72">
        <f ca="1">Tabla1[[#This Row],[EMISION]]+Tabla1[[#This Row],[PLAZO]]-TODAY()</f>
        <v>-180</v>
      </c>
      <c r="U603" s="80">
        <f t="shared" ref="U603" ca="1" si="110">IF(T603&gt;=0,$U$4,IF(AND(T603&lt;=-1,T603&gt;=-30),$U$5,IF(AND(T603&lt;=-31,T603&gt;=-60),$U$6,IF(AND(T603&lt;=-61,T603&gt;=-90),$U$7,$U$8))))</f>
        <v>0</v>
      </c>
      <c r="V603" s="72"/>
      <c r="W603" s="73" t="s">
        <v>14307</v>
      </c>
      <c r="X603" s="65">
        <v>20</v>
      </c>
      <c r="Y603" s="65"/>
      <c r="Z603" s="65"/>
      <c r="AA603" s="65"/>
      <c r="AB603" s="65"/>
      <c r="AC603" s="65"/>
      <c r="AD603" s="65"/>
      <c r="AE603" s="65"/>
      <c r="AF603" s="68"/>
      <c r="AG603" s="66">
        <v>45169</v>
      </c>
      <c r="AH603" s="67" t="s">
        <v>14308</v>
      </c>
      <c r="AI603" s="65" t="s">
        <v>3060</v>
      </c>
      <c r="AJ603" s="65"/>
      <c r="AK603" s="97">
        <f t="shared" ca="1" si="106"/>
        <v>180</v>
      </c>
      <c r="AL603">
        <f>IFERROR(VLOOKUP(A603,'DATA CLIENTES'!B4900:I8284,6,FALSE),0)</f>
        <v>0</v>
      </c>
    </row>
    <row r="604" spans="1:38" x14ac:dyDescent="0.25">
      <c r="A604" s="93" t="s">
        <v>6999</v>
      </c>
      <c r="B604" s="68" t="s">
        <v>7000</v>
      </c>
      <c r="C604" s="65"/>
      <c r="D604" s="65"/>
      <c r="E604" s="65"/>
      <c r="F604" s="69" t="s">
        <v>14809</v>
      </c>
      <c r="G604" s="70"/>
      <c r="H604" s="65">
        <v>5600000180</v>
      </c>
      <c r="I604" s="75">
        <v>1576.5</v>
      </c>
      <c r="J604" s="75"/>
      <c r="K604" s="75"/>
      <c r="L604" s="75"/>
      <c r="M604" s="75"/>
      <c r="N604" s="75">
        <f>Tabla1[[#This Row],[IMPORTE APROBADO]]-Tabla1[[#This Row],[AMORTIZACION2]]</f>
        <v>1576.5</v>
      </c>
      <c r="O604" s="65" t="str">
        <f>TEXT(Tabla1[[#This Row],[EMISION]],"mmm")</f>
        <v>Set</v>
      </c>
      <c r="P604" s="65" t="str">
        <f>TEXT(Tabla1[[#This Row],[EMISION]],"YYYY")</f>
        <v>2023</v>
      </c>
      <c r="Q604" s="71">
        <v>45172</v>
      </c>
      <c r="R604" s="65" t="str">
        <f>TEXT(Tabla1[[#This Row],[VENCIMIENTO]],"mmm")</f>
        <v>Oct</v>
      </c>
      <c r="S604" s="71">
        <f t="shared" ref="S604:S608" si="111">Q604+X604</f>
        <v>45202</v>
      </c>
      <c r="T604" s="72">
        <f ca="1">Tabla1[[#This Row],[EMISION]]+Tabla1[[#This Row],[PLAZO]]-TODAY()</f>
        <v>-167</v>
      </c>
      <c r="U604" s="80">
        <f t="shared" ref="U604:U608" ca="1" si="112">IF(T604&gt;=0,$U$4,IF(AND(T604&lt;=-1,T604&gt;=-30),$U$5,IF(AND(T604&lt;=-31,T604&gt;=-60),$U$6,IF(AND(T604&lt;=-61,T604&gt;=-90),$U$7,$U$8))))</f>
        <v>0</v>
      </c>
      <c r="V604" s="72"/>
      <c r="W604" s="73" t="s">
        <v>14307</v>
      </c>
      <c r="X604" s="65">
        <v>30</v>
      </c>
      <c r="Y604" s="65"/>
      <c r="Z604" s="65"/>
      <c r="AA604" s="65"/>
      <c r="AB604" s="65"/>
      <c r="AC604" s="65"/>
      <c r="AD604" s="65"/>
      <c r="AE604" s="65"/>
      <c r="AF604" s="68"/>
      <c r="AG604" s="66"/>
      <c r="AH604" s="67" t="s">
        <v>14313</v>
      </c>
      <c r="AI604" s="65" t="s">
        <v>3060</v>
      </c>
      <c r="AJ604" s="65"/>
      <c r="AK604" s="97">
        <f t="shared" ca="1" si="106"/>
        <v>167</v>
      </c>
      <c r="AL604">
        <f>IFERROR(VLOOKUP(A604,'DATA CLIENTES'!B4901:I8284,6,FALSE),0)</f>
        <v>0</v>
      </c>
    </row>
    <row r="605" spans="1:38" x14ac:dyDescent="0.25">
      <c r="A605" s="93" t="s">
        <v>5743</v>
      </c>
      <c r="B605" s="68" t="s">
        <v>14806</v>
      </c>
      <c r="C605" s="65"/>
      <c r="D605" s="65"/>
      <c r="E605" s="65"/>
      <c r="F605" s="69" t="s">
        <v>14559</v>
      </c>
      <c r="G605" s="70"/>
      <c r="H605" s="65">
        <v>5500006104</v>
      </c>
      <c r="I605" s="75">
        <v>1002.9499999999999</v>
      </c>
      <c r="J605" s="75">
        <f>300+300+200+200+2.95</f>
        <v>1002.95</v>
      </c>
      <c r="K605" s="75"/>
      <c r="L605" s="75"/>
      <c r="M605" s="75"/>
      <c r="N605" s="75">
        <f>Tabla1[[#This Row],[IMPORTE APROBADO]]-Tabla1[[#This Row],[AMORTIZACION2]]</f>
        <v>0</v>
      </c>
      <c r="O605" s="65" t="str">
        <f>TEXT(Tabla1[[#This Row],[EMISION]],"mmm")</f>
        <v>Set</v>
      </c>
      <c r="P605" s="65" t="str">
        <f>TEXT(Tabla1[[#This Row],[EMISION]],"YYYY")</f>
        <v>2023</v>
      </c>
      <c r="Q605" s="71">
        <v>45172</v>
      </c>
      <c r="R605" s="65" t="str">
        <f>TEXT(Tabla1[[#This Row],[VENCIMIENTO]],"mmm")</f>
        <v>Oct</v>
      </c>
      <c r="S605" s="71">
        <f t="shared" si="111"/>
        <v>45202</v>
      </c>
      <c r="T605" s="72">
        <f ca="1">Tabla1[[#This Row],[EMISION]]+Tabla1[[#This Row],[PLAZO]]-TODAY()</f>
        <v>-167</v>
      </c>
      <c r="U605" s="80">
        <f t="shared" ca="1" si="112"/>
        <v>0</v>
      </c>
      <c r="V605" s="72"/>
      <c r="W605" s="73" t="s">
        <v>14307</v>
      </c>
      <c r="X605" s="65">
        <v>30</v>
      </c>
      <c r="Y605" s="65"/>
      <c r="Z605" s="65"/>
      <c r="AA605" s="65"/>
      <c r="AB605" s="65"/>
      <c r="AC605" s="65"/>
      <c r="AD605" s="65"/>
      <c r="AE605" s="65"/>
      <c r="AF605" s="68"/>
      <c r="AG605" s="66">
        <v>45240</v>
      </c>
      <c r="AH605" s="67" t="s">
        <v>14308</v>
      </c>
      <c r="AI605" s="65" t="s">
        <v>3060</v>
      </c>
      <c r="AJ605" s="65"/>
      <c r="AK605" s="97">
        <f t="shared" ca="1" si="106"/>
        <v>167</v>
      </c>
      <c r="AL605">
        <f>IFERROR(VLOOKUP(A605,'DATA CLIENTES'!B4902:I8284,6,FALSE),0)</f>
        <v>0</v>
      </c>
    </row>
    <row r="606" spans="1:38" x14ac:dyDescent="0.25">
      <c r="A606" s="93" t="s">
        <v>5641</v>
      </c>
      <c r="B606" s="68" t="s">
        <v>5642</v>
      </c>
      <c r="C606" s="65"/>
      <c r="D606" s="65"/>
      <c r="E606" s="65"/>
      <c r="F606" s="69" t="s">
        <v>14809</v>
      </c>
      <c r="G606" s="70"/>
      <c r="H606" s="65">
        <v>5600000178</v>
      </c>
      <c r="I606" s="75">
        <v>3154</v>
      </c>
      <c r="J606" s="75">
        <f>1051+1051+1051</f>
        <v>3153</v>
      </c>
      <c r="K606" s="75"/>
      <c r="L606" s="75"/>
      <c r="M606" s="75"/>
      <c r="N606" s="75">
        <f>Tabla1[[#This Row],[IMPORTE APROBADO]]-Tabla1[[#This Row],[AMORTIZACION2]]</f>
        <v>1</v>
      </c>
      <c r="O606" s="65" t="str">
        <f>TEXT(Tabla1[[#This Row],[EMISION]],"mmm")</f>
        <v>Set</v>
      </c>
      <c r="P606" s="65" t="str">
        <f>TEXT(Tabla1[[#This Row],[EMISION]],"YYYY")</f>
        <v>2023</v>
      </c>
      <c r="Q606" s="71">
        <v>45172</v>
      </c>
      <c r="R606" s="65" t="str">
        <f>TEXT(Tabla1[[#This Row],[VENCIMIENTO]],"mmm")</f>
        <v>Nov</v>
      </c>
      <c r="S606" s="71">
        <f t="shared" si="111"/>
        <v>45232</v>
      </c>
      <c r="T606" s="72">
        <f ca="1">Tabla1[[#This Row],[EMISION]]+Tabla1[[#This Row],[PLAZO]]-TODAY()</f>
        <v>-137</v>
      </c>
      <c r="U606" s="80">
        <f t="shared" ca="1" si="112"/>
        <v>0</v>
      </c>
      <c r="V606" s="72" t="s">
        <v>3070</v>
      </c>
      <c r="W606" s="73" t="s">
        <v>14307</v>
      </c>
      <c r="X606" s="65">
        <v>60</v>
      </c>
      <c r="Y606" s="65"/>
      <c r="Z606" s="65"/>
      <c r="AA606" s="65"/>
      <c r="AB606" s="65"/>
      <c r="AC606" s="65"/>
      <c r="AD606" s="65"/>
      <c r="AE606" s="65"/>
      <c r="AF606" s="68"/>
      <c r="AG606" s="66">
        <v>45233</v>
      </c>
      <c r="AH606" s="67" t="s">
        <v>14308</v>
      </c>
      <c r="AI606" s="65" t="s">
        <v>3060</v>
      </c>
      <c r="AJ606" s="65"/>
      <c r="AK606" s="97">
        <f t="shared" ca="1" si="106"/>
        <v>137</v>
      </c>
      <c r="AL606">
        <f>IFERROR(VLOOKUP(A606,'DATA CLIENTES'!B4903:I8284,6,FALSE),0)</f>
        <v>0</v>
      </c>
    </row>
    <row r="607" spans="1:38" x14ac:dyDescent="0.25">
      <c r="A607" s="93" t="s">
        <v>5743</v>
      </c>
      <c r="B607" s="68" t="s">
        <v>14806</v>
      </c>
      <c r="C607" s="65"/>
      <c r="D607" s="65"/>
      <c r="E607" s="65"/>
      <c r="F607" s="69" t="s">
        <v>14559</v>
      </c>
      <c r="G607" s="70"/>
      <c r="H607" s="65">
        <v>5500006107</v>
      </c>
      <c r="I607" s="75">
        <v>699.7600000000001</v>
      </c>
      <c r="J607" s="75">
        <f>96.05+202.9+200+200</f>
        <v>698.95</v>
      </c>
      <c r="K607" s="75"/>
      <c r="L607" s="75"/>
      <c r="M607" s="75"/>
      <c r="N607" s="75">
        <f>Tabla1[[#This Row],[IMPORTE APROBADO]]-Tabla1[[#This Row],[AMORTIZACION2]]</f>
        <v>0.81000000000005912</v>
      </c>
      <c r="O607" s="65" t="str">
        <f>TEXT(Tabla1[[#This Row],[EMISION]],"mmm")</f>
        <v>Set</v>
      </c>
      <c r="P607" s="65" t="str">
        <f>TEXT(Tabla1[[#This Row],[EMISION]],"YYYY")</f>
        <v>2023</v>
      </c>
      <c r="Q607" s="71">
        <v>45174</v>
      </c>
      <c r="R607" s="65" t="str">
        <f>TEXT(Tabla1[[#This Row],[VENCIMIENTO]],"mmm")</f>
        <v>Oct</v>
      </c>
      <c r="S607" s="71">
        <f t="shared" si="111"/>
        <v>45204</v>
      </c>
      <c r="T607" s="72">
        <f ca="1">Tabla1[[#This Row],[EMISION]]+Tabla1[[#This Row],[PLAZO]]-TODAY()</f>
        <v>-165</v>
      </c>
      <c r="U607" s="80">
        <f t="shared" ca="1" si="112"/>
        <v>0</v>
      </c>
      <c r="V607" s="72"/>
      <c r="W607" s="73" t="s">
        <v>14307</v>
      </c>
      <c r="X607" s="65">
        <v>30</v>
      </c>
      <c r="Y607" s="65"/>
      <c r="Z607" s="65"/>
      <c r="AA607" s="65"/>
      <c r="AB607" s="65"/>
      <c r="AC607" s="65"/>
      <c r="AD607" s="65"/>
      <c r="AE607" s="65"/>
      <c r="AF607" s="68"/>
      <c r="AG607" s="66">
        <v>45259</v>
      </c>
      <c r="AH607" s="67" t="s">
        <v>14308</v>
      </c>
      <c r="AI607" s="65" t="s">
        <v>3060</v>
      </c>
      <c r="AJ607" s="65"/>
      <c r="AK607" s="97">
        <f t="shared" ca="1" si="106"/>
        <v>165</v>
      </c>
      <c r="AL607">
        <f>IFERROR(VLOOKUP(A607,'DATA CLIENTES'!B4904:I8284,6,FALSE),0)</f>
        <v>0</v>
      </c>
    </row>
    <row r="608" spans="1:38" x14ac:dyDescent="0.25">
      <c r="A608" s="93" t="s">
        <v>8786</v>
      </c>
      <c r="B608" s="68" t="s">
        <v>8787</v>
      </c>
      <c r="C608" s="65"/>
      <c r="D608" s="65"/>
      <c r="E608" s="65"/>
      <c r="F608" s="69" t="s">
        <v>14559</v>
      </c>
      <c r="G608" s="70"/>
      <c r="H608" s="65">
        <v>5500006111</v>
      </c>
      <c r="I608" s="75">
        <v>1084.5</v>
      </c>
      <c r="J608" s="75">
        <f>104.5+150+150+200+150+330</f>
        <v>1084.5</v>
      </c>
      <c r="K608" s="75"/>
      <c r="L608" s="75"/>
      <c r="M608" s="75"/>
      <c r="N608" s="75">
        <f>Tabla1[[#This Row],[IMPORTE APROBADO]]-Tabla1[[#This Row],[AMORTIZACION2]]</f>
        <v>0</v>
      </c>
      <c r="O608" s="65" t="str">
        <f>TEXT(Tabla1[[#This Row],[EMISION]],"mmm")</f>
        <v>Set</v>
      </c>
      <c r="P608" s="65" t="str">
        <f>TEXT(Tabla1[[#This Row],[EMISION]],"YYYY")</f>
        <v>2023</v>
      </c>
      <c r="Q608" s="71">
        <v>45175</v>
      </c>
      <c r="R608" s="65" t="str">
        <f>TEXT(Tabla1[[#This Row],[VENCIMIENTO]],"mmm")</f>
        <v>Set</v>
      </c>
      <c r="S608" s="71">
        <f t="shared" si="111"/>
        <v>45195</v>
      </c>
      <c r="T608" s="72">
        <f ca="1">Tabla1[[#This Row],[EMISION]]+Tabla1[[#This Row],[PLAZO]]-TODAY()</f>
        <v>-174</v>
      </c>
      <c r="U608" s="80">
        <f t="shared" ca="1" si="112"/>
        <v>0</v>
      </c>
      <c r="V608" s="72"/>
      <c r="W608" s="73" t="s">
        <v>14307</v>
      </c>
      <c r="X608" s="65">
        <v>20</v>
      </c>
      <c r="Y608" s="65"/>
      <c r="Z608" s="65"/>
      <c r="AA608" s="65"/>
      <c r="AB608" s="65"/>
      <c r="AC608" s="65"/>
      <c r="AD608" s="65"/>
      <c r="AE608" s="65"/>
      <c r="AF608" s="68"/>
      <c r="AG608" s="66">
        <v>45226</v>
      </c>
      <c r="AH608" s="67" t="s">
        <v>14308</v>
      </c>
      <c r="AI608" s="65" t="s">
        <v>3060</v>
      </c>
      <c r="AJ608" s="65"/>
      <c r="AK608" s="97">
        <f t="shared" ca="1" si="106"/>
        <v>174</v>
      </c>
      <c r="AL608">
        <f>IFERROR(VLOOKUP(A608,'DATA CLIENTES'!B4905:I8284,6,FALSE),0)</f>
        <v>0</v>
      </c>
    </row>
    <row r="609" spans="1:38" x14ac:dyDescent="0.25">
      <c r="A609" s="93" t="s">
        <v>5641</v>
      </c>
      <c r="B609" s="68" t="s">
        <v>5642</v>
      </c>
      <c r="C609" s="65"/>
      <c r="D609" s="65"/>
      <c r="E609" s="65"/>
      <c r="F609" s="69" t="s">
        <v>14809</v>
      </c>
      <c r="G609" s="70"/>
      <c r="H609" s="65">
        <v>5600006087</v>
      </c>
      <c r="I609" s="75">
        <v>2500</v>
      </c>
      <c r="J609" s="75">
        <f>1000+750+750</f>
        <v>2500</v>
      </c>
      <c r="K609" s="75"/>
      <c r="L609" s="75"/>
      <c r="M609" s="75"/>
      <c r="N609" s="75">
        <f>Tabla1[[#This Row],[IMPORTE APROBADO]]-Tabla1[[#This Row],[AMORTIZACION2]]</f>
        <v>0</v>
      </c>
      <c r="O609" s="65" t="str">
        <f>TEXT(Tabla1[[#This Row],[EMISION]],"mmm")</f>
        <v>Set</v>
      </c>
      <c r="P609" s="65" t="str">
        <f>TEXT(Tabla1[[#This Row],[EMISION]],"YYYY")</f>
        <v>2023</v>
      </c>
      <c r="Q609" s="71">
        <v>45178</v>
      </c>
      <c r="R609" s="65" t="str">
        <f>TEXT(Tabla1[[#This Row],[VENCIMIENTO]],"mmm")</f>
        <v>Nov</v>
      </c>
      <c r="S609" s="71">
        <f t="shared" ref="S609:S627" si="113">Q609+X609</f>
        <v>45238</v>
      </c>
      <c r="T609" s="72">
        <f ca="1">Tabla1[[#This Row],[EMISION]]+Tabla1[[#This Row],[PLAZO]]-TODAY()</f>
        <v>-131</v>
      </c>
      <c r="U609" s="80">
        <f t="shared" ref="U609:U627" ca="1" si="114">IF(T609&gt;=0,$U$4,IF(AND(T609&lt;=-1,T609&gt;=-30),$U$5,IF(AND(T609&lt;=-31,T609&gt;=-60),$U$6,IF(AND(T609&lt;=-61,T609&gt;=-90),$U$7,$U$8))))</f>
        <v>0</v>
      </c>
      <c r="V609" s="72"/>
      <c r="W609" s="73" t="s">
        <v>14307</v>
      </c>
      <c r="X609" s="65">
        <v>60</v>
      </c>
      <c r="Y609" s="65"/>
      <c r="Z609" s="65"/>
      <c r="AA609" s="65"/>
      <c r="AB609" s="65"/>
      <c r="AC609" s="65"/>
      <c r="AD609" s="65"/>
      <c r="AE609" s="65"/>
      <c r="AF609" s="68"/>
      <c r="AG609" s="66">
        <v>45233</v>
      </c>
      <c r="AH609" s="67" t="s">
        <v>14308</v>
      </c>
      <c r="AI609" s="65" t="s">
        <v>3060</v>
      </c>
      <c r="AJ609" s="65"/>
      <c r="AK609" s="97">
        <f t="shared" ca="1" si="106"/>
        <v>131</v>
      </c>
      <c r="AL609">
        <f>IFERROR(VLOOKUP(A609,'DATA CLIENTES'!B4906:I8284,6,FALSE),0)</f>
        <v>0</v>
      </c>
    </row>
    <row r="610" spans="1:38" x14ac:dyDescent="0.25">
      <c r="A610" s="93" t="s">
        <v>10222</v>
      </c>
      <c r="B610" s="68" t="s">
        <v>10223</v>
      </c>
      <c r="C610" s="65"/>
      <c r="D610" s="65"/>
      <c r="E610" s="65"/>
      <c r="F610" s="69" t="s">
        <v>14559</v>
      </c>
      <c r="G610" s="70"/>
      <c r="H610" s="65">
        <v>5500006127</v>
      </c>
      <c r="I610" s="75">
        <v>386.82</v>
      </c>
      <c r="J610" s="75">
        <f>300+86.82</f>
        <v>386.82</v>
      </c>
      <c r="K610" s="75"/>
      <c r="L610" s="75"/>
      <c r="M610" s="75"/>
      <c r="N610" s="75">
        <f>Tabla1[[#This Row],[IMPORTE APROBADO]]-Tabla1[[#This Row],[AMORTIZACION2]]</f>
        <v>0</v>
      </c>
      <c r="O610" s="65" t="str">
        <f>TEXT(Tabla1[[#This Row],[EMISION]],"mmm")</f>
        <v>Set</v>
      </c>
      <c r="P610" s="65" t="str">
        <f>TEXT(Tabla1[[#This Row],[EMISION]],"YYYY")</f>
        <v>2023</v>
      </c>
      <c r="Q610" s="71">
        <v>45180</v>
      </c>
      <c r="R610" s="65" t="str">
        <f>TEXT(Tabla1[[#This Row],[VENCIMIENTO]],"mmm")</f>
        <v>Set</v>
      </c>
      <c r="S610" s="71">
        <f t="shared" si="113"/>
        <v>45195</v>
      </c>
      <c r="T610" s="72">
        <f ca="1">Tabla1[[#This Row],[EMISION]]+Tabla1[[#This Row],[PLAZO]]-TODAY()</f>
        <v>-174</v>
      </c>
      <c r="U610" s="80">
        <f t="shared" ca="1" si="114"/>
        <v>0</v>
      </c>
      <c r="V610" s="72"/>
      <c r="W610" s="73" t="s">
        <v>14307</v>
      </c>
      <c r="X610" s="65">
        <v>15</v>
      </c>
      <c r="Y610" s="65"/>
      <c r="Z610" s="65"/>
      <c r="AA610" s="65"/>
      <c r="AB610" s="65"/>
      <c r="AC610" s="65"/>
      <c r="AD610" s="65"/>
      <c r="AE610" s="65"/>
      <c r="AF610" s="68"/>
      <c r="AG610" s="66">
        <v>45202</v>
      </c>
      <c r="AH610" s="67" t="s">
        <v>14308</v>
      </c>
      <c r="AI610" s="65" t="s">
        <v>3060</v>
      </c>
      <c r="AJ610" s="65"/>
      <c r="AK610" s="97">
        <f t="shared" ca="1" si="106"/>
        <v>174</v>
      </c>
      <c r="AL610">
        <f>IFERROR(VLOOKUP(A610,'DATA CLIENTES'!B4907:I8284,6,FALSE),0)</f>
        <v>0</v>
      </c>
    </row>
    <row r="611" spans="1:38" x14ac:dyDescent="0.25">
      <c r="A611" s="93" t="s">
        <v>7718</v>
      </c>
      <c r="B611" s="68" t="s">
        <v>7719</v>
      </c>
      <c r="C611" s="65"/>
      <c r="D611" s="65"/>
      <c r="E611" s="65"/>
      <c r="F611" s="69" t="s">
        <v>14809</v>
      </c>
      <c r="G611" s="70"/>
      <c r="H611" s="65">
        <v>5600006089</v>
      </c>
      <c r="I611" s="75">
        <v>3000</v>
      </c>
      <c r="J611" s="75">
        <v>3000</v>
      </c>
      <c r="K611" s="75"/>
      <c r="L611" s="75"/>
      <c r="M611" s="75"/>
      <c r="N611" s="75">
        <f>Tabla1[[#This Row],[IMPORTE APROBADO]]-Tabla1[[#This Row],[AMORTIZACION2]]</f>
        <v>0</v>
      </c>
      <c r="O611" s="65" t="str">
        <f>TEXT(Tabla1[[#This Row],[EMISION]],"mmm")</f>
        <v>Set</v>
      </c>
      <c r="P611" s="65" t="str">
        <f>TEXT(Tabla1[[#This Row],[EMISION]],"YYYY")</f>
        <v>2023</v>
      </c>
      <c r="Q611" s="71">
        <v>45180</v>
      </c>
      <c r="R611" s="65" t="str">
        <f>TEXT(Tabla1[[#This Row],[VENCIMIENTO]],"mmm")</f>
        <v>Set</v>
      </c>
      <c r="S611" s="71">
        <f t="shared" si="113"/>
        <v>45187</v>
      </c>
      <c r="T611" s="72">
        <f ca="1">Tabla1[[#This Row],[EMISION]]+Tabla1[[#This Row],[PLAZO]]-TODAY()</f>
        <v>-182</v>
      </c>
      <c r="U611" s="80">
        <f t="shared" ca="1" si="114"/>
        <v>0</v>
      </c>
      <c r="V611" s="72" t="s">
        <v>3070</v>
      </c>
      <c r="W611" s="73" t="s">
        <v>14307</v>
      </c>
      <c r="X611" s="65">
        <v>7</v>
      </c>
      <c r="Y611" s="65"/>
      <c r="Z611" s="65"/>
      <c r="AA611" s="65"/>
      <c r="AB611" s="65"/>
      <c r="AC611" s="65"/>
      <c r="AD611" s="65"/>
      <c r="AE611" s="65"/>
      <c r="AF611" s="68"/>
      <c r="AG611" s="66">
        <v>45185</v>
      </c>
      <c r="AH611" s="67" t="s">
        <v>14308</v>
      </c>
      <c r="AI611" s="65" t="s">
        <v>3060</v>
      </c>
      <c r="AJ611" s="65"/>
      <c r="AK611" s="97">
        <f t="shared" ca="1" si="106"/>
        <v>182</v>
      </c>
      <c r="AL611">
        <f>IFERROR(VLOOKUP(A611,'DATA CLIENTES'!B4908:I8284,6,FALSE),0)</f>
        <v>0</v>
      </c>
    </row>
    <row r="612" spans="1:38" x14ac:dyDescent="0.25">
      <c r="A612" s="93" t="s">
        <v>8358</v>
      </c>
      <c r="B612" s="68" t="s">
        <v>8359</v>
      </c>
      <c r="C612" s="65"/>
      <c r="D612" s="65"/>
      <c r="E612" s="65"/>
      <c r="F612" s="69" t="s">
        <v>14559</v>
      </c>
      <c r="G612" s="70"/>
      <c r="H612" s="65">
        <v>5500006144</v>
      </c>
      <c r="I612" s="75">
        <v>4450</v>
      </c>
      <c r="J612" s="75">
        <f>4450</f>
        <v>4450</v>
      </c>
      <c r="K612" s="75"/>
      <c r="L612" s="75"/>
      <c r="M612" s="75"/>
      <c r="N612" s="75">
        <f>Tabla1[[#This Row],[IMPORTE APROBADO]]-Tabla1[[#This Row],[AMORTIZACION2]]</f>
        <v>0</v>
      </c>
      <c r="O612" s="65" t="str">
        <f>TEXT(Tabla1[[#This Row],[EMISION]],"mmm")</f>
        <v>Set</v>
      </c>
      <c r="P612" s="65" t="str">
        <f>TEXT(Tabla1[[#This Row],[EMISION]],"YYYY")</f>
        <v>2023</v>
      </c>
      <c r="Q612" s="71">
        <v>45182</v>
      </c>
      <c r="R612" s="65" t="str">
        <f>TEXT(Tabla1[[#This Row],[VENCIMIENTO]],"mmm")</f>
        <v>Oct</v>
      </c>
      <c r="S612" s="71">
        <f t="shared" si="113"/>
        <v>45202</v>
      </c>
      <c r="T612" s="72">
        <f ca="1">Tabla1[[#This Row],[EMISION]]+Tabla1[[#This Row],[PLAZO]]-TODAY()</f>
        <v>-167</v>
      </c>
      <c r="U612" s="80">
        <f t="shared" ca="1" si="114"/>
        <v>0</v>
      </c>
      <c r="V612" s="72"/>
      <c r="W612" s="73" t="s">
        <v>14307</v>
      </c>
      <c r="X612" s="65">
        <v>20</v>
      </c>
      <c r="Y612" s="65"/>
      <c r="Z612" s="65"/>
      <c r="AA612" s="65"/>
      <c r="AB612" s="65"/>
      <c r="AC612" s="65"/>
      <c r="AD612" s="65"/>
      <c r="AE612" s="65"/>
      <c r="AF612" s="68"/>
      <c r="AG612" s="66">
        <v>45241</v>
      </c>
      <c r="AH612" s="67" t="s">
        <v>14308</v>
      </c>
      <c r="AI612" s="65" t="s">
        <v>3060</v>
      </c>
      <c r="AJ612" s="65"/>
      <c r="AK612" s="97">
        <f t="shared" ca="1" si="106"/>
        <v>167</v>
      </c>
      <c r="AL612">
        <f>IFERROR(VLOOKUP(A612,'DATA CLIENTES'!B4909:I8284,6,FALSE),0)</f>
        <v>0</v>
      </c>
    </row>
    <row r="613" spans="1:38" x14ac:dyDescent="0.25">
      <c r="A613" s="93" t="s">
        <v>7912</v>
      </c>
      <c r="B613" s="68" t="s">
        <v>7913</v>
      </c>
      <c r="C613" s="65"/>
      <c r="D613" s="65"/>
      <c r="E613" s="65"/>
      <c r="F613" s="69" t="s">
        <v>14574</v>
      </c>
      <c r="G613" s="70"/>
      <c r="H613" s="65">
        <v>5300000167</v>
      </c>
      <c r="I613" s="75">
        <v>400</v>
      </c>
      <c r="J613" s="75">
        <v>400</v>
      </c>
      <c r="K613" s="75"/>
      <c r="L613" s="75"/>
      <c r="M613" s="75"/>
      <c r="N613" s="75">
        <f>Tabla1[[#This Row],[IMPORTE APROBADO]]-Tabla1[[#This Row],[AMORTIZACION2]]</f>
        <v>0</v>
      </c>
      <c r="O613" s="65" t="str">
        <f>TEXT(Tabla1[[#This Row],[EMISION]],"mmm")</f>
        <v>Set</v>
      </c>
      <c r="P613" s="65" t="str">
        <f>TEXT(Tabla1[[#This Row],[EMISION]],"YYYY")</f>
        <v>2023</v>
      </c>
      <c r="Q613" s="71">
        <v>45182</v>
      </c>
      <c r="R613" s="65" t="str">
        <f>TEXT(Tabla1[[#This Row],[VENCIMIENTO]],"mmm")</f>
        <v>Set</v>
      </c>
      <c r="S613" s="71">
        <f t="shared" si="113"/>
        <v>45189</v>
      </c>
      <c r="T613" s="72">
        <f ca="1">Tabla1[[#This Row],[EMISION]]+Tabla1[[#This Row],[PLAZO]]-TODAY()</f>
        <v>-180</v>
      </c>
      <c r="U613" s="80">
        <f t="shared" ca="1" si="114"/>
        <v>0</v>
      </c>
      <c r="V613" s="72"/>
      <c r="W613" s="73" t="s">
        <v>14307</v>
      </c>
      <c r="X613" s="65">
        <v>7</v>
      </c>
      <c r="Y613" s="65"/>
      <c r="Z613" s="65"/>
      <c r="AA613" s="65"/>
      <c r="AB613" s="65"/>
      <c r="AC613" s="65"/>
      <c r="AD613" s="65"/>
      <c r="AE613" s="65"/>
      <c r="AF613" s="68"/>
      <c r="AG613" s="66">
        <v>45189</v>
      </c>
      <c r="AH613" s="67" t="s">
        <v>14308</v>
      </c>
      <c r="AI613" s="65" t="s">
        <v>3060</v>
      </c>
      <c r="AJ613" s="65"/>
      <c r="AK613" s="97">
        <f t="shared" ca="1" si="106"/>
        <v>180</v>
      </c>
      <c r="AL613">
        <f>IFERROR(VLOOKUP(A613,'DATA CLIENTES'!B4910:I8284,6,FALSE),0)</f>
        <v>0</v>
      </c>
    </row>
    <row r="614" spans="1:38" x14ac:dyDescent="0.25">
      <c r="A614" s="93" t="s">
        <v>6422</v>
      </c>
      <c r="B614" s="68" t="s">
        <v>6423</v>
      </c>
      <c r="C614" s="65"/>
      <c r="D614" s="65"/>
      <c r="E614" s="65"/>
      <c r="F614" s="69" t="s">
        <v>14559</v>
      </c>
      <c r="G614" s="70"/>
      <c r="H614" s="65">
        <v>5500006142</v>
      </c>
      <c r="I614" s="75">
        <v>750.86999999999989</v>
      </c>
      <c r="J614" s="75">
        <f>500+250.87</f>
        <v>750.87</v>
      </c>
      <c r="K614" s="75"/>
      <c r="L614" s="75"/>
      <c r="M614" s="75"/>
      <c r="N614" s="75">
        <f>Tabla1[[#This Row],[IMPORTE APROBADO]]-Tabla1[[#This Row],[AMORTIZACION2]]</f>
        <v>0</v>
      </c>
      <c r="O614" s="65" t="str">
        <f>TEXT(Tabla1[[#This Row],[EMISION]],"mmm")</f>
        <v>Set</v>
      </c>
      <c r="P614" s="65" t="str">
        <f>TEXT(Tabla1[[#This Row],[EMISION]],"YYYY")</f>
        <v>2023</v>
      </c>
      <c r="Q614" s="71">
        <v>45182</v>
      </c>
      <c r="R614" s="65" t="str">
        <f>TEXT(Tabla1[[#This Row],[VENCIMIENTO]],"mmm")</f>
        <v>Oct</v>
      </c>
      <c r="S614" s="71">
        <f t="shared" si="113"/>
        <v>45202</v>
      </c>
      <c r="T614" s="72">
        <f ca="1">Tabla1[[#This Row],[EMISION]]+Tabla1[[#This Row],[PLAZO]]-TODAY()</f>
        <v>-167</v>
      </c>
      <c r="U614" s="80">
        <f t="shared" ca="1" si="114"/>
        <v>0</v>
      </c>
      <c r="V614" s="72"/>
      <c r="W614" s="73" t="s">
        <v>14307</v>
      </c>
      <c r="X614" s="65">
        <v>20</v>
      </c>
      <c r="Y614" s="65"/>
      <c r="Z614" s="65"/>
      <c r="AA614" s="65"/>
      <c r="AB614" s="65"/>
      <c r="AC614" s="65"/>
      <c r="AD614" s="65"/>
      <c r="AE614" s="65"/>
      <c r="AF614" s="68"/>
      <c r="AG614" s="66">
        <v>45205</v>
      </c>
      <c r="AH614" s="67" t="s">
        <v>14308</v>
      </c>
      <c r="AI614" s="65" t="s">
        <v>3060</v>
      </c>
      <c r="AJ614" s="65"/>
      <c r="AK614" s="97">
        <f t="shared" ca="1" si="106"/>
        <v>167</v>
      </c>
      <c r="AL614">
        <f>IFERROR(VLOOKUP(A614,'DATA CLIENTES'!B4911:I8284,6,FALSE),0)</f>
        <v>0</v>
      </c>
    </row>
    <row r="615" spans="1:38" x14ac:dyDescent="0.25">
      <c r="A615" s="93" t="s">
        <v>6422</v>
      </c>
      <c r="B615" s="68" t="s">
        <v>6423</v>
      </c>
      <c r="C615" s="65"/>
      <c r="D615" s="65"/>
      <c r="E615" s="65"/>
      <c r="F615" s="69" t="s">
        <v>14559</v>
      </c>
      <c r="G615" s="70"/>
      <c r="H615" s="65">
        <v>5500006143</v>
      </c>
      <c r="I615" s="75">
        <v>831.41</v>
      </c>
      <c r="J615" s="75">
        <v>831.41</v>
      </c>
      <c r="K615" s="75"/>
      <c r="L615" s="75"/>
      <c r="M615" s="75"/>
      <c r="N615" s="75">
        <f>Tabla1[[#This Row],[IMPORTE APROBADO]]-Tabla1[[#This Row],[AMORTIZACION2]]</f>
        <v>0</v>
      </c>
      <c r="O615" s="65" t="str">
        <f>TEXT(Tabla1[[#This Row],[EMISION]],"mmm")</f>
        <v>Set</v>
      </c>
      <c r="P615" s="65" t="str">
        <f>TEXT(Tabla1[[#This Row],[EMISION]],"YYYY")</f>
        <v>2023</v>
      </c>
      <c r="Q615" s="71">
        <v>45182</v>
      </c>
      <c r="R615" s="65" t="str">
        <f>TEXT(Tabla1[[#This Row],[VENCIMIENTO]],"mmm")</f>
        <v>Oct</v>
      </c>
      <c r="S615" s="71">
        <f t="shared" si="113"/>
        <v>45202</v>
      </c>
      <c r="T615" s="72">
        <f ca="1">Tabla1[[#This Row],[EMISION]]+Tabla1[[#This Row],[PLAZO]]-TODAY()</f>
        <v>-167</v>
      </c>
      <c r="U615" s="80">
        <f t="shared" ca="1" si="114"/>
        <v>0</v>
      </c>
      <c r="V615" s="72"/>
      <c r="W615" s="73" t="s">
        <v>14307</v>
      </c>
      <c r="X615" s="65">
        <v>20</v>
      </c>
      <c r="Y615" s="65"/>
      <c r="Z615" s="65"/>
      <c r="AA615" s="65"/>
      <c r="AB615" s="65"/>
      <c r="AC615" s="65"/>
      <c r="AD615" s="65"/>
      <c r="AE615" s="65"/>
      <c r="AF615" s="68"/>
      <c r="AG615" s="66">
        <v>45205</v>
      </c>
      <c r="AH615" s="67" t="s">
        <v>14308</v>
      </c>
      <c r="AI615" s="65" t="s">
        <v>3060</v>
      </c>
      <c r="AJ615" s="65"/>
      <c r="AK615" s="97">
        <f t="shared" ca="1" si="106"/>
        <v>167</v>
      </c>
      <c r="AL615">
        <f>IFERROR(VLOOKUP(A615,'DATA CLIENTES'!B4912:I8284,6,FALSE),0)</f>
        <v>0</v>
      </c>
    </row>
    <row r="616" spans="1:38" x14ac:dyDescent="0.25">
      <c r="A616" s="93" t="s">
        <v>8995</v>
      </c>
      <c r="B616" s="68" t="s">
        <v>8996</v>
      </c>
      <c r="C616" s="65"/>
      <c r="D616" s="65"/>
      <c r="E616" s="65"/>
      <c r="F616" s="69" t="s">
        <v>14804</v>
      </c>
      <c r="G616" s="70"/>
      <c r="H616" s="65">
        <v>5600006096</v>
      </c>
      <c r="I616" s="75">
        <f>9301-5846.04</f>
        <v>3454.96</v>
      </c>
      <c r="J616" s="75">
        <f>136.86+363.1+500+500+354+300+400+301+300+300</f>
        <v>3454.96</v>
      </c>
      <c r="K616" s="75"/>
      <c r="L616" s="75"/>
      <c r="M616" s="75"/>
      <c r="N616" s="75">
        <f>Tabla1[[#This Row],[IMPORTE APROBADO]]-Tabla1[[#This Row],[AMORTIZACION2]]</f>
        <v>0</v>
      </c>
      <c r="O616" s="65" t="str">
        <f>TEXT(Tabla1[[#This Row],[EMISION]],"mmm")</f>
        <v>Set</v>
      </c>
      <c r="P616" s="65" t="str">
        <f>TEXT(Tabla1[[#This Row],[EMISION]],"YYYY")</f>
        <v>2023</v>
      </c>
      <c r="Q616" s="71">
        <v>45183</v>
      </c>
      <c r="R616" s="65" t="str">
        <f>TEXT(Tabla1[[#This Row],[VENCIMIENTO]],"mmm")</f>
        <v>Oct</v>
      </c>
      <c r="S616" s="71">
        <f t="shared" si="113"/>
        <v>45213</v>
      </c>
      <c r="T616" s="72">
        <f ca="1">Tabla1[[#This Row],[EMISION]]+Tabla1[[#This Row],[PLAZO]]-TODAY()</f>
        <v>-156</v>
      </c>
      <c r="U616" s="80">
        <f t="shared" ca="1" si="114"/>
        <v>0</v>
      </c>
      <c r="V616" s="72"/>
      <c r="W616" s="73" t="s">
        <v>14307</v>
      </c>
      <c r="X616" s="65">
        <v>30</v>
      </c>
      <c r="Y616" s="65"/>
      <c r="Z616" s="65"/>
      <c r="AA616" s="65"/>
      <c r="AB616" s="65"/>
      <c r="AC616" s="65"/>
      <c r="AD616" s="65"/>
      <c r="AE616" s="65"/>
      <c r="AF616" s="68"/>
      <c r="AG616" s="66"/>
      <c r="AH616" s="67" t="s">
        <v>14308</v>
      </c>
      <c r="AI616" s="65" t="s">
        <v>3060</v>
      </c>
      <c r="AJ616" s="65"/>
      <c r="AK616" s="97">
        <f t="shared" ca="1" si="106"/>
        <v>156</v>
      </c>
      <c r="AL616">
        <f>IFERROR(VLOOKUP(A616,'DATA CLIENTES'!B4913:I8284,6,FALSE),0)</f>
        <v>0</v>
      </c>
    </row>
    <row r="617" spans="1:38" x14ac:dyDescent="0.25">
      <c r="A617" s="93" t="s">
        <v>8995</v>
      </c>
      <c r="B617" s="68" t="s">
        <v>8996</v>
      </c>
      <c r="C617" s="65"/>
      <c r="D617" s="65"/>
      <c r="E617" s="65"/>
      <c r="F617" s="69" t="s">
        <v>14804</v>
      </c>
      <c r="G617" s="70"/>
      <c r="H617" s="65">
        <v>5600006096</v>
      </c>
      <c r="I617" s="75">
        <f>9301-3454.96-5546.04</f>
        <v>300</v>
      </c>
      <c r="J617" s="75">
        <v>300</v>
      </c>
      <c r="K617" s="75">
        <v>300</v>
      </c>
      <c r="L617" s="74">
        <v>45297</v>
      </c>
      <c r="M617" s="75" t="s">
        <v>14814</v>
      </c>
      <c r="N617" s="75">
        <f>Tabla1[[#This Row],[IMPORTE APROBADO]]-Tabla1[[#This Row],[AMORTIZACION2]]</f>
        <v>0</v>
      </c>
      <c r="O617" s="65" t="str">
        <f>TEXT(Tabla1[[#This Row],[EMISION]],"mmm")</f>
        <v>Set</v>
      </c>
      <c r="P617" s="65" t="str">
        <f>TEXT(Tabla1[[#This Row],[EMISION]],"YYYY")</f>
        <v>2023</v>
      </c>
      <c r="Q617" s="71">
        <v>45183</v>
      </c>
      <c r="R617" s="65" t="str">
        <f>TEXT(Tabla1[[#This Row],[VENCIMIENTO]],"mmm")</f>
        <v>Oct</v>
      </c>
      <c r="S617" s="71">
        <f t="shared" si="113"/>
        <v>45213</v>
      </c>
      <c r="T617" s="72">
        <f ca="1">Tabla1[[#This Row],[EMISION]]+Tabla1[[#This Row],[PLAZO]]-TODAY()</f>
        <v>-156</v>
      </c>
      <c r="U617" s="80">
        <f t="shared" ca="1" si="114"/>
        <v>0</v>
      </c>
      <c r="V617" s="72"/>
      <c r="W617" s="73" t="s">
        <v>14307</v>
      </c>
      <c r="X617" s="65">
        <v>30</v>
      </c>
      <c r="Y617" s="65"/>
      <c r="Z617" s="65"/>
      <c r="AA617" s="65"/>
      <c r="AB617" s="65"/>
      <c r="AC617" s="65"/>
      <c r="AD617" s="65"/>
      <c r="AE617" s="65"/>
      <c r="AF617" s="68"/>
      <c r="AG617" s="66"/>
      <c r="AH617" s="67" t="s">
        <v>14308</v>
      </c>
      <c r="AI617" s="65" t="s">
        <v>3060</v>
      </c>
      <c r="AJ617" s="65"/>
      <c r="AK617" s="97">
        <f t="shared" ca="1" si="106"/>
        <v>156</v>
      </c>
      <c r="AL617">
        <f>IFERROR(VLOOKUP(A617,'DATA CLIENTES'!B4914:I8284,6,FALSE),0)</f>
        <v>0</v>
      </c>
    </row>
    <row r="618" spans="1:38" x14ac:dyDescent="0.25">
      <c r="A618" s="93" t="s">
        <v>8995</v>
      </c>
      <c r="B618" s="68" t="s">
        <v>8996</v>
      </c>
      <c r="C618" s="65"/>
      <c r="D618" s="65"/>
      <c r="E618" s="65"/>
      <c r="F618" s="69" t="s">
        <v>14804</v>
      </c>
      <c r="G618" s="70"/>
      <c r="H618" s="65">
        <v>5600006096</v>
      </c>
      <c r="I618" s="75">
        <f>9301-3454.96-300-300-300-4646.04</f>
        <v>300</v>
      </c>
      <c r="J618" s="75">
        <v>300</v>
      </c>
      <c r="K618" s="75">
        <v>300</v>
      </c>
      <c r="L618" s="74">
        <v>45304</v>
      </c>
      <c r="M618" s="75" t="s">
        <v>14814</v>
      </c>
      <c r="N618" s="75">
        <f>Tabla1[[#This Row],[IMPORTE APROBADO]]-Tabla1[[#This Row],[AMORTIZACION2]]</f>
        <v>0</v>
      </c>
      <c r="O618" s="65" t="str">
        <f>TEXT(Tabla1[[#This Row],[EMISION]],"mmm")</f>
        <v>Set</v>
      </c>
      <c r="P618" s="65" t="str">
        <f>TEXT(Tabla1[[#This Row],[EMISION]],"YYYY")</f>
        <v>2023</v>
      </c>
      <c r="Q618" s="71">
        <v>45183</v>
      </c>
      <c r="R618" s="65" t="str">
        <f>TEXT(Tabla1[[#This Row],[VENCIMIENTO]],"mmm")</f>
        <v>Oct</v>
      </c>
      <c r="S618" s="71">
        <f t="shared" si="113"/>
        <v>45213</v>
      </c>
      <c r="T618" s="72">
        <f ca="1">Tabla1[[#This Row],[EMISION]]+Tabla1[[#This Row],[PLAZO]]-TODAY()</f>
        <v>-156</v>
      </c>
      <c r="U618" s="80">
        <f t="shared" ca="1" si="114"/>
        <v>0</v>
      </c>
      <c r="V618" s="72"/>
      <c r="W618" s="73" t="s">
        <v>14307</v>
      </c>
      <c r="X618" s="65">
        <v>30</v>
      </c>
      <c r="Y618" s="65"/>
      <c r="Z618" s="65"/>
      <c r="AA618" s="65"/>
      <c r="AB618" s="65"/>
      <c r="AC618" s="65"/>
      <c r="AD618" s="65"/>
      <c r="AE618" s="65"/>
      <c r="AF618" s="68"/>
      <c r="AG618" s="66"/>
      <c r="AH618" s="67" t="s">
        <v>14308</v>
      </c>
      <c r="AI618" s="65" t="s">
        <v>3060</v>
      </c>
      <c r="AJ618" s="65"/>
      <c r="AK618" s="97">
        <f t="shared" ca="1" si="106"/>
        <v>156</v>
      </c>
      <c r="AL618">
        <f>IFERROR(VLOOKUP(A618,'DATA CLIENTES'!B4915:I8284,6,FALSE),0)</f>
        <v>0</v>
      </c>
    </row>
    <row r="619" spans="1:38" x14ac:dyDescent="0.25">
      <c r="A619" s="93" t="s">
        <v>8995</v>
      </c>
      <c r="B619" s="68" t="s">
        <v>8996</v>
      </c>
      <c r="C619" s="65"/>
      <c r="D619" s="65"/>
      <c r="E619" s="65"/>
      <c r="F619" s="69" t="s">
        <v>14804</v>
      </c>
      <c r="G619" s="70"/>
      <c r="H619" s="65">
        <v>5600006096</v>
      </c>
      <c r="I619" s="75">
        <f>9301-3454.96-300-300-300-300-4346.04</f>
        <v>300</v>
      </c>
      <c r="J619" s="81">
        <v>300</v>
      </c>
      <c r="K619" s="75">
        <v>300</v>
      </c>
      <c r="L619" s="74">
        <v>45302</v>
      </c>
      <c r="M619" s="75" t="s">
        <v>14814</v>
      </c>
      <c r="N619" s="75">
        <f>Tabla1[[#This Row],[IMPORTE APROBADO]]-Tabla1[[#This Row],[AMORTIZACION2]]</f>
        <v>0</v>
      </c>
      <c r="O619" s="65" t="str">
        <f>TEXT(Tabla1[[#This Row],[EMISION]],"mmm")</f>
        <v>Set</v>
      </c>
      <c r="P619" s="65" t="str">
        <f>TEXT(Tabla1[[#This Row],[EMISION]],"YYYY")</f>
        <v>2023</v>
      </c>
      <c r="Q619" s="71">
        <v>45183</v>
      </c>
      <c r="R619" s="65" t="str">
        <f>TEXT(Tabla1[[#This Row],[VENCIMIENTO]],"mmm")</f>
        <v>Oct</v>
      </c>
      <c r="S619" s="71">
        <f t="shared" si="113"/>
        <v>45213</v>
      </c>
      <c r="T619" s="72">
        <f ca="1">Tabla1[[#This Row],[EMISION]]+Tabla1[[#This Row],[PLAZO]]-TODAY()</f>
        <v>-156</v>
      </c>
      <c r="U619" s="80">
        <f t="shared" ca="1" si="114"/>
        <v>0</v>
      </c>
      <c r="V619" s="72"/>
      <c r="W619" s="73" t="s">
        <v>14307</v>
      </c>
      <c r="X619" s="65">
        <v>30</v>
      </c>
      <c r="Y619" s="65"/>
      <c r="Z619" s="65"/>
      <c r="AA619" s="65"/>
      <c r="AB619" s="65"/>
      <c r="AC619" s="65"/>
      <c r="AD619" s="65"/>
      <c r="AE619" s="65"/>
      <c r="AF619" s="68"/>
      <c r="AG619" s="66"/>
      <c r="AH619" s="67" t="s">
        <v>14308</v>
      </c>
      <c r="AI619" s="65" t="s">
        <v>3060</v>
      </c>
      <c r="AJ619" s="65"/>
      <c r="AK619" s="97">
        <f t="shared" ca="1" si="106"/>
        <v>156</v>
      </c>
      <c r="AL619">
        <f>IFERROR(VLOOKUP(A619,'DATA CLIENTES'!B4916:I8284,6,FALSE),0)</f>
        <v>0</v>
      </c>
    </row>
    <row r="620" spans="1:38" x14ac:dyDescent="0.25">
      <c r="A620" s="93" t="s">
        <v>8995</v>
      </c>
      <c r="B620" s="68" t="s">
        <v>8996</v>
      </c>
      <c r="C620" s="65"/>
      <c r="D620" s="65"/>
      <c r="E620" s="65"/>
      <c r="F620" s="69" t="s">
        <v>14804</v>
      </c>
      <c r="G620" s="70"/>
      <c r="H620" s="65">
        <v>5600006096</v>
      </c>
      <c r="I620" s="75">
        <f>9301-3454.96-300-300-300-300-300-4046.04</f>
        <v>300</v>
      </c>
      <c r="J620" s="75">
        <v>300</v>
      </c>
      <c r="K620" s="75">
        <v>300</v>
      </c>
      <c r="L620" s="74">
        <v>45297</v>
      </c>
      <c r="M620" s="75" t="s">
        <v>14814</v>
      </c>
      <c r="N620" s="75">
        <f>Tabla1[[#This Row],[IMPORTE APROBADO]]-Tabla1[[#This Row],[AMORTIZACION2]]</f>
        <v>0</v>
      </c>
      <c r="O620" s="65" t="str">
        <f>TEXT(Tabla1[[#This Row],[EMISION]],"mmm")</f>
        <v>Set</v>
      </c>
      <c r="P620" s="65" t="str">
        <f>TEXT(Tabla1[[#This Row],[EMISION]],"YYYY")</f>
        <v>2023</v>
      </c>
      <c r="Q620" s="71">
        <v>45183</v>
      </c>
      <c r="R620" s="65" t="str">
        <f>TEXT(Tabla1[[#This Row],[VENCIMIENTO]],"mmm")</f>
        <v>Oct</v>
      </c>
      <c r="S620" s="71">
        <f t="shared" si="113"/>
        <v>45213</v>
      </c>
      <c r="T620" s="72">
        <f ca="1">Tabla1[[#This Row],[EMISION]]+Tabla1[[#This Row],[PLAZO]]-TODAY()</f>
        <v>-156</v>
      </c>
      <c r="U620" s="80">
        <f t="shared" ca="1" si="114"/>
        <v>0</v>
      </c>
      <c r="V620" s="72"/>
      <c r="W620" s="73" t="s">
        <v>14307</v>
      </c>
      <c r="X620" s="65">
        <v>30</v>
      </c>
      <c r="Y620" s="65"/>
      <c r="Z620" s="65"/>
      <c r="AA620" s="65"/>
      <c r="AB620" s="65"/>
      <c r="AC620" s="65"/>
      <c r="AD620" s="65"/>
      <c r="AE620" s="65"/>
      <c r="AF620" s="68"/>
      <c r="AG620" s="66"/>
      <c r="AH620" s="67" t="s">
        <v>14308</v>
      </c>
      <c r="AI620" s="65" t="s">
        <v>3060</v>
      </c>
      <c r="AJ620" s="65"/>
      <c r="AK620" s="97">
        <f t="shared" ca="1" si="106"/>
        <v>156</v>
      </c>
      <c r="AL620">
        <f>IFERROR(VLOOKUP(A620,'DATA CLIENTES'!B4917:I8284,6,FALSE),0)</f>
        <v>0</v>
      </c>
    </row>
    <row r="621" spans="1:38" x14ac:dyDescent="0.25">
      <c r="A621" s="93" t="s">
        <v>8995</v>
      </c>
      <c r="B621" s="68" t="s">
        <v>8996</v>
      </c>
      <c r="C621" s="65"/>
      <c r="D621" s="65"/>
      <c r="E621" s="65"/>
      <c r="F621" s="69" t="s">
        <v>14804</v>
      </c>
      <c r="G621" s="70"/>
      <c r="H621" s="65">
        <v>5600006096</v>
      </c>
      <c r="I621" s="75">
        <f>9301-3454.96-300-300-300-300-300-300-3746.04</f>
        <v>300</v>
      </c>
      <c r="J621" s="81">
        <v>300</v>
      </c>
      <c r="K621" s="75">
        <v>300</v>
      </c>
      <c r="L621" s="74">
        <v>45315</v>
      </c>
      <c r="M621" s="75" t="s">
        <v>14814</v>
      </c>
      <c r="N621" s="75">
        <f>Tabla1[[#This Row],[IMPORTE APROBADO]]-Tabla1[[#This Row],[AMORTIZACION2]]</f>
        <v>0</v>
      </c>
      <c r="O621" s="65" t="str">
        <f>TEXT(Tabla1[[#This Row],[EMISION]],"mmm")</f>
        <v>Set</v>
      </c>
      <c r="P621" s="65" t="str">
        <f>TEXT(Tabla1[[#This Row],[EMISION]],"YYYY")</f>
        <v>2023</v>
      </c>
      <c r="Q621" s="71">
        <v>45183</v>
      </c>
      <c r="R621" s="65" t="str">
        <f>TEXT(Tabla1[[#This Row],[VENCIMIENTO]],"mmm")</f>
        <v>Oct</v>
      </c>
      <c r="S621" s="71">
        <f t="shared" si="113"/>
        <v>45213</v>
      </c>
      <c r="T621" s="72">
        <f ca="1">Tabla1[[#This Row],[EMISION]]+Tabla1[[#This Row],[PLAZO]]-TODAY()</f>
        <v>-156</v>
      </c>
      <c r="U621" s="80">
        <f t="shared" ca="1" si="114"/>
        <v>0</v>
      </c>
      <c r="V621" s="72"/>
      <c r="W621" s="73" t="s">
        <v>14307</v>
      </c>
      <c r="X621" s="65">
        <v>30</v>
      </c>
      <c r="Y621" s="65"/>
      <c r="Z621" s="65"/>
      <c r="AA621" s="65"/>
      <c r="AB621" s="65"/>
      <c r="AC621" s="65"/>
      <c r="AD621" s="65"/>
      <c r="AE621" s="65"/>
      <c r="AF621" s="68"/>
      <c r="AG621" s="66"/>
      <c r="AH621" s="67" t="s">
        <v>14308</v>
      </c>
      <c r="AI621" s="65" t="s">
        <v>3060</v>
      </c>
      <c r="AJ621" s="65"/>
      <c r="AK621" s="97">
        <f t="shared" ca="1" si="106"/>
        <v>156</v>
      </c>
      <c r="AL621">
        <f>IFERROR(VLOOKUP(A621,'DATA CLIENTES'!B4918:I8284,6,FALSE),0)</f>
        <v>0</v>
      </c>
    </row>
    <row r="622" spans="1:38" x14ac:dyDescent="0.25">
      <c r="A622" s="93" t="s">
        <v>8995</v>
      </c>
      <c r="B622" s="68" t="s">
        <v>8996</v>
      </c>
      <c r="C622" s="65"/>
      <c r="D622" s="65"/>
      <c r="E622" s="65"/>
      <c r="F622" s="69" t="s">
        <v>14804</v>
      </c>
      <c r="G622" s="70"/>
      <c r="H622" s="65">
        <v>5600006096</v>
      </c>
      <c r="I622" s="75">
        <f>9301-3454.96-300-300-300-300-300-300-300</f>
        <v>3746.04</v>
      </c>
      <c r="J622" s="75"/>
      <c r="K622" s="75"/>
      <c r="L622" s="75"/>
      <c r="M622" s="75"/>
      <c r="N622" s="75">
        <f>Tabla1[[#This Row],[IMPORTE APROBADO]]-Tabla1[[#This Row],[AMORTIZACION2]]</f>
        <v>3746.04</v>
      </c>
      <c r="O622" s="65" t="str">
        <f>TEXT(Tabla1[[#This Row],[EMISION]],"mmm")</f>
        <v>Set</v>
      </c>
      <c r="P622" s="65" t="str">
        <f>TEXT(Tabla1[[#This Row],[EMISION]],"YYYY")</f>
        <v>2023</v>
      </c>
      <c r="Q622" s="71">
        <v>45183</v>
      </c>
      <c r="R622" s="65" t="str">
        <f>TEXT(Tabla1[[#This Row],[VENCIMIENTO]],"mmm")</f>
        <v>Oct</v>
      </c>
      <c r="S622" s="71">
        <f t="shared" si="113"/>
        <v>45213</v>
      </c>
      <c r="T622" s="72">
        <f ca="1">Tabla1[[#This Row],[EMISION]]+Tabla1[[#This Row],[PLAZO]]-TODAY()</f>
        <v>-156</v>
      </c>
      <c r="U622" s="80">
        <f t="shared" ca="1" si="114"/>
        <v>0</v>
      </c>
      <c r="V622" s="72"/>
      <c r="W622" s="73" t="s">
        <v>14307</v>
      </c>
      <c r="X622" s="65">
        <v>30</v>
      </c>
      <c r="Y622" s="65"/>
      <c r="Z622" s="65"/>
      <c r="AA622" s="65"/>
      <c r="AB622" s="65"/>
      <c r="AC622" s="65"/>
      <c r="AD622" s="65"/>
      <c r="AE622" s="65"/>
      <c r="AF622" s="68"/>
      <c r="AG622" s="66"/>
      <c r="AH622" s="67" t="s">
        <v>14313</v>
      </c>
      <c r="AI622" s="65" t="s">
        <v>3060</v>
      </c>
      <c r="AJ622" s="65"/>
      <c r="AK622" s="97">
        <f t="shared" ca="1" si="106"/>
        <v>156</v>
      </c>
      <c r="AL622">
        <f>IFERROR(VLOOKUP(A622,'DATA CLIENTES'!B4919:I8284,6,FALSE),0)</f>
        <v>0</v>
      </c>
    </row>
    <row r="623" spans="1:38" x14ac:dyDescent="0.25">
      <c r="A623" s="93" t="s">
        <v>8995</v>
      </c>
      <c r="B623" s="68" t="s">
        <v>8996</v>
      </c>
      <c r="C623" s="65"/>
      <c r="D623" s="65"/>
      <c r="E623" s="65"/>
      <c r="F623" s="69" t="s">
        <v>14804</v>
      </c>
      <c r="G623" s="70"/>
      <c r="H623" s="65">
        <v>5600006096</v>
      </c>
      <c r="I623" s="75">
        <f>9301-3454.96-300-5246.04</f>
        <v>300</v>
      </c>
      <c r="J623" s="81">
        <v>300</v>
      </c>
      <c r="K623" s="75">
        <v>300</v>
      </c>
      <c r="L623" s="74">
        <v>45307</v>
      </c>
      <c r="M623" s="75" t="s">
        <v>14814</v>
      </c>
      <c r="N623" s="75">
        <f>Tabla1[[#This Row],[IMPORTE APROBADO]]-Tabla1[[#This Row],[AMORTIZACION2]]</f>
        <v>0</v>
      </c>
      <c r="O623" s="65" t="str">
        <f>TEXT(Tabla1[[#This Row],[EMISION]],"mmm")</f>
        <v>Set</v>
      </c>
      <c r="P623" s="65" t="str">
        <f>TEXT(Tabla1[[#This Row],[EMISION]],"YYYY")</f>
        <v>2023</v>
      </c>
      <c r="Q623" s="71">
        <v>45183</v>
      </c>
      <c r="R623" s="65" t="str">
        <f>TEXT(Tabla1[[#This Row],[VENCIMIENTO]],"mmm")</f>
        <v>Oct</v>
      </c>
      <c r="S623" s="71">
        <f t="shared" si="113"/>
        <v>45213</v>
      </c>
      <c r="T623" s="72">
        <f ca="1">Tabla1[[#This Row],[EMISION]]+Tabla1[[#This Row],[PLAZO]]-TODAY()</f>
        <v>-156</v>
      </c>
      <c r="U623" s="80">
        <f t="shared" ca="1" si="114"/>
        <v>0</v>
      </c>
      <c r="V623" s="72"/>
      <c r="W623" s="73" t="s">
        <v>14307</v>
      </c>
      <c r="X623" s="65">
        <v>30</v>
      </c>
      <c r="Y623" s="65"/>
      <c r="Z623" s="65"/>
      <c r="AA623" s="65"/>
      <c r="AB623" s="65"/>
      <c r="AC623" s="65"/>
      <c r="AD623" s="65"/>
      <c r="AE623" s="65"/>
      <c r="AF623" s="68"/>
      <c r="AG623" s="66"/>
      <c r="AH623" s="67" t="s">
        <v>14308</v>
      </c>
      <c r="AI623" s="65" t="s">
        <v>3060</v>
      </c>
      <c r="AJ623" s="65"/>
      <c r="AK623" s="97">
        <f t="shared" ca="1" si="106"/>
        <v>156</v>
      </c>
      <c r="AL623">
        <f>IFERROR(VLOOKUP(A623,'DATA CLIENTES'!B4920:I8284,6,FALSE),0)</f>
        <v>0</v>
      </c>
    </row>
    <row r="624" spans="1:38" x14ac:dyDescent="0.25">
      <c r="A624" s="93" t="s">
        <v>8995</v>
      </c>
      <c r="B624" s="68" t="s">
        <v>8996</v>
      </c>
      <c r="C624" s="65"/>
      <c r="D624" s="65"/>
      <c r="E624" s="65"/>
      <c r="F624" s="69" t="s">
        <v>14559</v>
      </c>
      <c r="G624" s="70"/>
      <c r="H624" s="65">
        <v>5500006148</v>
      </c>
      <c r="I624" s="75">
        <v>4863.1400000000003</v>
      </c>
      <c r="J624" s="75">
        <f>500+500+500+500+500+200+300+500+500+500+363.14</f>
        <v>4863.1400000000003</v>
      </c>
      <c r="K624" s="75"/>
      <c r="L624" s="75"/>
      <c r="M624" s="75"/>
      <c r="N624" s="75">
        <f>Tabla1[[#This Row],[IMPORTE APROBADO]]-Tabla1[[#This Row],[AMORTIZACION2]]</f>
        <v>0</v>
      </c>
      <c r="O624" s="65" t="str">
        <f>TEXT(Tabla1[[#This Row],[EMISION]],"mmm")</f>
        <v>Set</v>
      </c>
      <c r="P624" s="65" t="str">
        <f>TEXT(Tabla1[[#This Row],[EMISION]],"YYYY")</f>
        <v>2023</v>
      </c>
      <c r="Q624" s="71">
        <v>45183</v>
      </c>
      <c r="R624" s="65" t="str">
        <f>TEXT(Tabla1[[#This Row],[VENCIMIENTO]],"mmm")</f>
        <v>Oct</v>
      </c>
      <c r="S624" s="71">
        <f t="shared" si="113"/>
        <v>45213</v>
      </c>
      <c r="T624" s="72">
        <f ca="1">Tabla1[[#This Row],[EMISION]]+Tabla1[[#This Row],[PLAZO]]-TODAY()</f>
        <v>-156</v>
      </c>
      <c r="U624" s="80">
        <f t="shared" ca="1" si="114"/>
        <v>0</v>
      </c>
      <c r="V624" s="72"/>
      <c r="W624" s="73" t="s">
        <v>14307</v>
      </c>
      <c r="X624" s="65">
        <v>30</v>
      </c>
      <c r="Y624" s="65"/>
      <c r="Z624" s="65"/>
      <c r="AA624" s="65"/>
      <c r="AB624" s="65"/>
      <c r="AC624" s="65"/>
      <c r="AD624" s="65"/>
      <c r="AE624" s="65"/>
      <c r="AF624" s="68"/>
      <c r="AG624" s="66">
        <v>45245</v>
      </c>
      <c r="AH624" s="67" t="s">
        <v>14308</v>
      </c>
      <c r="AI624" s="65" t="s">
        <v>3060</v>
      </c>
      <c r="AJ624" s="65"/>
      <c r="AK624" s="97">
        <f t="shared" ca="1" si="106"/>
        <v>156</v>
      </c>
      <c r="AL624">
        <f>IFERROR(VLOOKUP(A624,'DATA CLIENTES'!B4921:I8284,6,FALSE),0)</f>
        <v>0</v>
      </c>
    </row>
    <row r="625" spans="1:38" x14ac:dyDescent="0.25">
      <c r="A625" s="93" t="s">
        <v>8995</v>
      </c>
      <c r="B625" s="68" t="s">
        <v>8996</v>
      </c>
      <c r="C625" s="65"/>
      <c r="D625" s="65"/>
      <c r="E625" s="65"/>
      <c r="F625" s="69" t="s">
        <v>14559</v>
      </c>
      <c r="G625" s="70"/>
      <c r="H625" s="65">
        <v>5500006149</v>
      </c>
      <c r="I625" s="75">
        <v>8354.58</v>
      </c>
      <c r="J625" s="75"/>
      <c r="K625" s="75"/>
      <c r="L625" s="75"/>
      <c r="M625" s="75"/>
      <c r="N625" s="75">
        <f>Tabla1[[#This Row],[IMPORTE APROBADO]]-Tabla1[[#This Row],[AMORTIZACION2]]</f>
        <v>8354.58</v>
      </c>
      <c r="O625" s="65" t="str">
        <f>TEXT(Tabla1[[#This Row],[EMISION]],"mmm")</f>
        <v>Set</v>
      </c>
      <c r="P625" s="65" t="str">
        <f>TEXT(Tabla1[[#This Row],[EMISION]],"YYYY")</f>
        <v>2023</v>
      </c>
      <c r="Q625" s="71">
        <v>45183</v>
      </c>
      <c r="R625" s="65" t="str">
        <f>TEXT(Tabla1[[#This Row],[VENCIMIENTO]],"mmm")</f>
        <v>Oct</v>
      </c>
      <c r="S625" s="71">
        <f t="shared" si="113"/>
        <v>45213</v>
      </c>
      <c r="T625" s="72">
        <f ca="1">Tabla1[[#This Row],[EMISION]]+Tabla1[[#This Row],[PLAZO]]-TODAY()</f>
        <v>-156</v>
      </c>
      <c r="U625" s="80">
        <f t="shared" ca="1" si="114"/>
        <v>0</v>
      </c>
      <c r="V625" s="72"/>
      <c r="W625" s="73" t="s">
        <v>14307</v>
      </c>
      <c r="X625" s="65">
        <v>30</v>
      </c>
      <c r="Y625" s="65"/>
      <c r="Z625" s="65"/>
      <c r="AA625" s="65"/>
      <c r="AB625" s="65"/>
      <c r="AC625" s="65"/>
      <c r="AD625" s="65"/>
      <c r="AE625" s="65"/>
      <c r="AF625" s="68"/>
      <c r="AG625" s="66"/>
      <c r="AH625" s="67" t="s">
        <v>14313</v>
      </c>
      <c r="AI625" s="65" t="s">
        <v>3060</v>
      </c>
      <c r="AJ625" s="65"/>
      <c r="AK625" s="97">
        <f t="shared" ca="1" si="106"/>
        <v>156</v>
      </c>
      <c r="AL625">
        <f>IFERROR(VLOOKUP(A625,'DATA CLIENTES'!B4922:I8284,6,FALSE),0)</f>
        <v>0</v>
      </c>
    </row>
    <row r="626" spans="1:38" x14ac:dyDescent="0.25">
      <c r="A626" s="93" t="s">
        <v>6694</v>
      </c>
      <c r="B626" s="68" t="s">
        <v>6695</v>
      </c>
      <c r="C626" s="65"/>
      <c r="D626" s="65"/>
      <c r="E626" s="65"/>
      <c r="F626" s="69" t="s">
        <v>14804</v>
      </c>
      <c r="G626" s="70"/>
      <c r="H626" s="65">
        <v>5500000028</v>
      </c>
      <c r="I626" s="75">
        <v>-463</v>
      </c>
      <c r="J626" s="75"/>
      <c r="K626" s="75"/>
      <c r="L626" s="75"/>
      <c r="M626" s="75"/>
      <c r="N626" s="75">
        <f>Tabla1[[#This Row],[IMPORTE APROBADO]]-Tabla1[[#This Row],[AMORTIZACION2]]</f>
        <v>-463</v>
      </c>
      <c r="O626" s="65" t="str">
        <f>TEXT(Tabla1[[#This Row],[EMISION]],"mmm")</f>
        <v>Set</v>
      </c>
      <c r="P626" s="65" t="str">
        <f>TEXT(Tabla1[[#This Row],[EMISION]],"YYYY")</f>
        <v>2023</v>
      </c>
      <c r="Q626" s="71">
        <v>45183</v>
      </c>
      <c r="R626" s="65" t="str">
        <f>TEXT(Tabla1[[#This Row],[VENCIMIENTO]],"mmm")</f>
        <v>Oct</v>
      </c>
      <c r="S626" s="71">
        <f t="shared" si="113"/>
        <v>45203</v>
      </c>
      <c r="T626" s="72">
        <f ca="1">Tabla1[[#This Row],[EMISION]]+Tabla1[[#This Row],[PLAZO]]-TODAY()</f>
        <v>-166</v>
      </c>
      <c r="U626" s="80">
        <f t="shared" ca="1" si="114"/>
        <v>0</v>
      </c>
      <c r="V626" s="72"/>
      <c r="W626" s="73" t="s">
        <v>14307</v>
      </c>
      <c r="X626" s="65">
        <v>20</v>
      </c>
      <c r="Y626" s="65"/>
      <c r="Z626" s="65"/>
      <c r="AA626" s="65"/>
      <c r="AB626" s="65"/>
      <c r="AC626" s="65"/>
      <c r="AD626" s="65"/>
      <c r="AE626" s="65"/>
      <c r="AF626" s="68"/>
      <c r="AG626" s="66">
        <v>45190</v>
      </c>
      <c r="AH626" s="67" t="s">
        <v>14308</v>
      </c>
      <c r="AI626" s="65" t="s">
        <v>3060</v>
      </c>
      <c r="AJ626" s="65"/>
      <c r="AK626" s="97">
        <f t="shared" ca="1" si="106"/>
        <v>166</v>
      </c>
      <c r="AL626">
        <f>IFERROR(VLOOKUP(A626,'DATA CLIENTES'!B4923:I8284,6,FALSE),0)</f>
        <v>0</v>
      </c>
    </row>
    <row r="627" spans="1:38" x14ac:dyDescent="0.25">
      <c r="A627" s="93" t="s">
        <v>10222</v>
      </c>
      <c r="B627" s="68" t="s">
        <v>10223</v>
      </c>
      <c r="C627" s="65"/>
      <c r="D627" s="65"/>
      <c r="E627" s="65"/>
      <c r="F627" s="69" t="s">
        <v>14559</v>
      </c>
      <c r="G627" s="70"/>
      <c r="H627" s="65">
        <v>5500006154</v>
      </c>
      <c r="I627" s="75">
        <v>235.44</v>
      </c>
      <c r="J627" s="75">
        <v>235.44</v>
      </c>
      <c r="K627" s="75"/>
      <c r="L627" s="75"/>
      <c r="M627" s="75"/>
      <c r="N627" s="75">
        <f>Tabla1[[#This Row],[IMPORTE APROBADO]]-Tabla1[[#This Row],[AMORTIZACION2]]</f>
        <v>0</v>
      </c>
      <c r="O627" s="65" t="str">
        <f>TEXT(Tabla1[[#This Row],[EMISION]],"mmm")</f>
        <v>Set</v>
      </c>
      <c r="P627" s="65" t="str">
        <f>TEXT(Tabla1[[#This Row],[EMISION]],"YYYY")</f>
        <v>2023</v>
      </c>
      <c r="Q627" s="71">
        <v>45183</v>
      </c>
      <c r="R627" s="65" t="str">
        <f>TEXT(Tabla1[[#This Row],[VENCIMIENTO]],"mmm")</f>
        <v>Set</v>
      </c>
      <c r="S627" s="71">
        <f t="shared" si="113"/>
        <v>45198</v>
      </c>
      <c r="T627" s="72">
        <f ca="1">Tabla1[[#This Row],[EMISION]]+Tabla1[[#This Row],[PLAZO]]-TODAY()</f>
        <v>-171</v>
      </c>
      <c r="U627" s="80">
        <f t="shared" ca="1" si="114"/>
        <v>0</v>
      </c>
      <c r="V627" s="72"/>
      <c r="W627" s="73" t="s">
        <v>14307</v>
      </c>
      <c r="X627" s="65">
        <v>15</v>
      </c>
      <c r="Y627" s="65"/>
      <c r="Z627" s="65"/>
      <c r="AA627" s="65"/>
      <c r="AB627" s="65"/>
      <c r="AC627" s="65"/>
      <c r="AD627" s="65"/>
      <c r="AE627" s="65"/>
      <c r="AF627" s="68"/>
      <c r="AG627" s="66">
        <v>45202</v>
      </c>
      <c r="AH627" s="67" t="s">
        <v>14308</v>
      </c>
      <c r="AI627" s="65" t="s">
        <v>3060</v>
      </c>
      <c r="AJ627" s="65"/>
      <c r="AK627" s="97">
        <f t="shared" ca="1" si="106"/>
        <v>171</v>
      </c>
      <c r="AL627">
        <f>IFERROR(VLOOKUP(A627,'DATA CLIENTES'!B4924:I8284,6,FALSE),0)</f>
        <v>0</v>
      </c>
    </row>
    <row r="628" spans="1:38" x14ac:dyDescent="0.25">
      <c r="A628" s="93" t="s">
        <v>6503</v>
      </c>
      <c r="B628" s="68" t="s">
        <v>14650</v>
      </c>
      <c r="C628" s="65"/>
      <c r="D628" s="65"/>
      <c r="E628" s="65"/>
      <c r="F628" s="69" t="s">
        <v>14676</v>
      </c>
      <c r="G628" s="70"/>
      <c r="H628" s="65">
        <v>5500006146</v>
      </c>
      <c r="I628" s="75">
        <v>833.78</v>
      </c>
      <c r="J628" s="75">
        <f>150+150+150</f>
        <v>450</v>
      </c>
      <c r="K628" s="75"/>
      <c r="L628" s="75"/>
      <c r="M628" s="75"/>
      <c r="N628" s="75">
        <f>Tabla1[[#This Row],[IMPORTE APROBADO]]-Tabla1[[#This Row],[AMORTIZACION2]]</f>
        <v>383.78</v>
      </c>
      <c r="O628" s="65" t="str">
        <f>TEXT(Tabla1[[#This Row],[EMISION]],"mmm")</f>
        <v>Set</v>
      </c>
      <c r="P628" s="65" t="str">
        <f>TEXT(Tabla1[[#This Row],[EMISION]],"YYYY")</f>
        <v>2023</v>
      </c>
      <c r="Q628" s="71">
        <v>45183</v>
      </c>
      <c r="R628" s="65" t="str">
        <f>TEXT(Tabla1[[#This Row],[VENCIMIENTO]],"mmm")</f>
        <v>Oct</v>
      </c>
      <c r="S628" s="71">
        <f t="shared" ref="S628:S634" si="115">Q628+X628</f>
        <v>45213</v>
      </c>
      <c r="T628" s="72">
        <f ca="1">Tabla1[[#This Row],[EMISION]]+Tabla1[[#This Row],[PLAZO]]-TODAY()</f>
        <v>-156</v>
      </c>
      <c r="U628" s="80">
        <f t="shared" ref="U628:U634" ca="1" si="116">IF(T628&gt;=0,$U$4,IF(AND(T628&lt;=-1,T628&gt;=-30),$U$5,IF(AND(T628&lt;=-31,T628&gt;=-60),$U$6,IF(AND(T628&lt;=-61,T628&gt;=-90),$U$7,$U$8))))</f>
        <v>0</v>
      </c>
      <c r="V628" s="72"/>
      <c r="W628" s="73" t="s">
        <v>14307</v>
      </c>
      <c r="X628" s="65">
        <v>30</v>
      </c>
      <c r="Y628" s="65"/>
      <c r="Z628" s="65"/>
      <c r="AA628" s="65"/>
      <c r="AB628" s="65"/>
      <c r="AC628" s="65"/>
      <c r="AD628" s="65"/>
      <c r="AE628" s="65"/>
      <c r="AF628" s="68"/>
      <c r="AG628" s="66"/>
      <c r="AH628" s="67" t="s">
        <v>14313</v>
      </c>
      <c r="AI628" s="65" t="s">
        <v>3060</v>
      </c>
      <c r="AJ628" s="65"/>
      <c r="AK628" s="97">
        <f t="shared" ca="1" si="106"/>
        <v>156</v>
      </c>
      <c r="AL628">
        <f>IFERROR(VLOOKUP(A628,'DATA CLIENTES'!B4925:I8284,6,FALSE),0)</f>
        <v>0</v>
      </c>
    </row>
    <row r="629" spans="1:38" x14ac:dyDescent="0.25">
      <c r="A629" s="93" t="s">
        <v>7756</v>
      </c>
      <c r="B629" s="68" t="s">
        <v>7757</v>
      </c>
      <c r="C629" s="65"/>
      <c r="D629" s="65"/>
      <c r="E629" s="65"/>
      <c r="F629" s="69" t="s">
        <v>11799</v>
      </c>
      <c r="G629" s="70"/>
      <c r="H629" s="65">
        <v>5600006100</v>
      </c>
      <c r="I629" s="75">
        <v>3416.86</v>
      </c>
      <c r="J629" s="75">
        <f>1000+1000+1416.86</f>
        <v>3416.8599999999997</v>
      </c>
      <c r="K629" s="75"/>
      <c r="L629" s="75"/>
      <c r="M629" s="75"/>
      <c r="N629" s="75">
        <f>Tabla1[[#This Row],[IMPORTE APROBADO]]-Tabla1[[#This Row],[AMORTIZACION2]]</f>
        <v>0</v>
      </c>
      <c r="O629" s="65" t="str">
        <f>TEXT(Tabla1[[#This Row],[EMISION]],"mmm")</f>
        <v>Set</v>
      </c>
      <c r="P629" s="65" t="str">
        <f>TEXT(Tabla1[[#This Row],[EMISION]],"YYYY")</f>
        <v>2023</v>
      </c>
      <c r="Q629" s="71">
        <v>45184</v>
      </c>
      <c r="R629" s="65" t="str">
        <f>TEXT(Tabla1[[#This Row],[VENCIMIENTO]],"mmm")</f>
        <v>Set</v>
      </c>
      <c r="S629" s="71">
        <f t="shared" si="115"/>
        <v>45199</v>
      </c>
      <c r="T629" s="72">
        <f ca="1">Tabla1[[#This Row],[EMISION]]+Tabla1[[#This Row],[PLAZO]]-TODAY()</f>
        <v>-170</v>
      </c>
      <c r="U629" s="80">
        <f t="shared" ca="1" si="116"/>
        <v>0</v>
      </c>
      <c r="V629" s="72"/>
      <c r="W629" s="73" t="s">
        <v>14307</v>
      </c>
      <c r="X629" s="65">
        <v>15</v>
      </c>
      <c r="Y629" s="65"/>
      <c r="Z629" s="65"/>
      <c r="AA629" s="65"/>
      <c r="AB629" s="65"/>
      <c r="AC629" s="65"/>
      <c r="AD629" s="65"/>
      <c r="AE629" s="65"/>
      <c r="AF629" s="68"/>
      <c r="AG629" s="66">
        <v>45209</v>
      </c>
      <c r="AH629" s="67" t="s">
        <v>14308</v>
      </c>
      <c r="AI629" s="65" t="s">
        <v>3060</v>
      </c>
      <c r="AJ629" s="65"/>
      <c r="AK629" s="97">
        <f t="shared" ca="1" si="106"/>
        <v>170</v>
      </c>
      <c r="AL629">
        <f>IFERROR(VLOOKUP(A629,'DATA CLIENTES'!B4926:I8284,6,FALSE),0)</f>
        <v>0</v>
      </c>
    </row>
    <row r="630" spans="1:38" x14ac:dyDescent="0.25">
      <c r="A630" s="93" t="s">
        <v>7756</v>
      </c>
      <c r="B630" s="68" t="s">
        <v>7757</v>
      </c>
      <c r="C630" s="65"/>
      <c r="D630" s="65"/>
      <c r="E630" s="65"/>
      <c r="F630" s="69" t="s">
        <v>11799</v>
      </c>
      <c r="G630" s="70"/>
      <c r="H630" s="65">
        <v>5600006101</v>
      </c>
      <c r="I630" s="75">
        <v>1917.78</v>
      </c>
      <c r="J630" s="75">
        <f>1583.14+334.64</f>
        <v>1917.7800000000002</v>
      </c>
      <c r="K630" s="75"/>
      <c r="L630" s="75"/>
      <c r="M630" s="75"/>
      <c r="N630" s="75">
        <f>Tabla1[[#This Row],[IMPORTE APROBADO]]-Tabla1[[#This Row],[AMORTIZACION2]]</f>
        <v>0</v>
      </c>
      <c r="O630" s="65" t="str">
        <f>TEXT(Tabla1[[#This Row],[EMISION]],"mmm")</f>
        <v>Set</v>
      </c>
      <c r="P630" s="65" t="str">
        <f>TEXT(Tabla1[[#This Row],[EMISION]],"YYYY")</f>
        <v>2023</v>
      </c>
      <c r="Q630" s="71">
        <v>45184</v>
      </c>
      <c r="R630" s="65" t="str">
        <f>TEXT(Tabla1[[#This Row],[VENCIMIENTO]],"mmm")</f>
        <v>Set</v>
      </c>
      <c r="S630" s="71">
        <f t="shared" si="115"/>
        <v>45199</v>
      </c>
      <c r="T630" s="72">
        <f ca="1">Tabla1[[#This Row],[EMISION]]+Tabla1[[#This Row],[PLAZO]]-TODAY()</f>
        <v>-170</v>
      </c>
      <c r="U630" s="80">
        <f t="shared" ca="1" si="116"/>
        <v>0</v>
      </c>
      <c r="V630" s="72"/>
      <c r="W630" s="73" t="s">
        <v>14307</v>
      </c>
      <c r="X630" s="65">
        <v>15</v>
      </c>
      <c r="Y630" s="65"/>
      <c r="Z630" s="65"/>
      <c r="AA630" s="65"/>
      <c r="AB630" s="65"/>
      <c r="AC630" s="65"/>
      <c r="AD630" s="65"/>
      <c r="AE630" s="65"/>
      <c r="AF630" s="68"/>
      <c r="AG630" s="66">
        <v>45209</v>
      </c>
      <c r="AH630" s="67" t="s">
        <v>14308</v>
      </c>
      <c r="AI630" s="65" t="s">
        <v>3060</v>
      </c>
      <c r="AJ630" s="65"/>
      <c r="AK630" s="97">
        <f t="shared" ca="1" si="106"/>
        <v>170</v>
      </c>
      <c r="AL630">
        <f>IFERROR(VLOOKUP(A630,'DATA CLIENTES'!B4927:I8284,6,FALSE),0)</f>
        <v>0</v>
      </c>
    </row>
    <row r="631" spans="1:38" x14ac:dyDescent="0.25">
      <c r="A631" s="93" t="s">
        <v>7756</v>
      </c>
      <c r="B631" s="68" t="s">
        <v>7757</v>
      </c>
      <c r="C631" s="65"/>
      <c r="D631" s="65"/>
      <c r="E631" s="65"/>
      <c r="F631" s="69" t="s">
        <v>11799</v>
      </c>
      <c r="G631" s="70"/>
      <c r="H631" s="65">
        <v>5600006102</v>
      </c>
      <c r="I631" s="75">
        <v>2017.84</v>
      </c>
      <c r="J631" s="75">
        <f>17.36+1000+1000</f>
        <v>2017.3600000000001</v>
      </c>
      <c r="K631" s="75"/>
      <c r="L631" s="75"/>
      <c r="M631" s="75"/>
      <c r="N631" s="75">
        <f>Tabla1[[#This Row],[IMPORTE APROBADO]]-Tabla1[[#This Row],[AMORTIZACION2]]</f>
        <v>0.47999999999979082</v>
      </c>
      <c r="O631" s="65" t="str">
        <f>TEXT(Tabla1[[#This Row],[EMISION]],"mmm")</f>
        <v>Set</v>
      </c>
      <c r="P631" s="65" t="str">
        <f>TEXT(Tabla1[[#This Row],[EMISION]],"YYYY")</f>
        <v>2023</v>
      </c>
      <c r="Q631" s="71">
        <v>45184</v>
      </c>
      <c r="R631" s="65" t="str">
        <f>TEXT(Tabla1[[#This Row],[VENCIMIENTO]],"mmm")</f>
        <v>Set</v>
      </c>
      <c r="S631" s="71">
        <f t="shared" si="115"/>
        <v>45199</v>
      </c>
      <c r="T631" s="72">
        <f ca="1">Tabla1[[#This Row],[EMISION]]+Tabla1[[#This Row],[PLAZO]]-TODAY()</f>
        <v>-170</v>
      </c>
      <c r="U631" s="80">
        <f t="shared" ca="1" si="116"/>
        <v>0</v>
      </c>
      <c r="V631" s="72"/>
      <c r="W631" s="73" t="s">
        <v>14307</v>
      </c>
      <c r="X631" s="65">
        <v>15</v>
      </c>
      <c r="Y631" s="65"/>
      <c r="Z631" s="65"/>
      <c r="AA631" s="65"/>
      <c r="AB631" s="65"/>
      <c r="AC631" s="65"/>
      <c r="AD631" s="65"/>
      <c r="AE631" s="65"/>
      <c r="AF631" s="68"/>
      <c r="AG631" s="66">
        <v>45209</v>
      </c>
      <c r="AH631" s="67" t="s">
        <v>14308</v>
      </c>
      <c r="AI631" s="65" t="s">
        <v>3060</v>
      </c>
      <c r="AJ631" s="65"/>
      <c r="AK631" s="97">
        <f t="shared" ca="1" si="106"/>
        <v>170</v>
      </c>
      <c r="AL631">
        <f>IFERROR(VLOOKUP(A631,'DATA CLIENTES'!B4928:I8284,6,FALSE),0)</f>
        <v>0</v>
      </c>
    </row>
    <row r="632" spans="1:38" x14ac:dyDescent="0.25">
      <c r="A632" s="93" t="s">
        <v>9050</v>
      </c>
      <c r="B632" s="68" t="s">
        <v>9051</v>
      </c>
      <c r="C632" s="65"/>
      <c r="D632" s="65"/>
      <c r="E632" s="65"/>
      <c r="F632" s="69" t="s">
        <v>14812</v>
      </c>
      <c r="G632" s="70"/>
      <c r="H632" s="65">
        <v>5500006166</v>
      </c>
      <c r="I632" s="75">
        <v>1296</v>
      </c>
      <c r="J632" s="75">
        <v>1296</v>
      </c>
      <c r="K632" s="75"/>
      <c r="L632" s="75"/>
      <c r="M632" s="75"/>
      <c r="N632" s="75">
        <f>Tabla1[[#This Row],[IMPORTE APROBADO]]-Tabla1[[#This Row],[AMORTIZACION2]]</f>
        <v>0</v>
      </c>
      <c r="O632" s="65" t="str">
        <f>TEXT(Tabla1[[#This Row],[EMISION]],"mmm")</f>
        <v>Set</v>
      </c>
      <c r="P632" s="65" t="str">
        <f>TEXT(Tabla1[[#This Row],[EMISION]],"YYYY")</f>
        <v>2023</v>
      </c>
      <c r="Q632" s="71">
        <v>45184</v>
      </c>
      <c r="R632" s="65" t="str">
        <f>TEXT(Tabla1[[#This Row],[VENCIMIENTO]],"mmm")</f>
        <v>Set</v>
      </c>
      <c r="S632" s="71">
        <f t="shared" si="115"/>
        <v>45199</v>
      </c>
      <c r="T632" s="72">
        <f ca="1">Tabla1[[#This Row],[EMISION]]+Tabla1[[#This Row],[PLAZO]]-TODAY()</f>
        <v>-170</v>
      </c>
      <c r="U632" s="80">
        <f t="shared" ca="1" si="116"/>
        <v>0</v>
      </c>
      <c r="V632" s="72"/>
      <c r="W632" s="73" t="s">
        <v>14307</v>
      </c>
      <c r="X632" s="65">
        <v>15</v>
      </c>
      <c r="Y632" s="65"/>
      <c r="Z632" s="65"/>
      <c r="AA632" s="65"/>
      <c r="AB632" s="65"/>
      <c r="AC632" s="65"/>
      <c r="AD632" s="65"/>
      <c r="AE632" s="65"/>
      <c r="AF632" s="68"/>
      <c r="AG632" s="66">
        <v>45201</v>
      </c>
      <c r="AH632" s="67" t="s">
        <v>14308</v>
      </c>
      <c r="AI632" s="65" t="s">
        <v>3060</v>
      </c>
      <c r="AJ632" s="65"/>
      <c r="AK632" s="97">
        <f t="shared" ca="1" si="106"/>
        <v>170</v>
      </c>
      <c r="AL632">
        <f>IFERROR(VLOOKUP(A632,'DATA CLIENTES'!B4929:I8284,6,FALSE),0)</f>
        <v>0</v>
      </c>
    </row>
    <row r="633" spans="1:38" x14ac:dyDescent="0.25">
      <c r="A633" s="93" t="s">
        <v>10210</v>
      </c>
      <c r="B633" s="68" t="s">
        <v>14755</v>
      </c>
      <c r="C633" s="65"/>
      <c r="D633" s="65"/>
      <c r="E633" s="65"/>
      <c r="F633" s="69" t="s">
        <v>14559</v>
      </c>
      <c r="G633" s="70"/>
      <c r="H633" s="65">
        <v>5500006182</v>
      </c>
      <c r="I633" s="75">
        <v>15060</v>
      </c>
      <c r="J633" s="75">
        <f>7060+4500+1500+2000</f>
        <v>15060</v>
      </c>
      <c r="K633" s="75"/>
      <c r="L633" s="75"/>
      <c r="M633" s="75"/>
      <c r="N633" s="75">
        <f>Tabla1[[#This Row],[IMPORTE APROBADO]]-Tabla1[[#This Row],[AMORTIZACION2]]</f>
        <v>0</v>
      </c>
      <c r="O633" s="65" t="str">
        <f>TEXT(Tabla1[[#This Row],[EMISION]],"mmm")</f>
        <v>Set</v>
      </c>
      <c r="P633" s="65" t="str">
        <f>TEXT(Tabla1[[#This Row],[EMISION]],"YYYY")</f>
        <v>2023</v>
      </c>
      <c r="Q633" s="71">
        <v>45188</v>
      </c>
      <c r="R633" s="65" t="str">
        <f>TEXT(Tabla1[[#This Row],[VENCIMIENTO]],"mmm")</f>
        <v>Oct</v>
      </c>
      <c r="S633" s="71">
        <f t="shared" si="115"/>
        <v>45213</v>
      </c>
      <c r="T633" s="72">
        <f ca="1">Tabla1[[#This Row],[EMISION]]+Tabla1[[#This Row],[PLAZO]]-TODAY()</f>
        <v>-156</v>
      </c>
      <c r="U633" s="80">
        <f t="shared" ca="1" si="116"/>
        <v>0</v>
      </c>
      <c r="V633" s="72"/>
      <c r="W633" s="73" t="s">
        <v>14307</v>
      </c>
      <c r="X633" s="65">
        <v>25</v>
      </c>
      <c r="Y633" s="65"/>
      <c r="Z633" s="65"/>
      <c r="AA633" s="65"/>
      <c r="AB633" s="65"/>
      <c r="AC633" s="65"/>
      <c r="AD633" s="65"/>
      <c r="AE633" s="65"/>
      <c r="AF633" s="68"/>
      <c r="AG633" s="66">
        <v>45220</v>
      </c>
      <c r="AH633" s="67" t="s">
        <v>14308</v>
      </c>
      <c r="AI633" s="65" t="s">
        <v>3060</v>
      </c>
      <c r="AJ633" s="65"/>
      <c r="AK633" s="97">
        <f t="shared" ca="1" si="106"/>
        <v>156</v>
      </c>
      <c r="AL633">
        <f>IFERROR(VLOOKUP(A633,'DATA CLIENTES'!B4930:I8284,6,FALSE),0)</f>
        <v>0</v>
      </c>
    </row>
    <row r="634" spans="1:38" x14ac:dyDescent="0.25">
      <c r="A634" s="93" t="s">
        <v>9345</v>
      </c>
      <c r="B634" s="68" t="s">
        <v>9346</v>
      </c>
      <c r="C634" s="65"/>
      <c r="D634" s="65"/>
      <c r="E634" s="65"/>
      <c r="F634" s="69" t="s">
        <v>14559</v>
      </c>
      <c r="G634" s="70"/>
      <c r="H634" s="65">
        <v>5500006181</v>
      </c>
      <c r="I634" s="75">
        <v>8055</v>
      </c>
      <c r="J634" s="75">
        <f>3000+1055+1000+3000</f>
        <v>8055</v>
      </c>
      <c r="K634" s="75"/>
      <c r="L634" s="75"/>
      <c r="M634" s="75"/>
      <c r="N634" s="75">
        <f>Tabla1[[#This Row],[IMPORTE APROBADO]]-Tabla1[[#This Row],[AMORTIZACION2]]</f>
        <v>0</v>
      </c>
      <c r="O634" s="65" t="str">
        <f>TEXT(Tabla1[[#This Row],[EMISION]],"mmm")</f>
        <v>Set</v>
      </c>
      <c r="P634" s="65" t="str">
        <f>TEXT(Tabla1[[#This Row],[EMISION]],"YYYY")</f>
        <v>2023</v>
      </c>
      <c r="Q634" s="71">
        <v>45188</v>
      </c>
      <c r="R634" s="65" t="str">
        <f>TEXT(Tabla1[[#This Row],[VENCIMIENTO]],"mmm")</f>
        <v>Oct</v>
      </c>
      <c r="S634" s="71">
        <f t="shared" si="115"/>
        <v>45208</v>
      </c>
      <c r="T634" s="72">
        <f ca="1">Tabla1[[#This Row],[EMISION]]+Tabla1[[#This Row],[PLAZO]]-TODAY()</f>
        <v>-161</v>
      </c>
      <c r="U634" s="80">
        <f t="shared" ca="1" si="116"/>
        <v>0</v>
      </c>
      <c r="V634" s="72"/>
      <c r="W634" s="73" t="s">
        <v>14307</v>
      </c>
      <c r="X634" s="65">
        <v>20</v>
      </c>
      <c r="Y634" s="65"/>
      <c r="Z634" s="65"/>
      <c r="AA634" s="65"/>
      <c r="AB634" s="65"/>
      <c r="AC634" s="65"/>
      <c r="AD634" s="65"/>
      <c r="AE634" s="65"/>
      <c r="AF634" s="68"/>
      <c r="AG634" s="66">
        <v>45227</v>
      </c>
      <c r="AH634" s="67" t="s">
        <v>14308</v>
      </c>
      <c r="AI634" s="65" t="s">
        <v>3060</v>
      </c>
      <c r="AJ634" s="65"/>
      <c r="AK634" s="97">
        <f t="shared" ca="1" si="106"/>
        <v>161</v>
      </c>
      <c r="AL634">
        <f>IFERROR(VLOOKUP(A634,'DATA CLIENTES'!B4931:I8284,6,FALSE),0)</f>
        <v>0</v>
      </c>
    </row>
    <row r="635" spans="1:38" x14ac:dyDescent="0.25">
      <c r="A635" s="93" t="s">
        <v>10005</v>
      </c>
      <c r="B635" s="68" t="s">
        <v>10006</v>
      </c>
      <c r="C635" s="65"/>
      <c r="D635" s="65"/>
      <c r="E635" s="65"/>
      <c r="F635" s="69" t="s">
        <v>14804</v>
      </c>
      <c r="G635" s="70"/>
      <c r="H635" s="65">
        <v>5600006116</v>
      </c>
      <c r="I635" s="75">
        <v>2205.0299999999997</v>
      </c>
      <c r="J635" s="75">
        <f>505+500+500+700</f>
        <v>2205</v>
      </c>
      <c r="K635" s="75"/>
      <c r="L635" s="75"/>
      <c r="M635" s="75"/>
      <c r="N635" s="75">
        <f>Tabla1[[#This Row],[IMPORTE APROBADO]]-Tabla1[[#This Row],[AMORTIZACION2]]</f>
        <v>2.9999999999745341E-2</v>
      </c>
      <c r="O635" s="65" t="str">
        <f>TEXT(Tabla1[[#This Row],[EMISION]],"mmm")</f>
        <v>Set</v>
      </c>
      <c r="P635" s="65" t="str">
        <f>TEXT(Tabla1[[#This Row],[EMISION]],"YYYY")</f>
        <v>2023</v>
      </c>
      <c r="Q635" s="71">
        <v>45188</v>
      </c>
      <c r="R635" s="65" t="str">
        <f>TEXT(Tabla1[[#This Row],[VENCIMIENTO]],"mmm")</f>
        <v>Oct</v>
      </c>
      <c r="S635" s="71">
        <f t="shared" ref="S635:S647" si="117">Q635+X635</f>
        <v>45208</v>
      </c>
      <c r="T635" s="72">
        <f ca="1">Tabla1[[#This Row],[EMISION]]+Tabla1[[#This Row],[PLAZO]]-TODAY()</f>
        <v>-161</v>
      </c>
      <c r="U635" s="80">
        <f t="shared" ref="U635:U647" ca="1" si="118">IF(T635&gt;=0,$U$4,IF(AND(T635&lt;=-1,T635&gt;=-30),$U$5,IF(AND(T635&lt;=-31,T635&gt;=-60),$U$6,IF(AND(T635&lt;=-61,T635&gt;=-90),$U$7,$U$8))))</f>
        <v>0</v>
      </c>
      <c r="V635" s="72"/>
      <c r="W635" s="73" t="s">
        <v>14307</v>
      </c>
      <c r="X635" s="65">
        <v>20</v>
      </c>
      <c r="Y635" s="65"/>
      <c r="Z635" s="65"/>
      <c r="AA635" s="65"/>
      <c r="AB635" s="65"/>
      <c r="AC635" s="65"/>
      <c r="AD635" s="65"/>
      <c r="AE635" s="65"/>
      <c r="AF635" s="68"/>
      <c r="AG635" s="66">
        <v>45206</v>
      </c>
      <c r="AH635" s="67" t="s">
        <v>14308</v>
      </c>
      <c r="AI635" s="65" t="s">
        <v>3060</v>
      </c>
      <c r="AJ635" s="65"/>
      <c r="AK635" s="97">
        <f t="shared" ca="1" si="106"/>
        <v>161</v>
      </c>
      <c r="AL635">
        <f>IFERROR(VLOOKUP(A635,'DATA CLIENTES'!B4932:I8284,6,FALSE),0)</f>
        <v>0</v>
      </c>
    </row>
    <row r="636" spans="1:38" x14ac:dyDescent="0.25">
      <c r="A636" s="93" t="s">
        <v>8918</v>
      </c>
      <c r="B636" s="68" t="s">
        <v>8919</v>
      </c>
      <c r="C636" s="65"/>
      <c r="D636" s="65"/>
      <c r="E636" s="65"/>
      <c r="F636" s="69" t="s">
        <v>14559</v>
      </c>
      <c r="G636" s="70"/>
      <c r="H636" s="65">
        <v>5500006183</v>
      </c>
      <c r="I636" s="75">
        <v>2090.69</v>
      </c>
      <c r="J636" s="75">
        <f>2090.7</f>
        <v>2090.6999999999998</v>
      </c>
      <c r="K636" s="75"/>
      <c r="L636" s="75"/>
      <c r="M636" s="75"/>
      <c r="N636" s="75">
        <f>Tabla1[[#This Row],[IMPORTE APROBADO]]-Tabla1[[#This Row],[AMORTIZACION2]]</f>
        <v>-9.9999999997635314E-3</v>
      </c>
      <c r="O636" s="65" t="str">
        <f>TEXT(Tabla1[[#This Row],[EMISION]],"mmm")</f>
        <v>Set</v>
      </c>
      <c r="P636" s="65" t="str">
        <f>TEXT(Tabla1[[#This Row],[EMISION]],"YYYY")</f>
        <v>2023</v>
      </c>
      <c r="Q636" s="71">
        <v>45188</v>
      </c>
      <c r="R636" s="65" t="str">
        <f>TEXT(Tabla1[[#This Row],[VENCIMIENTO]],"mmm")</f>
        <v>Oct</v>
      </c>
      <c r="S636" s="71">
        <f t="shared" si="117"/>
        <v>45203</v>
      </c>
      <c r="T636" s="72">
        <f ca="1">Tabla1[[#This Row],[EMISION]]+Tabla1[[#This Row],[PLAZO]]-TODAY()</f>
        <v>-166</v>
      </c>
      <c r="U636" s="80">
        <f t="shared" ca="1" si="118"/>
        <v>0</v>
      </c>
      <c r="V636" s="72"/>
      <c r="W636" s="73" t="s">
        <v>14307</v>
      </c>
      <c r="X636" s="65">
        <v>15</v>
      </c>
      <c r="Y636" s="65"/>
      <c r="Z636" s="65"/>
      <c r="AA636" s="65"/>
      <c r="AB636" s="65"/>
      <c r="AC636" s="65"/>
      <c r="AD636" s="65"/>
      <c r="AE636" s="65"/>
      <c r="AF636" s="68"/>
      <c r="AG636" s="66">
        <v>45206</v>
      </c>
      <c r="AH636" s="67" t="s">
        <v>14308</v>
      </c>
      <c r="AI636" s="65" t="s">
        <v>3060</v>
      </c>
      <c r="AJ636" s="65"/>
      <c r="AK636" s="97">
        <f t="shared" ca="1" si="106"/>
        <v>166</v>
      </c>
      <c r="AL636">
        <f>IFERROR(VLOOKUP(A636,'DATA CLIENTES'!B4933:I8284,6,FALSE),0)</f>
        <v>0</v>
      </c>
    </row>
    <row r="637" spans="1:38" x14ac:dyDescent="0.25">
      <c r="A637" s="93" t="s">
        <v>9053</v>
      </c>
      <c r="B637" s="68" t="s">
        <v>9054</v>
      </c>
      <c r="C637" s="65"/>
      <c r="D637" s="65"/>
      <c r="E637" s="65"/>
      <c r="F637" s="69" t="s">
        <v>14559</v>
      </c>
      <c r="G637" s="70"/>
      <c r="H637" s="65">
        <v>5500006184</v>
      </c>
      <c r="I637" s="75">
        <v>3762</v>
      </c>
      <c r="J637" s="75">
        <f>262+200+200+200+200+200+200+200+200+200+200+200+200+200+200+400+300</f>
        <v>3762</v>
      </c>
      <c r="K637" s="75"/>
      <c r="L637" s="75"/>
      <c r="M637" s="75"/>
      <c r="N637" s="75">
        <f>Tabla1[[#This Row],[IMPORTE APROBADO]]-Tabla1[[#This Row],[AMORTIZACION2]]</f>
        <v>0</v>
      </c>
      <c r="O637" s="65" t="str">
        <f>TEXT(Tabla1[[#This Row],[EMISION]],"mmm")</f>
        <v>Set</v>
      </c>
      <c r="P637" s="65" t="str">
        <f>TEXT(Tabla1[[#This Row],[EMISION]],"YYYY")</f>
        <v>2023</v>
      </c>
      <c r="Q637" s="71">
        <v>45188</v>
      </c>
      <c r="R637" s="65" t="str">
        <f>TEXT(Tabla1[[#This Row],[VENCIMIENTO]],"mmm")</f>
        <v>Oct</v>
      </c>
      <c r="S637" s="71">
        <f t="shared" si="117"/>
        <v>45213</v>
      </c>
      <c r="T637" s="72">
        <f ca="1">Tabla1[[#This Row],[EMISION]]+Tabla1[[#This Row],[PLAZO]]-TODAY()</f>
        <v>-156</v>
      </c>
      <c r="U637" s="80">
        <f t="shared" ca="1" si="118"/>
        <v>0</v>
      </c>
      <c r="V637" s="72"/>
      <c r="W637" s="73" t="s">
        <v>14307</v>
      </c>
      <c r="X637" s="65">
        <v>25</v>
      </c>
      <c r="Y637" s="65"/>
      <c r="Z637" s="65"/>
      <c r="AA637" s="65"/>
      <c r="AB637" s="65"/>
      <c r="AC637" s="65"/>
      <c r="AD637" s="65"/>
      <c r="AE637" s="65"/>
      <c r="AF637" s="68"/>
      <c r="AG637" s="66">
        <v>45295</v>
      </c>
      <c r="AH637" s="67" t="s">
        <v>14308</v>
      </c>
      <c r="AI637" s="65" t="s">
        <v>3060</v>
      </c>
      <c r="AJ637" s="65"/>
      <c r="AK637" s="97">
        <f t="shared" ca="1" si="106"/>
        <v>156</v>
      </c>
      <c r="AL637">
        <f>IFERROR(VLOOKUP(A637,'DATA CLIENTES'!B4934:I8284,6,FALSE),0)</f>
        <v>0</v>
      </c>
    </row>
    <row r="638" spans="1:38" x14ac:dyDescent="0.25">
      <c r="A638" s="93" t="s">
        <v>9297</v>
      </c>
      <c r="B638" s="68" t="s">
        <v>9298</v>
      </c>
      <c r="C638" s="65"/>
      <c r="D638" s="65"/>
      <c r="E638" s="65"/>
      <c r="F638" s="69" t="s">
        <v>14559</v>
      </c>
      <c r="G638" s="70"/>
      <c r="H638" s="65">
        <v>5500006185</v>
      </c>
      <c r="I638" s="75">
        <v>3672</v>
      </c>
      <c r="J638" s="75">
        <v>3672</v>
      </c>
      <c r="K638" s="75"/>
      <c r="L638" s="75"/>
      <c r="M638" s="75"/>
      <c r="N638" s="75">
        <f>Tabla1[[#This Row],[IMPORTE APROBADO]]-Tabla1[[#This Row],[AMORTIZACION2]]</f>
        <v>0</v>
      </c>
      <c r="O638" s="65" t="str">
        <f>TEXT(Tabla1[[#This Row],[EMISION]],"mmm")</f>
        <v>Set</v>
      </c>
      <c r="P638" s="65" t="str">
        <f>TEXT(Tabla1[[#This Row],[EMISION]],"YYYY")</f>
        <v>2023</v>
      </c>
      <c r="Q638" s="71">
        <v>45188</v>
      </c>
      <c r="R638" s="65" t="str">
        <f>TEXT(Tabla1[[#This Row],[VENCIMIENTO]],"mmm")</f>
        <v>Oct</v>
      </c>
      <c r="S638" s="71">
        <f t="shared" si="117"/>
        <v>45213</v>
      </c>
      <c r="T638" s="72">
        <f ca="1">Tabla1[[#This Row],[EMISION]]+Tabla1[[#This Row],[PLAZO]]-TODAY()</f>
        <v>-156</v>
      </c>
      <c r="U638" s="80">
        <f t="shared" ca="1" si="118"/>
        <v>0</v>
      </c>
      <c r="V638" s="72"/>
      <c r="W638" s="73" t="s">
        <v>14307</v>
      </c>
      <c r="X638" s="65">
        <v>25</v>
      </c>
      <c r="Y638" s="65"/>
      <c r="Z638" s="65"/>
      <c r="AA638" s="65"/>
      <c r="AB638" s="65"/>
      <c r="AC638" s="65"/>
      <c r="AD638" s="65"/>
      <c r="AE638" s="65"/>
      <c r="AF638" s="68"/>
      <c r="AG638" s="66">
        <v>45209</v>
      </c>
      <c r="AH638" s="67" t="s">
        <v>14308</v>
      </c>
      <c r="AI638" s="65" t="s">
        <v>3060</v>
      </c>
      <c r="AJ638" s="65"/>
      <c r="AK638" s="97">
        <f t="shared" ca="1" si="106"/>
        <v>156</v>
      </c>
      <c r="AL638">
        <f>IFERROR(VLOOKUP(A638,'DATA CLIENTES'!B4935:I8284,6,FALSE),0)</f>
        <v>0</v>
      </c>
    </row>
    <row r="639" spans="1:38" x14ac:dyDescent="0.25">
      <c r="A639" s="93" t="s">
        <v>9248</v>
      </c>
      <c r="B639" s="68" t="s">
        <v>9249</v>
      </c>
      <c r="C639" s="65"/>
      <c r="D639" s="65"/>
      <c r="E639" s="65"/>
      <c r="F639" s="69" t="s">
        <v>11799</v>
      </c>
      <c r="G639" s="70"/>
      <c r="H639" s="65">
        <v>5600006118</v>
      </c>
      <c r="I639" s="75">
        <v>2760</v>
      </c>
      <c r="J639" s="75">
        <v>2760</v>
      </c>
      <c r="K639" s="75"/>
      <c r="L639" s="75"/>
      <c r="M639" s="75"/>
      <c r="N639" s="75">
        <f>Tabla1[[#This Row],[IMPORTE APROBADO]]-Tabla1[[#This Row],[AMORTIZACION2]]</f>
        <v>0</v>
      </c>
      <c r="O639" s="65" t="str">
        <f>TEXT(Tabla1[[#This Row],[EMISION]],"mmm")</f>
        <v>Set</v>
      </c>
      <c r="P639" s="65" t="str">
        <f>TEXT(Tabla1[[#This Row],[EMISION]],"YYYY")</f>
        <v>2023</v>
      </c>
      <c r="Q639" s="71">
        <v>45189</v>
      </c>
      <c r="R639" s="65" t="str">
        <f>TEXT(Tabla1[[#This Row],[VENCIMIENTO]],"mmm")</f>
        <v>Oct</v>
      </c>
      <c r="S639" s="71">
        <f t="shared" si="117"/>
        <v>45204</v>
      </c>
      <c r="T639" s="72">
        <f ca="1">Tabla1[[#This Row],[EMISION]]+Tabla1[[#This Row],[PLAZO]]-TODAY()</f>
        <v>-165</v>
      </c>
      <c r="U639" s="80">
        <f t="shared" ca="1" si="118"/>
        <v>0</v>
      </c>
      <c r="V639" s="72"/>
      <c r="W639" s="73" t="s">
        <v>14307</v>
      </c>
      <c r="X639" s="65">
        <v>15</v>
      </c>
      <c r="Y639" s="65"/>
      <c r="Z639" s="65"/>
      <c r="AA639" s="65"/>
      <c r="AB639" s="65"/>
      <c r="AC639" s="65"/>
      <c r="AD639" s="65"/>
      <c r="AE639" s="65"/>
      <c r="AF639" s="68"/>
      <c r="AG639" s="66">
        <v>45222</v>
      </c>
      <c r="AH639" s="67" t="s">
        <v>14308</v>
      </c>
      <c r="AI639" s="65" t="s">
        <v>3060</v>
      </c>
      <c r="AJ639" s="65"/>
      <c r="AK639" s="97">
        <f t="shared" ca="1" si="106"/>
        <v>165</v>
      </c>
      <c r="AL639">
        <f>IFERROR(VLOOKUP(A639,'DATA CLIENTES'!B4936:I8284,6,FALSE),0)</f>
        <v>0</v>
      </c>
    </row>
    <row r="640" spans="1:38" x14ac:dyDescent="0.25">
      <c r="A640" s="93" t="s">
        <v>9263</v>
      </c>
      <c r="B640" s="68" t="s">
        <v>9264</v>
      </c>
      <c r="C640" s="65"/>
      <c r="D640" s="65"/>
      <c r="E640" s="65"/>
      <c r="F640" s="69" t="s">
        <v>11799</v>
      </c>
      <c r="G640" s="70"/>
      <c r="H640" s="65">
        <v>5600006119</v>
      </c>
      <c r="I640" s="75">
        <v>3810</v>
      </c>
      <c r="J640" s="75">
        <v>3810</v>
      </c>
      <c r="K640" s="75"/>
      <c r="L640" s="75"/>
      <c r="M640" s="75"/>
      <c r="N640" s="75">
        <f>Tabla1[[#This Row],[IMPORTE APROBADO]]-Tabla1[[#This Row],[AMORTIZACION2]]</f>
        <v>0</v>
      </c>
      <c r="O640" s="65" t="str">
        <f>TEXT(Tabla1[[#This Row],[EMISION]],"mmm")</f>
        <v>Set</v>
      </c>
      <c r="P640" s="65" t="str">
        <f>TEXT(Tabla1[[#This Row],[EMISION]],"YYYY")</f>
        <v>2023</v>
      </c>
      <c r="Q640" s="71">
        <v>45189</v>
      </c>
      <c r="R640" s="65" t="str">
        <f>TEXT(Tabla1[[#This Row],[VENCIMIENTO]],"mmm")</f>
        <v>Oct</v>
      </c>
      <c r="S640" s="71">
        <f t="shared" si="117"/>
        <v>45204</v>
      </c>
      <c r="T640" s="72">
        <f ca="1">Tabla1[[#This Row],[EMISION]]+Tabla1[[#This Row],[PLAZO]]-TODAY()</f>
        <v>-165</v>
      </c>
      <c r="U640" s="80">
        <f t="shared" ca="1" si="118"/>
        <v>0</v>
      </c>
      <c r="V640" s="72"/>
      <c r="W640" s="73" t="s">
        <v>14307</v>
      </c>
      <c r="X640" s="65">
        <v>15</v>
      </c>
      <c r="Y640" s="65"/>
      <c r="Z640" s="65"/>
      <c r="AA640" s="65"/>
      <c r="AB640" s="65"/>
      <c r="AC640" s="65"/>
      <c r="AD640" s="65"/>
      <c r="AE640" s="65"/>
      <c r="AF640" s="68"/>
      <c r="AG640" s="66">
        <v>45208</v>
      </c>
      <c r="AH640" s="67" t="s">
        <v>14308</v>
      </c>
      <c r="AI640" s="65" t="s">
        <v>3060</v>
      </c>
      <c r="AJ640" s="65"/>
      <c r="AK640" s="97">
        <f t="shared" ca="1" si="106"/>
        <v>165</v>
      </c>
      <c r="AL640">
        <f>IFERROR(VLOOKUP(A640,'DATA CLIENTES'!B4937:I8284,6,FALSE),0)</f>
        <v>0</v>
      </c>
    </row>
    <row r="641" spans="1:38" x14ac:dyDescent="0.25">
      <c r="A641" s="93" t="s">
        <v>7923</v>
      </c>
      <c r="B641" s="68" t="s">
        <v>7924</v>
      </c>
      <c r="C641" s="65"/>
      <c r="D641" s="65"/>
      <c r="E641" s="65"/>
      <c r="F641" s="69" t="s">
        <v>14574</v>
      </c>
      <c r="G641" s="70"/>
      <c r="H641" s="65">
        <v>5300000189</v>
      </c>
      <c r="I641" s="75">
        <v>3598</v>
      </c>
      <c r="J641" s="75"/>
      <c r="K641" s="75"/>
      <c r="L641" s="75"/>
      <c r="M641" s="75"/>
      <c r="N641" s="75">
        <f>Tabla1[[#This Row],[IMPORTE APROBADO]]-Tabla1[[#This Row],[AMORTIZACION2]]</f>
        <v>3598</v>
      </c>
      <c r="O641" s="65" t="str">
        <f>TEXT(Tabla1[[#This Row],[EMISION]],"mmm")</f>
        <v>Set</v>
      </c>
      <c r="P641" s="65" t="str">
        <f>TEXT(Tabla1[[#This Row],[EMISION]],"YYYY")</f>
        <v>2023</v>
      </c>
      <c r="Q641" s="71">
        <v>45190</v>
      </c>
      <c r="R641" s="65" t="str">
        <f>TEXT(Tabla1[[#This Row],[VENCIMIENTO]],"mmm")</f>
        <v>Set</v>
      </c>
      <c r="S641" s="71">
        <f t="shared" si="117"/>
        <v>45197</v>
      </c>
      <c r="T641" s="72">
        <f ca="1">Tabla1[[#This Row],[EMISION]]+Tabla1[[#This Row],[PLAZO]]-TODAY()</f>
        <v>-172</v>
      </c>
      <c r="U641" s="80">
        <f t="shared" ca="1" si="118"/>
        <v>0</v>
      </c>
      <c r="V641" s="72"/>
      <c r="W641" s="73" t="s">
        <v>14307</v>
      </c>
      <c r="X641" s="65">
        <v>7</v>
      </c>
      <c r="Y641" s="65"/>
      <c r="Z641" s="65"/>
      <c r="AA641" s="65"/>
      <c r="AB641" s="65"/>
      <c r="AC641" s="65"/>
      <c r="AD641" s="65"/>
      <c r="AE641" s="65"/>
      <c r="AF641" s="68"/>
      <c r="AG641" s="66">
        <v>45209</v>
      </c>
      <c r="AH641" s="67" t="s">
        <v>14308</v>
      </c>
      <c r="AI641" s="65" t="s">
        <v>3060</v>
      </c>
      <c r="AJ641" s="65"/>
      <c r="AK641" s="97">
        <f t="shared" ca="1" si="106"/>
        <v>172</v>
      </c>
      <c r="AL641">
        <f>IFERROR(VLOOKUP(A641,'DATA CLIENTES'!B4938:I8284,6,FALSE),0)</f>
        <v>0</v>
      </c>
    </row>
    <row r="642" spans="1:38" x14ac:dyDescent="0.25">
      <c r="A642" s="93" t="s">
        <v>7923</v>
      </c>
      <c r="B642" s="68" t="s">
        <v>7924</v>
      </c>
      <c r="C642" s="65"/>
      <c r="D642" s="65"/>
      <c r="E642" s="65"/>
      <c r="F642" s="69" t="s">
        <v>14805</v>
      </c>
      <c r="G642" s="70"/>
      <c r="H642" s="65">
        <v>5300000190</v>
      </c>
      <c r="I642" s="75">
        <v>500</v>
      </c>
      <c r="J642" s="75"/>
      <c r="K642" s="75"/>
      <c r="L642" s="75"/>
      <c r="M642" s="75"/>
      <c r="N642" s="75">
        <f>Tabla1[[#This Row],[IMPORTE APROBADO]]-Tabla1[[#This Row],[AMORTIZACION2]]</f>
        <v>500</v>
      </c>
      <c r="O642" s="65" t="str">
        <f>TEXT(Tabla1[[#This Row],[EMISION]],"mmm")</f>
        <v>Set</v>
      </c>
      <c r="P642" s="65" t="str">
        <f>TEXT(Tabla1[[#This Row],[EMISION]],"YYYY")</f>
        <v>2023</v>
      </c>
      <c r="Q642" s="71">
        <v>45190</v>
      </c>
      <c r="R642" s="65" t="str">
        <f>TEXT(Tabla1[[#This Row],[VENCIMIENTO]],"mmm")</f>
        <v>Set</v>
      </c>
      <c r="S642" s="71">
        <f t="shared" si="117"/>
        <v>45197</v>
      </c>
      <c r="T642" s="72">
        <f ca="1">Tabla1[[#This Row],[EMISION]]+Tabla1[[#This Row],[PLAZO]]-TODAY()</f>
        <v>-172</v>
      </c>
      <c r="U642" s="80">
        <f t="shared" ca="1" si="118"/>
        <v>0</v>
      </c>
      <c r="V642" s="72"/>
      <c r="W642" s="73" t="s">
        <v>14307</v>
      </c>
      <c r="X642" s="65">
        <v>7</v>
      </c>
      <c r="Y642" s="65"/>
      <c r="Z642" s="65"/>
      <c r="AA642" s="65"/>
      <c r="AB642" s="65"/>
      <c r="AC642" s="65"/>
      <c r="AD642" s="65"/>
      <c r="AE642" s="65"/>
      <c r="AF642" s="68"/>
      <c r="AG642" s="66">
        <v>45209</v>
      </c>
      <c r="AH642" s="67" t="s">
        <v>14308</v>
      </c>
      <c r="AI642" s="65" t="s">
        <v>3060</v>
      </c>
      <c r="AJ642" s="65"/>
      <c r="AK642" s="97">
        <f t="shared" ca="1" si="106"/>
        <v>172</v>
      </c>
      <c r="AL642">
        <f>IFERROR(VLOOKUP(A642,'DATA CLIENTES'!B4939:I8284,6,FALSE),0)</f>
        <v>0</v>
      </c>
    </row>
    <row r="643" spans="1:38" x14ac:dyDescent="0.25">
      <c r="A643" s="93" t="s">
        <v>14837</v>
      </c>
      <c r="B643" s="68" t="s">
        <v>4617</v>
      </c>
      <c r="C643" s="65"/>
      <c r="D643" s="65"/>
      <c r="E643" s="65"/>
      <c r="F643" s="69" t="s">
        <v>14809</v>
      </c>
      <c r="G643" s="70"/>
      <c r="H643" s="65">
        <v>5500000255</v>
      </c>
      <c r="I643" s="75">
        <v>489.11999999999995</v>
      </c>
      <c r="J643" s="75">
        <v>489.12</v>
      </c>
      <c r="K643" s="75"/>
      <c r="L643" s="74"/>
      <c r="M643" s="75"/>
      <c r="N643" s="75">
        <f>Tabla1[[#This Row],[IMPORTE APROBADO]]-Tabla1[[#This Row],[AMORTIZACION2]]</f>
        <v>0</v>
      </c>
      <c r="O643" s="65" t="str">
        <f>TEXT(Tabla1[[#This Row],[EMISION]],"mmm")</f>
        <v>Set</v>
      </c>
      <c r="P643" s="65" t="str">
        <f>TEXT(Tabla1[[#This Row],[EMISION]],"YYYY")</f>
        <v>2023</v>
      </c>
      <c r="Q643" s="71">
        <v>45190</v>
      </c>
      <c r="R643" s="65" t="str">
        <f>TEXT(Tabla1[[#This Row],[VENCIMIENTO]],"mmm")</f>
        <v>Nov</v>
      </c>
      <c r="S643" s="71">
        <f t="shared" si="117"/>
        <v>45250</v>
      </c>
      <c r="T643" s="72">
        <f ca="1">Tabla1[[#This Row],[EMISION]]+Tabla1[[#This Row],[PLAZO]]-TODAY()</f>
        <v>-119</v>
      </c>
      <c r="U643" s="80">
        <f t="shared" ca="1" si="118"/>
        <v>0</v>
      </c>
      <c r="V643" s="72" t="s">
        <v>14477</v>
      </c>
      <c r="W643" s="73" t="s">
        <v>14307</v>
      </c>
      <c r="X643" s="65">
        <v>60</v>
      </c>
      <c r="Y643" s="65"/>
      <c r="Z643" s="65"/>
      <c r="AA643" s="65"/>
      <c r="AB643" s="65"/>
      <c r="AC643" s="65"/>
      <c r="AD643" s="65"/>
      <c r="AE643" s="65"/>
      <c r="AF643" s="68"/>
      <c r="AG643" s="66">
        <v>45248</v>
      </c>
      <c r="AH643" s="67" t="s">
        <v>14308</v>
      </c>
      <c r="AI643" s="65" t="s">
        <v>3060</v>
      </c>
      <c r="AJ643" s="65"/>
      <c r="AK643" s="97">
        <f t="shared" ca="1" si="106"/>
        <v>119</v>
      </c>
      <c r="AL643">
        <f>IFERROR(VLOOKUP(A643,'DATA CLIENTES'!B4940:I8284,6,FALSE),0)</f>
        <v>0</v>
      </c>
    </row>
    <row r="644" spans="1:38" x14ac:dyDescent="0.25">
      <c r="A644" s="93" t="s">
        <v>14837</v>
      </c>
      <c r="B644" s="68" t="s">
        <v>4617</v>
      </c>
      <c r="C644" s="65"/>
      <c r="D644" s="65"/>
      <c r="E644" s="65"/>
      <c r="F644" s="69" t="s">
        <v>14809</v>
      </c>
      <c r="G644" s="70"/>
      <c r="H644" s="65">
        <v>5600000075</v>
      </c>
      <c r="I644" s="75">
        <v>1280.5500000000002</v>
      </c>
      <c r="J644" s="75">
        <v>1280.55</v>
      </c>
      <c r="K644" s="75"/>
      <c r="L644" s="75"/>
      <c r="M644" s="75"/>
      <c r="N644" s="75">
        <f>Tabla1[[#This Row],[IMPORTE APROBADO]]-Tabla1[[#This Row],[AMORTIZACION2]]</f>
        <v>0</v>
      </c>
      <c r="O644" s="65" t="str">
        <f>TEXT(Tabla1[[#This Row],[EMISION]],"mmm")</f>
        <v>Set</v>
      </c>
      <c r="P644" s="65" t="str">
        <f>TEXT(Tabla1[[#This Row],[EMISION]],"YYYY")</f>
        <v>2023</v>
      </c>
      <c r="Q644" s="71">
        <v>45191</v>
      </c>
      <c r="R644" s="65" t="str">
        <f>TEXT(Tabla1[[#This Row],[VENCIMIENTO]],"mmm")</f>
        <v>Nov</v>
      </c>
      <c r="S644" s="71">
        <f t="shared" si="117"/>
        <v>45251</v>
      </c>
      <c r="T644" s="72">
        <f ca="1">Tabla1[[#This Row],[EMISION]]+Tabla1[[#This Row],[PLAZO]]-TODAY()</f>
        <v>-118</v>
      </c>
      <c r="U644" s="80">
        <f t="shared" ca="1" si="118"/>
        <v>0</v>
      </c>
      <c r="V644" s="72" t="s">
        <v>14477</v>
      </c>
      <c r="W644" s="73" t="s">
        <v>14307</v>
      </c>
      <c r="X644" s="65">
        <v>60</v>
      </c>
      <c r="Y644" s="65"/>
      <c r="Z644" s="65"/>
      <c r="AA644" s="65"/>
      <c r="AB644" s="65"/>
      <c r="AC644" s="65"/>
      <c r="AD644" s="65"/>
      <c r="AE644" s="65"/>
      <c r="AF644" s="68"/>
      <c r="AG644" s="66">
        <v>45248</v>
      </c>
      <c r="AH644" s="67" t="s">
        <v>14308</v>
      </c>
      <c r="AI644" s="65" t="s">
        <v>3060</v>
      </c>
      <c r="AJ644" s="65"/>
      <c r="AK644" s="97">
        <f t="shared" ca="1" si="106"/>
        <v>118</v>
      </c>
      <c r="AL644">
        <f>IFERROR(VLOOKUP(A644,'DATA CLIENTES'!B4941:I8284,6,FALSE),0)</f>
        <v>0</v>
      </c>
    </row>
    <row r="645" spans="1:38" x14ac:dyDescent="0.25">
      <c r="A645" s="93" t="s">
        <v>14833</v>
      </c>
      <c r="B645" s="68" t="s">
        <v>4621</v>
      </c>
      <c r="C645" s="65"/>
      <c r="D645" s="65"/>
      <c r="E645" s="65"/>
      <c r="F645" s="69" t="s">
        <v>14809</v>
      </c>
      <c r="G645" s="70"/>
      <c r="H645" s="65">
        <v>5600000076</v>
      </c>
      <c r="I645" s="75">
        <v>1749.9499999999998</v>
      </c>
      <c r="J645" s="75">
        <f>249.95+1500</f>
        <v>1749.95</v>
      </c>
      <c r="K645" s="75"/>
      <c r="L645" s="75"/>
      <c r="M645" s="75"/>
      <c r="N645" s="75">
        <f>Tabla1[[#This Row],[IMPORTE APROBADO]]-Tabla1[[#This Row],[AMORTIZACION2]]</f>
        <v>0</v>
      </c>
      <c r="O645" s="65" t="str">
        <f>TEXT(Tabla1[[#This Row],[EMISION]],"mmm")</f>
        <v>Set</v>
      </c>
      <c r="P645" s="65" t="str">
        <f>TEXT(Tabla1[[#This Row],[EMISION]],"YYYY")</f>
        <v>2023</v>
      </c>
      <c r="Q645" s="71">
        <v>45191</v>
      </c>
      <c r="R645" s="65" t="str">
        <f>TEXT(Tabla1[[#This Row],[VENCIMIENTO]],"mmm")</f>
        <v>Nov</v>
      </c>
      <c r="S645" s="71">
        <f t="shared" si="117"/>
        <v>45251</v>
      </c>
      <c r="T645" s="72">
        <f ca="1">Tabla1[[#This Row],[EMISION]]+Tabla1[[#This Row],[PLAZO]]-TODAY()</f>
        <v>-118</v>
      </c>
      <c r="U645" s="80">
        <f t="shared" ca="1" si="118"/>
        <v>0</v>
      </c>
      <c r="V645" s="72" t="s">
        <v>14477</v>
      </c>
      <c r="W645" s="73" t="s">
        <v>14307</v>
      </c>
      <c r="X645" s="65">
        <v>60</v>
      </c>
      <c r="Y645" s="65"/>
      <c r="Z645" s="65"/>
      <c r="AA645" s="65"/>
      <c r="AB645" s="65"/>
      <c r="AC645" s="65"/>
      <c r="AD645" s="65"/>
      <c r="AE645" s="65"/>
      <c r="AF645" s="68"/>
      <c r="AG645" s="66">
        <v>45290</v>
      </c>
      <c r="AH645" s="67" t="s">
        <v>14308</v>
      </c>
      <c r="AI645" s="65" t="s">
        <v>3060</v>
      </c>
      <c r="AJ645" s="65"/>
      <c r="AK645" s="97">
        <f t="shared" ca="1" si="106"/>
        <v>118</v>
      </c>
      <c r="AL645">
        <f>IFERROR(VLOOKUP(A645,'DATA CLIENTES'!B4942:I8284,6,FALSE),0)</f>
        <v>0</v>
      </c>
    </row>
    <row r="646" spans="1:38" x14ac:dyDescent="0.25">
      <c r="A646" s="93" t="s">
        <v>7452</v>
      </c>
      <c r="B646" s="68" t="s">
        <v>7453</v>
      </c>
      <c r="C646" s="65"/>
      <c r="D646" s="65"/>
      <c r="E646" s="65"/>
      <c r="F646" s="69" t="s">
        <v>14809</v>
      </c>
      <c r="G646" s="70"/>
      <c r="H646" s="65">
        <v>5600006126</v>
      </c>
      <c r="I646" s="75">
        <v>1939.54</v>
      </c>
      <c r="J646" s="75">
        <v>1939.54</v>
      </c>
      <c r="K646" s="75"/>
      <c r="L646" s="75"/>
      <c r="M646" s="75"/>
      <c r="N646" s="75">
        <f>Tabla1[[#This Row],[IMPORTE APROBADO]]-Tabla1[[#This Row],[AMORTIZACION2]]</f>
        <v>0</v>
      </c>
      <c r="O646" s="65" t="str">
        <f>TEXT(Tabla1[[#This Row],[EMISION]],"mmm")</f>
        <v>Set</v>
      </c>
      <c r="P646" s="65" t="str">
        <f>TEXT(Tabla1[[#This Row],[EMISION]],"YYYY")</f>
        <v>2023</v>
      </c>
      <c r="Q646" s="71">
        <v>45191</v>
      </c>
      <c r="R646" s="65" t="str">
        <f>TEXT(Tabla1[[#This Row],[VENCIMIENTO]],"mmm")</f>
        <v>Oct</v>
      </c>
      <c r="S646" s="71">
        <f t="shared" si="117"/>
        <v>45221</v>
      </c>
      <c r="T646" s="72">
        <f ca="1">Tabla1[[#This Row],[EMISION]]+Tabla1[[#This Row],[PLAZO]]-TODAY()</f>
        <v>-148</v>
      </c>
      <c r="U646" s="80">
        <f t="shared" ca="1" si="118"/>
        <v>0</v>
      </c>
      <c r="V646" s="72" t="s">
        <v>14477</v>
      </c>
      <c r="W646" s="73" t="s">
        <v>14307</v>
      </c>
      <c r="X646" s="65">
        <v>30</v>
      </c>
      <c r="Y646" s="65"/>
      <c r="Z646" s="65"/>
      <c r="AA646" s="65"/>
      <c r="AB646" s="65"/>
      <c r="AC646" s="65"/>
      <c r="AD646" s="65"/>
      <c r="AE646" s="65"/>
      <c r="AF646" s="68"/>
      <c r="AG646" s="66">
        <v>45248</v>
      </c>
      <c r="AH646" s="67" t="s">
        <v>14308</v>
      </c>
      <c r="AI646" s="65" t="s">
        <v>3060</v>
      </c>
      <c r="AJ646" s="65"/>
      <c r="AK646" s="97">
        <f t="shared" ca="1" si="106"/>
        <v>148</v>
      </c>
      <c r="AL646">
        <f>IFERROR(VLOOKUP(A646,'DATA CLIENTES'!B4943:I8284,6,FALSE),0)</f>
        <v>0</v>
      </c>
    </row>
    <row r="647" spans="1:38" x14ac:dyDescent="0.25">
      <c r="A647" s="93" t="s">
        <v>12636</v>
      </c>
      <c r="B647" s="68" t="s">
        <v>14815</v>
      </c>
      <c r="C647" s="65"/>
      <c r="D647" s="65"/>
      <c r="E647" s="65"/>
      <c r="F647" s="69" t="s">
        <v>14809</v>
      </c>
      <c r="G647" s="70"/>
      <c r="H647" s="65">
        <v>5500000270</v>
      </c>
      <c r="I647" s="75">
        <v>137.41999999999999</v>
      </c>
      <c r="J647" s="75">
        <f>70+67.42</f>
        <v>137.42000000000002</v>
      </c>
      <c r="K647" s="75"/>
      <c r="L647" s="75"/>
      <c r="M647" s="75"/>
      <c r="N647" s="75">
        <f>Tabla1[[#This Row],[IMPORTE APROBADO]]-Tabla1[[#This Row],[AMORTIZACION2]]</f>
        <v>0</v>
      </c>
      <c r="O647" s="65" t="str">
        <f>TEXT(Tabla1[[#This Row],[EMISION]],"mmm")</f>
        <v>Set</v>
      </c>
      <c r="P647" s="65" t="str">
        <f>TEXT(Tabla1[[#This Row],[EMISION]],"YYYY")</f>
        <v>2023</v>
      </c>
      <c r="Q647" s="71">
        <v>45192</v>
      </c>
      <c r="R647" s="65" t="str">
        <f>TEXT(Tabla1[[#This Row],[VENCIMIENTO]],"mmm")</f>
        <v>Oct</v>
      </c>
      <c r="S647" s="71">
        <f t="shared" si="117"/>
        <v>45222</v>
      </c>
      <c r="T647" s="72">
        <f ca="1">Tabla1[[#This Row],[EMISION]]+Tabla1[[#This Row],[PLAZO]]-TODAY()</f>
        <v>-147</v>
      </c>
      <c r="U647" s="80">
        <f t="shared" ca="1" si="118"/>
        <v>0</v>
      </c>
      <c r="V647" s="72"/>
      <c r="W647" s="73" t="s">
        <v>14307</v>
      </c>
      <c r="X647" s="65">
        <v>30</v>
      </c>
      <c r="Y647" s="65"/>
      <c r="Z647" s="65"/>
      <c r="AA647" s="65"/>
      <c r="AB647" s="65"/>
      <c r="AC647" s="65"/>
      <c r="AD647" s="65"/>
      <c r="AE647" s="65"/>
      <c r="AF647" s="68"/>
      <c r="AG647" s="66">
        <v>45246</v>
      </c>
      <c r="AH647" s="67" t="s">
        <v>14308</v>
      </c>
      <c r="AI647" s="65" t="s">
        <v>3060</v>
      </c>
      <c r="AJ647" s="65"/>
      <c r="AK647" s="97">
        <f t="shared" ca="1" si="106"/>
        <v>147</v>
      </c>
      <c r="AL647">
        <f>IFERROR(VLOOKUP(A647,'DATA CLIENTES'!B4944:I8284,6,FALSE),0)</f>
        <v>0</v>
      </c>
    </row>
    <row r="648" spans="1:38" x14ac:dyDescent="0.25">
      <c r="A648" s="93" t="s">
        <v>10210</v>
      </c>
      <c r="B648" s="68" t="s">
        <v>14755</v>
      </c>
      <c r="C648" s="65"/>
      <c r="D648" s="65"/>
      <c r="E648" s="65"/>
      <c r="F648" s="69" t="s">
        <v>14804</v>
      </c>
      <c r="G648" s="70"/>
      <c r="H648" s="65">
        <v>5600006130</v>
      </c>
      <c r="I648" s="75">
        <v>9210</v>
      </c>
      <c r="J648" s="75">
        <f>4000+2100+1500+1610</f>
        <v>9210</v>
      </c>
      <c r="K648" s="75"/>
      <c r="L648" s="75"/>
      <c r="M648" s="75"/>
      <c r="N648" s="75">
        <f>Tabla1[[#This Row],[IMPORTE APROBADO]]-Tabla1[[#This Row],[AMORTIZACION2]]</f>
        <v>0</v>
      </c>
      <c r="O648" s="65" t="str">
        <f>TEXT(Tabla1[[#This Row],[EMISION]],"mmm")</f>
        <v>Set</v>
      </c>
      <c r="P648" s="65" t="str">
        <f>TEXT(Tabla1[[#This Row],[EMISION]],"YYYY")</f>
        <v>2023</v>
      </c>
      <c r="Q648" s="71">
        <v>45194</v>
      </c>
      <c r="R648" s="65" t="str">
        <f>TEXT(Tabla1[[#This Row],[VENCIMIENTO]],"mmm")</f>
        <v>Oct</v>
      </c>
      <c r="S648" s="71">
        <f t="shared" ref="S648:S659" si="119">Q648+X648</f>
        <v>45214</v>
      </c>
      <c r="T648" s="72">
        <f ca="1">Tabla1[[#This Row],[EMISION]]+Tabla1[[#This Row],[PLAZO]]-TODAY()</f>
        <v>-155</v>
      </c>
      <c r="U648" s="80">
        <f t="shared" ref="U648:U659" ca="1" si="120">IF(T648&gt;=0,$U$4,IF(AND(T648&lt;=-1,T648&gt;=-30),$U$5,IF(AND(T648&lt;=-31,T648&gt;=-60),$U$6,IF(AND(T648&lt;=-61,T648&gt;=-90),$U$7,$U$8))))</f>
        <v>0</v>
      </c>
      <c r="V648" s="72"/>
      <c r="W648" s="73" t="s">
        <v>14307</v>
      </c>
      <c r="X648" s="65">
        <v>20</v>
      </c>
      <c r="Y648" s="65"/>
      <c r="Z648" s="65"/>
      <c r="AA648" s="65"/>
      <c r="AB648" s="65"/>
      <c r="AC648" s="65"/>
      <c r="AD648" s="65"/>
      <c r="AE648" s="65"/>
      <c r="AF648" s="68"/>
      <c r="AG648" s="66">
        <v>45225</v>
      </c>
      <c r="AH648" s="67" t="s">
        <v>14308</v>
      </c>
      <c r="AI648" s="65" t="s">
        <v>3060</v>
      </c>
      <c r="AJ648" s="65"/>
      <c r="AK648" s="97">
        <f t="shared" ca="1" si="106"/>
        <v>155</v>
      </c>
      <c r="AL648">
        <f>IFERROR(VLOOKUP(A648,'DATA CLIENTES'!B4945:I8284,6,FALSE),0)</f>
        <v>0</v>
      </c>
    </row>
    <row r="649" spans="1:38" x14ac:dyDescent="0.25">
      <c r="A649" s="93" t="s">
        <v>9809</v>
      </c>
      <c r="B649" s="68" t="s">
        <v>9810</v>
      </c>
      <c r="C649" s="65"/>
      <c r="D649" s="65"/>
      <c r="E649" s="65"/>
      <c r="F649" s="69" t="s">
        <v>14559</v>
      </c>
      <c r="G649" s="70"/>
      <c r="H649" s="65">
        <v>5500006208</v>
      </c>
      <c r="I649" s="75">
        <v>556.20000000000005</v>
      </c>
      <c r="J649" s="75">
        <v>556.20000000000005</v>
      </c>
      <c r="K649" s="75"/>
      <c r="L649" s="74"/>
      <c r="M649" s="75"/>
      <c r="N649" s="75">
        <f>Tabla1[[#This Row],[IMPORTE APROBADO]]-Tabla1[[#This Row],[AMORTIZACION2]]</f>
        <v>0</v>
      </c>
      <c r="O649" s="65" t="str">
        <f>TEXT(Tabla1[[#This Row],[EMISION]],"mmm")</f>
        <v>Set</v>
      </c>
      <c r="P649" s="65" t="str">
        <f>TEXT(Tabla1[[#This Row],[EMISION]],"YYYY")</f>
        <v>2023</v>
      </c>
      <c r="Q649" s="71">
        <v>45194</v>
      </c>
      <c r="R649" s="65" t="str">
        <f>TEXT(Tabla1[[#This Row],[VENCIMIENTO]],"mmm")</f>
        <v>Oct</v>
      </c>
      <c r="S649" s="71">
        <f t="shared" si="119"/>
        <v>45214</v>
      </c>
      <c r="T649" s="72">
        <f ca="1">Tabla1[[#This Row],[EMISION]]+Tabla1[[#This Row],[PLAZO]]-TODAY()</f>
        <v>-155</v>
      </c>
      <c r="U649" s="80">
        <f t="shared" ca="1" si="120"/>
        <v>0</v>
      </c>
      <c r="V649" s="72"/>
      <c r="W649" s="73" t="s">
        <v>14307</v>
      </c>
      <c r="X649" s="65">
        <v>20</v>
      </c>
      <c r="Y649" s="65"/>
      <c r="Z649" s="65"/>
      <c r="AA649" s="65"/>
      <c r="AB649" s="65"/>
      <c r="AC649" s="65"/>
      <c r="AD649" s="65"/>
      <c r="AE649" s="65"/>
      <c r="AF649" s="68"/>
      <c r="AG649" s="66">
        <v>45203</v>
      </c>
      <c r="AH649" s="67" t="s">
        <v>14308</v>
      </c>
      <c r="AI649" s="65" t="s">
        <v>3060</v>
      </c>
      <c r="AJ649" s="65"/>
      <c r="AK649" s="97">
        <f t="shared" ca="1" si="106"/>
        <v>155</v>
      </c>
      <c r="AL649">
        <f>IFERROR(VLOOKUP(A649,'DATA CLIENTES'!B4946:I8284,6,FALSE),0)</f>
        <v>0</v>
      </c>
    </row>
    <row r="650" spans="1:38" x14ac:dyDescent="0.25">
      <c r="A650" s="93" t="s">
        <v>6694</v>
      </c>
      <c r="B650" s="68" t="s">
        <v>6695</v>
      </c>
      <c r="C650" s="65"/>
      <c r="D650" s="65"/>
      <c r="E650" s="65"/>
      <c r="F650" s="69" t="s">
        <v>14804</v>
      </c>
      <c r="G650" s="70"/>
      <c r="H650" s="65">
        <v>5500006207</v>
      </c>
      <c r="I650" s="75">
        <v>1162.8</v>
      </c>
      <c r="J650" s="75">
        <f>400+300+462</f>
        <v>1162</v>
      </c>
      <c r="K650" s="75"/>
      <c r="L650" s="74"/>
      <c r="M650" s="75"/>
      <c r="N650" s="75">
        <f>Tabla1[[#This Row],[IMPORTE APROBADO]]-Tabla1[[#This Row],[AMORTIZACION2]]</f>
        <v>0.79999999999995453</v>
      </c>
      <c r="O650" s="65" t="str">
        <f>TEXT(Tabla1[[#This Row],[EMISION]],"mmm")</f>
        <v>Set</v>
      </c>
      <c r="P650" s="65" t="str">
        <f>TEXT(Tabla1[[#This Row],[EMISION]],"YYYY")</f>
        <v>2023</v>
      </c>
      <c r="Q650" s="71">
        <v>45194</v>
      </c>
      <c r="R650" s="65" t="str">
        <f>TEXT(Tabla1[[#This Row],[VENCIMIENTO]],"mmm")</f>
        <v>Oct</v>
      </c>
      <c r="S650" s="71">
        <f t="shared" si="119"/>
        <v>45209</v>
      </c>
      <c r="T650" s="72">
        <f ca="1">Tabla1[[#This Row],[EMISION]]+Tabla1[[#This Row],[PLAZO]]-TODAY()</f>
        <v>-160</v>
      </c>
      <c r="U650" s="80">
        <f t="shared" ca="1" si="120"/>
        <v>0</v>
      </c>
      <c r="V650" s="72"/>
      <c r="W650" s="73" t="s">
        <v>14307</v>
      </c>
      <c r="X650" s="65">
        <v>15</v>
      </c>
      <c r="Y650" s="65"/>
      <c r="Z650" s="65"/>
      <c r="AA650" s="65"/>
      <c r="AB650" s="65"/>
      <c r="AC650" s="65"/>
      <c r="AD650" s="65"/>
      <c r="AE650" s="65"/>
      <c r="AF650" s="68"/>
      <c r="AG650" s="66">
        <v>45225</v>
      </c>
      <c r="AH650" s="67" t="s">
        <v>14308</v>
      </c>
      <c r="AI650" s="65" t="s">
        <v>3060</v>
      </c>
      <c r="AJ650" s="65"/>
      <c r="AK650" s="97">
        <f t="shared" ca="1" si="106"/>
        <v>160</v>
      </c>
      <c r="AL650">
        <f>IFERROR(VLOOKUP(A650,'DATA CLIENTES'!B4947:I8284,6,FALSE),0)</f>
        <v>0</v>
      </c>
    </row>
    <row r="651" spans="1:38" x14ac:dyDescent="0.25">
      <c r="A651" s="93" t="s">
        <v>9136</v>
      </c>
      <c r="B651" s="68" t="s">
        <v>9137</v>
      </c>
      <c r="C651" s="65"/>
      <c r="D651" s="65"/>
      <c r="E651" s="65"/>
      <c r="F651" s="69" t="s">
        <v>14559</v>
      </c>
      <c r="G651" s="70"/>
      <c r="H651" s="65">
        <v>5500006209</v>
      </c>
      <c r="I651" s="75">
        <v>1927.8</v>
      </c>
      <c r="J651" s="75">
        <v>1927.5</v>
      </c>
      <c r="K651" s="75"/>
      <c r="L651" s="74"/>
      <c r="M651" s="75"/>
      <c r="N651" s="75">
        <f>Tabla1[[#This Row],[IMPORTE APROBADO]]-Tabla1[[#This Row],[AMORTIZACION2]]</f>
        <v>0.29999999999995453</v>
      </c>
      <c r="O651" s="65" t="str">
        <f>TEXT(Tabla1[[#This Row],[EMISION]],"mmm")</f>
        <v>Set</v>
      </c>
      <c r="P651" s="65" t="str">
        <f>TEXT(Tabla1[[#This Row],[EMISION]],"YYYY")</f>
        <v>2023</v>
      </c>
      <c r="Q651" s="71">
        <v>45194</v>
      </c>
      <c r="R651" s="65" t="str">
        <f>TEXT(Tabla1[[#This Row],[VENCIMIENTO]],"mmm")</f>
        <v>Oct</v>
      </c>
      <c r="S651" s="71">
        <f t="shared" si="119"/>
        <v>45224</v>
      </c>
      <c r="T651" s="72">
        <f ca="1">Tabla1[[#This Row],[EMISION]]+Tabla1[[#This Row],[PLAZO]]-TODAY()</f>
        <v>-145</v>
      </c>
      <c r="U651" s="80">
        <f t="shared" ca="1" si="120"/>
        <v>0</v>
      </c>
      <c r="V651" s="72"/>
      <c r="W651" s="73" t="s">
        <v>14307</v>
      </c>
      <c r="X651" s="65">
        <v>30</v>
      </c>
      <c r="Y651" s="65"/>
      <c r="Z651" s="65"/>
      <c r="AA651" s="65"/>
      <c r="AB651" s="65"/>
      <c r="AC651" s="65"/>
      <c r="AD651" s="65"/>
      <c r="AE651" s="65"/>
      <c r="AF651" s="68"/>
      <c r="AG651" s="66">
        <v>45239</v>
      </c>
      <c r="AH651" s="67" t="s">
        <v>14308</v>
      </c>
      <c r="AI651" s="65" t="s">
        <v>3060</v>
      </c>
      <c r="AJ651" s="65"/>
      <c r="AK651" s="97">
        <f t="shared" ca="1" si="106"/>
        <v>145</v>
      </c>
      <c r="AL651">
        <f>IFERROR(VLOOKUP(A651,'DATA CLIENTES'!B4948:I8284,6,FALSE),0)</f>
        <v>0</v>
      </c>
    </row>
    <row r="652" spans="1:38" x14ac:dyDescent="0.25">
      <c r="A652" s="93" t="s">
        <v>7923</v>
      </c>
      <c r="B652" s="68" t="s">
        <v>7924</v>
      </c>
      <c r="C652" s="65"/>
      <c r="D652" s="65"/>
      <c r="E652" s="65"/>
      <c r="F652" s="69" t="s">
        <v>14574</v>
      </c>
      <c r="G652" s="70"/>
      <c r="H652" s="65">
        <v>5300000199</v>
      </c>
      <c r="I652" s="75">
        <v>2179</v>
      </c>
      <c r="J652" s="75"/>
      <c r="K652" s="75"/>
      <c r="L652" s="74"/>
      <c r="M652" s="75"/>
      <c r="N652" s="75">
        <f>Tabla1[[#This Row],[IMPORTE APROBADO]]-Tabla1[[#This Row],[AMORTIZACION2]]</f>
        <v>2179</v>
      </c>
      <c r="O652" s="65" t="str">
        <f>TEXT(Tabla1[[#This Row],[EMISION]],"mmm")</f>
        <v>Set</v>
      </c>
      <c r="P652" s="65" t="str">
        <f>TEXT(Tabla1[[#This Row],[EMISION]],"YYYY")</f>
        <v>2023</v>
      </c>
      <c r="Q652" s="71">
        <v>45195</v>
      </c>
      <c r="R652" s="65" t="str">
        <f>TEXT(Tabla1[[#This Row],[VENCIMIENTO]],"mmm")</f>
        <v>Oct</v>
      </c>
      <c r="S652" s="71">
        <f t="shared" si="119"/>
        <v>45202</v>
      </c>
      <c r="T652" s="72">
        <f ca="1">Tabla1[[#This Row],[EMISION]]+Tabla1[[#This Row],[PLAZO]]-TODAY()</f>
        <v>-167</v>
      </c>
      <c r="U652" s="80">
        <f t="shared" ca="1" si="120"/>
        <v>0</v>
      </c>
      <c r="V652" s="72"/>
      <c r="W652" s="73" t="s">
        <v>14307</v>
      </c>
      <c r="X652" s="65">
        <v>7</v>
      </c>
      <c r="Y652" s="65"/>
      <c r="Z652" s="65"/>
      <c r="AA652" s="65"/>
      <c r="AB652" s="65"/>
      <c r="AC652" s="65"/>
      <c r="AD652" s="65"/>
      <c r="AE652" s="65"/>
      <c r="AF652" s="68"/>
      <c r="AG652" s="66">
        <v>45209</v>
      </c>
      <c r="AH652" s="67" t="s">
        <v>14308</v>
      </c>
      <c r="AI652" s="65" t="s">
        <v>3060</v>
      </c>
      <c r="AJ652" s="65"/>
      <c r="AK652" s="97">
        <f t="shared" ca="1" si="106"/>
        <v>167</v>
      </c>
      <c r="AL652">
        <f>IFERROR(VLOOKUP(A652,'DATA CLIENTES'!B4949:I8284,6,FALSE),0)</f>
        <v>0</v>
      </c>
    </row>
    <row r="653" spans="1:38" x14ac:dyDescent="0.25">
      <c r="A653" s="93" t="s">
        <v>7923</v>
      </c>
      <c r="B653" s="68" t="s">
        <v>7924</v>
      </c>
      <c r="C653" s="65"/>
      <c r="D653" s="65"/>
      <c r="E653" s="65"/>
      <c r="F653" s="69" t="s">
        <v>14805</v>
      </c>
      <c r="G653" s="70"/>
      <c r="H653" s="65">
        <v>5300000200</v>
      </c>
      <c r="I653" s="75">
        <v>380</v>
      </c>
      <c r="J653" s="75"/>
      <c r="K653" s="75"/>
      <c r="L653" s="74"/>
      <c r="M653" s="75"/>
      <c r="N653" s="75">
        <f>Tabla1[[#This Row],[IMPORTE APROBADO]]-Tabla1[[#This Row],[AMORTIZACION2]]</f>
        <v>380</v>
      </c>
      <c r="O653" s="65" t="str">
        <f>TEXT(Tabla1[[#This Row],[EMISION]],"mmm")</f>
        <v>Set</v>
      </c>
      <c r="P653" s="65" t="str">
        <f>TEXT(Tabla1[[#This Row],[EMISION]],"YYYY")</f>
        <v>2023</v>
      </c>
      <c r="Q653" s="71">
        <v>45195</v>
      </c>
      <c r="R653" s="65" t="str">
        <f>TEXT(Tabla1[[#This Row],[VENCIMIENTO]],"mmm")</f>
        <v>Oct</v>
      </c>
      <c r="S653" s="71">
        <f t="shared" si="119"/>
        <v>45202</v>
      </c>
      <c r="T653" s="72">
        <f ca="1">Tabla1[[#This Row],[EMISION]]+Tabla1[[#This Row],[PLAZO]]-TODAY()</f>
        <v>-167</v>
      </c>
      <c r="U653" s="80">
        <f t="shared" ca="1" si="120"/>
        <v>0</v>
      </c>
      <c r="V653" s="72"/>
      <c r="W653" s="73" t="s">
        <v>14307</v>
      </c>
      <c r="X653" s="65">
        <v>7</v>
      </c>
      <c r="Y653" s="65"/>
      <c r="Z653" s="65"/>
      <c r="AA653" s="65"/>
      <c r="AB653" s="65"/>
      <c r="AC653" s="65"/>
      <c r="AD653" s="65"/>
      <c r="AE653" s="65"/>
      <c r="AF653" s="68"/>
      <c r="AG653" s="66">
        <v>45209</v>
      </c>
      <c r="AH653" s="67" t="s">
        <v>14308</v>
      </c>
      <c r="AI653" s="65" t="s">
        <v>3060</v>
      </c>
      <c r="AJ653" s="65"/>
      <c r="AK653" s="97">
        <f t="shared" ca="1" si="106"/>
        <v>167</v>
      </c>
      <c r="AL653">
        <f>IFERROR(VLOOKUP(A653,'DATA CLIENTES'!B4950:I8284,6,FALSE),0)</f>
        <v>0</v>
      </c>
    </row>
    <row r="654" spans="1:38" x14ac:dyDescent="0.25">
      <c r="A654" s="93" t="s">
        <v>6419</v>
      </c>
      <c r="B654" s="68" t="s">
        <v>14813</v>
      </c>
      <c r="C654" s="65"/>
      <c r="D654" s="65"/>
      <c r="E654" s="65"/>
      <c r="F654" s="69" t="s">
        <v>14559</v>
      </c>
      <c r="G654" s="70"/>
      <c r="H654" s="65">
        <v>5500006220</v>
      </c>
      <c r="I654" s="75">
        <f>1062.29-709.99</f>
        <v>352.29999999999995</v>
      </c>
      <c r="J654" s="75">
        <f>162.3+190</f>
        <v>352.3</v>
      </c>
      <c r="K654" s="75"/>
      <c r="L654" s="74"/>
      <c r="M654" s="75"/>
      <c r="N654" s="75">
        <f>Tabla1[[#This Row],[IMPORTE APROBADO]]-Tabla1[[#This Row],[AMORTIZACION2]]</f>
        <v>0</v>
      </c>
      <c r="O654" s="65" t="str">
        <f>TEXT(Tabla1[[#This Row],[EMISION]],"mmm")</f>
        <v>Set</v>
      </c>
      <c r="P654" s="65" t="str">
        <f>TEXT(Tabla1[[#This Row],[EMISION]],"YYYY")</f>
        <v>2023</v>
      </c>
      <c r="Q654" s="71">
        <v>45195</v>
      </c>
      <c r="R654" s="65" t="str">
        <f>TEXT(Tabla1[[#This Row],[VENCIMIENTO]],"mmm")</f>
        <v>Oct</v>
      </c>
      <c r="S654" s="71">
        <f t="shared" si="119"/>
        <v>45215</v>
      </c>
      <c r="T654" s="72">
        <f ca="1">Tabla1[[#This Row],[EMISION]]+Tabla1[[#This Row],[PLAZO]]-TODAY()</f>
        <v>-154</v>
      </c>
      <c r="U654" s="80">
        <f t="shared" ca="1" si="120"/>
        <v>0</v>
      </c>
      <c r="V654" s="72"/>
      <c r="W654" s="73" t="s">
        <v>14307</v>
      </c>
      <c r="X654" s="65">
        <v>20</v>
      </c>
      <c r="Y654" s="65"/>
      <c r="Z654" s="65"/>
      <c r="AA654" s="65"/>
      <c r="AB654" s="65"/>
      <c r="AC654" s="65"/>
      <c r="AD654" s="65"/>
      <c r="AE654" s="65"/>
      <c r="AF654" s="68"/>
      <c r="AG654" s="66"/>
      <c r="AH654" s="67" t="s">
        <v>14308</v>
      </c>
      <c r="AI654" s="65" t="s">
        <v>3060</v>
      </c>
      <c r="AJ654" s="65"/>
      <c r="AK654" s="97">
        <f t="shared" ref="AK654:AK717" ca="1" si="121">TODAY() - S654</f>
        <v>154</v>
      </c>
      <c r="AL654">
        <f>IFERROR(VLOOKUP(A654,'DATA CLIENTES'!B4951:I8284,6,FALSE),0)</f>
        <v>0</v>
      </c>
    </row>
    <row r="655" spans="1:38" x14ac:dyDescent="0.25">
      <c r="A655" s="93" t="s">
        <v>6419</v>
      </c>
      <c r="B655" s="68" t="s">
        <v>14813</v>
      </c>
      <c r="C655" s="65"/>
      <c r="D655" s="65"/>
      <c r="E655" s="65"/>
      <c r="F655" s="69" t="s">
        <v>14559</v>
      </c>
      <c r="G655" s="70"/>
      <c r="H655" s="65">
        <v>5500006220</v>
      </c>
      <c r="I655" s="75">
        <f>1062.29-352.3-200</f>
        <v>509.99</v>
      </c>
      <c r="J655" s="75"/>
      <c r="K655" s="75"/>
      <c r="L655" s="74"/>
      <c r="M655" s="75"/>
      <c r="N655" s="75">
        <f>Tabla1[[#This Row],[IMPORTE APROBADO]]-Tabla1[[#This Row],[AMORTIZACION2]]</f>
        <v>509.99</v>
      </c>
      <c r="O655" s="65" t="str">
        <f>TEXT(Tabla1[[#This Row],[EMISION]],"mmm")</f>
        <v>Set</v>
      </c>
      <c r="P655" s="65" t="str">
        <f>TEXT(Tabla1[[#This Row],[EMISION]],"YYYY")</f>
        <v>2023</v>
      </c>
      <c r="Q655" s="71">
        <v>45195</v>
      </c>
      <c r="R655" s="65" t="str">
        <f>TEXT(Tabla1[[#This Row],[VENCIMIENTO]],"mmm")</f>
        <v>Oct</v>
      </c>
      <c r="S655" s="71">
        <f t="shared" si="119"/>
        <v>45215</v>
      </c>
      <c r="T655" s="72">
        <f ca="1">Tabla1[[#This Row],[EMISION]]+Tabla1[[#This Row],[PLAZO]]-TODAY()</f>
        <v>-154</v>
      </c>
      <c r="U655" s="80">
        <f t="shared" ca="1" si="120"/>
        <v>0</v>
      </c>
      <c r="V655" s="72"/>
      <c r="W655" s="73" t="s">
        <v>14307</v>
      </c>
      <c r="X655" s="65">
        <v>20</v>
      </c>
      <c r="Y655" s="65"/>
      <c r="Z655" s="65"/>
      <c r="AA655" s="65"/>
      <c r="AB655" s="65"/>
      <c r="AC655" s="65"/>
      <c r="AD655" s="65"/>
      <c r="AE655" s="65"/>
      <c r="AF655" s="68"/>
      <c r="AG655" s="66"/>
      <c r="AH655" s="67" t="s">
        <v>14313</v>
      </c>
      <c r="AI655" s="65" t="s">
        <v>3060</v>
      </c>
      <c r="AJ655" s="65" t="s">
        <v>14816</v>
      </c>
      <c r="AK655" s="97">
        <f t="shared" ca="1" si="121"/>
        <v>154</v>
      </c>
      <c r="AL655">
        <f>IFERROR(VLOOKUP(A655,'DATA CLIENTES'!B4952:I8284,6,FALSE),0)</f>
        <v>0</v>
      </c>
    </row>
    <row r="656" spans="1:38" x14ac:dyDescent="0.25">
      <c r="A656" s="93" t="s">
        <v>6419</v>
      </c>
      <c r="B656" s="68" t="s">
        <v>14813</v>
      </c>
      <c r="C656" s="65"/>
      <c r="D656" s="65"/>
      <c r="E656" s="65"/>
      <c r="F656" s="69" t="s">
        <v>14559</v>
      </c>
      <c r="G656" s="70"/>
      <c r="H656" s="65">
        <v>5500006220</v>
      </c>
      <c r="I656" s="75">
        <f>1062.29-352.3-509.99</f>
        <v>200</v>
      </c>
      <c r="J656" s="75">
        <v>200</v>
      </c>
      <c r="K656" s="75">
        <v>200</v>
      </c>
      <c r="L656" s="74">
        <v>45311</v>
      </c>
      <c r="M656" s="75" t="s">
        <v>14814</v>
      </c>
      <c r="N656" s="75">
        <f>Tabla1[[#This Row],[IMPORTE APROBADO]]-Tabla1[[#This Row],[AMORTIZACION2]]</f>
        <v>0</v>
      </c>
      <c r="O656" s="65" t="str">
        <f>TEXT(Tabla1[[#This Row],[EMISION]],"mmm")</f>
        <v>Set</v>
      </c>
      <c r="P656" s="65" t="str">
        <f>TEXT(Tabla1[[#This Row],[EMISION]],"YYYY")</f>
        <v>2023</v>
      </c>
      <c r="Q656" s="71">
        <v>45195</v>
      </c>
      <c r="R656" s="65" t="str">
        <f>TEXT(Tabla1[[#This Row],[VENCIMIENTO]],"mmm")</f>
        <v>Oct</v>
      </c>
      <c r="S656" s="71">
        <f t="shared" si="119"/>
        <v>45215</v>
      </c>
      <c r="T656" s="72">
        <f ca="1">Tabla1[[#This Row],[EMISION]]+Tabla1[[#This Row],[PLAZO]]-TODAY()</f>
        <v>-154</v>
      </c>
      <c r="U656" s="80">
        <f t="shared" ca="1" si="120"/>
        <v>0</v>
      </c>
      <c r="V656" s="72"/>
      <c r="W656" s="73" t="s">
        <v>14307</v>
      </c>
      <c r="X656" s="65">
        <v>20</v>
      </c>
      <c r="Y656" s="65"/>
      <c r="Z656" s="65"/>
      <c r="AA656" s="65"/>
      <c r="AB656" s="65"/>
      <c r="AC656" s="65"/>
      <c r="AD656" s="65"/>
      <c r="AE656" s="65"/>
      <c r="AF656" s="68"/>
      <c r="AG656" s="66"/>
      <c r="AH656" s="67" t="s">
        <v>14308</v>
      </c>
      <c r="AI656" s="65" t="s">
        <v>3060</v>
      </c>
      <c r="AJ656" s="65"/>
      <c r="AK656" s="97">
        <f t="shared" ca="1" si="121"/>
        <v>154</v>
      </c>
      <c r="AL656">
        <f>IFERROR(VLOOKUP(A656,'DATA CLIENTES'!B4953:I8284,6,FALSE),0)</f>
        <v>0</v>
      </c>
    </row>
    <row r="657" spans="1:38" x14ac:dyDescent="0.25">
      <c r="A657" s="93" t="s">
        <v>6116</v>
      </c>
      <c r="B657" s="68" t="s">
        <v>6117</v>
      </c>
      <c r="C657" s="65"/>
      <c r="D657" s="65"/>
      <c r="E657" s="65"/>
      <c r="F657" s="69" t="s">
        <v>14804</v>
      </c>
      <c r="G657" s="70"/>
      <c r="H657" s="65">
        <v>5600006135</v>
      </c>
      <c r="I657" s="75">
        <v>13939</v>
      </c>
      <c r="J657" s="75">
        <v>13939</v>
      </c>
      <c r="K657" s="75"/>
      <c r="L657" s="75"/>
      <c r="M657" s="75"/>
      <c r="N657" s="75">
        <f>Tabla1[[#This Row],[IMPORTE APROBADO]]-Tabla1[[#This Row],[AMORTIZACION2]]</f>
        <v>0</v>
      </c>
      <c r="O657" s="65" t="str">
        <f>TEXT(Tabla1[[#This Row],[EMISION]],"mmm")</f>
        <v>Set</v>
      </c>
      <c r="P657" s="65" t="str">
        <f>TEXT(Tabla1[[#This Row],[EMISION]],"YYYY")</f>
        <v>2023</v>
      </c>
      <c r="Q657" s="71">
        <v>45195</v>
      </c>
      <c r="R657" s="65" t="str">
        <f>TEXT(Tabla1[[#This Row],[VENCIMIENTO]],"mmm")</f>
        <v>Oct</v>
      </c>
      <c r="S657" s="71">
        <f t="shared" si="119"/>
        <v>45225</v>
      </c>
      <c r="T657" s="72">
        <f ca="1">Tabla1[[#This Row],[EMISION]]+Tabla1[[#This Row],[PLAZO]]-TODAY()</f>
        <v>-144</v>
      </c>
      <c r="U657" s="80">
        <f t="shared" ca="1" si="120"/>
        <v>0</v>
      </c>
      <c r="V657" s="72"/>
      <c r="W657" s="73" t="s">
        <v>14307</v>
      </c>
      <c r="X657" s="65">
        <v>30</v>
      </c>
      <c r="Y657" s="65"/>
      <c r="Z657" s="65"/>
      <c r="AA657" s="65"/>
      <c r="AB657" s="65"/>
      <c r="AC657" s="65"/>
      <c r="AD657" s="65"/>
      <c r="AE657" s="65"/>
      <c r="AF657" s="68"/>
      <c r="AG657" s="66">
        <v>45230</v>
      </c>
      <c r="AH657" s="67" t="s">
        <v>14308</v>
      </c>
      <c r="AI657" s="65" t="s">
        <v>3060</v>
      </c>
      <c r="AJ657" s="65"/>
      <c r="AK657" s="97">
        <f t="shared" ca="1" si="121"/>
        <v>144</v>
      </c>
      <c r="AL657">
        <f>IFERROR(VLOOKUP(A657,'DATA CLIENTES'!B4954:I8284,6,FALSE),0)</f>
        <v>0</v>
      </c>
    </row>
    <row r="658" spans="1:38" x14ac:dyDescent="0.25">
      <c r="A658" s="93" t="s">
        <v>9406</v>
      </c>
      <c r="B658" s="68" t="s">
        <v>9407</v>
      </c>
      <c r="C658" s="65"/>
      <c r="D658" s="65"/>
      <c r="E658" s="65"/>
      <c r="F658" s="69" t="s">
        <v>14559</v>
      </c>
      <c r="G658" s="70"/>
      <c r="H658" s="65">
        <v>5500006221</v>
      </c>
      <c r="I658" s="75">
        <v>724.70999999999992</v>
      </c>
      <c r="J658" s="75">
        <v>724.71</v>
      </c>
      <c r="K658" s="75"/>
      <c r="L658" s="75"/>
      <c r="M658" s="75"/>
      <c r="N658" s="75">
        <f>Tabla1[[#This Row],[IMPORTE APROBADO]]-Tabla1[[#This Row],[AMORTIZACION2]]</f>
        <v>0</v>
      </c>
      <c r="O658" s="65" t="str">
        <f>TEXT(Tabla1[[#This Row],[EMISION]],"mmm")</f>
        <v>Set</v>
      </c>
      <c r="P658" s="65" t="str">
        <f>TEXT(Tabla1[[#This Row],[EMISION]],"YYYY")</f>
        <v>2023</v>
      </c>
      <c r="Q658" s="71">
        <v>45195</v>
      </c>
      <c r="R658" s="65" t="str">
        <f>TEXT(Tabla1[[#This Row],[VENCIMIENTO]],"mmm")</f>
        <v>Oct</v>
      </c>
      <c r="S658" s="71">
        <f t="shared" si="119"/>
        <v>45215</v>
      </c>
      <c r="T658" s="72">
        <f ca="1">Tabla1[[#This Row],[EMISION]]+Tabla1[[#This Row],[PLAZO]]-TODAY()</f>
        <v>-154</v>
      </c>
      <c r="U658" s="80">
        <f t="shared" ca="1" si="120"/>
        <v>0</v>
      </c>
      <c r="V658" s="72"/>
      <c r="W658" s="73" t="s">
        <v>14307</v>
      </c>
      <c r="X658" s="65">
        <v>20</v>
      </c>
      <c r="Y658" s="65"/>
      <c r="Z658" s="65"/>
      <c r="AA658" s="65"/>
      <c r="AB658" s="65"/>
      <c r="AC658" s="65"/>
      <c r="AD658" s="65"/>
      <c r="AE658" s="65"/>
      <c r="AF658" s="68"/>
      <c r="AG658" s="66">
        <v>45226</v>
      </c>
      <c r="AH658" s="67" t="s">
        <v>14308</v>
      </c>
      <c r="AI658" s="65" t="s">
        <v>3060</v>
      </c>
      <c r="AJ658" s="65"/>
      <c r="AK658" s="97">
        <f t="shared" ca="1" si="121"/>
        <v>154</v>
      </c>
      <c r="AL658">
        <f>IFERROR(VLOOKUP(A658,'DATA CLIENTES'!B4955:I8284,6,FALSE),0)</f>
        <v>0</v>
      </c>
    </row>
    <row r="659" spans="1:38" x14ac:dyDescent="0.25">
      <c r="A659" s="93" t="s">
        <v>9470</v>
      </c>
      <c r="B659" s="68" t="s">
        <v>9471</v>
      </c>
      <c r="C659" s="65"/>
      <c r="D659" s="65"/>
      <c r="E659" s="65"/>
      <c r="F659" s="69" t="s">
        <v>14812</v>
      </c>
      <c r="G659" s="70"/>
      <c r="H659" s="65">
        <v>5500006222</v>
      </c>
      <c r="I659" s="75">
        <v>4860</v>
      </c>
      <c r="J659" s="75">
        <v>4860</v>
      </c>
      <c r="K659" s="75"/>
      <c r="L659" s="75"/>
      <c r="M659" s="75"/>
      <c r="N659" s="75">
        <f>Tabla1[[#This Row],[IMPORTE APROBADO]]-Tabla1[[#This Row],[AMORTIZACION2]]</f>
        <v>0</v>
      </c>
      <c r="O659" s="65" t="str">
        <f>TEXT(Tabla1[[#This Row],[EMISION]],"mmm")</f>
        <v>Set</v>
      </c>
      <c r="P659" s="65" t="str">
        <f>TEXT(Tabla1[[#This Row],[EMISION]],"YYYY")</f>
        <v>2023</v>
      </c>
      <c r="Q659" s="71">
        <v>45196</v>
      </c>
      <c r="R659" s="65" t="str">
        <f>TEXT(Tabla1[[#This Row],[VENCIMIENTO]],"mmm")</f>
        <v>Oct</v>
      </c>
      <c r="S659" s="71">
        <f t="shared" si="119"/>
        <v>45211</v>
      </c>
      <c r="T659" s="72">
        <f ca="1">Tabla1[[#This Row],[EMISION]]+Tabla1[[#This Row],[PLAZO]]-TODAY()</f>
        <v>-158</v>
      </c>
      <c r="U659" s="80">
        <f t="shared" ca="1" si="120"/>
        <v>0</v>
      </c>
      <c r="V659" s="72"/>
      <c r="W659" s="73" t="s">
        <v>14307</v>
      </c>
      <c r="X659" s="65">
        <v>15</v>
      </c>
      <c r="Y659" s="65"/>
      <c r="Z659" s="65"/>
      <c r="AA659" s="65"/>
      <c r="AB659" s="65"/>
      <c r="AC659" s="65"/>
      <c r="AD659" s="65"/>
      <c r="AE659" s="65"/>
      <c r="AF659" s="68"/>
      <c r="AG659" s="66">
        <v>45216</v>
      </c>
      <c r="AH659" s="67" t="s">
        <v>14308</v>
      </c>
      <c r="AI659" s="65" t="s">
        <v>3060</v>
      </c>
      <c r="AJ659" s="65"/>
      <c r="AK659" s="97">
        <f t="shared" ca="1" si="121"/>
        <v>158</v>
      </c>
      <c r="AL659">
        <f>IFERROR(VLOOKUP(A659,'DATA CLIENTES'!B4956:I8284,6,FALSE),0)</f>
        <v>0</v>
      </c>
    </row>
    <row r="660" spans="1:38" x14ac:dyDescent="0.25">
      <c r="A660" s="93" t="s">
        <v>10061</v>
      </c>
      <c r="B660" s="68" t="s">
        <v>10062</v>
      </c>
      <c r="C660" s="65"/>
      <c r="D660" s="65"/>
      <c r="E660" s="65"/>
      <c r="F660" s="69" t="s">
        <v>14812</v>
      </c>
      <c r="G660" s="70"/>
      <c r="H660" s="65">
        <v>5500006238</v>
      </c>
      <c r="I660" s="75">
        <v>7260</v>
      </c>
      <c r="J660" s="75">
        <v>7260</v>
      </c>
      <c r="K660" s="75"/>
      <c r="L660" s="75"/>
      <c r="M660" s="75"/>
      <c r="N660" s="75">
        <f>Tabla1[[#This Row],[IMPORTE APROBADO]]-Tabla1[[#This Row],[AMORTIZACION2]]</f>
        <v>0</v>
      </c>
      <c r="O660" s="65" t="str">
        <f>TEXT(Tabla1[[#This Row],[EMISION]],"mmm")</f>
        <v>Set</v>
      </c>
      <c r="P660" s="65" t="str">
        <f>TEXT(Tabla1[[#This Row],[EMISION]],"YYYY")</f>
        <v>2023</v>
      </c>
      <c r="Q660" s="71">
        <v>45198</v>
      </c>
      <c r="R660" s="65" t="str">
        <f>TEXT(Tabla1[[#This Row],[VENCIMIENTO]],"mmm")</f>
        <v>Oct</v>
      </c>
      <c r="S660" s="71">
        <f t="shared" ref="S660:S661" si="122">Q660+X660</f>
        <v>45213</v>
      </c>
      <c r="T660" s="72">
        <f ca="1">Tabla1[[#This Row],[EMISION]]+Tabla1[[#This Row],[PLAZO]]-TODAY()</f>
        <v>-156</v>
      </c>
      <c r="U660" s="80">
        <f t="shared" ref="U660:U661" ca="1" si="123">IF(T660&gt;=0,$U$4,IF(AND(T660&lt;=-1,T660&gt;=-30),$U$5,IF(AND(T660&lt;=-31,T660&gt;=-60),$U$6,IF(AND(T660&lt;=-61,T660&gt;=-90),$U$7,$U$8))))</f>
        <v>0</v>
      </c>
      <c r="V660" s="72"/>
      <c r="W660" s="73" t="s">
        <v>14307</v>
      </c>
      <c r="X660" s="65">
        <v>15</v>
      </c>
      <c r="Y660" s="65"/>
      <c r="Z660" s="65"/>
      <c r="AA660" s="65"/>
      <c r="AB660" s="65"/>
      <c r="AC660" s="65"/>
      <c r="AD660" s="65"/>
      <c r="AE660" s="65"/>
      <c r="AF660" s="68"/>
      <c r="AG660" s="66">
        <v>45230</v>
      </c>
      <c r="AH660" s="67" t="s">
        <v>14308</v>
      </c>
      <c r="AI660" s="65" t="s">
        <v>3060</v>
      </c>
      <c r="AJ660" s="65"/>
      <c r="AK660" s="97">
        <f t="shared" ca="1" si="121"/>
        <v>156</v>
      </c>
      <c r="AL660">
        <f>IFERROR(VLOOKUP(A660,'DATA CLIENTES'!B4957:I8284,6,FALSE),0)</f>
        <v>0</v>
      </c>
    </row>
    <row r="661" spans="1:38" x14ac:dyDescent="0.25">
      <c r="A661" s="93" t="s">
        <v>10005</v>
      </c>
      <c r="B661" s="68" t="s">
        <v>10006</v>
      </c>
      <c r="C661" s="65"/>
      <c r="D661" s="65"/>
      <c r="E661" s="65"/>
      <c r="F661" s="69" t="s">
        <v>14804</v>
      </c>
      <c r="G661" s="70"/>
      <c r="H661" s="65">
        <v>5600006139</v>
      </c>
      <c r="I661" s="75">
        <v>2580</v>
      </c>
      <c r="J661" s="75">
        <f>50+530+500+1000+500</f>
        <v>2580</v>
      </c>
      <c r="K661" s="75"/>
      <c r="L661" s="75"/>
      <c r="M661" s="75"/>
      <c r="N661" s="75">
        <f>Tabla1[[#This Row],[IMPORTE APROBADO]]-Tabla1[[#This Row],[AMORTIZACION2]]</f>
        <v>0</v>
      </c>
      <c r="O661" s="65" t="str">
        <f>TEXT(Tabla1[[#This Row],[EMISION]],"mmm")</f>
        <v>Set</v>
      </c>
      <c r="P661" s="65" t="str">
        <f>TEXT(Tabla1[[#This Row],[EMISION]],"YYYY")</f>
        <v>2023</v>
      </c>
      <c r="Q661" s="71">
        <v>45198</v>
      </c>
      <c r="R661" s="65" t="str">
        <f>TEXT(Tabla1[[#This Row],[VENCIMIENTO]],"mmm")</f>
        <v>Oct</v>
      </c>
      <c r="S661" s="71">
        <f t="shared" si="122"/>
        <v>45218</v>
      </c>
      <c r="T661" s="72">
        <f ca="1">Tabla1[[#This Row],[EMISION]]+Tabla1[[#This Row],[PLAZO]]-TODAY()</f>
        <v>-151</v>
      </c>
      <c r="U661" s="80">
        <f t="shared" ca="1" si="123"/>
        <v>0</v>
      </c>
      <c r="V661" s="72"/>
      <c r="W661" s="73" t="s">
        <v>14307</v>
      </c>
      <c r="X661" s="65">
        <v>20</v>
      </c>
      <c r="Y661" s="65"/>
      <c r="Z661" s="65"/>
      <c r="AA661" s="65"/>
      <c r="AB661" s="65"/>
      <c r="AC661" s="65"/>
      <c r="AD661" s="65"/>
      <c r="AE661" s="65"/>
      <c r="AF661" s="68"/>
      <c r="AG661" s="66">
        <v>45222</v>
      </c>
      <c r="AH661" s="67" t="s">
        <v>14308</v>
      </c>
      <c r="AI661" s="65" t="s">
        <v>3060</v>
      </c>
      <c r="AJ661" s="65"/>
      <c r="AK661" s="97">
        <f t="shared" ca="1" si="121"/>
        <v>151</v>
      </c>
      <c r="AL661">
        <f>IFERROR(VLOOKUP(A661,'DATA CLIENTES'!B4958:I8284,6,FALSE),0)</f>
        <v>0</v>
      </c>
    </row>
    <row r="662" spans="1:38" x14ac:dyDescent="0.25">
      <c r="A662" s="93" t="s">
        <v>9775</v>
      </c>
      <c r="B662" s="68" t="s">
        <v>9776</v>
      </c>
      <c r="C662" s="65"/>
      <c r="D662" s="65"/>
      <c r="E662" s="65"/>
      <c r="F662" s="69" t="s">
        <v>14812</v>
      </c>
      <c r="G662" s="70"/>
      <c r="H662" s="65">
        <v>5500006244</v>
      </c>
      <c r="I662" s="75">
        <v>6276</v>
      </c>
      <c r="J662" s="75">
        <f>800+500+600+500+500+500+300+400+500+500+400+300+200+276</f>
        <v>6276</v>
      </c>
      <c r="K662" s="75"/>
      <c r="L662" s="74"/>
      <c r="M662" s="75"/>
      <c r="N662" s="75">
        <f>Tabla1[[#This Row],[IMPORTE APROBADO]]-Tabla1[[#This Row],[AMORTIZACION2]]</f>
        <v>0</v>
      </c>
      <c r="O662" s="65" t="str">
        <f>TEXT(Tabla1[[#This Row],[EMISION]],"mmm")</f>
        <v>Set</v>
      </c>
      <c r="P662" s="65" t="str">
        <f>TEXT(Tabla1[[#This Row],[EMISION]],"YYYY")</f>
        <v>2023</v>
      </c>
      <c r="Q662" s="71">
        <v>45199</v>
      </c>
      <c r="R662" s="65" t="str">
        <f>TEXT(Tabla1[[#This Row],[VENCIMIENTO]],"mmm")</f>
        <v>Oct</v>
      </c>
      <c r="S662" s="71">
        <f t="shared" ref="S662:S671" si="124">Q662+X662</f>
        <v>45214</v>
      </c>
      <c r="T662" s="72">
        <f ca="1">Tabla1[[#This Row],[EMISION]]+Tabla1[[#This Row],[PLAZO]]-TODAY()</f>
        <v>-155</v>
      </c>
      <c r="U662" s="80">
        <f t="shared" ref="U662:U671" ca="1" si="125">IF(T662&gt;=0,$U$4,IF(AND(T662&lt;=-1,T662&gt;=-30),$U$5,IF(AND(T662&lt;=-31,T662&gt;=-60),$U$6,IF(AND(T662&lt;=-61,T662&gt;=-90),$U$7,$U$8))))</f>
        <v>0</v>
      </c>
      <c r="V662" s="72"/>
      <c r="W662" s="73" t="s">
        <v>14307</v>
      </c>
      <c r="X662" s="65">
        <v>15</v>
      </c>
      <c r="Y662" s="65"/>
      <c r="Z662" s="65"/>
      <c r="AA662" s="65"/>
      <c r="AB662" s="65"/>
      <c r="AC662" s="65"/>
      <c r="AD662" s="65"/>
      <c r="AE662" s="65"/>
      <c r="AF662" s="68"/>
      <c r="AG662" s="66">
        <v>45271</v>
      </c>
      <c r="AH662" s="67" t="s">
        <v>14308</v>
      </c>
      <c r="AI662" s="65" t="s">
        <v>3060</v>
      </c>
      <c r="AJ662" s="65"/>
      <c r="AK662" s="97">
        <f t="shared" ca="1" si="121"/>
        <v>155</v>
      </c>
      <c r="AL662">
        <f>IFERROR(VLOOKUP(A662,'DATA CLIENTES'!B4959:I8284,6,FALSE),0)</f>
        <v>0</v>
      </c>
    </row>
    <row r="663" spans="1:38" x14ac:dyDescent="0.25">
      <c r="A663" s="93" t="s">
        <v>5547</v>
      </c>
      <c r="B663" s="68" t="s">
        <v>5548</v>
      </c>
      <c r="C663" s="65"/>
      <c r="D663" s="65"/>
      <c r="E663" s="65"/>
      <c r="F663" s="69" t="s">
        <v>14557</v>
      </c>
      <c r="G663" s="70"/>
      <c r="H663" s="65">
        <v>5600000008</v>
      </c>
      <c r="I663" s="75">
        <v>-1326</v>
      </c>
      <c r="J663" s="75"/>
      <c r="K663" s="75"/>
      <c r="L663" s="75"/>
      <c r="M663" s="75"/>
      <c r="N663" s="75">
        <f>Tabla1[[#This Row],[IMPORTE APROBADO]]-Tabla1[[#This Row],[AMORTIZACION2]]</f>
        <v>-1326</v>
      </c>
      <c r="O663" s="65" t="str">
        <f>TEXT(Tabla1[[#This Row],[EMISION]],"mmm")</f>
        <v>Oct</v>
      </c>
      <c r="P663" s="65" t="str">
        <f>TEXT(Tabla1[[#This Row],[EMISION]],"YYYY")</f>
        <v>2023</v>
      </c>
      <c r="Q663" s="71">
        <v>45201</v>
      </c>
      <c r="R663" s="65" t="str">
        <f>TEXT(Tabla1[[#This Row],[VENCIMIENTO]],"mmm")</f>
        <v>Oct</v>
      </c>
      <c r="S663" s="71">
        <f t="shared" si="124"/>
        <v>45226</v>
      </c>
      <c r="T663" s="72">
        <f ca="1">Tabla1[[#This Row],[EMISION]]+Tabla1[[#This Row],[PLAZO]]-TODAY()</f>
        <v>-143</v>
      </c>
      <c r="U663" s="80">
        <f t="shared" ca="1" si="125"/>
        <v>0</v>
      </c>
      <c r="V663" s="72"/>
      <c r="W663" s="73" t="s">
        <v>14307</v>
      </c>
      <c r="X663" s="65">
        <v>25</v>
      </c>
      <c r="Y663" s="65"/>
      <c r="Z663" s="65"/>
      <c r="AA663" s="65"/>
      <c r="AB663" s="65"/>
      <c r="AC663" s="65"/>
      <c r="AD663" s="65"/>
      <c r="AE663" s="65"/>
      <c r="AF663" s="68"/>
      <c r="AG663" s="66">
        <v>45216</v>
      </c>
      <c r="AH663" s="67" t="s">
        <v>14308</v>
      </c>
      <c r="AI663" s="65" t="s">
        <v>3060</v>
      </c>
      <c r="AJ663" s="65"/>
      <c r="AK663" s="97">
        <f t="shared" ca="1" si="121"/>
        <v>143</v>
      </c>
      <c r="AL663">
        <f>IFERROR(VLOOKUP(A663,'DATA CLIENTES'!B4960:I8284,6,FALSE),0)</f>
        <v>0</v>
      </c>
    </row>
    <row r="664" spans="1:38" x14ac:dyDescent="0.25">
      <c r="A664" s="93" t="s">
        <v>9366</v>
      </c>
      <c r="B664" s="68" t="s">
        <v>9367</v>
      </c>
      <c r="C664" s="65"/>
      <c r="D664" s="65"/>
      <c r="E664" s="65"/>
      <c r="F664" s="69" t="s">
        <v>14559</v>
      </c>
      <c r="G664" s="70"/>
      <c r="H664" s="65">
        <v>5500006270</v>
      </c>
      <c r="I664" s="75">
        <v>25345.719999999998</v>
      </c>
      <c r="J664" s="75">
        <v>25345.72</v>
      </c>
      <c r="K664" s="75"/>
      <c r="L664" s="75"/>
      <c r="M664" s="75"/>
      <c r="N664" s="75">
        <f>Tabla1[[#This Row],[IMPORTE APROBADO]]-Tabla1[[#This Row],[AMORTIZACION2]]</f>
        <v>0</v>
      </c>
      <c r="O664" s="65" t="str">
        <f>TEXT(Tabla1[[#This Row],[EMISION]],"mmm")</f>
        <v>Oct</v>
      </c>
      <c r="P664" s="65" t="str">
        <f>TEXT(Tabla1[[#This Row],[EMISION]],"YYYY")</f>
        <v>2023</v>
      </c>
      <c r="Q664" s="71">
        <v>45205</v>
      </c>
      <c r="R664" s="65" t="str">
        <f>TEXT(Tabla1[[#This Row],[VENCIMIENTO]],"mmm")</f>
        <v>Nov</v>
      </c>
      <c r="S664" s="71">
        <f t="shared" si="124"/>
        <v>45245</v>
      </c>
      <c r="T664" s="72">
        <f ca="1">Tabla1[[#This Row],[EMISION]]+Tabla1[[#This Row],[PLAZO]]-TODAY()</f>
        <v>-124</v>
      </c>
      <c r="U664" s="80">
        <f t="shared" ca="1" si="125"/>
        <v>0</v>
      </c>
      <c r="V664" s="72"/>
      <c r="W664" s="73" t="s">
        <v>14307</v>
      </c>
      <c r="X664" s="65">
        <v>40</v>
      </c>
      <c r="Y664" s="65"/>
      <c r="Z664" s="65"/>
      <c r="AA664" s="65"/>
      <c r="AB664" s="65"/>
      <c r="AC664" s="65"/>
      <c r="AD664" s="65"/>
      <c r="AE664" s="65"/>
      <c r="AF664" s="68"/>
      <c r="AG664" s="66">
        <v>45255</v>
      </c>
      <c r="AH664" s="67" t="s">
        <v>14308</v>
      </c>
      <c r="AI664" s="65" t="s">
        <v>3060</v>
      </c>
      <c r="AJ664" s="65"/>
      <c r="AK664" s="97">
        <f t="shared" ca="1" si="121"/>
        <v>124</v>
      </c>
      <c r="AL664">
        <f>IFERROR(VLOOKUP(A664,'DATA CLIENTES'!B4961:I8284,6,FALSE),0)</f>
        <v>0</v>
      </c>
    </row>
    <row r="665" spans="1:38" x14ac:dyDescent="0.25">
      <c r="A665" s="93" t="s">
        <v>6575</v>
      </c>
      <c r="B665" s="68" t="s">
        <v>6576</v>
      </c>
      <c r="C665" s="65"/>
      <c r="D665" s="65"/>
      <c r="E665" s="65"/>
      <c r="F665" s="69" t="s">
        <v>14804</v>
      </c>
      <c r="G665" s="70"/>
      <c r="H665" s="65">
        <v>5500006267</v>
      </c>
      <c r="I665" s="75">
        <v>1453.2</v>
      </c>
      <c r="J665" s="75">
        <f>700+753.2</f>
        <v>1453.2</v>
      </c>
      <c r="K665" s="75"/>
      <c r="L665" s="75"/>
      <c r="M665" s="75"/>
      <c r="N665" s="75">
        <f>Tabla1[[#This Row],[IMPORTE APROBADO]]-Tabla1[[#This Row],[AMORTIZACION2]]</f>
        <v>0</v>
      </c>
      <c r="O665" s="65" t="str">
        <f>TEXT(Tabla1[[#This Row],[EMISION]],"mmm")</f>
        <v>Oct</v>
      </c>
      <c r="P665" s="65" t="str">
        <f>TEXT(Tabla1[[#This Row],[EMISION]],"YYYY")</f>
        <v>2023</v>
      </c>
      <c r="Q665" s="71">
        <v>45205</v>
      </c>
      <c r="R665" s="65" t="str">
        <f>TEXT(Tabla1[[#This Row],[VENCIMIENTO]],"mmm")</f>
        <v>Oct</v>
      </c>
      <c r="S665" s="71">
        <f t="shared" si="124"/>
        <v>45225</v>
      </c>
      <c r="T665" s="72">
        <f ca="1">Tabla1[[#This Row],[EMISION]]+Tabla1[[#This Row],[PLAZO]]-TODAY()</f>
        <v>-144</v>
      </c>
      <c r="U665" s="80">
        <f t="shared" ca="1" si="125"/>
        <v>0</v>
      </c>
      <c r="V665" s="72"/>
      <c r="W665" s="73" t="s">
        <v>14307</v>
      </c>
      <c r="X665" s="65">
        <v>20</v>
      </c>
      <c r="Y665" s="65"/>
      <c r="Z665" s="65"/>
      <c r="AA665" s="65"/>
      <c r="AB665" s="65"/>
      <c r="AC665" s="65"/>
      <c r="AD665" s="65"/>
      <c r="AE665" s="65"/>
      <c r="AF665" s="68"/>
      <c r="AG665" s="66">
        <v>45230</v>
      </c>
      <c r="AH665" s="67" t="s">
        <v>14308</v>
      </c>
      <c r="AI665" s="65" t="s">
        <v>3060</v>
      </c>
      <c r="AJ665" s="65"/>
      <c r="AK665" s="97">
        <f t="shared" ca="1" si="121"/>
        <v>144</v>
      </c>
      <c r="AL665">
        <f>IFERROR(VLOOKUP(A665,'DATA CLIENTES'!B4962:I8284,6,FALSE),0)</f>
        <v>0</v>
      </c>
    </row>
    <row r="666" spans="1:38" x14ac:dyDescent="0.25">
      <c r="A666" s="93" t="s">
        <v>6807</v>
      </c>
      <c r="B666" s="68" t="s">
        <v>6808</v>
      </c>
      <c r="C666" s="65"/>
      <c r="D666" s="65"/>
      <c r="E666" s="65"/>
      <c r="F666" s="69" t="s">
        <v>14676</v>
      </c>
      <c r="G666" s="70"/>
      <c r="H666" s="65">
        <v>5500006277</v>
      </c>
      <c r="I666" s="75">
        <v>487.6</v>
      </c>
      <c r="J666" s="75">
        <f>100+100+100+100+80+8</f>
        <v>488</v>
      </c>
      <c r="K666" s="75"/>
      <c r="L666" s="75"/>
      <c r="M666" s="75"/>
      <c r="N666" s="75">
        <f>Tabla1[[#This Row],[IMPORTE APROBADO]]-Tabla1[[#This Row],[AMORTIZACION2]]</f>
        <v>-0.39999999999997726</v>
      </c>
      <c r="O666" s="65" t="str">
        <f>TEXT(Tabla1[[#This Row],[EMISION]],"mmm")</f>
        <v>Oct</v>
      </c>
      <c r="P666" s="65" t="str">
        <f>TEXT(Tabla1[[#This Row],[EMISION]],"YYYY")</f>
        <v>2023</v>
      </c>
      <c r="Q666" s="71">
        <v>45206</v>
      </c>
      <c r="R666" s="65" t="str">
        <f>TEXT(Tabla1[[#This Row],[VENCIMIENTO]],"mmm")</f>
        <v>Nov</v>
      </c>
      <c r="S666" s="71">
        <f t="shared" si="124"/>
        <v>45236</v>
      </c>
      <c r="T666" s="72">
        <f ca="1">Tabla1[[#This Row],[EMISION]]+Tabla1[[#This Row],[PLAZO]]-TODAY()</f>
        <v>-133</v>
      </c>
      <c r="U666" s="80">
        <f t="shared" ca="1" si="125"/>
        <v>0</v>
      </c>
      <c r="V666" s="72"/>
      <c r="W666" s="73" t="s">
        <v>14307</v>
      </c>
      <c r="X666" s="65">
        <v>30</v>
      </c>
      <c r="Y666" s="65"/>
      <c r="Z666" s="65"/>
      <c r="AA666" s="65"/>
      <c r="AB666" s="65"/>
      <c r="AC666" s="65"/>
      <c r="AD666" s="65"/>
      <c r="AE666" s="65"/>
      <c r="AF666" s="68"/>
      <c r="AG666" s="66">
        <v>45287</v>
      </c>
      <c r="AH666" s="67" t="s">
        <v>14308</v>
      </c>
      <c r="AI666" s="65" t="s">
        <v>3060</v>
      </c>
      <c r="AJ666" s="65"/>
      <c r="AK666" s="97">
        <f t="shared" ca="1" si="121"/>
        <v>133</v>
      </c>
      <c r="AL666">
        <f>IFERROR(VLOOKUP(A666,'DATA CLIENTES'!B4963:I8284,6,FALSE),0)</f>
        <v>0</v>
      </c>
    </row>
    <row r="667" spans="1:38" x14ac:dyDescent="0.25">
      <c r="A667" s="93" t="s">
        <v>7923</v>
      </c>
      <c r="B667" s="68" t="s">
        <v>7924</v>
      </c>
      <c r="C667" s="65"/>
      <c r="D667" s="65"/>
      <c r="E667" s="65"/>
      <c r="F667" s="69" t="s">
        <v>14574</v>
      </c>
      <c r="G667" s="70"/>
      <c r="H667" s="65">
        <v>5300000008</v>
      </c>
      <c r="I667" s="75">
        <v>-2179</v>
      </c>
      <c r="J667" s="75"/>
      <c r="K667" s="75"/>
      <c r="L667" s="75"/>
      <c r="M667" s="75"/>
      <c r="N667" s="75">
        <f>Tabla1[[#This Row],[IMPORTE APROBADO]]-Tabla1[[#This Row],[AMORTIZACION2]]</f>
        <v>-2179</v>
      </c>
      <c r="O667" s="65" t="str">
        <f>TEXT(Tabla1[[#This Row],[EMISION]],"mmm")</f>
        <v>Oct</v>
      </c>
      <c r="P667" s="65" t="str">
        <f>TEXT(Tabla1[[#This Row],[EMISION]],"YYYY")</f>
        <v>2023</v>
      </c>
      <c r="Q667" s="71">
        <v>45209</v>
      </c>
      <c r="R667" s="65" t="str">
        <f>TEXT(Tabla1[[#This Row],[VENCIMIENTO]],"mmm")</f>
        <v>Oct</v>
      </c>
      <c r="S667" s="71">
        <f t="shared" si="124"/>
        <v>45216</v>
      </c>
      <c r="T667" s="72">
        <f ca="1">Tabla1[[#This Row],[EMISION]]+Tabla1[[#This Row],[PLAZO]]-TODAY()</f>
        <v>-153</v>
      </c>
      <c r="U667" s="80">
        <f t="shared" ca="1" si="125"/>
        <v>0</v>
      </c>
      <c r="V667" s="72"/>
      <c r="W667" s="73" t="s">
        <v>14307</v>
      </c>
      <c r="X667" s="65">
        <v>7</v>
      </c>
      <c r="Y667" s="65"/>
      <c r="Z667" s="65"/>
      <c r="AA667" s="65"/>
      <c r="AB667" s="65"/>
      <c r="AC667" s="65"/>
      <c r="AD667" s="65"/>
      <c r="AE667" s="65"/>
      <c r="AF667" s="68"/>
      <c r="AG667" s="66">
        <v>45209</v>
      </c>
      <c r="AH667" s="67" t="s">
        <v>14308</v>
      </c>
      <c r="AI667" s="65" t="s">
        <v>3060</v>
      </c>
      <c r="AJ667" s="65"/>
      <c r="AK667" s="97">
        <f t="shared" ca="1" si="121"/>
        <v>153</v>
      </c>
      <c r="AL667">
        <f>IFERROR(VLOOKUP(A667,'DATA CLIENTES'!B4964:I8284,6,FALSE),0)</f>
        <v>0</v>
      </c>
    </row>
    <row r="668" spans="1:38" x14ac:dyDescent="0.25">
      <c r="A668" s="93" t="s">
        <v>7923</v>
      </c>
      <c r="B668" s="68" t="s">
        <v>7924</v>
      </c>
      <c r="C668" s="65"/>
      <c r="D668" s="65"/>
      <c r="E668" s="65"/>
      <c r="F668" s="69" t="s">
        <v>14574</v>
      </c>
      <c r="G668" s="70"/>
      <c r="H668" s="65">
        <v>5300000009</v>
      </c>
      <c r="I668" s="75">
        <v>-3598</v>
      </c>
      <c r="J668" s="75"/>
      <c r="K668" s="75"/>
      <c r="L668" s="75"/>
      <c r="M668" s="75"/>
      <c r="N668" s="75">
        <f>Tabla1[[#This Row],[IMPORTE APROBADO]]-Tabla1[[#This Row],[AMORTIZACION2]]</f>
        <v>-3598</v>
      </c>
      <c r="O668" s="65" t="str">
        <f>TEXT(Tabla1[[#This Row],[EMISION]],"mmm")</f>
        <v>Oct</v>
      </c>
      <c r="P668" s="65" t="str">
        <f>TEXT(Tabla1[[#This Row],[EMISION]],"YYYY")</f>
        <v>2023</v>
      </c>
      <c r="Q668" s="71">
        <v>45209</v>
      </c>
      <c r="R668" s="65" t="str">
        <f>TEXT(Tabla1[[#This Row],[VENCIMIENTO]],"mmm")</f>
        <v>Oct</v>
      </c>
      <c r="S668" s="71">
        <f t="shared" si="124"/>
        <v>45216</v>
      </c>
      <c r="T668" s="72">
        <f ca="1">Tabla1[[#This Row],[EMISION]]+Tabla1[[#This Row],[PLAZO]]-TODAY()</f>
        <v>-153</v>
      </c>
      <c r="U668" s="80">
        <f t="shared" ca="1" si="125"/>
        <v>0</v>
      </c>
      <c r="V668" s="72"/>
      <c r="W668" s="73" t="s">
        <v>14307</v>
      </c>
      <c r="X668" s="65">
        <v>7</v>
      </c>
      <c r="Y668" s="65"/>
      <c r="Z668" s="65"/>
      <c r="AA668" s="65"/>
      <c r="AB668" s="65"/>
      <c r="AC668" s="65"/>
      <c r="AD668" s="65"/>
      <c r="AE668" s="65"/>
      <c r="AF668" s="68"/>
      <c r="AG668" s="66">
        <v>45209</v>
      </c>
      <c r="AH668" s="67" t="s">
        <v>14308</v>
      </c>
      <c r="AI668" s="65" t="s">
        <v>3060</v>
      </c>
      <c r="AJ668" s="65"/>
      <c r="AK668" s="97">
        <f t="shared" ca="1" si="121"/>
        <v>153</v>
      </c>
      <c r="AL668">
        <f>IFERROR(VLOOKUP(A668,'DATA CLIENTES'!B4965:I8284,6,FALSE),0)</f>
        <v>0</v>
      </c>
    </row>
    <row r="669" spans="1:38" x14ac:dyDescent="0.25">
      <c r="A669" s="93" t="s">
        <v>7923</v>
      </c>
      <c r="B669" s="68" t="s">
        <v>7924</v>
      </c>
      <c r="C669" s="65"/>
      <c r="D669" s="65"/>
      <c r="E669" s="65"/>
      <c r="F669" s="69" t="s">
        <v>14805</v>
      </c>
      <c r="G669" s="70"/>
      <c r="H669" s="65">
        <v>5300000010</v>
      </c>
      <c r="I669" s="75">
        <v>-500</v>
      </c>
      <c r="J669" s="75"/>
      <c r="K669" s="75"/>
      <c r="L669" s="75"/>
      <c r="M669" s="75"/>
      <c r="N669" s="75">
        <f>Tabla1[[#This Row],[IMPORTE APROBADO]]-Tabla1[[#This Row],[AMORTIZACION2]]</f>
        <v>-500</v>
      </c>
      <c r="O669" s="65" t="str">
        <f>TEXT(Tabla1[[#This Row],[EMISION]],"mmm")</f>
        <v>Oct</v>
      </c>
      <c r="P669" s="65" t="str">
        <f>TEXT(Tabla1[[#This Row],[EMISION]],"YYYY")</f>
        <v>2023</v>
      </c>
      <c r="Q669" s="71">
        <v>45209</v>
      </c>
      <c r="R669" s="65" t="str">
        <f>TEXT(Tabla1[[#This Row],[VENCIMIENTO]],"mmm")</f>
        <v>Oct</v>
      </c>
      <c r="S669" s="71">
        <f t="shared" si="124"/>
        <v>45216</v>
      </c>
      <c r="T669" s="72">
        <f ca="1">Tabla1[[#This Row],[EMISION]]+Tabla1[[#This Row],[PLAZO]]-TODAY()</f>
        <v>-153</v>
      </c>
      <c r="U669" s="80">
        <f t="shared" ca="1" si="125"/>
        <v>0</v>
      </c>
      <c r="V669" s="72"/>
      <c r="W669" s="73" t="s">
        <v>14307</v>
      </c>
      <c r="X669" s="65">
        <v>7</v>
      </c>
      <c r="Y669" s="65"/>
      <c r="Z669" s="65"/>
      <c r="AA669" s="65"/>
      <c r="AB669" s="65"/>
      <c r="AC669" s="65"/>
      <c r="AD669" s="65"/>
      <c r="AE669" s="65"/>
      <c r="AF669" s="68"/>
      <c r="AG669" s="66">
        <v>45209</v>
      </c>
      <c r="AH669" s="67" t="s">
        <v>14308</v>
      </c>
      <c r="AI669" s="65" t="s">
        <v>3060</v>
      </c>
      <c r="AJ669" s="65"/>
      <c r="AK669" s="97">
        <f t="shared" ca="1" si="121"/>
        <v>153</v>
      </c>
      <c r="AL669">
        <f>IFERROR(VLOOKUP(A669,'DATA CLIENTES'!B4966:I8284,6,FALSE),0)</f>
        <v>0</v>
      </c>
    </row>
    <row r="670" spans="1:38" x14ac:dyDescent="0.25">
      <c r="A670" s="93" t="s">
        <v>7923</v>
      </c>
      <c r="B670" s="68" t="s">
        <v>7924</v>
      </c>
      <c r="C670" s="65"/>
      <c r="D670" s="65"/>
      <c r="E670" s="65"/>
      <c r="F670" s="69" t="s">
        <v>14805</v>
      </c>
      <c r="G670" s="70"/>
      <c r="H670" s="65">
        <v>5300000011</v>
      </c>
      <c r="I670" s="75">
        <v>-380</v>
      </c>
      <c r="J670" s="75"/>
      <c r="K670" s="75"/>
      <c r="L670" s="75"/>
      <c r="M670" s="75"/>
      <c r="N670" s="75">
        <f>Tabla1[[#This Row],[IMPORTE APROBADO]]-Tabla1[[#This Row],[AMORTIZACION2]]</f>
        <v>-380</v>
      </c>
      <c r="O670" s="65" t="str">
        <f>TEXT(Tabla1[[#This Row],[EMISION]],"mmm")</f>
        <v>Oct</v>
      </c>
      <c r="P670" s="65" t="str">
        <f>TEXT(Tabla1[[#This Row],[EMISION]],"YYYY")</f>
        <v>2023</v>
      </c>
      <c r="Q670" s="71">
        <v>45209</v>
      </c>
      <c r="R670" s="65" t="str">
        <f>TEXT(Tabla1[[#This Row],[VENCIMIENTO]],"mmm")</f>
        <v>Oct</v>
      </c>
      <c r="S670" s="71">
        <f t="shared" si="124"/>
        <v>45216</v>
      </c>
      <c r="T670" s="72">
        <f ca="1">Tabla1[[#This Row],[EMISION]]+Tabla1[[#This Row],[PLAZO]]-TODAY()</f>
        <v>-153</v>
      </c>
      <c r="U670" s="80">
        <f t="shared" ca="1" si="125"/>
        <v>0</v>
      </c>
      <c r="V670" s="72"/>
      <c r="W670" s="73" t="s">
        <v>14307</v>
      </c>
      <c r="X670" s="65">
        <v>7</v>
      </c>
      <c r="Y670" s="65"/>
      <c r="Z670" s="65"/>
      <c r="AA670" s="65"/>
      <c r="AB670" s="65"/>
      <c r="AC670" s="65"/>
      <c r="AD670" s="65"/>
      <c r="AE670" s="65"/>
      <c r="AF670" s="68"/>
      <c r="AG670" s="66">
        <v>45209</v>
      </c>
      <c r="AH670" s="67" t="s">
        <v>14308</v>
      </c>
      <c r="AI670" s="65" t="s">
        <v>3060</v>
      </c>
      <c r="AJ670" s="65"/>
      <c r="AK670" s="97">
        <f t="shared" ca="1" si="121"/>
        <v>153</v>
      </c>
      <c r="AL670">
        <f>IFERROR(VLOOKUP(A670,'DATA CLIENTES'!B4967:I8284,6,FALSE),0)</f>
        <v>0</v>
      </c>
    </row>
    <row r="671" spans="1:38" x14ac:dyDescent="0.25">
      <c r="A671" s="93" t="s">
        <v>10005</v>
      </c>
      <c r="B671" s="68" t="s">
        <v>10006</v>
      </c>
      <c r="C671" s="65"/>
      <c r="D671" s="65"/>
      <c r="E671" s="65"/>
      <c r="F671" s="69" t="s">
        <v>14559</v>
      </c>
      <c r="G671" s="70"/>
      <c r="H671" s="65">
        <v>5500006296</v>
      </c>
      <c r="I671" s="75">
        <v>2432.1999999999998</v>
      </c>
      <c r="J671" s="75">
        <f>1000+432+1000</f>
        <v>2432</v>
      </c>
      <c r="K671" s="75"/>
      <c r="L671" s="75"/>
      <c r="M671" s="75"/>
      <c r="N671" s="75">
        <f>Tabla1[[#This Row],[IMPORTE APROBADO]]-Tabla1[[#This Row],[AMORTIZACION2]]</f>
        <v>0.1999999999998181</v>
      </c>
      <c r="O671" s="65" t="str">
        <f>TEXT(Tabla1[[#This Row],[EMISION]],"mmm")</f>
        <v>Oct</v>
      </c>
      <c r="P671" s="65" t="str">
        <f>TEXT(Tabla1[[#This Row],[EMISION]],"YYYY")</f>
        <v>2023</v>
      </c>
      <c r="Q671" s="71">
        <v>45209</v>
      </c>
      <c r="R671" s="65" t="str">
        <f>TEXT(Tabla1[[#This Row],[VENCIMIENTO]],"mmm")</f>
        <v>Oct</v>
      </c>
      <c r="S671" s="71">
        <f t="shared" si="124"/>
        <v>45229</v>
      </c>
      <c r="T671" s="72">
        <f ca="1">Tabla1[[#This Row],[EMISION]]+Tabla1[[#This Row],[PLAZO]]-TODAY()</f>
        <v>-140</v>
      </c>
      <c r="U671" s="80">
        <f t="shared" ca="1" si="125"/>
        <v>0</v>
      </c>
      <c r="V671" s="72"/>
      <c r="W671" s="73" t="s">
        <v>14307</v>
      </c>
      <c r="X671" s="65">
        <v>20</v>
      </c>
      <c r="Y671" s="65"/>
      <c r="Z671" s="65"/>
      <c r="AA671" s="65"/>
      <c r="AB671" s="65"/>
      <c r="AC671" s="65"/>
      <c r="AD671" s="65"/>
      <c r="AE671" s="65"/>
      <c r="AF671" s="68"/>
      <c r="AG671" s="66">
        <v>45210</v>
      </c>
      <c r="AH671" s="67" t="s">
        <v>14308</v>
      </c>
      <c r="AI671" s="65" t="s">
        <v>3060</v>
      </c>
      <c r="AJ671" s="65"/>
      <c r="AK671" s="97">
        <f t="shared" ca="1" si="121"/>
        <v>140</v>
      </c>
      <c r="AL671">
        <f>IFERROR(VLOOKUP(A671,'DATA CLIENTES'!B4968:I8284,6,FALSE),0)</f>
        <v>0</v>
      </c>
    </row>
    <row r="672" spans="1:38" x14ac:dyDescent="0.25">
      <c r="A672" s="93" t="s">
        <v>7923</v>
      </c>
      <c r="B672" s="68" t="s">
        <v>7924</v>
      </c>
      <c r="C672" s="65"/>
      <c r="D672" s="65"/>
      <c r="E672" s="65"/>
      <c r="F672" s="69" t="s">
        <v>14574</v>
      </c>
      <c r="G672" s="70"/>
      <c r="H672" s="65">
        <v>5300000224</v>
      </c>
      <c r="I672" s="75">
        <v>2179</v>
      </c>
      <c r="J672" s="75">
        <v>2179</v>
      </c>
      <c r="K672" s="75"/>
      <c r="L672" s="75"/>
      <c r="M672" s="75"/>
      <c r="N672" s="75">
        <f>Tabla1[[#This Row],[IMPORTE APROBADO]]-Tabla1[[#This Row],[AMORTIZACION2]]</f>
        <v>0</v>
      </c>
      <c r="O672" s="65" t="str">
        <f>TEXT(Tabla1[[#This Row],[EMISION]],"mmm")</f>
        <v>Oct</v>
      </c>
      <c r="P672" s="65" t="str">
        <f>TEXT(Tabla1[[#This Row],[EMISION]],"YYYY")</f>
        <v>2023</v>
      </c>
      <c r="Q672" s="71">
        <v>45210</v>
      </c>
      <c r="R672" s="65" t="str">
        <f>TEXT(Tabla1[[#This Row],[VENCIMIENTO]],"mmm")</f>
        <v>Oct</v>
      </c>
      <c r="S672" s="71">
        <f t="shared" ref="S672:S678" si="126">Q672+X672</f>
        <v>45217</v>
      </c>
      <c r="T672" s="72">
        <f ca="1">Tabla1[[#This Row],[EMISION]]+Tabla1[[#This Row],[PLAZO]]-TODAY()</f>
        <v>-152</v>
      </c>
      <c r="U672" s="80">
        <f t="shared" ref="U672:U678" ca="1" si="127">IF(T672&gt;=0,$U$4,IF(AND(T672&lt;=-1,T672&gt;=-30),$U$5,IF(AND(T672&lt;=-31,T672&gt;=-60),$U$6,IF(AND(T672&lt;=-61,T672&gt;=-90),$U$7,$U$8))))</f>
        <v>0</v>
      </c>
      <c r="V672" s="72"/>
      <c r="W672" s="73" t="s">
        <v>14307</v>
      </c>
      <c r="X672" s="65">
        <v>7</v>
      </c>
      <c r="Y672" s="65"/>
      <c r="Z672" s="65"/>
      <c r="AA672" s="65"/>
      <c r="AB672" s="65"/>
      <c r="AC672" s="65"/>
      <c r="AD672" s="65"/>
      <c r="AE672" s="65"/>
      <c r="AF672" s="68"/>
      <c r="AG672" s="66">
        <v>45215</v>
      </c>
      <c r="AH672" s="67" t="s">
        <v>14308</v>
      </c>
      <c r="AI672" s="65" t="s">
        <v>3060</v>
      </c>
      <c r="AJ672" s="65"/>
      <c r="AK672" s="97">
        <f t="shared" ca="1" si="121"/>
        <v>152</v>
      </c>
      <c r="AL672">
        <f>IFERROR(VLOOKUP(A672,'DATA CLIENTES'!B4969:I8284,6,FALSE),0)</f>
        <v>0</v>
      </c>
    </row>
    <row r="673" spans="1:38" x14ac:dyDescent="0.25">
      <c r="A673" s="93" t="s">
        <v>7923</v>
      </c>
      <c r="B673" s="68" t="s">
        <v>7924</v>
      </c>
      <c r="C673" s="65"/>
      <c r="D673" s="65"/>
      <c r="E673" s="65"/>
      <c r="F673" s="69" t="s">
        <v>14574</v>
      </c>
      <c r="G673" s="70"/>
      <c r="H673" s="65">
        <v>5300000226</v>
      </c>
      <c r="I673" s="75">
        <v>3598</v>
      </c>
      <c r="J673" s="75">
        <v>3598</v>
      </c>
      <c r="K673" s="75"/>
      <c r="L673" s="74"/>
      <c r="M673" s="75"/>
      <c r="N673" s="75">
        <f>Tabla1[[#This Row],[IMPORTE APROBADO]]-Tabla1[[#This Row],[AMORTIZACION2]]</f>
        <v>0</v>
      </c>
      <c r="O673" s="65" t="str">
        <f>TEXT(Tabla1[[#This Row],[EMISION]],"mmm")</f>
        <v>Oct</v>
      </c>
      <c r="P673" s="65" t="str">
        <f>TEXT(Tabla1[[#This Row],[EMISION]],"YYYY")</f>
        <v>2023</v>
      </c>
      <c r="Q673" s="71">
        <v>45210</v>
      </c>
      <c r="R673" s="65" t="str">
        <f>TEXT(Tabla1[[#This Row],[VENCIMIENTO]],"mmm")</f>
        <v>Oct</v>
      </c>
      <c r="S673" s="71">
        <f t="shared" si="126"/>
        <v>45217</v>
      </c>
      <c r="T673" s="72">
        <f ca="1">Tabla1[[#This Row],[EMISION]]+Tabla1[[#This Row],[PLAZO]]-TODAY()</f>
        <v>-152</v>
      </c>
      <c r="U673" s="80">
        <f t="shared" ca="1" si="127"/>
        <v>0</v>
      </c>
      <c r="V673" s="72"/>
      <c r="W673" s="73" t="s">
        <v>14307</v>
      </c>
      <c r="X673" s="65">
        <v>7</v>
      </c>
      <c r="Y673" s="65"/>
      <c r="Z673" s="65"/>
      <c r="AA673" s="65"/>
      <c r="AB673" s="65"/>
      <c r="AC673" s="65"/>
      <c r="AD673" s="65"/>
      <c r="AE673" s="65"/>
      <c r="AF673" s="68"/>
      <c r="AG673" s="66">
        <v>45215</v>
      </c>
      <c r="AH673" s="67" t="s">
        <v>14308</v>
      </c>
      <c r="AI673" s="65" t="s">
        <v>3060</v>
      </c>
      <c r="AJ673" s="65"/>
      <c r="AK673" s="97">
        <f t="shared" ca="1" si="121"/>
        <v>152</v>
      </c>
      <c r="AL673">
        <f>IFERROR(VLOOKUP(A673,'DATA CLIENTES'!B4970:I8284,6,FALSE),0)</f>
        <v>0</v>
      </c>
    </row>
    <row r="674" spans="1:38" x14ac:dyDescent="0.25">
      <c r="A674" s="93" t="s">
        <v>7923</v>
      </c>
      <c r="B674" s="68" t="s">
        <v>7924</v>
      </c>
      <c r="C674" s="65"/>
      <c r="D674" s="65"/>
      <c r="E674" s="65"/>
      <c r="F674" s="69" t="s">
        <v>14805</v>
      </c>
      <c r="G674" s="70"/>
      <c r="H674" s="65">
        <v>5300000225</v>
      </c>
      <c r="I674" s="75">
        <v>380</v>
      </c>
      <c r="J674" s="75">
        <v>380</v>
      </c>
      <c r="K674" s="75"/>
      <c r="L674" s="74"/>
      <c r="M674" s="75"/>
      <c r="N674" s="75">
        <f>Tabla1[[#This Row],[IMPORTE APROBADO]]-Tabla1[[#This Row],[AMORTIZACION2]]</f>
        <v>0</v>
      </c>
      <c r="O674" s="65" t="str">
        <f>TEXT(Tabla1[[#This Row],[EMISION]],"mmm")</f>
        <v>Oct</v>
      </c>
      <c r="P674" s="65" t="str">
        <f>TEXT(Tabla1[[#This Row],[EMISION]],"YYYY")</f>
        <v>2023</v>
      </c>
      <c r="Q674" s="71">
        <v>45210</v>
      </c>
      <c r="R674" s="65" t="str">
        <f>TEXT(Tabla1[[#This Row],[VENCIMIENTO]],"mmm")</f>
        <v>Oct</v>
      </c>
      <c r="S674" s="71">
        <f t="shared" si="126"/>
        <v>45217</v>
      </c>
      <c r="T674" s="72">
        <f ca="1">Tabla1[[#This Row],[EMISION]]+Tabla1[[#This Row],[PLAZO]]-TODAY()</f>
        <v>-152</v>
      </c>
      <c r="U674" s="80">
        <f t="shared" ca="1" si="127"/>
        <v>0</v>
      </c>
      <c r="V674" s="72"/>
      <c r="W674" s="73" t="s">
        <v>14307</v>
      </c>
      <c r="X674" s="65">
        <v>7</v>
      </c>
      <c r="Y674" s="65"/>
      <c r="Z674" s="65"/>
      <c r="AA674" s="65"/>
      <c r="AB674" s="65"/>
      <c r="AC674" s="65"/>
      <c r="AD674" s="65"/>
      <c r="AE674" s="65"/>
      <c r="AF674" s="68"/>
      <c r="AG674" s="66">
        <v>45215</v>
      </c>
      <c r="AH674" s="67" t="s">
        <v>14308</v>
      </c>
      <c r="AI674" s="65" t="s">
        <v>3060</v>
      </c>
      <c r="AJ674" s="65"/>
      <c r="AK674" s="97">
        <f t="shared" ca="1" si="121"/>
        <v>152</v>
      </c>
      <c r="AL674">
        <f>IFERROR(VLOOKUP(A674,'DATA CLIENTES'!B4971:I8284,6,FALSE),0)</f>
        <v>0</v>
      </c>
    </row>
    <row r="675" spans="1:38" x14ac:dyDescent="0.25">
      <c r="A675" s="93" t="s">
        <v>7923</v>
      </c>
      <c r="B675" s="68" t="s">
        <v>7924</v>
      </c>
      <c r="C675" s="65"/>
      <c r="D675" s="65"/>
      <c r="E675" s="65"/>
      <c r="F675" s="69" t="s">
        <v>14805</v>
      </c>
      <c r="G675" s="70"/>
      <c r="H675" s="65">
        <v>5300000227</v>
      </c>
      <c r="I675" s="75">
        <v>500</v>
      </c>
      <c r="J675" s="75">
        <v>500</v>
      </c>
      <c r="K675" s="75"/>
      <c r="L675" s="74"/>
      <c r="M675" s="75"/>
      <c r="N675" s="75">
        <f>Tabla1[[#This Row],[IMPORTE APROBADO]]-Tabla1[[#This Row],[AMORTIZACION2]]</f>
        <v>0</v>
      </c>
      <c r="O675" s="65" t="str">
        <f>TEXT(Tabla1[[#This Row],[EMISION]],"mmm")</f>
        <v>Oct</v>
      </c>
      <c r="P675" s="65" t="str">
        <f>TEXT(Tabla1[[#This Row],[EMISION]],"YYYY")</f>
        <v>2023</v>
      </c>
      <c r="Q675" s="71">
        <v>45210</v>
      </c>
      <c r="R675" s="65" t="str">
        <f>TEXT(Tabla1[[#This Row],[VENCIMIENTO]],"mmm")</f>
        <v>Oct</v>
      </c>
      <c r="S675" s="71">
        <f t="shared" si="126"/>
        <v>45217</v>
      </c>
      <c r="T675" s="72">
        <f ca="1">Tabla1[[#This Row],[EMISION]]+Tabla1[[#This Row],[PLAZO]]-TODAY()</f>
        <v>-152</v>
      </c>
      <c r="U675" s="80">
        <f t="shared" ca="1" si="127"/>
        <v>0</v>
      </c>
      <c r="V675" s="72"/>
      <c r="W675" s="73" t="s">
        <v>14307</v>
      </c>
      <c r="X675" s="65">
        <v>7</v>
      </c>
      <c r="Y675" s="65"/>
      <c r="Z675" s="65"/>
      <c r="AA675" s="65"/>
      <c r="AB675" s="65"/>
      <c r="AC675" s="65"/>
      <c r="AD675" s="65"/>
      <c r="AE675" s="65"/>
      <c r="AF675" s="68"/>
      <c r="AG675" s="66">
        <v>45215</v>
      </c>
      <c r="AH675" s="67" t="s">
        <v>14308</v>
      </c>
      <c r="AI675" s="65" t="s">
        <v>3060</v>
      </c>
      <c r="AJ675" s="65"/>
      <c r="AK675" s="97">
        <f t="shared" ca="1" si="121"/>
        <v>152</v>
      </c>
      <c r="AL675">
        <f>IFERROR(VLOOKUP(A675,'DATA CLIENTES'!B4972:I8284,6,FALSE),0)</f>
        <v>0</v>
      </c>
    </row>
    <row r="676" spans="1:38" x14ac:dyDescent="0.25">
      <c r="A676" s="93" t="s">
        <v>9263</v>
      </c>
      <c r="B676" s="68" t="s">
        <v>9264</v>
      </c>
      <c r="C676" s="65"/>
      <c r="D676" s="65"/>
      <c r="E676" s="65"/>
      <c r="F676" s="69" t="s">
        <v>11799</v>
      </c>
      <c r="G676" s="70"/>
      <c r="H676" s="65">
        <v>5500006304</v>
      </c>
      <c r="I676" s="75">
        <v>654</v>
      </c>
      <c r="J676" s="75">
        <v>654</v>
      </c>
      <c r="K676" s="75"/>
      <c r="L676" s="74"/>
      <c r="M676" s="75"/>
      <c r="N676" s="75">
        <f>Tabla1[[#This Row],[IMPORTE APROBADO]]-Tabla1[[#This Row],[AMORTIZACION2]]</f>
        <v>0</v>
      </c>
      <c r="O676" s="65" t="str">
        <f>TEXT(Tabla1[[#This Row],[EMISION]],"mmm")</f>
        <v>Oct</v>
      </c>
      <c r="P676" s="65" t="str">
        <f>TEXT(Tabla1[[#This Row],[EMISION]],"YYYY")</f>
        <v>2023</v>
      </c>
      <c r="Q676" s="71">
        <v>45211</v>
      </c>
      <c r="R676" s="65" t="str">
        <f>TEXT(Tabla1[[#This Row],[VENCIMIENTO]],"mmm")</f>
        <v>Oct</v>
      </c>
      <c r="S676" s="71">
        <f t="shared" si="126"/>
        <v>45226</v>
      </c>
      <c r="T676" s="72">
        <f ca="1">Tabla1[[#This Row],[EMISION]]+Tabla1[[#This Row],[PLAZO]]-TODAY()</f>
        <v>-143</v>
      </c>
      <c r="U676" s="80">
        <f t="shared" ca="1" si="127"/>
        <v>0</v>
      </c>
      <c r="V676" s="72"/>
      <c r="W676" s="73" t="s">
        <v>14307</v>
      </c>
      <c r="X676" s="65">
        <v>15</v>
      </c>
      <c r="Y676" s="65"/>
      <c r="Z676" s="65"/>
      <c r="AA676" s="65"/>
      <c r="AB676" s="65"/>
      <c r="AC676" s="65"/>
      <c r="AD676" s="65"/>
      <c r="AE676" s="65"/>
      <c r="AF676" s="68"/>
      <c r="AG676" s="66">
        <v>45239</v>
      </c>
      <c r="AH676" s="67" t="s">
        <v>14308</v>
      </c>
      <c r="AI676" s="65" t="s">
        <v>3060</v>
      </c>
      <c r="AJ676" s="65"/>
      <c r="AK676" s="97">
        <f t="shared" ca="1" si="121"/>
        <v>143</v>
      </c>
      <c r="AL676">
        <f>IFERROR(VLOOKUP(A676,'DATA CLIENTES'!B4973:I8284,6,FALSE),0)</f>
        <v>0</v>
      </c>
    </row>
    <row r="677" spans="1:38" x14ac:dyDescent="0.25">
      <c r="A677" s="93" t="s">
        <v>9263</v>
      </c>
      <c r="B677" s="68" t="s">
        <v>9264</v>
      </c>
      <c r="C677" s="65"/>
      <c r="D677" s="65"/>
      <c r="E677" s="65"/>
      <c r="F677" s="69" t="s">
        <v>11799</v>
      </c>
      <c r="G677" s="70"/>
      <c r="H677" s="65">
        <v>5600006166</v>
      </c>
      <c r="I677" s="75">
        <v>4808</v>
      </c>
      <c r="J677" s="75">
        <v>4808</v>
      </c>
      <c r="K677" s="75"/>
      <c r="L677" s="74"/>
      <c r="M677" s="75"/>
      <c r="N677" s="75">
        <f>Tabla1[[#This Row],[IMPORTE APROBADO]]-Tabla1[[#This Row],[AMORTIZACION2]]</f>
        <v>0</v>
      </c>
      <c r="O677" s="65" t="str">
        <f>TEXT(Tabla1[[#This Row],[EMISION]],"mmm")</f>
        <v>Oct</v>
      </c>
      <c r="P677" s="65" t="str">
        <f>TEXT(Tabla1[[#This Row],[EMISION]],"YYYY")</f>
        <v>2023</v>
      </c>
      <c r="Q677" s="71">
        <v>45211</v>
      </c>
      <c r="R677" s="65" t="str">
        <f>TEXT(Tabla1[[#This Row],[VENCIMIENTO]],"mmm")</f>
        <v>Oct</v>
      </c>
      <c r="S677" s="71">
        <f t="shared" si="126"/>
        <v>45226</v>
      </c>
      <c r="T677" s="72">
        <f ca="1">Tabla1[[#This Row],[EMISION]]+Tabla1[[#This Row],[PLAZO]]-TODAY()</f>
        <v>-143</v>
      </c>
      <c r="U677" s="80">
        <f t="shared" ca="1" si="127"/>
        <v>0</v>
      </c>
      <c r="V677" s="72"/>
      <c r="W677" s="73" t="s">
        <v>14307</v>
      </c>
      <c r="X677" s="65">
        <v>15</v>
      </c>
      <c r="Y677" s="65"/>
      <c r="Z677" s="65"/>
      <c r="AA677" s="65"/>
      <c r="AB677" s="65"/>
      <c r="AC677" s="65"/>
      <c r="AD677" s="65"/>
      <c r="AE677" s="65"/>
      <c r="AF677" s="68"/>
      <c r="AG677" s="66">
        <v>45239</v>
      </c>
      <c r="AH677" s="67" t="s">
        <v>14308</v>
      </c>
      <c r="AI677" s="65" t="s">
        <v>3060</v>
      </c>
      <c r="AJ677" s="65"/>
      <c r="AK677" s="97">
        <f t="shared" ca="1" si="121"/>
        <v>143</v>
      </c>
      <c r="AL677">
        <f>IFERROR(VLOOKUP(A677,'DATA CLIENTES'!B4974:I8284,6,FALSE),0)</f>
        <v>0</v>
      </c>
    </row>
    <row r="678" spans="1:38" x14ac:dyDescent="0.25">
      <c r="A678" s="93" t="s">
        <v>6999</v>
      </c>
      <c r="B678" s="68" t="s">
        <v>7000</v>
      </c>
      <c r="C678" s="65"/>
      <c r="D678" s="65"/>
      <c r="E678" s="65"/>
      <c r="F678" s="69" t="s">
        <v>14817</v>
      </c>
      <c r="G678" s="70"/>
      <c r="H678" s="65">
        <v>5600006167</v>
      </c>
      <c r="I678" s="75">
        <v>1430.9</v>
      </c>
      <c r="J678" s="75"/>
      <c r="K678" s="75"/>
      <c r="L678" s="74"/>
      <c r="M678" s="75"/>
      <c r="N678" s="75">
        <f>Tabla1[[#This Row],[IMPORTE APROBADO]]-Tabla1[[#This Row],[AMORTIZACION2]]</f>
        <v>1430.9</v>
      </c>
      <c r="O678" s="65" t="str">
        <f>TEXT(Tabla1[[#This Row],[EMISION]],"mmm")</f>
        <v>Oct</v>
      </c>
      <c r="P678" s="65" t="str">
        <f>TEXT(Tabla1[[#This Row],[EMISION]],"YYYY")</f>
        <v>2023</v>
      </c>
      <c r="Q678" s="71">
        <v>45212</v>
      </c>
      <c r="R678" s="65" t="str">
        <f>TEXT(Tabla1[[#This Row],[VENCIMIENTO]],"mmm")</f>
        <v>Dic</v>
      </c>
      <c r="S678" s="71">
        <f t="shared" si="126"/>
        <v>45272</v>
      </c>
      <c r="T678" s="72">
        <f ca="1">Tabla1[[#This Row],[EMISION]]+Tabla1[[#This Row],[PLAZO]]-TODAY()</f>
        <v>-97</v>
      </c>
      <c r="U678" s="80">
        <f t="shared" ca="1" si="127"/>
        <v>0</v>
      </c>
      <c r="V678" s="72"/>
      <c r="W678" s="73" t="s">
        <v>14307</v>
      </c>
      <c r="X678" s="65">
        <v>60</v>
      </c>
      <c r="Y678" s="65"/>
      <c r="Z678" s="65"/>
      <c r="AA678" s="65"/>
      <c r="AB678" s="65"/>
      <c r="AC678" s="65"/>
      <c r="AD678" s="65"/>
      <c r="AE678" s="65"/>
      <c r="AF678" s="68"/>
      <c r="AG678" s="66"/>
      <c r="AH678" s="67" t="s">
        <v>14313</v>
      </c>
      <c r="AI678" s="65" t="s">
        <v>3060</v>
      </c>
      <c r="AJ678" s="65"/>
      <c r="AK678" s="97">
        <f t="shared" ca="1" si="121"/>
        <v>97</v>
      </c>
      <c r="AL678">
        <f>IFERROR(VLOOKUP(A678,'DATA CLIENTES'!B4975:I8284,6,FALSE),0)</f>
        <v>0</v>
      </c>
    </row>
    <row r="679" spans="1:38" x14ac:dyDescent="0.25">
      <c r="A679" s="93" t="s">
        <v>10260</v>
      </c>
      <c r="B679" s="68" t="s">
        <v>10261</v>
      </c>
      <c r="C679" s="65"/>
      <c r="D679" s="65"/>
      <c r="E679" s="65"/>
      <c r="F679" s="69" t="s">
        <v>14559</v>
      </c>
      <c r="G679" s="70"/>
      <c r="H679" s="65">
        <v>5500006349</v>
      </c>
      <c r="I679" s="75">
        <v>1164.94</v>
      </c>
      <c r="J679" s="75">
        <f>1164.9</f>
        <v>1164.9000000000001</v>
      </c>
      <c r="K679" s="75"/>
      <c r="L679" s="75"/>
      <c r="M679" s="75"/>
      <c r="N679" s="75">
        <f>Tabla1[[#This Row],[IMPORTE APROBADO]]-Tabla1[[#This Row],[AMORTIZACION2]]</f>
        <v>3.999999999996362E-2</v>
      </c>
      <c r="O679" s="65" t="str">
        <f>TEXT(Tabla1[[#This Row],[EMISION]],"mmm")</f>
        <v>Oct</v>
      </c>
      <c r="P679" s="65" t="str">
        <f>TEXT(Tabla1[[#This Row],[EMISION]],"YYYY")</f>
        <v>2023</v>
      </c>
      <c r="Q679" s="71">
        <v>45219</v>
      </c>
      <c r="R679" s="65" t="str">
        <f>TEXT(Tabla1[[#This Row],[VENCIMIENTO]],"mmm")</f>
        <v>Nov</v>
      </c>
      <c r="S679" s="71">
        <f t="shared" ref="S679:S682" si="128">Q679+X679</f>
        <v>45239</v>
      </c>
      <c r="T679" s="72">
        <f ca="1">Tabla1[[#This Row],[EMISION]]+Tabla1[[#This Row],[PLAZO]]-TODAY()</f>
        <v>-130</v>
      </c>
      <c r="U679" s="80">
        <f t="shared" ref="U679:U682" ca="1" si="129">IF(T679&gt;=0,$U$4,IF(AND(T679&lt;=-1,T679&gt;=-30),$U$5,IF(AND(T679&lt;=-31,T679&gt;=-60),$U$6,IF(AND(T679&lt;=-61,T679&gt;=-90),$U$7,$U$8))))</f>
        <v>0</v>
      </c>
      <c r="V679" s="72"/>
      <c r="W679" s="73" t="s">
        <v>14307</v>
      </c>
      <c r="X679" s="65">
        <v>20</v>
      </c>
      <c r="Y679" s="65"/>
      <c r="Z679" s="65"/>
      <c r="AA679" s="65"/>
      <c r="AB679" s="65"/>
      <c r="AC679" s="65"/>
      <c r="AD679" s="65"/>
      <c r="AE679" s="65"/>
      <c r="AF679" s="68"/>
      <c r="AG679" s="66">
        <v>45250</v>
      </c>
      <c r="AH679" s="67" t="s">
        <v>14308</v>
      </c>
      <c r="AI679" s="65" t="s">
        <v>3060</v>
      </c>
      <c r="AJ679" s="65"/>
      <c r="AK679" s="97">
        <f t="shared" ca="1" si="121"/>
        <v>130</v>
      </c>
      <c r="AL679">
        <f>IFERROR(VLOOKUP(A679,'DATA CLIENTES'!B4976:I8284,6,FALSE),0)</f>
        <v>0</v>
      </c>
    </row>
    <row r="680" spans="1:38" x14ac:dyDescent="0.25">
      <c r="A680" s="93" t="s">
        <v>6943</v>
      </c>
      <c r="B680" s="68" t="s">
        <v>6944</v>
      </c>
      <c r="C680" s="65"/>
      <c r="D680" s="65"/>
      <c r="E680" s="65"/>
      <c r="F680" s="69" t="s">
        <v>14557</v>
      </c>
      <c r="G680" s="70"/>
      <c r="H680" s="65">
        <v>5600000010</v>
      </c>
      <c r="I680" s="75">
        <v>-490</v>
      </c>
      <c r="J680" s="75"/>
      <c r="K680" s="75"/>
      <c r="L680" s="75"/>
      <c r="M680" s="75"/>
      <c r="N680" s="75">
        <f>Tabla1[[#This Row],[IMPORTE APROBADO]]-Tabla1[[#This Row],[AMORTIZACION2]]</f>
        <v>-490</v>
      </c>
      <c r="O680" s="65" t="str">
        <f>TEXT(Tabla1[[#This Row],[EMISION]],"mmm")</f>
        <v>Oct</v>
      </c>
      <c r="P680" s="65" t="str">
        <f>TEXT(Tabla1[[#This Row],[EMISION]],"YYYY")</f>
        <v>2023</v>
      </c>
      <c r="Q680" s="71">
        <v>45219</v>
      </c>
      <c r="R680" s="65" t="str">
        <f>TEXT(Tabla1[[#This Row],[VENCIMIENTO]],"mmm")</f>
        <v>Nov</v>
      </c>
      <c r="S680" s="71">
        <f t="shared" si="128"/>
        <v>45234</v>
      </c>
      <c r="T680" s="72">
        <f ca="1">Tabla1[[#This Row],[EMISION]]+Tabla1[[#This Row],[PLAZO]]-TODAY()</f>
        <v>-135</v>
      </c>
      <c r="U680" s="80">
        <f t="shared" ca="1" si="129"/>
        <v>0</v>
      </c>
      <c r="V680" s="72"/>
      <c r="W680" s="73" t="s">
        <v>14307</v>
      </c>
      <c r="X680" s="65">
        <v>15</v>
      </c>
      <c r="Y680" s="65"/>
      <c r="Z680" s="65"/>
      <c r="AA680" s="65"/>
      <c r="AB680" s="65"/>
      <c r="AC680" s="65"/>
      <c r="AD680" s="65"/>
      <c r="AE680" s="65"/>
      <c r="AF680" s="68"/>
      <c r="AG680" s="66">
        <v>45216</v>
      </c>
      <c r="AH680" s="67" t="s">
        <v>14308</v>
      </c>
      <c r="AI680" s="65" t="s">
        <v>3060</v>
      </c>
      <c r="AJ680" s="65"/>
      <c r="AK680" s="97">
        <f t="shared" ca="1" si="121"/>
        <v>135</v>
      </c>
      <c r="AL680">
        <f>IFERROR(VLOOKUP(A680,'DATA CLIENTES'!B4977:I8284,6,FALSE),0)</f>
        <v>0</v>
      </c>
    </row>
    <row r="681" spans="1:38" x14ac:dyDescent="0.25">
      <c r="A681" s="93" t="s">
        <v>9809</v>
      </c>
      <c r="B681" s="68" t="s">
        <v>9810</v>
      </c>
      <c r="C681" s="65"/>
      <c r="D681" s="65"/>
      <c r="E681" s="65"/>
      <c r="F681" s="69" t="s">
        <v>14559</v>
      </c>
      <c r="G681" s="70"/>
      <c r="H681" s="65">
        <v>5500006367</v>
      </c>
      <c r="I681" s="75">
        <v>1362</v>
      </c>
      <c r="J681" s="75">
        <v>1362</v>
      </c>
      <c r="K681" s="75"/>
      <c r="L681" s="74"/>
      <c r="M681" s="75"/>
      <c r="N681" s="75">
        <f>Tabla1[[#This Row],[IMPORTE APROBADO]]-Tabla1[[#This Row],[AMORTIZACION2]]</f>
        <v>0</v>
      </c>
      <c r="O681" s="65" t="str">
        <f>TEXT(Tabla1[[#This Row],[EMISION]],"mmm")</f>
        <v>Oct</v>
      </c>
      <c r="P681" s="65" t="str">
        <f>TEXT(Tabla1[[#This Row],[EMISION]],"YYYY")</f>
        <v>2023</v>
      </c>
      <c r="Q681" s="71">
        <v>45223</v>
      </c>
      <c r="R681" s="65" t="str">
        <f>TEXT(Tabla1[[#This Row],[VENCIMIENTO]],"mmm")</f>
        <v>Nov</v>
      </c>
      <c r="S681" s="71">
        <f t="shared" si="128"/>
        <v>45243</v>
      </c>
      <c r="T681" s="72">
        <f ca="1">Tabla1[[#This Row],[EMISION]]+Tabla1[[#This Row],[PLAZO]]-TODAY()</f>
        <v>-126</v>
      </c>
      <c r="U681" s="80">
        <f t="shared" ca="1" si="129"/>
        <v>0</v>
      </c>
      <c r="V681" s="72"/>
      <c r="W681" s="73" t="s">
        <v>14307</v>
      </c>
      <c r="X681" s="65">
        <v>20</v>
      </c>
      <c r="Y681" s="65"/>
      <c r="Z681" s="65"/>
      <c r="AA681" s="65"/>
      <c r="AB681" s="65"/>
      <c r="AC681" s="65"/>
      <c r="AD681" s="65"/>
      <c r="AE681" s="65"/>
      <c r="AF681" s="68"/>
      <c r="AG681" s="66">
        <v>45245</v>
      </c>
      <c r="AH681" s="67" t="s">
        <v>14308</v>
      </c>
      <c r="AI681" s="65" t="s">
        <v>3060</v>
      </c>
      <c r="AJ681" s="65"/>
      <c r="AK681" s="97">
        <f t="shared" ca="1" si="121"/>
        <v>126</v>
      </c>
      <c r="AL681">
        <f>IFERROR(VLOOKUP(A681,'DATA CLIENTES'!B4978:I8284,6,FALSE),0)</f>
        <v>0</v>
      </c>
    </row>
    <row r="682" spans="1:38" x14ac:dyDescent="0.25">
      <c r="A682" s="93" t="s">
        <v>9809</v>
      </c>
      <c r="B682" s="68" t="s">
        <v>9810</v>
      </c>
      <c r="C682" s="65"/>
      <c r="D682" s="65"/>
      <c r="E682" s="65"/>
      <c r="F682" s="69" t="s">
        <v>14559</v>
      </c>
      <c r="G682" s="70"/>
      <c r="H682" s="65">
        <v>5500006369</v>
      </c>
      <c r="I682" s="75">
        <v>406.19999999999993</v>
      </c>
      <c r="J682" s="75">
        <v>406.2</v>
      </c>
      <c r="K682" s="75"/>
      <c r="L682" s="74"/>
      <c r="M682" s="75"/>
      <c r="N682" s="75">
        <f>Tabla1[[#This Row],[IMPORTE APROBADO]]-Tabla1[[#This Row],[AMORTIZACION2]]</f>
        <v>0</v>
      </c>
      <c r="O682" s="65" t="str">
        <f>TEXT(Tabla1[[#This Row],[EMISION]],"mmm")</f>
        <v>Oct</v>
      </c>
      <c r="P682" s="65" t="str">
        <f>TEXT(Tabla1[[#This Row],[EMISION]],"YYYY")</f>
        <v>2023</v>
      </c>
      <c r="Q682" s="71">
        <v>45223</v>
      </c>
      <c r="R682" s="65" t="str">
        <f>TEXT(Tabla1[[#This Row],[VENCIMIENTO]],"mmm")</f>
        <v>Nov</v>
      </c>
      <c r="S682" s="71">
        <f t="shared" si="128"/>
        <v>45243</v>
      </c>
      <c r="T682" s="72">
        <f ca="1">Tabla1[[#This Row],[EMISION]]+Tabla1[[#This Row],[PLAZO]]-TODAY()</f>
        <v>-126</v>
      </c>
      <c r="U682" s="80">
        <f t="shared" ca="1" si="129"/>
        <v>0</v>
      </c>
      <c r="V682" s="72"/>
      <c r="W682" s="73" t="s">
        <v>14307</v>
      </c>
      <c r="X682" s="65">
        <v>20</v>
      </c>
      <c r="Y682" s="65"/>
      <c r="Z682" s="65"/>
      <c r="AA682" s="65"/>
      <c r="AB682" s="65"/>
      <c r="AC682" s="65"/>
      <c r="AD682" s="65"/>
      <c r="AE682" s="65"/>
      <c r="AF682" s="68"/>
      <c r="AG682" s="66">
        <v>45245</v>
      </c>
      <c r="AH682" s="67" t="s">
        <v>14308</v>
      </c>
      <c r="AI682" s="65" t="s">
        <v>3060</v>
      </c>
      <c r="AJ682" s="65"/>
      <c r="AK682" s="97">
        <f t="shared" ca="1" si="121"/>
        <v>126</v>
      </c>
      <c r="AL682">
        <f>IFERROR(VLOOKUP(A682,'DATA CLIENTES'!B4979:I8284,6,FALSE),0)</f>
        <v>0</v>
      </c>
    </row>
    <row r="683" spans="1:38" x14ac:dyDescent="0.25">
      <c r="A683" s="93" t="s">
        <v>7329</v>
      </c>
      <c r="B683" s="68" t="s">
        <v>7330</v>
      </c>
      <c r="C683" s="65"/>
      <c r="D683" s="65"/>
      <c r="E683" s="65"/>
      <c r="F683" s="69" t="s">
        <v>14676</v>
      </c>
      <c r="G683" s="70"/>
      <c r="H683" s="65">
        <v>5500006371</v>
      </c>
      <c r="I683" s="75">
        <v>305.98</v>
      </c>
      <c r="J683" s="75">
        <f>80+100+125.98</f>
        <v>305.98</v>
      </c>
      <c r="K683" s="75"/>
      <c r="L683" s="75"/>
      <c r="M683" s="75"/>
      <c r="N683" s="75">
        <f>Tabla1[[#This Row],[IMPORTE APROBADO]]-Tabla1[[#This Row],[AMORTIZACION2]]</f>
        <v>0</v>
      </c>
      <c r="O683" s="65" t="str">
        <f>TEXT(Tabla1[[#This Row],[EMISION]],"mmm")</f>
        <v>Oct</v>
      </c>
      <c r="P683" s="65" t="str">
        <f>TEXT(Tabla1[[#This Row],[EMISION]],"YYYY")</f>
        <v>2023</v>
      </c>
      <c r="Q683" s="71">
        <v>45224</v>
      </c>
      <c r="R683" s="65" t="str">
        <f>TEXT(Tabla1[[#This Row],[VENCIMIENTO]],"mmm")</f>
        <v>Nov</v>
      </c>
      <c r="S683" s="71">
        <f t="shared" ref="S683:S686" si="130">Q683+X683</f>
        <v>45239</v>
      </c>
      <c r="T683" s="72">
        <f ca="1">Tabla1[[#This Row],[EMISION]]+Tabla1[[#This Row],[PLAZO]]-TODAY()</f>
        <v>-130</v>
      </c>
      <c r="U683" s="80">
        <f t="shared" ref="U683:U686" ca="1" si="131">IF(T683&gt;=0,$U$4,IF(AND(T683&lt;=-1,T683&gt;=-30),$U$5,IF(AND(T683&lt;=-31,T683&gt;=-60),$U$6,IF(AND(T683&lt;=-61,T683&gt;=-90),$U$7,$U$8))))</f>
        <v>0</v>
      </c>
      <c r="V683" s="72"/>
      <c r="W683" s="73" t="s">
        <v>14307</v>
      </c>
      <c r="X683" s="65">
        <v>15</v>
      </c>
      <c r="Y683" s="65"/>
      <c r="Z683" s="65"/>
      <c r="AA683" s="65"/>
      <c r="AB683" s="65"/>
      <c r="AC683" s="65"/>
      <c r="AD683" s="65"/>
      <c r="AE683" s="65"/>
      <c r="AF683" s="68"/>
      <c r="AG683" s="66">
        <v>45280</v>
      </c>
      <c r="AH683" s="67" t="s">
        <v>14308</v>
      </c>
      <c r="AI683" s="65" t="s">
        <v>3060</v>
      </c>
      <c r="AJ683" s="65"/>
      <c r="AK683" s="97">
        <f t="shared" ca="1" si="121"/>
        <v>130</v>
      </c>
      <c r="AL683">
        <f>IFERROR(VLOOKUP(A683,'DATA CLIENTES'!B4980:I8284,6,FALSE),0)</f>
        <v>0</v>
      </c>
    </row>
    <row r="684" spans="1:38" x14ac:dyDescent="0.25">
      <c r="A684" s="93" t="s">
        <v>9887</v>
      </c>
      <c r="B684" s="68" t="s">
        <v>9888</v>
      </c>
      <c r="C684" s="65"/>
      <c r="D684" s="65"/>
      <c r="E684" s="65"/>
      <c r="F684" s="69" t="s">
        <v>14559</v>
      </c>
      <c r="G684" s="70"/>
      <c r="H684" s="65">
        <v>5500006374</v>
      </c>
      <c r="I684" s="75">
        <v>214.6</v>
      </c>
      <c r="J684" s="75">
        <f>154.6+60</f>
        <v>214.6</v>
      </c>
      <c r="K684" s="75"/>
      <c r="L684" s="75"/>
      <c r="M684" s="75"/>
      <c r="N684" s="75">
        <f>Tabla1[[#This Row],[IMPORTE APROBADO]]-Tabla1[[#This Row],[AMORTIZACION2]]</f>
        <v>0</v>
      </c>
      <c r="O684" s="65" t="str">
        <f>TEXT(Tabla1[[#This Row],[EMISION]],"mmm")</f>
        <v>Oct</v>
      </c>
      <c r="P684" s="65" t="str">
        <f>TEXT(Tabla1[[#This Row],[EMISION]],"YYYY")</f>
        <v>2023</v>
      </c>
      <c r="Q684" s="71">
        <v>45224</v>
      </c>
      <c r="R684" s="65" t="str">
        <f>TEXT(Tabla1[[#This Row],[VENCIMIENTO]],"mmm")</f>
        <v>Nov</v>
      </c>
      <c r="S684" s="71">
        <f t="shared" si="130"/>
        <v>45249</v>
      </c>
      <c r="T684" s="72">
        <f ca="1">Tabla1[[#This Row],[EMISION]]+Tabla1[[#This Row],[PLAZO]]-TODAY()</f>
        <v>-120</v>
      </c>
      <c r="U684" s="80">
        <f t="shared" ca="1" si="131"/>
        <v>0</v>
      </c>
      <c r="V684" s="72"/>
      <c r="W684" s="73" t="s">
        <v>14307</v>
      </c>
      <c r="X684" s="65">
        <v>25</v>
      </c>
      <c r="Y684" s="65"/>
      <c r="Z684" s="65"/>
      <c r="AA684" s="65"/>
      <c r="AB684" s="65"/>
      <c r="AC684" s="65"/>
      <c r="AD684" s="65"/>
      <c r="AE684" s="65"/>
      <c r="AF684" s="68"/>
      <c r="AG684" s="66">
        <v>45254</v>
      </c>
      <c r="AH684" s="67" t="s">
        <v>14308</v>
      </c>
      <c r="AI684" s="65" t="s">
        <v>3060</v>
      </c>
      <c r="AJ684" s="65"/>
      <c r="AK684" s="97">
        <f t="shared" ca="1" si="121"/>
        <v>120</v>
      </c>
      <c r="AL684">
        <f>IFERROR(VLOOKUP(A684,'DATA CLIENTES'!B4981:I8284,6,FALSE),0)</f>
        <v>0</v>
      </c>
    </row>
    <row r="685" spans="1:38" x14ac:dyDescent="0.25">
      <c r="A685" s="93" t="s">
        <v>7756</v>
      </c>
      <c r="B685" s="68" t="s">
        <v>7757</v>
      </c>
      <c r="C685" s="65"/>
      <c r="D685" s="65"/>
      <c r="E685" s="65"/>
      <c r="F685" s="69" t="s">
        <v>11799</v>
      </c>
      <c r="G685" s="70"/>
      <c r="H685" s="65">
        <v>5600006211</v>
      </c>
      <c r="I685" s="75">
        <v>3697.91</v>
      </c>
      <c r="J685" s="75">
        <v>3697.91</v>
      </c>
      <c r="K685" s="75"/>
      <c r="L685" s="75"/>
      <c r="M685" s="75"/>
      <c r="N685" s="75">
        <f>Tabla1[[#This Row],[IMPORTE APROBADO]]-Tabla1[[#This Row],[AMORTIZACION2]]</f>
        <v>0</v>
      </c>
      <c r="O685" s="65" t="str">
        <f>TEXT(Tabla1[[#This Row],[EMISION]],"mmm")</f>
        <v>Oct</v>
      </c>
      <c r="P685" s="65" t="str">
        <f>TEXT(Tabla1[[#This Row],[EMISION]],"YYYY")</f>
        <v>2023</v>
      </c>
      <c r="Q685" s="71">
        <v>45226</v>
      </c>
      <c r="R685" s="65" t="str">
        <f>TEXT(Tabla1[[#This Row],[VENCIMIENTO]],"mmm")</f>
        <v>Nov</v>
      </c>
      <c r="S685" s="71">
        <f t="shared" si="130"/>
        <v>45241</v>
      </c>
      <c r="T685" s="72">
        <f ca="1">Tabla1[[#This Row],[EMISION]]+Tabla1[[#This Row],[PLAZO]]-TODAY()</f>
        <v>-128</v>
      </c>
      <c r="U685" s="80">
        <f t="shared" ca="1" si="131"/>
        <v>0</v>
      </c>
      <c r="V685" s="72"/>
      <c r="W685" s="73" t="s">
        <v>14307</v>
      </c>
      <c r="X685" s="65">
        <v>15</v>
      </c>
      <c r="Y685" s="65"/>
      <c r="Z685" s="65"/>
      <c r="AA685" s="65"/>
      <c r="AB685" s="65"/>
      <c r="AC685" s="65"/>
      <c r="AD685" s="65"/>
      <c r="AE685" s="65"/>
      <c r="AF685" s="68"/>
      <c r="AG685" s="66">
        <v>45232</v>
      </c>
      <c r="AH685" s="67" t="s">
        <v>14308</v>
      </c>
      <c r="AI685" s="65" t="s">
        <v>3060</v>
      </c>
      <c r="AJ685" s="65"/>
      <c r="AK685" s="97">
        <f t="shared" ca="1" si="121"/>
        <v>128</v>
      </c>
      <c r="AL685">
        <f>IFERROR(VLOOKUP(A685,'DATA CLIENTES'!B4982:I8284,6,FALSE),0)</f>
        <v>0</v>
      </c>
    </row>
    <row r="686" spans="1:38" x14ac:dyDescent="0.25">
      <c r="A686" s="93" t="s">
        <v>7756</v>
      </c>
      <c r="B686" s="68" t="s">
        <v>7757</v>
      </c>
      <c r="C686" s="65"/>
      <c r="D686" s="65"/>
      <c r="E686" s="65"/>
      <c r="F686" s="69" t="s">
        <v>11799</v>
      </c>
      <c r="G686" s="70"/>
      <c r="H686" s="65">
        <v>5600006213</v>
      </c>
      <c r="I686" s="75">
        <v>2912.04</v>
      </c>
      <c r="J686" s="75">
        <v>2912.04</v>
      </c>
      <c r="K686" s="75"/>
      <c r="L686" s="75"/>
      <c r="M686" s="75"/>
      <c r="N686" s="75">
        <f>Tabla1[[#This Row],[IMPORTE APROBADO]]-Tabla1[[#This Row],[AMORTIZACION2]]</f>
        <v>0</v>
      </c>
      <c r="O686" s="65" t="str">
        <f>TEXT(Tabla1[[#This Row],[EMISION]],"mmm")</f>
        <v>Oct</v>
      </c>
      <c r="P686" s="65" t="str">
        <f>TEXT(Tabla1[[#This Row],[EMISION]],"YYYY")</f>
        <v>2023</v>
      </c>
      <c r="Q686" s="71">
        <v>45226</v>
      </c>
      <c r="R686" s="65" t="str">
        <f>TEXT(Tabla1[[#This Row],[VENCIMIENTO]],"mmm")</f>
        <v>Nov</v>
      </c>
      <c r="S686" s="71">
        <f t="shared" si="130"/>
        <v>45241</v>
      </c>
      <c r="T686" s="72">
        <f ca="1">Tabla1[[#This Row],[EMISION]]+Tabla1[[#This Row],[PLAZO]]-TODAY()</f>
        <v>-128</v>
      </c>
      <c r="U686" s="80">
        <f t="shared" ca="1" si="131"/>
        <v>0</v>
      </c>
      <c r="V686" s="72"/>
      <c r="W686" s="73" t="s">
        <v>14307</v>
      </c>
      <c r="X686" s="65">
        <v>15</v>
      </c>
      <c r="Y686" s="65"/>
      <c r="Z686" s="65"/>
      <c r="AA686" s="65"/>
      <c r="AB686" s="65"/>
      <c r="AC686" s="65"/>
      <c r="AD686" s="65"/>
      <c r="AE686" s="65"/>
      <c r="AF686" s="68"/>
      <c r="AG686" s="66">
        <v>45232</v>
      </c>
      <c r="AH686" s="67" t="s">
        <v>14308</v>
      </c>
      <c r="AI686" s="65" t="s">
        <v>3060</v>
      </c>
      <c r="AJ686" s="65"/>
      <c r="AK686" s="97">
        <f t="shared" ca="1" si="121"/>
        <v>128</v>
      </c>
      <c r="AL686">
        <f>IFERROR(VLOOKUP(A686,'DATA CLIENTES'!B4983:I8284,6,FALSE),0)</f>
        <v>0</v>
      </c>
    </row>
    <row r="687" spans="1:38" x14ac:dyDescent="0.25">
      <c r="A687" s="93" t="s">
        <v>8544</v>
      </c>
      <c r="B687" s="68" t="s">
        <v>8545</v>
      </c>
      <c r="C687" s="65"/>
      <c r="D687" s="65"/>
      <c r="E687" s="65"/>
      <c r="F687" s="69" t="s">
        <v>14559</v>
      </c>
      <c r="G687" s="70"/>
      <c r="H687" s="65">
        <v>5500006404</v>
      </c>
      <c r="I687" s="75">
        <v>890</v>
      </c>
      <c r="J687" s="75">
        <v>890</v>
      </c>
      <c r="K687" s="75"/>
      <c r="L687" s="74"/>
      <c r="M687" s="75"/>
      <c r="N687" s="75">
        <f>Tabla1[[#This Row],[IMPORTE APROBADO]]-Tabla1[[#This Row],[AMORTIZACION2]]</f>
        <v>0</v>
      </c>
      <c r="O687" s="65" t="str">
        <f>TEXT(Tabla1[[#This Row],[EMISION]],"mmm")</f>
        <v>Oct</v>
      </c>
      <c r="P687" s="65" t="str">
        <f>TEXT(Tabla1[[#This Row],[EMISION]],"YYYY")</f>
        <v>2023</v>
      </c>
      <c r="Q687" s="71">
        <v>45230</v>
      </c>
      <c r="R687" s="65" t="str">
        <f>TEXT(Tabla1[[#This Row],[VENCIMIENTO]],"mmm")</f>
        <v>Nov</v>
      </c>
      <c r="S687" s="71">
        <f t="shared" ref="S687:S692" si="132">Q687+X687</f>
        <v>45250</v>
      </c>
      <c r="T687" s="72">
        <f ca="1">Tabla1[[#This Row],[EMISION]]+Tabla1[[#This Row],[PLAZO]]-TODAY()</f>
        <v>-119</v>
      </c>
      <c r="U687" s="80">
        <f t="shared" ref="U687:U692" ca="1" si="133">IF(T687&gt;=0,$U$4,IF(AND(T687&lt;=-1,T687&gt;=-30),$U$5,IF(AND(T687&lt;=-31,T687&gt;=-60),$U$6,IF(AND(T687&lt;=-61,T687&gt;=-90),$U$7,$U$8))))</f>
        <v>0</v>
      </c>
      <c r="V687" s="72"/>
      <c r="W687" s="73" t="s">
        <v>14307</v>
      </c>
      <c r="X687" s="65">
        <v>20</v>
      </c>
      <c r="Y687" s="65"/>
      <c r="Z687" s="65"/>
      <c r="AA687" s="65"/>
      <c r="AB687" s="65"/>
      <c r="AC687" s="65"/>
      <c r="AD687" s="65"/>
      <c r="AE687" s="65"/>
      <c r="AF687" s="68"/>
      <c r="AG687" s="66">
        <v>45254</v>
      </c>
      <c r="AH687" s="67" t="s">
        <v>14308</v>
      </c>
      <c r="AI687" s="65" t="s">
        <v>3060</v>
      </c>
      <c r="AJ687" s="65"/>
      <c r="AK687" s="97">
        <f t="shared" ca="1" si="121"/>
        <v>119</v>
      </c>
      <c r="AL687">
        <f>IFERROR(VLOOKUP(A687,'DATA CLIENTES'!B4984:I8284,6,FALSE),0)</f>
        <v>0</v>
      </c>
    </row>
    <row r="688" spans="1:38" x14ac:dyDescent="0.25">
      <c r="A688" s="93" t="s">
        <v>7209</v>
      </c>
      <c r="B688" s="68" t="s">
        <v>14818</v>
      </c>
      <c r="C688" s="65"/>
      <c r="D688" s="65"/>
      <c r="E688" s="65"/>
      <c r="F688" s="69" t="s">
        <v>14804</v>
      </c>
      <c r="G688" s="70"/>
      <c r="H688" s="65">
        <v>5600006219</v>
      </c>
      <c r="I688" s="75">
        <v>8250</v>
      </c>
      <c r="J688" s="75">
        <v>8250</v>
      </c>
      <c r="K688" s="75"/>
      <c r="L688" s="74"/>
      <c r="M688" s="75"/>
      <c r="N688" s="75">
        <f>Tabla1[[#This Row],[IMPORTE APROBADO]]-Tabla1[[#This Row],[AMORTIZACION2]]</f>
        <v>0</v>
      </c>
      <c r="O688" s="65" t="str">
        <f>TEXT(Tabla1[[#This Row],[EMISION]],"mmm")</f>
        <v>Oct</v>
      </c>
      <c r="P688" s="65" t="str">
        <f>TEXT(Tabla1[[#This Row],[EMISION]],"YYYY")</f>
        <v>2023</v>
      </c>
      <c r="Q688" s="71">
        <v>45230</v>
      </c>
      <c r="R688" s="65" t="str">
        <f>TEXT(Tabla1[[#This Row],[VENCIMIENTO]],"mmm")</f>
        <v>Nov</v>
      </c>
      <c r="S688" s="71">
        <f t="shared" si="132"/>
        <v>45260</v>
      </c>
      <c r="T688" s="72">
        <f ca="1">Tabla1[[#This Row],[EMISION]]+Tabla1[[#This Row],[PLAZO]]-TODAY()</f>
        <v>-109</v>
      </c>
      <c r="U688" s="80">
        <f t="shared" ca="1" si="133"/>
        <v>0</v>
      </c>
      <c r="V688" s="72"/>
      <c r="W688" s="73" t="s">
        <v>14307</v>
      </c>
      <c r="X688" s="65">
        <v>30</v>
      </c>
      <c r="Y688" s="65"/>
      <c r="Z688" s="65"/>
      <c r="AA688" s="65"/>
      <c r="AB688" s="65"/>
      <c r="AC688" s="65"/>
      <c r="AD688" s="65"/>
      <c r="AE688" s="65"/>
      <c r="AF688" s="68"/>
      <c r="AG688" s="66">
        <v>45238</v>
      </c>
      <c r="AH688" s="67" t="s">
        <v>14308</v>
      </c>
      <c r="AI688" s="65" t="s">
        <v>3060</v>
      </c>
      <c r="AJ688" s="65"/>
      <c r="AK688" s="97">
        <f t="shared" ca="1" si="121"/>
        <v>109</v>
      </c>
      <c r="AL688">
        <f>IFERROR(VLOOKUP(A688,'DATA CLIENTES'!B4985:I8284,6,FALSE),0)</f>
        <v>0</v>
      </c>
    </row>
    <row r="689" spans="1:38" x14ac:dyDescent="0.25">
      <c r="A689" s="93" t="s">
        <v>6116</v>
      </c>
      <c r="B689" s="68" t="s">
        <v>6117</v>
      </c>
      <c r="C689" s="65"/>
      <c r="D689" s="65"/>
      <c r="E689" s="65"/>
      <c r="F689" s="69" t="s">
        <v>14804</v>
      </c>
      <c r="G689" s="70"/>
      <c r="H689" s="65">
        <v>5600006218</v>
      </c>
      <c r="I689" s="75">
        <v>23190</v>
      </c>
      <c r="J689" s="75">
        <v>23190</v>
      </c>
      <c r="K689" s="75"/>
      <c r="L689" s="74"/>
      <c r="M689" s="75"/>
      <c r="N689" s="75">
        <f>Tabla1[[#This Row],[IMPORTE APROBADO]]-Tabla1[[#This Row],[AMORTIZACION2]]</f>
        <v>0</v>
      </c>
      <c r="O689" s="65" t="str">
        <f>TEXT(Tabla1[[#This Row],[EMISION]],"mmm")</f>
        <v>Oct</v>
      </c>
      <c r="P689" s="65" t="str">
        <f>TEXT(Tabla1[[#This Row],[EMISION]],"YYYY")</f>
        <v>2023</v>
      </c>
      <c r="Q689" s="71">
        <v>45230</v>
      </c>
      <c r="R689" s="65" t="str">
        <f>TEXT(Tabla1[[#This Row],[VENCIMIENTO]],"mmm")</f>
        <v>Nov</v>
      </c>
      <c r="S689" s="71">
        <f t="shared" si="132"/>
        <v>45260</v>
      </c>
      <c r="T689" s="72">
        <f ca="1">Tabla1[[#This Row],[EMISION]]+Tabla1[[#This Row],[PLAZO]]-TODAY()</f>
        <v>-109</v>
      </c>
      <c r="U689" s="80">
        <f t="shared" ca="1" si="133"/>
        <v>0</v>
      </c>
      <c r="V689" s="72"/>
      <c r="W689" s="73" t="s">
        <v>14307</v>
      </c>
      <c r="X689" s="65">
        <v>30</v>
      </c>
      <c r="Y689" s="65"/>
      <c r="Z689" s="65"/>
      <c r="AA689" s="65"/>
      <c r="AB689" s="65"/>
      <c r="AC689" s="65"/>
      <c r="AD689" s="65"/>
      <c r="AE689" s="65"/>
      <c r="AF689" s="68"/>
      <c r="AG689" s="66">
        <v>45281</v>
      </c>
      <c r="AH689" s="67" t="s">
        <v>14308</v>
      </c>
      <c r="AI689" s="65" t="s">
        <v>3060</v>
      </c>
      <c r="AJ689" s="65"/>
      <c r="AK689" s="97">
        <f t="shared" ca="1" si="121"/>
        <v>109</v>
      </c>
      <c r="AL689">
        <f>IFERROR(VLOOKUP(A689,'DATA CLIENTES'!B4986:I8284,6,FALSE),0)</f>
        <v>0</v>
      </c>
    </row>
    <row r="690" spans="1:38" x14ac:dyDescent="0.25">
      <c r="A690" s="93" t="s">
        <v>7188</v>
      </c>
      <c r="B690" s="68" t="s">
        <v>7189</v>
      </c>
      <c r="C690" s="65"/>
      <c r="D690" s="65"/>
      <c r="E690" s="65"/>
      <c r="F690" s="69" t="s">
        <v>14804</v>
      </c>
      <c r="G690" s="70"/>
      <c r="H690" s="65">
        <v>5500006399</v>
      </c>
      <c r="I690" s="75">
        <v>1166.51</v>
      </c>
      <c r="J690" s="75">
        <f>140+500+526.5</f>
        <v>1166.5</v>
      </c>
      <c r="K690" s="75"/>
      <c r="L690" s="74"/>
      <c r="M690" s="75"/>
      <c r="N690" s="75">
        <f>Tabla1[[#This Row],[IMPORTE APROBADO]]-Tabla1[[#This Row],[AMORTIZACION2]]</f>
        <v>9.9999999999909051E-3</v>
      </c>
      <c r="O690" s="65" t="str">
        <f>TEXT(Tabla1[[#This Row],[EMISION]],"mmm")</f>
        <v>Oct</v>
      </c>
      <c r="P690" s="65" t="str">
        <f>TEXT(Tabla1[[#This Row],[EMISION]],"YYYY")</f>
        <v>2023</v>
      </c>
      <c r="Q690" s="71">
        <v>45230</v>
      </c>
      <c r="R690" s="65" t="str">
        <f>TEXT(Tabla1[[#This Row],[VENCIMIENTO]],"mmm")</f>
        <v>Nov</v>
      </c>
      <c r="S690" s="71">
        <f t="shared" si="132"/>
        <v>45250</v>
      </c>
      <c r="T690" s="72">
        <f ca="1">Tabla1[[#This Row],[EMISION]]+Tabla1[[#This Row],[PLAZO]]-TODAY()</f>
        <v>-119</v>
      </c>
      <c r="U690" s="80">
        <f t="shared" ca="1" si="133"/>
        <v>0</v>
      </c>
      <c r="V690" s="72"/>
      <c r="W690" s="73" t="s">
        <v>14307</v>
      </c>
      <c r="X690" s="65">
        <v>20</v>
      </c>
      <c r="Y690" s="65"/>
      <c r="Z690" s="65"/>
      <c r="AA690" s="65"/>
      <c r="AB690" s="65"/>
      <c r="AC690" s="65"/>
      <c r="AD690" s="65"/>
      <c r="AE690" s="65"/>
      <c r="AF690" s="68"/>
      <c r="AG690" s="66">
        <v>45275</v>
      </c>
      <c r="AH690" s="67" t="s">
        <v>14308</v>
      </c>
      <c r="AI690" s="65" t="s">
        <v>3060</v>
      </c>
      <c r="AJ690" s="65"/>
      <c r="AK690" s="97">
        <f t="shared" ca="1" si="121"/>
        <v>119</v>
      </c>
      <c r="AL690">
        <f>IFERROR(VLOOKUP(A690,'DATA CLIENTES'!B4987:I8284,6,FALSE),0)</f>
        <v>0</v>
      </c>
    </row>
    <row r="691" spans="1:38" x14ac:dyDescent="0.25">
      <c r="A691" s="93" t="s">
        <v>10005</v>
      </c>
      <c r="B691" s="68" t="s">
        <v>10006</v>
      </c>
      <c r="C691" s="65"/>
      <c r="D691" s="65"/>
      <c r="E691" s="65"/>
      <c r="F691" s="69" t="s">
        <v>14804</v>
      </c>
      <c r="G691" s="70"/>
      <c r="H691" s="65">
        <v>5600006221</v>
      </c>
      <c r="I691" s="75">
        <v>2280</v>
      </c>
      <c r="J691" s="75">
        <f>280+400+1600</f>
        <v>2280</v>
      </c>
      <c r="K691" s="75"/>
      <c r="L691" s="75"/>
      <c r="M691" s="75"/>
      <c r="N691" s="75">
        <f>Tabla1[[#This Row],[IMPORTE APROBADO]]-Tabla1[[#This Row],[AMORTIZACION2]]</f>
        <v>0</v>
      </c>
      <c r="O691" s="65" t="str">
        <f>TEXT(Tabla1[[#This Row],[EMISION]],"mmm")</f>
        <v>Oct</v>
      </c>
      <c r="P691" s="65" t="str">
        <f>TEXT(Tabla1[[#This Row],[EMISION]],"YYYY")</f>
        <v>2023</v>
      </c>
      <c r="Q691" s="71">
        <v>45230</v>
      </c>
      <c r="R691" s="65" t="str">
        <f>TEXT(Tabla1[[#This Row],[VENCIMIENTO]],"mmm")</f>
        <v>Nov</v>
      </c>
      <c r="S691" s="71">
        <f t="shared" si="132"/>
        <v>45255</v>
      </c>
      <c r="T691" s="72">
        <f ca="1">Tabla1[[#This Row],[EMISION]]+Tabla1[[#This Row],[PLAZO]]-TODAY()</f>
        <v>-114</v>
      </c>
      <c r="U691" s="80">
        <f t="shared" ca="1" si="133"/>
        <v>0</v>
      </c>
      <c r="V691" s="72"/>
      <c r="W691" s="73" t="s">
        <v>14307</v>
      </c>
      <c r="X691" s="65">
        <v>25</v>
      </c>
      <c r="Y691" s="65"/>
      <c r="Z691" s="65"/>
      <c r="AA691" s="65"/>
      <c r="AB691" s="65"/>
      <c r="AC691" s="65"/>
      <c r="AD691" s="65"/>
      <c r="AE691" s="65"/>
      <c r="AF691" s="68"/>
      <c r="AG691" s="66">
        <v>45267</v>
      </c>
      <c r="AH691" s="67" t="s">
        <v>14308</v>
      </c>
      <c r="AI691" s="65" t="s">
        <v>3060</v>
      </c>
      <c r="AJ691" s="65"/>
      <c r="AK691" s="97">
        <f t="shared" ca="1" si="121"/>
        <v>114</v>
      </c>
      <c r="AL691">
        <f>IFERROR(VLOOKUP(A691,'DATA CLIENTES'!B4988:I8284,6,FALSE),0)</f>
        <v>0</v>
      </c>
    </row>
    <row r="692" spans="1:38" x14ac:dyDescent="0.25">
      <c r="A692" s="93" t="s">
        <v>9824</v>
      </c>
      <c r="B692" s="68" t="s">
        <v>9825</v>
      </c>
      <c r="C692" s="65"/>
      <c r="D692" s="65"/>
      <c r="E692" s="65"/>
      <c r="F692" s="69" t="s">
        <v>14804</v>
      </c>
      <c r="G692" s="70"/>
      <c r="H692" s="65">
        <v>5600006220</v>
      </c>
      <c r="I692" s="75">
        <v>8370</v>
      </c>
      <c r="J692" s="75">
        <f>1000+1000+260+1400+1600+500+1500+1110</f>
        <v>8370</v>
      </c>
      <c r="K692" s="75"/>
      <c r="L692" s="75"/>
      <c r="M692" s="75"/>
      <c r="N692" s="75">
        <f>Tabla1[[#This Row],[IMPORTE APROBADO]]-Tabla1[[#This Row],[AMORTIZACION2]]</f>
        <v>0</v>
      </c>
      <c r="O692" s="65" t="str">
        <f>TEXT(Tabla1[[#This Row],[EMISION]],"mmm")</f>
        <v>Oct</v>
      </c>
      <c r="P692" s="65" t="str">
        <f>TEXT(Tabla1[[#This Row],[EMISION]],"YYYY")</f>
        <v>2023</v>
      </c>
      <c r="Q692" s="71">
        <v>45230</v>
      </c>
      <c r="R692" s="65" t="str">
        <f>TEXT(Tabla1[[#This Row],[VENCIMIENTO]],"mmm")</f>
        <v>Nov</v>
      </c>
      <c r="S692" s="71">
        <f t="shared" si="132"/>
        <v>45237</v>
      </c>
      <c r="T692" s="72">
        <f ca="1">Tabla1[[#This Row],[EMISION]]+Tabla1[[#This Row],[PLAZO]]-TODAY()</f>
        <v>-132</v>
      </c>
      <c r="U692" s="80">
        <f t="shared" ca="1" si="133"/>
        <v>0</v>
      </c>
      <c r="V692" s="72"/>
      <c r="W692" s="73" t="s">
        <v>14307</v>
      </c>
      <c r="X692" s="65">
        <v>7</v>
      </c>
      <c r="Y692" s="65"/>
      <c r="Z692" s="65"/>
      <c r="AA692" s="65"/>
      <c r="AB692" s="65"/>
      <c r="AC692" s="65"/>
      <c r="AD692" s="65"/>
      <c r="AE692" s="65"/>
      <c r="AF692" s="68"/>
      <c r="AG692" s="66">
        <v>45265</v>
      </c>
      <c r="AH692" s="67" t="s">
        <v>14308</v>
      </c>
      <c r="AI692" s="65" t="s">
        <v>3060</v>
      </c>
      <c r="AJ692" s="65"/>
      <c r="AK692" s="97">
        <f t="shared" ca="1" si="121"/>
        <v>132</v>
      </c>
      <c r="AL692">
        <f>IFERROR(VLOOKUP(A692,'DATA CLIENTES'!B4989:I8284,6,FALSE),0)</f>
        <v>0</v>
      </c>
    </row>
    <row r="693" spans="1:38" x14ac:dyDescent="0.25">
      <c r="A693" s="93" t="s">
        <v>6999</v>
      </c>
      <c r="B693" s="68" t="s">
        <v>7000</v>
      </c>
      <c r="C693" s="65"/>
      <c r="D693" s="65"/>
      <c r="E693" s="65"/>
      <c r="F693" s="69" t="s">
        <v>14817</v>
      </c>
      <c r="G693" s="70"/>
      <c r="H693" s="65">
        <v>5600006233</v>
      </c>
      <c r="I693" s="75">
        <v>1227.06</v>
      </c>
      <c r="J693" s="75"/>
      <c r="K693" s="75"/>
      <c r="L693" s="74"/>
      <c r="M693" s="75"/>
      <c r="N693" s="75">
        <f>Tabla1[[#This Row],[IMPORTE APROBADO]]-Tabla1[[#This Row],[AMORTIZACION2]]</f>
        <v>1227.06</v>
      </c>
      <c r="O693" s="65" t="str">
        <f>TEXT(Tabla1[[#This Row],[EMISION]],"mmm")</f>
        <v>Nov</v>
      </c>
      <c r="P693" s="65" t="str">
        <f>TEXT(Tabla1[[#This Row],[EMISION]],"YYYY")</f>
        <v>2023</v>
      </c>
      <c r="Q693" s="71">
        <v>45234</v>
      </c>
      <c r="R693" s="65" t="str">
        <f>TEXT(Tabla1[[#This Row],[VENCIMIENTO]],"mmm")</f>
        <v>Dic</v>
      </c>
      <c r="S693" s="71">
        <f t="shared" ref="S693:S696" si="134">Q693+X693</f>
        <v>45280</v>
      </c>
      <c r="T693" s="72">
        <f ca="1">Tabla1[[#This Row],[EMISION]]+Tabla1[[#This Row],[PLAZO]]-TODAY()</f>
        <v>-89</v>
      </c>
      <c r="U693" s="80">
        <f t="shared" ref="U693:U696" ca="1" si="135">IF(T693&gt;=0,$U$4,IF(AND(T693&lt;=-1,T693&gt;=-30),$U$5,IF(AND(T693&lt;=-31,T693&gt;=-60),$U$6,IF(AND(T693&lt;=-61,T693&gt;=-90),$U$7,$U$8))))</f>
        <v>0</v>
      </c>
      <c r="V693" s="72"/>
      <c r="W693" s="73" t="s">
        <v>14307</v>
      </c>
      <c r="X693" s="65">
        <v>46</v>
      </c>
      <c r="Y693" s="65"/>
      <c r="Z693" s="65"/>
      <c r="AA693" s="65"/>
      <c r="AB693" s="65"/>
      <c r="AC693" s="65"/>
      <c r="AD693" s="65"/>
      <c r="AE693" s="65"/>
      <c r="AF693" s="68"/>
      <c r="AG693" s="66"/>
      <c r="AH693" s="67" t="s">
        <v>14313</v>
      </c>
      <c r="AI693" s="65" t="s">
        <v>3060</v>
      </c>
      <c r="AJ693" s="65"/>
      <c r="AK693" s="97">
        <f t="shared" ca="1" si="121"/>
        <v>89</v>
      </c>
      <c r="AL693">
        <f>IFERROR(VLOOKUP(A693,'DATA CLIENTES'!B4990:I8284,6,FALSE),0)</f>
        <v>0</v>
      </c>
    </row>
    <row r="694" spans="1:38" x14ac:dyDescent="0.25">
      <c r="A694" s="93" t="s">
        <v>14833</v>
      </c>
      <c r="B694" s="68" t="s">
        <v>4621</v>
      </c>
      <c r="C694" s="65"/>
      <c r="D694" s="65"/>
      <c r="E694" s="65"/>
      <c r="F694" s="69" t="s">
        <v>14817</v>
      </c>
      <c r="G694" s="70"/>
      <c r="H694" s="65">
        <v>5500000392</v>
      </c>
      <c r="I694" s="75">
        <v>87.700000000000017</v>
      </c>
      <c r="J694" s="75"/>
      <c r="K694" s="75"/>
      <c r="L694" s="75"/>
      <c r="M694" s="75"/>
      <c r="N694" s="75">
        <f>Tabla1[[#This Row],[IMPORTE APROBADO]]-Tabla1[[#This Row],[AMORTIZACION2]]</f>
        <v>87.700000000000017</v>
      </c>
      <c r="O694" s="65" t="str">
        <f>TEXT(Tabla1[[#This Row],[EMISION]],"mmm")</f>
        <v>Nov</v>
      </c>
      <c r="P694" s="65" t="str">
        <f>TEXT(Tabla1[[#This Row],[EMISION]],"YYYY")</f>
        <v>2023</v>
      </c>
      <c r="Q694" s="71">
        <v>45237</v>
      </c>
      <c r="R694" s="65" t="str">
        <f>TEXT(Tabla1[[#This Row],[VENCIMIENTO]],"mmm")</f>
        <v>Ene</v>
      </c>
      <c r="S694" s="71">
        <f t="shared" si="134"/>
        <v>45297</v>
      </c>
      <c r="T694" s="72">
        <f ca="1">Tabla1[[#This Row],[EMISION]]+Tabla1[[#This Row],[PLAZO]]-TODAY()</f>
        <v>-72</v>
      </c>
      <c r="U694" s="80">
        <f t="shared" ca="1" si="135"/>
        <v>0</v>
      </c>
      <c r="V694" s="72" t="s">
        <v>14477</v>
      </c>
      <c r="W694" s="73" t="s">
        <v>14307</v>
      </c>
      <c r="X694" s="65">
        <v>60</v>
      </c>
      <c r="Y694" s="65"/>
      <c r="Z694" s="65"/>
      <c r="AA694" s="65"/>
      <c r="AB694" s="65"/>
      <c r="AC694" s="65"/>
      <c r="AD694" s="65"/>
      <c r="AE694" s="65"/>
      <c r="AF694" s="68"/>
      <c r="AG694" s="66"/>
      <c r="AH694" s="67" t="s">
        <v>14313</v>
      </c>
      <c r="AI694" s="65" t="s">
        <v>3060</v>
      </c>
      <c r="AJ694" s="65"/>
      <c r="AK694" s="97">
        <f t="shared" ca="1" si="121"/>
        <v>72</v>
      </c>
      <c r="AL694">
        <f>IFERROR(VLOOKUP(A694,'DATA CLIENTES'!B4991:I8284,6,FALSE),0)</f>
        <v>0</v>
      </c>
    </row>
    <row r="695" spans="1:38" x14ac:dyDescent="0.25">
      <c r="A695" s="93" t="s">
        <v>14833</v>
      </c>
      <c r="B695" s="68" t="s">
        <v>4621</v>
      </c>
      <c r="C695" s="65"/>
      <c r="D695" s="65"/>
      <c r="E695" s="65"/>
      <c r="F695" s="69" t="s">
        <v>14817</v>
      </c>
      <c r="G695" s="70"/>
      <c r="H695" s="65">
        <v>5600002702</v>
      </c>
      <c r="I695" s="75">
        <v>139.72</v>
      </c>
      <c r="J695" s="75"/>
      <c r="K695" s="75"/>
      <c r="L695" s="75"/>
      <c r="M695" s="75"/>
      <c r="N695" s="75">
        <f>Tabla1[[#This Row],[IMPORTE APROBADO]]-Tabla1[[#This Row],[AMORTIZACION2]]</f>
        <v>139.72</v>
      </c>
      <c r="O695" s="65" t="str">
        <f>TEXT(Tabla1[[#This Row],[EMISION]],"mmm")</f>
        <v>Nov</v>
      </c>
      <c r="P695" s="65" t="str">
        <f>TEXT(Tabla1[[#This Row],[EMISION]],"YYYY")</f>
        <v>2023</v>
      </c>
      <c r="Q695" s="71">
        <v>45237</v>
      </c>
      <c r="R695" s="65" t="str">
        <f>TEXT(Tabla1[[#This Row],[VENCIMIENTO]],"mmm")</f>
        <v>Ene</v>
      </c>
      <c r="S695" s="71">
        <f t="shared" si="134"/>
        <v>45297</v>
      </c>
      <c r="T695" s="72">
        <f ca="1">Tabla1[[#This Row],[EMISION]]+Tabla1[[#This Row],[PLAZO]]-TODAY()</f>
        <v>-72</v>
      </c>
      <c r="U695" s="80">
        <f t="shared" ca="1" si="135"/>
        <v>0</v>
      </c>
      <c r="V695" s="72" t="s">
        <v>14477</v>
      </c>
      <c r="W695" s="73" t="s">
        <v>14307</v>
      </c>
      <c r="X695" s="65">
        <v>60</v>
      </c>
      <c r="Y695" s="65"/>
      <c r="Z695" s="65"/>
      <c r="AA695" s="65"/>
      <c r="AB695" s="65"/>
      <c r="AC695" s="65"/>
      <c r="AD695" s="65"/>
      <c r="AE695" s="65"/>
      <c r="AF695" s="68"/>
      <c r="AG695" s="66"/>
      <c r="AH695" s="67" t="s">
        <v>14313</v>
      </c>
      <c r="AI695" s="65" t="s">
        <v>3060</v>
      </c>
      <c r="AJ695" s="65"/>
      <c r="AK695" s="97">
        <f t="shared" ca="1" si="121"/>
        <v>72</v>
      </c>
      <c r="AL695">
        <f>IFERROR(VLOOKUP(A695,'DATA CLIENTES'!B4992:I8284,6,FALSE),0)</f>
        <v>0</v>
      </c>
    </row>
    <row r="696" spans="1:38" x14ac:dyDescent="0.25">
      <c r="A696" s="93" t="s">
        <v>7452</v>
      </c>
      <c r="B696" s="68" t="s">
        <v>7453</v>
      </c>
      <c r="C696" s="65"/>
      <c r="D696" s="65"/>
      <c r="E696" s="65"/>
      <c r="F696" s="69" t="s">
        <v>14817</v>
      </c>
      <c r="G696" s="70"/>
      <c r="H696" s="65">
        <v>5600006238</v>
      </c>
      <c r="I696" s="75">
        <v>1896.4</v>
      </c>
      <c r="J696" s="75"/>
      <c r="K696" s="75"/>
      <c r="L696" s="75"/>
      <c r="M696" s="75"/>
      <c r="N696" s="75">
        <f>Tabla1[[#This Row],[IMPORTE APROBADO]]-Tabla1[[#This Row],[AMORTIZACION2]]</f>
        <v>1896.4</v>
      </c>
      <c r="O696" s="65" t="str">
        <f>TEXT(Tabla1[[#This Row],[EMISION]],"mmm")</f>
        <v>Nov</v>
      </c>
      <c r="P696" s="65" t="str">
        <f>TEXT(Tabla1[[#This Row],[EMISION]],"YYYY")</f>
        <v>2023</v>
      </c>
      <c r="Q696" s="71">
        <v>45237</v>
      </c>
      <c r="R696" s="65" t="str">
        <f>TEXT(Tabla1[[#This Row],[VENCIMIENTO]],"mmm")</f>
        <v>Ene</v>
      </c>
      <c r="S696" s="71">
        <f t="shared" si="134"/>
        <v>45297</v>
      </c>
      <c r="T696" s="72">
        <f ca="1">Tabla1[[#This Row],[EMISION]]+Tabla1[[#This Row],[PLAZO]]-TODAY()</f>
        <v>-72</v>
      </c>
      <c r="U696" s="80">
        <f t="shared" ca="1" si="135"/>
        <v>0</v>
      </c>
      <c r="V696" s="72" t="s">
        <v>14477</v>
      </c>
      <c r="W696" s="73" t="s">
        <v>14307</v>
      </c>
      <c r="X696" s="65">
        <v>60</v>
      </c>
      <c r="Y696" s="65"/>
      <c r="Z696" s="65"/>
      <c r="AA696" s="65"/>
      <c r="AB696" s="65"/>
      <c r="AC696" s="65"/>
      <c r="AD696" s="65"/>
      <c r="AE696" s="65"/>
      <c r="AF696" s="68"/>
      <c r="AG696" s="66"/>
      <c r="AH696" s="67" t="s">
        <v>14313</v>
      </c>
      <c r="AI696" s="65" t="s">
        <v>3060</v>
      </c>
      <c r="AJ696" s="65"/>
      <c r="AK696" s="97">
        <f t="shared" ca="1" si="121"/>
        <v>72</v>
      </c>
      <c r="AL696">
        <f>IFERROR(VLOOKUP(A696,'DATA CLIENTES'!B4993:I8284,6,FALSE),0)</f>
        <v>0</v>
      </c>
    </row>
    <row r="697" spans="1:38" x14ac:dyDescent="0.25">
      <c r="A697" s="93" t="s">
        <v>6694</v>
      </c>
      <c r="B697" s="68" t="s">
        <v>6695</v>
      </c>
      <c r="C697" s="65"/>
      <c r="D697" s="65"/>
      <c r="E697" s="65"/>
      <c r="F697" s="69" t="s">
        <v>14804</v>
      </c>
      <c r="G697" s="70"/>
      <c r="H697" s="65">
        <v>5500006448</v>
      </c>
      <c r="I697" s="75">
        <v>1541.1599999999999</v>
      </c>
      <c r="J697" s="75">
        <f>300+300+300+200+441.16</f>
        <v>1541.16</v>
      </c>
      <c r="K697" s="75"/>
      <c r="L697" s="75"/>
      <c r="M697" s="75"/>
      <c r="N697" s="75">
        <f>Tabla1[[#This Row],[IMPORTE APROBADO]]-Tabla1[[#This Row],[AMORTIZACION2]]</f>
        <v>0</v>
      </c>
      <c r="O697" s="65" t="str">
        <f>TEXT(Tabla1[[#This Row],[EMISION]],"mmm")</f>
        <v>Nov</v>
      </c>
      <c r="P697" s="65" t="str">
        <f>TEXT(Tabla1[[#This Row],[EMISION]],"YYYY")</f>
        <v>2023</v>
      </c>
      <c r="Q697" s="71">
        <v>45240</v>
      </c>
      <c r="R697" s="65" t="str">
        <f>TEXT(Tabla1[[#This Row],[VENCIMIENTO]],"mmm")</f>
        <v>Nov</v>
      </c>
      <c r="S697" s="71">
        <f t="shared" ref="S697:S699" si="136">Q697+X697</f>
        <v>45260</v>
      </c>
      <c r="T697" s="72">
        <f ca="1">Tabla1[[#This Row],[EMISION]]+Tabla1[[#This Row],[PLAZO]]-TODAY()</f>
        <v>-109</v>
      </c>
      <c r="U697" s="80">
        <f t="shared" ref="U697:U699" ca="1" si="137">IF(T697&gt;=0,$U$4,IF(AND(T697&lt;=-1,T697&gt;=-30),$U$5,IF(AND(T697&lt;=-31,T697&gt;=-60),$U$6,IF(AND(T697&lt;=-61,T697&gt;=-90),$U$7,$U$8))))</f>
        <v>0</v>
      </c>
      <c r="V697" s="72"/>
      <c r="W697" s="73" t="s">
        <v>14307</v>
      </c>
      <c r="X697" s="65">
        <v>20</v>
      </c>
      <c r="Y697" s="65"/>
      <c r="Z697" s="65"/>
      <c r="AA697" s="65"/>
      <c r="AB697" s="65"/>
      <c r="AC697" s="65"/>
      <c r="AD697" s="65"/>
      <c r="AE697" s="65"/>
      <c r="AF697" s="68"/>
      <c r="AG697" s="66">
        <v>45265</v>
      </c>
      <c r="AH697" s="67" t="s">
        <v>14308</v>
      </c>
      <c r="AI697" s="65" t="s">
        <v>3060</v>
      </c>
      <c r="AJ697" s="65"/>
      <c r="AK697" s="97">
        <f t="shared" ca="1" si="121"/>
        <v>109</v>
      </c>
      <c r="AL697">
        <f>IFERROR(VLOOKUP(A697,'DATA CLIENTES'!B4994:I8284,6,FALSE),0)</f>
        <v>0</v>
      </c>
    </row>
    <row r="698" spans="1:38" x14ac:dyDescent="0.25">
      <c r="A698" s="93" t="s">
        <v>7958</v>
      </c>
      <c r="B698" s="68" t="s">
        <v>7959</v>
      </c>
      <c r="C698" s="65"/>
      <c r="D698" s="65"/>
      <c r="E698" s="65"/>
      <c r="F698" s="69" t="s">
        <v>14574</v>
      </c>
      <c r="G698" s="70"/>
      <c r="H698" s="65">
        <v>5300000284</v>
      </c>
      <c r="I698" s="75">
        <v>3501</v>
      </c>
      <c r="J698" s="75">
        <v>3501</v>
      </c>
      <c r="K698" s="75"/>
      <c r="L698" s="74"/>
      <c r="M698" s="75"/>
      <c r="N698" s="75">
        <f>Tabla1[[#This Row],[IMPORTE APROBADO]]-Tabla1[[#This Row],[AMORTIZACION2]]</f>
        <v>0</v>
      </c>
      <c r="O698" s="65" t="str">
        <f>TEXT(Tabla1[[#This Row],[EMISION]],"mmm")</f>
        <v>Nov</v>
      </c>
      <c r="P698" s="65" t="str">
        <f>TEXT(Tabla1[[#This Row],[EMISION]],"YYYY")</f>
        <v>2023</v>
      </c>
      <c r="Q698" s="71">
        <v>45240</v>
      </c>
      <c r="R698" s="65" t="str">
        <f>TEXT(Tabla1[[#This Row],[VENCIMIENTO]],"mmm")</f>
        <v>Nov</v>
      </c>
      <c r="S698" s="71">
        <f t="shared" si="136"/>
        <v>45247</v>
      </c>
      <c r="T698" s="72">
        <f ca="1">Tabla1[[#This Row],[EMISION]]+Tabla1[[#This Row],[PLAZO]]-TODAY()</f>
        <v>-122</v>
      </c>
      <c r="U698" s="80">
        <f t="shared" ca="1" si="137"/>
        <v>0</v>
      </c>
      <c r="V698" s="72"/>
      <c r="W698" s="73" t="s">
        <v>14307</v>
      </c>
      <c r="X698" s="65">
        <v>7</v>
      </c>
      <c r="Y698" s="65"/>
      <c r="Z698" s="65"/>
      <c r="AA698" s="65"/>
      <c r="AB698" s="65"/>
      <c r="AC698" s="65"/>
      <c r="AD698" s="65"/>
      <c r="AE698" s="65"/>
      <c r="AF698" s="68"/>
      <c r="AG698" s="66">
        <v>45245</v>
      </c>
      <c r="AH698" s="67" t="s">
        <v>14308</v>
      </c>
      <c r="AI698" s="65" t="s">
        <v>3060</v>
      </c>
      <c r="AJ698" s="65"/>
      <c r="AK698" s="97">
        <f t="shared" ca="1" si="121"/>
        <v>122</v>
      </c>
      <c r="AL698">
        <f>IFERROR(VLOOKUP(A698,'DATA CLIENTES'!B4995:I8284,6,FALSE),0)</f>
        <v>0</v>
      </c>
    </row>
    <row r="699" spans="1:38" x14ac:dyDescent="0.25">
      <c r="A699" s="93" t="s">
        <v>7958</v>
      </c>
      <c r="B699" s="68" t="s">
        <v>7959</v>
      </c>
      <c r="C699" s="65"/>
      <c r="D699" s="65"/>
      <c r="E699" s="65"/>
      <c r="F699" s="69" t="s">
        <v>14805</v>
      </c>
      <c r="G699" s="70"/>
      <c r="H699" s="65">
        <v>5300000285</v>
      </c>
      <c r="I699" s="75">
        <v>500</v>
      </c>
      <c r="J699" s="75">
        <v>500</v>
      </c>
      <c r="K699" s="75"/>
      <c r="L699" s="74"/>
      <c r="M699" s="75"/>
      <c r="N699" s="75">
        <f>Tabla1[[#This Row],[IMPORTE APROBADO]]-Tabla1[[#This Row],[AMORTIZACION2]]</f>
        <v>0</v>
      </c>
      <c r="O699" s="65" t="str">
        <f>TEXT(Tabla1[[#This Row],[EMISION]],"mmm")</f>
        <v>Nov</v>
      </c>
      <c r="P699" s="65" t="str">
        <f>TEXT(Tabla1[[#This Row],[EMISION]],"YYYY")</f>
        <v>2023</v>
      </c>
      <c r="Q699" s="71">
        <v>45240</v>
      </c>
      <c r="R699" s="65" t="str">
        <f>TEXT(Tabla1[[#This Row],[VENCIMIENTO]],"mmm")</f>
        <v>Nov</v>
      </c>
      <c r="S699" s="71">
        <f t="shared" si="136"/>
        <v>45247</v>
      </c>
      <c r="T699" s="72">
        <f ca="1">Tabla1[[#This Row],[EMISION]]+Tabla1[[#This Row],[PLAZO]]-TODAY()</f>
        <v>-122</v>
      </c>
      <c r="U699" s="80">
        <f t="shared" ca="1" si="137"/>
        <v>0</v>
      </c>
      <c r="V699" s="72"/>
      <c r="W699" s="73" t="s">
        <v>14307</v>
      </c>
      <c r="X699" s="65">
        <v>7</v>
      </c>
      <c r="Y699" s="65"/>
      <c r="Z699" s="65"/>
      <c r="AA699" s="65"/>
      <c r="AB699" s="65"/>
      <c r="AC699" s="65"/>
      <c r="AD699" s="65"/>
      <c r="AE699" s="65"/>
      <c r="AF699" s="68"/>
      <c r="AG699" s="66">
        <v>45245</v>
      </c>
      <c r="AH699" s="67" t="s">
        <v>14308</v>
      </c>
      <c r="AI699" s="65" t="s">
        <v>3060</v>
      </c>
      <c r="AJ699" s="65"/>
      <c r="AK699" s="97">
        <f t="shared" ca="1" si="121"/>
        <v>122</v>
      </c>
      <c r="AL699">
        <f>IFERROR(VLOOKUP(A699,'DATA CLIENTES'!B4996:I8284,6,FALSE),0)</f>
        <v>0</v>
      </c>
    </row>
    <row r="700" spans="1:38" x14ac:dyDescent="0.25">
      <c r="A700" s="93" t="s">
        <v>9412</v>
      </c>
      <c r="B700" s="68" t="s">
        <v>9413</v>
      </c>
      <c r="C700" s="65"/>
      <c r="D700" s="65"/>
      <c r="E700" s="65"/>
      <c r="F700" s="69" t="s">
        <v>14804</v>
      </c>
      <c r="G700" s="70"/>
      <c r="H700" s="65">
        <v>5500006471</v>
      </c>
      <c r="I700" s="75">
        <v>2204.3999999999996</v>
      </c>
      <c r="J700" s="75">
        <f>500+276+24+400+300+704.4</f>
        <v>2204.4</v>
      </c>
      <c r="K700" s="75"/>
      <c r="L700" s="75"/>
      <c r="M700" s="75"/>
      <c r="N700" s="75">
        <f>Tabla1[[#This Row],[IMPORTE APROBADO]]-Tabla1[[#This Row],[AMORTIZACION2]]</f>
        <v>0</v>
      </c>
      <c r="O700" s="65" t="str">
        <f>TEXT(Tabla1[[#This Row],[EMISION]],"mmm")</f>
        <v>Nov</v>
      </c>
      <c r="P700" s="65" t="str">
        <f>TEXT(Tabla1[[#This Row],[EMISION]],"YYYY")</f>
        <v>2023</v>
      </c>
      <c r="Q700" s="71">
        <v>45245</v>
      </c>
      <c r="R700" s="65" t="str">
        <f>TEXT(Tabla1[[#This Row],[VENCIMIENTO]],"mmm")</f>
        <v>Dic</v>
      </c>
      <c r="S700" s="71">
        <f t="shared" ref="S700" si="138">Q700+X700</f>
        <v>45265</v>
      </c>
      <c r="T700" s="72">
        <f ca="1">Tabla1[[#This Row],[EMISION]]+Tabla1[[#This Row],[PLAZO]]-TODAY()</f>
        <v>-104</v>
      </c>
      <c r="U700" s="80">
        <f t="shared" ref="U700" ca="1" si="139">IF(T700&gt;=0,$U$4,IF(AND(T700&lt;=-1,T700&gt;=-30),$U$5,IF(AND(T700&lt;=-31,T700&gt;=-60),$U$6,IF(AND(T700&lt;=-61,T700&gt;=-90),$U$7,$U$8))))</f>
        <v>0</v>
      </c>
      <c r="V700" s="72"/>
      <c r="W700" s="73" t="s">
        <v>14307</v>
      </c>
      <c r="X700" s="65">
        <v>20</v>
      </c>
      <c r="Y700" s="65"/>
      <c r="Z700" s="65"/>
      <c r="AA700" s="65"/>
      <c r="AB700" s="65"/>
      <c r="AC700" s="65"/>
      <c r="AD700" s="65"/>
      <c r="AE700" s="65"/>
      <c r="AF700" s="68"/>
      <c r="AG700" s="66">
        <v>45280</v>
      </c>
      <c r="AH700" s="67" t="s">
        <v>14308</v>
      </c>
      <c r="AI700" s="65" t="s">
        <v>3060</v>
      </c>
      <c r="AJ700" s="65"/>
      <c r="AK700" s="97">
        <f t="shared" ca="1" si="121"/>
        <v>104</v>
      </c>
      <c r="AL700">
        <f>IFERROR(VLOOKUP(A700,'DATA CLIENTES'!B4997:I8284,6,FALSE),0)</f>
        <v>0</v>
      </c>
    </row>
    <row r="701" spans="1:38" x14ac:dyDescent="0.25">
      <c r="A701" s="93" t="s">
        <v>9263</v>
      </c>
      <c r="B701" s="68" t="s">
        <v>9264</v>
      </c>
      <c r="C701" s="65"/>
      <c r="D701" s="65"/>
      <c r="E701" s="65"/>
      <c r="F701" s="69" t="s">
        <v>11799</v>
      </c>
      <c r="G701" s="70"/>
      <c r="H701" s="65">
        <v>5500006485</v>
      </c>
      <c r="I701" s="75">
        <v>1500</v>
      </c>
      <c r="J701" s="75">
        <f>1500</f>
        <v>1500</v>
      </c>
      <c r="K701" s="75"/>
      <c r="L701" s="75"/>
      <c r="M701" s="75"/>
      <c r="N701" s="75">
        <f>Tabla1[[#This Row],[IMPORTE APROBADO]]-Tabla1[[#This Row],[AMORTIZACION2]]</f>
        <v>0</v>
      </c>
      <c r="O701" s="65" t="str">
        <f>TEXT(Tabla1[[#This Row],[EMISION]],"mmm")</f>
        <v>Nov</v>
      </c>
      <c r="P701" s="65" t="str">
        <f>TEXT(Tabla1[[#This Row],[EMISION]],"YYYY")</f>
        <v>2023</v>
      </c>
      <c r="Q701" s="71">
        <v>45247</v>
      </c>
      <c r="R701" s="65" t="str">
        <f>TEXT(Tabla1[[#This Row],[VENCIMIENTO]],"mmm")</f>
        <v>Dic</v>
      </c>
      <c r="S701" s="71">
        <f t="shared" ref="S701:S707" si="140">Q701+X701</f>
        <v>45262</v>
      </c>
      <c r="T701" s="72">
        <f ca="1">Tabla1[[#This Row],[EMISION]]+Tabla1[[#This Row],[PLAZO]]-TODAY()</f>
        <v>-107</v>
      </c>
      <c r="U701" s="80">
        <f t="shared" ref="U701:U707" ca="1" si="141">IF(T701&gt;=0,$U$4,IF(AND(T701&lt;=-1,T701&gt;=-30),$U$5,IF(AND(T701&lt;=-31,T701&gt;=-60),$U$6,IF(AND(T701&lt;=-61,T701&gt;=-90),$U$7,$U$8))))</f>
        <v>0</v>
      </c>
      <c r="V701" s="72"/>
      <c r="W701" s="73" t="s">
        <v>14307</v>
      </c>
      <c r="X701" s="65">
        <v>15</v>
      </c>
      <c r="Y701" s="65"/>
      <c r="Z701" s="65"/>
      <c r="AA701" s="65"/>
      <c r="AB701" s="65"/>
      <c r="AC701" s="65"/>
      <c r="AD701" s="65"/>
      <c r="AE701" s="65"/>
      <c r="AF701" s="68"/>
      <c r="AG701" s="66">
        <v>45275</v>
      </c>
      <c r="AH701" s="67" t="s">
        <v>14308</v>
      </c>
      <c r="AI701" s="65" t="s">
        <v>3060</v>
      </c>
      <c r="AJ701" s="65"/>
      <c r="AK701" s="97">
        <f t="shared" ca="1" si="121"/>
        <v>107</v>
      </c>
      <c r="AL701">
        <f>IFERROR(VLOOKUP(A701,'DATA CLIENTES'!B4998:I8284,6,FALSE),0)</f>
        <v>0</v>
      </c>
    </row>
    <row r="702" spans="1:38" x14ac:dyDescent="0.25">
      <c r="A702" s="93" t="s">
        <v>9263</v>
      </c>
      <c r="B702" s="68" t="s">
        <v>9264</v>
      </c>
      <c r="C702" s="65"/>
      <c r="D702" s="65"/>
      <c r="E702" s="65"/>
      <c r="F702" s="69" t="s">
        <v>11799</v>
      </c>
      <c r="G702" s="70"/>
      <c r="H702" s="65">
        <v>5600006261</v>
      </c>
      <c r="I702" s="75">
        <v>3320</v>
      </c>
      <c r="J702" s="75">
        <f>2820+500</f>
        <v>3320</v>
      </c>
      <c r="K702" s="75"/>
      <c r="L702" s="75"/>
      <c r="M702" s="75"/>
      <c r="N702" s="75">
        <f>Tabla1[[#This Row],[IMPORTE APROBADO]]-Tabla1[[#This Row],[AMORTIZACION2]]</f>
        <v>0</v>
      </c>
      <c r="O702" s="65" t="str">
        <f>TEXT(Tabla1[[#This Row],[EMISION]],"mmm")</f>
        <v>Nov</v>
      </c>
      <c r="P702" s="65" t="str">
        <f>TEXT(Tabla1[[#This Row],[EMISION]],"YYYY")</f>
        <v>2023</v>
      </c>
      <c r="Q702" s="71">
        <v>45248</v>
      </c>
      <c r="R702" s="65" t="str">
        <f>TEXT(Tabla1[[#This Row],[VENCIMIENTO]],"mmm")</f>
        <v>Dic</v>
      </c>
      <c r="S702" s="71">
        <f t="shared" si="140"/>
        <v>45263</v>
      </c>
      <c r="T702" s="72">
        <f ca="1">Tabla1[[#This Row],[EMISION]]+Tabla1[[#This Row],[PLAZO]]-TODAY()</f>
        <v>-106</v>
      </c>
      <c r="U702" s="80">
        <f t="shared" ca="1" si="141"/>
        <v>0</v>
      </c>
      <c r="V702" s="72"/>
      <c r="W702" s="73" t="s">
        <v>14307</v>
      </c>
      <c r="X702" s="65">
        <v>15</v>
      </c>
      <c r="Y702" s="65"/>
      <c r="Z702" s="65"/>
      <c r="AA702" s="65"/>
      <c r="AB702" s="65"/>
      <c r="AC702" s="65"/>
      <c r="AD702" s="65"/>
      <c r="AE702" s="65"/>
      <c r="AF702" s="68"/>
      <c r="AG702" s="66">
        <v>45275</v>
      </c>
      <c r="AH702" s="67" t="s">
        <v>14308</v>
      </c>
      <c r="AI702" s="65" t="s">
        <v>3060</v>
      </c>
      <c r="AJ702" s="65"/>
      <c r="AK702" s="97">
        <f t="shared" ca="1" si="121"/>
        <v>106</v>
      </c>
      <c r="AL702">
        <f>IFERROR(VLOOKUP(A702,'DATA CLIENTES'!B4999:I8284,6,FALSE),0)</f>
        <v>0</v>
      </c>
    </row>
    <row r="703" spans="1:38" x14ac:dyDescent="0.25">
      <c r="A703" s="93" t="s">
        <v>5473</v>
      </c>
      <c r="B703" s="68" t="s">
        <v>14807</v>
      </c>
      <c r="C703" s="65"/>
      <c r="D703" s="65"/>
      <c r="E703" s="65"/>
      <c r="F703" s="69" t="s">
        <v>14559</v>
      </c>
      <c r="G703" s="70"/>
      <c r="H703" s="65">
        <v>5500006490</v>
      </c>
      <c r="I703" s="75">
        <v>8168.3199999999988</v>
      </c>
      <c r="J703" s="75">
        <f>3000+2000+3168</f>
        <v>8168</v>
      </c>
      <c r="K703" s="75"/>
      <c r="L703" s="75"/>
      <c r="M703" s="75"/>
      <c r="N703" s="75">
        <f>Tabla1[[#This Row],[IMPORTE APROBADO]]-Tabla1[[#This Row],[AMORTIZACION2]]</f>
        <v>0.31999999999879947</v>
      </c>
      <c r="O703" s="65" t="str">
        <f>TEXT(Tabla1[[#This Row],[EMISION]],"mmm")</f>
        <v>Nov</v>
      </c>
      <c r="P703" s="65" t="str">
        <f>TEXT(Tabla1[[#This Row],[EMISION]],"YYYY")</f>
        <v>2023</v>
      </c>
      <c r="Q703" s="71">
        <v>45248</v>
      </c>
      <c r="R703" s="65" t="str">
        <f>TEXT(Tabla1[[#This Row],[VENCIMIENTO]],"mmm")</f>
        <v>Dic</v>
      </c>
      <c r="S703" s="71">
        <f t="shared" si="140"/>
        <v>45278</v>
      </c>
      <c r="T703" s="72">
        <f ca="1">Tabla1[[#This Row],[EMISION]]+Tabla1[[#This Row],[PLAZO]]-TODAY()</f>
        <v>-91</v>
      </c>
      <c r="U703" s="80">
        <f t="shared" ca="1" si="141"/>
        <v>0</v>
      </c>
      <c r="V703" s="72"/>
      <c r="W703" s="73" t="s">
        <v>14307</v>
      </c>
      <c r="X703" s="65">
        <v>30</v>
      </c>
      <c r="Y703" s="65"/>
      <c r="Z703" s="65"/>
      <c r="AA703" s="65"/>
      <c r="AB703" s="65"/>
      <c r="AC703" s="65"/>
      <c r="AD703" s="65"/>
      <c r="AE703" s="65"/>
      <c r="AF703" s="68"/>
      <c r="AG703" s="66">
        <v>45274</v>
      </c>
      <c r="AH703" s="67" t="s">
        <v>14308</v>
      </c>
      <c r="AI703" s="65" t="s">
        <v>3060</v>
      </c>
      <c r="AJ703" s="65"/>
      <c r="AK703" s="97">
        <f t="shared" ca="1" si="121"/>
        <v>91</v>
      </c>
      <c r="AL703">
        <f>IFERROR(VLOOKUP(A703,'DATA CLIENTES'!B5000:I8284,6,FALSE),0)</f>
        <v>0</v>
      </c>
    </row>
    <row r="704" spans="1:38" x14ac:dyDescent="0.25">
      <c r="A704" s="93" t="s">
        <v>5473</v>
      </c>
      <c r="B704" s="68" t="s">
        <v>14807</v>
      </c>
      <c r="C704" s="65"/>
      <c r="D704" s="65"/>
      <c r="E704" s="65"/>
      <c r="F704" s="69" t="s">
        <v>14559</v>
      </c>
      <c r="G704" s="70"/>
      <c r="H704" s="65">
        <v>5500006491</v>
      </c>
      <c r="I704" s="75">
        <v>2503.8099999999995</v>
      </c>
      <c r="J704" s="75">
        <v>2503.8000000000002</v>
      </c>
      <c r="K704" s="75"/>
      <c r="L704" s="75"/>
      <c r="M704" s="75"/>
      <c r="N704" s="75">
        <f>Tabla1[[#This Row],[IMPORTE APROBADO]]-Tabla1[[#This Row],[AMORTIZACION2]]</f>
        <v>9.999999999308784E-3</v>
      </c>
      <c r="O704" s="65" t="str">
        <f>TEXT(Tabla1[[#This Row],[EMISION]],"mmm")</f>
        <v>Nov</v>
      </c>
      <c r="P704" s="65" t="str">
        <f>TEXT(Tabla1[[#This Row],[EMISION]],"YYYY")</f>
        <v>2023</v>
      </c>
      <c r="Q704" s="71">
        <v>45248</v>
      </c>
      <c r="R704" s="65" t="str">
        <f>TEXT(Tabla1[[#This Row],[VENCIMIENTO]],"mmm")</f>
        <v>Dic</v>
      </c>
      <c r="S704" s="71">
        <f t="shared" si="140"/>
        <v>45278</v>
      </c>
      <c r="T704" s="72">
        <f ca="1">Tabla1[[#This Row],[EMISION]]+Tabla1[[#This Row],[PLAZO]]-TODAY()</f>
        <v>-91</v>
      </c>
      <c r="U704" s="80">
        <f t="shared" ca="1" si="141"/>
        <v>0</v>
      </c>
      <c r="V704" s="72"/>
      <c r="W704" s="73" t="s">
        <v>14307</v>
      </c>
      <c r="X704" s="65">
        <v>30</v>
      </c>
      <c r="Y704" s="65"/>
      <c r="Z704" s="65"/>
      <c r="AA704" s="65"/>
      <c r="AB704" s="65"/>
      <c r="AC704" s="65"/>
      <c r="AD704" s="65"/>
      <c r="AE704" s="65"/>
      <c r="AF704" s="68"/>
      <c r="AG704" s="66">
        <v>45281</v>
      </c>
      <c r="AH704" s="67" t="s">
        <v>14308</v>
      </c>
      <c r="AI704" s="65" t="s">
        <v>3060</v>
      </c>
      <c r="AJ704" s="65"/>
      <c r="AK704" s="97">
        <f t="shared" ca="1" si="121"/>
        <v>91</v>
      </c>
      <c r="AL704">
        <f>IFERROR(VLOOKUP(A704,'DATA CLIENTES'!B5001:I8284,6,FALSE),0)</f>
        <v>0</v>
      </c>
    </row>
    <row r="705" spans="1:38" x14ac:dyDescent="0.25">
      <c r="A705" s="93" t="s">
        <v>5473</v>
      </c>
      <c r="B705" s="68" t="s">
        <v>14807</v>
      </c>
      <c r="C705" s="65"/>
      <c r="D705" s="65"/>
      <c r="E705" s="65"/>
      <c r="F705" s="69" t="s">
        <v>14559</v>
      </c>
      <c r="G705" s="70"/>
      <c r="H705" s="65">
        <v>5500006492</v>
      </c>
      <c r="I705" s="75">
        <v>14340</v>
      </c>
      <c r="J705" s="75">
        <f>5000+5000+4340</f>
        <v>14340</v>
      </c>
      <c r="K705" s="75"/>
      <c r="L705" s="75"/>
      <c r="M705" s="75"/>
      <c r="N705" s="75">
        <f>Tabla1[[#This Row],[IMPORTE APROBADO]]-Tabla1[[#This Row],[AMORTIZACION2]]</f>
        <v>0</v>
      </c>
      <c r="O705" s="65" t="str">
        <f>TEXT(Tabla1[[#This Row],[EMISION]],"mmm")</f>
        <v>Nov</v>
      </c>
      <c r="P705" s="65" t="str">
        <f>TEXT(Tabla1[[#This Row],[EMISION]],"YYYY")</f>
        <v>2023</v>
      </c>
      <c r="Q705" s="71">
        <v>45248</v>
      </c>
      <c r="R705" s="65" t="str">
        <f>TEXT(Tabla1[[#This Row],[VENCIMIENTO]],"mmm")</f>
        <v>Dic</v>
      </c>
      <c r="S705" s="71">
        <f t="shared" si="140"/>
        <v>45278</v>
      </c>
      <c r="T705" s="72">
        <f ca="1">Tabla1[[#This Row],[EMISION]]+Tabla1[[#This Row],[PLAZO]]-TODAY()</f>
        <v>-91</v>
      </c>
      <c r="U705" s="80">
        <f t="shared" ca="1" si="141"/>
        <v>0</v>
      </c>
      <c r="V705" s="72"/>
      <c r="W705" s="73" t="s">
        <v>14307</v>
      </c>
      <c r="X705" s="65">
        <v>30</v>
      </c>
      <c r="Y705" s="65"/>
      <c r="Z705" s="65"/>
      <c r="AA705" s="65"/>
      <c r="AB705" s="65"/>
      <c r="AC705" s="65"/>
      <c r="AD705" s="65"/>
      <c r="AE705" s="65"/>
      <c r="AF705" s="68"/>
      <c r="AG705" s="66">
        <v>45279</v>
      </c>
      <c r="AH705" s="67" t="s">
        <v>14308</v>
      </c>
      <c r="AI705" s="65" t="s">
        <v>3060</v>
      </c>
      <c r="AJ705" s="65"/>
      <c r="AK705" s="97">
        <f t="shared" ca="1" si="121"/>
        <v>91</v>
      </c>
      <c r="AL705">
        <f>IFERROR(VLOOKUP(A705,'DATA CLIENTES'!B5002:I8284,6,FALSE),0)</f>
        <v>0</v>
      </c>
    </row>
    <row r="706" spans="1:38" x14ac:dyDescent="0.25">
      <c r="A706" s="93" t="s">
        <v>10222</v>
      </c>
      <c r="B706" s="68" t="s">
        <v>10223</v>
      </c>
      <c r="C706" s="65"/>
      <c r="D706" s="65"/>
      <c r="E706" s="65"/>
      <c r="F706" s="69" t="s">
        <v>14559</v>
      </c>
      <c r="G706" s="70"/>
      <c r="H706" s="65">
        <v>5500006495</v>
      </c>
      <c r="I706" s="75">
        <v>458.3</v>
      </c>
      <c r="J706" s="75">
        <v>458.3</v>
      </c>
      <c r="K706" s="75"/>
      <c r="L706" s="75"/>
      <c r="M706" s="75"/>
      <c r="N706" s="75">
        <f>Tabla1[[#This Row],[IMPORTE APROBADO]]-Tabla1[[#This Row],[AMORTIZACION2]]</f>
        <v>0</v>
      </c>
      <c r="O706" s="65" t="str">
        <f>TEXT(Tabla1[[#This Row],[EMISION]],"mmm")</f>
        <v>Nov</v>
      </c>
      <c r="P706" s="65" t="str">
        <f>TEXT(Tabla1[[#This Row],[EMISION]],"YYYY")</f>
        <v>2023</v>
      </c>
      <c r="Q706" s="71">
        <v>45250</v>
      </c>
      <c r="R706" s="65" t="str">
        <f>TEXT(Tabla1[[#This Row],[VENCIMIENTO]],"mmm")</f>
        <v>Dic</v>
      </c>
      <c r="S706" s="71">
        <f t="shared" si="140"/>
        <v>45265</v>
      </c>
      <c r="T706" s="72">
        <f ca="1">Tabla1[[#This Row],[EMISION]]+Tabla1[[#This Row],[PLAZO]]-TODAY()</f>
        <v>-104</v>
      </c>
      <c r="U706" s="80">
        <f t="shared" ca="1" si="141"/>
        <v>0</v>
      </c>
      <c r="V706" s="72"/>
      <c r="W706" s="73" t="s">
        <v>14307</v>
      </c>
      <c r="X706" s="65">
        <v>15</v>
      </c>
      <c r="Y706" s="65"/>
      <c r="Z706" s="65"/>
      <c r="AA706" s="65"/>
      <c r="AB706" s="65"/>
      <c r="AC706" s="65"/>
      <c r="AD706" s="65"/>
      <c r="AE706" s="65"/>
      <c r="AF706" s="68"/>
      <c r="AG706" s="66">
        <v>45267</v>
      </c>
      <c r="AH706" s="67" t="s">
        <v>14308</v>
      </c>
      <c r="AI706" s="65" t="s">
        <v>3060</v>
      </c>
      <c r="AJ706" s="65"/>
      <c r="AK706" s="97">
        <f t="shared" ca="1" si="121"/>
        <v>104</v>
      </c>
      <c r="AL706">
        <f>IFERROR(VLOOKUP(A706,'DATA CLIENTES'!B5003:I8284,6,FALSE),0)</f>
        <v>0</v>
      </c>
    </row>
    <row r="707" spans="1:38" x14ac:dyDescent="0.25">
      <c r="A707" s="93" t="s">
        <v>9242</v>
      </c>
      <c r="B707" s="68" t="s">
        <v>9243</v>
      </c>
      <c r="C707" s="65"/>
      <c r="D707" s="65"/>
      <c r="E707" s="65"/>
      <c r="F707" s="69" t="s">
        <v>10941</v>
      </c>
      <c r="G707" s="70"/>
      <c r="H707" s="65">
        <v>5500006496</v>
      </c>
      <c r="I707" s="75">
        <v>1153</v>
      </c>
      <c r="J707" s="75">
        <v>1153</v>
      </c>
      <c r="K707" s="75"/>
      <c r="L707" s="75"/>
      <c r="M707" s="75"/>
      <c r="N707" s="75">
        <f>Tabla1[[#This Row],[IMPORTE APROBADO]]-Tabla1[[#This Row],[AMORTIZACION2]]</f>
        <v>0</v>
      </c>
      <c r="O707" s="65" t="str">
        <f>TEXT(Tabla1[[#This Row],[EMISION]],"mmm")</f>
        <v>Nov</v>
      </c>
      <c r="P707" s="65" t="str">
        <f>TEXT(Tabla1[[#This Row],[EMISION]],"YYYY")</f>
        <v>2023</v>
      </c>
      <c r="Q707" s="71">
        <v>45250</v>
      </c>
      <c r="R707" s="65" t="str">
        <f>TEXT(Tabla1[[#This Row],[VENCIMIENTO]],"mmm")</f>
        <v>Nov</v>
      </c>
      <c r="S707" s="71">
        <f t="shared" si="140"/>
        <v>45257</v>
      </c>
      <c r="T707" s="72">
        <f ca="1">Tabla1[[#This Row],[EMISION]]+Tabla1[[#This Row],[PLAZO]]-TODAY()</f>
        <v>-112</v>
      </c>
      <c r="U707" s="80">
        <f t="shared" ca="1" si="141"/>
        <v>0</v>
      </c>
      <c r="V707" s="72"/>
      <c r="W707" s="73" t="s">
        <v>14307</v>
      </c>
      <c r="X707" s="65">
        <v>7</v>
      </c>
      <c r="Y707" s="65"/>
      <c r="Z707" s="65"/>
      <c r="AA707" s="65"/>
      <c r="AB707" s="65"/>
      <c r="AC707" s="65"/>
      <c r="AD707" s="65"/>
      <c r="AE707" s="65"/>
      <c r="AF707" s="68"/>
      <c r="AG707" s="66">
        <v>45251</v>
      </c>
      <c r="AH707" s="67" t="s">
        <v>14308</v>
      </c>
      <c r="AI707" s="65" t="s">
        <v>3060</v>
      </c>
      <c r="AJ707" s="65"/>
      <c r="AK707" s="97">
        <f t="shared" ca="1" si="121"/>
        <v>112</v>
      </c>
      <c r="AL707">
        <f>IFERROR(VLOOKUP(A707,'DATA CLIENTES'!B5004:I8284,6,FALSE),0)</f>
        <v>0</v>
      </c>
    </row>
    <row r="708" spans="1:38" x14ac:dyDescent="0.25">
      <c r="A708" s="93" t="s">
        <v>6575</v>
      </c>
      <c r="B708" s="68" t="s">
        <v>6576</v>
      </c>
      <c r="C708" s="65"/>
      <c r="D708" s="65"/>
      <c r="E708" s="65"/>
      <c r="F708" s="69" t="s">
        <v>14804</v>
      </c>
      <c r="G708" s="70"/>
      <c r="H708" s="65">
        <v>5500006500</v>
      </c>
      <c r="I708" s="75">
        <f>1800-850</f>
        <v>950</v>
      </c>
      <c r="J708" s="75">
        <f>500+200+250</f>
        <v>950</v>
      </c>
      <c r="K708" s="75"/>
      <c r="L708" s="74"/>
      <c r="M708" s="75"/>
      <c r="N708" s="75">
        <f>Tabla1[[#This Row],[IMPORTE APROBADO]]-Tabla1[[#This Row],[AMORTIZACION2]]</f>
        <v>0</v>
      </c>
      <c r="O708" s="65" t="str">
        <f>TEXT(Tabla1[[#This Row],[EMISION]],"mmm")</f>
        <v>Nov</v>
      </c>
      <c r="P708" s="65" t="str">
        <f>TEXT(Tabla1[[#This Row],[EMISION]],"YYYY")</f>
        <v>2023</v>
      </c>
      <c r="Q708" s="71">
        <v>45251</v>
      </c>
      <c r="R708" s="65" t="str">
        <f>TEXT(Tabla1[[#This Row],[VENCIMIENTO]],"mmm")</f>
        <v>Dic</v>
      </c>
      <c r="S708" s="71">
        <f t="shared" ref="S708:S715" si="142">Q708+X708</f>
        <v>45271</v>
      </c>
      <c r="T708" s="72">
        <f ca="1">Tabla1[[#This Row],[EMISION]]+Tabla1[[#This Row],[PLAZO]]-TODAY()</f>
        <v>-98</v>
      </c>
      <c r="U708" s="80">
        <f t="shared" ref="U708:U715" ca="1" si="143">IF(T708&gt;=0,$U$4,IF(AND(T708&lt;=-1,T708&gt;=-30),$U$5,IF(AND(T708&lt;=-31,T708&gt;=-60),$U$6,IF(AND(T708&lt;=-61,T708&gt;=-90),$U$7,$U$8))))</f>
        <v>0</v>
      </c>
      <c r="V708" s="72"/>
      <c r="W708" s="73" t="s">
        <v>14307</v>
      </c>
      <c r="X708" s="65">
        <v>20</v>
      </c>
      <c r="Y708" s="65"/>
      <c r="Z708" s="65"/>
      <c r="AA708" s="65"/>
      <c r="AB708" s="65"/>
      <c r="AC708" s="65"/>
      <c r="AD708" s="65"/>
      <c r="AE708" s="65"/>
      <c r="AF708" s="68"/>
      <c r="AG708" s="66"/>
      <c r="AH708" s="67" t="s">
        <v>14308</v>
      </c>
      <c r="AI708" s="65" t="s">
        <v>3060</v>
      </c>
      <c r="AJ708" s="65"/>
      <c r="AK708" s="97">
        <f t="shared" ca="1" si="121"/>
        <v>98</v>
      </c>
      <c r="AL708">
        <f>IFERROR(VLOOKUP(A708,'DATA CLIENTES'!B5005:I8284,6,FALSE),0)</f>
        <v>0</v>
      </c>
    </row>
    <row r="709" spans="1:38" x14ac:dyDescent="0.25">
      <c r="A709" s="93" t="s">
        <v>6575</v>
      </c>
      <c r="B709" s="68" t="s">
        <v>6576</v>
      </c>
      <c r="C709" s="65"/>
      <c r="D709" s="65"/>
      <c r="E709" s="65"/>
      <c r="F709" s="69" t="s">
        <v>14804</v>
      </c>
      <c r="G709" s="70"/>
      <c r="H709" s="65">
        <v>5500006500</v>
      </c>
      <c r="I709" s="75">
        <f>1800-950</f>
        <v>850</v>
      </c>
      <c r="J709" s="75">
        <v>850</v>
      </c>
      <c r="K709" s="75">
        <v>850</v>
      </c>
      <c r="L709" s="74">
        <v>45310</v>
      </c>
      <c r="M709" s="75" t="s">
        <v>14814</v>
      </c>
      <c r="N709" s="75">
        <f>Tabla1[[#This Row],[IMPORTE APROBADO]]-Tabla1[[#This Row],[AMORTIZACION2]]</f>
        <v>0</v>
      </c>
      <c r="O709" s="65" t="str">
        <f>TEXT(Tabla1[[#This Row],[EMISION]],"mmm")</f>
        <v>Nov</v>
      </c>
      <c r="P709" s="65" t="str">
        <f>TEXT(Tabla1[[#This Row],[EMISION]],"YYYY")</f>
        <v>2023</v>
      </c>
      <c r="Q709" s="71">
        <v>45251</v>
      </c>
      <c r="R709" s="65" t="str">
        <f>TEXT(Tabla1[[#This Row],[VENCIMIENTO]],"mmm")</f>
        <v>Dic</v>
      </c>
      <c r="S709" s="71">
        <f t="shared" si="142"/>
        <v>45271</v>
      </c>
      <c r="T709" s="72">
        <f ca="1">Tabla1[[#This Row],[EMISION]]+Tabla1[[#This Row],[PLAZO]]-TODAY()</f>
        <v>-98</v>
      </c>
      <c r="U709" s="80">
        <f t="shared" ca="1" si="143"/>
        <v>0</v>
      </c>
      <c r="V709" s="72"/>
      <c r="W709" s="73" t="s">
        <v>14307</v>
      </c>
      <c r="X709" s="65">
        <v>20</v>
      </c>
      <c r="Y709" s="65"/>
      <c r="Z709" s="65"/>
      <c r="AA709" s="65"/>
      <c r="AB709" s="65"/>
      <c r="AC709" s="65"/>
      <c r="AD709" s="65"/>
      <c r="AE709" s="65"/>
      <c r="AF709" s="68"/>
      <c r="AG709" s="66"/>
      <c r="AH709" s="67" t="s">
        <v>14308</v>
      </c>
      <c r="AI709" s="65" t="s">
        <v>3060</v>
      </c>
      <c r="AJ709" s="65"/>
      <c r="AK709" s="97">
        <f t="shared" ca="1" si="121"/>
        <v>98</v>
      </c>
      <c r="AL709">
        <f>IFERROR(VLOOKUP(A709,'DATA CLIENTES'!B5006:I8284,6,FALSE),0)</f>
        <v>0</v>
      </c>
    </row>
    <row r="710" spans="1:38" x14ac:dyDescent="0.25">
      <c r="A710" s="93" t="s">
        <v>10210</v>
      </c>
      <c r="B710" s="68" t="s">
        <v>10211</v>
      </c>
      <c r="C710" s="65"/>
      <c r="D710" s="65"/>
      <c r="E710" s="65"/>
      <c r="F710" s="69" t="s">
        <v>14804</v>
      </c>
      <c r="G710" s="70"/>
      <c r="H710" s="65">
        <v>5600006276</v>
      </c>
      <c r="I710" s="75">
        <v>19050</v>
      </c>
      <c r="J710" s="75">
        <f>300+2700+4600+10400+1050</f>
        <v>19050</v>
      </c>
      <c r="K710" s="75"/>
      <c r="L710" s="75"/>
      <c r="M710" s="75"/>
      <c r="N710" s="75">
        <f>Tabla1[[#This Row],[IMPORTE APROBADO]]-Tabla1[[#This Row],[AMORTIZACION2]]</f>
        <v>0</v>
      </c>
      <c r="O710" s="65" t="str">
        <f>TEXT(Tabla1[[#This Row],[EMISION]],"mmm")</f>
        <v>Nov</v>
      </c>
      <c r="P710" s="65" t="str">
        <f>TEXT(Tabla1[[#This Row],[EMISION]],"YYYY")</f>
        <v>2023</v>
      </c>
      <c r="Q710" s="71">
        <v>45253</v>
      </c>
      <c r="R710" s="65" t="str">
        <f>TEXT(Tabla1[[#This Row],[VENCIMIENTO]],"mmm")</f>
        <v>Dic</v>
      </c>
      <c r="S710" s="71">
        <f t="shared" si="142"/>
        <v>45268</v>
      </c>
      <c r="T710" s="72">
        <f ca="1">Tabla1[[#This Row],[EMISION]]+Tabla1[[#This Row],[PLAZO]]-TODAY()</f>
        <v>-101</v>
      </c>
      <c r="U710" s="80">
        <f t="shared" ca="1" si="143"/>
        <v>0</v>
      </c>
      <c r="V710" s="72"/>
      <c r="W710" s="73" t="s">
        <v>14307</v>
      </c>
      <c r="X710" s="65">
        <v>15</v>
      </c>
      <c r="Y710" s="65"/>
      <c r="Z710" s="65"/>
      <c r="AA710" s="65"/>
      <c r="AB710" s="65"/>
      <c r="AC710" s="65"/>
      <c r="AD710" s="65"/>
      <c r="AE710" s="65"/>
      <c r="AF710" s="68"/>
      <c r="AG710" s="66">
        <v>45265</v>
      </c>
      <c r="AH710" s="67" t="s">
        <v>14308</v>
      </c>
      <c r="AI710" s="65" t="s">
        <v>3060</v>
      </c>
      <c r="AJ710" s="65"/>
      <c r="AK710" s="97">
        <f t="shared" ca="1" si="121"/>
        <v>101</v>
      </c>
      <c r="AL710">
        <f>IFERROR(VLOOKUP(A710,'DATA CLIENTES'!B5007:I8284,6,FALSE),0)</f>
        <v>0</v>
      </c>
    </row>
    <row r="711" spans="1:38" x14ac:dyDescent="0.25">
      <c r="A711" s="93" t="s">
        <v>10210</v>
      </c>
      <c r="B711" s="68" t="s">
        <v>10211</v>
      </c>
      <c r="C711" s="65"/>
      <c r="D711" s="65"/>
      <c r="E711" s="65"/>
      <c r="F711" s="69" t="s">
        <v>14559</v>
      </c>
      <c r="G711" s="70"/>
      <c r="H711" s="65">
        <v>5500006513</v>
      </c>
      <c r="I711" s="75">
        <v>24690</v>
      </c>
      <c r="J711" s="75">
        <f>7690+4000+10000+3000</f>
        <v>24690</v>
      </c>
      <c r="K711" s="75"/>
      <c r="L711" s="75"/>
      <c r="M711" s="75"/>
      <c r="N711" s="75">
        <f>Tabla1[[#This Row],[IMPORTE APROBADO]]-Tabla1[[#This Row],[AMORTIZACION2]]</f>
        <v>0</v>
      </c>
      <c r="O711" s="65" t="str">
        <f>TEXT(Tabla1[[#This Row],[EMISION]],"mmm")</f>
        <v>Nov</v>
      </c>
      <c r="P711" s="65" t="str">
        <f>TEXT(Tabla1[[#This Row],[EMISION]],"YYYY")</f>
        <v>2023</v>
      </c>
      <c r="Q711" s="71">
        <v>45253</v>
      </c>
      <c r="R711" s="65" t="str">
        <f>TEXT(Tabla1[[#This Row],[VENCIMIENTO]],"mmm")</f>
        <v>Dic</v>
      </c>
      <c r="S711" s="71">
        <f t="shared" si="142"/>
        <v>45283</v>
      </c>
      <c r="T711" s="72">
        <f ca="1">Tabla1[[#This Row],[EMISION]]+Tabla1[[#This Row],[PLAZO]]-TODAY()</f>
        <v>-86</v>
      </c>
      <c r="U711" s="80">
        <f t="shared" ca="1" si="143"/>
        <v>0</v>
      </c>
      <c r="V711" s="72"/>
      <c r="W711" s="73" t="s">
        <v>14307</v>
      </c>
      <c r="X711" s="65">
        <v>30</v>
      </c>
      <c r="Y711" s="65"/>
      <c r="Z711" s="65"/>
      <c r="AA711" s="65"/>
      <c r="AB711" s="65"/>
      <c r="AC711" s="65"/>
      <c r="AD711" s="65"/>
      <c r="AE711" s="65"/>
      <c r="AF711" s="68"/>
      <c r="AG711" s="66">
        <v>45289</v>
      </c>
      <c r="AH711" s="67" t="s">
        <v>14308</v>
      </c>
      <c r="AI711" s="65" t="s">
        <v>3060</v>
      </c>
      <c r="AJ711" s="65"/>
      <c r="AK711" s="97">
        <f t="shared" ca="1" si="121"/>
        <v>86</v>
      </c>
      <c r="AL711">
        <f>IFERROR(VLOOKUP(A711,'DATA CLIENTES'!B5008:I8284,6,FALSE),0)</f>
        <v>0</v>
      </c>
    </row>
    <row r="712" spans="1:38" x14ac:dyDescent="0.25">
      <c r="A712" s="93" t="s">
        <v>10210</v>
      </c>
      <c r="B712" s="68" t="s">
        <v>10211</v>
      </c>
      <c r="C712" s="65"/>
      <c r="D712" s="65"/>
      <c r="E712" s="65"/>
      <c r="F712" s="69" t="s">
        <v>14559</v>
      </c>
      <c r="G712" s="70"/>
      <c r="H712" s="65">
        <v>5500006514</v>
      </c>
      <c r="I712" s="75">
        <f>18335.72-8690-40</f>
        <v>9605.7200000000012</v>
      </c>
      <c r="J712" s="75"/>
      <c r="K712" s="75"/>
      <c r="L712" s="75"/>
      <c r="M712" s="75"/>
      <c r="N712" s="75">
        <f>Tabla1[[#This Row],[IMPORTE APROBADO]]-Tabla1[[#This Row],[AMORTIZACION2]]</f>
        <v>9605.7200000000012</v>
      </c>
      <c r="O712" s="65" t="str">
        <f>TEXT(Tabla1[[#This Row],[EMISION]],"mmm")</f>
        <v>Nov</v>
      </c>
      <c r="P712" s="65" t="str">
        <f>TEXT(Tabla1[[#This Row],[EMISION]],"YYYY")</f>
        <v>2023</v>
      </c>
      <c r="Q712" s="71">
        <v>45253</v>
      </c>
      <c r="R712" s="65" t="str">
        <f>TEXT(Tabla1[[#This Row],[VENCIMIENTO]],"mmm")</f>
        <v>Ene</v>
      </c>
      <c r="S712" s="71">
        <f t="shared" si="142"/>
        <v>45313</v>
      </c>
      <c r="T712" s="72">
        <f ca="1">Tabla1[[#This Row],[EMISION]]+Tabla1[[#This Row],[PLAZO]]-TODAY()</f>
        <v>-56</v>
      </c>
      <c r="U712" s="80">
        <f t="shared" ca="1" si="143"/>
        <v>0</v>
      </c>
      <c r="V712" s="72"/>
      <c r="W712" s="73" t="s">
        <v>14307</v>
      </c>
      <c r="X712" s="65">
        <v>60</v>
      </c>
      <c r="Y712" s="65"/>
      <c r="Z712" s="65"/>
      <c r="AA712" s="65"/>
      <c r="AB712" s="65"/>
      <c r="AC712" s="65"/>
      <c r="AD712" s="65"/>
      <c r="AE712" s="65"/>
      <c r="AF712" s="68"/>
      <c r="AG712" s="66"/>
      <c r="AH712" s="67" t="s">
        <v>14313</v>
      </c>
      <c r="AI712" s="65" t="s">
        <v>3060</v>
      </c>
      <c r="AJ712" s="65"/>
      <c r="AK712" s="97">
        <f t="shared" ca="1" si="121"/>
        <v>56</v>
      </c>
      <c r="AL712">
        <f>IFERROR(VLOOKUP(A712,'DATA CLIENTES'!B5009:I8284,6,FALSE),0)</f>
        <v>0</v>
      </c>
    </row>
    <row r="713" spans="1:38" x14ac:dyDescent="0.25">
      <c r="A713" s="93" t="s">
        <v>10210</v>
      </c>
      <c r="B713" s="68" t="s">
        <v>10211</v>
      </c>
      <c r="C713" s="65"/>
      <c r="D713" s="65"/>
      <c r="E713" s="65"/>
      <c r="F713" s="69" t="s">
        <v>14559</v>
      </c>
      <c r="G713" s="70"/>
      <c r="H713" s="65">
        <v>5500006514</v>
      </c>
      <c r="I713" s="75">
        <f>18335.72-8690-9605.72</f>
        <v>40.000000000001819</v>
      </c>
      <c r="J713" s="75">
        <v>40</v>
      </c>
      <c r="K713" s="75">
        <v>40</v>
      </c>
      <c r="L713" s="74">
        <v>45313</v>
      </c>
      <c r="M713" s="75" t="s">
        <v>14814</v>
      </c>
      <c r="N713" s="75">
        <f>Tabla1[[#This Row],[IMPORTE APROBADO]]-Tabla1[[#This Row],[AMORTIZACION2]]</f>
        <v>1.8189894035458565E-12</v>
      </c>
      <c r="O713" s="65" t="str">
        <f>TEXT(Tabla1[[#This Row],[EMISION]],"mmm")</f>
        <v>Nov</v>
      </c>
      <c r="P713" s="65" t="str">
        <f>TEXT(Tabla1[[#This Row],[EMISION]],"YYYY")</f>
        <v>2023</v>
      </c>
      <c r="Q713" s="71">
        <v>45253</v>
      </c>
      <c r="R713" s="65" t="str">
        <f>TEXT(Tabla1[[#This Row],[VENCIMIENTO]],"mmm")</f>
        <v>Ene</v>
      </c>
      <c r="S713" s="71">
        <f t="shared" si="142"/>
        <v>45313</v>
      </c>
      <c r="T713" s="72">
        <f ca="1">Tabla1[[#This Row],[EMISION]]+Tabla1[[#This Row],[PLAZO]]-TODAY()</f>
        <v>-56</v>
      </c>
      <c r="U713" s="80">
        <f t="shared" ca="1" si="143"/>
        <v>0</v>
      </c>
      <c r="V713" s="72"/>
      <c r="W713" s="73" t="s">
        <v>14307</v>
      </c>
      <c r="X713" s="65">
        <v>60</v>
      </c>
      <c r="Y713" s="65"/>
      <c r="Z713" s="65"/>
      <c r="AA713" s="65"/>
      <c r="AB713" s="65"/>
      <c r="AC713" s="65"/>
      <c r="AD713" s="65"/>
      <c r="AE713" s="65"/>
      <c r="AF713" s="68"/>
      <c r="AG713" s="66"/>
      <c r="AH713" s="67" t="s">
        <v>14308</v>
      </c>
      <c r="AI713" s="65" t="s">
        <v>3060</v>
      </c>
      <c r="AJ713" s="65"/>
      <c r="AK713" s="97">
        <f t="shared" ca="1" si="121"/>
        <v>56</v>
      </c>
      <c r="AL713">
        <f>IFERROR(VLOOKUP(A713,'DATA CLIENTES'!B5010:I8284,6,FALSE),0)</f>
        <v>0</v>
      </c>
    </row>
    <row r="714" spans="1:38" x14ac:dyDescent="0.25">
      <c r="A714" s="93" t="s">
        <v>10210</v>
      </c>
      <c r="B714" s="68" t="s">
        <v>10211</v>
      </c>
      <c r="C714" s="65"/>
      <c r="D714" s="65"/>
      <c r="E714" s="65"/>
      <c r="F714" s="69" t="s">
        <v>14559</v>
      </c>
      <c r="G714" s="70"/>
      <c r="H714" s="65">
        <v>5500006514</v>
      </c>
      <c r="I714" s="75">
        <f>18335.72-9645.72</f>
        <v>8690.0000000000018</v>
      </c>
      <c r="J714" s="75">
        <v>8690</v>
      </c>
      <c r="K714" s="75">
        <v>11000</v>
      </c>
      <c r="L714" s="74">
        <v>45311</v>
      </c>
      <c r="M714" s="75" t="s">
        <v>14819</v>
      </c>
      <c r="N714" s="75">
        <f>Tabla1[[#This Row],[IMPORTE APROBADO]]-Tabla1[[#This Row],[AMORTIZACION2]]</f>
        <v>0</v>
      </c>
      <c r="O714" s="65" t="str">
        <f>TEXT(Tabla1[[#This Row],[EMISION]],"mmm")</f>
        <v>Nov</v>
      </c>
      <c r="P714" s="65" t="str">
        <f>TEXT(Tabla1[[#This Row],[EMISION]],"YYYY")</f>
        <v>2023</v>
      </c>
      <c r="Q714" s="71">
        <v>45253</v>
      </c>
      <c r="R714" s="65" t="str">
        <f>TEXT(Tabla1[[#This Row],[VENCIMIENTO]],"mmm")</f>
        <v>Ene</v>
      </c>
      <c r="S714" s="71">
        <f t="shared" si="142"/>
        <v>45313</v>
      </c>
      <c r="T714" s="72">
        <f ca="1">Tabla1[[#This Row],[EMISION]]+Tabla1[[#This Row],[PLAZO]]-TODAY()</f>
        <v>-56</v>
      </c>
      <c r="U714" s="80">
        <f t="shared" ca="1" si="143"/>
        <v>0</v>
      </c>
      <c r="V714" s="72"/>
      <c r="W714" s="73" t="s">
        <v>14307</v>
      </c>
      <c r="X714" s="65">
        <v>60</v>
      </c>
      <c r="Y714" s="65"/>
      <c r="Z714" s="65"/>
      <c r="AA714" s="65"/>
      <c r="AB714" s="65"/>
      <c r="AC714" s="65"/>
      <c r="AD714" s="65"/>
      <c r="AE714" s="65"/>
      <c r="AF714" s="68"/>
      <c r="AG714" s="66"/>
      <c r="AH714" s="67" t="s">
        <v>14308</v>
      </c>
      <c r="AI714" s="65" t="s">
        <v>3060</v>
      </c>
      <c r="AJ714" s="65"/>
      <c r="AK714" s="97">
        <f t="shared" ca="1" si="121"/>
        <v>56</v>
      </c>
      <c r="AL714">
        <f>IFERROR(VLOOKUP(A714,'DATA CLIENTES'!B5011:I8284,6,FALSE),0)</f>
        <v>0</v>
      </c>
    </row>
    <row r="715" spans="1:38" x14ac:dyDescent="0.25">
      <c r="A715" s="95" t="s">
        <v>3451</v>
      </c>
      <c r="B715" s="76" t="s">
        <v>11799</v>
      </c>
      <c r="C715" s="83"/>
      <c r="D715" s="83"/>
      <c r="E715" s="83"/>
      <c r="F715" s="84" t="s">
        <v>11799</v>
      </c>
      <c r="G715" s="85"/>
      <c r="H715" s="83">
        <v>5500000443</v>
      </c>
      <c r="I715" s="81">
        <v>1303.3200000000002</v>
      </c>
      <c r="J715" s="81">
        <f>370+304+200</f>
        <v>874</v>
      </c>
      <c r="K715" s="81"/>
      <c r="L715" s="82"/>
      <c r="M715" s="81"/>
      <c r="N715" s="81">
        <f>Tabla1[[#This Row],[IMPORTE APROBADO]]-Tabla1[[#This Row],[AMORTIZACION2]]</f>
        <v>429.32000000000016</v>
      </c>
      <c r="O715" s="83" t="str">
        <f>TEXT(Tabla1[[#This Row],[EMISION]],"mmm")</f>
        <v>Nov</v>
      </c>
      <c r="P715" s="83" t="str">
        <f>TEXT(Tabla1[[#This Row],[EMISION]],"YYYY")</f>
        <v>2023</v>
      </c>
      <c r="Q715" s="86">
        <v>45254</v>
      </c>
      <c r="R715" s="83" t="str">
        <f>TEXT(Tabla1[[#This Row],[VENCIMIENTO]],"mmm")</f>
        <v>Dic</v>
      </c>
      <c r="S715" s="86">
        <f t="shared" si="142"/>
        <v>45284</v>
      </c>
      <c r="T715" s="87">
        <f ca="1">Tabla1[[#This Row],[EMISION]]+Tabla1[[#This Row],[PLAZO]]-TODAY()</f>
        <v>-85</v>
      </c>
      <c r="U715" s="88">
        <f t="shared" ca="1" si="143"/>
        <v>0</v>
      </c>
      <c r="V715" s="87"/>
      <c r="W715" s="89" t="s">
        <v>14307</v>
      </c>
      <c r="X715" s="83">
        <v>30</v>
      </c>
      <c r="Y715" s="65"/>
      <c r="Z715" s="65"/>
      <c r="AA715" s="65"/>
      <c r="AB715" s="65"/>
      <c r="AC715" s="65"/>
      <c r="AD715" s="65"/>
      <c r="AE715" s="65"/>
      <c r="AF715" s="68"/>
      <c r="AG715" s="90"/>
      <c r="AH715" s="91" t="s">
        <v>14313</v>
      </c>
      <c r="AI715" s="83" t="s">
        <v>3060</v>
      </c>
      <c r="AJ715" s="83"/>
      <c r="AK715" s="97">
        <f t="shared" ca="1" si="121"/>
        <v>85</v>
      </c>
      <c r="AL715">
        <f>IFERROR(VLOOKUP(A715,'DATA CLIENTES'!B5012:I8284,6,FALSE),0)</f>
        <v>0</v>
      </c>
    </row>
    <row r="716" spans="1:38" x14ac:dyDescent="0.25">
      <c r="A716" s="93" t="s">
        <v>9248</v>
      </c>
      <c r="B716" s="68" t="s">
        <v>9249</v>
      </c>
      <c r="C716" s="65"/>
      <c r="D716" s="65"/>
      <c r="E716" s="65"/>
      <c r="F716" s="69" t="s">
        <v>11799</v>
      </c>
      <c r="G716" s="70"/>
      <c r="H716" s="65">
        <v>5600006279</v>
      </c>
      <c r="I716" s="75">
        <v>3713</v>
      </c>
      <c r="J716" s="75">
        <v>3713</v>
      </c>
      <c r="K716" s="75"/>
      <c r="L716" s="74"/>
      <c r="M716" s="75"/>
      <c r="N716" s="75">
        <f>Tabla1[[#This Row],[IMPORTE APROBADO]]-Tabla1[[#This Row],[AMORTIZACION2]]</f>
        <v>0</v>
      </c>
      <c r="O716" s="65" t="str">
        <f>TEXT(Tabla1[[#This Row],[EMISION]],"mmm")</f>
        <v>Nov</v>
      </c>
      <c r="P716" s="65" t="str">
        <f>TEXT(Tabla1[[#This Row],[EMISION]],"YYYY")</f>
        <v>2023</v>
      </c>
      <c r="Q716" s="71">
        <v>45254</v>
      </c>
      <c r="R716" s="65" t="str">
        <f>TEXT(Tabla1[[#This Row],[VENCIMIENTO]],"mmm")</f>
        <v>Dic</v>
      </c>
      <c r="S716" s="71">
        <f t="shared" ref="S716:S727" si="144">Q716+X716</f>
        <v>45284</v>
      </c>
      <c r="T716" s="72">
        <f ca="1">Tabla1[[#This Row],[EMISION]]+Tabla1[[#This Row],[PLAZO]]-TODAY()</f>
        <v>-85</v>
      </c>
      <c r="U716" s="80">
        <f t="shared" ref="U716:U727" ca="1" si="145">IF(T716&gt;=0,$U$4,IF(AND(T716&lt;=-1,T716&gt;=-30),$U$5,IF(AND(T716&lt;=-31,T716&gt;=-60),$U$6,IF(AND(T716&lt;=-61,T716&gt;=-90),$U$7,$U$8))))</f>
        <v>0</v>
      </c>
      <c r="V716" s="72"/>
      <c r="W716" s="73" t="s">
        <v>14307</v>
      </c>
      <c r="X716" s="65">
        <v>30</v>
      </c>
      <c r="Y716" s="65"/>
      <c r="Z716" s="65"/>
      <c r="AA716" s="65"/>
      <c r="AB716" s="65"/>
      <c r="AC716" s="65"/>
      <c r="AD716" s="65"/>
      <c r="AE716" s="65"/>
      <c r="AF716" s="68"/>
      <c r="AG716" s="66">
        <v>45275</v>
      </c>
      <c r="AH716" s="67" t="s">
        <v>14308</v>
      </c>
      <c r="AI716" s="65" t="s">
        <v>3060</v>
      </c>
      <c r="AJ716" s="65"/>
      <c r="AK716" s="97">
        <f t="shared" ca="1" si="121"/>
        <v>85</v>
      </c>
      <c r="AL716">
        <f>IFERROR(VLOOKUP(A716,'DATA CLIENTES'!B5013:I8284,6,FALSE),0)</f>
        <v>0</v>
      </c>
    </row>
    <row r="717" spans="1:38" x14ac:dyDescent="0.25">
      <c r="A717" s="93" t="s">
        <v>6116</v>
      </c>
      <c r="B717" s="68" t="s">
        <v>6117</v>
      </c>
      <c r="C717" s="65"/>
      <c r="D717" s="65"/>
      <c r="E717" s="65"/>
      <c r="F717" s="69" t="s">
        <v>14804</v>
      </c>
      <c r="G717" s="70"/>
      <c r="H717" s="65">
        <v>5500006523</v>
      </c>
      <c r="I717" s="75">
        <v>4888.7</v>
      </c>
      <c r="J717" s="75"/>
      <c r="K717" s="75"/>
      <c r="L717" s="74"/>
      <c r="M717" s="75"/>
      <c r="N717" s="75">
        <f>Tabla1[[#This Row],[IMPORTE APROBADO]]-Tabla1[[#This Row],[AMORTIZACION2]]</f>
        <v>4888.7</v>
      </c>
      <c r="O717" s="65" t="str">
        <f>TEXT(Tabla1[[#This Row],[EMISION]],"mmm")</f>
        <v>Nov</v>
      </c>
      <c r="P717" s="65" t="str">
        <f>TEXT(Tabla1[[#This Row],[EMISION]],"YYYY")</f>
        <v>2023</v>
      </c>
      <c r="Q717" s="71">
        <v>45255</v>
      </c>
      <c r="R717" s="65" t="str">
        <f>TEXT(Tabla1[[#This Row],[VENCIMIENTO]],"mmm")</f>
        <v>Dic</v>
      </c>
      <c r="S717" s="71">
        <f t="shared" si="144"/>
        <v>45270</v>
      </c>
      <c r="T717" s="72">
        <f ca="1">Tabla1[[#This Row],[EMISION]]+Tabla1[[#This Row],[PLAZO]]-TODAY()</f>
        <v>-99</v>
      </c>
      <c r="U717" s="80">
        <f t="shared" ca="1" si="145"/>
        <v>0</v>
      </c>
      <c r="V717" s="72"/>
      <c r="W717" s="73" t="s">
        <v>14307</v>
      </c>
      <c r="X717" s="65">
        <v>15</v>
      </c>
      <c r="Y717" s="65"/>
      <c r="Z717" s="65"/>
      <c r="AA717" s="65"/>
      <c r="AB717" s="65"/>
      <c r="AC717" s="65"/>
      <c r="AD717" s="65"/>
      <c r="AE717" s="65"/>
      <c r="AF717" s="68"/>
      <c r="AG717" s="66"/>
      <c r="AH717" s="67" t="s">
        <v>14313</v>
      </c>
      <c r="AI717" s="65" t="s">
        <v>3060</v>
      </c>
      <c r="AJ717" s="65"/>
      <c r="AK717" s="97">
        <f t="shared" ca="1" si="121"/>
        <v>99</v>
      </c>
      <c r="AL717">
        <f>IFERROR(VLOOKUP(A717,'DATA CLIENTES'!B5014:I8284,6,FALSE),0)</f>
        <v>0</v>
      </c>
    </row>
    <row r="718" spans="1:38" x14ac:dyDescent="0.25">
      <c r="A718" s="93" t="s">
        <v>9902</v>
      </c>
      <c r="B718" s="68" t="s">
        <v>9903</v>
      </c>
      <c r="C718" s="65"/>
      <c r="D718" s="65"/>
      <c r="E718" s="65"/>
      <c r="F718" s="69" t="s">
        <v>14559</v>
      </c>
      <c r="G718" s="70"/>
      <c r="H718" s="65">
        <v>5500006524</v>
      </c>
      <c r="I718" s="75">
        <f>5863-1863</f>
        <v>4000</v>
      </c>
      <c r="J718" s="75">
        <f>2000+2000</f>
        <v>4000</v>
      </c>
      <c r="K718" s="75"/>
      <c r="L718" s="74"/>
      <c r="M718" s="75"/>
      <c r="N718" s="75">
        <f>Tabla1[[#This Row],[IMPORTE APROBADO]]-Tabla1[[#This Row],[AMORTIZACION2]]</f>
        <v>0</v>
      </c>
      <c r="O718" s="65" t="str">
        <f>TEXT(Tabla1[[#This Row],[EMISION]],"mmm")</f>
        <v>Nov</v>
      </c>
      <c r="P718" s="65" t="str">
        <f>TEXT(Tabla1[[#This Row],[EMISION]],"YYYY")</f>
        <v>2023</v>
      </c>
      <c r="Q718" s="71">
        <v>45257</v>
      </c>
      <c r="R718" s="65" t="str">
        <f>TEXT(Tabla1[[#This Row],[VENCIMIENTO]],"mmm")</f>
        <v>Dic</v>
      </c>
      <c r="S718" s="71">
        <f t="shared" si="144"/>
        <v>45282</v>
      </c>
      <c r="T718" s="72">
        <f ca="1">Tabla1[[#This Row],[EMISION]]+Tabla1[[#This Row],[PLAZO]]-TODAY()</f>
        <v>-87</v>
      </c>
      <c r="U718" s="80">
        <f t="shared" ca="1" si="145"/>
        <v>0</v>
      </c>
      <c r="V718" s="72"/>
      <c r="W718" s="73" t="s">
        <v>14307</v>
      </c>
      <c r="X718" s="65">
        <v>25</v>
      </c>
      <c r="Y718" s="65"/>
      <c r="Z718" s="65"/>
      <c r="AA718" s="65"/>
      <c r="AB718" s="65"/>
      <c r="AC718" s="65"/>
      <c r="AD718" s="65"/>
      <c r="AE718" s="65"/>
      <c r="AF718" s="68"/>
      <c r="AG718" s="66"/>
      <c r="AH718" s="67" t="s">
        <v>14308</v>
      </c>
      <c r="AI718" s="65" t="s">
        <v>3060</v>
      </c>
      <c r="AJ718" s="65"/>
      <c r="AK718" s="97">
        <f t="shared" ref="AK718:AK781" ca="1" si="146">TODAY() - S718</f>
        <v>87</v>
      </c>
      <c r="AL718">
        <f>IFERROR(VLOOKUP(A718,'DATA CLIENTES'!B5015:I8284,6,FALSE),0)</f>
        <v>0</v>
      </c>
    </row>
    <row r="719" spans="1:38" x14ac:dyDescent="0.25">
      <c r="A719" s="93" t="s">
        <v>9902</v>
      </c>
      <c r="B719" s="68" t="s">
        <v>9903</v>
      </c>
      <c r="C719" s="65"/>
      <c r="D719" s="65"/>
      <c r="E719" s="65"/>
      <c r="F719" s="69" t="s">
        <v>14559</v>
      </c>
      <c r="G719" s="70"/>
      <c r="H719" s="65">
        <v>5500006524</v>
      </c>
      <c r="I719" s="75">
        <f>5863-4000</f>
        <v>1863</v>
      </c>
      <c r="J719" s="75">
        <v>1863</v>
      </c>
      <c r="K719" s="75">
        <v>1863</v>
      </c>
      <c r="L719" s="74">
        <v>45303</v>
      </c>
      <c r="M719" s="75" t="s">
        <v>14814</v>
      </c>
      <c r="N719" s="75">
        <f>Tabla1[[#This Row],[IMPORTE APROBADO]]-Tabla1[[#This Row],[AMORTIZACION2]]</f>
        <v>0</v>
      </c>
      <c r="O719" s="65" t="str">
        <f>TEXT(Tabla1[[#This Row],[EMISION]],"mmm")</f>
        <v>Nov</v>
      </c>
      <c r="P719" s="65" t="str">
        <f>TEXT(Tabla1[[#This Row],[EMISION]],"YYYY")</f>
        <v>2023</v>
      </c>
      <c r="Q719" s="71">
        <v>45257</v>
      </c>
      <c r="R719" s="65" t="str">
        <f>TEXT(Tabla1[[#This Row],[VENCIMIENTO]],"mmm")</f>
        <v>Dic</v>
      </c>
      <c r="S719" s="71">
        <f t="shared" si="144"/>
        <v>45282</v>
      </c>
      <c r="T719" s="72">
        <f ca="1">Tabla1[[#This Row],[EMISION]]+Tabla1[[#This Row],[PLAZO]]-TODAY()</f>
        <v>-87</v>
      </c>
      <c r="U719" s="80">
        <f t="shared" ca="1" si="145"/>
        <v>0</v>
      </c>
      <c r="V719" s="72"/>
      <c r="W719" s="73" t="s">
        <v>14307</v>
      </c>
      <c r="X719" s="65">
        <v>25</v>
      </c>
      <c r="Y719" s="65"/>
      <c r="Z719" s="65"/>
      <c r="AA719" s="65"/>
      <c r="AB719" s="65"/>
      <c r="AC719" s="65"/>
      <c r="AD719" s="65"/>
      <c r="AE719" s="65"/>
      <c r="AF719" s="68"/>
      <c r="AG719" s="66"/>
      <c r="AH719" s="67" t="s">
        <v>14308</v>
      </c>
      <c r="AI719" s="65" t="s">
        <v>3060</v>
      </c>
      <c r="AJ719" s="65"/>
      <c r="AK719" s="97">
        <f t="shared" ca="1" si="146"/>
        <v>87</v>
      </c>
      <c r="AL719">
        <f>IFERROR(VLOOKUP(A719,'DATA CLIENTES'!B5016:I8284,6,FALSE),0)</f>
        <v>0</v>
      </c>
    </row>
    <row r="720" spans="1:38" x14ac:dyDescent="0.25">
      <c r="A720" s="93" t="s">
        <v>8205</v>
      </c>
      <c r="B720" s="68" t="s">
        <v>8206</v>
      </c>
      <c r="C720" s="65"/>
      <c r="D720" s="65"/>
      <c r="E720" s="65"/>
      <c r="F720" s="69" t="s">
        <v>14808</v>
      </c>
      <c r="G720" s="70"/>
      <c r="H720" s="65">
        <v>5300000308</v>
      </c>
      <c r="I720" s="75">
        <v>24770</v>
      </c>
      <c r="J720" s="75">
        <v>24770</v>
      </c>
      <c r="K720" s="75">
        <v>24770</v>
      </c>
      <c r="L720" s="74">
        <v>45286</v>
      </c>
      <c r="M720" s="75" t="s">
        <v>14433</v>
      </c>
      <c r="N720" s="75">
        <f>Tabla1[[#This Row],[IMPORTE APROBADO]]-Tabla1[[#This Row],[AMORTIZACION2]]</f>
        <v>0</v>
      </c>
      <c r="O720" s="65" t="str">
        <f>TEXT(Tabla1[[#This Row],[EMISION]],"mmm")</f>
        <v>Nov</v>
      </c>
      <c r="P720" s="65" t="str">
        <f>TEXT(Tabla1[[#This Row],[EMISION]],"YYYY")</f>
        <v>2023</v>
      </c>
      <c r="Q720" s="71">
        <v>45257</v>
      </c>
      <c r="R720" s="65" t="str">
        <f>TEXT(Tabla1[[#This Row],[VENCIMIENTO]],"mmm")</f>
        <v>Dic</v>
      </c>
      <c r="S720" s="71">
        <f t="shared" si="144"/>
        <v>45272</v>
      </c>
      <c r="T720" s="72">
        <f ca="1">Tabla1[[#This Row],[EMISION]]+Tabla1[[#This Row],[PLAZO]]-TODAY()</f>
        <v>-97</v>
      </c>
      <c r="U720" s="80">
        <f t="shared" ca="1" si="145"/>
        <v>0</v>
      </c>
      <c r="V720" s="72"/>
      <c r="W720" s="73" t="s">
        <v>14307</v>
      </c>
      <c r="X720" s="65">
        <v>15</v>
      </c>
      <c r="Y720" s="65"/>
      <c r="Z720" s="65"/>
      <c r="AA720" s="65"/>
      <c r="AB720" s="65"/>
      <c r="AC720" s="65"/>
      <c r="AD720" s="65"/>
      <c r="AE720" s="65"/>
      <c r="AF720" s="68"/>
      <c r="AG720" s="66"/>
      <c r="AH720" s="67" t="s">
        <v>14308</v>
      </c>
      <c r="AI720" s="65" t="s">
        <v>3060</v>
      </c>
      <c r="AJ720" s="65"/>
      <c r="AK720" s="97">
        <f t="shared" ca="1" si="146"/>
        <v>97</v>
      </c>
      <c r="AL720">
        <f>IFERROR(VLOOKUP(A720,'DATA CLIENTES'!B5017:I8284,6,FALSE),0)</f>
        <v>0</v>
      </c>
    </row>
    <row r="721" spans="1:38" x14ac:dyDescent="0.25">
      <c r="A721" s="93" t="s">
        <v>9345</v>
      </c>
      <c r="B721" s="68" t="s">
        <v>9346</v>
      </c>
      <c r="C721" s="65"/>
      <c r="D721" s="65"/>
      <c r="E721" s="65"/>
      <c r="F721" s="69" t="s">
        <v>14559</v>
      </c>
      <c r="G721" s="70"/>
      <c r="H721" s="65">
        <v>5500006559</v>
      </c>
      <c r="I721" s="75">
        <v>8352</v>
      </c>
      <c r="J721" s="75">
        <f>2000+4000+2352</f>
        <v>8352</v>
      </c>
      <c r="K721" s="75"/>
      <c r="L721" s="75"/>
      <c r="M721" s="75"/>
      <c r="N721" s="75">
        <f>Tabla1[[#This Row],[IMPORTE APROBADO]]-Tabla1[[#This Row],[AMORTIZACION2]]</f>
        <v>0</v>
      </c>
      <c r="O721" s="65" t="str">
        <f>TEXT(Tabla1[[#This Row],[EMISION]],"mmm")</f>
        <v>Nov</v>
      </c>
      <c r="P721" s="65" t="str">
        <f>TEXT(Tabla1[[#This Row],[EMISION]],"YYYY")</f>
        <v>2023</v>
      </c>
      <c r="Q721" s="71">
        <v>45260</v>
      </c>
      <c r="R721" s="65" t="str">
        <f>TEXT(Tabla1[[#This Row],[VENCIMIENTO]],"mmm")</f>
        <v>Dic</v>
      </c>
      <c r="S721" s="71">
        <f t="shared" si="144"/>
        <v>45280</v>
      </c>
      <c r="T721" s="72">
        <f ca="1">Tabla1[[#This Row],[EMISION]]+Tabla1[[#This Row],[PLAZO]]-TODAY()</f>
        <v>-89</v>
      </c>
      <c r="U721" s="80">
        <f t="shared" ca="1" si="145"/>
        <v>0</v>
      </c>
      <c r="V721" s="72"/>
      <c r="W721" s="73" t="s">
        <v>14307</v>
      </c>
      <c r="X721" s="65">
        <v>20</v>
      </c>
      <c r="Y721" s="65"/>
      <c r="Z721" s="65"/>
      <c r="AA721" s="65"/>
      <c r="AB721" s="65"/>
      <c r="AC721" s="65"/>
      <c r="AD721" s="65"/>
      <c r="AE721" s="65"/>
      <c r="AF721" s="68"/>
      <c r="AG721" s="66">
        <v>45288</v>
      </c>
      <c r="AH721" s="67" t="s">
        <v>14308</v>
      </c>
      <c r="AI721" s="65" t="s">
        <v>3060</v>
      </c>
      <c r="AJ721" s="65"/>
      <c r="AK721" s="97">
        <f t="shared" ca="1" si="146"/>
        <v>89</v>
      </c>
      <c r="AL721">
        <f>IFERROR(VLOOKUP(A721,'DATA CLIENTES'!B5018:I8284,6,FALSE),0)</f>
        <v>0</v>
      </c>
    </row>
    <row r="722" spans="1:38" x14ac:dyDescent="0.25">
      <c r="A722" s="93" t="s">
        <v>10210</v>
      </c>
      <c r="B722" s="68" t="s">
        <v>10211</v>
      </c>
      <c r="C722" s="65"/>
      <c r="D722" s="65"/>
      <c r="E722" s="65"/>
      <c r="F722" s="69" t="s">
        <v>14559</v>
      </c>
      <c r="G722" s="70"/>
      <c r="H722" s="65">
        <v>5500006552</v>
      </c>
      <c r="I722" s="75">
        <v>10200</v>
      </c>
      <c r="J722" s="75"/>
      <c r="K722" s="75"/>
      <c r="L722" s="75"/>
      <c r="M722" s="75"/>
      <c r="N722" s="75">
        <f>Tabla1[[#This Row],[IMPORTE APROBADO]]-Tabla1[[#This Row],[AMORTIZACION2]]</f>
        <v>10200</v>
      </c>
      <c r="O722" s="65" t="str">
        <f>TEXT(Tabla1[[#This Row],[EMISION]],"mmm")</f>
        <v>Nov</v>
      </c>
      <c r="P722" s="65" t="str">
        <f>TEXT(Tabla1[[#This Row],[EMISION]],"YYYY")</f>
        <v>2023</v>
      </c>
      <c r="Q722" s="71">
        <v>45260</v>
      </c>
      <c r="R722" s="65" t="str">
        <f>TEXT(Tabla1[[#This Row],[VENCIMIENTO]],"mmm")</f>
        <v>Ene</v>
      </c>
      <c r="S722" s="71">
        <f t="shared" si="144"/>
        <v>45320</v>
      </c>
      <c r="T722" s="72">
        <f ca="1">Tabla1[[#This Row],[EMISION]]+Tabla1[[#This Row],[PLAZO]]-TODAY()</f>
        <v>-49</v>
      </c>
      <c r="U722" s="80">
        <f t="shared" ca="1" si="145"/>
        <v>0</v>
      </c>
      <c r="V722" s="72"/>
      <c r="W722" s="73" t="s">
        <v>14307</v>
      </c>
      <c r="X722" s="65">
        <v>60</v>
      </c>
      <c r="Y722" s="65"/>
      <c r="Z722" s="65"/>
      <c r="AA722" s="65"/>
      <c r="AB722" s="65"/>
      <c r="AC722" s="65"/>
      <c r="AD722" s="65"/>
      <c r="AE722" s="65"/>
      <c r="AF722" s="68"/>
      <c r="AG722" s="66"/>
      <c r="AH722" s="67" t="s">
        <v>14313</v>
      </c>
      <c r="AI722" s="65" t="s">
        <v>3060</v>
      </c>
      <c r="AJ722" s="65"/>
      <c r="AK722" s="97">
        <f t="shared" ca="1" si="146"/>
        <v>49</v>
      </c>
      <c r="AL722">
        <f>IFERROR(VLOOKUP(A722,'DATA CLIENTES'!B5019:I8284,6,FALSE),0)</f>
        <v>0</v>
      </c>
    </row>
    <row r="723" spans="1:38" x14ac:dyDescent="0.25">
      <c r="A723" s="93" t="s">
        <v>10210</v>
      </c>
      <c r="B723" s="68" t="s">
        <v>10211</v>
      </c>
      <c r="C723" s="65"/>
      <c r="D723" s="65"/>
      <c r="E723" s="65"/>
      <c r="F723" s="69" t="s">
        <v>14559</v>
      </c>
      <c r="G723" s="70"/>
      <c r="H723" s="65">
        <v>5500006571</v>
      </c>
      <c r="I723" s="75">
        <f>11040-4000</f>
        <v>7040</v>
      </c>
      <c r="J723" s="75">
        <v>7040</v>
      </c>
      <c r="K723" s="75">
        <v>7040</v>
      </c>
      <c r="L723" s="74">
        <v>45297</v>
      </c>
      <c r="M723" s="75" t="s">
        <v>14814</v>
      </c>
      <c r="N723" s="75">
        <f>Tabla1[[#This Row],[IMPORTE APROBADO]]-Tabla1[[#This Row],[AMORTIZACION2]]</f>
        <v>0</v>
      </c>
      <c r="O723" s="65" t="str">
        <f>TEXT(Tabla1[[#This Row],[EMISION]],"mmm")</f>
        <v>Nov</v>
      </c>
      <c r="P723" s="65" t="str">
        <f>TEXT(Tabla1[[#This Row],[EMISION]],"YYYY")</f>
        <v>2023</v>
      </c>
      <c r="Q723" s="71">
        <v>45260</v>
      </c>
      <c r="R723" s="65" t="str">
        <f>TEXT(Tabla1[[#This Row],[VENCIMIENTO]],"mmm")</f>
        <v>Dic</v>
      </c>
      <c r="S723" s="71">
        <f t="shared" si="144"/>
        <v>45290</v>
      </c>
      <c r="T723" s="72">
        <f ca="1">Tabla1[[#This Row],[EMISION]]+Tabla1[[#This Row],[PLAZO]]-TODAY()</f>
        <v>-79</v>
      </c>
      <c r="U723" s="80">
        <f t="shared" ca="1" si="145"/>
        <v>0</v>
      </c>
      <c r="V723" s="72"/>
      <c r="W723" s="73" t="s">
        <v>14307</v>
      </c>
      <c r="X723" s="65">
        <v>30</v>
      </c>
      <c r="Y723" s="65"/>
      <c r="Z723" s="65"/>
      <c r="AA723" s="65"/>
      <c r="AB723" s="65"/>
      <c r="AC723" s="65"/>
      <c r="AD723" s="65"/>
      <c r="AE723" s="65"/>
      <c r="AF723" s="68"/>
      <c r="AG723" s="66"/>
      <c r="AH723" s="67" t="s">
        <v>14313</v>
      </c>
      <c r="AI723" s="65" t="s">
        <v>3060</v>
      </c>
      <c r="AJ723" s="65"/>
      <c r="AK723" s="97">
        <f t="shared" ca="1" si="146"/>
        <v>79</v>
      </c>
      <c r="AL723">
        <f>IFERROR(VLOOKUP(A723,'DATA CLIENTES'!B5020:I8284,6,FALSE),0)</f>
        <v>0</v>
      </c>
    </row>
    <row r="724" spans="1:38" x14ac:dyDescent="0.25">
      <c r="A724" s="93" t="s">
        <v>10210</v>
      </c>
      <c r="B724" s="68" t="s">
        <v>10211</v>
      </c>
      <c r="C724" s="65"/>
      <c r="D724" s="65"/>
      <c r="E724" s="65"/>
      <c r="F724" s="69" t="s">
        <v>14559</v>
      </c>
      <c r="G724" s="70"/>
      <c r="H724" s="65">
        <v>5500006571</v>
      </c>
      <c r="I724" s="75">
        <f>11040-7040</f>
        <v>4000</v>
      </c>
      <c r="J724" s="75">
        <v>4000</v>
      </c>
      <c r="K724" s="75">
        <v>4000</v>
      </c>
      <c r="L724" s="74">
        <v>45301</v>
      </c>
      <c r="M724" s="75" t="s">
        <v>14814</v>
      </c>
      <c r="N724" s="75">
        <f>Tabla1[[#This Row],[IMPORTE APROBADO]]-Tabla1[[#This Row],[AMORTIZACION2]]</f>
        <v>0</v>
      </c>
      <c r="O724" s="65" t="str">
        <f>TEXT(Tabla1[[#This Row],[EMISION]],"mmm")</f>
        <v>Nov</v>
      </c>
      <c r="P724" s="65" t="str">
        <f>TEXT(Tabla1[[#This Row],[EMISION]],"YYYY")</f>
        <v>2023</v>
      </c>
      <c r="Q724" s="71">
        <v>45260</v>
      </c>
      <c r="R724" s="65" t="str">
        <f>TEXT(Tabla1[[#This Row],[VENCIMIENTO]],"mmm")</f>
        <v>Dic</v>
      </c>
      <c r="S724" s="71">
        <f t="shared" si="144"/>
        <v>45290</v>
      </c>
      <c r="T724" s="72">
        <f ca="1">Tabla1[[#This Row],[EMISION]]+Tabla1[[#This Row],[PLAZO]]-TODAY()</f>
        <v>-79</v>
      </c>
      <c r="U724" s="80">
        <f t="shared" ca="1" si="145"/>
        <v>0</v>
      </c>
      <c r="V724" s="72"/>
      <c r="W724" s="73" t="s">
        <v>14307</v>
      </c>
      <c r="X724" s="65">
        <v>30</v>
      </c>
      <c r="Y724" s="65"/>
      <c r="Z724" s="65"/>
      <c r="AA724" s="65"/>
      <c r="AB724" s="65"/>
      <c r="AC724" s="65"/>
      <c r="AD724" s="65"/>
      <c r="AE724" s="65"/>
      <c r="AF724" s="68"/>
      <c r="AG724" s="66"/>
      <c r="AH724" s="67" t="s">
        <v>14308</v>
      </c>
      <c r="AI724" s="65" t="s">
        <v>3060</v>
      </c>
      <c r="AJ724" s="65"/>
      <c r="AK724" s="97">
        <f t="shared" ca="1" si="146"/>
        <v>79</v>
      </c>
      <c r="AL724">
        <f>IFERROR(VLOOKUP(A724,'DATA CLIENTES'!B5021:I8284,6,FALSE),0)</f>
        <v>0</v>
      </c>
    </row>
    <row r="725" spans="1:38" x14ac:dyDescent="0.25">
      <c r="A725" s="93" t="s">
        <v>9412</v>
      </c>
      <c r="B725" s="68" t="s">
        <v>9413</v>
      </c>
      <c r="C725" s="65"/>
      <c r="D725" s="65"/>
      <c r="E725" s="65"/>
      <c r="F725" s="69" t="s">
        <v>14559</v>
      </c>
      <c r="G725" s="70"/>
      <c r="H725" s="65">
        <v>5500006555</v>
      </c>
      <c r="I725" s="75">
        <v>964.97</v>
      </c>
      <c r="J725" s="75">
        <f>300+350+314.9</f>
        <v>964.9</v>
      </c>
      <c r="K725" s="75"/>
      <c r="L725" s="75"/>
      <c r="M725" s="75"/>
      <c r="N725" s="75">
        <f>Tabla1[[#This Row],[IMPORTE APROBADO]]-Tabla1[[#This Row],[AMORTIZACION2]]</f>
        <v>7.0000000000050022E-2</v>
      </c>
      <c r="O725" s="65" t="str">
        <f>TEXT(Tabla1[[#This Row],[EMISION]],"mmm")</f>
        <v>Nov</v>
      </c>
      <c r="P725" s="65" t="str">
        <f>TEXT(Tabla1[[#This Row],[EMISION]],"YYYY")</f>
        <v>2023</v>
      </c>
      <c r="Q725" s="71">
        <v>45260</v>
      </c>
      <c r="R725" s="65" t="str">
        <f>TEXT(Tabla1[[#This Row],[VENCIMIENTO]],"mmm")</f>
        <v>Dic</v>
      </c>
      <c r="S725" s="71">
        <f t="shared" si="144"/>
        <v>45290</v>
      </c>
      <c r="T725" s="72">
        <f ca="1">Tabla1[[#This Row],[EMISION]]+Tabla1[[#This Row],[PLAZO]]-TODAY()</f>
        <v>-79</v>
      </c>
      <c r="U725" s="80">
        <f t="shared" ca="1" si="145"/>
        <v>0</v>
      </c>
      <c r="V725" s="72"/>
      <c r="W725" s="73" t="s">
        <v>14307</v>
      </c>
      <c r="X725" s="65">
        <v>30</v>
      </c>
      <c r="Y725" s="65"/>
      <c r="Z725" s="65"/>
      <c r="AA725" s="65"/>
      <c r="AB725" s="65"/>
      <c r="AC725" s="65"/>
      <c r="AD725" s="65"/>
      <c r="AE725" s="65"/>
      <c r="AF725" s="68"/>
      <c r="AG725" s="66">
        <v>45297</v>
      </c>
      <c r="AH725" s="67" t="s">
        <v>14308</v>
      </c>
      <c r="AI725" s="65" t="s">
        <v>3060</v>
      </c>
      <c r="AJ725" s="65"/>
      <c r="AK725" s="97">
        <f t="shared" ca="1" si="146"/>
        <v>79</v>
      </c>
      <c r="AL725">
        <f>IFERROR(VLOOKUP(A725,'DATA CLIENTES'!B5022:I8284,6,FALSE),0)</f>
        <v>0</v>
      </c>
    </row>
    <row r="726" spans="1:38" x14ac:dyDescent="0.25">
      <c r="A726" s="93" t="s">
        <v>6039</v>
      </c>
      <c r="B726" s="68" t="s">
        <v>6040</v>
      </c>
      <c r="C726" s="65"/>
      <c r="D726" s="65"/>
      <c r="E726" s="65"/>
      <c r="F726" s="69" t="s">
        <v>11799</v>
      </c>
      <c r="G726" s="70"/>
      <c r="H726" s="65">
        <v>5500006569</v>
      </c>
      <c r="I726" s="75">
        <v>4200</v>
      </c>
      <c r="J726" s="75">
        <v>4200</v>
      </c>
      <c r="K726" s="75"/>
      <c r="L726" s="75"/>
      <c r="M726" s="75"/>
      <c r="N726" s="75">
        <f>Tabla1[[#This Row],[IMPORTE APROBADO]]-Tabla1[[#This Row],[AMORTIZACION2]]</f>
        <v>0</v>
      </c>
      <c r="O726" s="65" t="str">
        <f>TEXT(Tabla1[[#This Row],[EMISION]],"mmm")</f>
        <v>Nov</v>
      </c>
      <c r="P726" s="65" t="str">
        <f>TEXT(Tabla1[[#This Row],[EMISION]],"YYYY")</f>
        <v>2023</v>
      </c>
      <c r="Q726" s="71">
        <v>45260</v>
      </c>
      <c r="R726" s="65" t="str">
        <f>TEXT(Tabla1[[#This Row],[VENCIMIENTO]],"mmm")</f>
        <v>Dic</v>
      </c>
      <c r="S726" s="71">
        <f t="shared" si="144"/>
        <v>45275</v>
      </c>
      <c r="T726" s="72">
        <f ca="1">Tabla1[[#This Row],[EMISION]]+Tabla1[[#This Row],[PLAZO]]-TODAY()</f>
        <v>-94</v>
      </c>
      <c r="U726" s="80">
        <f t="shared" ca="1" si="145"/>
        <v>0</v>
      </c>
      <c r="V726" s="72"/>
      <c r="W726" s="73" t="s">
        <v>14307</v>
      </c>
      <c r="X726" s="65">
        <v>15</v>
      </c>
      <c r="Y726" s="65"/>
      <c r="Z726" s="65"/>
      <c r="AA726" s="65"/>
      <c r="AB726" s="65"/>
      <c r="AC726" s="65"/>
      <c r="AD726" s="65"/>
      <c r="AE726" s="65"/>
      <c r="AF726" s="68"/>
      <c r="AG726" s="66">
        <v>45280</v>
      </c>
      <c r="AH726" s="67" t="s">
        <v>14308</v>
      </c>
      <c r="AI726" s="65" t="s">
        <v>3060</v>
      </c>
      <c r="AJ726" s="65"/>
      <c r="AK726" s="97">
        <f t="shared" ca="1" si="146"/>
        <v>94</v>
      </c>
      <c r="AL726">
        <f>IFERROR(VLOOKUP(A726,'DATA CLIENTES'!B5023:I8284,6,FALSE),0)</f>
        <v>0</v>
      </c>
    </row>
    <row r="727" spans="1:38" x14ac:dyDescent="0.25">
      <c r="A727" s="93" t="s">
        <v>5473</v>
      </c>
      <c r="B727" s="68" t="s">
        <v>14807</v>
      </c>
      <c r="C727" s="65"/>
      <c r="D727" s="65"/>
      <c r="E727" s="65"/>
      <c r="F727" s="69" t="s">
        <v>14559</v>
      </c>
      <c r="G727" s="70"/>
      <c r="H727" s="65">
        <v>5500006565</v>
      </c>
      <c r="I727" s="75">
        <v>4176</v>
      </c>
      <c r="J727" s="75">
        <f>2000+2176</f>
        <v>4176</v>
      </c>
      <c r="K727" s="75"/>
      <c r="L727" s="75"/>
      <c r="M727" s="75"/>
      <c r="N727" s="75">
        <f>Tabla1[[#This Row],[IMPORTE APROBADO]]-Tabla1[[#This Row],[AMORTIZACION2]]</f>
        <v>0</v>
      </c>
      <c r="O727" s="65" t="str">
        <f>TEXT(Tabla1[[#This Row],[EMISION]],"mmm")</f>
        <v>Nov</v>
      </c>
      <c r="P727" s="65" t="str">
        <f>TEXT(Tabla1[[#This Row],[EMISION]],"YYYY")</f>
        <v>2023</v>
      </c>
      <c r="Q727" s="71">
        <v>45260</v>
      </c>
      <c r="R727" s="65" t="str">
        <f>TEXT(Tabla1[[#This Row],[VENCIMIENTO]],"mmm")</f>
        <v>Dic</v>
      </c>
      <c r="S727" s="71">
        <f t="shared" si="144"/>
        <v>45290</v>
      </c>
      <c r="T727" s="72">
        <f ca="1">Tabla1[[#This Row],[EMISION]]+Tabla1[[#This Row],[PLAZO]]-TODAY()</f>
        <v>-79</v>
      </c>
      <c r="U727" s="80">
        <f t="shared" ca="1" si="145"/>
        <v>0</v>
      </c>
      <c r="V727" s="72"/>
      <c r="W727" s="73" t="s">
        <v>14307</v>
      </c>
      <c r="X727" s="65">
        <v>30</v>
      </c>
      <c r="Y727" s="65"/>
      <c r="Z727" s="65"/>
      <c r="AA727" s="65"/>
      <c r="AB727" s="65"/>
      <c r="AC727" s="65"/>
      <c r="AD727" s="65"/>
      <c r="AE727" s="65"/>
      <c r="AF727" s="68"/>
      <c r="AG727" s="66">
        <v>45287</v>
      </c>
      <c r="AH727" s="67" t="s">
        <v>14308</v>
      </c>
      <c r="AI727" s="65" t="s">
        <v>3060</v>
      </c>
      <c r="AJ727" s="65"/>
      <c r="AK727" s="97">
        <f t="shared" ca="1" si="146"/>
        <v>79</v>
      </c>
      <c r="AL727">
        <f>IFERROR(VLOOKUP(A727,'DATA CLIENTES'!B5024:I8284,6,FALSE),0)</f>
        <v>0</v>
      </c>
    </row>
    <row r="728" spans="1:38" x14ac:dyDescent="0.25">
      <c r="A728" s="93" t="s">
        <v>14838</v>
      </c>
      <c r="B728" s="68" t="s">
        <v>3666</v>
      </c>
      <c r="C728" s="65"/>
      <c r="D728" s="65"/>
      <c r="E728" s="65"/>
      <c r="F728" s="69" t="s">
        <v>14817</v>
      </c>
      <c r="G728" s="70"/>
      <c r="H728" s="65">
        <v>5500000477</v>
      </c>
      <c r="I728" s="75">
        <v>404</v>
      </c>
      <c r="J728" s="75">
        <f>400+4</f>
        <v>404</v>
      </c>
      <c r="K728" s="75"/>
      <c r="L728" s="75"/>
      <c r="M728" s="75"/>
      <c r="N728" s="75">
        <f>Tabla1[[#This Row],[IMPORTE APROBADO]]-Tabla1[[#This Row],[AMORTIZACION2]]</f>
        <v>0</v>
      </c>
      <c r="O728" s="65" t="str">
        <f>TEXT(Tabla1[[#This Row],[EMISION]],"mmm")</f>
        <v>Nov</v>
      </c>
      <c r="P728" s="65" t="str">
        <f>TEXT(Tabla1[[#This Row],[EMISION]],"YYYY")</f>
        <v>2023</v>
      </c>
      <c r="Q728" s="71">
        <v>45260</v>
      </c>
      <c r="R728" s="65" t="str">
        <f>TEXT(Tabla1[[#This Row],[VENCIMIENTO]],"mmm")</f>
        <v>Dic</v>
      </c>
      <c r="S728" s="71">
        <f t="shared" ref="S728:S737" si="147">Q728+X728</f>
        <v>45267</v>
      </c>
      <c r="T728" s="72">
        <f ca="1">Tabla1[[#This Row],[EMISION]]+Tabla1[[#This Row],[PLAZO]]-TODAY()</f>
        <v>-102</v>
      </c>
      <c r="U728" s="80">
        <f t="shared" ref="U728:U737" ca="1" si="148">IF(T728&gt;=0,$U$4,IF(AND(T728&lt;=-1,T728&gt;=-30),$U$5,IF(AND(T728&lt;=-31,T728&gt;=-60),$U$6,IF(AND(T728&lt;=-61,T728&gt;=-90),$U$7,$U$8))))</f>
        <v>0</v>
      </c>
      <c r="V728" s="72"/>
      <c r="W728" s="73" t="s">
        <v>14307</v>
      </c>
      <c r="X728" s="65">
        <v>7</v>
      </c>
      <c r="Y728" s="65"/>
      <c r="Z728" s="65"/>
      <c r="AA728" s="65"/>
      <c r="AB728" s="65"/>
      <c r="AC728" s="65"/>
      <c r="AD728" s="65"/>
      <c r="AE728" s="65"/>
      <c r="AF728" s="68"/>
      <c r="AG728" s="66">
        <v>45280</v>
      </c>
      <c r="AH728" s="67" t="s">
        <v>14308</v>
      </c>
      <c r="AI728" s="65" t="s">
        <v>3060</v>
      </c>
      <c r="AJ728" s="65"/>
      <c r="AK728" s="97">
        <f t="shared" ca="1" si="146"/>
        <v>102</v>
      </c>
      <c r="AL728">
        <f>IFERROR(VLOOKUP(A728,'DATA CLIENTES'!B5025:I8284,6,FALSE),0)</f>
        <v>0</v>
      </c>
    </row>
    <row r="729" spans="1:38" x14ac:dyDescent="0.25">
      <c r="A729" s="93" t="s">
        <v>8786</v>
      </c>
      <c r="B729" s="68" t="s">
        <v>8787</v>
      </c>
      <c r="C729" s="65"/>
      <c r="D729" s="65"/>
      <c r="E729" s="65"/>
      <c r="F729" s="69" t="s">
        <v>14559</v>
      </c>
      <c r="G729" s="70"/>
      <c r="H729" s="65">
        <v>5500006547</v>
      </c>
      <c r="I729" s="75">
        <f>920.67-600.07</f>
        <v>320.59999999999991</v>
      </c>
      <c r="J729" s="75">
        <f>120.6+200</f>
        <v>320.60000000000002</v>
      </c>
      <c r="K729" s="75"/>
      <c r="L729" s="75"/>
      <c r="M729" s="75"/>
      <c r="N729" s="75">
        <f>Tabla1[[#This Row],[IMPORTE APROBADO]]-Tabla1[[#This Row],[AMORTIZACION2]]</f>
        <v>0</v>
      </c>
      <c r="O729" s="65" t="str">
        <f>TEXT(Tabla1[[#This Row],[EMISION]],"mmm")</f>
        <v>Nov</v>
      </c>
      <c r="P729" s="65" t="str">
        <f>TEXT(Tabla1[[#This Row],[EMISION]],"YYYY")</f>
        <v>2023</v>
      </c>
      <c r="Q729" s="71">
        <v>45260</v>
      </c>
      <c r="R729" s="65" t="str">
        <f>TEXT(Tabla1[[#This Row],[VENCIMIENTO]],"mmm")</f>
        <v>Dic</v>
      </c>
      <c r="S729" s="71">
        <f t="shared" si="147"/>
        <v>45285</v>
      </c>
      <c r="T729" s="72">
        <f ca="1">Tabla1[[#This Row],[EMISION]]+Tabla1[[#This Row],[PLAZO]]-TODAY()</f>
        <v>-84</v>
      </c>
      <c r="U729" s="80">
        <f t="shared" ca="1" si="148"/>
        <v>0</v>
      </c>
      <c r="V729" s="72"/>
      <c r="W729" s="73" t="s">
        <v>14307</v>
      </c>
      <c r="X729" s="65">
        <v>25</v>
      </c>
      <c r="Y729" s="65"/>
      <c r="Z729" s="65"/>
      <c r="AA729" s="65"/>
      <c r="AB729" s="65"/>
      <c r="AC729" s="65"/>
      <c r="AD729" s="65"/>
      <c r="AE729" s="65"/>
      <c r="AF729" s="68"/>
      <c r="AG729" s="66"/>
      <c r="AH729" s="67" t="s">
        <v>14308</v>
      </c>
      <c r="AI729" s="65" t="s">
        <v>3060</v>
      </c>
      <c r="AJ729" s="65"/>
      <c r="AK729" s="97">
        <f t="shared" ca="1" si="146"/>
        <v>84</v>
      </c>
      <c r="AL729">
        <f>IFERROR(VLOOKUP(A729,'DATA CLIENTES'!B5026:I8284,6,FALSE),0)</f>
        <v>0</v>
      </c>
    </row>
    <row r="730" spans="1:38" x14ac:dyDescent="0.25">
      <c r="A730" s="93" t="s">
        <v>8786</v>
      </c>
      <c r="B730" s="68" t="s">
        <v>8787</v>
      </c>
      <c r="C730" s="65"/>
      <c r="D730" s="65"/>
      <c r="E730" s="65"/>
      <c r="F730" s="69" t="s">
        <v>14559</v>
      </c>
      <c r="G730" s="70"/>
      <c r="H730" s="65">
        <v>5500006547</v>
      </c>
      <c r="I730" s="75">
        <f>920.67-320.6-400.07</f>
        <v>199.99999999999994</v>
      </c>
      <c r="J730" s="75">
        <v>200</v>
      </c>
      <c r="K730" s="75">
        <v>200</v>
      </c>
      <c r="L730" s="74">
        <v>45300</v>
      </c>
      <c r="M730" s="75" t="s">
        <v>14814</v>
      </c>
      <c r="N730" s="75">
        <f>Tabla1[[#This Row],[IMPORTE APROBADO]]-Tabla1[[#This Row],[AMORTIZACION2]]</f>
        <v>0</v>
      </c>
      <c r="O730" s="65" t="str">
        <f>TEXT(Tabla1[[#This Row],[EMISION]],"mmm")</f>
        <v>Nov</v>
      </c>
      <c r="P730" s="65" t="str">
        <f>TEXT(Tabla1[[#This Row],[EMISION]],"YYYY")</f>
        <v>2023</v>
      </c>
      <c r="Q730" s="71">
        <v>45260</v>
      </c>
      <c r="R730" s="65" t="str">
        <f>TEXT(Tabla1[[#This Row],[VENCIMIENTO]],"mmm")</f>
        <v>Dic</v>
      </c>
      <c r="S730" s="71">
        <f t="shared" si="147"/>
        <v>45285</v>
      </c>
      <c r="T730" s="72">
        <f ca="1">Tabla1[[#This Row],[EMISION]]+Tabla1[[#This Row],[PLAZO]]-TODAY()</f>
        <v>-84</v>
      </c>
      <c r="U730" s="80">
        <f t="shared" ca="1" si="148"/>
        <v>0</v>
      </c>
      <c r="V730" s="72"/>
      <c r="W730" s="73" t="s">
        <v>14307</v>
      </c>
      <c r="X730" s="65">
        <v>25</v>
      </c>
      <c r="Y730" s="65"/>
      <c r="Z730" s="65"/>
      <c r="AA730" s="65"/>
      <c r="AB730" s="65"/>
      <c r="AC730" s="65"/>
      <c r="AD730" s="65"/>
      <c r="AE730" s="65"/>
      <c r="AF730" s="68"/>
      <c r="AG730" s="66"/>
      <c r="AH730" s="67" t="s">
        <v>14308</v>
      </c>
      <c r="AI730" s="65" t="s">
        <v>3060</v>
      </c>
      <c r="AJ730" s="65"/>
      <c r="AK730" s="97">
        <f t="shared" ca="1" si="146"/>
        <v>84</v>
      </c>
      <c r="AL730">
        <f>IFERROR(VLOOKUP(A730,'DATA CLIENTES'!B5027:I8284,6,FALSE),0)</f>
        <v>0</v>
      </c>
    </row>
    <row r="731" spans="1:38" x14ac:dyDescent="0.25">
      <c r="A731" s="93" t="s">
        <v>8786</v>
      </c>
      <c r="B731" s="68" t="s">
        <v>8787</v>
      </c>
      <c r="C731" s="65"/>
      <c r="D731" s="65"/>
      <c r="E731" s="65"/>
      <c r="F731" s="69" t="s">
        <v>14559</v>
      </c>
      <c r="G731" s="70"/>
      <c r="H731" s="65">
        <v>5500006547</v>
      </c>
      <c r="I731" s="75">
        <f>920.67-320.6-200-300.07</f>
        <v>99.999999999999943</v>
      </c>
      <c r="J731" s="75">
        <v>100</v>
      </c>
      <c r="K731" s="75">
        <v>100</v>
      </c>
      <c r="L731" s="74">
        <v>45307</v>
      </c>
      <c r="M731" s="75" t="s">
        <v>14814</v>
      </c>
      <c r="N731" s="75">
        <f>Tabla1[[#This Row],[IMPORTE APROBADO]]-Tabla1[[#This Row],[AMORTIZACION2]]</f>
        <v>0</v>
      </c>
      <c r="O731" s="65" t="str">
        <f>TEXT(Tabla1[[#This Row],[EMISION]],"mmm")</f>
        <v>Nov</v>
      </c>
      <c r="P731" s="65" t="str">
        <f>TEXT(Tabla1[[#This Row],[EMISION]],"YYYY")</f>
        <v>2023</v>
      </c>
      <c r="Q731" s="71">
        <v>45260</v>
      </c>
      <c r="R731" s="65" t="str">
        <f>TEXT(Tabla1[[#This Row],[VENCIMIENTO]],"mmm")</f>
        <v>Dic</v>
      </c>
      <c r="S731" s="71">
        <f t="shared" si="147"/>
        <v>45285</v>
      </c>
      <c r="T731" s="72">
        <f ca="1">Tabla1[[#This Row],[EMISION]]+Tabla1[[#This Row],[PLAZO]]-TODAY()</f>
        <v>-84</v>
      </c>
      <c r="U731" s="80">
        <f t="shared" ca="1" si="148"/>
        <v>0</v>
      </c>
      <c r="V731" s="72"/>
      <c r="W731" s="73" t="s">
        <v>14307</v>
      </c>
      <c r="X731" s="65">
        <v>25</v>
      </c>
      <c r="Y731" s="65"/>
      <c r="Z731" s="65"/>
      <c r="AA731" s="65"/>
      <c r="AB731" s="65"/>
      <c r="AC731" s="65"/>
      <c r="AD731" s="65"/>
      <c r="AE731" s="65"/>
      <c r="AF731" s="68"/>
      <c r="AG731" s="66"/>
      <c r="AH731" s="67" t="s">
        <v>14308</v>
      </c>
      <c r="AI731" s="65" t="s">
        <v>3060</v>
      </c>
      <c r="AJ731" s="65"/>
      <c r="AK731" s="97">
        <f t="shared" ca="1" si="146"/>
        <v>84</v>
      </c>
      <c r="AL731">
        <f>IFERROR(VLOOKUP(A731,'DATA CLIENTES'!B5028:I8284,6,FALSE),0)</f>
        <v>0</v>
      </c>
    </row>
    <row r="732" spans="1:38" x14ac:dyDescent="0.25">
      <c r="A732" s="95" t="s">
        <v>8786</v>
      </c>
      <c r="B732" s="76" t="s">
        <v>8787</v>
      </c>
      <c r="C732" s="83"/>
      <c r="D732" s="83"/>
      <c r="E732" s="83"/>
      <c r="F732" s="84" t="s">
        <v>14559</v>
      </c>
      <c r="G732" s="85"/>
      <c r="H732" s="83">
        <v>5500006547</v>
      </c>
      <c r="I732" s="81">
        <f>920.67-320.6-200-100</f>
        <v>300.06999999999994</v>
      </c>
      <c r="J732" s="81"/>
      <c r="K732" s="81"/>
      <c r="L732" s="81"/>
      <c r="M732" s="81"/>
      <c r="N732" s="81">
        <f>Tabla1[[#This Row],[IMPORTE APROBADO]]-Tabla1[[#This Row],[AMORTIZACION2]]</f>
        <v>300.06999999999994</v>
      </c>
      <c r="O732" s="83" t="str">
        <f>TEXT(Tabla1[[#This Row],[EMISION]],"mmm")</f>
        <v>Nov</v>
      </c>
      <c r="P732" s="83" t="str">
        <f>TEXT(Tabla1[[#This Row],[EMISION]],"YYYY")</f>
        <v>2023</v>
      </c>
      <c r="Q732" s="86">
        <v>45260</v>
      </c>
      <c r="R732" s="83" t="str">
        <f>TEXT(Tabla1[[#This Row],[VENCIMIENTO]],"mmm")</f>
        <v>Dic</v>
      </c>
      <c r="S732" s="86">
        <f t="shared" si="147"/>
        <v>45285</v>
      </c>
      <c r="T732" s="87">
        <f ca="1">Tabla1[[#This Row],[EMISION]]+Tabla1[[#This Row],[PLAZO]]-TODAY()</f>
        <v>-84</v>
      </c>
      <c r="U732" s="88">
        <f t="shared" ca="1" si="148"/>
        <v>0</v>
      </c>
      <c r="V732" s="87"/>
      <c r="W732" s="89" t="s">
        <v>14307</v>
      </c>
      <c r="X732" s="83">
        <v>25</v>
      </c>
      <c r="Y732" s="65"/>
      <c r="Z732" s="65"/>
      <c r="AA732" s="65"/>
      <c r="AB732" s="65"/>
      <c r="AC732" s="65"/>
      <c r="AD732" s="65"/>
      <c r="AE732" s="65"/>
      <c r="AF732" s="68"/>
      <c r="AG732" s="90"/>
      <c r="AH732" s="91" t="s">
        <v>14313</v>
      </c>
      <c r="AI732" s="83" t="s">
        <v>3060</v>
      </c>
      <c r="AJ732" s="83" t="s">
        <v>14820</v>
      </c>
      <c r="AK732" s="97">
        <f t="shared" ca="1" si="146"/>
        <v>84</v>
      </c>
      <c r="AL732">
        <f>IFERROR(VLOOKUP(A732,'DATA CLIENTES'!B5029:I8284,6,FALSE),0)</f>
        <v>0</v>
      </c>
    </row>
    <row r="733" spans="1:38" x14ac:dyDescent="0.25">
      <c r="A733" s="93" t="s">
        <v>9887</v>
      </c>
      <c r="B733" s="68" t="s">
        <v>9888</v>
      </c>
      <c r="C733" s="65"/>
      <c r="D733" s="65"/>
      <c r="E733" s="65"/>
      <c r="F733" s="69" t="s">
        <v>14559</v>
      </c>
      <c r="G733" s="70"/>
      <c r="H733" s="65">
        <v>5500006548</v>
      </c>
      <c r="I733" s="75">
        <v>1067.25</v>
      </c>
      <c r="J733" s="75">
        <f>500+567.2</f>
        <v>1067.2</v>
      </c>
      <c r="K733" s="75"/>
      <c r="L733" s="75"/>
      <c r="M733" s="75"/>
      <c r="N733" s="75">
        <f>Tabla1[[#This Row],[IMPORTE APROBADO]]-Tabla1[[#This Row],[AMORTIZACION2]]</f>
        <v>4.9999999999954525E-2</v>
      </c>
      <c r="O733" s="65" t="str">
        <f>TEXT(Tabla1[[#This Row],[EMISION]],"mmm")</f>
        <v>Nov</v>
      </c>
      <c r="P733" s="65" t="str">
        <f>TEXT(Tabla1[[#This Row],[EMISION]],"YYYY")</f>
        <v>2023</v>
      </c>
      <c r="Q733" s="71">
        <v>45260</v>
      </c>
      <c r="R733" s="65" t="str">
        <f>TEXT(Tabla1[[#This Row],[VENCIMIENTO]],"mmm")</f>
        <v>Dic</v>
      </c>
      <c r="S733" s="71">
        <f t="shared" si="147"/>
        <v>45285</v>
      </c>
      <c r="T733" s="72">
        <f ca="1">Tabla1[[#This Row],[EMISION]]+Tabla1[[#This Row],[PLAZO]]-TODAY()</f>
        <v>-84</v>
      </c>
      <c r="U733" s="80">
        <f t="shared" ca="1" si="148"/>
        <v>0</v>
      </c>
      <c r="V733" s="72"/>
      <c r="W733" s="73" t="s">
        <v>14307</v>
      </c>
      <c r="X733" s="65">
        <v>25</v>
      </c>
      <c r="Y733" s="65"/>
      <c r="Z733" s="65"/>
      <c r="AA733" s="65"/>
      <c r="AB733" s="65"/>
      <c r="AC733" s="65"/>
      <c r="AD733" s="65"/>
      <c r="AE733" s="65"/>
      <c r="AF733" s="68"/>
      <c r="AG733" s="66">
        <v>45294</v>
      </c>
      <c r="AH733" s="67" t="s">
        <v>14308</v>
      </c>
      <c r="AI733" s="65" t="s">
        <v>3060</v>
      </c>
      <c r="AJ733" s="65"/>
      <c r="AK733" s="97">
        <f t="shared" ca="1" si="146"/>
        <v>84</v>
      </c>
      <c r="AL733">
        <f>IFERROR(VLOOKUP(A733,'DATA CLIENTES'!B5030:I8284,6,FALSE),0)</f>
        <v>0</v>
      </c>
    </row>
    <row r="734" spans="1:38" x14ac:dyDescent="0.25">
      <c r="A734" s="93" t="s">
        <v>7123</v>
      </c>
      <c r="B734" s="68" t="s">
        <v>7124</v>
      </c>
      <c r="C734" s="65"/>
      <c r="D734" s="65"/>
      <c r="E734" s="65"/>
      <c r="F734" s="69" t="s">
        <v>14559</v>
      </c>
      <c r="G734" s="70"/>
      <c r="H734" s="65">
        <v>5500006553</v>
      </c>
      <c r="I734" s="75">
        <v>835.2</v>
      </c>
      <c r="J734" s="75">
        <f>400+135.2+300</f>
        <v>835.2</v>
      </c>
      <c r="K734" s="75"/>
      <c r="L734" s="75"/>
      <c r="M734" s="75"/>
      <c r="N734" s="75">
        <f>Tabla1[[#This Row],[IMPORTE APROBADO]]-Tabla1[[#This Row],[AMORTIZACION2]]</f>
        <v>0</v>
      </c>
      <c r="O734" s="65" t="str">
        <f>TEXT(Tabla1[[#This Row],[EMISION]],"mmm")</f>
        <v>Nov</v>
      </c>
      <c r="P734" s="65" t="str">
        <f>TEXT(Tabla1[[#This Row],[EMISION]],"YYYY")</f>
        <v>2023</v>
      </c>
      <c r="Q734" s="71">
        <v>45260</v>
      </c>
      <c r="R734" s="65" t="str">
        <f>TEXT(Tabla1[[#This Row],[VENCIMIENTO]],"mmm")</f>
        <v>Dic</v>
      </c>
      <c r="S734" s="71">
        <f t="shared" si="147"/>
        <v>45275</v>
      </c>
      <c r="T734" s="72">
        <f ca="1">Tabla1[[#This Row],[EMISION]]+Tabla1[[#This Row],[PLAZO]]-TODAY()</f>
        <v>-94</v>
      </c>
      <c r="U734" s="80">
        <f t="shared" ca="1" si="148"/>
        <v>0</v>
      </c>
      <c r="V734" s="72"/>
      <c r="W734" s="73" t="s">
        <v>14307</v>
      </c>
      <c r="X734" s="65">
        <v>15</v>
      </c>
      <c r="Y734" s="65"/>
      <c r="Z734" s="65"/>
      <c r="AA734" s="65"/>
      <c r="AB734" s="65"/>
      <c r="AC734" s="65"/>
      <c r="AD734" s="65"/>
      <c r="AE734" s="65"/>
      <c r="AF734" s="68"/>
      <c r="AG734" s="66">
        <v>45288</v>
      </c>
      <c r="AH734" s="67" t="s">
        <v>14308</v>
      </c>
      <c r="AI734" s="65" t="s">
        <v>3060</v>
      </c>
      <c r="AJ734" s="65"/>
      <c r="AK734" s="97">
        <f t="shared" ca="1" si="146"/>
        <v>94</v>
      </c>
      <c r="AL734">
        <f>IFERROR(VLOOKUP(A734,'DATA CLIENTES'!B5031:I8284,6,FALSE),0)</f>
        <v>0</v>
      </c>
    </row>
    <row r="735" spans="1:38" x14ac:dyDescent="0.25">
      <c r="A735" s="93" t="s">
        <v>9631</v>
      </c>
      <c r="B735" s="68" t="s">
        <v>9632</v>
      </c>
      <c r="C735" s="65"/>
      <c r="D735" s="65"/>
      <c r="E735" s="65"/>
      <c r="F735" s="69" t="s">
        <v>14559</v>
      </c>
      <c r="G735" s="70"/>
      <c r="H735" s="65">
        <v>5500006564</v>
      </c>
      <c r="I735" s="75">
        <v>6264</v>
      </c>
      <c r="J735" s="75">
        <f>1000+1000+1000+1000+1000+1264</f>
        <v>6264</v>
      </c>
      <c r="K735" s="75"/>
      <c r="L735" s="75"/>
      <c r="M735" s="75"/>
      <c r="N735" s="75">
        <f>Tabla1[[#This Row],[IMPORTE APROBADO]]-Tabla1[[#This Row],[AMORTIZACION2]]</f>
        <v>0</v>
      </c>
      <c r="O735" s="65" t="str">
        <f>TEXT(Tabla1[[#This Row],[EMISION]],"mmm")</f>
        <v>Nov</v>
      </c>
      <c r="P735" s="65" t="str">
        <f>TEXT(Tabla1[[#This Row],[EMISION]],"YYYY")</f>
        <v>2023</v>
      </c>
      <c r="Q735" s="71">
        <v>45260</v>
      </c>
      <c r="R735" s="65" t="str">
        <f>TEXT(Tabla1[[#This Row],[VENCIMIENTO]],"mmm")</f>
        <v>Dic</v>
      </c>
      <c r="S735" s="71">
        <f t="shared" si="147"/>
        <v>45275</v>
      </c>
      <c r="T735" s="72">
        <f ca="1">Tabla1[[#This Row],[EMISION]]+Tabla1[[#This Row],[PLAZO]]-TODAY()</f>
        <v>-94</v>
      </c>
      <c r="U735" s="80">
        <f t="shared" ca="1" si="148"/>
        <v>0</v>
      </c>
      <c r="V735" s="72"/>
      <c r="W735" s="73" t="s">
        <v>14307</v>
      </c>
      <c r="X735" s="65">
        <v>15</v>
      </c>
      <c r="Y735" s="65"/>
      <c r="Z735" s="65"/>
      <c r="AA735" s="65"/>
      <c r="AB735" s="65"/>
      <c r="AC735" s="65"/>
      <c r="AD735" s="65"/>
      <c r="AE735" s="65"/>
      <c r="AF735" s="68"/>
      <c r="AG735" s="66">
        <v>45282</v>
      </c>
      <c r="AH735" s="67" t="s">
        <v>14308</v>
      </c>
      <c r="AI735" s="65" t="s">
        <v>3060</v>
      </c>
      <c r="AJ735" s="65"/>
      <c r="AK735" s="97">
        <f t="shared" ca="1" si="146"/>
        <v>94</v>
      </c>
      <c r="AL735">
        <f>IFERROR(VLOOKUP(A735,'DATA CLIENTES'!B5032:I8284,6,FALSE),0)</f>
        <v>0</v>
      </c>
    </row>
    <row r="736" spans="1:38" x14ac:dyDescent="0.25">
      <c r="A736" s="93" t="s">
        <v>14837</v>
      </c>
      <c r="B736" s="68" t="s">
        <v>4617</v>
      </c>
      <c r="C736" s="65"/>
      <c r="D736" s="65"/>
      <c r="E736" s="65"/>
      <c r="F736" s="69" t="s">
        <v>14817</v>
      </c>
      <c r="G736" s="70"/>
      <c r="H736" s="65">
        <v>5500000489</v>
      </c>
      <c r="I736" s="75">
        <v>1357.9499999999998</v>
      </c>
      <c r="J736" s="75"/>
      <c r="K736" s="75"/>
      <c r="L736" s="75"/>
      <c r="M736" s="75"/>
      <c r="N736" s="75">
        <f>Tabla1[[#This Row],[IMPORTE APROBADO]]-Tabla1[[#This Row],[AMORTIZACION2]]</f>
        <v>1357.9499999999998</v>
      </c>
      <c r="O736" s="65" t="str">
        <f>TEXT(Tabla1[[#This Row],[EMISION]],"mmm")</f>
        <v>Dic</v>
      </c>
      <c r="P736" s="65" t="str">
        <f>TEXT(Tabla1[[#This Row],[EMISION]],"YYYY")</f>
        <v>2023</v>
      </c>
      <c r="Q736" s="71">
        <v>45265</v>
      </c>
      <c r="R736" s="65" t="str">
        <f>TEXT(Tabla1[[#This Row],[VENCIMIENTO]],"mmm")</f>
        <v>Feb</v>
      </c>
      <c r="S736" s="71">
        <f t="shared" si="147"/>
        <v>45325</v>
      </c>
      <c r="T736" s="72">
        <f ca="1">Tabla1[[#This Row],[EMISION]]+Tabla1[[#This Row],[PLAZO]]-TODAY()</f>
        <v>-44</v>
      </c>
      <c r="U736" s="80">
        <f t="shared" ca="1" si="148"/>
        <v>0</v>
      </c>
      <c r="V736" s="72" t="s">
        <v>14477</v>
      </c>
      <c r="W736" s="73" t="s">
        <v>14307</v>
      </c>
      <c r="X736" s="65">
        <v>60</v>
      </c>
      <c r="Y736" s="65"/>
      <c r="Z736" s="65"/>
      <c r="AA736" s="65"/>
      <c r="AB736" s="65"/>
      <c r="AC736" s="65"/>
      <c r="AD736" s="65"/>
      <c r="AE736" s="65"/>
      <c r="AF736" s="68"/>
      <c r="AG736" s="66"/>
      <c r="AH736" s="67" t="s">
        <v>14313</v>
      </c>
      <c r="AI736" s="65" t="s">
        <v>3060</v>
      </c>
      <c r="AJ736" s="65"/>
      <c r="AK736" s="97">
        <f t="shared" ca="1" si="146"/>
        <v>44</v>
      </c>
      <c r="AL736">
        <f>IFERROR(VLOOKUP(A736,'DATA CLIENTES'!B5033:I8284,6,FALSE),0)</f>
        <v>0</v>
      </c>
    </row>
    <row r="737" spans="1:38" x14ac:dyDescent="0.25">
      <c r="A737" s="93" t="s">
        <v>9809</v>
      </c>
      <c r="B737" s="68" t="s">
        <v>9810</v>
      </c>
      <c r="C737" s="65"/>
      <c r="D737" s="65"/>
      <c r="E737" s="65"/>
      <c r="F737" s="69" t="s">
        <v>14559</v>
      </c>
      <c r="G737" s="70"/>
      <c r="H737" s="65">
        <v>5500006589</v>
      </c>
      <c r="I737" s="75">
        <v>402</v>
      </c>
      <c r="J737" s="75">
        <v>402</v>
      </c>
      <c r="K737" s="75"/>
      <c r="L737" s="75"/>
      <c r="M737" s="75"/>
      <c r="N737" s="75">
        <f>Tabla1[[#This Row],[IMPORTE APROBADO]]-Tabla1[[#This Row],[AMORTIZACION2]]</f>
        <v>0</v>
      </c>
      <c r="O737" s="65" t="str">
        <f>TEXT(Tabla1[[#This Row],[EMISION]],"mmm")</f>
        <v>Dic</v>
      </c>
      <c r="P737" s="65" t="str">
        <f>TEXT(Tabla1[[#This Row],[EMISION]],"YYYY")</f>
        <v>2023</v>
      </c>
      <c r="Q737" s="71">
        <v>45265</v>
      </c>
      <c r="R737" s="65" t="str">
        <f>TEXT(Tabla1[[#This Row],[VENCIMIENTO]],"mmm")</f>
        <v>Dic</v>
      </c>
      <c r="S737" s="71">
        <f t="shared" si="147"/>
        <v>45285</v>
      </c>
      <c r="T737" s="72">
        <f ca="1">Tabla1[[#This Row],[EMISION]]+Tabla1[[#This Row],[PLAZO]]-TODAY()</f>
        <v>-84</v>
      </c>
      <c r="U737" s="80">
        <f t="shared" ca="1" si="148"/>
        <v>0</v>
      </c>
      <c r="V737" s="72"/>
      <c r="W737" s="73" t="s">
        <v>14307</v>
      </c>
      <c r="X737" s="65">
        <v>20</v>
      </c>
      <c r="Y737" s="65"/>
      <c r="Z737" s="65"/>
      <c r="AA737" s="65"/>
      <c r="AB737" s="65"/>
      <c r="AC737" s="65"/>
      <c r="AD737" s="65"/>
      <c r="AE737" s="65"/>
      <c r="AF737" s="68"/>
      <c r="AG737" s="66">
        <v>45276</v>
      </c>
      <c r="AH737" s="67" t="s">
        <v>14308</v>
      </c>
      <c r="AI737" s="65" t="s">
        <v>3060</v>
      </c>
      <c r="AJ737" s="65"/>
      <c r="AK737" s="97">
        <f t="shared" ca="1" si="146"/>
        <v>84</v>
      </c>
      <c r="AL737">
        <f>IFERROR(VLOOKUP(A737,'DATA CLIENTES'!B5034:I8284,6,FALSE),0)</f>
        <v>0</v>
      </c>
    </row>
    <row r="738" spans="1:38" x14ac:dyDescent="0.25">
      <c r="A738" s="93" t="s">
        <v>5470</v>
      </c>
      <c r="B738" s="68" t="s">
        <v>5471</v>
      </c>
      <c r="C738" s="65"/>
      <c r="D738" s="65"/>
      <c r="E738" s="65"/>
      <c r="F738" s="69" t="s">
        <v>14804</v>
      </c>
      <c r="G738" s="70"/>
      <c r="H738" s="65">
        <v>5600006317</v>
      </c>
      <c r="I738" s="75">
        <v>1862.06</v>
      </c>
      <c r="J738" s="75">
        <v>1862</v>
      </c>
      <c r="K738" s="75"/>
      <c r="L738" s="75"/>
      <c r="M738" s="75"/>
      <c r="N738" s="75">
        <f>Tabla1[[#This Row],[IMPORTE APROBADO]]-Tabla1[[#This Row],[AMORTIZACION2]]</f>
        <v>5.999999999994543E-2</v>
      </c>
      <c r="O738" s="65" t="str">
        <f>TEXT(Tabla1[[#This Row],[EMISION]],"mmm")</f>
        <v>Dic</v>
      </c>
      <c r="P738" s="65" t="str">
        <f>TEXT(Tabla1[[#This Row],[EMISION]],"YYYY")</f>
        <v>2023</v>
      </c>
      <c r="Q738" s="71">
        <v>45267</v>
      </c>
      <c r="R738" s="65" t="str">
        <f>TEXT(Tabla1[[#This Row],[VENCIMIENTO]],"mmm")</f>
        <v>Dic</v>
      </c>
      <c r="S738" s="71">
        <f t="shared" ref="S738:S740" si="149">Q738+X738</f>
        <v>45287</v>
      </c>
      <c r="T738" s="72">
        <f ca="1">Tabla1[[#This Row],[EMISION]]+Tabla1[[#This Row],[PLAZO]]-TODAY()</f>
        <v>-82</v>
      </c>
      <c r="U738" s="80">
        <f t="shared" ref="U738:U740" ca="1" si="150">IF(T738&gt;=0,$U$4,IF(AND(T738&lt;=-1,T738&gt;=-30),$U$5,IF(AND(T738&lt;=-31,T738&gt;=-60),$U$6,IF(AND(T738&lt;=-61,T738&gt;=-90),$U$7,$U$8))))</f>
        <v>0</v>
      </c>
      <c r="V738" s="72"/>
      <c r="W738" s="73" t="s">
        <v>14307</v>
      </c>
      <c r="X738" s="65">
        <v>20</v>
      </c>
      <c r="Y738" s="65"/>
      <c r="Z738" s="65"/>
      <c r="AA738" s="65"/>
      <c r="AB738" s="65"/>
      <c r="AC738" s="65"/>
      <c r="AD738" s="65"/>
      <c r="AE738" s="65"/>
      <c r="AF738" s="68"/>
      <c r="AG738" s="66">
        <v>45283</v>
      </c>
      <c r="AH738" s="67" t="s">
        <v>14308</v>
      </c>
      <c r="AI738" s="65" t="s">
        <v>3060</v>
      </c>
      <c r="AJ738" s="65"/>
      <c r="AK738" s="97">
        <f t="shared" ca="1" si="146"/>
        <v>82</v>
      </c>
      <c r="AL738">
        <f>IFERROR(VLOOKUP(A738,'DATA CLIENTES'!B5035:I8284,6,FALSE),0)</f>
        <v>0</v>
      </c>
    </row>
    <row r="739" spans="1:38" x14ac:dyDescent="0.25">
      <c r="A739" s="93" t="s">
        <v>10319</v>
      </c>
      <c r="B739" s="68" t="s">
        <v>10320</v>
      </c>
      <c r="C739" s="65"/>
      <c r="D739" s="65"/>
      <c r="E739" s="65"/>
      <c r="F739" s="69" t="s">
        <v>14817</v>
      </c>
      <c r="G739" s="70"/>
      <c r="H739" s="65">
        <v>5600006320</v>
      </c>
      <c r="I739" s="75">
        <v>6000</v>
      </c>
      <c r="J739" s="75"/>
      <c r="K739" s="75"/>
      <c r="L739" s="75"/>
      <c r="M739" s="75"/>
      <c r="N739" s="75">
        <f>Tabla1[[#This Row],[IMPORTE APROBADO]]-Tabla1[[#This Row],[AMORTIZACION2]]</f>
        <v>6000</v>
      </c>
      <c r="O739" s="65" t="str">
        <f>TEXT(Tabla1[[#This Row],[EMISION]],"mmm")</f>
        <v>Dic</v>
      </c>
      <c r="P739" s="65" t="str">
        <f>TEXT(Tabla1[[#This Row],[EMISION]],"YYYY")</f>
        <v>2023</v>
      </c>
      <c r="Q739" s="71">
        <v>45271</v>
      </c>
      <c r="R739" s="65" t="str">
        <f>TEXT(Tabla1[[#This Row],[VENCIMIENTO]],"mmm")</f>
        <v>Ene</v>
      </c>
      <c r="S739" s="71">
        <f t="shared" si="149"/>
        <v>45301</v>
      </c>
      <c r="T739" s="72">
        <f ca="1">Tabla1[[#This Row],[EMISION]]+Tabla1[[#This Row],[PLAZO]]-TODAY()</f>
        <v>-68</v>
      </c>
      <c r="U739" s="80">
        <f t="shared" ca="1" si="150"/>
        <v>0</v>
      </c>
      <c r="V739" s="72"/>
      <c r="W739" s="73" t="s">
        <v>14307</v>
      </c>
      <c r="X739" s="65">
        <v>30</v>
      </c>
      <c r="Y739" s="65"/>
      <c r="Z739" s="65"/>
      <c r="AA739" s="65"/>
      <c r="AB739" s="65"/>
      <c r="AC739" s="65"/>
      <c r="AD739" s="65"/>
      <c r="AE739" s="65"/>
      <c r="AF739" s="68"/>
      <c r="AG739" s="66"/>
      <c r="AH739" s="67" t="s">
        <v>14313</v>
      </c>
      <c r="AI739" s="65" t="s">
        <v>3060</v>
      </c>
      <c r="AJ739" s="65"/>
      <c r="AK739" s="97">
        <f t="shared" ca="1" si="146"/>
        <v>68</v>
      </c>
      <c r="AL739">
        <f>IFERROR(VLOOKUP(A739,'DATA CLIENTES'!B5036:I8284,6,FALSE),0)</f>
        <v>0</v>
      </c>
    </row>
    <row r="740" spans="1:38" x14ac:dyDescent="0.25">
      <c r="A740" s="93" t="s">
        <v>9812</v>
      </c>
      <c r="B740" s="68" t="s">
        <v>9813</v>
      </c>
      <c r="C740" s="65"/>
      <c r="D740" s="65"/>
      <c r="E740" s="65"/>
      <c r="F740" s="69" t="s">
        <v>14804</v>
      </c>
      <c r="G740" s="70"/>
      <c r="H740" s="65">
        <v>5500006608</v>
      </c>
      <c r="I740" s="75">
        <v>440</v>
      </c>
      <c r="J740" s="75">
        <v>440</v>
      </c>
      <c r="K740" s="75"/>
      <c r="L740" s="74"/>
      <c r="M740" s="75"/>
      <c r="N740" s="75">
        <f>Tabla1[[#This Row],[IMPORTE APROBADO]]-Tabla1[[#This Row],[AMORTIZACION2]]</f>
        <v>0</v>
      </c>
      <c r="O740" s="65" t="str">
        <f>TEXT(Tabla1[[#This Row],[EMISION]],"mmm")</f>
        <v>Dic</v>
      </c>
      <c r="P740" s="65" t="str">
        <f>TEXT(Tabla1[[#This Row],[EMISION]],"YYYY")</f>
        <v>2023</v>
      </c>
      <c r="Q740" s="71">
        <v>45271</v>
      </c>
      <c r="R740" s="65" t="str">
        <f>TEXT(Tabla1[[#This Row],[VENCIMIENTO]],"mmm")</f>
        <v>Dic</v>
      </c>
      <c r="S740" s="71">
        <f t="shared" si="149"/>
        <v>45286</v>
      </c>
      <c r="T740" s="72">
        <f ca="1">Tabla1[[#This Row],[EMISION]]+Tabla1[[#This Row],[PLAZO]]-TODAY()</f>
        <v>-83</v>
      </c>
      <c r="U740" s="80">
        <f t="shared" ca="1" si="150"/>
        <v>0</v>
      </c>
      <c r="V740" s="72"/>
      <c r="W740" s="73" t="s">
        <v>14307</v>
      </c>
      <c r="X740" s="65">
        <v>15</v>
      </c>
      <c r="Y740" s="65"/>
      <c r="Z740" s="65"/>
      <c r="AA740" s="65"/>
      <c r="AB740" s="65"/>
      <c r="AC740" s="65"/>
      <c r="AD740" s="65"/>
      <c r="AE740" s="65"/>
      <c r="AF740" s="68"/>
      <c r="AG740" s="66">
        <v>45287</v>
      </c>
      <c r="AH740" s="67" t="s">
        <v>14308</v>
      </c>
      <c r="AI740" s="65" t="s">
        <v>3060</v>
      </c>
      <c r="AJ740" s="65"/>
      <c r="AK740" s="97">
        <f t="shared" ca="1" si="146"/>
        <v>83</v>
      </c>
      <c r="AL740">
        <f>IFERROR(VLOOKUP(A740,'DATA CLIENTES'!B5037:I8284,6,FALSE),0)</f>
        <v>0</v>
      </c>
    </row>
    <row r="741" spans="1:38" x14ac:dyDescent="0.25">
      <c r="A741" s="93" t="s">
        <v>7930</v>
      </c>
      <c r="B741" s="68" t="s">
        <v>7931</v>
      </c>
      <c r="C741" s="65"/>
      <c r="D741" s="65"/>
      <c r="E741" s="65"/>
      <c r="F741" s="69" t="s">
        <v>14808</v>
      </c>
      <c r="G741" s="70"/>
      <c r="H741" s="65">
        <v>5300000344</v>
      </c>
      <c r="I741" s="75">
        <v>64940</v>
      </c>
      <c r="J741" s="75">
        <v>64940</v>
      </c>
      <c r="K741" s="75">
        <v>64940</v>
      </c>
      <c r="L741" s="74">
        <v>45281</v>
      </c>
      <c r="M741" s="75" t="s">
        <v>14433</v>
      </c>
      <c r="N741" s="75">
        <f>Tabla1[[#This Row],[IMPORTE APROBADO]]-Tabla1[[#This Row],[AMORTIZACION2]]</f>
        <v>0</v>
      </c>
      <c r="O741" s="65" t="str">
        <f>TEXT(Tabla1[[#This Row],[EMISION]],"mmm")</f>
        <v>Dic</v>
      </c>
      <c r="P741" s="65" t="str">
        <f>TEXT(Tabla1[[#This Row],[EMISION]],"YYYY")</f>
        <v>2023</v>
      </c>
      <c r="Q741" s="71">
        <v>45275</v>
      </c>
      <c r="R741" s="65" t="str">
        <f>TEXT(Tabla1[[#This Row],[VENCIMIENTO]],"mmm")</f>
        <v>Dic</v>
      </c>
      <c r="S741" s="71">
        <f t="shared" ref="S741:S745" si="151">Q741+X741</f>
        <v>45290</v>
      </c>
      <c r="T741" s="72">
        <f ca="1">Tabla1[[#This Row],[EMISION]]+Tabla1[[#This Row],[PLAZO]]-TODAY()</f>
        <v>-79</v>
      </c>
      <c r="U741" s="80">
        <f t="shared" ref="U741:U745" ca="1" si="152">IF(T741&gt;=0,$U$4,IF(AND(T741&lt;=-1,T741&gt;=-30),$U$5,IF(AND(T741&lt;=-31,T741&gt;=-60),$U$6,IF(AND(T741&lt;=-61,T741&gt;=-90),$U$7,$U$8))))</f>
        <v>0</v>
      </c>
      <c r="V741" s="72"/>
      <c r="W741" s="73" t="s">
        <v>14307</v>
      </c>
      <c r="X741" s="65">
        <v>15</v>
      </c>
      <c r="Y741" s="65"/>
      <c r="Z741" s="65"/>
      <c r="AA741" s="65"/>
      <c r="AB741" s="65"/>
      <c r="AC741" s="65"/>
      <c r="AD741" s="65"/>
      <c r="AE741" s="65"/>
      <c r="AF741" s="68"/>
      <c r="AG741" s="66"/>
      <c r="AH741" s="67" t="s">
        <v>14308</v>
      </c>
      <c r="AI741" s="65" t="s">
        <v>3060</v>
      </c>
      <c r="AJ741" s="65"/>
      <c r="AK741" s="97">
        <f t="shared" ca="1" si="146"/>
        <v>79</v>
      </c>
      <c r="AL741">
        <f>IFERROR(VLOOKUP(A741,'DATA CLIENTES'!B5038:I8284,6,FALSE),0)</f>
        <v>0</v>
      </c>
    </row>
    <row r="742" spans="1:38" x14ac:dyDescent="0.25">
      <c r="A742" s="93" t="s">
        <v>9136</v>
      </c>
      <c r="B742" s="68" t="s">
        <v>9137</v>
      </c>
      <c r="C742" s="65"/>
      <c r="D742" s="65"/>
      <c r="E742" s="65"/>
      <c r="F742" s="69" t="s">
        <v>14559</v>
      </c>
      <c r="G742" s="70"/>
      <c r="H742" s="65">
        <v>5500006632</v>
      </c>
      <c r="I742" s="75">
        <v>4395</v>
      </c>
      <c r="J742" s="75">
        <v>4395</v>
      </c>
      <c r="K742" s="75">
        <v>4395</v>
      </c>
      <c r="L742" s="74">
        <v>45313</v>
      </c>
      <c r="M742" s="75" t="s">
        <v>14633</v>
      </c>
      <c r="N742" s="75">
        <f>Tabla1[[#This Row],[IMPORTE APROBADO]]-Tabla1[[#This Row],[AMORTIZACION2]]</f>
        <v>0</v>
      </c>
      <c r="O742" s="65" t="str">
        <f>TEXT(Tabla1[[#This Row],[EMISION]],"mmm")</f>
        <v>Dic</v>
      </c>
      <c r="P742" s="65" t="str">
        <f>TEXT(Tabla1[[#This Row],[EMISION]],"YYYY")</f>
        <v>2023</v>
      </c>
      <c r="Q742" s="71">
        <v>45278</v>
      </c>
      <c r="R742" s="65" t="str">
        <f>TEXT(Tabla1[[#This Row],[VENCIMIENTO]],"mmm")</f>
        <v>Ene</v>
      </c>
      <c r="S742" s="71">
        <f t="shared" si="151"/>
        <v>45308</v>
      </c>
      <c r="T742" s="72">
        <f ca="1">Tabla1[[#This Row],[EMISION]]+Tabla1[[#This Row],[PLAZO]]-TODAY()</f>
        <v>-61</v>
      </c>
      <c r="U742" s="80">
        <f t="shared" ca="1" si="152"/>
        <v>0</v>
      </c>
      <c r="V742" s="72"/>
      <c r="W742" s="73" t="s">
        <v>14307</v>
      </c>
      <c r="X742" s="65">
        <v>30</v>
      </c>
      <c r="Y742" s="65"/>
      <c r="Z742" s="65"/>
      <c r="AA742" s="65"/>
      <c r="AB742" s="65"/>
      <c r="AC742" s="65"/>
      <c r="AD742" s="65"/>
      <c r="AE742" s="65"/>
      <c r="AF742" s="68"/>
      <c r="AG742" s="66"/>
      <c r="AH742" s="67" t="s">
        <v>14308</v>
      </c>
      <c r="AI742" s="65" t="s">
        <v>3060</v>
      </c>
      <c r="AJ742" s="65"/>
      <c r="AK742" s="97">
        <f t="shared" ca="1" si="146"/>
        <v>61</v>
      </c>
      <c r="AL742">
        <f>IFERROR(VLOOKUP(A742,'DATA CLIENTES'!B5039:I8284,6,FALSE),0)</f>
        <v>0</v>
      </c>
    </row>
    <row r="743" spans="1:38" x14ac:dyDescent="0.25">
      <c r="A743" s="93" t="s">
        <v>5473</v>
      </c>
      <c r="B743" s="68" t="s">
        <v>14807</v>
      </c>
      <c r="C743" s="65"/>
      <c r="D743" s="65"/>
      <c r="E743" s="65"/>
      <c r="F743" s="69" t="s">
        <v>14559</v>
      </c>
      <c r="G743" s="70"/>
      <c r="H743" s="65">
        <v>5500006635</v>
      </c>
      <c r="I743" s="75">
        <f>4536-3000</f>
        <v>1536</v>
      </c>
      <c r="J743" s="75">
        <v>1536</v>
      </c>
      <c r="K743" s="75">
        <v>1536</v>
      </c>
      <c r="L743" s="74">
        <v>45309</v>
      </c>
      <c r="M743" s="75" t="s">
        <v>14814</v>
      </c>
      <c r="N743" s="75">
        <f>Tabla1[[#This Row],[IMPORTE APROBADO]]-Tabla1[[#This Row],[AMORTIZACION2]]</f>
        <v>0</v>
      </c>
      <c r="O743" s="65" t="str">
        <f>TEXT(Tabla1[[#This Row],[EMISION]],"mmm")</f>
        <v>Dic</v>
      </c>
      <c r="P743" s="65" t="str">
        <f>TEXT(Tabla1[[#This Row],[EMISION]],"YYYY")</f>
        <v>2023</v>
      </c>
      <c r="Q743" s="71">
        <v>45279</v>
      </c>
      <c r="R743" s="65" t="str">
        <f>TEXT(Tabla1[[#This Row],[VENCIMIENTO]],"mmm")</f>
        <v>Ene</v>
      </c>
      <c r="S743" s="71">
        <f t="shared" si="151"/>
        <v>45299</v>
      </c>
      <c r="T743" s="72">
        <f ca="1">Tabla1[[#This Row],[EMISION]]+Tabla1[[#This Row],[PLAZO]]-TODAY()</f>
        <v>-70</v>
      </c>
      <c r="U743" s="80">
        <f t="shared" ca="1" si="152"/>
        <v>0</v>
      </c>
      <c r="V743" s="72"/>
      <c r="W743" s="73" t="s">
        <v>14307</v>
      </c>
      <c r="X743" s="65">
        <v>20</v>
      </c>
      <c r="Y743" s="65"/>
      <c r="Z743" s="65"/>
      <c r="AA743" s="65"/>
      <c r="AB743" s="65"/>
      <c r="AC743" s="65"/>
      <c r="AD743" s="65"/>
      <c r="AE743" s="65"/>
      <c r="AF743" s="68"/>
      <c r="AG743" s="66"/>
      <c r="AH743" s="67" t="s">
        <v>14308</v>
      </c>
      <c r="AI743" s="65" t="s">
        <v>3060</v>
      </c>
      <c r="AJ743" s="65"/>
      <c r="AK743" s="97">
        <f t="shared" ca="1" si="146"/>
        <v>70</v>
      </c>
      <c r="AL743">
        <f>IFERROR(VLOOKUP(A743,'DATA CLIENTES'!B5040:I8284,6,FALSE),0)</f>
        <v>0</v>
      </c>
    </row>
    <row r="744" spans="1:38" x14ac:dyDescent="0.25">
      <c r="A744" s="93" t="s">
        <v>5473</v>
      </c>
      <c r="B744" s="68" t="s">
        <v>14807</v>
      </c>
      <c r="C744" s="65"/>
      <c r="D744" s="65"/>
      <c r="E744" s="65"/>
      <c r="F744" s="69" t="s">
        <v>14559</v>
      </c>
      <c r="G744" s="70"/>
      <c r="H744" s="65">
        <v>5500006635</v>
      </c>
      <c r="I744" s="75">
        <f>4536-1536-1000</f>
        <v>2000</v>
      </c>
      <c r="J744" s="92">
        <v>2000</v>
      </c>
      <c r="K744" s="75">
        <v>2000</v>
      </c>
      <c r="L744" s="74">
        <v>45308</v>
      </c>
      <c r="M744" s="75" t="s">
        <v>14814</v>
      </c>
      <c r="N744" s="75">
        <f>Tabla1[[#This Row],[IMPORTE APROBADO]]-Tabla1[[#This Row],[AMORTIZACION2]]</f>
        <v>0</v>
      </c>
      <c r="O744" s="65" t="str">
        <f>TEXT(Tabla1[[#This Row],[EMISION]],"mmm")</f>
        <v>Dic</v>
      </c>
      <c r="P744" s="65" t="str">
        <f>TEXT(Tabla1[[#This Row],[EMISION]],"YYYY")</f>
        <v>2023</v>
      </c>
      <c r="Q744" s="71">
        <v>45279</v>
      </c>
      <c r="R744" s="65" t="str">
        <f>TEXT(Tabla1[[#This Row],[VENCIMIENTO]],"mmm")</f>
        <v>Ene</v>
      </c>
      <c r="S744" s="71">
        <f t="shared" si="151"/>
        <v>45299</v>
      </c>
      <c r="T744" s="72">
        <f ca="1">Tabla1[[#This Row],[EMISION]]+Tabla1[[#This Row],[PLAZO]]-TODAY()</f>
        <v>-70</v>
      </c>
      <c r="U744" s="80">
        <f t="shared" ca="1" si="152"/>
        <v>0</v>
      </c>
      <c r="V744" s="72"/>
      <c r="W744" s="73" t="s">
        <v>14307</v>
      </c>
      <c r="X744" s="65">
        <v>20</v>
      </c>
      <c r="Y744" s="65"/>
      <c r="Z744" s="65"/>
      <c r="AA744" s="65"/>
      <c r="AB744" s="65"/>
      <c r="AC744" s="65"/>
      <c r="AD744" s="65"/>
      <c r="AE744" s="65"/>
      <c r="AF744" s="68"/>
      <c r="AG744" s="66"/>
      <c r="AH744" s="67" t="s">
        <v>14308</v>
      </c>
      <c r="AI744" s="65" t="s">
        <v>3060</v>
      </c>
      <c r="AJ744" s="65"/>
      <c r="AK744" s="97">
        <f t="shared" ca="1" si="146"/>
        <v>70</v>
      </c>
      <c r="AL744">
        <f>IFERROR(VLOOKUP(A744,'DATA CLIENTES'!B5041:I8284,6,FALSE),0)</f>
        <v>0</v>
      </c>
    </row>
    <row r="745" spans="1:38" x14ac:dyDescent="0.25">
      <c r="A745" s="93" t="s">
        <v>5473</v>
      </c>
      <c r="B745" s="68" t="s">
        <v>14807</v>
      </c>
      <c r="C745" s="65"/>
      <c r="D745" s="65"/>
      <c r="E745" s="65"/>
      <c r="F745" s="69" t="s">
        <v>14559</v>
      </c>
      <c r="G745" s="70"/>
      <c r="H745" s="65">
        <v>5500006635</v>
      </c>
      <c r="I745" s="75">
        <f>4536-1536-2000</f>
        <v>1000</v>
      </c>
      <c r="J745" s="75">
        <v>1000</v>
      </c>
      <c r="K745" s="75">
        <v>1000</v>
      </c>
      <c r="L745" s="74">
        <v>45307</v>
      </c>
      <c r="M745" s="75" t="s">
        <v>14814</v>
      </c>
      <c r="N745" s="75">
        <f>Tabla1[[#This Row],[IMPORTE APROBADO]]-Tabla1[[#This Row],[AMORTIZACION2]]</f>
        <v>0</v>
      </c>
      <c r="O745" s="65" t="str">
        <f>TEXT(Tabla1[[#This Row],[EMISION]],"mmm")</f>
        <v>Dic</v>
      </c>
      <c r="P745" s="65" t="str">
        <f>TEXT(Tabla1[[#This Row],[EMISION]],"YYYY")</f>
        <v>2023</v>
      </c>
      <c r="Q745" s="71">
        <v>45279</v>
      </c>
      <c r="R745" s="65" t="str">
        <f>TEXT(Tabla1[[#This Row],[VENCIMIENTO]],"mmm")</f>
        <v>Ene</v>
      </c>
      <c r="S745" s="71">
        <f t="shared" si="151"/>
        <v>45299</v>
      </c>
      <c r="T745" s="72">
        <f ca="1">Tabla1[[#This Row],[EMISION]]+Tabla1[[#This Row],[PLAZO]]-TODAY()</f>
        <v>-70</v>
      </c>
      <c r="U745" s="80">
        <f t="shared" ca="1" si="152"/>
        <v>0</v>
      </c>
      <c r="V745" s="72"/>
      <c r="W745" s="73" t="s">
        <v>14307</v>
      </c>
      <c r="X745" s="65">
        <v>20</v>
      </c>
      <c r="Y745" s="65"/>
      <c r="Z745" s="65"/>
      <c r="AA745" s="65"/>
      <c r="AB745" s="65"/>
      <c r="AC745" s="65"/>
      <c r="AD745" s="65"/>
      <c r="AE745" s="65"/>
      <c r="AF745" s="68"/>
      <c r="AG745" s="66"/>
      <c r="AH745" s="67" t="s">
        <v>14308</v>
      </c>
      <c r="AI745" s="65" t="s">
        <v>3060</v>
      </c>
      <c r="AJ745" s="65"/>
      <c r="AK745" s="97">
        <f t="shared" ca="1" si="146"/>
        <v>70</v>
      </c>
      <c r="AL745">
        <f>IFERROR(VLOOKUP(A745,'DATA CLIENTES'!B5042:I8284,6,FALSE),0)</f>
        <v>0</v>
      </c>
    </row>
    <row r="746" spans="1:38" x14ac:dyDescent="0.25">
      <c r="A746" s="93" t="s">
        <v>6694</v>
      </c>
      <c r="B746" s="68" t="s">
        <v>6695</v>
      </c>
      <c r="C746" s="65"/>
      <c r="D746" s="65"/>
      <c r="E746" s="65"/>
      <c r="F746" s="69" t="s">
        <v>14804</v>
      </c>
      <c r="G746" s="70"/>
      <c r="H746" s="65">
        <v>5500006636</v>
      </c>
      <c r="I746" s="75">
        <f>1161.9-861.9</f>
        <v>300.00000000000011</v>
      </c>
      <c r="J746" s="75">
        <f>300</f>
        <v>300</v>
      </c>
      <c r="K746" s="75"/>
      <c r="L746" s="75"/>
      <c r="M746" s="75"/>
      <c r="N746" s="75">
        <f>Tabla1[[#This Row],[IMPORTE APROBADO]]-Tabla1[[#This Row],[AMORTIZACION2]]</f>
        <v>0</v>
      </c>
      <c r="O746" s="65" t="str">
        <f>TEXT(Tabla1[[#This Row],[EMISION]],"mmm")</f>
        <v>Dic</v>
      </c>
      <c r="P746" s="65" t="str">
        <f>TEXT(Tabla1[[#This Row],[EMISION]],"YYYY")</f>
        <v>2023</v>
      </c>
      <c r="Q746" s="71">
        <v>45280</v>
      </c>
      <c r="R746" s="65" t="str">
        <f>TEXT(Tabla1[[#This Row],[VENCIMIENTO]],"mmm")</f>
        <v>Ene</v>
      </c>
      <c r="S746" s="71">
        <f t="shared" ref="S746:S753" si="153">Q746+X746</f>
        <v>45295</v>
      </c>
      <c r="T746" s="72">
        <f ca="1">Tabla1[[#This Row],[EMISION]]+Tabla1[[#This Row],[PLAZO]]-TODAY()</f>
        <v>-74</v>
      </c>
      <c r="U746" s="80">
        <f t="shared" ref="U746:U753" ca="1" si="154">IF(T746&gt;=0,$U$4,IF(AND(T746&lt;=-1,T746&gt;=-30),$U$5,IF(AND(T746&lt;=-31,T746&gt;=-60),$U$6,IF(AND(T746&lt;=-61,T746&gt;=-90),$U$7,$U$8))))</f>
        <v>0</v>
      </c>
      <c r="V746" s="72"/>
      <c r="W746" s="73" t="s">
        <v>14307</v>
      </c>
      <c r="X746" s="65">
        <v>15</v>
      </c>
      <c r="Y746" s="65"/>
      <c r="Z746" s="65"/>
      <c r="AA746" s="65"/>
      <c r="AB746" s="65"/>
      <c r="AC746" s="65"/>
      <c r="AD746" s="65"/>
      <c r="AE746" s="65"/>
      <c r="AF746" s="68"/>
      <c r="AG746" s="66"/>
      <c r="AH746" s="67" t="s">
        <v>14308</v>
      </c>
      <c r="AI746" s="65" t="s">
        <v>3060</v>
      </c>
      <c r="AJ746" s="65"/>
      <c r="AK746" s="97">
        <f t="shared" ca="1" si="146"/>
        <v>74</v>
      </c>
      <c r="AL746">
        <f>IFERROR(VLOOKUP(A746,'DATA CLIENTES'!B5043:I8284,6,FALSE),0)</f>
        <v>0</v>
      </c>
    </row>
    <row r="747" spans="1:38" x14ac:dyDescent="0.25">
      <c r="A747" s="93" t="s">
        <v>6694</v>
      </c>
      <c r="B747" s="68" t="s">
        <v>6695</v>
      </c>
      <c r="C747" s="65"/>
      <c r="D747" s="65"/>
      <c r="E747" s="65"/>
      <c r="F747" s="69" t="s">
        <v>14804</v>
      </c>
      <c r="G747" s="70"/>
      <c r="H747" s="65">
        <v>5500006636</v>
      </c>
      <c r="I747" s="75">
        <f>1161.9-300-561.9</f>
        <v>300.00000000000011</v>
      </c>
      <c r="J747" s="75">
        <v>300</v>
      </c>
      <c r="K747" s="75">
        <v>300</v>
      </c>
      <c r="L747" s="74">
        <v>45307</v>
      </c>
      <c r="M747" s="75" t="s">
        <v>14814</v>
      </c>
      <c r="N747" s="75">
        <f>Tabla1[[#This Row],[IMPORTE APROBADO]]-Tabla1[[#This Row],[AMORTIZACION2]]</f>
        <v>0</v>
      </c>
      <c r="O747" s="65" t="str">
        <f>TEXT(Tabla1[[#This Row],[EMISION]],"mmm")</f>
        <v>Dic</v>
      </c>
      <c r="P747" s="65" t="str">
        <f>TEXT(Tabla1[[#This Row],[EMISION]],"YYYY")</f>
        <v>2023</v>
      </c>
      <c r="Q747" s="71">
        <v>45280</v>
      </c>
      <c r="R747" s="65" t="str">
        <f>TEXT(Tabla1[[#This Row],[VENCIMIENTO]],"mmm")</f>
        <v>Ene</v>
      </c>
      <c r="S747" s="71">
        <f t="shared" si="153"/>
        <v>45295</v>
      </c>
      <c r="T747" s="72">
        <f ca="1">Tabla1[[#This Row],[EMISION]]+Tabla1[[#This Row],[PLAZO]]-TODAY()</f>
        <v>-74</v>
      </c>
      <c r="U747" s="80">
        <f t="shared" ca="1" si="154"/>
        <v>0</v>
      </c>
      <c r="V747" s="72"/>
      <c r="W747" s="73" t="s">
        <v>14307</v>
      </c>
      <c r="X747" s="65">
        <v>15</v>
      </c>
      <c r="Y747" s="65"/>
      <c r="Z747" s="65"/>
      <c r="AA747" s="65"/>
      <c r="AB747" s="65"/>
      <c r="AC747" s="65"/>
      <c r="AD747" s="65"/>
      <c r="AE747" s="65"/>
      <c r="AF747" s="68"/>
      <c r="AG747" s="66"/>
      <c r="AH747" s="67" t="s">
        <v>14308</v>
      </c>
      <c r="AI747" s="65" t="s">
        <v>3060</v>
      </c>
      <c r="AJ747" s="65"/>
      <c r="AK747" s="97">
        <f t="shared" ca="1" si="146"/>
        <v>74</v>
      </c>
      <c r="AL747">
        <f>IFERROR(VLOOKUP(A747,'DATA CLIENTES'!B5044:I8284,6,FALSE),0)</f>
        <v>0</v>
      </c>
    </row>
    <row r="748" spans="1:38" x14ac:dyDescent="0.25">
      <c r="A748" s="93" t="s">
        <v>6694</v>
      </c>
      <c r="B748" s="68" t="s">
        <v>6695</v>
      </c>
      <c r="C748" s="65"/>
      <c r="D748" s="65"/>
      <c r="E748" s="65"/>
      <c r="F748" s="69" t="s">
        <v>14804</v>
      </c>
      <c r="G748" s="70"/>
      <c r="H748" s="65">
        <v>5500006636</v>
      </c>
      <c r="I748" s="75">
        <f>1161.9-300-300-261.9</f>
        <v>300.00000000000011</v>
      </c>
      <c r="J748" s="75">
        <v>300</v>
      </c>
      <c r="K748" s="75">
        <v>300</v>
      </c>
      <c r="L748" s="74">
        <v>45302</v>
      </c>
      <c r="M748" s="75" t="s">
        <v>14814</v>
      </c>
      <c r="N748" s="75">
        <f>Tabla1[[#This Row],[IMPORTE APROBADO]]-Tabla1[[#This Row],[AMORTIZACION2]]</f>
        <v>0</v>
      </c>
      <c r="O748" s="65" t="str">
        <f>TEXT(Tabla1[[#This Row],[EMISION]],"mmm")</f>
        <v>Dic</v>
      </c>
      <c r="P748" s="65" t="str">
        <f>TEXT(Tabla1[[#This Row],[EMISION]],"YYYY")</f>
        <v>2023</v>
      </c>
      <c r="Q748" s="71">
        <v>45280</v>
      </c>
      <c r="R748" s="65" t="str">
        <f>TEXT(Tabla1[[#This Row],[VENCIMIENTO]],"mmm")</f>
        <v>Ene</v>
      </c>
      <c r="S748" s="71">
        <f t="shared" si="153"/>
        <v>45295</v>
      </c>
      <c r="T748" s="72">
        <f ca="1">Tabla1[[#This Row],[EMISION]]+Tabla1[[#This Row],[PLAZO]]-TODAY()</f>
        <v>-74</v>
      </c>
      <c r="U748" s="80">
        <f t="shared" ca="1" si="154"/>
        <v>0</v>
      </c>
      <c r="V748" s="72"/>
      <c r="W748" s="73" t="s">
        <v>14307</v>
      </c>
      <c r="X748" s="65">
        <v>15</v>
      </c>
      <c r="Y748" s="65"/>
      <c r="Z748" s="65"/>
      <c r="AA748" s="65"/>
      <c r="AB748" s="65"/>
      <c r="AC748" s="65"/>
      <c r="AD748" s="65"/>
      <c r="AE748" s="65"/>
      <c r="AF748" s="68"/>
      <c r="AG748" s="66"/>
      <c r="AH748" s="67" t="s">
        <v>14308</v>
      </c>
      <c r="AI748" s="65" t="s">
        <v>3060</v>
      </c>
      <c r="AJ748" s="65"/>
      <c r="AK748" s="97">
        <f t="shared" ca="1" si="146"/>
        <v>74</v>
      </c>
      <c r="AL748">
        <f>IFERROR(VLOOKUP(A748,'DATA CLIENTES'!B5045:I8284,6,FALSE),0)</f>
        <v>0</v>
      </c>
    </row>
    <row r="749" spans="1:38" x14ac:dyDescent="0.25">
      <c r="A749" s="93" t="s">
        <v>6694</v>
      </c>
      <c r="B749" s="68" t="s">
        <v>6695</v>
      </c>
      <c r="C749" s="65"/>
      <c r="D749" s="65"/>
      <c r="E749" s="65"/>
      <c r="F749" s="69" t="s">
        <v>14804</v>
      </c>
      <c r="G749" s="70"/>
      <c r="H749" s="65">
        <v>5500006636</v>
      </c>
      <c r="I749" s="75">
        <f>1161.9-300-300-300</f>
        <v>261.90000000000009</v>
      </c>
      <c r="J749" s="75">
        <v>261.60000000000002</v>
      </c>
      <c r="K749" s="75">
        <v>261.60000000000002</v>
      </c>
      <c r="L749" s="74">
        <v>45310</v>
      </c>
      <c r="M749" s="75"/>
      <c r="N749" s="75">
        <f>Tabla1[[#This Row],[IMPORTE APROBADO]]-Tabla1[[#This Row],[AMORTIZACION2]]</f>
        <v>0.30000000000006821</v>
      </c>
      <c r="O749" s="65" t="str">
        <f>TEXT(Tabla1[[#This Row],[EMISION]],"mmm")</f>
        <v>Dic</v>
      </c>
      <c r="P749" s="65" t="str">
        <f>TEXT(Tabla1[[#This Row],[EMISION]],"YYYY")</f>
        <v>2023</v>
      </c>
      <c r="Q749" s="71">
        <v>45280</v>
      </c>
      <c r="R749" s="65" t="str">
        <f>TEXT(Tabla1[[#This Row],[VENCIMIENTO]],"mmm")</f>
        <v>Ene</v>
      </c>
      <c r="S749" s="71">
        <f t="shared" si="153"/>
        <v>45295</v>
      </c>
      <c r="T749" s="72">
        <f ca="1">Tabla1[[#This Row],[EMISION]]+Tabla1[[#This Row],[PLAZO]]-TODAY()</f>
        <v>-74</v>
      </c>
      <c r="U749" s="80">
        <f t="shared" ca="1" si="154"/>
        <v>0</v>
      </c>
      <c r="V749" s="72"/>
      <c r="W749" s="73" t="s">
        <v>14307</v>
      </c>
      <c r="X749" s="65">
        <v>15</v>
      </c>
      <c r="Y749" s="65"/>
      <c r="Z749" s="65"/>
      <c r="AA749" s="65"/>
      <c r="AB749" s="65"/>
      <c r="AC749" s="65"/>
      <c r="AD749" s="65"/>
      <c r="AE749" s="65"/>
      <c r="AF749" s="68"/>
      <c r="AG749" s="66"/>
      <c r="AH749" s="67" t="s">
        <v>14308</v>
      </c>
      <c r="AI749" s="65" t="s">
        <v>3060</v>
      </c>
      <c r="AJ749" s="65"/>
      <c r="AK749" s="97">
        <f t="shared" ca="1" si="146"/>
        <v>74</v>
      </c>
      <c r="AL749">
        <f>IFERROR(VLOOKUP(A749,'DATA CLIENTES'!B5046:I8284,6,FALSE),0)</f>
        <v>0</v>
      </c>
    </row>
    <row r="750" spans="1:38" x14ac:dyDescent="0.25">
      <c r="A750" s="93" t="s">
        <v>8115</v>
      </c>
      <c r="B750" s="68" t="s">
        <v>8116</v>
      </c>
      <c r="C750" s="65"/>
      <c r="D750" s="65"/>
      <c r="E750" s="65"/>
      <c r="F750" s="69" t="s">
        <v>14808</v>
      </c>
      <c r="G750" s="70"/>
      <c r="H750" s="65">
        <v>5300000346</v>
      </c>
      <c r="I750" s="75">
        <v>122200</v>
      </c>
      <c r="J750" s="75">
        <v>122200</v>
      </c>
      <c r="K750" s="75">
        <v>122200</v>
      </c>
      <c r="L750" s="74">
        <v>45302</v>
      </c>
      <c r="M750" s="75" t="s">
        <v>14433</v>
      </c>
      <c r="N750" s="75">
        <f>Tabla1[[#This Row],[IMPORTE APROBADO]]-Tabla1[[#This Row],[AMORTIZACION2]]</f>
        <v>0</v>
      </c>
      <c r="O750" s="65" t="str">
        <f>TEXT(Tabla1[[#This Row],[EMISION]],"mmm")</f>
        <v>Dic</v>
      </c>
      <c r="P750" s="65" t="str">
        <f>TEXT(Tabla1[[#This Row],[EMISION]],"YYYY")</f>
        <v>2023</v>
      </c>
      <c r="Q750" s="71">
        <v>45280</v>
      </c>
      <c r="R750" s="65" t="str">
        <f>TEXT(Tabla1[[#This Row],[VENCIMIENTO]],"mmm")</f>
        <v>Ene</v>
      </c>
      <c r="S750" s="71">
        <f t="shared" si="153"/>
        <v>45295</v>
      </c>
      <c r="T750" s="72">
        <f ca="1">Tabla1[[#This Row],[EMISION]]+Tabla1[[#This Row],[PLAZO]]-TODAY()</f>
        <v>-74</v>
      </c>
      <c r="U750" s="80">
        <f t="shared" ca="1" si="154"/>
        <v>0</v>
      </c>
      <c r="V750" s="72"/>
      <c r="W750" s="73" t="s">
        <v>14307</v>
      </c>
      <c r="X750" s="65">
        <v>15</v>
      </c>
      <c r="Y750" s="65"/>
      <c r="Z750" s="65"/>
      <c r="AA750" s="65"/>
      <c r="AB750" s="65"/>
      <c r="AC750" s="65"/>
      <c r="AD750" s="65"/>
      <c r="AE750" s="65"/>
      <c r="AF750" s="68"/>
      <c r="AG750" s="66"/>
      <c r="AH750" s="67" t="s">
        <v>14308</v>
      </c>
      <c r="AI750" s="65" t="s">
        <v>3060</v>
      </c>
      <c r="AJ750" s="65"/>
      <c r="AK750" s="97">
        <f t="shared" ca="1" si="146"/>
        <v>74</v>
      </c>
      <c r="AL750">
        <f>IFERROR(VLOOKUP(A750,'DATA CLIENTES'!B5047:I8284,6,FALSE),0)</f>
        <v>0</v>
      </c>
    </row>
    <row r="751" spans="1:38" x14ac:dyDescent="0.25">
      <c r="A751" s="95" t="s">
        <v>10061</v>
      </c>
      <c r="B751" s="76" t="s">
        <v>10062</v>
      </c>
      <c r="C751" s="83"/>
      <c r="D751" s="83"/>
      <c r="E751" s="83"/>
      <c r="F751" s="84" t="s">
        <v>14559</v>
      </c>
      <c r="G751" s="85"/>
      <c r="H751" s="83">
        <v>5500006639</v>
      </c>
      <c r="I751" s="81">
        <v>10248</v>
      </c>
      <c r="J751" s="81"/>
      <c r="K751" s="81"/>
      <c r="L751" s="82"/>
      <c r="M751" s="81"/>
      <c r="N751" s="81">
        <f>Tabla1[[#This Row],[IMPORTE APROBADO]]-Tabla1[[#This Row],[AMORTIZACION2]]</f>
        <v>10248</v>
      </c>
      <c r="O751" s="83" t="str">
        <f>TEXT(Tabla1[[#This Row],[EMISION]],"mmm")</f>
        <v>Dic</v>
      </c>
      <c r="P751" s="83" t="str">
        <f>TEXT(Tabla1[[#This Row],[EMISION]],"YYYY")</f>
        <v>2023</v>
      </c>
      <c r="Q751" s="86">
        <v>45280</v>
      </c>
      <c r="R751" s="83" t="str">
        <f>TEXT(Tabla1[[#This Row],[VENCIMIENTO]],"mmm")</f>
        <v>Ene</v>
      </c>
      <c r="S751" s="86">
        <f t="shared" si="153"/>
        <v>45305</v>
      </c>
      <c r="T751" s="87">
        <f ca="1">Tabla1[[#This Row],[EMISION]]+Tabla1[[#This Row],[PLAZO]]-TODAY()</f>
        <v>-64</v>
      </c>
      <c r="U751" s="88">
        <f t="shared" ca="1" si="154"/>
        <v>0</v>
      </c>
      <c r="V751" s="87"/>
      <c r="W751" s="89" t="s">
        <v>14307</v>
      </c>
      <c r="X751" s="83">
        <v>25</v>
      </c>
      <c r="Y751" s="65"/>
      <c r="Z751" s="65"/>
      <c r="AA751" s="65"/>
      <c r="AB751" s="65"/>
      <c r="AC751" s="65"/>
      <c r="AD751" s="65"/>
      <c r="AE751" s="65"/>
      <c r="AF751" s="68"/>
      <c r="AG751" s="90"/>
      <c r="AH751" s="91" t="s">
        <v>14313</v>
      </c>
      <c r="AI751" s="83" t="s">
        <v>3060</v>
      </c>
      <c r="AJ751" s="83" t="s">
        <v>14821</v>
      </c>
      <c r="AK751" s="97">
        <f t="shared" ca="1" si="146"/>
        <v>64</v>
      </c>
      <c r="AL751">
        <f>IFERROR(VLOOKUP(A751,'DATA CLIENTES'!B5048:I8284,6,FALSE),0)</f>
        <v>0</v>
      </c>
    </row>
    <row r="752" spans="1:38" x14ac:dyDescent="0.25">
      <c r="A752" s="93" t="s">
        <v>10210</v>
      </c>
      <c r="B752" s="68" t="s">
        <v>10211</v>
      </c>
      <c r="C752" s="65"/>
      <c r="D752" s="65"/>
      <c r="E752" s="65"/>
      <c r="F752" s="69" t="s">
        <v>14804</v>
      </c>
      <c r="G752" s="70"/>
      <c r="H752" s="65">
        <v>5600006341</v>
      </c>
      <c r="I752" s="75">
        <v>24750</v>
      </c>
      <c r="J752" s="75">
        <f>15750+9000</f>
        <v>24750</v>
      </c>
      <c r="K752" s="75"/>
      <c r="L752" s="75"/>
      <c r="M752" s="75"/>
      <c r="N752" s="75">
        <f>Tabla1[[#This Row],[IMPORTE APROBADO]]-Tabla1[[#This Row],[AMORTIZACION2]]</f>
        <v>0</v>
      </c>
      <c r="O752" s="65" t="str">
        <f>TEXT(Tabla1[[#This Row],[EMISION]],"mmm")</f>
        <v>Dic</v>
      </c>
      <c r="P752" s="65" t="str">
        <f>TEXT(Tabla1[[#This Row],[EMISION]],"YYYY")</f>
        <v>2023</v>
      </c>
      <c r="Q752" s="71">
        <v>45282</v>
      </c>
      <c r="R752" s="65" t="str">
        <f>TEXT(Tabla1[[#This Row],[VENCIMIENTO]],"mmm")</f>
        <v>Ene</v>
      </c>
      <c r="S752" s="71">
        <f t="shared" si="153"/>
        <v>45297</v>
      </c>
      <c r="T752" s="72">
        <f ca="1">Tabla1[[#This Row],[EMISION]]+Tabla1[[#This Row],[PLAZO]]-TODAY()</f>
        <v>-72</v>
      </c>
      <c r="U752" s="80">
        <f t="shared" ca="1" si="154"/>
        <v>0</v>
      </c>
      <c r="V752" s="72"/>
      <c r="W752" s="73" t="s">
        <v>14307</v>
      </c>
      <c r="X752" s="65">
        <v>15</v>
      </c>
      <c r="Y752" s="65"/>
      <c r="Z752" s="65"/>
      <c r="AA752" s="65"/>
      <c r="AB752" s="65"/>
      <c r="AC752" s="65"/>
      <c r="AD752" s="65"/>
      <c r="AE752" s="65"/>
      <c r="AF752" s="68"/>
      <c r="AG752" s="66">
        <v>45297</v>
      </c>
      <c r="AH752" s="67" t="s">
        <v>14308</v>
      </c>
      <c r="AI752" s="65" t="s">
        <v>3060</v>
      </c>
      <c r="AJ752" s="65"/>
      <c r="AK752" s="97">
        <f t="shared" ca="1" si="146"/>
        <v>72</v>
      </c>
      <c r="AL752">
        <f>IFERROR(VLOOKUP(A752,'DATA CLIENTES'!B5049:I8284,6,FALSE),0)</f>
        <v>0</v>
      </c>
    </row>
    <row r="753" spans="1:38" x14ac:dyDescent="0.25">
      <c r="A753" s="93" t="s">
        <v>9263</v>
      </c>
      <c r="B753" s="68" t="s">
        <v>9264</v>
      </c>
      <c r="C753" s="65"/>
      <c r="D753" s="65"/>
      <c r="E753" s="65"/>
      <c r="F753" s="69" t="s">
        <v>11799</v>
      </c>
      <c r="G753" s="70"/>
      <c r="H753" s="65">
        <v>5500006647</v>
      </c>
      <c r="I753" s="75">
        <v>1188</v>
      </c>
      <c r="J753" s="75"/>
      <c r="K753" s="75"/>
      <c r="L753" s="75"/>
      <c r="M753" s="75"/>
      <c r="N753" s="75">
        <f>Tabla1[[#This Row],[IMPORTE APROBADO]]-Tabla1[[#This Row],[AMORTIZACION2]]</f>
        <v>1188</v>
      </c>
      <c r="O753" s="65" t="str">
        <f>TEXT(Tabla1[[#This Row],[EMISION]],"mmm")</f>
        <v>Dic</v>
      </c>
      <c r="P753" s="65" t="str">
        <f>TEXT(Tabla1[[#This Row],[EMISION]],"YYYY")</f>
        <v>2023</v>
      </c>
      <c r="Q753" s="71">
        <v>45282</v>
      </c>
      <c r="R753" s="65" t="str">
        <f>TEXT(Tabla1[[#This Row],[VENCIMIENTO]],"mmm")</f>
        <v>Ene</v>
      </c>
      <c r="S753" s="71">
        <f t="shared" si="153"/>
        <v>45297</v>
      </c>
      <c r="T753" s="72">
        <f ca="1">Tabla1[[#This Row],[EMISION]]+Tabla1[[#This Row],[PLAZO]]-TODAY()</f>
        <v>-72</v>
      </c>
      <c r="U753" s="80">
        <f t="shared" ca="1" si="154"/>
        <v>0</v>
      </c>
      <c r="V753" s="72"/>
      <c r="W753" s="73" t="s">
        <v>14307</v>
      </c>
      <c r="X753" s="65">
        <v>15</v>
      </c>
      <c r="Y753" s="65"/>
      <c r="Z753" s="65"/>
      <c r="AA753" s="65"/>
      <c r="AB753" s="65"/>
      <c r="AC753" s="65"/>
      <c r="AD753" s="65"/>
      <c r="AE753" s="65"/>
      <c r="AF753" s="68"/>
      <c r="AG753" s="66"/>
      <c r="AH753" s="67" t="s">
        <v>14313</v>
      </c>
      <c r="AI753" s="65" t="s">
        <v>3060</v>
      </c>
      <c r="AJ753" s="65"/>
      <c r="AK753" s="97">
        <f t="shared" ca="1" si="146"/>
        <v>72</v>
      </c>
      <c r="AL753">
        <f>IFERROR(VLOOKUP(A753,'DATA CLIENTES'!B5050:I8284,6,FALSE),0)</f>
        <v>0</v>
      </c>
    </row>
    <row r="754" spans="1:38" x14ac:dyDescent="0.25">
      <c r="A754" s="93" t="s">
        <v>9263</v>
      </c>
      <c r="B754" s="68" t="s">
        <v>9264</v>
      </c>
      <c r="C754" s="65"/>
      <c r="D754" s="65"/>
      <c r="E754" s="65"/>
      <c r="F754" s="69" t="s">
        <v>11799</v>
      </c>
      <c r="G754" s="70"/>
      <c r="H754" s="65">
        <v>5600006353</v>
      </c>
      <c r="I754" s="75">
        <v>5206</v>
      </c>
      <c r="J754" s="75"/>
      <c r="K754" s="75"/>
      <c r="L754" s="75"/>
      <c r="M754" s="75"/>
      <c r="N754" s="75">
        <f>Tabla1[[#This Row],[IMPORTE APROBADO]]-Tabla1[[#This Row],[AMORTIZACION2]]</f>
        <v>5206</v>
      </c>
      <c r="O754" s="65" t="str">
        <f>TEXT(Tabla1[[#This Row],[EMISION]],"mmm")</f>
        <v>Dic</v>
      </c>
      <c r="P754" s="65" t="str">
        <f>TEXT(Tabla1[[#This Row],[EMISION]],"YYYY")</f>
        <v>2023</v>
      </c>
      <c r="Q754" s="71">
        <v>45286</v>
      </c>
      <c r="R754" s="65" t="str">
        <f>TEXT(Tabla1[[#This Row],[VENCIMIENTO]],"mmm")</f>
        <v>Ene</v>
      </c>
      <c r="S754" s="71">
        <f t="shared" ref="S754:S765" si="155">Q754+X754</f>
        <v>45301</v>
      </c>
      <c r="T754" s="72">
        <f ca="1">Tabla1[[#This Row],[EMISION]]+Tabla1[[#This Row],[PLAZO]]-TODAY()</f>
        <v>-68</v>
      </c>
      <c r="U754" s="80">
        <f t="shared" ref="U754:U765" ca="1" si="156">IF(T754&gt;=0,$U$4,IF(AND(T754&lt;=-1,T754&gt;=-30),$U$5,IF(AND(T754&lt;=-31,T754&gt;=-60),$U$6,IF(AND(T754&lt;=-61,T754&gt;=-90),$U$7,$U$8))))</f>
        <v>0</v>
      </c>
      <c r="V754" s="72"/>
      <c r="W754" s="73" t="s">
        <v>14307</v>
      </c>
      <c r="X754" s="65">
        <v>15</v>
      </c>
      <c r="Y754" s="65"/>
      <c r="Z754" s="65"/>
      <c r="AA754" s="65"/>
      <c r="AB754" s="65"/>
      <c r="AC754" s="65"/>
      <c r="AD754" s="65"/>
      <c r="AE754" s="65"/>
      <c r="AF754" s="68"/>
      <c r="AG754" s="66"/>
      <c r="AH754" s="67" t="s">
        <v>14313</v>
      </c>
      <c r="AI754" s="65" t="s">
        <v>3060</v>
      </c>
      <c r="AJ754" s="65"/>
      <c r="AK754" s="97">
        <f t="shared" ca="1" si="146"/>
        <v>68</v>
      </c>
      <c r="AL754">
        <f>IFERROR(VLOOKUP(A754,'DATA CLIENTES'!B5051:I8284,6,FALSE),0)</f>
        <v>0</v>
      </c>
    </row>
    <row r="755" spans="1:38" x14ac:dyDescent="0.25">
      <c r="A755" s="93" t="s">
        <v>5473</v>
      </c>
      <c r="B755" s="68" t="s">
        <v>14807</v>
      </c>
      <c r="C755" s="65"/>
      <c r="D755" s="65"/>
      <c r="E755" s="65"/>
      <c r="F755" s="69" t="s">
        <v>14559</v>
      </c>
      <c r="G755" s="70"/>
      <c r="H755" s="65">
        <v>5500006660</v>
      </c>
      <c r="I755" s="75">
        <v>3744</v>
      </c>
      <c r="J755" s="75"/>
      <c r="K755" s="75"/>
      <c r="L755" s="75"/>
      <c r="M755" s="75"/>
      <c r="N755" s="75">
        <f>Tabla1[[#This Row],[IMPORTE APROBADO]]-Tabla1[[#This Row],[AMORTIZACION2]]</f>
        <v>3744</v>
      </c>
      <c r="O755" s="65" t="str">
        <f>TEXT(Tabla1[[#This Row],[EMISION]],"mmm")</f>
        <v>Dic</v>
      </c>
      <c r="P755" s="65" t="str">
        <f>TEXT(Tabla1[[#This Row],[EMISION]],"YYYY")</f>
        <v>2023</v>
      </c>
      <c r="Q755" s="71">
        <v>45286</v>
      </c>
      <c r="R755" s="65" t="str">
        <f>TEXT(Tabla1[[#This Row],[VENCIMIENTO]],"mmm")</f>
        <v>Ene</v>
      </c>
      <c r="S755" s="71">
        <f t="shared" si="155"/>
        <v>45311</v>
      </c>
      <c r="T755" s="72">
        <f ca="1">Tabla1[[#This Row],[EMISION]]+Tabla1[[#This Row],[PLAZO]]-TODAY()</f>
        <v>-58</v>
      </c>
      <c r="U755" s="80">
        <f t="shared" ca="1" si="156"/>
        <v>0</v>
      </c>
      <c r="V755" s="72"/>
      <c r="W755" s="73" t="s">
        <v>14307</v>
      </c>
      <c r="X755" s="65">
        <v>25</v>
      </c>
      <c r="Y755" s="65"/>
      <c r="Z755" s="65"/>
      <c r="AA755" s="65"/>
      <c r="AB755" s="65"/>
      <c r="AC755" s="65"/>
      <c r="AD755" s="65"/>
      <c r="AE755" s="65"/>
      <c r="AF755" s="68"/>
      <c r="AG755" s="66"/>
      <c r="AH755" s="67" t="s">
        <v>14313</v>
      </c>
      <c r="AI755" s="65" t="s">
        <v>3060</v>
      </c>
      <c r="AJ755" s="65"/>
      <c r="AK755" s="97">
        <f t="shared" ca="1" si="146"/>
        <v>58</v>
      </c>
      <c r="AL755">
        <f>IFERROR(VLOOKUP(A755,'DATA CLIENTES'!B5052:I8284,6,FALSE),0)</f>
        <v>0</v>
      </c>
    </row>
    <row r="756" spans="1:38" x14ac:dyDescent="0.25">
      <c r="A756" s="93" t="s">
        <v>5470</v>
      </c>
      <c r="B756" s="68" t="s">
        <v>5471</v>
      </c>
      <c r="C756" s="65"/>
      <c r="D756" s="65"/>
      <c r="E756" s="65"/>
      <c r="F756" s="69" t="s">
        <v>14804</v>
      </c>
      <c r="G756" s="70"/>
      <c r="H756" s="65">
        <v>5600006352</v>
      </c>
      <c r="I756" s="75">
        <v>3451.3199999999997</v>
      </c>
      <c r="J756" s="75"/>
      <c r="K756" s="75"/>
      <c r="L756" s="75"/>
      <c r="M756" s="75"/>
      <c r="N756" s="75">
        <f>Tabla1[[#This Row],[IMPORTE APROBADO]]-Tabla1[[#This Row],[AMORTIZACION2]]</f>
        <v>3451.3199999999997</v>
      </c>
      <c r="O756" s="65" t="str">
        <f>TEXT(Tabla1[[#This Row],[EMISION]],"mmm")</f>
        <v>Dic</v>
      </c>
      <c r="P756" s="65" t="str">
        <f>TEXT(Tabla1[[#This Row],[EMISION]],"YYYY")</f>
        <v>2023</v>
      </c>
      <c r="Q756" s="71">
        <v>45286</v>
      </c>
      <c r="R756" s="65" t="str">
        <f>TEXT(Tabla1[[#This Row],[VENCIMIENTO]],"mmm")</f>
        <v>Ene</v>
      </c>
      <c r="S756" s="71">
        <f t="shared" si="155"/>
        <v>45316</v>
      </c>
      <c r="T756" s="72">
        <f ca="1">Tabla1[[#This Row],[EMISION]]+Tabla1[[#This Row],[PLAZO]]-TODAY()</f>
        <v>-53</v>
      </c>
      <c r="U756" s="80">
        <f t="shared" ca="1" si="156"/>
        <v>0</v>
      </c>
      <c r="V756" s="72"/>
      <c r="W756" s="73" t="s">
        <v>14307</v>
      </c>
      <c r="X756" s="65">
        <v>30</v>
      </c>
      <c r="Y756" s="65"/>
      <c r="Z756" s="65"/>
      <c r="AA756" s="65"/>
      <c r="AB756" s="65"/>
      <c r="AC756" s="65"/>
      <c r="AD756" s="65"/>
      <c r="AE756" s="65"/>
      <c r="AF756" s="68"/>
      <c r="AG756" s="66"/>
      <c r="AH756" s="67" t="s">
        <v>14313</v>
      </c>
      <c r="AI756" s="65" t="s">
        <v>3060</v>
      </c>
      <c r="AJ756" s="65"/>
      <c r="AK756" s="97">
        <f t="shared" ca="1" si="146"/>
        <v>53</v>
      </c>
      <c r="AL756">
        <f>IFERROR(VLOOKUP(A756,'DATA CLIENTES'!B5053:I8284,6,FALSE),0)</f>
        <v>0</v>
      </c>
    </row>
    <row r="757" spans="1:38" x14ac:dyDescent="0.25">
      <c r="A757" s="93" t="s">
        <v>7756</v>
      </c>
      <c r="B757" s="68" t="s">
        <v>7757</v>
      </c>
      <c r="C757" s="65"/>
      <c r="D757" s="65"/>
      <c r="E757" s="65"/>
      <c r="F757" s="69" t="s">
        <v>11799</v>
      </c>
      <c r="G757" s="70"/>
      <c r="H757" s="65">
        <v>5600006367</v>
      </c>
      <c r="I757" s="75">
        <v>2234.8000000000002</v>
      </c>
      <c r="J757" s="75"/>
      <c r="K757" s="75"/>
      <c r="L757" s="75"/>
      <c r="M757" s="75"/>
      <c r="N757" s="75">
        <f>Tabla1[[#This Row],[IMPORTE APROBADO]]-Tabla1[[#This Row],[AMORTIZACION2]]</f>
        <v>2234.8000000000002</v>
      </c>
      <c r="O757" s="65" t="str">
        <f>TEXT(Tabla1[[#This Row],[EMISION]],"mmm")</f>
        <v>Dic</v>
      </c>
      <c r="P757" s="65" t="str">
        <f>TEXT(Tabla1[[#This Row],[EMISION]],"YYYY")</f>
        <v>2023</v>
      </c>
      <c r="Q757" s="71">
        <v>45287</v>
      </c>
      <c r="R757" s="65" t="str">
        <f>TEXT(Tabla1[[#This Row],[VENCIMIENTO]],"mmm")</f>
        <v>Ene</v>
      </c>
      <c r="S757" s="71">
        <f t="shared" si="155"/>
        <v>45302</v>
      </c>
      <c r="T757" s="72">
        <f ca="1">Tabla1[[#This Row],[EMISION]]+Tabla1[[#This Row],[PLAZO]]-TODAY()</f>
        <v>-67</v>
      </c>
      <c r="U757" s="80">
        <f t="shared" ca="1" si="156"/>
        <v>0</v>
      </c>
      <c r="V757" s="72"/>
      <c r="W757" s="73" t="s">
        <v>14307</v>
      </c>
      <c r="X757" s="65">
        <v>15</v>
      </c>
      <c r="Y757" s="65"/>
      <c r="Z757" s="65"/>
      <c r="AA757" s="65"/>
      <c r="AB757" s="65"/>
      <c r="AC757" s="65"/>
      <c r="AD757" s="65"/>
      <c r="AE757" s="65"/>
      <c r="AF757" s="68"/>
      <c r="AG757" s="66"/>
      <c r="AH757" s="67" t="s">
        <v>14313</v>
      </c>
      <c r="AI757" s="65" t="s">
        <v>3060</v>
      </c>
      <c r="AJ757" s="65"/>
      <c r="AK757" s="97">
        <f t="shared" ca="1" si="146"/>
        <v>67</v>
      </c>
      <c r="AL757">
        <f>IFERROR(VLOOKUP(A757,'DATA CLIENTES'!B5054:I8284,6,FALSE),0)</f>
        <v>0</v>
      </c>
    </row>
    <row r="758" spans="1:38" x14ac:dyDescent="0.25">
      <c r="A758" s="93" t="s">
        <v>7756</v>
      </c>
      <c r="B758" s="68" t="s">
        <v>7757</v>
      </c>
      <c r="C758" s="65"/>
      <c r="D758" s="65"/>
      <c r="E758" s="65"/>
      <c r="F758" s="69" t="s">
        <v>11799</v>
      </c>
      <c r="G758" s="70"/>
      <c r="H758" s="65">
        <v>5600006368</v>
      </c>
      <c r="I758" s="75">
        <v>3878.9</v>
      </c>
      <c r="J758" s="75"/>
      <c r="K758" s="75"/>
      <c r="L758" s="75"/>
      <c r="M758" s="75"/>
      <c r="N758" s="75">
        <f>Tabla1[[#This Row],[IMPORTE APROBADO]]-Tabla1[[#This Row],[AMORTIZACION2]]</f>
        <v>3878.9</v>
      </c>
      <c r="O758" s="65" t="str">
        <f>TEXT(Tabla1[[#This Row],[EMISION]],"mmm")</f>
        <v>Dic</v>
      </c>
      <c r="P758" s="65" t="str">
        <f>TEXT(Tabla1[[#This Row],[EMISION]],"YYYY")</f>
        <v>2023</v>
      </c>
      <c r="Q758" s="71">
        <v>45287</v>
      </c>
      <c r="R758" s="65" t="str">
        <f>TEXT(Tabla1[[#This Row],[VENCIMIENTO]],"mmm")</f>
        <v>Ene</v>
      </c>
      <c r="S758" s="71">
        <f t="shared" si="155"/>
        <v>45302</v>
      </c>
      <c r="T758" s="72">
        <f ca="1">Tabla1[[#This Row],[EMISION]]+Tabla1[[#This Row],[PLAZO]]-TODAY()</f>
        <v>-67</v>
      </c>
      <c r="U758" s="80">
        <f t="shared" ca="1" si="156"/>
        <v>0</v>
      </c>
      <c r="V758" s="72"/>
      <c r="W758" s="73" t="s">
        <v>14307</v>
      </c>
      <c r="X758" s="65">
        <v>15</v>
      </c>
      <c r="Y758" s="65"/>
      <c r="Z758" s="65"/>
      <c r="AA758" s="65"/>
      <c r="AB758" s="65"/>
      <c r="AC758" s="65"/>
      <c r="AD758" s="65"/>
      <c r="AE758" s="65"/>
      <c r="AF758" s="68"/>
      <c r="AG758" s="66"/>
      <c r="AH758" s="67" t="s">
        <v>14313</v>
      </c>
      <c r="AI758" s="65" t="s">
        <v>3060</v>
      </c>
      <c r="AJ758" s="65"/>
      <c r="AK758" s="97">
        <f t="shared" ca="1" si="146"/>
        <v>67</v>
      </c>
      <c r="AL758">
        <f>IFERROR(VLOOKUP(A758,'DATA CLIENTES'!B5055:I8284,6,FALSE),0)</f>
        <v>0</v>
      </c>
    </row>
    <row r="759" spans="1:38" x14ac:dyDescent="0.25">
      <c r="A759" s="93" t="s">
        <v>9812</v>
      </c>
      <c r="B759" s="68" t="s">
        <v>9813</v>
      </c>
      <c r="C759" s="65"/>
      <c r="D759" s="65"/>
      <c r="E759" s="65"/>
      <c r="F759" s="69" t="s">
        <v>14804</v>
      </c>
      <c r="G759" s="70"/>
      <c r="H759" s="65">
        <v>5500006678</v>
      </c>
      <c r="I759" s="75">
        <v>1719.6000000000004</v>
      </c>
      <c r="J759" s="75">
        <v>1719.6</v>
      </c>
      <c r="K759" s="75">
        <v>1719.6</v>
      </c>
      <c r="L759" s="74">
        <v>45314</v>
      </c>
      <c r="M759" s="75" t="s">
        <v>14814</v>
      </c>
      <c r="N759" s="75">
        <f>Tabla1[[#This Row],[IMPORTE APROBADO]]-Tabla1[[#This Row],[AMORTIZACION2]]</f>
        <v>0</v>
      </c>
      <c r="O759" s="65" t="str">
        <f>TEXT(Tabla1[[#This Row],[EMISION]],"mmm")</f>
        <v>Dic</v>
      </c>
      <c r="P759" s="65" t="str">
        <f>TEXT(Tabla1[[#This Row],[EMISION]],"YYYY")</f>
        <v>2023</v>
      </c>
      <c r="Q759" s="71">
        <v>45288</v>
      </c>
      <c r="R759" s="65" t="str">
        <f>TEXT(Tabla1[[#This Row],[VENCIMIENTO]],"mmm")</f>
        <v>Ene</v>
      </c>
      <c r="S759" s="71">
        <f t="shared" si="155"/>
        <v>45308</v>
      </c>
      <c r="T759" s="72">
        <f ca="1">Tabla1[[#This Row],[EMISION]]+Tabla1[[#This Row],[PLAZO]]-TODAY()</f>
        <v>-61</v>
      </c>
      <c r="U759" s="80">
        <f t="shared" ca="1" si="156"/>
        <v>0</v>
      </c>
      <c r="V759" s="72"/>
      <c r="W759" s="73" t="s">
        <v>14307</v>
      </c>
      <c r="X759" s="65">
        <v>20</v>
      </c>
      <c r="Y759" s="65"/>
      <c r="Z759" s="65"/>
      <c r="AA759" s="65"/>
      <c r="AB759" s="65"/>
      <c r="AC759" s="65"/>
      <c r="AD759" s="65"/>
      <c r="AE759" s="65"/>
      <c r="AF759" s="68"/>
      <c r="AG759" s="66"/>
      <c r="AH759" s="67" t="s">
        <v>14308</v>
      </c>
      <c r="AI759" s="65" t="s">
        <v>3060</v>
      </c>
      <c r="AJ759" s="65"/>
      <c r="AK759" s="97">
        <f t="shared" ca="1" si="146"/>
        <v>61</v>
      </c>
      <c r="AL759">
        <f>IFERROR(VLOOKUP(A759,'DATA CLIENTES'!B5056:I8284,6,FALSE),0)</f>
        <v>0</v>
      </c>
    </row>
    <row r="760" spans="1:38" x14ac:dyDescent="0.25">
      <c r="A760" s="93" t="s">
        <v>9345</v>
      </c>
      <c r="B760" s="68" t="s">
        <v>9346</v>
      </c>
      <c r="C760" s="65"/>
      <c r="D760" s="65"/>
      <c r="E760" s="65"/>
      <c r="F760" s="69" t="s">
        <v>14559</v>
      </c>
      <c r="G760" s="70"/>
      <c r="H760" s="65">
        <v>5500006693</v>
      </c>
      <c r="I760" s="75">
        <v>6480</v>
      </c>
      <c r="J760" s="75"/>
      <c r="K760" s="75"/>
      <c r="L760" s="74"/>
      <c r="M760" s="75"/>
      <c r="N760" s="75">
        <f>Tabla1[[#This Row],[IMPORTE APROBADO]]-Tabla1[[#This Row],[AMORTIZACION2]]</f>
        <v>6480</v>
      </c>
      <c r="O760" s="65" t="str">
        <f>TEXT(Tabla1[[#This Row],[EMISION]],"mmm")</f>
        <v>Dic</v>
      </c>
      <c r="P760" s="65" t="str">
        <f>TEXT(Tabla1[[#This Row],[EMISION]],"YYYY")</f>
        <v>2023</v>
      </c>
      <c r="Q760" s="71">
        <v>45289</v>
      </c>
      <c r="R760" s="65" t="str">
        <f>TEXT(Tabla1[[#This Row],[VENCIMIENTO]],"mmm")</f>
        <v>Ene</v>
      </c>
      <c r="S760" s="71">
        <f t="shared" si="155"/>
        <v>45314</v>
      </c>
      <c r="T760" s="72">
        <f ca="1">Tabla1[[#This Row],[EMISION]]+Tabla1[[#This Row],[PLAZO]]-TODAY()</f>
        <v>-55</v>
      </c>
      <c r="U760" s="80">
        <f t="shared" ca="1" si="156"/>
        <v>0</v>
      </c>
      <c r="V760" s="72"/>
      <c r="W760" s="73" t="s">
        <v>14307</v>
      </c>
      <c r="X760" s="65">
        <v>25</v>
      </c>
      <c r="Y760" s="65"/>
      <c r="Z760" s="65"/>
      <c r="AA760" s="65"/>
      <c r="AB760" s="65"/>
      <c r="AC760" s="65"/>
      <c r="AD760" s="65"/>
      <c r="AE760" s="65"/>
      <c r="AF760" s="68"/>
      <c r="AG760" s="66"/>
      <c r="AH760" s="67" t="s">
        <v>14313</v>
      </c>
      <c r="AI760" s="65" t="s">
        <v>3060</v>
      </c>
      <c r="AJ760" s="65"/>
      <c r="AK760" s="97">
        <f t="shared" ca="1" si="146"/>
        <v>55</v>
      </c>
      <c r="AL760">
        <f>IFERROR(VLOOKUP(A760,'DATA CLIENTES'!B5057:I8284,6,FALSE),0)</f>
        <v>0</v>
      </c>
    </row>
    <row r="761" spans="1:38" x14ac:dyDescent="0.25">
      <c r="A761" s="93" t="s">
        <v>10005</v>
      </c>
      <c r="B761" s="68" t="s">
        <v>10006</v>
      </c>
      <c r="C761" s="65"/>
      <c r="D761" s="65"/>
      <c r="E761" s="65"/>
      <c r="F761" s="69" t="s">
        <v>14559</v>
      </c>
      <c r="G761" s="70"/>
      <c r="H761" s="65">
        <v>5500006688</v>
      </c>
      <c r="I761" s="75">
        <f>4454-4000</f>
        <v>454</v>
      </c>
      <c r="J761" s="75">
        <v>454</v>
      </c>
      <c r="K761" s="75">
        <v>454</v>
      </c>
      <c r="L761" s="74">
        <v>45315</v>
      </c>
      <c r="M761" s="75" t="s">
        <v>14814</v>
      </c>
      <c r="N761" s="75">
        <f>Tabla1[[#This Row],[IMPORTE APROBADO]]-Tabla1[[#This Row],[AMORTIZACION2]]</f>
        <v>0</v>
      </c>
      <c r="O761" s="65" t="str">
        <f>TEXT(Tabla1[[#This Row],[EMISION]],"mmm")</f>
        <v>Dic</v>
      </c>
      <c r="P761" s="65" t="str">
        <f>TEXT(Tabla1[[#This Row],[EMISION]],"YYYY")</f>
        <v>2023</v>
      </c>
      <c r="Q761" s="71">
        <v>45289</v>
      </c>
      <c r="R761" s="65" t="str">
        <f>TEXT(Tabla1[[#This Row],[VENCIMIENTO]],"mmm")</f>
        <v>Ene</v>
      </c>
      <c r="S761" s="71">
        <f t="shared" si="155"/>
        <v>45314</v>
      </c>
      <c r="T761" s="72">
        <f ca="1">Tabla1[[#This Row],[EMISION]]+Tabla1[[#This Row],[PLAZO]]-TODAY()</f>
        <v>-55</v>
      </c>
      <c r="U761" s="80">
        <f t="shared" ca="1" si="156"/>
        <v>0</v>
      </c>
      <c r="V761" s="72"/>
      <c r="W761" s="73" t="s">
        <v>14307</v>
      </c>
      <c r="X761" s="65">
        <v>25</v>
      </c>
      <c r="Y761" s="65"/>
      <c r="Z761" s="65"/>
      <c r="AA761" s="65"/>
      <c r="AB761" s="65"/>
      <c r="AC761" s="65"/>
      <c r="AD761" s="65"/>
      <c r="AE761" s="65"/>
      <c r="AF761" s="68"/>
      <c r="AG761" s="66"/>
      <c r="AH761" s="67" t="s">
        <v>14308</v>
      </c>
      <c r="AI761" s="65" t="s">
        <v>3060</v>
      </c>
      <c r="AJ761" s="65"/>
      <c r="AK761" s="97">
        <f t="shared" ca="1" si="146"/>
        <v>55</v>
      </c>
      <c r="AL761">
        <f>IFERROR(VLOOKUP(A761,'DATA CLIENTES'!B5058:I8284,6,FALSE),0)</f>
        <v>0</v>
      </c>
    </row>
    <row r="762" spans="1:38" x14ac:dyDescent="0.25">
      <c r="A762" s="93" t="s">
        <v>10005</v>
      </c>
      <c r="B762" s="68" t="s">
        <v>10006</v>
      </c>
      <c r="C762" s="65"/>
      <c r="D762" s="65"/>
      <c r="E762" s="65"/>
      <c r="F762" s="69" t="s">
        <v>14559</v>
      </c>
      <c r="G762" s="70"/>
      <c r="H762" s="65">
        <v>5500006688</v>
      </c>
      <c r="I762" s="75">
        <f>4454-454-3500</f>
        <v>500</v>
      </c>
      <c r="J762" s="75">
        <v>500</v>
      </c>
      <c r="K762" s="75">
        <v>500</v>
      </c>
      <c r="L762" s="74">
        <v>45316</v>
      </c>
      <c r="M762" s="75" t="s">
        <v>14814</v>
      </c>
      <c r="N762" s="75">
        <f>Tabla1[[#This Row],[IMPORTE APROBADO]]-Tabla1[[#This Row],[AMORTIZACION2]]</f>
        <v>0</v>
      </c>
      <c r="O762" s="65" t="str">
        <f>TEXT(Tabla1[[#This Row],[EMISION]],"mmm")</f>
        <v>Ene</v>
      </c>
      <c r="P762" s="65" t="str">
        <f>TEXT(Tabla1[[#This Row],[EMISION]],"YYYY")</f>
        <v>1900</v>
      </c>
      <c r="Q762" s="71"/>
      <c r="R762" s="65" t="str">
        <f>TEXT(Tabla1[[#This Row],[VENCIMIENTO]],"mmm")</f>
        <v>Ene</v>
      </c>
      <c r="S762" s="71">
        <f>Q762+X762</f>
        <v>0</v>
      </c>
      <c r="T762" s="72">
        <f ca="1">Tabla1[[#This Row],[EMISION]]+Tabla1[[#This Row],[PLAZO]]-TODAY()</f>
        <v>-45369</v>
      </c>
      <c r="U762" s="80">
        <f ca="1">IF(T762&gt;=0,$U$4,IF(AND(T762&lt;=-1,T762&gt;=-30),$U$5,IF(AND(T762&lt;=-31,T762&gt;=-60),$U$6,IF(AND(T762&lt;=-61,T762&gt;=-90),$U$7,$U$8))))</f>
        <v>0</v>
      </c>
      <c r="V762" s="72"/>
      <c r="W762" s="73"/>
      <c r="X762" s="65"/>
      <c r="Y762" s="65"/>
      <c r="Z762" s="65"/>
      <c r="AA762" s="65"/>
      <c r="AB762" s="65"/>
      <c r="AC762" s="65"/>
      <c r="AD762" s="65"/>
      <c r="AE762" s="65"/>
      <c r="AF762" s="68"/>
      <c r="AG762" s="66"/>
      <c r="AH762" s="67" t="s">
        <v>14308</v>
      </c>
      <c r="AI762" s="65" t="s">
        <v>3060</v>
      </c>
      <c r="AJ762" s="65"/>
      <c r="AK762" s="97">
        <f t="shared" ca="1" si="146"/>
        <v>45369</v>
      </c>
      <c r="AL762">
        <f>IFERROR(VLOOKUP(A762,'DATA CLIENTES'!B5059:I8284,6,FALSE),0)</f>
        <v>0</v>
      </c>
    </row>
    <row r="763" spans="1:38" x14ac:dyDescent="0.25">
      <c r="A763" s="93" t="s">
        <v>10005</v>
      </c>
      <c r="B763" s="68" t="s">
        <v>10006</v>
      </c>
      <c r="C763" s="65"/>
      <c r="D763" s="65"/>
      <c r="E763" s="65"/>
      <c r="F763" s="69" t="s">
        <v>14559</v>
      </c>
      <c r="G763" s="70"/>
      <c r="H763" s="65">
        <v>5500006688</v>
      </c>
      <c r="I763" s="75">
        <f>4454-454-500</f>
        <v>3500</v>
      </c>
      <c r="J763" s="75"/>
      <c r="K763" s="75"/>
      <c r="L763" s="74"/>
      <c r="M763" s="75"/>
      <c r="N763" s="75">
        <f>Tabla1[[#This Row],[IMPORTE APROBADO]]-Tabla1[[#This Row],[AMORTIZACION2]]</f>
        <v>3500</v>
      </c>
      <c r="O763" s="65" t="str">
        <f>TEXT(Tabla1[[#This Row],[EMISION]],"mmm")</f>
        <v>Ene</v>
      </c>
      <c r="P763" s="65" t="str">
        <f>TEXT(Tabla1[[#This Row],[EMISION]],"YYYY")</f>
        <v>1900</v>
      </c>
      <c r="Q763" s="71"/>
      <c r="R763" s="65" t="str">
        <f>TEXT(Tabla1[[#This Row],[VENCIMIENTO]],"mmm")</f>
        <v>Ene</v>
      </c>
      <c r="S763" s="71">
        <f>Q763+X763</f>
        <v>0</v>
      </c>
      <c r="T763" s="72">
        <f ca="1">Tabla1[[#This Row],[EMISION]]+Tabla1[[#This Row],[PLAZO]]-TODAY()</f>
        <v>-45369</v>
      </c>
      <c r="U763" s="80">
        <f ca="1">IF(T763&gt;=0,$U$4,IF(AND(T763&lt;=-1,T763&gt;=-30),$U$5,IF(AND(T763&lt;=-31,T763&gt;=-60),$U$6,IF(AND(T763&lt;=-61,T763&gt;=-90),$U$7,$U$8))))</f>
        <v>0</v>
      </c>
      <c r="V763" s="72"/>
      <c r="W763" s="73"/>
      <c r="X763" s="65"/>
      <c r="Y763" s="65"/>
      <c r="Z763" s="65"/>
      <c r="AA763" s="65"/>
      <c r="AB763" s="65"/>
      <c r="AC763" s="65"/>
      <c r="AD763" s="65"/>
      <c r="AE763" s="65"/>
      <c r="AF763" s="68"/>
      <c r="AG763" s="66"/>
      <c r="AH763" s="67" t="s">
        <v>14313</v>
      </c>
      <c r="AI763" s="65" t="s">
        <v>3060</v>
      </c>
      <c r="AJ763" s="65"/>
      <c r="AK763" s="97">
        <f t="shared" ca="1" si="146"/>
        <v>45369</v>
      </c>
      <c r="AL763">
        <f>IFERROR(VLOOKUP(A763,'DATA CLIENTES'!B5060:I8284,6,FALSE),0)</f>
        <v>0</v>
      </c>
    </row>
    <row r="764" spans="1:38" x14ac:dyDescent="0.25">
      <c r="A764" s="93" t="s">
        <v>10210</v>
      </c>
      <c r="B764" s="68" t="s">
        <v>10211</v>
      </c>
      <c r="C764" s="65"/>
      <c r="D764" s="65"/>
      <c r="E764" s="65"/>
      <c r="F764" s="69" t="s">
        <v>14804</v>
      </c>
      <c r="G764" s="70"/>
      <c r="H764" s="65">
        <v>5600006378</v>
      </c>
      <c r="I764" s="75">
        <f>10038-4800</f>
        <v>5238</v>
      </c>
      <c r="J764" s="75">
        <v>5238</v>
      </c>
      <c r="K764" s="75">
        <v>5238</v>
      </c>
      <c r="L764" s="74">
        <v>45307</v>
      </c>
      <c r="M764" s="75" t="s">
        <v>14814</v>
      </c>
      <c r="N764" s="75">
        <f>Tabla1[[#This Row],[IMPORTE APROBADO]]-Tabla1[[#This Row],[AMORTIZACION2]]</f>
        <v>0</v>
      </c>
      <c r="O764" s="65" t="str">
        <f>TEXT(Tabla1[[#This Row],[EMISION]],"mmm")</f>
        <v>Dic</v>
      </c>
      <c r="P764" s="65" t="str">
        <f>TEXT(Tabla1[[#This Row],[EMISION]],"YYYY")</f>
        <v>2023</v>
      </c>
      <c r="Q764" s="71">
        <v>45289</v>
      </c>
      <c r="R764" s="65" t="str">
        <f>TEXT(Tabla1[[#This Row],[VENCIMIENTO]],"mmm")</f>
        <v>Ene</v>
      </c>
      <c r="S764" s="71">
        <f t="shared" si="155"/>
        <v>45304</v>
      </c>
      <c r="T764" s="72">
        <f ca="1">Tabla1[[#This Row],[EMISION]]+Tabla1[[#This Row],[PLAZO]]-TODAY()</f>
        <v>-65</v>
      </c>
      <c r="U764" s="80">
        <f t="shared" ca="1" si="156"/>
        <v>0</v>
      </c>
      <c r="V764" s="72"/>
      <c r="W764" s="73" t="s">
        <v>14307</v>
      </c>
      <c r="X764" s="65">
        <v>15</v>
      </c>
      <c r="Y764" s="65"/>
      <c r="Z764" s="65"/>
      <c r="AA764" s="65"/>
      <c r="AB764" s="65"/>
      <c r="AC764" s="65"/>
      <c r="AD764" s="65"/>
      <c r="AE764" s="65"/>
      <c r="AF764" s="68"/>
      <c r="AG764" s="66"/>
      <c r="AH764" s="67" t="s">
        <v>14308</v>
      </c>
      <c r="AI764" s="65" t="s">
        <v>3060</v>
      </c>
      <c r="AJ764" s="65"/>
      <c r="AK764" s="97">
        <f t="shared" ca="1" si="146"/>
        <v>65</v>
      </c>
      <c r="AL764">
        <f>IFERROR(VLOOKUP(A764,'DATA CLIENTES'!B5061:I8284,6,FALSE),0)</f>
        <v>0</v>
      </c>
    </row>
    <row r="765" spans="1:38" x14ac:dyDescent="0.25">
      <c r="A765" s="93" t="s">
        <v>10210</v>
      </c>
      <c r="B765" s="68" t="s">
        <v>10211</v>
      </c>
      <c r="C765" s="65"/>
      <c r="D765" s="65"/>
      <c r="E765" s="65"/>
      <c r="F765" s="69" t="s">
        <v>14804</v>
      </c>
      <c r="G765" s="70"/>
      <c r="H765" s="65">
        <v>5600006378</v>
      </c>
      <c r="I765" s="75">
        <f>10038-5238</f>
        <v>4800</v>
      </c>
      <c r="J765" s="75">
        <v>4800</v>
      </c>
      <c r="K765" s="75">
        <v>4800</v>
      </c>
      <c r="L765" s="74">
        <v>45302</v>
      </c>
      <c r="M765" s="75" t="s">
        <v>14819</v>
      </c>
      <c r="N765" s="75">
        <f>Tabla1[[#This Row],[IMPORTE APROBADO]]-Tabla1[[#This Row],[AMORTIZACION2]]</f>
        <v>0</v>
      </c>
      <c r="O765" s="65" t="str">
        <f>TEXT(Tabla1[[#This Row],[EMISION]],"mmm")</f>
        <v>Dic</v>
      </c>
      <c r="P765" s="65" t="str">
        <f>TEXT(Tabla1[[#This Row],[EMISION]],"YYYY")</f>
        <v>2023</v>
      </c>
      <c r="Q765" s="71">
        <v>45289</v>
      </c>
      <c r="R765" s="65" t="str">
        <f>TEXT(Tabla1[[#This Row],[VENCIMIENTO]],"mmm")</f>
        <v>Ene</v>
      </c>
      <c r="S765" s="71">
        <f t="shared" si="155"/>
        <v>45304</v>
      </c>
      <c r="T765" s="72">
        <f ca="1">Tabla1[[#This Row],[EMISION]]+Tabla1[[#This Row],[PLAZO]]-TODAY()</f>
        <v>-65</v>
      </c>
      <c r="U765" s="80">
        <f t="shared" ca="1" si="156"/>
        <v>0</v>
      </c>
      <c r="V765" s="72"/>
      <c r="W765" s="73" t="s">
        <v>14307</v>
      </c>
      <c r="X765" s="65">
        <v>15</v>
      </c>
      <c r="Y765" s="65"/>
      <c r="Z765" s="65"/>
      <c r="AA765" s="65"/>
      <c r="AB765" s="65"/>
      <c r="AC765" s="65"/>
      <c r="AD765" s="65"/>
      <c r="AE765" s="65"/>
      <c r="AF765" s="68"/>
      <c r="AG765" s="66"/>
      <c r="AH765" s="67" t="s">
        <v>14308</v>
      </c>
      <c r="AI765" s="65" t="s">
        <v>3060</v>
      </c>
      <c r="AJ765" s="65"/>
      <c r="AK765" s="97">
        <f t="shared" ca="1" si="146"/>
        <v>65</v>
      </c>
      <c r="AL765">
        <f>IFERROR(VLOOKUP(A765,'DATA CLIENTES'!B5062:I8284,6,FALSE),0)</f>
        <v>0</v>
      </c>
    </row>
    <row r="766" spans="1:38" x14ac:dyDescent="0.25">
      <c r="A766" s="93" t="s">
        <v>7123</v>
      </c>
      <c r="B766" s="68" t="s">
        <v>7124</v>
      </c>
      <c r="C766" s="65"/>
      <c r="D766" s="65"/>
      <c r="E766" s="65"/>
      <c r="F766" s="69" t="s">
        <v>14559</v>
      </c>
      <c r="G766" s="70"/>
      <c r="H766" s="65">
        <v>5500006696</v>
      </c>
      <c r="I766" s="75">
        <v>4176</v>
      </c>
      <c r="J766" s="75"/>
      <c r="K766" s="75"/>
      <c r="L766" s="75"/>
      <c r="M766" s="75"/>
      <c r="N766" s="75">
        <f>Tabla1[[#This Row],[IMPORTE APROBADO]]-Tabla1[[#This Row],[AMORTIZACION2]]</f>
        <v>4176</v>
      </c>
      <c r="O766" s="65" t="str">
        <f>TEXT(Tabla1[[#This Row],[EMISION]],"mmm")</f>
        <v>Dic</v>
      </c>
      <c r="P766" s="65" t="str">
        <f>TEXT(Tabla1[[#This Row],[EMISION]],"YYYY")</f>
        <v>2023</v>
      </c>
      <c r="Q766" s="71">
        <v>45289</v>
      </c>
      <c r="R766" s="65" t="str">
        <f>TEXT(Tabla1[[#This Row],[VENCIMIENTO]],"mmm")</f>
        <v>Ene</v>
      </c>
      <c r="S766" s="71">
        <f t="shared" ref="S766:S771" si="157">Q766+X766</f>
        <v>45319</v>
      </c>
      <c r="T766" s="72">
        <f ca="1">Tabla1[[#This Row],[EMISION]]+Tabla1[[#This Row],[PLAZO]]-TODAY()</f>
        <v>-50</v>
      </c>
      <c r="U766" s="80">
        <f t="shared" ref="U766:U771" ca="1" si="158">IF(T766&gt;=0,$U$4,IF(AND(T766&lt;=-1,T766&gt;=-30),$U$5,IF(AND(T766&lt;=-31,T766&gt;=-60),$U$6,IF(AND(T766&lt;=-61,T766&gt;=-90),$U$7,$U$8))))</f>
        <v>0</v>
      </c>
      <c r="V766" s="72"/>
      <c r="W766" s="73" t="s">
        <v>14307</v>
      </c>
      <c r="X766" s="65">
        <v>30</v>
      </c>
      <c r="Y766" s="65"/>
      <c r="Z766" s="65"/>
      <c r="AA766" s="65"/>
      <c r="AB766" s="65"/>
      <c r="AC766" s="65"/>
      <c r="AD766" s="65"/>
      <c r="AE766" s="65"/>
      <c r="AF766" s="68"/>
      <c r="AG766" s="66"/>
      <c r="AH766" s="67" t="s">
        <v>14313</v>
      </c>
      <c r="AI766" s="65" t="s">
        <v>3060</v>
      </c>
      <c r="AJ766" s="65"/>
      <c r="AK766" s="97">
        <f t="shared" ca="1" si="146"/>
        <v>50</v>
      </c>
      <c r="AL766">
        <f>IFERROR(VLOOKUP(A766,'DATA CLIENTES'!B5063:I8284,6,FALSE),0)</f>
        <v>0</v>
      </c>
    </row>
    <row r="767" spans="1:38" x14ac:dyDescent="0.25">
      <c r="A767" s="93" t="s">
        <v>5294</v>
      </c>
      <c r="B767" s="68" t="s">
        <v>14811</v>
      </c>
      <c r="C767" s="65"/>
      <c r="D767" s="65"/>
      <c r="E767" s="65"/>
      <c r="F767" s="69" t="s">
        <v>14559</v>
      </c>
      <c r="G767" s="70"/>
      <c r="H767" s="65">
        <v>5500006689</v>
      </c>
      <c r="I767" s="75">
        <v>16242.1</v>
      </c>
      <c r="J767" s="75"/>
      <c r="K767" s="75"/>
      <c r="L767" s="75"/>
      <c r="M767" s="75"/>
      <c r="N767" s="75">
        <f>Tabla1[[#This Row],[IMPORTE APROBADO]]-Tabla1[[#This Row],[AMORTIZACION2]]</f>
        <v>16242.1</v>
      </c>
      <c r="O767" s="65" t="str">
        <f>TEXT(Tabla1[[#This Row],[EMISION]],"mmm")</f>
        <v>Dic</v>
      </c>
      <c r="P767" s="65" t="str">
        <f>TEXT(Tabla1[[#This Row],[EMISION]],"YYYY")</f>
        <v>2023</v>
      </c>
      <c r="Q767" s="71">
        <v>45289</v>
      </c>
      <c r="R767" s="65" t="str">
        <f>TEXT(Tabla1[[#This Row],[VENCIMIENTO]],"mmm")</f>
        <v>Feb</v>
      </c>
      <c r="S767" s="71">
        <f t="shared" si="157"/>
        <v>45335</v>
      </c>
      <c r="T767" s="72">
        <f ca="1">Tabla1[[#This Row],[EMISION]]+Tabla1[[#This Row],[PLAZO]]-TODAY()</f>
        <v>-34</v>
      </c>
      <c r="U767" s="80">
        <f t="shared" ca="1" si="158"/>
        <v>0</v>
      </c>
      <c r="V767" s="72"/>
      <c r="W767" s="73" t="s">
        <v>14307</v>
      </c>
      <c r="X767" s="65">
        <v>46</v>
      </c>
      <c r="Y767" s="65"/>
      <c r="Z767" s="65"/>
      <c r="AA767" s="65"/>
      <c r="AB767" s="65"/>
      <c r="AC767" s="65"/>
      <c r="AD767" s="65"/>
      <c r="AE767" s="65"/>
      <c r="AF767" s="68"/>
      <c r="AG767" s="66"/>
      <c r="AH767" s="67" t="s">
        <v>14313</v>
      </c>
      <c r="AI767" s="65" t="s">
        <v>3060</v>
      </c>
      <c r="AJ767" s="65"/>
      <c r="AK767" s="97">
        <f t="shared" ca="1" si="146"/>
        <v>34</v>
      </c>
      <c r="AL767">
        <f>IFERROR(VLOOKUP(A767,'DATA CLIENTES'!B5064:I8284,6,FALSE),0)</f>
        <v>0</v>
      </c>
    </row>
    <row r="768" spans="1:38" x14ac:dyDescent="0.25">
      <c r="A768" s="93" t="s">
        <v>5294</v>
      </c>
      <c r="B768" s="68" t="s">
        <v>14811</v>
      </c>
      <c r="C768" s="65"/>
      <c r="D768" s="65"/>
      <c r="E768" s="65"/>
      <c r="F768" s="69" t="s">
        <v>14559</v>
      </c>
      <c r="G768" s="70"/>
      <c r="H768" s="65">
        <v>5500006690</v>
      </c>
      <c r="I768" s="75">
        <v>10560</v>
      </c>
      <c r="J768" s="75"/>
      <c r="K768" s="75"/>
      <c r="L768" s="75"/>
      <c r="M768" s="75"/>
      <c r="N768" s="75">
        <f>Tabla1[[#This Row],[IMPORTE APROBADO]]-Tabla1[[#This Row],[AMORTIZACION2]]</f>
        <v>10560</v>
      </c>
      <c r="O768" s="65" t="str">
        <f>TEXT(Tabla1[[#This Row],[EMISION]],"mmm")</f>
        <v>Dic</v>
      </c>
      <c r="P768" s="65" t="str">
        <f>TEXT(Tabla1[[#This Row],[EMISION]],"YYYY")</f>
        <v>2023</v>
      </c>
      <c r="Q768" s="71">
        <v>45289</v>
      </c>
      <c r="R768" s="65" t="str">
        <f>TEXT(Tabla1[[#This Row],[VENCIMIENTO]],"mmm")</f>
        <v>Ene</v>
      </c>
      <c r="S768" s="71">
        <f t="shared" si="157"/>
        <v>45319</v>
      </c>
      <c r="T768" s="72">
        <f ca="1">Tabla1[[#This Row],[EMISION]]+Tabla1[[#This Row],[PLAZO]]-TODAY()</f>
        <v>-50</v>
      </c>
      <c r="U768" s="80">
        <f t="shared" ca="1" si="158"/>
        <v>0</v>
      </c>
      <c r="V768" s="72"/>
      <c r="W768" s="73" t="s">
        <v>14307</v>
      </c>
      <c r="X768" s="65">
        <v>30</v>
      </c>
      <c r="Y768" s="65"/>
      <c r="Z768" s="65"/>
      <c r="AA768" s="65"/>
      <c r="AB768" s="65"/>
      <c r="AC768" s="65"/>
      <c r="AD768" s="65"/>
      <c r="AE768" s="65"/>
      <c r="AF768" s="68"/>
      <c r="AG768" s="66"/>
      <c r="AH768" s="67" t="s">
        <v>14313</v>
      </c>
      <c r="AI768" s="65" t="s">
        <v>3060</v>
      </c>
      <c r="AJ768" s="65"/>
      <c r="AK768" s="97">
        <f t="shared" ca="1" si="146"/>
        <v>50</v>
      </c>
      <c r="AL768">
        <f>IFERROR(VLOOKUP(A768,'DATA CLIENTES'!B5065:I8284,6,FALSE),0)</f>
        <v>0</v>
      </c>
    </row>
    <row r="769" spans="1:38" x14ac:dyDescent="0.25">
      <c r="A769" s="93" t="s">
        <v>10866</v>
      </c>
      <c r="B769" s="68" t="s">
        <v>10867</v>
      </c>
      <c r="C769" s="65"/>
      <c r="D769" s="65"/>
      <c r="E769" s="65"/>
      <c r="F769" s="69" t="s">
        <v>14817</v>
      </c>
      <c r="G769" s="70"/>
      <c r="H769" s="65">
        <v>5300000334</v>
      </c>
      <c r="I769" s="75">
        <v>2590.7799999999997</v>
      </c>
      <c r="J769" s="75"/>
      <c r="K769" s="75"/>
      <c r="L769" s="74"/>
      <c r="M769" s="75"/>
      <c r="N769" s="75">
        <f>Tabla1[[#This Row],[IMPORTE APROBADO]]-Tabla1[[#This Row],[AMORTIZACION2]]</f>
        <v>2590.7799999999997</v>
      </c>
      <c r="O769" s="65" t="str">
        <f>TEXT(Tabla1[[#This Row],[EMISION]],"mmm")</f>
        <v>Dic</v>
      </c>
      <c r="P769" s="65" t="str">
        <f>TEXT(Tabla1[[#This Row],[EMISION]],"YYYY")</f>
        <v>2023</v>
      </c>
      <c r="Q769" s="71">
        <v>45290</v>
      </c>
      <c r="R769" s="65" t="str">
        <f>TEXT(Tabla1[[#This Row],[VENCIMIENTO]],"mmm")</f>
        <v>Feb</v>
      </c>
      <c r="S769" s="71">
        <f t="shared" si="157"/>
        <v>45350</v>
      </c>
      <c r="T769" s="72">
        <f ca="1">Tabla1[[#This Row],[EMISION]]+Tabla1[[#This Row],[PLAZO]]-TODAY()</f>
        <v>-19</v>
      </c>
      <c r="U769" s="80">
        <f t="shared" ca="1" si="158"/>
        <v>0</v>
      </c>
      <c r="V769" s="72"/>
      <c r="W769" s="73" t="s">
        <v>14307</v>
      </c>
      <c r="X769" s="65">
        <v>60</v>
      </c>
      <c r="Y769" s="65"/>
      <c r="Z769" s="65"/>
      <c r="AA769" s="65"/>
      <c r="AB769" s="65"/>
      <c r="AC769" s="65"/>
      <c r="AD769" s="65"/>
      <c r="AE769" s="65"/>
      <c r="AF769" s="68"/>
      <c r="AG769" s="66"/>
      <c r="AH769" s="67" t="s">
        <v>14313</v>
      </c>
      <c r="AI769" s="65" t="s">
        <v>3060</v>
      </c>
      <c r="AJ769" s="65"/>
      <c r="AK769" s="97">
        <f t="shared" ca="1" si="146"/>
        <v>19</v>
      </c>
      <c r="AL769">
        <f>IFERROR(VLOOKUP(A769,'DATA CLIENTES'!B5066:I8284,6,FALSE),0)</f>
        <v>0</v>
      </c>
    </row>
    <row r="770" spans="1:38" x14ac:dyDescent="0.25">
      <c r="A770" s="93" t="s">
        <v>12992</v>
      </c>
      <c r="B770" s="68" t="s">
        <v>12993</v>
      </c>
      <c r="C770" s="65"/>
      <c r="D770" s="65"/>
      <c r="E770" s="65"/>
      <c r="F770" s="69" t="s">
        <v>14817</v>
      </c>
      <c r="G770" s="70"/>
      <c r="H770" s="65">
        <v>5600002754</v>
      </c>
      <c r="I770" s="75">
        <v>5404.4400000000005</v>
      </c>
      <c r="J770" s="75"/>
      <c r="K770" s="75"/>
      <c r="L770" s="74"/>
      <c r="M770" s="75"/>
      <c r="N770" s="75">
        <f>Tabla1[[#This Row],[IMPORTE APROBADO]]-Tabla1[[#This Row],[AMORTIZACION2]]</f>
        <v>5404.4400000000005</v>
      </c>
      <c r="O770" s="65" t="str">
        <f>TEXT(Tabla1[[#This Row],[EMISION]],"mmm")</f>
        <v>Dic</v>
      </c>
      <c r="P770" s="65" t="str">
        <f>TEXT(Tabla1[[#This Row],[EMISION]],"YYYY")</f>
        <v>2023</v>
      </c>
      <c r="Q770" s="71">
        <v>45290</v>
      </c>
      <c r="R770" s="65" t="str">
        <f>TEXT(Tabla1[[#This Row],[VENCIMIENTO]],"mmm")</f>
        <v>Feb</v>
      </c>
      <c r="S770" s="71">
        <f t="shared" si="157"/>
        <v>45350</v>
      </c>
      <c r="T770" s="72">
        <f ca="1">Tabla1[[#This Row],[EMISION]]+Tabla1[[#This Row],[PLAZO]]-TODAY()</f>
        <v>-19</v>
      </c>
      <c r="U770" s="80">
        <f t="shared" ca="1" si="158"/>
        <v>0</v>
      </c>
      <c r="V770" s="72"/>
      <c r="W770" s="73" t="s">
        <v>14307</v>
      </c>
      <c r="X770" s="65">
        <v>60</v>
      </c>
      <c r="Y770" s="65"/>
      <c r="Z770" s="65"/>
      <c r="AA770" s="65"/>
      <c r="AB770" s="65"/>
      <c r="AC770" s="65"/>
      <c r="AD770" s="65"/>
      <c r="AE770" s="65"/>
      <c r="AF770" s="68"/>
      <c r="AG770" s="66"/>
      <c r="AH770" s="67" t="s">
        <v>14313</v>
      </c>
      <c r="AI770" s="65" t="s">
        <v>3060</v>
      </c>
      <c r="AJ770" s="65"/>
      <c r="AK770" s="97">
        <f t="shared" ca="1" si="146"/>
        <v>19</v>
      </c>
      <c r="AL770">
        <f>IFERROR(VLOOKUP(A770,'DATA CLIENTES'!B5067:I8284,6,FALSE),0)</f>
        <v>0</v>
      </c>
    </row>
    <row r="771" spans="1:38" x14ac:dyDescent="0.25">
      <c r="A771" s="93" t="s">
        <v>5400</v>
      </c>
      <c r="B771" s="68" t="s">
        <v>5401</v>
      </c>
      <c r="C771" s="65"/>
      <c r="D771" s="65"/>
      <c r="E771" s="65"/>
      <c r="F771" s="69" t="s">
        <v>14822</v>
      </c>
      <c r="G771" s="70"/>
      <c r="H771" s="65">
        <v>5500006703</v>
      </c>
      <c r="I771" s="75">
        <v>125.82000000000001</v>
      </c>
      <c r="J771" s="75"/>
      <c r="K771" s="75"/>
      <c r="L771" s="75"/>
      <c r="M771" s="75"/>
      <c r="N771" s="75">
        <f>Tabla1[[#This Row],[IMPORTE APROBADO]]-Tabla1[[#This Row],[AMORTIZACION2]]</f>
        <v>125.82000000000001</v>
      </c>
      <c r="O771" s="65" t="str">
        <f>TEXT(Tabla1[[#This Row],[EMISION]],"mmm")</f>
        <v>Dic</v>
      </c>
      <c r="P771" s="65" t="str">
        <f>TEXT(Tabla1[[#This Row],[EMISION]],"YYYY")</f>
        <v>2023</v>
      </c>
      <c r="Q771" s="71">
        <v>45290</v>
      </c>
      <c r="R771" s="65" t="str">
        <f>TEXT(Tabla1[[#This Row],[VENCIMIENTO]],"mmm")</f>
        <v>Ene</v>
      </c>
      <c r="S771" s="71">
        <f t="shared" si="157"/>
        <v>45320</v>
      </c>
      <c r="T771" s="72">
        <f ca="1">Tabla1[[#This Row],[EMISION]]+Tabla1[[#This Row],[PLAZO]]-TODAY()</f>
        <v>-49</v>
      </c>
      <c r="U771" s="80">
        <f t="shared" ca="1" si="158"/>
        <v>0</v>
      </c>
      <c r="V771" s="72"/>
      <c r="W771" s="73" t="s">
        <v>14307</v>
      </c>
      <c r="X771" s="65">
        <v>30</v>
      </c>
      <c r="Y771" s="65"/>
      <c r="Z771" s="65"/>
      <c r="AA771" s="65"/>
      <c r="AB771" s="65"/>
      <c r="AC771" s="65"/>
      <c r="AD771" s="65"/>
      <c r="AE771" s="65"/>
      <c r="AF771" s="68"/>
      <c r="AG771" s="66"/>
      <c r="AH771" s="67" t="s">
        <v>14313</v>
      </c>
      <c r="AI771" s="65" t="s">
        <v>3060</v>
      </c>
      <c r="AJ771" s="65"/>
      <c r="AK771" s="97">
        <f t="shared" ca="1" si="146"/>
        <v>49</v>
      </c>
      <c r="AL771">
        <f>IFERROR(VLOOKUP(A771,'DATA CLIENTES'!B5068:I8284,6,FALSE),0)</f>
        <v>0</v>
      </c>
    </row>
    <row r="772" spans="1:38" x14ac:dyDescent="0.25">
      <c r="A772" s="93" t="s">
        <v>9809</v>
      </c>
      <c r="B772" s="68" t="s">
        <v>9810</v>
      </c>
      <c r="C772" s="65"/>
      <c r="D772" s="65"/>
      <c r="E772" s="65"/>
      <c r="F772" s="69" t="s">
        <v>14804</v>
      </c>
      <c r="G772" s="70"/>
      <c r="H772" s="65">
        <v>5500006737</v>
      </c>
      <c r="I772" s="75">
        <v>1302.51</v>
      </c>
      <c r="J772" s="75"/>
      <c r="K772" s="75"/>
      <c r="L772" s="74"/>
      <c r="M772" s="75"/>
      <c r="N772" s="75">
        <f>Tabla1[[#This Row],[IMPORTE APROBADO]]-Tabla1[[#This Row],[AMORTIZACION2]]</f>
        <v>1302.51</v>
      </c>
      <c r="O772" s="65" t="str">
        <f>TEXT(Tabla1[[#This Row],[EMISION]],"mmm")</f>
        <v>Ene</v>
      </c>
      <c r="P772" s="65" t="str">
        <f>TEXT(Tabla1[[#This Row],[EMISION]],"YYYY")</f>
        <v>2024</v>
      </c>
      <c r="Q772" s="71">
        <v>45301</v>
      </c>
      <c r="R772" s="65" t="str">
        <f>TEXT(Tabla1[[#This Row],[VENCIMIENTO]],"mmm")</f>
        <v>Ene</v>
      </c>
      <c r="S772" s="71">
        <f t="shared" ref="S772:S774" si="159">Q772+X772</f>
        <v>45321</v>
      </c>
      <c r="T772" s="72">
        <f ca="1">Tabla1[[#This Row],[EMISION]]+Tabla1[[#This Row],[PLAZO]]-TODAY()</f>
        <v>-48</v>
      </c>
      <c r="U772" s="80">
        <f t="shared" ref="U772:U774" ca="1" si="160">IF(T772&gt;=0,$U$4,IF(AND(T772&lt;=-1,T772&gt;=-30),$U$5,IF(AND(T772&lt;=-31,T772&gt;=-60),$U$6,IF(AND(T772&lt;=-61,T772&gt;=-90),$U$7,$U$8))))</f>
        <v>0</v>
      </c>
      <c r="V772" s="72"/>
      <c r="W772" s="73" t="s">
        <v>14307</v>
      </c>
      <c r="X772" s="65">
        <v>20</v>
      </c>
      <c r="Y772" s="65"/>
      <c r="Z772" s="65"/>
      <c r="AA772" s="65"/>
      <c r="AB772" s="65"/>
      <c r="AC772" s="65"/>
      <c r="AD772" s="65"/>
      <c r="AE772" s="65"/>
      <c r="AF772" s="68"/>
      <c r="AG772" s="66"/>
      <c r="AH772" s="67" t="s">
        <v>14313</v>
      </c>
      <c r="AI772" s="65" t="s">
        <v>3060</v>
      </c>
      <c r="AJ772" s="65"/>
      <c r="AK772" s="97">
        <f t="shared" ca="1" si="146"/>
        <v>48</v>
      </c>
      <c r="AL772">
        <f>IFERROR(VLOOKUP(A772,'DATA CLIENTES'!B5069:I8284,6,FALSE),0)</f>
        <v>0</v>
      </c>
    </row>
    <row r="773" spans="1:38" x14ac:dyDescent="0.25">
      <c r="A773" s="93" t="s">
        <v>10210</v>
      </c>
      <c r="B773" s="68" t="s">
        <v>10211</v>
      </c>
      <c r="C773" s="65"/>
      <c r="D773" s="65"/>
      <c r="E773" s="65"/>
      <c r="F773" s="69" t="s">
        <v>14804</v>
      </c>
      <c r="G773" s="70"/>
      <c r="H773" s="65">
        <v>5500006736</v>
      </c>
      <c r="I773" s="75">
        <v>9364</v>
      </c>
      <c r="J773" s="75"/>
      <c r="K773" s="75"/>
      <c r="L773" s="74"/>
      <c r="M773" s="75"/>
      <c r="N773" s="75">
        <f>Tabla1[[#This Row],[IMPORTE APROBADO]]-Tabla1[[#This Row],[AMORTIZACION2]]</f>
        <v>9364</v>
      </c>
      <c r="O773" s="65" t="str">
        <f>TEXT(Tabla1[[#This Row],[EMISION]],"mmm")</f>
        <v>Ene</v>
      </c>
      <c r="P773" s="65" t="str">
        <f>TEXT(Tabla1[[#This Row],[EMISION]],"YYYY")</f>
        <v>2024</v>
      </c>
      <c r="Q773" s="71">
        <v>45301</v>
      </c>
      <c r="R773" s="65" t="str">
        <f>TEXT(Tabla1[[#This Row],[VENCIMIENTO]],"mmm")</f>
        <v>Feb</v>
      </c>
      <c r="S773" s="71">
        <f t="shared" si="159"/>
        <v>45331</v>
      </c>
      <c r="T773" s="72">
        <f ca="1">Tabla1[[#This Row],[EMISION]]+Tabla1[[#This Row],[PLAZO]]-TODAY()</f>
        <v>-38</v>
      </c>
      <c r="U773" s="80">
        <f t="shared" ca="1" si="160"/>
        <v>0</v>
      </c>
      <c r="V773" s="72"/>
      <c r="W773" s="73" t="s">
        <v>14307</v>
      </c>
      <c r="X773" s="65">
        <v>30</v>
      </c>
      <c r="Y773" s="65"/>
      <c r="Z773" s="65"/>
      <c r="AA773" s="65"/>
      <c r="AB773" s="65"/>
      <c r="AC773" s="65"/>
      <c r="AD773" s="65"/>
      <c r="AE773" s="65"/>
      <c r="AF773" s="68"/>
      <c r="AG773" s="66"/>
      <c r="AH773" s="67" t="s">
        <v>14313</v>
      </c>
      <c r="AI773" s="65" t="s">
        <v>3060</v>
      </c>
      <c r="AJ773" s="65"/>
      <c r="AK773" s="97">
        <f t="shared" ca="1" si="146"/>
        <v>38</v>
      </c>
      <c r="AL773">
        <f>IFERROR(VLOOKUP(A773,'DATA CLIENTES'!B5070:I8284,6,FALSE),0)</f>
        <v>0</v>
      </c>
    </row>
    <row r="774" spans="1:38" x14ac:dyDescent="0.25">
      <c r="A774" s="93" t="s">
        <v>10222</v>
      </c>
      <c r="B774" s="68" t="s">
        <v>10223</v>
      </c>
      <c r="C774" s="65"/>
      <c r="D774" s="65"/>
      <c r="E774" s="65"/>
      <c r="F774" s="69" t="s">
        <v>14804</v>
      </c>
      <c r="G774" s="70"/>
      <c r="H774" s="65">
        <v>5500006745</v>
      </c>
      <c r="I774" s="75">
        <v>626.02</v>
      </c>
      <c r="J774" s="75"/>
      <c r="K774" s="75"/>
      <c r="L774" s="75"/>
      <c r="M774" s="75"/>
      <c r="N774" s="75">
        <f>Tabla1[[#This Row],[IMPORTE APROBADO]]-Tabla1[[#This Row],[AMORTIZACION2]]</f>
        <v>626.02</v>
      </c>
      <c r="O774" s="65" t="str">
        <f>TEXT(Tabla1[[#This Row],[EMISION]],"mmm")</f>
        <v>Ene</v>
      </c>
      <c r="P774" s="65" t="str">
        <f>TEXT(Tabla1[[#This Row],[EMISION]],"YYYY")</f>
        <v>2024</v>
      </c>
      <c r="Q774" s="71">
        <v>45303</v>
      </c>
      <c r="R774" s="65" t="str">
        <f>TEXT(Tabla1[[#This Row],[VENCIMIENTO]],"mmm")</f>
        <v>Ene</v>
      </c>
      <c r="S774" s="71">
        <f t="shared" si="159"/>
        <v>45318</v>
      </c>
      <c r="T774" s="72">
        <f ca="1">Tabla1[[#This Row],[EMISION]]+Tabla1[[#This Row],[PLAZO]]-TODAY()</f>
        <v>-51</v>
      </c>
      <c r="U774" s="80">
        <f t="shared" ca="1" si="160"/>
        <v>0</v>
      </c>
      <c r="V774" s="72"/>
      <c r="W774" s="73" t="s">
        <v>14307</v>
      </c>
      <c r="X774" s="65">
        <v>15</v>
      </c>
      <c r="Y774" s="65"/>
      <c r="Z774" s="65"/>
      <c r="AA774" s="65"/>
      <c r="AB774" s="65"/>
      <c r="AC774" s="65"/>
      <c r="AD774" s="65"/>
      <c r="AE774" s="65"/>
      <c r="AF774" s="68"/>
      <c r="AG774" s="66"/>
      <c r="AH774" s="67" t="s">
        <v>14313</v>
      </c>
      <c r="AI774" s="65" t="s">
        <v>3060</v>
      </c>
      <c r="AJ774" s="65"/>
      <c r="AK774" s="97">
        <f t="shared" ca="1" si="146"/>
        <v>51</v>
      </c>
      <c r="AL774">
        <f>IFERROR(VLOOKUP(A774,'DATA CLIENTES'!B5071:I8284,6,FALSE),0)</f>
        <v>0</v>
      </c>
    </row>
    <row r="775" spans="1:38" x14ac:dyDescent="0.25">
      <c r="A775" s="93" t="s">
        <v>6999</v>
      </c>
      <c r="B775" s="68" t="s">
        <v>14817</v>
      </c>
      <c r="C775" s="65"/>
      <c r="D775" s="65"/>
      <c r="E775" s="65"/>
      <c r="F775" s="69" t="s">
        <v>14817</v>
      </c>
      <c r="G775" s="70"/>
      <c r="H775" s="65">
        <v>5600006398</v>
      </c>
      <c r="I775" s="75">
        <v>1841.57</v>
      </c>
      <c r="J775" s="75"/>
      <c r="K775" s="75"/>
      <c r="L775" s="75"/>
      <c r="M775" s="75"/>
      <c r="N775" s="75">
        <f>Tabla1[[#This Row],[IMPORTE APROBADO]]-Tabla1[[#This Row],[AMORTIZACION2]]</f>
        <v>1841.57</v>
      </c>
      <c r="O775" s="65" t="str">
        <f>TEXT(Tabla1[[#This Row],[EMISION]],"mmm")</f>
        <v>Ene</v>
      </c>
      <c r="P775" s="65" t="str">
        <f>TEXT(Tabla1[[#This Row],[EMISION]],"YYYY")</f>
        <v>2024</v>
      </c>
      <c r="Q775" s="71">
        <v>45307</v>
      </c>
      <c r="R775" s="65" t="str">
        <f>TEXT(Tabla1[[#This Row],[VENCIMIENTO]],"mmm")</f>
        <v>Mar</v>
      </c>
      <c r="S775" s="71">
        <f t="shared" ref="S775:S779" si="161">Q775+X775</f>
        <v>45353</v>
      </c>
      <c r="T775" s="72">
        <f ca="1">Tabla1[[#This Row],[EMISION]]+Tabla1[[#This Row],[PLAZO]]-TODAY()</f>
        <v>-16</v>
      </c>
      <c r="U775" s="80">
        <f t="shared" ref="U775:U779" ca="1" si="162">IF(T775&gt;=0,$U$4,IF(AND(T775&lt;=-1,T775&gt;=-30),$U$5,IF(AND(T775&lt;=-31,T775&gt;=-60),$U$6,IF(AND(T775&lt;=-61,T775&gt;=-90),$U$7,$U$8))))</f>
        <v>0</v>
      </c>
      <c r="V775" s="72"/>
      <c r="W775" s="73" t="s">
        <v>14307</v>
      </c>
      <c r="X775" s="65">
        <v>46</v>
      </c>
      <c r="Y775" s="65"/>
      <c r="Z775" s="65"/>
      <c r="AA775" s="65"/>
      <c r="AB775" s="65"/>
      <c r="AC775" s="65"/>
      <c r="AD775" s="65"/>
      <c r="AE775" s="65"/>
      <c r="AF775" s="68"/>
      <c r="AG775" s="66"/>
      <c r="AH775" s="67" t="s">
        <v>14313</v>
      </c>
      <c r="AI775" s="65" t="s">
        <v>3060</v>
      </c>
      <c r="AJ775" s="65"/>
      <c r="AK775" s="97">
        <f t="shared" ca="1" si="146"/>
        <v>16</v>
      </c>
      <c r="AL775">
        <f>IFERROR(VLOOKUP(A775,'DATA CLIENTES'!B5072:I8284,6,FALSE),0)</f>
        <v>0</v>
      </c>
    </row>
    <row r="776" spans="1:38" x14ac:dyDescent="0.25">
      <c r="A776" s="93" t="s">
        <v>9824</v>
      </c>
      <c r="B776" s="68" t="s">
        <v>9825</v>
      </c>
      <c r="C776" s="65"/>
      <c r="D776" s="65"/>
      <c r="E776" s="65"/>
      <c r="F776" s="69" t="s">
        <v>14804</v>
      </c>
      <c r="G776" s="70"/>
      <c r="H776" s="65">
        <v>5500006767</v>
      </c>
      <c r="I776" s="75">
        <v>5217.1000000000004</v>
      </c>
      <c r="J776" s="75"/>
      <c r="K776" s="75"/>
      <c r="L776" s="75"/>
      <c r="M776" s="75"/>
      <c r="N776" s="75">
        <f>Tabla1[[#This Row],[IMPORTE APROBADO]]-Tabla1[[#This Row],[AMORTIZACION2]]</f>
        <v>5217.1000000000004</v>
      </c>
      <c r="O776" s="65" t="str">
        <f>TEXT(Tabla1[[#This Row],[EMISION]],"mmm")</f>
        <v>Ene</v>
      </c>
      <c r="P776" s="65" t="str">
        <f>TEXT(Tabla1[[#This Row],[EMISION]],"YYYY")</f>
        <v>2024</v>
      </c>
      <c r="Q776" s="71">
        <v>45308</v>
      </c>
      <c r="R776" s="65" t="str">
        <f>TEXT(Tabla1[[#This Row],[VENCIMIENTO]],"mmm")</f>
        <v>Feb</v>
      </c>
      <c r="S776" s="71">
        <f t="shared" si="161"/>
        <v>45338</v>
      </c>
      <c r="T776" s="72">
        <f ca="1">Tabla1[[#This Row],[EMISION]]+Tabla1[[#This Row],[PLAZO]]-TODAY()</f>
        <v>-31</v>
      </c>
      <c r="U776" s="80">
        <f t="shared" ca="1" si="162"/>
        <v>0</v>
      </c>
      <c r="V776" s="72"/>
      <c r="W776" s="73" t="s">
        <v>14307</v>
      </c>
      <c r="X776" s="65">
        <v>30</v>
      </c>
      <c r="Y776" s="65"/>
      <c r="Z776" s="65"/>
      <c r="AA776" s="65"/>
      <c r="AB776" s="65"/>
      <c r="AC776" s="65"/>
      <c r="AD776" s="65"/>
      <c r="AE776" s="65"/>
      <c r="AF776" s="68"/>
      <c r="AG776" s="66"/>
      <c r="AH776" s="67" t="s">
        <v>14313</v>
      </c>
      <c r="AI776" s="65" t="s">
        <v>3060</v>
      </c>
      <c r="AJ776" s="65"/>
      <c r="AK776" s="97">
        <f t="shared" ca="1" si="146"/>
        <v>31</v>
      </c>
      <c r="AL776">
        <f>IFERROR(VLOOKUP(A776,'DATA CLIENTES'!B5073:I8284,6,FALSE),0)</f>
        <v>0</v>
      </c>
    </row>
    <row r="777" spans="1:38" x14ac:dyDescent="0.25">
      <c r="A777" s="93" t="s">
        <v>9824</v>
      </c>
      <c r="B777" s="68" t="s">
        <v>9825</v>
      </c>
      <c r="C777" s="65"/>
      <c r="D777" s="65"/>
      <c r="E777" s="65"/>
      <c r="F777" s="69" t="s">
        <v>14823</v>
      </c>
      <c r="G777" s="70"/>
      <c r="H777" s="65">
        <v>5600006400</v>
      </c>
      <c r="I777" s="75">
        <v>2750.1</v>
      </c>
      <c r="J777" s="75"/>
      <c r="K777" s="75"/>
      <c r="L777" s="75"/>
      <c r="M777" s="75"/>
      <c r="N777" s="75">
        <f>Tabla1[[#This Row],[IMPORTE APROBADO]]-Tabla1[[#This Row],[AMORTIZACION2]]</f>
        <v>2750.1</v>
      </c>
      <c r="O777" s="65" t="str">
        <f>TEXT(Tabla1[[#This Row],[EMISION]],"mmm")</f>
        <v>Ene</v>
      </c>
      <c r="P777" s="65" t="str">
        <f>TEXT(Tabla1[[#This Row],[EMISION]],"YYYY")</f>
        <v>2024</v>
      </c>
      <c r="Q777" s="71">
        <v>45308</v>
      </c>
      <c r="R777" s="65" t="str">
        <f>TEXT(Tabla1[[#This Row],[VENCIMIENTO]],"mmm")</f>
        <v>Feb</v>
      </c>
      <c r="S777" s="71">
        <f t="shared" si="161"/>
        <v>45338</v>
      </c>
      <c r="T777" s="72">
        <f ca="1">Tabla1[[#This Row],[EMISION]]+Tabla1[[#This Row],[PLAZO]]-TODAY()</f>
        <v>-31</v>
      </c>
      <c r="U777" s="80">
        <f t="shared" ca="1" si="162"/>
        <v>0</v>
      </c>
      <c r="V777" s="72"/>
      <c r="W777" s="73" t="s">
        <v>14307</v>
      </c>
      <c r="X777" s="65">
        <v>30</v>
      </c>
      <c r="Y777" s="65"/>
      <c r="Z777" s="65"/>
      <c r="AA777" s="65"/>
      <c r="AB777" s="65"/>
      <c r="AC777" s="65"/>
      <c r="AD777" s="65"/>
      <c r="AE777" s="65"/>
      <c r="AF777" s="68"/>
      <c r="AG777" s="66"/>
      <c r="AH777" s="67" t="s">
        <v>14313</v>
      </c>
      <c r="AI777" s="65" t="s">
        <v>3060</v>
      </c>
      <c r="AJ777" s="65"/>
      <c r="AK777" s="97">
        <f t="shared" ca="1" si="146"/>
        <v>31</v>
      </c>
      <c r="AL777">
        <f>IFERROR(VLOOKUP(A777,'DATA CLIENTES'!B5074:I8284,6,FALSE),0)</f>
        <v>0</v>
      </c>
    </row>
    <row r="778" spans="1:38" x14ac:dyDescent="0.25">
      <c r="A778" s="93" t="s">
        <v>8786</v>
      </c>
      <c r="B778" s="68" t="s">
        <v>8787</v>
      </c>
      <c r="C778" s="65"/>
      <c r="D778" s="65"/>
      <c r="E778" s="65"/>
      <c r="F778" s="69" t="s">
        <v>14804</v>
      </c>
      <c r="G778" s="70"/>
      <c r="H778" s="65">
        <v>5500006768</v>
      </c>
      <c r="I778" s="75">
        <v>1740.32</v>
      </c>
      <c r="J778" s="75"/>
      <c r="K778" s="75"/>
      <c r="L778" s="75"/>
      <c r="M778" s="75"/>
      <c r="N778" s="75">
        <f>Tabla1[[#This Row],[IMPORTE APROBADO]]-Tabla1[[#This Row],[AMORTIZACION2]]</f>
        <v>1740.32</v>
      </c>
      <c r="O778" s="65" t="str">
        <f>TEXT(Tabla1[[#This Row],[EMISION]],"mmm")</f>
        <v>Ene</v>
      </c>
      <c r="P778" s="65" t="str">
        <f>TEXT(Tabla1[[#This Row],[EMISION]],"YYYY")</f>
        <v>2024</v>
      </c>
      <c r="Q778" s="71">
        <v>45308</v>
      </c>
      <c r="R778" s="65" t="str">
        <f>TEXT(Tabla1[[#This Row],[VENCIMIENTO]],"mmm")</f>
        <v>Feb</v>
      </c>
      <c r="S778" s="71">
        <f t="shared" si="161"/>
        <v>45333</v>
      </c>
      <c r="T778" s="72">
        <f ca="1">Tabla1[[#This Row],[EMISION]]+Tabla1[[#This Row],[PLAZO]]-TODAY()</f>
        <v>-36</v>
      </c>
      <c r="U778" s="80">
        <f t="shared" ca="1" si="162"/>
        <v>0</v>
      </c>
      <c r="V778" s="72"/>
      <c r="W778" s="73" t="s">
        <v>14307</v>
      </c>
      <c r="X778" s="65">
        <v>25</v>
      </c>
      <c r="Y778" s="65"/>
      <c r="Z778" s="65"/>
      <c r="AA778" s="65"/>
      <c r="AB778" s="65"/>
      <c r="AC778" s="65"/>
      <c r="AD778" s="65"/>
      <c r="AE778" s="65"/>
      <c r="AF778" s="68"/>
      <c r="AG778" s="66"/>
      <c r="AH778" s="67" t="s">
        <v>14313</v>
      </c>
      <c r="AI778" s="65" t="s">
        <v>3060</v>
      </c>
      <c r="AJ778" s="65"/>
      <c r="AK778" s="97">
        <f t="shared" ca="1" si="146"/>
        <v>36</v>
      </c>
      <c r="AL778">
        <f>IFERROR(VLOOKUP(A778,'DATA CLIENTES'!B5075:I8284,6,FALSE),0)</f>
        <v>0</v>
      </c>
    </row>
    <row r="779" spans="1:38" x14ac:dyDescent="0.25">
      <c r="A779" s="93" t="s">
        <v>9284</v>
      </c>
      <c r="B779" s="68" t="s">
        <v>9285</v>
      </c>
      <c r="C779" s="65"/>
      <c r="D779" s="65"/>
      <c r="E779" s="65"/>
      <c r="F779" s="69" t="s">
        <v>14804</v>
      </c>
      <c r="G779" s="70"/>
      <c r="H779" s="65">
        <v>5500006769</v>
      </c>
      <c r="I779" s="75">
        <v>996.02</v>
      </c>
      <c r="J779" s="75"/>
      <c r="K779" s="75"/>
      <c r="L779" s="75"/>
      <c r="M779" s="75"/>
      <c r="N779" s="75">
        <f>Tabla1[[#This Row],[IMPORTE APROBADO]]-Tabla1[[#This Row],[AMORTIZACION2]]</f>
        <v>996.02</v>
      </c>
      <c r="O779" s="65" t="str">
        <f>TEXT(Tabla1[[#This Row],[EMISION]],"mmm")</f>
        <v>Ene</v>
      </c>
      <c r="P779" s="65" t="str">
        <f>TEXT(Tabla1[[#This Row],[EMISION]],"YYYY")</f>
        <v>2024</v>
      </c>
      <c r="Q779" s="71">
        <v>45308</v>
      </c>
      <c r="R779" s="65" t="str">
        <f>TEXT(Tabla1[[#This Row],[VENCIMIENTO]],"mmm")</f>
        <v>Feb</v>
      </c>
      <c r="S779" s="71">
        <f t="shared" si="161"/>
        <v>45333</v>
      </c>
      <c r="T779" s="72">
        <f ca="1">Tabla1[[#This Row],[EMISION]]+Tabla1[[#This Row],[PLAZO]]-TODAY()</f>
        <v>-36</v>
      </c>
      <c r="U779" s="80">
        <f t="shared" ca="1" si="162"/>
        <v>0</v>
      </c>
      <c r="V779" s="72"/>
      <c r="W779" s="73" t="s">
        <v>14307</v>
      </c>
      <c r="X779" s="65">
        <v>25</v>
      </c>
      <c r="Y779" s="65"/>
      <c r="Z779" s="65"/>
      <c r="AA779" s="65"/>
      <c r="AB779" s="65"/>
      <c r="AC779" s="65"/>
      <c r="AD779" s="65"/>
      <c r="AE779" s="65"/>
      <c r="AF779" s="68"/>
      <c r="AG779" s="66"/>
      <c r="AH779" s="67" t="s">
        <v>14313</v>
      </c>
      <c r="AI779" s="65" t="s">
        <v>3060</v>
      </c>
      <c r="AJ779" s="65"/>
      <c r="AK779" s="97">
        <f t="shared" ca="1" si="146"/>
        <v>36</v>
      </c>
      <c r="AL779">
        <f>IFERROR(VLOOKUP(A779,'DATA CLIENTES'!B5076:I8284,6,FALSE),0)</f>
        <v>0</v>
      </c>
    </row>
    <row r="780" spans="1:38" x14ac:dyDescent="0.25">
      <c r="A780" s="93" t="s">
        <v>5641</v>
      </c>
      <c r="B780" s="68" t="s">
        <v>5642</v>
      </c>
      <c r="C780" s="65"/>
      <c r="D780" s="65"/>
      <c r="E780" s="65"/>
      <c r="F780" s="69" t="s">
        <v>14817</v>
      </c>
      <c r="G780" s="70"/>
      <c r="H780" s="65">
        <v>5500006787</v>
      </c>
      <c r="I780" s="75">
        <v>7665.37</v>
      </c>
      <c r="J780" s="75"/>
      <c r="K780" s="75"/>
      <c r="L780" s="75"/>
      <c r="M780" s="75"/>
      <c r="N780" s="75">
        <f>Tabla1[[#This Row],[IMPORTE APROBADO]]-Tabla1[[#This Row],[AMORTIZACION2]]</f>
        <v>7665.37</v>
      </c>
      <c r="O780" s="65" t="str">
        <f>TEXT(Tabla1[[#This Row],[EMISION]],"mmm")</f>
        <v>Ene</v>
      </c>
      <c r="P780" s="65" t="str">
        <f>TEXT(Tabla1[[#This Row],[EMISION]],"YYYY")</f>
        <v>2024</v>
      </c>
      <c r="Q780" s="71">
        <v>45310</v>
      </c>
      <c r="R780" s="65" t="str">
        <f>TEXT(Tabla1[[#This Row],[VENCIMIENTO]],"mmm")</f>
        <v>Feb</v>
      </c>
      <c r="S780" s="71">
        <f t="shared" ref="S780" si="163">Q780+X780</f>
        <v>45340</v>
      </c>
      <c r="T780" s="72">
        <f ca="1">Tabla1[[#This Row],[EMISION]]+Tabla1[[#This Row],[PLAZO]]-TODAY()</f>
        <v>-29</v>
      </c>
      <c r="U780" s="80">
        <f t="shared" ref="U780" ca="1" si="164">IF(T780&gt;=0,$U$4,IF(AND(T780&lt;=-1,T780&gt;=-30),$U$5,IF(AND(T780&lt;=-31,T780&gt;=-60),$U$6,IF(AND(T780&lt;=-61,T780&gt;=-90),$U$7,$U$8))))</f>
        <v>0</v>
      </c>
      <c r="V780" s="72"/>
      <c r="W780" s="73" t="s">
        <v>14307</v>
      </c>
      <c r="X780" s="65">
        <v>30</v>
      </c>
      <c r="Y780" s="65"/>
      <c r="Z780" s="65"/>
      <c r="AA780" s="65"/>
      <c r="AB780" s="65"/>
      <c r="AC780" s="65"/>
      <c r="AD780" s="65"/>
      <c r="AE780" s="65"/>
      <c r="AF780" s="68"/>
      <c r="AG780" s="66"/>
      <c r="AH780" s="67" t="s">
        <v>14313</v>
      </c>
      <c r="AI780" s="65" t="s">
        <v>3060</v>
      </c>
      <c r="AJ780" s="65"/>
      <c r="AK780" s="97">
        <f t="shared" ca="1" si="146"/>
        <v>29</v>
      </c>
      <c r="AL780">
        <f>IFERROR(VLOOKUP(A780,'DATA CLIENTES'!B5077:I8284,6,FALSE),0)</f>
        <v>0</v>
      </c>
    </row>
    <row r="781" spans="1:38" x14ac:dyDescent="0.25">
      <c r="A781" s="93" t="s">
        <v>5383</v>
      </c>
      <c r="B781" s="68" t="s">
        <v>5384</v>
      </c>
      <c r="C781" s="65"/>
      <c r="D781" s="65"/>
      <c r="E781" s="65"/>
      <c r="F781" s="69" t="s">
        <v>14823</v>
      </c>
      <c r="G781" s="70"/>
      <c r="H781" s="65">
        <v>5600006410</v>
      </c>
      <c r="I781" s="75">
        <v>550</v>
      </c>
      <c r="J781" s="75"/>
      <c r="K781" s="75"/>
      <c r="L781" s="75"/>
      <c r="M781" s="75"/>
      <c r="N781" s="75">
        <f>Tabla1[[#This Row],[IMPORTE APROBADO]]-Tabla1[[#This Row],[AMORTIZACION2]]</f>
        <v>550</v>
      </c>
      <c r="O781" s="65" t="str">
        <f>TEXT(Tabla1[[#This Row],[EMISION]],"mmm")</f>
        <v>Ene</v>
      </c>
      <c r="P781" s="65" t="str">
        <f>TEXT(Tabla1[[#This Row],[EMISION]],"YYYY")</f>
        <v>2024</v>
      </c>
      <c r="Q781" s="71">
        <v>45316</v>
      </c>
      <c r="R781" s="65" t="str">
        <f>TEXT(Tabla1[[#This Row],[VENCIMIENTO]],"mmm")</f>
        <v>Feb</v>
      </c>
      <c r="S781" s="71">
        <f t="shared" ref="S781:S783" si="165">Q781+X781</f>
        <v>45346</v>
      </c>
      <c r="T781" s="72">
        <f ca="1">Tabla1[[#This Row],[EMISION]]+Tabla1[[#This Row],[PLAZO]]-TODAY()</f>
        <v>-23</v>
      </c>
      <c r="U781" s="80">
        <f t="shared" ref="U781:U783" ca="1" si="166">IF(T781&gt;=0,$U$4,IF(AND(T781&lt;=-1,T781&gt;=-30),$U$5,IF(AND(T781&lt;=-31,T781&gt;=-60),$U$6,IF(AND(T781&lt;=-61,T781&gt;=-90),$U$7,$U$8))))</f>
        <v>0</v>
      </c>
      <c r="V781" s="72"/>
      <c r="W781" s="73" t="s">
        <v>14307</v>
      </c>
      <c r="X781" s="65">
        <v>30</v>
      </c>
      <c r="Y781" s="65"/>
      <c r="Z781" s="65"/>
      <c r="AA781" s="65"/>
      <c r="AB781" s="65"/>
      <c r="AC781" s="65"/>
      <c r="AD781" s="65"/>
      <c r="AE781" s="65"/>
      <c r="AF781" s="68"/>
      <c r="AG781" s="66"/>
      <c r="AH781" s="67" t="s">
        <v>14313</v>
      </c>
      <c r="AI781" s="65" t="s">
        <v>3060</v>
      </c>
      <c r="AJ781" s="65"/>
      <c r="AK781" s="97">
        <f t="shared" ca="1" si="146"/>
        <v>23</v>
      </c>
      <c r="AL781">
        <f>IFERROR(VLOOKUP(A781,'DATA CLIENTES'!B5078:I8284,6,FALSE),0)</f>
        <v>0</v>
      </c>
    </row>
    <row r="782" spans="1:38" x14ac:dyDescent="0.25">
      <c r="A782" s="93" t="s">
        <v>8995</v>
      </c>
      <c r="B782" s="68" t="s">
        <v>8996</v>
      </c>
      <c r="C782" s="65"/>
      <c r="D782" s="65"/>
      <c r="E782" s="65"/>
      <c r="F782" s="69" t="s">
        <v>14559</v>
      </c>
      <c r="G782" s="70"/>
      <c r="H782" s="65">
        <v>5500000042</v>
      </c>
      <c r="I782" s="75">
        <v>-2310</v>
      </c>
      <c r="J782" s="75"/>
      <c r="K782" s="75"/>
      <c r="L782" s="75"/>
      <c r="M782" s="75"/>
      <c r="N782" s="75">
        <f>Tabla1[[#This Row],[IMPORTE APROBADO]]-Tabla1[[#This Row],[AMORTIZACION2]]</f>
        <v>-2310</v>
      </c>
      <c r="O782" s="65" t="str">
        <f>TEXT(Tabla1[[#This Row],[EMISION]],"mmm")</f>
        <v>Ene</v>
      </c>
      <c r="P782" s="65" t="str">
        <f>TEXT(Tabla1[[#This Row],[EMISION]],"YYYY")</f>
        <v>2024</v>
      </c>
      <c r="Q782" s="71">
        <v>45317</v>
      </c>
      <c r="R782" s="65" t="str">
        <f>TEXT(Tabla1[[#This Row],[VENCIMIENTO]],"mmm")</f>
        <v>Feb</v>
      </c>
      <c r="S782" s="71">
        <f t="shared" si="165"/>
        <v>45347</v>
      </c>
      <c r="T782" s="72">
        <f ca="1">Tabla1[[#This Row],[EMISION]]+Tabla1[[#This Row],[PLAZO]]-TODAY()</f>
        <v>-22</v>
      </c>
      <c r="U782" s="80">
        <f t="shared" ca="1" si="166"/>
        <v>0</v>
      </c>
      <c r="V782" s="72"/>
      <c r="W782" s="73" t="s">
        <v>14307</v>
      </c>
      <c r="X782" s="65">
        <v>30</v>
      </c>
      <c r="Y782" s="65"/>
      <c r="Z782" s="65"/>
      <c r="AA782" s="65"/>
      <c r="AB782" s="65"/>
      <c r="AC782" s="65"/>
      <c r="AD782" s="65"/>
      <c r="AE782" s="65"/>
      <c r="AF782" s="68"/>
      <c r="AG782" s="66"/>
      <c r="AH782" s="67" t="s">
        <v>14313</v>
      </c>
      <c r="AI782" s="65" t="s">
        <v>3060</v>
      </c>
      <c r="AJ782" s="65"/>
      <c r="AK782" s="97">
        <f t="shared" ref="AK782:AK783" ca="1" si="167">TODAY() - S782</f>
        <v>22</v>
      </c>
      <c r="AL782">
        <f>IFERROR(VLOOKUP(A782,'DATA CLIENTES'!B5079:I8284,6,FALSE),0)</f>
        <v>0</v>
      </c>
    </row>
    <row r="783" spans="1:38" x14ac:dyDescent="0.25">
      <c r="A783" s="93" t="s">
        <v>8995</v>
      </c>
      <c r="B783" s="68" t="s">
        <v>8996</v>
      </c>
      <c r="C783" s="65"/>
      <c r="D783" s="65"/>
      <c r="E783" s="65"/>
      <c r="F783" s="69" t="s">
        <v>14559</v>
      </c>
      <c r="G783" s="70"/>
      <c r="H783" s="65">
        <v>5500000042</v>
      </c>
      <c r="I783" s="75">
        <v>-126</v>
      </c>
      <c r="J783" s="75"/>
      <c r="K783" s="75"/>
      <c r="L783" s="75"/>
      <c r="M783" s="75"/>
      <c r="N783" s="75">
        <f>Tabla1[[#This Row],[IMPORTE APROBADO]]-Tabla1[[#This Row],[AMORTIZACION2]]</f>
        <v>-126</v>
      </c>
      <c r="O783" s="65" t="str">
        <f>TEXT(Tabla1[[#This Row],[EMISION]],"mmm")</f>
        <v>Ene</v>
      </c>
      <c r="P783" s="65" t="str">
        <f>TEXT(Tabla1[[#This Row],[EMISION]],"YYYY")</f>
        <v>2024</v>
      </c>
      <c r="Q783" s="71">
        <v>45317</v>
      </c>
      <c r="R783" s="65" t="str">
        <f>TEXT(Tabla1[[#This Row],[VENCIMIENTO]],"mmm")</f>
        <v>Feb</v>
      </c>
      <c r="S783" s="71">
        <f t="shared" si="165"/>
        <v>45347</v>
      </c>
      <c r="T783" s="72">
        <f ca="1">Tabla1[[#This Row],[EMISION]]+Tabla1[[#This Row],[PLAZO]]-TODAY()</f>
        <v>-22</v>
      </c>
      <c r="U783" s="80">
        <f t="shared" ca="1" si="166"/>
        <v>0</v>
      </c>
      <c r="V783" s="72"/>
      <c r="W783" s="73" t="s">
        <v>14307</v>
      </c>
      <c r="X783" s="65">
        <v>30</v>
      </c>
      <c r="Y783" s="65"/>
      <c r="Z783" s="65"/>
      <c r="AA783" s="65"/>
      <c r="AB783" s="65"/>
      <c r="AC783" s="65"/>
      <c r="AD783" s="65"/>
      <c r="AE783" s="65"/>
      <c r="AF783" s="68"/>
      <c r="AG783" s="66"/>
      <c r="AH783" s="67" t="s">
        <v>14313</v>
      </c>
      <c r="AI783" s="65" t="s">
        <v>3060</v>
      </c>
      <c r="AJ783" s="65"/>
      <c r="AK783" s="97">
        <f t="shared" ca="1" si="167"/>
        <v>22</v>
      </c>
      <c r="AL783">
        <f>IFERROR(VLOOKUP(A783,'DATA CLIENTES'!B5080:I8284,6,FALSE),0)</f>
        <v>0</v>
      </c>
    </row>
  </sheetData>
  <phoneticPr fontId="30" type="noConversion"/>
  <conditionalFormatting sqref="U336:U337 T336:T771 T113:U335">
    <cfRule type="timePeriod" dxfId="6" priority="8" timePeriod="today">
      <formula>FLOOR(T113,1)=TODAY()</formula>
    </cfRule>
  </conditionalFormatting>
  <conditionalFormatting sqref="U113:U335">
    <cfRule type="expression" dxfId="5" priority="3578" stopIfTrue="1">
      <formula>AI113="CANCELADO"</formula>
    </cfRule>
    <cfRule type="iconSet" priority="3579">
      <iconSet>
        <cfvo type="percent" val="0"/>
        <cfvo type="num" val="#REF!"/>
        <cfvo type="num" val="#REF!"/>
      </iconSet>
    </cfRule>
  </conditionalFormatting>
  <conditionalFormatting sqref="T113:T771">
    <cfRule type="expression" dxfId="4" priority="3634" stopIfTrue="1">
      <formula>AH113="CANCELADO"</formula>
    </cfRule>
    <cfRule type="iconSet" priority="3635">
      <iconSet>
        <cfvo type="percent" val="0"/>
        <cfvo type="num" val="#REF!"/>
        <cfvo type="num" val="#REF!"/>
      </iconSet>
    </cfRule>
  </conditionalFormatting>
  <conditionalFormatting sqref="U113:U540">
    <cfRule type="expression" dxfId="3" priority="3695" stopIfTrue="1">
      <formula>AI113="CANCELADO"</formula>
    </cfRule>
    <cfRule type="iconSet" priority="3696">
      <iconSet>
        <cfvo type="percent" val="0"/>
        <cfvo type="num" val="#REF!"/>
        <cfvo type="num" val="#REF!"/>
      </iconSet>
    </cfRule>
  </conditionalFormatting>
  <conditionalFormatting sqref="U14:U44">
    <cfRule type="timePeriod" dxfId="2" priority="1" timePeriod="today">
      <formula>FLOOR(U14,1)=TODAY()</formula>
    </cfRule>
  </conditionalFormatting>
  <conditionalFormatting sqref="U14:U52">
    <cfRule type="expression" dxfId="1" priority="2" stopIfTrue="1">
      <formula>AI14="CANCELADO"</formula>
    </cfRule>
    <cfRule type="iconSet" priority="3">
      <iconSet>
        <cfvo type="percent" val="0"/>
        <cfvo type="num" val="$B$3"/>
        <cfvo type="num" val="$B$2"/>
      </iconSet>
    </cfRule>
  </conditionalFormatting>
  <conditionalFormatting sqref="U16:U44">
    <cfRule type="expression" dxfId="0" priority="4" stopIfTrue="1">
      <formula>AI16="CANCELADO"</formula>
    </cfRule>
    <cfRule type="iconSet" priority="5">
      <iconSet>
        <cfvo type="percent" val="0"/>
        <cfvo type="num" val="$B$3"/>
        <cfvo type="num" val="$B$2"/>
      </iconSet>
    </cfRule>
  </conditionalFormatting>
  <dataValidations count="1">
    <dataValidation type="list" showInputMessage="1" showErrorMessage="1" sqref="AH14:AH783" xr:uid="{3DBA6612-E9D6-4142-A4D3-96121EE6AAF9}">
      <formula1>"PENDIENTE, CANCELADO"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A19D-8E6E-4AFC-95C4-4BC0F88FA69F}">
  <sheetPr codeName="Hoja4">
    <tabColor rgb="FFFFFF00"/>
  </sheetPr>
  <dimension ref="A2:N52"/>
  <sheetViews>
    <sheetView zoomScale="112" zoomScaleNormal="112" workbookViewId="0">
      <selection activeCell="F18" sqref="F18"/>
    </sheetView>
  </sheetViews>
  <sheetFormatPr baseColWidth="10" defaultRowHeight="12" x14ac:dyDescent="0.2"/>
  <cols>
    <col min="1" max="1" width="6.28515625" style="22" customWidth="1"/>
    <col min="2" max="2" width="11.140625" style="22" customWidth="1"/>
    <col min="3" max="3" width="49.7109375" style="22" customWidth="1"/>
    <col min="4" max="4" width="8.5703125" style="23" customWidth="1"/>
    <col min="5" max="5" width="14.140625" style="23" customWidth="1"/>
    <col min="6" max="6" width="10" style="23" customWidth="1"/>
    <col min="7" max="7" width="16.28515625" style="23" customWidth="1"/>
    <col min="8" max="8" width="9" style="23" customWidth="1"/>
    <col min="9" max="9" width="11.42578125" style="23"/>
    <col min="10" max="10" width="10.42578125" style="23" customWidth="1"/>
    <col min="11" max="11" width="22.7109375" style="22" customWidth="1"/>
    <col min="12" max="16384" width="11.42578125" style="22"/>
  </cols>
  <sheetData>
    <row r="2" spans="1:11" x14ac:dyDescent="0.2">
      <c r="A2" s="21"/>
    </row>
    <row r="3" spans="1:11" x14ac:dyDescent="0.2">
      <c r="A3" s="21"/>
    </row>
    <row r="4" spans="1:11" x14ac:dyDescent="0.2">
      <c r="A4" s="21"/>
    </row>
    <row r="5" spans="1:11" ht="25.5" x14ac:dyDescent="0.3">
      <c r="C5" s="24" t="s">
        <v>14259</v>
      </c>
      <c r="D5" s="25">
        <v>1</v>
      </c>
    </row>
    <row r="7" spans="1:11" x14ac:dyDescent="0.2">
      <c r="E7" s="26"/>
    </row>
    <row r="8" spans="1:11" x14ac:dyDescent="0.2">
      <c r="B8" s="27" t="s">
        <v>14260</v>
      </c>
      <c r="C8" s="22" t="s">
        <v>15708</v>
      </c>
      <c r="D8" s="38" t="s">
        <v>14261</v>
      </c>
      <c r="E8" s="39">
        <f ca="1">TODAY()</f>
        <v>45369</v>
      </c>
    </row>
    <row r="9" spans="1:11" ht="16.5" customHeight="1" x14ac:dyDescent="0.2">
      <c r="B9" s="36" t="s">
        <v>14262</v>
      </c>
      <c r="C9" s="37" t="str">
        <f>IFERROR(VLOOKUP(E11,'DATA CLIENTES'!B2:I10129,2,FALSE),0)</f>
        <v>RUBEN</v>
      </c>
      <c r="D9" s="22"/>
      <c r="E9" s="22"/>
    </row>
    <row r="10" spans="1:11" ht="16.5" customHeight="1" x14ac:dyDescent="0.2">
      <c r="B10" s="36" t="s">
        <v>14237</v>
      </c>
      <c r="C10" s="37" t="str">
        <f>IFERROR(VLOOKUP(E11,'DATA CLIENTES'!B2:I10129,6,FALSE),0)</f>
        <v>MCDO. 03 S/N PUESTO A-5 PABELLON D</v>
      </c>
    </row>
    <row r="11" spans="1:11" ht="21" customHeight="1" x14ac:dyDescent="0.25">
      <c r="B11" s="28" t="s">
        <v>14236</v>
      </c>
      <c r="C11" s="98" t="s">
        <v>16806</v>
      </c>
      <c r="D11" s="29" t="s">
        <v>14235</v>
      </c>
      <c r="E11" s="50" t="s">
        <v>14196</v>
      </c>
      <c r="F11" s="22"/>
      <c r="G11" s="22"/>
      <c r="H11" s="22"/>
    </row>
    <row r="13" spans="1:11" x14ac:dyDescent="0.2">
      <c r="B13" s="30"/>
      <c r="F13" s="31"/>
      <c r="I13" s="31"/>
    </row>
    <row r="14" spans="1:11" x14ac:dyDescent="0.2">
      <c r="B14" s="138" t="s">
        <v>8</v>
      </c>
      <c r="C14" s="137" t="s">
        <v>9</v>
      </c>
      <c r="D14" s="140" t="s">
        <v>13</v>
      </c>
      <c r="E14" s="137" t="s">
        <v>12</v>
      </c>
      <c r="F14" s="138" t="s">
        <v>10</v>
      </c>
      <c r="G14" s="137" t="s">
        <v>15</v>
      </c>
      <c r="H14" s="137"/>
      <c r="I14" s="137"/>
      <c r="J14" s="137"/>
      <c r="K14" s="137"/>
    </row>
    <row r="15" spans="1:11" ht="48" x14ac:dyDescent="0.2">
      <c r="B15" s="139"/>
      <c r="C15" s="137"/>
      <c r="D15" s="140"/>
      <c r="E15" s="137"/>
      <c r="F15" s="138"/>
      <c r="G15" s="41" t="s">
        <v>14258</v>
      </c>
      <c r="H15" s="41" t="s">
        <v>14255</v>
      </c>
      <c r="I15" s="42" t="s">
        <v>14</v>
      </c>
      <c r="J15" s="41" t="s">
        <v>14256</v>
      </c>
      <c r="K15" s="41" t="s">
        <v>14257</v>
      </c>
    </row>
    <row r="16" spans="1:11" ht="15.75" x14ac:dyDescent="0.25">
      <c r="B16" s="103">
        <v>10016</v>
      </c>
      <c r="C16" s="55" t="str">
        <f>IFERROR(VLOOKUP(B16,DATA_PRODUCTO[#All],2,FALSE),0)</f>
        <v>TRIMMY GULEY NTB520</v>
      </c>
      <c r="D16" s="40" t="str">
        <f>IFERROR(VLOOKUP(B16,DATA_PRODUCTO[#All],6,FALSE),0)</f>
        <v>UN</v>
      </c>
      <c r="E16" s="40">
        <f>IFERROR(VLOOKUP(B16,DATA_PRODUCTO[#All],4,FALSE),0)</f>
        <v>152</v>
      </c>
      <c r="F16" s="32">
        <v>2</v>
      </c>
      <c r="G16" s="43">
        <f>IF(F16&gt;E16, "Cantidad excede a Stock",  IFERROR(VLOOKUP(B16,DATA_PRODUCTO[#All],5,FALSE),0) )</f>
        <v>20.63</v>
      </c>
      <c r="H16" s="43">
        <f>IF(F16&gt;E16, "Cantidad excede a Stock",  G16*F16 )</f>
        <v>41.26</v>
      </c>
      <c r="I16" s="33">
        <v>0</v>
      </c>
      <c r="J16" s="44">
        <f>IF(F16&gt;E16, "Cantidad excede a Stock", -((G16*I16)-G16) )</f>
        <v>20.63</v>
      </c>
      <c r="K16" s="45">
        <f>IF(F16&gt;E16, "Cantidad excede a Stock", -((G16*F16)*I16-H16) )</f>
        <v>41.26</v>
      </c>
    </row>
    <row r="17" spans="2:11" ht="15.75" x14ac:dyDescent="0.25">
      <c r="B17" s="103">
        <v>10049</v>
      </c>
      <c r="C17" s="55" t="str">
        <f>IFERROR(VLOOKUP(B17,DATA_PRODUCTO[#All],2,FALSE),0)</f>
        <v>BOTAS VENUS PNT NG AM 35</v>
      </c>
      <c r="D17" s="40" t="str">
        <f>IFERROR(VLOOKUP(B17,DATA_PRODUCTO[#All],6,FALSE),0)</f>
        <v>PR</v>
      </c>
      <c r="E17" s="40">
        <f>IFERROR(VLOOKUP(B17,DATA_PRODUCTO[#All],4,FALSE),0)</f>
        <v>30</v>
      </c>
      <c r="F17" s="32">
        <v>1</v>
      </c>
      <c r="G17" s="43">
        <f>IF(F17&gt;E17, "Cantidad excede a Stock",  IFERROR(VLOOKUP(B17,DATA_PRODUCTO[#All],5,FALSE),0) )</f>
        <v>29.67</v>
      </c>
      <c r="H17" s="43">
        <f t="shared" ref="H17:H51" si="0">IF(F17&gt;E17, "Cantidad excede a Stock",  G17*F17 )</f>
        <v>29.67</v>
      </c>
      <c r="I17" s="33">
        <v>0</v>
      </c>
      <c r="J17" s="44">
        <f t="shared" ref="J17:J51" si="1">IF(F17&gt;E17, "Cantidad excede a Stock", -((G17*I17)-G17) )</f>
        <v>29.67</v>
      </c>
      <c r="K17" s="45">
        <f t="shared" ref="K17:K51" si="2">IF(F17&gt;E17, "Cantidad excede a Stock", -((G17*F17)*I17-H17) )</f>
        <v>29.67</v>
      </c>
    </row>
    <row r="18" spans="2:11" ht="15.75" x14ac:dyDescent="0.25">
      <c r="B18" s="103"/>
      <c r="C18" s="55">
        <f>IFERROR(VLOOKUP(B18,DATA_PRODUCTO[#All],2,FALSE),0)</f>
        <v>0</v>
      </c>
      <c r="D18" s="40">
        <f>IFERROR(VLOOKUP(B18,DATA_PRODUCTO[#All],6,FALSE),0)</f>
        <v>0</v>
      </c>
      <c r="E18" s="40">
        <f>IFERROR(VLOOKUP(B18,DATA_PRODUCTO[#All],4,FALSE),0)</f>
        <v>0</v>
      </c>
      <c r="F18" s="32"/>
      <c r="G18" s="43">
        <f>IF(F18&gt;E18, "Cantidad excede a Stock",  IFERROR(VLOOKUP(B18,DATA_PRODUCTO[#All],5,FALSE),0) )</f>
        <v>0</v>
      </c>
      <c r="H18" s="43">
        <f t="shared" si="0"/>
        <v>0</v>
      </c>
      <c r="I18" s="33">
        <v>0</v>
      </c>
      <c r="J18" s="44">
        <f t="shared" si="1"/>
        <v>0</v>
      </c>
      <c r="K18" s="45">
        <f t="shared" si="2"/>
        <v>0</v>
      </c>
    </row>
    <row r="19" spans="2:11" ht="15.75" x14ac:dyDescent="0.25">
      <c r="B19" s="103"/>
      <c r="C19" s="55">
        <f>IFERROR(VLOOKUP(B19,DATA_PRODUCTO[#All],2,FALSE),0)</f>
        <v>0</v>
      </c>
      <c r="D19" s="40">
        <f>IFERROR(VLOOKUP(B19,DATA_PRODUCTO[#All],6,FALSE),0)</f>
        <v>0</v>
      </c>
      <c r="E19" s="40">
        <f>IFERROR(VLOOKUP(B19,DATA_PRODUCTO[#All],4,FALSE),0)</f>
        <v>0</v>
      </c>
      <c r="F19" s="32"/>
      <c r="G19" s="43">
        <f>IF(F19&gt;E19, "Cantidad excede a Stock",  IFERROR(VLOOKUP(B19,DATA_PRODUCTO[#All],5,FALSE),0) )</f>
        <v>0</v>
      </c>
      <c r="H19" s="43">
        <f t="shared" si="0"/>
        <v>0</v>
      </c>
      <c r="I19" s="33">
        <v>0</v>
      </c>
      <c r="J19" s="44">
        <f t="shared" si="1"/>
        <v>0</v>
      </c>
      <c r="K19" s="45">
        <f t="shared" si="2"/>
        <v>0</v>
      </c>
    </row>
    <row r="20" spans="2:11" ht="15.75" x14ac:dyDescent="0.25">
      <c r="B20" s="103"/>
      <c r="C20" s="55">
        <f>IFERROR(VLOOKUP(B20,DATA_PRODUCTO[#All],2,FALSE),0)</f>
        <v>0</v>
      </c>
      <c r="D20" s="40">
        <f>IFERROR(VLOOKUP(B20,DATA_PRODUCTO[#All],6,FALSE),0)</f>
        <v>0</v>
      </c>
      <c r="E20" s="40">
        <f>IFERROR(VLOOKUP(B20,DATA_PRODUCTO[#All],4,FALSE),0)</f>
        <v>0</v>
      </c>
      <c r="F20" s="32"/>
      <c r="G20" s="43">
        <f>IF(F20&gt;E20, "Cantidad excede a Stock",  IFERROR(VLOOKUP(B20,DATA_PRODUCTO[#All],5,FALSE),0) )</f>
        <v>0</v>
      </c>
      <c r="H20" s="43">
        <f t="shared" si="0"/>
        <v>0</v>
      </c>
      <c r="I20" s="33">
        <v>0</v>
      </c>
      <c r="J20" s="44">
        <f t="shared" si="1"/>
        <v>0</v>
      </c>
      <c r="K20" s="45">
        <f t="shared" si="2"/>
        <v>0</v>
      </c>
    </row>
    <row r="21" spans="2:11" ht="15.75" x14ac:dyDescent="0.25">
      <c r="B21" s="103"/>
      <c r="C21" s="55">
        <f>IFERROR(VLOOKUP(B21,DATA_PRODUCTO[#All],2,FALSE),0)</f>
        <v>0</v>
      </c>
      <c r="D21" s="40">
        <f>IFERROR(VLOOKUP(B21,DATA_PRODUCTO[#All],6,FALSE),0)</f>
        <v>0</v>
      </c>
      <c r="E21" s="40">
        <f>IFERROR(VLOOKUP(B21,DATA_PRODUCTO[#All],4,FALSE),0)</f>
        <v>0</v>
      </c>
      <c r="F21" s="32"/>
      <c r="G21" s="43">
        <f>IF(F21&gt;E21, "Cantidad excede a Stock",  IFERROR(VLOOKUP(B21,DATA_PRODUCTO[#All],5,FALSE),0) )</f>
        <v>0</v>
      </c>
      <c r="H21" s="43">
        <f t="shared" si="0"/>
        <v>0</v>
      </c>
      <c r="I21" s="33">
        <v>0</v>
      </c>
      <c r="J21" s="44">
        <f t="shared" si="1"/>
        <v>0</v>
      </c>
      <c r="K21" s="45">
        <f t="shared" si="2"/>
        <v>0</v>
      </c>
    </row>
    <row r="22" spans="2:11" ht="15.75" x14ac:dyDescent="0.25">
      <c r="B22" s="103"/>
      <c r="C22" s="55">
        <f>IFERROR(VLOOKUP(B22,DATA_PRODUCTO[#All],2,FALSE),0)</f>
        <v>0</v>
      </c>
      <c r="D22" s="40">
        <f>IFERROR(VLOOKUP(B22,DATA_PRODUCTO[#All],6,FALSE),0)</f>
        <v>0</v>
      </c>
      <c r="E22" s="40">
        <f>IFERROR(VLOOKUP(B22,DATA_PRODUCTO[#All],4,FALSE),0)</f>
        <v>0</v>
      </c>
      <c r="F22" s="32"/>
      <c r="G22" s="43">
        <f>IF(F22&gt;E22, "Cantidad excede a Stock",  IFERROR(VLOOKUP(B22,DATA_PRODUCTO[#All],5,FALSE),0) )</f>
        <v>0</v>
      </c>
      <c r="H22" s="43">
        <f t="shared" si="0"/>
        <v>0</v>
      </c>
      <c r="I22" s="33">
        <v>0</v>
      </c>
      <c r="J22" s="44">
        <f t="shared" si="1"/>
        <v>0</v>
      </c>
      <c r="K22" s="45">
        <f t="shared" si="2"/>
        <v>0</v>
      </c>
    </row>
    <row r="23" spans="2:11" ht="15.75" x14ac:dyDescent="0.25">
      <c r="B23" s="34"/>
      <c r="C23" s="55">
        <f>IFERROR(VLOOKUP(B23,DATA_PRODUCTO[#All],2,FALSE),0)</f>
        <v>0</v>
      </c>
      <c r="D23" s="40">
        <f>IFERROR(VLOOKUP(B23,DATA_PRODUCTO[#All],6,FALSE),0)</f>
        <v>0</v>
      </c>
      <c r="E23" s="40">
        <f>IFERROR(VLOOKUP(B23,DATA_PRODUCTO[#All],4,FALSE),0)</f>
        <v>0</v>
      </c>
      <c r="F23" s="32"/>
      <c r="G23" s="43">
        <f>IF(F23&gt;E23, "Cantidad excede a Stock",  IFERROR(VLOOKUP(B23,DATA_PRODUCTO[#All],5,FALSE),0) )</f>
        <v>0</v>
      </c>
      <c r="H23" s="43">
        <f t="shared" si="0"/>
        <v>0</v>
      </c>
      <c r="I23" s="33">
        <v>0</v>
      </c>
      <c r="J23" s="44">
        <f t="shared" si="1"/>
        <v>0</v>
      </c>
      <c r="K23" s="45">
        <f t="shared" si="2"/>
        <v>0</v>
      </c>
    </row>
    <row r="24" spans="2:11" ht="15.75" x14ac:dyDescent="0.25">
      <c r="B24" s="34"/>
      <c r="C24" s="55">
        <f>IFERROR(VLOOKUP(B24,DATA_PRODUCTO[#All],2,FALSE),0)</f>
        <v>0</v>
      </c>
      <c r="D24" s="40">
        <f>IFERROR(VLOOKUP(B24,DATA_PRODUCTO[#All],6,FALSE),0)</f>
        <v>0</v>
      </c>
      <c r="E24" s="40">
        <f>IFERROR(VLOOKUP(B24,DATA_PRODUCTO[#All],4,FALSE),0)</f>
        <v>0</v>
      </c>
      <c r="F24" s="32"/>
      <c r="G24" s="43">
        <f>IF(F24&gt;E24, "Cantidad excede a Stock",  IFERROR(VLOOKUP(B24,DATA_PRODUCTO[#All],5,FALSE),0) )</f>
        <v>0</v>
      </c>
      <c r="H24" s="43">
        <f t="shared" si="0"/>
        <v>0</v>
      </c>
      <c r="I24" s="33">
        <v>0</v>
      </c>
      <c r="J24" s="44">
        <f t="shared" si="1"/>
        <v>0</v>
      </c>
      <c r="K24" s="45">
        <f t="shared" si="2"/>
        <v>0</v>
      </c>
    </row>
    <row r="25" spans="2:11" ht="15.75" x14ac:dyDescent="0.25">
      <c r="B25" s="34"/>
      <c r="C25" s="55">
        <f>IFERROR(VLOOKUP(B25,DATA_PRODUCTO[#All],2,FALSE),0)</f>
        <v>0</v>
      </c>
      <c r="D25" s="40">
        <f>IFERROR(VLOOKUP(B25,DATA_PRODUCTO[#All],6,FALSE),0)</f>
        <v>0</v>
      </c>
      <c r="E25" s="40">
        <f>IFERROR(VLOOKUP(B25,DATA_PRODUCTO[#All],4,FALSE),0)</f>
        <v>0</v>
      </c>
      <c r="F25" s="32"/>
      <c r="G25" s="43">
        <f>IF(F25&gt;E25, "Cantidad excede a Stock",  IFERROR(VLOOKUP(B25,DATA_PRODUCTO[#All],5,FALSE),0) )</f>
        <v>0</v>
      </c>
      <c r="H25" s="43">
        <f t="shared" si="0"/>
        <v>0</v>
      </c>
      <c r="I25" s="33">
        <v>0</v>
      </c>
      <c r="J25" s="44">
        <f t="shared" si="1"/>
        <v>0</v>
      </c>
      <c r="K25" s="45">
        <f t="shared" si="2"/>
        <v>0</v>
      </c>
    </row>
    <row r="26" spans="2:11" ht="15.75" x14ac:dyDescent="0.25">
      <c r="B26" s="34"/>
      <c r="C26" s="55">
        <f>IFERROR(VLOOKUP(B26,DATA_PRODUCTO[#All],2,FALSE),0)</f>
        <v>0</v>
      </c>
      <c r="D26" s="40">
        <f>IFERROR(VLOOKUP(B26,DATA_PRODUCTO[#All],6,FALSE),0)</f>
        <v>0</v>
      </c>
      <c r="E26" s="40">
        <f>IFERROR(VLOOKUP(B26,DATA_PRODUCTO[#All],4,FALSE),0)</f>
        <v>0</v>
      </c>
      <c r="F26" s="32"/>
      <c r="G26" s="43">
        <f>IF(F26&gt;E26, "Cantidad excede a Stock",  IFERROR(VLOOKUP(B26,DATA_PRODUCTO[#All],5,FALSE),0) )</f>
        <v>0</v>
      </c>
      <c r="H26" s="43">
        <f t="shared" si="0"/>
        <v>0</v>
      </c>
      <c r="I26" s="33">
        <v>0</v>
      </c>
      <c r="J26" s="44">
        <f t="shared" si="1"/>
        <v>0</v>
      </c>
      <c r="K26" s="45">
        <f t="shared" si="2"/>
        <v>0</v>
      </c>
    </row>
    <row r="27" spans="2:11" ht="15.75" x14ac:dyDescent="0.25">
      <c r="B27" s="34"/>
      <c r="C27" s="55">
        <f>IFERROR(VLOOKUP(B27,DATA_PRODUCTO[#All],2,FALSE),0)</f>
        <v>0</v>
      </c>
      <c r="D27" s="40">
        <f>IFERROR(VLOOKUP(B27,DATA_PRODUCTO[#All],6,FALSE),0)</f>
        <v>0</v>
      </c>
      <c r="E27" s="40">
        <f>IFERROR(VLOOKUP(B27,DATA_PRODUCTO[#All],4,FALSE),0)</f>
        <v>0</v>
      </c>
      <c r="F27" s="32"/>
      <c r="G27" s="43">
        <f>IF(F27&gt;E27, "Cantidad excede a Stock",  IFERROR(VLOOKUP(B27,DATA_PRODUCTO[#All],5,FALSE),0) )</f>
        <v>0</v>
      </c>
      <c r="H27" s="43">
        <f t="shared" si="0"/>
        <v>0</v>
      </c>
      <c r="I27" s="33">
        <v>0</v>
      </c>
      <c r="J27" s="44">
        <f t="shared" si="1"/>
        <v>0</v>
      </c>
      <c r="K27" s="45">
        <f t="shared" si="2"/>
        <v>0</v>
      </c>
    </row>
    <row r="28" spans="2:11" ht="15.75" x14ac:dyDescent="0.25">
      <c r="B28" s="34"/>
      <c r="C28" s="55">
        <f>IFERROR(VLOOKUP(B28,DATA_PRODUCTO[#All],2,FALSE),0)</f>
        <v>0</v>
      </c>
      <c r="D28" s="40">
        <f>IFERROR(VLOOKUP(B28,DATA_PRODUCTO[#All],6,FALSE),0)</f>
        <v>0</v>
      </c>
      <c r="E28" s="40">
        <f>IFERROR(VLOOKUP(B28,DATA_PRODUCTO[#All],4,FALSE),0)</f>
        <v>0</v>
      </c>
      <c r="F28" s="32"/>
      <c r="G28" s="43">
        <f>IF(F28&gt;E28, "Cantidad excede a Stock",  IFERROR(VLOOKUP(B28,DATA_PRODUCTO[#All],5,FALSE),0) )</f>
        <v>0</v>
      </c>
      <c r="H28" s="43">
        <f t="shared" si="0"/>
        <v>0</v>
      </c>
      <c r="I28" s="33">
        <v>0</v>
      </c>
      <c r="J28" s="44">
        <f t="shared" si="1"/>
        <v>0</v>
      </c>
      <c r="K28" s="45">
        <f t="shared" si="2"/>
        <v>0</v>
      </c>
    </row>
    <row r="29" spans="2:11" ht="15.75" x14ac:dyDescent="0.25">
      <c r="B29" s="34"/>
      <c r="C29" s="55">
        <f>IFERROR(VLOOKUP(B29,DATA_PRODUCTO[#All],2,FALSE),0)</f>
        <v>0</v>
      </c>
      <c r="D29" s="40">
        <f>IFERROR(VLOOKUP(B29,DATA_PRODUCTO[#All],6,FALSE),0)</f>
        <v>0</v>
      </c>
      <c r="E29" s="40">
        <f>IFERROR(VLOOKUP(B29,DATA_PRODUCTO[#All],4,FALSE),0)</f>
        <v>0</v>
      </c>
      <c r="F29" s="32"/>
      <c r="G29" s="43">
        <f>IF(F29&gt;E29, "Cantidad excede a Stock",  IFERROR(VLOOKUP(B29,DATA_PRODUCTO[#All],5,FALSE),0) )</f>
        <v>0</v>
      </c>
      <c r="H29" s="43">
        <f t="shared" si="0"/>
        <v>0</v>
      </c>
      <c r="I29" s="33">
        <v>0</v>
      </c>
      <c r="J29" s="44">
        <f t="shared" si="1"/>
        <v>0</v>
      </c>
      <c r="K29" s="45">
        <f t="shared" si="2"/>
        <v>0</v>
      </c>
    </row>
    <row r="30" spans="2:11" ht="15.75" x14ac:dyDescent="0.25">
      <c r="B30" s="34"/>
      <c r="C30" s="55">
        <f>IFERROR(VLOOKUP(B30,DATA_PRODUCTO[#All],2,FALSE),0)</f>
        <v>0</v>
      </c>
      <c r="D30" s="40">
        <f>IFERROR(VLOOKUP(B30,DATA_PRODUCTO[#All],6,FALSE),0)</f>
        <v>0</v>
      </c>
      <c r="E30" s="40">
        <f>IFERROR(VLOOKUP(B30,DATA_PRODUCTO[#All],4,FALSE),0)</f>
        <v>0</v>
      </c>
      <c r="F30" s="32"/>
      <c r="G30" s="43">
        <f>IF(F30&gt;E30, "Cantidad excede a Stock",  IFERROR(VLOOKUP(B30,DATA_PRODUCTO[#All],5,FALSE),0) )</f>
        <v>0</v>
      </c>
      <c r="H30" s="43">
        <f t="shared" si="0"/>
        <v>0</v>
      </c>
      <c r="I30" s="33">
        <v>0</v>
      </c>
      <c r="J30" s="44">
        <f t="shared" si="1"/>
        <v>0</v>
      </c>
      <c r="K30" s="45">
        <f t="shared" si="2"/>
        <v>0</v>
      </c>
    </row>
    <row r="31" spans="2:11" ht="15.75" x14ac:dyDescent="0.25">
      <c r="B31" s="34"/>
      <c r="C31" s="55">
        <f>IFERROR(VLOOKUP(B31,DATA_PRODUCTO[#All],2,FALSE),0)</f>
        <v>0</v>
      </c>
      <c r="D31" s="40">
        <f>IFERROR(VLOOKUP(B31,DATA_PRODUCTO[#All],6,FALSE),0)</f>
        <v>0</v>
      </c>
      <c r="E31" s="40">
        <f>IFERROR(VLOOKUP(B31,DATA_PRODUCTO[#All],4,FALSE),0)</f>
        <v>0</v>
      </c>
      <c r="F31" s="32"/>
      <c r="G31" s="43">
        <f>IF(F31&gt;E31, "Cantidad excede a Stock",  IFERROR(VLOOKUP(B31,DATA_PRODUCTO[#All],5,FALSE),0) )</f>
        <v>0</v>
      </c>
      <c r="H31" s="43">
        <f t="shared" si="0"/>
        <v>0</v>
      </c>
      <c r="I31" s="33">
        <v>0</v>
      </c>
      <c r="J31" s="44">
        <f t="shared" si="1"/>
        <v>0</v>
      </c>
      <c r="K31" s="45">
        <f t="shared" si="2"/>
        <v>0</v>
      </c>
    </row>
    <row r="32" spans="2:11" ht="15.75" x14ac:dyDescent="0.25">
      <c r="B32" s="34"/>
      <c r="C32" s="55">
        <f>IFERROR(VLOOKUP(B32,DATA_PRODUCTO[#All],2,FALSE),0)</f>
        <v>0</v>
      </c>
      <c r="D32" s="40">
        <f>IFERROR(VLOOKUP(B32,DATA_PRODUCTO[#All],6,FALSE),0)</f>
        <v>0</v>
      </c>
      <c r="E32" s="40">
        <f>IFERROR(VLOOKUP(B32,DATA_PRODUCTO[#All],4,FALSE),0)</f>
        <v>0</v>
      </c>
      <c r="F32" s="32"/>
      <c r="G32" s="43">
        <f>IF(F32&gt;E32, "Cantidad excede a Stock",  IFERROR(VLOOKUP(B32,DATA_PRODUCTO[#All],5,FALSE),0) )</f>
        <v>0</v>
      </c>
      <c r="H32" s="43">
        <f t="shared" si="0"/>
        <v>0</v>
      </c>
      <c r="I32" s="33">
        <v>0</v>
      </c>
      <c r="J32" s="44">
        <f t="shared" si="1"/>
        <v>0</v>
      </c>
      <c r="K32" s="45">
        <f t="shared" si="2"/>
        <v>0</v>
      </c>
    </row>
    <row r="33" spans="2:11" ht="15.75" x14ac:dyDescent="0.25">
      <c r="B33" s="34"/>
      <c r="C33" s="55">
        <f>IFERROR(VLOOKUP(B33,DATA_PRODUCTO[#All],2,FALSE),0)</f>
        <v>0</v>
      </c>
      <c r="D33" s="40">
        <f>IFERROR(VLOOKUP(B33,DATA_PRODUCTO[#All],6,FALSE),0)</f>
        <v>0</v>
      </c>
      <c r="E33" s="40">
        <f>IFERROR(VLOOKUP(B33,DATA_PRODUCTO[#All],4,FALSE),0)</f>
        <v>0</v>
      </c>
      <c r="F33" s="32"/>
      <c r="G33" s="43">
        <f>IF(F33&gt;E33, "Cantidad excede a Stock",  IFERROR(VLOOKUP(B33,DATA_PRODUCTO[#All],5,FALSE),0) )</f>
        <v>0</v>
      </c>
      <c r="H33" s="43">
        <f t="shared" si="0"/>
        <v>0</v>
      </c>
      <c r="I33" s="33">
        <v>0</v>
      </c>
      <c r="J33" s="44">
        <f t="shared" si="1"/>
        <v>0</v>
      </c>
      <c r="K33" s="45">
        <f t="shared" si="2"/>
        <v>0</v>
      </c>
    </row>
    <row r="34" spans="2:11" ht="15.75" x14ac:dyDescent="0.25">
      <c r="B34" s="34"/>
      <c r="C34" s="55">
        <f>IFERROR(VLOOKUP(B34,DATA_PRODUCTO[#All],2,FALSE),0)</f>
        <v>0</v>
      </c>
      <c r="D34" s="40">
        <f>IFERROR(VLOOKUP(B34,DATA_PRODUCTO[#All],6,FALSE),0)</f>
        <v>0</v>
      </c>
      <c r="E34" s="40">
        <f>IFERROR(VLOOKUP(B34,DATA_PRODUCTO[#All],4,FALSE),0)</f>
        <v>0</v>
      </c>
      <c r="F34" s="32"/>
      <c r="G34" s="43">
        <f>IF(F34&gt;E34, "Cantidad excede a Stock",  IFERROR(VLOOKUP(B34,DATA_PRODUCTO[#All],5,FALSE),0) )</f>
        <v>0</v>
      </c>
      <c r="H34" s="43">
        <f t="shared" si="0"/>
        <v>0</v>
      </c>
      <c r="I34" s="33">
        <v>0</v>
      </c>
      <c r="J34" s="44">
        <f t="shared" si="1"/>
        <v>0</v>
      </c>
      <c r="K34" s="45">
        <f t="shared" si="2"/>
        <v>0</v>
      </c>
    </row>
    <row r="35" spans="2:11" ht="15.75" x14ac:dyDescent="0.25">
      <c r="B35" s="34"/>
      <c r="C35" s="55">
        <f>IFERROR(VLOOKUP(B35,DATA_PRODUCTO[#All],2,FALSE),0)</f>
        <v>0</v>
      </c>
      <c r="D35" s="40">
        <f>IFERROR(VLOOKUP(B35,DATA_PRODUCTO[#All],6,FALSE),0)</f>
        <v>0</v>
      </c>
      <c r="E35" s="40">
        <f>IFERROR(VLOOKUP(B35,DATA_PRODUCTO[#All],4,FALSE),0)</f>
        <v>0</v>
      </c>
      <c r="F35" s="32"/>
      <c r="G35" s="43">
        <f>IF(F35&gt;E35, "Cantidad excede a Stock",  IFERROR(VLOOKUP(B35,DATA_PRODUCTO[#All],5,FALSE),0) )</f>
        <v>0</v>
      </c>
      <c r="H35" s="43">
        <f t="shared" si="0"/>
        <v>0</v>
      </c>
      <c r="I35" s="33">
        <v>0</v>
      </c>
      <c r="J35" s="44">
        <f t="shared" si="1"/>
        <v>0</v>
      </c>
      <c r="K35" s="45">
        <f t="shared" si="2"/>
        <v>0</v>
      </c>
    </row>
    <row r="36" spans="2:11" ht="15.75" x14ac:dyDescent="0.25">
      <c r="B36" s="34"/>
      <c r="C36" s="55">
        <f>IFERROR(VLOOKUP(B36,DATA_PRODUCTO[#All],2,FALSE),0)</f>
        <v>0</v>
      </c>
      <c r="D36" s="40">
        <f>IFERROR(VLOOKUP(B36,DATA_PRODUCTO[#All],6,FALSE),0)</f>
        <v>0</v>
      </c>
      <c r="E36" s="40">
        <f>IFERROR(VLOOKUP(B36,DATA_PRODUCTO[#All],4,FALSE),0)</f>
        <v>0</v>
      </c>
      <c r="F36" s="32"/>
      <c r="G36" s="43">
        <f>IF(F36&gt;E36, "Cantidad excede a Stock",  IFERROR(VLOOKUP(B36,DATA_PRODUCTO[#All],5,FALSE),0) )</f>
        <v>0</v>
      </c>
      <c r="H36" s="43">
        <f t="shared" si="0"/>
        <v>0</v>
      </c>
      <c r="I36" s="33">
        <v>0</v>
      </c>
      <c r="J36" s="44">
        <f t="shared" si="1"/>
        <v>0</v>
      </c>
      <c r="K36" s="45">
        <f t="shared" si="2"/>
        <v>0</v>
      </c>
    </row>
    <row r="37" spans="2:11" ht="15.75" x14ac:dyDescent="0.25">
      <c r="B37" s="34"/>
      <c r="C37" s="55">
        <f>IFERROR(VLOOKUP(B37,DATA_PRODUCTO[#All],2,FALSE),0)</f>
        <v>0</v>
      </c>
      <c r="D37" s="40">
        <f>IFERROR(VLOOKUP(B37,DATA_PRODUCTO[#All],6,FALSE),0)</f>
        <v>0</v>
      </c>
      <c r="E37" s="40">
        <f>IFERROR(VLOOKUP(B37,DATA_PRODUCTO[#All],4,FALSE),0)</f>
        <v>0</v>
      </c>
      <c r="F37" s="32"/>
      <c r="G37" s="43">
        <f>IF(F37&gt;E37, "Cantidad excede a Stock",  IFERROR(VLOOKUP(B37,DATA_PRODUCTO[#All],5,FALSE),0) )</f>
        <v>0</v>
      </c>
      <c r="H37" s="43">
        <f t="shared" si="0"/>
        <v>0</v>
      </c>
      <c r="I37" s="33">
        <v>0</v>
      </c>
      <c r="J37" s="44">
        <f t="shared" si="1"/>
        <v>0</v>
      </c>
      <c r="K37" s="45">
        <f t="shared" si="2"/>
        <v>0</v>
      </c>
    </row>
    <row r="38" spans="2:11" ht="15.75" x14ac:dyDescent="0.25">
      <c r="B38" s="34"/>
      <c r="C38" s="55">
        <f>IFERROR(VLOOKUP(B38,DATA_PRODUCTO[#All],2,FALSE),0)</f>
        <v>0</v>
      </c>
      <c r="D38" s="40">
        <f>IFERROR(VLOOKUP(B38,DATA_PRODUCTO[#All],6,FALSE),0)</f>
        <v>0</v>
      </c>
      <c r="E38" s="40">
        <f>IFERROR(VLOOKUP(B38,DATA_PRODUCTO[#All],4,FALSE),0)</f>
        <v>0</v>
      </c>
      <c r="F38" s="32"/>
      <c r="G38" s="43">
        <f>IF(F38&gt;E38, "Cantidad excede a Stock",  IFERROR(VLOOKUP(B38,DATA_PRODUCTO[#All],5,FALSE),0) )</f>
        <v>0</v>
      </c>
      <c r="H38" s="43">
        <f t="shared" si="0"/>
        <v>0</v>
      </c>
      <c r="I38" s="33">
        <v>0</v>
      </c>
      <c r="J38" s="44">
        <f t="shared" si="1"/>
        <v>0</v>
      </c>
      <c r="K38" s="45">
        <f t="shared" si="2"/>
        <v>0</v>
      </c>
    </row>
    <row r="39" spans="2:11" ht="15.75" x14ac:dyDescent="0.25">
      <c r="B39" s="34"/>
      <c r="C39" s="55">
        <f>IFERROR(VLOOKUP(B39,DATA_PRODUCTO[#All],2,FALSE),0)</f>
        <v>0</v>
      </c>
      <c r="D39" s="40">
        <f>IFERROR(VLOOKUP(B39,DATA_PRODUCTO[#All],6,FALSE),0)</f>
        <v>0</v>
      </c>
      <c r="E39" s="40">
        <f>IFERROR(VLOOKUP(B39,DATA_PRODUCTO[#All],4,FALSE),0)</f>
        <v>0</v>
      </c>
      <c r="F39" s="32"/>
      <c r="G39" s="43">
        <f>IF(F39&gt;E39, "Cantidad excede a Stock",  IFERROR(VLOOKUP(B39,DATA_PRODUCTO[#All],5,FALSE),0) )</f>
        <v>0</v>
      </c>
      <c r="H39" s="43">
        <f t="shared" si="0"/>
        <v>0</v>
      </c>
      <c r="I39" s="33">
        <v>0</v>
      </c>
      <c r="J39" s="44">
        <f t="shared" si="1"/>
        <v>0</v>
      </c>
      <c r="K39" s="45">
        <f t="shared" si="2"/>
        <v>0</v>
      </c>
    </row>
    <row r="40" spans="2:11" ht="15.75" x14ac:dyDescent="0.25">
      <c r="B40" s="34"/>
      <c r="C40" s="55">
        <f>IFERROR(VLOOKUP(B40,DATA_PRODUCTO[#All],2,FALSE),0)</f>
        <v>0</v>
      </c>
      <c r="D40" s="40">
        <f>IFERROR(VLOOKUP(B40,DATA_PRODUCTO[#All],6,FALSE),0)</f>
        <v>0</v>
      </c>
      <c r="E40" s="40">
        <f>IFERROR(VLOOKUP(B40,DATA_PRODUCTO[#All],4,FALSE),0)</f>
        <v>0</v>
      </c>
      <c r="F40" s="32"/>
      <c r="G40" s="43">
        <f>IF(F40&gt;E40, "Cantidad excede a Stock",  IFERROR(VLOOKUP(B40,DATA_PRODUCTO[#All],5,FALSE),0) )</f>
        <v>0</v>
      </c>
      <c r="H40" s="43">
        <f t="shared" si="0"/>
        <v>0</v>
      </c>
      <c r="I40" s="33">
        <v>0</v>
      </c>
      <c r="J40" s="44">
        <f t="shared" si="1"/>
        <v>0</v>
      </c>
      <c r="K40" s="45">
        <f t="shared" si="2"/>
        <v>0</v>
      </c>
    </row>
    <row r="41" spans="2:11" ht="15.75" x14ac:dyDescent="0.25">
      <c r="B41" s="34"/>
      <c r="C41" s="55">
        <f>IFERROR(VLOOKUP(B41,DATA_PRODUCTO[#All],2,FALSE),0)</f>
        <v>0</v>
      </c>
      <c r="D41" s="40">
        <f>IFERROR(VLOOKUP(B41,DATA_PRODUCTO[#All],6,FALSE),0)</f>
        <v>0</v>
      </c>
      <c r="E41" s="40">
        <f>IFERROR(VLOOKUP(B41,DATA_PRODUCTO[#All],4,FALSE),0)</f>
        <v>0</v>
      </c>
      <c r="F41" s="32"/>
      <c r="G41" s="43">
        <f>IF(F41&gt;E41, "Cantidad excede a Stock",  IFERROR(VLOOKUP(B41,DATA_PRODUCTO[#All],5,FALSE),0) )</f>
        <v>0</v>
      </c>
      <c r="H41" s="43">
        <f t="shared" si="0"/>
        <v>0</v>
      </c>
      <c r="I41" s="33">
        <v>0</v>
      </c>
      <c r="J41" s="44">
        <f t="shared" si="1"/>
        <v>0</v>
      </c>
      <c r="K41" s="45">
        <f t="shared" si="2"/>
        <v>0</v>
      </c>
    </row>
    <row r="42" spans="2:11" ht="15.75" x14ac:dyDescent="0.25">
      <c r="B42" s="34"/>
      <c r="C42" s="55">
        <f>IFERROR(VLOOKUP(B42,DATA_PRODUCTO[#All],2,FALSE),0)</f>
        <v>0</v>
      </c>
      <c r="D42" s="40">
        <f>IFERROR(VLOOKUP(B42,DATA_PRODUCTO[#All],6,FALSE),0)</f>
        <v>0</v>
      </c>
      <c r="E42" s="40">
        <f>IFERROR(VLOOKUP(B42,DATA_PRODUCTO[#All],4,FALSE),0)</f>
        <v>0</v>
      </c>
      <c r="F42" s="32"/>
      <c r="G42" s="43">
        <f>IF(F42&gt;E42, "Cantidad excede a Stock",  IFERROR(VLOOKUP(B42,DATA_PRODUCTO[#All],5,FALSE),0) )</f>
        <v>0</v>
      </c>
      <c r="H42" s="43">
        <f t="shared" si="0"/>
        <v>0</v>
      </c>
      <c r="I42" s="33">
        <v>0</v>
      </c>
      <c r="J42" s="44">
        <f t="shared" si="1"/>
        <v>0</v>
      </c>
      <c r="K42" s="45">
        <f t="shared" si="2"/>
        <v>0</v>
      </c>
    </row>
    <row r="43" spans="2:11" ht="15.75" x14ac:dyDescent="0.25">
      <c r="B43" s="34"/>
      <c r="C43" s="55">
        <f>IFERROR(VLOOKUP(B43,DATA_PRODUCTO[#All],2,FALSE),0)</f>
        <v>0</v>
      </c>
      <c r="D43" s="40">
        <f>IFERROR(VLOOKUP(B43,DATA_PRODUCTO[#All],6,FALSE),0)</f>
        <v>0</v>
      </c>
      <c r="E43" s="40">
        <f>IFERROR(VLOOKUP(B43,DATA_PRODUCTO[#All],4,FALSE),0)</f>
        <v>0</v>
      </c>
      <c r="F43" s="32"/>
      <c r="G43" s="43">
        <f>IF(F43&gt;E43, "Cantidad excede a Stock",  IFERROR(VLOOKUP(B43,DATA_PRODUCTO[#All],5,FALSE),0) )</f>
        <v>0</v>
      </c>
      <c r="H43" s="43">
        <f t="shared" si="0"/>
        <v>0</v>
      </c>
      <c r="I43" s="33">
        <v>0</v>
      </c>
      <c r="J43" s="44">
        <f t="shared" si="1"/>
        <v>0</v>
      </c>
      <c r="K43" s="45">
        <f t="shared" si="2"/>
        <v>0</v>
      </c>
    </row>
    <row r="44" spans="2:11" ht="15.75" x14ac:dyDescent="0.25">
      <c r="B44" s="34"/>
      <c r="C44" s="55">
        <f>IFERROR(VLOOKUP(B44,DATA_PRODUCTO[#All],2,FALSE),0)</f>
        <v>0</v>
      </c>
      <c r="D44" s="40">
        <f>IFERROR(VLOOKUP(B44,DATA_PRODUCTO[#All],6,FALSE),0)</f>
        <v>0</v>
      </c>
      <c r="E44" s="40">
        <f>IFERROR(VLOOKUP(B44,DATA_PRODUCTO[#All],4,FALSE),0)</f>
        <v>0</v>
      </c>
      <c r="F44" s="32"/>
      <c r="G44" s="43">
        <f>IF(F44&gt;E44, "Cantidad excede a Stock",  IFERROR(VLOOKUP(B44,DATA_PRODUCTO[#All],5,FALSE),0) )</f>
        <v>0</v>
      </c>
      <c r="H44" s="43">
        <f t="shared" si="0"/>
        <v>0</v>
      </c>
      <c r="I44" s="33">
        <v>0</v>
      </c>
      <c r="J44" s="44">
        <f t="shared" si="1"/>
        <v>0</v>
      </c>
      <c r="K44" s="45">
        <f t="shared" si="2"/>
        <v>0</v>
      </c>
    </row>
    <row r="45" spans="2:11" ht="15.75" x14ac:dyDescent="0.25">
      <c r="B45" s="34"/>
      <c r="C45" s="55">
        <f>IFERROR(VLOOKUP(B45,DATA_PRODUCTO[#All],2,FALSE),0)</f>
        <v>0</v>
      </c>
      <c r="D45" s="40">
        <f>IFERROR(VLOOKUP(B45,DATA_PRODUCTO[#All],6,FALSE),0)</f>
        <v>0</v>
      </c>
      <c r="E45" s="40">
        <f>IFERROR(VLOOKUP(B45,DATA_PRODUCTO[#All],4,FALSE),0)</f>
        <v>0</v>
      </c>
      <c r="F45" s="32"/>
      <c r="G45" s="43">
        <f>IF(F45&gt;E45, "Cantidad excede a Stock",  IFERROR(VLOOKUP(B45,DATA_PRODUCTO[#All],5,FALSE),0) )</f>
        <v>0</v>
      </c>
      <c r="H45" s="43">
        <f t="shared" si="0"/>
        <v>0</v>
      </c>
      <c r="I45" s="33">
        <v>0</v>
      </c>
      <c r="J45" s="44">
        <f t="shared" si="1"/>
        <v>0</v>
      </c>
      <c r="K45" s="45">
        <f t="shared" si="2"/>
        <v>0</v>
      </c>
    </row>
    <row r="46" spans="2:11" ht="15.75" x14ac:dyDescent="0.25">
      <c r="B46" s="34"/>
      <c r="C46" s="55">
        <f>IFERROR(VLOOKUP(B46,DATA_PRODUCTO[#All],2,FALSE),0)</f>
        <v>0</v>
      </c>
      <c r="D46" s="40">
        <f>IFERROR(VLOOKUP(B46,DATA_PRODUCTO[#All],6,FALSE),0)</f>
        <v>0</v>
      </c>
      <c r="E46" s="40">
        <f>IFERROR(VLOOKUP(B46,DATA_PRODUCTO[#All],4,FALSE),0)</f>
        <v>0</v>
      </c>
      <c r="F46" s="32"/>
      <c r="G46" s="43">
        <f>IF(F46&gt;E46, "Cantidad excede a Stock",  IFERROR(VLOOKUP(B46,DATA_PRODUCTO[#All],5,FALSE),0) )</f>
        <v>0</v>
      </c>
      <c r="H46" s="43">
        <f t="shared" si="0"/>
        <v>0</v>
      </c>
      <c r="I46" s="33">
        <v>0</v>
      </c>
      <c r="J46" s="44">
        <f t="shared" si="1"/>
        <v>0</v>
      </c>
      <c r="K46" s="45">
        <f t="shared" si="2"/>
        <v>0</v>
      </c>
    </row>
    <row r="47" spans="2:11" ht="15.75" x14ac:dyDescent="0.25">
      <c r="B47" s="34"/>
      <c r="C47" s="55">
        <f>IFERROR(VLOOKUP(B47,DATA_PRODUCTO[#All],2,FALSE),0)</f>
        <v>0</v>
      </c>
      <c r="D47" s="40">
        <f>IFERROR(VLOOKUP(B47,DATA_PRODUCTO[#All],6,FALSE),0)</f>
        <v>0</v>
      </c>
      <c r="E47" s="40">
        <f>IFERROR(VLOOKUP(B47,DATA_PRODUCTO[#All],4,FALSE),0)</f>
        <v>0</v>
      </c>
      <c r="F47" s="32"/>
      <c r="G47" s="43">
        <f>IF(F47&gt;E47, "Cantidad excede a Stock",  IFERROR(VLOOKUP(B47,DATA_PRODUCTO[#All],5,FALSE),0) )</f>
        <v>0</v>
      </c>
      <c r="H47" s="43">
        <f t="shared" si="0"/>
        <v>0</v>
      </c>
      <c r="I47" s="33">
        <v>0</v>
      </c>
      <c r="J47" s="44">
        <f t="shared" si="1"/>
        <v>0</v>
      </c>
      <c r="K47" s="45">
        <f t="shared" si="2"/>
        <v>0</v>
      </c>
    </row>
    <row r="48" spans="2:11" ht="15.75" x14ac:dyDescent="0.25">
      <c r="B48" s="34"/>
      <c r="C48" s="55">
        <f>IFERROR(VLOOKUP(B48,DATA_PRODUCTO[#All],2,FALSE),0)</f>
        <v>0</v>
      </c>
      <c r="D48" s="40">
        <f>IFERROR(VLOOKUP(B48,DATA_PRODUCTO[#All],6,FALSE),0)</f>
        <v>0</v>
      </c>
      <c r="E48" s="40">
        <f>IFERROR(VLOOKUP(B48,DATA_PRODUCTO[#All],4,FALSE),0)</f>
        <v>0</v>
      </c>
      <c r="F48" s="32"/>
      <c r="G48" s="43">
        <f>IF(F48&gt;E48, "Cantidad excede a Stock",  IFERROR(VLOOKUP(B48,DATA_PRODUCTO[#All],5,FALSE),0) )</f>
        <v>0</v>
      </c>
      <c r="H48" s="43">
        <f t="shared" si="0"/>
        <v>0</v>
      </c>
      <c r="I48" s="33">
        <v>0</v>
      </c>
      <c r="J48" s="44">
        <f t="shared" si="1"/>
        <v>0</v>
      </c>
      <c r="K48" s="45">
        <f t="shared" si="2"/>
        <v>0</v>
      </c>
    </row>
    <row r="49" spans="2:14" ht="15.75" x14ac:dyDescent="0.25">
      <c r="B49" s="34"/>
      <c r="C49" s="55">
        <f>IFERROR(VLOOKUP(B49,DATA_PRODUCTO[#All],2,FALSE),0)</f>
        <v>0</v>
      </c>
      <c r="D49" s="40">
        <f>IFERROR(VLOOKUP(B49,DATA_PRODUCTO[#All],6,FALSE),0)</f>
        <v>0</v>
      </c>
      <c r="E49" s="40">
        <f>IFERROR(VLOOKUP(B49,DATA_PRODUCTO[#All],4,FALSE),0)</f>
        <v>0</v>
      </c>
      <c r="F49" s="32"/>
      <c r="G49" s="43">
        <f>IF(F49&gt;E49, "Cantidad excede a Stock",  IFERROR(VLOOKUP(B49,DATA_PRODUCTO[#All],5,FALSE),0) )</f>
        <v>0</v>
      </c>
      <c r="H49" s="43">
        <f t="shared" si="0"/>
        <v>0</v>
      </c>
      <c r="I49" s="33">
        <v>0</v>
      </c>
      <c r="J49" s="44">
        <f t="shared" si="1"/>
        <v>0</v>
      </c>
      <c r="K49" s="45">
        <f t="shared" si="2"/>
        <v>0</v>
      </c>
    </row>
    <row r="50" spans="2:14" ht="15.75" x14ac:dyDescent="0.25">
      <c r="B50" s="34"/>
      <c r="C50" s="55">
        <f>IFERROR(VLOOKUP(B50,DATA_PRODUCTO[#All],2,FALSE),0)</f>
        <v>0</v>
      </c>
      <c r="D50" s="40">
        <f>IFERROR(VLOOKUP(B50,DATA_PRODUCTO[#All],6,FALSE),0)</f>
        <v>0</v>
      </c>
      <c r="E50" s="40">
        <f>IFERROR(VLOOKUP(B50,DATA_PRODUCTO[#All],4,FALSE),0)</f>
        <v>0</v>
      </c>
      <c r="F50" s="32"/>
      <c r="G50" s="43">
        <f>IF(F50&gt;E50, "Cantidad excede a Stock",  IFERROR(VLOOKUP(B50,DATA_PRODUCTO[#All],5,FALSE),0) )</f>
        <v>0</v>
      </c>
      <c r="H50" s="43">
        <f t="shared" si="0"/>
        <v>0</v>
      </c>
      <c r="I50" s="33">
        <v>0</v>
      </c>
      <c r="J50" s="44">
        <f t="shared" si="1"/>
        <v>0</v>
      </c>
      <c r="K50" s="45">
        <f t="shared" si="2"/>
        <v>0</v>
      </c>
    </row>
    <row r="51" spans="2:14" ht="15.75" x14ac:dyDescent="0.25">
      <c r="B51" s="34"/>
      <c r="C51" s="55">
        <f>IFERROR(VLOOKUP(B51,DATA_PRODUCTO[#All],2,FALSE),0)</f>
        <v>0</v>
      </c>
      <c r="D51" s="40">
        <f>IFERROR(VLOOKUP(B51,DATA_PRODUCTO[#All],6,FALSE),0)</f>
        <v>0</v>
      </c>
      <c r="E51" s="40">
        <f>IFERROR(VLOOKUP(B51,DATA_PRODUCTO[#All],4,FALSE),0)</f>
        <v>0</v>
      </c>
      <c r="F51" s="32"/>
      <c r="G51" s="43">
        <f>IF(F51&gt;E51, "Cantidad excede a Stock",  IFERROR(VLOOKUP(B51,DATA_PRODUCTO[#All],5,FALSE),0) )</f>
        <v>0</v>
      </c>
      <c r="H51" s="43">
        <f t="shared" si="0"/>
        <v>0</v>
      </c>
      <c r="I51" s="33">
        <v>0</v>
      </c>
      <c r="J51" s="44">
        <f t="shared" si="1"/>
        <v>0</v>
      </c>
      <c r="K51" s="45">
        <f t="shared" si="2"/>
        <v>0</v>
      </c>
    </row>
    <row r="52" spans="2:14" ht="12.75" x14ac:dyDescent="0.2">
      <c r="B52" s="135" t="s">
        <v>11</v>
      </c>
      <c r="C52" s="136"/>
      <c r="D52" s="136"/>
      <c r="E52" s="136"/>
      <c r="F52" s="136"/>
      <c r="G52" s="136"/>
      <c r="H52" s="46">
        <f>IF(COUNTIF(H16:H51,"Cantidad excede a Stock")&gt;0, "Error al calcular la suma", SUMIF(H16:H51, "&lt;&gt;Cantidad excede a Stock"))</f>
        <v>70.930000000000007</v>
      </c>
      <c r="I52" s="47">
        <f>IFERROR((H52-K52)/H52,0)</f>
        <v>0</v>
      </c>
      <c r="J52" s="35"/>
      <c r="K52" s="48">
        <f>IF(COUNTIF(K16:K51,"Cantidad excede a Stock")&gt;0, "Error al calcular la suma", SUMIF(K16:K51, "&lt;&gt;Cantidad excede a Stock"))</f>
        <v>70.930000000000007</v>
      </c>
      <c r="L52" s="49">
        <f>IF(I52=0%, H52, K52)</f>
        <v>70.930000000000007</v>
      </c>
      <c r="M52" s="96">
        <f>H52-K52</f>
        <v>0</v>
      </c>
      <c r="N52" s="99">
        <f>IFERROR(M52/H52,0)</f>
        <v>0</v>
      </c>
    </row>
  </sheetData>
  <sheetProtection sheet="1" objects="1" scenarios="1" selectLockedCells="1"/>
  <mergeCells count="7">
    <mergeCell ref="B52:G52"/>
    <mergeCell ref="G14:K14"/>
    <mergeCell ref="B14:B15"/>
    <mergeCell ref="C14:C15"/>
    <mergeCell ref="D14:D15"/>
    <mergeCell ref="E14:E15"/>
    <mergeCell ref="F14:F15"/>
  </mergeCells>
  <pageMargins left="0.70866141732283472" right="0.70866141732283472" top="0.74803149606299213" bottom="0.74803149606299213" header="0.31496062992125984" footer="0.31496062992125984"/>
  <pageSetup paperSize="9" scale="7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47C09-D36F-4E1D-BAD9-228E6BC03CD1}">
  <sheetPr codeName="Hoja5">
    <tabColor rgb="FF00B0F0"/>
  </sheetPr>
  <dimension ref="A1:H545"/>
  <sheetViews>
    <sheetView showGridLines="0" workbookViewId="0">
      <selection activeCell="G7" sqref="G7"/>
    </sheetView>
  </sheetViews>
  <sheetFormatPr baseColWidth="10" defaultColWidth="11.5703125" defaultRowHeight="15" x14ac:dyDescent="0.25"/>
  <cols>
    <col min="1" max="1" width="14.5703125" style="1" customWidth="1"/>
    <col min="2" max="2" width="16.5703125" style="1" customWidth="1"/>
    <col min="3" max="3" width="44.5703125" style="1" customWidth="1"/>
    <col min="4" max="4" width="13.140625" style="1" customWidth="1"/>
    <col min="5" max="5" width="55.28515625" style="2" customWidth="1"/>
    <col min="6" max="6" width="23.85546875" style="1" customWidth="1"/>
    <col min="7" max="7" width="11.5703125" style="1" customWidth="1"/>
    <col min="8" max="8" width="34.7109375" style="1" customWidth="1"/>
    <col min="9" max="16384" width="11.5703125" style="1"/>
  </cols>
  <sheetData>
    <row r="1" spans="1:8" ht="39" customHeight="1" x14ac:dyDescent="0.25"/>
    <row r="2" spans="1:8" ht="31.5" customHeight="1" x14ac:dyDescent="0.25">
      <c r="A2" s="141" t="s">
        <v>16</v>
      </c>
      <c r="B2" s="141"/>
      <c r="C2" s="141"/>
      <c r="D2" s="141"/>
      <c r="E2" s="141"/>
      <c r="F2" s="141"/>
      <c r="G2" s="141"/>
      <c r="H2" s="141"/>
    </row>
    <row r="3" spans="1:8" ht="19.5" customHeight="1" x14ac:dyDescent="0.25">
      <c r="A3" s="3"/>
      <c r="B3" s="3"/>
      <c r="C3" s="4"/>
      <c r="D3" s="4"/>
      <c r="F3" s="4"/>
      <c r="G3" s="4"/>
      <c r="H3" s="4"/>
    </row>
    <row r="4" spans="1:8" s="8" customFormat="1" ht="15.75" x14ac:dyDescent="0.25">
      <c r="A4" s="5" t="s">
        <v>14263</v>
      </c>
      <c r="B4" s="18" t="s">
        <v>15708</v>
      </c>
      <c r="C4" s="6"/>
      <c r="D4" s="6" t="s">
        <v>14264</v>
      </c>
      <c r="E4" s="56">
        <f ca="1">TODAY()</f>
        <v>45369</v>
      </c>
      <c r="F4" s="19"/>
      <c r="G4" s="19"/>
      <c r="H4" s="6"/>
    </row>
    <row r="5" spans="1:8" s="8" customFormat="1" ht="15.75" x14ac:dyDescent="0.25">
      <c r="A5" s="5"/>
      <c r="B5" s="18"/>
      <c r="C5" s="6"/>
      <c r="D5" s="6"/>
      <c r="E5" s="7"/>
      <c r="F5" s="19"/>
      <c r="G5" s="17"/>
      <c r="H5" s="16"/>
    </row>
    <row r="6" spans="1:8" s="12" customFormat="1" ht="13.5" x14ac:dyDescent="0.25">
      <c r="A6" s="9" t="s">
        <v>17</v>
      </c>
      <c r="B6" s="15" t="s">
        <v>3229</v>
      </c>
      <c r="C6" s="10" t="s">
        <v>18</v>
      </c>
      <c r="D6" s="10" t="s">
        <v>23</v>
      </c>
      <c r="E6" s="10" t="s">
        <v>19</v>
      </c>
      <c r="F6" s="10" t="s">
        <v>20</v>
      </c>
      <c r="G6" s="10" t="s">
        <v>21</v>
      </c>
      <c r="H6" s="11" t="s">
        <v>22</v>
      </c>
    </row>
    <row r="7" spans="1:8" x14ac:dyDescent="0.25">
      <c r="A7" s="1">
        <v>1</v>
      </c>
      <c r="B7" s="1">
        <v>60629059</v>
      </c>
      <c r="C7" s="1">
        <v>0</v>
      </c>
      <c r="D7" s="105" t="s">
        <v>16806</v>
      </c>
      <c r="E7" s="2">
        <v>0</v>
      </c>
      <c r="F7" s="1">
        <v>70.930000000000007</v>
      </c>
      <c r="G7" s="104"/>
      <c r="H7" s="104"/>
    </row>
    <row r="8" spans="1:8" x14ac:dyDescent="0.25">
      <c r="D8" s="105"/>
      <c r="G8" s="104"/>
      <c r="H8" s="104"/>
    </row>
    <row r="9" spans="1:8" x14ac:dyDescent="0.25">
      <c r="D9" s="105"/>
      <c r="G9" s="104"/>
      <c r="H9" s="104"/>
    </row>
    <row r="10" spans="1:8" x14ac:dyDescent="0.25">
      <c r="D10" s="105"/>
      <c r="G10" s="104"/>
      <c r="H10" s="104"/>
    </row>
    <row r="11" spans="1:8" x14ac:dyDescent="0.25">
      <c r="D11" s="105"/>
      <c r="G11" s="104"/>
      <c r="H11" s="104"/>
    </row>
    <row r="12" spans="1:8" x14ac:dyDescent="0.25">
      <c r="D12" s="105"/>
      <c r="G12" s="104"/>
      <c r="H12" s="104"/>
    </row>
    <row r="13" spans="1:8" x14ac:dyDescent="0.25">
      <c r="D13" s="105"/>
      <c r="G13" s="104"/>
      <c r="H13" s="104"/>
    </row>
    <row r="14" spans="1:8" x14ac:dyDescent="0.25">
      <c r="D14" s="105"/>
      <c r="G14" s="104"/>
      <c r="H14" s="104"/>
    </row>
    <row r="15" spans="1:8" x14ac:dyDescent="0.25">
      <c r="D15" s="105"/>
      <c r="G15" s="104"/>
      <c r="H15" s="104"/>
    </row>
    <row r="16" spans="1:8" x14ac:dyDescent="0.25">
      <c r="D16" s="105"/>
      <c r="G16" s="104"/>
      <c r="H16" s="104"/>
    </row>
    <row r="17" spans="4:8" x14ac:dyDescent="0.25">
      <c r="D17" s="105"/>
      <c r="G17" s="104"/>
      <c r="H17" s="104"/>
    </row>
    <row r="18" spans="4:8" x14ac:dyDescent="0.25">
      <c r="D18" s="105"/>
      <c r="G18" s="104"/>
      <c r="H18" s="104"/>
    </row>
    <row r="19" spans="4:8" x14ac:dyDescent="0.25">
      <c r="D19" s="105"/>
      <c r="G19" s="104"/>
      <c r="H19" s="104"/>
    </row>
    <row r="20" spans="4:8" x14ac:dyDescent="0.25">
      <c r="D20" s="105"/>
      <c r="G20" s="104"/>
      <c r="H20" s="104"/>
    </row>
    <row r="21" spans="4:8" x14ac:dyDescent="0.25">
      <c r="D21" s="105"/>
      <c r="G21" s="104"/>
      <c r="H21" s="104"/>
    </row>
    <row r="22" spans="4:8" x14ac:dyDescent="0.25">
      <c r="D22" s="105"/>
      <c r="G22" s="104"/>
      <c r="H22" s="104"/>
    </row>
    <row r="23" spans="4:8" x14ac:dyDescent="0.25">
      <c r="D23" s="105"/>
      <c r="G23" s="104"/>
      <c r="H23" s="104"/>
    </row>
    <row r="24" spans="4:8" x14ac:dyDescent="0.25">
      <c r="D24" s="105"/>
      <c r="G24" s="104"/>
      <c r="H24" s="104"/>
    </row>
    <row r="25" spans="4:8" x14ac:dyDescent="0.25">
      <c r="D25" s="105"/>
      <c r="G25" s="104"/>
      <c r="H25" s="104"/>
    </row>
    <row r="26" spans="4:8" x14ac:dyDescent="0.25">
      <c r="D26" s="105"/>
      <c r="G26" s="104"/>
      <c r="H26" s="104"/>
    </row>
    <row r="27" spans="4:8" x14ac:dyDescent="0.25">
      <c r="D27" s="105"/>
      <c r="G27" s="104"/>
      <c r="H27" s="104"/>
    </row>
    <row r="28" spans="4:8" x14ac:dyDescent="0.25">
      <c r="D28" s="105"/>
      <c r="G28" s="104"/>
      <c r="H28" s="104"/>
    </row>
    <row r="29" spans="4:8" x14ac:dyDescent="0.25">
      <c r="D29" s="105"/>
      <c r="G29" s="104"/>
      <c r="H29" s="104"/>
    </row>
    <row r="30" spans="4:8" x14ac:dyDescent="0.25">
      <c r="D30" s="105"/>
      <c r="G30" s="104"/>
      <c r="H30" s="104"/>
    </row>
    <row r="31" spans="4:8" x14ac:dyDescent="0.25">
      <c r="D31" s="105"/>
      <c r="G31" s="104"/>
      <c r="H31" s="104"/>
    </row>
    <row r="32" spans="4:8" x14ac:dyDescent="0.25">
      <c r="D32" s="105"/>
      <c r="G32" s="104"/>
      <c r="H32" s="104"/>
    </row>
    <row r="33" spans="4:8" x14ac:dyDescent="0.25">
      <c r="D33" s="105"/>
      <c r="G33" s="104"/>
      <c r="H33" s="104"/>
    </row>
    <row r="34" spans="4:8" x14ac:dyDescent="0.25">
      <c r="D34" s="105"/>
      <c r="G34" s="104"/>
      <c r="H34" s="104"/>
    </row>
    <row r="35" spans="4:8" x14ac:dyDescent="0.25">
      <c r="D35" s="105"/>
      <c r="G35" s="104"/>
      <c r="H35" s="104"/>
    </row>
    <row r="36" spans="4:8" x14ac:dyDescent="0.25">
      <c r="D36" s="105"/>
      <c r="G36" s="104"/>
      <c r="H36" s="104"/>
    </row>
    <row r="37" spans="4:8" x14ac:dyDescent="0.25">
      <c r="D37" s="105"/>
      <c r="G37" s="104"/>
      <c r="H37" s="104"/>
    </row>
    <row r="38" spans="4:8" x14ac:dyDescent="0.25">
      <c r="D38" s="105"/>
      <c r="G38" s="104"/>
      <c r="H38" s="104"/>
    </row>
    <row r="39" spans="4:8" x14ac:dyDescent="0.25">
      <c r="D39" s="105"/>
      <c r="G39" s="104"/>
      <c r="H39" s="104"/>
    </row>
    <row r="40" spans="4:8" x14ac:dyDescent="0.25">
      <c r="D40" s="105"/>
      <c r="G40" s="104"/>
      <c r="H40" s="104"/>
    </row>
    <row r="41" spans="4:8" x14ac:dyDescent="0.25">
      <c r="D41" s="105"/>
      <c r="G41" s="104"/>
      <c r="H41" s="104"/>
    </row>
    <row r="42" spans="4:8" x14ac:dyDescent="0.25">
      <c r="D42" s="105"/>
      <c r="G42" s="104"/>
      <c r="H42" s="104"/>
    </row>
    <row r="43" spans="4:8" x14ac:dyDescent="0.25">
      <c r="D43" s="105"/>
      <c r="G43" s="104"/>
      <c r="H43" s="104"/>
    </row>
    <row r="44" spans="4:8" x14ac:dyDescent="0.25">
      <c r="D44" s="105"/>
      <c r="G44" s="104"/>
      <c r="H44" s="104"/>
    </row>
    <row r="45" spans="4:8" x14ac:dyDescent="0.25">
      <c r="D45" s="105"/>
      <c r="G45" s="104"/>
      <c r="H45" s="104"/>
    </row>
    <row r="46" spans="4:8" x14ac:dyDescent="0.25">
      <c r="D46" s="105"/>
      <c r="G46" s="104"/>
      <c r="H46" s="104"/>
    </row>
    <row r="47" spans="4:8" x14ac:dyDescent="0.25">
      <c r="D47" s="105"/>
      <c r="G47" s="104"/>
      <c r="H47" s="104"/>
    </row>
    <row r="48" spans="4:8" x14ac:dyDescent="0.25">
      <c r="D48" s="105"/>
      <c r="G48" s="104"/>
      <c r="H48" s="104"/>
    </row>
    <row r="49" spans="4:8" x14ac:dyDescent="0.25">
      <c r="D49" s="105"/>
      <c r="G49" s="104"/>
      <c r="H49" s="104"/>
    </row>
    <row r="50" spans="4:8" x14ac:dyDescent="0.25">
      <c r="D50" s="105"/>
      <c r="G50" s="104"/>
      <c r="H50" s="104"/>
    </row>
    <row r="51" spans="4:8" x14ac:dyDescent="0.25">
      <c r="D51" s="105"/>
      <c r="G51" s="104"/>
      <c r="H51" s="104"/>
    </row>
    <row r="52" spans="4:8" x14ac:dyDescent="0.25">
      <c r="D52" s="105"/>
      <c r="G52" s="104"/>
      <c r="H52" s="104"/>
    </row>
    <row r="53" spans="4:8" x14ac:dyDescent="0.25">
      <c r="D53" s="105"/>
      <c r="G53" s="104"/>
      <c r="H53" s="104"/>
    </row>
    <row r="54" spans="4:8" x14ac:dyDescent="0.25">
      <c r="D54" s="105"/>
      <c r="G54" s="104"/>
      <c r="H54" s="104"/>
    </row>
    <row r="55" spans="4:8" x14ac:dyDescent="0.25">
      <c r="D55" s="105"/>
      <c r="G55" s="104"/>
      <c r="H55" s="104"/>
    </row>
    <row r="56" spans="4:8" x14ac:dyDescent="0.25">
      <c r="D56" s="105"/>
      <c r="G56" s="104"/>
      <c r="H56" s="104"/>
    </row>
    <row r="57" spans="4:8" x14ac:dyDescent="0.25">
      <c r="D57" s="105"/>
      <c r="G57" s="104"/>
      <c r="H57" s="104"/>
    </row>
    <row r="58" spans="4:8" x14ac:dyDescent="0.25">
      <c r="D58" s="105"/>
      <c r="G58" s="104"/>
      <c r="H58" s="104"/>
    </row>
    <row r="59" spans="4:8" x14ac:dyDescent="0.25">
      <c r="D59" s="105"/>
      <c r="G59" s="104"/>
      <c r="H59" s="104"/>
    </row>
    <row r="60" spans="4:8" x14ac:dyDescent="0.25">
      <c r="D60" s="105"/>
      <c r="G60" s="104"/>
      <c r="H60" s="104"/>
    </row>
    <row r="61" spans="4:8" x14ac:dyDescent="0.25">
      <c r="D61" s="105"/>
      <c r="G61" s="104"/>
      <c r="H61" s="104"/>
    </row>
    <row r="62" spans="4:8" x14ac:dyDescent="0.25">
      <c r="D62" s="105"/>
      <c r="G62" s="104"/>
      <c r="H62" s="104"/>
    </row>
    <row r="63" spans="4:8" x14ac:dyDescent="0.25">
      <c r="D63" s="105"/>
      <c r="G63" s="104"/>
      <c r="H63" s="104"/>
    </row>
    <row r="64" spans="4:8" x14ac:dyDescent="0.25">
      <c r="D64" s="105"/>
      <c r="G64" s="104"/>
      <c r="H64" s="104"/>
    </row>
    <row r="65" spans="4:8" x14ac:dyDescent="0.25">
      <c r="D65" s="105"/>
      <c r="G65" s="104"/>
      <c r="H65" s="104"/>
    </row>
    <row r="66" spans="4:8" x14ac:dyDescent="0.25">
      <c r="D66" s="105"/>
      <c r="G66" s="104"/>
      <c r="H66" s="104"/>
    </row>
    <row r="67" spans="4:8" x14ac:dyDescent="0.25">
      <c r="D67" s="105"/>
      <c r="G67" s="104"/>
      <c r="H67" s="104"/>
    </row>
    <row r="68" spans="4:8" x14ac:dyDescent="0.25">
      <c r="D68" s="105"/>
      <c r="G68" s="104"/>
      <c r="H68" s="104"/>
    </row>
    <row r="69" spans="4:8" x14ac:dyDescent="0.25">
      <c r="D69" s="105"/>
      <c r="G69" s="104"/>
      <c r="H69" s="104"/>
    </row>
    <row r="70" spans="4:8" x14ac:dyDescent="0.25">
      <c r="D70" s="105"/>
      <c r="G70" s="104"/>
      <c r="H70" s="104"/>
    </row>
    <row r="71" spans="4:8" x14ac:dyDescent="0.25">
      <c r="D71" s="105"/>
      <c r="G71" s="104"/>
      <c r="H71" s="104"/>
    </row>
    <row r="72" spans="4:8" x14ac:dyDescent="0.25">
      <c r="D72" s="105"/>
      <c r="G72" s="104"/>
      <c r="H72" s="104"/>
    </row>
    <row r="73" spans="4:8" x14ac:dyDescent="0.25">
      <c r="D73" s="105"/>
      <c r="G73" s="104"/>
      <c r="H73" s="104"/>
    </row>
    <row r="74" spans="4:8" x14ac:dyDescent="0.25">
      <c r="D74" s="105"/>
      <c r="G74" s="104"/>
      <c r="H74" s="104"/>
    </row>
    <row r="75" spans="4:8" x14ac:dyDescent="0.25">
      <c r="D75" s="105"/>
      <c r="G75" s="104"/>
      <c r="H75" s="104"/>
    </row>
    <row r="76" spans="4:8" x14ac:dyDescent="0.25">
      <c r="D76" s="105"/>
      <c r="G76" s="104"/>
      <c r="H76" s="104"/>
    </row>
    <row r="77" spans="4:8" x14ac:dyDescent="0.25">
      <c r="D77" s="105"/>
      <c r="G77" s="104"/>
      <c r="H77" s="104"/>
    </row>
    <row r="78" spans="4:8" x14ac:dyDescent="0.25">
      <c r="D78" s="105"/>
      <c r="G78" s="104"/>
      <c r="H78" s="104"/>
    </row>
    <row r="79" spans="4:8" x14ac:dyDescent="0.25">
      <c r="D79" s="105"/>
      <c r="G79" s="104"/>
      <c r="H79" s="104"/>
    </row>
    <row r="80" spans="4:8" x14ac:dyDescent="0.25">
      <c r="D80" s="105"/>
      <c r="G80" s="104"/>
      <c r="H80" s="104"/>
    </row>
    <row r="81" spans="4:8" x14ac:dyDescent="0.25">
      <c r="D81" s="105"/>
      <c r="G81" s="104"/>
      <c r="H81" s="104"/>
    </row>
    <row r="82" spans="4:8" x14ac:dyDescent="0.25">
      <c r="D82" s="105"/>
      <c r="G82" s="104"/>
      <c r="H82" s="104"/>
    </row>
    <row r="83" spans="4:8" x14ac:dyDescent="0.25">
      <c r="D83" s="105"/>
      <c r="G83" s="104"/>
      <c r="H83" s="104"/>
    </row>
    <row r="84" spans="4:8" x14ac:dyDescent="0.25">
      <c r="D84" s="105"/>
      <c r="G84" s="104"/>
      <c r="H84" s="104"/>
    </row>
    <row r="85" spans="4:8" x14ac:dyDescent="0.25">
      <c r="D85" s="105"/>
      <c r="G85" s="104"/>
      <c r="H85" s="104"/>
    </row>
    <row r="86" spans="4:8" x14ac:dyDescent="0.25">
      <c r="D86" s="105"/>
      <c r="G86" s="104"/>
      <c r="H86" s="104"/>
    </row>
    <row r="87" spans="4:8" x14ac:dyDescent="0.25">
      <c r="D87" s="105"/>
      <c r="G87" s="104"/>
      <c r="H87" s="104"/>
    </row>
    <row r="88" spans="4:8" x14ac:dyDescent="0.25">
      <c r="D88" s="105"/>
      <c r="G88" s="104"/>
      <c r="H88" s="104"/>
    </row>
    <row r="89" spans="4:8" x14ac:dyDescent="0.25">
      <c r="D89" s="105"/>
      <c r="G89" s="104"/>
      <c r="H89" s="104"/>
    </row>
    <row r="90" spans="4:8" x14ac:dyDescent="0.25">
      <c r="D90" s="105"/>
      <c r="G90" s="104"/>
      <c r="H90" s="104"/>
    </row>
    <row r="91" spans="4:8" x14ac:dyDescent="0.25">
      <c r="D91" s="105"/>
      <c r="G91" s="104"/>
      <c r="H91" s="104"/>
    </row>
    <row r="92" spans="4:8" x14ac:dyDescent="0.25">
      <c r="D92" s="105"/>
      <c r="G92" s="104"/>
      <c r="H92" s="104"/>
    </row>
    <row r="93" spans="4:8" x14ac:dyDescent="0.25">
      <c r="D93" s="105"/>
      <c r="G93" s="104"/>
      <c r="H93" s="104"/>
    </row>
    <row r="94" spans="4:8" x14ac:dyDescent="0.25">
      <c r="D94" s="105"/>
      <c r="G94" s="104"/>
      <c r="H94" s="104"/>
    </row>
    <row r="95" spans="4:8" x14ac:dyDescent="0.25">
      <c r="D95" s="105"/>
      <c r="G95" s="104"/>
      <c r="H95" s="104"/>
    </row>
    <row r="96" spans="4:8" x14ac:dyDescent="0.25">
      <c r="D96" s="105"/>
      <c r="G96" s="104"/>
      <c r="H96" s="104"/>
    </row>
    <row r="97" spans="4:8" x14ac:dyDescent="0.25">
      <c r="D97" s="105"/>
      <c r="G97" s="104"/>
      <c r="H97" s="104"/>
    </row>
    <row r="98" spans="4:8" x14ac:dyDescent="0.25">
      <c r="D98" s="105"/>
      <c r="G98" s="104"/>
      <c r="H98" s="104"/>
    </row>
    <row r="99" spans="4:8" x14ac:dyDescent="0.25">
      <c r="D99" s="105"/>
      <c r="G99" s="104"/>
      <c r="H99" s="104"/>
    </row>
    <row r="100" spans="4:8" x14ac:dyDescent="0.25">
      <c r="D100" s="105"/>
      <c r="G100" s="104"/>
      <c r="H100" s="104"/>
    </row>
    <row r="101" spans="4:8" x14ac:dyDescent="0.25">
      <c r="D101" s="105"/>
      <c r="G101" s="104"/>
      <c r="H101" s="104"/>
    </row>
    <row r="102" spans="4:8" x14ac:dyDescent="0.25">
      <c r="D102" s="105"/>
      <c r="G102" s="104"/>
      <c r="H102" s="104"/>
    </row>
    <row r="103" spans="4:8" x14ac:dyDescent="0.25">
      <c r="D103" s="105"/>
      <c r="G103" s="104"/>
      <c r="H103" s="104"/>
    </row>
    <row r="104" spans="4:8" x14ac:dyDescent="0.25">
      <c r="D104" s="105"/>
      <c r="G104" s="104"/>
      <c r="H104" s="104"/>
    </row>
    <row r="105" spans="4:8" x14ac:dyDescent="0.25">
      <c r="D105" s="105"/>
      <c r="G105" s="104"/>
      <c r="H105" s="104"/>
    </row>
    <row r="106" spans="4:8" x14ac:dyDescent="0.25">
      <c r="D106" s="105"/>
      <c r="G106" s="104"/>
      <c r="H106" s="104"/>
    </row>
    <row r="107" spans="4:8" x14ac:dyDescent="0.25">
      <c r="D107" s="105"/>
      <c r="G107" s="104"/>
      <c r="H107" s="104"/>
    </row>
    <row r="108" spans="4:8" x14ac:dyDescent="0.25">
      <c r="D108" s="105"/>
      <c r="G108" s="104"/>
      <c r="H108" s="104"/>
    </row>
    <row r="109" spans="4:8" x14ac:dyDescent="0.25">
      <c r="D109" s="105"/>
      <c r="G109" s="104"/>
      <c r="H109" s="104"/>
    </row>
    <row r="110" spans="4:8" x14ac:dyDescent="0.25">
      <c r="D110" s="105"/>
      <c r="G110" s="104"/>
      <c r="H110" s="104"/>
    </row>
    <row r="111" spans="4:8" x14ac:dyDescent="0.25">
      <c r="D111" s="105"/>
      <c r="G111" s="104"/>
      <c r="H111" s="104"/>
    </row>
    <row r="112" spans="4:8" x14ac:dyDescent="0.25">
      <c r="D112" s="105"/>
      <c r="G112" s="104"/>
      <c r="H112" s="104"/>
    </row>
    <row r="113" spans="4:8" x14ac:dyDescent="0.25">
      <c r="D113" s="105"/>
      <c r="G113" s="104"/>
      <c r="H113" s="104"/>
    </row>
    <row r="114" spans="4:8" x14ac:dyDescent="0.25">
      <c r="D114" s="105"/>
      <c r="G114" s="104"/>
      <c r="H114" s="104"/>
    </row>
    <row r="115" spans="4:8" x14ac:dyDescent="0.25">
      <c r="D115" s="105"/>
      <c r="G115" s="104"/>
      <c r="H115" s="104"/>
    </row>
    <row r="116" spans="4:8" x14ac:dyDescent="0.25">
      <c r="D116" s="105"/>
      <c r="G116" s="104"/>
      <c r="H116" s="104"/>
    </row>
    <row r="117" spans="4:8" x14ac:dyDescent="0.25">
      <c r="D117" s="105"/>
      <c r="G117" s="104"/>
      <c r="H117" s="104"/>
    </row>
    <row r="118" spans="4:8" x14ac:dyDescent="0.25">
      <c r="D118" s="105"/>
      <c r="G118" s="104"/>
      <c r="H118" s="104"/>
    </row>
    <row r="119" spans="4:8" x14ac:dyDescent="0.25">
      <c r="D119" s="105"/>
      <c r="G119" s="104"/>
      <c r="H119" s="104"/>
    </row>
    <row r="120" spans="4:8" x14ac:dyDescent="0.25">
      <c r="D120" s="105"/>
      <c r="G120" s="104"/>
      <c r="H120" s="104"/>
    </row>
    <row r="121" spans="4:8" x14ac:dyDescent="0.25">
      <c r="D121" s="105"/>
      <c r="G121" s="104"/>
      <c r="H121" s="104"/>
    </row>
    <row r="122" spans="4:8" x14ac:dyDescent="0.25">
      <c r="D122" s="105"/>
      <c r="G122" s="104"/>
      <c r="H122" s="104"/>
    </row>
    <row r="123" spans="4:8" x14ac:dyDescent="0.25">
      <c r="D123" s="105"/>
      <c r="G123" s="104"/>
      <c r="H123" s="104"/>
    </row>
    <row r="124" spans="4:8" x14ac:dyDescent="0.25">
      <c r="D124" s="105"/>
      <c r="G124" s="104"/>
      <c r="H124" s="104"/>
    </row>
    <row r="125" spans="4:8" x14ac:dyDescent="0.25">
      <c r="D125" s="105"/>
      <c r="G125" s="104"/>
      <c r="H125" s="104"/>
    </row>
    <row r="126" spans="4:8" x14ac:dyDescent="0.25">
      <c r="D126" s="105"/>
      <c r="G126" s="104"/>
      <c r="H126" s="104"/>
    </row>
    <row r="127" spans="4:8" x14ac:dyDescent="0.25">
      <c r="D127" s="105"/>
      <c r="G127" s="104"/>
      <c r="H127" s="104"/>
    </row>
    <row r="128" spans="4:8" x14ac:dyDescent="0.25">
      <c r="D128" s="105"/>
      <c r="G128" s="104"/>
      <c r="H128" s="104"/>
    </row>
    <row r="129" spans="4:8" x14ac:dyDescent="0.25">
      <c r="D129" s="105"/>
      <c r="G129" s="104"/>
      <c r="H129" s="104"/>
    </row>
    <row r="130" spans="4:8" x14ac:dyDescent="0.25">
      <c r="D130" s="105"/>
      <c r="G130" s="104"/>
      <c r="H130" s="104"/>
    </row>
    <row r="131" spans="4:8" x14ac:dyDescent="0.25">
      <c r="D131" s="105"/>
      <c r="G131" s="104"/>
      <c r="H131" s="104"/>
    </row>
    <row r="132" spans="4:8" x14ac:dyDescent="0.25">
      <c r="D132" s="105"/>
      <c r="G132" s="104"/>
      <c r="H132" s="104"/>
    </row>
    <row r="133" spans="4:8" x14ac:dyDescent="0.25">
      <c r="D133" s="105"/>
      <c r="G133" s="104"/>
      <c r="H133" s="104"/>
    </row>
    <row r="134" spans="4:8" x14ac:dyDescent="0.25">
      <c r="D134" s="105"/>
      <c r="G134" s="104"/>
      <c r="H134" s="104"/>
    </row>
    <row r="135" spans="4:8" x14ac:dyDescent="0.25">
      <c r="D135" s="105"/>
      <c r="G135" s="104"/>
      <c r="H135" s="104"/>
    </row>
    <row r="136" spans="4:8" x14ac:dyDescent="0.25">
      <c r="D136" s="105"/>
      <c r="G136" s="104"/>
      <c r="H136" s="104"/>
    </row>
    <row r="137" spans="4:8" x14ac:dyDescent="0.25">
      <c r="D137" s="105"/>
      <c r="G137" s="104"/>
      <c r="H137" s="104"/>
    </row>
    <row r="138" spans="4:8" x14ac:dyDescent="0.25">
      <c r="D138" s="105"/>
      <c r="G138" s="104"/>
      <c r="H138" s="104"/>
    </row>
    <row r="139" spans="4:8" x14ac:dyDescent="0.25">
      <c r="D139" s="105"/>
      <c r="G139" s="104"/>
      <c r="H139" s="104"/>
    </row>
    <row r="140" spans="4:8" x14ac:dyDescent="0.25">
      <c r="D140" s="105"/>
      <c r="G140" s="104"/>
      <c r="H140" s="104"/>
    </row>
    <row r="141" spans="4:8" x14ac:dyDescent="0.25">
      <c r="D141" s="105"/>
      <c r="G141" s="104"/>
      <c r="H141" s="104"/>
    </row>
    <row r="142" spans="4:8" x14ac:dyDescent="0.25">
      <c r="D142" s="105"/>
      <c r="G142" s="104"/>
      <c r="H142" s="104"/>
    </row>
    <row r="143" spans="4:8" x14ac:dyDescent="0.25">
      <c r="D143" s="105"/>
      <c r="G143" s="104"/>
      <c r="H143" s="104"/>
    </row>
    <row r="144" spans="4:8" x14ac:dyDescent="0.25">
      <c r="D144" s="105"/>
      <c r="G144" s="104"/>
      <c r="H144" s="104"/>
    </row>
    <row r="145" spans="4:8" x14ac:dyDescent="0.25">
      <c r="D145" s="105"/>
      <c r="G145" s="104"/>
      <c r="H145" s="104"/>
    </row>
    <row r="146" spans="4:8" x14ac:dyDescent="0.25">
      <c r="D146" s="105"/>
      <c r="G146" s="104"/>
      <c r="H146" s="104"/>
    </row>
    <row r="147" spans="4:8" x14ac:dyDescent="0.25">
      <c r="D147" s="105"/>
      <c r="G147" s="104"/>
      <c r="H147" s="104"/>
    </row>
    <row r="148" spans="4:8" x14ac:dyDescent="0.25">
      <c r="D148" s="105"/>
      <c r="G148" s="104"/>
      <c r="H148" s="104"/>
    </row>
    <row r="149" spans="4:8" x14ac:dyDescent="0.25">
      <c r="D149" s="105"/>
      <c r="G149" s="104"/>
      <c r="H149" s="104"/>
    </row>
    <row r="150" spans="4:8" x14ac:dyDescent="0.25">
      <c r="D150" s="105"/>
      <c r="G150" s="104"/>
      <c r="H150" s="104"/>
    </row>
    <row r="151" spans="4:8" x14ac:dyDescent="0.25">
      <c r="D151" s="105"/>
      <c r="G151" s="104"/>
      <c r="H151" s="104"/>
    </row>
    <row r="152" spans="4:8" x14ac:dyDescent="0.25">
      <c r="D152" s="105"/>
      <c r="G152" s="104"/>
      <c r="H152" s="104"/>
    </row>
    <row r="153" spans="4:8" x14ac:dyDescent="0.25">
      <c r="D153" s="105"/>
      <c r="G153" s="104"/>
      <c r="H153" s="104"/>
    </row>
    <row r="154" spans="4:8" x14ac:dyDescent="0.25">
      <c r="D154" s="105"/>
      <c r="G154" s="104"/>
      <c r="H154" s="104"/>
    </row>
    <row r="155" spans="4:8" x14ac:dyDescent="0.25">
      <c r="D155" s="105"/>
      <c r="G155" s="104"/>
      <c r="H155" s="104"/>
    </row>
    <row r="156" spans="4:8" x14ac:dyDescent="0.25">
      <c r="D156" s="105"/>
      <c r="G156" s="104"/>
      <c r="H156" s="104"/>
    </row>
    <row r="157" spans="4:8" x14ac:dyDescent="0.25">
      <c r="D157" s="105"/>
      <c r="G157" s="104"/>
      <c r="H157" s="104"/>
    </row>
    <row r="158" spans="4:8" x14ac:dyDescent="0.25">
      <c r="D158" s="105"/>
      <c r="G158" s="104"/>
      <c r="H158" s="104"/>
    </row>
    <row r="159" spans="4:8" x14ac:dyDescent="0.25">
      <c r="D159" s="105"/>
      <c r="G159" s="104"/>
      <c r="H159" s="104"/>
    </row>
    <row r="160" spans="4:8" x14ac:dyDescent="0.25">
      <c r="D160" s="105"/>
      <c r="G160" s="104"/>
      <c r="H160" s="104"/>
    </row>
    <row r="161" spans="4:8" x14ac:dyDescent="0.25">
      <c r="D161" s="105"/>
      <c r="G161" s="104"/>
      <c r="H161" s="104"/>
    </row>
    <row r="162" spans="4:8" x14ac:dyDescent="0.25">
      <c r="D162" s="105"/>
      <c r="G162" s="104"/>
      <c r="H162" s="104"/>
    </row>
    <row r="163" spans="4:8" x14ac:dyDescent="0.25">
      <c r="D163" s="105"/>
      <c r="G163" s="104"/>
      <c r="H163" s="104"/>
    </row>
    <row r="164" spans="4:8" x14ac:dyDescent="0.25">
      <c r="D164" s="105"/>
      <c r="G164" s="104"/>
      <c r="H164" s="104"/>
    </row>
    <row r="165" spans="4:8" x14ac:dyDescent="0.25">
      <c r="D165" s="105"/>
      <c r="G165" s="104"/>
      <c r="H165" s="104"/>
    </row>
    <row r="166" spans="4:8" x14ac:dyDescent="0.25">
      <c r="D166" s="105"/>
      <c r="G166" s="104"/>
      <c r="H166" s="104"/>
    </row>
    <row r="167" spans="4:8" x14ac:dyDescent="0.25">
      <c r="D167" s="105"/>
      <c r="G167" s="104"/>
      <c r="H167" s="104"/>
    </row>
    <row r="168" spans="4:8" x14ac:dyDescent="0.25">
      <c r="D168" s="105"/>
      <c r="G168" s="104"/>
      <c r="H168" s="104"/>
    </row>
    <row r="169" spans="4:8" x14ac:dyDescent="0.25">
      <c r="D169" s="105"/>
      <c r="G169" s="104"/>
      <c r="H169" s="104"/>
    </row>
    <row r="170" spans="4:8" x14ac:dyDescent="0.25">
      <c r="D170" s="105"/>
      <c r="G170" s="104"/>
      <c r="H170" s="104"/>
    </row>
    <row r="171" spans="4:8" x14ac:dyDescent="0.25">
      <c r="D171" s="105"/>
      <c r="G171" s="104"/>
      <c r="H171" s="104"/>
    </row>
    <row r="172" spans="4:8" x14ac:dyDescent="0.25">
      <c r="D172" s="105"/>
      <c r="G172" s="104"/>
      <c r="H172" s="104"/>
    </row>
    <row r="173" spans="4:8" x14ac:dyDescent="0.25">
      <c r="D173" s="105"/>
      <c r="G173" s="104"/>
      <c r="H173" s="104"/>
    </row>
    <row r="174" spans="4:8" x14ac:dyDescent="0.25">
      <c r="D174" s="105"/>
      <c r="G174" s="104"/>
      <c r="H174" s="104"/>
    </row>
    <row r="175" spans="4:8" x14ac:dyDescent="0.25">
      <c r="D175" s="105"/>
      <c r="G175" s="104"/>
      <c r="H175" s="104"/>
    </row>
    <row r="176" spans="4:8" x14ac:dyDescent="0.25">
      <c r="D176" s="105"/>
      <c r="G176" s="104"/>
      <c r="H176" s="104"/>
    </row>
    <row r="177" spans="4:8" x14ac:dyDescent="0.25">
      <c r="D177" s="105"/>
      <c r="G177" s="104"/>
      <c r="H177" s="104"/>
    </row>
    <row r="178" spans="4:8" x14ac:dyDescent="0.25">
      <c r="D178" s="105"/>
      <c r="G178" s="104"/>
      <c r="H178" s="104"/>
    </row>
    <row r="179" spans="4:8" x14ac:dyDescent="0.25">
      <c r="D179" s="105"/>
      <c r="G179" s="104"/>
      <c r="H179" s="104"/>
    </row>
    <row r="180" spans="4:8" x14ac:dyDescent="0.25">
      <c r="D180" s="105"/>
      <c r="G180" s="104"/>
      <c r="H180" s="104"/>
    </row>
    <row r="181" spans="4:8" x14ac:dyDescent="0.25">
      <c r="D181" s="105"/>
      <c r="G181" s="104"/>
      <c r="H181" s="104"/>
    </row>
    <row r="182" spans="4:8" x14ac:dyDescent="0.25">
      <c r="D182" s="105"/>
      <c r="G182" s="104"/>
      <c r="H182" s="104"/>
    </row>
    <row r="183" spans="4:8" x14ac:dyDescent="0.25">
      <c r="D183" s="105"/>
      <c r="G183" s="104"/>
      <c r="H183" s="104"/>
    </row>
    <row r="184" spans="4:8" x14ac:dyDescent="0.25">
      <c r="D184" s="105"/>
      <c r="G184" s="104"/>
      <c r="H184" s="104"/>
    </row>
    <row r="185" spans="4:8" x14ac:dyDescent="0.25">
      <c r="D185" s="105"/>
      <c r="G185" s="104"/>
      <c r="H185" s="104"/>
    </row>
    <row r="186" spans="4:8" x14ac:dyDescent="0.25">
      <c r="D186" s="105"/>
      <c r="G186" s="104"/>
      <c r="H186" s="104"/>
    </row>
    <row r="187" spans="4:8" x14ac:dyDescent="0.25">
      <c r="D187" s="105"/>
      <c r="G187" s="104"/>
      <c r="H187" s="104"/>
    </row>
    <row r="188" spans="4:8" x14ac:dyDescent="0.25">
      <c r="D188" s="105"/>
      <c r="G188" s="104"/>
      <c r="H188" s="104"/>
    </row>
    <row r="189" spans="4:8" x14ac:dyDescent="0.25">
      <c r="D189" s="105"/>
      <c r="G189" s="104"/>
      <c r="H189" s="104"/>
    </row>
    <row r="190" spans="4:8" x14ac:dyDescent="0.25">
      <c r="D190" s="105"/>
      <c r="G190" s="104"/>
      <c r="H190" s="104"/>
    </row>
    <row r="191" spans="4:8" x14ac:dyDescent="0.25">
      <c r="D191" s="105"/>
      <c r="G191" s="104"/>
      <c r="H191" s="104"/>
    </row>
    <row r="192" spans="4:8" x14ac:dyDescent="0.25">
      <c r="D192" s="105"/>
      <c r="G192" s="104"/>
      <c r="H192" s="104"/>
    </row>
    <row r="193" spans="4:8" x14ac:dyDescent="0.25">
      <c r="D193" s="105"/>
      <c r="G193" s="104"/>
      <c r="H193" s="104"/>
    </row>
    <row r="194" spans="4:8" x14ac:dyDescent="0.25">
      <c r="D194" s="105"/>
      <c r="G194" s="104"/>
      <c r="H194" s="104"/>
    </row>
    <row r="195" spans="4:8" x14ac:dyDescent="0.25">
      <c r="D195" s="105"/>
      <c r="G195" s="104"/>
      <c r="H195" s="104"/>
    </row>
    <row r="196" spans="4:8" x14ac:dyDescent="0.25">
      <c r="D196" s="105"/>
      <c r="G196" s="104"/>
      <c r="H196" s="104"/>
    </row>
    <row r="197" spans="4:8" x14ac:dyDescent="0.25">
      <c r="D197" s="105"/>
      <c r="G197" s="104"/>
      <c r="H197" s="104"/>
    </row>
    <row r="198" spans="4:8" x14ac:dyDescent="0.25">
      <c r="D198" s="105"/>
      <c r="G198" s="104"/>
      <c r="H198" s="104"/>
    </row>
    <row r="199" spans="4:8" x14ac:dyDescent="0.25">
      <c r="D199" s="105"/>
      <c r="G199" s="104"/>
      <c r="H199" s="104"/>
    </row>
    <row r="200" spans="4:8" x14ac:dyDescent="0.25">
      <c r="D200" s="105"/>
      <c r="G200" s="104"/>
      <c r="H200" s="104"/>
    </row>
    <row r="201" spans="4:8" x14ac:dyDescent="0.25">
      <c r="D201" s="105"/>
      <c r="G201" s="104"/>
      <c r="H201" s="104"/>
    </row>
    <row r="202" spans="4:8" x14ac:dyDescent="0.25">
      <c r="D202" s="105"/>
      <c r="G202" s="104"/>
      <c r="H202" s="104"/>
    </row>
    <row r="203" spans="4:8" x14ac:dyDescent="0.25">
      <c r="D203" s="105"/>
      <c r="G203" s="104"/>
      <c r="H203" s="104"/>
    </row>
    <row r="204" spans="4:8" x14ac:dyDescent="0.25">
      <c r="D204" s="105"/>
      <c r="G204" s="104"/>
      <c r="H204" s="104"/>
    </row>
    <row r="205" spans="4:8" x14ac:dyDescent="0.25">
      <c r="D205" s="105"/>
      <c r="G205" s="104"/>
      <c r="H205" s="104"/>
    </row>
    <row r="206" spans="4:8" x14ac:dyDescent="0.25">
      <c r="D206" s="105"/>
      <c r="G206" s="104"/>
      <c r="H206" s="104"/>
    </row>
    <row r="207" spans="4:8" x14ac:dyDescent="0.25">
      <c r="D207" s="105"/>
      <c r="G207" s="104"/>
      <c r="H207" s="104"/>
    </row>
    <row r="208" spans="4:8" x14ac:dyDescent="0.25">
      <c r="D208" s="105"/>
      <c r="G208" s="104"/>
      <c r="H208" s="104"/>
    </row>
    <row r="209" spans="4:8" x14ac:dyDescent="0.25">
      <c r="D209" s="105"/>
      <c r="G209" s="104"/>
      <c r="H209" s="104"/>
    </row>
    <row r="210" spans="4:8" x14ac:dyDescent="0.25">
      <c r="D210" s="105"/>
      <c r="G210" s="104"/>
      <c r="H210" s="104"/>
    </row>
    <row r="211" spans="4:8" x14ac:dyDescent="0.25">
      <c r="D211" s="105"/>
      <c r="G211" s="104"/>
      <c r="H211" s="104"/>
    </row>
    <row r="212" spans="4:8" x14ac:dyDescent="0.25">
      <c r="D212" s="105"/>
      <c r="G212" s="104"/>
      <c r="H212" s="104"/>
    </row>
    <row r="213" spans="4:8" x14ac:dyDescent="0.25">
      <c r="D213" s="105"/>
      <c r="G213" s="104"/>
      <c r="H213" s="104"/>
    </row>
    <row r="214" spans="4:8" x14ac:dyDescent="0.25">
      <c r="D214" s="105"/>
      <c r="G214" s="104"/>
      <c r="H214" s="104"/>
    </row>
    <row r="215" spans="4:8" x14ac:dyDescent="0.25">
      <c r="D215" s="105"/>
      <c r="G215" s="104"/>
      <c r="H215" s="104"/>
    </row>
    <row r="216" spans="4:8" x14ac:dyDescent="0.25">
      <c r="D216" s="105"/>
      <c r="G216" s="104"/>
      <c r="H216" s="104"/>
    </row>
    <row r="217" spans="4:8" x14ac:dyDescent="0.25">
      <c r="D217" s="105"/>
      <c r="G217" s="104"/>
      <c r="H217" s="104"/>
    </row>
    <row r="218" spans="4:8" x14ac:dyDescent="0.25">
      <c r="D218" s="105"/>
      <c r="G218" s="104"/>
      <c r="H218" s="104"/>
    </row>
    <row r="219" spans="4:8" x14ac:dyDescent="0.25">
      <c r="D219" s="105"/>
      <c r="G219" s="104"/>
      <c r="H219" s="104"/>
    </row>
    <row r="220" spans="4:8" x14ac:dyDescent="0.25">
      <c r="D220" s="105"/>
      <c r="G220" s="104"/>
      <c r="H220" s="104"/>
    </row>
    <row r="221" spans="4:8" x14ac:dyDescent="0.25">
      <c r="D221" s="105"/>
      <c r="G221" s="104"/>
      <c r="H221" s="104"/>
    </row>
    <row r="222" spans="4:8" x14ac:dyDescent="0.25">
      <c r="D222" s="105"/>
      <c r="G222" s="104"/>
      <c r="H222" s="104"/>
    </row>
    <row r="223" spans="4:8" x14ac:dyDescent="0.25">
      <c r="D223" s="105"/>
      <c r="G223" s="104"/>
      <c r="H223" s="104"/>
    </row>
    <row r="224" spans="4:8" x14ac:dyDescent="0.25">
      <c r="D224" s="105"/>
      <c r="G224" s="104"/>
      <c r="H224" s="104"/>
    </row>
    <row r="225" spans="4:8" x14ac:dyDescent="0.25">
      <c r="D225" s="105"/>
      <c r="G225" s="104"/>
      <c r="H225" s="104"/>
    </row>
    <row r="226" spans="4:8" x14ac:dyDescent="0.25">
      <c r="D226" s="105"/>
      <c r="G226" s="104"/>
      <c r="H226" s="104"/>
    </row>
    <row r="227" spans="4:8" x14ac:dyDescent="0.25">
      <c r="D227" s="105"/>
      <c r="G227" s="104"/>
      <c r="H227" s="104"/>
    </row>
    <row r="228" spans="4:8" x14ac:dyDescent="0.25">
      <c r="D228" s="105"/>
      <c r="G228" s="104"/>
      <c r="H228" s="104"/>
    </row>
    <row r="229" spans="4:8" x14ac:dyDescent="0.25">
      <c r="D229" s="105"/>
      <c r="G229" s="104"/>
      <c r="H229" s="104"/>
    </row>
    <row r="230" spans="4:8" x14ac:dyDescent="0.25">
      <c r="D230" s="105"/>
      <c r="G230" s="104"/>
      <c r="H230" s="104"/>
    </row>
    <row r="231" spans="4:8" x14ac:dyDescent="0.25">
      <c r="D231" s="105"/>
      <c r="G231" s="104"/>
      <c r="H231" s="104"/>
    </row>
    <row r="232" spans="4:8" x14ac:dyDescent="0.25">
      <c r="D232" s="105"/>
      <c r="G232" s="104"/>
      <c r="H232" s="104"/>
    </row>
    <row r="233" spans="4:8" x14ac:dyDescent="0.25">
      <c r="D233" s="105"/>
      <c r="G233" s="104"/>
      <c r="H233" s="104"/>
    </row>
    <row r="234" spans="4:8" x14ac:dyDescent="0.25">
      <c r="D234" s="105"/>
      <c r="G234" s="104"/>
      <c r="H234" s="104"/>
    </row>
    <row r="235" spans="4:8" x14ac:dyDescent="0.25">
      <c r="D235" s="105"/>
      <c r="G235" s="104"/>
      <c r="H235" s="104"/>
    </row>
    <row r="236" spans="4:8" x14ac:dyDescent="0.25">
      <c r="D236" s="105"/>
      <c r="G236" s="104"/>
      <c r="H236" s="104"/>
    </row>
    <row r="237" spans="4:8" x14ac:dyDescent="0.25">
      <c r="D237" s="105"/>
      <c r="G237" s="104"/>
      <c r="H237" s="104"/>
    </row>
    <row r="238" spans="4:8" x14ac:dyDescent="0.25">
      <c r="D238" s="105"/>
      <c r="G238" s="104"/>
      <c r="H238" s="104"/>
    </row>
    <row r="239" spans="4:8" x14ac:dyDescent="0.25">
      <c r="D239" s="105"/>
      <c r="G239" s="104"/>
      <c r="H239" s="104"/>
    </row>
    <row r="240" spans="4:8" x14ac:dyDescent="0.25">
      <c r="D240" s="105"/>
      <c r="G240" s="104"/>
      <c r="H240" s="104"/>
    </row>
    <row r="241" spans="4:8" x14ac:dyDescent="0.25">
      <c r="D241" s="105"/>
      <c r="G241" s="104"/>
      <c r="H241" s="104"/>
    </row>
    <row r="242" spans="4:8" x14ac:dyDescent="0.25">
      <c r="D242" s="105"/>
      <c r="G242" s="104"/>
      <c r="H242" s="104"/>
    </row>
    <row r="243" spans="4:8" x14ac:dyDescent="0.25">
      <c r="D243" s="105"/>
      <c r="G243" s="104"/>
      <c r="H243" s="104"/>
    </row>
    <row r="244" spans="4:8" x14ac:dyDescent="0.25">
      <c r="D244" s="105"/>
      <c r="G244" s="104"/>
      <c r="H244" s="104"/>
    </row>
    <row r="245" spans="4:8" x14ac:dyDescent="0.25">
      <c r="D245" s="105"/>
      <c r="G245" s="104"/>
      <c r="H245" s="104"/>
    </row>
    <row r="246" spans="4:8" x14ac:dyDescent="0.25">
      <c r="D246" s="105"/>
      <c r="G246" s="104"/>
      <c r="H246" s="104"/>
    </row>
    <row r="247" spans="4:8" x14ac:dyDescent="0.25">
      <c r="D247" s="105"/>
      <c r="G247" s="104"/>
      <c r="H247" s="104"/>
    </row>
    <row r="248" spans="4:8" x14ac:dyDescent="0.25">
      <c r="D248" s="105"/>
      <c r="G248" s="104"/>
      <c r="H248" s="104"/>
    </row>
    <row r="249" spans="4:8" x14ac:dyDescent="0.25">
      <c r="D249" s="105"/>
      <c r="G249" s="104"/>
      <c r="H249" s="104"/>
    </row>
    <row r="250" spans="4:8" x14ac:dyDescent="0.25">
      <c r="D250" s="105"/>
      <c r="G250" s="104"/>
      <c r="H250" s="104"/>
    </row>
    <row r="251" spans="4:8" x14ac:dyDescent="0.25">
      <c r="D251" s="105"/>
      <c r="G251" s="104"/>
      <c r="H251" s="104"/>
    </row>
    <row r="252" spans="4:8" x14ac:dyDescent="0.25">
      <c r="D252" s="105"/>
      <c r="G252" s="104"/>
      <c r="H252" s="104"/>
    </row>
    <row r="253" spans="4:8" x14ac:dyDescent="0.25">
      <c r="D253" s="105"/>
      <c r="G253" s="104"/>
      <c r="H253" s="104"/>
    </row>
    <row r="254" spans="4:8" x14ac:dyDescent="0.25">
      <c r="D254" s="105"/>
      <c r="G254" s="104"/>
      <c r="H254" s="104"/>
    </row>
    <row r="255" spans="4:8" x14ac:dyDescent="0.25">
      <c r="D255" s="105"/>
      <c r="G255" s="104"/>
      <c r="H255" s="104"/>
    </row>
    <row r="256" spans="4:8" x14ac:dyDescent="0.25">
      <c r="D256" s="105"/>
      <c r="G256" s="104"/>
      <c r="H256" s="104"/>
    </row>
    <row r="257" spans="4:8" x14ac:dyDescent="0.25">
      <c r="D257" s="105"/>
      <c r="G257" s="104"/>
      <c r="H257" s="104"/>
    </row>
    <row r="258" spans="4:8" x14ac:dyDescent="0.25">
      <c r="D258" s="105"/>
      <c r="G258" s="104"/>
      <c r="H258" s="104"/>
    </row>
    <row r="259" spans="4:8" x14ac:dyDescent="0.25">
      <c r="D259" s="105"/>
      <c r="G259" s="104"/>
      <c r="H259" s="104"/>
    </row>
    <row r="260" spans="4:8" x14ac:dyDescent="0.25">
      <c r="D260" s="105"/>
      <c r="G260" s="104"/>
      <c r="H260" s="104"/>
    </row>
    <row r="261" spans="4:8" x14ac:dyDescent="0.25">
      <c r="D261" s="105"/>
      <c r="G261" s="104"/>
      <c r="H261" s="104"/>
    </row>
    <row r="262" spans="4:8" x14ac:dyDescent="0.25">
      <c r="D262" s="105"/>
      <c r="G262" s="104"/>
      <c r="H262" s="104"/>
    </row>
    <row r="263" spans="4:8" x14ac:dyDescent="0.25">
      <c r="D263" s="105"/>
      <c r="G263" s="104"/>
      <c r="H263" s="104"/>
    </row>
    <row r="264" spans="4:8" x14ac:dyDescent="0.25">
      <c r="D264" s="105"/>
      <c r="G264" s="104"/>
      <c r="H264" s="104"/>
    </row>
    <row r="265" spans="4:8" x14ac:dyDescent="0.25">
      <c r="D265" s="105"/>
      <c r="G265" s="104"/>
      <c r="H265" s="104"/>
    </row>
    <row r="266" spans="4:8" x14ac:dyDescent="0.25">
      <c r="D266" s="105"/>
      <c r="G266" s="104"/>
      <c r="H266" s="104"/>
    </row>
    <row r="267" spans="4:8" x14ac:dyDescent="0.25">
      <c r="D267" s="105"/>
      <c r="G267" s="104"/>
      <c r="H267" s="104"/>
    </row>
    <row r="268" spans="4:8" x14ac:dyDescent="0.25">
      <c r="D268" s="105"/>
      <c r="G268" s="104"/>
      <c r="H268" s="104"/>
    </row>
    <row r="269" spans="4:8" x14ac:dyDescent="0.25">
      <c r="D269" s="105"/>
      <c r="G269" s="104"/>
      <c r="H269" s="104"/>
    </row>
    <row r="270" spans="4:8" x14ac:dyDescent="0.25">
      <c r="D270" s="105"/>
      <c r="G270" s="104"/>
      <c r="H270" s="104"/>
    </row>
    <row r="271" spans="4:8" x14ac:dyDescent="0.25">
      <c r="D271" s="105"/>
      <c r="G271" s="104"/>
      <c r="H271" s="104"/>
    </row>
    <row r="272" spans="4:8" x14ac:dyDescent="0.25">
      <c r="D272" s="105"/>
      <c r="G272" s="104"/>
      <c r="H272" s="104"/>
    </row>
    <row r="273" spans="4:8" x14ac:dyDescent="0.25">
      <c r="D273" s="105"/>
      <c r="G273" s="104"/>
      <c r="H273" s="104"/>
    </row>
    <row r="274" spans="4:8" x14ac:dyDescent="0.25">
      <c r="D274" s="105"/>
      <c r="G274" s="104"/>
      <c r="H274" s="104"/>
    </row>
    <row r="275" spans="4:8" x14ac:dyDescent="0.25">
      <c r="D275" s="105"/>
      <c r="G275" s="104"/>
      <c r="H275" s="104"/>
    </row>
    <row r="276" spans="4:8" x14ac:dyDescent="0.25">
      <c r="D276" s="105"/>
      <c r="G276" s="104"/>
      <c r="H276" s="104"/>
    </row>
    <row r="277" spans="4:8" x14ac:dyDescent="0.25">
      <c r="D277" s="105"/>
      <c r="G277" s="104"/>
      <c r="H277" s="104"/>
    </row>
    <row r="278" spans="4:8" x14ac:dyDescent="0.25">
      <c r="D278" s="105"/>
      <c r="G278" s="104"/>
      <c r="H278" s="104"/>
    </row>
    <row r="279" spans="4:8" x14ac:dyDescent="0.25">
      <c r="D279" s="105"/>
      <c r="G279" s="104"/>
      <c r="H279" s="104"/>
    </row>
    <row r="280" spans="4:8" x14ac:dyDescent="0.25">
      <c r="D280" s="105"/>
      <c r="G280" s="104"/>
      <c r="H280" s="104"/>
    </row>
    <row r="281" spans="4:8" x14ac:dyDescent="0.25">
      <c r="D281" s="105"/>
      <c r="G281" s="104"/>
      <c r="H281" s="104"/>
    </row>
    <row r="282" spans="4:8" x14ac:dyDescent="0.25">
      <c r="D282" s="105"/>
      <c r="G282" s="104"/>
      <c r="H282" s="104"/>
    </row>
    <row r="283" spans="4:8" x14ac:dyDescent="0.25">
      <c r="D283" s="105"/>
      <c r="G283" s="104"/>
      <c r="H283" s="104"/>
    </row>
    <row r="284" spans="4:8" x14ac:dyDescent="0.25">
      <c r="D284" s="105"/>
      <c r="G284" s="104"/>
      <c r="H284" s="104"/>
    </row>
    <row r="285" spans="4:8" x14ac:dyDescent="0.25">
      <c r="D285" s="105"/>
      <c r="G285" s="104"/>
      <c r="H285" s="104"/>
    </row>
    <row r="286" spans="4:8" x14ac:dyDescent="0.25">
      <c r="D286" s="105"/>
      <c r="G286" s="104"/>
      <c r="H286" s="104"/>
    </row>
    <row r="287" spans="4:8" x14ac:dyDescent="0.25">
      <c r="D287" s="105"/>
      <c r="G287" s="104"/>
      <c r="H287" s="104"/>
    </row>
    <row r="288" spans="4:8" x14ac:dyDescent="0.25">
      <c r="D288" s="105"/>
      <c r="G288" s="104"/>
      <c r="H288" s="104"/>
    </row>
    <row r="289" spans="4:8" x14ac:dyDescent="0.25">
      <c r="D289" s="105"/>
      <c r="G289" s="104"/>
      <c r="H289" s="104"/>
    </row>
    <row r="290" spans="4:8" x14ac:dyDescent="0.25">
      <c r="D290" s="105"/>
      <c r="G290" s="104"/>
      <c r="H290" s="104"/>
    </row>
    <row r="291" spans="4:8" x14ac:dyDescent="0.25">
      <c r="D291" s="105"/>
      <c r="G291" s="104"/>
      <c r="H291" s="104"/>
    </row>
    <row r="292" spans="4:8" x14ac:dyDescent="0.25">
      <c r="D292" s="105"/>
      <c r="G292" s="104"/>
      <c r="H292" s="104"/>
    </row>
    <row r="293" spans="4:8" x14ac:dyDescent="0.25">
      <c r="D293" s="105"/>
      <c r="G293" s="104"/>
      <c r="H293" s="104"/>
    </row>
    <row r="294" spans="4:8" x14ac:dyDescent="0.25">
      <c r="D294" s="105"/>
      <c r="G294" s="104"/>
      <c r="H294" s="104"/>
    </row>
    <row r="295" spans="4:8" x14ac:dyDescent="0.25">
      <c r="D295" s="105"/>
      <c r="G295" s="104"/>
      <c r="H295" s="104"/>
    </row>
    <row r="296" spans="4:8" x14ac:dyDescent="0.25">
      <c r="D296" s="105"/>
      <c r="G296" s="104"/>
      <c r="H296" s="104"/>
    </row>
    <row r="297" spans="4:8" x14ac:dyDescent="0.25">
      <c r="D297" s="105"/>
      <c r="G297" s="104"/>
      <c r="H297" s="104"/>
    </row>
    <row r="298" spans="4:8" x14ac:dyDescent="0.25">
      <c r="D298" s="105"/>
      <c r="G298" s="104"/>
      <c r="H298" s="104"/>
    </row>
    <row r="299" spans="4:8" x14ac:dyDescent="0.25">
      <c r="D299" s="105"/>
      <c r="G299" s="104"/>
      <c r="H299" s="104"/>
    </row>
    <row r="300" spans="4:8" x14ac:dyDescent="0.25">
      <c r="D300" s="105"/>
      <c r="G300" s="104"/>
      <c r="H300" s="104"/>
    </row>
    <row r="301" spans="4:8" x14ac:dyDescent="0.25">
      <c r="D301" s="105"/>
      <c r="G301" s="104"/>
      <c r="H301" s="104"/>
    </row>
    <row r="302" spans="4:8" x14ac:dyDescent="0.25">
      <c r="D302" s="105"/>
      <c r="G302" s="104"/>
      <c r="H302" s="104"/>
    </row>
    <row r="303" spans="4:8" x14ac:dyDescent="0.25">
      <c r="D303" s="105"/>
      <c r="G303" s="104"/>
      <c r="H303" s="104"/>
    </row>
    <row r="304" spans="4:8" x14ac:dyDescent="0.25">
      <c r="D304" s="105"/>
      <c r="G304" s="104"/>
      <c r="H304" s="104"/>
    </row>
    <row r="305" spans="4:8" x14ac:dyDescent="0.25">
      <c r="D305" s="105"/>
      <c r="G305" s="104"/>
      <c r="H305" s="104"/>
    </row>
    <row r="306" spans="4:8" x14ac:dyDescent="0.25">
      <c r="D306" s="105"/>
      <c r="G306" s="104"/>
      <c r="H306" s="104"/>
    </row>
    <row r="307" spans="4:8" x14ac:dyDescent="0.25">
      <c r="D307" s="105"/>
      <c r="G307" s="104"/>
      <c r="H307" s="104"/>
    </row>
    <row r="308" spans="4:8" x14ac:dyDescent="0.25">
      <c r="D308" s="105"/>
      <c r="G308" s="104"/>
      <c r="H308" s="104"/>
    </row>
    <row r="309" spans="4:8" x14ac:dyDescent="0.25">
      <c r="D309" s="105"/>
      <c r="G309" s="104"/>
      <c r="H309" s="104"/>
    </row>
    <row r="310" spans="4:8" x14ac:dyDescent="0.25">
      <c r="D310" s="105"/>
      <c r="G310" s="104"/>
      <c r="H310" s="104"/>
    </row>
    <row r="311" spans="4:8" x14ac:dyDescent="0.25">
      <c r="D311" s="105"/>
      <c r="G311" s="104"/>
      <c r="H311" s="104"/>
    </row>
    <row r="312" spans="4:8" x14ac:dyDescent="0.25">
      <c r="D312" s="105"/>
      <c r="G312" s="104"/>
      <c r="H312" s="104"/>
    </row>
    <row r="313" spans="4:8" x14ac:dyDescent="0.25">
      <c r="D313" s="105"/>
      <c r="G313" s="104"/>
      <c r="H313" s="104"/>
    </row>
    <row r="314" spans="4:8" x14ac:dyDescent="0.25">
      <c r="D314" s="105"/>
      <c r="G314" s="104"/>
      <c r="H314" s="104"/>
    </row>
    <row r="315" spans="4:8" x14ac:dyDescent="0.25">
      <c r="D315" s="105"/>
      <c r="G315" s="104"/>
      <c r="H315" s="104"/>
    </row>
    <row r="316" spans="4:8" x14ac:dyDescent="0.25">
      <c r="D316" s="105"/>
      <c r="G316" s="104"/>
      <c r="H316" s="104"/>
    </row>
    <row r="317" spans="4:8" x14ac:dyDescent="0.25">
      <c r="D317" s="105"/>
      <c r="G317" s="104"/>
      <c r="H317" s="104"/>
    </row>
    <row r="318" spans="4:8" x14ac:dyDescent="0.25">
      <c r="D318" s="105"/>
      <c r="G318" s="104"/>
      <c r="H318" s="104"/>
    </row>
    <row r="319" spans="4:8" x14ac:dyDescent="0.25">
      <c r="D319" s="105"/>
      <c r="G319" s="104"/>
      <c r="H319" s="104"/>
    </row>
    <row r="320" spans="4:8" x14ac:dyDescent="0.25">
      <c r="D320" s="105"/>
      <c r="G320" s="104"/>
      <c r="H320" s="104"/>
    </row>
    <row r="321" spans="4:8" x14ac:dyDescent="0.25">
      <c r="D321" s="105"/>
      <c r="G321" s="104"/>
      <c r="H321" s="104"/>
    </row>
    <row r="322" spans="4:8" x14ac:dyDescent="0.25">
      <c r="D322" s="105"/>
      <c r="G322" s="104"/>
      <c r="H322" s="104"/>
    </row>
    <row r="323" spans="4:8" x14ac:dyDescent="0.25">
      <c r="D323" s="105"/>
      <c r="G323" s="104"/>
      <c r="H323" s="104"/>
    </row>
    <row r="324" spans="4:8" x14ac:dyDescent="0.25">
      <c r="D324" s="105"/>
      <c r="G324" s="104"/>
      <c r="H324" s="104"/>
    </row>
    <row r="325" spans="4:8" x14ac:dyDescent="0.25">
      <c r="D325" s="105"/>
      <c r="G325" s="104"/>
      <c r="H325" s="104"/>
    </row>
    <row r="326" spans="4:8" x14ac:dyDescent="0.25">
      <c r="D326" s="105"/>
      <c r="G326" s="104"/>
      <c r="H326" s="104"/>
    </row>
    <row r="327" spans="4:8" x14ac:dyDescent="0.25">
      <c r="D327" s="105"/>
      <c r="G327" s="104"/>
      <c r="H327" s="104"/>
    </row>
    <row r="328" spans="4:8" x14ac:dyDescent="0.25">
      <c r="D328" s="105"/>
      <c r="G328" s="104"/>
      <c r="H328" s="104"/>
    </row>
    <row r="329" spans="4:8" x14ac:dyDescent="0.25">
      <c r="D329" s="105"/>
      <c r="G329" s="104"/>
      <c r="H329" s="104"/>
    </row>
    <row r="330" spans="4:8" x14ac:dyDescent="0.25">
      <c r="D330" s="105"/>
      <c r="G330" s="104"/>
      <c r="H330" s="104"/>
    </row>
    <row r="331" spans="4:8" x14ac:dyDescent="0.25">
      <c r="D331" s="105"/>
      <c r="G331" s="104"/>
      <c r="H331" s="104"/>
    </row>
    <row r="332" spans="4:8" x14ac:dyDescent="0.25">
      <c r="D332" s="105"/>
      <c r="G332" s="104"/>
      <c r="H332" s="104"/>
    </row>
    <row r="333" spans="4:8" x14ac:dyDescent="0.25">
      <c r="D333" s="105"/>
      <c r="G333" s="104"/>
      <c r="H333" s="104"/>
    </row>
    <row r="334" spans="4:8" x14ac:dyDescent="0.25">
      <c r="D334" s="105"/>
      <c r="G334" s="104"/>
      <c r="H334" s="104"/>
    </row>
    <row r="335" spans="4:8" x14ac:dyDescent="0.25">
      <c r="D335" s="105"/>
      <c r="G335" s="104"/>
      <c r="H335" s="104"/>
    </row>
    <row r="336" spans="4:8" x14ac:dyDescent="0.25">
      <c r="D336" s="105"/>
      <c r="G336" s="104"/>
      <c r="H336" s="104"/>
    </row>
    <row r="337" spans="4:8" x14ac:dyDescent="0.25">
      <c r="D337" s="105"/>
      <c r="G337" s="104"/>
      <c r="H337" s="104"/>
    </row>
    <row r="338" spans="4:8" x14ac:dyDescent="0.25">
      <c r="D338" s="105"/>
      <c r="G338" s="104"/>
      <c r="H338" s="104"/>
    </row>
    <row r="339" spans="4:8" x14ac:dyDescent="0.25">
      <c r="D339" s="105"/>
      <c r="G339" s="104"/>
      <c r="H339" s="104"/>
    </row>
    <row r="340" spans="4:8" x14ac:dyDescent="0.25">
      <c r="D340" s="105"/>
      <c r="G340" s="104"/>
      <c r="H340" s="104"/>
    </row>
    <row r="341" spans="4:8" x14ac:dyDescent="0.25">
      <c r="D341" s="105"/>
      <c r="G341" s="104"/>
      <c r="H341" s="104"/>
    </row>
    <row r="342" spans="4:8" x14ac:dyDescent="0.25">
      <c r="D342" s="105"/>
      <c r="G342" s="104"/>
      <c r="H342" s="104"/>
    </row>
    <row r="343" spans="4:8" x14ac:dyDescent="0.25">
      <c r="D343" s="105"/>
      <c r="G343" s="104"/>
      <c r="H343" s="104"/>
    </row>
    <row r="344" spans="4:8" x14ac:dyDescent="0.25">
      <c r="D344" s="105"/>
      <c r="G344" s="104"/>
      <c r="H344" s="104"/>
    </row>
    <row r="345" spans="4:8" x14ac:dyDescent="0.25">
      <c r="D345" s="105"/>
      <c r="G345" s="104"/>
      <c r="H345" s="104"/>
    </row>
    <row r="346" spans="4:8" x14ac:dyDescent="0.25">
      <c r="D346" s="105"/>
      <c r="G346" s="104"/>
      <c r="H346" s="104"/>
    </row>
    <row r="347" spans="4:8" x14ac:dyDescent="0.25">
      <c r="D347" s="105"/>
      <c r="G347" s="104"/>
      <c r="H347" s="104"/>
    </row>
    <row r="348" spans="4:8" x14ac:dyDescent="0.25">
      <c r="D348" s="105"/>
      <c r="G348" s="104"/>
      <c r="H348" s="104"/>
    </row>
    <row r="349" spans="4:8" x14ac:dyDescent="0.25">
      <c r="D349" s="105"/>
      <c r="G349" s="104"/>
      <c r="H349" s="104"/>
    </row>
    <row r="350" spans="4:8" x14ac:dyDescent="0.25">
      <c r="D350" s="105"/>
      <c r="G350" s="104"/>
      <c r="H350" s="104"/>
    </row>
    <row r="351" spans="4:8" x14ac:dyDescent="0.25">
      <c r="D351" s="105"/>
      <c r="G351" s="104"/>
      <c r="H351" s="104"/>
    </row>
    <row r="352" spans="4:8" x14ac:dyDescent="0.25">
      <c r="D352" s="105"/>
      <c r="G352" s="104"/>
      <c r="H352" s="104"/>
    </row>
    <row r="353" spans="4:8" x14ac:dyDescent="0.25">
      <c r="D353" s="105"/>
      <c r="G353" s="104"/>
      <c r="H353" s="104"/>
    </row>
    <row r="354" spans="4:8" x14ac:dyDescent="0.25">
      <c r="D354" s="105"/>
      <c r="G354" s="104"/>
      <c r="H354" s="104"/>
    </row>
    <row r="355" spans="4:8" x14ac:dyDescent="0.25">
      <c r="D355" s="105"/>
      <c r="G355" s="104"/>
      <c r="H355" s="104"/>
    </row>
    <row r="356" spans="4:8" x14ac:dyDescent="0.25">
      <c r="D356" s="105"/>
      <c r="G356" s="104"/>
      <c r="H356" s="104"/>
    </row>
    <row r="357" spans="4:8" x14ac:dyDescent="0.25">
      <c r="D357" s="105"/>
      <c r="G357" s="104"/>
      <c r="H357" s="104"/>
    </row>
    <row r="358" spans="4:8" x14ac:dyDescent="0.25">
      <c r="D358" s="105"/>
      <c r="G358" s="104"/>
      <c r="H358" s="104"/>
    </row>
    <row r="359" spans="4:8" x14ac:dyDescent="0.25">
      <c r="D359" s="105"/>
      <c r="G359" s="104"/>
      <c r="H359" s="104"/>
    </row>
    <row r="360" spans="4:8" x14ac:dyDescent="0.25">
      <c r="D360" s="105"/>
      <c r="G360" s="104"/>
      <c r="H360" s="104"/>
    </row>
    <row r="361" spans="4:8" x14ac:dyDescent="0.25">
      <c r="D361" s="105"/>
      <c r="G361" s="104"/>
      <c r="H361" s="104"/>
    </row>
    <row r="362" spans="4:8" x14ac:dyDescent="0.25">
      <c r="D362" s="105"/>
      <c r="G362" s="104"/>
      <c r="H362" s="104"/>
    </row>
    <row r="363" spans="4:8" x14ac:dyDescent="0.25">
      <c r="D363" s="105"/>
      <c r="G363" s="104"/>
      <c r="H363" s="104"/>
    </row>
    <row r="364" spans="4:8" x14ac:dyDescent="0.25">
      <c r="D364" s="105"/>
      <c r="G364" s="104"/>
      <c r="H364" s="104"/>
    </row>
    <row r="365" spans="4:8" x14ac:dyDescent="0.25">
      <c r="D365" s="105"/>
      <c r="G365" s="104"/>
      <c r="H365" s="104"/>
    </row>
    <row r="366" spans="4:8" x14ac:dyDescent="0.25">
      <c r="D366" s="105"/>
      <c r="G366" s="104"/>
      <c r="H366" s="104"/>
    </row>
    <row r="367" spans="4:8" x14ac:dyDescent="0.25">
      <c r="D367" s="105"/>
      <c r="G367" s="104"/>
      <c r="H367" s="104"/>
    </row>
    <row r="368" spans="4:8" x14ac:dyDescent="0.25">
      <c r="D368" s="105"/>
      <c r="G368" s="104"/>
      <c r="H368" s="104"/>
    </row>
    <row r="369" spans="4:8" x14ac:dyDescent="0.25">
      <c r="D369" s="105"/>
      <c r="G369" s="104"/>
      <c r="H369" s="104"/>
    </row>
    <row r="370" spans="4:8" x14ac:dyDescent="0.25">
      <c r="D370" s="105"/>
      <c r="G370" s="104"/>
      <c r="H370" s="104"/>
    </row>
    <row r="371" spans="4:8" x14ac:dyDescent="0.25">
      <c r="D371" s="105"/>
      <c r="G371" s="104"/>
      <c r="H371" s="104"/>
    </row>
    <row r="372" spans="4:8" x14ac:dyDescent="0.25">
      <c r="D372" s="105"/>
      <c r="G372" s="104"/>
      <c r="H372" s="104"/>
    </row>
    <row r="373" spans="4:8" x14ac:dyDescent="0.25">
      <c r="D373" s="105"/>
      <c r="G373" s="104"/>
      <c r="H373" s="104"/>
    </row>
    <row r="374" spans="4:8" x14ac:dyDescent="0.25">
      <c r="D374" s="105"/>
      <c r="G374" s="104"/>
      <c r="H374" s="104"/>
    </row>
    <row r="375" spans="4:8" x14ac:dyDescent="0.25">
      <c r="D375" s="105"/>
      <c r="G375" s="104"/>
      <c r="H375" s="104"/>
    </row>
    <row r="376" spans="4:8" x14ac:dyDescent="0.25">
      <c r="D376" s="105"/>
      <c r="G376" s="104"/>
      <c r="H376" s="104"/>
    </row>
    <row r="377" spans="4:8" x14ac:dyDescent="0.25">
      <c r="D377" s="105"/>
      <c r="G377" s="104"/>
      <c r="H377" s="104"/>
    </row>
    <row r="378" spans="4:8" x14ac:dyDescent="0.25">
      <c r="D378" s="105"/>
      <c r="G378" s="104"/>
      <c r="H378" s="104"/>
    </row>
    <row r="379" spans="4:8" x14ac:dyDescent="0.25">
      <c r="D379" s="105"/>
      <c r="G379" s="104"/>
      <c r="H379" s="104"/>
    </row>
    <row r="380" spans="4:8" x14ac:dyDescent="0.25">
      <c r="D380" s="105"/>
      <c r="G380" s="104"/>
      <c r="H380" s="104"/>
    </row>
    <row r="381" spans="4:8" x14ac:dyDescent="0.25">
      <c r="D381" s="105"/>
      <c r="G381" s="104"/>
      <c r="H381" s="104"/>
    </row>
    <row r="382" spans="4:8" x14ac:dyDescent="0.25">
      <c r="D382" s="105"/>
      <c r="G382" s="104"/>
      <c r="H382" s="104"/>
    </row>
    <row r="383" spans="4:8" x14ac:dyDescent="0.25">
      <c r="D383" s="105"/>
      <c r="G383" s="104"/>
      <c r="H383" s="104"/>
    </row>
    <row r="384" spans="4:8" x14ac:dyDescent="0.25">
      <c r="D384" s="105"/>
      <c r="G384" s="104"/>
      <c r="H384" s="104"/>
    </row>
    <row r="385" spans="4:8" x14ac:dyDescent="0.25">
      <c r="D385" s="105"/>
      <c r="G385" s="104"/>
      <c r="H385" s="104"/>
    </row>
    <row r="386" spans="4:8" x14ac:dyDescent="0.25">
      <c r="D386" s="105"/>
      <c r="G386" s="104"/>
      <c r="H386" s="104"/>
    </row>
    <row r="387" spans="4:8" x14ac:dyDescent="0.25">
      <c r="D387" s="105"/>
      <c r="G387" s="104"/>
      <c r="H387" s="104"/>
    </row>
    <row r="388" spans="4:8" x14ac:dyDescent="0.25">
      <c r="D388" s="105"/>
      <c r="G388" s="104"/>
      <c r="H388" s="104"/>
    </row>
    <row r="389" spans="4:8" x14ac:dyDescent="0.25">
      <c r="D389" s="105"/>
      <c r="G389" s="104"/>
      <c r="H389" s="104"/>
    </row>
    <row r="390" spans="4:8" x14ac:dyDescent="0.25">
      <c r="D390" s="105"/>
      <c r="G390" s="104"/>
      <c r="H390" s="104"/>
    </row>
    <row r="391" spans="4:8" x14ac:dyDescent="0.25">
      <c r="D391" s="105"/>
      <c r="G391" s="104"/>
      <c r="H391" s="104"/>
    </row>
    <row r="392" spans="4:8" x14ac:dyDescent="0.25">
      <c r="D392" s="105"/>
      <c r="G392" s="104"/>
      <c r="H392" s="104"/>
    </row>
    <row r="393" spans="4:8" x14ac:dyDescent="0.25">
      <c r="D393" s="105"/>
      <c r="G393" s="104"/>
      <c r="H393" s="104"/>
    </row>
    <row r="394" spans="4:8" x14ac:dyDescent="0.25">
      <c r="D394" s="105"/>
      <c r="G394" s="104"/>
      <c r="H394" s="104"/>
    </row>
    <row r="395" spans="4:8" x14ac:dyDescent="0.25">
      <c r="D395" s="105"/>
      <c r="G395" s="104"/>
      <c r="H395" s="104"/>
    </row>
    <row r="396" spans="4:8" x14ac:dyDescent="0.25">
      <c r="D396" s="105"/>
      <c r="G396" s="104"/>
      <c r="H396" s="104"/>
    </row>
    <row r="397" spans="4:8" x14ac:dyDescent="0.25">
      <c r="D397" s="105"/>
      <c r="G397" s="104"/>
      <c r="H397" s="104"/>
    </row>
    <row r="398" spans="4:8" x14ac:dyDescent="0.25">
      <c r="D398" s="105"/>
      <c r="G398" s="104"/>
      <c r="H398" s="104"/>
    </row>
    <row r="399" spans="4:8" x14ac:dyDescent="0.25">
      <c r="D399" s="105"/>
      <c r="G399" s="104"/>
      <c r="H399" s="104"/>
    </row>
    <row r="400" spans="4:8" x14ac:dyDescent="0.25">
      <c r="D400" s="105"/>
      <c r="G400" s="104"/>
      <c r="H400" s="104"/>
    </row>
    <row r="401" spans="4:8" x14ac:dyDescent="0.25">
      <c r="D401" s="105"/>
      <c r="G401" s="104"/>
      <c r="H401" s="104"/>
    </row>
    <row r="402" spans="4:8" x14ac:dyDescent="0.25">
      <c r="D402" s="105"/>
      <c r="G402" s="104"/>
      <c r="H402" s="104"/>
    </row>
    <row r="403" spans="4:8" x14ac:dyDescent="0.25">
      <c r="D403" s="105"/>
      <c r="G403" s="104"/>
      <c r="H403" s="104"/>
    </row>
    <row r="404" spans="4:8" x14ac:dyDescent="0.25">
      <c r="D404" s="105"/>
      <c r="G404" s="104"/>
      <c r="H404" s="104"/>
    </row>
    <row r="405" spans="4:8" x14ac:dyDescent="0.25">
      <c r="D405" s="105"/>
      <c r="G405" s="104"/>
      <c r="H405" s="104"/>
    </row>
    <row r="406" spans="4:8" x14ac:dyDescent="0.25">
      <c r="D406" s="105"/>
      <c r="G406" s="104"/>
      <c r="H406" s="104"/>
    </row>
    <row r="407" spans="4:8" x14ac:dyDescent="0.25">
      <c r="D407" s="105"/>
      <c r="G407" s="104"/>
      <c r="H407" s="104"/>
    </row>
    <row r="408" spans="4:8" x14ac:dyDescent="0.25">
      <c r="D408" s="105"/>
      <c r="G408" s="104"/>
      <c r="H408" s="104"/>
    </row>
    <row r="409" spans="4:8" x14ac:dyDescent="0.25">
      <c r="D409" s="105"/>
      <c r="G409" s="104"/>
      <c r="H409" s="104"/>
    </row>
    <row r="410" spans="4:8" x14ac:dyDescent="0.25">
      <c r="D410" s="105"/>
      <c r="G410" s="104"/>
      <c r="H410" s="104"/>
    </row>
    <row r="411" spans="4:8" x14ac:dyDescent="0.25">
      <c r="D411" s="105"/>
      <c r="G411" s="104"/>
      <c r="H411" s="104"/>
    </row>
    <row r="412" spans="4:8" x14ac:dyDescent="0.25">
      <c r="D412" s="105"/>
      <c r="G412" s="104"/>
      <c r="H412" s="104"/>
    </row>
    <row r="413" spans="4:8" x14ac:dyDescent="0.25">
      <c r="D413" s="105"/>
      <c r="G413" s="104"/>
      <c r="H413" s="104"/>
    </row>
    <row r="414" spans="4:8" x14ac:dyDescent="0.25">
      <c r="D414" s="105"/>
      <c r="G414" s="104"/>
      <c r="H414" s="104"/>
    </row>
    <row r="415" spans="4:8" x14ac:dyDescent="0.25">
      <c r="D415" s="105"/>
      <c r="G415" s="104"/>
      <c r="H415" s="104"/>
    </row>
    <row r="416" spans="4:8" x14ac:dyDescent="0.25">
      <c r="D416" s="105"/>
      <c r="G416" s="104"/>
      <c r="H416" s="104"/>
    </row>
    <row r="417" spans="4:8" x14ac:dyDescent="0.25">
      <c r="D417" s="105"/>
      <c r="G417" s="104"/>
      <c r="H417" s="104"/>
    </row>
    <row r="418" spans="4:8" x14ac:dyDescent="0.25">
      <c r="D418" s="105"/>
      <c r="G418" s="104"/>
      <c r="H418" s="104"/>
    </row>
    <row r="419" spans="4:8" x14ac:dyDescent="0.25">
      <c r="D419" s="105"/>
      <c r="G419" s="104"/>
      <c r="H419" s="104"/>
    </row>
    <row r="420" spans="4:8" x14ac:dyDescent="0.25">
      <c r="D420" s="105"/>
      <c r="G420" s="104"/>
      <c r="H420" s="104"/>
    </row>
    <row r="421" spans="4:8" x14ac:dyDescent="0.25">
      <c r="D421" s="105"/>
      <c r="G421" s="104"/>
      <c r="H421" s="104"/>
    </row>
    <row r="422" spans="4:8" x14ac:dyDescent="0.25">
      <c r="D422" s="105"/>
      <c r="G422" s="104"/>
      <c r="H422" s="104"/>
    </row>
    <row r="423" spans="4:8" x14ac:dyDescent="0.25">
      <c r="D423" s="105"/>
      <c r="G423" s="104"/>
      <c r="H423" s="104"/>
    </row>
    <row r="424" spans="4:8" x14ac:dyDescent="0.25">
      <c r="D424" s="105"/>
      <c r="G424" s="104"/>
      <c r="H424" s="104"/>
    </row>
    <row r="425" spans="4:8" x14ac:dyDescent="0.25">
      <c r="D425" s="105"/>
      <c r="G425" s="104"/>
      <c r="H425" s="104"/>
    </row>
    <row r="426" spans="4:8" x14ac:dyDescent="0.25">
      <c r="D426" s="105"/>
      <c r="G426" s="104"/>
      <c r="H426" s="104"/>
    </row>
    <row r="427" spans="4:8" x14ac:dyDescent="0.25">
      <c r="D427" s="105"/>
      <c r="G427" s="104"/>
      <c r="H427" s="104"/>
    </row>
    <row r="428" spans="4:8" x14ac:dyDescent="0.25">
      <c r="D428" s="105"/>
      <c r="G428" s="104"/>
      <c r="H428" s="104"/>
    </row>
    <row r="429" spans="4:8" x14ac:dyDescent="0.25">
      <c r="D429" s="105"/>
      <c r="G429" s="104"/>
      <c r="H429" s="104"/>
    </row>
    <row r="430" spans="4:8" x14ac:dyDescent="0.25">
      <c r="D430" s="105"/>
      <c r="G430" s="104"/>
      <c r="H430" s="104"/>
    </row>
    <row r="431" spans="4:8" x14ac:dyDescent="0.25">
      <c r="D431" s="105"/>
      <c r="G431" s="104"/>
      <c r="H431" s="104"/>
    </row>
    <row r="432" spans="4:8" x14ac:dyDescent="0.25">
      <c r="D432" s="105"/>
      <c r="G432" s="104"/>
      <c r="H432" s="104"/>
    </row>
    <row r="433" spans="4:8" x14ac:dyDescent="0.25">
      <c r="D433" s="105"/>
      <c r="G433" s="104"/>
      <c r="H433" s="104"/>
    </row>
    <row r="434" spans="4:8" x14ac:dyDescent="0.25">
      <c r="D434" s="105"/>
      <c r="G434" s="104"/>
      <c r="H434" s="104"/>
    </row>
    <row r="435" spans="4:8" x14ac:dyDescent="0.25">
      <c r="D435" s="105"/>
      <c r="G435" s="104"/>
      <c r="H435" s="104"/>
    </row>
    <row r="436" spans="4:8" x14ac:dyDescent="0.25">
      <c r="D436" s="105"/>
      <c r="G436" s="104"/>
      <c r="H436" s="104"/>
    </row>
    <row r="437" spans="4:8" x14ac:dyDescent="0.25">
      <c r="D437" s="105"/>
      <c r="G437" s="104"/>
      <c r="H437" s="104"/>
    </row>
    <row r="438" spans="4:8" x14ac:dyDescent="0.25">
      <c r="D438" s="105"/>
      <c r="G438" s="104"/>
      <c r="H438" s="104"/>
    </row>
    <row r="439" spans="4:8" x14ac:dyDescent="0.25">
      <c r="D439" s="105"/>
      <c r="G439" s="104"/>
      <c r="H439" s="104"/>
    </row>
    <row r="440" spans="4:8" x14ac:dyDescent="0.25">
      <c r="D440" s="105"/>
      <c r="G440" s="104"/>
      <c r="H440" s="104"/>
    </row>
    <row r="441" spans="4:8" x14ac:dyDescent="0.25">
      <c r="D441" s="105"/>
      <c r="G441" s="104"/>
      <c r="H441" s="104"/>
    </row>
    <row r="442" spans="4:8" x14ac:dyDescent="0.25">
      <c r="D442" s="105"/>
      <c r="G442" s="104"/>
      <c r="H442" s="104"/>
    </row>
    <row r="443" spans="4:8" x14ac:dyDescent="0.25">
      <c r="D443" s="105"/>
      <c r="G443" s="104"/>
      <c r="H443" s="104"/>
    </row>
    <row r="444" spans="4:8" x14ac:dyDescent="0.25">
      <c r="D444" s="105"/>
      <c r="G444" s="104"/>
      <c r="H444" s="104"/>
    </row>
    <row r="445" spans="4:8" x14ac:dyDescent="0.25">
      <c r="D445" s="105"/>
      <c r="G445" s="104"/>
      <c r="H445" s="104"/>
    </row>
    <row r="446" spans="4:8" x14ac:dyDescent="0.25">
      <c r="D446" s="105"/>
      <c r="G446" s="104"/>
      <c r="H446" s="104"/>
    </row>
    <row r="447" spans="4:8" x14ac:dyDescent="0.25">
      <c r="D447" s="105"/>
      <c r="G447" s="104"/>
      <c r="H447" s="104"/>
    </row>
    <row r="448" spans="4:8" x14ac:dyDescent="0.25">
      <c r="D448" s="105"/>
      <c r="G448" s="104"/>
      <c r="H448" s="104"/>
    </row>
    <row r="449" spans="4:8" x14ac:dyDescent="0.25">
      <c r="D449" s="105"/>
      <c r="G449" s="104"/>
      <c r="H449" s="104"/>
    </row>
    <row r="450" spans="4:8" x14ac:dyDescent="0.25">
      <c r="D450" s="105"/>
      <c r="G450" s="104"/>
      <c r="H450" s="104"/>
    </row>
    <row r="451" spans="4:8" x14ac:dyDescent="0.25">
      <c r="D451" s="105"/>
      <c r="G451" s="104"/>
      <c r="H451" s="104"/>
    </row>
    <row r="452" spans="4:8" x14ac:dyDescent="0.25">
      <c r="D452" s="105"/>
      <c r="G452" s="104"/>
      <c r="H452" s="104"/>
    </row>
    <row r="453" spans="4:8" x14ac:dyDescent="0.25">
      <c r="D453" s="105"/>
      <c r="G453" s="104"/>
      <c r="H453" s="104"/>
    </row>
    <row r="454" spans="4:8" x14ac:dyDescent="0.25">
      <c r="D454" s="105"/>
      <c r="G454" s="104"/>
      <c r="H454" s="104"/>
    </row>
    <row r="455" spans="4:8" x14ac:dyDescent="0.25">
      <c r="D455" s="105"/>
      <c r="G455" s="104"/>
      <c r="H455" s="104"/>
    </row>
    <row r="456" spans="4:8" x14ac:dyDescent="0.25">
      <c r="D456" s="105"/>
      <c r="G456" s="104"/>
      <c r="H456" s="104"/>
    </row>
    <row r="457" spans="4:8" x14ac:dyDescent="0.25">
      <c r="D457" s="105"/>
      <c r="G457" s="104"/>
      <c r="H457" s="104"/>
    </row>
    <row r="458" spans="4:8" x14ac:dyDescent="0.25">
      <c r="D458" s="105"/>
      <c r="G458" s="104"/>
      <c r="H458" s="104"/>
    </row>
    <row r="459" spans="4:8" x14ac:dyDescent="0.25">
      <c r="D459" s="105"/>
      <c r="G459" s="104"/>
      <c r="H459" s="104"/>
    </row>
    <row r="460" spans="4:8" x14ac:dyDescent="0.25">
      <c r="D460" s="105"/>
      <c r="G460" s="104"/>
      <c r="H460" s="104"/>
    </row>
    <row r="461" spans="4:8" x14ac:dyDescent="0.25">
      <c r="D461" s="105"/>
      <c r="G461" s="104"/>
      <c r="H461" s="104"/>
    </row>
    <row r="462" spans="4:8" x14ac:dyDescent="0.25">
      <c r="D462" s="105"/>
      <c r="G462" s="104"/>
      <c r="H462" s="104"/>
    </row>
    <row r="463" spans="4:8" x14ac:dyDescent="0.25">
      <c r="G463" s="104"/>
      <c r="H463" s="104"/>
    </row>
    <row r="464" spans="4:8" x14ac:dyDescent="0.25">
      <c r="G464" s="104"/>
      <c r="H464" s="104"/>
    </row>
    <row r="465" spans="7:8" x14ac:dyDescent="0.25">
      <c r="G465" s="104"/>
      <c r="H465" s="104"/>
    </row>
    <row r="466" spans="7:8" x14ac:dyDescent="0.25">
      <c r="G466" s="104"/>
      <c r="H466" s="104"/>
    </row>
    <row r="467" spans="7:8" x14ac:dyDescent="0.25">
      <c r="G467" s="104"/>
      <c r="H467" s="104"/>
    </row>
    <row r="468" spans="7:8" x14ac:dyDescent="0.25">
      <c r="G468" s="104"/>
      <c r="H468" s="104"/>
    </row>
    <row r="469" spans="7:8" x14ac:dyDescent="0.25">
      <c r="G469" s="104"/>
      <c r="H469" s="104"/>
    </row>
    <row r="470" spans="7:8" x14ac:dyDescent="0.25">
      <c r="G470" s="104"/>
      <c r="H470" s="104"/>
    </row>
    <row r="471" spans="7:8" x14ac:dyDescent="0.25">
      <c r="G471" s="104"/>
      <c r="H471" s="104"/>
    </row>
    <row r="472" spans="7:8" x14ac:dyDescent="0.25">
      <c r="G472" s="104"/>
      <c r="H472" s="104"/>
    </row>
    <row r="473" spans="7:8" x14ac:dyDescent="0.25">
      <c r="G473" s="104"/>
      <c r="H473" s="104"/>
    </row>
    <row r="474" spans="7:8" x14ac:dyDescent="0.25">
      <c r="G474" s="104"/>
      <c r="H474" s="104"/>
    </row>
    <row r="475" spans="7:8" x14ac:dyDescent="0.25">
      <c r="G475" s="104"/>
      <c r="H475" s="104"/>
    </row>
    <row r="476" spans="7:8" x14ac:dyDescent="0.25">
      <c r="G476" s="104"/>
      <c r="H476" s="104"/>
    </row>
    <row r="477" spans="7:8" x14ac:dyDescent="0.25">
      <c r="G477" s="104"/>
      <c r="H477" s="104"/>
    </row>
    <row r="478" spans="7:8" x14ac:dyDescent="0.25">
      <c r="G478" s="104"/>
      <c r="H478" s="104"/>
    </row>
    <row r="479" spans="7:8" x14ac:dyDescent="0.25">
      <c r="G479" s="104"/>
      <c r="H479" s="104"/>
    </row>
    <row r="480" spans="7:8" x14ac:dyDescent="0.25">
      <c r="G480" s="104"/>
      <c r="H480" s="104"/>
    </row>
    <row r="481" spans="7:8" x14ac:dyDescent="0.25">
      <c r="G481" s="104"/>
      <c r="H481" s="104"/>
    </row>
    <row r="482" spans="7:8" x14ac:dyDescent="0.25">
      <c r="G482" s="104"/>
      <c r="H482" s="104"/>
    </row>
    <row r="483" spans="7:8" x14ac:dyDescent="0.25">
      <c r="G483" s="104"/>
      <c r="H483" s="104"/>
    </row>
    <row r="484" spans="7:8" x14ac:dyDescent="0.25">
      <c r="G484" s="104"/>
      <c r="H484" s="104"/>
    </row>
    <row r="485" spans="7:8" x14ac:dyDescent="0.25">
      <c r="G485" s="104"/>
      <c r="H485" s="104"/>
    </row>
    <row r="486" spans="7:8" x14ac:dyDescent="0.25">
      <c r="G486" s="104"/>
      <c r="H486" s="104"/>
    </row>
    <row r="487" spans="7:8" x14ac:dyDescent="0.25">
      <c r="G487" s="104"/>
      <c r="H487" s="104"/>
    </row>
    <row r="488" spans="7:8" x14ac:dyDescent="0.25">
      <c r="G488" s="104"/>
      <c r="H488" s="104"/>
    </row>
    <row r="489" spans="7:8" x14ac:dyDescent="0.25">
      <c r="G489" s="104"/>
      <c r="H489" s="104"/>
    </row>
    <row r="490" spans="7:8" x14ac:dyDescent="0.25">
      <c r="G490" s="104"/>
      <c r="H490" s="104"/>
    </row>
    <row r="491" spans="7:8" x14ac:dyDescent="0.25">
      <c r="G491" s="104"/>
      <c r="H491" s="104"/>
    </row>
    <row r="492" spans="7:8" x14ac:dyDescent="0.25">
      <c r="G492" s="104"/>
      <c r="H492" s="104"/>
    </row>
    <row r="493" spans="7:8" x14ac:dyDescent="0.25">
      <c r="G493" s="104"/>
      <c r="H493" s="104"/>
    </row>
    <row r="494" spans="7:8" x14ac:dyDescent="0.25">
      <c r="G494" s="104"/>
      <c r="H494" s="104"/>
    </row>
    <row r="495" spans="7:8" x14ac:dyDescent="0.25">
      <c r="G495" s="104"/>
      <c r="H495" s="104"/>
    </row>
    <row r="496" spans="7:8" x14ac:dyDescent="0.25">
      <c r="G496" s="104"/>
      <c r="H496" s="104"/>
    </row>
    <row r="497" spans="7:8" x14ac:dyDescent="0.25">
      <c r="G497" s="104"/>
      <c r="H497" s="104"/>
    </row>
    <row r="498" spans="7:8" x14ac:dyDescent="0.25">
      <c r="G498" s="104"/>
      <c r="H498" s="104"/>
    </row>
    <row r="499" spans="7:8" x14ac:dyDescent="0.25">
      <c r="G499" s="104"/>
      <c r="H499" s="104"/>
    </row>
    <row r="500" spans="7:8" x14ac:dyDescent="0.25">
      <c r="G500" s="104"/>
      <c r="H500" s="104"/>
    </row>
    <row r="501" spans="7:8" x14ac:dyDescent="0.25">
      <c r="G501" s="104"/>
      <c r="H501" s="104"/>
    </row>
    <row r="502" spans="7:8" x14ac:dyDescent="0.25">
      <c r="G502" s="104"/>
      <c r="H502" s="104"/>
    </row>
    <row r="503" spans="7:8" x14ac:dyDescent="0.25">
      <c r="G503" s="104"/>
      <c r="H503" s="104"/>
    </row>
    <row r="504" spans="7:8" x14ac:dyDescent="0.25">
      <c r="G504" s="104"/>
      <c r="H504" s="104"/>
    </row>
    <row r="505" spans="7:8" x14ac:dyDescent="0.25">
      <c r="G505" s="104"/>
      <c r="H505" s="104"/>
    </row>
    <row r="506" spans="7:8" x14ac:dyDescent="0.25">
      <c r="G506" s="104"/>
      <c r="H506" s="104"/>
    </row>
    <row r="507" spans="7:8" x14ac:dyDescent="0.25">
      <c r="G507" s="104"/>
      <c r="H507" s="104"/>
    </row>
    <row r="508" spans="7:8" x14ac:dyDescent="0.25">
      <c r="G508" s="104"/>
      <c r="H508" s="104"/>
    </row>
    <row r="509" spans="7:8" x14ac:dyDescent="0.25">
      <c r="G509" s="104"/>
      <c r="H509" s="104"/>
    </row>
    <row r="510" spans="7:8" x14ac:dyDescent="0.25">
      <c r="G510" s="104"/>
      <c r="H510" s="104"/>
    </row>
    <row r="511" spans="7:8" x14ac:dyDescent="0.25">
      <c r="G511" s="104"/>
      <c r="H511" s="104"/>
    </row>
    <row r="512" spans="7:8" x14ac:dyDescent="0.25">
      <c r="G512" s="104"/>
      <c r="H512" s="104"/>
    </row>
    <row r="513" spans="7:8" x14ac:dyDescent="0.25">
      <c r="G513" s="104"/>
      <c r="H513" s="104"/>
    </row>
    <row r="514" spans="7:8" x14ac:dyDescent="0.25">
      <c r="G514" s="104"/>
      <c r="H514" s="104"/>
    </row>
    <row r="515" spans="7:8" x14ac:dyDescent="0.25">
      <c r="G515" s="104"/>
      <c r="H515" s="104"/>
    </row>
    <row r="516" spans="7:8" x14ac:dyDescent="0.25">
      <c r="G516" s="104"/>
      <c r="H516" s="104"/>
    </row>
    <row r="517" spans="7:8" x14ac:dyDescent="0.25">
      <c r="G517" s="104"/>
      <c r="H517" s="104"/>
    </row>
    <row r="518" spans="7:8" x14ac:dyDescent="0.25">
      <c r="G518" s="104"/>
      <c r="H518" s="104"/>
    </row>
    <row r="519" spans="7:8" x14ac:dyDescent="0.25">
      <c r="G519" s="104"/>
      <c r="H519" s="104"/>
    </row>
    <row r="520" spans="7:8" x14ac:dyDescent="0.25">
      <c r="G520" s="104"/>
      <c r="H520" s="104"/>
    </row>
    <row r="521" spans="7:8" x14ac:dyDescent="0.25">
      <c r="G521" s="104"/>
      <c r="H521" s="104"/>
    </row>
    <row r="522" spans="7:8" x14ac:dyDescent="0.25">
      <c r="G522" s="104"/>
      <c r="H522" s="104"/>
    </row>
    <row r="523" spans="7:8" x14ac:dyDescent="0.25">
      <c r="G523" s="104"/>
      <c r="H523" s="104"/>
    </row>
    <row r="524" spans="7:8" x14ac:dyDescent="0.25">
      <c r="G524" s="104"/>
      <c r="H524" s="104"/>
    </row>
    <row r="525" spans="7:8" x14ac:dyDescent="0.25">
      <c r="G525" s="104"/>
      <c r="H525" s="104"/>
    </row>
    <row r="526" spans="7:8" x14ac:dyDescent="0.25">
      <c r="G526" s="104"/>
      <c r="H526" s="104"/>
    </row>
    <row r="527" spans="7:8" x14ac:dyDescent="0.25">
      <c r="G527" s="104"/>
      <c r="H527" s="104"/>
    </row>
    <row r="528" spans="7:8" x14ac:dyDescent="0.25">
      <c r="G528" s="104"/>
      <c r="H528" s="104"/>
    </row>
    <row r="529" spans="7:8" x14ac:dyDescent="0.25">
      <c r="G529" s="104"/>
      <c r="H529" s="104"/>
    </row>
    <row r="530" spans="7:8" x14ac:dyDescent="0.25">
      <c r="G530" s="104"/>
      <c r="H530" s="104"/>
    </row>
    <row r="531" spans="7:8" x14ac:dyDescent="0.25">
      <c r="G531" s="104"/>
      <c r="H531" s="104"/>
    </row>
    <row r="532" spans="7:8" x14ac:dyDescent="0.25">
      <c r="G532" s="104"/>
      <c r="H532" s="104"/>
    </row>
    <row r="533" spans="7:8" x14ac:dyDescent="0.25">
      <c r="G533" s="104"/>
      <c r="H533" s="104"/>
    </row>
    <row r="534" spans="7:8" x14ac:dyDescent="0.25">
      <c r="G534" s="104"/>
      <c r="H534" s="104"/>
    </row>
    <row r="535" spans="7:8" x14ac:dyDescent="0.25">
      <c r="G535" s="104"/>
      <c r="H535" s="104"/>
    </row>
    <row r="536" spans="7:8" x14ac:dyDescent="0.25">
      <c r="G536" s="104"/>
      <c r="H536" s="104"/>
    </row>
    <row r="537" spans="7:8" x14ac:dyDescent="0.25">
      <c r="G537" s="104"/>
      <c r="H537" s="104"/>
    </row>
    <row r="538" spans="7:8" x14ac:dyDescent="0.25">
      <c r="G538" s="104"/>
      <c r="H538" s="104"/>
    </row>
    <row r="539" spans="7:8" x14ac:dyDescent="0.25">
      <c r="G539" s="104"/>
      <c r="H539" s="104"/>
    </row>
    <row r="540" spans="7:8" x14ac:dyDescent="0.25">
      <c r="G540" s="104"/>
      <c r="H540" s="104"/>
    </row>
    <row r="541" spans="7:8" x14ac:dyDescent="0.25">
      <c r="G541" s="104"/>
      <c r="H541" s="104"/>
    </row>
    <row r="542" spans="7:8" x14ac:dyDescent="0.25">
      <c r="G542" s="104"/>
      <c r="H542" s="104"/>
    </row>
    <row r="543" spans="7:8" x14ac:dyDescent="0.25">
      <c r="G543" s="104"/>
      <c r="H543" s="104"/>
    </row>
    <row r="544" spans="7:8" x14ac:dyDescent="0.25">
      <c r="G544" s="104"/>
      <c r="H544" s="104"/>
    </row>
    <row r="545" spans="7:8" x14ac:dyDescent="0.25">
      <c r="G545" s="104"/>
      <c r="H545" s="104"/>
    </row>
  </sheetData>
  <sheetProtection sheet="1" objects="1" scenarios="1" selectLockedCells="1"/>
  <mergeCells count="1">
    <mergeCell ref="A2:H2"/>
  </mergeCells>
  <phoneticPr fontId="30" type="noConversion"/>
  <pageMargins left="0.70866141732283472" right="0.70866141732283472" top="0.74803149606299213" bottom="0.74803149606299213" header="0.31496062992125984" footer="0.31496062992125984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EliminarFila">
                <anchor moveWithCells="1" sizeWithCells="1">
                  <from>
                    <xdr:col>8</xdr:col>
                    <xdr:colOff>66675</xdr:colOff>
                    <xdr:row>6</xdr:row>
                    <xdr:rowOff>0</xdr:rowOff>
                  </from>
                  <to>
                    <xdr:col>8</xdr:col>
                    <xdr:colOff>695325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741E3-0774-4593-963A-36537A391327}">
  <sheetPr codeName="Hoja10">
    <tabColor rgb="FF00B050"/>
  </sheetPr>
  <dimension ref="A1:K1187"/>
  <sheetViews>
    <sheetView showGridLines="0" workbookViewId="0">
      <selection activeCell="I7" sqref="I7"/>
    </sheetView>
  </sheetViews>
  <sheetFormatPr baseColWidth="10" defaultRowHeight="15" x14ac:dyDescent="0.25"/>
  <cols>
    <col min="1" max="1" width="16.7109375" customWidth="1"/>
    <col min="2" max="2" width="45.7109375" customWidth="1"/>
    <col min="4" max="4" width="21.7109375" customWidth="1"/>
    <col min="5" max="5" width="24.42578125" customWidth="1"/>
    <col min="6" max="6" width="22.140625" customWidth="1"/>
    <col min="7" max="7" width="23" customWidth="1"/>
    <col min="8" max="10" width="23.28515625" customWidth="1"/>
    <col min="11" max="11" width="16.42578125" customWidth="1"/>
  </cols>
  <sheetData>
    <row r="1" spans="1:11" x14ac:dyDescent="0.25">
      <c r="A1" s="1"/>
      <c r="B1" s="1"/>
      <c r="C1" s="1"/>
      <c r="D1" s="2"/>
      <c r="E1" s="1"/>
      <c r="F1" s="1"/>
      <c r="G1" s="1"/>
      <c r="H1" s="1"/>
      <c r="I1" s="1"/>
      <c r="J1" s="1"/>
      <c r="K1" s="1"/>
    </row>
    <row r="2" spans="1:11" ht="31.5" x14ac:dyDescent="0.25">
      <c r="A2" s="141" t="s">
        <v>14266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</row>
    <row r="3" spans="1:11" x14ac:dyDescent="0.25">
      <c r="A3" s="3"/>
      <c r="B3" s="4"/>
      <c r="C3" s="4"/>
      <c r="D3" s="2"/>
      <c r="E3" s="4"/>
      <c r="F3" s="4"/>
      <c r="G3" s="4"/>
      <c r="H3" s="4"/>
      <c r="I3" s="4"/>
      <c r="J3" s="4"/>
      <c r="K3" s="4"/>
    </row>
    <row r="4" spans="1:11" ht="15.75" x14ac:dyDescent="0.25">
      <c r="A4" s="18" t="s">
        <v>14263</v>
      </c>
      <c r="B4" s="51" t="s">
        <v>15708</v>
      </c>
      <c r="C4" s="6"/>
      <c r="D4" s="7" t="s">
        <v>14264</v>
      </c>
      <c r="E4" s="52">
        <f ca="1">TODAY()</f>
        <v>45369</v>
      </c>
      <c r="F4" s="20"/>
      <c r="G4" s="20"/>
      <c r="H4" s="20"/>
      <c r="I4" s="20"/>
      <c r="J4" s="20"/>
      <c r="K4" s="53"/>
    </row>
    <row r="5" spans="1:11" ht="18.75" customHeight="1" x14ac:dyDescent="0.25">
      <c r="A5" s="18"/>
      <c r="B5" s="6"/>
      <c r="C5" s="6"/>
      <c r="D5" s="7"/>
      <c r="E5" s="19"/>
      <c r="F5" s="19"/>
      <c r="G5" s="19"/>
      <c r="H5" s="19"/>
      <c r="I5" s="17"/>
      <c r="J5" s="17"/>
      <c r="K5" s="16"/>
    </row>
    <row r="6" spans="1:11" ht="33" customHeight="1" x14ac:dyDescent="0.25">
      <c r="A6" s="15" t="s">
        <v>3229</v>
      </c>
      <c r="B6" s="10" t="s">
        <v>18</v>
      </c>
      <c r="C6" s="10" t="s">
        <v>23</v>
      </c>
      <c r="D6" s="10" t="s">
        <v>19</v>
      </c>
      <c r="E6" s="10" t="s">
        <v>14267</v>
      </c>
      <c r="F6" s="54" t="s">
        <v>14268</v>
      </c>
      <c r="G6" s="11" t="s">
        <v>14269</v>
      </c>
      <c r="H6" s="11" t="s">
        <v>14265</v>
      </c>
      <c r="I6" s="11" t="s">
        <v>14270</v>
      </c>
      <c r="J6" s="11" t="s">
        <v>14271</v>
      </c>
      <c r="K6" s="11" t="s">
        <v>22</v>
      </c>
    </row>
    <row r="7" spans="1:11" x14ac:dyDescent="0.25">
      <c r="C7" s="106"/>
      <c r="H7" s="97"/>
      <c r="I7" s="50"/>
      <c r="J7" s="50"/>
      <c r="K7" s="50"/>
    </row>
    <row r="8" spans="1:11" x14ac:dyDescent="0.25">
      <c r="C8" s="106"/>
      <c r="H8" s="97"/>
      <c r="I8" s="50"/>
      <c r="J8" s="50"/>
      <c r="K8" s="50"/>
    </row>
    <row r="9" spans="1:11" x14ac:dyDescent="0.25">
      <c r="C9" s="106"/>
      <c r="H9" s="97"/>
      <c r="I9" s="50"/>
      <c r="J9" s="50"/>
      <c r="K9" s="50"/>
    </row>
    <row r="10" spans="1:11" x14ac:dyDescent="0.25">
      <c r="C10" s="106"/>
      <c r="H10" s="97"/>
      <c r="I10" s="50"/>
      <c r="J10" s="50"/>
      <c r="K10" s="50"/>
    </row>
    <row r="11" spans="1:11" x14ac:dyDescent="0.25">
      <c r="C11" s="106"/>
      <c r="H11" s="97"/>
      <c r="I11" s="50"/>
      <c r="J11" s="50"/>
      <c r="K11" s="50"/>
    </row>
    <row r="12" spans="1:11" x14ac:dyDescent="0.25">
      <c r="C12" s="106"/>
      <c r="H12" s="97"/>
      <c r="I12" s="50"/>
      <c r="J12" s="50"/>
      <c r="K12" s="50"/>
    </row>
    <row r="13" spans="1:11" x14ac:dyDescent="0.25">
      <c r="C13" s="106"/>
      <c r="H13" s="97"/>
      <c r="I13" s="50"/>
      <c r="J13" s="50"/>
      <c r="K13" s="50"/>
    </row>
    <row r="14" spans="1:11" x14ac:dyDescent="0.25">
      <c r="C14" s="106"/>
      <c r="H14" s="97"/>
      <c r="I14" s="50"/>
      <c r="J14" s="50"/>
      <c r="K14" s="50"/>
    </row>
    <row r="15" spans="1:11" x14ac:dyDescent="0.25">
      <c r="C15" s="106"/>
      <c r="H15" s="97"/>
      <c r="I15" s="50"/>
      <c r="J15" s="50"/>
      <c r="K15" s="50"/>
    </row>
    <row r="16" spans="1:11" x14ac:dyDescent="0.25">
      <c r="C16" s="106"/>
      <c r="H16" s="97"/>
      <c r="I16" s="50"/>
      <c r="J16" s="50"/>
      <c r="K16" s="50"/>
    </row>
    <row r="17" spans="3:11" x14ac:dyDescent="0.25">
      <c r="C17" s="106"/>
      <c r="H17" s="97"/>
      <c r="I17" s="50"/>
      <c r="J17" s="50"/>
      <c r="K17" s="50"/>
    </row>
    <row r="18" spans="3:11" x14ac:dyDescent="0.25">
      <c r="C18" s="106"/>
      <c r="H18" s="97"/>
      <c r="I18" s="50"/>
      <c r="J18" s="50"/>
      <c r="K18" s="50"/>
    </row>
    <row r="19" spans="3:11" x14ac:dyDescent="0.25">
      <c r="C19" s="106"/>
      <c r="H19" s="97"/>
      <c r="I19" s="50"/>
      <c r="J19" s="50"/>
      <c r="K19" s="50"/>
    </row>
    <row r="20" spans="3:11" x14ac:dyDescent="0.25">
      <c r="C20" s="106"/>
      <c r="H20" s="97"/>
      <c r="I20" s="50"/>
      <c r="J20" s="50"/>
      <c r="K20" s="50"/>
    </row>
    <row r="21" spans="3:11" x14ac:dyDescent="0.25">
      <c r="C21" s="106"/>
      <c r="H21" s="97"/>
      <c r="I21" s="50"/>
      <c r="J21" s="50"/>
      <c r="K21" s="50"/>
    </row>
    <row r="22" spans="3:11" x14ac:dyDescent="0.25">
      <c r="C22" s="106"/>
      <c r="H22" s="97"/>
      <c r="I22" s="50"/>
      <c r="J22" s="50"/>
      <c r="K22" s="50"/>
    </row>
    <row r="23" spans="3:11" x14ac:dyDescent="0.25">
      <c r="C23" s="106"/>
      <c r="H23" s="97"/>
      <c r="I23" s="50"/>
      <c r="J23" s="50"/>
      <c r="K23" s="50"/>
    </row>
    <row r="24" spans="3:11" x14ac:dyDescent="0.25">
      <c r="C24" s="106"/>
      <c r="H24" s="97"/>
      <c r="I24" s="50"/>
      <c r="J24" s="50"/>
      <c r="K24" s="50"/>
    </row>
    <row r="25" spans="3:11" x14ac:dyDescent="0.25">
      <c r="C25" s="106"/>
      <c r="H25" s="97"/>
      <c r="I25" s="50"/>
      <c r="J25" s="50"/>
      <c r="K25" s="50"/>
    </row>
    <row r="26" spans="3:11" x14ac:dyDescent="0.25">
      <c r="C26" s="106"/>
      <c r="H26" s="97"/>
      <c r="I26" s="50"/>
      <c r="J26" s="50"/>
      <c r="K26" s="50"/>
    </row>
    <row r="27" spans="3:11" x14ac:dyDescent="0.25">
      <c r="C27" s="106"/>
      <c r="H27" s="97"/>
      <c r="I27" s="50"/>
      <c r="J27" s="50"/>
      <c r="K27" s="50"/>
    </row>
    <row r="28" spans="3:11" x14ac:dyDescent="0.25">
      <c r="C28" s="106"/>
      <c r="H28" s="97"/>
      <c r="I28" s="50"/>
      <c r="J28" s="50"/>
      <c r="K28" s="50"/>
    </row>
    <row r="29" spans="3:11" x14ac:dyDescent="0.25">
      <c r="C29" s="106"/>
      <c r="H29" s="97"/>
      <c r="I29" s="50"/>
      <c r="J29" s="50"/>
      <c r="K29" s="50"/>
    </row>
    <row r="30" spans="3:11" x14ac:dyDescent="0.25">
      <c r="C30" s="106"/>
      <c r="H30" s="97"/>
      <c r="I30" s="50"/>
      <c r="J30" s="50"/>
      <c r="K30" s="50"/>
    </row>
    <row r="31" spans="3:11" x14ac:dyDescent="0.25">
      <c r="C31" s="106"/>
      <c r="H31" s="97"/>
      <c r="I31" s="50"/>
      <c r="J31" s="50"/>
      <c r="K31" s="50"/>
    </row>
    <row r="32" spans="3:11" x14ac:dyDescent="0.25">
      <c r="C32" s="106"/>
      <c r="H32" s="97"/>
      <c r="I32" s="50"/>
      <c r="J32" s="50"/>
      <c r="K32" s="50"/>
    </row>
    <row r="33" spans="3:11" x14ac:dyDescent="0.25">
      <c r="C33" s="106"/>
      <c r="H33" s="97"/>
      <c r="I33" s="50"/>
      <c r="J33" s="50"/>
      <c r="K33" s="50"/>
    </row>
    <row r="34" spans="3:11" x14ac:dyDescent="0.25">
      <c r="C34" s="106"/>
      <c r="H34" s="97"/>
      <c r="I34" s="50"/>
      <c r="J34" s="50"/>
      <c r="K34" s="50"/>
    </row>
    <row r="35" spans="3:11" x14ac:dyDescent="0.25">
      <c r="C35" s="106"/>
      <c r="H35" s="97"/>
      <c r="I35" s="50"/>
      <c r="J35" s="50"/>
      <c r="K35" s="50"/>
    </row>
    <row r="36" spans="3:11" x14ac:dyDescent="0.25">
      <c r="C36" s="106"/>
      <c r="H36" s="97"/>
      <c r="I36" s="50"/>
      <c r="J36" s="50"/>
      <c r="K36" s="50"/>
    </row>
    <row r="37" spans="3:11" x14ac:dyDescent="0.25">
      <c r="C37" s="106"/>
      <c r="H37" s="97"/>
      <c r="I37" s="50"/>
      <c r="J37" s="50"/>
      <c r="K37" s="50"/>
    </row>
    <row r="38" spans="3:11" x14ac:dyDescent="0.25">
      <c r="C38" s="106"/>
      <c r="H38" s="97"/>
      <c r="I38" s="50"/>
      <c r="J38" s="50"/>
      <c r="K38" s="50"/>
    </row>
    <row r="39" spans="3:11" x14ac:dyDescent="0.25">
      <c r="C39" s="106"/>
      <c r="H39" s="97"/>
      <c r="I39" s="50"/>
      <c r="J39" s="50"/>
      <c r="K39" s="50"/>
    </row>
    <row r="40" spans="3:11" x14ac:dyDescent="0.25">
      <c r="C40" s="106"/>
      <c r="H40" s="97"/>
      <c r="I40" s="50"/>
      <c r="J40" s="50"/>
      <c r="K40" s="50"/>
    </row>
    <row r="41" spans="3:11" x14ac:dyDescent="0.25">
      <c r="C41" s="106"/>
      <c r="H41" s="97"/>
      <c r="I41" s="50"/>
      <c r="J41" s="50"/>
      <c r="K41" s="50"/>
    </row>
    <row r="42" spans="3:11" x14ac:dyDescent="0.25">
      <c r="C42" s="106"/>
      <c r="H42" s="97"/>
      <c r="I42" s="50"/>
      <c r="J42" s="50"/>
      <c r="K42" s="50"/>
    </row>
    <row r="43" spans="3:11" x14ac:dyDescent="0.25">
      <c r="C43" s="106"/>
      <c r="H43" s="97"/>
      <c r="I43" s="50"/>
      <c r="J43" s="50"/>
      <c r="K43" s="50"/>
    </row>
    <row r="44" spans="3:11" x14ac:dyDescent="0.25">
      <c r="C44" s="106"/>
      <c r="H44" s="97"/>
      <c r="I44" s="50"/>
      <c r="J44" s="50"/>
      <c r="K44" s="50"/>
    </row>
    <row r="45" spans="3:11" x14ac:dyDescent="0.25">
      <c r="C45" s="106"/>
      <c r="H45" s="97"/>
      <c r="I45" s="50"/>
      <c r="J45" s="50"/>
      <c r="K45" s="50"/>
    </row>
    <row r="46" spans="3:11" x14ac:dyDescent="0.25">
      <c r="C46" s="106"/>
      <c r="H46" s="97"/>
      <c r="I46" s="50"/>
      <c r="J46" s="50"/>
      <c r="K46" s="50"/>
    </row>
    <row r="47" spans="3:11" x14ac:dyDescent="0.25">
      <c r="C47" s="106"/>
      <c r="H47" s="97"/>
      <c r="I47" s="50"/>
      <c r="J47" s="50"/>
      <c r="K47" s="50"/>
    </row>
    <row r="48" spans="3:11" x14ac:dyDescent="0.25">
      <c r="C48" s="106"/>
      <c r="H48" s="97"/>
      <c r="I48" s="50"/>
      <c r="J48" s="50"/>
      <c r="K48" s="50"/>
    </row>
    <row r="49" spans="3:11" x14ac:dyDescent="0.25">
      <c r="C49" s="106"/>
      <c r="H49" s="97"/>
      <c r="I49" s="50"/>
      <c r="J49" s="50"/>
      <c r="K49" s="50"/>
    </row>
    <row r="50" spans="3:11" x14ac:dyDescent="0.25">
      <c r="C50" s="106"/>
      <c r="H50" s="97"/>
      <c r="I50" s="50"/>
      <c r="J50" s="50"/>
      <c r="K50" s="50"/>
    </row>
    <row r="51" spans="3:11" x14ac:dyDescent="0.25">
      <c r="C51" s="106"/>
      <c r="H51" s="97"/>
      <c r="I51" s="50"/>
      <c r="J51" s="50"/>
      <c r="K51" s="50"/>
    </row>
    <row r="52" spans="3:11" x14ac:dyDescent="0.25">
      <c r="C52" s="106"/>
      <c r="H52" s="97"/>
      <c r="I52" s="50"/>
      <c r="J52" s="50"/>
      <c r="K52" s="50"/>
    </row>
    <row r="53" spans="3:11" x14ac:dyDescent="0.25">
      <c r="C53" s="106"/>
      <c r="H53" s="97"/>
      <c r="I53" s="50"/>
      <c r="J53" s="50"/>
      <c r="K53" s="50"/>
    </row>
    <row r="54" spans="3:11" x14ac:dyDescent="0.25">
      <c r="C54" s="106"/>
      <c r="H54" s="97"/>
      <c r="I54" s="50"/>
      <c r="J54" s="50"/>
      <c r="K54" s="50"/>
    </row>
    <row r="55" spans="3:11" x14ac:dyDescent="0.25">
      <c r="C55" s="106"/>
      <c r="H55" s="97"/>
      <c r="I55" s="50"/>
      <c r="J55" s="50"/>
      <c r="K55" s="50"/>
    </row>
    <row r="56" spans="3:11" x14ac:dyDescent="0.25">
      <c r="C56" s="106"/>
      <c r="H56" s="97"/>
      <c r="I56" s="50"/>
      <c r="J56" s="50"/>
      <c r="K56" s="50"/>
    </row>
    <row r="57" spans="3:11" x14ac:dyDescent="0.25">
      <c r="C57" s="106"/>
      <c r="H57" s="97"/>
      <c r="I57" s="50"/>
      <c r="J57" s="50"/>
      <c r="K57" s="50"/>
    </row>
    <row r="58" spans="3:11" x14ac:dyDescent="0.25">
      <c r="C58" s="106"/>
      <c r="H58" s="97"/>
      <c r="I58" s="50"/>
      <c r="J58" s="50"/>
      <c r="K58" s="50"/>
    </row>
    <row r="59" spans="3:11" x14ac:dyDescent="0.25">
      <c r="C59" s="106"/>
      <c r="H59" s="97"/>
      <c r="I59" s="50"/>
      <c r="J59" s="50"/>
      <c r="K59" s="50"/>
    </row>
    <row r="60" spans="3:11" x14ac:dyDescent="0.25">
      <c r="C60" s="106"/>
      <c r="H60" s="97"/>
      <c r="I60" s="50"/>
      <c r="J60" s="50"/>
      <c r="K60" s="50"/>
    </row>
    <row r="61" spans="3:11" x14ac:dyDescent="0.25">
      <c r="C61" s="106"/>
      <c r="H61" s="97"/>
      <c r="I61" s="50"/>
      <c r="J61" s="50"/>
      <c r="K61" s="50"/>
    </row>
    <row r="62" spans="3:11" x14ac:dyDescent="0.25">
      <c r="C62" s="106"/>
      <c r="H62" s="97"/>
      <c r="I62" s="50"/>
      <c r="J62" s="50"/>
      <c r="K62" s="50"/>
    </row>
    <row r="63" spans="3:11" x14ac:dyDescent="0.25">
      <c r="C63" s="106"/>
      <c r="H63" s="97"/>
      <c r="I63" s="50"/>
      <c r="J63" s="50"/>
      <c r="K63" s="50"/>
    </row>
    <row r="64" spans="3:11" x14ac:dyDescent="0.25">
      <c r="C64" s="106"/>
      <c r="H64" s="97"/>
      <c r="I64" s="50"/>
      <c r="J64" s="50"/>
      <c r="K64" s="50"/>
    </row>
    <row r="65" spans="3:11" x14ac:dyDescent="0.25">
      <c r="C65" s="106"/>
      <c r="H65" s="97"/>
      <c r="I65" s="50"/>
      <c r="J65" s="50"/>
      <c r="K65" s="50"/>
    </row>
    <row r="66" spans="3:11" x14ac:dyDescent="0.25">
      <c r="C66" s="106"/>
      <c r="H66" s="97"/>
      <c r="I66" s="50"/>
      <c r="J66" s="50"/>
      <c r="K66" s="50"/>
    </row>
    <row r="67" spans="3:11" x14ac:dyDescent="0.25">
      <c r="C67" s="106"/>
      <c r="H67" s="97"/>
      <c r="I67" s="50"/>
      <c r="J67" s="50"/>
      <c r="K67" s="50"/>
    </row>
    <row r="68" spans="3:11" x14ac:dyDescent="0.25">
      <c r="C68" s="106"/>
      <c r="H68" s="97"/>
      <c r="I68" s="50"/>
      <c r="J68" s="50"/>
      <c r="K68" s="50"/>
    </row>
    <row r="69" spans="3:11" x14ac:dyDescent="0.25">
      <c r="C69" s="106"/>
      <c r="H69" s="97"/>
      <c r="I69" s="50"/>
      <c r="J69" s="50"/>
      <c r="K69" s="50"/>
    </row>
    <row r="70" spans="3:11" x14ac:dyDescent="0.25">
      <c r="C70" s="106"/>
      <c r="H70" s="97"/>
      <c r="I70" s="50"/>
      <c r="J70" s="50"/>
      <c r="K70" s="50"/>
    </row>
    <row r="71" spans="3:11" x14ac:dyDescent="0.25">
      <c r="C71" s="106"/>
      <c r="H71" s="97"/>
      <c r="I71" s="50"/>
      <c r="J71" s="50"/>
      <c r="K71" s="50"/>
    </row>
    <row r="72" spans="3:11" x14ac:dyDescent="0.25">
      <c r="C72" s="106"/>
      <c r="H72" s="97"/>
      <c r="I72" s="50"/>
      <c r="J72" s="50"/>
      <c r="K72" s="50"/>
    </row>
    <row r="73" spans="3:11" x14ac:dyDescent="0.25">
      <c r="C73" s="106"/>
      <c r="H73" s="97"/>
      <c r="I73" s="50"/>
      <c r="J73" s="50"/>
      <c r="K73" s="50"/>
    </row>
    <row r="74" spans="3:11" x14ac:dyDescent="0.25">
      <c r="C74" s="106"/>
      <c r="H74" s="97"/>
      <c r="I74" s="50"/>
      <c r="J74" s="50"/>
      <c r="K74" s="50"/>
    </row>
    <row r="75" spans="3:11" x14ac:dyDescent="0.25">
      <c r="C75" s="106"/>
      <c r="H75" s="97"/>
      <c r="I75" s="50"/>
      <c r="J75" s="50"/>
      <c r="K75" s="50"/>
    </row>
    <row r="76" spans="3:11" x14ac:dyDescent="0.25">
      <c r="C76" s="106"/>
      <c r="H76" s="97"/>
      <c r="I76" s="50"/>
      <c r="J76" s="50"/>
      <c r="K76" s="50"/>
    </row>
    <row r="77" spans="3:11" x14ac:dyDescent="0.25">
      <c r="C77" s="106"/>
      <c r="H77" s="97"/>
      <c r="I77" s="50"/>
      <c r="J77" s="50"/>
      <c r="K77" s="50"/>
    </row>
    <row r="78" spans="3:11" x14ac:dyDescent="0.25">
      <c r="C78" s="106"/>
      <c r="H78" s="97"/>
      <c r="I78" s="50"/>
      <c r="J78" s="50"/>
      <c r="K78" s="50"/>
    </row>
    <row r="79" spans="3:11" x14ac:dyDescent="0.25">
      <c r="C79" s="106"/>
      <c r="H79" s="97"/>
      <c r="I79" s="50"/>
      <c r="J79" s="50"/>
      <c r="K79" s="50"/>
    </row>
    <row r="80" spans="3:11" x14ac:dyDescent="0.25">
      <c r="C80" s="106"/>
      <c r="H80" s="97"/>
      <c r="I80" s="50"/>
      <c r="J80" s="50"/>
      <c r="K80" s="50"/>
    </row>
    <row r="81" spans="3:11" x14ac:dyDescent="0.25">
      <c r="C81" s="106"/>
      <c r="H81" s="97"/>
      <c r="I81" s="50"/>
      <c r="J81" s="50"/>
      <c r="K81" s="50"/>
    </row>
    <row r="82" spans="3:11" x14ac:dyDescent="0.25">
      <c r="C82" s="106"/>
      <c r="H82" s="97"/>
      <c r="I82" s="50"/>
      <c r="J82" s="50"/>
      <c r="K82" s="50"/>
    </row>
    <row r="83" spans="3:11" x14ac:dyDescent="0.25">
      <c r="C83" s="106"/>
      <c r="H83" s="97"/>
      <c r="I83" s="50"/>
      <c r="J83" s="50"/>
      <c r="K83" s="50"/>
    </row>
    <row r="84" spans="3:11" x14ac:dyDescent="0.25">
      <c r="C84" s="106"/>
      <c r="H84" s="97"/>
      <c r="I84" s="50"/>
      <c r="J84" s="50"/>
      <c r="K84" s="50"/>
    </row>
    <row r="85" spans="3:11" x14ac:dyDescent="0.25">
      <c r="C85" s="106"/>
      <c r="H85" s="97"/>
      <c r="I85" s="50"/>
      <c r="J85" s="50"/>
      <c r="K85" s="50"/>
    </row>
    <row r="86" spans="3:11" x14ac:dyDescent="0.25">
      <c r="C86" s="106"/>
      <c r="H86" s="97"/>
      <c r="I86" s="50"/>
      <c r="J86" s="50"/>
      <c r="K86" s="50"/>
    </row>
    <row r="87" spans="3:11" x14ac:dyDescent="0.25">
      <c r="C87" s="106"/>
      <c r="H87" s="97"/>
      <c r="I87" s="50"/>
      <c r="J87" s="50"/>
      <c r="K87" s="50"/>
    </row>
    <row r="88" spans="3:11" x14ac:dyDescent="0.25">
      <c r="C88" s="106"/>
      <c r="H88" s="97"/>
      <c r="I88" s="50"/>
      <c r="J88" s="50"/>
      <c r="K88" s="50"/>
    </row>
    <row r="89" spans="3:11" x14ac:dyDescent="0.25">
      <c r="C89" s="106"/>
      <c r="H89" s="97"/>
      <c r="I89" s="50"/>
      <c r="J89" s="50"/>
      <c r="K89" s="50"/>
    </row>
    <row r="90" spans="3:11" x14ac:dyDescent="0.25">
      <c r="C90" s="106"/>
      <c r="H90" s="97"/>
      <c r="I90" s="50"/>
      <c r="J90" s="50"/>
      <c r="K90" s="50"/>
    </row>
    <row r="91" spans="3:11" x14ac:dyDescent="0.25">
      <c r="C91" s="106"/>
      <c r="H91" s="97"/>
      <c r="I91" s="50"/>
      <c r="J91" s="50"/>
      <c r="K91" s="50"/>
    </row>
    <row r="92" spans="3:11" x14ac:dyDescent="0.25">
      <c r="C92" s="106"/>
      <c r="H92" s="97"/>
      <c r="I92" s="50"/>
      <c r="J92" s="50"/>
      <c r="K92" s="50"/>
    </row>
    <row r="93" spans="3:11" x14ac:dyDescent="0.25">
      <c r="C93" s="106"/>
      <c r="H93" s="97"/>
      <c r="I93" s="50"/>
      <c r="J93" s="50"/>
      <c r="K93" s="50"/>
    </row>
    <row r="94" spans="3:11" x14ac:dyDescent="0.25">
      <c r="C94" s="106"/>
      <c r="H94" s="97"/>
      <c r="I94" s="50"/>
      <c r="J94" s="50"/>
      <c r="K94" s="50"/>
    </row>
    <row r="95" spans="3:11" x14ac:dyDescent="0.25">
      <c r="C95" s="106"/>
      <c r="H95" s="97"/>
      <c r="I95" s="50"/>
      <c r="J95" s="50"/>
      <c r="K95" s="50"/>
    </row>
    <row r="96" spans="3:11" x14ac:dyDescent="0.25">
      <c r="C96" s="106"/>
      <c r="H96" s="97"/>
      <c r="I96" s="50"/>
      <c r="J96" s="50"/>
      <c r="K96" s="50"/>
    </row>
    <row r="97" spans="3:11" x14ac:dyDescent="0.25">
      <c r="C97" s="106"/>
      <c r="H97" s="97"/>
      <c r="I97" s="50"/>
      <c r="J97" s="50"/>
      <c r="K97" s="50"/>
    </row>
    <row r="98" spans="3:11" x14ac:dyDescent="0.25">
      <c r="C98" s="106"/>
      <c r="H98" s="97"/>
      <c r="I98" s="50"/>
      <c r="J98" s="50"/>
      <c r="K98" s="50"/>
    </row>
    <row r="99" spans="3:11" x14ac:dyDescent="0.25">
      <c r="C99" s="106"/>
      <c r="H99" s="97"/>
      <c r="I99" s="50"/>
      <c r="J99" s="50"/>
      <c r="K99" s="50"/>
    </row>
    <row r="100" spans="3:11" x14ac:dyDescent="0.25">
      <c r="C100" s="106"/>
      <c r="H100" s="97"/>
      <c r="I100" s="50"/>
      <c r="J100" s="50"/>
      <c r="K100" s="50"/>
    </row>
    <row r="101" spans="3:11" x14ac:dyDescent="0.25">
      <c r="C101" s="106"/>
      <c r="H101" s="97"/>
      <c r="I101" s="50"/>
      <c r="J101" s="50"/>
      <c r="K101" s="50"/>
    </row>
    <row r="102" spans="3:11" x14ac:dyDescent="0.25">
      <c r="C102" s="106"/>
      <c r="H102" s="97"/>
      <c r="I102" s="50"/>
      <c r="J102" s="50"/>
      <c r="K102" s="50"/>
    </row>
    <row r="103" spans="3:11" x14ac:dyDescent="0.25">
      <c r="C103" s="106"/>
      <c r="H103" s="97"/>
      <c r="I103" s="50"/>
      <c r="J103" s="50"/>
      <c r="K103" s="50"/>
    </row>
    <row r="104" spans="3:11" x14ac:dyDescent="0.25">
      <c r="C104" s="106"/>
      <c r="H104" s="97"/>
      <c r="I104" s="50"/>
      <c r="J104" s="50"/>
      <c r="K104" s="50"/>
    </row>
    <row r="105" spans="3:11" x14ac:dyDescent="0.25">
      <c r="C105" s="106"/>
      <c r="H105" s="97"/>
      <c r="I105" s="50"/>
      <c r="J105" s="50"/>
      <c r="K105" s="50"/>
    </row>
    <row r="106" spans="3:11" x14ac:dyDescent="0.25">
      <c r="C106" s="106"/>
      <c r="H106" s="97"/>
      <c r="I106" s="50"/>
      <c r="J106" s="50"/>
      <c r="K106" s="50"/>
    </row>
    <row r="107" spans="3:11" x14ac:dyDescent="0.25">
      <c r="C107" s="106"/>
      <c r="H107" s="97"/>
      <c r="I107" s="50"/>
      <c r="J107" s="50"/>
      <c r="K107" s="50"/>
    </row>
    <row r="108" spans="3:11" x14ac:dyDescent="0.25">
      <c r="C108" s="106"/>
      <c r="H108" s="97"/>
      <c r="I108" s="50"/>
      <c r="J108" s="50"/>
      <c r="K108" s="50"/>
    </row>
    <row r="109" spans="3:11" x14ac:dyDescent="0.25">
      <c r="C109" s="106"/>
      <c r="H109" s="97"/>
      <c r="I109" s="50"/>
      <c r="J109" s="50"/>
      <c r="K109" s="50"/>
    </row>
    <row r="110" spans="3:11" x14ac:dyDescent="0.25">
      <c r="C110" s="106"/>
      <c r="H110" s="97"/>
      <c r="I110" s="50"/>
      <c r="J110" s="50"/>
      <c r="K110" s="50"/>
    </row>
    <row r="111" spans="3:11" x14ac:dyDescent="0.25">
      <c r="C111" s="106"/>
      <c r="H111" s="97"/>
      <c r="I111" s="50"/>
      <c r="J111" s="50"/>
      <c r="K111" s="50"/>
    </row>
    <row r="112" spans="3:11" x14ac:dyDescent="0.25">
      <c r="C112" s="106"/>
      <c r="H112" s="97"/>
      <c r="I112" s="50"/>
      <c r="J112" s="50"/>
      <c r="K112" s="50"/>
    </row>
    <row r="113" spans="3:11" x14ac:dyDescent="0.25">
      <c r="C113" s="106"/>
      <c r="H113" s="97"/>
      <c r="I113" s="50"/>
      <c r="J113" s="50"/>
      <c r="K113" s="50"/>
    </row>
    <row r="114" spans="3:11" x14ac:dyDescent="0.25">
      <c r="C114" s="106"/>
      <c r="H114" s="97"/>
      <c r="I114" s="50"/>
      <c r="J114" s="50"/>
      <c r="K114" s="50"/>
    </row>
    <row r="115" spans="3:11" x14ac:dyDescent="0.25">
      <c r="C115" s="106"/>
      <c r="H115" s="97"/>
      <c r="I115" s="50"/>
      <c r="J115" s="50"/>
      <c r="K115" s="50"/>
    </row>
    <row r="116" spans="3:11" x14ac:dyDescent="0.25">
      <c r="C116" s="106"/>
      <c r="H116" s="97"/>
      <c r="I116" s="50"/>
      <c r="J116" s="50"/>
      <c r="K116" s="50"/>
    </row>
    <row r="117" spans="3:11" x14ac:dyDescent="0.25">
      <c r="C117" s="106"/>
      <c r="H117" s="97"/>
      <c r="I117" s="50"/>
      <c r="J117" s="50"/>
      <c r="K117" s="50"/>
    </row>
    <row r="118" spans="3:11" x14ac:dyDescent="0.25">
      <c r="C118" s="106"/>
      <c r="H118" s="97"/>
      <c r="I118" s="50"/>
      <c r="J118" s="50"/>
      <c r="K118" s="50"/>
    </row>
    <row r="119" spans="3:11" x14ac:dyDescent="0.25">
      <c r="C119" s="106"/>
      <c r="H119" s="97"/>
      <c r="I119" s="50"/>
      <c r="J119" s="50"/>
      <c r="K119" s="50"/>
    </row>
    <row r="120" spans="3:11" x14ac:dyDescent="0.25">
      <c r="C120" s="106"/>
      <c r="H120" s="97"/>
      <c r="I120" s="50"/>
      <c r="J120" s="50"/>
      <c r="K120" s="50"/>
    </row>
    <row r="121" spans="3:11" x14ac:dyDescent="0.25">
      <c r="C121" s="106"/>
      <c r="H121" s="97"/>
      <c r="I121" s="50"/>
      <c r="J121" s="50"/>
      <c r="K121" s="50"/>
    </row>
    <row r="122" spans="3:11" x14ac:dyDescent="0.25">
      <c r="C122" s="106"/>
      <c r="H122" s="97"/>
      <c r="I122" s="50"/>
      <c r="J122" s="50"/>
      <c r="K122" s="50"/>
    </row>
    <row r="123" spans="3:11" x14ac:dyDescent="0.25">
      <c r="C123" s="106"/>
      <c r="H123" s="97"/>
      <c r="I123" s="50"/>
      <c r="J123" s="50"/>
      <c r="K123" s="50"/>
    </row>
    <row r="124" spans="3:11" x14ac:dyDescent="0.25">
      <c r="C124" s="106"/>
      <c r="H124" s="97"/>
      <c r="I124" s="50"/>
      <c r="J124" s="50"/>
      <c r="K124" s="50"/>
    </row>
    <row r="125" spans="3:11" x14ac:dyDescent="0.25">
      <c r="C125" s="106"/>
      <c r="H125" s="97"/>
      <c r="I125" s="50"/>
      <c r="J125" s="50"/>
      <c r="K125" s="50"/>
    </row>
    <row r="126" spans="3:11" x14ac:dyDescent="0.25">
      <c r="C126" s="106"/>
      <c r="H126" s="97"/>
      <c r="I126" s="50"/>
      <c r="J126" s="50"/>
      <c r="K126" s="50"/>
    </row>
    <row r="127" spans="3:11" x14ac:dyDescent="0.25">
      <c r="C127" s="106"/>
      <c r="H127" s="97"/>
      <c r="I127" s="50"/>
      <c r="J127" s="50"/>
      <c r="K127" s="50"/>
    </row>
    <row r="128" spans="3:11" x14ac:dyDescent="0.25">
      <c r="C128" s="106"/>
      <c r="H128" s="97"/>
      <c r="I128" s="50"/>
      <c r="J128" s="50"/>
      <c r="K128" s="50"/>
    </row>
    <row r="129" spans="3:11" x14ac:dyDescent="0.25">
      <c r="C129" s="106"/>
      <c r="H129" s="97"/>
      <c r="I129" s="50"/>
      <c r="J129" s="50"/>
      <c r="K129" s="50"/>
    </row>
    <row r="130" spans="3:11" x14ac:dyDescent="0.25">
      <c r="C130" s="106"/>
      <c r="H130" s="97"/>
      <c r="I130" s="50"/>
      <c r="J130" s="50"/>
      <c r="K130" s="50"/>
    </row>
    <row r="131" spans="3:11" x14ac:dyDescent="0.25">
      <c r="C131" s="106"/>
      <c r="H131" s="97"/>
      <c r="I131" s="50"/>
      <c r="J131" s="50"/>
      <c r="K131" s="50"/>
    </row>
    <row r="132" spans="3:11" x14ac:dyDescent="0.25">
      <c r="C132" s="106"/>
      <c r="H132" s="97"/>
      <c r="I132" s="50"/>
      <c r="J132" s="50"/>
      <c r="K132" s="50"/>
    </row>
    <row r="133" spans="3:11" x14ac:dyDescent="0.25">
      <c r="C133" s="106"/>
      <c r="H133" s="97"/>
      <c r="I133" s="50"/>
      <c r="J133" s="50"/>
      <c r="K133" s="50"/>
    </row>
    <row r="134" spans="3:11" x14ac:dyDescent="0.25">
      <c r="C134" s="106"/>
      <c r="H134" s="97"/>
      <c r="I134" s="50"/>
      <c r="J134" s="50"/>
      <c r="K134" s="50"/>
    </row>
    <row r="135" spans="3:11" x14ac:dyDescent="0.25">
      <c r="C135" s="106"/>
      <c r="H135" s="97"/>
      <c r="I135" s="50"/>
      <c r="J135" s="50"/>
      <c r="K135" s="50"/>
    </row>
    <row r="136" spans="3:11" x14ac:dyDescent="0.25">
      <c r="C136" s="106"/>
      <c r="H136" s="97"/>
      <c r="I136" s="50"/>
      <c r="J136" s="50"/>
      <c r="K136" s="50"/>
    </row>
    <row r="137" spans="3:11" x14ac:dyDescent="0.25">
      <c r="C137" s="106"/>
      <c r="H137" s="97"/>
      <c r="I137" s="50"/>
      <c r="J137" s="50"/>
      <c r="K137" s="50"/>
    </row>
    <row r="138" spans="3:11" x14ac:dyDescent="0.25">
      <c r="C138" s="106"/>
      <c r="H138" s="97"/>
      <c r="I138" s="50"/>
      <c r="J138" s="50"/>
      <c r="K138" s="50"/>
    </row>
    <row r="139" spans="3:11" x14ac:dyDescent="0.25">
      <c r="C139" s="106"/>
      <c r="H139" s="97"/>
      <c r="I139" s="50"/>
      <c r="J139" s="50"/>
      <c r="K139" s="50"/>
    </row>
    <row r="140" spans="3:11" x14ac:dyDescent="0.25">
      <c r="C140" s="106"/>
      <c r="H140" s="97"/>
      <c r="I140" s="50"/>
      <c r="J140" s="50"/>
      <c r="K140" s="50"/>
    </row>
    <row r="141" spans="3:11" x14ac:dyDescent="0.25">
      <c r="C141" s="106"/>
      <c r="H141" s="97"/>
      <c r="I141" s="50"/>
      <c r="J141" s="50"/>
      <c r="K141" s="50"/>
    </row>
    <row r="142" spans="3:11" x14ac:dyDescent="0.25">
      <c r="C142" s="106"/>
      <c r="H142" s="97"/>
      <c r="I142" s="50"/>
      <c r="J142" s="50"/>
      <c r="K142" s="50"/>
    </row>
    <row r="143" spans="3:11" x14ac:dyDescent="0.25">
      <c r="C143" s="106"/>
      <c r="H143" s="97"/>
      <c r="I143" s="50"/>
      <c r="J143" s="50"/>
      <c r="K143" s="50"/>
    </row>
    <row r="144" spans="3:11" x14ac:dyDescent="0.25">
      <c r="C144" s="106"/>
      <c r="H144" s="97"/>
      <c r="I144" s="50"/>
      <c r="J144" s="50"/>
      <c r="K144" s="50"/>
    </row>
    <row r="145" spans="3:11" x14ac:dyDescent="0.25">
      <c r="C145" s="106"/>
      <c r="H145" s="97"/>
      <c r="I145" s="50"/>
      <c r="J145" s="50"/>
      <c r="K145" s="50"/>
    </row>
    <row r="146" spans="3:11" x14ac:dyDescent="0.25">
      <c r="C146" s="106"/>
      <c r="H146" s="97"/>
      <c r="I146" s="50"/>
      <c r="J146" s="50"/>
      <c r="K146" s="50"/>
    </row>
    <row r="147" spans="3:11" x14ac:dyDescent="0.25">
      <c r="C147" s="106"/>
      <c r="H147" s="97"/>
      <c r="I147" s="50"/>
      <c r="J147" s="50"/>
      <c r="K147" s="50"/>
    </row>
    <row r="148" spans="3:11" x14ac:dyDescent="0.25">
      <c r="C148" s="106"/>
      <c r="H148" s="97"/>
      <c r="I148" s="50"/>
      <c r="J148" s="50"/>
      <c r="K148" s="50"/>
    </row>
    <row r="149" spans="3:11" x14ac:dyDescent="0.25">
      <c r="C149" s="106"/>
      <c r="H149" s="97"/>
      <c r="I149" s="50"/>
      <c r="J149" s="50"/>
      <c r="K149" s="50"/>
    </row>
    <row r="150" spans="3:11" x14ac:dyDescent="0.25">
      <c r="C150" s="106"/>
      <c r="H150" s="97"/>
      <c r="I150" s="50"/>
      <c r="J150" s="50"/>
      <c r="K150" s="50"/>
    </row>
    <row r="151" spans="3:11" x14ac:dyDescent="0.25">
      <c r="C151" s="106"/>
      <c r="H151" s="97"/>
      <c r="I151" s="50"/>
      <c r="J151" s="50"/>
      <c r="K151" s="50"/>
    </row>
    <row r="152" spans="3:11" x14ac:dyDescent="0.25">
      <c r="C152" s="106"/>
      <c r="H152" s="97"/>
      <c r="I152" s="50"/>
      <c r="J152" s="50"/>
      <c r="K152" s="50"/>
    </row>
    <row r="153" spans="3:11" x14ac:dyDescent="0.25">
      <c r="C153" s="106"/>
      <c r="H153" s="97"/>
      <c r="I153" s="50"/>
      <c r="J153" s="50"/>
      <c r="K153" s="50"/>
    </row>
    <row r="154" spans="3:11" x14ac:dyDescent="0.25">
      <c r="C154" s="106"/>
      <c r="H154" s="97"/>
      <c r="I154" s="50"/>
      <c r="J154" s="50"/>
      <c r="K154" s="50"/>
    </row>
    <row r="155" spans="3:11" x14ac:dyDescent="0.25">
      <c r="C155" s="106"/>
      <c r="H155" s="97"/>
      <c r="I155" s="50"/>
      <c r="J155" s="50"/>
      <c r="K155" s="50"/>
    </row>
    <row r="156" spans="3:11" x14ac:dyDescent="0.25">
      <c r="C156" s="106"/>
      <c r="H156" s="97"/>
      <c r="I156" s="50"/>
      <c r="J156" s="50"/>
      <c r="K156" s="50"/>
    </row>
    <row r="157" spans="3:11" x14ac:dyDescent="0.25">
      <c r="C157" s="106"/>
      <c r="H157" s="97"/>
      <c r="I157" s="50"/>
      <c r="J157" s="50"/>
      <c r="K157" s="50"/>
    </row>
    <row r="158" spans="3:11" x14ac:dyDescent="0.25">
      <c r="C158" s="106"/>
      <c r="H158" s="97"/>
      <c r="I158" s="50"/>
      <c r="J158" s="50"/>
      <c r="K158" s="50"/>
    </row>
    <row r="159" spans="3:11" x14ac:dyDescent="0.25">
      <c r="C159" s="106"/>
      <c r="H159" s="97"/>
      <c r="I159" s="50"/>
      <c r="J159" s="50"/>
      <c r="K159" s="50"/>
    </row>
    <row r="160" spans="3:11" x14ac:dyDescent="0.25">
      <c r="C160" s="106"/>
      <c r="H160" s="97"/>
      <c r="I160" s="50"/>
      <c r="J160" s="50"/>
      <c r="K160" s="50"/>
    </row>
    <row r="161" spans="3:11" x14ac:dyDescent="0.25">
      <c r="C161" s="106"/>
      <c r="H161" s="97"/>
      <c r="I161" s="50"/>
      <c r="J161" s="50"/>
      <c r="K161" s="50"/>
    </row>
    <row r="162" spans="3:11" x14ac:dyDescent="0.25">
      <c r="C162" s="106"/>
      <c r="H162" s="97"/>
      <c r="I162" s="50"/>
      <c r="J162" s="50"/>
      <c r="K162" s="50"/>
    </row>
    <row r="163" spans="3:11" x14ac:dyDescent="0.25">
      <c r="C163" s="106"/>
      <c r="H163" s="97"/>
      <c r="I163" s="50"/>
      <c r="J163" s="50"/>
      <c r="K163" s="50"/>
    </row>
    <row r="164" spans="3:11" x14ac:dyDescent="0.25">
      <c r="C164" s="106"/>
      <c r="H164" s="97"/>
      <c r="I164" s="50"/>
      <c r="J164" s="50"/>
      <c r="K164" s="50"/>
    </row>
    <row r="165" spans="3:11" x14ac:dyDescent="0.25">
      <c r="C165" s="106"/>
      <c r="H165" s="97"/>
      <c r="I165" s="50"/>
      <c r="J165" s="50"/>
      <c r="K165" s="50"/>
    </row>
    <row r="166" spans="3:11" x14ac:dyDescent="0.25">
      <c r="C166" s="106"/>
      <c r="H166" s="97"/>
      <c r="I166" s="50"/>
      <c r="J166" s="50"/>
      <c r="K166" s="50"/>
    </row>
    <row r="167" spans="3:11" x14ac:dyDescent="0.25">
      <c r="C167" s="106"/>
      <c r="H167" s="97"/>
      <c r="I167" s="50"/>
      <c r="J167" s="50"/>
      <c r="K167" s="50"/>
    </row>
    <row r="168" spans="3:11" x14ac:dyDescent="0.25">
      <c r="C168" s="106"/>
      <c r="H168" s="97"/>
      <c r="I168" s="50"/>
      <c r="J168" s="50"/>
      <c r="K168" s="50"/>
    </row>
    <row r="169" spans="3:11" x14ac:dyDescent="0.25">
      <c r="C169" s="106"/>
      <c r="H169" s="97"/>
      <c r="I169" s="50"/>
      <c r="J169" s="50"/>
      <c r="K169" s="50"/>
    </row>
    <row r="170" spans="3:11" x14ac:dyDescent="0.25">
      <c r="C170" s="106"/>
      <c r="H170" s="97"/>
      <c r="I170" s="50"/>
      <c r="J170" s="50"/>
      <c r="K170" s="50"/>
    </row>
    <row r="171" spans="3:11" x14ac:dyDescent="0.25">
      <c r="C171" s="106"/>
      <c r="H171" s="97"/>
      <c r="I171" s="50"/>
      <c r="J171" s="50"/>
      <c r="K171" s="50"/>
    </row>
    <row r="172" spans="3:11" x14ac:dyDescent="0.25">
      <c r="C172" s="106"/>
      <c r="H172" s="97"/>
      <c r="I172" s="50"/>
      <c r="J172" s="50"/>
      <c r="K172" s="50"/>
    </row>
    <row r="173" spans="3:11" x14ac:dyDescent="0.25">
      <c r="C173" s="106"/>
      <c r="H173" s="97"/>
      <c r="I173" s="50"/>
      <c r="J173" s="50"/>
      <c r="K173" s="50"/>
    </row>
    <row r="174" spans="3:11" x14ac:dyDescent="0.25">
      <c r="C174" s="106"/>
      <c r="H174" s="97"/>
      <c r="I174" s="50"/>
      <c r="J174" s="50"/>
      <c r="K174" s="50"/>
    </row>
    <row r="175" spans="3:11" x14ac:dyDescent="0.25">
      <c r="C175" s="106"/>
      <c r="H175" s="97"/>
      <c r="I175" s="50"/>
      <c r="J175" s="50"/>
      <c r="K175" s="50"/>
    </row>
    <row r="176" spans="3:11" x14ac:dyDescent="0.25">
      <c r="C176" s="106"/>
      <c r="H176" s="97"/>
      <c r="I176" s="50"/>
      <c r="J176" s="50"/>
      <c r="K176" s="50"/>
    </row>
    <row r="177" spans="3:11" x14ac:dyDescent="0.25">
      <c r="C177" s="106"/>
      <c r="H177" s="97"/>
      <c r="I177" s="50"/>
      <c r="J177" s="50"/>
      <c r="K177" s="50"/>
    </row>
    <row r="178" spans="3:11" x14ac:dyDescent="0.25">
      <c r="C178" s="106"/>
      <c r="H178" s="97"/>
      <c r="I178" s="50"/>
      <c r="J178" s="50"/>
      <c r="K178" s="50"/>
    </row>
    <row r="179" spans="3:11" x14ac:dyDescent="0.25">
      <c r="C179" s="106"/>
      <c r="H179" s="97"/>
      <c r="I179" s="50"/>
      <c r="J179" s="50"/>
      <c r="K179" s="50"/>
    </row>
    <row r="180" spans="3:11" x14ac:dyDescent="0.25">
      <c r="C180" s="106"/>
      <c r="H180" s="97"/>
      <c r="I180" s="50"/>
      <c r="J180" s="50"/>
      <c r="K180" s="50"/>
    </row>
    <row r="181" spans="3:11" x14ac:dyDescent="0.25">
      <c r="C181" s="106"/>
      <c r="H181" s="97"/>
      <c r="I181" s="50"/>
      <c r="J181" s="50"/>
      <c r="K181" s="50"/>
    </row>
    <row r="182" spans="3:11" x14ac:dyDescent="0.25">
      <c r="C182" s="106"/>
      <c r="H182" s="97"/>
      <c r="I182" s="50"/>
      <c r="J182" s="50"/>
      <c r="K182" s="50"/>
    </row>
    <row r="183" spans="3:11" x14ac:dyDescent="0.25">
      <c r="C183" s="106"/>
      <c r="H183" s="97"/>
      <c r="I183" s="50"/>
      <c r="J183" s="50"/>
      <c r="K183" s="50"/>
    </row>
    <row r="184" spans="3:11" x14ac:dyDescent="0.25">
      <c r="C184" s="106"/>
      <c r="H184" s="97"/>
      <c r="I184" s="50"/>
      <c r="J184" s="50"/>
      <c r="K184" s="50"/>
    </row>
    <row r="185" spans="3:11" x14ac:dyDescent="0.25">
      <c r="C185" s="106"/>
      <c r="H185" s="97"/>
      <c r="I185" s="50"/>
      <c r="J185" s="50"/>
      <c r="K185" s="50"/>
    </row>
    <row r="186" spans="3:11" x14ac:dyDescent="0.25">
      <c r="C186" s="106"/>
      <c r="H186" s="97"/>
      <c r="I186" s="50"/>
      <c r="J186" s="50"/>
      <c r="K186" s="50"/>
    </row>
    <row r="187" spans="3:11" x14ac:dyDescent="0.25">
      <c r="C187" s="106"/>
      <c r="H187" s="97"/>
      <c r="I187" s="50"/>
      <c r="J187" s="50"/>
      <c r="K187" s="50"/>
    </row>
    <row r="188" spans="3:11" x14ac:dyDescent="0.25">
      <c r="C188" s="106"/>
      <c r="H188" s="97"/>
      <c r="I188" s="50"/>
      <c r="J188" s="50"/>
      <c r="K188" s="50"/>
    </row>
    <row r="189" spans="3:11" x14ac:dyDescent="0.25">
      <c r="C189" s="106"/>
      <c r="H189" s="97"/>
      <c r="I189" s="50"/>
      <c r="J189" s="50"/>
      <c r="K189" s="50"/>
    </row>
    <row r="190" spans="3:11" x14ac:dyDescent="0.25">
      <c r="C190" s="106"/>
      <c r="H190" s="97"/>
      <c r="I190" s="50"/>
      <c r="J190" s="50"/>
      <c r="K190" s="50"/>
    </row>
    <row r="191" spans="3:11" x14ac:dyDescent="0.25">
      <c r="C191" s="106"/>
      <c r="H191" s="97"/>
      <c r="I191" s="50"/>
      <c r="J191" s="50"/>
      <c r="K191" s="50"/>
    </row>
    <row r="192" spans="3:11" x14ac:dyDescent="0.25">
      <c r="C192" s="106"/>
      <c r="H192" s="97"/>
      <c r="I192" s="50"/>
      <c r="J192" s="50"/>
      <c r="K192" s="50"/>
    </row>
    <row r="193" spans="3:11" x14ac:dyDescent="0.25">
      <c r="C193" s="106"/>
      <c r="H193" s="97"/>
      <c r="I193" s="50"/>
      <c r="J193" s="50"/>
      <c r="K193" s="50"/>
    </row>
    <row r="194" spans="3:11" x14ac:dyDescent="0.25">
      <c r="C194" s="106"/>
      <c r="H194" s="97"/>
      <c r="I194" s="50"/>
      <c r="J194" s="50"/>
      <c r="K194" s="50"/>
    </row>
    <row r="195" spans="3:11" x14ac:dyDescent="0.25">
      <c r="C195" s="106"/>
      <c r="H195" s="97"/>
      <c r="I195" s="50"/>
      <c r="J195" s="50"/>
      <c r="K195" s="50"/>
    </row>
    <row r="196" spans="3:11" x14ac:dyDescent="0.25">
      <c r="C196" s="106"/>
      <c r="H196" s="97"/>
      <c r="I196" s="50"/>
      <c r="J196" s="50"/>
      <c r="K196" s="50"/>
    </row>
    <row r="197" spans="3:11" x14ac:dyDescent="0.25">
      <c r="C197" s="106"/>
      <c r="H197" s="97"/>
      <c r="I197" s="50"/>
      <c r="J197" s="50"/>
      <c r="K197" s="50"/>
    </row>
    <row r="198" spans="3:11" x14ac:dyDescent="0.25">
      <c r="C198" s="106"/>
      <c r="H198" s="97"/>
      <c r="I198" s="50"/>
      <c r="J198" s="50"/>
      <c r="K198" s="50"/>
    </row>
    <row r="199" spans="3:11" x14ac:dyDescent="0.25">
      <c r="C199" s="106"/>
      <c r="H199" s="97"/>
      <c r="I199" s="50"/>
      <c r="J199" s="50"/>
      <c r="K199" s="50"/>
    </row>
    <row r="200" spans="3:11" x14ac:dyDescent="0.25">
      <c r="C200" s="106"/>
      <c r="H200" s="97"/>
      <c r="I200" s="50"/>
      <c r="J200" s="50"/>
      <c r="K200" s="50"/>
    </row>
    <row r="201" spans="3:11" x14ac:dyDescent="0.25">
      <c r="C201" s="106"/>
      <c r="H201" s="97"/>
      <c r="I201" s="50"/>
      <c r="J201" s="50"/>
      <c r="K201" s="50"/>
    </row>
    <row r="202" spans="3:11" x14ac:dyDescent="0.25">
      <c r="C202" s="106"/>
      <c r="H202" s="97"/>
      <c r="I202" s="50"/>
      <c r="J202" s="50"/>
      <c r="K202" s="50"/>
    </row>
    <row r="203" spans="3:11" x14ac:dyDescent="0.25">
      <c r="C203" s="106"/>
      <c r="H203" s="97"/>
      <c r="I203" s="50"/>
      <c r="J203" s="50"/>
      <c r="K203" s="50"/>
    </row>
    <row r="204" spans="3:11" x14ac:dyDescent="0.25">
      <c r="C204" s="106"/>
      <c r="H204" s="97"/>
      <c r="I204" s="50"/>
      <c r="J204" s="50"/>
      <c r="K204" s="50"/>
    </row>
    <row r="205" spans="3:11" x14ac:dyDescent="0.25">
      <c r="C205" s="106"/>
      <c r="H205" s="97"/>
      <c r="I205" s="50"/>
      <c r="J205" s="50"/>
      <c r="K205" s="50"/>
    </row>
    <row r="206" spans="3:11" x14ac:dyDescent="0.25">
      <c r="C206" s="106"/>
      <c r="H206" s="97"/>
      <c r="I206" s="50"/>
      <c r="J206" s="50"/>
      <c r="K206" s="50"/>
    </row>
    <row r="207" spans="3:11" x14ac:dyDescent="0.25">
      <c r="C207" s="106"/>
      <c r="H207" s="97"/>
      <c r="I207" s="50"/>
      <c r="J207" s="50"/>
      <c r="K207" s="50"/>
    </row>
    <row r="208" spans="3:11" x14ac:dyDescent="0.25">
      <c r="C208" s="106"/>
      <c r="H208" s="97"/>
      <c r="I208" s="50"/>
      <c r="J208" s="50"/>
      <c r="K208" s="50"/>
    </row>
    <row r="209" spans="3:11" x14ac:dyDescent="0.25">
      <c r="C209" s="106"/>
      <c r="H209" s="97"/>
      <c r="I209" s="50"/>
      <c r="J209" s="50"/>
      <c r="K209" s="50"/>
    </row>
    <row r="210" spans="3:11" x14ac:dyDescent="0.25">
      <c r="C210" s="106"/>
      <c r="H210" s="97"/>
      <c r="I210" s="50"/>
      <c r="J210" s="50"/>
      <c r="K210" s="50"/>
    </row>
    <row r="211" spans="3:11" x14ac:dyDescent="0.25">
      <c r="C211" s="106"/>
      <c r="H211" s="97"/>
      <c r="I211" s="50"/>
      <c r="J211" s="50"/>
      <c r="K211" s="50"/>
    </row>
    <row r="212" spans="3:11" x14ac:dyDescent="0.25">
      <c r="C212" s="106"/>
      <c r="H212" s="97"/>
      <c r="I212" s="50"/>
      <c r="J212" s="50"/>
      <c r="K212" s="50"/>
    </row>
    <row r="213" spans="3:11" x14ac:dyDescent="0.25">
      <c r="C213" s="106"/>
      <c r="H213" s="97"/>
      <c r="I213" s="50"/>
      <c r="J213" s="50"/>
      <c r="K213" s="50"/>
    </row>
    <row r="214" spans="3:11" x14ac:dyDescent="0.25">
      <c r="C214" s="106"/>
      <c r="H214" s="97"/>
      <c r="I214" s="50"/>
      <c r="J214" s="50"/>
      <c r="K214" s="50"/>
    </row>
    <row r="215" spans="3:11" x14ac:dyDescent="0.25">
      <c r="C215" s="106"/>
      <c r="H215" s="97"/>
      <c r="I215" s="50"/>
      <c r="J215" s="50"/>
      <c r="K215" s="50"/>
    </row>
    <row r="216" spans="3:11" x14ac:dyDescent="0.25">
      <c r="C216" s="106"/>
      <c r="H216" s="97"/>
      <c r="I216" s="50"/>
      <c r="J216" s="50"/>
      <c r="K216" s="50"/>
    </row>
    <row r="217" spans="3:11" x14ac:dyDescent="0.25">
      <c r="C217" s="106"/>
      <c r="H217" s="97"/>
      <c r="I217" s="50"/>
      <c r="J217" s="50"/>
      <c r="K217" s="50"/>
    </row>
    <row r="218" spans="3:11" x14ac:dyDescent="0.25">
      <c r="C218" s="106"/>
      <c r="H218" s="97"/>
      <c r="I218" s="50"/>
      <c r="J218" s="50"/>
      <c r="K218" s="50"/>
    </row>
    <row r="219" spans="3:11" x14ac:dyDescent="0.25">
      <c r="C219" s="106"/>
      <c r="H219" s="97"/>
      <c r="I219" s="50"/>
      <c r="J219" s="50"/>
      <c r="K219" s="50"/>
    </row>
    <row r="220" spans="3:11" x14ac:dyDescent="0.25">
      <c r="C220" s="106"/>
      <c r="H220" s="97"/>
      <c r="I220" s="50"/>
      <c r="J220" s="50"/>
      <c r="K220" s="50"/>
    </row>
    <row r="221" spans="3:11" x14ac:dyDescent="0.25">
      <c r="C221" s="106"/>
      <c r="H221" s="97"/>
      <c r="I221" s="50"/>
      <c r="J221" s="50"/>
      <c r="K221" s="50"/>
    </row>
    <row r="222" spans="3:11" x14ac:dyDescent="0.25">
      <c r="C222" s="106"/>
      <c r="H222" s="97"/>
      <c r="I222" s="50"/>
      <c r="J222" s="50"/>
      <c r="K222" s="50"/>
    </row>
    <row r="223" spans="3:11" x14ac:dyDescent="0.25">
      <c r="C223" s="106"/>
      <c r="H223" s="97"/>
      <c r="I223" s="50"/>
      <c r="J223" s="50"/>
      <c r="K223" s="50"/>
    </row>
    <row r="224" spans="3:11" x14ac:dyDescent="0.25">
      <c r="C224" s="106"/>
      <c r="H224" s="97"/>
      <c r="I224" s="50"/>
      <c r="J224" s="50"/>
      <c r="K224" s="50"/>
    </row>
    <row r="225" spans="3:11" x14ac:dyDescent="0.25">
      <c r="C225" s="106"/>
      <c r="H225" s="97"/>
      <c r="I225" s="50"/>
      <c r="J225" s="50"/>
      <c r="K225" s="50"/>
    </row>
    <row r="226" spans="3:11" x14ac:dyDescent="0.25">
      <c r="C226" s="106"/>
      <c r="H226" s="97"/>
      <c r="I226" s="50"/>
      <c r="J226" s="50"/>
      <c r="K226" s="50"/>
    </row>
    <row r="227" spans="3:11" x14ac:dyDescent="0.25">
      <c r="C227" s="106"/>
      <c r="H227" s="97"/>
      <c r="I227" s="50"/>
      <c r="J227" s="50"/>
      <c r="K227" s="50"/>
    </row>
    <row r="228" spans="3:11" x14ac:dyDescent="0.25">
      <c r="C228" s="106"/>
      <c r="H228" s="97"/>
      <c r="I228" s="50"/>
      <c r="J228" s="50"/>
      <c r="K228" s="50"/>
    </row>
    <row r="229" spans="3:11" x14ac:dyDescent="0.25">
      <c r="C229" s="106"/>
      <c r="H229" s="97"/>
      <c r="I229" s="50"/>
      <c r="J229" s="50"/>
      <c r="K229" s="50"/>
    </row>
    <row r="230" spans="3:11" x14ac:dyDescent="0.25">
      <c r="C230" s="106"/>
      <c r="H230" s="97"/>
      <c r="I230" s="50"/>
      <c r="J230" s="50"/>
      <c r="K230" s="50"/>
    </row>
    <row r="231" spans="3:11" x14ac:dyDescent="0.25">
      <c r="C231" s="106"/>
      <c r="H231" s="97"/>
      <c r="I231" s="50"/>
      <c r="J231" s="50"/>
      <c r="K231" s="50"/>
    </row>
    <row r="232" spans="3:11" x14ac:dyDescent="0.25">
      <c r="C232" s="106"/>
      <c r="H232" s="97"/>
      <c r="I232" s="50"/>
      <c r="J232" s="50"/>
      <c r="K232" s="50"/>
    </row>
    <row r="233" spans="3:11" x14ac:dyDescent="0.25">
      <c r="C233" s="106"/>
      <c r="H233" s="97"/>
      <c r="I233" s="50"/>
      <c r="J233" s="50"/>
      <c r="K233" s="50"/>
    </row>
    <row r="234" spans="3:11" x14ac:dyDescent="0.25">
      <c r="C234" s="106"/>
      <c r="H234" s="97"/>
      <c r="I234" s="50"/>
      <c r="J234" s="50"/>
      <c r="K234" s="50"/>
    </row>
    <row r="235" spans="3:11" x14ac:dyDescent="0.25">
      <c r="C235" s="106"/>
      <c r="H235" s="97"/>
      <c r="I235" s="50"/>
      <c r="J235" s="50"/>
      <c r="K235" s="50"/>
    </row>
    <row r="236" spans="3:11" x14ac:dyDescent="0.25">
      <c r="C236" s="106"/>
      <c r="H236" s="97"/>
      <c r="I236" s="50"/>
      <c r="J236" s="50"/>
      <c r="K236" s="50"/>
    </row>
    <row r="237" spans="3:11" x14ac:dyDescent="0.25">
      <c r="C237" s="106"/>
      <c r="H237" s="97"/>
      <c r="I237" s="50"/>
      <c r="J237" s="50"/>
      <c r="K237" s="50"/>
    </row>
    <row r="238" spans="3:11" x14ac:dyDescent="0.25">
      <c r="C238" s="106"/>
      <c r="H238" s="97"/>
      <c r="I238" s="50"/>
      <c r="J238" s="50"/>
      <c r="K238" s="50"/>
    </row>
    <row r="239" spans="3:11" x14ac:dyDescent="0.25">
      <c r="C239" s="106"/>
      <c r="H239" s="97"/>
      <c r="I239" s="50"/>
      <c r="J239" s="50"/>
      <c r="K239" s="50"/>
    </row>
    <row r="240" spans="3:11" x14ac:dyDescent="0.25">
      <c r="C240" s="106"/>
      <c r="H240" s="97"/>
      <c r="I240" s="50"/>
      <c r="J240" s="50"/>
      <c r="K240" s="50"/>
    </row>
    <row r="241" spans="3:11" x14ac:dyDescent="0.25">
      <c r="C241" s="106"/>
      <c r="H241" s="97"/>
      <c r="I241" s="50"/>
      <c r="J241" s="50"/>
      <c r="K241" s="50"/>
    </row>
    <row r="242" spans="3:11" x14ac:dyDescent="0.25">
      <c r="C242" s="106"/>
      <c r="H242" s="97"/>
      <c r="I242" s="50"/>
      <c r="J242" s="50"/>
      <c r="K242" s="50"/>
    </row>
    <row r="243" spans="3:11" x14ac:dyDescent="0.25">
      <c r="C243" s="106"/>
      <c r="H243" s="97"/>
      <c r="I243" s="50"/>
      <c r="J243" s="50"/>
      <c r="K243" s="50"/>
    </row>
    <row r="244" spans="3:11" x14ac:dyDescent="0.25">
      <c r="C244" s="106"/>
      <c r="H244" s="97"/>
      <c r="I244" s="50"/>
      <c r="J244" s="50"/>
      <c r="K244" s="50"/>
    </row>
    <row r="245" spans="3:11" x14ac:dyDescent="0.25">
      <c r="C245" s="106"/>
      <c r="H245" s="97"/>
      <c r="I245" s="50"/>
      <c r="J245" s="50"/>
      <c r="K245" s="50"/>
    </row>
    <row r="246" spans="3:11" x14ac:dyDescent="0.25">
      <c r="C246" s="106"/>
      <c r="H246" s="97"/>
      <c r="I246" s="50"/>
      <c r="J246" s="50"/>
      <c r="K246" s="50"/>
    </row>
    <row r="247" spans="3:11" x14ac:dyDescent="0.25">
      <c r="C247" s="106"/>
      <c r="H247" s="97"/>
      <c r="I247" s="50"/>
      <c r="J247" s="50"/>
      <c r="K247" s="50"/>
    </row>
    <row r="248" spans="3:11" x14ac:dyDescent="0.25">
      <c r="C248" s="106"/>
      <c r="H248" s="97"/>
      <c r="I248" s="50"/>
      <c r="J248" s="50"/>
      <c r="K248" s="50"/>
    </row>
    <row r="249" spans="3:11" x14ac:dyDescent="0.25">
      <c r="C249" s="106"/>
      <c r="H249" s="97"/>
      <c r="I249" s="50"/>
      <c r="J249" s="50"/>
      <c r="K249" s="50"/>
    </row>
    <row r="250" spans="3:11" x14ac:dyDescent="0.25">
      <c r="C250" s="106"/>
      <c r="H250" s="97"/>
      <c r="I250" s="50"/>
      <c r="J250" s="50"/>
      <c r="K250" s="50"/>
    </row>
    <row r="251" spans="3:11" x14ac:dyDescent="0.25">
      <c r="C251" s="106"/>
      <c r="H251" s="97"/>
      <c r="I251" s="50"/>
      <c r="J251" s="50"/>
      <c r="K251" s="50"/>
    </row>
    <row r="252" spans="3:11" x14ac:dyDescent="0.25">
      <c r="C252" s="106"/>
      <c r="H252" s="97"/>
      <c r="I252" s="50"/>
      <c r="J252" s="50"/>
      <c r="K252" s="50"/>
    </row>
    <row r="253" spans="3:11" x14ac:dyDescent="0.25">
      <c r="C253" s="106"/>
      <c r="H253" s="97"/>
      <c r="I253" s="50"/>
      <c r="J253" s="50"/>
      <c r="K253" s="50"/>
    </row>
    <row r="254" spans="3:11" x14ac:dyDescent="0.25">
      <c r="C254" s="106"/>
      <c r="H254" s="97"/>
      <c r="I254" s="50"/>
      <c r="J254" s="50"/>
      <c r="K254" s="50"/>
    </row>
    <row r="255" spans="3:11" x14ac:dyDescent="0.25">
      <c r="C255" s="106"/>
      <c r="H255" s="97"/>
      <c r="I255" s="50"/>
      <c r="J255" s="50"/>
      <c r="K255" s="50"/>
    </row>
    <row r="256" spans="3:11" x14ac:dyDescent="0.25">
      <c r="C256" s="106"/>
      <c r="H256" s="97"/>
      <c r="I256" s="50"/>
      <c r="J256" s="50"/>
      <c r="K256" s="50"/>
    </row>
    <row r="257" spans="3:11" x14ac:dyDescent="0.25">
      <c r="C257" s="106"/>
      <c r="H257" s="97"/>
      <c r="I257" s="50"/>
      <c r="J257" s="50"/>
      <c r="K257" s="50"/>
    </row>
    <row r="258" spans="3:11" x14ac:dyDescent="0.25">
      <c r="C258" s="106"/>
      <c r="H258" s="97"/>
      <c r="I258" s="50"/>
      <c r="J258" s="50"/>
      <c r="K258" s="50"/>
    </row>
    <row r="259" spans="3:11" x14ac:dyDescent="0.25">
      <c r="C259" s="106"/>
      <c r="H259" s="97"/>
      <c r="I259" s="50"/>
      <c r="J259" s="50"/>
      <c r="K259" s="50"/>
    </row>
    <row r="260" spans="3:11" x14ac:dyDescent="0.25">
      <c r="C260" s="106"/>
      <c r="H260" s="97"/>
      <c r="I260" s="50"/>
      <c r="J260" s="50"/>
      <c r="K260" s="50"/>
    </row>
    <row r="261" spans="3:11" x14ac:dyDescent="0.25">
      <c r="C261" s="106"/>
      <c r="H261" s="97"/>
      <c r="I261" s="50"/>
      <c r="J261" s="50"/>
      <c r="K261" s="50"/>
    </row>
    <row r="262" spans="3:11" x14ac:dyDescent="0.25">
      <c r="C262" s="106"/>
      <c r="H262" s="97"/>
      <c r="I262" s="50"/>
      <c r="J262" s="50"/>
      <c r="K262" s="50"/>
    </row>
    <row r="263" spans="3:11" x14ac:dyDescent="0.25">
      <c r="C263" s="106"/>
      <c r="H263" s="97"/>
      <c r="I263" s="50"/>
      <c r="J263" s="50"/>
      <c r="K263" s="50"/>
    </row>
    <row r="264" spans="3:11" x14ac:dyDescent="0.25">
      <c r="C264" s="106"/>
      <c r="H264" s="97"/>
      <c r="I264" s="50"/>
      <c r="J264" s="50"/>
      <c r="K264" s="50"/>
    </row>
    <row r="265" spans="3:11" x14ac:dyDescent="0.25">
      <c r="C265" s="106"/>
      <c r="H265" s="97"/>
      <c r="I265" s="50"/>
      <c r="J265" s="50"/>
      <c r="K265" s="50"/>
    </row>
    <row r="266" spans="3:11" x14ac:dyDescent="0.25">
      <c r="C266" s="106"/>
      <c r="H266" s="97"/>
      <c r="I266" s="50"/>
      <c r="J266" s="50"/>
      <c r="K266" s="50"/>
    </row>
    <row r="267" spans="3:11" x14ac:dyDescent="0.25">
      <c r="C267" s="106"/>
      <c r="H267" s="97"/>
      <c r="I267" s="50"/>
      <c r="J267" s="50"/>
      <c r="K267" s="50"/>
    </row>
    <row r="268" spans="3:11" x14ac:dyDescent="0.25">
      <c r="C268" s="106"/>
      <c r="H268" s="97"/>
      <c r="I268" s="50"/>
      <c r="J268" s="50"/>
      <c r="K268" s="50"/>
    </row>
    <row r="269" spans="3:11" x14ac:dyDescent="0.25">
      <c r="C269" s="106"/>
      <c r="H269" s="97"/>
      <c r="I269" s="50"/>
      <c r="J269" s="50"/>
      <c r="K269" s="50"/>
    </row>
    <row r="270" spans="3:11" x14ac:dyDescent="0.25">
      <c r="C270" s="106"/>
      <c r="H270" s="97"/>
      <c r="I270" s="50"/>
      <c r="J270" s="50"/>
      <c r="K270" s="50"/>
    </row>
    <row r="271" spans="3:11" x14ac:dyDescent="0.25">
      <c r="C271" s="106"/>
      <c r="H271" s="97"/>
      <c r="I271" s="50"/>
      <c r="J271" s="50"/>
      <c r="K271" s="50"/>
    </row>
    <row r="272" spans="3:11" x14ac:dyDescent="0.25">
      <c r="C272" s="106"/>
      <c r="H272" s="97"/>
      <c r="I272" s="50"/>
      <c r="J272" s="50"/>
      <c r="K272" s="50"/>
    </row>
    <row r="273" spans="3:11" x14ac:dyDescent="0.25">
      <c r="C273" s="106"/>
      <c r="H273" s="97"/>
      <c r="I273" s="50"/>
      <c r="J273" s="50"/>
      <c r="K273" s="50"/>
    </row>
    <row r="274" spans="3:11" x14ac:dyDescent="0.25">
      <c r="C274" s="106"/>
      <c r="H274" s="97"/>
      <c r="I274" s="50"/>
      <c r="J274" s="50"/>
      <c r="K274" s="50"/>
    </row>
    <row r="275" spans="3:11" x14ac:dyDescent="0.25">
      <c r="C275" s="106"/>
      <c r="H275" s="97"/>
      <c r="I275" s="50"/>
      <c r="J275" s="50"/>
      <c r="K275" s="50"/>
    </row>
    <row r="276" spans="3:11" x14ac:dyDescent="0.25">
      <c r="C276" s="106"/>
      <c r="H276" s="97"/>
      <c r="I276" s="50"/>
      <c r="J276" s="50"/>
      <c r="K276" s="50"/>
    </row>
    <row r="277" spans="3:11" x14ac:dyDescent="0.25">
      <c r="C277" s="106"/>
      <c r="H277" s="97"/>
      <c r="I277" s="50"/>
      <c r="J277" s="50"/>
      <c r="K277" s="50"/>
    </row>
    <row r="278" spans="3:11" x14ac:dyDescent="0.25">
      <c r="C278" s="106"/>
      <c r="H278" s="97"/>
      <c r="I278" s="50"/>
      <c r="J278" s="50"/>
      <c r="K278" s="50"/>
    </row>
    <row r="279" spans="3:11" x14ac:dyDescent="0.25">
      <c r="C279" s="106"/>
      <c r="H279" s="97"/>
      <c r="I279" s="50"/>
      <c r="J279" s="50"/>
      <c r="K279" s="50"/>
    </row>
    <row r="280" spans="3:11" x14ac:dyDescent="0.25">
      <c r="C280" s="106"/>
      <c r="H280" s="97"/>
      <c r="I280" s="50"/>
      <c r="J280" s="50"/>
      <c r="K280" s="50"/>
    </row>
    <row r="281" spans="3:11" x14ac:dyDescent="0.25">
      <c r="C281" s="106"/>
      <c r="H281" s="97"/>
      <c r="I281" s="50"/>
      <c r="J281" s="50"/>
      <c r="K281" s="50"/>
    </row>
    <row r="282" spans="3:11" x14ac:dyDescent="0.25">
      <c r="C282" s="106"/>
      <c r="H282" s="97"/>
      <c r="I282" s="50"/>
      <c r="J282" s="50"/>
      <c r="K282" s="50"/>
    </row>
    <row r="283" spans="3:11" x14ac:dyDescent="0.25">
      <c r="C283" s="106"/>
      <c r="H283" s="97"/>
      <c r="I283" s="50"/>
      <c r="J283" s="50"/>
      <c r="K283" s="50"/>
    </row>
    <row r="284" spans="3:11" x14ac:dyDescent="0.25">
      <c r="C284" s="106"/>
      <c r="H284" s="97"/>
      <c r="I284" s="50"/>
      <c r="J284" s="50"/>
      <c r="K284" s="50"/>
    </row>
    <row r="285" spans="3:11" x14ac:dyDescent="0.25">
      <c r="C285" s="106"/>
      <c r="H285" s="97"/>
      <c r="I285" s="50"/>
      <c r="J285" s="50"/>
      <c r="K285" s="50"/>
    </row>
    <row r="286" spans="3:11" x14ac:dyDescent="0.25">
      <c r="C286" s="106"/>
      <c r="H286" s="97"/>
      <c r="I286" s="50"/>
      <c r="J286" s="50"/>
      <c r="K286" s="50"/>
    </row>
    <row r="287" spans="3:11" x14ac:dyDescent="0.25">
      <c r="C287" s="106"/>
      <c r="H287" s="97"/>
      <c r="I287" s="50"/>
      <c r="J287" s="50"/>
      <c r="K287" s="50"/>
    </row>
    <row r="288" spans="3:11" x14ac:dyDescent="0.25">
      <c r="C288" s="106"/>
      <c r="H288" s="97"/>
      <c r="I288" s="50"/>
      <c r="J288" s="50"/>
      <c r="K288" s="50"/>
    </row>
    <row r="289" spans="3:11" x14ac:dyDescent="0.25">
      <c r="C289" s="106"/>
      <c r="H289" s="97"/>
      <c r="I289" s="50"/>
      <c r="J289" s="50"/>
      <c r="K289" s="50"/>
    </row>
    <row r="290" spans="3:11" x14ac:dyDescent="0.25">
      <c r="C290" s="106"/>
      <c r="H290" s="97"/>
      <c r="I290" s="50"/>
      <c r="J290" s="50"/>
      <c r="K290" s="50"/>
    </row>
    <row r="291" spans="3:11" x14ac:dyDescent="0.25">
      <c r="C291" s="106"/>
      <c r="H291" s="97"/>
      <c r="I291" s="50"/>
      <c r="J291" s="50"/>
      <c r="K291" s="50"/>
    </row>
    <row r="292" spans="3:11" x14ac:dyDescent="0.25">
      <c r="C292" s="106"/>
      <c r="H292" s="97"/>
      <c r="I292" s="50"/>
      <c r="J292" s="50"/>
      <c r="K292" s="50"/>
    </row>
    <row r="293" spans="3:11" x14ac:dyDescent="0.25">
      <c r="C293" s="106"/>
      <c r="H293" s="97"/>
      <c r="I293" s="50"/>
      <c r="J293" s="50"/>
      <c r="K293" s="50"/>
    </row>
    <row r="294" spans="3:11" x14ac:dyDescent="0.25">
      <c r="C294" s="106"/>
      <c r="H294" s="97"/>
      <c r="I294" s="50"/>
      <c r="J294" s="50"/>
      <c r="K294" s="50"/>
    </row>
    <row r="295" spans="3:11" x14ac:dyDescent="0.25">
      <c r="C295" s="106"/>
      <c r="H295" s="97"/>
      <c r="I295" s="50"/>
      <c r="J295" s="50"/>
      <c r="K295" s="50"/>
    </row>
    <row r="296" spans="3:11" x14ac:dyDescent="0.25">
      <c r="C296" s="106"/>
      <c r="H296" s="97"/>
      <c r="I296" s="50"/>
      <c r="J296" s="50"/>
      <c r="K296" s="50"/>
    </row>
    <row r="297" spans="3:11" x14ac:dyDescent="0.25">
      <c r="C297" s="106"/>
      <c r="H297" s="97"/>
      <c r="I297" s="50"/>
      <c r="J297" s="50"/>
      <c r="K297" s="50"/>
    </row>
    <row r="298" spans="3:11" x14ac:dyDescent="0.25">
      <c r="C298" s="106"/>
      <c r="H298" s="97"/>
      <c r="I298" s="50"/>
      <c r="J298" s="50"/>
      <c r="K298" s="50"/>
    </row>
    <row r="299" spans="3:11" x14ac:dyDescent="0.25">
      <c r="C299" s="106"/>
      <c r="H299" s="97"/>
      <c r="I299" s="50"/>
      <c r="J299" s="50"/>
      <c r="K299" s="50"/>
    </row>
    <row r="300" spans="3:11" x14ac:dyDescent="0.25">
      <c r="C300" s="106"/>
      <c r="H300" s="97"/>
      <c r="I300" s="50"/>
      <c r="J300" s="50"/>
      <c r="K300" s="50"/>
    </row>
    <row r="301" spans="3:11" x14ac:dyDescent="0.25">
      <c r="C301" s="106"/>
      <c r="H301" s="97"/>
      <c r="I301" s="50"/>
      <c r="J301" s="50"/>
      <c r="K301" s="50"/>
    </row>
    <row r="302" spans="3:11" x14ac:dyDescent="0.25">
      <c r="C302" s="106"/>
      <c r="H302" s="97"/>
      <c r="I302" s="50"/>
      <c r="J302" s="50"/>
      <c r="K302" s="50"/>
    </row>
    <row r="303" spans="3:11" x14ac:dyDescent="0.25">
      <c r="C303" s="106"/>
      <c r="H303" s="97"/>
      <c r="I303" s="50"/>
      <c r="J303" s="50"/>
      <c r="K303" s="50"/>
    </row>
    <row r="304" spans="3:11" x14ac:dyDescent="0.25">
      <c r="C304" s="106"/>
      <c r="H304" s="97"/>
      <c r="I304" s="50"/>
      <c r="J304" s="50"/>
      <c r="K304" s="50"/>
    </row>
    <row r="305" spans="3:11" x14ac:dyDescent="0.25">
      <c r="C305" s="106"/>
      <c r="H305" s="97"/>
      <c r="I305" s="50"/>
      <c r="J305" s="50"/>
      <c r="K305" s="50"/>
    </row>
    <row r="306" spans="3:11" x14ac:dyDescent="0.25">
      <c r="C306" s="106"/>
      <c r="H306" s="97"/>
      <c r="I306" s="50"/>
      <c r="J306" s="50"/>
      <c r="K306" s="50"/>
    </row>
    <row r="307" spans="3:11" x14ac:dyDescent="0.25">
      <c r="C307" s="106"/>
      <c r="H307" s="97"/>
      <c r="I307" s="50"/>
      <c r="J307" s="50"/>
      <c r="K307" s="50"/>
    </row>
    <row r="308" spans="3:11" x14ac:dyDescent="0.25">
      <c r="C308" s="106"/>
      <c r="H308" s="97"/>
      <c r="I308" s="50"/>
      <c r="J308" s="50"/>
      <c r="K308" s="50"/>
    </row>
    <row r="309" spans="3:11" x14ac:dyDescent="0.25">
      <c r="C309" s="106"/>
      <c r="H309" s="97"/>
      <c r="I309" s="50"/>
      <c r="J309" s="50"/>
      <c r="K309" s="50"/>
    </row>
    <row r="310" spans="3:11" x14ac:dyDescent="0.25">
      <c r="C310" s="106"/>
      <c r="H310" s="97"/>
      <c r="I310" s="50"/>
      <c r="J310" s="50"/>
      <c r="K310" s="50"/>
    </row>
    <row r="311" spans="3:11" x14ac:dyDescent="0.25">
      <c r="C311" s="106"/>
      <c r="H311" s="97"/>
      <c r="I311" s="50"/>
      <c r="J311" s="50"/>
      <c r="K311" s="50"/>
    </row>
    <row r="312" spans="3:11" x14ac:dyDescent="0.25">
      <c r="C312" s="106"/>
      <c r="H312" s="97"/>
      <c r="I312" s="50"/>
      <c r="J312" s="50"/>
      <c r="K312" s="50"/>
    </row>
    <row r="313" spans="3:11" x14ac:dyDescent="0.25">
      <c r="C313" s="106"/>
      <c r="H313" s="97"/>
      <c r="I313" s="50"/>
      <c r="J313" s="50"/>
      <c r="K313" s="50"/>
    </row>
    <row r="314" spans="3:11" x14ac:dyDescent="0.25">
      <c r="C314" s="106"/>
      <c r="H314" s="97"/>
      <c r="I314" s="50"/>
      <c r="J314" s="50"/>
      <c r="K314" s="50"/>
    </row>
    <row r="315" spans="3:11" x14ac:dyDescent="0.25">
      <c r="C315" s="106"/>
      <c r="H315" s="97"/>
      <c r="I315" s="50"/>
      <c r="J315" s="50"/>
      <c r="K315" s="50"/>
    </row>
    <row r="316" spans="3:11" x14ac:dyDescent="0.25">
      <c r="C316" s="106"/>
      <c r="H316" s="97"/>
      <c r="I316" s="50"/>
      <c r="J316" s="50"/>
      <c r="K316" s="50"/>
    </row>
    <row r="317" spans="3:11" x14ac:dyDescent="0.25">
      <c r="C317" s="106"/>
      <c r="H317" s="97"/>
      <c r="I317" s="50"/>
      <c r="J317" s="50"/>
      <c r="K317" s="50"/>
    </row>
    <row r="318" spans="3:11" x14ac:dyDescent="0.25">
      <c r="C318" s="106"/>
      <c r="H318" s="97"/>
      <c r="I318" s="50"/>
      <c r="J318" s="50"/>
      <c r="K318" s="50"/>
    </row>
    <row r="319" spans="3:11" x14ac:dyDescent="0.25">
      <c r="C319" s="106"/>
      <c r="H319" s="97"/>
      <c r="I319" s="50"/>
      <c r="J319" s="50"/>
      <c r="K319" s="50"/>
    </row>
    <row r="320" spans="3:11" x14ac:dyDescent="0.25">
      <c r="C320" s="106"/>
      <c r="H320" s="97"/>
      <c r="I320" s="50"/>
      <c r="J320" s="50"/>
      <c r="K320" s="50"/>
    </row>
    <row r="321" spans="3:11" x14ac:dyDescent="0.25">
      <c r="C321" s="106"/>
      <c r="H321" s="97"/>
      <c r="I321" s="50"/>
      <c r="J321" s="50"/>
      <c r="K321" s="50"/>
    </row>
    <row r="322" spans="3:11" x14ac:dyDescent="0.25">
      <c r="C322" s="106"/>
      <c r="H322" s="97"/>
      <c r="I322" s="50"/>
      <c r="J322" s="50"/>
      <c r="K322" s="50"/>
    </row>
    <row r="323" spans="3:11" x14ac:dyDescent="0.25">
      <c r="C323" s="106"/>
      <c r="H323" s="97"/>
      <c r="I323" s="50"/>
      <c r="J323" s="50"/>
      <c r="K323" s="50"/>
    </row>
    <row r="324" spans="3:11" x14ac:dyDescent="0.25">
      <c r="C324" s="106"/>
      <c r="H324" s="97"/>
      <c r="I324" s="50"/>
      <c r="J324" s="50"/>
      <c r="K324" s="50"/>
    </row>
    <row r="325" spans="3:11" x14ac:dyDescent="0.25">
      <c r="C325" s="106"/>
      <c r="H325" s="97"/>
      <c r="I325" s="50"/>
      <c r="J325" s="50"/>
      <c r="K325" s="50"/>
    </row>
    <row r="326" spans="3:11" x14ac:dyDescent="0.25">
      <c r="C326" s="106"/>
      <c r="H326" s="97"/>
      <c r="I326" s="50"/>
      <c r="J326" s="50"/>
      <c r="K326" s="50"/>
    </row>
    <row r="327" spans="3:11" x14ac:dyDescent="0.25">
      <c r="C327" s="106"/>
      <c r="H327" s="97"/>
      <c r="I327" s="50"/>
      <c r="J327" s="50"/>
      <c r="K327" s="50"/>
    </row>
    <row r="328" spans="3:11" x14ac:dyDescent="0.25">
      <c r="C328" s="106"/>
      <c r="H328" s="97"/>
      <c r="I328" s="50"/>
      <c r="J328" s="50"/>
      <c r="K328" s="50"/>
    </row>
    <row r="329" spans="3:11" x14ac:dyDescent="0.25">
      <c r="C329" s="106"/>
      <c r="H329" s="97"/>
      <c r="I329" s="50"/>
      <c r="J329" s="50"/>
      <c r="K329" s="50"/>
    </row>
    <row r="330" spans="3:11" x14ac:dyDescent="0.25">
      <c r="C330" s="106"/>
      <c r="H330" s="97"/>
      <c r="I330" s="50"/>
      <c r="J330" s="50"/>
      <c r="K330" s="50"/>
    </row>
    <row r="331" spans="3:11" x14ac:dyDescent="0.25">
      <c r="C331" s="106"/>
      <c r="H331" s="97"/>
      <c r="I331" s="50"/>
      <c r="J331" s="50"/>
      <c r="K331" s="50"/>
    </row>
    <row r="332" spans="3:11" x14ac:dyDescent="0.25">
      <c r="C332" s="106"/>
      <c r="H332" s="97"/>
      <c r="I332" s="50"/>
      <c r="J332" s="50"/>
      <c r="K332" s="50"/>
    </row>
    <row r="333" spans="3:11" x14ac:dyDescent="0.25">
      <c r="C333" s="106"/>
      <c r="H333" s="97"/>
      <c r="I333" s="50"/>
      <c r="J333" s="50"/>
      <c r="K333" s="50"/>
    </row>
    <row r="334" spans="3:11" x14ac:dyDescent="0.25">
      <c r="C334" s="106"/>
      <c r="H334" s="97"/>
      <c r="I334" s="50"/>
      <c r="J334" s="50"/>
      <c r="K334" s="50"/>
    </row>
    <row r="335" spans="3:11" x14ac:dyDescent="0.25">
      <c r="C335" s="106"/>
      <c r="H335" s="97"/>
      <c r="I335" s="50"/>
      <c r="J335" s="50"/>
      <c r="K335" s="50"/>
    </row>
    <row r="336" spans="3:11" x14ac:dyDescent="0.25">
      <c r="C336" s="106"/>
      <c r="H336" s="97"/>
      <c r="I336" s="50"/>
      <c r="J336" s="50"/>
      <c r="K336" s="50"/>
    </row>
    <row r="337" spans="3:11" x14ac:dyDescent="0.25">
      <c r="C337" s="106"/>
      <c r="H337" s="97"/>
      <c r="I337" s="50"/>
      <c r="J337" s="50"/>
      <c r="K337" s="50"/>
    </row>
    <row r="338" spans="3:11" x14ac:dyDescent="0.25">
      <c r="C338" s="106"/>
      <c r="H338" s="97"/>
      <c r="I338" s="50"/>
      <c r="J338" s="50"/>
      <c r="K338" s="50"/>
    </row>
    <row r="339" spans="3:11" x14ac:dyDescent="0.25">
      <c r="C339" s="106"/>
      <c r="H339" s="97"/>
      <c r="I339" s="50"/>
      <c r="J339" s="50"/>
      <c r="K339" s="50"/>
    </row>
    <row r="340" spans="3:11" x14ac:dyDescent="0.25">
      <c r="C340" s="106"/>
      <c r="H340" s="97"/>
      <c r="I340" s="50"/>
      <c r="J340" s="50"/>
      <c r="K340" s="50"/>
    </row>
    <row r="341" spans="3:11" x14ac:dyDescent="0.25">
      <c r="C341" s="106"/>
      <c r="H341" s="97"/>
      <c r="I341" s="50"/>
      <c r="J341" s="50"/>
      <c r="K341" s="50"/>
    </row>
    <row r="342" spans="3:11" x14ac:dyDescent="0.25">
      <c r="C342" s="106"/>
      <c r="H342" s="97"/>
      <c r="I342" s="50"/>
      <c r="J342" s="50"/>
      <c r="K342" s="50"/>
    </row>
    <row r="343" spans="3:11" x14ac:dyDescent="0.25">
      <c r="C343" s="106"/>
      <c r="H343" s="97"/>
      <c r="I343" s="50"/>
      <c r="J343" s="50"/>
      <c r="K343" s="50"/>
    </row>
    <row r="344" spans="3:11" x14ac:dyDescent="0.25">
      <c r="C344" s="106"/>
      <c r="H344" s="97"/>
      <c r="I344" s="50"/>
      <c r="J344" s="50"/>
      <c r="K344" s="50"/>
    </row>
    <row r="345" spans="3:11" x14ac:dyDescent="0.25">
      <c r="C345" s="106"/>
      <c r="H345" s="97"/>
      <c r="I345" s="50"/>
      <c r="J345" s="50"/>
      <c r="K345" s="50"/>
    </row>
    <row r="346" spans="3:11" x14ac:dyDescent="0.25">
      <c r="C346" s="106"/>
      <c r="H346" s="97"/>
      <c r="I346" s="50"/>
      <c r="J346" s="50"/>
      <c r="K346" s="50"/>
    </row>
    <row r="347" spans="3:11" x14ac:dyDescent="0.25">
      <c r="C347" s="106"/>
      <c r="H347" s="97"/>
      <c r="I347" s="50"/>
      <c r="J347" s="50"/>
      <c r="K347" s="50"/>
    </row>
    <row r="348" spans="3:11" x14ac:dyDescent="0.25">
      <c r="C348" s="106"/>
      <c r="H348" s="97"/>
      <c r="I348" s="50"/>
      <c r="J348" s="50"/>
      <c r="K348" s="50"/>
    </row>
    <row r="349" spans="3:11" x14ac:dyDescent="0.25">
      <c r="C349" s="106"/>
      <c r="H349" s="97"/>
      <c r="I349" s="50"/>
      <c r="J349" s="50"/>
      <c r="K349" s="50"/>
    </row>
    <row r="350" spans="3:11" x14ac:dyDescent="0.25">
      <c r="C350" s="106"/>
      <c r="H350" s="97"/>
      <c r="I350" s="50"/>
      <c r="J350" s="50"/>
      <c r="K350" s="50"/>
    </row>
    <row r="351" spans="3:11" x14ac:dyDescent="0.25">
      <c r="C351" s="106"/>
      <c r="H351" s="97"/>
      <c r="I351" s="50"/>
      <c r="J351" s="50"/>
      <c r="K351" s="50"/>
    </row>
    <row r="352" spans="3:11" x14ac:dyDescent="0.25">
      <c r="C352" s="106"/>
      <c r="H352" s="97"/>
      <c r="I352" s="50"/>
      <c r="J352" s="50"/>
      <c r="K352" s="50"/>
    </row>
    <row r="353" spans="3:11" x14ac:dyDescent="0.25">
      <c r="C353" s="106"/>
      <c r="H353" s="97"/>
      <c r="I353" s="50"/>
      <c r="J353" s="50"/>
      <c r="K353" s="50"/>
    </row>
    <row r="354" spans="3:11" x14ac:dyDescent="0.25">
      <c r="C354" s="106"/>
      <c r="H354" s="97"/>
      <c r="I354" s="50"/>
      <c r="J354" s="50"/>
      <c r="K354" s="50"/>
    </row>
    <row r="355" spans="3:11" x14ac:dyDescent="0.25">
      <c r="C355" s="106"/>
      <c r="H355" s="97"/>
      <c r="I355" s="50"/>
      <c r="J355" s="50"/>
      <c r="K355" s="50"/>
    </row>
    <row r="356" spans="3:11" x14ac:dyDescent="0.25">
      <c r="C356" s="106"/>
      <c r="H356" s="97"/>
      <c r="I356" s="50"/>
      <c r="J356" s="50"/>
      <c r="K356" s="50"/>
    </row>
    <row r="357" spans="3:11" x14ac:dyDescent="0.25">
      <c r="C357" s="106"/>
      <c r="H357" s="97"/>
      <c r="I357" s="50"/>
      <c r="J357" s="50"/>
      <c r="K357" s="50"/>
    </row>
    <row r="358" spans="3:11" x14ac:dyDescent="0.25">
      <c r="C358" s="106"/>
      <c r="H358" s="97"/>
      <c r="I358" s="50"/>
      <c r="J358" s="50"/>
      <c r="K358" s="50"/>
    </row>
    <row r="359" spans="3:11" x14ac:dyDescent="0.25">
      <c r="C359" s="106"/>
      <c r="H359" s="97"/>
      <c r="I359" s="50"/>
      <c r="J359" s="50"/>
      <c r="K359" s="50"/>
    </row>
    <row r="360" spans="3:11" x14ac:dyDescent="0.25">
      <c r="C360" s="106"/>
      <c r="H360" s="97"/>
      <c r="I360" s="50"/>
      <c r="J360" s="50"/>
      <c r="K360" s="50"/>
    </row>
    <row r="361" spans="3:11" x14ac:dyDescent="0.25">
      <c r="C361" s="106"/>
      <c r="H361" s="97"/>
      <c r="I361" s="50"/>
      <c r="J361" s="50"/>
      <c r="K361" s="50"/>
    </row>
    <row r="362" spans="3:11" x14ac:dyDescent="0.25">
      <c r="C362" s="106"/>
      <c r="H362" s="97"/>
      <c r="I362" s="50"/>
      <c r="J362" s="50"/>
      <c r="K362" s="50"/>
    </row>
    <row r="363" spans="3:11" x14ac:dyDescent="0.25">
      <c r="C363" s="106"/>
      <c r="H363" s="97"/>
      <c r="I363" s="50"/>
      <c r="J363" s="50"/>
      <c r="K363" s="50"/>
    </row>
    <row r="364" spans="3:11" x14ac:dyDescent="0.25">
      <c r="C364" s="106"/>
      <c r="H364" s="97"/>
      <c r="I364" s="50"/>
      <c r="J364" s="50"/>
      <c r="K364" s="50"/>
    </row>
    <row r="365" spans="3:11" x14ac:dyDescent="0.25">
      <c r="C365" s="106"/>
      <c r="H365" s="97"/>
      <c r="I365" s="50"/>
      <c r="J365" s="50"/>
      <c r="K365" s="50"/>
    </row>
    <row r="366" spans="3:11" x14ac:dyDescent="0.25">
      <c r="C366" s="106"/>
      <c r="H366" s="97"/>
      <c r="I366" s="50"/>
      <c r="J366" s="50"/>
      <c r="K366" s="50"/>
    </row>
    <row r="367" spans="3:11" x14ac:dyDescent="0.25">
      <c r="C367" s="106"/>
      <c r="H367" s="97"/>
      <c r="I367" s="50"/>
      <c r="J367" s="50"/>
      <c r="K367" s="50"/>
    </row>
    <row r="368" spans="3:11" x14ac:dyDescent="0.25">
      <c r="C368" s="106"/>
      <c r="H368" s="97"/>
      <c r="I368" s="50"/>
      <c r="J368" s="50"/>
      <c r="K368" s="50"/>
    </row>
    <row r="369" spans="3:11" x14ac:dyDescent="0.25">
      <c r="C369" s="106"/>
      <c r="H369" s="97"/>
      <c r="I369" s="50"/>
      <c r="J369" s="50"/>
      <c r="K369" s="50"/>
    </row>
    <row r="370" spans="3:11" x14ac:dyDescent="0.25">
      <c r="C370" s="106"/>
      <c r="H370" s="97"/>
      <c r="I370" s="50"/>
      <c r="J370" s="50"/>
      <c r="K370" s="50"/>
    </row>
    <row r="371" spans="3:11" x14ac:dyDescent="0.25">
      <c r="C371" s="106"/>
      <c r="H371" s="97"/>
      <c r="I371" s="50"/>
      <c r="J371" s="50"/>
      <c r="K371" s="50"/>
    </row>
    <row r="372" spans="3:11" x14ac:dyDescent="0.25">
      <c r="C372" s="106"/>
      <c r="H372" s="97"/>
      <c r="I372" s="50"/>
      <c r="J372" s="50"/>
      <c r="K372" s="50"/>
    </row>
    <row r="373" spans="3:11" x14ac:dyDescent="0.25">
      <c r="C373" s="106"/>
      <c r="H373" s="97"/>
      <c r="I373" s="50"/>
      <c r="J373" s="50"/>
      <c r="K373" s="50"/>
    </row>
    <row r="374" spans="3:11" x14ac:dyDescent="0.25">
      <c r="C374" s="106"/>
      <c r="H374" s="97"/>
      <c r="I374" s="50"/>
      <c r="J374" s="50"/>
      <c r="K374" s="50"/>
    </row>
    <row r="375" spans="3:11" x14ac:dyDescent="0.25">
      <c r="C375" s="106"/>
      <c r="H375" s="97"/>
      <c r="I375" s="50"/>
      <c r="J375" s="50"/>
      <c r="K375" s="50"/>
    </row>
    <row r="376" spans="3:11" x14ac:dyDescent="0.25">
      <c r="C376" s="106"/>
      <c r="H376" s="97"/>
      <c r="I376" s="50"/>
      <c r="J376" s="50"/>
      <c r="K376" s="50"/>
    </row>
    <row r="377" spans="3:11" x14ac:dyDescent="0.25">
      <c r="C377" s="106"/>
      <c r="H377" s="97"/>
      <c r="I377" s="50"/>
      <c r="J377" s="50"/>
      <c r="K377" s="50"/>
    </row>
    <row r="378" spans="3:11" x14ac:dyDescent="0.25">
      <c r="C378" s="106"/>
      <c r="H378" s="97"/>
      <c r="I378" s="50"/>
      <c r="J378" s="50"/>
      <c r="K378" s="50"/>
    </row>
    <row r="379" spans="3:11" x14ac:dyDescent="0.25">
      <c r="C379" s="106"/>
      <c r="H379" s="97"/>
      <c r="I379" s="50"/>
      <c r="J379" s="50"/>
      <c r="K379" s="50"/>
    </row>
    <row r="380" spans="3:11" x14ac:dyDescent="0.25">
      <c r="C380" s="106"/>
      <c r="H380" s="97"/>
      <c r="I380" s="50"/>
      <c r="J380" s="50"/>
      <c r="K380" s="50"/>
    </row>
    <row r="381" spans="3:11" x14ac:dyDescent="0.25">
      <c r="C381" s="106"/>
      <c r="H381" s="97"/>
      <c r="I381" s="50"/>
      <c r="J381" s="50"/>
      <c r="K381" s="50"/>
    </row>
    <row r="382" spans="3:11" x14ac:dyDescent="0.25">
      <c r="C382" s="106"/>
      <c r="H382" s="97"/>
      <c r="I382" s="50"/>
      <c r="J382" s="50"/>
      <c r="K382" s="50"/>
    </row>
    <row r="383" spans="3:11" x14ac:dyDescent="0.25">
      <c r="C383" s="106"/>
      <c r="H383" s="97"/>
      <c r="I383" s="50"/>
      <c r="J383" s="50"/>
      <c r="K383" s="50"/>
    </row>
    <row r="384" spans="3:11" x14ac:dyDescent="0.25">
      <c r="C384" s="106"/>
      <c r="H384" s="97"/>
      <c r="I384" s="50"/>
      <c r="J384" s="50"/>
      <c r="K384" s="50"/>
    </row>
    <row r="385" spans="3:11" x14ac:dyDescent="0.25">
      <c r="C385" s="106"/>
      <c r="H385" s="97"/>
      <c r="I385" s="50"/>
      <c r="J385" s="50"/>
      <c r="K385" s="50"/>
    </row>
    <row r="386" spans="3:11" x14ac:dyDescent="0.25">
      <c r="C386" s="106"/>
      <c r="H386" s="97"/>
      <c r="I386" s="50"/>
      <c r="J386" s="50"/>
      <c r="K386" s="50"/>
    </row>
    <row r="387" spans="3:11" x14ac:dyDescent="0.25">
      <c r="C387" s="106"/>
      <c r="H387" s="97"/>
      <c r="I387" s="50"/>
      <c r="J387" s="50"/>
      <c r="K387" s="50"/>
    </row>
    <row r="388" spans="3:11" x14ac:dyDescent="0.25">
      <c r="C388" s="106"/>
      <c r="H388" s="97"/>
      <c r="I388" s="50"/>
      <c r="J388" s="50"/>
      <c r="K388" s="50"/>
    </row>
    <row r="389" spans="3:11" x14ac:dyDescent="0.25">
      <c r="C389" s="106"/>
      <c r="H389" s="97"/>
      <c r="I389" s="50"/>
      <c r="J389" s="50"/>
      <c r="K389" s="50"/>
    </row>
    <row r="390" spans="3:11" x14ac:dyDescent="0.25">
      <c r="C390" s="106"/>
      <c r="H390" s="97"/>
      <c r="I390" s="50"/>
      <c r="J390" s="50"/>
      <c r="K390" s="50"/>
    </row>
    <row r="391" spans="3:11" x14ac:dyDescent="0.25">
      <c r="C391" s="106"/>
      <c r="H391" s="97"/>
      <c r="I391" s="50"/>
      <c r="J391" s="50"/>
      <c r="K391" s="50"/>
    </row>
    <row r="392" spans="3:11" x14ac:dyDescent="0.25">
      <c r="C392" s="106"/>
      <c r="H392" s="97"/>
      <c r="I392" s="50"/>
      <c r="J392" s="50"/>
      <c r="K392" s="50"/>
    </row>
    <row r="393" spans="3:11" x14ac:dyDescent="0.25">
      <c r="C393" s="106"/>
      <c r="H393" s="97"/>
      <c r="I393" s="50"/>
      <c r="J393" s="50"/>
      <c r="K393" s="50"/>
    </row>
    <row r="394" spans="3:11" x14ac:dyDescent="0.25">
      <c r="C394" s="106"/>
      <c r="H394" s="97"/>
      <c r="I394" s="50"/>
      <c r="J394" s="50"/>
      <c r="K394" s="50"/>
    </row>
    <row r="395" spans="3:11" x14ac:dyDescent="0.25">
      <c r="C395" s="106"/>
      <c r="H395" s="97"/>
      <c r="I395" s="50"/>
      <c r="J395" s="50"/>
      <c r="K395" s="50"/>
    </row>
    <row r="396" spans="3:11" x14ac:dyDescent="0.25">
      <c r="C396" s="106"/>
      <c r="H396" s="97"/>
      <c r="I396" s="50"/>
      <c r="J396" s="50"/>
      <c r="K396" s="50"/>
    </row>
    <row r="397" spans="3:11" x14ac:dyDescent="0.25">
      <c r="C397" s="106"/>
      <c r="H397" s="97"/>
      <c r="I397" s="50"/>
      <c r="J397" s="50"/>
      <c r="K397" s="50"/>
    </row>
    <row r="398" spans="3:11" x14ac:dyDescent="0.25">
      <c r="C398" s="106"/>
      <c r="H398" s="97"/>
      <c r="I398" s="50"/>
      <c r="J398" s="50"/>
      <c r="K398" s="50"/>
    </row>
    <row r="399" spans="3:11" x14ac:dyDescent="0.25">
      <c r="C399" s="106"/>
      <c r="H399" s="97"/>
      <c r="I399" s="50"/>
      <c r="J399" s="50"/>
      <c r="K399" s="50"/>
    </row>
    <row r="400" spans="3:11" x14ac:dyDescent="0.25">
      <c r="C400" s="106"/>
      <c r="H400" s="97"/>
      <c r="I400" s="50"/>
      <c r="J400" s="50"/>
      <c r="K400" s="50"/>
    </row>
    <row r="401" spans="3:11" x14ac:dyDescent="0.25">
      <c r="C401" s="106"/>
      <c r="H401" s="97"/>
      <c r="I401" s="50"/>
      <c r="J401" s="50"/>
      <c r="K401" s="50"/>
    </row>
    <row r="402" spans="3:11" x14ac:dyDescent="0.25">
      <c r="C402" s="106"/>
      <c r="H402" s="97"/>
      <c r="I402" s="50"/>
      <c r="J402" s="50"/>
      <c r="K402" s="50"/>
    </row>
    <row r="403" spans="3:11" x14ac:dyDescent="0.25">
      <c r="C403" s="106"/>
      <c r="H403" s="97"/>
      <c r="I403" s="50"/>
      <c r="J403" s="50"/>
      <c r="K403" s="50"/>
    </row>
    <row r="404" spans="3:11" x14ac:dyDescent="0.25">
      <c r="C404" s="106"/>
      <c r="H404" s="97"/>
      <c r="I404" s="50"/>
      <c r="J404" s="50"/>
      <c r="K404" s="50"/>
    </row>
    <row r="405" spans="3:11" x14ac:dyDescent="0.25">
      <c r="C405" s="106"/>
      <c r="H405" s="97"/>
      <c r="I405" s="50"/>
      <c r="J405" s="50"/>
      <c r="K405" s="50"/>
    </row>
    <row r="406" spans="3:11" x14ac:dyDescent="0.25">
      <c r="C406" s="106"/>
      <c r="H406" s="97"/>
      <c r="I406" s="50"/>
      <c r="J406" s="50"/>
      <c r="K406" s="50"/>
    </row>
    <row r="407" spans="3:11" x14ac:dyDescent="0.25">
      <c r="C407" s="106"/>
      <c r="H407" s="97"/>
      <c r="I407" s="50"/>
      <c r="J407" s="50"/>
      <c r="K407" s="50"/>
    </row>
    <row r="408" spans="3:11" x14ac:dyDescent="0.25">
      <c r="C408" s="106"/>
      <c r="H408" s="97"/>
      <c r="I408" s="50"/>
      <c r="J408" s="50"/>
      <c r="K408" s="50"/>
    </row>
    <row r="409" spans="3:11" x14ac:dyDescent="0.25">
      <c r="C409" s="106"/>
      <c r="H409" s="97"/>
      <c r="I409" s="50"/>
      <c r="J409" s="50"/>
      <c r="K409" s="50"/>
    </row>
    <row r="410" spans="3:11" x14ac:dyDescent="0.25">
      <c r="C410" s="106"/>
      <c r="H410" s="97"/>
      <c r="I410" s="50"/>
      <c r="J410" s="50"/>
      <c r="K410" s="50"/>
    </row>
    <row r="411" spans="3:11" x14ac:dyDescent="0.25">
      <c r="C411" s="106"/>
      <c r="H411" s="97"/>
      <c r="I411" s="50"/>
      <c r="J411" s="50"/>
      <c r="K411" s="50"/>
    </row>
    <row r="412" spans="3:11" x14ac:dyDescent="0.25">
      <c r="C412" s="106"/>
      <c r="H412" s="97"/>
      <c r="I412" s="50"/>
      <c r="J412" s="50"/>
      <c r="K412" s="50"/>
    </row>
    <row r="413" spans="3:11" x14ac:dyDescent="0.25">
      <c r="C413" s="106"/>
      <c r="H413" s="97"/>
      <c r="I413" s="50"/>
      <c r="J413" s="50"/>
      <c r="K413" s="50"/>
    </row>
    <row r="414" spans="3:11" x14ac:dyDescent="0.25">
      <c r="C414" s="106"/>
      <c r="H414" s="97"/>
      <c r="I414" s="50"/>
      <c r="J414" s="50"/>
      <c r="K414" s="50"/>
    </row>
    <row r="415" spans="3:11" x14ac:dyDescent="0.25">
      <c r="C415" s="106"/>
      <c r="H415" s="97"/>
      <c r="I415" s="50"/>
      <c r="J415" s="50"/>
      <c r="K415" s="50"/>
    </row>
    <row r="416" spans="3:11" x14ac:dyDescent="0.25">
      <c r="C416" s="106"/>
      <c r="H416" s="97"/>
      <c r="I416" s="50"/>
      <c r="J416" s="50"/>
      <c r="K416" s="50"/>
    </row>
    <row r="417" spans="3:11" x14ac:dyDescent="0.25">
      <c r="C417" s="106"/>
      <c r="H417" s="97"/>
      <c r="I417" s="50"/>
      <c r="J417" s="50"/>
      <c r="K417" s="50"/>
    </row>
    <row r="418" spans="3:11" x14ac:dyDescent="0.25">
      <c r="C418" s="106"/>
      <c r="H418" s="97"/>
      <c r="I418" s="50"/>
      <c r="J418" s="50"/>
      <c r="K418" s="50"/>
    </row>
    <row r="419" spans="3:11" x14ac:dyDescent="0.25">
      <c r="C419" s="106"/>
      <c r="H419" s="97"/>
      <c r="I419" s="50"/>
      <c r="J419" s="50"/>
      <c r="K419" s="50"/>
    </row>
    <row r="420" spans="3:11" x14ac:dyDescent="0.25">
      <c r="C420" s="106"/>
      <c r="H420" s="97"/>
      <c r="I420" s="50"/>
      <c r="J420" s="50"/>
      <c r="K420" s="50"/>
    </row>
    <row r="421" spans="3:11" x14ac:dyDescent="0.25">
      <c r="C421" s="106"/>
      <c r="H421" s="97"/>
      <c r="I421" s="50"/>
      <c r="J421" s="50"/>
      <c r="K421" s="50"/>
    </row>
    <row r="422" spans="3:11" x14ac:dyDescent="0.25">
      <c r="C422" s="106"/>
      <c r="H422" s="97"/>
      <c r="I422" s="50"/>
      <c r="J422" s="50"/>
      <c r="K422" s="50"/>
    </row>
    <row r="423" spans="3:11" x14ac:dyDescent="0.25">
      <c r="C423" s="106"/>
      <c r="H423" s="97"/>
      <c r="I423" s="50"/>
      <c r="J423" s="50"/>
      <c r="K423" s="50"/>
    </row>
    <row r="424" spans="3:11" x14ac:dyDescent="0.25">
      <c r="C424" s="106"/>
      <c r="H424" s="97"/>
      <c r="I424" s="50"/>
      <c r="J424" s="50"/>
      <c r="K424" s="50"/>
    </row>
    <row r="425" spans="3:11" x14ac:dyDescent="0.25">
      <c r="C425" s="106"/>
      <c r="H425" s="97"/>
      <c r="I425" s="50"/>
      <c r="J425" s="50"/>
      <c r="K425" s="50"/>
    </row>
    <row r="426" spans="3:11" x14ac:dyDescent="0.25">
      <c r="C426" s="106"/>
      <c r="H426" s="97"/>
      <c r="I426" s="50"/>
      <c r="J426" s="50"/>
      <c r="K426" s="50"/>
    </row>
    <row r="427" spans="3:11" x14ac:dyDescent="0.25">
      <c r="C427" s="106"/>
      <c r="H427" s="97"/>
      <c r="I427" s="50"/>
      <c r="J427" s="50"/>
      <c r="K427" s="50"/>
    </row>
    <row r="428" spans="3:11" x14ac:dyDescent="0.25">
      <c r="C428" s="106"/>
      <c r="H428" s="97"/>
      <c r="I428" s="50"/>
      <c r="J428" s="50"/>
      <c r="K428" s="50"/>
    </row>
    <row r="429" spans="3:11" x14ac:dyDescent="0.25">
      <c r="C429" s="106"/>
      <c r="H429" s="97"/>
      <c r="I429" s="50"/>
      <c r="J429" s="50"/>
      <c r="K429" s="50"/>
    </row>
    <row r="430" spans="3:11" x14ac:dyDescent="0.25">
      <c r="C430" s="106"/>
      <c r="H430" s="97"/>
      <c r="I430" s="50"/>
      <c r="J430" s="50"/>
      <c r="K430" s="50"/>
    </row>
    <row r="431" spans="3:11" x14ac:dyDescent="0.25">
      <c r="C431" s="106"/>
      <c r="H431" s="97"/>
      <c r="I431" s="50"/>
      <c r="J431" s="50"/>
      <c r="K431" s="50"/>
    </row>
    <row r="432" spans="3:11" x14ac:dyDescent="0.25">
      <c r="C432" s="106"/>
      <c r="H432" s="97"/>
      <c r="I432" s="50"/>
      <c r="J432" s="50"/>
      <c r="K432" s="50"/>
    </row>
    <row r="433" spans="3:11" x14ac:dyDescent="0.25">
      <c r="C433" s="106"/>
      <c r="H433" s="97"/>
      <c r="I433" s="50"/>
      <c r="J433" s="50"/>
      <c r="K433" s="50"/>
    </row>
    <row r="434" spans="3:11" x14ac:dyDescent="0.25">
      <c r="C434" s="106"/>
      <c r="H434" s="97"/>
      <c r="I434" s="50"/>
      <c r="J434" s="50"/>
      <c r="K434" s="50"/>
    </row>
    <row r="435" spans="3:11" x14ac:dyDescent="0.25">
      <c r="C435" s="106"/>
      <c r="H435" s="97"/>
      <c r="I435" s="50"/>
      <c r="J435" s="50"/>
      <c r="K435" s="50"/>
    </row>
    <row r="436" spans="3:11" x14ac:dyDescent="0.25">
      <c r="C436" s="106"/>
      <c r="H436" s="97"/>
      <c r="I436" s="50"/>
      <c r="J436" s="50"/>
      <c r="K436" s="50"/>
    </row>
    <row r="437" spans="3:11" x14ac:dyDescent="0.25">
      <c r="C437" s="106"/>
      <c r="H437" s="97"/>
      <c r="I437" s="50"/>
      <c r="J437" s="50"/>
      <c r="K437" s="50"/>
    </row>
    <row r="438" spans="3:11" x14ac:dyDescent="0.25">
      <c r="C438" s="106"/>
      <c r="H438" s="97"/>
      <c r="I438" s="50"/>
      <c r="J438" s="50"/>
      <c r="K438" s="50"/>
    </row>
    <row r="439" spans="3:11" x14ac:dyDescent="0.25">
      <c r="C439" s="106"/>
      <c r="H439" s="97"/>
      <c r="I439" s="50"/>
      <c r="J439" s="50"/>
      <c r="K439" s="50"/>
    </row>
    <row r="440" spans="3:11" x14ac:dyDescent="0.25">
      <c r="C440" s="106"/>
      <c r="H440" s="97"/>
      <c r="I440" s="50"/>
      <c r="J440" s="50"/>
      <c r="K440" s="50"/>
    </row>
    <row r="441" spans="3:11" x14ac:dyDescent="0.25">
      <c r="C441" s="106"/>
      <c r="H441" s="97"/>
      <c r="I441" s="50"/>
      <c r="J441" s="50"/>
      <c r="K441" s="50"/>
    </row>
    <row r="442" spans="3:11" x14ac:dyDescent="0.25">
      <c r="C442" s="106"/>
      <c r="H442" s="97"/>
      <c r="I442" s="50"/>
      <c r="J442" s="50"/>
      <c r="K442" s="50"/>
    </row>
    <row r="443" spans="3:11" x14ac:dyDescent="0.25">
      <c r="C443" s="106"/>
      <c r="H443" s="97"/>
      <c r="I443" s="50"/>
      <c r="J443" s="50"/>
      <c r="K443" s="50"/>
    </row>
    <row r="444" spans="3:11" x14ac:dyDescent="0.25">
      <c r="C444" s="106"/>
      <c r="H444" s="97"/>
      <c r="I444" s="50"/>
      <c r="J444" s="50"/>
      <c r="K444" s="50"/>
    </row>
    <row r="445" spans="3:11" x14ac:dyDescent="0.25">
      <c r="C445" s="106"/>
      <c r="H445" s="97"/>
      <c r="I445" s="50"/>
      <c r="J445" s="50"/>
      <c r="K445" s="50"/>
    </row>
    <row r="446" spans="3:11" x14ac:dyDescent="0.25">
      <c r="C446" s="106"/>
      <c r="H446" s="97"/>
      <c r="I446" s="50"/>
      <c r="J446" s="50"/>
      <c r="K446" s="50"/>
    </row>
    <row r="447" spans="3:11" x14ac:dyDescent="0.25">
      <c r="C447" s="106"/>
      <c r="H447" s="97"/>
      <c r="I447" s="50"/>
      <c r="J447" s="50"/>
      <c r="K447" s="50"/>
    </row>
    <row r="448" spans="3:11" x14ac:dyDescent="0.25">
      <c r="C448" s="106"/>
      <c r="H448" s="97"/>
      <c r="I448" s="50"/>
      <c r="J448" s="50"/>
      <c r="K448" s="50"/>
    </row>
    <row r="449" spans="3:11" x14ac:dyDescent="0.25">
      <c r="C449" s="106"/>
      <c r="H449" s="97"/>
      <c r="I449" s="50"/>
      <c r="J449" s="50"/>
      <c r="K449" s="50"/>
    </row>
    <row r="450" spans="3:11" x14ac:dyDescent="0.25">
      <c r="C450" s="106"/>
      <c r="H450" s="97"/>
      <c r="I450" s="50"/>
      <c r="J450" s="50"/>
      <c r="K450" s="50"/>
    </row>
    <row r="451" spans="3:11" x14ac:dyDescent="0.25">
      <c r="C451" s="106"/>
      <c r="H451" s="97"/>
      <c r="I451" s="50"/>
      <c r="J451" s="50"/>
      <c r="K451" s="50"/>
    </row>
    <row r="452" spans="3:11" x14ac:dyDescent="0.25">
      <c r="C452" s="106"/>
      <c r="H452" s="97"/>
      <c r="I452" s="50"/>
      <c r="J452" s="50"/>
      <c r="K452" s="50"/>
    </row>
    <row r="453" spans="3:11" x14ac:dyDescent="0.25">
      <c r="C453" s="106"/>
      <c r="H453" s="97"/>
      <c r="I453" s="50"/>
      <c r="J453" s="50"/>
      <c r="K453" s="50"/>
    </row>
    <row r="454" spans="3:11" x14ac:dyDescent="0.25">
      <c r="C454" s="106"/>
      <c r="H454" s="97"/>
      <c r="I454" s="50"/>
      <c r="J454" s="50"/>
      <c r="K454" s="50"/>
    </row>
    <row r="455" spans="3:11" x14ac:dyDescent="0.25">
      <c r="C455" s="106"/>
      <c r="H455" s="97"/>
      <c r="I455" s="50"/>
      <c r="J455" s="50"/>
      <c r="K455" s="50"/>
    </row>
    <row r="456" spans="3:11" x14ac:dyDescent="0.25">
      <c r="C456" s="106"/>
      <c r="H456" s="97"/>
      <c r="I456" s="50"/>
      <c r="J456" s="50"/>
      <c r="K456" s="50"/>
    </row>
    <row r="457" spans="3:11" x14ac:dyDescent="0.25">
      <c r="C457" s="106"/>
      <c r="H457" s="97"/>
      <c r="I457" s="50"/>
      <c r="J457" s="50"/>
      <c r="K457" s="50"/>
    </row>
    <row r="458" spans="3:11" x14ac:dyDescent="0.25">
      <c r="C458" s="106"/>
      <c r="H458" s="97"/>
      <c r="I458" s="50"/>
      <c r="J458" s="50"/>
      <c r="K458" s="50"/>
    </row>
    <row r="459" spans="3:11" x14ac:dyDescent="0.25">
      <c r="C459" s="106"/>
      <c r="H459" s="97"/>
      <c r="I459" s="50"/>
      <c r="J459" s="50"/>
      <c r="K459" s="50"/>
    </row>
    <row r="460" spans="3:11" x14ac:dyDescent="0.25">
      <c r="C460" s="106"/>
      <c r="H460" s="97"/>
      <c r="I460" s="50"/>
      <c r="J460" s="50"/>
      <c r="K460" s="50"/>
    </row>
    <row r="461" spans="3:11" x14ac:dyDescent="0.25">
      <c r="C461" s="106"/>
      <c r="H461" s="97"/>
      <c r="I461" s="50"/>
      <c r="J461" s="50"/>
      <c r="K461" s="50"/>
    </row>
    <row r="462" spans="3:11" x14ac:dyDescent="0.25">
      <c r="C462" s="106"/>
      <c r="H462" s="97"/>
      <c r="I462" s="50"/>
      <c r="J462" s="50"/>
      <c r="K462" s="50"/>
    </row>
    <row r="463" spans="3:11" x14ac:dyDescent="0.25">
      <c r="C463" s="106"/>
      <c r="H463" s="97"/>
      <c r="I463" s="50"/>
      <c r="J463" s="50"/>
      <c r="K463" s="50"/>
    </row>
    <row r="464" spans="3:11" x14ac:dyDescent="0.25">
      <c r="C464" s="106"/>
      <c r="H464" s="97"/>
      <c r="I464" s="50"/>
      <c r="J464" s="50"/>
      <c r="K464" s="50"/>
    </row>
    <row r="465" spans="3:11" x14ac:dyDescent="0.25">
      <c r="C465" s="106"/>
      <c r="H465" s="97"/>
      <c r="I465" s="50"/>
      <c r="J465" s="50"/>
      <c r="K465" s="50"/>
    </row>
    <row r="466" spans="3:11" x14ac:dyDescent="0.25">
      <c r="C466" s="106"/>
      <c r="H466" s="97"/>
      <c r="I466" s="50"/>
      <c r="J466" s="50"/>
      <c r="K466" s="50"/>
    </row>
    <row r="467" spans="3:11" x14ac:dyDescent="0.25">
      <c r="C467" s="106"/>
      <c r="H467" s="97"/>
      <c r="I467" s="50"/>
      <c r="J467" s="50"/>
      <c r="K467" s="50"/>
    </row>
    <row r="468" spans="3:11" x14ac:dyDescent="0.25">
      <c r="C468" s="106"/>
      <c r="H468" s="97"/>
      <c r="I468" s="50"/>
      <c r="J468" s="50"/>
      <c r="K468" s="50"/>
    </row>
    <row r="469" spans="3:11" x14ac:dyDescent="0.25">
      <c r="C469" s="106"/>
      <c r="H469" s="97"/>
      <c r="I469" s="50"/>
      <c r="J469" s="50"/>
      <c r="K469" s="50"/>
    </row>
    <row r="470" spans="3:11" x14ac:dyDescent="0.25">
      <c r="C470" s="106"/>
      <c r="H470" s="97"/>
      <c r="I470" s="50"/>
      <c r="J470" s="50"/>
      <c r="K470" s="50"/>
    </row>
    <row r="471" spans="3:11" x14ac:dyDescent="0.25">
      <c r="C471" s="106"/>
      <c r="H471" s="97"/>
      <c r="I471" s="50"/>
      <c r="J471" s="50"/>
      <c r="K471" s="50"/>
    </row>
    <row r="472" spans="3:11" x14ac:dyDescent="0.25">
      <c r="C472" s="106"/>
      <c r="H472" s="97"/>
      <c r="I472" s="50"/>
      <c r="J472" s="50"/>
      <c r="K472" s="50"/>
    </row>
    <row r="473" spans="3:11" x14ac:dyDescent="0.25">
      <c r="C473" s="106"/>
      <c r="H473" s="97"/>
      <c r="I473" s="50"/>
      <c r="J473" s="50"/>
      <c r="K473" s="50"/>
    </row>
    <row r="474" spans="3:11" x14ac:dyDescent="0.25">
      <c r="C474" s="106"/>
      <c r="H474" s="97"/>
      <c r="I474" s="50"/>
      <c r="J474" s="50"/>
      <c r="K474" s="50"/>
    </row>
    <row r="475" spans="3:11" x14ac:dyDescent="0.25">
      <c r="C475" s="106"/>
      <c r="H475" s="97"/>
      <c r="I475" s="50"/>
      <c r="J475" s="50"/>
      <c r="K475" s="50"/>
    </row>
    <row r="476" spans="3:11" x14ac:dyDescent="0.25">
      <c r="C476" s="106"/>
      <c r="H476" s="97"/>
      <c r="I476" s="50"/>
      <c r="J476" s="50"/>
      <c r="K476" s="50"/>
    </row>
    <row r="477" spans="3:11" x14ac:dyDescent="0.25">
      <c r="C477" s="106"/>
      <c r="H477" s="97"/>
      <c r="I477" s="50"/>
      <c r="J477" s="50"/>
      <c r="K477" s="50"/>
    </row>
    <row r="478" spans="3:11" x14ac:dyDescent="0.25">
      <c r="C478" s="106"/>
      <c r="H478" s="97"/>
      <c r="I478" s="50"/>
      <c r="J478" s="50"/>
      <c r="K478" s="50"/>
    </row>
    <row r="479" spans="3:11" x14ac:dyDescent="0.25">
      <c r="C479" s="106"/>
      <c r="H479" s="97"/>
      <c r="I479" s="50"/>
      <c r="J479" s="50"/>
      <c r="K479" s="50"/>
    </row>
    <row r="480" spans="3:11" x14ac:dyDescent="0.25">
      <c r="C480" s="106"/>
      <c r="H480" s="97"/>
      <c r="I480" s="50"/>
      <c r="J480" s="50"/>
      <c r="K480" s="50"/>
    </row>
    <row r="481" spans="3:11" x14ac:dyDescent="0.25">
      <c r="C481" s="106"/>
      <c r="H481" s="97"/>
      <c r="I481" s="50"/>
      <c r="J481" s="50"/>
      <c r="K481" s="50"/>
    </row>
    <row r="482" spans="3:11" x14ac:dyDescent="0.25">
      <c r="C482" s="106"/>
      <c r="H482" s="97"/>
      <c r="I482" s="50"/>
      <c r="J482" s="50"/>
      <c r="K482" s="50"/>
    </row>
    <row r="483" spans="3:11" x14ac:dyDescent="0.25">
      <c r="C483" s="106"/>
      <c r="H483" s="97"/>
      <c r="I483" s="50"/>
      <c r="J483" s="50"/>
      <c r="K483" s="50"/>
    </row>
    <row r="484" spans="3:11" x14ac:dyDescent="0.25">
      <c r="C484" s="106"/>
      <c r="H484" s="97"/>
      <c r="I484" s="50"/>
      <c r="J484" s="50"/>
      <c r="K484" s="50"/>
    </row>
    <row r="485" spans="3:11" x14ac:dyDescent="0.25">
      <c r="C485" s="106"/>
      <c r="H485" s="97"/>
      <c r="I485" s="50"/>
      <c r="J485" s="50"/>
      <c r="K485" s="50"/>
    </row>
    <row r="486" spans="3:11" x14ac:dyDescent="0.25">
      <c r="C486" s="106"/>
      <c r="H486" s="97"/>
      <c r="I486" s="50"/>
      <c r="J486" s="50"/>
      <c r="K486" s="50"/>
    </row>
    <row r="487" spans="3:11" x14ac:dyDescent="0.25">
      <c r="C487" s="106"/>
      <c r="H487" s="97"/>
      <c r="I487" s="50"/>
      <c r="J487" s="50"/>
      <c r="K487" s="50"/>
    </row>
    <row r="488" spans="3:11" x14ac:dyDescent="0.25">
      <c r="C488" s="106"/>
      <c r="H488" s="97"/>
      <c r="I488" s="50"/>
      <c r="J488" s="50"/>
      <c r="K488" s="50"/>
    </row>
    <row r="489" spans="3:11" x14ac:dyDescent="0.25">
      <c r="C489" s="106"/>
      <c r="H489" s="97"/>
      <c r="I489" s="50"/>
      <c r="J489" s="50"/>
      <c r="K489" s="50"/>
    </row>
    <row r="490" spans="3:11" x14ac:dyDescent="0.25">
      <c r="C490" s="106"/>
      <c r="H490" s="97"/>
      <c r="I490" s="50"/>
      <c r="J490" s="50"/>
      <c r="K490" s="50"/>
    </row>
    <row r="491" spans="3:11" x14ac:dyDescent="0.25">
      <c r="C491" s="106"/>
      <c r="H491" s="97"/>
      <c r="I491" s="50"/>
      <c r="J491" s="50"/>
      <c r="K491" s="50"/>
    </row>
    <row r="492" spans="3:11" x14ac:dyDescent="0.25">
      <c r="C492" s="106"/>
      <c r="H492" s="97"/>
      <c r="I492" s="50"/>
      <c r="J492" s="50"/>
      <c r="K492" s="50"/>
    </row>
    <row r="493" spans="3:11" x14ac:dyDescent="0.25">
      <c r="C493" s="106"/>
      <c r="H493" s="97"/>
      <c r="I493" s="50"/>
      <c r="J493" s="50"/>
      <c r="K493" s="50"/>
    </row>
    <row r="494" spans="3:11" x14ac:dyDescent="0.25">
      <c r="C494" s="106"/>
      <c r="H494" s="97"/>
      <c r="I494" s="50"/>
      <c r="J494" s="50"/>
      <c r="K494" s="50"/>
    </row>
    <row r="495" spans="3:11" x14ac:dyDescent="0.25">
      <c r="C495" s="106"/>
      <c r="H495" s="97"/>
      <c r="I495" s="50"/>
      <c r="J495" s="50"/>
      <c r="K495" s="50"/>
    </row>
    <row r="496" spans="3:11" x14ac:dyDescent="0.25">
      <c r="C496" s="106"/>
      <c r="H496" s="97"/>
      <c r="I496" s="50"/>
      <c r="J496" s="50"/>
      <c r="K496" s="50"/>
    </row>
    <row r="497" spans="3:11" x14ac:dyDescent="0.25">
      <c r="C497" s="106"/>
      <c r="H497" s="97"/>
      <c r="I497" s="50"/>
      <c r="J497" s="50"/>
      <c r="K497" s="50"/>
    </row>
    <row r="498" spans="3:11" x14ac:dyDescent="0.25">
      <c r="C498" s="106"/>
      <c r="H498" s="97"/>
      <c r="I498" s="50"/>
      <c r="J498" s="50"/>
      <c r="K498" s="50"/>
    </row>
    <row r="499" spans="3:11" x14ac:dyDescent="0.25">
      <c r="C499" s="106"/>
      <c r="H499" s="97"/>
      <c r="I499" s="50"/>
      <c r="J499" s="50"/>
      <c r="K499" s="50"/>
    </row>
    <row r="500" spans="3:11" x14ac:dyDescent="0.25">
      <c r="C500" s="106"/>
      <c r="H500" s="97"/>
      <c r="I500" s="50"/>
      <c r="J500" s="50"/>
      <c r="K500" s="50"/>
    </row>
    <row r="501" spans="3:11" x14ac:dyDescent="0.25">
      <c r="C501" s="106"/>
      <c r="H501" s="97"/>
      <c r="I501" s="50"/>
      <c r="J501" s="50"/>
      <c r="K501" s="50"/>
    </row>
    <row r="502" spans="3:11" x14ac:dyDescent="0.25">
      <c r="C502" s="106"/>
      <c r="H502" s="97"/>
      <c r="I502" s="50"/>
      <c r="J502" s="50"/>
      <c r="K502" s="50"/>
    </row>
    <row r="503" spans="3:11" x14ac:dyDescent="0.25">
      <c r="C503" s="106"/>
      <c r="H503" s="97"/>
      <c r="I503" s="50"/>
      <c r="J503" s="50"/>
      <c r="K503" s="50"/>
    </row>
    <row r="504" spans="3:11" x14ac:dyDescent="0.25">
      <c r="C504" s="106"/>
      <c r="H504" s="97"/>
      <c r="I504" s="50"/>
      <c r="J504" s="50"/>
      <c r="K504" s="50"/>
    </row>
    <row r="505" spans="3:11" x14ac:dyDescent="0.25">
      <c r="C505" s="106"/>
      <c r="H505" s="97"/>
      <c r="I505" s="50"/>
      <c r="J505" s="50"/>
      <c r="K505" s="50"/>
    </row>
    <row r="506" spans="3:11" x14ac:dyDescent="0.25">
      <c r="C506" s="106"/>
      <c r="H506" s="97"/>
      <c r="I506" s="50"/>
      <c r="J506" s="50"/>
      <c r="K506" s="50"/>
    </row>
    <row r="507" spans="3:11" x14ac:dyDescent="0.25">
      <c r="C507" s="106"/>
      <c r="H507" s="97"/>
      <c r="I507" s="50"/>
      <c r="J507" s="50"/>
      <c r="K507" s="50"/>
    </row>
    <row r="508" spans="3:11" x14ac:dyDescent="0.25">
      <c r="C508" s="106"/>
      <c r="H508" s="97"/>
      <c r="I508" s="50"/>
      <c r="J508" s="50"/>
      <c r="K508" s="50"/>
    </row>
    <row r="509" spans="3:11" x14ac:dyDescent="0.25">
      <c r="C509" s="106"/>
      <c r="H509" s="97"/>
      <c r="I509" s="50"/>
      <c r="J509" s="50"/>
      <c r="K509" s="50"/>
    </row>
    <row r="510" spans="3:11" x14ac:dyDescent="0.25">
      <c r="C510" s="106"/>
      <c r="H510" s="97"/>
      <c r="I510" s="50"/>
      <c r="J510" s="50"/>
      <c r="K510" s="50"/>
    </row>
    <row r="511" spans="3:11" x14ac:dyDescent="0.25">
      <c r="C511" s="106"/>
      <c r="H511" s="97"/>
      <c r="I511" s="50"/>
      <c r="J511" s="50"/>
      <c r="K511" s="50"/>
    </row>
    <row r="512" spans="3:11" x14ac:dyDescent="0.25">
      <c r="C512" s="106"/>
      <c r="H512" s="97"/>
      <c r="I512" s="50"/>
      <c r="J512" s="50"/>
      <c r="K512" s="50"/>
    </row>
    <row r="513" spans="3:11" x14ac:dyDescent="0.25">
      <c r="C513" s="106"/>
      <c r="H513" s="97"/>
      <c r="I513" s="50"/>
      <c r="J513" s="50"/>
      <c r="K513" s="50"/>
    </row>
    <row r="514" spans="3:11" x14ac:dyDescent="0.25">
      <c r="C514" s="106"/>
      <c r="H514" s="97"/>
      <c r="I514" s="50"/>
      <c r="J514" s="50"/>
      <c r="K514" s="50"/>
    </row>
    <row r="515" spans="3:11" x14ac:dyDescent="0.25">
      <c r="C515" s="106"/>
      <c r="H515" s="97"/>
      <c r="I515" s="50"/>
      <c r="J515" s="50"/>
      <c r="K515" s="50"/>
    </row>
    <row r="516" spans="3:11" x14ac:dyDescent="0.25">
      <c r="C516" s="106"/>
      <c r="H516" s="97"/>
      <c r="I516" s="50"/>
      <c r="J516" s="50"/>
      <c r="K516" s="50"/>
    </row>
    <row r="517" spans="3:11" x14ac:dyDescent="0.25">
      <c r="C517" s="106"/>
      <c r="H517" s="97"/>
      <c r="I517" s="50"/>
      <c r="J517" s="50"/>
      <c r="K517" s="50"/>
    </row>
    <row r="518" spans="3:11" x14ac:dyDescent="0.25">
      <c r="C518" s="106"/>
      <c r="H518" s="97"/>
      <c r="I518" s="50"/>
      <c r="J518" s="50"/>
      <c r="K518" s="50"/>
    </row>
    <row r="519" spans="3:11" x14ac:dyDescent="0.25">
      <c r="C519" s="106"/>
      <c r="H519" s="97"/>
      <c r="I519" s="50"/>
      <c r="J519" s="50"/>
      <c r="K519" s="50"/>
    </row>
    <row r="520" spans="3:11" x14ac:dyDescent="0.25">
      <c r="C520" s="106"/>
      <c r="H520" s="97"/>
      <c r="I520" s="50"/>
      <c r="J520" s="50"/>
      <c r="K520" s="50"/>
    </row>
    <row r="521" spans="3:11" x14ac:dyDescent="0.25">
      <c r="C521" s="106"/>
      <c r="H521" s="97"/>
      <c r="I521" s="50"/>
      <c r="J521" s="50"/>
      <c r="K521" s="50"/>
    </row>
    <row r="522" spans="3:11" x14ac:dyDescent="0.25">
      <c r="C522" s="106"/>
      <c r="H522" s="97"/>
      <c r="I522" s="50"/>
      <c r="J522" s="50"/>
      <c r="K522" s="50"/>
    </row>
    <row r="523" spans="3:11" x14ac:dyDescent="0.25">
      <c r="C523" s="106"/>
      <c r="H523" s="97"/>
      <c r="I523" s="50"/>
      <c r="J523" s="50"/>
      <c r="K523" s="50"/>
    </row>
    <row r="524" spans="3:11" x14ac:dyDescent="0.25">
      <c r="C524" s="106"/>
      <c r="H524" s="97"/>
      <c r="I524" s="50"/>
      <c r="J524" s="50"/>
      <c r="K524" s="50"/>
    </row>
    <row r="525" spans="3:11" x14ac:dyDescent="0.25">
      <c r="C525" s="106"/>
      <c r="H525" s="97"/>
      <c r="I525" s="50"/>
      <c r="J525" s="50"/>
      <c r="K525" s="50"/>
    </row>
    <row r="526" spans="3:11" x14ac:dyDescent="0.25">
      <c r="C526" s="106"/>
      <c r="H526" s="97"/>
      <c r="I526" s="50"/>
      <c r="J526" s="50"/>
      <c r="K526" s="50"/>
    </row>
    <row r="527" spans="3:11" x14ac:dyDescent="0.25">
      <c r="C527" s="106"/>
      <c r="H527" s="97"/>
      <c r="I527" s="50"/>
      <c r="J527" s="50"/>
      <c r="K527" s="50"/>
    </row>
    <row r="528" spans="3:11" x14ac:dyDescent="0.25">
      <c r="C528" s="106"/>
      <c r="H528" s="97"/>
      <c r="I528" s="50"/>
      <c r="J528" s="50"/>
      <c r="K528" s="50"/>
    </row>
    <row r="529" spans="3:11" x14ac:dyDescent="0.25">
      <c r="C529" s="106"/>
      <c r="H529" s="97"/>
      <c r="I529" s="50"/>
      <c r="J529" s="50"/>
      <c r="K529" s="50"/>
    </row>
    <row r="530" spans="3:11" x14ac:dyDescent="0.25">
      <c r="C530" s="106"/>
      <c r="H530" s="97"/>
      <c r="I530" s="50"/>
      <c r="J530" s="50"/>
      <c r="K530" s="50"/>
    </row>
    <row r="531" spans="3:11" x14ac:dyDescent="0.25">
      <c r="C531" s="106"/>
      <c r="H531" s="97"/>
      <c r="I531" s="50"/>
      <c r="J531" s="50"/>
      <c r="K531" s="50"/>
    </row>
    <row r="532" spans="3:11" x14ac:dyDescent="0.25">
      <c r="C532" s="106"/>
      <c r="H532" s="97"/>
      <c r="I532" s="50"/>
      <c r="J532" s="50"/>
      <c r="K532" s="50"/>
    </row>
    <row r="533" spans="3:11" x14ac:dyDescent="0.25">
      <c r="C533" s="106"/>
      <c r="H533" s="97"/>
      <c r="I533" s="50"/>
      <c r="J533" s="50"/>
      <c r="K533" s="50"/>
    </row>
    <row r="534" spans="3:11" x14ac:dyDescent="0.25">
      <c r="C534" s="106"/>
      <c r="H534" s="97"/>
      <c r="I534" s="50"/>
      <c r="J534" s="50"/>
      <c r="K534" s="50"/>
    </row>
    <row r="535" spans="3:11" x14ac:dyDescent="0.25">
      <c r="C535" s="106"/>
      <c r="H535" s="97"/>
      <c r="I535" s="50"/>
      <c r="J535" s="50"/>
      <c r="K535" s="50"/>
    </row>
    <row r="536" spans="3:11" x14ac:dyDescent="0.25">
      <c r="H536" s="97"/>
      <c r="I536" s="50"/>
      <c r="J536" s="50"/>
      <c r="K536" s="50"/>
    </row>
    <row r="537" spans="3:11" x14ac:dyDescent="0.25">
      <c r="H537" s="97"/>
      <c r="I537" s="50"/>
      <c r="J537" s="50"/>
      <c r="K537" s="50"/>
    </row>
    <row r="538" spans="3:11" x14ac:dyDescent="0.25">
      <c r="H538" s="97"/>
      <c r="I538" s="50"/>
      <c r="J538" s="50"/>
      <c r="K538" s="50"/>
    </row>
    <row r="539" spans="3:11" x14ac:dyDescent="0.25">
      <c r="H539" s="97"/>
      <c r="I539" s="50"/>
      <c r="J539" s="50"/>
      <c r="K539" s="50"/>
    </row>
    <row r="540" spans="3:11" x14ac:dyDescent="0.25">
      <c r="H540" s="97"/>
      <c r="I540" s="50"/>
      <c r="J540" s="50"/>
      <c r="K540" s="50"/>
    </row>
    <row r="541" spans="3:11" x14ac:dyDescent="0.25">
      <c r="H541" s="97"/>
      <c r="I541" s="50"/>
      <c r="J541" s="50"/>
      <c r="K541" s="50"/>
    </row>
    <row r="542" spans="3:11" x14ac:dyDescent="0.25">
      <c r="H542" s="97"/>
      <c r="I542" s="50"/>
      <c r="J542" s="50"/>
      <c r="K542" s="50"/>
    </row>
    <row r="543" spans="3:11" x14ac:dyDescent="0.25">
      <c r="H543" s="97"/>
      <c r="I543" s="50"/>
      <c r="J543" s="50"/>
      <c r="K543" s="50"/>
    </row>
    <row r="544" spans="3:11" x14ac:dyDescent="0.25">
      <c r="H544" s="97"/>
      <c r="I544" s="50"/>
      <c r="J544" s="50"/>
      <c r="K544" s="50"/>
    </row>
    <row r="545" spans="8:11" x14ac:dyDescent="0.25">
      <c r="H545" s="97"/>
      <c r="I545" s="50"/>
      <c r="J545" s="50"/>
      <c r="K545" s="50"/>
    </row>
    <row r="546" spans="8:11" x14ac:dyDescent="0.25">
      <c r="H546" s="97"/>
      <c r="I546" s="50"/>
      <c r="J546" s="50"/>
      <c r="K546" s="50"/>
    </row>
    <row r="547" spans="8:11" x14ac:dyDescent="0.25">
      <c r="H547" s="97"/>
      <c r="I547" s="50"/>
      <c r="J547" s="50"/>
      <c r="K547" s="50"/>
    </row>
    <row r="548" spans="8:11" x14ac:dyDescent="0.25">
      <c r="H548" s="97"/>
      <c r="I548" s="50"/>
      <c r="J548" s="50"/>
      <c r="K548" s="50"/>
    </row>
    <row r="549" spans="8:11" x14ac:dyDescent="0.25">
      <c r="H549" s="97"/>
      <c r="I549" s="50"/>
      <c r="J549" s="50"/>
      <c r="K549" s="50"/>
    </row>
    <row r="550" spans="8:11" x14ac:dyDescent="0.25">
      <c r="H550" s="97"/>
      <c r="I550" s="50"/>
      <c r="J550" s="50"/>
      <c r="K550" s="50"/>
    </row>
    <row r="551" spans="8:11" x14ac:dyDescent="0.25">
      <c r="H551" s="97"/>
      <c r="I551" s="50"/>
      <c r="J551" s="50"/>
      <c r="K551" s="50"/>
    </row>
    <row r="552" spans="8:11" x14ac:dyDescent="0.25">
      <c r="H552" s="97"/>
      <c r="I552" s="50"/>
      <c r="J552" s="50"/>
      <c r="K552" s="50"/>
    </row>
    <row r="553" spans="8:11" x14ac:dyDescent="0.25">
      <c r="H553" s="97"/>
      <c r="I553" s="50"/>
      <c r="J553" s="50"/>
      <c r="K553" s="50"/>
    </row>
    <row r="554" spans="8:11" x14ac:dyDescent="0.25">
      <c r="H554" s="97"/>
      <c r="I554" s="50"/>
      <c r="J554" s="50"/>
      <c r="K554" s="50"/>
    </row>
    <row r="555" spans="8:11" x14ac:dyDescent="0.25">
      <c r="H555" s="97"/>
      <c r="I555" s="50"/>
      <c r="J555" s="50"/>
      <c r="K555" s="50"/>
    </row>
    <row r="556" spans="8:11" x14ac:dyDescent="0.25">
      <c r="H556" s="97"/>
      <c r="I556" s="50"/>
      <c r="J556" s="50"/>
      <c r="K556" s="50"/>
    </row>
    <row r="557" spans="8:11" x14ac:dyDescent="0.25">
      <c r="H557" s="97"/>
      <c r="I557" s="50"/>
      <c r="J557" s="50"/>
      <c r="K557" s="50"/>
    </row>
    <row r="558" spans="8:11" x14ac:dyDescent="0.25">
      <c r="H558" s="97"/>
      <c r="I558" s="50"/>
      <c r="J558" s="50"/>
      <c r="K558" s="50"/>
    </row>
    <row r="559" spans="8:11" x14ac:dyDescent="0.25">
      <c r="H559" s="97"/>
      <c r="I559" s="50"/>
      <c r="J559" s="50"/>
      <c r="K559" s="50"/>
    </row>
    <row r="560" spans="8:11" x14ac:dyDescent="0.25">
      <c r="H560" s="97"/>
      <c r="I560" s="50"/>
      <c r="J560" s="50"/>
      <c r="K560" s="50"/>
    </row>
    <row r="561" spans="8:11" x14ac:dyDescent="0.25">
      <c r="H561" s="97"/>
      <c r="I561" s="50"/>
      <c r="J561" s="50"/>
      <c r="K561" s="50"/>
    </row>
    <row r="562" spans="8:11" x14ac:dyDescent="0.25">
      <c r="H562" s="97"/>
      <c r="I562" s="50"/>
      <c r="J562" s="50"/>
      <c r="K562" s="50"/>
    </row>
    <row r="563" spans="8:11" x14ac:dyDescent="0.25">
      <c r="H563" s="97"/>
      <c r="I563" s="50"/>
      <c r="J563" s="50"/>
      <c r="K563" s="50"/>
    </row>
    <row r="564" spans="8:11" x14ac:dyDescent="0.25">
      <c r="H564" s="97"/>
      <c r="I564" s="50"/>
      <c r="J564" s="50"/>
      <c r="K564" s="50"/>
    </row>
    <row r="565" spans="8:11" x14ac:dyDescent="0.25">
      <c r="H565" s="97"/>
      <c r="I565" s="50"/>
      <c r="J565" s="50"/>
      <c r="K565" s="50"/>
    </row>
    <row r="566" spans="8:11" x14ac:dyDescent="0.25">
      <c r="H566" s="97"/>
      <c r="I566" s="50"/>
      <c r="J566" s="50"/>
      <c r="K566" s="50"/>
    </row>
    <row r="567" spans="8:11" x14ac:dyDescent="0.25">
      <c r="H567" s="97"/>
      <c r="I567" s="50"/>
      <c r="J567" s="50"/>
      <c r="K567" s="50"/>
    </row>
    <row r="568" spans="8:11" x14ac:dyDescent="0.25">
      <c r="H568" s="97"/>
      <c r="I568" s="50"/>
      <c r="J568" s="50"/>
      <c r="K568" s="50"/>
    </row>
    <row r="569" spans="8:11" x14ac:dyDescent="0.25">
      <c r="H569" s="97"/>
      <c r="I569" s="50"/>
      <c r="J569" s="50"/>
      <c r="K569" s="50"/>
    </row>
    <row r="570" spans="8:11" x14ac:dyDescent="0.25">
      <c r="H570" s="97"/>
      <c r="I570" s="50"/>
      <c r="J570" s="50"/>
      <c r="K570" s="50"/>
    </row>
    <row r="571" spans="8:11" x14ac:dyDescent="0.25">
      <c r="H571" s="97"/>
      <c r="I571" s="50"/>
      <c r="J571" s="50"/>
      <c r="K571" s="50"/>
    </row>
    <row r="572" spans="8:11" x14ac:dyDescent="0.25">
      <c r="H572" s="97"/>
      <c r="I572" s="50"/>
      <c r="J572" s="50"/>
      <c r="K572" s="50"/>
    </row>
    <row r="573" spans="8:11" x14ac:dyDescent="0.25">
      <c r="H573" s="97"/>
      <c r="I573" s="50"/>
      <c r="J573" s="50"/>
      <c r="K573" s="50"/>
    </row>
    <row r="574" spans="8:11" x14ac:dyDescent="0.25">
      <c r="H574" s="97"/>
      <c r="I574" s="50"/>
      <c r="J574" s="50"/>
      <c r="K574" s="50"/>
    </row>
    <row r="575" spans="8:11" x14ac:dyDescent="0.25">
      <c r="H575" s="97"/>
      <c r="I575" s="50"/>
      <c r="J575" s="50"/>
      <c r="K575" s="50"/>
    </row>
    <row r="576" spans="8:11" x14ac:dyDescent="0.25">
      <c r="H576" s="97"/>
    </row>
    <row r="577" spans="8:8" x14ac:dyDescent="0.25">
      <c r="H577" s="97"/>
    </row>
    <row r="578" spans="8:8" x14ac:dyDescent="0.25">
      <c r="H578" s="97"/>
    </row>
    <row r="579" spans="8:8" x14ac:dyDescent="0.25">
      <c r="H579" s="97"/>
    </row>
    <row r="580" spans="8:8" x14ac:dyDescent="0.25">
      <c r="H580" s="97"/>
    </row>
    <row r="581" spans="8:8" x14ac:dyDescent="0.25">
      <c r="H581" s="97"/>
    </row>
    <row r="582" spans="8:8" x14ac:dyDescent="0.25">
      <c r="H582" s="97"/>
    </row>
    <row r="583" spans="8:8" x14ac:dyDescent="0.25">
      <c r="H583" s="97"/>
    </row>
    <row r="584" spans="8:8" x14ac:dyDescent="0.25">
      <c r="H584" s="97"/>
    </row>
    <row r="585" spans="8:8" x14ac:dyDescent="0.25">
      <c r="H585" s="97"/>
    </row>
    <row r="586" spans="8:8" x14ac:dyDescent="0.25">
      <c r="H586" s="97"/>
    </row>
    <row r="587" spans="8:8" x14ac:dyDescent="0.25">
      <c r="H587" s="97"/>
    </row>
    <row r="588" spans="8:8" x14ac:dyDescent="0.25">
      <c r="H588" s="97"/>
    </row>
    <row r="589" spans="8:8" x14ac:dyDescent="0.25">
      <c r="H589" s="97"/>
    </row>
    <row r="590" spans="8:8" x14ac:dyDescent="0.25">
      <c r="H590" s="97"/>
    </row>
    <row r="591" spans="8:8" x14ac:dyDescent="0.25">
      <c r="H591" s="97"/>
    </row>
    <row r="592" spans="8:8" x14ac:dyDescent="0.25">
      <c r="H592" s="97"/>
    </row>
    <row r="593" spans="8:8" x14ac:dyDescent="0.25">
      <c r="H593" s="97"/>
    </row>
    <row r="594" spans="8:8" x14ac:dyDescent="0.25">
      <c r="H594" s="97"/>
    </row>
    <row r="595" spans="8:8" x14ac:dyDescent="0.25">
      <c r="H595" s="97"/>
    </row>
    <row r="596" spans="8:8" x14ac:dyDescent="0.25">
      <c r="H596" s="97"/>
    </row>
    <row r="597" spans="8:8" x14ac:dyDescent="0.25">
      <c r="H597" s="97"/>
    </row>
    <row r="598" spans="8:8" x14ac:dyDescent="0.25">
      <c r="H598" s="97"/>
    </row>
    <row r="599" spans="8:8" x14ac:dyDescent="0.25">
      <c r="H599" s="97"/>
    </row>
    <row r="600" spans="8:8" x14ac:dyDescent="0.25">
      <c r="H600" s="97"/>
    </row>
    <row r="601" spans="8:8" x14ac:dyDescent="0.25">
      <c r="H601" s="97"/>
    </row>
    <row r="602" spans="8:8" x14ac:dyDescent="0.25">
      <c r="H602" s="97"/>
    </row>
    <row r="603" spans="8:8" x14ac:dyDescent="0.25">
      <c r="H603" s="97"/>
    </row>
    <row r="604" spans="8:8" x14ac:dyDescent="0.25">
      <c r="H604" s="97"/>
    </row>
    <row r="605" spans="8:8" x14ac:dyDescent="0.25">
      <c r="H605" s="97"/>
    </row>
    <row r="606" spans="8:8" x14ac:dyDescent="0.25">
      <c r="H606" s="97"/>
    </row>
    <row r="607" spans="8:8" x14ac:dyDescent="0.25">
      <c r="H607" s="97"/>
    </row>
    <row r="608" spans="8:8" x14ac:dyDescent="0.25">
      <c r="H608" s="97"/>
    </row>
    <row r="609" spans="8:8" x14ac:dyDescent="0.25">
      <c r="H609" s="97"/>
    </row>
    <row r="610" spans="8:8" x14ac:dyDescent="0.25">
      <c r="H610" s="97"/>
    </row>
    <row r="611" spans="8:8" x14ac:dyDescent="0.25">
      <c r="H611" s="97"/>
    </row>
    <row r="612" spans="8:8" x14ac:dyDescent="0.25">
      <c r="H612" s="97"/>
    </row>
    <row r="613" spans="8:8" x14ac:dyDescent="0.25">
      <c r="H613" s="97"/>
    </row>
    <row r="614" spans="8:8" x14ac:dyDescent="0.25">
      <c r="H614" s="97"/>
    </row>
    <row r="615" spans="8:8" x14ac:dyDescent="0.25">
      <c r="H615" s="97"/>
    </row>
    <row r="616" spans="8:8" x14ac:dyDescent="0.25">
      <c r="H616" s="97"/>
    </row>
    <row r="617" spans="8:8" x14ac:dyDescent="0.25">
      <c r="H617" s="97"/>
    </row>
    <row r="618" spans="8:8" x14ac:dyDescent="0.25">
      <c r="H618" s="97"/>
    </row>
    <row r="619" spans="8:8" x14ac:dyDescent="0.25">
      <c r="H619" s="97"/>
    </row>
    <row r="620" spans="8:8" x14ac:dyDescent="0.25">
      <c r="H620" s="97"/>
    </row>
    <row r="621" spans="8:8" x14ac:dyDescent="0.25">
      <c r="H621" s="97"/>
    </row>
    <row r="622" spans="8:8" x14ac:dyDescent="0.25">
      <c r="H622" s="97"/>
    </row>
    <row r="623" spans="8:8" x14ac:dyDescent="0.25">
      <c r="H623" s="97"/>
    </row>
    <row r="624" spans="8:8" x14ac:dyDescent="0.25">
      <c r="H624" s="97"/>
    </row>
    <row r="625" spans="8:8" x14ac:dyDescent="0.25">
      <c r="H625" s="97"/>
    </row>
    <row r="626" spans="8:8" x14ac:dyDescent="0.25">
      <c r="H626" s="97"/>
    </row>
    <row r="627" spans="8:8" x14ac:dyDescent="0.25">
      <c r="H627" s="97"/>
    </row>
    <row r="628" spans="8:8" x14ac:dyDescent="0.25">
      <c r="H628" s="97"/>
    </row>
    <row r="629" spans="8:8" x14ac:dyDescent="0.25">
      <c r="H629" s="97"/>
    </row>
    <row r="630" spans="8:8" x14ac:dyDescent="0.25">
      <c r="H630" s="97"/>
    </row>
    <row r="631" spans="8:8" x14ac:dyDescent="0.25">
      <c r="H631" s="97"/>
    </row>
    <row r="632" spans="8:8" x14ac:dyDescent="0.25">
      <c r="H632" s="97"/>
    </row>
    <row r="633" spans="8:8" x14ac:dyDescent="0.25">
      <c r="H633" s="97"/>
    </row>
    <row r="634" spans="8:8" x14ac:dyDescent="0.25">
      <c r="H634" s="97"/>
    </row>
    <row r="635" spans="8:8" x14ac:dyDescent="0.25">
      <c r="H635" s="97"/>
    </row>
    <row r="636" spans="8:8" x14ac:dyDescent="0.25">
      <c r="H636" s="97"/>
    </row>
    <row r="637" spans="8:8" x14ac:dyDescent="0.25">
      <c r="H637" s="97"/>
    </row>
    <row r="638" spans="8:8" x14ac:dyDescent="0.25">
      <c r="H638" s="97"/>
    </row>
    <row r="639" spans="8:8" x14ac:dyDescent="0.25">
      <c r="H639" s="97"/>
    </row>
    <row r="640" spans="8:8" x14ac:dyDescent="0.25">
      <c r="H640" s="97"/>
    </row>
    <row r="641" spans="8:8" x14ac:dyDescent="0.25">
      <c r="H641" s="97"/>
    </row>
    <row r="642" spans="8:8" x14ac:dyDescent="0.25">
      <c r="H642" s="97"/>
    </row>
    <row r="643" spans="8:8" x14ac:dyDescent="0.25">
      <c r="H643" s="97"/>
    </row>
    <row r="644" spans="8:8" x14ac:dyDescent="0.25">
      <c r="H644" s="97"/>
    </row>
    <row r="645" spans="8:8" x14ac:dyDescent="0.25">
      <c r="H645" s="97"/>
    </row>
    <row r="646" spans="8:8" x14ac:dyDescent="0.25">
      <c r="H646" s="97"/>
    </row>
    <row r="647" spans="8:8" x14ac:dyDescent="0.25">
      <c r="H647" s="97"/>
    </row>
    <row r="648" spans="8:8" x14ac:dyDescent="0.25">
      <c r="H648" s="97"/>
    </row>
    <row r="649" spans="8:8" x14ac:dyDescent="0.25">
      <c r="H649" s="97"/>
    </row>
    <row r="650" spans="8:8" x14ac:dyDescent="0.25">
      <c r="H650" s="97"/>
    </row>
    <row r="651" spans="8:8" x14ac:dyDescent="0.25">
      <c r="H651" s="97"/>
    </row>
    <row r="652" spans="8:8" x14ac:dyDescent="0.25">
      <c r="H652" s="97"/>
    </row>
    <row r="653" spans="8:8" x14ac:dyDescent="0.25">
      <c r="H653" s="97"/>
    </row>
    <row r="654" spans="8:8" x14ac:dyDescent="0.25">
      <c r="H654" s="97"/>
    </row>
    <row r="655" spans="8:8" x14ac:dyDescent="0.25">
      <c r="H655" s="97"/>
    </row>
    <row r="656" spans="8:8" x14ac:dyDescent="0.25">
      <c r="H656" s="97"/>
    </row>
    <row r="657" spans="8:8" x14ac:dyDescent="0.25">
      <c r="H657" s="97"/>
    </row>
    <row r="658" spans="8:8" x14ac:dyDescent="0.25">
      <c r="H658" s="97"/>
    </row>
    <row r="659" spans="8:8" x14ac:dyDescent="0.25">
      <c r="H659" s="97"/>
    </row>
    <row r="660" spans="8:8" x14ac:dyDescent="0.25">
      <c r="H660" s="97"/>
    </row>
    <row r="661" spans="8:8" x14ac:dyDescent="0.25">
      <c r="H661" s="97"/>
    </row>
    <row r="662" spans="8:8" x14ac:dyDescent="0.25">
      <c r="H662" s="97"/>
    </row>
    <row r="663" spans="8:8" x14ac:dyDescent="0.25">
      <c r="H663" s="97"/>
    </row>
    <row r="664" spans="8:8" x14ac:dyDescent="0.25">
      <c r="H664" s="97"/>
    </row>
    <row r="665" spans="8:8" x14ac:dyDescent="0.25">
      <c r="H665" s="97"/>
    </row>
    <row r="666" spans="8:8" x14ac:dyDescent="0.25">
      <c r="H666" s="97"/>
    </row>
    <row r="667" spans="8:8" x14ac:dyDescent="0.25">
      <c r="H667" s="97"/>
    </row>
    <row r="668" spans="8:8" x14ac:dyDescent="0.25">
      <c r="H668" s="97"/>
    </row>
    <row r="669" spans="8:8" x14ac:dyDescent="0.25">
      <c r="H669" s="97"/>
    </row>
    <row r="670" spans="8:8" x14ac:dyDescent="0.25">
      <c r="H670" s="97"/>
    </row>
    <row r="671" spans="8:8" x14ac:dyDescent="0.25">
      <c r="H671" s="97"/>
    </row>
    <row r="672" spans="8:8" x14ac:dyDescent="0.25">
      <c r="H672" s="97"/>
    </row>
    <row r="673" spans="8:8" x14ac:dyDescent="0.25">
      <c r="H673" s="97"/>
    </row>
    <row r="674" spans="8:8" x14ac:dyDescent="0.25">
      <c r="H674" s="97"/>
    </row>
    <row r="675" spans="8:8" x14ac:dyDescent="0.25">
      <c r="H675" s="97"/>
    </row>
    <row r="676" spans="8:8" x14ac:dyDescent="0.25">
      <c r="H676" s="97"/>
    </row>
    <row r="677" spans="8:8" x14ac:dyDescent="0.25">
      <c r="H677" s="97"/>
    </row>
    <row r="678" spans="8:8" x14ac:dyDescent="0.25">
      <c r="H678" s="97"/>
    </row>
    <row r="679" spans="8:8" x14ac:dyDescent="0.25">
      <c r="H679" s="97"/>
    </row>
    <row r="680" spans="8:8" x14ac:dyDescent="0.25">
      <c r="H680" s="97"/>
    </row>
    <row r="681" spans="8:8" x14ac:dyDescent="0.25">
      <c r="H681" s="97"/>
    </row>
    <row r="682" spans="8:8" x14ac:dyDescent="0.25">
      <c r="H682" s="97"/>
    </row>
    <row r="683" spans="8:8" x14ac:dyDescent="0.25">
      <c r="H683" s="97"/>
    </row>
    <row r="684" spans="8:8" x14ac:dyDescent="0.25">
      <c r="H684" s="97"/>
    </row>
    <row r="685" spans="8:8" x14ac:dyDescent="0.25">
      <c r="H685" s="97"/>
    </row>
    <row r="686" spans="8:8" x14ac:dyDescent="0.25">
      <c r="H686" s="97"/>
    </row>
    <row r="687" spans="8:8" x14ac:dyDescent="0.25">
      <c r="H687" s="97"/>
    </row>
    <row r="688" spans="8:8" x14ac:dyDescent="0.25">
      <c r="H688" s="97"/>
    </row>
    <row r="689" spans="8:8" x14ac:dyDescent="0.25">
      <c r="H689" s="97"/>
    </row>
    <row r="690" spans="8:8" x14ac:dyDescent="0.25">
      <c r="H690" s="97"/>
    </row>
    <row r="691" spans="8:8" x14ac:dyDescent="0.25">
      <c r="H691" s="97"/>
    </row>
    <row r="692" spans="8:8" x14ac:dyDescent="0.25">
      <c r="H692" s="97"/>
    </row>
    <row r="693" spans="8:8" x14ac:dyDescent="0.25">
      <c r="H693" s="97"/>
    </row>
    <row r="694" spans="8:8" x14ac:dyDescent="0.25">
      <c r="H694" s="97"/>
    </row>
    <row r="695" spans="8:8" x14ac:dyDescent="0.25">
      <c r="H695" s="97"/>
    </row>
    <row r="696" spans="8:8" x14ac:dyDescent="0.25">
      <c r="H696" s="97"/>
    </row>
    <row r="697" spans="8:8" x14ac:dyDescent="0.25">
      <c r="H697" s="97"/>
    </row>
    <row r="698" spans="8:8" x14ac:dyDescent="0.25">
      <c r="H698" s="97"/>
    </row>
    <row r="699" spans="8:8" x14ac:dyDescent="0.25">
      <c r="H699" s="97"/>
    </row>
    <row r="700" spans="8:8" x14ac:dyDescent="0.25">
      <c r="H700" s="97"/>
    </row>
    <row r="701" spans="8:8" x14ac:dyDescent="0.25">
      <c r="H701" s="97"/>
    </row>
    <row r="702" spans="8:8" x14ac:dyDescent="0.25">
      <c r="H702" s="97"/>
    </row>
    <row r="703" spans="8:8" x14ac:dyDescent="0.25">
      <c r="H703" s="97"/>
    </row>
    <row r="704" spans="8:8" x14ac:dyDescent="0.25">
      <c r="H704" s="97"/>
    </row>
    <row r="705" spans="8:8" x14ac:dyDescent="0.25">
      <c r="H705" s="97"/>
    </row>
    <row r="706" spans="8:8" x14ac:dyDescent="0.25">
      <c r="H706" s="97"/>
    </row>
    <row r="707" spans="8:8" x14ac:dyDescent="0.25">
      <c r="H707" s="97"/>
    </row>
    <row r="708" spans="8:8" x14ac:dyDescent="0.25">
      <c r="H708" s="97"/>
    </row>
    <row r="709" spans="8:8" x14ac:dyDescent="0.25">
      <c r="H709" s="97"/>
    </row>
    <row r="710" spans="8:8" x14ac:dyDescent="0.25">
      <c r="H710" s="97"/>
    </row>
    <row r="711" spans="8:8" x14ac:dyDescent="0.25">
      <c r="H711" s="97"/>
    </row>
    <row r="712" spans="8:8" x14ac:dyDescent="0.25">
      <c r="H712" s="97"/>
    </row>
    <row r="713" spans="8:8" x14ac:dyDescent="0.25">
      <c r="H713" s="97"/>
    </row>
    <row r="714" spans="8:8" x14ac:dyDescent="0.25">
      <c r="H714" s="97"/>
    </row>
    <row r="715" spans="8:8" x14ac:dyDescent="0.25">
      <c r="H715" s="97"/>
    </row>
    <row r="716" spans="8:8" x14ac:dyDescent="0.25">
      <c r="H716" s="97"/>
    </row>
    <row r="717" spans="8:8" x14ac:dyDescent="0.25">
      <c r="H717" s="97"/>
    </row>
    <row r="718" spans="8:8" x14ac:dyDescent="0.25">
      <c r="H718" s="97"/>
    </row>
    <row r="719" spans="8:8" x14ac:dyDescent="0.25">
      <c r="H719" s="97"/>
    </row>
    <row r="720" spans="8:8" x14ac:dyDescent="0.25">
      <c r="H720" s="97"/>
    </row>
    <row r="721" spans="8:8" x14ac:dyDescent="0.25">
      <c r="H721" s="97"/>
    </row>
    <row r="722" spans="8:8" x14ac:dyDescent="0.25">
      <c r="H722" s="97"/>
    </row>
    <row r="723" spans="8:8" x14ac:dyDescent="0.25">
      <c r="H723" s="97"/>
    </row>
    <row r="724" spans="8:8" x14ac:dyDescent="0.25">
      <c r="H724" s="97"/>
    </row>
    <row r="725" spans="8:8" x14ac:dyDescent="0.25">
      <c r="H725" s="97"/>
    </row>
    <row r="726" spans="8:8" x14ac:dyDescent="0.25">
      <c r="H726" s="97"/>
    </row>
    <row r="727" spans="8:8" x14ac:dyDescent="0.25">
      <c r="H727" s="97"/>
    </row>
    <row r="728" spans="8:8" x14ac:dyDescent="0.25">
      <c r="H728" s="97"/>
    </row>
    <row r="729" spans="8:8" x14ac:dyDescent="0.25">
      <c r="H729" s="97"/>
    </row>
    <row r="730" spans="8:8" x14ac:dyDescent="0.25">
      <c r="H730" s="97"/>
    </row>
    <row r="731" spans="8:8" x14ac:dyDescent="0.25">
      <c r="H731" s="97"/>
    </row>
    <row r="732" spans="8:8" x14ac:dyDescent="0.25">
      <c r="H732" s="97"/>
    </row>
    <row r="733" spans="8:8" x14ac:dyDescent="0.25">
      <c r="H733" s="97"/>
    </row>
    <row r="734" spans="8:8" x14ac:dyDescent="0.25">
      <c r="H734" s="97"/>
    </row>
    <row r="735" spans="8:8" x14ac:dyDescent="0.25">
      <c r="H735" s="97"/>
    </row>
    <row r="736" spans="8:8" x14ac:dyDescent="0.25">
      <c r="H736" s="97"/>
    </row>
    <row r="737" spans="8:8" x14ac:dyDescent="0.25">
      <c r="H737" s="97"/>
    </row>
    <row r="738" spans="8:8" x14ac:dyDescent="0.25">
      <c r="H738" s="97"/>
    </row>
    <row r="739" spans="8:8" x14ac:dyDescent="0.25">
      <c r="H739" s="97"/>
    </row>
    <row r="740" spans="8:8" x14ac:dyDescent="0.25">
      <c r="H740" s="97"/>
    </row>
    <row r="741" spans="8:8" x14ac:dyDescent="0.25">
      <c r="H741" s="97"/>
    </row>
    <row r="742" spans="8:8" x14ac:dyDescent="0.25">
      <c r="H742" s="97"/>
    </row>
    <row r="743" spans="8:8" x14ac:dyDescent="0.25">
      <c r="H743" s="97"/>
    </row>
    <row r="744" spans="8:8" x14ac:dyDescent="0.25">
      <c r="H744" s="97"/>
    </row>
    <row r="745" spans="8:8" x14ac:dyDescent="0.25">
      <c r="H745" s="97"/>
    </row>
    <row r="746" spans="8:8" x14ac:dyDescent="0.25">
      <c r="H746" s="97"/>
    </row>
    <row r="747" spans="8:8" x14ac:dyDescent="0.25">
      <c r="H747" s="97"/>
    </row>
    <row r="748" spans="8:8" x14ac:dyDescent="0.25">
      <c r="H748" s="97"/>
    </row>
    <row r="749" spans="8:8" x14ac:dyDescent="0.25">
      <c r="H749" s="97"/>
    </row>
    <row r="750" spans="8:8" x14ac:dyDescent="0.25">
      <c r="H750" s="97"/>
    </row>
    <row r="751" spans="8:8" x14ac:dyDescent="0.25">
      <c r="H751" s="97"/>
    </row>
    <row r="752" spans="8:8" x14ac:dyDescent="0.25">
      <c r="H752" s="97"/>
    </row>
    <row r="753" spans="8:8" x14ac:dyDescent="0.25">
      <c r="H753" s="97"/>
    </row>
    <row r="754" spans="8:8" x14ac:dyDescent="0.25">
      <c r="H754" s="97"/>
    </row>
    <row r="755" spans="8:8" x14ac:dyDescent="0.25">
      <c r="H755" s="97"/>
    </row>
    <row r="756" spans="8:8" x14ac:dyDescent="0.25">
      <c r="H756" s="97"/>
    </row>
    <row r="757" spans="8:8" x14ac:dyDescent="0.25">
      <c r="H757" s="97"/>
    </row>
    <row r="758" spans="8:8" x14ac:dyDescent="0.25">
      <c r="H758" s="97"/>
    </row>
    <row r="759" spans="8:8" x14ac:dyDescent="0.25">
      <c r="H759" s="97"/>
    </row>
    <row r="760" spans="8:8" x14ac:dyDescent="0.25">
      <c r="H760" s="97"/>
    </row>
    <row r="761" spans="8:8" x14ac:dyDescent="0.25">
      <c r="H761" s="97"/>
    </row>
    <row r="762" spans="8:8" x14ac:dyDescent="0.25">
      <c r="H762" s="97"/>
    </row>
    <row r="763" spans="8:8" x14ac:dyDescent="0.25">
      <c r="H763" s="97"/>
    </row>
    <row r="764" spans="8:8" x14ac:dyDescent="0.25">
      <c r="H764" s="97"/>
    </row>
    <row r="765" spans="8:8" x14ac:dyDescent="0.25">
      <c r="H765" s="97"/>
    </row>
    <row r="766" spans="8:8" x14ac:dyDescent="0.25">
      <c r="H766" s="97"/>
    </row>
    <row r="767" spans="8:8" x14ac:dyDescent="0.25">
      <c r="H767" s="97"/>
    </row>
    <row r="768" spans="8:8" x14ac:dyDescent="0.25">
      <c r="H768" s="97"/>
    </row>
    <row r="769" spans="8:8" x14ac:dyDescent="0.25">
      <c r="H769" s="97"/>
    </row>
    <row r="770" spans="8:8" x14ac:dyDescent="0.25">
      <c r="H770" s="97"/>
    </row>
    <row r="771" spans="8:8" x14ac:dyDescent="0.25">
      <c r="H771" s="97"/>
    </row>
    <row r="772" spans="8:8" x14ac:dyDescent="0.25">
      <c r="H772" s="97"/>
    </row>
    <row r="773" spans="8:8" x14ac:dyDescent="0.25">
      <c r="H773" s="97"/>
    </row>
    <row r="774" spans="8:8" x14ac:dyDescent="0.25">
      <c r="H774" s="97"/>
    </row>
    <row r="775" spans="8:8" x14ac:dyDescent="0.25">
      <c r="H775" s="97"/>
    </row>
    <row r="776" spans="8:8" x14ac:dyDescent="0.25">
      <c r="H776" s="97"/>
    </row>
    <row r="777" spans="8:8" x14ac:dyDescent="0.25">
      <c r="H777" s="97"/>
    </row>
    <row r="778" spans="8:8" x14ac:dyDescent="0.25">
      <c r="H778" s="97"/>
    </row>
    <row r="779" spans="8:8" x14ac:dyDescent="0.25">
      <c r="H779" s="97"/>
    </row>
    <row r="780" spans="8:8" x14ac:dyDescent="0.25">
      <c r="H780" s="97"/>
    </row>
    <row r="781" spans="8:8" x14ac:dyDescent="0.25">
      <c r="H781" s="97"/>
    </row>
    <row r="782" spans="8:8" x14ac:dyDescent="0.25">
      <c r="H782" s="97"/>
    </row>
    <row r="783" spans="8:8" x14ac:dyDescent="0.25">
      <c r="H783" s="97"/>
    </row>
    <row r="784" spans="8:8" x14ac:dyDescent="0.25">
      <c r="H784" s="97"/>
    </row>
    <row r="785" spans="8:8" x14ac:dyDescent="0.25">
      <c r="H785" s="97"/>
    </row>
    <row r="786" spans="8:8" x14ac:dyDescent="0.25">
      <c r="H786" s="97"/>
    </row>
    <row r="787" spans="8:8" x14ac:dyDescent="0.25">
      <c r="H787" s="97"/>
    </row>
    <row r="788" spans="8:8" x14ac:dyDescent="0.25">
      <c r="H788" s="97"/>
    </row>
    <row r="789" spans="8:8" x14ac:dyDescent="0.25">
      <c r="H789" s="97"/>
    </row>
    <row r="790" spans="8:8" x14ac:dyDescent="0.25">
      <c r="H790" s="97"/>
    </row>
    <row r="791" spans="8:8" x14ac:dyDescent="0.25">
      <c r="H791" s="97"/>
    </row>
    <row r="792" spans="8:8" x14ac:dyDescent="0.25">
      <c r="H792" s="97"/>
    </row>
    <row r="793" spans="8:8" x14ac:dyDescent="0.25">
      <c r="H793" s="97"/>
    </row>
    <row r="794" spans="8:8" x14ac:dyDescent="0.25">
      <c r="H794" s="97"/>
    </row>
    <row r="795" spans="8:8" x14ac:dyDescent="0.25">
      <c r="H795" s="97"/>
    </row>
    <row r="796" spans="8:8" x14ac:dyDescent="0.25">
      <c r="H796" s="97"/>
    </row>
    <row r="797" spans="8:8" x14ac:dyDescent="0.25">
      <c r="H797" s="97"/>
    </row>
    <row r="798" spans="8:8" x14ac:dyDescent="0.25">
      <c r="H798" s="97"/>
    </row>
    <row r="799" spans="8:8" x14ac:dyDescent="0.25">
      <c r="H799" s="97"/>
    </row>
    <row r="800" spans="8:8" x14ac:dyDescent="0.25">
      <c r="H800" s="97"/>
    </row>
    <row r="801" spans="8:8" x14ac:dyDescent="0.25">
      <c r="H801" s="97"/>
    </row>
    <row r="802" spans="8:8" x14ac:dyDescent="0.25">
      <c r="H802" s="97"/>
    </row>
    <row r="803" spans="8:8" x14ac:dyDescent="0.25">
      <c r="H803" s="97"/>
    </row>
    <row r="804" spans="8:8" x14ac:dyDescent="0.25">
      <c r="H804" s="97"/>
    </row>
    <row r="805" spans="8:8" x14ac:dyDescent="0.25">
      <c r="H805" s="97"/>
    </row>
    <row r="806" spans="8:8" x14ac:dyDescent="0.25">
      <c r="H806" s="97"/>
    </row>
    <row r="807" spans="8:8" x14ac:dyDescent="0.25">
      <c r="H807" s="97"/>
    </row>
    <row r="808" spans="8:8" x14ac:dyDescent="0.25">
      <c r="H808" s="97"/>
    </row>
    <row r="809" spans="8:8" x14ac:dyDescent="0.25">
      <c r="H809" s="97"/>
    </row>
    <row r="810" spans="8:8" x14ac:dyDescent="0.25">
      <c r="H810" s="97"/>
    </row>
    <row r="811" spans="8:8" x14ac:dyDescent="0.25">
      <c r="H811" s="97"/>
    </row>
    <row r="812" spans="8:8" x14ac:dyDescent="0.25">
      <c r="H812" s="97"/>
    </row>
    <row r="813" spans="8:8" x14ac:dyDescent="0.25">
      <c r="H813" s="97"/>
    </row>
    <row r="814" spans="8:8" x14ac:dyDescent="0.25">
      <c r="H814" s="97"/>
    </row>
    <row r="815" spans="8:8" x14ac:dyDescent="0.25">
      <c r="H815" s="97"/>
    </row>
    <row r="816" spans="8:8" x14ac:dyDescent="0.25">
      <c r="H816" s="97"/>
    </row>
    <row r="817" spans="8:8" x14ac:dyDescent="0.25">
      <c r="H817" s="97"/>
    </row>
    <row r="818" spans="8:8" x14ac:dyDescent="0.25">
      <c r="H818" s="97"/>
    </row>
    <row r="819" spans="8:8" x14ac:dyDescent="0.25">
      <c r="H819" s="97"/>
    </row>
    <row r="820" spans="8:8" x14ac:dyDescent="0.25">
      <c r="H820" s="97"/>
    </row>
    <row r="821" spans="8:8" x14ac:dyDescent="0.25">
      <c r="H821" s="97"/>
    </row>
    <row r="822" spans="8:8" x14ac:dyDescent="0.25">
      <c r="H822" s="97"/>
    </row>
    <row r="823" spans="8:8" x14ac:dyDescent="0.25">
      <c r="H823" s="97"/>
    </row>
    <row r="824" spans="8:8" x14ac:dyDescent="0.25">
      <c r="H824" s="97"/>
    </row>
    <row r="825" spans="8:8" x14ac:dyDescent="0.25">
      <c r="H825" s="97"/>
    </row>
    <row r="826" spans="8:8" x14ac:dyDescent="0.25">
      <c r="H826" s="97"/>
    </row>
    <row r="827" spans="8:8" x14ac:dyDescent="0.25">
      <c r="H827" s="97"/>
    </row>
    <row r="828" spans="8:8" x14ac:dyDescent="0.25">
      <c r="H828" s="97"/>
    </row>
    <row r="829" spans="8:8" x14ac:dyDescent="0.25">
      <c r="H829" s="97"/>
    </row>
    <row r="830" spans="8:8" x14ac:dyDescent="0.25">
      <c r="H830" s="97"/>
    </row>
    <row r="831" spans="8:8" x14ac:dyDescent="0.25">
      <c r="H831" s="97"/>
    </row>
    <row r="832" spans="8:8" x14ac:dyDescent="0.25">
      <c r="H832" s="97"/>
    </row>
    <row r="833" spans="8:8" x14ac:dyDescent="0.25">
      <c r="H833" s="97"/>
    </row>
    <row r="834" spans="8:8" x14ac:dyDescent="0.25">
      <c r="H834" s="97"/>
    </row>
    <row r="835" spans="8:8" x14ac:dyDescent="0.25">
      <c r="H835" s="97"/>
    </row>
    <row r="836" spans="8:8" x14ac:dyDescent="0.25">
      <c r="H836" s="97"/>
    </row>
    <row r="837" spans="8:8" x14ac:dyDescent="0.25">
      <c r="H837" s="97"/>
    </row>
    <row r="838" spans="8:8" x14ac:dyDescent="0.25">
      <c r="H838" s="97"/>
    </row>
    <row r="839" spans="8:8" x14ac:dyDescent="0.25">
      <c r="H839" s="97"/>
    </row>
    <row r="840" spans="8:8" x14ac:dyDescent="0.25">
      <c r="H840" s="97"/>
    </row>
    <row r="841" spans="8:8" x14ac:dyDescent="0.25">
      <c r="H841" s="97"/>
    </row>
    <row r="842" spans="8:8" x14ac:dyDescent="0.25">
      <c r="H842" s="97"/>
    </row>
    <row r="843" spans="8:8" x14ac:dyDescent="0.25">
      <c r="H843" s="97"/>
    </row>
    <row r="844" spans="8:8" x14ac:dyDescent="0.25">
      <c r="H844" s="97"/>
    </row>
    <row r="845" spans="8:8" x14ac:dyDescent="0.25">
      <c r="H845" s="97"/>
    </row>
    <row r="846" spans="8:8" x14ac:dyDescent="0.25">
      <c r="H846" s="97"/>
    </row>
    <row r="847" spans="8:8" x14ac:dyDescent="0.25">
      <c r="H847" s="97"/>
    </row>
    <row r="848" spans="8:8" x14ac:dyDescent="0.25">
      <c r="H848" s="97"/>
    </row>
    <row r="849" spans="8:8" x14ac:dyDescent="0.25">
      <c r="H849" s="97"/>
    </row>
    <row r="850" spans="8:8" x14ac:dyDescent="0.25">
      <c r="H850" s="97"/>
    </row>
    <row r="851" spans="8:8" x14ac:dyDescent="0.25">
      <c r="H851" s="97"/>
    </row>
    <row r="852" spans="8:8" x14ac:dyDescent="0.25">
      <c r="H852" s="97"/>
    </row>
    <row r="853" spans="8:8" x14ac:dyDescent="0.25">
      <c r="H853" s="97"/>
    </row>
    <row r="854" spans="8:8" x14ac:dyDescent="0.25">
      <c r="H854" s="97"/>
    </row>
    <row r="855" spans="8:8" x14ac:dyDescent="0.25">
      <c r="H855" s="97"/>
    </row>
    <row r="856" spans="8:8" x14ac:dyDescent="0.25">
      <c r="H856" s="97"/>
    </row>
    <row r="857" spans="8:8" x14ac:dyDescent="0.25">
      <c r="H857" s="97"/>
    </row>
    <row r="858" spans="8:8" x14ac:dyDescent="0.25">
      <c r="H858" s="97"/>
    </row>
    <row r="859" spans="8:8" x14ac:dyDescent="0.25">
      <c r="H859" s="97"/>
    </row>
    <row r="860" spans="8:8" x14ac:dyDescent="0.25">
      <c r="H860" s="97"/>
    </row>
    <row r="861" spans="8:8" x14ac:dyDescent="0.25">
      <c r="H861" s="97"/>
    </row>
    <row r="862" spans="8:8" x14ac:dyDescent="0.25">
      <c r="H862" s="97"/>
    </row>
    <row r="863" spans="8:8" x14ac:dyDescent="0.25">
      <c r="H863" s="97"/>
    </row>
    <row r="864" spans="8:8" x14ac:dyDescent="0.25">
      <c r="H864" s="97"/>
    </row>
    <row r="865" spans="8:8" x14ac:dyDescent="0.25">
      <c r="H865" s="97"/>
    </row>
    <row r="866" spans="8:8" x14ac:dyDescent="0.25">
      <c r="H866" s="97"/>
    </row>
    <row r="867" spans="8:8" x14ac:dyDescent="0.25">
      <c r="H867" s="97"/>
    </row>
    <row r="868" spans="8:8" x14ac:dyDescent="0.25">
      <c r="H868" s="97"/>
    </row>
    <row r="869" spans="8:8" x14ac:dyDescent="0.25">
      <c r="H869" s="97"/>
    </row>
    <row r="870" spans="8:8" x14ac:dyDescent="0.25">
      <c r="H870" s="97"/>
    </row>
    <row r="871" spans="8:8" x14ac:dyDescent="0.25">
      <c r="H871" s="97"/>
    </row>
    <row r="872" spans="8:8" x14ac:dyDescent="0.25">
      <c r="H872" s="97"/>
    </row>
    <row r="873" spans="8:8" x14ac:dyDescent="0.25">
      <c r="H873" s="97"/>
    </row>
    <row r="874" spans="8:8" x14ac:dyDescent="0.25">
      <c r="H874" s="97"/>
    </row>
    <row r="875" spans="8:8" x14ac:dyDescent="0.25">
      <c r="H875" s="97"/>
    </row>
    <row r="876" spans="8:8" x14ac:dyDescent="0.25">
      <c r="H876" s="97"/>
    </row>
    <row r="877" spans="8:8" x14ac:dyDescent="0.25">
      <c r="H877" s="97"/>
    </row>
    <row r="878" spans="8:8" x14ac:dyDescent="0.25">
      <c r="H878" s="97"/>
    </row>
    <row r="879" spans="8:8" x14ac:dyDescent="0.25">
      <c r="H879" s="97"/>
    </row>
    <row r="880" spans="8:8" x14ac:dyDescent="0.25">
      <c r="H880" s="97"/>
    </row>
    <row r="881" spans="8:8" x14ac:dyDescent="0.25">
      <c r="H881" s="97"/>
    </row>
    <row r="882" spans="8:8" x14ac:dyDescent="0.25">
      <c r="H882" s="97"/>
    </row>
    <row r="883" spans="8:8" x14ac:dyDescent="0.25">
      <c r="H883" s="97"/>
    </row>
    <row r="884" spans="8:8" x14ac:dyDescent="0.25">
      <c r="H884" s="97"/>
    </row>
    <row r="885" spans="8:8" x14ac:dyDescent="0.25">
      <c r="H885" s="97"/>
    </row>
    <row r="886" spans="8:8" x14ac:dyDescent="0.25">
      <c r="H886" s="97"/>
    </row>
    <row r="887" spans="8:8" x14ac:dyDescent="0.25">
      <c r="H887" s="97"/>
    </row>
    <row r="888" spans="8:8" x14ac:dyDescent="0.25">
      <c r="H888" s="97"/>
    </row>
    <row r="889" spans="8:8" x14ac:dyDescent="0.25">
      <c r="H889" s="97"/>
    </row>
    <row r="890" spans="8:8" x14ac:dyDescent="0.25">
      <c r="H890" s="97"/>
    </row>
    <row r="891" spans="8:8" x14ac:dyDescent="0.25">
      <c r="H891" s="97"/>
    </row>
    <row r="892" spans="8:8" x14ac:dyDescent="0.25">
      <c r="H892" s="97"/>
    </row>
    <row r="893" spans="8:8" x14ac:dyDescent="0.25">
      <c r="H893" s="97"/>
    </row>
    <row r="894" spans="8:8" x14ac:dyDescent="0.25">
      <c r="H894" s="97"/>
    </row>
    <row r="895" spans="8:8" x14ac:dyDescent="0.25">
      <c r="H895" s="97"/>
    </row>
    <row r="896" spans="8:8" x14ac:dyDescent="0.25">
      <c r="H896" s="97"/>
    </row>
    <row r="897" spans="8:8" x14ac:dyDescent="0.25">
      <c r="H897" s="97"/>
    </row>
    <row r="898" spans="8:8" x14ac:dyDescent="0.25">
      <c r="H898" s="97"/>
    </row>
    <row r="899" spans="8:8" x14ac:dyDescent="0.25">
      <c r="H899" s="97"/>
    </row>
    <row r="900" spans="8:8" x14ac:dyDescent="0.25">
      <c r="H900" s="97"/>
    </row>
    <row r="901" spans="8:8" x14ac:dyDescent="0.25">
      <c r="H901" s="97"/>
    </row>
    <row r="902" spans="8:8" x14ac:dyDescent="0.25">
      <c r="H902" s="97"/>
    </row>
    <row r="903" spans="8:8" x14ac:dyDescent="0.25">
      <c r="H903" s="97"/>
    </row>
    <row r="904" spans="8:8" x14ac:dyDescent="0.25">
      <c r="H904" s="97"/>
    </row>
    <row r="905" spans="8:8" x14ac:dyDescent="0.25">
      <c r="H905" s="97"/>
    </row>
    <row r="906" spans="8:8" x14ac:dyDescent="0.25">
      <c r="H906" s="97"/>
    </row>
    <row r="907" spans="8:8" x14ac:dyDescent="0.25">
      <c r="H907" s="97"/>
    </row>
    <row r="908" spans="8:8" x14ac:dyDescent="0.25">
      <c r="H908" s="97"/>
    </row>
    <row r="909" spans="8:8" x14ac:dyDescent="0.25">
      <c r="H909" s="97"/>
    </row>
    <row r="910" spans="8:8" x14ac:dyDescent="0.25">
      <c r="H910" s="97"/>
    </row>
    <row r="911" spans="8:8" x14ac:dyDescent="0.25">
      <c r="H911" s="97"/>
    </row>
    <row r="912" spans="8:8" x14ac:dyDescent="0.25">
      <c r="H912" s="97"/>
    </row>
    <row r="913" spans="8:8" x14ac:dyDescent="0.25">
      <c r="H913" s="97"/>
    </row>
    <row r="914" spans="8:8" x14ac:dyDescent="0.25">
      <c r="H914" s="97"/>
    </row>
    <row r="915" spans="8:8" x14ac:dyDescent="0.25">
      <c r="H915" s="97"/>
    </row>
    <row r="916" spans="8:8" x14ac:dyDescent="0.25">
      <c r="H916" s="97"/>
    </row>
    <row r="917" spans="8:8" x14ac:dyDescent="0.25">
      <c r="H917" s="97"/>
    </row>
    <row r="918" spans="8:8" x14ac:dyDescent="0.25">
      <c r="H918" s="97"/>
    </row>
    <row r="919" spans="8:8" x14ac:dyDescent="0.25">
      <c r="H919" s="97"/>
    </row>
    <row r="920" spans="8:8" x14ac:dyDescent="0.25">
      <c r="H920" s="97"/>
    </row>
    <row r="921" spans="8:8" x14ac:dyDescent="0.25">
      <c r="H921" s="97"/>
    </row>
    <row r="922" spans="8:8" x14ac:dyDescent="0.25">
      <c r="H922" s="97"/>
    </row>
    <row r="923" spans="8:8" x14ac:dyDescent="0.25">
      <c r="H923" s="97"/>
    </row>
    <row r="924" spans="8:8" x14ac:dyDescent="0.25">
      <c r="H924" s="97"/>
    </row>
    <row r="925" spans="8:8" x14ac:dyDescent="0.25">
      <c r="H925" s="97"/>
    </row>
    <row r="926" spans="8:8" x14ac:dyDescent="0.25">
      <c r="H926" s="97"/>
    </row>
    <row r="927" spans="8:8" x14ac:dyDescent="0.25">
      <c r="H927" s="97"/>
    </row>
    <row r="928" spans="8:8" x14ac:dyDescent="0.25">
      <c r="H928" s="97"/>
    </row>
    <row r="929" spans="8:8" x14ac:dyDescent="0.25">
      <c r="H929" s="97"/>
    </row>
    <row r="930" spans="8:8" x14ac:dyDescent="0.25">
      <c r="H930" s="97"/>
    </row>
    <row r="931" spans="8:8" x14ac:dyDescent="0.25">
      <c r="H931" s="97"/>
    </row>
    <row r="932" spans="8:8" x14ac:dyDescent="0.25">
      <c r="H932" s="97"/>
    </row>
    <row r="933" spans="8:8" x14ac:dyDescent="0.25">
      <c r="H933" s="97"/>
    </row>
    <row r="934" spans="8:8" x14ac:dyDescent="0.25">
      <c r="H934" s="97"/>
    </row>
    <row r="935" spans="8:8" x14ac:dyDescent="0.25">
      <c r="H935" s="97"/>
    </row>
    <row r="936" spans="8:8" x14ac:dyDescent="0.25">
      <c r="H936" s="97"/>
    </row>
    <row r="937" spans="8:8" x14ac:dyDescent="0.25">
      <c r="H937" s="97"/>
    </row>
    <row r="938" spans="8:8" x14ac:dyDescent="0.25">
      <c r="H938" s="97"/>
    </row>
    <row r="939" spans="8:8" x14ac:dyDescent="0.25">
      <c r="H939" s="97"/>
    </row>
    <row r="940" spans="8:8" x14ac:dyDescent="0.25">
      <c r="H940" s="97"/>
    </row>
    <row r="941" spans="8:8" x14ac:dyDescent="0.25">
      <c r="H941" s="97"/>
    </row>
    <row r="942" spans="8:8" x14ac:dyDescent="0.25">
      <c r="H942" s="97"/>
    </row>
    <row r="943" spans="8:8" x14ac:dyDescent="0.25">
      <c r="H943" s="97"/>
    </row>
    <row r="944" spans="8:8" x14ac:dyDescent="0.25">
      <c r="H944" s="97"/>
    </row>
    <row r="945" spans="8:8" x14ac:dyDescent="0.25">
      <c r="H945" s="97"/>
    </row>
    <row r="946" spans="8:8" x14ac:dyDescent="0.25">
      <c r="H946" s="97"/>
    </row>
    <row r="947" spans="8:8" x14ac:dyDescent="0.25">
      <c r="H947" s="97"/>
    </row>
    <row r="948" spans="8:8" x14ac:dyDescent="0.25">
      <c r="H948" s="97"/>
    </row>
    <row r="949" spans="8:8" x14ac:dyDescent="0.25">
      <c r="H949" s="97"/>
    </row>
    <row r="950" spans="8:8" x14ac:dyDescent="0.25">
      <c r="H950" s="97"/>
    </row>
    <row r="951" spans="8:8" x14ac:dyDescent="0.25">
      <c r="H951" s="97"/>
    </row>
    <row r="952" spans="8:8" x14ac:dyDescent="0.25">
      <c r="H952" s="97"/>
    </row>
    <row r="953" spans="8:8" x14ac:dyDescent="0.25">
      <c r="H953" s="97"/>
    </row>
    <row r="954" spans="8:8" x14ac:dyDescent="0.25">
      <c r="H954" s="97"/>
    </row>
    <row r="955" spans="8:8" x14ac:dyDescent="0.25">
      <c r="H955" s="97"/>
    </row>
    <row r="956" spans="8:8" x14ac:dyDescent="0.25">
      <c r="H956" s="97"/>
    </row>
    <row r="957" spans="8:8" x14ac:dyDescent="0.25">
      <c r="H957" s="97"/>
    </row>
    <row r="958" spans="8:8" x14ac:dyDescent="0.25">
      <c r="H958" s="97"/>
    </row>
    <row r="959" spans="8:8" x14ac:dyDescent="0.25">
      <c r="H959" s="97"/>
    </row>
    <row r="960" spans="8:8" x14ac:dyDescent="0.25">
      <c r="H960" s="97"/>
    </row>
    <row r="961" spans="8:8" x14ac:dyDescent="0.25">
      <c r="H961" s="97"/>
    </row>
    <row r="962" spans="8:8" x14ac:dyDescent="0.25">
      <c r="H962" s="97"/>
    </row>
    <row r="963" spans="8:8" x14ac:dyDescent="0.25">
      <c r="H963" s="97"/>
    </row>
    <row r="964" spans="8:8" x14ac:dyDescent="0.25">
      <c r="H964" s="97"/>
    </row>
    <row r="965" spans="8:8" x14ac:dyDescent="0.25">
      <c r="H965" s="97"/>
    </row>
    <row r="966" spans="8:8" x14ac:dyDescent="0.25">
      <c r="H966" s="97"/>
    </row>
    <row r="967" spans="8:8" x14ac:dyDescent="0.25">
      <c r="H967" s="97"/>
    </row>
    <row r="968" spans="8:8" x14ac:dyDescent="0.25">
      <c r="H968" s="97"/>
    </row>
    <row r="969" spans="8:8" x14ac:dyDescent="0.25">
      <c r="H969" s="97"/>
    </row>
    <row r="970" spans="8:8" x14ac:dyDescent="0.25">
      <c r="H970" s="97"/>
    </row>
    <row r="971" spans="8:8" x14ac:dyDescent="0.25">
      <c r="H971" s="97"/>
    </row>
    <row r="972" spans="8:8" x14ac:dyDescent="0.25">
      <c r="H972" s="97"/>
    </row>
    <row r="973" spans="8:8" x14ac:dyDescent="0.25">
      <c r="H973" s="97"/>
    </row>
    <row r="974" spans="8:8" x14ac:dyDescent="0.25">
      <c r="H974" s="97"/>
    </row>
    <row r="975" spans="8:8" x14ac:dyDescent="0.25">
      <c r="H975" s="97"/>
    </row>
    <row r="976" spans="8:8" x14ac:dyDescent="0.25">
      <c r="H976" s="97"/>
    </row>
    <row r="977" spans="8:8" x14ac:dyDescent="0.25">
      <c r="H977" s="97"/>
    </row>
    <row r="978" spans="8:8" x14ac:dyDescent="0.25">
      <c r="H978" s="97"/>
    </row>
    <row r="979" spans="8:8" x14ac:dyDescent="0.25">
      <c r="H979" s="97"/>
    </row>
    <row r="980" spans="8:8" x14ac:dyDescent="0.25">
      <c r="H980" s="97"/>
    </row>
    <row r="981" spans="8:8" x14ac:dyDescent="0.25">
      <c r="H981" s="97"/>
    </row>
    <row r="982" spans="8:8" x14ac:dyDescent="0.25">
      <c r="H982" s="97"/>
    </row>
    <row r="983" spans="8:8" x14ac:dyDescent="0.25">
      <c r="H983" s="97"/>
    </row>
    <row r="984" spans="8:8" x14ac:dyDescent="0.25">
      <c r="H984" s="97"/>
    </row>
    <row r="985" spans="8:8" x14ac:dyDescent="0.25">
      <c r="H985" s="97"/>
    </row>
    <row r="986" spans="8:8" x14ac:dyDescent="0.25">
      <c r="H986" s="97"/>
    </row>
    <row r="987" spans="8:8" x14ac:dyDescent="0.25">
      <c r="H987" s="97"/>
    </row>
    <row r="988" spans="8:8" x14ac:dyDescent="0.25">
      <c r="H988" s="97"/>
    </row>
    <row r="989" spans="8:8" x14ac:dyDescent="0.25">
      <c r="H989" s="97"/>
    </row>
    <row r="990" spans="8:8" x14ac:dyDescent="0.25">
      <c r="H990" s="97"/>
    </row>
    <row r="991" spans="8:8" x14ac:dyDescent="0.25">
      <c r="H991" s="97"/>
    </row>
    <row r="992" spans="8:8" x14ac:dyDescent="0.25">
      <c r="H992" s="97"/>
    </row>
    <row r="993" spans="8:8" x14ac:dyDescent="0.25">
      <c r="H993" s="97"/>
    </row>
    <row r="994" spans="8:8" x14ac:dyDescent="0.25">
      <c r="H994" s="97"/>
    </row>
    <row r="995" spans="8:8" x14ac:dyDescent="0.25">
      <c r="H995" s="97"/>
    </row>
    <row r="996" spans="8:8" x14ac:dyDescent="0.25">
      <c r="H996" s="97"/>
    </row>
    <row r="997" spans="8:8" x14ac:dyDescent="0.25">
      <c r="H997" s="97"/>
    </row>
    <row r="998" spans="8:8" x14ac:dyDescent="0.25">
      <c r="H998" s="97"/>
    </row>
    <row r="999" spans="8:8" x14ac:dyDescent="0.25">
      <c r="H999" s="97"/>
    </row>
    <row r="1000" spans="8:8" x14ac:dyDescent="0.25">
      <c r="H1000" s="97"/>
    </row>
    <row r="1001" spans="8:8" x14ac:dyDescent="0.25">
      <c r="H1001" s="97"/>
    </row>
    <row r="1002" spans="8:8" x14ac:dyDescent="0.25">
      <c r="H1002" s="97"/>
    </row>
    <row r="1003" spans="8:8" x14ac:dyDescent="0.25">
      <c r="H1003" s="97"/>
    </row>
    <row r="1004" spans="8:8" x14ac:dyDescent="0.25">
      <c r="H1004" s="97"/>
    </row>
    <row r="1005" spans="8:8" x14ac:dyDescent="0.25">
      <c r="H1005" s="97"/>
    </row>
    <row r="1006" spans="8:8" x14ac:dyDescent="0.25">
      <c r="H1006" s="97"/>
    </row>
    <row r="1007" spans="8:8" x14ac:dyDescent="0.25">
      <c r="H1007" s="97"/>
    </row>
    <row r="1008" spans="8:8" x14ac:dyDescent="0.25">
      <c r="H1008" s="97"/>
    </row>
    <row r="1009" spans="8:8" x14ac:dyDescent="0.25">
      <c r="H1009" s="97"/>
    </row>
    <row r="1010" spans="8:8" x14ac:dyDescent="0.25">
      <c r="H1010" s="97"/>
    </row>
    <row r="1011" spans="8:8" x14ac:dyDescent="0.25">
      <c r="H1011" s="97"/>
    </row>
    <row r="1012" spans="8:8" x14ac:dyDescent="0.25">
      <c r="H1012" s="97"/>
    </row>
    <row r="1013" spans="8:8" x14ac:dyDescent="0.25">
      <c r="H1013" s="97"/>
    </row>
    <row r="1014" spans="8:8" x14ac:dyDescent="0.25">
      <c r="H1014" s="97"/>
    </row>
    <row r="1015" spans="8:8" x14ac:dyDescent="0.25">
      <c r="H1015" s="97"/>
    </row>
    <row r="1016" spans="8:8" x14ac:dyDescent="0.25">
      <c r="H1016" s="97"/>
    </row>
    <row r="1017" spans="8:8" x14ac:dyDescent="0.25">
      <c r="H1017" s="97"/>
    </row>
    <row r="1018" spans="8:8" x14ac:dyDescent="0.25">
      <c r="H1018" s="97"/>
    </row>
    <row r="1019" spans="8:8" x14ac:dyDescent="0.25">
      <c r="H1019" s="97"/>
    </row>
    <row r="1020" spans="8:8" x14ac:dyDescent="0.25">
      <c r="H1020" s="97"/>
    </row>
    <row r="1021" spans="8:8" x14ac:dyDescent="0.25">
      <c r="H1021" s="97"/>
    </row>
    <row r="1022" spans="8:8" x14ac:dyDescent="0.25">
      <c r="H1022" s="97"/>
    </row>
    <row r="1023" spans="8:8" x14ac:dyDescent="0.25">
      <c r="H1023" s="97"/>
    </row>
    <row r="1024" spans="8:8" x14ac:dyDescent="0.25">
      <c r="H1024" s="97"/>
    </row>
    <row r="1025" spans="8:8" x14ac:dyDescent="0.25">
      <c r="H1025" s="97"/>
    </row>
    <row r="1026" spans="8:8" x14ac:dyDescent="0.25">
      <c r="H1026" s="97"/>
    </row>
    <row r="1027" spans="8:8" x14ac:dyDescent="0.25">
      <c r="H1027" s="97"/>
    </row>
    <row r="1028" spans="8:8" x14ac:dyDescent="0.25">
      <c r="H1028" s="97"/>
    </row>
    <row r="1029" spans="8:8" x14ac:dyDescent="0.25">
      <c r="H1029" s="97"/>
    </row>
    <row r="1030" spans="8:8" x14ac:dyDescent="0.25">
      <c r="H1030" s="97"/>
    </row>
    <row r="1031" spans="8:8" x14ac:dyDescent="0.25">
      <c r="H1031" s="97"/>
    </row>
    <row r="1032" spans="8:8" x14ac:dyDescent="0.25">
      <c r="H1032" s="97"/>
    </row>
    <row r="1033" spans="8:8" x14ac:dyDescent="0.25">
      <c r="H1033" s="97"/>
    </row>
    <row r="1034" spans="8:8" x14ac:dyDescent="0.25">
      <c r="H1034" s="97"/>
    </row>
    <row r="1035" spans="8:8" x14ac:dyDescent="0.25">
      <c r="H1035" s="97"/>
    </row>
    <row r="1036" spans="8:8" x14ac:dyDescent="0.25">
      <c r="H1036" s="97"/>
    </row>
    <row r="1037" spans="8:8" x14ac:dyDescent="0.25">
      <c r="H1037" s="97"/>
    </row>
    <row r="1038" spans="8:8" x14ac:dyDescent="0.25">
      <c r="H1038" s="97"/>
    </row>
    <row r="1039" spans="8:8" x14ac:dyDescent="0.25">
      <c r="H1039" s="97"/>
    </row>
    <row r="1040" spans="8:8" x14ac:dyDescent="0.25">
      <c r="H1040" s="97"/>
    </row>
    <row r="1041" spans="8:8" x14ac:dyDescent="0.25">
      <c r="H1041" s="97"/>
    </row>
    <row r="1042" spans="8:8" x14ac:dyDescent="0.25">
      <c r="H1042" s="97"/>
    </row>
    <row r="1043" spans="8:8" x14ac:dyDescent="0.25">
      <c r="H1043" s="97"/>
    </row>
    <row r="1044" spans="8:8" x14ac:dyDescent="0.25">
      <c r="H1044" s="97"/>
    </row>
    <row r="1045" spans="8:8" x14ac:dyDescent="0.25">
      <c r="H1045" s="97"/>
    </row>
    <row r="1046" spans="8:8" x14ac:dyDescent="0.25">
      <c r="H1046" s="97"/>
    </row>
    <row r="1047" spans="8:8" x14ac:dyDescent="0.25">
      <c r="H1047" s="97"/>
    </row>
    <row r="1048" spans="8:8" x14ac:dyDescent="0.25">
      <c r="H1048" s="97"/>
    </row>
    <row r="1049" spans="8:8" x14ac:dyDescent="0.25">
      <c r="H1049" s="97"/>
    </row>
    <row r="1050" spans="8:8" x14ac:dyDescent="0.25">
      <c r="H1050" s="97"/>
    </row>
    <row r="1051" spans="8:8" x14ac:dyDescent="0.25">
      <c r="H1051" s="97"/>
    </row>
    <row r="1052" spans="8:8" x14ac:dyDescent="0.25">
      <c r="H1052" s="97"/>
    </row>
    <row r="1053" spans="8:8" x14ac:dyDescent="0.25">
      <c r="H1053" s="97"/>
    </row>
    <row r="1054" spans="8:8" x14ac:dyDescent="0.25">
      <c r="H1054" s="97"/>
    </row>
    <row r="1055" spans="8:8" x14ac:dyDescent="0.25">
      <c r="H1055" s="97"/>
    </row>
    <row r="1056" spans="8:8" x14ac:dyDescent="0.25">
      <c r="H1056" s="97"/>
    </row>
    <row r="1057" spans="8:8" x14ac:dyDescent="0.25">
      <c r="H1057" s="97"/>
    </row>
    <row r="1058" spans="8:8" x14ac:dyDescent="0.25">
      <c r="H1058" s="97"/>
    </row>
    <row r="1059" spans="8:8" x14ac:dyDescent="0.25">
      <c r="H1059" s="97"/>
    </row>
    <row r="1060" spans="8:8" x14ac:dyDescent="0.25">
      <c r="H1060" s="97"/>
    </row>
    <row r="1061" spans="8:8" x14ac:dyDescent="0.25">
      <c r="H1061" s="97"/>
    </row>
    <row r="1062" spans="8:8" x14ac:dyDescent="0.25">
      <c r="H1062" s="97"/>
    </row>
    <row r="1063" spans="8:8" x14ac:dyDescent="0.25">
      <c r="H1063" s="97"/>
    </row>
    <row r="1064" spans="8:8" x14ac:dyDescent="0.25">
      <c r="H1064" s="97"/>
    </row>
    <row r="1065" spans="8:8" x14ac:dyDescent="0.25">
      <c r="H1065" s="97"/>
    </row>
    <row r="1066" spans="8:8" x14ac:dyDescent="0.25">
      <c r="H1066" s="97"/>
    </row>
    <row r="1067" spans="8:8" x14ac:dyDescent="0.25">
      <c r="H1067" s="97"/>
    </row>
    <row r="1068" spans="8:8" x14ac:dyDescent="0.25">
      <c r="H1068" s="97"/>
    </row>
    <row r="1069" spans="8:8" x14ac:dyDescent="0.25">
      <c r="H1069" s="97"/>
    </row>
    <row r="1070" spans="8:8" x14ac:dyDescent="0.25">
      <c r="H1070" s="97"/>
    </row>
    <row r="1071" spans="8:8" x14ac:dyDescent="0.25">
      <c r="H1071" s="97"/>
    </row>
    <row r="1072" spans="8:8" x14ac:dyDescent="0.25">
      <c r="H1072" s="97"/>
    </row>
    <row r="1073" spans="8:8" x14ac:dyDescent="0.25">
      <c r="H1073" s="97"/>
    </row>
    <row r="1074" spans="8:8" x14ac:dyDescent="0.25">
      <c r="H1074" s="97"/>
    </row>
    <row r="1075" spans="8:8" x14ac:dyDescent="0.25">
      <c r="H1075" s="97"/>
    </row>
    <row r="1076" spans="8:8" x14ac:dyDescent="0.25">
      <c r="H1076" s="97"/>
    </row>
    <row r="1077" spans="8:8" x14ac:dyDescent="0.25">
      <c r="H1077" s="97"/>
    </row>
    <row r="1078" spans="8:8" x14ac:dyDescent="0.25">
      <c r="H1078" s="97"/>
    </row>
    <row r="1079" spans="8:8" x14ac:dyDescent="0.25">
      <c r="H1079" s="97"/>
    </row>
    <row r="1080" spans="8:8" x14ac:dyDescent="0.25">
      <c r="H1080" s="97"/>
    </row>
    <row r="1081" spans="8:8" x14ac:dyDescent="0.25">
      <c r="H1081" s="97"/>
    </row>
    <row r="1082" spans="8:8" x14ac:dyDescent="0.25">
      <c r="H1082" s="97"/>
    </row>
    <row r="1083" spans="8:8" x14ac:dyDescent="0.25">
      <c r="H1083" s="97"/>
    </row>
    <row r="1084" spans="8:8" x14ac:dyDescent="0.25">
      <c r="H1084" s="97"/>
    </row>
    <row r="1085" spans="8:8" x14ac:dyDescent="0.25">
      <c r="H1085" s="97"/>
    </row>
    <row r="1086" spans="8:8" x14ac:dyDescent="0.25">
      <c r="H1086" s="97"/>
    </row>
    <row r="1087" spans="8:8" x14ac:dyDescent="0.25">
      <c r="H1087" s="97"/>
    </row>
    <row r="1088" spans="8:8" x14ac:dyDescent="0.25">
      <c r="H1088" s="97"/>
    </row>
    <row r="1089" spans="8:8" x14ac:dyDescent="0.25">
      <c r="H1089" s="97"/>
    </row>
    <row r="1090" spans="8:8" x14ac:dyDescent="0.25">
      <c r="H1090" s="97"/>
    </row>
    <row r="1091" spans="8:8" x14ac:dyDescent="0.25">
      <c r="H1091" s="97"/>
    </row>
    <row r="1092" spans="8:8" x14ac:dyDescent="0.25">
      <c r="H1092" s="97"/>
    </row>
    <row r="1093" spans="8:8" x14ac:dyDescent="0.25">
      <c r="H1093" s="97"/>
    </row>
    <row r="1094" spans="8:8" x14ac:dyDescent="0.25">
      <c r="H1094" s="97"/>
    </row>
    <row r="1095" spans="8:8" x14ac:dyDescent="0.25">
      <c r="H1095" s="97"/>
    </row>
    <row r="1096" spans="8:8" x14ac:dyDescent="0.25">
      <c r="H1096" s="97"/>
    </row>
    <row r="1097" spans="8:8" x14ac:dyDescent="0.25">
      <c r="H1097" s="97"/>
    </row>
    <row r="1098" spans="8:8" x14ac:dyDescent="0.25">
      <c r="H1098" s="97"/>
    </row>
    <row r="1099" spans="8:8" x14ac:dyDescent="0.25">
      <c r="H1099" s="97"/>
    </row>
    <row r="1100" spans="8:8" x14ac:dyDescent="0.25">
      <c r="H1100" s="97"/>
    </row>
    <row r="1101" spans="8:8" x14ac:dyDescent="0.25">
      <c r="H1101" s="97"/>
    </row>
    <row r="1102" spans="8:8" x14ac:dyDescent="0.25">
      <c r="H1102" s="97"/>
    </row>
    <row r="1103" spans="8:8" x14ac:dyDescent="0.25">
      <c r="H1103" s="97"/>
    </row>
    <row r="1104" spans="8:8" x14ac:dyDescent="0.25">
      <c r="H1104" s="97"/>
    </row>
    <row r="1105" spans="8:8" x14ac:dyDescent="0.25">
      <c r="H1105" s="97"/>
    </row>
    <row r="1106" spans="8:8" x14ac:dyDescent="0.25">
      <c r="H1106" s="97"/>
    </row>
    <row r="1107" spans="8:8" x14ac:dyDescent="0.25">
      <c r="H1107" s="97"/>
    </row>
    <row r="1108" spans="8:8" x14ac:dyDescent="0.25">
      <c r="H1108" s="97"/>
    </row>
    <row r="1109" spans="8:8" x14ac:dyDescent="0.25">
      <c r="H1109" s="97"/>
    </row>
    <row r="1110" spans="8:8" x14ac:dyDescent="0.25">
      <c r="H1110" s="97"/>
    </row>
    <row r="1111" spans="8:8" x14ac:dyDescent="0.25">
      <c r="H1111" s="97"/>
    </row>
    <row r="1112" spans="8:8" x14ac:dyDescent="0.25">
      <c r="H1112" s="97"/>
    </row>
    <row r="1113" spans="8:8" x14ac:dyDescent="0.25">
      <c r="H1113" s="97"/>
    </row>
    <row r="1114" spans="8:8" x14ac:dyDescent="0.25">
      <c r="H1114" s="97"/>
    </row>
    <row r="1115" spans="8:8" x14ac:dyDescent="0.25">
      <c r="H1115" s="97"/>
    </row>
    <row r="1116" spans="8:8" x14ac:dyDescent="0.25">
      <c r="H1116" s="97"/>
    </row>
    <row r="1117" spans="8:8" x14ac:dyDescent="0.25">
      <c r="H1117" s="97"/>
    </row>
    <row r="1118" spans="8:8" x14ac:dyDescent="0.25">
      <c r="H1118" s="97"/>
    </row>
    <row r="1119" spans="8:8" x14ac:dyDescent="0.25">
      <c r="H1119" s="97"/>
    </row>
    <row r="1120" spans="8:8" x14ac:dyDescent="0.25">
      <c r="H1120" s="97"/>
    </row>
    <row r="1121" spans="8:8" x14ac:dyDescent="0.25">
      <c r="H1121" s="97"/>
    </row>
    <row r="1122" spans="8:8" x14ac:dyDescent="0.25">
      <c r="H1122" s="97"/>
    </row>
    <row r="1123" spans="8:8" x14ac:dyDescent="0.25">
      <c r="H1123" s="97"/>
    </row>
    <row r="1124" spans="8:8" x14ac:dyDescent="0.25">
      <c r="H1124" s="97"/>
    </row>
    <row r="1125" spans="8:8" x14ac:dyDescent="0.25">
      <c r="H1125" s="97"/>
    </row>
    <row r="1126" spans="8:8" x14ac:dyDescent="0.25">
      <c r="H1126" s="97"/>
    </row>
    <row r="1127" spans="8:8" x14ac:dyDescent="0.25">
      <c r="H1127" s="97"/>
    </row>
    <row r="1128" spans="8:8" x14ac:dyDescent="0.25">
      <c r="H1128" s="97"/>
    </row>
    <row r="1129" spans="8:8" x14ac:dyDescent="0.25">
      <c r="H1129" s="97"/>
    </row>
    <row r="1130" spans="8:8" x14ac:dyDescent="0.25">
      <c r="H1130" s="97"/>
    </row>
    <row r="1131" spans="8:8" x14ac:dyDescent="0.25">
      <c r="H1131" s="97"/>
    </row>
    <row r="1132" spans="8:8" x14ac:dyDescent="0.25">
      <c r="H1132" s="97"/>
    </row>
    <row r="1133" spans="8:8" x14ac:dyDescent="0.25">
      <c r="H1133" s="97"/>
    </row>
    <row r="1134" spans="8:8" x14ac:dyDescent="0.25">
      <c r="H1134" s="97"/>
    </row>
    <row r="1135" spans="8:8" x14ac:dyDescent="0.25">
      <c r="H1135" s="97"/>
    </row>
    <row r="1136" spans="8:8" x14ac:dyDescent="0.25">
      <c r="H1136" s="97"/>
    </row>
    <row r="1137" spans="8:8" x14ac:dyDescent="0.25">
      <c r="H1137" s="97"/>
    </row>
    <row r="1138" spans="8:8" x14ac:dyDescent="0.25">
      <c r="H1138" s="97"/>
    </row>
    <row r="1139" spans="8:8" x14ac:dyDescent="0.25">
      <c r="H1139" s="97"/>
    </row>
    <row r="1140" spans="8:8" x14ac:dyDescent="0.25">
      <c r="H1140" s="97"/>
    </row>
    <row r="1141" spans="8:8" x14ac:dyDescent="0.25">
      <c r="H1141" s="97"/>
    </row>
    <row r="1142" spans="8:8" x14ac:dyDescent="0.25">
      <c r="H1142" s="97"/>
    </row>
    <row r="1143" spans="8:8" x14ac:dyDescent="0.25">
      <c r="H1143" s="97"/>
    </row>
    <row r="1144" spans="8:8" x14ac:dyDescent="0.25">
      <c r="H1144" s="97"/>
    </row>
    <row r="1145" spans="8:8" x14ac:dyDescent="0.25">
      <c r="H1145" s="97"/>
    </row>
    <row r="1146" spans="8:8" x14ac:dyDescent="0.25">
      <c r="H1146" s="97"/>
    </row>
    <row r="1147" spans="8:8" x14ac:dyDescent="0.25">
      <c r="H1147" s="97"/>
    </row>
    <row r="1148" spans="8:8" x14ac:dyDescent="0.25">
      <c r="H1148" s="97"/>
    </row>
    <row r="1149" spans="8:8" x14ac:dyDescent="0.25">
      <c r="H1149" s="97"/>
    </row>
    <row r="1150" spans="8:8" x14ac:dyDescent="0.25">
      <c r="H1150" s="97"/>
    </row>
    <row r="1151" spans="8:8" x14ac:dyDescent="0.25">
      <c r="H1151" s="97"/>
    </row>
    <row r="1152" spans="8:8" x14ac:dyDescent="0.25">
      <c r="H1152" s="97"/>
    </row>
    <row r="1153" spans="8:8" x14ac:dyDescent="0.25">
      <c r="H1153" s="97"/>
    </row>
    <row r="1154" spans="8:8" x14ac:dyDescent="0.25">
      <c r="H1154" s="97"/>
    </row>
    <row r="1155" spans="8:8" x14ac:dyDescent="0.25">
      <c r="H1155" s="97"/>
    </row>
    <row r="1156" spans="8:8" x14ac:dyDescent="0.25">
      <c r="H1156" s="97"/>
    </row>
    <row r="1157" spans="8:8" x14ac:dyDescent="0.25">
      <c r="H1157" s="97"/>
    </row>
    <row r="1158" spans="8:8" x14ac:dyDescent="0.25">
      <c r="H1158" s="97"/>
    </row>
    <row r="1159" spans="8:8" x14ac:dyDescent="0.25">
      <c r="H1159" s="97"/>
    </row>
    <row r="1160" spans="8:8" x14ac:dyDescent="0.25">
      <c r="H1160" s="97"/>
    </row>
    <row r="1161" spans="8:8" x14ac:dyDescent="0.25">
      <c r="H1161" s="97"/>
    </row>
    <row r="1162" spans="8:8" x14ac:dyDescent="0.25">
      <c r="H1162" s="97"/>
    </row>
    <row r="1163" spans="8:8" x14ac:dyDescent="0.25">
      <c r="H1163" s="97"/>
    </row>
    <row r="1164" spans="8:8" x14ac:dyDescent="0.25">
      <c r="H1164" s="97"/>
    </row>
    <row r="1165" spans="8:8" x14ac:dyDescent="0.25">
      <c r="H1165" s="97"/>
    </row>
    <row r="1166" spans="8:8" x14ac:dyDescent="0.25">
      <c r="H1166" s="97"/>
    </row>
    <row r="1167" spans="8:8" x14ac:dyDescent="0.25">
      <c r="H1167" s="97"/>
    </row>
    <row r="1168" spans="8:8" x14ac:dyDescent="0.25">
      <c r="H1168" s="97"/>
    </row>
    <row r="1169" spans="8:8" x14ac:dyDescent="0.25">
      <c r="H1169" s="97"/>
    </row>
    <row r="1170" spans="8:8" x14ac:dyDescent="0.25">
      <c r="H1170" s="97"/>
    </row>
    <row r="1171" spans="8:8" x14ac:dyDescent="0.25">
      <c r="H1171" s="97"/>
    </row>
    <row r="1172" spans="8:8" x14ac:dyDescent="0.25">
      <c r="H1172" s="97"/>
    </row>
    <row r="1173" spans="8:8" x14ac:dyDescent="0.25">
      <c r="H1173" s="97"/>
    </row>
    <row r="1174" spans="8:8" x14ac:dyDescent="0.25">
      <c r="H1174" s="97"/>
    </row>
    <row r="1175" spans="8:8" x14ac:dyDescent="0.25">
      <c r="H1175" s="97"/>
    </row>
    <row r="1176" spans="8:8" x14ac:dyDescent="0.25">
      <c r="H1176" s="97"/>
    </row>
    <row r="1177" spans="8:8" x14ac:dyDescent="0.25">
      <c r="H1177" s="97"/>
    </row>
    <row r="1178" spans="8:8" x14ac:dyDescent="0.25">
      <c r="H1178" s="97"/>
    </row>
    <row r="1179" spans="8:8" x14ac:dyDescent="0.25">
      <c r="H1179" s="97"/>
    </row>
    <row r="1180" spans="8:8" x14ac:dyDescent="0.25">
      <c r="H1180" s="97"/>
    </row>
    <row r="1181" spans="8:8" x14ac:dyDescent="0.25">
      <c r="H1181" s="97"/>
    </row>
    <row r="1182" spans="8:8" x14ac:dyDescent="0.25">
      <c r="H1182" s="97"/>
    </row>
    <row r="1183" spans="8:8" x14ac:dyDescent="0.25">
      <c r="H1183" s="97"/>
    </row>
    <row r="1184" spans="8:8" x14ac:dyDescent="0.25">
      <c r="H1184" s="97"/>
    </row>
    <row r="1185" spans="8:8" x14ac:dyDescent="0.25">
      <c r="H1185" s="97"/>
    </row>
    <row r="1186" spans="8:8" x14ac:dyDescent="0.25">
      <c r="H1186" s="97"/>
    </row>
    <row r="1187" spans="8:8" x14ac:dyDescent="0.25">
      <c r="H1187" s="97"/>
    </row>
  </sheetData>
  <sheetProtection sheet="1" objects="1" scenarios="1" selectLockedCells="1"/>
  <mergeCells count="1">
    <mergeCell ref="A2:K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5AC41-A1E8-4A69-988D-ED9AE6430AA3}">
  <sheetPr codeName="Hoja8">
    <tabColor rgb="FFFFFF00"/>
  </sheetPr>
  <dimension ref="A2:N52"/>
  <sheetViews>
    <sheetView zoomScale="112" zoomScaleNormal="112" workbookViewId="0">
      <selection activeCell="F18" sqref="F18"/>
    </sheetView>
  </sheetViews>
  <sheetFormatPr baseColWidth="10" defaultRowHeight="12" x14ac:dyDescent="0.2"/>
  <cols>
    <col min="1" max="1" width="6.28515625" style="22" customWidth="1"/>
    <col min="2" max="2" width="11.140625" style="22" customWidth="1"/>
    <col min="3" max="3" width="49.7109375" style="22" customWidth="1"/>
    <col min="4" max="4" width="8.5703125" style="23" customWidth="1"/>
    <col min="5" max="5" width="14.140625" style="23" customWidth="1"/>
    <col min="6" max="6" width="10" style="23" customWidth="1"/>
    <col min="7" max="7" width="16.28515625" style="23" customWidth="1"/>
    <col min="8" max="8" width="9" style="23" customWidth="1"/>
    <col min="9" max="9" width="11.42578125" style="23"/>
    <col min="10" max="10" width="10.42578125" style="23" customWidth="1"/>
    <col min="11" max="11" width="22.7109375" style="22" customWidth="1"/>
    <col min="12" max="16384" width="11.42578125" style="22"/>
  </cols>
  <sheetData>
    <row r="2" spans="1:11" x14ac:dyDescent="0.2">
      <c r="A2" s="21"/>
    </row>
    <row r="3" spans="1:11" x14ac:dyDescent="0.2">
      <c r="A3" s="21"/>
    </row>
    <row r="4" spans="1:11" x14ac:dyDescent="0.2">
      <c r="A4" s="21"/>
    </row>
    <row r="5" spans="1:11" ht="25.5" x14ac:dyDescent="0.3">
      <c r="C5" s="24" t="s">
        <v>14259</v>
      </c>
      <c r="D5" s="25">
        <v>1</v>
      </c>
    </row>
    <row r="7" spans="1:11" x14ac:dyDescent="0.2">
      <c r="E7" s="26"/>
    </row>
    <row r="8" spans="1:11" x14ac:dyDescent="0.2">
      <c r="B8" s="27" t="s">
        <v>14260</v>
      </c>
      <c r="C8" s="22" t="s">
        <v>15708</v>
      </c>
      <c r="D8" s="38" t="s">
        <v>14261</v>
      </c>
      <c r="E8" s="39">
        <f ca="1">TODAY()</f>
        <v>45369</v>
      </c>
    </row>
    <row r="9" spans="1:11" ht="16.5" customHeight="1" x14ac:dyDescent="0.2">
      <c r="B9" s="36" t="s">
        <v>14262</v>
      </c>
      <c r="C9" s="37" t="str">
        <f>IFERROR(VLOOKUP(E11,'DATA CLIENTES'!B2:I10129,2,FALSE),0)</f>
        <v>RUBEN</v>
      </c>
      <c r="D9" s="22"/>
      <c r="E9" s="22"/>
    </row>
    <row r="10" spans="1:11" ht="16.5" customHeight="1" x14ac:dyDescent="0.2">
      <c r="B10" s="36" t="s">
        <v>14237</v>
      </c>
      <c r="C10" s="37" t="str">
        <f>IFERROR(VLOOKUP(E11,'DATA CLIENTES'!B2:I10129,6,FALSE),0)</f>
        <v>MCDO. 03 S/N PUESTO A-5 PABELLON D</v>
      </c>
    </row>
    <row r="11" spans="1:11" ht="21" customHeight="1" x14ac:dyDescent="0.25">
      <c r="B11" s="28" t="s">
        <v>14236</v>
      </c>
      <c r="C11" s="98" t="s">
        <v>16806</v>
      </c>
      <c r="D11" s="29" t="s">
        <v>14235</v>
      </c>
      <c r="E11" s="50" t="s">
        <v>14196</v>
      </c>
      <c r="F11" s="22"/>
      <c r="G11" s="22"/>
      <c r="H11" s="22"/>
    </row>
    <row r="13" spans="1:11" x14ac:dyDescent="0.2">
      <c r="B13" s="30"/>
      <c r="F13" s="31"/>
      <c r="I13" s="31"/>
    </row>
    <row r="14" spans="1:11" x14ac:dyDescent="0.2">
      <c r="B14" s="138" t="s">
        <v>8</v>
      </c>
      <c r="C14" s="137" t="s">
        <v>9</v>
      </c>
      <c r="D14" s="140" t="s">
        <v>13</v>
      </c>
      <c r="E14" s="137" t="s">
        <v>12</v>
      </c>
      <c r="F14" s="138" t="s">
        <v>10</v>
      </c>
      <c r="G14" s="137" t="s">
        <v>15</v>
      </c>
      <c r="H14" s="137"/>
      <c r="I14" s="137"/>
      <c r="J14" s="137"/>
      <c r="K14" s="137"/>
    </row>
    <row r="15" spans="1:11" ht="48" x14ac:dyDescent="0.2">
      <c r="B15" s="139"/>
      <c r="C15" s="137"/>
      <c r="D15" s="140"/>
      <c r="E15" s="137"/>
      <c r="F15" s="138"/>
      <c r="G15" s="41" t="s">
        <v>14258</v>
      </c>
      <c r="H15" s="41" t="s">
        <v>14255</v>
      </c>
      <c r="I15" s="42" t="s">
        <v>14</v>
      </c>
      <c r="J15" s="41" t="s">
        <v>14256</v>
      </c>
      <c r="K15" s="41" t="s">
        <v>14257</v>
      </c>
    </row>
    <row r="16" spans="1:11" ht="15.75" x14ac:dyDescent="0.25">
      <c r="B16" s="103">
        <v>10016</v>
      </c>
      <c r="C16" s="55" t="str">
        <f>IFERROR(VLOOKUP(B16,DATA_PRODUCTO[#All],2,FALSE),0)</f>
        <v>TRIMMY GULEY NTB520</v>
      </c>
      <c r="D16" s="40" t="str">
        <f>IFERROR(VLOOKUP(B16,DATA_PRODUCTO[#All],6,FALSE),0)</f>
        <v>UN</v>
      </c>
      <c r="E16" s="40">
        <f>IFERROR(VLOOKUP(B16,DATA_PRODUCTO[#All],4,FALSE),0)</f>
        <v>152</v>
      </c>
      <c r="F16" s="32">
        <v>2</v>
      </c>
      <c r="G16" s="43">
        <f>IF(F16&gt;E16, "Cantidad excede a Stock",  IFERROR(VLOOKUP(B16,DATA_PRODUCTO[#All],5,FALSE),0) )</f>
        <v>20.63</v>
      </c>
      <c r="H16" s="43">
        <f>IF(F16&gt;E16, "Cantidad excede a Stock",  G16*F16 )</f>
        <v>41.26</v>
      </c>
      <c r="I16" s="33">
        <v>0</v>
      </c>
      <c r="J16" s="44">
        <f>IF(F16&gt;E16, "Cantidad excede a Stock", -((G16*I16)-G16) )</f>
        <v>20.63</v>
      </c>
      <c r="K16" s="45">
        <f>IF(F16&gt;E16, "Cantidad excede a Stock", -((G16*F16)*I16-H16) )</f>
        <v>41.26</v>
      </c>
    </row>
    <row r="17" spans="2:11" ht="15.75" x14ac:dyDescent="0.25">
      <c r="B17" s="103">
        <v>10049</v>
      </c>
      <c r="C17" s="55" t="str">
        <f>IFERROR(VLOOKUP(B17,DATA_PRODUCTO[#All],2,FALSE),0)</f>
        <v>BOTAS VENUS PNT NG AM 35</v>
      </c>
      <c r="D17" s="40" t="str">
        <f>IFERROR(VLOOKUP(B17,DATA_PRODUCTO[#All],6,FALSE),0)</f>
        <v>PR</v>
      </c>
      <c r="E17" s="40">
        <f>IFERROR(VLOOKUP(B17,DATA_PRODUCTO[#All],4,FALSE),0)</f>
        <v>30</v>
      </c>
      <c r="F17" s="32">
        <v>1</v>
      </c>
      <c r="G17" s="43">
        <f>IF(F17&gt;E17, "Cantidad excede a Stock",  IFERROR(VLOOKUP(B17,DATA_PRODUCTO[#All],5,FALSE),0) )</f>
        <v>29.67</v>
      </c>
      <c r="H17" s="43">
        <f t="shared" ref="H17:H51" si="0">IF(F17&gt;E17, "Cantidad excede a Stock",  G17*F17 )</f>
        <v>29.67</v>
      </c>
      <c r="I17" s="33">
        <v>0</v>
      </c>
      <c r="J17" s="44">
        <f t="shared" ref="J17:J51" si="1">IF(F17&gt;E17, "Cantidad excede a Stock", -((G17*I17)-G17) )</f>
        <v>29.67</v>
      </c>
      <c r="K17" s="45">
        <f t="shared" ref="K17:K51" si="2">IF(F17&gt;E17, "Cantidad excede a Stock", -((G17*F17)*I17-H17) )</f>
        <v>29.67</v>
      </c>
    </row>
    <row r="18" spans="2:11" ht="15.75" x14ac:dyDescent="0.25">
      <c r="B18" s="103"/>
      <c r="C18" s="55">
        <f>IFERROR(VLOOKUP(B18,DATA_PRODUCTO[#All],2,FALSE),0)</f>
        <v>0</v>
      </c>
      <c r="D18" s="40">
        <f>IFERROR(VLOOKUP(B18,DATA_PRODUCTO[#All],6,FALSE),0)</f>
        <v>0</v>
      </c>
      <c r="E18" s="40">
        <f>IFERROR(VLOOKUP(B18,DATA_PRODUCTO[#All],4,FALSE),0)</f>
        <v>0</v>
      </c>
      <c r="F18" s="32"/>
      <c r="G18" s="43">
        <f>IF(F18&gt;E18, "Cantidad excede a Stock",  IFERROR(VLOOKUP(B18,DATA_PRODUCTO[#All],5,FALSE),0) )</f>
        <v>0</v>
      </c>
      <c r="H18" s="43">
        <f t="shared" si="0"/>
        <v>0</v>
      </c>
      <c r="I18" s="33">
        <v>0</v>
      </c>
      <c r="J18" s="44">
        <f t="shared" si="1"/>
        <v>0</v>
      </c>
      <c r="K18" s="45">
        <f t="shared" si="2"/>
        <v>0</v>
      </c>
    </row>
    <row r="19" spans="2:11" ht="15.75" x14ac:dyDescent="0.25">
      <c r="B19" s="103"/>
      <c r="C19" s="55">
        <f>IFERROR(VLOOKUP(B19,DATA_PRODUCTO[#All],2,FALSE),0)</f>
        <v>0</v>
      </c>
      <c r="D19" s="40">
        <f>IFERROR(VLOOKUP(B19,DATA_PRODUCTO[#All],6,FALSE),0)</f>
        <v>0</v>
      </c>
      <c r="E19" s="40">
        <f>IFERROR(VLOOKUP(B19,DATA_PRODUCTO[#All],4,FALSE),0)</f>
        <v>0</v>
      </c>
      <c r="F19" s="32"/>
      <c r="G19" s="43">
        <f>IF(F19&gt;E19, "Cantidad excede a Stock",  IFERROR(VLOOKUP(B19,DATA_PRODUCTO[#All],5,FALSE),0) )</f>
        <v>0</v>
      </c>
      <c r="H19" s="43">
        <f t="shared" si="0"/>
        <v>0</v>
      </c>
      <c r="I19" s="33">
        <v>0</v>
      </c>
      <c r="J19" s="44">
        <f t="shared" si="1"/>
        <v>0</v>
      </c>
      <c r="K19" s="45">
        <f t="shared" si="2"/>
        <v>0</v>
      </c>
    </row>
    <row r="20" spans="2:11" ht="15.75" x14ac:dyDescent="0.25">
      <c r="B20" s="103"/>
      <c r="C20" s="55">
        <f>IFERROR(VLOOKUP(B20,DATA_PRODUCTO[#All],2,FALSE),0)</f>
        <v>0</v>
      </c>
      <c r="D20" s="40">
        <f>IFERROR(VLOOKUP(B20,DATA_PRODUCTO[#All],6,FALSE),0)</f>
        <v>0</v>
      </c>
      <c r="E20" s="40">
        <f>IFERROR(VLOOKUP(B20,DATA_PRODUCTO[#All],4,FALSE),0)</f>
        <v>0</v>
      </c>
      <c r="F20" s="32"/>
      <c r="G20" s="43">
        <f>IF(F20&gt;E20, "Cantidad excede a Stock",  IFERROR(VLOOKUP(B20,DATA_PRODUCTO[#All],5,FALSE),0) )</f>
        <v>0</v>
      </c>
      <c r="H20" s="43">
        <f t="shared" si="0"/>
        <v>0</v>
      </c>
      <c r="I20" s="33">
        <v>0</v>
      </c>
      <c r="J20" s="44">
        <f t="shared" si="1"/>
        <v>0</v>
      </c>
      <c r="K20" s="45">
        <f t="shared" si="2"/>
        <v>0</v>
      </c>
    </row>
    <row r="21" spans="2:11" ht="15.75" x14ac:dyDescent="0.25">
      <c r="B21" s="103"/>
      <c r="C21" s="55">
        <f>IFERROR(VLOOKUP(B21,DATA_PRODUCTO[#All],2,FALSE),0)</f>
        <v>0</v>
      </c>
      <c r="D21" s="40">
        <f>IFERROR(VLOOKUP(B21,DATA_PRODUCTO[#All],6,FALSE),0)</f>
        <v>0</v>
      </c>
      <c r="E21" s="40">
        <f>IFERROR(VLOOKUP(B21,DATA_PRODUCTO[#All],4,FALSE),0)</f>
        <v>0</v>
      </c>
      <c r="F21" s="32"/>
      <c r="G21" s="43">
        <f>IF(F21&gt;E21, "Cantidad excede a Stock",  IFERROR(VLOOKUP(B21,DATA_PRODUCTO[#All],5,FALSE),0) )</f>
        <v>0</v>
      </c>
      <c r="H21" s="43">
        <f t="shared" si="0"/>
        <v>0</v>
      </c>
      <c r="I21" s="33">
        <v>0</v>
      </c>
      <c r="J21" s="44">
        <f t="shared" si="1"/>
        <v>0</v>
      </c>
      <c r="K21" s="45">
        <f t="shared" si="2"/>
        <v>0</v>
      </c>
    </row>
    <row r="22" spans="2:11" ht="15.75" x14ac:dyDescent="0.25">
      <c r="B22" s="103"/>
      <c r="C22" s="55">
        <f>IFERROR(VLOOKUP(B22,DATA_PRODUCTO[#All],2,FALSE),0)</f>
        <v>0</v>
      </c>
      <c r="D22" s="40">
        <f>IFERROR(VLOOKUP(B22,DATA_PRODUCTO[#All],6,FALSE),0)</f>
        <v>0</v>
      </c>
      <c r="E22" s="40">
        <f>IFERROR(VLOOKUP(B22,DATA_PRODUCTO[#All],4,FALSE),0)</f>
        <v>0</v>
      </c>
      <c r="F22" s="32"/>
      <c r="G22" s="43">
        <f>IF(F22&gt;E22, "Cantidad excede a Stock",  IFERROR(VLOOKUP(B22,DATA_PRODUCTO[#All],5,FALSE),0) )</f>
        <v>0</v>
      </c>
      <c r="H22" s="43">
        <f t="shared" si="0"/>
        <v>0</v>
      </c>
      <c r="I22" s="33">
        <v>0</v>
      </c>
      <c r="J22" s="44">
        <f t="shared" si="1"/>
        <v>0</v>
      </c>
      <c r="K22" s="45">
        <f t="shared" si="2"/>
        <v>0</v>
      </c>
    </row>
    <row r="23" spans="2:11" ht="15.75" x14ac:dyDescent="0.25">
      <c r="B23" s="34"/>
      <c r="C23" s="55">
        <f>IFERROR(VLOOKUP(B23,DATA_PRODUCTO[#All],2,FALSE),0)</f>
        <v>0</v>
      </c>
      <c r="D23" s="40">
        <f>IFERROR(VLOOKUP(B23,DATA_PRODUCTO[#All],6,FALSE),0)</f>
        <v>0</v>
      </c>
      <c r="E23" s="40">
        <f>IFERROR(VLOOKUP(B23,DATA_PRODUCTO[#All],4,FALSE),0)</f>
        <v>0</v>
      </c>
      <c r="F23" s="32"/>
      <c r="G23" s="43">
        <f>IF(F23&gt;E23, "Cantidad excede a Stock",  IFERROR(VLOOKUP(B23,DATA_PRODUCTO[#All],5,FALSE),0) )</f>
        <v>0</v>
      </c>
      <c r="H23" s="43">
        <f t="shared" si="0"/>
        <v>0</v>
      </c>
      <c r="I23" s="33">
        <v>0</v>
      </c>
      <c r="J23" s="44">
        <f t="shared" si="1"/>
        <v>0</v>
      </c>
      <c r="K23" s="45">
        <f t="shared" si="2"/>
        <v>0</v>
      </c>
    </row>
    <row r="24" spans="2:11" ht="15.75" x14ac:dyDescent="0.25">
      <c r="B24" s="34"/>
      <c r="C24" s="55">
        <f>IFERROR(VLOOKUP(B24,DATA_PRODUCTO[#All],2,FALSE),0)</f>
        <v>0</v>
      </c>
      <c r="D24" s="40">
        <f>IFERROR(VLOOKUP(B24,DATA_PRODUCTO[#All],6,FALSE),0)</f>
        <v>0</v>
      </c>
      <c r="E24" s="40">
        <f>IFERROR(VLOOKUP(B24,DATA_PRODUCTO[#All],4,FALSE),0)</f>
        <v>0</v>
      </c>
      <c r="F24" s="32"/>
      <c r="G24" s="43">
        <f>IF(F24&gt;E24, "Cantidad excede a Stock",  IFERROR(VLOOKUP(B24,DATA_PRODUCTO[#All],5,FALSE),0) )</f>
        <v>0</v>
      </c>
      <c r="H24" s="43">
        <f t="shared" si="0"/>
        <v>0</v>
      </c>
      <c r="I24" s="33">
        <v>0</v>
      </c>
      <c r="J24" s="44">
        <f t="shared" si="1"/>
        <v>0</v>
      </c>
      <c r="K24" s="45">
        <f t="shared" si="2"/>
        <v>0</v>
      </c>
    </row>
    <row r="25" spans="2:11" ht="15.75" x14ac:dyDescent="0.25">
      <c r="B25" s="34"/>
      <c r="C25" s="55">
        <f>IFERROR(VLOOKUP(B25,DATA_PRODUCTO[#All],2,FALSE),0)</f>
        <v>0</v>
      </c>
      <c r="D25" s="40">
        <f>IFERROR(VLOOKUP(B25,DATA_PRODUCTO[#All],6,FALSE),0)</f>
        <v>0</v>
      </c>
      <c r="E25" s="40">
        <f>IFERROR(VLOOKUP(B25,DATA_PRODUCTO[#All],4,FALSE),0)</f>
        <v>0</v>
      </c>
      <c r="F25" s="32"/>
      <c r="G25" s="43">
        <f>IF(F25&gt;E25, "Cantidad excede a Stock",  IFERROR(VLOOKUP(B25,DATA_PRODUCTO[#All],5,FALSE),0) )</f>
        <v>0</v>
      </c>
      <c r="H25" s="43">
        <f t="shared" si="0"/>
        <v>0</v>
      </c>
      <c r="I25" s="33">
        <v>0</v>
      </c>
      <c r="J25" s="44">
        <f t="shared" si="1"/>
        <v>0</v>
      </c>
      <c r="K25" s="45">
        <f t="shared" si="2"/>
        <v>0</v>
      </c>
    </row>
    <row r="26" spans="2:11" ht="15.75" x14ac:dyDescent="0.25">
      <c r="B26" s="34"/>
      <c r="C26" s="55">
        <f>IFERROR(VLOOKUP(B26,DATA_PRODUCTO[#All],2,FALSE),0)</f>
        <v>0</v>
      </c>
      <c r="D26" s="40">
        <f>IFERROR(VLOOKUP(B26,DATA_PRODUCTO[#All],6,FALSE),0)</f>
        <v>0</v>
      </c>
      <c r="E26" s="40">
        <f>IFERROR(VLOOKUP(B26,DATA_PRODUCTO[#All],4,FALSE),0)</f>
        <v>0</v>
      </c>
      <c r="F26" s="32"/>
      <c r="G26" s="43">
        <f>IF(F26&gt;E26, "Cantidad excede a Stock",  IFERROR(VLOOKUP(B26,DATA_PRODUCTO[#All],5,FALSE),0) )</f>
        <v>0</v>
      </c>
      <c r="H26" s="43">
        <f t="shared" si="0"/>
        <v>0</v>
      </c>
      <c r="I26" s="33">
        <v>0</v>
      </c>
      <c r="J26" s="44">
        <f t="shared" si="1"/>
        <v>0</v>
      </c>
      <c r="K26" s="45">
        <f t="shared" si="2"/>
        <v>0</v>
      </c>
    </row>
    <row r="27" spans="2:11" ht="15.75" x14ac:dyDescent="0.25">
      <c r="B27" s="34"/>
      <c r="C27" s="55">
        <f>IFERROR(VLOOKUP(B27,DATA_PRODUCTO[#All],2,FALSE),0)</f>
        <v>0</v>
      </c>
      <c r="D27" s="40">
        <f>IFERROR(VLOOKUP(B27,DATA_PRODUCTO[#All],6,FALSE),0)</f>
        <v>0</v>
      </c>
      <c r="E27" s="40">
        <f>IFERROR(VLOOKUP(B27,DATA_PRODUCTO[#All],4,FALSE),0)</f>
        <v>0</v>
      </c>
      <c r="F27" s="32"/>
      <c r="G27" s="43">
        <f>IF(F27&gt;E27, "Cantidad excede a Stock",  IFERROR(VLOOKUP(B27,DATA_PRODUCTO[#All],5,FALSE),0) )</f>
        <v>0</v>
      </c>
      <c r="H27" s="43">
        <f t="shared" si="0"/>
        <v>0</v>
      </c>
      <c r="I27" s="33">
        <v>0</v>
      </c>
      <c r="J27" s="44">
        <f t="shared" si="1"/>
        <v>0</v>
      </c>
      <c r="K27" s="45">
        <f t="shared" si="2"/>
        <v>0</v>
      </c>
    </row>
    <row r="28" spans="2:11" ht="15.75" x14ac:dyDescent="0.25">
      <c r="B28" s="34"/>
      <c r="C28" s="55">
        <f>IFERROR(VLOOKUP(B28,DATA_PRODUCTO[#All],2,FALSE),0)</f>
        <v>0</v>
      </c>
      <c r="D28" s="40">
        <f>IFERROR(VLOOKUP(B28,DATA_PRODUCTO[#All],6,FALSE),0)</f>
        <v>0</v>
      </c>
      <c r="E28" s="40">
        <f>IFERROR(VLOOKUP(B28,DATA_PRODUCTO[#All],4,FALSE),0)</f>
        <v>0</v>
      </c>
      <c r="F28" s="32"/>
      <c r="G28" s="43">
        <f>IF(F28&gt;E28, "Cantidad excede a Stock",  IFERROR(VLOOKUP(B28,DATA_PRODUCTO[#All],5,FALSE),0) )</f>
        <v>0</v>
      </c>
      <c r="H28" s="43">
        <f t="shared" si="0"/>
        <v>0</v>
      </c>
      <c r="I28" s="33">
        <v>0</v>
      </c>
      <c r="J28" s="44">
        <f t="shared" si="1"/>
        <v>0</v>
      </c>
      <c r="K28" s="45">
        <f t="shared" si="2"/>
        <v>0</v>
      </c>
    </row>
    <row r="29" spans="2:11" ht="15.75" x14ac:dyDescent="0.25">
      <c r="B29" s="34"/>
      <c r="C29" s="55">
        <f>IFERROR(VLOOKUP(B29,DATA_PRODUCTO[#All],2,FALSE),0)</f>
        <v>0</v>
      </c>
      <c r="D29" s="40">
        <f>IFERROR(VLOOKUP(B29,DATA_PRODUCTO[#All],6,FALSE),0)</f>
        <v>0</v>
      </c>
      <c r="E29" s="40">
        <f>IFERROR(VLOOKUP(B29,DATA_PRODUCTO[#All],4,FALSE),0)</f>
        <v>0</v>
      </c>
      <c r="F29" s="32"/>
      <c r="G29" s="43">
        <f>IF(F29&gt;E29, "Cantidad excede a Stock",  IFERROR(VLOOKUP(B29,DATA_PRODUCTO[#All],5,FALSE),0) )</f>
        <v>0</v>
      </c>
      <c r="H29" s="43">
        <f t="shared" si="0"/>
        <v>0</v>
      </c>
      <c r="I29" s="33">
        <v>0</v>
      </c>
      <c r="J29" s="44">
        <f t="shared" si="1"/>
        <v>0</v>
      </c>
      <c r="K29" s="45">
        <f t="shared" si="2"/>
        <v>0</v>
      </c>
    </row>
    <row r="30" spans="2:11" ht="15.75" x14ac:dyDescent="0.25">
      <c r="B30" s="34"/>
      <c r="C30" s="55">
        <f>IFERROR(VLOOKUP(B30,DATA_PRODUCTO[#All],2,FALSE),0)</f>
        <v>0</v>
      </c>
      <c r="D30" s="40">
        <f>IFERROR(VLOOKUP(B30,DATA_PRODUCTO[#All],6,FALSE),0)</f>
        <v>0</v>
      </c>
      <c r="E30" s="40">
        <f>IFERROR(VLOOKUP(B30,DATA_PRODUCTO[#All],4,FALSE),0)</f>
        <v>0</v>
      </c>
      <c r="F30" s="32"/>
      <c r="G30" s="43">
        <f>IF(F30&gt;E30, "Cantidad excede a Stock",  IFERROR(VLOOKUP(B30,DATA_PRODUCTO[#All],5,FALSE),0) )</f>
        <v>0</v>
      </c>
      <c r="H30" s="43">
        <f t="shared" si="0"/>
        <v>0</v>
      </c>
      <c r="I30" s="33">
        <v>0</v>
      </c>
      <c r="J30" s="44">
        <f t="shared" si="1"/>
        <v>0</v>
      </c>
      <c r="K30" s="45">
        <f t="shared" si="2"/>
        <v>0</v>
      </c>
    </row>
    <row r="31" spans="2:11" ht="15.75" x14ac:dyDescent="0.25">
      <c r="B31" s="34"/>
      <c r="C31" s="55">
        <f>IFERROR(VLOOKUP(B31,DATA_PRODUCTO[#All],2,FALSE),0)</f>
        <v>0</v>
      </c>
      <c r="D31" s="40">
        <f>IFERROR(VLOOKUP(B31,DATA_PRODUCTO[#All],6,FALSE),0)</f>
        <v>0</v>
      </c>
      <c r="E31" s="40">
        <f>IFERROR(VLOOKUP(B31,DATA_PRODUCTO[#All],4,FALSE),0)</f>
        <v>0</v>
      </c>
      <c r="F31" s="32"/>
      <c r="G31" s="43">
        <f>IF(F31&gt;E31, "Cantidad excede a Stock",  IFERROR(VLOOKUP(B31,DATA_PRODUCTO[#All],5,FALSE),0) )</f>
        <v>0</v>
      </c>
      <c r="H31" s="43">
        <f t="shared" si="0"/>
        <v>0</v>
      </c>
      <c r="I31" s="33">
        <v>0</v>
      </c>
      <c r="J31" s="44">
        <f t="shared" si="1"/>
        <v>0</v>
      </c>
      <c r="K31" s="45">
        <f t="shared" si="2"/>
        <v>0</v>
      </c>
    </row>
    <row r="32" spans="2:11" ht="15.75" x14ac:dyDescent="0.25">
      <c r="B32" s="34"/>
      <c r="C32" s="55">
        <f>IFERROR(VLOOKUP(B32,DATA_PRODUCTO[#All],2,FALSE),0)</f>
        <v>0</v>
      </c>
      <c r="D32" s="40">
        <f>IFERROR(VLOOKUP(B32,DATA_PRODUCTO[#All],6,FALSE),0)</f>
        <v>0</v>
      </c>
      <c r="E32" s="40">
        <f>IFERROR(VLOOKUP(B32,DATA_PRODUCTO[#All],4,FALSE),0)</f>
        <v>0</v>
      </c>
      <c r="F32" s="32"/>
      <c r="G32" s="43">
        <f>IF(F32&gt;E32, "Cantidad excede a Stock",  IFERROR(VLOOKUP(B32,DATA_PRODUCTO[#All],5,FALSE),0) )</f>
        <v>0</v>
      </c>
      <c r="H32" s="43">
        <f t="shared" si="0"/>
        <v>0</v>
      </c>
      <c r="I32" s="33">
        <v>0</v>
      </c>
      <c r="J32" s="44">
        <f t="shared" si="1"/>
        <v>0</v>
      </c>
      <c r="K32" s="45">
        <f t="shared" si="2"/>
        <v>0</v>
      </c>
    </row>
    <row r="33" spans="2:11" ht="15.75" x14ac:dyDescent="0.25">
      <c r="B33" s="34"/>
      <c r="C33" s="55">
        <f>IFERROR(VLOOKUP(B33,DATA_PRODUCTO[#All],2,FALSE),0)</f>
        <v>0</v>
      </c>
      <c r="D33" s="40">
        <f>IFERROR(VLOOKUP(B33,DATA_PRODUCTO[#All],6,FALSE),0)</f>
        <v>0</v>
      </c>
      <c r="E33" s="40">
        <f>IFERROR(VLOOKUP(B33,DATA_PRODUCTO[#All],4,FALSE),0)</f>
        <v>0</v>
      </c>
      <c r="F33" s="32"/>
      <c r="G33" s="43">
        <f>IF(F33&gt;E33, "Cantidad excede a Stock",  IFERROR(VLOOKUP(B33,DATA_PRODUCTO[#All],5,FALSE),0) )</f>
        <v>0</v>
      </c>
      <c r="H33" s="43">
        <f t="shared" si="0"/>
        <v>0</v>
      </c>
      <c r="I33" s="33">
        <v>0</v>
      </c>
      <c r="J33" s="44">
        <f t="shared" si="1"/>
        <v>0</v>
      </c>
      <c r="K33" s="45">
        <f t="shared" si="2"/>
        <v>0</v>
      </c>
    </row>
    <row r="34" spans="2:11" ht="15.75" x14ac:dyDescent="0.25">
      <c r="B34" s="34"/>
      <c r="C34" s="55">
        <f>IFERROR(VLOOKUP(B34,DATA_PRODUCTO[#All],2,FALSE),0)</f>
        <v>0</v>
      </c>
      <c r="D34" s="40">
        <f>IFERROR(VLOOKUP(B34,DATA_PRODUCTO[#All],6,FALSE),0)</f>
        <v>0</v>
      </c>
      <c r="E34" s="40">
        <f>IFERROR(VLOOKUP(B34,DATA_PRODUCTO[#All],4,FALSE),0)</f>
        <v>0</v>
      </c>
      <c r="F34" s="32"/>
      <c r="G34" s="43">
        <f>IF(F34&gt;E34, "Cantidad excede a Stock",  IFERROR(VLOOKUP(B34,DATA_PRODUCTO[#All],5,FALSE),0) )</f>
        <v>0</v>
      </c>
      <c r="H34" s="43">
        <f t="shared" si="0"/>
        <v>0</v>
      </c>
      <c r="I34" s="33">
        <v>0</v>
      </c>
      <c r="J34" s="44">
        <f t="shared" si="1"/>
        <v>0</v>
      </c>
      <c r="K34" s="45">
        <f t="shared" si="2"/>
        <v>0</v>
      </c>
    </row>
    <row r="35" spans="2:11" ht="15.75" x14ac:dyDescent="0.25">
      <c r="B35" s="34"/>
      <c r="C35" s="55">
        <f>IFERROR(VLOOKUP(B35,DATA_PRODUCTO[#All],2,FALSE),0)</f>
        <v>0</v>
      </c>
      <c r="D35" s="40">
        <f>IFERROR(VLOOKUP(B35,DATA_PRODUCTO[#All],6,FALSE),0)</f>
        <v>0</v>
      </c>
      <c r="E35" s="40">
        <f>IFERROR(VLOOKUP(B35,DATA_PRODUCTO[#All],4,FALSE),0)</f>
        <v>0</v>
      </c>
      <c r="F35" s="32"/>
      <c r="G35" s="43">
        <f>IF(F35&gt;E35, "Cantidad excede a Stock",  IFERROR(VLOOKUP(B35,DATA_PRODUCTO[#All],5,FALSE),0) )</f>
        <v>0</v>
      </c>
      <c r="H35" s="43">
        <f t="shared" si="0"/>
        <v>0</v>
      </c>
      <c r="I35" s="33">
        <v>0</v>
      </c>
      <c r="J35" s="44">
        <f t="shared" si="1"/>
        <v>0</v>
      </c>
      <c r="K35" s="45">
        <f t="shared" si="2"/>
        <v>0</v>
      </c>
    </row>
    <row r="36" spans="2:11" ht="15.75" x14ac:dyDescent="0.25">
      <c r="B36" s="34"/>
      <c r="C36" s="55">
        <f>IFERROR(VLOOKUP(B36,DATA_PRODUCTO[#All],2,FALSE),0)</f>
        <v>0</v>
      </c>
      <c r="D36" s="40">
        <f>IFERROR(VLOOKUP(B36,DATA_PRODUCTO[#All],6,FALSE),0)</f>
        <v>0</v>
      </c>
      <c r="E36" s="40">
        <f>IFERROR(VLOOKUP(B36,DATA_PRODUCTO[#All],4,FALSE),0)</f>
        <v>0</v>
      </c>
      <c r="F36" s="32"/>
      <c r="G36" s="43">
        <f>IF(F36&gt;E36, "Cantidad excede a Stock",  IFERROR(VLOOKUP(B36,DATA_PRODUCTO[#All],5,FALSE),0) )</f>
        <v>0</v>
      </c>
      <c r="H36" s="43">
        <f t="shared" si="0"/>
        <v>0</v>
      </c>
      <c r="I36" s="33">
        <v>0</v>
      </c>
      <c r="J36" s="44">
        <f t="shared" si="1"/>
        <v>0</v>
      </c>
      <c r="K36" s="45">
        <f t="shared" si="2"/>
        <v>0</v>
      </c>
    </row>
    <row r="37" spans="2:11" ht="15.75" x14ac:dyDescent="0.25">
      <c r="B37" s="34"/>
      <c r="C37" s="55">
        <f>IFERROR(VLOOKUP(B37,DATA_PRODUCTO[#All],2,FALSE),0)</f>
        <v>0</v>
      </c>
      <c r="D37" s="40">
        <f>IFERROR(VLOOKUP(B37,DATA_PRODUCTO[#All],6,FALSE),0)</f>
        <v>0</v>
      </c>
      <c r="E37" s="40">
        <f>IFERROR(VLOOKUP(B37,DATA_PRODUCTO[#All],4,FALSE),0)</f>
        <v>0</v>
      </c>
      <c r="F37" s="32"/>
      <c r="G37" s="43">
        <f>IF(F37&gt;E37, "Cantidad excede a Stock",  IFERROR(VLOOKUP(B37,DATA_PRODUCTO[#All],5,FALSE),0) )</f>
        <v>0</v>
      </c>
      <c r="H37" s="43">
        <f t="shared" si="0"/>
        <v>0</v>
      </c>
      <c r="I37" s="33">
        <v>0</v>
      </c>
      <c r="J37" s="44">
        <f t="shared" si="1"/>
        <v>0</v>
      </c>
      <c r="K37" s="45">
        <f t="shared" si="2"/>
        <v>0</v>
      </c>
    </row>
    <row r="38" spans="2:11" ht="15.75" x14ac:dyDescent="0.25">
      <c r="B38" s="34"/>
      <c r="C38" s="55">
        <f>IFERROR(VLOOKUP(B38,DATA_PRODUCTO[#All],2,FALSE),0)</f>
        <v>0</v>
      </c>
      <c r="D38" s="40">
        <f>IFERROR(VLOOKUP(B38,DATA_PRODUCTO[#All],6,FALSE),0)</f>
        <v>0</v>
      </c>
      <c r="E38" s="40">
        <f>IFERROR(VLOOKUP(B38,DATA_PRODUCTO[#All],4,FALSE),0)</f>
        <v>0</v>
      </c>
      <c r="F38" s="32"/>
      <c r="G38" s="43">
        <f>IF(F38&gt;E38, "Cantidad excede a Stock",  IFERROR(VLOOKUP(B38,DATA_PRODUCTO[#All],5,FALSE),0) )</f>
        <v>0</v>
      </c>
      <c r="H38" s="43">
        <f t="shared" si="0"/>
        <v>0</v>
      </c>
      <c r="I38" s="33">
        <v>0</v>
      </c>
      <c r="J38" s="44">
        <f t="shared" si="1"/>
        <v>0</v>
      </c>
      <c r="K38" s="45">
        <f t="shared" si="2"/>
        <v>0</v>
      </c>
    </row>
    <row r="39" spans="2:11" ht="15.75" x14ac:dyDescent="0.25">
      <c r="B39" s="34"/>
      <c r="C39" s="55">
        <f>IFERROR(VLOOKUP(B39,DATA_PRODUCTO[#All],2,FALSE),0)</f>
        <v>0</v>
      </c>
      <c r="D39" s="40">
        <f>IFERROR(VLOOKUP(B39,DATA_PRODUCTO[#All],6,FALSE),0)</f>
        <v>0</v>
      </c>
      <c r="E39" s="40">
        <f>IFERROR(VLOOKUP(B39,DATA_PRODUCTO[#All],4,FALSE),0)</f>
        <v>0</v>
      </c>
      <c r="F39" s="32"/>
      <c r="G39" s="43">
        <f>IF(F39&gt;E39, "Cantidad excede a Stock",  IFERROR(VLOOKUP(B39,DATA_PRODUCTO[#All],5,FALSE),0) )</f>
        <v>0</v>
      </c>
      <c r="H39" s="43">
        <f t="shared" si="0"/>
        <v>0</v>
      </c>
      <c r="I39" s="33">
        <v>0</v>
      </c>
      <c r="J39" s="44">
        <f t="shared" si="1"/>
        <v>0</v>
      </c>
      <c r="K39" s="45">
        <f t="shared" si="2"/>
        <v>0</v>
      </c>
    </row>
    <row r="40" spans="2:11" ht="15.75" x14ac:dyDescent="0.25">
      <c r="B40" s="34"/>
      <c r="C40" s="55">
        <f>IFERROR(VLOOKUP(B40,DATA_PRODUCTO[#All],2,FALSE),0)</f>
        <v>0</v>
      </c>
      <c r="D40" s="40">
        <f>IFERROR(VLOOKUP(B40,DATA_PRODUCTO[#All],6,FALSE),0)</f>
        <v>0</v>
      </c>
      <c r="E40" s="40">
        <f>IFERROR(VLOOKUP(B40,DATA_PRODUCTO[#All],4,FALSE),0)</f>
        <v>0</v>
      </c>
      <c r="F40" s="32"/>
      <c r="G40" s="43">
        <f>IF(F40&gt;E40, "Cantidad excede a Stock",  IFERROR(VLOOKUP(B40,DATA_PRODUCTO[#All],5,FALSE),0) )</f>
        <v>0</v>
      </c>
      <c r="H40" s="43">
        <f t="shared" si="0"/>
        <v>0</v>
      </c>
      <c r="I40" s="33">
        <v>0</v>
      </c>
      <c r="J40" s="44">
        <f t="shared" si="1"/>
        <v>0</v>
      </c>
      <c r="K40" s="45">
        <f t="shared" si="2"/>
        <v>0</v>
      </c>
    </row>
    <row r="41" spans="2:11" ht="15.75" x14ac:dyDescent="0.25">
      <c r="B41" s="34"/>
      <c r="C41" s="55">
        <f>IFERROR(VLOOKUP(B41,DATA_PRODUCTO[#All],2,FALSE),0)</f>
        <v>0</v>
      </c>
      <c r="D41" s="40">
        <f>IFERROR(VLOOKUP(B41,DATA_PRODUCTO[#All],6,FALSE),0)</f>
        <v>0</v>
      </c>
      <c r="E41" s="40">
        <f>IFERROR(VLOOKUP(B41,DATA_PRODUCTO[#All],4,FALSE),0)</f>
        <v>0</v>
      </c>
      <c r="F41" s="32"/>
      <c r="G41" s="43">
        <f>IF(F41&gt;E41, "Cantidad excede a Stock",  IFERROR(VLOOKUP(B41,DATA_PRODUCTO[#All],5,FALSE),0) )</f>
        <v>0</v>
      </c>
      <c r="H41" s="43">
        <f t="shared" si="0"/>
        <v>0</v>
      </c>
      <c r="I41" s="33">
        <v>0</v>
      </c>
      <c r="J41" s="44">
        <f t="shared" si="1"/>
        <v>0</v>
      </c>
      <c r="K41" s="45">
        <f t="shared" si="2"/>
        <v>0</v>
      </c>
    </row>
    <row r="42" spans="2:11" ht="15.75" x14ac:dyDescent="0.25">
      <c r="B42" s="34"/>
      <c r="C42" s="55">
        <f>IFERROR(VLOOKUP(B42,DATA_PRODUCTO[#All],2,FALSE),0)</f>
        <v>0</v>
      </c>
      <c r="D42" s="40">
        <f>IFERROR(VLOOKUP(B42,DATA_PRODUCTO[#All],6,FALSE),0)</f>
        <v>0</v>
      </c>
      <c r="E42" s="40">
        <f>IFERROR(VLOOKUP(B42,DATA_PRODUCTO[#All],4,FALSE),0)</f>
        <v>0</v>
      </c>
      <c r="F42" s="32"/>
      <c r="G42" s="43">
        <f>IF(F42&gt;E42, "Cantidad excede a Stock",  IFERROR(VLOOKUP(B42,DATA_PRODUCTO[#All],5,FALSE),0) )</f>
        <v>0</v>
      </c>
      <c r="H42" s="43">
        <f t="shared" si="0"/>
        <v>0</v>
      </c>
      <c r="I42" s="33">
        <v>0</v>
      </c>
      <c r="J42" s="44">
        <f t="shared" si="1"/>
        <v>0</v>
      </c>
      <c r="K42" s="45">
        <f t="shared" si="2"/>
        <v>0</v>
      </c>
    </row>
    <row r="43" spans="2:11" ht="15.75" x14ac:dyDescent="0.25">
      <c r="B43" s="34"/>
      <c r="C43" s="55">
        <f>IFERROR(VLOOKUP(B43,DATA_PRODUCTO[#All],2,FALSE),0)</f>
        <v>0</v>
      </c>
      <c r="D43" s="40">
        <f>IFERROR(VLOOKUP(B43,DATA_PRODUCTO[#All],6,FALSE),0)</f>
        <v>0</v>
      </c>
      <c r="E43" s="40">
        <f>IFERROR(VLOOKUP(B43,DATA_PRODUCTO[#All],4,FALSE),0)</f>
        <v>0</v>
      </c>
      <c r="F43" s="32"/>
      <c r="G43" s="43">
        <f>IF(F43&gt;E43, "Cantidad excede a Stock",  IFERROR(VLOOKUP(B43,DATA_PRODUCTO[#All],5,FALSE),0) )</f>
        <v>0</v>
      </c>
      <c r="H43" s="43">
        <f t="shared" si="0"/>
        <v>0</v>
      </c>
      <c r="I43" s="33">
        <v>0</v>
      </c>
      <c r="J43" s="44">
        <f t="shared" si="1"/>
        <v>0</v>
      </c>
      <c r="K43" s="45">
        <f t="shared" si="2"/>
        <v>0</v>
      </c>
    </row>
    <row r="44" spans="2:11" ht="15.75" x14ac:dyDescent="0.25">
      <c r="B44" s="34"/>
      <c r="C44" s="55">
        <f>IFERROR(VLOOKUP(B44,DATA_PRODUCTO[#All],2,FALSE),0)</f>
        <v>0</v>
      </c>
      <c r="D44" s="40">
        <f>IFERROR(VLOOKUP(B44,DATA_PRODUCTO[#All],6,FALSE),0)</f>
        <v>0</v>
      </c>
      <c r="E44" s="40">
        <f>IFERROR(VLOOKUP(B44,DATA_PRODUCTO[#All],4,FALSE),0)</f>
        <v>0</v>
      </c>
      <c r="F44" s="32"/>
      <c r="G44" s="43">
        <f>IF(F44&gt;E44, "Cantidad excede a Stock",  IFERROR(VLOOKUP(B44,DATA_PRODUCTO[#All],5,FALSE),0) )</f>
        <v>0</v>
      </c>
      <c r="H44" s="43">
        <f t="shared" si="0"/>
        <v>0</v>
      </c>
      <c r="I44" s="33">
        <v>0</v>
      </c>
      <c r="J44" s="44">
        <f t="shared" si="1"/>
        <v>0</v>
      </c>
      <c r="K44" s="45">
        <f t="shared" si="2"/>
        <v>0</v>
      </c>
    </row>
    <row r="45" spans="2:11" ht="15.75" x14ac:dyDescent="0.25">
      <c r="B45" s="34"/>
      <c r="C45" s="55">
        <f>IFERROR(VLOOKUP(B45,DATA_PRODUCTO[#All],2,FALSE),0)</f>
        <v>0</v>
      </c>
      <c r="D45" s="40">
        <f>IFERROR(VLOOKUP(B45,DATA_PRODUCTO[#All],6,FALSE),0)</f>
        <v>0</v>
      </c>
      <c r="E45" s="40">
        <f>IFERROR(VLOOKUP(B45,DATA_PRODUCTO[#All],4,FALSE),0)</f>
        <v>0</v>
      </c>
      <c r="F45" s="32"/>
      <c r="G45" s="43">
        <f>IF(F45&gt;E45, "Cantidad excede a Stock",  IFERROR(VLOOKUP(B45,DATA_PRODUCTO[#All],5,FALSE),0) )</f>
        <v>0</v>
      </c>
      <c r="H45" s="43">
        <f t="shared" si="0"/>
        <v>0</v>
      </c>
      <c r="I45" s="33">
        <v>0</v>
      </c>
      <c r="J45" s="44">
        <f t="shared" si="1"/>
        <v>0</v>
      </c>
      <c r="K45" s="45">
        <f t="shared" si="2"/>
        <v>0</v>
      </c>
    </row>
    <row r="46" spans="2:11" ht="15.75" x14ac:dyDescent="0.25">
      <c r="B46" s="34"/>
      <c r="C46" s="55">
        <f>IFERROR(VLOOKUP(B46,DATA_PRODUCTO[#All],2,FALSE),0)</f>
        <v>0</v>
      </c>
      <c r="D46" s="40">
        <f>IFERROR(VLOOKUP(B46,DATA_PRODUCTO[#All],6,FALSE),0)</f>
        <v>0</v>
      </c>
      <c r="E46" s="40">
        <f>IFERROR(VLOOKUP(B46,DATA_PRODUCTO[#All],4,FALSE),0)</f>
        <v>0</v>
      </c>
      <c r="F46" s="32"/>
      <c r="G46" s="43">
        <f>IF(F46&gt;E46, "Cantidad excede a Stock",  IFERROR(VLOOKUP(B46,DATA_PRODUCTO[#All],5,FALSE),0) )</f>
        <v>0</v>
      </c>
      <c r="H46" s="43">
        <f t="shared" si="0"/>
        <v>0</v>
      </c>
      <c r="I46" s="33">
        <v>0</v>
      </c>
      <c r="J46" s="44">
        <f t="shared" si="1"/>
        <v>0</v>
      </c>
      <c r="K46" s="45">
        <f t="shared" si="2"/>
        <v>0</v>
      </c>
    </row>
    <row r="47" spans="2:11" ht="15.75" x14ac:dyDescent="0.25">
      <c r="B47" s="34"/>
      <c r="C47" s="55">
        <f>IFERROR(VLOOKUP(B47,DATA_PRODUCTO[#All],2,FALSE),0)</f>
        <v>0</v>
      </c>
      <c r="D47" s="40">
        <f>IFERROR(VLOOKUP(B47,DATA_PRODUCTO[#All],6,FALSE),0)</f>
        <v>0</v>
      </c>
      <c r="E47" s="40">
        <f>IFERROR(VLOOKUP(B47,DATA_PRODUCTO[#All],4,FALSE),0)</f>
        <v>0</v>
      </c>
      <c r="F47" s="32"/>
      <c r="G47" s="43">
        <f>IF(F47&gt;E47, "Cantidad excede a Stock",  IFERROR(VLOOKUP(B47,DATA_PRODUCTO[#All],5,FALSE),0) )</f>
        <v>0</v>
      </c>
      <c r="H47" s="43">
        <f t="shared" si="0"/>
        <v>0</v>
      </c>
      <c r="I47" s="33">
        <v>0</v>
      </c>
      <c r="J47" s="44">
        <f t="shared" si="1"/>
        <v>0</v>
      </c>
      <c r="K47" s="45">
        <f t="shared" si="2"/>
        <v>0</v>
      </c>
    </row>
    <row r="48" spans="2:11" ht="15.75" x14ac:dyDescent="0.25">
      <c r="B48" s="34"/>
      <c r="C48" s="55">
        <f>IFERROR(VLOOKUP(B48,DATA_PRODUCTO[#All],2,FALSE),0)</f>
        <v>0</v>
      </c>
      <c r="D48" s="40">
        <f>IFERROR(VLOOKUP(B48,DATA_PRODUCTO[#All],6,FALSE),0)</f>
        <v>0</v>
      </c>
      <c r="E48" s="40">
        <f>IFERROR(VLOOKUP(B48,DATA_PRODUCTO[#All],4,FALSE),0)</f>
        <v>0</v>
      </c>
      <c r="F48" s="32"/>
      <c r="G48" s="43">
        <f>IF(F48&gt;E48, "Cantidad excede a Stock",  IFERROR(VLOOKUP(B48,DATA_PRODUCTO[#All],5,FALSE),0) )</f>
        <v>0</v>
      </c>
      <c r="H48" s="43">
        <f t="shared" si="0"/>
        <v>0</v>
      </c>
      <c r="I48" s="33">
        <v>0</v>
      </c>
      <c r="J48" s="44">
        <f t="shared" si="1"/>
        <v>0</v>
      </c>
      <c r="K48" s="45">
        <f t="shared" si="2"/>
        <v>0</v>
      </c>
    </row>
    <row r="49" spans="2:14" ht="15.75" x14ac:dyDescent="0.25">
      <c r="B49" s="34"/>
      <c r="C49" s="55">
        <f>IFERROR(VLOOKUP(B49,DATA_PRODUCTO[#All],2,FALSE),0)</f>
        <v>0</v>
      </c>
      <c r="D49" s="40">
        <f>IFERROR(VLOOKUP(B49,DATA_PRODUCTO[#All],6,FALSE),0)</f>
        <v>0</v>
      </c>
      <c r="E49" s="40">
        <f>IFERROR(VLOOKUP(B49,DATA_PRODUCTO[#All],4,FALSE),0)</f>
        <v>0</v>
      </c>
      <c r="F49" s="32"/>
      <c r="G49" s="43">
        <f>IF(F49&gt;E49, "Cantidad excede a Stock",  IFERROR(VLOOKUP(B49,DATA_PRODUCTO[#All],5,FALSE),0) )</f>
        <v>0</v>
      </c>
      <c r="H49" s="43">
        <f t="shared" si="0"/>
        <v>0</v>
      </c>
      <c r="I49" s="33">
        <v>0</v>
      </c>
      <c r="J49" s="44">
        <f t="shared" si="1"/>
        <v>0</v>
      </c>
      <c r="K49" s="45">
        <f t="shared" si="2"/>
        <v>0</v>
      </c>
    </row>
    <row r="50" spans="2:14" ht="15.75" x14ac:dyDescent="0.25">
      <c r="B50" s="34"/>
      <c r="C50" s="55">
        <f>IFERROR(VLOOKUP(B50,DATA_PRODUCTO[#All],2,FALSE),0)</f>
        <v>0</v>
      </c>
      <c r="D50" s="40">
        <f>IFERROR(VLOOKUP(B50,DATA_PRODUCTO[#All],6,FALSE),0)</f>
        <v>0</v>
      </c>
      <c r="E50" s="40">
        <f>IFERROR(VLOOKUP(B50,DATA_PRODUCTO[#All],4,FALSE),0)</f>
        <v>0</v>
      </c>
      <c r="F50" s="32"/>
      <c r="G50" s="43">
        <f>IF(F50&gt;E50, "Cantidad excede a Stock",  IFERROR(VLOOKUP(B50,DATA_PRODUCTO[#All],5,FALSE),0) )</f>
        <v>0</v>
      </c>
      <c r="H50" s="43">
        <f t="shared" si="0"/>
        <v>0</v>
      </c>
      <c r="I50" s="33">
        <v>0</v>
      </c>
      <c r="J50" s="44">
        <f t="shared" si="1"/>
        <v>0</v>
      </c>
      <c r="K50" s="45">
        <f t="shared" si="2"/>
        <v>0</v>
      </c>
    </row>
    <row r="51" spans="2:14" ht="15.75" x14ac:dyDescent="0.25">
      <c r="B51" s="34"/>
      <c r="C51" s="55">
        <f>IFERROR(VLOOKUP(B51,DATA_PRODUCTO[#All],2,FALSE),0)</f>
        <v>0</v>
      </c>
      <c r="D51" s="40">
        <f>IFERROR(VLOOKUP(B51,DATA_PRODUCTO[#All],6,FALSE),0)</f>
        <v>0</v>
      </c>
      <c r="E51" s="40">
        <f>IFERROR(VLOOKUP(B51,DATA_PRODUCTO[#All],4,FALSE),0)</f>
        <v>0</v>
      </c>
      <c r="F51" s="32"/>
      <c r="G51" s="43">
        <f>IF(F51&gt;E51, "Cantidad excede a Stock",  IFERROR(VLOOKUP(B51,DATA_PRODUCTO[#All],5,FALSE),0) )</f>
        <v>0</v>
      </c>
      <c r="H51" s="43">
        <f t="shared" si="0"/>
        <v>0</v>
      </c>
      <c r="I51" s="33">
        <v>0</v>
      </c>
      <c r="J51" s="44">
        <f t="shared" si="1"/>
        <v>0</v>
      </c>
      <c r="K51" s="45">
        <f t="shared" si="2"/>
        <v>0</v>
      </c>
    </row>
    <row r="52" spans="2:14" ht="12.75" x14ac:dyDescent="0.2">
      <c r="B52" s="135" t="s">
        <v>11</v>
      </c>
      <c r="C52" s="136"/>
      <c r="D52" s="136"/>
      <c r="E52" s="136"/>
      <c r="F52" s="136"/>
      <c r="G52" s="136"/>
      <c r="H52" s="46">
        <f>IF(COUNTIF(H16:H51,"Cantidad excede a Stock")&gt;0, "Error al calcular la suma", SUMIF(H16:H51, "&lt;&gt;Cantidad excede a Stock"))</f>
        <v>70.930000000000007</v>
      </c>
      <c r="I52" s="47">
        <f>IFERROR((H52-K52)/H52,0)</f>
        <v>0</v>
      </c>
      <c r="J52" s="35"/>
      <c r="K52" s="48">
        <f>IF(COUNTIF(K16:K51,"Cantidad excede a Stock")&gt;0, "Error al calcular la suma", SUMIF(K16:K51, "&lt;&gt;Cantidad excede a Stock"))</f>
        <v>70.930000000000007</v>
      </c>
      <c r="L52" s="49">
        <f>IF(I52=0%, H52, K52)</f>
        <v>70.930000000000007</v>
      </c>
      <c r="M52" s="96">
        <f>H52-K52</f>
        <v>0</v>
      </c>
      <c r="N52" s="99">
        <f>IFERROR(M52/H52,0)</f>
        <v>0</v>
      </c>
    </row>
  </sheetData>
  <sheetProtection sheet="1" objects="1" scenarios="1" selectLockedCells="1"/>
  <mergeCells count="7">
    <mergeCell ref="B52:G52"/>
    <mergeCell ref="B14:B15"/>
    <mergeCell ref="C14:C15"/>
    <mergeCell ref="D14:D15"/>
    <mergeCell ref="E14:E15"/>
    <mergeCell ref="F14:F15"/>
    <mergeCell ref="G14:K14"/>
  </mergeCells>
  <pageMargins left="0.70866141732283472" right="0.70866141732283472" top="0.74803149606299213" bottom="0.74803149606299213" header="0.31496062992125984" footer="0.31496062992125984"/>
  <pageSetup paperSize="9" scale="7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Lista precios 2</vt:lpstr>
      <vt:lpstr>DATA PRODUCTOS</vt:lpstr>
      <vt:lpstr>stock 2</vt:lpstr>
      <vt:lpstr>transito</vt:lpstr>
      <vt:lpstr>DATA CLIENTES</vt:lpstr>
      <vt:lpstr>DATA COBRANZA</vt:lpstr>
      <vt:lpstr>PROYECCION DE VENTAS_ORIGINAL</vt:lpstr>
      <vt:lpstr>REGISTRO DE VISITAS</vt:lpstr>
      <vt:lpstr>REGISTRO COBRANZA</vt:lpstr>
      <vt:lpstr>PROYECCION DE VENTAS_ORIGIN (2)</vt:lpstr>
      <vt:lpstr>'PROYECCION DE VENTAS_ORIGIN (2)'!Área_de_impresión</vt:lpstr>
      <vt:lpstr>'PROYECCION DE VENTAS_ORIGINAL'!Área_de_impresión</vt:lpstr>
      <vt:lpstr>'REGISTRO DE VISITAS'!Área_de_impresión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Lista de precios</dc:title>
  <dc:creator>SISTEMAS</dc:creator>
  <cp:lastModifiedBy>Chrisardo Rolo</cp:lastModifiedBy>
  <cp:lastPrinted>2024-01-22T13:52:43Z</cp:lastPrinted>
  <dcterms:created xsi:type="dcterms:W3CDTF">2024-01-19T23:10:17Z</dcterms:created>
  <dcterms:modified xsi:type="dcterms:W3CDTF">2024-03-18T14:07:27Z</dcterms:modified>
</cp:coreProperties>
</file>