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F:\Excel\Skills\2° SESIÓN\"/>
    </mc:Choice>
  </mc:AlternateContent>
  <xr:revisionPtr revIDLastSave="0" documentId="13_ncr:1_{82219DB5-7F19-45BF-8FF5-92BEC50DC663}" xr6:coauthVersionLast="47" xr6:coauthVersionMax="47" xr10:uidLastSave="{00000000-0000-0000-0000-000000000000}"/>
  <bookViews>
    <workbookView xWindow="9708" yWindow="0" windowWidth="13536" windowHeight="12336" tabRatio="895" firstSheet="5" activeTab="10" xr2:uid="{04653315-2CA9-40DB-833B-2F2438F99BD6}"/>
  </bookViews>
  <sheets>
    <sheet name="Frase" sheetId="1" r:id="rId1"/>
    <sheet name="Docente" sheetId="2" r:id="rId2"/>
    <sheet name="F. Matematicas" sheetId="15" r:id="rId3"/>
    <sheet name="Ejercicio 1" sheetId="16" r:id="rId4"/>
    <sheet name="F. Condicionales" sheetId="17" r:id="rId5"/>
    <sheet name="Ejercicio 2" sheetId="18" r:id="rId6"/>
    <sheet name="Extra" sheetId="31" r:id="rId7"/>
    <sheet name="F. Busqueda" sheetId="19" r:id="rId8"/>
    <sheet name="Filtros avanzados" sheetId="21" r:id="rId9"/>
    <sheet name="Filtros Macro" sheetId="28" r:id="rId10"/>
    <sheet name="F. Filtrar" sheetId="27" r:id="rId11"/>
    <sheet name="GPT cache" sheetId="30" state="veryHidden" r:id="rId12"/>
  </sheets>
  <definedNames>
    <definedName name="_xlnm._FilterDatabase" localSheetId="7" hidden="1">'F. Busqueda'!$J$5:$L$5</definedName>
    <definedName name="_xlnm._FilterDatabase" localSheetId="8" hidden="1">'Filtros avanzados'!$A$1:$K$80</definedName>
    <definedName name="_xlnm._FilterDatabase" localSheetId="9" hidden="1">'Filtros Macro'!$A$4:$K$83</definedName>
    <definedName name="_xleta.COUNT" hidden="1" xlm="1">#NAME?</definedName>
    <definedName name="_xleta.INDEX" hidden="1" xlm="1">#NAME?</definedName>
    <definedName name="_xleta.NOT" hidden="1" xlm="1">#NAME?</definedName>
    <definedName name="_xleta.RAND" hidden="1" xlm="1">#NAME?</definedName>
    <definedName name="_xleta.REPT" hidden="1" xlm="1">#NAME?</definedName>
    <definedName name="_xleta.ROUND" hidden="1" xlm="1">#NAME?</definedName>
    <definedName name="_xleta.SUM" hidden="1" xlm="1">#NAME?</definedName>
    <definedName name="_xleta.TEXT" hidden="1" xlm="1">#NAME?</definedName>
    <definedName name="_xlnm.Extract" localSheetId="8">'Filtros avanzados'!$M$42:$R$43</definedName>
    <definedName name="_xlnm.Criteria" localSheetId="8">'Filtros avanzados'!$M$37:$O$38</definedName>
    <definedName name="_xlnm.Criteria" localSheetId="9">'Filtros Macro'!$A$1:$K$2</definedName>
    <definedName name="MOLINA">'F. Matematicas'!$B$7:$B$13</definedName>
    <definedName name="TABLA_CRITERIOS1">'Filtros avanzados'!$M$6:$O$7</definedName>
    <definedName name="TABLA_CRITERIOS2">'Filtros avanzados'!$M$37:$O$38</definedName>
    <definedName name="UNI">'F. Matematicas'!$F$7:$F$13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Q22" i="27" l="1" a="1"/>
  <c r="Q22" i="27" s="1"/>
  <c r="AK6" i="27" a="1"/>
  <c r="AK6" i="27" s="1"/>
  <c r="Y6" i="27" a="1"/>
  <c r="Y6" i="27" s="1"/>
  <c r="M23" i="27" a="1"/>
  <c r="M23" i="27" s="1"/>
  <c r="M6" i="27" a="1"/>
  <c r="M6" i="27" s="1"/>
  <c r="K128" i="19"/>
  <c r="L128" i="19"/>
  <c r="M128" i="19"/>
  <c r="N128" i="19"/>
  <c r="O128" i="19"/>
  <c r="J128" i="19"/>
  <c r="K124" i="19"/>
  <c r="L124" i="19"/>
  <c r="M124" i="19"/>
  <c r="N124" i="19"/>
  <c r="O124" i="19"/>
  <c r="J124" i="19"/>
  <c r="J136" i="19"/>
  <c r="P97" i="19"/>
  <c r="Q97" i="19"/>
  <c r="O6" i="19"/>
  <c r="C37" i="19"/>
  <c r="D37" i="19"/>
  <c r="C38" i="19"/>
  <c r="D38" i="19"/>
  <c r="C39" i="19"/>
  <c r="D39" i="19"/>
  <c r="C40" i="19"/>
  <c r="D40" i="19"/>
  <c r="C41" i="19"/>
  <c r="D41" i="19"/>
  <c r="C42" i="19"/>
  <c r="D42" i="19"/>
  <c r="C43" i="19"/>
  <c r="D43" i="19"/>
  <c r="C9" i="19"/>
  <c r="D9" i="19"/>
  <c r="C10" i="19"/>
  <c r="D10" i="19"/>
  <c r="C11" i="19"/>
  <c r="D11" i="19"/>
  <c r="C12" i="19"/>
  <c r="D12" i="19"/>
  <c r="C13" i="19"/>
  <c r="D13" i="19"/>
  <c r="C14" i="19"/>
  <c r="D14" i="19"/>
  <c r="C15" i="19"/>
  <c r="D15" i="19"/>
  <c r="C97" i="19"/>
  <c r="D97" i="19"/>
  <c r="C98" i="19"/>
  <c r="D98" i="19"/>
  <c r="C99" i="19"/>
  <c r="D99" i="19"/>
  <c r="C100" i="19"/>
  <c r="D100" i="19"/>
  <c r="C101" i="19"/>
  <c r="D101" i="19"/>
  <c r="C102" i="19"/>
  <c r="D102" i="19"/>
  <c r="C103" i="19"/>
  <c r="D103" i="19"/>
  <c r="C104" i="19"/>
  <c r="D104" i="19"/>
  <c r="C105" i="19"/>
  <c r="D105" i="19"/>
  <c r="D96" i="19"/>
  <c r="C96" i="19"/>
  <c r="C35" i="19"/>
  <c r="D35" i="19"/>
  <c r="C36" i="19"/>
  <c r="D36" i="19"/>
  <c r="D34" i="19"/>
  <c r="C34" i="19"/>
  <c r="C7" i="19"/>
  <c r="C8" i="19"/>
  <c r="D7" i="19"/>
  <c r="D8" i="19"/>
  <c r="D6" i="19"/>
  <c r="C6" i="19"/>
  <c r="G150" i="17"/>
  <c r="H150" i="17"/>
  <c r="G184" i="17"/>
  <c r="G133" i="17"/>
  <c r="G132" i="17"/>
  <c r="G131" i="17"/>
  <c r="G130" i="17"/>
  <c r="G129" i="17"/>
  <c r="G106" i="17"/>
  <c r="G105" i="17"/>
  <c r="G104" i="17"/>
  <c r="G103" i="17"/>
  <c r="G102" i="17"/>
  <c r="I50" i="17" a="1"/>
  <c r="I50" i="17" s="1"/>
  <c r="G50" i="17"/>
  <c r="G75" i="17"/>
  <c r="G74" i="17"/>
  <c r="G73" i="17"/>
  <c r="G72" i="17"/>
  <c r="G71" i="17"/>
  <c r="G49" i="17"/>
  <c r="G48" i="17"/>
  <c r="G47" i="17"/>
  <c r="H45" i="17"/>
  <c r="G45" i="17"/>
  <c r="G46" i="17"/>
  <c r="C25" i="16"/>
  <c r="C24" i="16"/>
  <c r="C26" i="16"/>
  <c r="J8" i="16"/>
  <c r="J9" i="16"/>
  <c r="J10" i="16"/>
  <c r="J11" i="16"/>
  <c r="J12" i="16"/>
  <c r="J13" i="16"/>
  <c r="J14" i="16"/>
  <c r="J15" i="16"/>
  <c r="J16" i="16"/>
  <c r="J17" i="16"/>
  <c r="J18" i="16"/>
  <c r="J19" i="16"/>
  <c r="J20" i="16"/>
  <c r="J21" i="16"/>
  <c r="J7" i="16"/>
  <c r="O17" i="16"/>
  <c r="O16" i="16"/>
  <c r="O15" i="16"/>
  <c r="O14" i="16"/>
  <c r="H8" i="16"/>
  <c r="H9" i="16"/>
  <c r="H10" i="16"/>
  <c r="H11" i="16"/>
  <c r="H12" i="16"/>
  <c r="H13" i="16"/>
  <c r="H14" i="16"/>
  <c r="H15" i="16"/>
  <c r="H16" i="16"/>
  <c r="H17" i="16"/>
  <c r="H18" i="16"/>
  <c r="H19" i="16"/>
  <c r="H20" i="16"/>
  <c r="H21" i="16"/>
  <c r="H7" i="16"/>
  <c r="D41" i="16"/>
  <c r="D38" i="16"/>
  <c r="D39" i="16"/>
  <c r="D40" i="16"/>
  <c r="D37" i="16"/>
  <c r="C251" i="15"/>
  <c r="A251" i="15"/>
  <c r="F215" i="15" a="1"/>
  <c r="F215" i="15" s="1"/>
  <c r="D215" i="15"/>
  <c r="B176" i="15"/>
  <c r="B177" i="15"/>
  <c r="B178" i="15"/>
  <c r="B179" i="15"/>
  <c r="B180" i="15"/>
  <c r="B175" i="15"/>
  <c r="E149" i="15"/>
  <c r="E148" i="15"/>
  <c r="E147" i="15"/>
  <c r="E146" i="15"/>
  <c r="E145" i="15"/>
  <c r="E144" i="15"/>
  <c r="D149" i="15"/>
  <c r="D148" i="15"/>
  <c r="D147" i="15"/>
  <c r="D146" i="15"/>
  <c r="D145" i="15"/>
  <c r="D144" i="15"/>
  <c r="C149" i="15"/>
  <c r="C148" i="15"/>
  <c r="C147" i="15"/>
  <c r="C146" i="15"/>
  <c r="C145" i="15"/>
  <c r="C144" i="15"/>
  <c r="C108" i="15"/>
  <c r="C109" i="15"/>
  <c r="C90" i="15"/>
  <c r="C89" i="15"/>
  <c r="F74" i="15"/>
  <c r="C74" i="15"/>
  <c r="C73" i="15"/>
  <c r="C52" i="15"/>
  <c r="C51" i="15"/>
  <c r="C43" i="15"/>
  <c r="C42" i="15"/>
  <c r="G35" i="15"/>
  <c r="E35" i="15"/>
  <c r="C34" i="15"/>
  <c r="C33" i="15"/>
  <c r="C22" i="15"/>
  <c r="C21" i="15"/>
  <c r="H6" i="31"/>
  <c r="H7" i="31" a="1"/>
  <c r="H7" i="31" s="1"/>
  <c r="G297" i="15"/>
  <c r="D296" i="15"/>
  <c r="D295" i="15"/>
  <c r="D294" i="15"/>
  <c r="D293" i="15"/>
  <c r="J83" i="28"/>
  <c r="I83" i="28"/>
  <c r="J82" i="28"/>
  <c r="I82" i="28"/>
  <c r="J81" i="28"/>
  <c r="I81" i="28"/>
  <c r="J80" i="28"/>
  <c r="I80" i="28"/>
  <c r="J79" i="28"/>
  <c r="I79" i="28"/>
  <c r="J78" i="28"/>
  <c r="I78" i="28"/>
  <c r="J77" i="28"/>
  <c r="I77" i="28"/>
  <c r="J76" i="28"/>
  <c r="I76" i="28"/>
  <c r="J75" i="28"/>
  <c r="I75" i="28"/>
  <c r="J74" i="28"/>
  <c r="I74" i="28"/>
  <c r="J73" i="28"/>
  <c r="I73" i="28"/>
  <c r="J72" i="28"/>
  <c r="I72" i="28"/>
  <c r="J71" i="28"/>
  <c r="I71" i="28"/>
  <c r="J70" i="28"/>
  <c r="I70" i="28"/>
  <c r="J69" i="28"/>
  <c r="I69" i="28"/>
  <c r="J68" i="28"/>
  <c r="I68" i="28"/>
  <c r="J67" i="28"/>
  <c r="I67" i="28"/>
  <c r="J66" i="28"/>
  <c r="I66" i="28"/>
  <c r="J65" i="28"/>
  <c r="I65" i="28"/>
  <c r="J64" i="28"/>
  <c r="I64" i="28"/>
  <c r="J63" i="28"/>
  <c r="I63" i="28"/>
  <c r="J62" i="28"/>
  <c r="I62" i="28"/>
  <c r="J61" i="28"/>
  <c r="I61" i="28"/>
  <c r="J60" i="28"/>
  <c r="I60" i="28"/>
  <c r="J59" i="28"/>
  <c r="I59" i="28"/>
  <c r="J58" i="28"/>
  <c r="I58" i="28"/>
  <c r="J57" i="28"/>
  <c r="I57" i="28"/>
  <c r="J56" i="28"/>
  <c r="I56" i="28"/>
  <c r="J55" i="28"/>
  <c r="I55" i="28"/>
  <c r="J54" i="28"/>
  <c r="I54" i="28"/>
  <c r="J53" i="28"/>
  <c r="I53" i="28"/>
  <c r="J52" i="28"/>
  <c r="I52" i="28"/>
  <c r="J51" i="28"/>
  <c r="I51" i="28"/>
  <c r="J50" i="28"/>
  <c r="I50" i="28"/>
  <c r="J49" i="28"/>
  <c r="I49" i="28"/>
  <c r="J48" i="28"/>
  <c r="I48" i="28"/>
  <c r="J47" i="28"/>
  <c r="I47" i="28"/>
  <c r="J46" i="28"/>
  <c r="I46" i="28"/>
  <c r="J45" i="28"/>
  <c r="I45" i="28"/>
  <c r="J44" i="28"/>
  <c r="I44" i="28"/>
  <c r="J43" i="28"/>
  <c r="I43" i="28"/>
  <c r="J42" i="28"/>
  <c r="I42" i="28"/>
  <c r="J41" i="28"/>
  <c r="I41" i="28"/>
  <c r="J40" i="28"/>
  <c r="I40" i="28"/>
  <c r="J39" i="28"/>
  <c r="I39" i="28"/>
  <c r="J38" i="28"/>
  <c r="I38" i="28"/>
  <c r="J37" i="28"/>
  <c r="I37" i="28"/>
  <c r="J36" i="28"/>
  <c r="I36" i="28"/>
  <c r="J35" i="28"/>
  <c r="I35" i="28"/>
  <c r="J34" i="28"/>
  <c r="I34" i="28"/>
  <c r="J33" i="28"/>
  <c r="I33" i="28"/>
  <c r="J32" i="28"/>
  <c r="I32" i="28"/>
  <c r="J31" i="28"/>
  <c r="I31" i="28"/>
  <c r="J30" i="28"/>
  <c r="I30" i="28"/>
  <c r="J29" i="28"/>
  <c r="I29" i="28"/>
  <c r="J28" i="28"/>
  <c r="I28" i="28"/>
  <c r="J27" i="28"/>
  <c r="I27" i="28"/>
  <c r="J26" i="28"/>
  <c r="I26" i="28"/>
  <c r="J25" i="28"/>
  <c r="I25" i="28"/>
  <c r="J24" i="28"/>
  <c r="I24" i="28"/>
  <c r="J23" i="28"/>
  <c r="I23" i="28"/>
  <c r="J22" i="28"/>
  <c r="I22" i="28"/>
  <c r="J21" i="28"/>
  <c r="I21" i="28"/>
  <c r="J20" i="28"/>
  <c r="I20" i="28"/>
  <c r="J19" i="28"/>
  <c r="I19" i="28"/>
  <c r="J18" i="28"/>
  <c r="I18" i="28"/>
  <c r="J17" i="28"/>
  <c r="I17" i="28"/>
  <c r="J16" i="28"/>
  <c r="I16" i="28"/>
  <c r="J15" i="28"/>
  <c r="I15" i="28"/>
  <c r="J14" i="28"/>
  <c r="I14" i="28"/>
  <c r="J13" i="28"/>
  <c r="I13" i="28"/>
  <c r="J12" i="28"/>
  <c r="I12" i="28"/>
  <c r="J11" i="28"/>
  <c r="I11" i="28"/>
  <c r="J10" i="28"/>
  <c r="I10" i="28"/>
  <c r="J9" i="28"/>
  <c r="I9" i="28"/>
  <c r="J8" i="28"/>
  <c r="I8" i="28"/>
  <c r="J7" i="28"/>
  <c r="I7" i="28"/>
  <c r="J6" i="28"/>
  <c r="I6" i="28"/>
  <c r="J5" i="28"/>
  <c r="I5" i="28"/>
  <c r="D297" i="15" l="1"/>
  <c r="C150" i="15"/>
  <c r="K18" i="28"/>
  <c r="K20" i="28"/>
  <c r="K28" i="28"/>
  <c r="K44" i="28"/>
  <c r="K52" i="28"/>
  <c r="K58" i="28"/>
  <c r="K60" i="28"/>
  <c r="K82" i="28"/>
  <c r="K22" i="28"/>
  <c r="K36" i="28"/>
  <c r="K11" i="28"/>
  <c r="K19" i="28"/>
  <c r="K27" i="28"/>
  <c r="K51" i="28"/>
  <c r="K59" i="28"/>
  <c r="K75" i="28"/>
  <c r="K79" i="28"/>
  <c r="K83" i="28"/>
  <c r="K67" i="28"/>
  <c r="K14" i="28"/>
  <c r="K62" i="28"/>
  <c r="K78" i="28"/>
  <c r="K33" i="28"/>
  <c r="K66" i="28"/>
  <c r="K54" i="28"/>
  <c r="K50" i="28"/>
  <c r="K46" i="28"/>
  <c r="K42" i="28"/>
  <c r="K41" i="28"/>
  <c r="K38" i="28"/>
  <c r="K34" i="28"/>
  <c r="K30" i="28"/>
  <c r="K26" i="28"/>
  <c r="K49" i="28"/>
  <c r="K57" i="28"/>
  <c r="K9" i="28"/>
  <c r="K65" i="28"/>
  <c r="K73" i="28"/>
  <c r="K6" i="28"/>
  <c r="K10" i="28"/>
  <c r="K12" i="28"/>
  <c r="K17" i="28"/>
  <c r="K25" i="28"/>
  <c r="K35" i="28"/>
  <c r="K43" i="28"/>
  <c r="K68" i="28"/>
  <c r="K70" i="28"/>
  <c r="K72" i="28"/>
  <c r="K74" i="28"/>
  <c r="K76" i="28"/>
  <c r="K8" i="28"/>
  <c r="K13" i="28"/>
  <c r="K15" i="28"/>
  <c r="K24" i="28"/>
  <c r="K29" i="28"/>
  <c r="K31" i="28"/>
  <c r="K40" i="28"/>
  <c r="K45" i="28"/>
  <c r="K47" i="28"/>
  <c r="K56" i="28"/>
  <c r="K61" i="28"/>
  <c r="K63" i="28"/>
  <c r="K77" i="28"/>
  <c r="K81" i="28"/>
  <c r="K5" i="28"/>
  <c r="K7" i="28"/>
  <c r="K16" i="28"/>
  <c r="K21" i="28"/>
  <c r="K23" i="28"/>
  <c r="K32" i="28"/>
  <c r="K37" i="28"/>
  <c r="K39" i="28"/>
  <c r="K48" i="28"/>
  <c r="K53" i="28"/>
  <c r="K55" i="28"/>
  <c r="K64" i="28"/>
  <c r="K69" i="28"/>
  <c r="K71" i="28"/>
  <c r="K80" i="28"/>
  <c r="J80" i="27"/>
  <c r="I80" i="27"/>
  <c r="K80" i="27" s="1"/>
  <c r="K79" i="27"/>
  <c r="J79" i="27"/>
  <c r="I79" i="27"/>
  <c r="J78" i="27"/>
  <c r="K78" i="27" s="1"/>
  <c r="I78" i="27"/>
  <c r="J77" i="27"/>
  <c r="I77" i="27"/>
  <c r="K77" i="27" s="1"/>
  <c r="J76" i="27"/>
  <c r="I76" i="27"/>
  <c r="K76" i="27" s="1"/>
  <c r="K75" i="27"/>
  <c r="J75" i="27"/>
  <c r="I75" i="27"/>
  <c r="J74" i="27"/>
  <c r="K74" i="27" s="1"/>
  <c r="I74" i="27"/>
  <c r="J73" i="27"/>
  <c r="I73" i="27"/>
  <c r="K73" i="27" s="1"/>
  <c r="J72" i="27"/>
  <c r="I72" i="27"/>
  <c r="K72" i="27" s="1"/>
  <c r="K71" i="27"/>
  <c r="J71" i="27"/>
  <c r="I71" i="27"/>
  <c r="J70" i="27"/>
  <c r="K70" i="27" s="1"/>
  <c r="I70" i="27"/>
  <c r="J69" i="27"/>
  <c r="I69" i="27"/>
  <c r="K69" i="27" s="1"/>
  <c r="J68" i="27"/>
  <c r="I68" i="27"/>
  <c r="K68" i="27" s="1"/>
  <c r="K67" i="27"/>
  <c r="J67" i="27"/>
  <c r="I67" i="27"/>
  <c r="J66" i="27"/>
  <c r="K66" i="27" s="1"/>
  <c r="I66" i="27"/>
  <c r="J65" i="27"/>
  <c r="I65" i="27"/>
  <c r="K65" i="27" s="1"/>
  <c r="J64" i="27"/>
  <c r="I64" i="27"/>
  <c r="K64" i="27" s="1"/>
  <c r="K63" i="27"/>
  <c r="J63" i="27"/>
  <c r="I63" i="27"/>
  <c r="J62" i="27"/>
  <c r="K62" i="27" s="1"/>
  <c r="I62" i="27"/>
  <c r="J61" i="27"/>
  <c r="I61" i="27"/>
  <c r="K61" i="27" s="1"/>
  <c r="J60" i="27"/>
  <c r="I60" i="27"/>
  <c r="K60" i="27" s="1"/>
  <c r="K59" i="27"/>
  <c r="J59" i="27"/>
  <c r="I59" i="27"/>
  <c r="J58" i="27"/>
  <c r="K58" i="27" s="1"/>
  <c r="I58" i="27"/>
  <c r="J57" i="27"/>
  <c r="I57" i="27"/>
  <c r="K57" i="27" s="1"/>
  <c r="J56" i="27"/>
  <c r="I56" i="27"/>
  <c r="K56" i="27" s="1"/>
  <c r="K55" i="27"/>
  <c r="J55" i="27"/>
  <c r="I55" i="27"/>
  <c r="J54" i="27"/>
  <c r="K54" i="27" s="1"/>
  <c r="I54" i="27"/>
  <c r="J53" i="27"/>
  <c r="I53" i="27"/>
  <c r="K53" i="27" s="1"/>
  <c r="J52" i="27"/>
  <c r="I52" i="27"/>
  <c r="K52" i="27" s="1"/>
  <c r="K51" i="27"/>
  <c r="J51" i="27"/>
  <c r="I51" i="27"/>
  <c r="J50" i="27"/>
  <c r="K50" i="27" s="1"/>
  <c r="I50" i="27"/>
  <c r="J49" i="27"/>
  <c r="I49" i="27"/>
  <c r="K49" i="27" s="1"/>
  <c r="J48" i="27"/>
  <c r="I48" i="27"/>
  <c r="K48" i="27" s="1"/>
  <c r="K47" i="27"/>
  <c r="J47" i="27"/>
  <c r="I47" i="27"/>
  <c r="J46" i="27"/>
  <c r="K46" i="27" s="1"/>
  <c r="I46" i="27"/>
  <c r="J45" i="27"/>
  <c r="I45" i="27"/>
  <c r="K45" i="27" s="1"/>
  <c r="J44" i="27"/>
  <c r="I44" i="27"/>
  <c r="K44" i="27" s="1"/>
  <c r="K43" i="27"/>
  <c r="J43" i="27"/>
  <c r="I43" i="27"/>
  <c r="J42" i="27"/>
  <c r="K42" i="27" s="1"/>
  <c r="I42" i="27"/>
  <c r="J41" i="27"/>
  <c r="I41" i="27"/>
  <c r="K41" i="27" s="1"/>
  <c r="J40" i="27"/>
  <c r="I40" i="27"/>
  <c r="K40" i="27" s="1"/>
  <c r="K39" i="27"/>
  <c r="J39" i="27"/>
  <c r="I39" i="27"/>
  <c r="J38" i="27"/>
  <c r="K38" i="27" s="1"/>
  <c r="I38" i="27"/>
  <c r="J37" i="27"/>
  <c r="I37" i="27"/>
  <c r="K37" i="27" s="1"/>
  <c r="J36" i="27"/>
  <c r="I36" i="27"/>
  <c r="K36" i="27" s="1"/>
  <c r="K35" i="27"/>
  <c r="J35" i="27"/>
  <c r="I35" i="27"/>
  <c r="J34" i="27"/>
  <c r="K34" i="27" s="1"/>
  <c r="I34" i="27"/>
  <c r="J33" i="27"/>
  <c r="I33" i="27"/>
  <c r="K33" i="27" s="1"/>
  <c r="J32" i="27"/>
  <c r="I32" i="27"/>
  <c r="K32" i="27" s="1"/>
  <c r="K31" i="27"/>
  <c r="J31" i="27"/>
  <c r="I31" i="27"/>
  <c r="J30" i="27"/>
  <c r="K30" i="27" s="1"/>
  <c r="I30" i="27"/>
  <c r="J29" i="27"/>
  <c r="I29" i="27"/>
  <c r="K29" i="27" s="1"/>
  <c r="J28" i="27"/>
  <c r="I28" i="27"/>
  <c r="K28" i="27" s="1"/>
  <c r="K27" i="27"/>
  <c r="J27" i="27"/>
  <c r="I27" i="27"/>
  <c r="J26" i="27"/>
  <c r="K26" i="27" s="1"/>
  <c r="I26" i="27"/>
  <c r="J25" i="27"/>
  <c r="I25" i="27"/>
  <c r="K25" i="27" s="1"/>
  <c r="J24" i="27"/>
  <c r="I24" i="27"/>
  <c r="K24" i="27" s="1"/>
  <c r="K23" i="27"/>
  <c r="J23" i="27"/>
  <c r="I23" i="27"/>
  <c r="J22" i="27"/>
  <c r="K22" i="27" s="1"/>
  <c r="I22" i="27"/>
  <c r="J21" i="27"/>
  <c r="I21" i="27"/>
  <c r="K21" i="27" s="1"/>
  <c r="J20" i="27"/>
  <c r="I20" i="27"/>
  <c r="K20" i="27" s="1"/>
  <c r="K19" i="27"/>
  <c r="J19" i="27"/>
  <c r="I19" i="27"/>
  <c r="J18" i="27"/>
  <c r="K18" i="27" s="1"/>
  <c r="I18" i="27"/>
  <c r="J17" i="27"/>
  <c r="I17" i="27"/>
  <c r="K17" i="27" s="1"/>
  <c r="J16" i="27"/>
  <c r="I16" i="27"/>
  <c r="K16" i="27" s="1"/>
  <c r="K15" i="27"/>
  <c r="J15" i="27"/>
  <c r="I15" i="27"/>
  <c r="J14" i="27"/>
  <c r="K14" i="27" s="1"/>
  <c r="I14" i="27"/>
  <c r="J13" i="27"/>
  <c r="I13" i="27"/>
  <c r="K13" i="27" s="1"/>
  <c r="J12" i="27"/>
  <c r="I12" i="27"/>
  <c r="K12" i="27" s="1"/>
  <c r="K11" i="27"/>
  <c r="J11" i="27"/>
  <c r="I11" i="27"/>
  <c r="J10" i="27"/>
  <c r="K10" i="27" s="1"/>
  <c r="I10" i="27"/>
  <c r="J9" i="27"/>
  <c r="I9" i="27"/>
  <c r="K9" i="27" s="1"/>
  <c r="J8" i="27"/>
  <c r="I8" i="27"/>
  <c r="K8" i="27" s="1"/>
  <c r="K7" i="27"/>
  <c r="J7" i="27"/>
  <c r="I7" i="27"/>
  <c r="J6" i="27"/>
  <c r="K6" i="27" s="1"/>
  <c r="I6" i="27"/>
  <c r="J5" i="27"/>
  <c r="I5" i="27"/>
  <c r="K5" i="27" s="1"/>
  <c r="J4" i="27"/>
  <c r="I4" i="27"/>
  <c r="K4" i="27" s="1"/>
  <c r="K3" i="27"/>
  <c r="J3" i="27"/>
  <c r="I3" i="27"/>
  <c r="J2" i="27"/>
  <c r="K2" i="27" s="1"/>
  <c r="I2" i="27"/>
  <c r="G150" i="19" l="1"/>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J80" i="21"/>
  <c r="I80" i="21"/>
  <c r="J79" i="21"/>
  <c r="I79" i="21"/>
  <c r="J78" i="21"/>
  <c r="I78" i="21"/>
  <c r="J77" i="21"/>
  <c r="I77" i="21"/>
  <c r="J76" i="21"/>
  <c r="I76" i="21"/>
  <c r="J75" i="21"/>
  <c r="I75" i="21"/>
  <c r="J74" i="21"/>
  <c r="I74" i="21"/>
  <c r="J73" i="21"/>
  <c r="I73" i="21"/>
  <c r="J72" i="21"/>
  <c r="I72" i="21"/>
  <c r="J71" i="21"/>
  <c r="I71" i="21"/>
  <c r="J70" i="21"/>
  <c r="I70" i="21"/>
  <c r="J69" i="21"/>
  <c r="I69" i="21"/>
  <c r="J68" i="21"/>
  <c r="I68" i="21"/>
  <c r="J67" i="21"/>
  <c r="I67" i="21"/>
  <c r="J66" i="21"/>
  <c r="I66" i="21"/>
  <c r="J65" i="21"/>
  <c r="I65" i="21"/>
  <c r="J64" i="21"/>
  <c r="I64" i="21"/>
  <c r="J63" i="21"/>
  <c r="I63" i="21"/>
  <c r="J62" i="21"/>
  <c r="I62" i="21"/>
  <c r="J61" i="21"/>
  <c r="I61" i="21"/>
  <c r="J60" i="21"/>
  <c r="I60" i="21"/>
  <c r="J59" i="21"/>
  <c r="I59" i="21"/>
  <c r="J58" i="21"/>
  <c r="I58" i="21"/>
  <c r="J57" i="21"/>
  <c r="I57" i="21"/>
  <c r="J56" i="21"/>
  <c r="I56" i="21"/>
  <c r="J55" i="21"/>
  <c r="I55" i="21"/>
  <c r="J54" i="21"/>
  <c r="I54" i="21"/>
  <c r="J53" i="21"/>
  <c r="I53" i="21"/>
  <c r="J52" i="21"/>
  <c r="I52" i="21"/>
  <c r="J51" i="21"/>
  <c r="I51" i="21"/>
  <c r="J50" i="21"/>
  <c r="I50" i="21"/>
  <c r="J49" i="21"/>
  <c r="I49" i="21"/>
  <c r="J48" i="21"/>
  <c r="I48" i="21"/>
  <c r="J47" i="21"/>
  <c r="I47" i="21"/>
  <c r="J46" i="21"/>
  <c r="I46" i="21"/>
  <c r="J45" i="21"/>
  <c r="I45" i="21"/>
  <c r="J44" i="21"/>
  <c r="I44" i="21"/>
  <c r="J43" i="21"/>
  <c r="I43" i="21"/>
  <c r="J42" i="21"/>
  <c r="I42" i="21"/>
  <c r="J41" i="21"/>
  <c r="I41" i="21"/>
  <c r="J40" i="21"/>
  <c r="I40" i="21"/>
  <c r="J39" i="21"/>
  <c r="I39" i="21"/>
  <c r="J38" i="21"/>
  <c r="I38" i="21"/>
  <c r="J37" i="21"/>
  <c r="I37" i="21"/>
  <c r="J36" i="21"/>
  <c r="I36" i="21"/>
  <c r="J35" i="21"/>
  <c r="I35" i="21"/>
  <c r="J34" i="21"/>
  <c r="I34" i="21"/>
  <c r="J33" i="21"/>
  <c r="I33" i="21"/>
  <c r="J32" i="21"/>
  <c r="I32" i="21"/>
  <c r="J31" i="21"/>
  <c r="I31" i="21"/>
  <c r="J30" i="21"/>
  <c r="I30" i="21"/>
  <c r="J29" i="21"/>
  <c r="I29" i="21"/>
  <c r="J28" i="21"/>
  <c r="I28" i="21"/>
  <c r="J27" i="21"/>
  <c r="I27" i="21"/>
  <c r="J26" i="21"/>
  <c r="I26" i="21"/>
  <c r="J25" i="21"/>
  <c r="I25" i="21"/>
  <c r="J24" i="21"/>
  <c r="I24" i="21"/>
  <c r="J23" i="21"/>
  <c r="I23" i="21"/>
  <c r="J22" i="21"/>
  <c r="I22" i="21"/>
  <c r="J21" i="21"/>
  <c r="I21" i="21"/>
  <c r="J20" i="21"/>
  <c r="I20" i="21"/>
  <c r="J19" i="21"/>
  <c r="I19" i="21"/>
  <c r="J18" i="21"/>
  <c r="I18" i="21"/>
  <c r="J17" i="21"/>
  <c r="I17" i="21"/>
  <c r="J16" i="21"/>
  <c r="I16" i="21"/>
  <c r="J15" i="21"/>
  <c r="I15" i="21"/>
  <c r="J14" i="21"/>
  <c r="I14" i="21"/>
  <c r="J13" i="21"/>
  <c r="I13" i="21"/>
  <c r="J12" i="21"/>
  <c r="I12" i="21"/>
  <c r="J11" i="21"/>
  <c r="I11" i="21"/>
  <c r="J10" i="21"/>
  <c r="I10" i="21"/>
  <c r="J9" i="21"/>
  <c r="I9" i="21"/>
  <c r="J8" i="21"/>
  <c r="I8" i="21"/>
  <c r="J7" i="21"/>
  <c r="I7" i="21"/>
  <c r="J6" i="21"/>
  <c r="I6" i="21"/>
  <c r="J5" i="21"/>
  <c r="I5" i="21"/>
  <c r="J4" i="21"/>
  <c r="I4" i="21"/>
  <c r="J3" i="21"/>
  <c r="I3" i="21"/>
  <c r="J2" i="21"/>
  <c r="I2" i="21"/>
  <c r="K3" i="21" l="1"/>
  <c r="K23" i="21"/>
  <c r="K20" i="21"/>
  <c r="K46" i="21"/>
  <c r="K50" i="21"/>
  <c r="K78" i="21"/>
  <c r="K39" i="21"/>
  <c r="K43" i="21"/>
  <c r="K45" i="21"/>
  <c r="K47" i="21"/>
  <c r="K49" i="21"/>
  <c r="K51" i="21"/>
  <c r="K55" i="21"/>
  <c r="K71" i="21"/>
  <c r="K75" i="21"/>
  <c r="K77" i="21"/>
  <c r="K79" i="21"/>
  <c r="K14" i="21"/>
  <c r="K18" i="21"/>
  <c r="K24" i="21"/>
  <c r="K52" i="21"/>
  <c r="K67" i="21"/>
  <c r="K35" i="21"/>
  <c r="K7" i="21"/>
  <c r="K11" i="21"/>
  <c r="K13" i="21"/>
  <c r="K15" i="21"/>
  <c r="K17" i="21"/>
  <c r="K19" i="21"/>
  <c r="K56" i="21"/>
  <c r="K2" i="21"/>
  <c r="K4" i="21"/>
  <c r="K30" i="21"/>
  <c r="K34" i="21"/>
  <c r="K36" i="21"/>
  <c r="K62" i="21"/>
  <c r="K66" i="21"/>
  <c r="K68" i="21"/>
  <c r="K8" i="21"/>
  <c r="K27" i="21"/>
  <c r="K29" i="21"/>
  <c r="K31" i="21"/>
  <c r="K33" i="21"/>
  <c r="K40" i="21"/>
  <c r="K59" i="21"/>
  <c r="K61" i="21"/>
  <c r="K63" i="21"/>
  <c r="K65" i="21"/>
  <c r="K72" i="21"/>
  <c r="K22" i="21"/>
  <c r="K38" i="21"/>
  <c r="K70" i="21"/>
  <c r="K6" i="21"/>
  <c r="K54" i="21"/>
  <c r="K5" i="21"/>
  <c r="K10" i="21"/>
  <c r="K12" i="21"/>
  <c r="K21" i="21"/>
  <c r="K26" i="21"/>
  <c r="K28" i="21"/>
  <c r="K37" i="21"/>
  <c r="K42" i="21"/>
  <c r="K44" i="21"/>
  <c r="K53" i="21"/>
  <c r="K58" i="21"/>
  <c r="K60" i="21"/>
  <c r="K69" i="21"/>
  <c r="K74" i="21"/>
  <c r="K76" i="21"/>
  <c r="K9" i="21"/>
  <c r="K16" i="21"/>
  <c r="K25" i="21"/>
  <c r="K32" i="21"/>
  <c r="K41" i="21"/>
  <c r="K48" i="21"/>
  <c r="K57" i="21"/>
  <c r="K64" i="21"/>
  <c r="K73" i="21"/>
  <c r="K80" i="21"/>
  <c r="G17" i="18" l="1"/>
  <c r="G16" i="18"/>
  <c r="G15" i="18"/>
  <c r="G14" i="18"/>
  <c r="G13" i="18"/>
  <c r="G12" i="18"/>
  <c r="G11" i="18"/>
  <c r="G10" i="18"/>
  <c r="G9" i="18"/>
  <c r="G8" i="18"/>
  <c r="G7" i="18"/>
  <c r="G6" i="18"/>
  <c r="G5" i="18"/>
  <c r="A266" i="15"/>
  <c r="A265" i="15"/>
  <c r="A207" i="15"/>
  <c r="A206" i="15"/>
  <c r="F150" i="15"/>
  <c r="D15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Jorge Infante</author>
    <author>tc={63F77A19-92AF-407E-AF02-898EFCDD15EF}</author>
    <author>tc={46F7AF9B-4D09-4C3D-BD3C-282339EFBC2B}</author>
    <author>tc={EBCF4A43-453C-4D1D-87C7-717E1F76C3B6}</author>
    <author>tc={39640CC0-E606-47F5-8920-6F9CFF13A5A3}</author>
  </authors>
  <commentList>
    <comment ref="B33" authorId="0" shapeId="0" xr:uid="{FB155C86-4618-4AE6-9E7F-0BF58088F393}">
      <text>
        <r>
          <rPr>
            <b/>
            <sz val="8"/>
            <color indexed="9"/>
            <rFont val="Tahoma"/>
            <family val="2"/>
          </rPr>
          <t xml:space="preserve">Los datos de Enlace se utilizan para ingresar a la Tabla Fuente a travéz de su primera columna
</t>
        </r>
      </text>
    </comment>
    <comment ref="C33" authorId="0" shapeId="0" xr:uid="{5E01CD85-4FDB-4689-893A-0C42664BC375}">
      <text>
        <r>
          <rPr>
            <sz val="8"/>
            <color indexed="81"/>
            <rFont val="Tahoma"/>
            <family val="2"/>
          </rPr>
          <t>Esta columna se debe llenar usando la función BUSCARV(..)</t>
        </r>
      </text>
    </comment>
    <comment ref="D33" authorId="0" shapeId="0" xr:uid="{56B7ACDD-B50D-4618-8F82-FA5249558CE6}">
      <text>
        <r>
          <rPr>
            <sz val="8"/>
            <color indexed="9"/>
            <rFont val="Tahoma"/>
            <family val="2"/>
          </rPr>
          <t>Esta columna se debe llenar usando la función BUSCARV(..)</t>
        </r>
      </text>
    </comment>
    <comment ref="C60" authorId="0" shapeId="0" xr:uid="{539AC7C0-AF54-4D85-9D9A-B9E4E3FD17B5}">
      <text>
        <r>
          <rPr>
            <b/>
            <sz val="11"/>
            <color indexed="81"/>
            <rFont val="Tahoma"/>
            <family val="2"/>
          </rPr>
          <t xml:space="preserve">Complete la columna de factores en base a la tabla 1
</t>
        </r>
      </text>
    </comment>
    <comment ref="G149" authorId="1" shapeId="0" xr:uid="{63F77A19-92AF-407E-AF02-898EFCDD15EF}">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Colocar cantidades de 1 a 20 aleatoriamente</t>
        </r>
      </text>
    </comment>
    <comment ref="H149" authorId="2" shapeId="0" xr:uid="{46F7AF9B-4D09-4C3D-BD3C-282339EFBC2B}">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Es el valor de la tabla de comisiones x cantidad</t>
        </r>
      </text>
    </comment>
    <comment ref="I149" authorId="3" shapeId="0" xr:uid="{EBCF4A43-453C-4D1D-87C7-717E1F76C3B6}">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Obtener de la tabla precio</t>
        </r>
      </text>
    </comment>
    <comment ref="J149" authorId="4" shapeId="0" xr:uid="{39640CC0-E606-47F5-8920-6F9CFF13A5A3}">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Cantidad x Precio</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<sst xmlns="http://schemas.openxmlformats.org/spreadsheetml/2006/main" count="3406" uniqueCount="907">
  <si>
    <t>Docente:</t>
  </si>
  <si>
    <t>Ing. Leandro Javier Teves</t>
  </si>
  <si>
    <t>Youtube:</t>
  </si>
  <si>
    <t>https://www.youtube.com/@aprendiendoconleandro</t>
  </si>
  <si>
    <t>Correo:</t>
  </si>
  <si>
    <t>msexcelforbusiness@gmail.com</t>
  </si>
  <si>
    <t>SESIÓN 2:</t>
  </si>
  <si>
    <t>- Funciones matematicas</t>
  </si>
  <si>
    <t>- Funcione condicionales</t>
  </si>
  <si>
    <t>- Funciones de busqueda</t>
  </si>
  <si>
    <t>- Filtros</t>
  </si>
  <si>
    <t>FUNCIONES MATEMATICAS</t>
  </si>
  <si>
    <t>DATOS PARA REALIZAR LOS CALCULOS</t>
  </si>
  <si>
    <t>A</t>
  </si>
  <si>
    <t>UNI</t>
  </si>
  <si>
    <t>MOLINA</t>
  </si>
  <si>
    <t>Función SUMA</t>
  </si>
  <si>
    <t>Suma todos los números de un rango</t>
  </si>
  <si>
    <t>Sintaxis:</t>
  </si>
  <si>
    <r>
      <t>=SUMA</t>
    </r>
    <r>
      <rPr>
        <sz val="10"/>
        <color indexed="10"/>
        <rFont val="Times New Roman"/>
        <family val="1"/>
      </rPr>
      <t>(número1; número2; ...)</t>
    </r>
  </si>
  <si>
    <r>
      <t>=</t>
    </r>
    <r>
      <rPr>
        <sz val="10"/>
        <color indexed="12"/>
        <rFont val="Arial"/>
        <family val="2"/>
      </rPr>
      <t>SUMA</t>
    </r>
    <r>
      <rPr>
        <sz val="10"/>
        <rFont val="Arial"/>
        <family val="2"/>
      </rPr>
      <t>(MOLINA)</t>
    </r>
  </si>
  <si>
    <r>
      <t>=</t>
    </r>
    <r>
      <rPr>
        <sz val="10"/>
        <color indexed="12"/>
        <rFont val="Arial"/>
        <family val="2"/>
      </rPr>
      <t>SUMA</t>
    </r>
    <r>
      <rPr>
        <sz val="10"/>
        <rFont val="Arial"/>
        <family val="2"/>
      </rPr>
      <t>(UNI)</t>
    </r>
  </si>
  <si>
    <t>Función PROMEDIO</t>
  </si>
  <si>
    <t>Devuelve el promedio (media aritmética) de los argumentos</t>
  </si>
  <si>
    <t>Los argumentos deben ser números o nombres, matrices o referencias que contengan números</t>
  </si>
  <si>
    <t>Si el argumento matricial o de referencia contiene texto, valores lógicos o celdas vacías,</t>
  </si>
  <si>
    <t xml:space="preserve">estos valores se pasan por alto; sin embargo, se incluirán las celdas con el valor cero. </t>
  </si>
  <si>
    <t>=PROMEDIOA(ref1;ref2;...)</t>
  </si>
  <si>
    <r>
      <t>=</t>
    </r>
    <r>
      <rPr>
        <sz val="10"/>
        <color indexed="12"/>
        <rFont val="Arial"/>
        <family val="2"/>
      </rPr>
      <t>PROMEDIO</t>
    </r>
    <r>
      <rPr>
        <sz val="10"/>
        <rFont val="Arial"/>
        <family val="2"/>
      </rPr>
      <t>(MOLINA)</t>
    </r>
  </si>
  <si>
    <r>
      <t>=</t>
    </r>
    <r>
      <rPr>
        <sz val="10"/>
        <color indexed="12"/>
        <rFont val="Arial"/>
        <family val="2"/>
      </rPr>
      <t>PROMEDIO</t>
    </r>
    <r>
      <rPr>
        <sz val="10"/>
        <rFont val="Arial"/>
        <family val="2"/>
      </rPr>
      <t>(UNI)</t>
    </r>
  </si>
  <si>
    <t>Función MAXIMO</t>
  </si>
  <si>
    <t>Devuelve el valor máximo de un conjunto de valores.</t>
  </si>
  <si>
    <t>Sintaxis</t>
  </si>
  <si>
    <r>
      <t>=MAX</t>
    </r>
    <r>
      <rPr>
        <b/>
        <sz val="10"/>
        <color indexed="10"/>
        <rFont val="Arial"/>
        <family val="2"/>
      </rPr>
      <t>(número1;número2; ...)</t>
    </r>
  </si>
  <si>
    <r>
      <t>=</t>
    </r>
    <r>
      <rPr>
        <sz val="10"/>
        <color indexed="12"/>
        <rFont val="Arial"/>
        <family val="2"/>
      </rPr>
      <t>MAX</t>
    </r>
    <r>
      <rPr>
        <sz val="10"/>
        <rFont val="Arial"/>
        <family val="2"/>
      </rPr>
      <t>(MOLINA)</t>
    </r>
  </si>
  <si>
    <r>
      <t>=</t>
    </r>
    <r>
      <rPr>
        <sz val="10"/>
        <color indexed="12"/>
        <rFont val="Arial"/>
        <family val="2"/>
      </rPr>
      <t>MAX</t>
    </r>
    <r>
      <rPr>
        <sz val="10"/>
        <rFont val="Arial"/>
        <family val="2"/>
      </rPr>
      <t>(UNI)</t>
    </r>
  </si>
  <si>
    <t>Función MINIMO</t>
  </si>
  <si>
    <t>Devuelve el valor mínimo de un conjunto de valores.</t>
  </si>
  <si>
    <r>
      <t>=MIN</t>
    </r>
    <r>
      <rPr>
        <b/>
        <sz val="10"/>
        <color indexed="10"/>
        <rFont val="Arial"/>
        <family val="2"/>
      </rPr>
      <t>(número1;número2; ...)</t>
    </r>
  </si>
  <si>
    <r>
      <t>=</t>
    </r>
    <r>
      <rPr>
        <sz val="10"/>
        <color indexed="12"/>
        <rFont val="Arial"/>
        <family val="2"/>
      </rPr>
      <t>MIN</t>
    </r>
    <r>
      <rPr>
        <sz val="10"/>
        <rFont val="Arial"/>
        <family val="2"/>
      </rPr>
      <t>(MOLINA)</t>
    </r>
  </si>
  <si>
    <r>
      <t>=</t>
    </r>
    <r>
      <rPr>
        <sz val="10"/>
        <color indexed="12"/>
        <rFont val="Arial"/>
        <family val="2"/>
      </rPr>
      <t>MIN</t>
    </r>
    <r>
      <rPr>
        <sz val="10"/>
        <rFont val="Arial"/>
        <family val="2"/>
      </rPr>
      <t>(UNI)</t>
    </r>
  </si>
  <si>
    <t>Función CONTAR</t>
  </si>
  <si>
    <t xml:space="preserve">Cuenta el número de celdas que contienen números, además de los números dentro </t>
  </si>
  <si>
    <t>de la lista de argumentos.</t>
  </si>
  <si>
    <r>
      <t xml:space="preserve">Utilice CONTAR para obtener el número de entradas en un campo </t>
    </r>
    <r>
      <rPr>
        <b/>
        <sz val="10"/>
        <color indexed="10"/>
        <rFont val="Arial"/>
        <family val="2"/>
      </rPr>
      <t>numérico</t>
    </r>
    <r>
      <rPr>
        <sz val="10"/>
        <rFont val="Arial"/>
        <family val="2"/>
      </rPr>
      <t xml:space="preserve"> de un rango</t>
    </r>
  </si>
  <si>
    <t>o de una matriz de números.</t>
  </si>
  <si>
    <r>
      <t>=CONTAR</t>
    </r>
    <r>
      <rPr>
        <b/>
        <sz val="10"/>
        <color indexed="10"/>
        <rFont val="Arial"/>
        <family val="2"/>
      </rPr>
      <t>(ref1;ref2;...)</t>
    </r>
  </si>
  <si>
    <r>
      <t>=</t>
    </r>
    <r>
      <rPr>
        <sz val="10"/>
        <color indexed="12"/>
        <rFont val="Arial"/>
        <family val="2"/>
      </rPr>
      <t>CONTAR</t>
    </r>
    <r>
      <rPr>
        <sz val="10"/>
        <rFont val="Arial"/>
        <family val="2"/>
      </rPr>
      <t>(MOLINA)</t>
    </r>
  </si>
  <si>
    <r>
      <t>=</t>
    </r>
    <r>
      <rPr>
        <sz val="10"/>
        <color indexed="12"/>
        <rFont val="Arial"/>
        <family val="2"/>
      </rPr>
      <t>CONTAR</t>
    </r>
    <r>
      <rPr>
        <sz val="10"/>
        <rFont val="Arial"/>
        <family val="2"/>
      </rPr>
      <t>(UNI)</t>
    </r>
  </si>
  <si>
    <t>Función CONTARA</t>
  </si>
  <si>
    <t>Cuenta el número de celdas que no están vacías y los valores que hay en la lista de argumentos.</t>
  </si>
  <si>
    <t>Use CONTARA para contar el número de celdas que contienen datos en un rango o matriz.</t>
  </si>
  <si>
    <r>
      <t>=CONTARA</t>
    </r>
    <r>
      <rPr>
        <b/>
        <sz val="10"/>
        <color indexed="10"/>
        <rFont val="Arial"/>
        <family val="2"/>
      </rPr>
      <t>(ref1;ref2;...)</t>
    </r>
  </si>
  <si>
    <r>
      <t>=</t>
    </r>
    <r>
      <rPr>
        <sz val="10"/>
        <color indexed="12"/>
        <rFont val="Arial"/>
        <family val="2"/>
      </rPr>
      <t>CONTARA</t>
    </r>
    <r>
      <rPr>
        <sz val="10"/>
        <rFont val="Arial"/>
        <family val="2"/>
      </rPr>
      <t>(MOLINA)</t>
    </r>
  </si>
  <si>
    <r>
      <t>=</t>
    </r>
    <r>
      <rPr>
        <sz val="10"/>
        <color indexed="12"/>
        <rFont val="Arial"/>
        <family val="2"/>
      </rPr>
      <t>CONTARA</t>
    </r>
    <r>
      <rPr>
        <sz val="10"/>
        <rFont val="Arial"/>
        <family val="2"/>
      </rPr>
      <t>(UNI)</t>
    </r>
  </si>
  <si>
    <t>Función K.ESIMO.MENOR</t>
  </si>
  <si>
    <t xml:space="preserve">Devuelve el k-ésimo menor valor de un conjunto de datos. Utilice esta función para devolver valores </t>
  </si>
  <si>
    <t>con una posición relativa específica dentro de un conjunto de datos.</t>
  </si>
  <si>
    <t>=K.ESIMO.MENOR(matriz; k)</t>
  </si>
  <si>
    <r>
      <rPr>
        <b/>
        <i/>
        <sz val="10"/>
        <rFont val="Arial"/>
        <family val="2"/>
      </rPr>
      <t>Matriz</t>
    </r>
    <r>
      <rPr>
        <sz val="10"/>
        <rFont val="Arial"/>
        <family val="2"/>
      </rPr>
      <t xml:space="preserve">    Obligatorio. Una matriz o un rango de datos numéricos cuyo </t>
    </r>
  </si>
  <si>
    <t>k-ésimo menor valor desea determinar.</t>
  </si>
  <si>
    <r>
      <rPr>
        <b/>
        <i/>
        <sz val="10"/>
        <rFont val="Arial"/>
        <family val="2"/>
      </rPr>
      <t>K</t>
    </r>
    <r>
      <rPr>
        <sz val="10"/>
        <rFont val="Arial"/>
        <family val="2"/>
      </rPr>
      <t xml:space="preserve">            Obligatorio. La posición, dentro de la matriz o del rango de datos, de los datos que </t>
    </r>
  </si>
  <si>
    <t>se van a devolver, determinada a partir del menor de los valores.</t>
  </si>
  <si>
    <r>
      <rPr>
        <sz val="10"/>
        <color rgb="FF0000FF"/>
        <rFont val="Arial"/>
        <family val="2"/>
      </rPr>
      <t>=K.ESIMO.MENOR</t>
    </r>
    <r>
      <rPr>
        <sz val="10"/>
        <rFont val="Arial"/>
        <family val="2"/>
      </rPr>
      <t>(MOLINA,2)</t>
    </r>
  </si>
  <si>
    <t>2º menor número del rango B7:B13</t>
  </si>
  <si>
    <r>
      <t>=</t>
    </r>
    <r>
      <rPr>
        <sz val="10"/>
        <color rgb="FF0000FF"/>
        <rFont val="Arial"/>
        <family val="2"/>
      </rPr>
      <t>K.ESIMO.MENOR</t>
    </r>
    <r>
      <rPr>
        <sz val="10"/>
        <rFont val="Arial"/>
        <family val="2"/>
      </rPr>
      <t>(UNI,2)</t>
    </r>
  </si>
  <si>
    <t>2º menor número del rango F7:F13</t>
  </si>
  <si>
    <t>Función K.ESIMO.MAYOR</t>
  </si>
  <si>
    <t>Devuelve el k-ésimo mayor valor de un conjunto de datos. Esta función puede usarse para seleccionar</t>
  </si>
  <si>
    <t xml:space="preserve"> un valor basándose en su posición relativa.</t>
  </si>
  <si>
    <t>Por ejemplo, se puede utilizar K.ESIMO.MAYOR para devolver el mayor valor de un resultado,</t>
  </si>
  <si>
    <t xml:space="preserve"> el segundo resultado o el tercero.</t>
  </si>
  <si>
    <t>=K.ESIMO.MAYOR(matriz; k)</t>
  </si>
  <si>
    <t>k-ésimo mayor valor desea determinar.</t>
  </si>
  <si>
    <r>
      <t>=</t>
    </r>
    <r>
      <rPr>
        <sz val="10"/>
        <color rgb="FF0000FF"/>
        <rFont val="Arial"/>
        <family val="2"/>
      </rPr>
      <t>K.ESIMO.MAYOR</t>
    </r>
    <r>
      <rPr>
        <sz val="10"/>
        <rFont val="Arial"/>
        <family val="2"/>
      </rPr>
      <t>(MOLINA,4)</t>
    </r>
  </si>
  <si>
    <t>Cuarto número más alto de los anteriores  rango B7:B13</t>
  </si>
  <si>
    <r>
      <t>=</t>
    </r>
    <r>
      <rPr>
        <sz val="10"/>
        <color rgb="FF0000FF"/>
        <rFont val="Arial"/>
        <family val="2"/>
      </rPr>
      <t>K.ESIMO.MAYOR</t>
    </r>
    <r>
      <rPr>
        <sz val="10"/>
        <rFont val="Arial"/>
        <family val="2"/>
      </rPr>
      <t>(UNI,2)</t>
    </r>
  </si>
  <si>
    <t>Segundo número más alto de los anteriores  rango F7:F13</t>
  </si>
  <si>
    <t>Función REDONDEAR</t>
  </si>
  <si>
    <t xml:space="preserve">La función REDONDEAR redondea un número a un número de decimales especificado. </t>
  </si>
  <si>
    <t>=REDONDEAR(número; núm_decimales)</t>
  </si>
  <si>
    <r>
      <rPr>
        <b/>
        <i/>
        <sz val="10"/>
        <rFont val="Arial"/>
        <family val="2"/>
      </rPr>
      <t>número</t>
    </r>
    <r>
      <rPr>
        <sz val="10"/>
        <rFont val="Arial"/>
        <family val="2"/>
      </rPr>
      <t xml:space="preserve">    Obligatorio. Número que desea redondear.</t>
    </r>
  </si>
  <si>
    <r>
      <rPr>
        <b/>
        <i/>
        <sz val="10"/>
        <rFont val="Arial"/>
        <family val="2"/>
      </rPr>
      <t>núm_decimales</t>
    </r>
    <r>
      <rPr>
        <sz val="10"/>
        <rFont val="Arial"/>
        <family val="2"/>
      </rPr>
      <t xml:space="preserve">    Obligatorio. Número de decimales al que desea redondear el argumento de número.</t>
    </r>
  </si>
  <si>
    <t>Función REDONDEAR.MENOS</t>
  </si>
  <si>
    <t>Redondea un número hacia abajo, en dirección hacia cero.</t>
  </si>
  <si>
    <t>=REDONDEAR.MENOS(número; núm_decimales)</t>
  </si>
  <si>
    <r>
      <rPr>
        <b/>
        <i/>
        <sz val="10"/>
        <rFont val="Arial"/>
        <family val="2"/>
      </rPr>
      <t>número</t>
    </r>
    <r>
      <rPr>
        <sz val="10"/>
        <rFont val="Arial"/>
        <family val="2"/>
      </rPr>
      <t xml:space="preserve">    Obligatorio. Cualquier número real que se desea redondear hacia abajo.</t>
    </r>
  </si>
  <si>
    <r>
      <rPr>
        <b/>
        <i/>
        <sz val="10"/>
        <rFont val="Arial"/>
        <family val="2"/>
      </rPr>
      <t>núm_decimales</t>
    </r>
    <r>
      <rPr>
        <sz val="10"/>
        <rFont val="Arial"/>
        <family val="2"/>
      </rPr>
      <t xml:space="preserve">    Obligatorio. El número de dígitos al que se desea redondear el número.</t>
    </r>
  </si>
  <si>
    <t>Función REDONDEAR.MAS</t>
  </si>
  <si>
    <t>Redondea un número hacia arriba, en dirección contraria a cero.</t>
  </si>
  <si>
    <t>=REDONDEAR.MAS(número; núm_decimales)</t>
  </si>
  <si>
    <r>
      <rPr>
        <b/>
        <i/>
        <sz val="10"/>
        <rFont val="Arial"/>
        <family val="2"/>
      </rPr>
      <t>número</t>
    </r>
    <r>
      <rPr>
        <sz val="10"/>
        <rFont val="Arial"/>
        <family val="2"/>
      </rPr>
      <t xml:space="preserve">    Obligatorio. Cualquier número real que se desea redondear hacia arriba.</t>
    </r>
  </si>
  <si>
    <t>Numero</t>
  </si>
  <si>
    <t>N. Dec.</t>
  </si>
  <si>
    <t>REDONDEAR</t>
  </si>
  <si>
    <t>REDONDEAR.MENOS</t>
  </si>
  <si>
    <t>REDONDEAR.MAS</t>
  </si>
  <si>
    <t>FORMATO</t>
  </si>
  <si>
    <t>Suma</t>
  </si>
  <si>
    <t>Nota:</t>
  </si>
  <si>
    <t>Diferencia entre Aplicar Redondear y Formato</t>
  </si>
  <si>
    <t>Función RAIZ</t>
  </si>
  <si>
    <t>Devuelve la raíz cuadrada de un número.</t>
  </si>
  <si>
    <t>=RAIZ(número)</t>
  </si>
  <si>
    <r>
      <rPr>
        <b/>
        <i/>
        <sz val="10"/>
        <rFont val="Arial"/>
        <family val="2"/>
      </rPr>
      <t>Número</t>
    </r>
    <r>
      <rPr>
        <sz val="10"/>
        <rFont val="Arial"/>
        <family val="2"/>
      </rPr>
      <t xml:space="preserve">    Obligatorio. El número cuya raíz cuadrada desea obtener.</t>
    </r>
  </si>
  <si>
    <t>Rcuad</t>
  </si>
  <si>
    <t>Raíz cuadrada del número anterior. Puesto que el número es negativo, se devuelve un error (#¡NUM!)</t>
  </si>
  <si>
    <t>Función PI</t>
  </si>
  <si>
    <t>Devuelve el número 3,14159265358979, o la constante matemática pi, con una exactitud de 15 dígitos</t>
  </si>
  <si>
    <t>=PI()</t>
  </si>
  <si>
    <t>Radio</t>
  </si>
  <si>
    <t>Fórmula</t>
  </si>
  <si>
    <t>Descripción (resultado)</t>
  </si>
  <si>
    <t>Valor de PI</t>
  </si>
  <si>
    <t>Pi/2 (1,570796327)</t>
  </si>
  <si>
    <t>Área de un círculo con el radio anterior (28,27433388)</t>
  </si>
  <si>
    <t xml:space="preserve">Función ALEATORIO </t>
  </si>
  <si>
    <t>Devuelve un número real aleatorio mayor o igual a 0 y menor que 1, distribuido uniformemente.</t>
  </si>
  <si>
    <t>Cada vez que se calcula la hoja de cálculo, se devuelve un número real aleatorio nuevo.</t>
  </si>
  <si>
    <t>=ALEATORIO()</t>
  </si>
  <si>
    <t>Un número aleatorio entre 0 y 1 (varía)</t>
  </si>
  <si>
    <t>Un número aleatorio igual o superior a 0 pero menor que 100 (varía)</t>
  </si>
  <si>
    <t xml:space="preserve">Función ALEATORIO.ENTRE </t>
  </si>
  <si>
    <t xml:space="preserve">Devuelve un número entero aleatorio entre los números que especifique. </t>
  </si>
  <si>
    <t>Devuelve un nuevo número entero aleatorio cada vez que se calcula la hoja de cálculo.</t>
  </si>
  <si>
    <t>=ALEATORIO.ENTRE(inferior; superior)</t>
  </si>
  <si>
    <r>
      <rPr>
        <b/>
        <sz val="10"/>
        <rFont val="Arial"/>
        <family val="2"/>
      </rPr>
      <t>Inferior</t>
    </r>
    <r>
      <rPr>
        <sz val="10"/>
        <rFont val="Arial"/>
        <family val="2"/>
      </rPr>
      <t xml:space="preserve">    Obligatorio. El menor número entero que la función ALEATORIO.ENTRE puede devolver.</t>
    </r>
  </si>
  <si>
    <r>
      <rPr>
        <b/>
        <sz val="10"/>
        <rFont val="Arial"/>
        <family val="2"/>
      </rPr>
      <t>Superior</t>
    </r>
    <r>
      <rPr>
        <sz val="10"/>
        <rFont val="Arial"/>
        <family val="2"/>
      </rPr>
      <t xml:space="preserve">    Obligatorio. El mayor número entero que la función ALEATORIO.ENTRE puede devolver.</t>
    </r>
  </si>
  <si>
    <t>Número aleatorio entre 1 y 100 (varía)</t>
  </si>
  <si>
    <t>Número aleatorio entre -1 y 1 (varía)</t>
  </si>
  <si>
    <t xml:space="preserve">Función SUBTOTALES </t>
  </si>
  <si>
    <t xml:space="preserve">Devuelve un subtotal en una lista o base de datos. Generalmente es más fácil crear una lista con subtotales </t>
  </si>
  <si>
    <t xml:space="preserve">utilizando el comando Subtotales del grupo Esquema de la pestaña Datos. Una vez creada la lista de subtotales, </t>
  </si>
  <si>
    <t>puede cambiarse modificando la fórmula SUBTOTALES.</t>
  </si>
  <si>
    <t>=SUBTOTALES(núm_función;ref1;[ref2];...])</t>
  </si>
  <si>
    <r>
      <rPr>
        <b/>
        <sz val="10"/>
        <rFont val="Arial"/>
        <family val="2"/>
      </rPr>
      <t>Núm_función</t>
    </r>
    <r>
      <rPr>
        <sz val="10"/>
        <rFont val="Arial"/>
        <family val="2"/>
      </rPr>
      <t xml:space="preserve">    Obligatorio. Un número de 1 a 11 (incluye los valores ocultos) o de 101 a 111 </t>
    </r>
  </si>
  <si>
    <t>(pasa por alto valores ocultos) que indica qué función debe usarse para calcular los subtotales dentro de una lista.</t>
  </si>
  <si>
    <t>Núm_función</t>
  </si>
  <si>
    <t>Función</t>
  </si>
  <si>
    <t>(incluye valores ocultos)</t>
  </si>
  <si>
    <t>(pasa por alto valores ocultos)</t>
  </si>
  <si>
    <t>PROMEDIO</t>
  </si>
  <si>
    <t>CONTAR</t>
  </si>
  <si>
    <t>CONTARA</t>
  </si>
  <si>
    <t>MAX</t>
  </si>
  <si>
    <t>MIN</t>
  </si>
  <si>
    <t>PRODUCTO</t>
  </si>
  <si>
    <t>DESVEST</t>
  </si>
  <si>
    <t>DESVESTP</t>
  </si>
  <si>
    <t>SUMA</t>
  </si>
  <si>
    <t>VAR</t>
  </si>
  <si>
    <t>VARP</t>
  </si>
  <si>
    <t>Datos</t>
  </si>
  <si>
    <t>Subtotal de la columna anterior obtenido con la función SUMA (303)</t>
  </si>
  <si>
    <t>Subtotal de la columna anterior obtenido con la función PROMEDIO (75,75)</t>
  </si>
  <si>
    <t>Calculo</t>
  </si>
  <si>
    <t>=SUBTOTALES(2,A291:A301)</t>
  </si>
  <si>
    <t>=SUBTOTALES(102,A291:A301)</t>
  </si>
  <si>
    <t>Area</t>
  </si>
  <si>
    <t>B</t>
  </si>
  <si>
    <t>NOTAS DE LOS ALUMNOS</t>
  </si>
  <si>
    <t>CURSO : EXCEL 2024</t>
  </si>
  <si>
    <t>TURNO: SABADO</t>
  </si>
  <si>
    <t>PROFESOR: LEANDRO JAVIER TEVES</t>
  </si>
  <si>
    <t>CODIGO</t>
  </si>
  <si>
    <t>NOMBRES Y APELLIDOS</t>
  </si>
  <si>
    <t>SEXO</t>
  </si>
  <si>
    <t>LAB1</t>
  </si>
  <si>
    <t>LAB2</t>
  </si>
  <si>
    <t>LAB3</t>
  </si>
  <si>
    <t>LAB4</t>
  </si>
  <si>
    <t>PROMLAB</t>
  </si>
  <si>
    <t>EXAFINAL</t>
  </si>
  <si>
    <t>NOTAFINAL</t>
  </si>
  <si>
    <t>K0001</t>
  </si>
  <si>
    <t>Juan Antonio Aranibar</t>
  </si>
  <si>
    <t>M</t>
  </si>
  <si>
    <t>K0002</t>
  </si>
  <si>
    <t>Daniel Eduardo Sanchez</t>
  </si>
  <si>
    <t>K0003</t>
  </si>
  <si>
    <t>Elena Perez</t>
  </si>
  <si>
    <t>F</t>
  </si>
  <si>
    <t>K0004</t>
  </si>
  <si>
    <t>Alejandro Iturrizaga</t>
  </si>
  <si>
    <t>K0005</t>
  </si>
  <si>
    <t>Flor de Maria Siguas</t>
  </si>
  <si>
    <t>K0006</t>
  </si>
  <si>
    <t>Augusto Pacco</t>
  </si>
  <si>
    <t>K0007</t>
  </si>
  <si>
    <t>Hugo Perez</t>
  </si>
  <si>
    <t>K0008</t>
  </si>
  <si>
    <t>Jessica Ramos</t>
  </si>
  <si>
    <t>K0009</t>
  </si>
  <si>
    <t>Efrain Tinoco</t>
  </si>
  <si>
    <t>K0010</t>
  </si>
  <si>
    <t>Janet Veronica Cipriano</t>
  </si>
  <si>
    <t>K0011</t>
  </si>
  <si>
    <t>Raquel Valverde</t>
  </si>
  <si>
    <t>K0012</t>
  </si>
  <si>
    <t>Ana Maria Huaman</t>
  </si>
  <si>
    <t>K0013</t>
  </si>
  <si>
    <t>Luis Enrique Corbetta</t>
  </si>
  <si>
    <t>K0014</t>
  </si>
  <si>
    <t>Javier Montalvo</t>
  </si>
  <si>
    <t>K0015</t>
  </si>
  <si>
    <t>Gonzales Sulla</t>
  </si>
  <si>
    <t>REPORTE</t>
  </si>
  <si>
    <t>NOTAFINAL MAXIMO</t>
  </si>
  <si>
    <t>NOTAFINAL MINIMO</t>
  </si>
  <si>
    <t>TOTAL ALUMNOS</t>
  </si>
  <si>
    <t>PROMLAB:</t>
  </si>
  <si>
    <r>
      <t xml:space="preserve">Se calcula el promedio de los laboratorios </t>
    </r>
    <r>
      <rPr>
        <b/>
        <sz val="8"/>
        <rFont val="Arial"/>
        <family val="2"/>
      </rPr>
      <t>Eliminando</t>
    </r>
    <r>
      <rPr>
        <sz val="8"/>
        <rFont val="Arial"/>
        <family val="2"/>
      </rPr>
      <t xml:space="preserve"> la menor Nota</t>
    </r>
  </si>
  <si>
    <t>Cliente</t>
  </si>
  <si>
    <t>Fecha Venta</t>
  </si>
  <si>
    <t>País Destinatario</t>
  </si>
  <si>
    <t>Ciudad Destinatario</t>
  </si>
  <si>
    <t>Categoría Producto</t>
  </si>
  <si>
    <t>Nombre Producto</t>
  </si>
  <si>
    <t>Precio Unidad</t>
  </si>
  <si>
    <t>Cantidad</t>
  </si>
  <si>
    <t>Importe</t>
  </si>
  <si>
    <t>Forma de Pago</t>
  </si>
  <si>
    <t>Que Delícia</t>
  </si>
  <si>
    <t>Argentina</t>
  </si>
  <si>
    <t>Córdova</t>
  </si>
  <si>
    <t>Condimentos</t>
  </si>
  <si>
    <t>Salsa de pimiento picante de Luisiana</t>
  </si>
  <si>
    <t>Credito</t>
  </si>
  <si>
    <t>Brasil</t>
  </si>
  <si>
    <t>Río de Janeiro</t>
  </si>
  <si>
    <t>Bebidas</t>
  </si>
  <si>
    <t>Cerveza Outback</t>
  </si>
  <si>
    <t>Wilman Kala</t>
  </si>
  <si>
    <t>Reposteria</t>
  </si>
  <si>
    <t>Chocolate blanco</t>
  </si>
  <si>
    <t>QUICK-Stop</t>
  </si>
  <si>
    <t>Buenos Aires</t>
  </si>
  <si>
    <t>Regaliz</t>
  </si>
  <si>
    <t>Island Trading</t>
  </si>
  <si>
    <t>Licor verde Chartreuse</t>
  </si>
  <si>
    <t>Lácteos</t>
  </si>
  <si>
    <t>Queso gorgonzola Telino</t>
  </si>
  <si>
    <t>Resende</t>
  </si>
  <si>
    <t>Carnes</t>
  </si>
  <si>
    <t>Empanada de carne</t>
  </si>
  <si>
    <t>Salsa verde original Frankfurter</t>
  </si>
  <si>
    <t>Cerveza negra Steeleye</t>
  </si>
  <si>
    <t>Bollos de Sir Rodney's</t>
  </si>
  <si>
    <t>España</t>
  </si>
  <si>
    <t>Madrid</t>
  </si>
  <si>
    <t>Refresco Guaraná Fantástica</t>
  </si>
  <si>
    <t>Contado</t>
  </si>
  <si>
    <t>Pastas de té de chocolate</t>
  </si>
  <si>
    <t>Queso Cabrales</t>
  </si>
  <si>
    <t>CONTAR.SI</t>
  </si>
  <si>
    <r>
      <t xml:space="preserve">La función </t>
    </r>
    <r>
      <rPr>
        <b/>
        <sz val="11"/>
        <color rgb="FF484848"/>
        <rFont val="Arial"/>
        <family val="2"/>
      </rPr>
      <t>CONTAR.SI</t>
    </r>
    <r>
      <rPr>
        <sz val="11"/>
        <color rgb="FF484848"/>
        <rFont val="Arial"/>
        <family val="2"/>
      </rPr>
      <t xml:space="preserve"> cuenta el número de celdas dentro de un rango que cumplen un solo criterio especificado por el usuario. Por ejemplo, puede contar todas </t>
    </r>
  </si>
  <si>
    <t xml:space="preserve">las celdas que comienzan con cierta letra, o bien todas las celdas que contienen un número mayor o menor que un número especificado por el usuario. Por </t>
  </si>
  <si>
    <t xml:space="preserve">ejemplo, suponga que tiene una hoja de cálculo que contiene una lista de tareas en la columna A y el primer nombre de la persona asignada a cada tarea en la </t>
  </si>
  <si>
    <t>columna B. Puede usar la función CONTAR.SI para contar cuántas veces aparece el nombre de una persona en la columna B y, de esa forma, determinar cuántas tareas tiene asignadas</t>
  </si>
  <si>
    <r>
      <t>=CONTAR.SI(</t>
    </r>
    <r>
      <rPr>
        <b/>
        <sz val="11"/>
        <color theme="4"/>
        <rFont val="Calibri"/>
        <family val="2"/>
        <scheme val="minor"/>
      </rPr>
      <t>Rango</t>
    </r>
    <r>
      <rPr>
        <sz val="11"/>
        <color rgb="FFC00000"/>
        <rFont val="Calibri"/>
        <family val="2"/>
        <scheme val="minor"/>
      </rPr>
      <t>,"</t>
    </r>
    <r>
      <rPr>
        <sz val="11"/>
        <color theme="7"/>
        <rFont val="Calibri"/>
        <family val="2"/>
        <scheme val="minor"/>
      </rPr>
      <t>Criterio</t>
    </r>
    <r>
      <rPr>
        <sz val="11"/>
        <color rgb="FFC00000"/>
        <rFont val="Calibri"/>
        <family val="2"/>
        <scheme val="minor"/>
      </rPr>
      <t>")</t>
    </r>
  </si>
  <si>
    <r>
      <rPr>
        <b/>
        <sz val="11"/>
        <color theme="1"/>
        <rFont val="Calibri"/>
        <family val="2"/>
        <scheme val="minor"/>
      </rPr>
      <t>La sintaxis de la función CONTAR.SI</t>
    </r>
    <r>
      <rPr>
        <sz val="10"/>
        <rFont val="Arial"/>
        <family val="2"/>
      </rPr>
      <t xml:space="preserve"> tiene los siguientes argumentos (argumento: valor que proporciona información a una acción, un evento, un método, una </t>
    </r>
  </si>
  <si>
    <t>propiedad, una función o un procedimiento.):</t>
  </si>
  <si>
    <r>
      <rPr>
        <b/>
        <sz val="11"/>
        <color theme="4"/>
        <rFont val="Calibri"/>
        <family val="2"/>
        <scheme val="minor"/>
      </rPr>
      <t>Rango</t>
    </r>
    <r>
      <rPr>
        <sz val="11"/>
        <color rgb="FF484848"/>
        <rFont val="Calibri"/>
        <family val="2"/>
        <scheme val="minor"/>
      </rPr>
      <t xml:space="preserve">  Obligatorio. Una o más celdas que se van a contar, incluidos números o nombres, matrices o referencias que contengan números. Los valores en blanco y </t>
    </r>
  </si>
  <si>
    <t>los de texto no se tienen en cuenta.</t>
  </si>
  <si>
    <r>
      <rPr>
        <b/>
        <sz val="11"/>
        <color theme="7"/>
        <rFont val="Calibri"/>
        <family val="2"/>
        <scheme val="minor"/>
      </rPr>
      <t>criterios</t>
    </r>
    <r>
      <rPr>
        <sz val="11"/>
        <color rgb="FF484848"/>
        <rFont val="Calibri"/>
        <family val="2"/>
        <scheme val="minor"/>
      </rPr>
      <t xml:space="preserve">  Obligatorio. Número, expresión, referencia de celda o cadena de texto que determina las celdas que se van a contar. Por ejemplo, los criterios pueden </t>
    </r>
  </si>
  <si>
    <t>expresarse como 32, "&gt;32", B4, "manzanas" o "32".</t>
  </si>
  <si>
    <t>Nota</t>
  </si>
  <si>
    <t xml:space="preserve">* En los criterios se puede utilizar los caracteres comodín </t>
  </si>
  <si>
    <t>— signo de interrogación (?) y asterisco (*)</t>
  </si>
  <si>
    <t xml:space="preserve"> —. El signo de interrogación corresponde a un solo carácter  cualquiera y </t>
  </si>
  <si>
    <t>el asterisco equivale a cualquier secuencia de caracteres. Si desea buscar un signo de interrogación o un asterisco reales, escriba una tilde (~) delante del carácter que desea buscar.</t>
  </si>
  <si>
    <t>* Los criterios no distinguen entre mayúsculas y minúsculas; por ejemplo, la cadena "manzanas" y la cadena "MANZANAS" corresponden a las mismas celdas.</t>
  </si>
  <si>
    <t>Ejemplo:</t>
  </si>
  <si>
    <r>
      <t xml:space="preserve">Cuantos veces se repite el producto </t>
    </r>
    <r>
      <rPr>
        <b/>
        <sz val="11"/>
        <color theme="1"/>
        <rFont val="Calibri"/>
        <family val="2"/>
        <scheme val="minor"/>
      </rPr>
      <t>Reposteria</t>
    </r>
    <r>
      <rPr>
        <sz val="10"/>
        <rFont val="Arial"/>
        <family val="2"/>
      </rPr>
      <t xml:space="preserve"> en la Tabla</t>
    </r>
  </si>
  <si>
    <r>
      <t xml:space="preserve">Cuantos veces se repite el producto </t>
    </r>
    <r>
      <rPr>
        <b/>
        <sz val="11"/>
        <color theme="1"/>
        <rFont val="Calibri"/>
        <family val="2"/>
        <scheme val="minor"/>
      </rPr>
      <t>Bebidas</t>
    </r>
    <r>
      <rPr>
        <sz val="10"/>
        <rFont val="Arial"/>
        <family val="2"/>
      </rPr>
      <t xml:space="preserve"> en la Tabla</t>
    </r>
  </si>
  <si>
    <r>
      <t xml:space="preserve">Cuantos registros son del año </t>
    </r>
    <r>
      <rPr>
        <sz val="11"/>
        <color theme="3" tint="0.39997558519241921"/>
        <rFont val="Calibri"/>
        <family val="2"/>
        <scheme val="minor"/>
      </rPr>
      <t>2023</t>
    </r>
  </si>
  <si>
    <r>
      <t xml:space="preserve">Cuantos registros hay que la </t>
    </r>
    <r>
      <rPr>
        <sz val="11"/>
        <color theme="4"/>
        <rFont val="Calibri"/>
        <family val="2"/>
        <scheme val="minor"/>
      </rPr>
      <t xml:space="preserve">cantidad es mayor igual 35 </t>
    </r>
    <r>
      <rPr>
        <sz val="11"/>
        <rFont val="Calibri"/>
        <family val="2"/>
        <scheme val="minor"/>
      </rPr>
      <t>en la Tabla</t>
    </r>
  </si>
  <si>
    <r>
      <t xml:space="preserve">Cuantos registros se realizaron al </t>
    </r>
    <r>
      <rPr>
        <sz val="11"/>
        <color theme="4"/>
        <rFont val="Calibri"/>
        <family val="2"/>
        <scheme val="minor"/>
      </rPr>
      <t>Contado</t>
    </r>
    <r>
      <rPr>
        <sz val="10"/>
        <rFont val="Arial"/>
        <family val="2"/>
      </rPr>
      <t xml:space="preserve"> en la Tabla</t>
    </r>
  </si>
  <si>
    <t>CONTAR.SI.CONJUNTO</t>
  </si>
  <si>
    <t>Aplica criterios a las celdas en varios rangos y cuenta cuántas veces se cumplen dichos criterios.</t>
  </si>
  <si>
    <r>
      <t>=CONTAR.SI.CONJUNTO(</t>
    </r>
    <r>
      <rPr>
        <b/>
        <sz val="10"/>
        <color theme="6"/>
        <rFont val="Arial"/>
        <family val="2"/>
      </rPr>
      <t>criteria_range1</t>
    </r>
    <r>
      <rPr>
        <b/>
        <sz val="10"/>
        <color rgb="FFC00000"/>
        <rFont val="Arial"/>
        <family val="2"/>
      </rPr>
      <t xml:space="preserve">, </t>
    </r>
    <r>
      <rPr>
        <b/>
        <sz val="10"/>
        <color theme="6" tint="-0.249977111117893"/>
        <rFont val="Arial"/>
        <family val="2"/>
      </rPr>
      <t>criteria1</t>
    </r>
    <r>
      <rPr>
        <b/>
        <sz val="10"/>
        <color rgb="FFC00000"/>
        <rFont val="Arial"/>
        <family val="2"/>
      </rPr>
      <t>, [</t>
    </r>
    <r>
      <rPr>
        <b/>
        <sz val="10"/>
        <color theme="3" tint="0.79998168889431442"/>
        <rFont val="Arial"/>
        <family val="2"/>
      </rPr>
      <t>criteria_range2</t>
    </r>
    <r>
      <rPr>
        <b/>
        <sz val="10"/>
        <color rgb="FFC00000"/>
        <rFont val="Arial"/>
        <family val="2"/>
      </rPr>
      <t xml:space="preserve">, </t>
    </r>
    <r>
      <rPr>
        <b/>
        <sz val="10"/>
        <color theme="3" tint="0.39997558519241921"/>
        <rFont val="Arial"/>
        <family val="2"/>
      </rPr>
      <t>criteria2</t>
    </r>
    <r>
      <rPr>
        <b/>
        <sz val="10"/>
        <color rgb="FFC00000"/>
        <rFont val="Arial"/>
        <family val="2"/>
      </rPr>
      <t>]…)</t>
    </r>
  </si>
  <si>
    <t xml:space="preserve">La sintaxis de la función CONTAR.SI.CONJUNTO tiene los siguientes argumentos </t>
  </si>
  <si>
    <r>
      <rPr>
        <b/>
        <sz val="11"/>
        <color theme="6"/>
        <rFont val="Calibri"/>
        <family val="2"/>
        <scheme val="minor"/>
      </rPr>
      <t>criteria_range1</t>
    </r>
    <r>
      <rPr>
        <sz val="10"/>
        <rFont val="Arial"/>
        <family val="2"/>
      </rPr>
      <t xml:space="preserve">  Obligatorio. El primer rango en el que se evalúan los criterios asociados</t>
    </r>
  </si>
  <si>
    <r>
      <rPr>
        <b/>
        <sz val="11"/>
        <color theme="6" tint="-0.249977111117893"/>
        <rFont val="Calibri"/>
        <family val="2"/>
        <scheme val="minor"/>
      </rPr>
      <t>criteria1</t>
    </r>
    <r>
      <rPr>
        <sz val="10"/>
        <rFont val="Arial"/>
        <family val="2"/>
      </rPr>
      <t xml:space="preserve">  Obligatorio. Los criterios en forma de número, expresión, referencia de celda o texto que determinan las celdas que se van a contar. </t>
    </r>
  </si>
  <si>
    <t xml:space="preserve">Por ejemplo, los  criterios se pueden expresar como 32, "&gt;32", B4, "manzanas" o "32". </t>
  </si>
  <si>
    <r>
      <rPr>
        <b/>
        <sz val="11"/>
        <color theme="3" tint="0.79998168889431442"/>
        <rFont val="Calibri"/>
        <family val="2"/>
        <scheme val="minor"/>
      </rPr>
      <t>criteria_range2</t>
    </r>
    <r>
      <rPr>
        <b/>
        <sz val="11"/>
        <color theme="1"/>
        <rFont val="Calibri"/>
        <family val="2"/>
        <scheme val="minor"/>
      </rPr>
      <t xml:space="preserve">, </t>
    </r>
    <r>
      <rPr>
        <b/>
        <sz val="11"/>
        <color theme="3" tint="0.39997558519241921"/>
        <rFont val="Calibri"/>
        <family val="2"/>
        <scheme val="minor"/>
      </rPr>
      <t>criteria2,</t>
    </r>
    <r>
      <rPr>
        <sz val="10"/>
        <rFont val="Arial"/>
        <family val="2"/>
      </rPr>
      <t xml:space="preserve"> ...  Opcional. Rangos adicionales y criterios asociados. Se permiten hasta 127 pares de rango/criterio.</t>
    </r>
  </si>
  <si>
    <r>
      <t xml:space="preserve">Cuantos veces se repite el producto </t>
    </r>
    <r>
      <rPr>
        <b/>
        <sz val="11"/>
        <color theme="1"/>
        <rFont val="Calibri"/>
        <family val="2"/>
        <scheme val="minor"/>
      </rPr>
      <t>Reposteria</t>
    </r>
    <r>
      <rPr>
        <sz val="10"/>
        <rFont val="Arial"/>
        <family val="2"/>
      </rPr>
      <t xml:space="preserve"> y que sea del pais </t>
    </r>
    <r>
      <rPr>
        <b/>
        <sz val="11"/>
        <color theme="1"/>
        <rFont val="Calibri"/>
        <family val="2"/>
        <scheme val="minor"/>
      </rPr>
      <t>Brasil</t>
    </r>
    <r>
      <rPr>
        <sz val="10"/>
        <rFont val="Arial"/>
        <family val="2"/>
      </rPr>
      <t xml:space="preserve"> en la Tabla</t>
    </r>
  </si>
  <si>
    <r>
      <t xml:space="preserve">Cuantos veces se repite el producto </t>
    </r>
    <r>
      <rPr>
        <b/>
        <sz val="11"/>
        <color theme="1"/>
        <rFont val="Calibri"/>
        <family val="2"/>
        <scheme val="minor"/>
      </rPr>
      <t>Bebidas</t>
    </r>
    <r>
      <rPr>
        <sz val="10"/>
        <rFont val="Arial"/>
        <family val="2"/>
      </rPr>
      <t xml:space="preserve"> y que sea del pais </t>
    </r>
    <r>
      <rPr>
        <b/>
        <sz val="11"/>
        <color theme="1"/>
        <rFont val="Calibri"/>
        <family val="2"/>
        <scheme val="minor"/>
      </rPr>
      <t>España</t>
    </r>
    <r>
      <rPr>
        <sz val="10"/>
        <rFont val="Arial"/>
        <family val="2"/>
      </rPr>
      <t xml:space="preserve"> en la Tabla</t>
    </r>
  </si>
  <si>
    <r>
      <t xml:space="preserve">Cuantos registros se realizaron en el mes de </t>
    </r>
    <r>
      <rPr>
        <sz val="11"/>
        <color theme="3" tint="0.39997558519241921"/>
        <rFont val="Calibri"/>
        <family val="2"/>
        <scheme val="minor"/>
      </rPr>
      <t>enero del 2024</t>
    </r>
  </si>
  <si>
    <r>
      <t xml:space="preserve">Cuantos registros hay que la </t>
    </r>
    <r>
      <rPr>
        <sz val="11"/>
        <color theme="4"/>
        <rFont val="Calibri"/>
        <family val="2"/>
        <scheme val="minor"/>
      </rPr>
      <t xml:space="preserve">cantidad este en el rango de 20 a 35 </t>
    </r>
    <r>
      <rPr>
        <sz val="11"/>
        <rFont val="Calibri"/>
        <family val="2"/>
        <scheme val="minor"/>
      </rPr>
      <t>en la Tabla</t>
    </r>
  </si>
  <si>
    <t>Cuantos Bebidas del Pais Destinatario Brasil hay con cantidad mayor igual a 35</t>
  </si>
  <si>
    <t>SUMAR.SI</t>
  </si>
  <si>
    <t xml:space="preserve">La función SUMAR.SI sirve para sumar los valores en un rango (rango: dos o más celdas de una hoja. Las celdas de un rango pueden ser adyacentes o no 
</t>
  </si>
  <si>
    <t xml:space="preserve">adyacentes.) que cumple los criterios que se especifican. Por ejemplo, supongamos que en una columna que contiene números, desea sumar sólo los valores </t>
  </si>
  <si>
    <t>que son mayores que 5. Puede usar la siguiente fórmula: =SUMAR.SI(B2:B25,"&gt;5")</t>
  </si>
  <si>
    <r>
      <t>=SUMAR.SI(</t>
    </r>
    <r>
      <rPr>
        <b/>
        <sz val="10"/>
        <color theme="6"/>
        <rFont val="Arial"/>
        <family val="2"/>
      </rPr>
      <t>range</t>
    </r>
    <r>
      <rPr>
        <b/>
        <sz val="10"/>
        <color rgb="FFC00000"/>
        <rFont val="Arial"/>
        <family val="2"/>
      </rPr>
      <t xml:space="preserve">, </t>
    </r>
    <r>
      <rPr>
        <b/>
        <sz val="10"/>
        <color theme="6" tint="-0.499984740745262"/>
        <rFont val="Arial"/>
        <family val="2"/>
      </rPr>
      <t>criteria,</t>
    </r>
    <r>
      <rPr>
        <b/>
        <sz val="10"/>
        <color rgb="FFC00000"/>
        <rFont val="Arial"/>
        <family val="2"/>
      </rPr>
      <t xml:space="preserve"> </t>
    </r>
    <r>
      <rPr>
        <b/>
        <sz val="10"/>
        <color theme="3" tint="0.39997558519241921"/>
        <rFont val="Arial"/>
        <family val="2"/>
      </rPr>
      <t>[sum_range]</t>
    </r>
    <r>
      <rPr>
        <b/>
        <sz val="10"/>
        <color rgb="FFC00000"/>
        <rFont val="Arial"/>
        <family val="2"/>
      </rPr>
      <t>)</t>
    </r>
  </si>
  <si>
    <t>La sintaxis de la función SUMAR.SI cuenta con los argumentos  siguientes:</t>
  </si>
  <si>
    <r>
      <rPr>
        <b/>
        <sz val="11"/>
        <color theme="6"/>
        <rFont val="Calibri"/>
        <family val="2"/>
        <scheme val="minor"/>
      </rPr>
      <t>rango</t>
    </r>
    <r>
      <rPr>
        <sz val="10"/>
        <rFont val="Arial"/>
        <family val="2"/>
      </rPr>
      <t xml:space="preserve">  Obligatorio. El rango de celdas que se desea evaluar según los criterios especificados. Las celdas de cada rango deben ser números, o bien nombres, </t>
    </r>
  </si>
  <si>
    <t>matrices o referencias que contengan números. Los valores en blanco y los de texto no se tienen en cuenta.</t>
  </si>
  <si>
    <r>
      <rPr>
        <b/>
        <sz val="11"/>
        <color theme="6" tint="-0.499984740745262"/>
        <rFont val="Calibri"/>
        <family val="2"/>
        <scheme val="minor"/>
      </rPr>
      <t>criterios</t>
    </r>
    <r>
      <rPr>
        <sz val="10"/>
        <rFont val="Arial"/>
        <family val="2"/>
      </rPr>
      <t xml:space="preserve">  Obligatorio. El criterio en forma de número, expresión o texto, que determina las celdas que se van a sumar. Por ejemplo, los criterios pueden </t>
    </r>
  </si>
  <si>
    <t>expresarse como 32, "&gt;32", B5, 32, "32", "manzanas" u HOY().</t>
  </si>
  <si>
    <t>Importante</t>
  </si>
  <si>
    <t xml:space="preserve">Cualquier criterio de texto o cualquier criterio que incluya los símbolos lógicos o matemáticos debe estar entre comillas dobles ("). Si el criterio es numérico, las </t>
  </si>
  <si>
    <t>comillas dobles no son obligatorias</t>
  </si>
  <si>
    <r>
      <rPr>
        <b/>
        <sz val="11"/>
        <color theme="3" tint="0.39997558519241921"/>
        <rFont val="Calibri"/>
        <family val="2"/>
        <scheme val="minor"/>
      </rPr>
      <t xml:space="preserve">rango_suma </t>
    </r>
    <r>
      <rPr>
        <sz val="10"/>
        <rFont val="Arial"/>
        <family val="2"/>
      </rPr>
      <t xml:space="preserve"> Opcional. Las celdas reales para agregar, si desea agregar celdas a las ya especificadas en el argumento rango. Si se omite el argumento </t>
    </r>
  </si>
  <si>
    <t>rango_suma, Excel agrega las celdas que están especificadas en el argumento rango (las mismas celdas a las que se aplica los criterios).</t>
  </si>
  <si>
    <r>
      <t xml:space="preserve">Importe Total del producto </t>
    </r>
    <r>
      <rPr>
        <b/>
        <sz val="11"/>
        <color theme="1"/>
        <rFont val="Calibri"/>
        <family val="2"/>
        <scheme val="minor"/>
      </rPr>
      <t>Reposteria</t>
    </r>
    <r>
      <rPr>
        <sz val="10"/>
        <rFont val="Arial"/>
        <family val="2"/>
      </rPr>
      <t xml:space="preserve"> en la Tabla</t>
    </r>
  </si>
  <si>
    <r>
      <t xml:space="preserve">Importe Total del producto </t>
    </r>
    <r>
      <rPr>
        <b/>
        <sz val="11"/>
        <color theme="1"/>
        <rFont val="Calibri"/>
        <family val="2"/>
        <scheme val="minor"/>
      </rPr>
      <t>Bebidas</t>
    </r>
    <r>
      <rPr>
        <sz val="10"/>
        <rFont val="Arial"/>
        <family val="2"/>
      </rPr>
      <t xml:space="preserve"> en la Tabla</t>
    </r>
  </si>
  <si>
    <r>
      <t xml:space="preserve">Importe Total de los registros que son del año </t>
    </r>
    <r>
      <rPr>
        <sz val="11"/>
        <color theme="3" tint="0.39997558519241921"/>
        <rFont val="Calibri"/>
        <family val="2"/>
        <scheme val="minor"/>
      </rPr>
      <t>2023</t>
    </r>
  </si>
  <si>
    <r>
      <t xml:space="preserve">Importe Total de los registros cuya </t>
    </r>
    <r>
      <rPr>
        <sz val="11"/>
        <color theme="4"/>
        <rFont val="Calibri"/>
        <family val="2"/>
        <scheme val="minor"/>
      </rPr>
      <t xml:space="preserve">cantidad es mayor igual 35 </t>
    </r>
    <r>
      <rPr>
        <sz val="11"/>
        <rFont val="Calibri"/>
        <family val="2"/>
        <scheme val="minor"/>
      </rPr>
      <t>en la Tabla</t>
    </r>
  </si>
  <si>
    <r>
      <t xml:space="preserve">Importe Total de las ventas que se realizaron al </t>
    </r>
    <r>
      <rPr>
        <sz val="11"/>
        <color theme="4"/>
        <rFont val="Calibri"/>
        <family val="2"/>
        <scheme val="minor"/>
      </rPr>
      <t>Contado</t>
    </r>
    <r>
      <rPr>
        <sz val="10"/>
        <rFont val="Arial"/>
        <family val="2"/>
      </rPr>
      <t xml:space="preserve"> en la Tabla</t>
    </r>
  </si>
  <si>
    <t>SUMAR.SI.CONJUNTO</t>
  </si>
  <si>
    <t xml:space="preserve">Agrega las celdas de un rango que cumpla con varios criterios. </t>
  </si>
  <si>
    <t xml:space="preserve">Por ejemplo, si desea sumar los números del rango A1:A20 sólo si los números de B1:B20 correspondientes son mayores que cero (0) y los números de </t>
  </si>
  <si>
    <r>
      <t>C1:C20 correspondientes son menores que 10, puede usar la siguiente fórmula: =</t>
    </r>
    <r>
      <rPr>
        <b/>
        <sz val="11"/>
        <color theme="1"/>
        <rFont val="Calibri"/>
        <family val="2"/>
        <scheme val="minor"/>
      </rPr>
      <t>SUMAR.SI.CONJUNTO(A1:A20; B1:B20; "&gt;0"; C1:C20; "&lt;10")</t>
    </r>
  </si>
  <si>
    <r>
      <t>=SUMAR.SI.CONJUNTO(</t>
    </r>
    <r>
      <rPr>
        <b/>
        <sz val="10"/>
        <color theme="6"/>
        <rFont val="Arial"/>
        <family val="2"/>
      </rPr>
      <t>rango_suma</t>
    </r>
    <r>
      <rPr>
        <b/>
        <sz val="10"/>
        <color rgb="FFC00000"/>
        <rFont val="Arial"/>
        <family val="2"/>
      </rPr>
      <t xml:space="preserve">; </t>
    </r>
    <r>
      <rPr>
        <b/>
        <sz val="10"/>
        <color theme="6" tint="-0.499984740745262"/>
        <rFont val="Arial"/>
        <family val="2"/>
      </rPr>
      <t>rango_criterios1</t>
    </r>
    <r>
      <rPr>
        <b/>
        <sz val="10"/>
        <color rgb="FFC00000"/>
        <rFont val="Arial"/>
        <family val="2"/>
      </rPr>
      <t xml:space="preserve">; </t>
    </r>
    <r>
      <rPr>
        <b/>
        <sz val="10"/>
        <color theme="4"/>
        <rFont val="Arial"/>
        <family val="2"/>
      </rPr>
      <t>criterios1,</t>
    </r>
    <r>
      <rPr>
        <b/>
        <sz val="10"/>
        <color rgb="FFC00000"/>
        <rFont val="Arial"/>
        <family val="2"/>
      </rPr>
      <t xml:space="preserve"> [</t>
    </r>
    <r>
      <rPr>
        <b/>
        <sz val="10"/>
        <color theme="4" tint="-0.249977111117893"/>
        <rFont val="Arial"/>
        <family val="2"/>
      </rPr>
      <t>rango_criterios2; criterios2</t>
    </r>
    <r>
      <rPr>
        <b/>
        <sz val="10"/>
        <color rgb="FFC00000"/>
        <rFont val="Arial"/>
        <family val="2"/>
      </rPr>
      <t>]; …)</t>
    </r>
  </si>
  <si>
    <t>La sintaxis de la función SUMAR.SI.CONJUNTO tiene los siguientes argumentos:</t>
  </si>
  <si>
    <r>
      <rPr>
        <b/>
        <sz val="11"/>
        <color theme="6"/>
        <rFont val="Calibri"/>
        <family val="2"/>
        <scheme val="minor"/>
      </rPr>
      <t xml:space="preserve">rango_suma  Obligatorio. </t>
    </r>
    <r>
      <rPr>
        <sz val="10"/>
        <rFont val="Arial"/>
        <family val="2"/>
      </rPr>
      <t>Una o más celdas para sumar, incluidos números o nombres, rangos o referencias de celda que contienen números. Se omiten los valores en blanco o de texto</t>
    </r>
  </si>
  <si>
    <r>
      <rPr>
        <b/>
        <sz val="11"/>
        <color theme="6" tint="-0.499984740745262"/>
        <rFont val="Calibri"/>
        <family val="2"/>
        <scheme val="minor"/>
      </rPr>
      <t xml:space="preserve">rango_criterios1 </t>
    </r>
    <r>
      <rPr>
        <sz val="10"/>
        <rFont val="Arial"/>
        <family val="2"/>
      </rPr>
      <t xml:space="preserve"> Obligatorio. El primer rango en el que se evalúan los criterios asociados. </t>
    </r>
  </si>
  <si>
    <r>
      <rPr>
        <b/>
        <sz val="11"/>
        <color theme="4"/>
        <rFont val="Calibri"/>
        <family val="2"/>
        <scheme val="minor"/>
      </rPr>
      <t>criterios1  Obligatorio.</t>
    </r>
    <r>
      <rPr>
        <sz val="10"/>
        <rFont val="Arial"/>
        <family val="2"/>
      </rPr>
      <t xml:space="preserve"> Los criterios en forma de número, expresión, referencia de celda o texto que define qué celdas del argumento rango_criterios1 se </t>
    </r>
  </si>
  <si>
    <t>agregarán. Por ejemplo, los criterios se pueden expresar como 32, "&gt;32", B4, "manzanas" o "32".</t>
  </si>
  <si>
    <r>
      <rPr>
        <b/>
        <sz val="11"/>
        <color theme="4" tint="-0.249977111117893"/>
        <rFont val="Calibri"/>
        <family val="2"/>
        <scheme val="minor"/>
      </rPr>
      <t>rango_criterios2, criterios2,</t>
    </r>
    <r>
      <rPr>
        <sz val="10"/>
        <rFont val="Arial"/>
        <family val="2"/>
      </rPr>
      <t xml:space="preserve"> …  Opcional. Rangos adicionales y sus criterios asociados. Se permiten hasta 127 pares de rangos/criterios.</t>
    </r>
  </si>
  <si>
    <r>
      <t xml:space="preserve">Importe total del producto </t>
    </r>
    <r>
      <rPr>
        <b/>
        <sz val="11"/>
        <color theme="1"/>
        <rFont val="Calibri"/>
        <family val="2"/>
        <scheme val="minor"/>
      </rPr>
      <t>Reposteria</t>
    </r>
    <r>
      <rPr>
        <sz val="10"/>
        <rFont val="Arial"/>
        <family val="2"/>
      </rPr>
      <t xml:space="preserve"> y que sea del pais </t>
    </r>
    <r>
      <rPr>
        <b/>
        <sz val="11"/>
        <color theme="1"/>
        <rFont val="Calibri"/>
        <family val="2"/>
        <scheme val="minor"/>
      </rPr>
      <t>Brasil</t>
    </r>
    <r>
      <rPr>
        <sz val="10"/>
        <rFont val="Arial"/>
        <family val="2"/>
      </rPr>
      <t xml:space="preserve"> en la Tabla</t>
    </r>
  </si>
  <si>
    <r>
      <t xml:space="preserve">Importe Total del producto </t>
    </r>
    <r>
      <rPr>
        <b/>
        <sz val="11"/>
        <color theme="1"/>
        <rFont val="Calibri"/>
        <family val="2"/>
        <scheme val="minor"/>
      </rPr>
      <t>Bebidas</t>
    </r>
    <r>
      <rPr>
        <sz val="10"/>
        <rFont val="Arial"/>
        <family val="2"/>
      </rPr>
      <t xml:space="preserve"> y que sea del pais </t>
    </r>
    <r>
      <rPr>
        <b/>
        <sz val="11"/>
        <color theme="1"/>
        <rFont val="Calibri"/>
        <family val="2"/>
        <scheme val="minor"/>
      </rPr>
      <t>España</t>
    </r>
    <r>
      <rPr>
        <sz val="10"/>
        <rFont val="Arial"/>
        <family val="2"/>
      </rPr>
      <t xml:space="preserve"> en la Tabla</t>
    </r>
  </si>
  <si>
    <r>
      <t xml:space="preserve">Importe Total del las ventas que se realizaron en el mes de </t>
    </r>
    <r>
      <rPr>
        <sz val="11"/>
        <color theme="3" tint="0.39997558519241921"/>
        <rFont val="Calibri"/>
        <family val="2"/>
        <scheme val="minor"/>
      </rPr>
      <t>enero del 2024</t>
    </r>
  </si>
  <si>
    <r>
      <t xml:space="preserve">Importe total de la ventas cuya  </t>
    </r>
    <r>
      <rPr>
        <sz val="11"/>
        <color theme="4"/>
        <rFont val="Calibri"/>
        <family val="2"/>
        <scheme val="minor"/>
      </rPr>
      <t xml:space="preserve">cantidad este en el rango de 20 a 35 </t>
    </r>
    <r>
      <rPr>
        <sz val="11"/>
        <rFont val="Calibri"/>
        <family val="2"/>
        <scheme val="minor"/>
      </rPr>
      <t>en la Tabla</t>
    </r>
  </si>
  <si>
    <t>Importe Total de las Bebidas del Pais Destinatario Brasil y con cantidad mayor igual a 35</t>
  </si>
  <si>
    <t>PROMEDIO.SI</t>
  </si>
  <si>
    <t>Devuelve el promedio (media aritmética) de todas las celdas de un rango que cumplen unos criterios determinados</t>
  </si>
  <si>
    <r>
      <t>=PROMEDIO.SI(</t>
    </r>
    <r>
      <rPr>
        <b/>
        <sz val="10"/>
        <color theme="6"/>
        <rFont val="Arial"/>
        <family val="2"/>
      </rPr>
      <t>rango</t>
    </r>
    <r>
      <rPr>
        <b/>
        <sz val="10"/>
        <color rgb="FFC00000"/>
        <rFont val="Arial"/>
        <family val="2"/>
      </rPr>
      <t>;</t>
    </r>
    <r>
      <rPr>
        <b/>
        <sz val="10"/>
        <color theme="6" tint="-0.499984740745262"/>
        <rFont val="Arial"/>
        <family val="2"/>
      </rPr>
      <t>criterio</t>
    </r>
    <r>
      <rPr>
        <b/>
        <sz val="10"/>
        <color rgb="FFC00000"/>
        <rFont val="Arial"/>
        <family val="2"/>
      </rPr>
      <t>;</t>
    </r>
    <r>
      <rPr>
        <b/>
        <sz val="10"/>
        <color theme="4"/>
        <rFont val="Arial"/>
        <family val="2"/>
      </rPr>
      <t>rango_promedio</t>
    </r>
    <r>
      <rPr>
        <b/>
        <sz val="10"/>
        <color rgb="FFC00000"/>
        <rFont val="Arial"/>
        <family val="2"/>
      </rPr>
      <t>)</t>
    </r>
  </si>
  <si>
    <r>
      <rPr>
        <b/>
        <sz val="11"/>
        <color theme="6"/>
        <rFont val="Calibri"/>
        <family val="2"/>
        <scheme val="minor"/>
      </rPr>
      <t>Rango</t>
    </r>
    <r>
      <rPr>
        <sz val="10"/>
        <rFont val="Arial"/>
        <family val="2"/>
      </rPr>
      <t xml:space="preserve">   es la celda o las celdas cuyo promedio se desea obtener; deben contener números, o nombres, matrices o referencias que contengan números.</t>
    </r>
  </si>
  <si>
    <r>
      <rPr>
        <b/>
        <sz val="11"/>
        <color theme="6" tint="-0.499984740745262"/>
        <rFont val="Calibri"/>
        <family val="2"/>
        <scheme val="minor"/>
      </rPr>
      <t>Criterio</t>
    </r>
    <r>
      <rPr>
        <sz val="10"/>
        <rFont val="Arial"/>
        <family val="2"/>
      </rPr>
      <t xml:space="preserve">   es el criterio en forma de número, expresión, referencia de celda o texto, que determina las celdas cuyo promedio se va a obtener. Por ejemplo, los </t>
    </r>
  </si>
  <si>
    <t>criterios pueden expresarse como 32, "32", "&gt;32", "manzanas" o B4</t>
  </si>
  <si>
    <r>
      <rPr>
        <b/>
        <sz val="11"/>
        <color theme="4"/>
        <rFont val="Calibri"/>
        <family val="2"/>
        <scheme val="minor"/>
      </rPr>
      <t>Rango_promedio</t>
    </r>
    <r>
      <rPr>
        <sz val="10"/>
        <rFont val="Arial"/>
        <family val="2"/>
      </rPr>
      <t xml:space="preserve">   es el conjunto real de celdas de las que se va a obtener el promedio. Si se omite, se utiliza el rango.</t>
    </r>
  </si>
  <si>
    <r>
      <t xml:space="preserve">Promedio del importe del producto </t>
    </r>
    <r>
      <rPr>
        <b/>
        <sz val="11"/>
        <color theme="1"/>
        <rFont val="Calibri"/>
        <family val="2"/>
        <scheme val="minor"/>
      </rPr>
      <t>Reposteria</t>
    </r>
    <r>
      <rPr>
        <sz val="10"/>
        <rFont val="Arial"/>
        <family val="2"/>
      </rPr>
      <t xml:space="preserve"> en la Tabla</t>
    </r>
  </si>
  <si>
    <r>
      <t xml:space="preserve">Promedio del importe del producto </t>
    </r>
    <r>
      <rPr>
        <b/>
        <sz val="11"/>
        <color theme="1"/>
        <rFont val="Calibri"/>
        <family val="2"/>
        <scheme val="minor"/>
      </rPr>
      <t>Bebidas</t>
    </r>
    <r>
      <rPr>
        <sz val="10"/>
        <rFont val="Arial"/>
        <family val="2"/>
      </rPr>
      <t xml:space="preserve"> en la Tabla</t>
    </r>
  </si>
  <si>
    <r>
      <t xml:space="preserve">Promedio de Cantidad de Venta del año </t>
    </r>
    <r>
      <rPr>
        <sz val="11"/>
        <color theme="3" tint="0.39997558519241921"/>
        <rFont val="Calibri"/>
        <family val="2"/>
        <scheme val="minor"/>
      </rPr>
      <t>2023</t>
    </r>
  </si>
  <si>
    <r>
      <t xml:space="preserve">Promedio de Cantidad de Ventas cuya </t>
    </r>
    <r>
      <rPr>
        <sz val="11"/>
        <color theme="4"/>
        <rFont val="Calibri"/>
        <family val="2"/>
        <scheme val="minor"/>
      </rPr>
      <t xml:space="preserve">cantidad es mayor igual 35 </t>
    </r>
    <r>
      <rPr>
        <sz val="11"/>
        <rFont val="Calibri"/>
        <family val="2"/>
        <scheme val="minor"/>
      </rPr>
      <t>en la Tabla</t>
    </r>
  </si>
  <si>
    <r>
      <t xml:space="preserve">Promedio de Cantidad de Venta al </t>
    </r>
    <r>
      <rPr>
        <sz val="11"/>
        <color theme="4"/>
        <rFont val="Calibri"/>
        <family val="2"/>
        <scheme val="minor"/>
      </rPr>
      <t>Contado</t>
    </r>
    <r>
      <rPr>
        <sz val="10"/>
        <rFont val="Arial"/>
        <family val="2"/>
      </rPr>
      <t xml:space="preserve"> en la Tabla</t>
    </r>
  </si>
  <si>
    <t>PROMEDIO.SI.CONJUNTO</t>
  </si>
  <si>
    <t>Devuelve el promedio (media aritmética) de todas las celdas que cumplen múltiples criterios.</t>
  </si>
  <si>
    <r>
      <t>=PROMEDIO.SI.CONJUNTO(</t>
    </r>
    <r>
      <rPr>
        <b/>
        <sz val="10"/>
        <color theme="6"/>
        <rFont val="Arial"/>
        <family val="2"/>
      </rPr>
      <t>rango_promedio</t>
    </r>
    <r>
      <rPr>
        <b/>
        <sz val="10"/>
        <color rgb="FFC00000"/>
        <rFont val="Arial"/>
        <family val="2"/>
      </rPr>
      <t>;</t>
    </r>
    <r>
      <rPr>
        <b/>
        <sz val="10"/>
        <color theme="6" tint="-0.499984740745262"/>
        <rFont val="Arial"/>
        <family val="2"/>
      </rPr>
      <t>rango_criterio1</t>
    </r>
    <r>
      <rPr>
        <b/>
        <sz val="10"/>
        <color rgb="FFC00000"/>
        <rFont val="Arial"/>
        <family val="2"/>
      </rPr>
      <t>;</t>
    </r>
    <r>
      <rPr>
        <b/>
        <sz val="10"/>
        <color theme="4"/>
        <rFont val="Arial"/>
        <family val="2"/>
      </rPr>
      <t>criterio1</t>
    </r>
    <r>
      <rPr>
        <b/>
        <sz val="10"/>
        <color rgb="FFC00000"/>
        <rFont val="Arial"/>
        <family val="2"/>
      </rPr>
      <t>;</t>
    </r>
    <r>
      <rPr>
        <b/>
        <sz val="10"/>
        <color theme="4" tint="-0.249977111117893"/>
        <rFont val="Arial"/>
        <family val="2"/>
      </rPr>
      <t>rango_criterio2</t>
    </r>
    <r>
      <rPr>
        <b/>
        <sz val="10"/>
        <color rgb="FFC00000"/>
        <rFont val="Arial"/>
        <family val="2"/>
      </rPr>
      <t>;</t>
    </r>
    <r>
      <rPr>
        <b/>
        <sz val="10"/>
        <color theme="7" tint="0.39997558519241921"/>
        <rFont val="Arial"/>
        <family val="2"/>
      </rPr>
      <t>criterio2…</t>
    </r>
    <r>
      <rPr>
        <b/>
        <sz val="10"/>
        <color rgb="FFC00000"/>
        <rFont val="Arial"/>
        <family val="2"/>
      </rPr>
      <t>)</t>
    </r>
  </si>
  <si>
    <r>
      <rPr>
        <b/>
        <sz val="11"/>
        <color theme="6"/>
        <rFont val="Calibri"/>
        <family val="2"/>
        <scheme val="minor"/>
      </rPr>
      <t>Rango_promedio</t>
    </r>
    <r>
      <rPr>
        <sz val="10"/>
        <rFont val="Arial"/>
        <family val="2"/>
      </rPr>
      <t xml:space="preserve">   es la celda o las celdas cuyo promedio se desea obtener; deben contener números, o nombres, matrices o referencias que contengan números.</t>
    </r>
  </si>
  <si>
    <r>
      <rPr>
        <b/>
        <sz val="11"/>
        <color theme="6" tint="-0.499984740745262"/>
        <rFont val="Calibri"/>
        <family val="2"/>
        <scheme val="minor"/>
      </rPr>
      <t>Rango_criterio1</t>
    </r>
    <r>
      <rPr>
        <sz val="10"/>
        <rFont val="Arial"/>
        <family val="2"/>
      </rPr>
      <t xml:space="preserve">, </t>
    </r>
    <r>
      <rPr>
        <b/>
        <sz val="11"/>
        <color theme="4" tint="-0.249977111117893"/>
        <rFont val="Calibri"/>
        <family val="2"/>
        <scheme val="minor"/>
      </rPr>
      <t>rango_criterio2</t>
    </r>
    <r>
      <rPr>
        <sz val="10"/>
        <rFont val="Arial"/>
        <family val="2"/>
      </rPr>
      <t>, …   son de 1 a 127 rangos en los que se van a evaluar los criterios asociados</t>
    </r>
  </si>
  <si>
    <r>
      <rPr>
        <b/>
        <sz val="11"/>
        <color theme="4"/>
        <rFont val="Calibri"/>
        <family val="2"/>
        <scheme val="minor"/>
      </rPr>
      <t>Criterio1,</t>
    </r>
    <r>
      <rPr>
        <sz val="10"/>
        <rFont val="Arial"/>
        <family val="2"/>
      </rPr>
      <t xml:space="preserve"> </t>
    </r>
    <r>
      <rPr>
        <b/>
        <sz val="11"/>
        <color theme="7" tint="0.39997558519241921"/>
        <rFont val="Calibri"/>
        <family val="2"/>
        <scheme val="minor"/>
      </rPr>
      <t>criterio2,</t>
    </r>
    <r>
      <rPr>
        <sz val="10"/>
        <rFont val="Arial"/>
        <family val="2"/>
      </rPr>
      <t xml:space="preserve"> …   son de 1 a 127 criterios en forma de número, expresión, referencia de celda o texto que determinan las celdas cuyo promedio se va a </t>
    </r>
  </si>
  <si>
    <t>calcular. Por ejemplo, los criterios pueden expresarse como 32, "32", "&gt;32", "manzanas" o B4.</t>
  </si>
  <si>
    <t>Observaciones</t>
  </si>
  <si>
    <t xml:space="preserve">Si rango_promedio es un valor en blanco o de texto, PROMEDIO.SI.CONJUNTO devuelve el valor de error #¡DIV0!. </t>
  </si>
  <si>
    <t>Si una celda de un rango de criterios está vacía, PROMEDIO.SI.CONJUNTO la trata como un valor 0</t>
  </si>
  <si>
    <t xml:space="preserve">Las celdas del rango que contienen VERDADERO se evalúan como 1; las celdas del rango que contienen FALSO se evalúan como 0 (cero). </t>
  </si>
  <si>
    <t>Cada celda del rango_promedio se utiliza en el cálculo promedio sólo si todos los criterios especificados correspondientes son verdaderos para dicha celda</t>
  </si>
  <si>
    <t>A diferencia de los argumentos rango y criterio de la función PROMEDIO.SI, en PROMEDIO.SI.CONJUNTO cada rango_criterio debe tener el mismo tamaño y forma que rango_promedio</t>
  </si>
  <si>
    <t>Si las celdas de rango_promedio no se pueden traducir en números, PROMEDIO.SI.CONJUNTO devuelve el valor de error #¡DIV0!.</t>
  </si>
  <si>
    <t xml:space="preserve">Si no hay celdas que cumplen todos los criterios, PROMEDIO.SI.CONJUNTO devuelve el valor de error #¡DIV/0!. </t>
  </si>
  <si>
    <t xml:space="preserve">En los criterios se puede utilizar los caracteres comodín de signo de interrogación (?) y asterisco (*). El signo de interrogación corresponde a un solo carácter </t>
  </si>
  <si>
    <t xml:space="preserve">cualquiera y el asterisco equivale a cualquier secuencia de caracteres. Si desea buscar un signo de interrogación o un asterisco reales, escriba una tilde (~) delante del carácter que desea buscar. </t>
  </si>
  <si>
    <r>
      <t xml:space="preserve">Promedio del importe del producto </t>
    </r>
    <r>
      <rPr>
        <b/>
        <sz val="11"/>
        <color theme="1"/>
        <rFont val="Calibri"/>
        <family val="2"/>
        <scheme val="minor"/>
      </rPr>
      <t>Reposteria</t>
    </r>
    <r>
      <rPr>
        <sz val="10"/>
        <rFont val="Arial"/>
        <family val="2"/>
      </rPr>
      <t xml:space="preserve"> y que sea del pais </t>
    </r>
    <r>
      <rPr>
        <b/>
        <sz val="11"/>
        <color theme="1"/>
        <rFont val="Calibri"/>
        <family val="2"/>
        <scheme val="minor"/>
      </rPr>
      <t>Brasil</t>
    </r>
    <r>
      <rPr>
        <sz val="10"/>
        <rFont val="Arial"/>
        <family val="2"/>
      </rPr>
      <t xml:space="preserve"> en la Tabla</t>
    </r>
  </si>
  <si>
    <r>
      <t xml:space="preserve">Promedio del importe del producto </t>
    </r>
    <r>
      <rPr>
        <b/>
        <sz val="11"/>
        <color theme="1"/>
        <rFont val="Calibri"/>
        <family val="2"/>
        <scheme val="minor"/>
      </rPr>
      <t>Bebidas</t>
    </r>
    <r>
      <rPr>
        <sz val="10"/>
        <rFont val="Arial"/>
        <family val="2"/>
      </rPr>
      <t xml:space="preserve"> y que sea del pais </t>
    </r>
    <r>
      <rPr>
        <b/>
        <sz val="11"/>
        <color theme="1"/>
        <rFont val="Calibri"/>
        <family val="2"/>
        <scheme val="minor"/>
      </rPr>
      <t>España</t>
    </r>
    <r>
      <rPr>
        <sz val="10"/>
        <rFont val="Arial"/>
        <family val="2"/>
      </rPr>
      <t xml:space="preserve"> en la Tabla</t>
    </r>
  </si>
  <si>
    <r>
      <t xml:space="preserve">Promedio de la cantidad de ventas que se realizaron en el mes de </t>
    </r>
    <r>
      <rPr>
        <sz val="11"/>
        <color theme="3" tint="0.39997558519241921"/>
        <rFont val="Calibri"/>
        <family val="2"/>
        <scheme val="minor"/>
      </rPr>
      <t>enero del 2024</t>
    </r>
  </si>
  <si>
    <r>
      <t xml:space="preserve">Promedio de la cantidad de ventas cuya  </t>
    </r>
    <r>
      <rPr>
        <sz val="11"/>
        <color theme="4"/>
        <rFont val="Calibri"/>
        <family val="2"/>
        <scheme val="minor"/>
      </rPr>
      <t xml:space="preserve">cantidad este en el rango de 20 a 35 </t>
    </r>
    <r>
      <rPr>
        <sz val="11"/>
        <rFont val="Calibri"/>
        <family val="2"/>
        <scheme val="minor"/>
      </rPr>
      <t>en la Tabla</t>
    </r>
  </si>
  <si>
    <t>Promedio de la cantidad de Bebidas del Pais Destinatario Brasil y con cantidad mayor igual a 35</t>
  </si>
  <si>
    <t>COMPLETAR</t>
  </si>
  <si>
    <t>Aula</t>
  </si>
  <si>
    <t>Curso</t>
  </si>
  <si>
    <t>Turno</t>
  </si>
  <si>
    <t>Cantidad Alumno</t>
  </si>
  <si>
    <t>Costo Curso</t>
  </si>
  <si>
    <t>Costo Total</t>
  </si>
  <si>
    <t>Excel</t>
  </si>
  <si>
    <t>Mañana</t>
  </si>
  <si>
    <t>Cantidad de Cursos de excel en la mañana</t>
  </si>
  <si>
    <t>Word</t>
  </si>
  <si>
    <t>C</t>
  </si>
  <si>
    <t>D</t>
  </si>
  <si>
    <t>Cantidad de Alumnos matriculados en el curso de excel en la mañana</t>
  </si>
  <si>
    <t>Tarde</t>
  </si>
  <si>
    <t>Promediod de Importe del Costo Total de los Alumnos matriculados en el curso de excel en la mañana</t>
  </si>
  <si>
    <t>Power Point</t>
  </si>
  <si>
    <t>Noche</t>
  </si>
  <si>
    <t>Importe del Costo Total de los Alumnos matriculados en el curso de excel en la mañana</t>
  </si>
  <si>
    <t>Vista</t>
  </si>
  <si>
    <t>Cantidad de Alumnos matriculados en el aula A del curso de excel, en la mañana</t>
  </si>
  <si>
    <t>Cantidad Aumnos</t>
  </si>
  <si>
    <t>Importe Costo Total</t>
  </si>
  <si>
    <t>Promedio Costo Total</t>
  </si>
  <si>
    <t>BUSCARV (EXACTO)</t>
  </si>
  <si>
    <t>Tabla Destino</t>
  </si>
  <si>
    <t>TABLA FUENTE</t>
  </si>
  <si>
    <t>Nro</t>
  </si>
  <si>
    <t>Datos
Enlace</t>
  </si>
  <si>
    <t>Valor
relacionado</t>
  </si>
  <si>
    <t>Descripción
Relacionada</t>
  </si>
  <si>
    <t>Dato Enlace</t>
  </si>
  <si>
    <t>Descripción</t>
  </si>
  <si>
    <t>Valor</t>
  </si>
  <si>
    <t>Fecha</t>
  </si>
  <si>
    <t>Producto</t>
  </si>
  <si>
    <t>Venta</t>
  </si>
  <si>
    <t>E</t>
  </si>
  <si>
    <t>Lapicero</t>
  </si>
  <si>
    <t>MADERA</t>
  </si>
  <si>
    <t>CARTON</t>
  </si>
  <si>
    <t>Fichero</t>
  </si>
  <si>
    <t>Portaminas</t>
  </si>
  <si>
    <t>Papel Bond</t>
  </si>
  <si>
    <t>LAPIZ</t>
  </si>
  <si>
    <t>Borrador</t>
  </si>
  <si>
    <t>Ventas del mes de Enero del 2024</t>
  </si>
  <si>
    <t>Nombre</t>
  </si>
  <si>
    <t>Apellido</t>
  </si>
  <si>
    <t>Zona</t>
  </si>
  <si>
    <t>Sueldo Básico</t>
  </si>
  <si>
    <t>Descripción de la zona</t>
  </si>
  <si>
    <t>Steven</t>
  </si>
  <si>
    <t>Buchanan</t>
  </si>
  <si>
    <t>Laura</t>
  </si>
  <si>
    <t>Callahan</t>
  </si>
  <si>
    <t>América</t>
  </si>
  <si>
    <t>Nancy</t>
  </si>
  <si>
    <t>Davolio</t>
  </si>
  <si>
    <t>Anne</t>
  </si>
  <si>
    <t>Dodsworth</t>
  </si>
  <si>
    <t>Canadá</t>
  </si>
  <si>
    <t>Andrew</t>
  </si>
  <si>
    <t>Fuller</t>
  </si>
  <si>
    <t>Francia</t>
  </si>
  <si>
    <t>Robert</t>
  </si>
  <si>
    <t>King</t>
  </si>
  <si>
    <t>Janet</t>
  </si>
  <si>
    <t>Leverling</t>
  </si>
  <si>
    <t>Margaret</t>
  </si>
  <si>
    <t>Peacock</t>
  </si>
  <si>
    <t>Michael</t>
  </si>
  <si>
    <t>Suyama</t>
  </si>
  <si>
    <t>BUSCARH (EXACTO)</t>
  </si>
  <si>
    <t>BUSCARV (APROXIMADO)</t>
  </si>
  <si>
    <t>TABLA DESTINO</t>
  </si>
  <si>
    <t>Demora</t>
  </si>
  <si>
    <t>Estado</t>
  </si>
  <si>
    <t>Antonio Benito</t>
  </si>
  <si>
    <t>José Martín</t>
  </si>
  <si>
    <t>Raúl Pérez</t>
  </si>
  <si>
    <t>Rango 1</t>
  </si>
  <si>
    <t>1 - 15 Días</t>
  </si>
  <si>
    <t>Gerardo Alcázar</t>
  </si>
  <si>
    <t>Rango 2</t>
  </si>
  <si>
    <t>16 - 30 Días</t>
  </si>
  <si>
    <t>Alex Carrillo</t>
  </si>
  <si>
    <t>Rango 3</t>
  </si>
  <si>
    <t>31 - 90 Días</t>
  </si>
  <si>
    <t>Iván Pereda</t>
  </si>
  <si>
    <t>Rango 4</t>
  </si>
  <si>
    <t>Mayor a 90 Días</t>
  </si>
  <si>
    <t>Juan Meler</t>
  </si>
  <si>
    <t>Ramón Castro</t>
  </si>
  <si>
    <t>Soledad Úbeda</t>
  </si>
  <si>
    <t>Manuel Fajardo</t>
  </si>
  <si>
    <t>Pedro Jara</t>
  </si>
  <si>
    <t>Carmen Utrillas</t>
  </si>
  <si>
    <t>María Morales</t>
  </si>
  <si>
    <t>Magdalena Villa</t>
  </si>
  <si>
    <t>José Úbeda</t>
  </si>
  <si>
    <t>Ramón Jiménez</t>
  </si>
  <si>
    <t>Esther Escobar</t>
  </si>
  <si>
    <t>Manuel Martínez</t>
  </si>
  <si>
    <t>Rosa Sánchez</t>
  </si>
  <si>
    <t>Jorge Belmonte</t>
  </si>
  <si>
    <t>Ana Murillo</t>
  </si>
  <si>
    <t>Javier Padilla</t>
  </si>
  <si>
    <t>Pedro Martínez</t>
  </si>
  <si>
    <t>Antonia Villa</t>
  </si>
  <si>
    <t>Nuñez Arca</t>
  </si>
  <si>
    <t>Quintana Wilder</t>
  </si>
  <si>
    <t>Gil Álvarez</t>
  </si>
  <si>
    <t>Lora Castañeda</t>
  </si>
  <si>
    <t>Mayo Guerra</t>
  </si>
  <si>
    <t>BUSCARX</t>
  </si>
  <si>
    <t>TIPO PRODUCTO</t>
  </si>
  <si>
    <t>CANTIDAD</t>
  </si>
  <si>
    <t>PRODUCTO:</t>
  </si>
  <si>
    <t>SOFA</t>
  </si>
  <si>
    <t>TV</t>
  </si>
  <si>
    <t>ELECTRO</t>
  </si>
  <si>
    <t>BUSCARV</t>
  </si>
  <si>
    <t>MUEBLES</t>
  </si>
  <si>
    <t>EQUIPO DE SONIDO</t>
  </si>
  <si>
    <t>ESTANTE</t>
  </si>
  <si>
    <t>BUSCARV-BUSCARX-INDICE Y COINCIDIR</t>
  </si>
  <si>
    <t>VENTAS 1ER. SEMESTRE DEL AÑO</t>
  </si>
  <si>
    <t>Busca el valor determinado en la primera columna de la tabla definida, y nos devuelve el valor de la columna que le indiquemos de la tabla definida inicialmente.</t>
  </si>
  <si>
    <t>CLIENTE</t>
  </si>
  <si>
    <t>ENERO</t>
  </si>
  <si>
    <t>FEBRERO</t>
  </si>
  <si>
    <t>MARZO</t>
  </si>
  <si>
    <t>ABRIL</t>
  </si>
  <si>
    <t>MAYO</t>
  </si>
  <si>
    <t>JUNIO</t>
  </si>
  <si>
    <t>Abanto Ríos Sebastián</t>
  </si>
  <si>
    <t>Agüero León Isabel</t>
  </si>
  <si>
    <t>Abanto Ramírez Vania</t>
  </si>
  <si>
    <t>Abanto Rojas Rosa Angélica</t>
  </si>
  <si>
    <t>Busca el valor determinado en un rango y nos devuelve el valor correspondiente a la primera coincidencia que encuentra.</t>
  </si>
  <si>
    <t>Aburto Berrios Raúl</t>
  </si>
  <si>
    <t xml:space="preserve">Acevedo Reyes María </t>
  </si>
  <si>
    <t>Agüero Anaya Sonia</t>
  </si>
  <si>
    <t>Acuna León Eduardo Javier</t>
  </si>
  <si>
    <t>Acuña Paulina Julia</t>
  </si>
  <si>
    <t>COINCIDIR E INDICE</t>
  </si>
  <si>
    <t>FILA</t>
  </si>
  <si>
    <t>COLUMNA</t>
  </si>
  <si>
    <t>Aguado Arce Martha</t>
  </si>
  <si>
    <t>COINCIDIR</t>
  </si>
  <si>
    <t>Devuelve la posicion que ocupa un determinado valor en un rango.</t>
  </si>
  <si>
    <t>INDICE</t>
  </si>
  <si>
    <t>Devuelve el valor que ocupa una determinada posicion.</t>
  </si>
  <si>
    <t>Agüero Hurtado Juan Carlos</t>
  </si>
  <si>
    <t>Aguilar Aguilar José</t>
  </si>
  <si>
    <t>MES</t>
  </si>
  <si>
    <t>Angulo Miranda Gian</t>
  </si>
  <si>
    <t>VENTAS</t>
  </si>
  <si>
    <t>EJEMPLO DE INDICE Y COINCIDIR</t>
  </si>
  <si>
    <t>TABLA COMISIONES</t>
  </si>
  <si>
    <t>PRECIOS</t>
  </si>
  <si>
    <t>Vehiculo</t>
  </si>
  <si>
    <t>Comisión</t>
  </si>
  <si>
    <t>Ford</t>
  </si>
  <si>
    <t>Volvo</t>
  </si>
  <si>
    <t>Hyundai</t>
  </si>
  <si>
    <t>Automovil</t>
  </si>
  <si>
    <t>Camión</t>
  </si>
  <si>
    <t>Camioneta</t>
  </si>
  <si>
    <t>Omnibus</t>
  </si>
  <si>
    <t>VENTA DE VEHICULOS</t>
  </si>
  <si>
    <t>Agencia</t>
  </si>
  <si>
    <t>Marca</t>
  </si>
  <si>
    <t>Lugar</t>
  </si>
  <si>
    <t>Vendedor</t>
  </si>
  <si>
    <t>Precio</t>
  </si>
  <si>
    <t>La Estrella</t>
  </si>
  <si>
    <t>Lima</t>
  </si>
  <si>
    <t>El Triunfo</t>
  </si>
  <si>
    <t>Provincias</t>
  </si>
  <si>
    <t>Aguilar Berrios Rosa</t>
  </si>
  <si>
    <t xml:space="preserve">Aguilar Díaz Eugenia </t>
  </si>
  <si>
    <t xml:space="preserve">Aguilar Flores Cesar </t>
  </si>
  <si>
    <t>Aguilar Pacheco Félix</t>
  </si>
  <si>
    <t>Aguilar Salas Rosa</t>
  </si>
  <si>
    <t>Aguilar Velásquez Lola</t>
  </si>
  <si>
    <t>Aguilar Zevallos Walter</t>
  </si>
  <si>
    <t>Aidé Garay Juana</t>
  </si>
  <si>
    <t>Aira Ore Jorge</t>
  </si>
  <si>
    <t>Ajalcrina Evangelista Gladys</t>
  </si>
  <si>
    <t>Ajalla Tamara José Pepe</t>
  </si>
  <si>
    <t>Alarcón Balbín Judith</t>
  </si>
  <si>
    <t>Alarcón Pantoja Wilfredo</t>
  </si>
  <si>
    <t>Alarcón Peceros Raquel</t>
  </si>
  <si>
    <t>Alaya Rojas Julia</t>
  </si>
  <si>
    <t>Albina Lunarriz Merino</t>
  </si>
  <si>
    <t>Alburquerque Ramos Flor</t>
  </si>
  <si>
    <t>Alcántara Crúzate Patricia</t>
  </si>
  <si>
    <t xml:space="preserve">Alegra Luca Eugenio </t>
  </si>
  <si>
    <t>Alegría Espinoza Justiniano</t>
  </si>
  <si>
    <t>Alejandrina Arispe Urbano</t>
  </si>
  <si>
    <t>Alejandrina Gutiérrez Carmen</t>
  </si>
  <si>
    <t>Alejandro Escate Luis Carlos</t>
  </si>
  <si>
    <t>Alejo Cerna Edith Sofía</t>
  </si>
  <si>
    <t>Alfaro Cuya Irineo</t>
  </si>
  <si>
    <t>Aliaga Daza Carmen</t>
  </si>
  <si>
    <t>Allende Trocones David</t>
  </si>
  <si>
    <t>Altamirano Gladys Alva</t>
  </si>
  <si>
    <t>Altamirano Villegas Rosa</t>
  </si>
  <si>
    <t>Alva Asencios Georgina</t>
  </si>
  <si>
    <t>Alva Obando Walter</t>
  </si>
  <si>
    <t xml:space="preserve">Alvarado Estrada Edgard </t>
  </si>
  <si>
    <t>Alvarado Lucero Miguel</t>
  </si>
  <si>
    <t>Alvarado Mauricio Paulino</t>
  </si>
  <si>
    <t>Alvarado Rodríguez Juvencio</t>
  </si>
  <si>
    <t>Alvarado Rodríguez Teófilo</t>
  </si>
  <si>
    <t>Álvarez Arribasplata Gloria</t>
  </si>
  <si>
    <t>Álvarez Caballera Patricia</t>
  </si>
  <si>
    <t>Álvarez Enríquez Arminda</t>
  </si>
  <si>
    <t>Álvarez Infante Ana María</t>
  </si>
  <si>
    <t>Álvarez Ramírez Carmen</t>
  </si>
  <si>
    <t>Alvitez Talavera Clara Luz</t>
  </si>
  <si>
    <t>Amanzo Carrizales Isolina</t>
  </si>
  <si>
    <t>Ames Oliveros De Chávez Nidia</t>
  </si>
  <si>
    <t>Anampa Castillo Magali</t>
  </si>
  <si>
    <t>Anasco Rugel Rosa</t>
  </si>
  <si>
    <t>Anaya Moreno Juana Marina</t>
  </si>
  <si>
    <t>Andia Chirinos Luisa</t>
  </si>
  <si>
    <t>Andrea Magdalena Rodríguez</t>
  </si>
  <si>
    <t>Ángel Granados Suazo</t>
  </si>
  <si>
    <t>Ángeles De Gómez Carmen</t>
  </si>
  <si>
    <t>Ángeles Masculan Norma</t>
  </si>
  <si>
    <t xml:space="preserve">Ángeles Portilla Eugenia </t>
  </si>
  <si>
    <t>Antay Quispe Fernandina</t>
  </si>
  <si>
    <t>Antonia Centeno Delgado</t>
  </si>
  <si>
    <t>Anyosa Ramos Rosa Elvira</t>
  </si>
  <si>
    <t>Apaza Guzmán Juana</t>
  </si>
  <si>
    <t>Aquiles Torres Barros</t>
  </si>
  <si>
    <t>Aquino Tumialan Rubén</t>
  </si>
  <si>
    <t xml:space="preserve">Aquino Valerio Flor </t>
  </si>
  <si>
    <t>Arana Carhuanambo Carmen</t>
  </si>
  <si>
    <t>Arana Rubio Elsa</t>
  </si>
  <si>
    <t>Aranda Cabrera Margarita</t>
  </si>
  <si>
    <t>Arbaiza Luna De Laurente Irma</t>
  </si>
  <si>
    <t>Arce Aspilcueta Javier</t>
  </si>
  <si>
    <t>Arce Chinchay Mercedes Sofía</t>
  </si>
  <si>
    <t>Ardiles Alvarado Víctor Hugo</t>
  </si>
  <si>
    <t>Áreas Núñez Pedro</t>
  </si>
  <si>
    <t>Arellano Acuna Miguel</t>
  </si>
  <si>
    <t>Arellano Aquino Lucas</t>
  </si>
  <si>
    <t>Arellano Cachagua Irene</t>
  </si>
  <si>
    <t>Arévalo Rodríguez Elvira</t>
  </si>
  <si>
    <t>Argote Campos Vilma</t>
  </si>
  <si>
    <t>Arguedas Paredes Mónica</t>
  </si>
  <si>
    <t>Arias Flores Lucia</t>
  </si>
  <si>
    <t>Arista De Silva Lucia</t>
  </si>
  <si>
    <t>Arístides Canto Tunqui</t>
  </si>
  <si>
    <t>Ariza Ariza Challe</t>
  </si>
  <si>
    <t>Armas Salazar Gerardo</t>
  </si>
  <si>
    <t>Armas Valentín Augusto</t>
  </si>
  <si>
    <t>Armijo Rodríguez Nila</t>
  </si>
  <si>
    <t>Arone Pérez Cristina</t>
  </si>
  <si>
    <t>Arones Villantoy De Polo Rosa</t>
  </si>
  <si>
    <t>Arpita Pérez Luis</t>
  </si>
  <si>
    <t>Arredondo Gavilán Martha</t>
  </si>
  <si>
    <t>Arroyo Juscamayta Delia</t>
  </si>
  <si>
    <t>Arroyo Ramírez Cecilia</t>
  </si>
  <si>
    <t>Arteaga Serafina María</t>
  </si>
  <si>
    <t>PATERNO</t>
  </si>
  <si>
    <t>MATERNO</t>
  </si>
  <si>
    <t>NOMBRES</t>
  </si>
  <si>
    <t>EDAD</t>
  </si>
  <si>
    <t>OCUPACION</t>
  </si>
  <si>
    <t>DISTRITO</t>
  </si>
  <si>
    <t>BASICO</t>
  </si>
  <si>
    <t>BONIFICACION</t>
  </si>
  <si>
    <t>DESCUENTO</t>
  </si>
  <si>
    <t>SUELDO</t>
  </si>
  <si>
    <t xml:space="preserve">Mostrar a todos aquellos trabajadores de sexo Masculino </t>
  </si>
  <si>
    <t xml:space="preserve">Mostrar a todos aquellos trabajadores que tengan Ocupacion Administrador o Contador </t>
  </si>
  <si>
    <t>Mostrar a todos aquellos trabajadores varones que vivan en "La Molina"</t>
  </si>
  <si>
    <t>Mostrar a todos aquellos trabajadores de sexo Femenino que vivan en "La Molina" o "Jesus Maria" o "Surquillo"</t>
  </si>
  <si>
    <t>ALBINO</t>
  </si>
  <si>
    <t>FLORES</t>
  </si>
  <si>
    <t>FEDOR</t>
  </si>
  <si>
    <t>CONTADOR</t>
  </si>
  <si>
    <t>BREÑA</t>
  </si>
  <si>
    <t>que sean mayores a 20 años Y menores a 30 años</t>
  </si>
  <si>
    <t>cuyo Sueldo exceda los 2000 Y menor a 3500</t>
  </si>
  <si>
    <t>ALVA</t>
  </si>
  <si>
    <t>LLOSA</t>
  </si>
  <si>
    <t>NANCY</t>
  </si>
  <si>
    <t>REL. IND.</t>
  </si>
  <si>
    <t>ALVAREZ</t>
  </si>
  <si>
    <t>ACUÑA</t>
  </si>
  <si>
    <t>LUIS</t>
  </si>
  <si>
    <t>ADMINISTRADOR</t>
  </si>
  <si>
    <t>LA MOLINA</t>
  </si>
  <si>
    <t>TABLA CRITERIOS</t>
  </si>
  <si>
    <t>RONDON</t>
  </si>
  <si>
    <t>CARLOS</t>
  </si>
  <si>
    <t>ABOGADO</t>
  </si>
  <si>
    <t>SAN BORJA</t>
  </si>
  <si>
    <t>AMADOR</t>
  </si>
  <si>
    <t>CORDANO</t>
  </si>
  <si>
    <t>LILIANA</t>
  </si>
  <si>
    <t>ANGELES</t>
  </si>
  <si>
    <t>TRELLES</t>
  </si>
  <si>
    <t>MARLA</t>
  </si>
  <si>
    <t>SURQUILLO</t>
  </si>
  <si>
    <t>&gt;2000</t>
  </si>
  <si>
    <t>&lt;3500</t>
  </si>
  <si>
    <t>AVILA</t>
  </si>
  <si>
    <t>JOSE</t>
  </si>
  <si>
    <t>CHORRILLOS</t>
  </si>
  <si>
    <t>JESUS MARIA</t>
  </si>
  <si>
    <t>BALDEÓN</t>
  </si>
  <si>
    <t>BALBOA</t>
  </si>
  <si>
    <t>ELADIO</t>
  </si>
  <si>
    <t>BALVOA</t>
  </si>
  <si>
    <t>CACERES</t>
  </si>
  <si>
    <t>NILFA</t>
  </si>
  <si>
    <t>PROFESOR</t>
  </si>
  <si>
    <t>SAN MARTIN DE PORRES</t>
  </si>
  <si>
    <t>BARBA</t>
  </si>
  <si>
    <t>ANTUNEZ</t>
  </si>
  <si>
    <t>JONAS</t>
  </si>
  <si>
    <t>MARIO</t>
  </si>
  <si>
    <t>CUEVA</t>
  </si>
  <si>
    <t>RUIZ</t>
  </si>
  <si>
    <t>ROSA</t>
  </si>
  <si>
    <t>BARDALES</t>
  </si>
  <si>
    <t>FELICES</t>
  </si>
  <si>
    <t>JUANA</t>
  </si>
  <si>
    <t>OROZCO</t>
  </si>
  <si>
    <t>CASTRO</t>
  </si>
  <si>
    <t>AMELIA</t>
  </si>
  <si>
    <t>MAGDALENA</t>
  </si>
  <si>
    <t>RITA</t>
  </si>
  <si>
    <t>BARRANCO</t>
  </si>
  <si>
    <t>VILLALOBOS</t>
  </si>
  <si>
    <t>PALACIOS</t>
  </si>
  <si>
    <t>SELENE</t>
  </si>
  <si>
    <t>BARTRA</t>
  </si>
  <si>
    <t>PEREZ</t>
  </si>
  <si>
    <t>BRAVO</t>
  </si>
  <si>
    <t>VIGO</t>
  </si>
  <si>
    <t>LUCÍA</t>
  </si>
  <si>
    <t>ING. IND.</t>
  </si>
  <si>
    <t>DEL TRIGO</t>
  </si>
  <si>
    <t>ROBERTO</t>
  </si>
  <si>
    <t>LINCE</t>
  </si>
  <si>
    <t>CARBONEL</t>
  </si>
  <si>
    <t>MENA</t>
  </si>
  <si>
    <t>ALBERTO</t>
  </si>
  <si>
    <t>JORGE</t>
  </si>
  <si>
    <t>CARRASCO</t>
  </si>
  <si>
    <t>SOTO</t>
  </si>
  <si>
    <t>SAN MIGUEL</t>
  </si>
  <si>
    <t>QUISPE</t>
  </si>
  <si>
    <t>ENRIQUETA</t>
  </si>
  <si>
    <t>PSICOLOGO</t>
  </si>
  <si>
    <t>RAMOS</t>
  </si>
  <si>
    <t>ABEL</t>
  </si>
  <si>
    <t>ECONOMISTA</t>
  </si>
  <si>
    <t>LA PERLA</t>
  </si>
  <si>
    <t>COSIO</t>
  </si>
  <si>
    <t>MODENESI</t>
  </si>
  <si>
    <t>DEL CASTILLO</t>
  </si>
  <si>
    <t>CHALCO</t>
  </si>
  <si>
    <t>MANUEL</t>
  </si>
  <si>
    <t>DULUDE</t>
  </si>
  <si>
    <t>REYES</t>
  </si>
  <si>
    <t>EFRAÍN</t>
  </si>
  <si>
    <t>ELEJALDE</t>
  </si>
  <si>
    <t>LEMA</t>
  </si>
  <si>
    <t>CARLA</t>
  </si>
  <si>
    <t>EL CERCADO</t>
  </si>
  <si>
    <t>ZAMBRANO</t>
  </si>
  <si>
    <t>LUCRECIA</t>
  </si>
  <si>
    <t>SAN ISIDRO</t>
  </si>
  <si>
    <t>FRIAS</t>
  </si>
  <si>
    <t>LEYVA</t>
  </si>
  <si>
    <t>PABLO</t>
  </si>
  <si>
    <t>ANA</t>
  </si>
  <si>
    <t>FUENTES</t>
  </si>
  <si>
    <t>BERROCAL</t>
  </si>
  <si>
    <t>ANASTASIA</t>
  </si>
  <si>
    <t>GARCIA</t>
  </si>
  <si>
    <t>HUERTAS</t>
  </si>
  <si>
    <t>GUEVARA</t>
  </si>
  <si>
    <t>MOYA</t>
  </si>
  <si>
    <t>MARTHA</t>
  </si>
  <si>
    <t>HERBOZO</t>
  </si>
  <si>
    <t>HUAMAN</t>
  </si>
  <si>
    <t>ANGEL</t>
  </si>
  <si>
    <t>SEGUNDO</t>
  </si>
  <si>
    <t>KUNT</t>
  </si>
  <si>
    <t>BRESCIA</t>
  </si>
  <si>
    <t>MARCIA</t>
  </si>
  <si>
    <t>LAMAS</t>
  </si>
  <si>
    <t>SILVIA</t>
  </si>
  <si>
    <t>SURCO</t>
  </si>
  <si>
    <t>ANDREA</t>
  </si>
  <si>
    <t>PUEBLO LIBRE</t>
  </si>
  <si>
    <t>RISCO</t>
  </si>
  <si>
    <t>CECILIA</t>
  </si>
  <si>
    <t>LOBATON</t>
  </si>
  <si>
    <t>JULIA</t>
  </si>
  <si>
    <t>LOPEZ</t>
  </si>
  <si>
    <t>ANTONELLA</t>
  </si>
  <si>
    <t>LUNA</t>
  </si>
  <si>
    <t>ROSAS</t>
  </si>
  <si>
    <t>MALATESTA</t>
  </si>
  <si>
    <t>MEDRANO</t>
  </si>
  <si>
    <t>SOLEDAD</t>
  </si>
  <si>
    <t>JOSÉ</t>
  </si>
  <si>
    <t>MONDRAGÓN</t>
  </si>
  <si>
    <t>GUILLERMO</t>
  </si>
  <si>
    <t>OBREGÓN</t>
  </si>
  <si>
    <t>BU</t>
  </si>
  <si>
    <t>GINA</t>
  </si>
  <si>
    <t>OTOYA</t>
  </si>
  <si>
    <t>SICCHA</t>
  </si>
  <si>
    <t>EVA</t>
  </si>
  <si>
    <t>PAJARES</t>
  </si>
  <si>
    <t>PEÑA</t>
  </si>
  <si>
    <t>ALDO</t>
  </si>
  <si>
    <t>PANA</t>
  </si>
  <si>
    <t>DELLEPIANE</t>
  </si>
  <si>
    <t>CÉSAR</t>
  </si>
  <si>
    <t>RIGOBERTO</t>
  </si>
  <si>
    <t>PIZARRO</t>
  </si>
  <si>
    <t>EDUARDO</t>
  </si>
  <si>
    <t>TERESA</t>
  </si>
  <si>
    <t>RENTERIA</t>
  </si>
  <si>
    <t>FRESIA</t>
  </si>
  <si>
    <t>ATE</t>
  </si>
  <si>
    <t>EFRAIN</t>
  </si>
  <si>
    <t>SABINO</t>
  </si>
  <si>
    <t>RUEDA</t>
  </si>
  <si>
    <t>SANDRA</t>
  </si>
  <si>
    <t>RUESTA</t>
  </si>
  <si>
    <t>ROCÍO</t>
  </si>
  <si>
    <t>SALAZAR</t>
  </si>
  <si>
    <t>ARIAS</t>
  </si>
  <si>
    <t>ERNESTO</t>
  </si>
  <si>
    <t>SEBASTIANI</t>
  </si>
  <si>
    <t>LUZ</t>
  </si>
  <si>
    <t>TICONA</t>
  </si>
  <si>
    <t>AROSEMENA</t>
  </si>
  <si>
    <t>ELENA</t>
  </si>
  <si>
    <t>VIGIL</t>
  </si>
  <si>
    <t>OSWALDO</t>
  </si>
  <si>
    <t>TRENT</t>
  </si>
  <si>
    <t>JUAN</t>
  </si>
  <si>
    <t>TREVIÑO</t>
  </si>
  <si>
    <t>QUEVEDO</t>
  </si>
  <si>
    <t>ULLOA</t>
  </si>
  <si>
    <t>NICOLÁS</t>
  </si>
  <si>
    <t>VALENCIA</t>
  </si>
  <si>
    <t>FACUNDO</t>
  </si>
  <si>
    <t>VASCO</t>
  </si>
  <si>
    <t>ORESTES</t>
  </si>
  <si>
    <t>VELAZCO</t>
  </si>
  <si>
    <t>VIDAURRE</t>
  </si>
  <si>
    <t>FERNANDO</t>
  </si>
  <si>
    <t>ELEUTERIO</t>
  </si>
  <si>
    <t>PERLA</t>
  </si>
  <si>
    <t>ZORRO</t>
  </si>
  <si>
    <t>SALAS</t>
  </si>
  <si>
    <t>ROSARIO</t>
  </si>
  <si>
    <t>ZUTA</t>
  </si>
  <si>
    <t>MADIEL</t>
  </si>
  <si>
    <t>PROFESION</t>
  </si>
  <si>
    <t>SAN MARTÍN DE PORRES</t>
  </si>
  <si>
    <t>FUNCION FILTRAR CON 1 CRITERIO</t>
  </si>
  <si>
    <t>FUNCION FILTRAR CON 2 A MAS CRITERIOS</t>
  </si>
  <si>
    <t>FUNCION FILTRAR CON 2 A MAS CRITERIOS + ORDENACION</t>
  </si>
  <si>
    <t>NETO</t>
  </si>
  <si>
    <t>{"hash":"bef24a81ae19a47e5e36239f028047a9c72f66b6ccfece7327d5f173ef2d574c","version":1,"value":"[[\"Input: Convertir a texto format.\"]]"}</t>
  </si>
  <si>
    <t>{"hash":"22826dcec41313ae5849af2c2625faa0b11e97782d327d1c1d2c84a9b14a523f","version":1,"value":"[[\"Treinta y cuatro mil\"]]"}</t>
  </si>
  <si>
    <t>{"hash":"43329e4d3e66b2d0e67043ccb4a76d3c0a086f12c9cfc8e53857b991215f6caa","version":1,"value":"[[\"1971-02-14\"]]"}</t>
  </si>
  <si>
    <t>{"hash":"d129652a44515994cacf65cdc216267e7522765c8c5cc5acd926941a197675f8","version":1,"value":"[[\"Treinta y cinco mil setecientos ochenta y cuatro.\"]]"}</t>
  </si>
  <si>
    <t>{"hash":"3c89b665534f1a9aa7d343ea1a9909c224daec0e7fb9e1ffb509711ca57e20f9","version":1,"value":"[[\"34,000\"]]"}</t>
  </si>
  <si>
    <t>{"hash":"284ecfba4fe853622df7c58d6cdb9c3e66587c4984674472ef0422cae6b464c1","version":1,"value":"[[\"Doscientos\"]]"}</t>
  </si>
  <si>
    <t>&gt;20</t>
  </si>
  <si>
    <t>&lt;30</t>
  </si>
  <si>
    <t>Codigo</t>
  </si>
  <si>
    <t>Producto 01</t>
  </si>
  <si>
    <t>Producto 02</t>
  </si>
  <si>
    <t>Producto 03</t>
  </si>
  <si>
    <t>Producto 04</t>
  </si>
  <si>
    <t>Producto 05</t>
  </si>
  <si>
    <t>Producto 06</t>
  </si>
  <si>
    <t>Producto 07</t>
  </si>
  <si>
    <t>Producto 08</t>
  </si>
  <si>
    <t>Producto 09</t>
  </si>
  <si>
    <t>Producto 10</t>
  </si>
  <si>
    <t>Producto 11</t>
  </si>
  <si>
    <t>Valor (S/)</t>
  </si>
  <si>
    <t>Tres digitos iniciales</t>
  </si>
  <si>
    <t>Seis degitos restantes</t>
  </si>
  <si>
    <t>??? Categoria</t>
  </si>
  <si>
    <t>?????? Producto</t>
  </si>
  <si>
    <t>Codigo categoria</t>
  </si>
  <si>
    <t>Total venta (S/)</t>
  </si>
  <si>
    <t>Función SUMAPRODUCTO</t>
  </si>
  <si>
    <t>Importe (S/)</t>
  </si>
  <si>
    <t>Precio Unit. (S/)</t>
  </si>
  <si>
    <t>Sumaproducto:</t>
  </si>
  <si>
    <t>Producto A</t>
  </si>
  <si>
    <t>Producto B</t>
  </si>
  <si>
    <t>Producto C</t>
  </si>
  <si>
    <t>Producto D</t>
  </si>
  <si>
    <t>Número</t>
  </si>
  <si>
    <t>Poner nombre a un rango: Ir a fómulas-&gt;Nombres definidos-&gt;Administrador de nombres</t>
  </si>
  <si>
    <t>CONTAR.BLANCO</t>
  </si>
  <si>
    <t xml:space="preserve"> </t>
  </si>
  <si>
    <t>MATRIAZ ALEATORIO</t>
  </si>
  <si>
    <t>EJEMPLO:</t>
  </si>
  <si>
    <t>EMPRESA: PEPITO SAC</t>
  </si>
  <si>
    <t>UNID. TRANSPORTES: 16 PERSONAS</t>
  </si>
  <si>
    <t>EMPRESA 1</t>
  </si>
  <si>
    <t>EMPRESA 2</t>
  </si>
  <si>
    <t>EMPRESA 3</t>
  </si>
  <si>
    <t>EMPRESA 4</t>
  </si>
  <si>
    <t>CANT. PERSONAL</t>
  </si>
  <si>
    <t xml:space="preserve">EJEMPLO: </t>
  </si>
  <si>
    <t>PROMEDIO:</t>
  </si>
  <si>
    <t>SUMA:</t>
  </si>
  <si>
    <t xml:space="preserve">MINIMO: </t>
  </si>
  <si>
    <t>3 MEJORES NOTAS:</t>
  </si>
  <si>
    <t>Repostería</t>
  </si>
  <si>
    <t>Cúantas veces se repiten bebidas o reposteria</t>
  </si>
  <si>
    <t>Buscar de manera vertical</t>
  </si>
  <si>
    <t>Buscar de manera Horizaontal</t>
  </si>
  <si>
    <t>Está formulado a columnas independientes en el formato de tablas simplemente se desplazan</t>
  </si>
  <si>
    <t>Ir a Datos-&gt;Ordenar y filtrar-&gt;Avanzadas</t>
  </si>
  <si>
    <t>Otra forma es por medio de una macro:</t>
  </si>
  <si>
    <t>&gt;25</t>
  </si>
  <si>
    <t>1. Ir a Programador-&gt;Grabar macro.</t>
  </si>
  <si>
    <t>2.  Ir datos-&gt;Ordenar y filtrar-&gt;Avanzadas</t>
  </si>
  <si>
    <t>SEXO:</t>
  </si>
  <si>
    <t>FUNCION: ELEGIRCOLS()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</si>
</sst>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3" formatCode="_-* #,##0.00_-;\-* #,##0.00_-;_-* &quot;-&quot;??_-;_-@_-"/>
    <numFmt numFmtId="164" formatCode="_ * #,##0.00_ ;_ * \-#,##0.00_ ;_ * &quot;-&quot;??_ ;_ @_ "/>
    <numFmt numFmtId="165" formatCode="&quot;S/&quot;\ #,##0.00"/>
    <numFmt numFmtId="166" formatCode="_ * #,##0_ ;_ * \-#,##0_ ;_ * &quot;-&quot;??_ ;_ @_ "/>
    <numFmt numFmtId="167" formatCode="0.0000"/>
    <numFmt numFmtId="168" formatCode="0.000"/>
    <numFmt numFmtId="169" formatCode="_(&quot;S/.&quot;\ * #,##0.00_);_(&quot;S/.&quot;\ * \(#,##0.00\);_(&quot;S/.&quot;\ * &quot;-&quot;??_);_(@_)"/>
    <numFmt numFmtId="170" formatCode="_(&quot;S/.&quot;\ * #,##0_);_(&quot;S/.&quot;\ * \(#,##0\);_(&quot;S/.&quot;\ * &quot;-&quot;??_);_(@_)"/>
    <numFmt numFmtId="171" formatCode="0000000"/>
    <numFmt numFmtId="172" formatCode="0.0"/>
    <numFmt numFmtId="173" formatCode="#,##0.0_ ;\-#,##0.0\ "/>
    <numFmt numFmtId="174" formatCode="_-* #,##0_-;\-* #,##0_-;_-* &quot;-&quot;??_-;_-@_-"/>
    <numFmt numFmtId="175" formatCode="&quot;S/&quot;\ #,##0.0;\-&quot;S/&quot;\ #,##0.0"/>
    <numFmt numFmtId="176" formatCode="0.000000000000"/>
  </numFmts>
  <fonts count="98"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b/>
      <sz val="10"/>
      <color theme="0"/>
      <name val="Arial"/>
      <family val="2"/>
    </font>
    <font>
      <sz val="10"/>
      <color indexed="12"/>
      <name val="Arial"/>
      <family val="2"/>
    </font>
    <font>
      <b/>
      <sz val="10"/>
      <name val="Arial"/>
      <family val="2"/>
    </font>
    <font>
      <b/>
      <i/>
      <sz val="10"/>
      <name val="Arial"/>
      <family val="2"/>
    </font>
    <font>
      <b/>
      <sz val="8"/>
      <name val="Arial"/>
      <family val="2"/>
    </font>
    <font>
      <sz val="8"/>
      <color theme="1"/>
      <name val="Calibri"/>
      <family val="2"/>
      <scheme val="minor"/>
    </font>
    <font>
      <sz val="8"/>
      <name val="Arial"/>
      <family val="2"/>
    </font>
    <font>
      <b/>
      <sz val="10"/>
      <color indexed="10"/>
      <name val="Arial"/>
      <family val="2"/>
    </font>
    <font>
      <sz val="8"/>
      <color indexed="81"/>
      <name val="Tahoma"/>
      <family val="2"/>
    </font>
    <font>
      <b/>
      <sz val="18"/>
      <name val="Arial"/>
      <family val="2"/>
    </font>
    <font>
      <b/>
      <sz val="14"/>
      <color indexed="9"/>
      <name val="Times New Roman"/>
      <family val="1"/>
    </font>
    <font>
      <b/>
      <i/>
      <sz val="10"/>
      <name val="Times New Roman"/>
      <family val="1"/>
    </font>
    <font>
      <b/>
      <sz val="10"/>
      <color indexed="10"/>
      <name val="Times New Roman"/>
      <family val="1"/>
    </font>
    <font>
      <sz val="10"/>
      <color indexed="10"/>
      <name val="Times New Roman"/>
      <family val="1"/>
    </font>
    <font>
      <sz val="10"/>
      <name val="Times New Roman"/>
      <family val="1"/>
    </font>
    <font>
      <sz val="10"/>
      <color rgb="FF0000FF"/>
      <name val="Arial"/>
      <family val="2"/>
    </font>
    <font>
      <b/>
      <sz val="10"/>
      <color rgb="FF002060"/>
      <name val="Arial"/>
      <family val="2"/>
    </font>
    <font>
      <b/>
      <sz val="10"/>
      <color rgb="FF0000FF"/>
      <name val="Arial"/>
      <family val="2"/>
    </font>
    <font>
      <b/>
      <sz val="12"/>
      <color rgb="FF0000FF"/>
      <name val="Arial"/>
      <family val="2"/>
    </font>
    <font>
      <b/>
      <sz val="12"/>
      <color rgb="FF454545"/>
      <name val="Arial"/>
      <family val="2"/>
    </font>
    <font>
      <sz val="10"/>
      <color rgb="FF454545"/>
      <name val="Arial"/>
      <family val="2"/>
    </font>
    <font>
      <b/>
      <sz val="10"/>
      <color rgb="FF454545"/>
      <name val="Arial"/>
      <family val="2"/>
    </font>
    <font>
      <b/>
      <sz val="8"/>
      <color rgb="FF454545"/>
      <name val="Arial"/>
      <family val="2"/>
    </font>
    <font>
      <sz val="9.1999999999999993"/>
      <color rgb="FF454545"/>
      <name val="Arial"/>
      <family val="2"/>
    </font>
    <font>
      <b/>
      <sz val="8"/>
      <color indexed="10"/>
      <name val="Arial"/>
      <family val="2"/>
    </font>
    <font>
      <b/>
      <sz val="8"/>
      <color indexed="62"/>
      <name val="Arial"/>
      <family val="2"/>
    </font>
    <font>
      <b/>
      <sz val="8"/>
      <color indexed="18"/>
      <name val="Arial"/>
      <family val="2"/>
    </font>
    <font>
      <b/>
      <sz val="9"/>
      <color theme="3" tint="0.39997558519241921"/>
      <name val="Calibri"/>
      <family val="2"/>
      <scheme val="minor"/>
    </font>
    <font>
      <b/>
      <sz val="14"/>
      <color indexed="9"/>
      <name val="Arial"/>
      <family val="2"/>
    </font>
    <font>
      <b/>
      <sz val="11"/>
      <color rgb="FF484848"/>
      <name val="Arial"/>
      <family val="2"/>
    </font>
    <font>
      <sz val="11"/>
      <color rgb="FF484848"/>
      <name val="Arial"/>
      <family val="2"/>
    </font>
    <font>
      <b/>
      <sz val="10"/>
      <color rgb="FFC00000"/>
      <name val="Arial"/>
      <family val="2"/>
    </font>
    <font>
      <b/>
      <sz val="11"/>
      <color theme="4"/>
      <name val="Calibri"/>
      <family val="2"/>
      <scheme val="minor"/>
    </font>
    <font>
      <sz val="11"/>
      <color rgb="FFC00000"/>
      <name val="Calibri"/>
      <family val="2"/>
      <scheme val="minor"/>
    </font>
    <font>
      <sz val="11"/>
      <color theme="7"/>
      <name val="Calibri"/>
      <family val="2"/>
      <scheme val="minor"/>
    </font>
    <font>
      <b/>
      <sz val="11"/>
      <color rgb="FF484848"/>
      <name val="Calibri"/>
      <family val="2"/>
      <scheme val="minor"/>
    </font>
    <font>
      <sz val="11"/>
      <color rgb="FF484848"/>
      <name val="Calibri"/>
      <family val="2"/>
      <scheme val="minor"/>
    </font>
    <font>
      <b/>
      <sz val="11"/>
      <color theme="7"/>
      <name val="Calibri"/>
      <family val="2"/>
      <scheme val="minor"/>
    </font>
    <font>
      <b/>
      <sz val="11"/>
      <color rgb="FFC00000"/>
      <name val="Calibri"/>
      <family val="2"/>
      <scheme val="minor"/>
    </font>
    <font>
      <sz val="11"/>
      <color theme="3" tint="0.39997558519241921"/>
      <name val="Calibri"/>
      <family val="2"/>
      <scheme val="minor"/>
    </font>
    <font>
      <sz val="11"/>
      <color theme="4"/>
      <name val="Calibri"/>
      <family val="2"/>
      <scheme val="minor"/>
    </font>
    <font>
      <b/>
      <sz val="10"/>
      <color theme="6"/>
      <name val="Arial"/>
      <family val="2"/>
    </font>
    <font>
      <b/>
      <sz val="10"/>
      <color theme="6" tint="-0.249977111117893"/>
      <name val="Arial"/>
      <family val="2"/>
    </font>
    <font>
      <b/>
      <sz val="10"/>
      <color theme="3" tint="0.79998168889431442"/>
      <name val="Arial"/>
      <family val="2"/>
    </font>
    <font>
      <b/>
      <sz val="10"/>
      <color theme="3" tint="0.39997558519241921"/>
      <name val="Arial"/>
      <family val="2"/>
    </font>
    <font>
      <b/>
      <sz val="11"/>
      <color theme="6"/>
      <name val="Calibri"/>
      <family val="2"/>
      <scheme val="minor"/>
    </font>
    <font>
      <b/>
      <sz val="11"/>
      <color theme="6" tint="-0.249977111117893"/>
      <name val="Calibri"/>
      <family val="2"/>
      <scheme val="minor"/>
    </font>
    <font>
      <b/>
      <sz val="11"/>
      <color theme="3" tint="0.79998168889431442"/>
      <name val="Calibri"/>
      <family val="2"/>
      <scheme val="minor"/>
    </font>
    <font>
      <b/>
      <sz val="11"/>
      <color theme="3" tint="0.39997558519241921"/>
      <name val="Calibri"/>
      <family val="2"/>
      <scheme val="minor"/>
    </font>
    <font>
      <b/>
      <sz val="10"/>
      <color theme="6" tint="-0.499984740745262"/>
      <name val="Arial"/>
      <family val="2"/>
    </font>
    <font>
      <b/>
      <sz val="11"/>
      <color theme="6" tint="-0.499984740745262"/>
      <name val="Calibri"/>
      <family val="2"/>
      <scheme val="minor"/>
    </font>
    <font>
      <b/>
      <sz val="11"/>
      <color rgb="FFFF0000"/>
      <name val="Calibri"/>
      <family val="2"/>
      <scheme val="minor"/>
    </font>
    <font>
      <b/>
      <sz val="10"/>
      <color theme="4"/>
      <name val="Arial"/>
      <family val="2"/>
    </font>
    <font>
      <b/>
      <sz val="10"/>
      <color theme="4" tint="-0.249977111117893"/>
      <name val="Arial"/>
      <family val="2"/>
    </font>
    <font>
      <b/>
      <sz val="11"/>
      <color theme="4" tint="-0.249977111117893"/>
      <name val="Calibri"/>
      <family val="2"/>
      <scheme val="minor"/>
    </font>
    <font>
      <b/>
      <sz val="10"/>
      <color theme="7" tint="0.39997558519241921"/>
      <name val="Arial"/>
      <family val="2"/>
    </font>
    <font>
      <b/>
      <sz val="11"/>
      <color theme="7" tint="0.39997558519241921"/>
      <name val="Calibri"/>
      <family val="2"/>
      <scheme val="minor"/>
    </font>
    <font>
      <b/>
      <sz val="8"/>
      <color theme="3"/>
      <name val="Arial"/>
      <family val="2"/>
    </font>
    <font>
      <sz val="8"/>
      <color rgb="FFC00000"/>
      <name val="Arial"/>
      <family val="2"/>
    </font>
    <font>
      <b/>
      <sz val="8"/>
      <color indexed="9"/>
      <name val="Tahoma"/>
      <family val="2"/>
    </font>
    <font>
      <sz val="8"/>
      <color indexed="9"/>
      <name val="Tahoma"/>
      <family val="2"/>
    </font>
    <font>
      <b/>
      <sz val="11"/>
      <color indexed="81"/>
      <name val="Tahoma"/>
      <family val="2"/>
    </font>
    <font>
      <sz val="10"/>
      <color theme="1"/>
      <name val="Calibri"/>
      <family val="2"/>
      <scheme val="minor"/>
    </font>
    <font>
      <b/>
      <sz val="10"/>
      <color theme="0"/>
      <name val="Calibri"/>
      <family val="2"/>
      <scheme val="minor"/>
    </font>
    <font>
      <b/>
      <sz val="10"/>
      <color theme="1"/>
      <name val="Calibri"/>
      <family val="2"/>
      <scheme val="minor"/>
    </font>
    <font>
      <sz val="10"/>
      <name val="Calibri"/>
      <family val="2"/>
      <scheme val="minor"/>
    </font>
    <font>
      <b/>
      <u/>
      <sz val="10"/>
      <color theme="1"/>
      <name val="Calibri"/>
      <family val="2"/>
      <scheme val="minor"/>
    </font>
    <font>
      <b/>
      <i/>
      <sz val="10"/>
      <color indexed="9"/>
      <name val="Calibri"/>
      <family val="2"/>
      <scheme val="minor"/>
    </font>
    <font>
      <b/>
      <sz val="10"/>
      <color rgb="FFFF0000"/>
      <name val="Calibri"/>
      <family val="2"/>
      <scheme val="minor"/>
    </font>
    <font>
      <sz val="10"/>
      <color rgb="FF0070C0"/>
      <name val="Calibri"/>
      <family val="2"/>
      <scheme val="minor"/>
    </font>
    <font>
      <b/>
      <sz val="10"/>
      <color rgb="FF0070C0"/>
      <name val="Calibri"/>
      <family val="2"/>
      <scheme val="minor"/>
    </font>
    <font>
      <b/>
      <sz val="10"/>
      <name val="Calibri"/>
      <family val="2"/>
      <scheme val="minor"/>
    </font>
    <font>
      <b/>
      <sz val="10"/>
      <color indexed="9"/>
      <name val="Calibri"/>
      <family val="2"/>
      <scheme val="minor"/>
    </font>
    <font>
      <b/>
      <sz val="10"/>
      <color indexed="51"/>
      <name val="Calibri"/>
      <family val="2"/>
      <scheme val="minor"/>
    </font>
    <font>
      <b/>
      <sz val="10"/>
      <color theme="7" tint="-0.249977111117893"/>
      <name val="Calibri"/>
      <family val="2"/>
      <scheme val="minor"/>
    </font>
    <font>
      <b/>
      <sz val="10"/>
      <color indexed="41"/>
      <name val="Calibri"/>
      <family val="2"/>
      <scheme val="minor"/>
    </font>
    <font>
      <b/>
      <u/>
      <sz val="10"/>
      <name val="Calibri"/>
      <family val="2"/>
      <scheme val="minor"/>
    </font>
    <font>
      <b/>
      <sz val="10"/>
      <color indexed="10"/>
      <name val="Calibri"/>
      <family val="2"/>
      <scheme val="minor"/>
    </font>
    <font>
      <b/>
      <u/>
      <sz val="10"/>
      <color indexed="10"/>
      <name val="Calibri"/>
      <family val="2"/>
      <scheme val="minor"/>
    </font>
    <font>
      <sz val="10"/>
      <color theme="1"/>
      <name val="Arial"/>
      <family val="2"/>
    </font>
    <font>
      <u/>
      <sz val="11"/>
      <color theme="10"/>
      <name val="Calibri"/>
      <family val="2"/>
      <scheme val="minor"/>
    </font>
    <font>
      <b/>
      <sz val="14"/>
      <color theme="1"/>
      <name val="Calibri"/>
      <family val="2"/>
      <scheme val="minor"/>
    </font>
    <font>
      <b/>
      <sz val="14"/>
      <name val="Calibri"/>
      <family val="2"/>
      <scheme val="minor"/>
    </font>
    <font>
      <b/>
      <sz val="8"/>
      <color theme="0"/>
      <name val="Calibri"/>
      <family val="2"/>
      <scheme val="minor"/>
    </font>
    <font>
      <b/>
      <sz val="16"/>
      <color theme="1"/>
      <name val="Calibri"/>
      <family val="2"/>
      <scheme val="minor"/>
    </font>
    <font>
      <b/>
      <sz val="11"/>
      <name val="Calibri"/>
      <family val="2"/>
      <scheme val="minor"/>
    </font>
    <font>
      <sz val="8"/>
      <name val="Calibri"/>
      <family val="2"/>
      <scheme val="minor"/>
    </font>
    <font>
      <b/>
      <sz val="11"/>
      <color rgb="FF0000FF"/>
      <name val="Arial"/>
      <family val="2"/>
    </font>
    <font>
      <b/>
      <sz val="11"/>
      <color theme="0"/>
      <name val="Calibri"/>
      <family val="2"/>
    </font>
    <font>
      <sz val="11"/>
      <color theme="0"/>
      <name val="Calibri"/>
      <family val="2"/>
    </font>
    <font>
      <b/>
      <sz val="11"/>
      <color theme="0"/>
      <name val="Calibri"/>
      <family val="2"/>
      <scheme val="minor"/>
    </font>
    <font>
      <b/>
      <sz val="8"/>
      <color theme="1"/>
      <name val="Calibri"/>
      <family val="2"/>
      <scheme val="minor"/>
    </font>
  </fonts>
  <fills count="33">
    <fill>
      <patternFill patternType="none"/>
    </fill>
    <fill>
      <patternFill patternType="gray125"/>
    </fill>
    <fill>
      <patternFill patternType="solid">
        <fgColor theme="9"/>
      </patternFill>
    </fill>
    <fill>
      <patternFill patternType="solid">
        <fgColor indexed="43"/>
        <bgColor indexed="64"/>
      </patternFill>
    </fill>
    <fill>
      <patternFill patternType="solid">
        <fgColor indexed="42"/>
        <bgColor indexed="64"/>
      </patternFill>
    </fill>
    <fill>
      <patternFill patternType="solid">
        <fgColor rgb="FFFFFF00"/>
        <bgColor indexed="64"/>
      </patternFill>
    </fill>
    <fill>
      <patternFill patternType="solid">
        <fgColor indexed="41"/>
        <bgColor indexed="64"/>
      </patternFill>
    </fill>
    <fill>
      <patternFill patternType="solid">
        <fgColor indexed="13"/>
        <bgColor indexed="64"/>
      </patternFill>
    </fill>
    <fill>
      <patternFill patternType="solid">
        <fgColor indexed="62"/>
        <bgColor indexed="64"/>
      </patternFill>
    </fill>
    <fill>
      <patternFill patternType="solid">
        <fgColor rgb="FFFFFFFF"/>
        <bgColor indexed="64"/>
      </patternFill>
    </fill>
    <fill>
      <patternFill patternType="solid">
        <fgColor rgb="FFF3F3F3"/>
        <bgColor indexed="64"/>
      </patternFill>
    </fill>
    <fill>
      <patternFill patternType="solid">
        <fgColor theme="0" tint="-4.9989318521683403E-2"/>
        <bgColor indexed="64"/>
      </patternFill>
    </fill>
    <fill>
      <patternFill patternType="solid">
        <fgColor theme="0"/>
        <bgColor indexed="64"/>
      </patternFill>
    </fill>
    <fill>
      <patternFill patternType="solid">
        <fgColor rgb="FFD8D8D8"/>
        <bgColor indexed="64"/>
      </patternFill>
    </fill>
    <fill>
      <patternFill patternType="solid">
        <fgColor indexed="40"/>
        <bgColor indexed="64"/>
      </patternFill>
    </fill>
    <fill>
      <patternFill patternType="solid">
        <fgColor indexed="18"/>
        <bgColor indexed="64"/>
      </patternFill>
    </fill>
    <fill>
      <patternFill patternType="solid">
        <fgColor theme="3" tint="0.79998168889431442"/>
        <bgColor indexed="64"/>
      </patternFill>
    </fill>
    <fill>
      <patternFill patternType="solid">
        <fgColor rgb="FF7030A0"/>
        <bgColor indexed="64"/>
      </patternFill>
    </fill>
    <fill>
      <patternFill patternType="solid">
        <fgColor indexed="12"/>
        <bgColor indexed="64"/>
      </patternFill>
    </fill>
    <fill>
      <patternFill patternType="solid">
        <fgColor theme="9"/>
        <bgColor indexed="64"/>
      </patternFill>
    </fill>
    <fill>
      <patternFill patternType="solid">
        <fgColor rgb="FF0070C0"/>
        <bgColor indexed="64"/>
      </patternFill>
    </fill>
    <fill>
      <patternFill patternType="solid">
        <fgColor rgb="FF70AD47"/>
        <bgColor indexed="64"/>
      </patternFill>
    </fill>
    <fill>
      <patternFill patternType="solid">
        <fgColor theme="4" tint="-0.499984740745262"/>
        <bgColor indexed="64"/>
      </patternFill>
    </fill>
    <fill>
      <patternFill patternType="solid">
        <fgColor theme="5" tint="0.79998168889431442"/>
        <bgColor indexed="64"/>
      </patternFill>
    </fill>
    <fill>
      <patternFill patternType="solid">
        <fgColor theme="4"/>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4"/>
      </patternFill>
    </fill>
    <fill>
      <patternFill patternType="solid">
        <fgColor theme="9" tint="0.79998168889431442"/>
        <bgColor indexed="64"/>
      </patternFill>
    </fill>
    <fill>
      <patternFill patternType="solid">
        <fgColor theme="8" tint="-0.499984740745262"/>
        <bgColor indexed="64"/>
      </patternFill>
    </fill>
    <fill>
      <patternFill patternType="solid">
        <fgColor theme="8" tint="0.79998168889431442"/>
        <bgColor indexed="64"/>
      </patternFill>
    </fill>
    <fill>
      <patternFill patternType="solid">
        <fgColor rgb="FF92D050"/>
        <bgColor indexed="64"/>
      </patternFill>
    </fill>
    <fill>
      <patternFill patternType="solid">
        <fgColor rgb="FF00206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rgb="FF7030A0"/>
      </left>
      <right style="thin">
        <color rgb="FF7030A0"/>
      </right>
      <top style="thin">
        <color rgb="FF7030A0"/>
      </top>
      <bottom style="thin">
        <color rgb="FF7030A0"/>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22"/>
      </bottom>
      <diagonal/>
    </border>
    <border>
      <left style="medium">
        <color indexed="64"/>
      </left>
      <right style="medium">
        <color indexed="64"/>
      </right>
      <top style="thin">
        <color indexed="22"/>
      </top>
      <bottom style="thin">
        <color indexed="22"/>
      </bottom>
      <diagonal/>
    </border>
    <border>
      <left style="medium">
        <color indexed="64"/>
      </left>
      <right style="medium">
        <color indexed="64"/>
      </right>
      <top style="thin">
        <color indexed="22"/>
      </top>
      <bottom style="medium">
        <color indexed="64"/>
      </bottom>
      <diagonal/>
    </border>
    <border>
      <left style="thin">
        <color indexed="22"/>
      </left>
      <right style="thin">
        <color indexed="22"/>
      </right>
      <top style="thin">
        <color indexed="22"/>
      </top>
      <bottom style="thin">
        <color indexed="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3" tint="0.39994506668294322"/>
      </left>
      <right/>
      <top/>
      <bottom/>
      <diagonal/>
    </border>
    <border>
      <left/>
      <right/>
      <top/>
      <bottom style="medium">
        <color rgb="FFCCCCCC"/>
      </bottom>
      <diagonal/>
    </border>
    <border>
      <left/>
      <right/>
      <top style="medium">
        <color rgb="FFCCCCCC"/>
      </top>
      <bottom style="medium">
        <color rgb="FFCCCCCC"/>
      </bottom>
      <diagonal/>
    </border>
    <border>
      <left/>
      <right/>
      <top style="medium">
        <color theme="0" tint="-0.24994659260841701"/>
      </top>
      <bottom style="medium">
        <color theme="0" tint="-0.24994659260841701"/>
      </bottom>
      <diagonal/>
    </border>
    <border>
      <left/>
      <right/>
      <top style="medium">
        <color rgb="FFA4A4A4"/>
      </top>
      <bottom/>
      <diagonal/>
    </border>
    <border>
      <left/>
      <right/>
      <top/>
      <bottom style="medium">
        <color rgb="FFA4A4A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ck">
        <color rgb="FF0070C0"/>
      </left>
      <right style="thin">
        <color rgb="FF7030A0"/>
      </right>
      <top style="thick">
        <color rgb="FF0070C0"/>
      </top>
      <bottom style="thin">
        <color rgb="FF7030A0"/>
      </bottom>
      <diagonal/>
    </border>
    <border>
      <left style="thin">
        <color rgb="FF7030A0"/>
      </left>
      <right style="thin">
        <color rgb="FF7030A0"/>
      </right>
      <top style="thick">
        <color rgb="FF0070C0"/>
      </top>
      <bottom style="thin">
        <color rgb="FF7030A0"/>
      </bottom>
      <diagonal/>
    </border>
    <border>
      <left style="thin">
        <color rgb="FF7030A0"/>
      </left>
      <right style="thick">
        <color rgb="FF0070C0"/>
      </right>
      <top style="thick">
        <color rgb="FF0070C0"/>
      </top>
      <bottom style="thin">
        <color rgb="FF7030A0"/>
      </bottom>
      <diagonal/>
    </border>
    <border>
      <left style="thick">
        <color rgb="FF0070C0"/>
      </left>
      <right style="thin">
        <color rgb="FF7030A0"/>
      </right>
      <top style="thin">
        <color rgb="FF7030A0"/>
      </top>
      <bottom style="thin">
        <color rgb="FF7030A0"/>
      </bottom>
      <diagonal/>
    </border>
    <border>
      <left style="thin">
        <color rgb="FF7030A0"/>
      </left>
      <right style="thick">
        <color rgb="FF0070C0"/>
      </right>
      <top style="thin">
        <color rgb="FF7030A0"/>
      </top>
      <bottom style="thin">
        <color rgb="FF7030A0"/>
      </bottom>
      <diagonal/>
    </border>
    <border>
      <left style="thick">
        <color rgb="FF0070C0"/>
      </left>
      <right style="thin">
        <color rgb="FF7030A0"/>
      </right>
      <top style="thin">
        <color rgb="FF7030A0"/>
      </top>
      <bottom style="thick">
        <color rgb="FF0070C0"/>
      </bottom>
      <diagonal/>
    </border>
    <border>
      <left style="thin">
        <color rgb="FF7030A0"/>
      </left>
      <right style="thin">
        <color rgb="FF7030A0"/>
      </right>
      <top style="thin">
        <color rgb="FF7030A0"/>
      </top>
      <bottom style="thick">
        <color rgb="FF0070C0"/>
      </bottom>
      <diagonal/>
    </border>
    <border>
      <left style="thin">
        <color rgb="FF7030A0"/>
      </left>
      <right style="thick">
        <color rgb="FF0070C0"/>
      </right>
      <top style="thin">
        <color rgb="FF7030A0"/>
      </top>
      <bottom style="thick">
        <color rgb="FF0070C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rgb="FF7030A0"/>
      </left>
      <right style="thin">
        <color rgb="FF7030A0"/>
      </right>
      <top style="medium">
        <color rgb="FF7030A0"/>
      </top>
      <bottom style="thin">
        <color rgb="FF7030A0"/>
      </bottom>
      <diagonal/>
    </border>
    <border>
      <left style="thin">
        <color rgb="FF7030A0"/>
      </left>
      <right style="thin">
        <color rgb="FF7030A0"/>
      </right>
      <top style="medium">
        <color rgb="FF7030A0"/>
      </top>
      <bottom style="thin">
        <color rgb="FF7030A0"/>
      </bottom>
      <diagonal/>
    </border>
    <border>
      <left style="thin">
        <color rgb="FF7030A0"/>
      </left>
      <right style="medium">
        <color rgb="FF7030A0"/>
      </right>
      <top style="medium">
        <color rgb="FF7030A0"/>
      </top>
      <bottom style="thin">
        <color rgb="FF7030A0"/>
      </bottom>
      <diagonal/>
    </border>
    <border>
      <left style="medium">
        <color rgb="FF7030A0"/>
      </left>
      <right style="thin">
        <color rgb="FF7030A0"/>
      </right>
      <top style="thin">
        <color rgb="FF7030A0"/>
      </top>
      <bottom style="thin">
        <color rgb="FF7030A0"/>
      </bottom>
      <diagonal/>
    </border>
    <border>
      <left style="thin">
        <color rgb="FF7030A0"/>
      </left>
      <right style="medium">
        <color rgb="FF7030A0"/>
      </right>
      <top style="thin">
        <color rgb="FF7030A0"/>
      </top>
      <bottom style="thin">
        <color rgb="FF7030A0"/>
      </bottom>
      <diagonal/>
    </border>
    <border>
      <left/>
      <right/>
      <top/>
      <bottom style="thin">
        <color rgb="FF00B050"/>
      </bottom>
      <diagonal/>
    </border>
    <border>
      <left style="thin">
        <color rgb="FF00B050"/>
      </left>
      <right style="thin">
        <color rgb="FF00B050"/>
      </right>
      <top style="thin">
        <color rgb="FF00B050"/>
      </top>
      <bottom style="thin">
        <color rgb="FF00B050"/>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right/>
      <top style="thin">
        <color rgb="FF00B050"/>
      </top>
      <bottom style="thin">
        <color rgb="FF00B050"/>
      </bottom>
      <diagonal/>
    </border>
    <border>
      <left style="medium">
        <color rgb="FF7030A0"/>
      </left>
      <right/>
      <top style="medium">
        <color rgb="FF7030A0"/>
      </top>
      <bottom style="thin">
        <color rgb="FF7030A0"/>
      </bottom>
      <diagonal/>
    </border>
    <border>
      <left style="medium">
        <color rgb="FF7030A0"/>
      </left>
      <right/>
      <top style="thin">
        <color rgb="FF7030A0"/>
      </top>
      <bottom style="thin">
        <color rgb="FF7030A0"/>
      </bottom>
      <diagonal/>
    </border>
    <border>
      <left/>
      <right style="medium">
        <color rgb="FF7030A0"/>
      </right>
      <top style="medium">
        <color rgb="FF7030A0"/>
      </top>
      <bottom style="thin">
        <color rgb="FF7030A0"/>
      </bottom>
      <diagonal/>
    </border>
    <border>
      <left/>
      <right style="medium">
        <color rgb="FF7030A0"/>
      </right>
      <top style="thin">
        <color rgb="FF7030A0"/>
      </top>
      <bottom style="thin">
        <color rgb="FF7030A0"/>
      </bottom>
      <diagonal/>
    </border>
    <border>
      <left/>
      <right/>
      <top/>
      <bottom style="medium">
        <color rgb="FF7030A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thin">
        <color indexed="64"/>
      </right>
      <top style="thin">
        <color indexed="64"/>
      </top>
      <bottom/>
      <diagonal/>
    </border>
  </borders>
  <cellStyleXfs count="10">
    <xf numFmtId="0" fontId="0" fillId="0" borderId="0"/>
    <xf numFmtId="43" fontId="1" fillId="0" borderId="0" applyFont="0" applyFill="0" applyBorder="0" applyAlignment="0" applyProtection="0"/>
    <xf numFmtId="0" fontId="3" fillId="2" borderId="0" applyNumberFormat="0" applyBorder="0" applyAlignment="0" applyProtection="0"/>
    <xf numFmtId="0" fontId="5" fillId="0" borderId="0"/>
    <xf numFmtId="164" fontId="5" fillId="0" borderId="0" applyFont="0" applyFill="0" applyBorder="0" applyAlignment="0" applyProtection="0"/>
    <xf numFmtId="0" fontId="5" fillId="0" borderId="0"/>
    <xf numFmtId="169" fontId="5" fillId="0" borderId="0" applyFont="0" applyFill="0" applyBorder="0" applyAlignment="0" applyProtection="0"/>
    <xf numFmtId="171" fontId="5" fillId="0" borderId="0" applyFont="0" applyFill="0" applyBorder="0" applyAlignment="0" applyProtection="0"/>
    <xf numFmtId="0" fontId="86" fillId="0" borderId="0" applyNumberFormat="0" applyFill="0" applyBorder="0" applyAlignment="0" applyProtection="0"/>
    <xf numFmtId="0" fontId="95" fillId="27" borderId="0" applyNumberFormat="0" applyBorder="0" applyAlignment="0" applyProtection="0"/>
  </cellStyleXfs>
  <cellXfs count="355">
    <xf numFmtId="0" fontId="0" fillId="0" borderId="0" xfId="0"/>
    <xf numFmtId="0" fontId="2" fillId="0" borderId="0" xfId="0" applyFont="1"/>
    <xf numFmtId="0" fontId="0" fillId="0" borderId="0" xfId="0" quotePrefix="1"/>
    <xf numFmtId="0" fontId="0" fillId="0" borderId="0" xfId="0" applyAlignment="1">
      <alignment horizontal="center"/>
    </xf>
    <xf numFmtId="0" fontId="0" fillId="0" borderId="0" xfId="0" applyAlignment="1">
      <alignment horizontal="center" vertical="center"/>
    </xf>
    <xf numFmtId="14" fontId="0" fillId="0" borderId="0" xfId="0" applyNumberFormat="1"/>
    <xf numFmtId="14" fontId="0" fillId="0" borderId="0" xfId="0" applyNumberFormat="1" applyAlignment="1">
      <alignment horizontal="center"/>
    </xf>
    <xf numFmtId="0" fontId="8" fillId="0" borderId="0" xfId="0" applyFont="1"/>
    <xf numFmtId="0" fontId="5" fillId="0" borderId="0" xfId="0" applyFont="1"/>
    <xf numFmtId="0" fontId="11" fillId="0" borderId="0" xfId="0" applyFont="1"/>
    <xf numFmtId="0" fontId="12" fillId="0" borderId="0" xfId="0" applyFont="1"/>
    <xf numFmtId="0" fontId="0" fillId="6" borderId="0" xfId="0" applyFill="1"/>
    <xf numFmtId="0" fontId="5" fillId="6" borderId="0" xfId="0" applyFont="1" applyFill="1"/>
    <xf numFmtId="0" fontId="8" fillId="6" borderId="0" xfId="0" applyFont="1" applyFill="1"/>
    <xf numFmtId="0" fontId="5" fillId="6" borderId="27" xfId="0" applyFont="1" applyFill="1" applyBorder="1"/>
    <xf numFmtId="0" fontId="5" fillId="6" borderId="27" xfId="0" applyFont="1" applyFill="1" applyBorder="1" applyAlignment="1">
      <alignment horizontal="center"/>
    </xf>
    <xf numFmtId="0" fontId="5" fillId="6" borderId="28" xfId="0" applyFont="1" applyFill="1" applyBorder="1"/>
    <xf numFmtId="0" fontId="5" fillId="6" borderId="28" xfId="0" applyFont="1" applyFill="1" applyBorder="1" applyAlignment="1">
      <alignment horizontal="center"/>
    </xf>
    <xf numFmtId="0" fontId="8" fillId="6" borderId="0" xfId="0" applyFont="1" applyFill="1" applyAlignment="1">
      <alignment horizontal="right"/>
    </xf>
    <xf numFmtId="0" fontId="8" fillId="6" borderId="0" xfId="0" applyFont="1" applyFill="1" applyAlignment="1">
      <alignment horizontal="center"/>
    </xf>
    <xf numFmtId="0" fontId="5" fillId="6" borderId="29" xfId="0" applyFont="1" applyFill="1" applyBorder="1"/>
    <xf numFmtId="0" fontId="5" fillId="6" borderId="29" xfId="0" applyFont="1" applyFill="1" applyBorder="1" applyAlignment="1">
      <alignment horizontal="center"/>
    </xf>
    <xf numFmtId="0" fontId="5" fillId="0" borderId="0" xfId="0" applyFont="1" applyAlignment="1">
      <alignment horizontal="center"/>
    </xf>
    <xf numFmtId="0" fontId="17" fillId="0" borderId="0" xfId="0" applyFont="1" applyAlignment="1">
      <alignment horizontal="justify"/>
    </xf>
    <xf numFmtId="0" fontId="18" fillId="0" borderId="0" xfId="0" applyFont="1"/>
    <xf numFmtId="0" fontId="20" fillId="0" borderId="0" xfId="0" quotePrefix="1" applyFont="1"/>
    <xf numFmtId="0" fontId="20" fillId="0" borderId="0" xfId="0" quotePrefix="1" applyFont="1" applyAlignment="1">
      <alignment horizontal="left"/>
    </xf>
    <xf numFmtId="0" fontId="18" fillId="0" borderId="0" xfId="0" quotePrefix="1" applyFont="1"/>
    <xf numFmtId="0" fontId="5" fillId="0" borderId="0" xfId="0" quotePrefix="1" applyFont="1"/>
    <xf numFmtId="0" fontId="13" fillId="0" borderId="0" xfId="0" applyFont="1"/>
    <xf numFmtId="1" fontId="5" fillId="6" borderId="30" xfId="0" applyNumberFormat="1" applyFont="1" applyFill="1" applyBorder="1" applyAlignment="1" applyProtection="1">
      <alignment horizontal="center"/>
      <protection locked="0"/>
    </xf>
    <xf numFmtId="0" fontId="5" fillId="0" borderId="0" xfId="0" applyFont="1" applyAlignment="1">
      <alignment horizontal="left" indent="5"/>
    </xf>
    <xf numFmtId="0" fontId="22" fillId="0" borderId="31" xfId="0" applyFont="1" applyBorder="1" applyAlignment="1">
      <alignment horizontal="center" vertical="center"/>
    </xf>
    <xf numFmtId="0" fontId="23" fillId="0" borderId="32" xfId="0" applyFont="1" applyBorder="1" applyAlignment="1">
      <alignment horizontal="center" vertical="center"/>
    </xf>
    <xf numFmtId="0" fontId="0" fillId="0" borderId="31" xfId="0" applyBorder="1"/>
    <xf numFmtId="0" fontId="24" fillId="0" borderId="32" xfId="0" applyFont="1" applyBorder="1"/>
    <xf numFmtId="4" fontId="24" fillId="0" borderId="31" xfId="0" applyNumberFormat="1" applyFont="1" applyBorder="1" applyAlignment="1">
      <alignment horizontal="center" vertical="center"/>
    </xf>
    <xf numFmtId="0" fontId="25" fillId="9" borderId="33" xfId="0" applyFont="1" applyFill="1" applyBorder="1" applyAlignment="1">
      <alignment vertical="top" wrapText="1" indent="1"/>
    </xf>
    <xf numFmtId="0" fontId="26" fillId="9" borderId="0" xfId="0" applyFont="1" applyFill="1" applyAlignment="1">
      <alignment vertical="top" wrapText="1" indent="1"/>
    </xf>
    <xf numFmtId="0" fontId="26" fillId="9" borderId="33" xfId="0" applyFont="1" applyFill="1" applyBorder="1" applyAlignment="1">
      <alignment vertical="top" wrapText="1" indent="1"/>
    </xf>
    <xf numFmtId="0" fontId="27" fillId="10" borderId="34" xfId="0" applyFont="1" applyFill="1" applyBorder="1" applyAlignment="1">
      <alignment vertical="top" wrapText="1" indent="1"/>
    </xf>
    <xf numFmtId="0" fontId="25" fillId="11" borderId="35" xfId="0" applyFont="1" applyFill="1" applyBorder="1" applyAlignment="1">
      <alignment vertical="top"/>
    </xf>
    <xf numFmtId="0" fontId="0" fillId="11" borderId="35" xfId="0" applyFill="1" applyBorder="1"/>
    <xf numFmtId="0" fontId="26" fillId="12" borderId="35" xfId="0" applyFont="1" applyFill="1" applyBorder="1" applyAlignment="1">
      <alignment vertical="top"/>
    </xf>
    <xf numFmtId="0" fontId="0" fillId="12" borderId="35" xfId="0" applyFill="1" applyBorder="1"/>
    <xf numFmtId="0" fontId="26" fillId="10" borderId="34" xfId="0" applyFont="1" applyFill="1" applyBorder="1" applyAlignment="1">
      <alignment vertical="top" wrapText="1" indent="1"/>
    </xf>
    <xf numFmtId="0" fontId="26" fillId="11" borderId="35" xfId="0" applyFont="1" applyFill="1" applyBorder="1" applyAlignment="1">
      <alignment vertical="top"/>
    </xf>
    <xf numFmtId="0" fontId="25" fillId="9" borderId="33" xfId="0" applyFont="1" applyFill="1" applyBorder="1" applyAlignment="1">
      <alignment vertical="top"/>
    </xf>
    <xf numFmtId="0" fontId="26" fillId="10" borderId="34" xfId="0" applyFont="1" applyFill="1" applyBorder="1" applyAlignment="1">
      <alignment vertical="top"/>
    </xf>
    <xf numFmtId="0" fontId="26" fillId="9" borderId="33" xfId="0" applyFont="1" applyFill="1" applyBorder="1" applyAlignment="1">
      <alignment vertical="top"/>
    </xf>
    <xf numFmtId="0" fontId="5" fillId="0" borderId="0" xfId="0" applyFont="1" applyAlignment="1">
      <alignment horizontal="left" indent="8"/>
    </xf>
    <xf numFmtId="0" fontId="28" fillId="13" borderId="36" xfId="0" applyFont="1" applyFill="1" applyBorder="1" applyAlignment="1">
      <alignment horizontal="left" vertical="center"/>
    </xf>
    <xf numFmtId="0" fontId="27" fillId="13" borderId="36" xfId="0" applyFont="1" applyFill="1" applyBorder="1" applyAlignment="1">
      <alignment vertical="center"/>
    </xf>
    <xf numFmtId="0" fontId="28" fillId="13" borderId="37" xfId="0" applyFont="1" applyFill="1" applyBorder="1" applyAlignment="1">
      <alignment horizontal="left" vertical="center"/>
    </xf>
    <xf numFmtId="0" fontId="27" fillId="13" borderId="37" xfId="0" applyFont="1" applyFill="1" applyBorder="1" applyAlignment="1">
      <alignment vertical="center"/>
    </xf>
    <xf numFmtId="0" fontId="29" fillId="9" borderId="33" xfId="0" applyFont="1" applyFill="1" applyBorder="1" applyAlignment="1">
      <alignment horizontal="center" vertical="center"/>
    </xf>
    <xf numFmtId="0" fontId="29" fillId="9" borderId="33" xfId="0" applyFont="1" applyFill="1" applyBorder="1" applyAlignment="1">
      <alignment horizontal="centerContinuous" vertical="top"/>
    </xf>
    <xf numFmtId="0" fontId="29" fillId="9" borderId="33" xfId="0" applyFont="1" applyFill="1" applyBorder="1" applyAlignment="1">
      <alignment vertical="top"/>
    </xf>
    <xf numFmtId="0" fontId="29" fillId="10" borderId="34" xfId="0" applyFont="1" applyFill="1" applyBorder="1" applyAlignment="1">
      <alignment horizontal="center" vertical="center"/>
    </xf>
    <xf numFmtId="0" fontId="29" fillId="10" borderId="34" xfId="0" applyFont="1" applyFill="1" applyBorder="1" applyAlignment="1">
      <alignment horizontal="centerContinuous" vertical="top"/>
    </xf>
    <xf numFmtId="0" fontId="29" fillId="10" borderId="34" xfId="0" applyFont="1" applyFill="1" applyBorder="1" applyAlignment="1">
      <alignment vertical="top"/>
    </xf>
    <xf numFmtId="0" fontId="26" fillId="10" borderId="34" xfId="0" applyFont="1" applyFill="1" applyBorder="1" applyAlignment="1">
      <alignment horizontal="center" vertical="center" wrapText="1"/>
    </xf>
    <xf numFmtId="0" fontId="26" fillId="9" borderId="33" xfId="0" applyFont="1" applyFill="1" applyBorder="1" applyAlignment="1">
      <alignment horizontal="center" vertical="center" wrapText="1"/>
    </xf>
    <xf numFmtId="0" fontId="25" fillId="10" borderId="34" xfId="0" applyFont="1" applyFill="1" applyBorder="1" applyAlignment="1">
      <alignment vertical="top"/>
    </xf>
    <xf numFmtId="0" fontId="27" fillId="9" borderId="33" xfId="0" applyFont="1" applyFill="1" applyBorder="1" applyAlignment="1">
      <alignment horizontal="center" vertical="center"/>
    </xf>
    <xf numFmtId="0" fontId="27" fillId="10" borderId="34" xfId="0" applyFont="1" applyFill="1" applyBorder="1" applyAlignment="1">
      <alignment horizontal="center" vertical="center"/>
    </xf>
    <xf numFmtId="0" fontId="5" fillId="0" borderId="0" xfId="0" applyFont="1" applyAlignment="1">
      <alignment horizontal="center" vertical="center"/>
    </xf>
    <xf numFmtId="0" fontId="30" fillId="0" borderId="0" xfId="0" applyFont="1" applyAlignment="1">
      <alignment horizontal="center"/>
    </xf>
    <xf numFmtId="0" fontId="10" fillId="3" borderId="38" xfId="0" applyFont="1" applyFill="1" applyBorder="1" applyAlignment="1">
      <alignment horizontal="center"/>
    </xf>
    <xf numFmtId="0" fontId="10" fillId="3" borderId="25" xfId="0" applyFont="1" applyFill="1" applyBorder="1" applyAlignment="1">
      <alignment horizontal="center"/>
    </xf>
    <xf numFmtId="0" fontId="10" fillId="3" borderId="39" xfId="0" applyFont="1" applyFill="1" applyBorder="1" applyAlignment="1">
      <alignment horizontal="center"/>
    </xf>
    <xf numFmtId="0" fontId="12" fillId="4" borderId="40" xfId="0" applyFont="1" applyFill="1" applyBorder="1" applyAlignment="1">
      <alignment horizontal="center"/>
    </xf>
    <xf numFmtId="0" fontId="10" fillId="4" borderId="1" xfId="0" applyFont="1" applyFill="1" applyBorder="1"/>
    <xf numFmtId="0" fontId="12" fillId="4" borderId="1" xfId="0" applyFont="1" applyFill="1" applyBorder="1"/>
    <xf numFmtId="0" fontId="10" fillId="6" borderId="1" xfId="0" applyFont="1" applyFill="1" applyBorder="1" applyAlignment="1">
      <alignment horizontal="center"/>
    </xf>
    <xf numFmtId="0" fontId="10" fillId="4" borderId="1" xfId="0" applyFont="1" applyFill="1" applyBorder="1" applyAlignment="1">
      <alignment horizontal="center"/>
    </xf>
    <xf numFmtId="0" fontId="12" fillId="4" borderId="42" xfId="0" applyFont="1" applyFill="1" applyBorder="1" applyAlignment="1">
      <alignment horizontal="center"/>
    </xf>
    <xf numFmtId="0" fontId="10" fillId="4" borderId="43" xfId="0" applyFont="1" applyFill="1" applyBorder="1"/>
    <xf numFmtId="0" fontId="12" fillId="4" borderId="43" xfId="0" applyFont="1" applyFill="1" applyBorder="1"/>
    <xf numFmtId="0" fontId="10" fillId="4" borderId="43" xfId="0" applyFont="1" applyFill="1" applyBorder="1" applyAlignment="1">
      <alignment horizontal="center"/>
    </xf>
    <xf numFmtId="0" fontId="10" fillId="6" borderId="43" xfId="0" applyFont="1" applyFill="1" applyBorder="1" applyAlignment="1">
      <alignment horizontal="center"/>
    </xf>
    <xf numFmtId="0" fontId="30" fillId="3" borderId="0" xfId="0" applyFont="1" applyFill="1" applyAlignment="1">
      <alignment horizontal="center"/>
    </xf>
    <xf numFmtId="0" fontId="32" fillId="4" borderId="1" xfId="0" applyFont="1" applyFill="1" applyBorder="1"/>
    <xf numFmtId="0" fontId="30" fillId="0" borderId="0" xfId="0" applyFont="1"/>
    <xf numFmtId="0" fontId="10" fillId="3" borderId="45" xfId="0" applyFont="1" applyFill="1" applyBorder="1" applyAlignment="1">
      <alignment horizontal="center"/>
    </xf>
    <xf numFmtId="0" fontId="37" fillId="0" borderId="0" xfId="0" quotePrefix="1" applyFont="1"/>
    <xf numFmtId="0" fontId="41" fillId="0" borderId="0" xfId="0" applyFont="1" applyAlignment="1">
      <alignment horizontal="left" indent="2"/>
    </xf>
    <xf numFmtId="0" fontId="44" fillId="0" borderId="0" xfId="0" applyFont="1"/>
    <xf numFmtId="0" fontId="38" fillId="0" borderId="46" xfId="0" applyFont="1" applyBorder="1" applyAlignment="1">
      <alignment horizontal="center"/>
    </xf>
    <xf numFmtId="0" fontId="0" fillId="0" borderId="0" xfId="0" quotePrefix="1" applyAlignment="1">
      <alignment horizontal="left" indent="2"/>
    </xf>
    <xf numFmtId="0" fontId="57" fillId="0" borderId="0" xfId="0" applyFont="1"/>
    <xf numFmtId="0" fontId="11" fillId="0" borderId="1" xfId="0" applyFont="1" applyBorder="1"/>
    <xf numFmtId="0" fontId="63" fillId="0" borderId="0" xfId="0" applyFont="1"/>
    <xf numFmtId="0" fontId="64" fillId="16" borderId="0" xfId="0" applyFont="1" applyFill="1"/>
    <xf numFmtId="0" fontId="68" fillId="0" borderId="0" xfId="0" applyFont="1"/>
    <xf numFmtId="0" fontId="68" fillId="0" borderId="0" xfId="0" applyFont="1" applyAlignment="1">
      <alignment horizontal="center"/>
    </xf>
    <xf numFmtId="0" fontId="69" fillId="20" borderId="0" xfId="0" applyFont="1" applyFill="1"/>
    <xf numFmtId="0" fontId="68" fillId="0" borderId="0" xfId="0" applyFont="1" applyAlignment="1">
      <alignment horizontal="left"/>
    </xf>
    <xf numFmtId="0" fontId="69" fillId="2" borderId="65" xfId="2" applyFont="1" applyBorder="1" applyAlignment="1">
      <alignment horizontal="center" vertical="center" wrapText="1"/>
    </xf>
    <xf numFmtId="0" fontId="70" fillId="0" borderId="0" xfId="0" applyFont="1"/>
    <xf numFmtId="0" fontId="69" fillId="21" borderId="65" xfId="2" applyFont="1" applyFill="1" applyBorder="1" applyAlignment="1">
      <alignment horizontal="center" vertical="center" wrapText="1"/>
    </xf>
    <xf numFmtId="0" fontId="68" fillId="0" borderId="65" xfId="0" applyFont="1" applyBorder="1"/>
    <xf numFmtId="3" fontId="68" fillId="0" borderId="65" xfId="0" applyNumberFormat="1" applyFont="1" applyBorder="1" applyAlignment="1">
      <alignment horizontal="center"/>
    </xf>
    <xf numFmtId="3" fontId="68" fillId="0" borderId="65" xfId="0" applyNumberFormat="1" applyFont="1" applyBorder="1"/>
    <xf numFmtId="3" fontId="68" fillId="0" borderId="65" xfId="0" applyNumberFormat="1" applyFont="1" applyBorder="1" applyAlignment="1">
      <alignment horizontal="left"/>
    </xf>
    <xf numFmtId="3" fontId="68" fillId="0" borderId="0" xfId="0" applyNumberFormat="1" applyFont="1" applyAlignment="1">
      <alignment horizontal="center"/>
    </xf>
    <xf numFmtId="0" fontId="72" fillId="0" borderId="0" xfId="0" applyFont="1"/>
    <xf numFmtId="0" fontId="73" fillId="0" borderId="0" xfId="0" applyFont="1" applyAlignment="1">
      <alignment horizontal="left" vertical="center" indent="2"/>
    </xf>
    <xf numFmtId="0" fontId="69" fillId="17" borderId="2" xfId="0" applyFont="1" applyFill="1" applyBorder="1" applyAlignment="1">
      <alignment horizontal="center" vertical="center"/>
    </xf>
    <xf numFmtId="0" fontId="69" fillId="17" borderId="2" xfId="0" applyFont="1" applyFill="1" applyBorder="1" applyAlignment="1">
      <alignment horizontal="center" vertical="center" wrapText="1"/>
    </xf>
    <xf numFmtId="0" fontId="69" fillId="17" borderId="47" xfId="0" applyFont="1" applyFill="1" applyBorder="1" applyAlignment="1">
      <alignment horizontal="center" vertical="center"/>
    </xf>
    <xf numFmtId="0" fontId="69" fillId="17" borderId="48" xfId="0" applyFont="1" applyFill="1" applyBorder="1" applyAlignment="1">
      <alignment horizontal="center" vertical="center" wrapText="1"/>
    </xf>
    <xf numFmtId="0" fontId="69" fillId="17" borderId="49" xfId="0" applyFont="1" applyFill="1" applyBorder="1" applyAlignment="1">
      <alignment horizontal="center" vertical="center" wrapText="1"/>
    </xf>
    <xf numFmtId="0" fontId="71" fillId="0" borderId="2" xfId="0" applyFont="1" applyBorder="1" applyAlignment="1">
      <alignment horizontal="center"/>
    </xf>
    <xf numFmtId="0" fontId="74" fillId="5" borderId="2" xfId="0" applyFont="1" applyFill="1" applyBorder="1" applyAlignment="1">
      <alignment horizontal="center"/>
    </xf>
    <xf numFmtId="0" fontId="76" fillId="0" borderId="2" xfId="0" applyFont="1" applyBorder="1"/>
    <xf numFmtId="0" fontId="74" fillId="5" borderId="50" xfId="0" applyFont="1" applyFill="1" applyBorder="1" applyAlignment="1">
      <alignment horizontal="center"/>
    </xf>
    <xf numFmtId="0" fontId="77" fillId="0" borderId="2" xfId="0" applyFont="1" applyBorder="1"/>
    <xf numFmtId="169" fontId="77" fillId="0" borderId="51" xfId="0" applyNumberFormat="1" applyFont="1" applyBorder="1"/>
    <xf numFmtId="0" fontId="74" fillId="5" borderId="52" xfId="0" applyFont="1" applyFill="1" applyBorder="1" applyAlignment="1">
      <alignment horizontal="center"/>
    </xf>
    <xf numFmtId="0" fontId="77" fillId="0" borderId="53" xfId="0" applyFont="1" applyBorder="1"/>
    <xf numFmtId="169" fontId="77" fillId="0" borderId="54" xfId="0" applyNumberFormat="1" applyFont="1" applyBorder="1"/>
    <xf numFmtId="0" fontId="78" fillId="18" borderId="55" xfId="0" applyFont="1" applyFill="1" applyBorder="1" applyAlignment="1">
      <alignment horizontal="center"/>
    </xf>
    <xf numFmtId="0" fontId="78" fillId="18" borderId="45" xfId="0" applyFont="1" applyFill="1" applyBorder="1" applyAlignment="1">
      <alignment horizontal="center"/>
    </xf>
    <xf numFmtId="0" fontId="77" fillId="7" borderId="45" xfId="0" applyFont="1" applyFill="1" applyBorder="1" applyAlignment="1">
      <alignment horizontal="center"/>
    </xf>
    <xf numFmtId="0" fontId="78" fillId="18" borderId="56" xfId="0" applyFont="1" applyFill="1" applyBorder="1" applyAlignment="1">
      <alignment horizontal="center"/>
    </xf>
    <xf numFmtId="0" fontId="71" fillId="0" borderId="40" xfId="0" applyFont="1" applyBorder="1"/>
    <xf numFmtId="0" fontId="71" fillId="0" borderId="1" xfId="0" applyFont="1" applyBorder="1"/>
    <xf numFmtId="0" fontId="71" fillId="7" borderId="1" xfId="0" applyFont="1" applyFill="1" applyBorder="1"/>
    <xf numFmtId="43" fontId="71" fillId="0" borderId="1" xfId="1" applyFont="1" applyBorder="1"/>
    <xf numFmtId="43" fontId="71" fillId="0" borderId="41" xfId="1" applyFont="1" applyBorder="1"/>
    <xf numFmtId="0" fontId="71" fillId="0" borderId="0" xfId="0" applyFont="1"/>
    <xf numFmtId="0" fontId="77" fillId="7" borderId="15" xfId="0" applyFont="1" applyFill="1" applyBorder="1"/>
    <xf numFmtId="0" fontId="77" fillId="0" borderId="16" xfId="0" applyFont="1" applyBorder="1"/>
    <xf numFmtId="0" fontId="77" fillId="0" borderId="17" xfId="0" applyFont="1" applyBorder="1"/>
    <xf numFmtId="0" fontId="71" fillId="0" borderId="42" xfId="0" applyFont="1" applyBorder="1"/>
    <xf numFmtId="0" fontId="71" fillId="0" borderId="43" xfId="0" applyFont="1" applyBorder="1"/>
    <xf numFmtId="0" fontId="71" fillId="7" borderId="43" xfId="0" applyFont="1" applyFill="1" applyBorder="1"/>
    <xf numFmtId="0" fontId="79" fillId="0" borderId="0" xfId="0" applyFont="1" applyAlignment="1">
      <alignment horizontal="centerContinuous" vertical="center"/>
    </xf>
    <xf numFmtId="0" fontId="71" fillId="0" borderId="2" xfId="0" applyFont="1" applyBorder="1"/>
    <xf numFmtId="0" fontId="74" fillId="5" borderId="48" xfId="0" applyFont="1" applyFill="1" applyBorder="1" applyAlignment="1">
      <alignment horizontal="center"/>
    </xf>
    <xf numFmtId="0" fontId="74" fillId="5" borderId="49" xfId="0" applyFont="1" applyFill="1" applyBorder="1" applyAlignment="1">
      <alignment horizontal="center"/>
    </xf>
    <xf numFmtId="0" fontId="69" fillId="17" borderId="50" xfId="0" applyFont="1" applyFill="1" applyBorder="1" applyAlignment="1">
      <alignment horizontal="center" vertical="center" wrapText="1"/>
    </xf>
    <xf numFmtId="0" fontId="76" fillId="0" borderId="51" xfId="0" applyFont="1" applyBorder="1"/>
    <xf numFmtId="0" fontId="69" fillId="17" borderId="52" xfId="0" applyFont="1" applyFill="1" applyBorder="1" applyAlignment="1">
      <alignment horizontal="center" vertical="center" wrapText="1"/>
    </xf>
    <xf numFmtId="169" fontId="76" fillId="0" borderId="53" xfId="0" applyNumberFormat="1" applyFont="1" applyBorder="1"/>
    <xf numFmtId="169" fontId="76" fillId="0" borderId="54" xfId="0" applyNumberFormat="1" applyFont="1" applyBorder="1"/>
    <xf numFmtId="0" fontId="77" fillId="7" borderId="13" xfId="0" applyFont="1" applyFill="1" applyBorder="1"/>
    <xf numFmtId="0" fontId="78" fillId="18" borderId="57" xfId="0" applyFont="1" applyFill="1" applyBorder="1" applyAlignment="1">
      <alignment horizontal="center"/>
    </xf>
    <xf numFmtId="0" fontId="77" fillId="0" borderId="18" xfId="0" applyFont="1" applyBorder="1"/>
    <xf numFmtId="0" fontId="71" fillId="0" borderId="58" xfId="0" applyFont="1" applyBorder="1"/>
    <xf numFmtId="0" fontId="77" fillId="0" borderId="20" xfId="0" applyFont="1" applyBorder="1"/>
    <xf numFmtId="0" fontId="71" fillId="0" borderId="26" xfId="0" applyFont="1" applyBorder="1"/>
    <xf numFmtId="43" fontId="71" fillId="0" borderId="43" xfId="1" applyFont="1" applyBorder="1"/>
    <xf numFmtId="43" fontId="71" fillId="0" borderId="44" xfId="1" applyFont="1" applyBorder="1"/>
    <xf numFmtId="0" fontId="69" fillId="17" borderId="59" xfId="0" applyFont="1" applyFill="1" applyBorder="1" applyAlignment="1">
      <alignment horizontal="center" vertical="center" wrapText="1"/>
    </xf>
    <xf numFmtId="0" fontId="69" fillId="17" borderId="60" xfId="0" applyFont="1" applyFill="1" applyBorder="1" applyAlignment="1">
      <alignment horizontal="center" vertical="center"/>
    </xf>
    <xf numFmtId="0" fontId="69" fillId="17" borderId="61" xfId="0" applyFont="1" applyFill="1" applyBorder="1" applyAlignment="1">
      <alignment horizontal="center" vertical="center"/>
    </xf>
    <xf numFmtId="0" fontId="71" fillId="0" borderId="62" xfId="0" applyFont="1" applyBorder="1" applyAlignment="1">
      <alignment horizontal="left" indent="1"/>
    </xf>
    <xf numFmtId="0" fontId="71" fillId="0" borderId="63" xfId="0" applyFont="1" applyBorder="1"/>
    <xf numFmtId="0" fontId="80" fillId="0" borderId="0" xfId="0" applyFont="1"/>
    <xf numFmtId="0" fontId="81" fillId="0" borderId="0" xfId="0" applyFont="1" applyAlignment="1">
      <alignment horizontal="center"/>
    </xf>
    <xf numFmtId="0" fontId="77" fillId="0" borderId="0" xfId="0" applyFont="1" applyAlignment="1">
      <alignment horizontal="center" vertical="center"/>
    </xf>
    <xf numFmtId="0" fontId="78" fillId="0" borderId="0" xfId="0" applyFont="1" applyAlignment="1">
      <alignment horizontal="center"/>
    </xf>
    <xf numFmtId="0" fontId="82" fillId="0" borderId="0" xfId="0" applyFont="1"/>
    <xf numFmtId="0" fontId="77" fillId="0" borderId="0" xfId="0" applyFont="1" applyAlignment="1">
      <alignment horizontal="left" vertical="center"/>
    </xf>
    <xf numFmtId="0" fontId="77" fillId="0" borderId="0" xfId="0" applyFont="1" applyAlignment="1">
      <alignment horizontal="centerContinuous" vertical="center"/>
    </xf>
    <xf numFmtId="0" fontId="70" fillId="0" borderId="0" xfId="0" applyFont="1" applyAlignment="1">
      <alignment horizontal="center" vertical="center"/>
    </xf>
    <xf numFmtId="0" fontId="68" fillId="7" borderId="15" xfId="0" applyFont="1" applyFill="1" applyBorder="1"/>
    <xf numFmtId="0" fontId="68" fillId="14" borderId="16" xfId="0" applyFont="1" applyFill="1" applyBorder="1"/>
    <xf numFmtId="0" fontId="68" fillId="14" borderId="17" xfId="0" applyFont="1" applyFill="1" applyBorder="1"/>
    <xf numFmtId="0" fontId="68" fillId="7" borderId="18" xfId="0" applyFont="1" applyFill="1" applyBorder="1"/>
    <xf numFmtId="0" fontId="68" fillId="14" borderId="0" xfId="0" applyFont="1" applyFill="1"/>
    <xf numFmtId="0" fontId="68" fillId="14" borderId="19" xfId="0" applyFont="1" applyFill="1" applyBorder="1"/>
    <xf numFmtId="0" fontId="68" fillId="7" borderId="20" xfId="0" applyFont="1" applyFill="1" applyBorder="1"/>
    <xf numFmtId="0" fontId="68" fillId="14" borderId="21" xfId="0" applyFont="1" applyFill="1" applyBorder="1"/>
    <xf numFmtId="0" fontId="68" fillId="14" borderId="22" xfId="0" applyFont="1" applyFill="1" applyBorder="1"/>
    <xf numFmtId="0" fontId="68" fillId="7" borderId="13" xfId="0" applyFont="1" applyFill="1" applyBorder="1"/>
    <xf numFmtId="0" fontId="68" fillId="7" borderId="23" xfId="0" applyFont="1" applyFill="1" applyBorder="1"/>
    <xf numFmtId="0" fontId="68" fillId="7" borderId="24" xfId="0" applyFont="1" applyFill="1" applyBorder="1"/>
    <xf numFmtId="0" fontId="68" fillId="14" borderId="18" xfId="0" applyFont="1" applyFill="1" applyBorder="1" applyAlignment="1">
      <alignment horizontal="center"/>
    </xf>
    <xf numFmtId="0" fontId="68" fillId="14" borderId="0" xfId="0" applyFont="1" applyFill="1" applyAlignment="1">
      <alignment horizontal="center"/>
    </xf>
    <xf numFmtId="0" fontId="68" fillId="14" borderId="19" xfId="0" applyFont="1" applyFill="1" applyBorder="1" applyAlignment="1">
      <alignment horizontal="center"/>
    </xf>
    <xf numFmtId="0" fontId="68" fillId="14" borderId="20" xfId="0" applyFont="1" applyFill="1" applyBorder="1" applyAlignment="1">
      <alignment horizontal="center"/>
    </xf>
    <xf numFmtId="0" fontId="68" fillId="14" borderId="21" xfId="0" applyFont="1" applyFill="1" applyBorder="1" applyAlignment="1">
      <alignment horizontal="center"/>
    </xf>
    <xf numFmtId="0" fontId="68" fillId="14" borderId="22" xfId="0" applyFont="1" applyFill="1" applyBorder="1" applyAlignment="1">
      <alignment horizontal="center"/>
    </xf>
    <xf numFmtId="0" fontId="71" fillId="0" borderId="0" xfId="5" applyFont="1"/>
    <xf numFmtId="0" fontId="77" fillId="0" borderId="6" xfId="5" applyFont="1" applyBorder="1" applyAlignment="1">
      <alignment horizontal="center"/>
    </xf>
    <xf numFmtId="0" fontId="77" fillId="0" borderId="1" xfId="5" applyFont="1" applyBorder="1" applyAlignment="1">
      <alignment horizontal="center"/>
    </xf>
    <xf numFmtId="0" fontId="77" fillId="0" borderId="14" xfId="5" applyFont="1" applyBorder="1" applyAlignment="1">
      <alignment horizontal="center"/>
    </xf>
    <xf numFmtId="0" fontId="71" fillId="0" borderId="6" xfId="5" applyFont="1" applyBorder="1"/>
    <xf numFmtId="169" fontId="71" fillId="0" borderId="1" xfId="6" applyFont="1" applyBorder="1"/>
    <xf numFmtId="0" fontId="77" fillId="0" borderId="1" xfId="5" applyFont="1" applyBorder="1"/>
    <xf numFmtId="170" fontId="71" fillId="0" borderId="1" xfId="6" applyNumberFormat="1" applyFont="1" applyBorder="1"/>
    <xf numFmtId="0" fontId="84" fillId="0" borderId="0" xfId="5" applyFont="1"/>
    <xf numFmtId="0" fontId="68" fillId="0" borderId="0" xfId="0" applyFont="1" applyAlignment="1">
      <alignment horizontal="center" vertical="center"/>
    </xf>
    <xf numFmtId="0" fontId="71" fillId="0" borderId="3" xfId="5" applyFont="1" applyBorder="1"/>
    <xf numFmtId="0" fontId="71" fillId="0" borderId="4" xfId="5" applyFont="1" applyBorder="1"/>
    <xf numFmtId="170" fontId="71" fillId="0" borderId="0" xfId="6" applyNumberFormat="1" applyFont="1" applyBorder="1"/>
    <xf numFmtId="0" fontId="71" fillId="0" borderId="4" xfId="5" applyFont="1" applyBorder="1" applyAlignment="1">
      <alignment horizontal="center"/>
    </xf>
    <xf numFmtId="0" fontId="71" fillId="0" borderId="8" xfId="5" applyFont="1" applyBorder="1"/>
    <xf numFmtId="0" fontId="71" fillId="0" borderId="0" xfId="5" applyFont="1" applyAlignment="1">
      <alignment horizontal="center"/>
    </xf>
    <xf numFmtId="170" fontId="71" fillId="0" borderId="0" xfId="6" applyNumberFormat="1" applyFont="1"/>
    <xf numFmtId="0" fontId="69" fillId="0" borderId="0" xfId="2" applyFont="1" applyFill="1" applyBorder="1" applyAlignment="1">
      <alignment horizontal="center" vertical="center" wrapText="1"/>
    </xf>
    <xf numFmtId="0" fontId="6" fillId="22" borderId="0" xfId="3" applyFont="1" applyFill="1" applyAlignment="1">
      <alignment horizontal="center"/>
    </xf>
    <xf numFmtId="0" fontId="6" fillId="22" borderId="0" xfId="3" applyFont="1" applyFill="1"/>
    <xf numFmtId="166" fontId="6" fillId="22" borderId="0" xfId="7" applyNumberFormat="1" applyFont="1" applyFill="1"/>
    <xf numFmtId="0" fontId="5" fillId="12" borderId="1" xfId="3" applyFill="1" applyBorder="1"/>
    <xf numFmtId="0" fontId="5" fillId="12" borderId="1" xfId="3" applyFill="1" applyBorder="1" applyAlignment="1">
      <alignment horizontal="center"/>
    </xf>
    <xf numFmtId="166" fontId="5" fillId="12" borderId="1" xfId="7" applyNumberFormat="1" applyFont="1" applyFill="1" applyBorder="1"/>
    <xf numFmtId="0" fontId="5" fillId="12" borderId="1" xfId="3" applyFill="1" applyBorder="1" applyAlignment="1">
      <alignment horizontal="left"/>
    </xf>
    <xf numFmtId="0" fontId="5" fillId="12" borderId="1" xfId="3" quotePrefix="1" applyFill="1" applyBorder="1" applyAlignment="1">
      <alignment horizontal="left"/>
    </xf>
    <xf numFmtId="0" fontId="85" fillId="12" borderId="0" xfId="0" applyFont="1" applyFill="1"/>
    <xf numFmtId="0" fontId="0" fillId="12" borderId="1" xfId="0" applyFill="1" applyBorder="1"/>
    <xf numFmtId="3" fontId="5" fillId="6" borderId="30" xfId="0" applyNumberFormat="1" applyFont="1" applyFill="1" applyBorder="1" applyAlignment="1" applyProtection="1">
      <alignment horizontal="center"/>
      <protection locked="0"/>
    </xf>
    <xf numFmtId="0" fontId="12" fillId="0" borderId="0" xfId="0" applyFont="1" applyAlignment="1">
      <alignment horizontal="center"/>
    </xf>
    <xf numFmtId="165" fontId="38" fillId="0" borderId="46" xfId="0" applyNumberFormat="1" applyFont="1" applyBorder="1" applyAlignment="1">
      <alignment horizontal="center"/>
    </xf>
    <xf numFmtId="0" fontId="75" fillId="0" borderId="2" xfId="0" applyFont="1" applyBorder="1" applyAlignment="1">
      <alignment horizontal="center"/>
    </xf>
    <xf numFmtId="0" fontId="6" fillId="0" borderId="0" xfId="3" applyFont="1"/>
    <xf numFmtId="0" fontId="87" fillId="0" borderId="0" xfId="0" applyFont="1" applyAlignment="1">
      <alignment horizontal="right"/>
    </xf>
    <xf numFmtId="0" fontId="87" fillId="0" borderId="0" xfId="0" applyFont="1" applyAlignment="1">
      <alignment vertical="center"/>
    </xf>
    <xf numFmtId="0" fontId="88" fillId="0" borderId="0" xfId="8" applyFont="1"/>
    <xf numFmtId="172" fontId="0" fillId="0" borderId="0" xfId="0" applyNumberFormat="1"/>
    <xf numFmtId="0" fontId="33" fillId="0" borderId="0" xfId="0" applyFont="1" applyAlignment="1">
      <alignment horizontal="center" vertical="top" wrapText="1"/>
    </xf>
    <xf numFmtId="172" fontId="38" fillId="0" borderId="46" xfId="0" applyNumberFormat="1" applyFont="1" applyBorder="1" applyAlignment="1">
      <alignment horizontal="center"/>
    </xf>
    <xf numFmtId="14" fontId="68" fillId="0" borderId="0" xfId="0" applyNumberFormat="1" applyFont="1"/>
    <xf numFmtId="14" fontId="68" fillId="0" borderId="0" xfId="0" applyNumberFormat="1" applyFont="1" applyAlignment="1">
      <alignment horizontal="center" vertical="center"/>
    </xf>
    <xf numFmtId="0" fontId="71" fillId="12" borderId="1" xfId="0" applyFont="1" applyFill="1" applyBorder="1" applyAlignment="1">
      <alignment horizontal="center"/>
    </xf>
    <xf numFmtId="0" fontId="0" fillId="0" borderId="0" xfId="0" quotePrefix="1" applyAlignment="1">
      <alignment horizontal="center"/>
    </xf>
    <xf numFmtId="0" fontId="69" fillId="22" borderId="0" xfId="3" applyFont="1" applyFill="1"/>
    <xf numFmtId="0" fontId="69" fillId="22" borderId="0" xfId="3" applyFont="1" applyFill="1" applyAlignment="1">
      <alignment horizontal="center"/>
    </xf>
    <xf numFmtId="166" fontId="69" fillId="22" borderId="0" xfId="7" applyNumberFormat="1" applyFont="1" applyFill="1"/>
    <xf numFmtId="0" fontId="1" fillId="0" borderId="0" xfId="0" applyFont="1"/>
    <xf numFmtId="0" fontId="71" fillId="12" borderId="1" xfId="3" applyFont="1" applyFill="1" applyBorder="1"/>
    <xf numFmtId="0" fontId="71" fillId="12" borderId="1" xfId="3" applyFont="1" applyFill="1" applyBorder="1" applyAlignment="1">
      <alignment horizontal="center"/>
    </xf>
    <xf numFmtId="166" fontId="71" fillId="12" borderId="1" xfId="7" applyNumberFormat="1" applyFont="1" applyFill="1" applyBorder="1"/>
    <xf numFmtId="0" fontId="71" fillId="12" borderId="1" xfId="3" applyFont="1" applyFill="1" applyBorder="1" applyAlignment="1">
      <alignment horizontal="left"/>
    </xf>
    <xf numFmtId="0" fontId="71" fillId="12" borderId="1" xfId="3" quotePrefix="1" applyFont="1" applyFill="1" applyBorder="1" applyAlignment="1">
      <alignment horizontal="left"/>
    </xf>
    <xf numFmtId="166" fontId="69" fillId="25" borderId="0" xfId="7" applyNumberFormat="1" applyFont="1" applyFill="1"/>
    <xf numFmtId="0" fontId="1" fillId="25" borderId="0" xfId="0" applyFont="1" applyFill="1"/>
    <xf numFmtId="0" fontId="69" fillId="0" borderId="0" xfId="3" applyFont="1" applyAlignment="1">
      <alignment horizontal="center"/>
    </xf>
    <xf numFmtId="0" fontId="6" fillId="22" borderId="3" xfId="3" applyFont="1" applyFill="1" applyBorder="1"/>
    <xf numFmtId="0" fontId="6" fillId="22" borderId="4" xfId="3" applyFont="1" applyFill="1" applyBorder="1"/>
    <xf numFmtId="0" fontId="6" fillId="22" borderId="4" xfId="3" applyFont="1" applyFill="1" applyBorder="1" applyAlignment="1">
      <alignment horizontal="center"/>
    </xf>
    <xf numFmtId="166" fontId="6" fillId="22" borderId="4" xfId="7" applyNumberFormat="1" applyFont="1" applyFill="1" applyBorder="1"/>
    <xf numFmtId="166" fontId="6" fillId="22" borderId="7" xfId="7" applyNumberFormat="1" applyFont="1" applyFill="1" applyBorder="1"/>
    <xf numFmtId="173" fontId="0" fillId="0" borderId="0" xfId="0" applyNumberFormat="1" applyAlignment="1">
      <alignment horizontal="center"/>
    </xf>
    <xf numFmtId="173" fontId="0" fillId="0" borderId="0" xfId="0" applyNumberFormat="1"/>
    <xf numFmtId="0" fontId="5" fillId="0" borderId="0" xfId="0" applyFont="1" applyProtection="1">
      <protection locked="0"/>
    </xf>
    <xf numFmtId="0" fontId="89" fillId="24" borderId="1" xfId="0" applyFont="1" applyFill="1" applyBorder="1" applyAlignment="1">
      <alignment horizontal="center" vertical="center" wrapText="1"/>
    </xf>
    <xf numFmtId="0" fontId="11" fillId="11" borderId="1" xfId="0" applyFont="1" applyFill="1" applyBorder="1"/>
    <xf numFmtId="0" fontId="12" fillId="11" borderId="1" xfId="0" applyFont="1" applyFill="1" applyBorder="1"/>
    <xf numFmtId="174" fontId="11" fillId="11" borderId="1" xfId="1" applyNumberFormat="1" applyFont="1" applyFill="1" applyBorder="1" applyAlignment="1">
      <alignment horizontal="center" vertical="center"/>
    </xf>
    <xf numFmtId="174" fontId="11" fillId="11" borderId="1" xfId="1" applyNumberFormat="1" applyFont="1" applyFill="1" applyBorder="1"/>
    <xf numFmtId="0" fontId="69" fillId="17" borderId="69" xfId="0" applyFont="1" applyFill="1" applyBorder="1" applyAlignment="1">
      <alignment horizontal="center" wrapText="1"/>
    </xf>
    <xf numFmtId="0" fontId="71" fillId="0" borderId="70" xfId="0" applyFont="1" applyBorder="1" applyAlignment="1">
      <alignment horizontal="left"/>
    </xf>
    <xf numFmtId="0" fontId="69" fillId="17" borderId="71" xfId="0" applyFont="1" applyFill="1" applyBorder="1" applyAlignment="1">
      <alignment horizontal="center"/>
    </xf>
    <xf numFmtId="0" fontId="71" fillId="0" borderId="72" xfId="0" applyFont="1" applyBorder="1"/>
    <xf numFmtId="2" fontId="0" fillId="0" borderId="0" xfId="0" applyNumberFormat="1" applyAlignment="1">
      <alignment horizontal="center" vertical="center"/>
    </xf>
    <xf numFmtId="2" fontId="0" fillId="0" borderId="0" xfId="0" applyNumberFormat="1"/>
    <xf numFmtId="0" fontId="74" fillId="5" borderId="2" xfId="0" applyFont="1" applyFill="1" applyBorder="1"/>
    <xf numFmtId="0" fontId="74" fillId="5" borderId="53" xfId="0" applyFont="1" applyFill="1" applyBorder="1"/>
    <xf numFmtId="0" fontId="77" fillId="0" borderId="50" xfId="0" applyFont="1" applyBorder="1" applyAlignment="1">
      <alignment horizontal="center"/>
    </xf>
    <xf numFmtId="0" fontId="77" fillId="0" borderId="52" xfId="0" applyFont="1" applyBorder="1" applyAlignment="1">
      <alignment horizontal="center"/>
    </xf>
    <xf numFmtId="0" fontId="5" fillId="6" borderId="0" xfId="0" applyFont="1" applyFill="1" applyAlignment="1">
      <alignment horizontal="center"/>
    </xf>
    <xf numFmtId="0" fontId="0" fillId="6" borderId="0" xfId="0" applyFill="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3" fontId="11" fillId="23" borderId="0" xfId="0" applyNumberFormat="1" applyFont="1" applyFill="1" applyAlignment="1">
      <alignment horizontal="center" vertical="center"/>
    </xf>
    <xf numFmtId="3" fontId="12" fillId="14" borderId="41" xfId="0" applyNumberFormat="1" applyFont="1" applyFill="1" applyBorder="1" applyAlignment="1">
      <alignment horizontal="center"/>
    </xf>
    <xf numFmtId="0" fontId="38" fillId="0" borderId="46" xfId="0" quotePrefix="1" applyFont="1" applyBorder="1" applyAlignment="1">
      <alignment horizontal="center"/>
    </xf>
    <xf numFmtId="3" fontId="68" fillId="0" borderId="0" xfId="0" quotePrefix="1" applyNumberFormat="1" applyFont="1" applyAlignment="1">
      <alignment horizontal="center"/>
    </xf>
    <xf numFmtId="0" fontId="0" fillId="0" borderId="0" xfId="0" quotePrefix="1" applyAlignment="1">
      <alignment horizontal="center" vertical="center"/>
    </xf>
    <xf numFmtId="167" fontId="0" fillId="0" borderId="0" xfId="0" applyNumberFormat="1" applyAlignment="1">
      <alignment horizontal="center" vertical="center"/>
    </xf>
    <xf numFmtId="168" fontId="0" fillId="0" borderId="0" xfId="0" quotePrefix="1" applyNumberFormat="1"/>
    <xf numFmtId="3" fontId="32" fillId="14" borderId="1" xfId="0" applyNumberFormat="1" applyFont="1" applyFill="1" applyBorder="1" applyAlignment="1">
      <alignment horizontal="center"/>
    </xf>
    <xf numFmtId="172" fontId="38" fillId="0" borderId="46" xfId="0" quotePrefix="1" applyNumberFormat="1" applyFont="1" applyBorder="1" applyAlignment="1">
      <alignment horizontal="center"/>
    </xf>
    <xf numFmtId="0" fontId="68" fillId="0" borderId="0" xfId="0" quotePrefix="1" applyFont="1" applyAlignment="1">
      <alignment horizontal="center"/>
    </xf>
    <xf numFmtId="0" fontId="0" fillId="26" borderId="0" xfId="0" applyFill="1" applyAlignment="1">
      <alignment horizontal="center" vertical="center"/>
    </xf>
    <xf numFmtId="0" fontId="0" fillId="26" borderId="0" xfId="0" applyFill="1" applyAlignment="1">
      <alignment horizontal="center"/>
    </xf>
    <xf numFmtId="0" fontId="90" fillId="0" borderId="0" xfId="0" applyFont="1"/>
    <xf numFmtId="0" fontId="69" fillId="24" borderId="0" xfId="0" applyFont="1" applyFill="1" applyAlignment="1">
      <alignment horizontal="center" vertical="center"/>
    </xf>
    <xf numFmtId="0" fontId="0" fillId="0" borderId="0" xfId="0" applyAlignment="1">
      <alignment vertical="center"/>
    </xf>
    <xf numFmtId="0" fontId="68" fillId="0" borderId="0" xfId="0" applyFont="1" applyAlignment="1">
      <alignment vertical="center"/>
    </xf>
    <xf numFmtId="0" fontId="70" fillId="0" borderId="0" xfId="0" applyFont="1" applyAlignment="1">
      <alignment vertical="center"/>
    </xf>
    <xf numFmtId="0" fontId="70" fillId="12" borderId="0" xfId="0" applyFont="1" applyFill="1"/>
    <xf numFmtId="0" fontId="5" fillId="6" borderId="0" xfId="0" applyFont="1" applyFill="1" applyAlignment="1">
      <alignment horizontal="right"/>
    </xf>
    <xf numFmtId="4" fontId="8" fillId="0" borderId="0" xfId="0" applyNumberFormat="1" applyFont="1" applyAlignment="1">
      <alignment horizontal="center"/>
    </xf>
    <xf numFmtId="0" fontId="0" fillId="24" borderId="0" xfId="0" applyFill="1" applyAlignment="1">
      <alignment horizontal="center"/>
    </xf>
    <xf numFmtId="3" fontId="11" fillId="0" borderId="0" xfId="0" applyNumberFormat="1" applyFont="1" applyAlignment="1">
      <alignment horizontal="center"/>
    </xf>
    <xf numFmtId="0" fontId="32" fillId="14" borderId="1" xfId="0" quotePrefix="1" applyFont="1" applyFill="1" applyBorder="1" applyAlignment="1">
      <alignment horizontal="center"/>
    </xf>
    <xf numFmtId="0" fontId="11" fillId="0" borderId="0" xfId="0" applyFont="1" applyAlignment="1">
      <alignment horizontal="center"/>
    </xf>
    <xf numFmtId="0" fontId="0" fillId="0" borderId="0" xfId="0" applyAlignment="1">
      <alignment vertical="top" wrapText="1"/>
    </xf>
    <xf numFmtId="175" fontId="0" fillId="0" borderId="0" xfId="0" applyNumberFormat="1"/>
    <xf numFmtId="0" fontId="68" fillId="0" borderId="0" xfId="0" applyFont="1" applyAlignment="1">
      <alignment horizontal="right"/>
    </xf>
    <xf numFmtId="3" fontId="68" fillId="0" borderId="65" xfId="0" quotePrefix="1" applyNumberFormat="1" applyFont="1" applyBorder="1" applyAlignment="1">
      <alignment horizontal="center"/>
    </xf>
    <xf numFmtId="3" fontId="1" fillId="0" borderId="0" xfId="0" applyNumberFormat="1" applyFont="1"/>
    <xf numFmtId="2" fontId="93" fillId="0" borderId="31" xfId="0" applyNumberFormat="1" applyFont="1" applyBorder="1" applyAlignment="1">
      <alignment horizontal="center" vertical="center"/>
    </xf>
    <xf numFmtId="2" fontId="0" fillId="0" borderId="31" xfId="0" applyNumberFormat="1" applyBorder="1" applyAlignment="1">
      <alignment horizontal="center"/>
    </xf>
    <xf numFmtId="168" fontId="0" fillId="0" borderId="31" xfId="0" applyNumberFormat="1" applyBorder="1" applyAlignment="1">
      <alignment horizontal="center"/>
    </xf>
    <xf numFmtId="172" fontId="0" fillId="0" borderId="31" xfId="0" applyNumberFormat="1" applyBorder="1" applyAlignment="1">
      <alignment horizontal="center"/>
    </xf>
    <xf numFmtId="176" fontId="0" fillId="0" borderId="0" xfId="0" applyNumberFormat="1"/>
    <xf numFmtId="3" fontId="71" fillId="0" borderId="65" xfId="0" applyNumberFormat="1" applyFont="1" applyBorder="1" applyAlignment="1">
      <alignment horizontal="center"/>
    </xf>
    <xf numFmtId="0" fontId="94" fillId="27" borderId="0" xfId="9" applyFont="1" applyAlignment="1">
      <alignment horizontal="center"/>
    </xf>
    <xf numFmtId="0" fontId="94" fillId="27" borderId="74" xfId="9" applyFont="1" applyBorder="1" applyAlignment="1">
      <alignment horizontal="left"/>
    </xf>
    <xf numFmtId="0" fontId="0" fillId="0" borderId="74" xfId="0" applyBorder="1"/>
    <xf numFmtId="4" fontId="0" fillId="0" borderId="0" xfId="0" applyNumberFormat="1" applyAlignment="1">
      <alignment horizontal="right"/>
    </xf>
    <xf numFmtId="0" fontId="96" fillId="29" borderId="0" xfId="0" applyFont="1" applyFill="1"/>
    <xf numFmtId="0" fontId="96" fillId="29" borderId="0" xfId="0" applyFont="1" applyFill="1" applyAlignment="1">
      <alignment horizontal="center"/>
    </xf>
    <xf numFmtId="3" fontId="0" fillId="0" borderId="0" xfId="0" applyNumberFormat="1" applyAlignment="1">
      <alignment horizontal="center"/>
    </xf>
    <xf numFmtId="3" fontId="2" fillId="30" borderId="0" xfId="0" applyNumberFormat="1" applyFont="1" applyFill="1" applyAlignment="1">
      <alignment horizontal="center"/>
    </xf>
    <xf numFmtId="3" fontId="2" fillId="30" borderId="4" xfId="0" applyNumberFormat="1" applyFont="1" applyFill="1" applyBorder="1" applyAlignment="1">
      <alignment horizontal="center"/>
    </xf>
    <xf numFmtId="3" fontId="0" fillId="28" borderId="74" xfId="0" applyNumberFormat="1" applyFill="1" applyBorder="1"/>
    <xf numFmtId="0" fontId="2" fillId="0" borderId="0" xfId="0" applyFont="1" applyAlignment="1">
      <alignment horizontal="center"/>
    </xf>
    <xf numFmtId="1" fontId="0" fillId="0" borderId="0" xfId="0" applyNumberFormat="1" applyAlignment="1">
      <alignment horizontal="right"/>
    </xf>
    <xf numFmtId="0" fontId="0" fillId="5" borderId="0" xfId="0" applyFill="1"/>
    <xf numFmtId="0" fontId="5" fillId="5" borderId="0" xfId="0" applyFont="1" applyFill="1"/>
    <xf numFmtId="1" fontId="5" fillId="5" borderId="0" xfId="0" applyNumberFormat="1" applyFont="1" applyFill="1"/>
    <xf numFmtId="0" fontId="5" fillId="31" borderId="0" xfId="0" applyFont="1" applyFill="1"/>
    <xf numFmtId="0" fontId="0" fillId="31" borderId="0" xfId="0" applyFill="1"/>
    <xf numFmtId="0" fontId="97" fillId="31" borderId="0" xfId="0" applyFont="1" applyFill="1"/>
    <xf numFmtId="0" fontId="16" fillId="8" borderId="0" xfId="0" applyFont="1" applyFill="1" applyAlignment="1">
      <alignment horizontal="center"/>
    </xf>
    <xf numFmtId="0" fontId="15" fillId="6" borderId="0" xfId="0" applyFont="1" applyFill="1" applyAlignment="1">
      <alignment horizontal="center"/>
    </xf>
    <xf numFmtId="0" fontId="30" fillId="0" borderId="0" xfId="0" applyFont="1" applyAlignment="1">
      <alignment horizontal="center"/>
    </xf>
    <xf numFmtId="0" fontId="31" fillId="0" borderId="0" xfId="0" applyFont="1" applyAlignment="1">
      <alignment horizontal="left"/>
    </xf>
    <xf numFmtId="0" fontId="34" fillId="15" borderId="0" xfId="0" applyFont="1" applyFill="1" applyAlignment="1">
      <alignment horizontal="center"/>
    </xf>
    <xf numFmtId="3" fontId="68" fillId="0" borderId="66" xfId="0" applyNumberFormat="1" applyFont="1" applyBorder="1" applyAlignment="1">
      <alignment horizontal="left"/>
    </xf>
    <xf numFmtId="3" fontId="68" fillId="0" borderId="68" xfId="0" applyNumberFormat="1" applyFont="1" applyBorder="1" applyAlignment="1">
      <alignment horizontal="left"/>
    </xf>
    <xf numFmtId="3" fontId="68" fillId="0" borderId="67" xfId="0" applyNumberFormat="1" applyFont="1" applyBorder="1" applyAlignment="1">
      <alignment horizontal="left"/>
    </xf>
    <xf numFmtId="0" fontId="83" fillId="0" borderId="12" xfId="5" applyFont="1" applyBorder="1" applyAlignment="1">
      <alignment horizontal="center"/>
    </xf>
    <xf numFmtId="0" fontId="83" fillId="0" borderId="6" xfId="5" applyFont="1" applyBorder="1" applyAlignment="1">
      <alignment horizontal="center"/>
    </xf>
    <xf numFmtId="0" fontId="83" fillId="0" borderId="5" xfId="5" applyFont="1" applyBorder="1" applyAlignment="1">
      <alignment horizontal="center"/>
    </xf>
    <xf numFmtId="0" fontId="91" fillId="0" borderId="0" xfId="0" applyFont="1" applyAlignment="1">
      <alignment horizontal="left"/>
    </xf>
    <xf numFmtId="0" fontId="91" fillId="0" borderId="0" xfId="0" applyFont="1"/>
    <xf numFmtId="0" fontId="69" fillId="19" borderId="64" xfId="0" applyFont="1" applyFill="1" applyBorder="1" applyAlignment="1">
      <alignment horizontal="center"/>
    </xf>
    <xf numFmtId="3" fontId="68" fillId="0" borderId="66" xfId="0" applyNumberFormat="1" applyFont="1" applyBorder="1" applyAlignment="1">
      <alignment horizontal="center"/>
    </xf>
    <xf numFmtId="3" fontId="68" fillId="0" borderId="67" xfId="0" applyNumberFormat="1" applyFont="1" applyBorder="1" applyAlignment="1">
      <alignment horizontal="center"/>
    </xf>
    <xf numFmtId="0" fontId="74" fillId="0" borderId="73" xfId="0" applyFont="1" applyBorder="1" applyAlignment="1">
      <alignment horizontal="center" vertical="center"/>
    </xf>
    <xf numFmtId="0" fontId="5" fillId="12" borderId="75" xfId="3" applyFill="1" applyBorder="1"/>
    <xf numFmtId="0" fontId="5" fillId="12" borderId="75" xfId="3" applyFill="1" applyBorder="1" applyAlignment="1">
      <alignment horizontal="center"/>
    </xf>
    <xf numFmtId="166" fontId="5" fillId="12" borderId="75" xfId="7" applyNumberFormat="1" applyFont="1" applyFill="1" applyBorder="1"/>
    <xf numFmtId="0" fontId="5" fillId="12" borderId="0" xfId="3" applyFill="1" applyBorder="1"/>
    <xf numFmtId="0" fontId="6" fillId="0" borderId="0" xfId="3" applyFont="1" applyFill="1"/>
    <xf numFmtId="0" fontId="6" fillId="0" borderId="0" xfId="3" applyFont="1" applyFill="1" applyAlignment="1">
      <alignment horizontal="center"/>
    </xf>
    <xf numFmtId="166" fontId="6" fillId="0" borderId="0" xfId="7" applyNumberFormat="1" applyFont="1" applyFill="1"/>
    <xf numFmtId="0" fontId="5" fillId="12" borderId="0" xfId="3" applyFill="1" applyBorder="1" applyAlignment="1">
      <alignment horizontal="center"/>
    </xf>
    <xf numFmtId="0" fontId="5" fillId="12" borderId="0" xfId="3" quotePrefix="1" applyFill="1" applyBorder="1" applyAlignment="1">
      <alignment horizontal="left"/>
    </xf>
    <xf numFmtId="0" fontId="5" fillId="12" borderId="0" xfId="3" applyFill="1" applyBorder="1" applyAlignment="1">
      <alignment horizontal="left"/>
    </xf>
    <xf numFmtId="0" fontId="5" fillId="12" borderId="1" xfId="3" applyNumberFormat="1" applyFont="1" applyFill="1" applyBorder="1" applyAlignment="1"/>
    <xf numFmtId="0" fontId="0" fillId="0" borderId="0" xfId="0" applyFont="1" applyFill="1" applyBorder="1"/>
    <xf numFmtId="0" fontId="3" fillId="32" borderId="0" xfId="0" applyFont="1" applyFill="1"/>
    <xf numFmtId="0" fontId="69" fillId="0" borderId="0" xfId="3" applyFont="1" applyFill="1"/>
    <xf numFmtId="0" fontId="69" fillId="0" borderId="0" xfId="3" applyFont="1" applyFill="1" applyAlignment="1">
      <alignment horizontal="center"/>
    </xf>
    <xf numFmtId="166" fontId="69" fillId="0" borderId="0" xfId="7" applyNumberFormat="1" applyFont="1" applyFill="1"/>
  </cellXfs>
  <cellStyles count="10">
    <cellStyle name="Énfasis1" xfId="9" builtinId="29"/>
    <cellStyle name="Énfasis6" xfId="2" builtinId="49"/>
    <cellStyle name="Hipervínculo" xfId="8" builtinId="8"/>
    <cellStyle name="Millares" xfId="1" builtinId="3"/>
    <cellStyle name="Millares 2" xfId="4" xr:uid="{A94D9AEC-4934-48FB-BBFE-54119AFC6ED9}"/>
    <cellStyle name="Millares_PRUEBA DE ubicación en excel intermedio" xfId="7" xr:uid="{4FCCA331-7B49-4E2B-A070-77717317F08F}"/>
    <cellStyle name="Moneda_Indirect" xfId="6" xr:uid="{5A19CFA0-C8D6-4E89-8D03-5EF879D9C748}"/>
    <cellStyle name="Normal" xfId="0" builtinId="0"/>
    <cellStyle name="Normal 2" xfId="3" xr:uid="{B67714F0-E965-45E7-BA5A-2C1137FA2986}"/>
    <cellStyle name="Normal 2 2" xfId="5" xr:uid="{684EE2DC-8BB0-46AE-B3C2-566EDF579EF1}"/>
  </cellStyles>
  <dxfs count="38">
    <dxf>
      <font>
        <b/>
        <i val="0"/>
        <condense val="0"/>
        <extend val="0"/>
        <color indexed="12"/>
      </font>
      <fill>
        <patternFill>
          <bgColor indexed="43"/>
        </patternFill>
      </fill>
    </dxf>
    <dxf>
      <font>
        <b/>
        <i val="0"/>
        <condense val="0"/>
        <extend val="0"/>
        <color indexed="10"/>
      </font>
      <fill>
        <patternFill>
          <bgColor indexed="42"/>
        </patternFill>
      </fill>
    </dxf>
    <dxf>
      <font>
        <b/>
        <i val="0"/>
        <condense val="0"/>
        <extend val="0"/>
        <color indexed="12"/>
      </font>
      <fill>
        <patternFill>
          <bgColor indexed="43"/>
        </patternFill>
      </fill>
    </dxf>
    <dxf>
      <font>
        <b/>
        <i val="0"/>
        <condense val="0"/>
        <extend val="0"/>
        <color indexed="10"/>
      </font>
      <fill>
        <patternFill>
          <bgColor indexed="42"/>
        </patternFill>
      </fill>
    </dxf>
    <dxf>
      <fill>
        <patternFill>
          <bgColor theme="7" tint="0.59996337778862885"/>
        </patternFill>
      </fill>
    </dxf>
    <dxf>
      <font>
        <b val="0"/>
        <i val="0"/>
        <strike val="0"/>
        <condense val="0"/>
        <extend val="0"/>
        <outline val="0"/>
        <shadow val="0"/>
        <u val="none"/>
        <vertAlign val="baseline"/>
        <sz val="10"/>
        <color auto="1"/>
        <name val="Arial"/>
        <family val="2"/>
        <scheme val="none"/>
      </font>
      <numFmt numFmtId="166" formatCode="_ * #,##0_ ;_ * \-#,##0_ ;_ * &quot;-&quot;??_ ;_ @_ "/>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numFmt numFmtId="166" formatCode="_ * #,##0_ ;_ * \-#,##0_ ;_ * &quot;-&quot;??_ ;_ @_ "/>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numFmt numFmtId="166" formatCode="_ * #,##0_ ;_ * \-#,##0_ ;_ * &quot;-&quot;??_ ;_ @_ "/>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dxf>
    <dxf>
      <font>
        <b/>
        <i val="0"/>
        <strike val="0"/>
        <condense val="0"/>
        <extend val="0"/>
        <outline val="0"/>
        <shadow val="0"/>
        <u val="none"/>
        <vertAlign val="baseline"/>
        <sz val="10"/>
        <color theme="0"/>
        <name val="Arial"/>
        <family val="2"/>
        <scheme val="none"/>
      </font>
      <numFmt numFmtId="166" formatCode="_ * #,##0_ ;_ * \-#,##0_ ;_ * &quot;-&quot;??_ ;_ @_ "/>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1"/>
        <color theme="1"/>
        <name val="Calibri"/>
        <family val="2"/>
        <scheme val="minor"/>
      </font>
      <numFmt numFmtId="177" formatCode="d/mm/yyyy"/>
      <fill>
        <patternFill patternType="none">
          <fgColor indexed="64"/>
          <bgColor indexed="65"/>
        </patternFill>
      </fill>
    </dxf>
    <dxf>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70" formatCode="_(&quot;S/.&quot;\ * #,##0_);_(&quot;S/.&quot;\ * \(#,##0\);_(&quot;S/.&quot;\ * &quot;-&quot;??_);_(@_)"/>
    </dxf>
    <dxf>
      <font>
        <b val="0"/>
        <i val="0"/>
        <strike val="0"/>
        <condense val="0"/>
        <extend val="0"/>
        <outline val="0"/>
        <shadow val="0"/>
        <u val="none"/>
        <vertAlign val="baseline"/>
        <sz val="10"/>
        <color auto="1"/>
        <name val="Calibri"/>
        <family val="2"/>
        <scheme val="minor"/>
      </font>
      <numFmt numFmtId="170" formatCode="_(&quot;S/.&quot;\ * #,##0_);_(&quot;S/.&quot;\ * \(#,##0\);_(&quot;S/.&quot;\ * &quot;-&quot;??_);_(@_)"/>
    </dxf>
    <dxf>
      <font>
        <b val="0"/>
        <i val="0"/>
        <strike val="0"/>
        <condense val="0"/>
        <extend val="0"/>
        <outline val="0"/>
        <shadow val="0"/>
        <u val="none"/>
        <vertAlign val="baseline"/>
        <sz val="10"/>
        <color auto="1"/>
        <name val="Calibri"/>
        <family val="2"/>
        <scheme val="minor"/>
      </font>
      <numFmt numFmtId="170" formatCode="_(&quot;S/.&quot;\ * #,##0_);_(&quot;S/.&quot;\ * \(#,##0\);_(&quot;S/.&quot;\ * &quot;-&quot;??_);_(@_)"/>
      <fill>
        <patternFill patternType="none">
          <fgColor indexed="64"/>
          <bgColor indexed="65"/>
        </patternFill>
      </fill>
    </dxf>
    <dxf>
      <font>
        <b val="0"/>
        <i val="0"/>
        <strike val="0"/>
        <condense val="0"/>
        <extend val="0"/>
        <outline val="0"/>
        <shadow val="0"/>
        <u val="none"/>
        <vertAlign val="baseline"/>
        <sz val="10"/>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border diagonalUp="0" diagonalDown="0" outline="0">
        <left style="thin">
          <color indexed="64"/>
        </left>
        <right/>
        <top/>
        <bottom/>
      </border>
    </dxf>
    <dxf>
      <border outline="0">
        <top style="thin">
          <color indexed="64"/>
        </top>
      </border>
    </dxf>
    <dxf>
      <font>
        <strike val="0"/>
        <outline val="0"/>
        <shadow val="0"/>
        <vertAlign val="baseline"/>
        <sz val="10"/>
        <name val="Calibri"/>
        <family val="2"/>
        <scheme val="minor"/>
      </font>
    </dxf>
    <dxf>
      <border outline="0">
        <bottom style="thin">
          <color indexed="64"/>
        </bottom>
      </border>
    </dxf>
    <dxf>
      <font>
        <strike val="0"/>
        <outline val="0"/>
        <shadow val="0"/>
        <vertAlign val="baseline"/>
        <sz val="10"/>
        <name val="Calibri"/>
        <family val="2"/>
        <scheme val="minor"/>
      </font>
      <alignment horizontal="center" vertical="center" textRotation="0" wrapText="0" indent="0" justifyLastLine="0" shrinkToFit="0" readingOrder="0"/>
    </dxf>
    <dxf>
      <font>
        <b/>
        <color theme="1"/>
      </font>
      <border>
        <bottom style="thin">
          <color theme="6"/>
        </bottom>
        <vertical/>
        <horizontal/>
      </border>
    </dxf>
    <dxf>
      <font>
        <color theme="1"/>
      </font>
      <border diagonalUp="0" diagonalDown="0">
        <left/>
        <right/>
        <top/>
        <bottom/>
        <vertical/>
        <horizontal/>
      </border>
    </dxf>
  </dxfs>
  <tableStyles count="1" defaultTableStyle="TableStyleMedium2" defaultPivotStyle="PivotStyleLight16">
    <tableStyle name="21.10.23N" pivot="0" table="0" count="10" xr9:uid="{1D0FB217-CA77-4DFD-9187-988FFDC4BD7D}">
      <tableStyleElement type="wholeTable" dxfId="37"/>
      <tableStyleElement type="headerRow" dxfId="36"/>
    </tableStyle>
  </tableStyles>
  <colors>
    <mruColors>
      <color rgb="FFCCFF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21.10.23N">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76200</xdr:colOff>
      <xdr:row>6</xdr:row>
      <xdr:rowOff>47625</xdr:rowOff>
    </xdr:from>
    <xdr:to>
      <xdr:col>12</xdr:col>
      <xdr:colOff>571500</xdr:colOff>
      <xdr:row>16</xdr:row>
      <xdr:rowOff>85725</xdr:rowOff>
    </xdr:to>
    <xdr:sp macro="" textlink="">
      <xdr:nvSpPr>
        <xdr:cNvPr id="2" name="2 CuadroTexto">
          <a:extLst>
            <a:ext uri="{FF2B5EF4-FFF2-40B4-BE49-F238E27FC236}">
              <a16:creationId xmlns:a16="http://schemas.microsoft.com/office/drawing/2014/main" id="{5439C7C9-EE53-4D25-B840-A8EBAEFB0A9D}"/>
            </a:ext>
          </a:extLst>
        </xdr:cNvPr>
        <xdr:cNvSpPr txBox="1"/>
      </xdr:nvSpPr>
      <xdr:spPr>
        <a:xfrm>
          <a:off x="2362200" y="1190625"/>
          <a:ext cx="7353300"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s-PE" sz="2000">
            <a:solidFill>
              <a:schemeClr val="dk1"/>
            </a:solidFill>
            <a:latin typeface="+mn-lt"/>
            <a:ea typeface="+mn-ea"/>
            <a:cs typeface="+mn-cs"/>
          </a:endParaRPr>
        </a:p>
        <a:p>
          <a:r>
            <a:rPr lang="es-PE" sz="2000">
              <a:solidFill>
                <a:schemeClr val="dk1"/>
              </a:solidFill>
              <a:latin typeface="+mn-lt"/>
              <a:ea typeface="+mn-ea"/>
              <a:cs typeface="+mn-cs"/>
            </a:rPr>
            <a:t>Si una persona es perseverante, aunque sea dura de entendimiento,</a:t>
          </a:r>
          <a:endParaRPr lang="es-PE" sz="2000"/>
        </a:p>
        <a:p>
          <a:r>
            <a:rPr lang="es-PE" sz="2000">
              <a:solidFill>
                <a:schemeClr val="dk1"/>
              </a:solidFill>
              <a:latin typeface="+mn-lt"/>
              <a:ea typeface="+mn-ea"/>
              <a:cs typeface="+mn-cs"/>
            </a:rPr>
            <a:t>se hará inteligente; y aunque sea débil se transformará en fuerte.</a:t>
          </a:r>
          <a:endParaRPr lang="es-PE" sz="2000"/>
        </a:p>
        <a:p>
          <a:r>
            <a:rPr lang="es-PE" sz="2000">
              <a:solidFill>
                <a:schemeClr val="dk1"/>
              </a:solidFill>
              <a:latin typeface="+mn-lt"/>
              <a:ea typeface="+mn-ea"/>
              <a:cs typeface="+mn-cs"/>
            </a:rPr>
            <a:t>			(Leonardo Da Vinci )</a:t>
          </a:r>
          <a:endParaRPr lang="es-PE" sz="2000"/>
        </a:p>
        <a:p>
          <a:endParaRPr lang="es-PE"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171448</xdr:colOff>
      <xdr:row>7</xdr:row>
      <xdr:rowOff>47625</xdr:rowOff>
    </xdr:from>
    <xdr:to>
      <xdr:col>7</xdr:col>
      <xdr:colOff>228599</xdr:colOff>
      <xdr:row>12</xdr:row>
      <xdr:rowOff>64108</xdr:rowOff>
    </xdr:to>
    <xdr:sp macro="" textlink="">
      <xdr:nvSpPr>
        <xdr:cNvPr id="2" name="CuadroTexto 1">
          <a:extLst>
            <a:ext uri="{FF2B5EF4-FFF2-40B4-BE49-F238E27FC236}">
              <a16:creationId xmlns:a16="http://schemas.microsoft.com/office/drawing/2014/main" id="{990366B4-C5D6-4A04-A892-DCD67145136F}"/>
            </a:ext>
          </a:extLst>
        </xdr:cNvPr>
        <xdr:cNvSpPr txBox="1"/>
      </xdr:nvSpPr>
      <xdr:spPr>
        <a:xfrm>
          <a:off x="171448" y="1381125"/>
          <a:ext cx="5391151" cy="968983"/>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PE" sz="1400" b="1">
              <a:solidFill>
                <a:sysClr val="windowText" lastClr="000000"/>
              </a:solidFill>
            </a:rPr>
            <a:t>Ante la necesidad de las empresas por ser competitivas en el mercado en el cual se desenvuelven, es necesario que sus ejecutivos conozcan las herramientas de Microsoft Excel que les permita mejorar su productividad, y</a:t>
          </a:r>
          <a:r>
            <a:rPr lang="es-PE" sz="1400" b="1" baseline="0">
              <a:solidFill>
                <a:sysClr val="windowText" lastClr="000000"/>
              </a:solidFill>
            </a:rPr>
            <a:t> </a:t>
          </a:r>
          <a:r>
            <a:rPr lang="es-PE" sz="1400" b="1">
              <a:solidFill>
                <a:sysClr val="windowText" lastClr="000000"/>
              </a:solidFill>
            </a:rPr>
            <a:t>ser más eficiente en su centro de trabajo.</a:t>
          </a:r>
        </a:p>
      </xdr:txBody>
    </xdr:sp>
    <xdr:clientData/>
  </xdr:twoCellAnchor>
  <xdr:twoCellAnchor>
    <xdr:from>
      <xdr:col>0</xdr:col>
      <xdr:colOff>104772</xdr:colOff>
      <xdr:row>0</xdr:row>
      <xdr:rowOff>133350</xdr:rowOff>
    </xdr:from>
    <xdr:to>
      <xdr:col>6</xdr:col>
      <xdr:colOff>447675</xdr:colOff>
      <xdr:row>7</xdr:row>
      <xdr:rowOff>19286</xdr:rowOff>
    </xdr:to>
    <xdr:sp macro="" textlink="">
      <xdr:nvSpPr>
        <xdr:cNvPr id="3" name="CuadroTexto 2">
          <a:extLst>
            <a:ext uri="{FF2B5EF4-FFF2-40B4-BE49-F238E27FC236}">
              <a16:creationId xmlns:a16="http://schemas.microsoft.com/office/drawing/2014/main" id="{0BFAB384-01BA-4C9C-B40F-A21149332D3E}"/>
            </a:ext>
          </a:extLst>
        </xdr:cNvPr>
        <xdr:cNvSpPr txBox="1"/>
      </xdr:nvSpPr>
      <xdr:spPr>
        <a:xfrm>
          <a:off x="104772" y="133350"/>
          <a:ext cx="4914903" cy="1219436"/>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PE" sz="3600" b="1" u="none" baseline="0">
              <a:solidFill>
                <a:schemeClr val="tx2"/>
              </a:solidFill>
            </a:rPr>
            <a:t>Curso: </a:t>
          </a:r>
        </a:p>
        <a:p>
          <a:r>
            <a:rPr lang="es-PE" sz="3600" b="1" u="none" baseline="0">
              <a:solidFill>
                <a:schemeClr val="tx2"/>
              </a:solidFill>
            </a:rPr>
            <a:t>MS Excel Profesional</a:t>
          </a:r>
          <a:endParaRPr lang="es-PE" sz="3600" b="1" u="none">
            <a:solidFill>
              <a:schemeClr val="tx2"/>
            </a:solidFill>
          </a:endParaRPr>
        </a:p>
      </xdr:txBody>
    </xdr:sp>
    <xdr:clientData/>
  </xdr:twoCellAnchor>
  <xdr:twoCellAnchor editAs="oneCell">
    <xdr:from>
      <xdr:col>7</xdr:col>
      <xdr:colOff>238126</xdr:colOff>
      <xdr:row>8</xdr:row>
      <xdr:rowOff>62911</xdr:rowOff>
    </xdr:from>
    <xdr:to>
      <xdr:col>8</xdr:col>
      <xdr:colOff>676275</xdr:colOff>
      <xdr:row>15</xdr:row>
      <xdr:rowOff>160713</xdr:rowOff>
    </xdr:to>
    <xdr:pic>
      <xdr:nvPicPr>
        <xdr:cNvPr id="7" name="Imagen 6">
          <a:extLst>
            <a:ext uri="{FF2B5EF4-FFF2-40B4-BE49-F238E27FC236}">
              <a16:creationId xmlns:a16="http://schemas.microsoft.com/office/drawing/2014/main" id="{807691B2-3CC9-606B-CD01-32E00111564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72126" y="1586911"/>
          <a:ext cx="1200149" cy="152655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447675</xdr:colOff>
      <xdr:row>0</xdr:row>
      <xdr:rowOff>95251</xdr:rowOff>
    </xdr:from>
    <xdr:to>
      <xdr:col>8</xdr:col>
      <xdr:colOff>190501</xdr:colOff>
      <xdr:row>7</xdr:row>
      <xdr:rowOff>28577</xdr:rowOff>
    </xdr:to>
    <xdr:pic>
      <xdr:nvPicPr>
        <xdr:cNvPr id="8" name="Imagen 7" descr="Business Analytics with Excel: Elementary to Advanced | Coursera">
          <a:extLst>
            <a:ext uri="{FF2B5EF4-FFF2-40B4-BE49-F238E27FC236}">
              <a16:creationId xmlns:a16="http://schemas.microsoft.com/office/drawing/2014/main" id="{67FEDC91-A1D9-FFCA-CD49-8503C380171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19675" y="95251"/>
          <a:ext cx="1266826" cy="12668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523875</xdr:colOff>
      <xdr:row>0</xdr:row>
      <xdr:rowOff>123824</xdr:rowOff>
    </xdr:from>
    <xdr:to>
      <xdr:col>15</xdr:col>
      <xdr:colOff>688316</xdr:colOff>
      <xdr:row>19</xdr:row>
      <xdr:rowOff>28574</xdr:rowOff>
    </xdr:to>
    <xdr:pic>
      <xdr:nvPicPr>
        <xdr:cNvPr id="5" name="Imagen 4">
          <a:extLst>
            <a:ext uri="{FF2B5EF4-FFF2-40B4-BE49-F238E27FC236}">
              <a16:creationId xmlns:a16="http://schemas.microsoft.com/office/drawing/2014/main" id="{CC514FAA-9A1B-2309-1C95-6E8D5907593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81875" y="123824"/>
          <a:ext cx="4736441" cy="3667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647700</xdr:colOff>
      <xdr:row>23</xdr:row>
      <xdr:rowOff>0</xdr:rowOff>
    </xdr:from>
    <xdr:to>
      <xdr:col>2</xdr:col>
      <xdr:colOff>647700</xdr:colOff>
      <xdr:row>25</xdr:row>
      <xdr:rowOff>2898</xdr:rowOff>
    </xdr:to>
    <xdr:pic>
      <xdr:nvPicPr>
        <xdr:cNvPr id="4" name="Picture 6">
          <a:extLst>
            <a:ext uri="{FF2B5EF4-FFF2-40B4-BE49-F238E27FC236}">
              <a16:creationId xmlns:a16="http://schemas.microsoft.com/office/drawing/2014/main" id="{B1F2D62A-E94E-417D-BDC9-B562D3C66AB0}"/>
            </a:ext>
          </a:extLst>
        </xdr:cNvPr>
        <xdr:cNvPicPr>
          <a:picLocks noChangeAspect="1" noChangeArrowheads="1"/>
        </xdr:cNvPicPr>
      </xdr:nvPicPr>
      <xdr:blipFill>
        <a:blip xmlns:r="http://schemas.openxmlformats.org/officeDocument/2006/relationships" r:embed="rId1"/>
        <a:srcRect l="36261" t="26822" r="44299" b="67189"/>
        <a:stretch>
          <a:fillRect/>
        </a:stretch>
      </xdr:blipFill>
      <xdr:spPr bwMode="auto">
        <a:xfrm>
          <a:off x="2714625" y="4010025"/>
          <a:ext cx="0" cy="441048"/>
        </a:xfrm>
        <a:prstGeom prst="rect">
          <a:avLst/>
        </a:prstGeom>
        <a:noFill/>
        <a:ln w="1">
          <a:noFill/>
          <a:miter lim="800000"/>
          <a:headEnd/>
          <a:tailEnd/>
        </a:ln>
      </xdr:spPr>
    </xdr:pic>
    <xdr:clientData/>
  </xdr:twoCellAnchor>
  <xdr:twoCellAnchor>
    <xdr:from>
      <xdr:col>2</xdr:col>
      <xdr:colOff>133350</xdr:colOff>
      <xdr:row>5</xdr:row>
      <xdr:rowOff>161925</xdr:rowOff>
    </xdr:from>
    <xdr:to>
      <xdr:col>2</xdr:col>
      <xdr:colOff>247650</xdr:colOff>
      <xdr:row>13</xdr:row>
      <xdr:rowOff>9525</xdr:rowOff>
    </xdr:to>
    <xdr:sp macro="" textlink="">
      <xdr:nvSpPr>
        <xdr:cNvPr id="5" name="AutoShape 7">
          <a:extLst>
            <a:ext uri="{FF2B5EF4-FFF2-40B4-BE49-F238E27FC236}">
              <a16:creationId xmlns:a16="http://schemas.microsoft.com/office/drawing/2014/main" id="{116515F7-0AEB-4968-A86D-2DEEB1A3EF94}"/>
            </a:ext>
          </a:extLst>
        </xdr:cNvPr>
        <xdr:cNvSpPr>
          <a:spLocks/>
        </xdr:cNvSpPr>
      </xdr:nvSpPr>
      <xdr:spPr bwMode="auto">
        <a:xfrm>
          <a:off x="2200275" y="971550"/>
          <a:ext cx="114300" cy="1162050"/>
        </a:xfrm>
        <a:prstGeom prst="rightBrace">
          <a:avLst>
            <a:gd name="adj1" fmla="val 84722"/>
            <a:gd name="adj2" fmla="val 50000"/>
          </a:avLst>
        </a:prstGeom>
        <a:noFill/>
        <a:ln w="9525">
          <a:solidFill>
            <a:srgbClr val="000000"/>
          </a:solidFill>
          <a:round/>
          <a:headEnd/>
          <a:tailEnd/>
        </a:ln>
      </xdr:spPr>
    </xdr:sp>
    <xdr:clientData/>
  </xdr:twoCellAnchor>
  <xdr:twoCellAnchor>
    <xdr:from>
      <xdr:col>6</xdr:col>
      <xdr:colOff>76200</xdr:colOff>
      <xdr:row>5</xdr:row>
      <xdr:rowOff>133350</xdr:rowOff>
    </xdr:from>
    <xdr:to>
      <xdr:col>6</xdr:col>
      <xdr:colOff>152400</xdr:colOff>
      <xdr:row>13</xdr:row>
      <xdr:rowOff>38100</xdr:rowOff>
    </xdr:to>
    <xdr:sp macro="" textlink="">
      <xdr:nvSpPr>
        <xdr:cNvPr id="6" name="AutoShape 8">
          <a:extLst>
            <a:ext uri="{FF2B5EF4-FFF2-40B4-BE49-F238E27FC236}">
              <a16:creationId xmlns:a16="http://schemas.microsoft.com/office/drawing/2014/main" id="{4E633375-3B9E-41A1-BFC9-62868F883460}"/>
            </a:ext>
          </a:extLst>
        </xdr:cNvPr>
        <xdr:cNvSpPr>
          <a:spLocks/>
        </xdr:cNvSpPr>
      </xdr:nvSpPr>
      <xdr:spPr bwMode="auto">
        <a:xfrm>
          <a:off x="6629400" y="942975"/>
          <a:ext cx="76200" cy="1219200"/>
        </a:xfrm>
        <a:prstGeom prst="rightBrace">
          <a:avLst>
            <a:gd name="adj1" fmla="val 133333"/>
            <a:gd name="adj2" fmla="val 50000"/>
          </a:avLst>
        </a:prstGeom>
        <a:noFill/>
        <a:ln w="9525">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500743</xdr:colOff>
      <xdr:row>36</xdr:row>
      <xdr:rowOff>32658</xdr:rowOff>
    </xdr:from>
    <xdr:to>
      <xdr:col>17</xdr:col>
      <xdr:colOff>566057</xdr:colOff>
      <xdr:row>37</xdr:row>
      <xdr:rowOff>163286</xdr:rowOff>
    </xdr:to>
    <xdr:sp macro="[0]!FILTRAR" textlink="">
      <xdr:nvSpPr>
        <xdr:cNvPr id="2" name="Rectángulo: esquinas redondeadas 1">
          <a:extLst>
            <a:ext uri="{FF2B5EF4-FFF2-40B4-BE49-F238E27FC236}">
              <a16:creationId xmlns:a16="http://schemas.microsoft.com/office/drawing/2014/main" id="{D38D5030-A6B1-7933-E506-BEA9006C9E23}"/>
            </a:ext>
          </a:extLst>
        </xdr:cNvPr>
        <xdr:cNvSpPr/>
      </xdr:nvSpPr>
      <xdr:spPr>
        <a:xfrm>
          <a:off x="15544800" y="6607629"/>
          <a:ext cx="849086"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t>Insertar</a:t>
          </a:r>
        </a:p>
      </xdr:txBody>
    </xdr:sp>
    <xdr:clientData/>
  </xdr:twoCellAnchor>
</xdr:wsDr>
</file>

<file path=xl/persons/person.xml><?xml version="1.0" encoding="utf-8"?>
<personList xmlns="http://schemas.microsoft.com/office/spreadsheetml/2018/threadedcomments" xmlns:x="http://schemas.openxmlformats.org/spreadsheetml/2006/main">
  <person displayName="Javier Teves, Leandro" id="{D44FAF7D-55B7-490D-AFD0-E6FC3A991680}" userId="S::leandro.javiert@entel.pe::ddca56ed-0496-4f04-85b0-52ce4345264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22AE222-6BF6-4BEF-B7B5-73857385E5B4}" name="Tabla2" displayName="Tabla2" ref="A1:J15" totalsRowShown="0">
  <autoFilter ref="A1:J15" xr:uid="{F22AE222-6BF6-4BEF-B7B5-73857385E5B4}"/>
  <tableColumns count="10">
    <tableColumn id="1" xr3:uid="{983A19D4-523B-40E7-AD63-DFFFE824B244}" name="Cliente"/>
    <tableColumn id="2" xr3:uid="{5C97AC9C-5D0C-47B5-943A-4713D73D3B56}" name="Fecha Venta"/>
    <tableColumn id="3" xr3:uid="{AA2135DC-0F2E-43C9-9F48-6F05261989EF}" name="País Destinatario"/>
    <tableColumn id="4" xr3:uid="{4192D0B3-A2F4-44B0-AED5-5007CAD97220}" name="Ciudad Destinatario"/>
    <tableColumn id="5" xr3:uid="{0E620BB7-CA84-4BD5-A429-E82446E1D381}" name="Categoría Producto"/>
    <tableColumn id="6" xr3:uid="{8B197E6B-0F9F-41A5-8159-F79003811400}" name="Nombre Producto"/>
    <tableColumn id="7" xr3:uid="{EECE209F-C169-4632-810D-5642AB3AAE79}" name="Precio Unidad"/>
    <tableColumn id="8" xr3:uid="{82A8460B-FE85-4145-B934-90342C05CDE2}" name="Cantidad"/>
    <tableColumn id="9" xr3:uid="{6DF5EBC6-D7E2-4D81-A3B2-5B585EEF5DED}" name="Importe"/>
    <tableColumn id="10" xr3:uid="{2055C902-ADC7-4DD1-8753-A9F1B9B10F96}" name="Forma de Pago"/>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8DDCA6-774E-4F49-848D-484E4A88A57E}" name="TablaVentaVehiculos" displayName="TablaVentaVehiculos" ref="A149:J249" totalsRowShown="0" headerRowDxfId="35" dataDxfId="33" headerRowBorderDxfId="34" tableBorderDxfId="32">
  <autoFilter ref="A149:J249" xr:uid="{218DDCA6-774E-4F49-848D-484E4A88A57E}"/>
  <tableColumns count="10">
    <tableColumn id="1" xr3:uid="{973F95BC-1FD7-44ED-82C1-0A5FEFF2C0AF}" name="Agencia" dataDxfId="31" dataCellStyle="Normal 2 2"/>
    <tableColumn id="2" xr3:uid="{AC7C7879-79D1-495F-89B7-70727364E009}" name="Vehiculo" dataDxfId="30" dataCellStyle="Normal 2 2"/>
    <tableColumn id="3" xr3:uid="{FD14F6E3-1401-4208-9E0F-B6297C461AC2}" name="Marca" dataDxfId="29" dataCellStyle="Normal 2 2"/>
    <tableColumn id="4" xr3:uid="{2A761FA6-E8BA-4839-9F49-08786312316D}" name="Turno" dataDxfId="28" dataCellStyle="Normal 2 2"/>
    <tableColumn id="5" xr3:uid="{9B2C2047-A05E-4E47-88A7-B30EA14DC8E5}" name="Lugar" dataDxfId="27" dataCellStyle="Normal 2 2"/>
    <tableColumn id="6" xr3:uid="{1D833E7C-B22D-4A1C-82E0-544EC8635496}" name="Vendedor" dataDxfId="26" dataCellStyle="Normal 2 2"/>
    <tableColumn id="7" xr3:uid="{9943B3BD-C70A-4BE2-99C1-AF0179A8A554}" name="Cantidad" dataDxfId="25" dataCellStyle="Normal 2 2">
      <calculatedColumnFormula>RANDBETWEEN(1,20)</calculatedColumnFormula>
    </tableColumn>
    <tableColumn id="8" xr3:uid="{8E461962-08D2-41A0-BA13-BF15E7CF6010}" name="Comisión" dataDxfId="24" dataCellStyle="Moneda_Indirect"/>
    <tableColumn id="10" xr3:uid="{116396D2-3560-420A-ABB5-0EC7F6FB6F1C}" name="Precio" dataDxfId="23" dataCellStyle="Moneda_Indirect"/>
    <tableColumn id="9" xr3:uid="{556B11DA-6747-48A3-B000-36113DA793EF}" name="Importe" dataDxfId="22" dataCellStyle="Moneda_Indirect"/>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6C7652-D9DC-47F9-9DC0-D20ACA1E1C6C}" name="tbl_ejm" displayName="tbl_ejm" ref="K95:M99" totalsRowShown="0" headerRowDxfId="21">
  <tableColumns count="3">
    <tableColumn id="3" xr3:uid="{5DA510D3-3E3D-4587-A3F7-B105995004FC}" name="PRODUCTO" dataDxfId="20"/>
    <tableColumn id="2" xr3:uid="{452AE161-FC0C-46E4-A3F9-20D91A7992B9}" name="TIPO PRODUCTO"/>
    <tableColumn id="4" xr3:uid="{8DEDBF99-A846-42F3-8A95-141E0037EBC8}" name="CANTIDAD" dataDxfId="19"/>
  </tableColumns>
  <tableStyleInfo name="TableStyleLight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6D59278-853C-40D6-A175-DF32A8FEBA0B}" name="Tabla3" displayName="Tabla3" ref="A1:K80" totalsRowShown="0" headerRowDxfId="18" dataDxfId="17" tableBorderDxfId="16" headerRowCellStyle="Millares_PRUEBA DE ubicación en excel intermedio" dataCellStyle="Millares_PRUEBA DE ubicación en excel intermedio">
  <tableColumns count="11">
    <tableColumn id="1" xr3:uid="{83790354-6B38-486E-99DA-FD115EF1F415}" name="PATERNO" dataDxfId="15" dataCellStyle="Normal 2"/>
    <tableColumn id="2" xr3:uid="{F2AEE5F8-C4C1-4F19-9D9B-200A3C6BA6A3}" name="MATERNO" dataDxfId="14" dataCellStyle="Normal 2"/>
    <tableColumn id="3" xr3:uid="{2189F9BE-7BC6-4A95-A6DE-58580C6DB0D7}" name="NOMBRES" dataDxfId="13" dataCellStyle="Normal 2"/>
    <tableColumn id="4" xr3:uid="{D083BFA1-DA49-46CA-8872-233541797070}" name="SEXO" dataDxfId="12" dataCellStyle="Normal 2"/>
    <tableColumn id="5" xr3:uid="{938D6AEE-B38A-4402-8C58-6C7EA5C1D940}" name="EDAD" dataDxfId="11" dataCellStyle="Normal 2"/>
    <tableColumn id="6" xr3:uid="{5FC9B114-8F73-4174-A750-2F5CF7E048CD}" name="OCUPACION" dataDxfId="10" dataCellStyle="Normal 2"/>
    <tableColumn id="7" xr3:uid="{FC756A96-7F8E-4B74-A97D-16378C523B9F}" name="DISTRITO" dataDxfId="9" dataCellStyle="Normal 2"/>
    <tableColumn id="8" xr3:uid="{F7BB2CE6-CB53-481D-AA67-43EE626C6820}" name="BASICO" dataDxfId="8" dataCellStyle="Millares_PRUEBA DE ubicación en excel intermedio"/>
    <tableColumn id="9" xr3:uid="{38CA1807-69C3-47BF-9047-F7D063C0996E}" name="BONIFICACION" dataDxfId="7" dataCellStyle="Normal 2">
      <calculatedColumnFormula>H2*0.1</calculatedColumnFormula>
    </tableColumn>
    <tableColumn id="10" xr3:uid="{0FFB6B09-CD63-4486-8D34-2DE0C3BFD7E8}" name="DESCUENTO" dataDxfId="6" dataCellStyle="Millares_PRUEBA DE ubicación en excel intermedio">
      <calculatedColumnFormula>H2*0.05</calculatedColumnFormula>
    </tableColumn>
    <tableColumn id="11" xr3:uid="{67F13266-C9D7-43B1-ADB4-537DA4359C63}" name="SUELDO" dataDxfId="5" dataCellStyle="Millares_PRUEBA DE ubicación en excel intermedio">
      <calculatedColumnFormula>H2+I2-J2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49" dT="2022-08-18T04:21:53.18" personId="{D44FAF7D-55B7-490D-AFD0-E6FC3A991680}" id="{63F77A19-92AF-407E-AF02-898EFCDD15EF}">
    <text>Colocar cantidades de 1 a 20 aleatoriamente</text>
  </threadedComment>
  <threadedComment ref="H149" dT="2022-08-18T04:23:26.33" personId="{D44FAF7D-55B7-490D-AFD0-E6FC3A991680}" id="{46F7AF9B-4D09-4C3D-BD3C-282339EFBC2B}">
    <text>Es el valor de la tabla de comisiones x cantidad</text>
  </threadedComment>
  <threadedComment ref="I149" dT="2022-08-18T04:22:16.27" personId="{D44FAF7D-55B7-490D-AFD0-E6FC3A991680}" id="{EBCF4A43-453C-4D1D-87C7-717E1F76C3B6}">
    <text>Obtener de la tabla precio</text>
  </threadedComment>
  <threadedComment ref="J149" dT="2022-08-18T04:22:50.75" personId="{D44FAF7D-55B7-490D-AFD0-E6FC3A991680}" id="{39640CC0-E606-47F5-8920-6F9CFF13A5A3}">
    <text>Cantidad x Precio</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25BD7E7-59E9-48E3-BB33-1DA414330844}">
  <we:reference id="wa200005502" version="1.0.0.11" store="es-ES" storeType="OMEX"/>
  <we:alternateReferences>
    <we:reference id="wa200005502" version="1.0.0.11" store="WA200005502" storeType="OMEX"/>
  </we:alternateReferences>
  <we:properties>
    <we:property name="docId" value="&quot;9yytZd11bJWlss0Fln1cl&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mailto:msexcelforbusiness@gmail.com" TargetMode="External"/><Relationship Id="rId1" Type="http://schemas.openxmlformats.org/officeDocument/2006/relationships/hyperlink" Target="https://www.youtube.com/@aprendiendoconleandro"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D940-9A6B-4D4E-A540-F5D679D527B4}">
  <sheetPr codeName="Hoja1"/>
  <dimension ref="A1"/>
  <sheetViews>
    <sheetView showGridLines="0" showRowColHeaders="0" workbookViewId="0"/>
  </sheetViews>
  <sheetFormatPr baseColWidth="10" defaultColWidth="11.44140625" defaultRowHeight="14.4" x14ac:dyDescent="0.3"/>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47E35-9158-476D-9259-17B26AB05B04}">
  <sheetPr codeName="Hoja2"/>
  <dimension ref="A5:L24"/>
  <sheetViews>
    <sheetView showGridLines="0" workbookViewId="0">
      <selection activeCell="B18" sqref="B18"/>
    </sheetView>
  </sheetViews>
  <sheetFormatPr baseColWidth="10" defaultColWidth="11.44140625" defaultRowHeight="14.4" x14ac:dyDescent="0.3"/>
  <sheetData>
    <row r="5" spans="1:12" x14ac:dyDescent="0.3">
      <c r="L5" s="2"/>
    </row>
    <row r="6" spans="1:12" x14ac:dyDescent="0.3">
      <c r="L6" s="2"/>
    </row>
    <row r="7" spans="1:12" x14ac:dyDescent="0.3">
      <c r="L7" s="2"/>
    </row>
    <row r="8" spans="1:12" x14ac:dyDescent="0.3">
      <c r="L8" s="2"/>
    </row>
    <row r="14" spans="1:12" ht="18" x14ac:dyDescent="0.35">
      <c r="A14" s="219" t="s">
        <v>0</v>
      </c>
      <c r="B14" s="220" t="s">
        <v>1</v>
      </c>
    </row>
    <row r="15" spans="1:12" ht="18" x14ac:dyDescent="0.35">
      <c r="A15" s="219" t="s">
        <v>2</v>
      </c>
      <c r="B15" s="220" t="s">
        <v>3</v>
      </c>
    </row>
    <row r="16" spans="1:12" ht="18" x14ac:dyDescent="0.35">
      <c r="A16" s="219" t="s">
        <v>4</v>
      </c>
      <c r="B16" s="221" t="s">
        <v>5</v>
      </c>
    </row>
    <row r="18" spans="2:3" x14ac:dyDescent="0.3">
      <c r="B18" s="1" t="s">
        <v>6</v>
      </c>
    </row>
    <row r="19" spans="2:3" x14ac:dyDescent="0.3">
      <c r="C19" s="2" t="s">
        <v>7</v>
      </c>
    </row>
    <row r="20" spans="2:3" x14ac:dyDescent="0.3">
      <c r="C20" s="2" t="s">
        <v>8</v>
      </c>
    </row>
    <row r="21" spans="2:3" x14ac:dyDescent="0.3">
      <c r="C21" s="2" t="s">
        <v>9</v>
      </c>
    </row>
    <row r="22" spans="2:3" x14ac:dyDescent="0.3">
      <c r="C22" s="2" t="s">
        <v>10</v>
      </c>
    </row>
    <row r="24" spans="2:3" x14ac:dyDescent="0.3">
      <c r="C24" s="2"/>
    </row>
  </sheetData>
  <hyperlinks>
    <hyperlink ref="B15" r:id="rId1" xr:uid="{57C44F47-BB1E-4F7D-B5A4-F5564B96EDA7}"/>
    <hyperlink ref="B16" r:id="rId2" xr:uid="{7AB81AEE-59A8-486C-85E8-661A77F75854}"/>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FC101-F0E4-4BA8-AC14-806D9B947D7F}">
  <sheetPr codeName="Hoja14"/>
  <dimension ref="A1:H297"/>
  <sheetViews>
    <sheetView showGridLines="0" workbookViewId="0">
      <pane ySplit="13" topLeftCell="A284" activePane="bottomLeft" state="frozen"/>
      <selection activeCell="C138" sqref="C138"/>
      <selection pane="bottomLeft" activeCell="C293" sqref="C293"/>
    </sheetView>
  </sheetViews>
  <sheetFormatPr baseColWidth="10" defaultColWidth="0" defaultRowHeight="14.4" x14ac:dyDescent="0.3"/>
  <cols>
    <col min="1" max="1" width="22.5546875" customWidth="1"/>
    <col min="2" max="2" width="9.44140625" customWidth="1"/>
    <col min="3" max="3" width="16.88671875" customWidth="1"/>
    <col min="4" max="4" width="20.44140625" customWidth="1"/>
    <col min="5" max="5" width="17.33203125" bestFit="1" customWidth="1"/>
    <col min="6" max="6" width="14.44140625" customWidth="1"/>
    <col min="7" max="7" width="11.44140625" customWidth="1"/>
    <col min="8" max="8" width="11" customWidth="1"/>
    <col min="9" max="16384" width="11.44140625" hidden="1"/>
  </cols>
  <sheetData>
    <row r="1" spans="1:8" s="11" customFormat="1" x14ac:dyDescent="0.3">
      <c r="A1" s="323" t="s">
        <v>11</v>
      </c>
      <c r="B1" s="323"/>
      <c r="C1" s="323"/>
      <c r="D1" s="323"/>
      <c r="E1" s="323"/>
      <c r="F1" s="323"/>
      <c r="G1" s="323"/>
    </row>
    <row r="2" spans="1:8" s="11" customFormat="1" ht="10.5" customHeight="1" x14ac:dyDescent="0.3">
      <c r="A2" s="323"/>
      <c r="B2" s="323"/>
      <c r="C2" s="323"/>
      <c r="D2" s="323"/>
      <c r="E2" s="323"/>
      <c r="F2" s="323"/>
      <c r="G2" s="323"/>
    </row>
    <row r="3" spans="1:8" s="11" customFormat="1" ht="4.5" customHeight="1" x14ac:dyDescent="0.3">
      <c r="D3" s="12"/>
      <c r="E3" s="12"/>
      <c r="F3" s="12"/>
      <c r="G3" s="12"/>
    </row>
    <row r="4" spans="1:8" s="11" customFormat="1" ht="0.75" customHeight="1" x14ac:dyDescent="0.3">
      <c r="D4" s="12"/>
      <c r="E4" s="12"/>
      <c r="F4" s="12"/>
      <c r="G4" s="12"/>
    </row>
    <row r="5" spans="1:8" s="11" customFormat="1" x14ac:dyDescent="0.3">
      <c r="A5" s="13" t="s">
        <v>12</v>
      </c>
      <c r="D5" s="12"/>
      <c r="E5" s="12"/>
      <c r="F5" s="12"/>
      <c r="G5" s="12"/>
    </row>
    <row r="6" spans="1:8" ht="8.25" customHeight="1" thickBot="1" x14ac:dyDescent="0.35">
      <c r="A6" s="264"/>
      <c r="B6" s="12"/>
      <c r="C6" s="12"/>
      <c r="D6" s="264"/>
      <c r="E6" s="12"/>
      <c r="F6" s="12"/>
      <c r="G6" s="12"/>
      <c r="H6" s="11"/>
    </row>
    <row r="7" spans="1:8" x14ac:dyDescent="0.3">
      <c r="A7" s="287"/>
      <c r="B7" s="14">
        <v>100</v>
      </c>
      <c r="C7" s="12"/>
      <c r="D7" s="265"/>
      <c r="E7" s="12"/>
      <c r="F7" s="15" t="b">
        <v>1</v>
      </c>
      <c r="G7" s="12"/>
      <c r="H7" s="11"/>
    </row>
    <row r="8" spans="1:8" x14ac:dyDescent="0.3">
      <c r="A8" s="287"/>
      <c r="B8" s="16" t="s">
        <v>13</v>
      </c>
      <c r="C8" s="12"/>
      <c r="D8" s="265"/>
      <c r="E8" s="12"/>
      <c r="F8" s="17">
        <v>10</v>
      </c>
      <c r="G8" s="12"/>
      <c r="H8" s="11"/>
    </row>
    <row r="9" spans="1:8" x14ac:dyDescent="0.3">
      <c r="A9" s="287"/>
      <c r="B9" s="16">
        <v>300</v>
      </c>
      <c r="C9" s="12"/>
      <c r="D9" s="265"/>
      <c r="E9" s="12"/>
      <c r="F9" s="17" t="s">
        <v>14</v>
      </c>
      <c r="G9" s="12"/>
      <c r="H9" s="11"/>
    </row>
    <row r="10" spans="1:8" x14ac:dyDescent="0.3">
      <c r="A10" s="287"/>
      <c r="B10" s="16">
        <v>600</v>
      </c>
      <c r="C10" s="18" t="s">
        <v>15</v>
      </c>
      <c r="D10" s="265"/>
      <c r="E10" s="12"/>
      <c r="F10" s="17">
        <v>20</v>
      </c>
      <c r="G10" s="19" t="s">
        <v>14</v>
      </c>
      <c r="H10" s="11"/>
    </row>
    <row r="11" spans="1:8" x14ac:dyDescent="0.3">
      <c r="A11" s="287"/>
      <c r="B11" s="16">
        <v>7000</v>
      </c>
      <c r="C11" s="12"/>
      <c r="D11" s="265"/>
      <c r="E11" s="12"/>
      <c r="F11" s="17" t="b">
        <v>0</v>
      </c>
      <c r="G11" s="12"/>
      <c r="H11" s="11"/>
    </row>
    <row r="12" spans="1:8" x14ac:dyDescent="0.3">
      <c r="A12" s="287"/>
      <c r="B12" s="16">
        <v>922</v>
      </c>
      <c r="C12" s="12"/>
      <c r="D12" s="265"/>
      <c r="E12" s="12"/>
      <c r="F12" s="17" t="s">
        <v>15</v>
      </c>
      <c r="G12" s="12"/>
      <c r="H12" s="11"/>
    </row>
    <row r="13" spans="1:8" ht="15" thickBot="1" x14ac:dyDescent="0.35">
      <c r="A13" s="287"/>
      <c r="B13" s="20">
        <v>500</v>
      </c>
      <c r="C13" s="12"/>
      <c r="D13" s="264"/>
      <c r="E13" s="12"/>
      <c r="F13" s="21" t="b">
        <v>1</v>
      </c>
      <c r="G13" s="12"/>
      <c r="H13" s="11"/>
    </row>
    <row r="14" spans="1:8" x14ac:dyDescent="0.3">
      <c r="A14" s="8"/>
      <c r="B14" s="8"/>
      <c r="C14" s="8"/>
      <c r="E14" s="8"/>
      <c r="F14" s="22"/>
      <c r="G14" s="8"/>
    </row>
    <row r="15" spans="1:8" ht="17.399999999999999" x14ac:dyDescent="0.3">
      <c r="A15" s="322" t="s">
        <v>16</v>
      </c>
      <c r="B15" s="322"/>
      <c r="C15" s="322"/>
      <c r="E15" s="8"/>
      <c r="F15" s="22"/>
      <c r="G15" s="8"/>
    </row>
    <row r="16" spans="1:8" x14ac:dyDescent="0.3">
      <c r="A16" s="8" t="s">
        <v>17</v>
      </c>
      <c r="B16" s="8"/>
      <c r="C16" s="8"/>
      <c r="E16" s="8"/>
      <c r="F16" s="22"/>
      <c r="G16" s="8"/>
    </row>
    <row r="17" spans="1:7" x14ac:dyDescent="0.3">
      <c r="A17" s="8" t="s">
        <v>878</v>
      </c>
      <c r="B17" s="8"/>
      <c r="C17" s="8"/>
      <c r="E17" s="8"/>
      <c r="F17" s="22"/>
      <c r="G17" s="8"/>
    </row>
    <row r="18" spans="1:7" x14ac:dyDescent="0.3">
      <c r="A18" s="23" t="s">
        <v>18</v>
      </c>
      <c r="B18" s="8"/>
      <c r="C18" s="8"/>
      <c r="E18" s="8"/>
      <c r="F18" s="22"/>
      <c r="G18" s="8"/>
    </row>
    <row r="19" spans="1:7" x14ac:dyDescent="0.3">
      <c r="A19" s="24" t="s">
        <v>19</v>
      </c>
      <c r="B19" s="8"/>
      <c r="C19" s="8"/>
      <c r="E19" s="8"/>
      <c r="F19" s="22"/>
      <c r="G19" s="8"/>
    </row>
    <row r="20" spans="1:7" x14ac:dyDescent="0.3">
      <c r="A20" s="8"/>
      <c r="B20" s="8"/>
      <c r="C20" s="8"/>
      <c r="E20" s="8"/>
      <c r="F20" s="22"/>
      <c r="G20" s="8"/>
    </row>
    <row r="21" spans="1:7" x14ac:dyDescent="0.3">
      <c r="A21" s="28" t="s">
        <v>20</v>
      </c>
      <c r="B21" s="8"/>
      <c r="C21" s="30">
        <f>SUM(B7:B13)</f>
        <v>9422</v>
      </c>
      <c r="D21" s="7"/>
      <c r="E21" s="8"/>
      <c r="F21" s="8"/>
      <c r="G21" s="8"/>
    </row>
    <row r="22" spans="1:7" x14ac:dyDescent="0.3">
      <c r="A22" s="28" t="s">
        <v>21</v>
      </c>
      <c r="B22" s="248"/>
      <c r="C22" s="214">
        <f>SUM(UNI)</f>
        <v>30</v>
      </c>
      <c r="D22" s="25"/>
      <c r="E22" s="8"/>
      <c r="G22" s="248"/>
    </row>
    <row r="23" spans="1:7" x14ac:dyDescent="0.3">
      <c r="A23" s="8"/>
      <c r="B23" s="8"/>
      <c r="C23" s="8"/>
      <c r="D23" s="25"/>
      <c r="E23" s="26"/>
    </row>
    <row r="24" spans="1:7" ht="17.399999999999999" x14ac:dyDescent="0.3">
      <c r="A24" s="322" t="s">
        <v>22</v>
      </c>
      <c r="B24" s="322"/>
      <c r="C24" s="322"/>
      <c r="D24" s="8"/>
      <c r="E24" s="8"/>
      <c r="F24" s="8"/>
      <c r="G24" s="8"/>
    </row>
    <row r="25" spans="1:7" x14ac:dyDescent="0.3">
      <c r="A25" s="8" t="s">
        <v>23</v>
      </c>
      <c r="B25" s="8"/>
      <c r="C25" s="8"/>
      <c r="D25" s="8"/>
      <c r="E25" s="8"/>
      <c r="F25" s="8"/>
      <c r="G25" s="8"/>
    </row>
    <row r="26" spans="1:7" x14ac:dyDescent="0.3">
      <c r="A26" s="8" t="s">
        <v>24</v>
      </c>
      <c r="B26" s="8"/>
      <c r="C26" s="8"/>
      <c r="D26" s="8"/>
      <c r="E26" s="8"/>
      <c r="F26" s="8"/>
      <c r="G26" s="8"/>
    </row>
    <row r="27" spans="1:7" x14ac:dyDescent="0.3">
      <c r="A27" s="8" t="s">
        <v>25</v>
      </c>
      <c r="B27" s="8"/>
      <c r="C27" s="8"/>
      <c r="D27" s="8"/>
      <c r="E27" s="8"/>
      <c r="F27" s="8"/>
      <c r="G27" s="8"/>
    </row>
    <row r="28" spans="1:7" x14ac:dyDescent="0.3">
      <c r="A28" s="8" t="s">
        <v>26</v>
      </c>
      <c r="B28" s="8"/>
      <c r="C28" s="8"/>
      <c r="D28" s="8"/>
      <c r="E28" s="8"/>
      <c r="F28" s="8"/>
      <c r="G28" s="8"/>
    </row>
    <row r="29" spans="1:7" x14ac:dyDescent="0.3">
      <c r="A29" s="8"/>
      <c r="B29" s="8"/>
      <c r="C29" s="8"/>
      <c r="D29" s="8"/>
      <c r="E29" s="8"/>
      <c r="F29" s="8"/>
      <c r="G29" s="8"/>
    </row>
    <row r="30" spans="1:7" x14ac:dyDescent="0.3">
      <c r="A30" s="23" t="s">
        <v>18</v>
      </c>
      <c r="B30" s="8"/>
      <c r="C30" s="8"/>
      <c r="D30" s="8"/>
      <c r="G30" s="8"/>
    </row>
    <row r="31" spans="1:7" x14ac:dyDescent="0.3">
      <c r="A31" s="27" t="s">
        <v>27</v>
      </c>
      <c r="B31" s="8"/>
      <c r="C31" s="8"/>
      <c r="D31" s="8"/>
      <c r="E31" s="316">
        <v>20</v>
      </c>
      <c r="G31" s="317">
        <v>20</v>
      </c>
    </row>
    <row r="32" spans="1:7" x14ac:dyDescent="0.3">
      <c r="A32" s="8"/>
      <c r="B32" s="8"/>
      <c r="C32" s="8"/>
      <c r="D32" s="8"/>
      <c r="E32" s="316"/>
      <c r="G32" s="317">
        <v>0</v>
      </c>
    </row>
    <row r="33" spans="1:7" x14ac:dyDescent="0.3">
      <c r="A33" s="28" t="s">
        <v>28</v>
      </c>
      <c r="B33" s="8"/>
      <c r="C33" s="30">
        <f>AVERAGE(MOLINA)</f>
        <v>1570.3333333333333</v>
      </c>
      <c r="D33" s="8"/>
      <c r="E33" s="316">
        <v>30</v>
      </c>
      <c r="G33" s="318">
        <v>60</v>
      </c>
    </row>
    <row r="34" spans="1:7" x14ac:dyDescent="0.3">
      <c r="A34" s="28" t="s">
        <v>29</v>
      </c>
      <c r="B34" s="8"/>
      <c r="C34" s="214">
        <f>AVERAGE(UNI)</f>
        <v>15</v>
      </c>
      <c r="D34" s="8"/>
      <c r="E34" s="316">
        <v>40</v>
      </c>
      <c r="G34" s="317">
        <v>20</v>
      </c>
    </row>
    <row r="35" spans="1:7" x14ac:dyDescent="0.3">
      <c r="A35" s="8"/>
      <c r="B35" s="8"/>
      <c r="C35" s="8"/>
      <c r="D35" s="8"/>
      <c r="E35" s="319">
        <f>AVERAGE(E31:E34)</f>
        <v>30</v>
      </c>
      <c r="G35" s="319">
        <f>AVERAGE(G31:G34)</f>
        <v>25</v>
      </c>
    </row>
    <row r="36" spans="1:7" ht="17.399999999999999" x14ac:dyDescent="0.3">
      <c r="A36" s="322" t="s">
        <v>30</v>
      </c>
      <c r="B36" s="322"/>
      <c r="C36" s="322"/>
      <c r="D36" s="8"/>
      <c r="E36" s="8"/>
      <c r="F36" s="8"/>
      <c r="G36" s="8"/>
    </row>
    <row r="37" spans="1:7" x14ac:dyDescent="0.3">
      <c r="A37" s="8" t="s">
        <v>31</v>
      </c>
      <c r="B37" s="8"/>
      <c r="C37" s="8"/>
      <c r="D37" s="8"/>
      <c r="F37" s="8"/>
      <c r="G37" s="8"/>
    </row>
    <row r="38" spans="1:7" x14ac:dyDescent="0.3">
      <c r="A38" s="8"/>
      <c r="B38" s="8"/>
      <c r="C38" s="8"/>
      <c r="D38" s="8"/>
      <c r="E38" s="8"/>
      <c r="F38" s="8"/>
      <c r="G38" s="8"/>
    </row>
    <row r="39" spans="1:7" x14ac:dyDescent="0.3">
      <c r="A39" s="23" t="s">
        <v>32</v>
      </c>
      <c r="B39" s="8"/>
      <c r="C39" s="8"/>
      <c r="D39" s="8"/>
      <c r="E39" s="8"/>
      <c r="F39" s="8"/>
      <c r="G39" s="8"/>
    </row>
    <row r="40" spans="1:7" x14ac:dyDescent="0.3">
      <c r="A40" s="27" t="s">
        <v>33</v>
      </c>
      <c r="B40" s="8"/>
      <c r="C40" s="8"/>
      <c r="D40" s="8"/>
      <c r="E40" s="8"/>
      <c r="F40" s="8"/>
      <c r="G40" s="8"/>
    </row>
    <row r="42" spans="1:7" x14ac:dyDescent="0.3">
      <c r="A42" s="28" t="s">
        <v>34</v>
      </c>
      <c r="B42" s="8"/>
      <c r="C42" s="214">
        <f>MAX(MOLINA)</f>
        <v>7000</v>
      </c>
    </row>
    <row r="43" spans="1:7" x14ac:dyDescent="0.3">
      <c r="A43" s="28" t="s">
        <v>35</v>
      </c>
      <c r="B43" s="8"/>
      <c r="C43" s="214">
        <f>MAX(UNI)</f>
        <v>20</v>
      </c>
    </row>
    <row r="45" spans="1:7" ht="17.399999999999999" x14ac:dyDescent="0.3">
      <c r="A45" s="322" t="s">
        <v>36</v>
      </c>
      <c r="B45" s="322"/>
      <c r="C45" s="322"/>
    </row>
    <row r="46" spans="1:7" x14ac:dyDescent="0.3">
      <c r="A46" s="8" t="s">
        <v>37</v>
      </c>
      <c r="B46" s="8"/>
      <c r="C46" s="8"/>
    </row>
    <row r="47" spans="1:7" x14ac:dyDescent="0.3">
      <c r="A47" s="8"/>
      <c r="B47" s="8"/>
      <c r="C47" s="8"/>
    </row>
    <row r="48" spans="1:7" x14ac:dyDescent="0.3">
      <c r="A48" s="23" t="s">
        <v>32</v>
      </c>
      <c r="B48" s="8"/>
      <c r="C48" s="8"/>
    </row>
    <row r="49" spans="1:3" x14ac:dyDescent="0.3">
      <c r="A49" s="27" t="s">
        <v>38</v>
      </c>
      <c r="B49" s="8"/>
      <c r="C49" s="8"/>
    </row>
    <row r="51" spans="1:3" x14ac:dyDescent="0.3">
      <c r="A51" s="28" t="s">
        <v>39</v>
      </c>
      <c r="B51" s="8"/>
      <c r="C51" s="214">
        <f>MIN(MOLINA)</f>
        <v>100</v>
      </c>
    </row>
    <row r="52" spans="1:3" x14ac:dyDescent="0.3">
      <c r="A52" s="28" t="s">
        <v>40</v>
      </c>
      <c r="B52" s="8"/>
      <c r="C52" s="214">
        <f>MIN(UNI)</f>
        <v>10</v>
      </c>
    </row>
    <row r="54" spans="1:3" ht="17.399999999999999" x14ac:dyDescent="0.3">
      <c r="A54" s="322" t="s">
        <v>41</v>
      </c>
      <c r="B54" s="322"/>
      <c r="C54" s="322"/>
    </row>
    <row r="55" spans="1:3" x14ac:dyDescent="0.3">
      <c r="A55" t="s">
        <v>42</v>
      </c>
      <c r="B55" s="8"/>
      <c r="C55" s="8"/>
    </row>
    <row r="56" spans="1:3" x14ac:dyDescent="0.3">
      <c r="A56" t="s">
        <v>43</v>
      </c>
      <c r="B56" s="8"/>
      <c r="C56" s="8"/>
    </row>
    <row r="57" spans="1:3" x14ac:dyDescent="0.3">
      <c r="A57" s="8" t="s">
        <v>44</v>
      </c>
      <c r="B57" s="8"/>
      <c r="C57" s="8"/>
    </row>
    <row r="58" spans="1:3" x14ac:dyDescent="0.3">
      <c r="A58" s="8" t="s">
        <v>45</v>
      </c>
      <c r="B58" s="8"/>
      <c r="C58" s="8"/>
    </row>
    <row r="59" spans="1:3" x14ac:dyDescent="0.3">
      <c r="A59" s="8"/>
      <c r="B59" s="8"/>
      <c r="C59" s="8"/>
    </row>
    <row r="60" spans="1:3" x14ac:dyDescent="0.3">
      <c r="A60" s="23" t="s">
        <v>32</v>
      </c>
      <c r="B60" s="8"/>
      <c r="C60" s="8"/>
    </row>
    <row r="61" spans="1:3" s="29" customFormat="1" ht="13.2" x14ac:dyDescent="0.25">
      <c r="A61" s="27" t="s">
        <v>46</v>
      </c>
    </row>
    <row r="63" spans="1:3" x14ac:dyDescent="0.3">
      <c r="A63" s="28" t="s">
        <v>47</v>
      </c>
      <c r="B63" s="8"/>
      <c r="C63" s="30"/>
    </row>
    <row r="64" spans="1:3" x14ac:dyDescent="0.3">
      <c r="A64" s="28" t="s">
        <v>48</v>
      </c>
      <c r="B64" s="8"/>
      <c r="C64" s="30"/>
    </row>
    <row r="66" spans="1:8" ht="17.399999999999999" x14ac:dyDescent="0.3">
      <c r="A66" s="322" t="s">
        <v>49</v>
      </c>
      <c r="B66" s="322"/>
      <c r="C66" s="322"/>
    </row>
    <row r="67" spans="1:8" x14ac:dyDescent="0.3">
      <c r="A67" s="8" t="s">
        <v>50</v>
      </c>
      <c r="B67" s="8"/>
      <c r="C67" s="8"/>
    </row>
    <row r="68" spans="1:8" x14ac:dyDescent="0.3">
      <c r="A68" s="8" t="s">
        <v>51</v>
      </c>
      <c r="B68" s="8"/>
      <c r="C68" s="8"/>
    </row>
    <row r="69" spans="1:8" x14ac:dyDescent="0.3">
      <c r="A69" s="8"/>
      <c r="B69" s="8"/>
      <c r="C69" s="8"/>
    </row>
    <row r="70" spans="1:8" x14ac:dyDescent="0.3">
      <c r="A70" s="23" t="s">
        <v>32</v>
      </c>
      <c r="B70" s="8"/>
      <c r="C70" s="8"/>
      <c r="F70" t="s">
        <v>879</v>
      </c>
    </row>
    <row r="71" spans="1:8" x14ac:dyDescent="0.3">
      <c r="A71" s="27" t="s">
        <v>52</v>
      </c>
      <c r="B71" s="29"/>
      <c r="C71" s="29"/>
      <c r="D71" s="29"/>
      <c r="F71" s="316">
        <v>1</v>
      </c>
    </row>
    <row r="72" spans="1:8" x14ac:dyDescent="0.3">
      <c r="F72" s="316"/>
    </row>
    <row r="73" spans="1:8" x14ac:dyDescent="0.3">
      <c r="A73" s="28" t="s">
        <v>53</v>
      </c>
      <c r="B73" s="8"/>
      <c r="C73" s="30">
        <f>COUNTA(MOLINA)</f>
        <v>7</v>
      </c>
      <c r="F73" s="316">
        <v>3</v>
      </c>
    </row>
    <row r="74" spans="1:8" x14ac:dyDescent="0.3">
      <c r="A74" s="28" t="s">
        <v>54</v>
      </c>
      <c r="B74" s="8"/>
      <c r="C74" s="30">
        <f>COUNTA(UNI)</f>
        <v>7</v>
      </c>
      <c r="F74" s="320">
        <f>COUNTBLANK(F71:F73)</f>
        <v>1</v>
      </c>
    </row>
    <row r="76" spans="1:8" ht="17.399999999999999" x14ac:dyDescent="0.3">
      <c r="A76" s="322" t="s">
        <v>55</v>
      </c>
      <c r="B76" s="322"/>
      <c r="C76" s="322"/>
    </row>
    <row r="77" spans="1:8" x14ac:dyDescent="0.3">
      <c r="A77" t="s">
        <v>56</v>
      </c>
      <c r="G77" s="3"/>
      <c r="H77" s="3"/>
    </row>
    <row r="78" spans="1:8" x14ac:dyDescent="0.3">
      <c r="A78" t="s">
        <v>57</v>
      </c>
      <c r="G78" s="3"/>
      <c r="H78" s="3"/>
    </row>
    <row r="79" spans="1:8" x14ac:dyDescent="0.3">
      <c r="G79" s="3"/>
      <c r="H79" s="3"/>
    </row>
    <row r="80" spans="1:8" x14ac:dyDescent="0.3">
      <c r="A80" s="23" t="s">
        <v>32</v>
      </c>
      <c r="H80" s="3"/>
    </row>
    <row r="81" spans="1:8" x14ac:dyDescent="0.3">
      <c r="A81" s="27" t="s">
        <v>58</v>
      </c>
      <c r="H81" s="3"/>
    </row>
    <row r="82" spans="1:8" x14ac:dyDescent="0.3">
      <c r="H82" s="3"/>
    </row>
    <row r="83" spans="1:8" x14ac:dyDescent="0.3">
      <c r="A83" s="8" t="s">
        <v>59</v>
      </c>
    </row>
    <row r="84" spans="1:8" x14ac:dyDescent="0.3">
      <c r="A84" s="31" t="s">
        <v>60</v>
      </c>
    </row>
    <row r="85" spans="1:8" x14ac:dyDescent="0.3">
      <c r="A85" s="8" t="s">
        <v>61</v>
      </c>
    </row>
    <row r="86" spans="1:8" x14ac:dyDescent="0.3">
      <c r="A86" s="31" t="s">
        <v>62</v>
      </c>
    </row>
    <row r="89" spans="1:8" x14ac:dyDescent="0.3">
      <c r="A89" s="28" t="s">
        <v>63</v>
      </c>
      <c r="C89" s="30">
        <f>SMALL(MOLINA,2)</f>
        <v>300</v>
      </c>
      <c r="D89" s="8" t="s">
        <v>64</v>
      </c>
    </row>
    <row r="90" spans="1:8" x14ac:dyDescent="0.3">
      <c r="A90" s="28" t="s">
        <v>65</v>
      </c>
      <c r="C90" s="30">
        <f>SMALL(UNI,2)</f>
        <v>20</v>
      </c>
      <c r="D90" s="8" t="s">
        <v>66</v>
      </c>
    </row>
    <row r="93" spans="1:8" ht="17.399999999999999" x14ac:dyDescent="0.3">
      <c r="A93" s="322" t="s">
        <v>67</v>
      </c>
      <c r="B93" s="322"/>
      <c r="C93" s="322"/>
    </row>
    <row r="94" spans="1:8" x14ac:dyDescent="0.3">
      <c r="A94" s="8" t="s">
        <v>68</v>
      </c>
    </row>
    <row r="95" spans="1:8" x14ac:dyDescent="0.3">
      <c r="A95" s="8" t="s">
        <v>69</v>
      </c>
    </row>
    <row r="96" spans="1:8" x14ac:dyDescent="0.3">
      <c r="A96" s="8" t="s">
        <v>70</v>
      </c>
    </row>
    <row r="97" spans="1:4" x14ac:dyDescent="0.3">
      <c r="A97" s="8" t="s">
        <v>71</v>
      </c>
    </row>
    <row r="99" spans="1:4" x14ac:dyDescent="0.3">
      <c r="A99" s="23" t="s">
        <v>32</v>
      </c>
    </row>
    <row r="100" spans="1:4" x14ac:dyDescent="0.3">
      <c r="A100" s="27" t="s">
        <v>72</v>
      </c>
    </row>
    <row r="102" spans="1:4" x14ac:dyDescent="0.3">
      <c r="A102" s="8" t="s">
        <v>59</v>
      </c>
    </row>
    <row r="103" spans="1:4" x14ac:dyDescent="0.3">
      <c r="A103" s="31" t="s">
        <v>73</v>
      </c>
    </row>
    <row r="104" spans="1:4" x14ac:dyDescent="0.3">
      <c r="A104" s="8" t="s">
        <v>61</v>
      </c>
    </row>
    <row r="105" spans="1:4" x14ac:dyDescent="0.3">
      <c r="A105" s="31" t="s">
        <v>62</v>
      </c>
    </row>
    <row r="108" spans="1:4" x14ac:dyDescent="0.3">
      <c r="A108" s="28" t="s">
        <v>74</v>
      </c>
      <c r="C108" s="30">
        <f>LARGE(MOLINA,4)</f>
        <v>500</v>
      </c>
      <c r="D108" s="8" t="s">
        <v>75</v>
      </c>
    </row>
    <row r="109" spans="1:4" x14ac:dyDescent="0.3">
      <c r="A109" s="28" t="s">
        <v>76</v>
      </c>
      <c r="C109" s="30">
        <f>LARGE(UNI,2)</f>
        <v>10</v>
      </c>
      <c r="D109" s="8" t="s">
        <v>77</v>
      </c>
    </row>
    <row r="112" spans="1:4" ht="17.399999999999999" x14ac:dyDescent="0.3">
      <c r="A112" s="322" t="s">
        <v>78</v>
      </c>
      <c r="B112" s="322"/>
      <c r="C112" s="322"/>
    </row>
    <row r="113" spans="1:8" x14ac:dyDescent="0.3">
      <c r="A113" s="8" t="s">
        <v>79</v>
      </c>
      <c r="F113" s="4"/>
      <c r="G113" s="4"/>
      <c r="H113" s="4"/>
    </row>
    <row r="114" spans="1:8" x14ac:dyDescent="0.3">
      <c r="A114" s="8"/>
      <c r="F114" s="4"/>
      <c r="G114" s="258"/>
      <c r="H114" s="4"/>
    </row>
    <row r="115" spans="1:8" x14ac:dyDescent="0.3">
      <c r="A115" s="23" t="s">
        <v>32</v>
      </c>
      <c r="E115" s="273"/>
      <c r="G115" s="274"/>
    </row>
    <row r="116" spans="1:8" x14ac:dyDescent="0.3">
      <c r="A116" s="27" t="s">
        <v>80</v>
      </c>
      <c r="F116" s="228"/>
      <c r="G116" s="4"/>
    </row>
    <row r="117" spans="1:8" x14ac:dyDescent="0.3">
      <c r="E117" s="3"/>
      <c r="F117" s="228"/>
      <c r="G117" s="222"/>
    </row>
    <row r="118" spans="1:8" x14ac:dyDescent="0.3">
      <c r="A118" s="8" t="s">
        <v>81</v>
      </c>
      <c r="E118" s="3"/>
      <c r="G118" s="222"/>
    </row>
    <row r="119" spans="1:8" x14ac:dyDescent="0.3">
      <c r="A119" s="8" t="s">
        <v>82</v>
      </c>
    </row>
    <row r="122" spans="1:8" ht="17.399999999999999" x14ac:dyDescent="0.3">
      <c r="A122" s="322" t="s">
        <v>83</v>
      </c>
      <c r="B122" s="322"/>
      <c r="C122" s="322"/>
    </row>
    <row r="123" spans="1:8" x14ac:dyDescent="0.3">
      <c r="A123" s="8" t="s">
        <v>84</v>
      </c>
    </row>
    <row r="124" spans="1:8" x14ac:dyDescent="0.3">
      <c r="E124" s="273"/>
      <c r="F124" s="3"/>
      <c r="G124" s="275"/>
    </row>
    <row r="125" spans="1:8" x14ac:dyDescent="0.3">
      <c r="A125" s="23" t="s">
        <v>32</v>
      </c>
      <c r="G125" s="259"/>
    </row>
    <row r="126" spans="1:8" x14ac:dyDescent="0.3">
      <c r="A126" s="27" t="s">
        <v>85</v>
      </c>
    </row>
    <row r="127" spans="1:8" x14ac:dyDescent="0.3">
      <c r="A127" s="27"/>
    </row>
    <row r="128" spans="1:8" x14ac:dyDescent="0.3">
      <c r="A128" s="8" t="s">
        <v>86</v>
      </c>
      <c r="G128" s="222"/>
    </row>
    <row r="129" spans="1:7" x14ac:dyDescent="0.3">
      <c r="A129" s="8" t="s">
        <v>87</v>
      </c>
    </row>
    <row r="130" spans="1:7" x14ac:dyDescent="0.3">
      <c r="A130" s="27"/>
    </row>
    <row r="131" spans="1:7" x14ac:dyDescent="0.3">
      <c r="A131" s="27"/>
    </row>
    <row r="132" spans="1:7" ht="17.399999999999999" x14ac:dyDescent="0.3">
      <c r="A132" s="322" t="s">
        <v>88</v>
      </c>
      <c r="B132" s="322"/>
      <c r="C132" s="322"/>
    </row>
    <row r="133" spans="1:7" x14ac:dyDescent="0.3">
      <c r="A133" s="8" t="s">
        <v>89</v>
      </c>
    </row>
    <row r="135" spans="1:7" x14ac:dyDescent="0.3">
      <c r="A135" s="23" t="s">
        <v>32</v>
      </c>
    </row>
    <row r="136" spans="1:7" x14ac:dyDescent="0.3">
      <c r="A136" s="27" t="s">
        <v>90</v>
      </c>
    </row>
    <row r="137" spans="1:7" x14ac:dyDescent="0.3">
      <c r="A137" s="27"/>
    </row>
    <row r="138" spans="1:7" x14ac:dyDescent="0.3">
      <c r="A138" s="8" t="s">
        <v>91</v>
      </c>
    </row>
    <row r="139" spans="1:7" x14ac:dyDescent="0.3">
      <c r="A139" s="8" t="s">
        <v>87</v>
      </c>
    </row>
    <row r="140" spans="1:7" x14ac:dyDescent="0.3">
      <c r="A140" s="27"/>
    </row>
    <row r="143" spans="1:7" x14ac:dyDescent="0.3">
      <c r="A143" s="32" t="s">
        <v>92</v>
      </c>
      <c r="B143" s="32" t="s">
        <v>93</v>
      </c>
      <c r="C143" s="32" t="s">
        <v>94</v>
      </c>
      <c r="D143" s="32" t="s">
        <v>95</v>
      </c>
      <c r="E143" s="32" t="s">
        <v>96</v>
      </c>
      <c r="F143" s="32" t="s">
        <v>97</v>
      </c>
      <c r="G143" s="33"/>
    </row>
    <row r="144" spans="1:7" ht="15.6" x14ac:dyDescent="0.3">
      <c r="A144" s="34">
        <v>2.5110000000000001</v>
      </c>
      <c r="B144" s="34">
        <v>2</v>
      </c>
      <c r="C144" s="298">
        <f>ROUND(A144,2)</f>
        <v>2.5099999999999998</v>
      </c>
      <c r="D144" s="298">
        <f>ROUNDDOWN(A144,2)</f>
        <v>2.5099999999999998</v>
      </c>
      <c r="E144" s="298">
        <f>ROUNDUP(A144,2)</f>
        <v>2.5199999999999996</v>
      </c>
      <c r="F144" s="299"/>
      <c r="G144" s="35"/>
    </row>
    <row r="145" spans="1:7" ht="15.6" x14ac:dyDescent="0.3">
      <c r="A145" s="34">
        <v>2.589</v>
      </c>
      <c r="B145" s="34">
        <v>2</v>
      </c>
      <c r="C145" s="298">
        <f>ROUND(A145,2)</f>
        <v>2.59</v>
      </c>
      <c r="D145" s="298">
        <f t="shared" ref="D145" si="0">ROUNDDOWN(A145,2)</f>
        <v>2.58</v>
      </c>
      <c r="E145" s="298">
        <f t="shared" ref="E145" si="1">ROUNDUP(A145,2)</f>
        <v>2.59</v>
      </c>
      <c r="F145" s="299"/>
      <c r="G145" s="35"/>
    </row>
    <row r="146" spans="1:7" ht="15.6" x14ac:dyDescent="0.3">
      <c r="A146" s="34">
        <v>-2.5847000000000002</v>
      </c>
      <c r="B146" s="34">
        <v>3</v>
      </c>
      <c r="C146" s="298">
        <f>ROUND(A146,3)</f>
        <v>-2.585</v>
      </c>
      <c r="D146" s="298">
        <f>ROUNDDOWN(A146,3)</f>
        <v>-2.5840000000000001</v>
      </c>
      <c r="E146" s="298">
        <f>ROUNDUP(A146,3)</f>
        <v>-2.585</v>
      </c>
      <c r="F146" s="300"/>
      <c r="G146" s="35"/>
    </row>
    <row r="147" spans="1:7" ht="15.6" x14ac:dyDescent="0.3">
      <c r="A147" s="34">
        <v>-2.5444</v>
      </c>
      <c r="B147" s="34">
        <v>3</v>
      </c>
      <c r="C147" s="298">
        <f>ROUND(A147,3)</f>
        <v>-2.544</v>
      </c>
      <c r="D147" s="298">
        <f>ROUNDDOWN(A147,3)</f>
        <v>-2.544</v>
      </c>
      <c r="E147" s="298">
        <f>ROUNDUP(A147,3)</f>
        <v>-2.5449999999999999</v>
      </c>
      <c r="F147" s="300"/>
      <c r="G147" s="35"/>
    </row>
    <row r="148" spans="1:7" ht="15.6" x14ac:dyDescent="0.3">
      <c r="A148" s="34">
        <v>2.5844</v>
      </c>
      <c r="B148" s="34">
        <v>1</v>
      </c>
      <c r="C148" s="298">
        <f>ROUND(A148,1)</f>
        <v>2.6</v>
      </c>
      <c r="D148" s="298">
        <f>ROUNDDOWN(A148,1)</f>
        <v>2.5</v>
      </c>
      <c r="E148" s="298">
        <f>ROUNDUP(A148,1)</f>
        <v>2.6</v>
      </c>
      <c r="F148" s="301"/>
      <c r="G148" s="35"/>
    </row>
    <row r="149" spans="1:7" ht="15.6" x14ac:dyDescent="0.3">
      <c r="A149" s="34">
        <v>2.5849000000000002</v>
      </c>
      <c r="B149" s="34">
        <v>1</v>
      </c>
      <c r="C149" s="298">
        <f>ROUND(A149,1)</f>
        <v>2.6</v>
      </c>
      <c r="D149" s="298">
        <f>ROUNDDOWN(A149,1)</f>
        <v>2.5</v>
      </c>
      <c r="E149" s="298">
        <f>ROUNDUP(A149,1)</f>
        <v>2.6</v>
      </c>
      <c r="F149" s="301"/>
      <c r="G149" s="35"/>
    </row>
    <row r="150" spans="1:7" x14ac:dyDescent="0.3">
      <c r="B150" s="7" t="s">
        <v>98</v>
      </c>
      <c r="C150" s="288">
        <f>SUM(C144:C149)</f>
        <v>5.1709999999999994</v>
      </c>
      <c r="D150" s="288">
        <f t="shared" ref="D150:F150" si="2">SUM(D144:D149)</f>
        <v>4.9619999999999997</v>
      </c>
      <c r="E150" s="288" t="s">
        <v>880</v>
      </c>
      <c r="F150" s="288">
        <f t="shared" si="2"/>
        <v>0</v>
      </c>
    </row>
    <row r="152" spans="1:7" x14ac:dyDescent="0.3">
      <c r="A152" s="8" t="s">
        <v>99</v>
      </c>
    </row>
    <row r="153" spans="1:7" x14ac:dyDescent="0.3">
      <c r="A153" s="7" t="s">
        <v>100</v>
      </c>
    </row>
    <row r="155" spans="1:7" x14ac:dyDescent="0.3">
      <c r="C155" s="32" t="s">
        <v>94</v>
      </c>
      <c r="D155" s="32" t="s">
        <v>97</v>
      </c>
    </row>
    <row r="156" spans="1:7" ht="15.6" x14ac:dyDescent="0.3">
      <c r="A156" s="7">
        <v>1000</v>
      </c>
      <c r="C156" s="36"/>
      <c r="D156" s="36"/>
    </row>
    <row r="157" spans="1:7" ht="15.6" x14ac:dyDescent="0.3">
      <c r="C157" s="36"/>
      <c r="D157" s="36"/>
    </row>
    <row r="158" spans="1:7" ht="15.6" x14ac:dyDescent="0.3">
      <c r="C158" s="36"/>
      <c r="D158" s="36"/>
    </row>
    <row r="159" spans="1:7" ht="15.6" x14ac:dyDescent="0.3">
      <c r="C159" s="36"/>
      <c r="D159" s="36"/>
    </row>
    <row r="160" spans="1:7" ht="15.6" x14ac:dyDescent="0.3">
      <c r="C160" s="36"/>
      <c r="D160" s="36"/>
    </row>
    <row r="161" spans="1:4" ht="15.6" x14ac:dyDescent="0.3">
      <c r="C161" s="36"/>
      <c r="D161" s="36"/>
    </row>
    <row r="165" spans="1:4" ht="17.399999999999999" x14ac:dyDescent="0.3">
      <c r="A165" s="322" t="s">
        <v>101</v>
      </c>
      <c r="B165" s="322"/>
      <c r="C165" s="322"/>
    </row>
    <row r="166" spans="1:4" x14ac:dyDescent="0.3">
      <c r="A166" s="8" t="s">
        <v>102</v>
      </c>
    </row>
    <row r="168" spans="1:4" x14ac:dyDescent="0.3">
      <c r="A168" s="23" t="s">
        <v>32</v>
      </c>
    </row>
    <row r="169" spans="1:4" x14ac:dyDescent="0.3">
      <c r="A169" s="27" t="s">
        <v>103</v>
      </c>
    </row>
    <row r="171" spans="1:4" x14ac:dyDescent="0.3">
      <c r="A171" s="8" t="s">
        <v>104</v>
      </c>
    </row>
    <row r="174" spans="1:4" x14ac:dyDescent="0.3">
      <c r="A174" s="32" t="s">
        <v>92</v>
      </c>
      <c r="B174" s="32" t="s">
        <v>105</v>
      </c>
    </row>
    <row r="175" spans="1:4" x14ac:dyDescent="0.3">
      <c r="A175" s="34">
        <v>16</v>
      </c>
      <c r="B175" s="34">
        <f>SQRT(A175)</f>
        <v>4</v>
      </c>
    </row>
    <row r="176" spans="1:4" x14ac:dyDescent="0.3">
      <c r="A176" s="34">
        <v>-16</v>
      </c>
      <c r="B176" s="34" t="e">
        <f t="shared" ref="B176:B180" si="3">SQRT(A176)</f>
        <v>#NUM!</v>
      </c>
      <c r="C176" s="8" t="s">
        <v>106</v>
      </c>
    </row>
    <row r="177" spans="1:5" x14ac:dyDescent="0.3">
      <c r="A177" s="34">
        <v>9</v>
      </c>
      <c r="B177" s="34">
        <f t="shared" si="3"/>
        <v>3</v>
      </c>
    </row>
    <row r="178" spans="1:5" x14ac:dyDescent="0.3">
      <c r="A178" s="34">
        <v>4</v>
      </c>
      <c r="B178" s="34">
        <f t="shared" si="3"/>
        <v>2</v>
      </c>
    </row>
    <row r="179" spans="1:5" x14ac:dyDescent="0.3">
      <c r="A179" s="34">
        <v>64</v>
      </c>
      <c r="B179" s="34">
        <f t="shared" si="3"/>
        <v>8</v>
      </c>
    </row>
    <row r="180" spans="1:5" x14ac:dyDescent="0.3">
      <c r="A180" s="34">
        <v>-4</v>
      </c>
      <c r="B180" s="34" t="e">
        <f t="shared" si="3"/>
        <v>#NUM!</v>
      </c>
      <c r="C180" s="8" t="s">
        <v>106</v>
      </c>
    </row>
    <row r="183" spans="1:5" ht="17.399999999999999" x14ac:dyDescent="0.3">
      <c r="A183" s="322" t="s">
        <v>107</v>
      </c>
      <c r="B183" s="322"/>
      <c r="C183" s="322"/>
    </row>
    <row r="184" spans="1:5" x14ac:dyDescent="0.3">
      <c r="A184" s="8" t="s">
        <v>108</v>
      </c>
    </row>
    <row r="186" spans="1:5" x14ac:dyDescent="0.3">
      <c r="A186" s="23" t="s">
        <v>32</v>
      </c>
    </row>
    <row r="187" spans="1:5" x14ac:dyDescent="0.3">
      <c r="A187" s="27" t="s">
        <v>109</v>
      </c>
      <c r="C187" s="302"/>
    </row>
    <row r="189" spans="1:5" ht="16.2" thickBot="1" x14ac:dyDescent="0.35">
      <c r="A189" s="37" t="s">
        <v>110</v>
      </c>
      <c r="C189" s="38"/>
    </row>
    <row r="190" spans="1:5" ht="15" thickBot="1" x14ac:dyDescent="0.35">
      <c r="A190" s="39">
        <v>3</v>
      </c>
    </row>
    <row r="191" spans="1:5" ht="16.2" thickBot="1" x14ac:dyDescent="0.35">
      <c r="A191" s="40" t="s">
        <v>111</v>
      </c>
      <c r="C191" s="41" t="s">
        <v>112</v>
      </c>
      <c r="D191" s="42"/>
      <c r="E191" s="42"/>
    </row>
    <row r="192" spans="1:5" ht="15" thickBot="1" x14ac:dyDescent="0.35">
      <c r="A192" s="39"/>
      <c r="C192" s="43" t="s">
        <v>113</v>
      </c>
      <c r="D192" s="44"/>
      <c r="E192" s="44"/>
    </row>
    <row r="193" spans="1:5" ht="15" thickBot="1" x14ac:dyDescent="0.35">
      <c r="A193" s="45"/>
      <c r="C193" s="46" t="s">
        <v>114</v>
      </c>
      <c r="D193" s="42"/>
      <c r="E193" s="42"/>
    </row>
    <row r="194" spans="1:5" ht="15" thickBot="1" x14ac:dyDescent="0.35">
      <c r="A194" s="39"/>
      <c r="C194" s="43" t="s">
        <v>115</v>
      </c>
      <c r="D194" s="44"/>
      <c r="E194" s="44"/>
    </row>
    <row r="197" spans="1:5" ht="17.399999999999999" x14ac:dyDescent="0.3">
      <c r="A197" s="322" t="s">
        <v>116</v>
      </c>
      <c r="B197" s="322"/>
      <c r="C197" s="322"/>
    </row>
    <row r="198" spans="1:5" x14ac:dyDescent="0.3">
      <c r="A198" s="8" t="s">
        <v>117</v>
      </c>
    </row>
    <row r="199" spans="1:5" x14ac:dyDescent="0.3">
      <c r="A199" s="8" t="s">
        <v>118</v>
      </c>
    </row>
    <row r="201" spans="1:5" x14ac:dyDescent="0.3">
      <c r="A201" s="23" t="s">
        <v>32</v>
      </c>
    </row>
    <row r="202" spans="1:5" x14ac:dyDescent="0.3">
      <c r="A202" s="27" t="s">
        <v>119</v>
      </c>
    </row>
    <row r="205" spans="1:5" ht="16.2" thickBot="1" x14ac:dyDescent="0.35">
      <c r="A205" s="37" t="s">
        <v>111</v>
      </c>
      <c r="B205" s="47" t="s">
        <v>112</v>
      </c>
    </row>
    <row r="206" spans="1:5" ht="15" thickBot="1" x14ac:dyDescent="0.35">
      <c r="A206" s="45">
        <f ca="1">RAND()</f>
        <v>0.81444977730689572</v>
      </c>
      <c r="B206" s="48" t="s">
        <v>120</v>
      </c>
      <c r="C206" s="48"/>
      <c r="D206" s="48"/>
      <c r="E206" s="48"/>
    </row>
    <row r="207" spans="1:5" ht="15" thickBot="1" x14ac:dyDescent="0.35">
      <c r="A207" s="39">
        <f ca="1">INT(RAND()*100)</f>
        <v>65</v>
      </c>
      <c r="B207" s="49" t="s">
        <v>121</v>
      </c>
      <c r="C207" s="49"/>
      <c r="D207" s="49"/>
      <c r="E207" s="49"/>
    </row>
    <row r="210" spans="1:8" ht="17.399999999999999" x14ac:dyDescent="0.3">
      <c r="A210" s="322" t="s">
        <v>122</v>
      </c>
      <c r="B210" s="322"/>
      <c r="C210" s="322"/>
    </row>
    <row r="211" spans="1:8" x14ac:dyDescent="0.3">
      <c r="A211" s="8" t="s">
        <v>123</v>
      </c>
    </row>
    <row r="212" spans="1:8" x14ac:dyDescent="0.3">
      <c r="A212" t="s">
        <v>124</v>
      </c>
    </row>
    <row r="214" spans="1:8" x14ac:dyDescent="0.3">
      <c r="A214" s="23" t="s">
        <v>32</v>
      </c>
      <c r="F214" t="s">
        <v>881</v>
      </c>
    </row>
    <row r="215" spans="1:8" x14ac:dyDescent="0.3">
      <c r="A215" s="27" t="s">
        <v>125</v>
      </c>
      <c r="D215">
        <f ca="1">RANDBETWEEN(100,500)</f>
        <v>472</v>
      </c>
      <c r="F215" cm="1">
        <f t="array" aca="1" ref="F215:H219" ca="1">_xlfn.RANDARRAY(5,3,10,50,FALSE)</f>
        <v>11.030618808286789</v>
      </c>
      <c r="G215">
        <f ca="1"/>
        <v>15.325614597153653</v>
      </c>
      <c r="H215">
        <f ca="1"/>
        <v>39.608100262822099</v>
      </c>
    </row>
    <row r="216" spans="1:8" x14ac:dyDescent="0.3">
      <c r="F216">
        <f ca="1"/>
        <v>30.973729488977845</v>
      </c>
      <c r="G216">
        <f ca="1"/>
        <v>21.268992160222567</v>
      </c>
      <c r="H216">
        <f ca="1"/>
        <v>37.666073408987856</v>
      </c>
    </row>
    <row r="217" spans="1:8" x14ac:dyDescent="0.3">
      <c r="A217" s="8" t="s">
        <v>126</v>
      </c>
      <c r="F217">
        <f ca="1"/>
        <v>20.652878703121516</v>
      </c>
      <c r="G217">
        <f ca="1"/>
        <v>13.75269491528914</v>
      </c>
      <c r="H217">
        <f ca="1"/>
        <v>41.434234870691043</v>
      </c>
    </row>
    <row r="218" spans="1:8" x14ac:dyDescent="0.3">
      <c r="A218" s="8" t="s">
        <v>127</v>
      </c>
      <c r="F218">
        <f ca="1"/>
        <v>39.051086697671089</v>
      </c>
      <c r="G218">
        <f ca="1"/>
        <v>33.885301821870897</v>
      </c>
      <c r="H218">
        <f ca="1"/>
        <v>37.402450271420236</v>
      </c>
    </row>
    <row r="219" spans="1:8" x14ac:dyDescent="0.3">
      <c r="F219">
        <f ca="1"/>
        <v>48.966633621854413</v>
      </c>
      <c r="G219">
        <f ca="1"/>
        <v>34.616181138054131</v>
      </c>
      <c r="H219">
        <f ca="1"/>
        <v>46.923084733061287</v>
      </c>
    </row>
    <row r="221" spans="1:8" ht="16.2" thickBot="1" x14ac:dyDescent="0.35">
      <c r="A221" s="47" t="s">
        <v>111</v>
      </c>
      <c r="C221" s="47" t="s">
        <v>112</v>
      </c>
    </row>
    <row r="222" spans="1:8" ht="15" thickBot="1" x14ac:dyDescent="0.35">
      <c r="A222" s="48"/>
      <c r="B222" s="48"/>
      <c r="C222" s="48" t="s">
        <v>128</v>
      </c>
      <c r="D222" s="48"/>
    </row>
    <row r="223" spans="1:8" ht="15" thickBot="1" x14ac:dyDescent="0.35">
      <c r="A223" s="49"/>
      <c r="B223" s="49"/>
      <c r="C223" s="49" t="s">
        <v>129</v>
      </c>
      <c r="D223" s="49"/>
    </row>
    <row r="226" spans="1:4" ht="17.399999999999999" x14ac:dyDescent="0.3">
      <c r="A226" s="322" t="s">
        <v>130</v>
      </c>
      <c r="B226" s="322"/>
      <c r="C226" s="322"/>
    </row>
    <row r="227" spans="1:4" x14ac:dyDescent="0.3">
      <c r="A227" s="8" t="s">
        <v>131</v>
      </c>
    </row>
    <row r="228" spans="1:4" x14ac:dyDescent="0.3">
      <c r="A228" s="8" t="s">
        <v>132</v>
      </c>
    </row>
    <row r="229" spans="1:4" x14ac:dyDescent="0.3">
      <c r="A229" t="s">
        <v>133</v>
      </c>
    </row>
    <row r="231" spans="1:4" x14ac:dyDescent="0.3">
      <c r="A231" s="23" t="s">
        <v>32</v>
      </c>
    </row>
    <row r="232" spans="1:4" x14ac:dyDescent="0.3">
      <c r="A232" s="27" t="s">
        <v>134</v>
      </c>
    </row>
    <row r="234" spans="1:4" x14ac:dyDescent="0.3">
      <c r="A234" s="8" t="s">
        <v>135</v>
      </c>
    </row>
    <row r="235" spans="1:4" x14ac:dyDescent="0.3">
      <c r="A235" s="50" t="s">
        <v>136</v>
      </c>
    </row>
    <row r="237" spans="1:4" ht="15" thickBot="1" x14ac:dyDescent="0.35"/>
    <row r="238" spans="1:4" x14ac:dyDescent="0.3">
      <c r="A238" s="51" t="s">
        <v>137</v>
      </c>
      <c r="B238" s="51" t="s">
        <v>137</v>
      </c>
      <c r="C238" s="51"/>
      <c r="D238" s="52" t="s">
        <v>138</v>
      </c>
    </row>
    <row r="239" spans="1:4" ht="15" thickBot="1" x14ac:dyDescent="0.35">
      <c r="A239" s="53" t="s">
        <v>139</v>
      </c>
      <c r="B239" s="53" t="s">
        <v>140</v>
      </c>
      <c r="C239" s="53"/>
      <c r="D239" s="54"/>
    </row>
    <row r="240" spans="1:4" ht="15" thickBot="1" x14ac:dyDescent="0.35">
      <c r="A240" s="55">
        <v>1</v>
      </c>
      <c r="B240" s="56">
        <v>101</v>
      </c>
      <c r="C240" s="56"/>
      <c r="D240" s="57" t="s">
        <v>141</v>
      </c>
    </row>
    <row r="241" spans="1:4" ht="15" thickBot="1" x14ac:dyDescent="0.35">
      <c r="A241" s="58">
        <v>2</v>
      </c>
      <c r="B241" s="59">
        <v>102</v>
      </c>
      <c r="C241" s="59"/>
      <c r="D241" s="60" t="s">
        <v>142</v>
      </c>
    </row>
    <row r="242" spans="1:4" ht="15" thickBot="1" x14ac:dyDescent="0.35">
      <c r="A242" s="55">
        <v>3</v>
      </c>
      <c r="B242" s="56">
        <v>103</v>
      </c>
      <c r="C242" s="56"/>
      <c r="D242" s="57" t="s">
        <v>143</v>
      </c>
    </row>
    <row r="243" spans="1:4" ht="15" thickBot="1" x14ac:dyDescent="0.35">
      <c r="A243" s="58">
        <v>4</v>
      </c>
      <c r="B243" s="59">
        <v>104</v>
      </c>
      <c r="C243" s="59"/>
      <c r="D243" s="60" t="s">
        <v>144</v>
      </c>
    </row>
    <row r="244" spans="1:4" ht="15" thickBot="1" x14ac:dyDescent="0.35">
      <c r="A244" s="55">
        <v>5</v>
      </c>
      <c r="B244" s="56">
        <v>105</v>
      </c>
      <c r="C244" s="56"/>
      <c r="D244" s="57" t="s">
        <v>145</v>
      </c>
    </row>
    <row r="245" spans="1:4" ht="15" thickBot="1" x14ac:dyDescent="0.35">
      <c r="A245" s="58">
        <v>6</v>
      </c>
      <c r="B245" s="59">
        <v>106</v>
      </c>
      <c r="C245" s="59"/>
      <c r="D245" s="60" t="s">
        <v>146</v>
      </c>
    </row>
    <row r="246" spans="1:4" ht="15" thickBot="1" x14ac:dyDescent="0.35">
      <c r="A246" s="55">
        <v>7</v>
      </c>
      <c r="B246" s="56">
        <v>107</v>
      </c>
      <c r="C246" s="56"/>
      <c r="D246" s="57" t="s">
        <v>147</v>
      </c>
    </row>
    <row r="247" spans="1:4" ht="15" thickBot="1" x14ac:dyDescent="0.35">
      <c r="A247" s="58">
        <v>8</v>
      </c>
      <c r="B247" s="59">
        <v>108</v>
      </c>
      <c r="C247" s="59"/>
      <c r="D247" s="60" t="s">
        <v>148</v>
      </c>
    </row>
    <row r="248" spans="1:4" ht="15" thickBot="1" x14ac:dyDescent="0.35">
      <c r="A248" s="55">
        <v>9</v>
      </c>
      <c r="B248" s="56">
        <v>109</v>
      </c>
      <c r="C248" s="56"/>
      <c r="D248" s="57" t="s">
        <v>149</v>
      </c>
    </row>
    <row r="249" spans="1:4" ht="15" thickBot="1" x14ac:dyDescent="0.35">
      <c r="A249" s="58">
        <v>10</v>
      </c>
      <c r="B249" s="59">
        <v>110</v>
      </c>
      <c r="C249" s="59"/>
      <c r="D249" s="60" t="s">
        <v>150</v>
      </c>
    </row>
    <row r="250" spans="1:4" ht="15" thickBot="1" x14ac:dyDescent="0.35">
      <c r="A250" s="55">
        <v>11</v>
      </c>
      <c r="B250" s="56">
        <v>111</v>
      </c>
      <c r="C250" s="56"/>
      <c r="D250" s="57" t="s">
        <v>151</v>
      </c>
    </row>
    <row r="251" spans="1:4" x14ac:dyDescent="0.3">
      <c r="A251">
        <f>SUBTOTAL(9,A240:A250)</f>
        <v>66</v>
      </c>
      <c r="C251">
        <f>SUBTOTAL(9,B240:B250)</f>
        <v>1166</v>
      </c>
    </row>
    <row r="253" spans="1:4" ht="16.2" thickBot="1" x14ac:dyDescent="0.35">
      <c r="A253" s="37" t="s">
        <v>152</v>
      </c>
    </row>
    <row r="254" spans="1:4" ht="15" thickBot="1" x14ac:dyDescent="0.35">
      <c r="A254" s="61">
        <v>120</v>
      </c>
    </row>
    <row r="255" spans="1:4" ht="15" thickBot="1" x14ac:dyDescent="0.35">
      <c r="A255" s="62">
        <v>10</v>
      </c>
    </row>
    <row r="256" spans="1:4" ht="15" thickBot="1" x14ac:dyDescent="0.35">
      <c r="A256" s="61">
        <v>150</v>
      </c>
    </row>
    <row r="257" spans="1:5" ht="15" thickBot="1" x14ac:dyDescent="0.35">
      <c r="A257" s="62">
        <v>23</v>
      </c>
    </row>
    <row r="259" spans="1:5" ht="15" thickBot="1" x14ac:dyDescent="0.35"/>
    <row r="260" spans="1:5" ht="16.2" thickBot="1" x14ac:dyDescent="0.35">
      <c r="A260" s="63" t="s">
        <v>111</v>
      </c>
      <c r="B260" s="63" t="s">
        <v>112</v>
      </c>
      <c r="C260" s="63"/>
      <c r="D260" s="63"/>
      <c r="E260" s="63"/>
    </row>
    <row r="261" spans="1:5" ht="15" thickBot="1" x14ac:dyDescent="0.35">
      <c r="A261" s="64"/>
      <c r="B261" s="49" t="s">
        <v>153</v>
      </c>
      <c r="C261" s="49"/>
      <c r="D261" s="49"/>
      <c r="E261" s="49"/>
    </row>
    <row r="262" spans="1:5" ht="15" thickBot="1" x14ac:dyDescent="0.35">
      <c r="A262" s="65"/>
      <c r="B262" s="48" t="s">
        <v>154</v>
      </c>
      <c r="C262" s="48"/>
      <c r="D262" s="48"/>
      <c r="E262" s="48"/>
    </row>
    <row r="264" spans="1:5" x14ac:dyDescent="0.3">
      <c r="A264" s="7" t="s">
        <v>155</v>
      </c>
    </row>
    <row r="265" spans="1:5" x14ac:dyDescent="0.3">
      <c r="A265" s="4">
        <f>SUBTOTAL(2,A269:A279)</f>
        <v>10</v>
      </c>
      <c r="B265" s="28" t="s">
        <v>156</v>
      </c>
    </row>
    <row r="266" spans="1:5" x14ac:dyDescent="0.3">
      <c r="A266" s="66">
        <f>SUBTOTAL(102,A269:A279)</f>
        <v>5</v>
      </c>
      <c r="B266" s="28" t="s">
        <v>157</v>
      </c>
    </row>
    <row r="268" spans="1:5" ht="16.2" thickBot="1" x14ac:dyDescent="0.35">
      <c r="A268" s="37" t="s">
        <v>152</v>
      </c>
      <c r="B268" s="37" t="s">
        <v>158</v>
      </c>
    </row>
    <row r="269" spans="1:5" ht="15" hidden="1" thickBot="1" x14ac:dyDescent="0.35">
      <c r="A269" s="61">
        <v>120</v>
      </c>
      <c r="B269" s="61" t="s">
        <v>13</v>
      </c>
    </row>
    <row r="270" spans="1:5" ht="15" thickBot="1" x14ac:dyDescent="0.35">
      <c r="A270" s="62">
        <v>10</v>
      </c>
      <c r="B270" s="62" t="s">
        <v>159</v>
      </c>
    </row>
    <row r="271" spans="1:5" ht="15" hidden="1" thickBot="1" x14ac:dyDescent="0.35">
      <c r="A271" s="61">
        <v>150</v>
      </c>
      <c r="B271" s="61" t="s">
        <v>13</v>
      </c>
    </row>
    <row r="272" spans="1:5" ht="15" thickBot="1" x14ac:dyDescent="0.35">
      <c r="A272" s="62">
        <v>23</v>
      </c>
      <c r="B272" s="62" t="s">
        <v>159</v>
      </c>
    </row>
    <row r="273" spans="1:6" ht="15" hidden="1" thickBot="1" x14ac:dyDescent="0.35">
      <c r="B273" s="61">
        <v>100</v>
      </c>
    </row>
    <row r="274" spans="1:6" ht="15" thickBot="1" x14ac:dyDescent="0.35">
      <c r="A274" s="62">
        <v>200</v>
      </c>
      <c r="B274" s="62" t="s">
        <v>159</v>
      </c>
    </row>
    <row r="275" spans="1:6" ht="15" hidden="1" thickBot="1" x14ac:dyDescent="0.35">
      <c r="A275" s="61">
        <v>300</v>
      </c>
      <c r="B275" s="61">
        <v>300</v>
      </c>
    </row>
    <row r="276" spans="1:6" ht="15" thickBot="1" x14ac:dyDescent="0.35">
      <c r="A276" s="62">
        <v>50</v>
      </c>
      <c r="B276" s="62" t="s">
        <v>159</v>
      </c>
    </row>
    <row r="277" spans="1:6" ht="15" hidden="1" thickBot="1" x14ac:dyDescent="0.35">
      <c r="A277" s="61">
        <v>100</v>
      </c>
      <c r="B277" s="61" t="s">
        <v>13</v>
      </c>
    </row>
    <row r="278" spans="1:6" ht="15" thickBot="1" x14ac:dyDescent="0.35">
      <c r="A278" s="62">
        <v>500</v>
      </c>
      <c r="B278" s="62" t="s">
        <v>159</v>
      </c>
    </row>
    <row r="279" spans="1:6" ht="15" hidden="1" thickBot="1" x14ac:dyDescent="0.35">
      <c r="A279" s="61">
        <v>800</v>
      </c>
      <c r="B279" s="61" t="s">
        <v>13</v>
      </c>
    </row>
    <row r="282" spans="1:6" x14ac:dyDescent="0.3">
      <c r="B282" s="279">
        <v>4</v>
      </c>
      <c r="D282" s="279">
        <v>4</v>
      </c>
      <c r="F282" s="279">
        <v>4</v>
      </c>
    </row>
    <row r="283" spans="1:6" x14ac:dyDescent="0.3">
      <c r="A283" s="3"/>
      <c r="B283" s="279">
        <v>7</v>
      </c>
      <c r="C283" s="4"/>
      <c r="D283" s="279">
        <v>7</v>
      </c>
      <c r="F283" s="279">
        <v>7</v>
      </c>
    </row>
    <row r="284" spans="1:6" x14ac:dyDescent="0.3">
      <c r="B284" s="279">
        <v>4</v>
      </c>
      <c r="D284" s="279">
        <v>4</v>
      </c>
      <c r="F284" s="279">
        <v>4</v>
      </c>
    </row>
    <row r="285" spans="1:6" x14ac:dyDescent="0.3">
      <c r="B285" s="279">
        <v>8</v>
      </c>
      <c r="D285" s="279">
        <v>8</v>
      </c>
      <c r="F285" s="279">
        <v>8</v>
      </c>
    </row>
    <row r="286" spans="1:6" x14ac:dyDescent="0.3">
      <c r="B286" s="280">
        <v>2</v>
      </c>
      <c r="C286" s="3"/>
      <c r="D286" s="280">
        <v>2</v>
      </c>
      <c r="E286" s="3"/>
      <c r="F286" s="280">
        <v>2</v>
      </c>
    </row>
    <row r="287" spans="1:6" x14ac:dyDescent="0.3">
      <c r="B287" s="4"/>
      <c r="D287" s="3"/>
      <c r="F287" s="4"/>
    </row>
    <row r="288" spans="1:6" x14ac:dyDescent="0.3">
      <c r="B288" s="289"/>
      <c r="D288" s="289"/>
      <c r="F288" s="289"/>
    </row>
    <row r="290" spans="1:7" ht="17.399999999999999" x14ac:dyDescent="0.3">
      <c r="A290" s="322" t="s">
        <v>869</v>
      </c>
      <c r="B290" s="322"/>
      <c r="C290" s="322"/>
    </row>
    <row r="292" spans="1:7" x14ac:dyDescent="0.3">
      <c r="A292" s="309" t="s">
        <v>396</v>
      </c>
      <c r="B292" s="308" t="s">
        <v>219</v>
      </c>
      <c r="C292" s="309" t="s">
        <v>871</v>
      </c>
      <c r="D292" s="309" t="s">
        <v>870</v>
      </c>
    </row>
    <row r="293" spans="1:7" x14ac:dyDescent="0.3">
      <c r="A293" s="3" t="s">
        <v>873</v>
      </c>
      <c r="B293" s="3">
        <v>60</v>
      </c>
      <c r="C293" s="3">
        <v>35</v>
      </c>
      <c r="D293" s="310">
        <f>B293*C293</f>
        <v>2100</v>
      </c>
    </row>
    <row r="294" spans="1:7" x14ac:dyDescent="0.3">
      <c r="A294" s="3" t="s">
        <v>874</v>
      </c>
      <c r="B294" s="3">
        <v>45</v>
      </c>
      <c r="C294" s="3">
        <v>25</v>
      </c>
      <c r="D294" s="310">
        <f t="shared" ref="D294:D296" si="4">B294*C294</f>
        <v>1125</v>
      </c>
    </row>
    <row r="295" spans="1:7" x14ac:dyDescent="0.3">
      <c r="A295" s="3" t="s">
        <v>875</v>
      </c>
      <c r="B295" s="3">
        <v>50</v>
      </c>
      <c r="C295" s="3">
        <v>42</v>
      </c>
      <c r="D295" s="310">
        <f t="shared" si="4"/>
        <v>2100</v>
      </c>
    </row>
    <row r="296" spans="1:7" x14ac:dyDescent="0.3">
      <c r="A296" s="3" t="s">
        <v>876</v>
      </c>
      <c r="B296" s="3">
        <v>46</v>
      </c>
      <c r="C296" s="3">
        <v>41</v>
      </c>
      <c r="D296" s="310">
        <f t="shared" si="4"/>
        <v>1886</v>
      </c>
    </row>
    <row r="297" spans="1:7" x14ac:dyDescent="0.3">
      <c r="D297" s="312">
        <f>SUM(D293:D296)</f>
        <v>7211</v>
      </c>
      <c r="F297" s="1" t="s">
        <v>872</v>
      </c>
      <c r="G297" s="311">
        <f>SUMPRODUCT(B293:B296,C293:C296)</f>
        <v>7211</v>
      </c>
    </row>
  </sheetData>
  <sortState xmlns:xlrd2="http://schemas.microsoft.com/office/spreadsheetml/2017/richdata2" ref="D7:D12">
    <sortCondition ref="D7:D12"/>
  </sortState>
  <mergeCells count="18">
    <mergeCell ref="A165:C165"/>
    <mergeCell ref="A183:C183"/>
    <mergeCell ref="A197:C197"/>
    <mergeCell ref="A210:C210"/>
    <mergeCell ref="A290:C290"/>
    <mergeCell ref="A45:C45"/>
    <mergeCell ref="A1:G2"/>
    <mergeCell ref="A15:C15"/>
    <mergeCell ref="A24:C24"/>
    <mergeCell ref="A36:C36"/>
    <mergeCell ref="A226:C226"/>
    <mergeCell ref="A54:C54"/>
    <mergeCell ref="A66:C66"/>
    <mergeCell ref="A76:C76"/>
    <mergeCell ref="A93:C93"/>
    <mergeCell ref="A112:C112"/>
    <mergeCell ref="A122:C122"/>
    <mergeCell ref="A132:C13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560FE-6FB4-43BB-AC60-22141D4BB598}">
  <sheetPr codeName="Hoja16"/>
  <dimension ref="A1:Q41"/>
  <sheetViews>
    <sheetView showGridLines="0" zoomScaleNormal="100" workbookViewId="0">
      <selection activeCell="C23" sqref="C23"/>
    </sheetView>
  </sheetViews>
  <sheetFormatPr baseColWidth="10" defaultColWidth="11.44140625" defaultRowHeight="10.199999999999999" x14ac:dyDescent="0.2"/>
  <cols>
    <col min="1" max="1" width="11.44140625" style="9"/>
    <col min="2" max="2" width="19.88671875" style="9" bestFit="1" customWidth="1"/>
    <col min="3" max="16384" width="11.44140625" style="9"/>
  </cols>
  <sheetData>
    <row r="1" spans="1:17" x14ac:dyDescent="0.2">
      <c r="A1" s="324" t="s">
        <v>160</v>
      </c>
      <c r="B1" s="324"/>
      <c r="C1" s="324"/>
      <c r="D1" s="324"/>
      <c r="E1" s="324"/>
      <c r="F1" s="324"/>
      <c r="G1" s="324"/>
      <c r="H1" s="324"/>
      <c r="I1" s="324"/>
      <c r="J1" s="324"/>
    </row>
    <row r="2" spans="1:17" x14ac:dyDescent="0.2">
      <c r="A2" s="325" t="s">
        <v>161</v>
      </c>
      <c r="B2" s="325"/>
      <c r="C2" s="325"/>
      <c r="D2" s="325"/>
      <c r="E2" s="325"/>
      <c r="F2" s="325"/>
      <c r="G2" s="325"/>
      <c r="H2" s="325"/>
      <c r="I2" s="325"/>
      <c r="J2" s="325"/>
    </row>
    <row r="3" spans="1:17" x14ac:dyDescent="0.2">
      <c r="A3" s="325" t="s">
        <v>162</v>
      </c>
      <c r="B3" s="325"/>
      <c r="C3" s="325"/>
      <c r="D3" s="325"/>
      <c r="E3" s="325"/>
      <c r="F3" s="325"/>
      <c r="G3" s="325"/>
      <c r="H3" s="325"/>
      <c r="I3" s="325"/>
      <c r="J3" s="325"/>
      <c r="L3" s="292"/>
      <c r="M3" s="292"/>
      <c r="N3" s="292"/>
    </row>
    <row r="4" spans="1:17" x14ac:dyDescent="0.2">
      <c r="A4" s="325" t="s">
        <v>163</v>
      </c>
      <c r="B4" s="325"/>
      <c r="C4" s="325"/>
      <c r="D4" s="325"/>
      <c r="E4" s="325"/>
      <c r="F4" s="325"/>
      <c r="G4" s="325"/>
      <c r="H4" s="325"/>
      <c r="I4" s="325"/>
      <c r="J4" s="325"/>
      <c r="L4" s="292"/>
      <c r="M4" s="292"/>
      <c r="N4" s="292"/>
    </row>
    <row r="5" spans="1:17" ht="10.8" thickBot="1" x14ac:dyDescent="0.25">
      <c r="A5" s="83"/>
      <c r="B5" s="83"/>
      <c r="C5" s="83"/>
      <c r="D5" s="83"/>
      <c r="E5" s="83"/>
      <c r="F5" s="83"/>
      <c r="G5" s="83"/>
      <c r="H5" s="67">
        <v>1</v>
      </c>
      <c r="I5" s="67">
        <v>2</v>
      </c>
      <c r="J5" s="83"/>
    </row>
    <row r="6" spans="1:17" x14ac:dyDescent="0.2">
      <c r="A6" s="68" t="s">
        <v>164</v>
      </c>
      <c r="B6" s="69" t="s">
        <v>165</v>
      </c>
      <c r="C6" s="69" t="s">
        <v>166</v>
      </c>
      <c r="D6" s="69" t="s">
        <v>167</v>
      </c>
      <c r="E6" s="69" t="s">
        <v>168</v>
      </c>
      <c r="F6" s="69" t="s">
        <v>169</v>
      </c>
      <c r="G6" s="69" t="s">
        <v>170</v>
      </c>
      <c r="H6" s="84" t="s">
        <v>171</v>
      </c>
      <c r="I6" s="69" t="s">
        <v>172</v>
      </c>
      <c r="J6" s="70" t="s">
        <v>173</v>
      </c>
      <c r="L6" s="292"/>
      <c r="M6" s="292"/>
      <c r="N6" s="292"/>
    </row>
    <row r="7" spans="1:17" x14ac:dyDescent="0.2">
      <c r="A7" s="71" t="s">
        <v>174</v>
      </c>
      <c r="B7" s="72" t="s">
        <v>175</v>
      </c>
      <c r="C7" s="73" t="s">
        <v>176</v>
      </c>
      <c r="D7" s="74">
        <v>10</v>
      </c>
      <c r="E7" s="75">
        <v>18</v>
      </c>
      <c r="F7" s="75">
        <v>14</v>
      </c>
      <c r="G7" s="75">
        <v>19</v>
      </c>
      <c r="H7" s="269">
        <f>(SUM(D7:G7)-MIN(D7:G7))/3</f>
        <v>17</v>
      </c>
      <c r="I7" s="75">
        <v>16</v>
      </c>
      <c r="J7" s="270">
        <f>SUMPRODUCT(H7:I7,$H$5:$I$5)/SUM($H$5:$I$5)</f>
        <v>16.333333333333332</v>
      </c>
      <c r="K7" s="290"/>
      <c r="M7" s="9" t="s">
        <v>890</v>
      </c>
    </row>
    <row r="8" spans="1:17" x14ac:dyDescent="0.2">
      <c r="A8" s="71" t="s">
        <v>177</v>
      </c>
      <c r="B8" s="72" t="s">
        <v>178</v>
      </c>
      <c r="C8" s="73" t="s">
        <v>176</v>
      </c>
      <c r="D8" s="75">
        <v>14</v>
      </c>
      <c r="E8" s="75">
        <v>17</v>
      </c>
      <c r="F8" s="74">
        <v>13</v>
      </c>
      <c r="G8" s="75">
        <v>18</v>
      </c>
      <c r="H8" s="269">
        <f t="shared" ref="H8:H21" si="0">(SUM(D8:G8)-MIN(D8:G8))/3</f>
        <v>16.333333333333332</v>
      </c>
      <c r="I8" s="75">
        <v>17</v>
      </c>
      <c r="J8" s="270">
        <f t="shared" ref="J8:J21" si="1">SUMPRODUCT(H8:I8,$H$5:$I$5)/SUM($H$5:$I$5)</f>
        <v>16.777777777777775</v>
      </c>
      <c r="K8" s="290"/>
    </row>
    <row r="9" spans="1:17" x14ac:dyDescent="0.2">
      <c r="A9" s="71" t="s">
        <v>179</v>
      </c>
      <c r="B9" s="72" t="s">
        <v>180</v>
      </c>
      <c r="C9" s="73" t="s">
        <v>181</v>
      </c>
      <c r="D9" s="75">
        <v>18</v>
      </c>
      <c r="E9" s="75">
        <v>19</v>
      </c>
      <c r="F9" s="75">
        <v>18</v>
      </c>
      <c r="G9" s="74">
        <v>15</v>
      </c>
      <c r="H9" s="269">
        <f t="shared" si="0"/>
        <v>18.333333333333332</v>
      </c>
      <c r="I9" s="75">
        <v>14</v>
      </c>
      <c r="J9" s="270">
        <f t="shared" si="1"/>
        <v>15.444444444444443</v>
      </c>
      <c r="K9" s="290"/>
    </row>
    <row r="10" spans="1:17" x14ac:dyDescent="0.2">
      <c r="A10" s="71" t="s">
        <v>182</v>
      </c>
      <c r="B10" s="72" t="s">
        <v>183</v>
      </c>
      <c r="C10" s="73" t="s">
        <v>176</v>
      </c>
      <c r="D10" s="74">
        <v>16</v>
      </c>
      <c r="E10" s="75">
        <v>18</v>
      </c>
      <c r="F10" s="75">
        <v>17</v>
      </c>
      <c r="G10" s="75">
        <v>17</v>
      </c>
      <c r="H10" s="269">
        <f t="shared" si="0"/>
        <v>17.333333333333332</v>
      </c>
      <c r="I10" s="75">
        <v>13</v>
      </c>
      <c r="J10" s="270">
        <f t="shared" si="1"/>
        <v>14.444444444444443</v>
      </c>
      <c r="K10" s="290"/>
      <c r="N10" s="9" t="s">
        <v>167</v>
      </c>
      <c r="O10" s="9" t="s">
        <v>168</v>
      </c>
      <c r="P10" s="9" t="s">
        <v>169</v>
      </c>
      <c r="Q10" s="9" t="s">
        <v>170</v>
      </c>
    </row>
    <row r="11" spans="1:17" x14ac:dyDescent="0.2">
      <c r="A11" s="71" t="s">
        <v>184</v>
      </c>
      <c r="B11" s="72" t="s">
        <v>185</v>
      </c>
      <c r="C11" s="73" t="s">
        <v>181</v>
      </c>
      <c r="D11" s="74">
        <v>15</v>
      </c>
      <c r="E11" s="74">
        <v>15</v>
      </c>
      <c r="F11" s="75">
        <v>19</v>
      </c>
      <c r="G11" s="75">
        <v>18</v>
      </c>
      <c r="H11" s="269">
        <f t="shared" si="0"/>
        <v>17.333333333333332</v>
      </c>
      <c r="I11" s="75">
        <v>16</v>
      </c>
      <c r="J11" s="270">
        <f t="shared" si="1"/>
        <v>16.444444444444443</v>
      </c>
      <c r="K11" s="290"/>
      <c r="N11" s="9">
        <v>10</v>
      </c>
      <c r="O11" s="9">
        <v>18</v>
      </c>
      <c r="P11" s="9">
        <v>14</v>
      </c>
      <c r="Q11" s="9">
        <v>19</v>
      </c>
    </row>
    <row r="12" spans="1:17" x14ac:dyDescent="0.2">
      <c r="A12" s="71" t="s">
        <v>186</v>
      </c>
      <c r="B12" s="72" t="s">
        <v>187</v>
      </c>
      <c r="C12" s="73" t="s">
        <v>176</v>
      </c>
      <c r="D12" s="75">
        <v>14</v>
      </c>
      <c r="E12" s="74">
        <v>12</v>
      </c>
      <c r="F12" s="74">
        <v>12</v>
      </c>
      <c r="G12" s="75">
        <v>13</v>
      </c>
      <c r="H12" s="269">
        <f t="shared" si="0"/>
        <v>13</v>
      </c>
      <c r="I12" s="75">
        <v>14</v>
      </c>
      <c r="J12" s="270">
        <f t="shared" si="1"/>
        <v>13.666666666666666</v>
      </c>
      <c r="K12" s="290"/>
    </row>
    <row r="13" spans="1:17" x14ac:dyDescent="0.2">
      <c r="A13" s="71" t="s">
        <v>188</v>
      </c>
      <c r="B13" s="72" t="s">
        <v>189</v>
      </c>
      <c r="C13" s="73" t="s">
        <v>176</v>
      </c>
      <c r="D13" s="74">
        <v>14</v>
      </c>
      <c r="E13" s="75">
        <v>18</v>
      </c>
      <c r="F13" s="75">
        <v>15</v>
      </c>
      <c r="G13" s="75">
        <v>19</v>
      </c>
      <c r="H13" s="269">
        <f t="shared" si="0"/>
        <v>17.333333333333332</v>
      </c>
      <c r="I13" s="75">
        <v>12</v>
      </c>
      <c r="J13" s="270">
        <f t="shared" si="1"/>
        <v>13.777777777777777</v>
      </c>
      <c r="K13" s="290"/>
    </row>
    <row r="14" spans="1:17" x14ac:dyDescent="0.2">
      <c r="A14" s="71" t="s">
        <v>190</v>
      </c>
      <c r="B14" s="72" t="s">
        <v>191</v>
      </c>
      <c r="C14" s="73" t="s">
        <v>181</v>
      </c>
      <c r="D14" s="75">
        <v>16</v>
      </c>
      <c r="E14" s="75">
        <v>19</v>
      </c>
      <c r="F14" s="75">
        <v>17</v>
      </c>
      <c r="G14" s="74">
        <v>14</v>
      </c>
      <c r="H14" s="269">
        <f t="shared" si="0"/>
        <v>17.333333333333332</v>
      </c>
      <c r="I14" s="75">
        <v>16</v>
      </c>
      <c r="J14" s="270">
        <f t="shared" si="1"/>
        <v>16.444444444444443</v>
      </c>
      <c r="N14" s="9" t="s">
        <v>891</v>
      </c>
      <c r="O14" s="290">
        <f>AVERAGE(N11:Q11)</f>
        <v>15.25</v>
      </c>
    </row>
    <row r="15" spans="1:17" x14ac:dyDescent="0.2">
      <c r="A15" s="71" t="s">
        <v>192</v>
      </c>
      <c r="B15" s="72" t="s">
        <v>193</v>
      </c>
      <c r="C15" s="73" t="s">
        <v>176</v>
      </c>
      <c r="D15" s="75">
        <v>18</v>
      </c>
      <c r="E15" s="75">
        <v>12</v>
      </c>
      <c r="F15" s="74">
        <v>10</v>
      </c>
      <c r="G15" s="75">
        <v>18</v>
      </c>
      <c r="H15" s="269">
        <f t="shared" si="0"/>
        <v>16</v>
      </c>
      <c r="I15" s="75">
        <v>14</v>
      </c>
      <c r="J15" s="270">
        <f t="shared" si="1"/>
        <v>14.666666666666666</v>
      </c>
      <c r="K15" s="290"/>
      <c r="N15" s="9" t="s">
        <v>892</v>
      </c>
      <c r="O15" s="9">
        <f>SUM(N11:Q11)</f>
        <v>61</v>
      </c>
    </row>
    <row r="16" spans="1:17" x14ac:dyDescent="0.2">
      <c r="A16" s="71" t="s">
        <v>194</v>
      </c>
      <c r="B16" s="72" t="s">
        <v>195</v>
      </c>
      <c r="C16" s="73" t="s">
        <v>181</v>
      </c>
      <c r="D16" s="74">
        <v>14</v>
      </c>
      <c r="E16" s="75">
        <v>17</v>
      </c>
      <c r="F16" s="75">
        <v>19</v>
      </c>
      <c r="G16" s="75">
        <v>16</v>
      </c>
      <c r="H16" s="269">
        <f t="shared" si="0"/>
        <v>17.333333333333332</v>
      </c>
      <c r="I16" s="75">
        <v>13</v>
      </c>
      <c r="J16" s="270">
        <f t="shared" si="1"/>
        <v>14.444444444444443</v>
      </c>
      <c r="N16" s="9" t="s">
        <v>893</v>
      </c>
      <c r="O16" s="9">
        <f>MIN(N11:Q11)</f>
        <v>10</v>
      </c>
    </row>
    <row r="17" spans="1:15" x14ac:dyDescent="0.2">
      <c r="A17" s="71" t="s">
        <v>196</v>
      </c>
      <c r="B17" s="72" t="s">
        <v>197</v>
      </c>
      <c r="C17" s="73" t="s">
        <v>181</v>
      </c>
      <c r="D17" s="75">
        <v>16</v>
      </c>
      <c r="E17" s="75">
        <v>18</v>
      </c>
      <c r="F17" s="75">
        <v>19</v>
      </c>
      <c r="G17" s="75">
        <v>15</v>
      </c>
      <c r="H17" s="269">
        <f t="shared" si="0"/>
        <v>17.666666666666668</v>
      </c>
      <c r="I17" s="75">
        <v>8</v>
      </c>
      <c r="J17" s="270">
        <f t="shared" si="1"/>
        <v>11.222222222222223</v>
      </c>
      <c r="K17" s="290"/>
      <c r="N17" s="9" t="s">
        <v>894</v>
      </c>
      <c r="O17" s="9">
        <f>(O15-O16)/3</f>
        <v>17</v>
      </c>
    </row>
    <row r="18" spans="1:15" x14ac:dyDescent="0.2">
      <c r="A18" s="71" t="s">
        <v>198</v>
      </c>
      <c r="B18" s="72" t="s">
        <v>199</v>
      </c>
      <c r="C18" s="73" t="s">
        <v>181</v>
      </c>
      <c r="D18" s="75">
        <v>15</v>
      </c>
      <c r="E18" s="74">
        <v>12</v>
      </c>
      <c r="F18" s="75">
        <v>17</v>
      </c>
      <c r="G18" s="75">
        <v>17</v>
      </c>
      <c r="H18" s="269">
        <f t="shared" si="0"/>
        <v>16.333333333333332</v>
      </c>
      <c r="I18" s="75">
        <v>9</v>
      </c>
      <c r="J18" s="270">
        <f t="shared" si="1"/>
        <v>11.444444444444443</v>
      </c>
      <c r="K18" s="290"/>
    </row>
    <row r="19" spans="1:15" x14ac:dyDescent="0.2">
      <c r="A19" s="71" t="s">
        <v>200</v>
      </c>
      <c r="B19" s="72" t="s">
        <v>201</v>
      </c>
      <c r="C19" s="73" t="s">
        <v>176</v>
      </c>
      <c r="D19" s="75">
        <v>18</v>
      </c>
      <c r="E19" s="74">
        <v>11</v>
      </c>
      <c r="F19" s="75">
        <v>18</v>
      </c>
      <c r="G19" s="75">
        <v>14</v>
      </c>
      <c r="H19" s="269">
        <f t="shared" si="0"/>
        <v>16.666666666666668</v>
      </c>
      <c r="I19" s="75">
        <v>8</v>
      </c>
      <c r="J19" s="270">
        <f t="shared" si="1"/>
        <v>10.888888888888891</v>
      </c>
      <c r="K19" s="290"/>
    </row>
    <row r="20" spans="1:15" x14ac:dyDescent="0.2">
      <c r="A20" s="71" t="s">
        <v>202</v>
      </c>
      <c r="B20" s="72" t="s">
        <v>203</v>
      </c>
      <c r="C20" s="73" t="s">
        <v>176</v>
      </c>
      <c r="D20" s="75">
        <v>17</v>
      </c>
      <c r="E20" s="75">
        <v>13</v>
      </c>
      <c r="F20" s="74">
        <v>12</v>
      </c>
      <c r="G20" s="75">
        <v>16</v>
      </c>
      <c r="H20" s="269">
        <f t="shared" si="0"/>
        <v>15.333333333333334</v>
      </c>
      <c r="I20" s="75">
        <v>10</v>
      </c>
      <c r="J20" s="270">
        <f t="shared" si="1"/>
        <v>11.777777777777779</v>
      </c>
      <c r="K20" s="290"/>
    </row>
    <row r="21" spans="1:15" ht="10.8" thickBot="1" x14ac:dyDescent="0.25">
      <c r="A21" s="76" t="s">
        <v>204</v>
      </c>
      <c r="B21" s="77" t="s">
        <v>205</v>
      </c>
      <c r="C21" s="78" t="s">
        <v>176</v>
      </c>
      <c r="D21" s="79">
        <v>19</v>
      </c>
      <c r="E21" s="79">
        <v>12</v>
      </c>
      <c r="F21" s="80">
        <v>10</v>
      </c>
      <c r="G21" s="79">
        <v>15</v>
      </c>
      <c r="H21" s="269">
        <f t="shared" si="0"/>
        <v>15.333333333333334</v>
      </c>
      <c r="I21" s="79">
        <v>12</v>
      </c>
      <c r="J21" s="270">
        <f t="shared" si="1"/>
        <v>13.111111111111112</v>
      </c>
      <c r="K21" s="290"/>
    </row>
    <row r="22" spans="1:15" x14ac:dyDescent="0.2">
      <c r="A22" s="10"/>
      <c r="B22" s="10"/>
      <c r="C22" s="10"/>
      <c r="D22" s="10"/>
      <c r="E22" s="10"/>
      <c r="F22" s="10"/>
      <c r="G22" s="10"/>
      <c r="H22" s="10"/>
      <c r="I22" s="10"/>
      <c r="J22" s="10"/>
    </row>
    <row r="23" spans="1:15" x14ac:dyDescent="0.2">
      <c r="A23" s="81" t="s">
        <v>206</v>
      </c>
      <c r="B23" s="10"/>
      <c r="C23" s="10"/>
      <c r="D23" s="10"/>
      <c r="E23" s="10"/>
      <c r="F23" s="10"/>
      <c r="G23" s="10"/>
      <c r="H23" s="10"/>
      <c r="I23" s="10"/>
      <c r="J23" s="10"/>
    </row>
    <row r="24" spans="1:15" x14ac:dyDescent="0.2">
      <c r="A24" s="10"/>
      <c r="B24" s="82" t="s">
        <v>207</v>
      </c>
      <c r="C24" s="276">
        <f>MAX(J7:J21)</f>
        <v>16.777777777777775</v>
      </c>
      <c r="D24" s="215"/>
      <c r="E24" s="10"/>
      <c r="F24" s="10"/>
      <c r="G24" s="10"/>
      <c r="H24" s="10"/>
      <c r="I24" s="10"/>
      <c r="J24" s="10"/>
    </row>
    <row r="25" spans="1:15" x14ac:dyDescent="0.2">
      <c r="A25" s="10"/>
      <c r="B25" s="82" t="s">
        <v>208</v>
      </c>
      <c r="C25" s="276">
        <f>MIN(J8:J22)</f>
        <v>10.888888888888891</v>
      </c>
      <c r="D25" s="215"/>
      <c r="E25" s="10"/>
      <c r="F25" s="10"/>
      <c r="G25" s="10"/>
      <c r="H25" s="10"/>
      <c r="I25" s="10"/>
      <c r="J25" s="10"/>
    </row>
    <row r="26" spans="1:15" x14ac:dyDescent="0.2">
      <c r="A26" s="10"/>
      <c r="B26" s="82" t="s">
        <v>209</v>
      </c>
      <c r="C26" s="291">
        <f>COUNTA(B7:B21)</f>
        <v>15</v>
      </c>
      <c r="D26" s="10"/>
      <c r="E26" s="10"/>
      <c r="F26" s="10"/>
      <c r="G26" s="10"/>
      <c r="H26" s="10"/>
      <c r="I26" s="10"/>
      <c r="J26" s="10"/>
    </row>
    <row r="27" spans="1:15" x14ac:dyDescent="0.2">
      <c r="A27" s="10"/>
      <c r="B27" s="10"/>
      <c r="C27" s="10"/>
      <c r="D27" s="10"/>
      <c r="E27" s="10"/>
      <c r="F27" s="10"/>
      <c r="G27" s="10"/>
      <c r="H27" s="10"/>
      <c r="I27" s="10"/>
      <c r="J27" s="10"/>
    </row>
    <row r="28" spans="1:15" x14ac:dyDescent="0.2">
      <c r="A28" s="83" t="s">
        <v>210</v>
      </c>
      <c r="B28" s="10" t="s">
        <v>211</v>
      </c>
      <c r="D28" s="10"/>
      <c r="E28" s="10"/>
      <c r="F28" s="10"/>
      <c r="G28" s="10"/>
      <c r="H28" s="10"/>
      <c r="I28" s="10"/>
      <c r="J28" s="10"/>
    </row>
    <row r="32" spans="1:15" x14ac:dyDescent="0.2">
      <c r="B32" s="9" t="s">
        <v>882</v>
      </c>
    </row>
    <row r="33" spans="2:4" x14ac:dyDescent="0.2">
      <c r="B33" s="9" t="s">
        <v>883</v>
      </c>
    </row>
    <row r="34" spans="2:4" x14ac:dyDescent="0.2">
      <c r="B34" s="9" t="s">
        <v>884</v>
      </c>
    </row>
    <row r="36" spans="2:4" x14ac:dyDescent="0.2">
      <c r="C36" s="9" t="s">
        <v>889</v>
      </c>
    </row>
    <row r="37" spans="2:4" x14ac:dyDescent="0.2">
      <c r="B37" s="9" t="s">
        <v>885</v>
      </c>
      <c r="C37" s="9">
        <v>25</v>
      </c>
      <c r="D37" s="9">
        <f>ROUNDUP(C37/16,0)</f>
        <v>2</v>
      </c>
    </row>
    <row r="38" spans="2:4" x14ac:dyDescent="0.2">
      <c r="B38" s="9" t="s">
        <v>886</v>
      </c>
      <c r="C38" s="9">
        <v>49</v>
      </c>
      <c r="D38" s="9">
        <f t="shared" ref="D38:D40" si="2">ROUNDUP(C38/16,0)</f>
        <v>4</v>
      </c>
    </row>
    <row r="39" spans="2:4" x14ac:dyDescent="0.2">
      <c r="B39" s="9" t="s">
        <v>887</v>
      </c>
      <c r="C39" s="9">
        <v>400</v>
      </c>
      <c r="D39" s="9">
        <f t="shared" si="2"/>
        <v>25</v>
      </c>
    </row>
    <row r="40" spans="2:4" x14ac:dyDescent="0.2">
      <c r="B40" s="9" t="s">
        <v>888</v>
      </c>
      <c r="C40" s="9">
        <v>36</v>
      </c>
      <c r="D40" s="9">
        <f t="shared" si="2"/>
        <v>3</v>
      </c>
    </row>
    <row r="41" spans="2:4" x14ac:dyDescent="0.2">
      <c r="D41" s="321">
        <f>SUM(D37:D40)</f>
        <v>34</v>
      </c>
    </row>
  </sheetData>
  <mergeCells count="4">
    <mergeCell ref="A1:J1"/>
    <mergeCell ref="A2:J2"/>
    <mergeCell ref="A3:J3"/>
    <mergeCell ref="A4:J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E9261-6078-47FD-9CCF-CB20AD20260D}">
  <sheetPr codeName="Hoja17"/>
  <dimension ref="A1:M188"/>
  <sheetViews>
    <sheetView showGridLines="0" topLeftCell="C1" zoomScale="80" zoomScaleNormal="80" workbookViewId="0">
      <pane ySplit="15" topLeftCell="A147" activePane="bottomLeft" state="frozen"/>
      <selection pane="bottomLeft" activeCell="F11" sqref="F11"/>
    </sheetView>
  </sheetViews>
  <sheetFormatPr baseColWidth="10" defaultColWidth="11.44140625" defaultRowHeight="14.4" x14ac:dyDescent="0.3"/>
  <cols>
    <col min="1" max="1" width="12.33203125" bestFit="1" customWidth="1"/>
    <col min="2" max="2" width="12.33203125" customWidth="1"/>
    <col min="3" max="3" width="15.44140625" customWidth="1"/>
    <col min="4" max="4" width="17.5546875" customWidth="1"/>
    <col min="5" max="5" width="17.33203125" customWidth="1"/>
    <col min="6" max="6" width="30" customWidth="1"/>
    <col min="7" max="7" width="13.44140625" customWidth="1"/>
    <col min="8" max="8" width="11.21875" customWidth="1"/>
    <col min="9" max="9" width="10" customWidth="1"/>
    <col min="10" max="10" width="13.88671875" customWidth="1"/>
    <col min="12" max="12" width="11.88671875" bestFit="1" customWidth="1"/>
  </cols>
  <sheetData>
    <row r="1" spans="1:13" x14ac:dyDescent="0.3">
      <c r="A1" s="293" t="s">
        <v>212</v>
      </c>
      <c r="B1" s="293" t="s">
        <v>213</v>
      </c>
      <c r="C1" s="293" t="s">
        <v>214</v>
      </c>
      <c r="D1" s="293" t="s">
        <v>215</v>
      </c>
      <c r="E1" s="293" t="s">
        <v>216</v>
      </c>
      <c r="F1" s="293" t="s">
        <v>217</v>
      </c>
      <c r="G1" s="293" t="s">
        <v>218</v>
      </c>
      <c r="H1" s="293" t="s">
        <v>219</v>
      </c>
      <c r="I1" s="293" t="s">
        <v>220</v>
      </c>
      <c r="J1" s="293" t="s">
        <v>221</v>
      </c>
      <c r="K1" s="223"/>
    </row>
    <row r="2" spans="1:13" x14ac:dyDescent="0.3">
      <c r="A2" s="2" t="s">
        <v>222</v>
      </c>
      <c r="B2" s="5">
        <v>45231</v>
      </c>
      <c r="C2" t="s">
        <v>223</v>
      </c>
      <c r="D2" t="s">
        <v>224</v>
      </c>
      <c r="E2" t="s">
        <v>225</v>
      </c>
      <c r="F2" s="2" t="s">
        <v>226</v>
      </c>
      <c r="G2" s="294">
        <v>21.05</v>
      </c>
      <c r="H2" s="2">
        <v>15</v>
      </c>
      <c r="I2" s="294">
        <v>315.75</v>
      </c>
      <c r="J2" t="s">
        <v>227</v>
      </c>
      <c r="K2" s="3"/>
    </row>
    <row r="3" spans="1:13" x14ac:dyDescent="0.3">
      <c r="A3" s="2" t="s">
        <v>222</v>
      </c>
      <c r="B3" s="5">
        <v>45244</v>
      </c>
      <c r="C3" s="2" t="s">
        <v>228</v>
      </c>
      <c r="D3" s="2" t="s">
        <v>229</v>
      </c>
      <c r="E3" t="s">
        <v>230</v>
      </c>
      <c r="F3" s="2" t="s">
        <v>231</v>
      </c>
      <c r="G3" s="294">
        <v>53</v>
      </c>
      <c r="H3" s="2">
        <v>35</v>
      </c>
      <c r="I3" s="294">
        <v>1855</v>
      </c>
      <c r="J3" t="s">
        <v>227</v>
      </c>
      <c r="K3" s="3"/>
    </row>
    <row r="4" spans="1:13" x14ac:dyDescent="0.3">
      <c r="A4" s="2" t="s">
        <v>232</v>
      </c>
      <c r="B4" s="5">
        <v>45257</v>
      </c>
      <c r="C4" s="2" t="s">
        <v>228</v>
      </c>
      <c r="D4" s="2" t="s">
        <v>229</v>
      </c>
      <c r="E4" t="s">
        <v>895</v>
      </c>
      <c r="F4" s="2" t="s">
        <v>234</v>
      </c>
      <c r="G4" s="294">
        <v>9.65</v>
      </c>
      <c r="H4" s="2">
        <v>10</v>
      </c>
      <c r="I4" s="294">
        <v>96.5</v>
      </c>
      <c r="J4" t="s">
        <v>227</v>
      </c>
      <c r="K4" s="246"/>
    </row>
    <row r="5" spans="1:13" x14ac:dyDescent="0.3">
      <c r="A5" s="2" t="s">
        <v>235</v>
      </c>
      <c r="B5" s="5">
        <v>45270</v>
      </c>
      <c r="C5" s="2" t="s">
        <v>223</v>
      </c>
      <c r="D5" s="2" t="s">
        <v>236</v>
      </c>
      <c r="E5" t="s">
        <v>233</v>
      </c>
      <c r="F5" s="2" t="s">
        <v>237</v>
      </c>
      <c r="G5" s="294">
        <v>20</v>
      </c>
      <c r="H5" s="2">
        <v>40</v>
      </c>
      <c r="I5" s="294">
        <v>800</v>
      </c>
      <c r="J5" t="s">
        <v>227</v>
      </c>
      <c r="K5" s="3"/>
    </row>
    <row r="6" spans="1:13" x14ac:dyDescent="0.3">
      <c r="A6" s="2" t="s">
        <v>238</v>
      </c>
      <c r="B6" s="5">
        <v>45283</v>
      </c>
      <c r="C6" s="2" t="s">
        <v>228</v>
      </c>
      <c r="D6" s="2" t="s">
        <v>229</v>
      </c>
      <c r="E6" t="s">
        <v>230</v>
      </c>
      <c r="F6" s="2" t="s">
        <v>239</v>
      </c>
      <c r="G6" s="294">
        <v>18</v>
      </c>
      <c r="H6" s="2">
        <v>42</v>
      </c>
      <c r="I6" s="294">
        <v>756</v>
      </c>
      <c r="J6" t="s">
        <v>227</v>
      </c>
      <c r="K6" s="3"/>
    </row>
    <row r="7" spans="1:13" x14ac:dyDescent="0.3">
      <c r="A7" s="2" t="s">
        <v>235</v>
      </c>
      <c r="B7" s="5">
        <v>45296</v>
      </c>
      <c r="C7" s="2" t="s">
        <v>228</v>
      </c>
      <c r="D7" s="2" t="s">
        <v>229</v>
      </c>
      <c r="E7" t="s">
        <v>240</v>
      </c>
      <c r="F7" s="2" t="s">
        <v>241</v>
      </c>
      <c r="G7" s="294">
        <v>12.5</v>
      </c>
      <c r="H7" s="2">
        <v>20</v>
      </c>
      <c r="I7" s="294">
        <v>250</v>
      </c>
      <c r="J7" t="s">
        <v>227</v>
      </c>
      <c r="K7" s="3"/>
    </row>
    <row r="8" spans="1:13" x14ac:dyDescent="0.3">
      <c r="A8" s="2" t="s">
        <v>232</v>
      </c>
      <c r="B8" s="5">
        <v>45309</v>
      </c>
      <c r="C8" s="2" t="s">
        <v>228</v>
      </c>
      <c r="D8" s="2" t="s">
        <v>242</v>
      </c>
      <c r="E8" t="s">
        <v>243</v>
      </c>
      <c r="F8" s="2" t="s">
        <v>244</v>
      </c>
      <c r="G8" s="294">
        <v>32.799999999999997</v>
      </c>
      <c r="H8" s="2">
        <v>15</v>
      </c>
      <c r="I8" s="294">
        <v>492</v>
      </c>
      <c r="J8" t="s">
        <v>227</v>
      </c>
      <c r="K8" s="3"/>
      <c r="M8" s="5"/>
    </row>
    <row r="9" spans="1:13" x14ac:dyDescent="0.3">
      <c r="A9" s="2" t="s">
        <v>222</v>
      </c>
      <c r="B9" s="5">
        <v>45322</v>
      </c>
      <c r="C9" s="2" t="s">
        <v>228</v>
      </c>
      <c r="D9" s="2" t="s">
        <v>242</v>
      </c>
      <c r="E9" t="s">
        <v>225</v>
      </c>
      <c r="F9" s="2" t="s">
        <v>245</v>
      </c>
      <c r="G9" s="294">
        <v>13</v>
      </c>
      <c r="H9" s="2">
        <v>12</v>
      </c>
      <c r="I9" s="294">
        <v>156</v>
      </c>
      <c r="J9" t="s">
        <v>227</v>
      </c>
      <c r="K9" s="3"/>
    </row>
    <row r="10" spans="1:13" x14ac:dyDescent="0.3">
      <c r="A10" s="2" t="s">
        <v>238</v>
      </c>
      <c r="B10" s="5">
        <v>45335</v>
      </c>
      <c r="C10" s="2" t="s">
        <v>228</v>
      </c>
      <c r="D10" s="2" t="s">
        <v>229</v>
      </c>
      <c r="E10" t="s">
        <v>230</v>
      </c>
      <c r="F10" s="2" t="s">
        <v>246</v>
      </c>
      <c r="G10" s="294">
        <v>18</v>
      </c>
      <c r="H10" s="2">
        <v>20</v>
      </c>
      <c r="I10" s="294">
        <v>360</v>
      </c>
      <c r="J10" t="s">
        <v>227</v>
      </c>
      <c r="K10" s="3"/>
    </row>
    <row r="11" spans="1:13" x14ac:dyDescent="0.3">
      <c r="A11" s="2" t="s">
        <v>238</v>
      </c>
      <c r="B11" s="5">
        <v>45348</v>
      </c>
      <c r="C11" s="2" t="s">
        <v>228</v>
      </c>
      <c r="D11" s="2" t="s">
        <v>229</v>
      </c>
      <c r="E11" t="s">
        <v>233</v>
      </c>
      <c r="F11" s="2" t="s">
        <v>247</v>
      </c>
      <c r="G11" s="294">
        <v>10</v>
      </c>
      <c r="H11" s="2">
        <v>20</v>
      </c>
      <c r="I11" s="294">
        <v>200</v>
      </c>
      <c r="J11" t="s">
        <v>227</v>
      </c>
      <c r="K11" s="3"/>
      <c r="L11" s="247"/>
    </row>
    <row r="12" spans="1:13" x14ac:dyDescent="0.3">
      <c r="A12" s="2" t="s">
        <v>235</v>
      </c>
      <c r="B12" s="5">
        <v>45362</v>
      </c>
      <c r="C12" s="2" t="s">
        <v>248</v>
      </c>
      <c r="D12" s="2" t="s">
        <v>249</v>
      </c>
      <c r="E12" t="s">
        <v>230</v>
      </c>
      <c r="F12" s="2" t="s">
        <v>250</v>
      </c>
      <c r="G12" s="294">
        <v>4.5</v>
      </c>
      <c r="H12" s="2">
        <v>6</v>
      </c>
      <c r="I12" s="294">
        <v>27</v>
      </c>
      <c r="J12" t="s">
        <v>251</v>
      </c>
      <c r="K12" s="3"/>
    </row>
    <row r="13" spans="1:13" x14ac:dyDescent="0.3">
      <c r="A13" s="2" t="s">
        <v>235</v>
      </c>
      <c r="B13" s="5">
        <v>45375</v>
      </c>
      <c r="C13" s="2" t="s">
        <v>248</v>
      </c>
      <c r="D13" s="2" t="s">
        <v>249</v>
      </c>
      <c r="E13" t="s">
        <v>230</v>
      </c>
      <c r="F13" s="2" t="s">
        <v>246</v>
      </c>
      <c r="G13" s="294">
        <v>18</v>
      </c>
      <c r="H13" s="2">
        <v>4</v>
      </c>
      <c r="I13" s="294">
        <v>72</v>
      </c>
      <c r="J13" t="s">
        <v>251</v>
      </c>
      <c r="K13" s="3"/>
    </row>
    <row r="14" spans="1:13" x14ac:dyDescent="0.3">
      <c r="A14" s="2" t="s">
        <v>238</v>
      </c>
      <c r="B14" s="5">
        <v>45388</v>
      </c>
      <c r="C14" s="2" t="s">
        <v>248</v>
      </c>
      <c r="D14" s="2" t="s">
        <v>249</v>
      </c>
      <c r="E14" t="s">
        <v>233</v>
      </c>
      <c r="F14" s="2" t="s">
        <v>252</v>
      </c>
      <c r="G14" s="294">
        <v>9.1999999999999993</v>
      </c>
      <c r="H14" s="2">
        <v>1</v>
      </c>
      <c r="I14" s="294">
        <v>9.1999999999999993</v>
      </c>
      <c r="J14" t="s">
        <v>251</v>
      </c>
      <c r="K14" s="3"/>
    </row>
    <row r="15" spans="1:13" x14ac:dyDescent="0.3">
      <c r="A15" s="2" t="s">
        <v>238</v>
      </c>
      <c r="B15" s="5">
        <v>45401</v>
      </c>
      <c r="C15" s="2" t="s">
        <v>248</v>
      </c>
      <c r="D15" s="2" t="s">
        <v>249</v>
      </c>
      <c r="E15" t="s">
        <v>240</v>
      </c>
      <c r="F15" s="2" t="s">
        <v>253</v>
      </c>
      <c r="G15" s="294">
        <v>19.5</v>
      </c>
      <c r="H15" s="2">
        <v>2</v>
      </c>
      <c r="I15" s="294">
        <v>39</v>
      </c>
      <c r="J15" t="s">
        <v>251</v>
      </c>
      <c r="K15" s="3"/>
    </row>
    <row r="18" spans="1:3" ht="17.399999999999999" x14ac:dyDescent="0.3">
      <c r="A18" s="326" t="s">
        <v>254</v>
      </c>
      <c r="B18" s="326"/>
      <c r="C18" s="326"/>
    </row>
    <row r="19" spans="1:3" ht="13.5" customHeight="1" x14ac:dyDescent="0.3"/>
    <row r="20" spans="1:3" x14ac:dyDescent="0.3">
      <c r="A20" t="s">
        <v>255</v>
      </c>
    </row>
    <row r="21" spans="1:3" x14ac:dyDescent="0.3">
      <c r="A21" t="s">
        <v>256</v>
      </c>
    </row>
    <row r="22" spans="1:3" x14ac:dyDescent="0.3">
      <c r="A22" t="s">
        <v>257</v>
      </c>
    </row>
    <row r="23" spans="1:3" x14ac:dyDescent="0.3">
      <c r="A23" t="s">
        <v>258</v>
      </c>
    </row>
    <row r="25" spans="1:3" x14ac:dyDescent="0.3">
      <c r="A25" s="23" t="s">
        <v>32</v>
      </c>
    </row>
    <row r="26" spans="1:3" x14ac:dyDescent="0.3">
      <c r="A26" s="85" t="s">
        <v>259</v>
      </c>
    </row>
    <row r="28" spans="1:3" x14ac:dyDescent="0.3">
      <c r="A28" t="s">
        <v>260</v>
      </c>
    </row>
    <row r="29" spans="1:3" x14ac:dyDescent="0.3">
      <c r="A29" t="s">
        <v>261</v>
      </c>
    </row>
    <row r="30" spans="1:3" x14ac:dyDescent="0.3">
      <c r="A30" s="86" t="s">
        <v>262</v>
      </c>
    </row>
    <row r="31" spans="1:3" x14ac:dyDescent="0.3">
      <c r="A31" s="86"/>
      <c r="B31" t="s">
        <v>263</v>
      </c>
    </row>
    <row r="32" spans="1:3" x14ac:dyDescent="0.3">
      <c r="A32" s="86" t="s">
        <v>264</v>
      </c>
    </row>
    <row r="33" spans="1:9" x14ac:dyDescent="0.3">
      <c r="B33" t="s">
        <v>265</v>
      </c>
    </row>
    <row r="35" spans="1:9" x14ac:dyDescent="0.3">
      <c r="A35" s="87" t="s">
        <v>266</v>
      </c>
    </row>
    <row r="37" spans="1:9" x14ac:dyDescent="0.3">
      <c r="A37" t="s">
        <v>267</v>
      </c>
    </row>
    <row r="38" spans="1:9" x14ac:dyDescent="0.3">
      <c r="B38" t="s">
        <v>268</v>
      </c>
    </row>
    <row r="39" spans="1:9" x14ac:dyDescent="0.3">
      <c r="B39" t="s">
        <v>269</v>
      </c>
    </row>
    <row r="40" spans="1:9" x14ac:dyDescent="0.3">
      <c r="B40" t="s">
        <v>270</v>
      </c>
    </row>
    <row r="41" spans="1:9" x14ac:dyDescent="0.3">
      <c r="A41" t="s">
        <v>271</v>
      </c>
    </row>
    <row r="43" spans="1:9" x14ac:dyDescent="0.3">
      <c r="A43" t="s">
        <v>272</v>
      </c>
    </row>
    <row r="45" spans="1:9" x14ac:dyDescent="0.3">
      <c r="A45" t="s">
        <v>273</v>
      </c>
      <c r="G45" s="88">
        <f>COUNTIF(Tabla2[Categoría Producto],"Reposter?a")</f>
        <v>4</v>
      </c>
      <c r="H45" s="88">
        <f>COUNTIF(Tabla2[Categoría Producto],"Reposter*")</f>
        <v>4</v>
      </c>
      <c r="I45" s="3"/>
    </row>
    <row r="46" spans="1:9" x14ac:dyDescent="0.3">
      <c r="A46" t="s">
        <v>274</v>
      </c>
      <c r="G46" s="88">
        <f>COUNTIF(Tabla2[Categoría Producto],"Bebidas")</f>
        <v>5</v>
      </c>
      <c r="H46" s="228"/>
      <c r="I46" s="3"/>
    </row>
    <row r="47" spans="1:9" x14ac:dyDescent="0.3">
      <c r="A47" t="s">
        <v>275</v>
      </c>
      <c r="G47" s="88">
        <f>COUNTIF(Tabla2[Fecha Venta],"&lt;31/12/2023")</f>
        <v>5</v>
      </c>
      <c r="I47" s="3"/>
    </row>
    <row r="48" spans="1:9" x14ac:dyDescent="0.3">
      <c r="A48" t="s">
        <v>276</v>
      </c>
      <c r="G48" s="88">
        <f>COUNTIF(Tabla2[Cantidad],"&gt;=35")</f>
        <v>3</v>
      </c>
    </row>
    <row r="49" spans="1:9" x14ac:dyDescent="0.3">
      <c r="A49" t="s">
        <v>277</v>
      </c>
      <c r="G49" s="88">
        <f>COUNTIF(Tabla2[Forma de Pago],"Contado")</f>
        <v>4</v>
      </c>
    </row>
    <row r="50" spans="1:9" x14ac:dyDescent="0.3">
      <c r="A50" t="s">
        <v>896</v>
      </c>
      <c r="G50">
        <f>COUNTIF(Tabla2[Categoría Producto],"Reposter?a") +COUNTIF(Tabla2[Categoría Producto],"Bebid*")</f>
        <v>9</v>
      </c>
      <c r="I50" cm="1">
        <f t="array" ref="I50:I51">COUNTIF(Tabla2[Categoría Producto],{"Reposter?a";"Bebidas"})</f>
        <v>4</v>
      </c>
    </row>
    <row r="51" spans="1:9" x14ac:dyDescent="0.3">
      <c r="I51">
        <v>5</v>
      </c>
    </row>
    <row r="53" spans="1:9" ht="17.399999999999999" x14ac:dyDescent="0.3">
      <c r="A53" s="326" t="s">
        <v>278</v>
      </c>
      <c r="B53" s="326"/>
      <c r="C53" s="326"/>
      <c r="D53" s="87"/>
    </row>
    <row r="54" spans="1:9" x14ac:dyDescent="0.3">
      <c r="A54" t="s">
        <v>279</v>
      </c>
    </row>
    <row r="56" spans="1:9" x14ac:dyDescent="0.3">
      <c r="A56" s="23" t="s">
        <v>32</v>
      </c>
    </row>
    <row r="57" spans="1:9" x14ac:dyDescent="0.3">
      <c r="A57" s="85" t="s">
        <v>280</v>
      </c>
    </row>
    <row r="59" spans="1:9" x14ac:dyDescent="0.3">
      <c r="A59" t="s">
        <v>281</v>
      </c>
    </row>
    <row r="62" spans="1:9" x14ac:dyDescent="0.3">
      <c r="A62" t="s">
        <v>282</v>
      </c>
    </row>
    <row r="63" spans="1:9" x14ac:dyDescent="0.3">
      <c r="A63" t="s">
        <v>283</v>
      </c>
    </row>
    <row r="64" spans="1:9" x14ac:dyDescent="0.3">
      <c r="B64" t="s">
        <v>284</v>
      </c>
    </row>
    <row r="65" spans="1:8" x14ac:dyDescent="0.3">
      <c r="A65" t="s">
        <v>285</v>
      </c>
    </row>
    <row r="69" spans="1:8" x14ac:dyDescent="0.3">
      <c r="A69" t="s">
        <v>272</v>
      </c>
    </row>
    <row r="71" spans="1:8" x14ac:dyDescent="0.3">
      <c r="A71" t="s">
        <v>286</v>
      </c>
      <c r="G71" s="88">
        <f>COUNTIFS(Tabla2[Categoría Producto],"Reposteria",Tabla2[País Destinatario],"Brasil")</f>
        <v>1</v>
      </c>
      <c r="H71" s="89"/>
    </row>
    <row r="72" spans="1:8" x14ac:dyDescent="0.3">
      <c r="A72" t="s">
        <v>287</v>
      </c>
      <c r="G72" s="88">
        <f>COUNTIFS(Tabla2[Categoría Producto],"Bebidas",Tabla2[País Destinatario],"España")</f>
        <v>2</v>
      </c>
      <c r="H72" s="89"/>
    </row>
    <row r="73" spans="1:8" x14ac:dyDescent="0.3">
      <c r="A73" t="s">
        <v>288</v>
      </c>
      <c r="G73" s="88">
        <f>COUNTIFS(Tabla2[Fecha Venta],"&gt;=01/01/2024",Tabla2[Fecha Venta],"&lt;=31/01/2024")</f>
        <v>3</v>
      </c>
      <c r="H73" s="2"/>
    </row>
    <row r="74" spans="1:8" x14ac:dyDescent="0.3">
      <c r="A74" t="s">
        <v>289</v>
      </c>
      <c r="G74" s="88">
        <f>COUNTIFS(Tabla2[Cantidad],"&gt;=20",Tabla2[Cantidad],"&lt;=35")</f>
        <v>4</v>
      </c>
    </row>
    <row r="75" spans="1:8" x14ac:dyDescent="0.3">
      <c r="A75" t="s">
        <v>290</v>
      </c>
      <c r="G75" s="271">
        <f>COUNTIFS(Tabla2[Categoría Producto],"Bebidas",Tabla2[País Destinatario],"Brasil",Tabla2[Cantidad],"&gt;=35")</f>
        <v>2</v>
      </c>
    </row>
    <row r="78" spans="1:8" ht="17.399999999999999" x14ac:dyDescent="0.3">
      <c r="A78" s="326" t="s">
        <v>291</v>
      </c>
      <c r="B78" s="326"/>
      <c r="C78" s="326"/>
    </row>
    <row r="80" spans="1:8" x14ac:dyDescent="0.3">
      <c r="A80" t="s">
        <v>292</v>
      </c>
    </row>
    <row r="81" spans="1:2" x14ac:dyDescent="0.3">
      <c r="A81" t="s">
        <v>293</v>
      </c>
    </row>
    <row r="82" spans="1:2" x14ac:dyDescent="0.3">
      <c r="A82" t="s">
        <v>294</v>
      </c>
    </row>
    <row r="84" spans="1:2" x14ac:dyDescent="0.3">
      <c r="A84" s="23" t="s">
        <v>32</v>
      </c>
    </row>
    <row r="85" spans="1:2" x14ac:dyDescent="0.3">
      <c r="A85" s="85" t="s">
        <v>295</v>
      </c>
    </row>
    <row r="87" spans="1:2" x14ac:dyDescent="0.3">
      <c r="A87" t="s">
        <v>296</v>
      </c>
    </row>
    <row r="90" spans="1:2" x14ac:dyDescent="0.3">
      <c r="A90" t="s">
        <v>297</v>
      </c>
    </row>
    <row r="91" spans="1:2" x14ac:dyDescent="0.3">
      <c r="B91" t="s">
        <v>298</v>
      </c>
    </row>
    <row r="92" spans="1:2" x14ac:dyDescent="0.3">
      <c r="A92" t="s">
        <v>299</v>
      </c>
    </row>
    <row r="93" spans="1:2" x14ac:dyDescent="0.3">
      <c r="B93" t="s">
        <v>300</v>
      </c>
    </row>
    <row r="94" spans="1:2" x14ac:dyDescent="0.3">
      <c r="A94" s="90" t="s">
        <v>301</v>
      </c>
      <c r="B94" t="s">
        <v>302</v>
      </c>
    </row>
    <row r="95" spans="1:2" x14ac:dyDescent="0.3">
      <c r="B95" t="s">
        <v>303</v>
      </c>
    </row>
    <row r="96" spans="1:2" x14ac:dyDescent="0.3">
      <c r="A96" t="s">
        <v>304</v>
      </c>
    </row>
    <row r="97" spans="1:8" x14ac:dyDescent="0.3">
      <c r="B97" t="s">
        <v>305</v>
      </c>
    </row>
    <row r="100" spans="1:8" x14ac:dyDescent="0.3">
      <c r="A100" t="s">
        <v>272</v>
      </c>
    </row>
    <row r="102" spans="1:8" x14ac:dyDescent="0.3">
      <c r="A102" t="s">
        <v>306</v>
      </c>
      <c r="G102" s="216">
        <f>SUMIF(Tabla2[Categoría Producto],"Reposteria",Tabla2[Importe])</f>
        <v>1009.2</v>
      </c>
      <c r="H102" s="89"/>
    </row>
    <row r="103" spans="1:8" x14ac:dyDescent="0.3">
      <c r="A103" t="s">
        <v>307</v>
      </c>
      <c r="G103" s="216">
        <f>SUMIF(Tabla2[Categoría Producto],"Bebidas",Tabla2[Importe])</f>
        <v>3070</v>
      </c>
      <c r="H103" s="89"/>
    </row>
    <row r="104" spans="1:8" x14ac:dyDescent="0.3">
      <c r="A104" t="s">
        <v>308</v>
      </c>
      <c r="G104" s="216">
        <f>SUMIF(Tabla2[Fecha Venta],"&lt;=31/12/2023",Tabla2[Importe])</f>
        <v>3823.25</v>
      </c>
    </row>
    <row r="105" spans="1:8" x14ac:dyDescent="0.3">
      <c r="A105" t="s">
        <v>309</v>
      </c>
      <c r="G105" s="216">
        <f>SUMIF(Tabla2[Cantidad],"&gt;=35",Tabla2[Importe])</f>
        <v>3411</v>
      </c>
    </row>
    <row r="106" spans="1:8" x14ac:dyDescent="0.3">
      <c r="A106" t="s">
        <v>310</v>
      </c>
      <c r="G106" s="216">
        <f>SUMIF(Tabla2[Forma de Pago],"Contado",Tabla2[Importe])</f>
        <v>147.19999999999999</v>
      </c>
    </row>
    <row r="109" spans="1:8" ht="17.399999999999999" x14ac:dyDescent="0.3">
      <c r="A109" s="326" t="s">
        <v>311</v>
      </c>
      <c r="B109" s="326"/>
      <c r="C109" s="326"/>
      <c r="D109" s="87"/>
    </row>
    <row r="111" spans="1:8" x14ac:dyDescent="0.3">
      <c r="A111" t="s">
        <v>312</v>
      </c>
    </row>
    <row r="112" spans="1:8" x14ac:dyDescent="0.3">
      <c r="A112" t="s">
        <v>313</v>
      </c>
    </row>
    <row r="113" spans="1:2" x14ac:dyDescent="0.3">
      <c r="A113" t="s">
        <v>314</v>
      </c>
    </row>
    <row r="116" spans="1:2" x14ac:dyDescent="0.3">
      <c r="A116" s="23" t="s">
        <v>32</v>
      </c>
    </row>
    <row r="117" spans="1:2" x14ac:dyDescent="0.3">
      <c r="A117" s="85" t="s">
        <v>315</v>
      </c>
    </row>
    <row r="119" spans="1:2" x14ac:dyDescent="0.3">
      <c r="A119" t="s">
        <v>316</v>
      </c>
    </row>
    <row r="120" spans="1:2" x14ac:dyDescent="0.3">
      <c r="A120" t="s">
        <v>317</v>
      </c>
    </row>
    <row r="121" spans="1:2" x14ac:dyDescent="0.3">
      <c r="A121" t="s">
        <v>318</v>
      </c>
    </row>
    <row r="122" spans="1:2" x14ac:dyDescent="0.3">
      <c r="A122" t="s">
        <v>319</v>
      </c>
    </row>
    <row r="123" spans="1:2" x14ac:dyDescent="0.3">
      <c r="B123" t="s">
        <v>320</v>
      </c>
    </row>
    <row r="124" spans="1:2" x14ac:dyDescent="0.3">
      <c r="A124" t="s">
        <v>321</v>
      </c>
    </row>
    <row r="127" spans="1:2" x14ac:dyDescent="0.3">
      <c r="A127" t="s">
        <v>272</v>
      </c>
    </row>
    <row r="129" spans="1:8" x14ac:dyDescent="0.3">
      <c r="A129" t="s">
        <v>322</v>
      </c>
      <c r="G129" s="88">
        <f>SUMIFS(Tabla2[Importe],Tabla2[Categoría Producto],"Reposter*",Tabla2[País Destinatario],"Brasil")</f>
        <v>296.5</v>
      </c>
      <c r="H129" s="89"/>
    </row>
    <row r="130" spans="1:8" x14ac:dyDescent="0.3">
      <c r="A130" t="s">
        <v>323</v>
      </c>
      <c r="G130" s="88">
        <f>SUMIFS(Tabla2[Importe],Tabla2[Categoría Producto],"Bebid*",Tabla2[País Destinatario],"Espa*")</f>
        <v>99</v>
      </c>
      <c r="H130" s="89"/>
    </row>
    <row r="131" spans="1:8" x14ac:dyDescent="0.3">
      <c r="A131" t="s">
        <v>324</v>
      </c>
      <c r="G131" s="277">
        <f>SUMIFS(Tabla2[Importe],Tabla2[Fecha Venta],"&gt;=01/01/2024",Tabla2[Fecha Venta],"&lt;=31/01/2024")</f>
        <v>898</v>
      </c>
      <c r="H131" s="2"/>
    </row>
    <row r="132" spans="1:8" x14ac:dyDescent="0.3">
      <c r="A132" t="s">
        <v>325</v>
      </c>
      <c r="G132" s="88">
        <f>SUMIFS(Tabla2[Importe],Tabla2[Cantidad],"&gt;=20",Tabla2[Cantidad],"&lt;=35")</f>
        <v>2665</v>
      </c>
    </row>
    <row r="133" spans="1:8" x14ac:dyDescent="0.3">
      <c r="A133" t="s">
        <v>326</v>
      </c>
      <c r="G133" s="271">
        <f>SUMIFS(Tabla2[Importe],Tabla2[Categoría Producto],"Bebid*",Tabla2[País Destinatario],"Bras*",Tabla2[Cantidad],"&gt;=35")</f>
        <v>2611</v>
      </c>
    </row>
    <row r="136" spans="1:8" ht="17.399999999999999" x14ac:dyDescent="0.3">
      <c r="A136" s="326" t="s">
        <v>327</v>
      </c>
      <c r="B136" s="326"/>
      <c r="C136" s="326"/>
      <c r="D136" s="87"/>
    </row>
    <row r="138" spans="1:8" x14ac:dyDescent="0.3">
      <c r="A138" t="s">
        <v>328</v>
      </c>
    </row>
    <row r="140" spans="1:8" x14ac:dyDescent="0.3">
      <c r="A140" s="23" t="s">
        <v>32</v>
      </c>
    </row>
    <row r="141" spans="1:8" x14ac:dyDescent="0.3">
      <c r="A141" s="85" t="s">
        <v>329</v>
      </c>
    </row>
    <row r="143" spans="1:8" x14ac:dyDescent="0.3">
      <c r="A143" t="s">
        <v>330</v>
      </c>
    </row>
    <row r="144" spans="1:8" x14ac:dyDescent="0.3">
      <c r="A144" t="s">
        <v>331</v>
      </c>
    </row>
    <row r="145" spans="1:8" x14ac:dyDescent="0.3">
      <c r="B145" t="s">
        <v>332</v>
      </c>
    </row>
    <row r="146" spans="1:8" x14ac:dyDescent="0.3">
      <c r="A146" t="s">
        <v>333</v>
      </c>
    </row>
    <row r="148" spans="1:8" x14ac:dyDescent="0.3">
      <c r="A148" t="s">
        <v>272</v>
      </c>
    </row>
    <row r="150" spans="1:8" x14ac:dyDescent="0.3">
      <c r="A150" t="s">
        <v>334</v>
      </c>
      <c r="G150" s="216">
        <f>AVERAGEIF(Tabla2[Categoría Producto],"Reposter*",Tabla2[Importe])</f>
        <v>276.42500000000001</v>
      </c>
      <c r="H150" s="89">
        <f>AVERAGEIFS(Tabla2[Importe],Tabla2[Categoría Producto],"Reposter*")</f>
        <v>276.42500000000001</v>
      </c>
    </row>
    <row r="151" spans="1:8" x14ac:dyDescent="0.3">
      <c r="A151" t="s">
        <v>335</v>
      </c>
      <c r="G151" s="216"/>
      <c r="H151" s="89"/>
    </row>
    <row r="152" spans="1:8" x14ac:dyDescent="0.3">
      <c r="A152" t="s">
        <v>336</v>
      </c>
      <c r="G152" s="216"/>
    </row>
    <row r="153" spans="1:8" x14ac:dyDescent="0.3">
      <c r="A153" t="s">
        <v>337</v>
      </c>
      <c r="G153" s="216"/>
    </row>
    <row r="154" spans="1:8" x14ac:dyDescent="0.3">
      <c r="A154" t="s">
        <v>338</v>
      </c>
      <c r="G154" s="216"/>
    </row>
    <row r="157" spans="1:8" ht="17.399999999999999" x14ac:dyDescent="0.3">
      <c r="A157" s="326" t="s">
        <v>339</v>
      </c>
      <c r="B157" s="326"/>
      <c r="C157" s="326"/>
      <c r="D157" s="87"/>
    </row>
    <row r="159" spans="1:8" x14ac:dyDescent="0.3">
      <c r="A159" t="s">
        <v>340</v>
      </c>
    </row>
    <row r="161" spans="1:2" x14ac:dyDescent="0.3">
      <c r="A161" s="23" t="s">
        <v>32</v>
      </c>
    </row>
    <row r="162" spans="1:2" x14ac:dyDescent="0.3">
      <c r="A162" s="85" t="s">
        <v>341</v>
      </c>
    </row>
    <row r="164" spans="1:2" x14ac:dyDescent="0.3">
      <c r="A164" t="s">
        <v>342</v>
      </c>
    </row>
    <row r="165" spans="1:2" x14ac:dyDescent="0.3">
      <c r="A165" t="s">
        <v>343</v>
      </c>
    </row>
    <row r="166" spans="1:2" x14ac:dyDescent="0.3">
      <c r="A166" t="s">
        <v>344</v>
      </c>
    </row>
    <row r="167" spans="1:2" x14ac:dyDescent="0.3">
      <c r="B167" t="s">
        <v>345</v>
      </c>
    </row>
    <row r="169" spans="1:2" x14ac:dyDescent="0.3">
      <c r="A169" s="87" t="s">
        <v>346</v>
      </c>
    </row>
    <row r="171" spans="1:2" x14ac:dyDescent="0.3">
      <c r="A171" t="s">
        <v>347</v>
      </c>
    </row>
    <row r="172" spans="1:2" x14ac:dyDescent="0.3">
      <c r="A172" t="s">
        <v>348</v>
      </c>
    </row>
    <row r="173" spans="1:2" x14ac:dyDescent="0.3">
      <c r="A173" t="s">
        <v>349</v>
      </c>
    </row>
    <row r="174" spans="1:2" x14ac:dyDescent="0.3">
      <c r="A174" t="s">
        <v>350</v>
      </c>
    </row>
    <row r="175" spans="1:2" x14ac:dyDescent="0.3">
      <c r="A175" t="s">
        <v>351</v>
      </c>
    </row>
    <row r="176" spans="1:2" x14ac:dyDescent="0.3">
      <c r="A176" t="s">
        <v>352</v>
      </c>
    </row>
    <row r="177" spans="1:8" x14ac:dyDescent="0.3">
      <c r="A177" t="s">
        <v>353</v>
      </c>
    </row>
    <row r="178" spans="1:8" x14ac:dyDescent="0.3">
      <c r="A178" t="s">
        <v>354</v>
      </c>
    </row>
    <row r="179" spans="1:8" x14ac:dyDescent="0.3">
      <c r="A179" t="s">
        <v>355</v>
      </c>
    </row>
    <row r="182" spans="1:8" x14ac:dyDescent="0.3">
      <c r="A182" t="s">
        <v>272</v>
      </c>
    </row>
    <row r="184" spans="1:8" x14ac:dyDescent="0.3">
      <c r="A184" t="s">
        <v>356</v>
      </c>
      <c r="G184" s="224">
        <f>AVERAGEIFS(Tabla2[Importe],Tabla2[Categoría Producto],"Reposte*",Tabla2[País Destinatario],"Brasil")</f>
        <v>148.25</v>
      </c>
      <c r="H184" s="89"/>
    </row>
    <row r="185" spans="1:8" x14ac:dyDescent="0.3">
      <c r="A185" t="s">
        <v>357</v>
      </c>
      <c r="G185" s="88"/>
      <c r="H185" s="89"/>
    </row>
    <row r="186" spans="1:8" x14ac:dyDescent="0.3">
      <c r="A186" t="s">
        <v>358</v>
      </c>
      <c r="G186" s="224"/>
      <c r="H186" s="2"/>
    </row>
    <row r="187" spans="1:8" x14ac:dyDescent="0.3">
      <c r="A187" t="s">
        <v>359</v>
      </c>
      <c r="G187" s="88"/>
    </row>
    <row r="188" spans="1:8" x14ac:dyDescent="0.3">
      <c r="A188" t="s">
        <v>360</v>
      </c>
      <c r="G188" s="88"/>
    </row>
  </sheetData>
  <mergeCells count="6">
    <mergeCell ref="A157:C157"/>
    <mergeCell ref="A18:C18"/>
    <mergeCell ref="A53:C53"/>
    <mergeCell ref="A78:C78"/>
    <mergeCell ref="A109:C109"/>
    <mergeCell ref="A136:C136"/>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89E04-624F-42C1-813A-9BA6C4D9B42D}">
  <sheetPr codeName="Hoja18"/>
  <dimension ref="B2:I33"/>
  <sheetViews>
    <sheetView showGridLines="0" workbookViewId="0">
      <pane ySplit="4" topLeftCell="A5" activePane="bottomLeft" state="frozen"/>
      <selection sqref="A1:J1"/>
      <selection pane="bottomLeft" activeCell="I5" sqref="I5"/>
    </sheetView>
  </sheetViews>
  <sheetFormatPr baseColWidth="10" defaultColWidth="11.44140625" defaultRowHeight="10.199999999999999" x14ac:dyDescent="0.2"/>
  <cols>
    <col min="1" max="1" width="2.88671875" style="9" customWidth="1"/>
    <col min="2" max="3" width="10.6640625" style="9" bestFit="1" customWidth="1"/>
    <col min="4" max="4" width="11.109375" style="9" customWidth="1"/>
    <col min="5" max="5" width="12.88671875" style="9" customWidth="1"/>
    <col min="6" max="6" width="11" style="9" bestFit="1" customWidth="1"/>
    <col min="7" max="7" width="10.44140625" style="9" bestFit="1" customWidth="1"/>
    <col min="8" max="16384" width="11.44140625" style="9"/>
  </cols>
  <sheetData>
    <row r="2" spans="2:9" ht="21" x14ac:dyDescent="0.4">
      <c r="B2" s="281" t="s">
        <v>361</v>
      </c>
    </row>
    <row r="4" spans="2:9" ht="18" customHeight="1" x14ac:dyDescent="0.2">
      <c r="B4" s="249" t="s">
        <v>362</v>
      </c>
      <c r="C4" s="249" t="s">
        <v>363</v>
      </c>
      <c r="D4" s="249" t="s">
        <v>364</v>
      </c>
      <c r="E4" s="249" t="s">
        <v>365</v>
      </c>
      <c r="F4" s="249" t="s">
        <v>366</v>
      </c>
      <c r="G4" s="249" t="s">
        <v>367</v>
      </c>
    </row>
    <row r="5" spans="2:9" x14ac:dyDescent="0.2">
      <c r="B5" s="250" t="s">
        <v>13</v>
      </c>
      <c r="C5" s="250" t="s">
        <v>368</v>
      </c>
      <c r="D5" s="250" t="s">
        <v>369</v>
      </c>
      <c r="E5" s="252">
        <v>20</v>
      </c>
      <c r="F5" s="253">
        <v>350</v>
      </c>
      <c r="G5" s="253">
        <f>F5*E5</f>
        <v>7000</v>
      </c>
      <c r="I5" s="92" t="s">
        <v>370</v>
      </c>
    </row>
    <row r="6" spans="2:9" x14ac:dyDescent="0.2">
      <c r="B6" s="250" t="s">
        <v>159</v>
      </c>
      <c r="C6" s="250" t="s">
        <v>371</v>
      </c>
      <c r="D6" s="250" t="s">
        <v>369</v>
      </c>
      <c r="E6" s="252">
        <v>15</v>
      </c>
      <c r="F6" s="253">
        <v>300</v>
      </c>
      <c r="G6" s="253">
        <f t="shared" ref="G6:G17" si="0">F6*E6</f>
        <v>4500</v>
      </c>
      <c r="I6" s="93"/>
    </row>
    <row r="7" spans="2:9" x14ac:dyDescent="0.2">
      <c r="B7" s="250" t="s">
        <v>372</v>
      </c>
      <c r="C7" s="250" t="s">
        <v>368</v>
      </c>
      <c r="D7" s="250" t="s">
        <v>369</v>
      </c>
      <c r="E7" s="252">
        <v>12</v>
      </c>
      <c r="F7" s="253">
        <v>350</v>
      </c>
      <c r="G7" s="253">
        <f t="shared" si="0"/>
        <v>4200</v>
      </c>
    </row>
    <row r="8" spans="2:9" x14ac:dyDescent="0.2">
      <c r="B8" s="250" t="s">
        <v>373</v>
      </c>
      <c r="C8" s="250" t="s">
        <v>368</v>
      </c>
      <c r="D8" s="250" t="s">
        <v>369</v>
      </c>
      <c r="E8" s="252">
        <v>18</v>
      </c>
      <c r="F8" s="253">
        <v>350</v>
      </c>
      <c r="G8" s="253">
        <f t="shared" si="0"/>
        <v>6300</v>
      </c>
      <c r="I8" s="92" t="s">
        <v>374</v>
      </c>
    </row>
    <row r="9" spans="2:9" x14ac:dyDescent="0.2">
      <c r="B9" s="250" t="s">
        <v>373</v>
      </c>
      <c r="C9" s="250" t="s">
        <v>368</v>
      </c>
      <c r="D9" s="250" t="s">
        <v>375</v>
      </c>
      <c r="E9" s="252">
        <v>8</v>
      </c>
      <c r="F9" s="253">
        <v>350</v>
      </c>
      <c r="G9" s="253">
        <f t="shared" si="0"/>
        <v>2800</v>
      </c>
      <c r="I9" s="93"/>
    </row>
    <row r="10" spans="2:9" x14ac:dyDescent="0.2">
      <c r="B10" s="250" t="s">
        <v>372</v>
      </c>
      <c r="C10" s="250" t="s">
        <v>371</v>
      </c>
      <c r="D10" s="250" t="s">
        <v>375</v>
      </c>
      <c r="E10" s="252">
        <v>6</v>
      </c>
      <c r="F10" s="253">
        <v>300</v>
      </c>
      <c r="G10" s="253">
        <f t="shared" si="0"/>
        <v>1800</v>
      </c>
    </row>
    <row r="11" spans="2:9" x14ac:dyDescent="0.2">
      <c r="B11" s="251" t="s">
        <v>13</v>
      </c>
      <c r="C11" s="251" t="s">
        <v>368</v>
      </c>
      <c r="D11" s="251" t="s">
        <v>375</v>
      </c>
      <c r="E11" s="252">
        <v>18</v>
      </c>
      <c r="F11" s="253">
        <v>350</v>
      </c>
      <c r="G11" s="253">
        <f t="shared" si="0"/>
        <v>6300</v>
      </c>
      <c r="I11" s="92" t="s">
        <v>376</v>
      </c>
    </row>
    <row r="12" spans="2:9" x14ac:dyDescent="0.2">
      <c r="B12" s="250" t="s">
        <v>159</v>
      </c>
      <c r="C12" s="250" t="s">
        <v>377</v>
      </c>
      <c r="D12" s="250" t="s">
        <v>375</v>
      </c>
      <c r="E12" s="252">
        <v>12</v>
      </c>
      <c r="F12" s="253">
        <v>250</v>
      </c>
      <c r="G12" s="253">
        <f t="shared" si="0"/>
        <v>3000</v>
      </c>
      <c r="I12" s="93"/>
    </row>
    <row r="13" spans="2:9" x14ac:dyDescent="0.2">
      <c r="B13" s="250" t="s">
        <v>13</v>
      </c>
      <c r="C13" s="250" t="s">
        <v>368</v>
      </c>
      <c r="D13" s="250" t="s">
        <v>375</v>
      </c>
      <c r="E13" s="252">
        <v>9</v>
      </c>
      <c r="F13" s="253">
        <v>350</v>
      </c>
      <c r="G13" s="253">
        <f t="shared" si="0"/>
        <v>3150</v>
      </c>
    </row>
    <row r="14" spans="2:9" x14ac:dyDescent="0.2">
      <c r="B14" s="250" t="s">
        <v>13</v>
      </c>
      <c r="C14" s="250" t="s">
        <v>377</v>
      </c>
      <c r="D14" s="250" t="s">
        <v>378</v>
      </c>
      <c r="E14" s="252">
        <v>12</v>
      </c>
      <c r="F14" s="253">
        <v>250</v>
      </c>
      <c r="G14" s="253">
        <f t="shared" si="0"/>
        <v>3000</v>
      </c>
      <c r="I14" s="92" t="s">
        <v>379</v>
      </c>
    </row>
    <row r="15" spans="2:9" x14ac:dyDescent="0.2">
      <c r="B15" s="250" t="s">
        <v>372</v>
      </c>
      <c r="C15" s="250" t="s">
        <v>380</v>
      </c>
      <c r="D15" s="250" t="s">
        <v>378</v>
      </c>
      <c r="E15" s="252">
        <v>5</v>
      </c>
      <c r="F15" s="253">
        <v>200</v>
      </c>
      <c r="G15" s="253">
        <f t="shared" si="0"/>
        <v>1000</v>
      </c>
      <c r="I15" s="93"/>
    </row>
    <row r="16" spans="2:9" x14ac:dyDescent="0.2">
      <c r="B16" s="250" t="s">
        <v>373</v>
      </c>
      <c r="C16" s="250" t="s">
        <v>368</v>
      </c>
      <c r="D16" s="250" t="s">
        <v>378</v>
      </c>
      <c r="E16" s="252">
        <v>14</v>
      </c>
      <c r="F16" s="253">
        <v>350</v>
      </c>
      <c r="G16" s="253">
        <f t="shared" si="0"/>
        <v>4900</v>
      </c>
    </row>
    <row r="17" spans="2:9" x14ac:dyDescent="0.2">
      <c r="B17" s="250" t="s">
        <v>159</v>
      </c>
      <c r="C17" s="250" t="s">
        <v>368</v>
      </c>
      <c r="D17" s="250" t="s">
        <v>378</v>
      </c>
      <c r="E17" s="252">
        <v>8</v>
      </c>
      <c r="F17" s="253">
        <v>350</v>
      </c>
      <c r="G17" s="253">
        <f t="shared" si="0"/>
        <v>2800</v>
      </c>
      <c r="I17" s="92" t="s">
        <v>381</v>
      </c>
    </row>
    <row r="18" spans="2:9" x14ac:dyDescent="0.2">
      <c r="I18" s="93"/>
    </row>
    <row r="19" spans="2:9" ht="20.399999999999999" x14ac:dyDescent="0.2">
      <c r="B19" s="249" t="s">
        <v>362</v>
      </c>
      <c r="C19" s="249" t="s">
        <v>382</v>
      </c>
      <c r="D19" s="249" t="s">
        <v>383</v>
      </c>
      <c r="E19" s="249" t="s">
        <v>384</v>
      </c>
    </row>
    <row r="20" spans="2:9" x14ac:dyDescent="0.2">
      <c r="B20" s="91" t="s">
        <v>13</v>
      </c>
      <c r="C20" s="91"/>
      <c r="D20" s="91"/>
      <c r="E20" s="91"/>
    </row>
    <row r="21" spans="2:9" x14ac:dyDescent="0.2">
      <c r="B21" s="91" t="s">
        <v>159</v>
      </c>
      <c r="C21" s="91"/>
      <c r="D21" s="91"/>
      <c r="E21" s="91"/>
    </row>
    <row r="22" spans="2:9" x14ac:dyDescent="0.2">
      <c r="B22" s="91" t="s">
        <v>372</v>
      </c>
      <c r="C22" s="91"/>
      <c r="D22" s="91"/>
      <c r="E22" s="91"/>
    </row>
    <row r="24" spans="2:9" ht="20.399999999999999" x14ac:dyDescent="0.2">
      <c r="B24" s="249" t="s">
        <v>363</v>
      </c>
      <c r="C24" s="249" t="s">
        <v>382</v>
      </c>
      <c r="D24" s="249" t="s">
        <v>383</v>
      </c>
      <c r="E24" s="249" t="s">
        <v>384</v>
      </c>
    </row>
    <row r="25" spans="2:9" x14ac:dyDescent="0.2">
      <c r="B25" s="91" t="s">
        <v>368</v>
      </c>
      <c r="C25" s="91"/>
      <c r="D25" s="91"/>
      <c r="E25" s="91"/>
    </row>
    <row r="26" spans="2:9" x14ac:dyDescent="0.2">
      <c r="B26" s="91" t="s">
        <v>371</v>
      </c>
      <c r="C26" s="91"/>
      <c r="D26" s="91"/>
      <c r="E26" s="91"/>
    </row>
    <row r="27" spans="2:9" x14ac:dyDescent="0.2">
      <c r="B27" s="91" t="s">
        <v>377</v>
      </c>
      <c r="C27" s="91"/>
      <c r="D27" s="91"/>
      <c r="E27" s="91"/>
    </row>
    <row r="28" spans="2:9" x14ac:dyDescent="0.2">
      <c r="B28" s="91" t="s">
        <v>380</v>
      </c>
      <c r="C28" s="91"/>
      <c r="D28" s="91"/>
      <c r="E28" s="91"/>
    </row>
    <row r="30" spans="2:9" ht="20.399999999999999" x14ac:dyDescent="0.2">
      <c r="B30" s="249" t="s">
        <v>364</v>
      </c>
      <c r="C30" s="249" t="s">
        <v>382</v>
      </c>
      <c r="D30" s="249" t="s">
        <v>383</v>
      </c>
      <c r="E30" s="249" t="s">
        <v>384</v>
      </c>
    </row>
    <row r="31" spans="2:9" x14ac:dyDescent="0.2">
      <c r="B31" s="91" t="s">
        <v>369</v>
      </c>
      <c r="C31" s="91"/>
      <c r="D31" s="91"/>
      <c r="E31" s="91"/>
    </row>
    <row r="32" spans="2:9" x14ac:dyDescent="0.2">
      <c r="B32" s="91" t="s">
        <v>375</v>
      </c>
      <c r="C32" s="91"/>
      <c r="D32" s="91"/>
      <c r="E32" s="91"/>
    </row>
    <row r="33" spans="2:5" x14ac:dyDescent="0.2">
      <c r="B33" s="91" t="s">
        <v>378</v>
      </c>
      <c r="C33" s="91"/>
      <c r="D33" s="91"/>
      <c r="E33" s="9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8B546-3EE2-4F0D-B3F1-0401A60BA00F}">
  <sheetPr codeName="Hoja22"/>
  <dimension ref="B2:H17"/>
  <sheetViews>
    <sheetView showGridLines="0" workbookViewId="0"/>
  </sheetViews>
  <sheetFormatPr baseColWidth="10" defaultRowHeight="14.4" x14ac:dyDescent="0.3"/>
  <cols>
    <col min="1" max="1" width="3.6640625" customWidth="1"/>
    <col min="2" max="2" width="21" customWidth="1"/>
    <col min="3" max="3" width="11.5546875" customWidth="1"/>
    <col min="6" max="6" width="16.88671875" customWidth="1"/>
    <col min="7" max="7" width="12" customWidth="1"/>
    <col min="8" max="8" width="13.33203125" customWidth="1"/>
  </cols>
  <sheetData>
    <row r="2" spans="2:8" x14ac:dyDescent="0.3">
      <c r="B2" t="s">
        <v>863</v>
      </c>
      <c r="C2" t="s">
        <v>865</v>
      </c>
    </row>
    <row r="3" spans="2:8" x14ac:dyDescent="0.3">
      <c r="B3" t="s">
        <v>864</v>
      </c>
      <c r="C3" t="s">
        <v>866</v>
      </c>
    </row>
    <row r="5" spans="2:8" x14ac:dyDescent="0.3">
      <c r="B5" s="314" t="s">
        <v>877</v>
      </c>
    </row>
    <row r="6" spans="2:8" x14ac:dyDescent="0.3">
      <c r="B6" s="304" t="s">
        <v>850</v>
      </c>
      <c r="C6" s="304" t="s">
        <v>396</v>
      </c>
      <c r="D6" s="304" t="s">
        <v>862</v>
      </c>
      <c r="F6" s="305" t="s">
        <v>867</v>
      </c>
      <c r="G6" s="306">
        <v>965</v>
      </c>
      <c r="H6" s="306">
        <f>G6</f>
        <v>965</v>
      </c>
    </row>
    <row r="7" spans="2:8" x14ac:dyDescent="0.3">
      <c r="B7" s="315">
        <v>854963456</v>
      </c>
      <c r="C7" s="3" t="s">
        <v>851</v>
      </c>
      <c r="D7" s="307">
        <v>781</v>
      </c>
      <c r="F7" s="305" t="s">
        <v>868</v>
      </c>
      <c r="G7" s="313"/>
      <c r="H7" s="313" cm="1">
        <f t="array" ref="H7">SUMPRODUCT((LEFT(B7:B17,3)*1=H6)*1,D7:D17)</f>
        <v>840</v>
      </c>
    </row>
    <row r="8" spans="2:8" x14ac:dyDescent="0.3">
      <c r="B8" s="315">
        <v>965125456</v>
      </c>
      <c r="C8" s="3" t="s">
        <v>852</v>
      </c>
      <c r="D8" s="307">
        <v>284</v>
      </c>
    </row>
    <row r="9" spans="2:8" x14ac:dyDescent="0.3">
      <c r="B9" s="315">
        <v>854411255</v>
      </c>
      <c r="C9" s="3" t="s">
        <v>853</v>
      </c>
      <c r="D9" s="307">
        <v>832</v>
      </c>
    </row>
    <row r="10" spans="2:8" x14ac:dyDescent="0.3">
      <c r="B10" s="315">
        <v>965856966</v>
      </c>
      <c r="C10" s="3" t="s">
        <v>854</v>
      </c>
      <c r="D10" s="307">
        <v>435</v>
      </c>
    </row>
    <row r="11" spans="2:8" x14ac:dyDescent="0.3">
      <c r="B11" s="315">
        <v>636852852</v>
      </c>
      <c r="C11" s="3" t="s">
        <v>855</v>
      </c>
      <c r="D11" s="307">
        <v>218</v>
      </c>
    </row>
    <row r="12" spans="2:8" x14ac:dyDescent="0.3">
      <c r="B12" s="315">
        <v>636741852</v>
      </c>
      <c r="C12" s="3" t="s">
        <v>856</v>
      </c>
      <c r="D12" s="307">
        <v>941</v>
      </c>
    </row>
    <row r="13" spans="2:8" x14ac:dyDescent="0.3">
      <c r="B13" s="315">
        <v>854693714</v>
      </c>
      <c r="C13" s="3" t="s">
        <v>857</v>
      </c>
      <c r="D13" s="307">
        <v>433</v>
      </c>
    </row>
    <row r="14" spans="2:8" x14ac:dyDescent="0.3">
      <c r="B14" s="315">
        <v>854258693</v>
      </c>
      <c r="C14" s="3" t="s">
        <v>858</v>
      </c>
      <c r="D14" s="307">
        <v>425</v>
      </c>
    </row>
    <row r="15" spans="2:8" x14ac:dyDescent="0.3">
      <c r="B15" s="315">
        <v>965741985</v>
      </c>
      <c r="C15" s="3" t="s">
        <v>859</v>
      </c>
      <c r="D15" s="307">
        <v>121</v>
      </c>
    </row>
    <row r="16" spans="2:8" x14ac:dyDescent="0.3">
      <c r="B16" s="315">
        <v>636415865</v>
      </c>
      <c r="C16" s="3" t="s">
        <v>860</v>
      </c>
      <c r="D16" s="307">
        <v>648</v>
      </c>
    </row>
    <row r="17" spans="2:4" x14ac:dyDescent="0.3">
      <c r="B17" s="315">
        <v>854741963</v>
      </c>
      <c r="C17" s="3" t="s">
        <v>861</v>
      </c>
      <c r="D17" s="307">
        <v>791</v>
      </c>
    </row>
  </sheetData>
  <phoneticPr fontId="92" type="noConversion"/>
  <conditionalFormatting sqref="B7:D17">
    <cfRule type="expression" dxfId="4" priority="8">
      <formula>LEFT($B7,3)*1=$G$6</formula>
    </cfRule>
  </conditionalFormatting>
  <dataValidations count="1">
    <dataValidation type="list" allowBlank="1" showInputMessage="1" showErrorMessage="1" sqref="G6" xr:uid="{7C492C57-2F95-40D8-8C33-31EEA8FC8FF4}">
      <formula1>"854,965,636"</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1884-FC31-42E5-862A-A7349945F7B9}">
  <sheetPr codeName="Hoja19"/>
  <dimension ref="A1:Q249"/>
  <sheetViews>
    <sheetView showGridLines="0" topLeftCell="F122" zoomScale="80" zoomScaleNormal="80" workbookViewId="0">
      <selection activeCell="E158" sqref="E158"/>
    </sheetView>
  </sheetViews>
  <sheetFormatPr baseColWidth="10" defaultColWidth="11.44140625" defaultRowHeight="13.8" x14ac:dyDescent="0.3"/>
  <cols>
    <col min="1" max="1" width="23.44140625" style="94" customWidth="1"/>
    <col min="2" max="2" width="11.44140625" style="94"/>
    <col min="3" max="3" width="14.33203125" style="94" customWidth="1"/>
    <col min="4" max="4" width="15.33203125" style="94" customWidth="1"/>
    <col min="5" max="5" width="22" style="94" bestFit="1" customWidth="1"/>
    <col min="6" max="6" width="22.6640625" style="94" customWidth="1"/>
    <col min="7" max="7" width="15.109375" style="94" customWidth="1"/>
    <col min="8" max="8" width="15.44140625" style="94" customWidth="1"/>
    <col min="9" max="9" width="23.33203125" style="94" customWidth="1"/>
    <col min="10" max="10" width="12.6640625" style="94" customWidth="1"/>
    <col min="11" max="11" width="18.33203125" style="94" bestFit="1" customWidth="1"/>
    <col min="12" max="12" width="16" style="94" customWidth="1"/>
    <col min="13" max="13" width="13.6640625" style="94" customWidth="1"/>
    <col min="14" max="16384" width="11.44140625" style="94"/>
  </cols>
  <sheetData>
    <row r="1" spans="1:15" x14ac:dyDescent="0.3">
      <c r="A1" s="106" t="s">
        <v>385</v>
      </c>
    </row>
    <row r="2" spans="1:15" x14ac:dyDescent="0.3">
      <c r="A2" s="94" t="s">
        <v>897</v>
      </c>
      <c r="C2" s="295"/>
      <c r="D2" s="97"/>
    </row>
    <row r="3" spans="1:15" x14ac:dyDescent="0.3">
      <c r="A3" s="165" t="s">
        <v>386</v>
      </c>
      <c r="B3" s="107"/>
      <c r="C3" s="295"/>
      <c r="D3" s="97"/>
      <c r="F3" s="166" t="s">
        <v>387</v>
      </c>
    </row>
    <row r="4" spans="1:15" ht="14.4" thickBot="1" x14ac:dyDescent="0.35">
      <c r="A4" s="165"/>
      <c r="B4" s="107"/>
      <c r="F4" s="166"/>
    </row>
    <row r="5" spans="1:15" ht="28.2" thickTop="1" x14ac:dyDescent="0.3">
      <c r="A5" s="108" t="s">
        <v>388</v>
      </c>
      <c r="B5" s="109" t="s">
        <v>389</v>
      </c>
      <c r="C5" s="109" t="s">
        <v>390</v>
      </c>
      <c r="D5" s="109" t="s">
        <v>391</v>
      </c>
      <c r="F5" s="110" t="s">
        <v>392</v>
      </c>
      <c r="G5" s="111" t="s">
        <v>393</v>
      </c>
      <c r="H5" s="112" t="s">
        <v>394</v>
      </c>
      <c r="J5" s="282" t="s">
        <v>395</v>
      </c>
      <c r="K5" s="282" t="s">
        <v>396</v>
      </c>
      <c r="L5" s="282" t="s">
        <v>397</v>
      </c>
      <c r="O5" s="95" t="s">
        <v>397</v>
      </c>
    </row>
    <row r="6" spans="1:15" ht="14.4" x14ac:dyDescent="0.3">
      <c r="A6" s="113">
        <v>1</v>
      </c>
      <c r="B6" s="114" t="s">
        <v>372</v>
      </c>
      <c r="C6" s="217">
        <f>VLOOKUP($B6,$F$5:$H$10,3,FALSE)</f>
        <v>15.5</v>
      </c>
      <c r="D6" s="217" t="str">
        <f>VLOOKUP($B6,$F$5:$H$10,2,FALSE)</f>
        <v>Portaminas</v>
      </c>
      <c r="F6" s="116" t="s">
        <v>398</v>
      </c>
      <c r="G6" s="117" t="s">
        <v>399</v>
      </c>
      <c r="H6" s="118">
        <v>10.199999999999999</v>
      </c>
      <c r="J6" s="6">
        <v>44927</v>
      </c>
      <c r="K6" s="3" t="s">
        <v>400</v>
      </c>
      <c r="L6" s="3">
        <v>500</v>
      </c>
      <c r="N6" s="94" t="s">
        <v>401</v>
      </c>
      <c r="O6" s="278">
        <f>_xlfn.XLOOKUP(N6,$K$5:$K$10,$L$5:$L$10,,,-1)</f>
        <v>900</v>
      </c>
    </row>
    <row r="7" spans="1:15" ht="14.4" x14ac:dyDescent="0.3">
      <c r="A7" s="113">
        <v>2</v>
      </c>
      <c r="B7" s="114" t="s">
        <v>373</v>
      </c>
      <c r="C7" s="217">
        <f t="shared" ref="C7:C15" si="0">VLOOKUP($B7,$F$5:$H$10,3,FALSE)</f>
        <v>19.3</v>
      </c>
      <c r="D7" s="217" t="str">
        <f t="shared" ref="D7:D15" si="1">VLOOKUP($B7,$F$5:$H$10,2,FALSE)</f>
        <v>Fichero</v>
      </c>
      <c r="F7" s="116" t="s">
        <v>373</v>
      </c>
      <c r="G7" s="117" t="s">
        <v>402</v>
      </c>
      <c r="H7" s="118">
        <v>19.3</v>
      </c>
      <c r="J7" s="6">
        <v>44928</v>
      </c>
      <c r="K7" s="3" t="s">
        <v>401</v>
      </c>
      <c r="L7" s="3">
        <v>600</v>
      </c>
      <c r="O7" s="278"/>
    </row>
    <row r="8" spans="1:15" ht="14.4" x14ac:dyDescent="0.3">
      <c r="A8" s="113">
        <v>3</v>
      </c>
      <c r="B8" s="114" t="s">
        <v>13</v>
      </c>
      <c r="C8" s="217">
        <f t="shared" si="0"/>
        <v>18.5</v>
      </c>
      <c r="D8" s="217" t="str">
        <f t="shared" si="1"/>
        <v>Papel Bond</v>
      </c>
      <c r="F8" s="116" t="s">
        <v>372</v>
      </c>
      <c r="G8" s="117" t="s">
        <v>403</v>
      </c>
      <c r="H8" s="118">
        <v>15.5</v>
      </c>
      <c r="J8" s="6">
        <v>44929</v>
      </c>
      <c r="K8" s="3" t="s">
        <v>400</v>
      </c>
      <c r="L8" s="3">
        <v>700</v>
      </c>
    </row>
    <row r="9" spans="1:15" ht="14.4" x14ac:dyDescent="0.3">
      <c r="A9" s="113">
        <v>4</v>
      </c>
      <c r="B9" s="114" t="s">
        <v>372</v>
      </c>
      <c r="C9" s="217">
        <f t="shared" si="0"/>
        <v>15.5</v>
      </c>
      <c r="D9" s="217" t="str">
        <f t="shared" si="1"/>
        <v>Portaminas</v>
      </c>
      <c r="F9" s="116" t="s">
        <v>13</v>
      </c>
      <c r="G9" s="117" t="s">
        <v>404</v>
      </c>
      <c r="H9" s="118">
        <v>18.5</v>
      </c>
      <c r="J9" s="6">
        <v>44930</v>
      </c>
      <c r="K9" s="3" t="s">
        <v>405</v>
      </c>
      <c r="L9" s="3">
        <v>800</v>
      </c>
    </row>
    <row r="10" spans="1:15" ht="15" thickBot="1" x14ac:dyDescent="0.35">
      <c r="A10" s="113">
        <v>5</v>
      </c>
      <c r="B10" s="114" t="s">
        <v>159</v>
      </c>
      <c r="C10" s="217">
        <f t="shared" si="0"/>
        <v>8.4</v>
      </c>
      <c r="D10" s="217" t="str">
        <f t="shared" si="1"/>
        <v>Borrador</v>
      </c>
      <c r="F10" s="119" t="s">
        <v>159</v>
      </c>
      <c r="G10" s="120" t="s">
        <v>406</v>
      </c>
      <c r="H10" s="121">
        <v>8.4</v>
      </c>
      <c r="J10" s="6">
        <v>44931</v>
      </c>
      <c r="K10" s="3" t="s">
        <v>401</v>
      </c>
      <c r="L10" s="3">
        <v>900</v>
      </c>
    </row>
    <row r="11" spans="1:15" ht="14.4" thickTop="1" x14ac:dyDescent="0.3">
      <c r="A11" s="113">
        <v>6</v>
      </c>
      <c r="B11" s="114" t="s">
        <v>398</v>
      </c>
      <c r="C11" s="217">
        <f t="shared" si="0"/>
        <v>10.199999999999999</v>
      </c>
      <c r="D11" s="217" t="str">
        <f t="shared" si="1"/>
        <v>Lapicero</v>
      </c>
      <c r="F11" s="167">
        <v>1</v>
      </c>
      <c r="G11" s="167">
        <v>2</v>
      </c>
      <c r="H11" s="167">
        <v>3</v>
      </c>
    </row>
    <row r="12" spans="1:15" x14ac:dyDescent="0.3">
      <c r="A12" s="113">
        <v>7</v>
      </c>
      <c r="B12" s="114" t="s">
        <v>159</v>
      </c>
      <c r="C12" s="217">
        <f t="shared" si="0"/>
        <v>8.4</v>
      </c>
      <c r="D12" s="217" t="str">
        <f t="shared" si="1"/>
        <v>Borrador</v>
      </c>
      <c r="J12" s="95"/>
      <c r="L12" s="225"/>
    </row>
    <row r="13" spans="1:15" x14ac:dyDescent="0.3">
      <c r="A13" s="113">
        <v>8</v>
      </c>
      <c r="B13" s="114" t="s">
        <v>13</v>
      </c>
      <c r="C13" s="217">
        <f t="shared" si="0"/>
        <v>18.5</v>
      </c>
      <c r="D13" s="217" t="str">
        <f t="shared" si="1"/>
        <v>Papel Bond</v>
      </c>
      <c r="J13" s="95"/>
      <c r="L13" s="225"/>
    </row>
    <row r="14" spans="1:15" x14ac:dyDescent="0.3">
      <c r="A14" s="113">
        <v>9</v>
      </c>
      <c r="B14" s="114" t="s">
        <v>398</v>
      </c>
      <c r="C14" s="217">
        <f t="shared" si="0"/>
        <v>10.199999999999999</v>
      </c>
      <c r="D14" s="217" t="str">
        <f t="shared" si="1"/>
        <v>Lapicero</v>
      </c>
      <c r="J14" s="95"/>
      <c r="L14" s="225"/>
    </row>
    <row r="15" spans="1:15" x14ac:dyDescent="0.3">
      <c r="A15" s="113">
        <v>10</v>
      </c>
      <c r="B15" s="114" t="s">
        <v>372</v>
      </c>
      <c r="C15" s="217">
        <f t="shared" si="0"/>
        <v>15.5</v>
      </c>
      <c r="D15" s="217" t="str">
        <f t="shared" si="1"/>
        <v>Portaminas</v>
      </c>
      <c r="J15" s="95"/>
      <c r="L15" s="225"/>
    </row>
    <row r="16" spans="1:15" x14ac:dyDescent="0.3">
      <c r="J16" s="95"/>
      <c r="L16" s="225"/>
    </row>
    <row r="17" spans="1:15" ht="14.4" x14ac:dyDescent="0.3">
      <c r="A17" s="333" t="s">
        <v>407</v>
      </c>
      <c r="B17" s="333"/>
      <c r="C17" s="333"/>
      <c r="D17" s="333"/>
      <c r="E17" s="333"/>
      <c r="J17" s="95"/>
      <c r="L17" s="225"/>
    </row>
    <row r="18" spans="1:15" ht="14.4" thickBot="1" x14ac:dyDescent="0.35">
      <c r="L18" s="225"/>
    </row>
    <row r="19" spans="1:15" ht="14.4" thickBot="1" x14ac:dyDescent="0.35">
      <c r="A19" s="122" t="s">
        <v>408</v>
      </c>
      <c r="B19" s="123" t="s">
        <v>409</v>
      </c>
      <c r="C19" s="124" t="s">
        <v>410</v>
      </c>
      <c r="D19" s="123" t="s">
        <v>411</v>
      </c>
      <c r="E19" s="125" t="s">
        <v>412</v>
      </c>
      <c r="L19" s="225"/>
    </row>
    <row r="20" spans="1:15" ht="14.4" thickBot="1" x14ac:dyDescent="0.35">
      <c r="A20" s="126" t="s">
        <v>413</v>
      </c>
      <c r="B20" s="127" t="s">
        <v>414</v>
      </c>
      <c r="C20" s="128" t="s">
        <v>13</v>
      </c>
      <c r="D20" s="129"/>
      <c r="E20" s="130"/>
      <c r="F20" s="131"/>
      <c r="G20" s="132" t="s">
        <v>410</v>
      </c>
      <c r="H20" s="133" t="s">
        <v>393</v>
      </c>
      <c r="I20" s="134" t="s">
        <v>411</v>
      </c>
    </row>
    <row r="21" spans="1:15" x14ac:dyDescent="0.3">
      <c r="A21" s="126" t="s">
        <v>415</v>
      </c>
      <c r="B21" s="127" t="s">
        <v>416</v>
      </c>
      <c r="C21" s="128" t="s">
        <v>373</v>
      </c>
      <c r="D21" s="129"/>
      <c r="E21" s="130"/>
      <c r="F21" s="131"/>
      <c r="G21" s="168" t="s">
        <v>13</v>
      </c>
      <c r="H21" s="169" t="s">
        <v>417</v>
      </c>
      <c r="I21" s="170">
        <v>1200</v>
      </c>
    </row>
    <row r="22" spans="1:15" x14ac:dyDescent="0.3">
      <c r="A22" s="126" t="s">
        <v>418</v>
      </c>
      <c r="B22" s="127" t="s">
        <v>419</v>
      </c>
      <c r="C22" s="128" t="s">
        <v>372</v>
      </c>
      <c r="D22" s="129"/>
      <c r="E22" s="130"/>
      <c r="F22" s="131"/>
      <c r="G22" s="171" t="s">
        <v>159</v>
      </c>
      <c r="H22" s="172" t="s">
        <v>228</v>
      </c>
      <c r="I22" s="173">
        <v>1300</v>
      </c>
    </row>
    <row r="23" spans="1:15" x14ac:dyDescent="0.3">
      <c r="A23" s="126" t="s">
        <v>420</v>
      </c>
      <c r="B23" s="127" t="s">
        <v>421</v>
      </c>
      <c r="C23" s="128" t="s">
        <v>159</v>
      </c>
      <c r="D23" s="129"/>
      <c r="E23" s="130"/>
      <c r="F23" s="131"/>
      <c r="G23" s="171" t="s">
        <v>372</v>
      </c>
      <c r="H23" s="172" t="s">
        <v>422</v>
      </c>
      <c r="I23" s="173">
        <v>1000</v>
      </c>
    </row>
    <row r="24" spans="1:15" ht="14.4" thickBot="1" x14ac:dyDescent="0.35">
      <c r="A24" s="126" t="s">
        <v>423</v>
      </c>
      <c r="B24" s="127" t="s">
        <v>424</v>
      </c>
      <c r="C24" s="128" t="s">
        <v>159</v>
      </c>
      <c r="D24" s="129"/>
      <c r="E24" s="130"/>
      <c r="F24" s="131"/>
      <c r="G24" s="174" t="s">
        <v>373</v>
      </c>
      <c r="H24" s="175" t="s">
        <v>425</v>
      </c>
      <c r="I24" s="176">
        <v>2000</v>
      </c>
    </row>
    <row r="25" spans="1:15" x14ac:dyDescent="0.3">
      <c r="A25" s="126" t="s">
        <v>426</v>
      </c>
      <c r="B25" s="127" t="s">
        <v>427</v>
      </c>
      <c r="C25" s="128" t="s">
        <v>372</v>
      </c>
      <c r="D25" s="129"/>
      <c r="E25" s="130"/>
      <c r="F25" s="131"/>
      <c r="G25" s="131"/>
      <c r="H25" s="131"/>
      <c r="I25" s="131"/>
    </row>
    <row r="26" spans="1:15" x14ac:dyDescent="0.3">
      <c r="A26" s="126" t="s">
        <v>428</v>
      </c>
      <c r="B26" s="127" t="s">
        <v>429</v>
      </c>
      <c r="C26" s="128" t="s">
        <v>372</v>
      </c>
      <c r="D26" s="129"/>
      <c r="E26" s="130"/>
      <c r="F26" s="131"/>
      <c r="G26" s="131"/>
      <c r="H26" s="131"/>
      <c r="I26" s="131"/>
    </row>
    <row r="27" spans="1:15" x14ac:dyDescent="0.3">
      <c r="A27" s="126" t="s">
        <v>430</v>
      </c>
      <c r="B27" s="127" t="s">
        <v>431</v>
      </c>
      <c r="C27" s="128" t="s">
        <v>373</v>
      </c>
      <c r="D27" s="129"/>
      <c r="E27" s="130"/>
      <c r="F27" s="131"/>
      <c r="G27" s="131"/>
      <c r="H27" s="131"/>
      <c r="I27" s="131"/>
    </row>
    <row r="28" spans="1:15" ht="14.4" thickBot="1" x14ac:dyDescent="0.35">
      <c r="A28" s="135" t="s">
        <v>432</v>
      </c>
      <c r="B28" s="136" t="s">
        <v>433</v>
      </c>
      <c r="C28" s="137" t="s">
        <v>13</v>
      </c>
      <c r="D28" s="153"/>
      <c r="E28" s="154"/>
      <c r="F28" s="131"/>
      <c r="G28" s="131"/>
      <c r="H28" s="131"/>
      <c r="I28" s="131"/>
    </row>
    <row r="31" spans="1:15" x14ac:dyDescent="0.3">
      <c r="A31" s="106" t="s">
        <v>434</v>
      </c>
    </row>
    <row r="32" spans="1:15" x14ac:dyDescent="0.3">
      <c r="A32" s="94" t="s">
        <v>898</v>
      </c>
      <c r="M32" s="195"/>
      <c r="N32" s="195"/>
      <c r="O32" s="195"/>
    </row>
    <row r="33" spans="1:15" ht="27.6" x14ac:dyDescent="0.3">
      <c r="A33" s="108" t="s">
        <v>388</v>
      </c>
      <c r="B33" s="109" t="s">
        <v>389</v>
      </c>
      <c r="C33" s="109" t="s">
        <v>390</v>
      </c>
      <c r="D33" s="109" t="s">
        <v>391</v>
      </c>
      <c r="F33" s="165" t="s">
        <v>387</v>
      </c>
      <c r="G33" s="138"/>
      <c r="I33" s="138"/>
      <c r="M33" s="195"/>
      <c r="N33" s="226"/>
      <c r="O33" s="195"/>
    </row>
    <row r="34" spans="1:15" ht="14.4" thickBot="1" x14ac:dyDescent="0.35">
      <c r="A34" s="113">
        <v>1</v>
      </c>
      <c r="B34" s="114" t="s">
        <v>372</v>
      </c>
      <c r="C34" s="113">
        <f>HLOOKUP($B34,$F$35:$K$37,3,FALSE)</f>
        <v>18.5</v>
      </c>
      <c r="D34" s="113" t="str">
        <f>HLOOKUP($B34,$F$35:$K$37,2,FALSE)</f>
        <v>Papel Bond</v>
      </c>
      <c r="M34" s="195"/>
      <c r="N34" s="226"/>
      <c r="O34" s="195"/>
    </row>
    <row r="35" spans="1:15" ht="14.4" thickTop="1" x14ac:dyDescent="0.3">
      <c r="A35" s="113">
        <v>2</v>
      </c>
      <c r="B35" s="114" t="s">
        <v>373</v>
      </c>
      <c r="C35" s="113">
        <f t="shared" ref="C35:C43" si="2">HLOOKUP($B35,$F$35:$K$37,3,FALSE)</f>
        <v>19.3</v>
      </c>
      <c r="D35" s="113" t="str">
        <f t="shared" ref="D35:D43" si="3">HLOOKUP($B35,$F$35:$K$37,2,FALSE)</f>
        <v>Fichero</v>
      </c>
      <c r="E35" s="94">
        <v>1</v>
      </c>
      <c r="F35" s="110" t="s">
        <v>392</v>
      </c>
      <c r="G35" s="140" t="s">
        <v>13</v>
      </c>
      <c r="H35" s="140" t="s">
        <v>373</v>
      </c>
      <c r="I35" s="140" t="s">
        <v>398</v>
      </c>
      <c r="J35" s="140" t="s">
        <v>372</v>
      </c>
      <c r="K35" s="141" t="s">
        <v>159</v>
      </c>
      <c r="M35" s="195"/>
      <c r="N35" s="226"/>
      <c r="O35" s="195"/>
    </row>
    <row r="36" spans="1:15" x14ac:dyDescent="0.3">
      <c r="A36" s="113">
        <v>3</v>
      </c>
      <c r="B36" s="114" t="s">
        <v>13</v>
      </c>
      <c r="C36" s="113">
        <f t="shared" si="2"/>
        <v>10.199999999999999</v>
      </c>
      <c r="D36" s="113" t="str">
        <f t="shared" si="3"/>
        <v>Lapicero</v>
      </c>
      <c r="E36" s="94">
        <v>2</v>
      </c>
      <c r="F36" s="142" t="s">
        <v>393</v>
      </c>
      <c r="G36" s="115" t="s">
        <v>399</v>
      </c>
      <c r="H36" s="115" t="s">
        <v>402</v>
      </c>
      <c r="I36" s="115" t="s">
        <v>403</v>
      </c>
      <c r="J36" s="115" t="s">
        <v>404</v>
      </c>
      <c r="K36" s="143" t="s">
        <v>406</v>
      </c>
      <c r="M36" s="195"/>
      <c r="N36" s="226"/>
      <c r="O36" s="195"/>
    </row>
    <row r="37" spans="1:15" ht="14.4" thickBot="1" x14ac:dyDescent="0.35">
      <c r="A37" s="113">
        <v>4</v>
      </c>
      <c r="B37" s="114" t="s">
        <v>372</v>
      </c>
      <c r="C37" s="113">
        <f t="shared" si="2"/>
        <v>18.5</v>
      </c>
      <c r="D37" s="113" t="str">
        <f t="shared" si="3"/>
        <v>Papel Bond</v>
      </c>
      <c r="E37" s="94">
        <v>3</v>
      </c>
      <c r="F37" s="144" t="s">
        <v>394</v>
      </c>
      <c r="G37" s="145">
        <v>10.199999999999999</v>
      </c>
      <c r="H37" s="145">
        <v>19.3</v>
      </c>
      <c r="I37" s="145">
        <v>15.5</v>
      </c>
      <c r="J37" s="145">
        <v>18.5</v>
      </c>
      <c r="K37" s="146">
        <v>8.4</v>
      </c>
      <c r="M37" s="195"/>
      <c r="N37" s="226"/>
      <c r="O37" s="195"/>
    </row>
    <row r="38" spans="1:15" ht="14.4" thickTop="1" x14ac:dyDescent="0.3">
      <c r="A38" s="113">
        <v>5</v>
      </c>
      <c r="B38" s="114" t="s">
        <v>159</v>
      </c>
      <c r="C38" s="113">
        <f t="shared" si="2"/>
        <v>8.4</v>
      </c>
      <c r="D38" s="113" t="str">
        <f t="shared" si="3"/>
        <v>Borrador</v>
      </c>
      <c r="M38" s="195"/>
      <c r="N38" s="226"/>
      <c r="O38" s="195"/>
    </row>
    <row r="39" spans="1:15" x14ac:dyDescent="0.3">
      <c r="A39" s="113">
        <v>6</v>
      </c>
      <c r="B39" s="114" t="s">
        <v>398</v>
      </c>
      <c r="C39" s="113">
        <f t="shared" si="2"/>
        <v>15.5</v>
      </c>
      <c r="D39" s="113" t="str">
        <f t="shared" si="3"/>
        <v>Portaminas</v>
      </c>
    </row>
    <row r="40" spans="1:15" x14ac:dyDescent="0.3">
      <c r="A40" s="113">
        <v>7</v>
      </c>
      <c r="B40" s="114" t="s">
        <v>13</v>
      </c>
      <c r="C40" s="113">
        <f t="shared" si="2"/>
        <v>10.199999999999999</v>
      </c>
      <c r="D40" s="113" t="str">
        <f t="shared" si="3"/>
        <v>Lapicero</v>
      </c>
    </row>
    <row r="41" spans="1:15" x14ac:dyDescent="0.3">
      <c r="A41" s="113">
        <v>8</v>
      </c>
      <c r="B41" s="114" t="s">
        <v>159</v>
      </c>
      <c r="C41" s="113">
        <f t="shared" si="2"/>
        <v>8.4</v>
      </c>
      <c r="D41" s="113" t="str">
        <f t="shared" si="3"/>
        <v>Borrador</v>
      </c>
    </row>
    <row r="42" spans="1:15" x14ac:dyDescent="0.3">
      <c r="A42" s="113">
        <v>9</v>
      </c>
      <c r="B42" s="114" t="s">
        <v>398</v>
      </c>
      <c r="C42" s="113">
        <f t="shared" si="2"/>
        <v>15.5</v>
      </c>
      <c r="D42" s="113" t="str">
        <f t="shared" si="3"/>
        <v>Portaminas</v>
      </c>
    </row>
    <row r="43" spans="1:15" x14ac:dyDescent="0.3">
      <c r="A43" s="113">
        <v>10</v>
      </c>
      <c r="B43" s="114" t="s">
        <v>159</v>
      </c>
      <c r="C43" s="113">
        <f t="shared" si="2"/>
        <v>8.4</v>
      </c>
      <c r="D43" s="113" t="str">
        <f t="shared" si="3"/>
        <v>Borrador</v>
      </c>
    </row>
    <row r="45" spans="1:15" ht="14.4" x14ac:dyDescent="0.3">
      <c r="A45" s="334" t="s">
        <v>407</v>
      </c>
      <c r="B45" s="334"/>
      <c r="C45" s="334"/>
      <c r="D45" s="334"/>
      <c r="E45" s="334"/>
    </row>
    <row r="46" spans="1:15" ht="14.4" thickBot="1" x14ac:dyDescent="0.35"/>
    <row r="47" spans="1:15" ht="14.4" thickBot="1" x14ac:dyDescent="0.35">
      <c r="A47" s="148" t="s">
        <v>408</v>
      </c>
      <c r="B47" s="122" t="s">
        <v>409</v>
      </c>
      <c r="C47" s="124" t="s">
        <v>410</v>
      </c>
      <c r="D47" s="123" t="s">
        <v>411</v>
      </c>
      <c r="E47" s="125" t="s">
        <v>412</v>
      </c>
      <c r="G47" s="147" t="s">
        <v>410</v>
      </c>
      <c r="H47" s="177" t="s">
        <v>13</v>
      </c>
      <c r="I47" s="178" t="s">
        <v>159</v>
      </c>
      <c r="J47" s="179" t="s">
        <v>372</v>
      </c>
    </row>
    <row r="48" spans="1:15" x14ac:dyDescent="0.3">
      <c r="A48" s="150" t="s">
        <v>413</v>
      </c>
      <c r="B48" s="126" t="s">
        <v>414</v>
      </c>
      <c r="C48" s="128" t="s">
        <v>13</v>
      </c>
      <c r="D48" s="129"/>
      <c r="E48" s="130"/>
      <c r="F48" s="131"/>
      <c r="G48" s="149" t="s">
        <v>393</v>
      </c>
      <c r="H48" s="180" t="s">
        <v>417</v>
      </c>
      <c r="I48" s="181" t="s">
        <v>228</v>
      </c>
      <c r="J48" s="182" t="s">
        <v>422</v>
      </c>
    </row>
    <row r="49" spans="1:10" ht="14.4" thickBot="1" x14ac:dyDescent="0.35">
      <c r="A49" s="150" t="s">
        <v>418</v>
      </c>
      <c r="B49" s="126" t="s">
        <v>419</v>
      </c>
      <c r="C49" s="128" t="s">
        <v>372</v>
      </c>
      <c r="D49" s="129"/>
      <c r="E49" s="130"/>
      <c r="F49" s="131"/>
      <c r="G49" s="151" t="s">
        <v>411</v>
      </c>
      <c r="H49" s="183">
        <v>1200</v>
      </c>
      <c r="I49" s="184">
        <v>1300</v>
      </c>
      <c r="J49" s="185">
        <v>1000</v>
      </c>
    </row>
    <row r="50" spans="1:10" x14ac:dyDescent="0.3">
      <c r="A50" s="150" t="s">
        <v>420</v>
      </c>
      <c r="B50" s="126" t="s">
        <v>421</v>
      </c>
      <c r="C50" s="128" t="s">
        <v>159</v>
      </c>
      <c r="D50" s="129"/>
      <c r="E50" s="130"/>
      <c r="F50" s="131"/>
      <c r="G50" s="131"/>
      <c r="H50" s="131"/>
      <c r="I50" s="131"/>
    </row>
    <row r="51" spans="1:10" x14ac:dyDescent="0.3">
      <c r="A51" s="150" t="s">
        <v>423</v>
      </c>
      <c r="B51" s="126" t="s">
        <v>424</v>
      </c>
      <c r="C51" s="128" t="s">
        <v>159</v>
      </c>
      <c r="D51" s="129"/>
      <c r="E51" s="130"/>
      <c r="F51" s="131"/>
      <c r="G51" s="131"/>
      <c r="H51" s="131"/>
      <c r="I51" s="131"/>
    </row>
    <row r="52" spans="1:10" x14ac:dyDescent="0.3">
      <c r="A52" s="150" t="s">
        <v>426</v>
      </c>
      <c r="B52" s="126" t="s">
        <v>427</v>
      </c>
      <c r="C52" s="128" t="s">
        <v>372</v>
      </c>
      <c r="D52" s="129"/>
      <c r="E52" s="130"/>
      <c r="F52" s="131"/>
      <c r="G52" s="131"/>
      <c r="H52" s="131"/>
      <c r="I52" s="131"/>
    </row>
    <row r="53" spans="1:10" x14ac:dyDescent="0.3">
      <c r="A53" s="150" t="s">
        <v>428</v>
      </c>
      <c r="B53" s="126" t="s">
        <v>429</v>
      </c>
      <c r="C53" s="128" t="s">
        <v>372</v>
      </c>
      <c r="D53" s="129"/>
      <c r="E53" s="130"/>
      <c r="F53" s="131"/>
      <c r="G53" s="131"/>
      <c r="H53" s="131"/>
      <c r="I53" s="131"/>
    </row>
    <row r="54" spans="1:10" ht="14.4" thickBot="1" x14ac:dyDescent="0.35">
      <c r="A54" s="152" t="s">
        <v>432</v>
      </c>
      <c r="B54" s="135" t="s">
        <v>433</v>
      </c>
      <c r="C54" s="137" t="s">
        <v>13</v>
      </c>
      <c r="D54" s="153"/>
      <c r="E54" s="154"/>
      <c r="F54" s="131"/>
    </row>
    <row r="56" spans="1:10" x14ac:dyDescent="0.3">
      <c r="A56" s="106" t="s">
        <v>435</v>
      </c>
    </row>
    <row r="58" spans="1:10" x14ac:dyDescent="0.3">
      <c r="A58" s="165" t="s">
        <v>436</v>
      </c>
    </row>
    <row r="59" spans="1:10" ht="14.4" thickBot="1" x14ac:dyDescent="0.35"/>
    <row r="60" spans="1:10" x14ac:dyDescent="0.3">
      <c r="A60" s="155" t="s">
        <v>212</v>
      </c>
      <c r="B60" s="156" t="s">
        <v>437</v>
      </c>
      <c r="C60" s="157" t="s">
        <v>438</v>
      </c>
    </row>
    <row r="61" spans="1:10" ht="14.4" thickBot="1" x14ac:dyDescent="0.35">
      <c r="A61" s="158" t="s">
        <v>439</v>
      </c>
      <c r="B61" s="139">
        <v>15</v>
      </c>
      <c r="C61" s="159"/>
      <c r="G61" s="338" t="s">
        <v>387</v>
      </c>
      <c r="H61" s="338"/>
      <c r="I61" s="138"/>
    </row>
    <row r="62" spans="1:10" x14ac:dyDescent="0.3">
      <c r="A62" s="158" t="s">
        <v>440</v>
      </c>
      <c r="B62" s="139">
        <v>2</v>
      </c>
      <c r="C62" s="159"/>
      <c r="G62" s="254" t="s">
        <v>437</v>
      </c>
      <c r="H62" s="256" t="s">
        <v>438</v>
      </c>
    </row>
    <row r="63" spans="1:10" x14ac:dyDescent="0.3">
      <c r="A63" s="158" t="s">
        <v>441</v>
      </c>
      <c r="B63" s="139">
        <v>34</v>
      </c>
      <c r="C63" s="159"/>
      <c r="F63" s="160" t="s">
        <v>442</v>
      </c>
      <c r="G63" s="255">
        <v>1</v>
      </c>
      <c r="H63" s="257" t="s">
        <v>443</v>
      </c>
    </row>
    <row r="64" spans="1:10" x14ac:dyDescent="0.3">
      <c r="A64" s="158" t="s">
        <v>444</v>
      </c>
      <c r="B64" s="139">
        <v>15</v>
      </c>
      <c r="C64" s="159"/>
      <c r="F64" s="160" t="s">
        <v>445</v>
      </c>
      <c r="G64" s="255">
        <v>16</v>
      </c>
      <c r="H64" s="257" t="s">
        <v>446</v>
      </c>
    </row>
    <row r="65" spans="1:9" x14ac:dyDescent="0.3">
      <c r="A65" s="158" t="s">
        <v>447</v>
      </c>
      <c r="B65" s="139">
        <v>9</v>
      </c>
      <c r="C65" s="159"/>
      <c r="F65" s="160" t="s">
        <v>448</v>
      </c>
      <c r="G65" s="255">
        <v>31</v>
      </c>
      <c r="H65" s="257" t="s">
        <v>449</v>
      </c>
    </row>
    <row r="66" spans="1:9" x14ac:dyDescent="0.3">
      <c r="A66" s="158" t="s">
        <v>450</v>
      </c>
      <c r="B66" s="139">
        <v>43</v>
      </c>
      <c r="C66" s="159"/>
      <c r="F66" s="160" t="s">
        <v>451</v>
      </c>
      <c r="G66" s="255">
        <v>91</v>
      </c>
      <c r="H66" s="257" t="s">
        <v>452</v>
      </c>
    </row>
    <row r="67" spans="1:9" x14ac:dyDescent="0.3">
      <c r="A67" s="158" t="s">
        <v>453</v>
      </c>
      <c r="B67" s="139">
        <v>22</v>
      </c>
      <c r="C67" s="159"/>
      <c r="F67" s="161"/>
      <c r="G67" s="161"/>
      <c r="H67" s="161"/>
    </row>
    <row r="68" spans="1:9" x14ac:dyDescent="0.3">
      <c r="A68" s="158" t="s">
        <v>454</v>
      </c>
      <c r="B68" s="139">
        <v>8</v>
      </c>
      <c r="C68" s="159"/>
      <c r="G68" s="162">
        <v>1</v>
      </c>
      <c r="H68" s="162">
        <v>2</v>
      </c>
      <c r="I68" s="161"/>
    </row>
    <row r="69" spans="1:9" x14ac:dyDescent="0.3">
      <c r="A69" s="158" t="s">
        <v>455</v>
      </c>
      <c r="B69" s="139">
        <v>13</v>
      </c>
      <c r="C69" s="159"/>
      <c r="I69" s="167"/>
    </row>
    <row r="70" spans="1:9" x14ac:dyDescent="0.3">
      <c r="A70" s="158" t="s">
        <v>456</v>
      </c>
      <c r="B70" s="139">
        <v>40</v>
      </c>
      <c r="C70" s="159"/>
    </row>
    <row r="71" spans="1:9" x14ac:dyDescent="0.3">
      <c r="A71" s="158" t="s">
        <v>457</v>
      </c>
      <c r="B71" s="139">
        <v>8</v>
      </c>
      <c r="C71" s="159"/>
      <c r="G71" s="163">
        <v>1</v>
      </c>
      <c r="H71" s="163">
        <v>2</v>
      </c>
      <c r="I71" s="163">
        <v>3</v>
      </c>
    </row>
    <row r="72" spans="1:9" x14ac:dyDescent="0.3">
      <c r="A72" s="158" t="s">
        <v>458</v>
      </c>
      <c r="B72" s="139">
        <v>27</v>
      </c>
      <c r="C72" s="159"/>
    </row>
    <row r="73" spans="1:9" x14ac:dyDescent="0.3">
      <c r="A73" s="158" t="s">
        <v>459</v>
      </c>
      <c r="B73" s="139">
        <v>44</v>
      </c>
      <c r="C73" s="159"/>
    </row>
    <row r="74" spans="1:9" x14ac:dyDescent="0.3">
      <c r="A74" s="158" t="s">
        <v>460</v>
      </c>
      <c r="B74" s="139">
        <v>94</v>
      </c>
      <c r="C74" s="159"/>
    </row>
    <row r="75" spans="1:9" x14ac:dyDescent="0.3">
      <c r="A75" s="158" t="s">
        <v>461</v>
      </c>
      <c r="B75" s="139">
        <v>7</v>
      </c>
      <c r="C75" s="159"/>
    </row>
    <row r="76" spans="1:9" x14ac:dyDescent="0.3">
      <c r="A76" s="158" t="s">
        <v>462</v>
      </c>
      <c r="B76" s="139">
        <v>20</v>
      </c>
      <c r="C76" s="159"/>
    </row>
    <row r="77" spans="1:9" x14ac:dyDescent="0.3">
      <c r="A77" s="158" t="s">
        <v>463</v>
      </c>
      <c r="B77" s="139">
        <v>38</v>
      </c>
      <c r="C77" s="159"/>
    </row>
    <row r="78" spans="1:9" x14ac:dyDescent="0.3">
      <c r="A78" s="158" t="s">
        <v>464</v>
      </c>
      <c r="B78" s="139">
        <v>16</v>
      </c>
      <c r="C78" s="159"/>
    </row>
    <row r="79" spans="1:9" x14ac:dyDescent="0.3">
      <c r="A79" s="158" t="s">
        <v>465</v>
      </c>
      <c r="B79" s="139">
        <v>24</v>
      </c>
      <c r="C79" s="159"/>
    </row>
    <row r="80" spans="1:9" x14ac:dyDescent="0.3">
      <c r="A80" s="158" t="s">
        <v>466</v>
      </c>
      <c r="B80" s="139">
        <v>8</v>
      </c>
      <c r="C80" s="159"/>
    </row>
    <row r="81" spans="1:17" x14ac:dyDescent="0.3">
      <c r="A81" s="158" t="s">
        <v>467</v>
      </c>
      <c r="B81" s="139">
        <v>50</v>
      </c>
      <c r="C81" s="159"/>
    </row>
    <row r="82" spans="1:17" x14ac:dyDescent="0.3">
      <c r="A82" s="158" t="s">
        <v>468</v>
      </c>
      <c r="B82" s="139">
        <v>12</v>
      </c>
      <c r="C82" s="159"/>
    </row>
    <row r="83" spans="1:17" x14ac:dyDescent="0.3">
      <c r="A83" s="158" t="s">
        <v>469</v>
      </c>
      <c r="B83" s="139">
        <v>91</v>
      </c>
      <c r="C83" s="159"/>
    </row>
    <row r="84" spans="1:17" x14ac:dyDescent="0.3">
      <c r="A84" s="158" t="s">
        <v>470</v>
      </c>
      <c r="B84" s="139">
        <v>14</v>
      </c>
      <c r="C84" s="159"/>
    </row>
    <row r="85" spans="1:17" x14ac:dyDescent="0.3">
      <c r="A85" s="158" t="s">
        <v>471</v>
      </c>
      <c r="B85" s="139">
        <v>49</v>
      </c>
      <c r="C85" s="159"/>
    </row>
    <row r="86" spans="1:17" x14ac:dyDescent="0.3">
      <c r="A86" s="158" t="s">
        <v>472</v>
      </c>
      <c r="B86" s="139">
        <v>39</v>
      </c>
      <c r="C86" s="159"/>
    </row>
    <row r="87" spans="1:17" x14ac:dyDescent="0.3">
      <c r="A87" s="158" t="s">
        <v>473</v>
      </c>
      <c r="B87" s="139">
        <v>27</v>
      </c>
      <c r="C87" s="159"/>
    </row>
    <row r="88" spans="1:17" x14ac:dyDescent="0.3">
      <c r="A88" s="158" t="s">
        <v>474</v>
      </c>
      <c r="B88" s="139">
        <v>14</v>
      </c>
      <c r="C88" s="159"/>
    </row>
    <row r="89" spans="1:17" x14ac:dyDescent="0.3">
      <c r="A89" s="158" t="s">
        <v>475</v>
      </c>
      <c r="B89" s="139">
        <v>4</v>
      </c>
      <c r="C89" s="159"/>
    </row>
    <row r="91" spans="1:17" x14ac:dyDescent="0.3">
      <c r="A91" s="106" t="s">
        <v>476</v>
      </c>
    </row>
    <row r="92" spans="1:17" x14ac:dyDescent="0.3">
      <c r="A92" s="94" t="s">
        <v>899</v>
      </c>
    </row>
    <row r="93" spans="1:17" x14ac:dyDescent="0.3">
      <c r="A93" s="165" t="s">
        <v>436</v>
      </c>
      <c r="B93" s="107"/>
      <c r="F93" s="166" t="s">
        <v>387</v>
      </c>
    </row>
    <row r="94" spans="1:17" ht="14.4" thickBot="1" x14ac:dyDescent="0.35">
      <c r="A94" s="165"/>
      <c r="B94" s="107"/>
      <c r="F94" s="166"/>
    </row>
    <row r="95" spans="1:17" ht="28.2" thickTop="1" x14ac:dyDescent="0.3">
      <c r="A95" s="108" t="s">
        <v>388</v>
      </c>
      <c r="B95" s="109" t="s">
        <v>389</v>
      </c>
      <c r="C95" s="109" t="s">
        <v>390</v>
      </c>
      <c r="D95" s="109" t="s">
        <v>391</v>
      </c>
      <c r="F95" s="110" t="s">
        <v>393</v>
      </c>
      <c r="G95" s="111" t="s">
        <v>392</v>
      </c>
      <c r="H95" s="112" t="s">
        <v>394</v>
      </c>
      <c r="J95"/>
      <c r="K95" s="283" t="s">
        <v>146</v>
      </c>
      <c r="L95" s="283" t="s">
        <v>477</v>
      </c>
      <c r="M95" s="284" t="s">
        <v>478</v>
      </c>
      <c r="N95" s="284"/>
      <c r="O95" s="285" t="s">
        <v>479</v>
      </c>
      <c r="P95" s="284" t="s">
        <v>480</v>
      </c>
    </row>
    <row r="96" spans="1:17" ht="14.4" x14ac:dyDescent="0.3">
      <c r="A96" s="113">
        <v>1</v>
      </c>
      <c r="B96" s="114" t="s">
        <v>13</v>
      </c>
      <c r="C96" s="217">
        <f>_xlfn.XLOOKUP($B96,$G$95:$G$100,$H$95:$H$100)</f>
        <v>18.5</v>
      </c>
      <c r="D96" s="217" t="str">
        <f>_xlfn.XLOOKUP($B96,$G$95:$G$100,$F$95:$F$100)</f>
        <v>Papel Bond</v>
      </c>
      <c r="F96" s="262" t="s">
        <v>399</v>
      </c>
      <c r="G96" s="260" t="s">
        <v>372</v>
      </c>
      <c r="H96" s="118">
        <v>10.199999999999999</v>
      </c>
      <c r="J96"/>
      <c r="K96" t="s">
        <v>481</v>
      </c>
      <c r="L96" t="s">
        <v>482</v>
      </c>
      <c r="M96" s="94">
        <v>15</v>
      </c>
      <c r="P96" s="167" t="s">
        <v>483</v>
      </c>
      <c r="Q96" s="167" t="s">
        <v>476</v>
      </c>
    </row>
    <row r="97" spans="1:17" ht="14.4" x14ac:dyDescent="0.3">
      <c r="A97" s="113">
        <v>2</v>
      </c>
      <c r="B97" s="114" t="s">
        <v>373</v>
      </c>
      <c r="C97" s="217">
        <f t="shared" ref="C97:C105" si="4">_xlfn.XLOOKUP($B97,$G$95:$G$100,$H$95:$H$100)</f>
        <v>19.3</v>
      </c>
      <c r="D97" s="217" t="str">
        <f t="shared" ref="D97:D105" si="5">_xlfn.XLOOKUP($B97,$G$95:$G$100,$F$95:$F$100)</f>
        <v>Fichero</v>
      </c>
      <c r="F97" s="262" t="s">
        <v>402</v>
      </c>
      <c r="G97" s="260" t="s">
        <v>373</v>
      </c>
      <c r="H97" s="118">
        <v>19.3</v>
      </c>
      <c r="J97"/>
      <c r="K97" t="s">
        <v>480</v>
      </c>
      <c r="L97" t="s">
        <v>484</v>
      </c>
      <c r="M97" s="94">
        <v>20</v>
      </c>
      <c r="O97" s="99" t="s">
        <v>478</v>
      </c>
      <c r="P97" s="195">
        <f>VLOOKUP($P95,tbl_ejm[#All],3,1)</f>
        <v>20</v>
      </c>
      <c r="Q97" s="195">
        <f>_xlfn.XLOOKUP($P95,tbl_ejm[PRODUCTO],tbl_ejm[CANTIDAD])</f>
        <v>20</v>
      </c>
    </row>
    <row r="98" spans="1:17" ht="14.4" x14ac:dyDescent="0.3">
      <c r="A98" s="113">
        <v>3</v>
      </c>
      <c r="B98" s="114" t="s">
        <v>13</v>
      </c>
      <c r="C98" s="217">
        <f t="shared" si="4"/>
        <v>18.5</v>
      </c>
      <c r="D98" s="217" t="str">
        <f t="shared" si="5"/>
        <v>Papel Bond</v>
      </c>
      <c r="F98" s="262" t="s">
        <v>403</v>
      </c>
      <c r="G98" s="260" t="s">
        <v>398</v>
      </c>
      <c r="H98" s="118">
        <v>15.5</v>
      </c>
      <c r="J98"/>
      <c r="K98" t="s">
        <v>485</v>
      </c>
      <c r="L98" t="s">
        <v>482</v>
      </c>
      <c r="M98" s="94">
        <v>30</v>
      </c>
    </row>
    <row r="99" spans="1:17" ht="14.4" x14ac:dyDescent="0.3">
      <c r="A99" s="113">
        <v>4</v>
      </c>
      <c r="B99" s="114" t="s">
        <v>372</v>
      </c>
      <c r="C99" s="217">
        <f t="shared" si="4"/>
        <v>10.199999999999999</v>
      </c>
      <c r="D99" s="217" t="str">
        <f t="shared" si="5"/>
        <v>Lapicero</v>
      </c>
      <c r="F99" s="262" t="s">
        <v>404</v>
      </c>
      <c r="G99" s="260" t="s">
        <v>13</v>
      </c>
      <c r="H99" s="118">
        <v>18.5</v>
      </c>
      <c r="J99"/>
      <c r="K99" t="s">
        <v>486</v>
      </c>
      <c r="L99" t="s">
        <v>484</v>
      </c>
      <c r="M99" s="94">
        <v>40</v>
      </c>
    </row>
    <row r="100" spans="1:17" ht="15" thickBot="1" x14ac:dyDescent="0.35">
      <c r="A100" s="113">
        <v>5</v>
      </c>
      <c r="B100" s="114" t="s">
        <v>159</v>
      </c>
      <c r="C100" s="217">
        <f t="shared" si="4"/>
        <v>8.4</v>
      </c>
      <c r="D100" s="217" t="str">
        <f t="shared" si="5"/>
        <v>Borrador</v>
      </c>
      <c r="F100" s="263" t="s">
        <v>406</v>
      </c>
      <c r="G100" s="261" t="s">
        <v>159</v>
      </c>
      <c r="H100" s="121">
        <v>8.4</v>
      </c>
      <c r="J100"/>
      <c r="K100"/>
      <c r="L100"/>
    </row>
    <row r="101" spans="1:17" ht="15" thickTop="1" x14ac:dyDescent="0.3">
      <c r="A101" s="113">
        <v>6</v>
      </c>
      <c r="B101" s="114" t="s">
        <v>398</v>
      </c>
      <c r="C101" s="217">
        <f t="shared" si="4"/>
        <v>15.5</v>
      </c>
      <c r="D101" s="217" t="str">
        <f t="shared" si="5"/>
        <v>Portaminas</v>
      </c>
      <c r="F101" s="167"/>
      <c r="G101" s="167"/>
      <c r="H101" s="167"/>
      <c r="J101"/>
      <c r="K101"/>
      <c r="L101"/>
    </row>
    <row r="102" spans="1:17" x14ac:dyDescent="0.3">
      <c r="A102" s="113">
        <v>7</v>
      </c>
      <c r="B102" s="114" t="s">
        <v>13</v>
      </c>
      <c r="C102" s="217">
        <f t="shared" si="4"/>
        <v>18.5</v>
      </c>
      <c r="D102" s="217" t="str">
        <f t="shared" si="5"/>
        <v>Papel Bond</v>
      </c>
    </row>
    <row r="103" spans="1:17" x14ac:dyDescent="0.3">
      <c r="A103" s="113">
        <v>8</v>
      </c>
      <c r="B103" s="114" t="s">
        <v>398</v>
      </c>
      <c r="C103" s="217">
        <f t="shared" si="4"/>
        <v>15.5</v>
      </c>
      <c r="D103" s="217" t="str">
        <f t="shared" si="5"/>
        <v>Portaminas</v>
      </c>
    </row>
    <row r="104" spans="1:17" x14ac:dyDescent="0.3">
      <c r="A104" s="113">
        <v>9</v>
      </c>
      <c r="B104" s="114" t="s">
        <v>372</v>
      </c>
      <c r="C104" s="217">
        <f t="shared" si="4"/>
        <v>10.199999999999999</v>
      </c>
      <c r="D104" s="217" t="str">
        <f t="shared" si="5"/>
        <v>Lapicero</v>
      </c>
    </row>
    <row r="105" spans="1:17" x14ac:dyDescent="0.3">
      <c r="A105" s="113">
        <v>10</v>
      </c>
      <c r="B105" s="114" t="s">
        <v>159</v>
      </c>
      <c r="C105" s="217">
        <f t="shared" si="4"/>
        <v>8.4</v>
      </c>
      <c r="D105" s="217" t="str">
        <f t="shared" si="5"/>
        <v>Borrador</v>
      </c>
    </row>
    <row r="107" spans="1:17" ht="14.4" x14ac:dyDescent="0.3">
      <c r="A107" s="333" t="s">
        <v>407</v>
      </c>
      <c r="B107" s="333"/>
      <c r="C107" s="333"/>
      <c r="D107" s="333"/>
      <c r="E107" s="333"/>
    </row>
    <row r="108" spans="1:17" ht="14.4" thickBot="1" x14ac:dyDescent="0.35"/>
    <row r="109" spans="1:17" ht="14.4" thickBot="1" x14ac:dyDescent="0.35">
      <c r="A109" s="122" t="s">
        <v>408</v>
      </c>
      <c r="B109" s="123" t="s">
        <v>409</v>
      </c>
      <c r="C109" s="124" t="s">
        <v>410</v>
      </c>
      <c r="D109" s="123" t="s">
        <v>411</v>
      </c>
      <c r="E109" s="125" t="s">
        <v>412</v>
      </c>
    </row>
    <row r="110" spans="1:17" ht="14.4" thickBot="1" x14ac:dyDescent="0.35">
      <c r="A110" s="126" t="s">
        <v>413</v>
      </c>
      <c r="B110" s="127" t="s">
        <v>414</v>
      </c>
      <c r="C110" s="128" t="s">
        <v>13</v>
      </c>
      <c r="D110" s="129"/>
      <c r="E110" s="130"/>
      <c r="F110" s="131"/>
      <c r="G110" s="132" t="s">
        <v>410</v>
      </c>
      <c r="H110" s="133" t="s">
        <v>393</v>
      </c>
      <c r="I110" s="134" t="s">
        <v>411</v>
      </c>
    </row>
    <row r="111" spans="1:17" x14ac:dyDescent="0.3">
      <c r="A111" s="126" t="s">
        <v>415</v>
      </c>
      <c r="B111" s="127" t="s">
        <v>416</v>
      </c>
      <c r="C111" s="128" t="s">
        <v>373</v>
      </c>
      <c r="D111" s="129"/>
      <c r="E111" s="130"/>
      <c r="F111" s="131"/>
      <c r="G111" s="168" t="s">
        <v>13</v>
      </c>
      <c r="H111" s="169" t="s">
        <v>417</v>
      </c>
      <c r="I111" s="170">
        <v>1200</v>
      </c>
    </row>
    <row r="112" spans="1:17" x14ac:dyDescent="0.3">
      <c r="A112" s="126" t="s">
        <v>418</v>
      </c>
      <c r="B112" s="127" t="s">
        <v>419</v>
      </c>
      <c r="C112" s="128" t="s">
        <v>372</v>
      </c>
      <c r="D112" s="129"/>
      <c r="E112" s="130"/>
      <c r="F112" s="131"/>
      <c r="G112" s="171" t="s">
        <v>159</v>
      </c>
      <c r="H112" s="172" t="s">
        <v>228</v>
      </c>
      <c r="I112" s="173">
        <v>1300</v>
      </c>
    </row>
    <row r="113" spans="1:17" x14ac:dyDescent="0.3">
      <c r="A113" s="126" t="s">
        <v>420</v>
      </c>
      <c r="B113" s="127" t="s">
        <v>421</v>
      </c>
      <c r="C113" s="128" t="s">
        <v>159</v>
      </c>
      <c r="D113" s="129"/>
      <c r="E113" s="130"/>
      <c r="F113" s="131"/>
      <c r="G113" s="171" t="s">
        <v>372</v>
      </c>
      <c r="H113" s="172" t="s">
        <v>422</v>
      </c>
      <c r="I113" s="173">
        <v>1000</v>
      </c>
    </row>
    <row r="114" spans="1:17" ht="14.4" thickBot="1" x14ac:dyDescent="0.35">
      <c r="A114" s="126" t="s">
        <v>423</v>
      </c>
      <c r="B114" s="127" t="s">
        <v>424</v>
      </c>
      <c r="C114" s="128" t="s">
        <v>159</v>
      </c>
      <c r="D114" s="129"/>
      <c r="E114" s="130"/>
      <c r="F114" s="131"/>
      <c r="G114" s="174" t="s">
        <v>373</v>
      </c>
      <c r="H114" s="175" t="s">
        <v>425</v>
      </c>
      <c r="I114" s="176">
        <v>2000</v>
      </c>
    </row>
    <row r="115" spans="1:17" x14ac:dyDescent="0.3">
      <c r="A115" s="126" t="s">
        <v>426</v>
      </c>
      <c r="B115" s="127" t="s">
        <v>427</v>
      </c>
      <c r="C115" s="128" t="s">
        <v>372</v>
      </c>
      <c r="D115" s="129"/>
      <c r="E115" s="130"/>
      <c r="F115" s="131"/>
      <c r="G115" s="131"/>
      <c r="H115" s="131"/>
      <c r="I115" s="131"/>
    </row>
    <row r="116" spans="1:17" x14ac:dyDescent="0.3">
      <c r="A116" s="126" t="s">
        <v>428</v>
      </c>
      <c r="B116" s="127" t="s">
        <v>429</v>
      </c>
      <c r="C116" s="128" t="s">
        <v>372</v>
      </c>
      <c r="D116" s="129"/>
      <c r="E116" s="130"/>
      <c r="F116" s="131"/>
      <c r="G116" s="131"/>
      <c r="H116" s="131"/>
      <c r="I116" s="131"/>
    </row>
    <row r="117" spans="1:17" x14ac:dyDescent="0.3">
      <c r="A117" s="126" t="s">
        <v>430</v>
      </c>
      <c r="B117" s="127" t="s">
        <v>431</v>
      </c>
      <c r="C117" s="128" t="s">
        <v>373</v>
      </c>
      <c r="D117" s="129"/>
      <c r="E117" s="130"/>
      <c r="F117" s="131"/>
      <c r="G117" s="131"/>
      <c r="H117" s="131"/>
      <c r="I117" s="131"/>
    </row>
    <row r="118" spans="1:17" ht="14.4" thickBot="1" x14ac:dyDescent="0.35">
      <c r="A118" s="135" t="s">
        <v>432</v>
      </c>
      <c r="B118" s="136" t="s">
        <v>433</v>
      </c>
      <c r="C118" s="137" t="s">
        <v>13</v>
      </c>
      <c r="D118" s="129"/>
      <c r="E118" s="130"/>
      <c r="F118" s="131"/>
      <c r="G118" s="131"/>
      <c r="H118" s="131"/>
      <c r="I118" s="131"/>
    </row>
    <row r="120" spans="1:17" x14ac:dyDescent="0.3">
      <c r="A120" s="164" t="s">
        <v>487</v>
      </c>
    </row>
    <row r="121" spans="1:17" x14ac:dyDescent="0.3">
      <c r="J121" s="95"/>
      <c r="K121" s="95"/>
      <c r="L121" s="95"/>
      <c r="M121" s="95"/>
      <c r="N121" s="95"/>
      <c r="O121" s="95"/>
    </row>
    <row r="122" spans="1:17" x14ac:dyDescent="0.3">
      <c r="B122" s="335" t="s">
        <v>488</v>
      </c>
      <c r="C122" s="335"/>
      <c r="D122" s="335"/>
      <c r="E122" s="335"/>
      <c r="F122" s="335"/>
      <c r="G122" s="335"/>
      <c r="I122" s="96" t="s">
        <v>483</v>
      </c>
      <c r="J122" s="97" t="s">
        <v>489</v>
      </c>
      <c r="K122" s="95"/>
      <c r="L122" s="95"/>
      <c r="M122" s="95"/>
      <c r="N122" s="95"/>
      <c r="O122" s="95"/>
    </row>
    <row r="123" spans="1:17" x14ac:dyDescent="0.3">
      <c r="A123" s="98" t="s">
        <v>490</v>
      </c>
      <c r="B123" s="98" t="s">
        <v>491</v>
      </c>
      <c r="C123" s="98" t="s">
        <v>492</v>
      </c>
      <c r="D123" s="98" t="s">
        <v>493</v>
      </c>
      <c r="E123" s="98" t="s">
        <v>494</v>
      </c>
      <c r="F123" s="98" t="s">
        <v>495</v>
      </c>
      <c r="G123" s="98" t="s">
        <v>496</v>
      </c>
      <c r="H123" s="99"/>
      <c r="I123" s="100" t="s">
        <v>490</v>
      </c>
      <c r="J123" s="100" t="s">
        <v>491</v>
      </c>
      <c r="K123" s="100" t="s">
        <v>492</v>
      </c>
      <c r="L123" s="98" t="s">
        <v>493</v>
      </c>
      <c r="M123" s="98" t="s">
        <v>494</v>
      </c>
      <c r="N123" s="98" t="s">
        <v>495</v>
      </c>
      <c r="O123" s="98" t="s">
        <v>496</v>
      </c>
      <c r="P123" s="99"/>
      <c r="Q123" s="99"/>
    </row>
    <row r="124" spans="1:17" x14ac:dyDescent="0.3">
      <c r="A124" s="101" t="s">
        <v>497</v>
      </c>
      <c r="B124" s="102">
        <v>460</v>
      </c>
      <c r="C124" s="102">
        <v>5330</v>
      </c>
      <c r="D124" s="102">
        <v>946</v>
      </c>
      <c r="E124" s="102">
        <v>4761</v>
      </c>
      <c r="F124" s="102">
        <v>5212</v>
      </c>
      <c r="G124" s="102">
        <v>1085</v>
      </c>
      <c r="I124" s="103" t="s">
        <v>515</v>
      </c>
      <c r="J124" s="296">
        <f>VLOOKUP($I124,$A$123:$G$136, MATCH(J123,$A$123:$G$123,0),1)</f>
        <v>2797</v>
      </c>
      <c r="K124" s="296">
        <f t="shared" ref="K124:O124" si="6">VLOOKUP($I124,$A$123:$G$136, MATCH(K123,$A$123:$G$123,0),1)</f>
        <v>4288</v>
      </c>
      <c r="L124" s="296">
        <f t="shared" si="6"/>
        <v>487</v>
      </c>
      <c r="M124" s="296">
        <f t="shared" si="6"/>
        <v>4318</v>
      </c>
      <c r="N124" s="296">
        <f t="shared" si="6"/>
        <v>1031</v>
      </c>
      <c r="O124" s="296">
        <f t="shared" si="6"/>
        <v>1091</v>
      </c>
    </row>
    <row r="125" spans="1:17" x14ac:dyDescent="0.3">
      <c r="A125" s="101" t="s">
        <v>499</v>
      </c>
      <c r="B125" s="102">
        <v>3985</v>
      </c>
      <c r="C125" s="102">
        <v>4429</v>
      </c>
      <c r="D125" s="102">
        <v>3552</v>
      </c>
      <c r="E125" s="102">
        <v>1170</v>
      </c>
      <c r="F125" s="102">
        <v>5863</v>
      </c>
      <c r="G125" s="102">
        <v>3911</v>
      </c>
    </row>
    <row r="126" spans="1:17" x14ac:dyDescent="0.3">
      <c r="A126" s="101" t="s">
        <v>500</v>
      </c>
      <c r="B126" s="102">
        <v>2741</v>
      </c>
      <c r="C126" s="102">
        <v>3085</v>
      </c>
      <c r="D126" s="102">
        <v>5743</v>
      </c>
      <c r="E126" s="102">
        <v>2523</v>
      </c>
      <c r="F126" s="102">
        <v>974</v>
      </c>
      <c r="G126" s="102">
        <v>1289</v>
      </c>
      <c r="I126" s="96" t="s">
        <v>476</v>
      </c>
      <c r="J126" s="94" t="s">
        <v>501</v>
      </c>
    </row>
    <row r="127" spans="1:17" x14ac:dyDescent="0.3">
      <c r="A127" s="101" t="s">
        <v>502</v>
      </c>
      <c r="B127" s="102">
        <v>2279</v>
      </c>
      <c r="C127" s="102">
        <v>1045</v>
      </c>
      <c r="D127" s="102">
        <v>2811</v>
      </c>
      <c r="E127" s="102">
        <v>2332</v>
      </c>
      <c r="F127" s="102">
        <v>4515</v>
      </c>
      <c r="G127" s="102">
        <v>2254</v>
      </c>
      <c r="I127" s="100" t="s">
        <v>490</v>
      </c>
      <c r="J127" s="100" t="s">
        <v>491</v>
      </c>
      <c r="K127" s="100" t="s">
        <v>492</v>
      </c>
      <c r="L127" s="98" t="s">
        <v>493</v>
      </c>
      <c r="M127" s="98" t="s">
        <v>494</v>
      </c>
      <c r="N127" s="98" t="s">
        <v>495</v>
      </c>
      <c r="O127" s="98" t="s">
        <v>496</v>
      </c>
    </row>
    <row r="128" spans="1:17" x14ac:dyDescent="0.3">
      <c r="A128" s="101" t="s">
        <v>503</v>
      </c>
      <c r="B128" s="102">
        <v>1764</v>
      </c>
      <c r="C128" s="102">
        <v>4264</v>
      </c>
      <c r="D128" s="102">
        <v>5449</v>
      </c>
      <c r="E128" s="102">
        <v>1690</v>
      </c>
      <c r="F128" s="102">
        <v>2965</v>
      </c>
      <c r="G128" s="102">
        <v>1081</v>
      </c>
      <c r="I128" s="104" t="s">
        <v>505</v>
      </c>
      <c r="J128" s="102">
        <f>_xlfn.XLOOKUP($I128,$A$123:$A$136, B123:B136)</f>
        <v>2573</v>
      </c>
      <c r="K128" s="102">
        <f t="shared" ref="K128:O128" si="7">_xlfn.XLOOKUP($I128,$A$123:$A$136, C123:C136)</f>
        <v>5087</v>
      </c>
      <c r="L128" s="102">
        <f t="shared" si="7"/>
        <v>543</v>
      </c>
      <c r="M128" s="102">
        <f t="shared" si="7"/>
        <v>4836</v>
      </c>
      <c r="N128" s="102">
        <f t="shared" si="7"/>
        <v>3650</v>
      </c>
      <c r="O128" s="102">
        <f t="shared" si="7"/>
        <v>2995</v>
      </c>
    </row>
    <row r="129" spans="1:12" ht="14.4" x14ac:dyDescent="0.3">
      <c r="A129" s="101" t="s">
        <v>505</v>
      </c>
      <c r="B129" s="102">
        <v>2573</v>
      </c>
      <c r="C129" s="102">
        <v>5087</v>
      </c>
      <c r="D129" s="102">
        <v>543</v>
      </c>
      <c r="E129" s="303">
        <v>4836</v>
      </c>
      <c r="F129" s="102">
        <v>3650</v>
      </c>
      <c r="G129" s="102">
        <v>2995</v>
      </c>
      <c r="H129"/>
    </row>
    <row r="130" spans="1:12" x14ac:dyDescent="0.3">
      <c r="A130" s="101" t="s">
        <v>506</v>
      </c>
      <c r="B130" s="102">
        <v>5741</v>
      </c>
      <c r="C130" s="102">
        <v>3905</v>
      </c>
      <c r="D130" s="102">
        <v>5175</v>
      </c>
      <c r="E130" s="102">
        <v>5748</v>
      </c>
      <c r="F130" s="102">
        <v>3391</v>
      </c>
      <c r="G130" s="102">
        <v>2235</v>
      </c>
      <c r="I130" s="96" t="s">
        <v>507</v>
      </c>
      <c r="J130" s="98" t="s">
        <v>508</v>
      </c>
      <c r="K130" s="98" t="s">
        <v>509</v>
      </c>
    </row>
    <row r="131" spans="1:12" x14ac:dyDescent="0.3">
      <c r="A131" s="101" t="s">
        <v>510</v>
      </c>
      <c r="B131" s="102">
        <v>3019</v>
      </c>
      <c r="C131" s="102">
        <v>2298</v>
      </c>
      <c r="D131" s="102">
        <v>623</v>
      </c>
      <c r="E131" s="102">
        <v>5003</v>
      </c>
      <c r="F131" s="102">
        <v>2786</v>
      </c>
      <c r="G131" s="102">
        <v>3806</v>
      </c>
      <c r="I131" s="104" t="s">
        <v>511</v>
      </c>
      <c r="J131" s="102"/>
      <c r="K131" s="102"/>
      <c r="L131" s="94" t="s">
        <v>512</v>
      </c>
    </row>
    <row r="132" spans="1:12" x14ac:dyDescent="0.3">
      <c r="A132" s="101" t="s">
        <v>504</v>
      </c>
      <c r="B132" s="102">
        <v>4985</v>
      </c>
      <c r="C132" s="102">
        <v>3435</v>
      </c>
      <c r="D132" s="102">
        <v>4631</v>
      </c>
      <c r="E132" s="102">
        <v>1965</v>
      </c>
      <c r="F132" s="102">
        <v>3998</v>
      </c>
      <c r="G132" s="102">
        <v>2115</v>
      </c>
      <c r="I132" s="104" t="s">
        <v>513</v>
      </c>
      <c r="J132" s="336"/>
      <c r="K132" s="337"/>
      <c r="L132" s="94" t="s">
        <v>514</v>
      </c>
    </row>
    <row r="133" spans="1:12" x14ac:dyDescent="0.3">
      <c r="A133" s="101" t="s">
        <v>515</v>
      </c>
      <c r="B133" s="102">
        <v>2797</v>
      </c>
      <c r="C133" s="102">
        <v>4288</v>
      </c>
      <c r="D133" s="102">
        <v>487</v>
      </c>
      <c r="E133" s="102">
        <v>4318</v>
      </c>
      <c r="F133" s="102">
        <v>1031</v>
      </c>
      <c r="G133" s="102">
        <v>1091</v>
      </c>
    </row>
    <row r="134" spans="1:12" x14ac:dyDescent="0.3">
      <c r="A134" s="101" t="s">
        <v>498</v>
      </c>
      <c r="B134" s="102">
        <v>1089</v>
      </c>
      <c r="C134" s="102">
        <v>906</v>
      </c>
      <c r="D134" s="102">
        <v>2257</v>
      </c>
      <c r="E134" s="102">
        <v>2919</v>
      </c>
      <c r="F134" s="102">
        <v>5279</v>
      </c>
      <c r="G134" s="102">
        <v>2998</v>
      </c>
      <c r="I134" s="100" t="s">
        <v>490</v>
      </c>
      <c r="J134" s="327" t="s">
        <v>505</v>
      </c>
      <c r="K134" s="328"/>
      <c r="L134" s="329"/>
    </row>
    <row r="135" spans="1:12" x14ac:dyDescent="0.3">
      <c r="A135" s="101" t="s">
        <v>516</v>
      </c>
      <c r="B135" s="102">
        <v>3569</v>
      </c>
      <c r="C135" s="102">
        <v>1102</v>
      </c>
      <c r="D135" s="102">
        <v>5288</v>
      </c>
      <c r="E135" s="102">
        <v>3086</v>
      </c>
      <c r="F135" s="102">
        <v>842</v>
      </c>
      <c r="G135" s="102">
        <v>1144</v>
      </c>
      <c r="I135" s="100" t="s">
        <v>517</v>
      </c>
      <c r="J135" s="327" t="s">
        <v>495</v>
      </c>
      <c r="K135" s="328"/>
      <c r="L135" s="329"/>
    </row>
    <row r="136" spans="1:12" x14ac:dyDescent="0.3">
      <c r="A136" s="101" t="s">
        <v>518</v>
      </c>
      <c r="B136" s="102">
        <v>3626</v>
      </c>
      <c r="C136" s="102">
        <v>1610</v>
      </c>
      <c r="D136" s="102">
        <v>1939</v>
      </c>
      <c r="E136" s="102">
        <v>2418</v>
      </c>
      <c r="F136" s="102">
        <v>764</v>
      </c>
      <c r="G136" s="102">
        <v>1504</v>
      </c>
      <c r="I136" s="100" t="s">
        <v>519</v>
      </c>
      <c r="J136" s="327">
        <f>INDEX(B124:G136,MATCH(J134,A124:A136,0), MATCH(J135, B123:G123,0))</f>
        <v>3650</v>
      </c>
      <c r="K136" s="328"/>
      <c r="L136" s="329"/>
    </row>
    <row r="137" spans="1:12" x14ac:dyDescent="0.3">
      <c r="B137" s="105"/>
      <c r="C137" s="105"/>
      <c r="D137" s="105"/>
      <c r="E137" s="105"/>
      <c r="F137" s="105"/>
      <c r="G137" s="105"/>
      <c r="I137" s="203"/>
      <c r="J137" s="105"/>
      <c r="K137" s="105"/>
      <c r="L137" s="105"/>
    </row>
    <row r="138" spans="1:12" x14ac:dyDescent="0.3">
      <c r="A138" s="106" t="s">
        <v>520</v>
      </c>
      <c r="B138" s="105"/>
      <c r="C138" s="105"/>
      <c r="D138" s="272"/>
      <c r="E138" s="272"/>
      <c r="F138" s="105"/>
      <c r="G138" s="105"/>
      <c r="I138" s="203"/>
      <c r="J138" s="105"/>
      <c r="K138" s="105"/>
      <c r="L138" s="105"/>
    </row>
    <row r="140" spans="1:12" x14ac:dyDescent="0.3">
      <c r="A140" s="330" t="s">
        <v>521</v>
      </c>
      <c r="B140" s="331"/>
      <c r="C140" s="186"/>
      <c r="D140" s="186"/>
      <c r="E140" s="186"/>
      <c r="F140" s="332" t="s">
        <v>522</v>
      </c>
      <c r="G140" s="330"/>
      <c r="H140" s="330"/>
      <c r="I140" s="331"/>
      <c r="J140" s="186"/>
    </row>
    <row r="141" spans="1:12" x14ac:dyDescent="0.3">
      <c r="A141" s="187" t="s">
        <v>523</v>
      </c>
      <c r="B141" s="188" t="s">
        <v>524</v>
      </c>
      <c r="C141" s="186"/>
      <c r="D141" s="186"/>
      <c r="E141" s="186"/>
      <c r="F141" s="189" t="s">
        <v>523</v>
      </c>
      <c r="G141" s="189" t="s">
        <v>525</v>
      </c>
      <c r="H141" s="189" t="s">
        <v>526</v>
      </c>
      <c r="I141" s="189" t="s">
        <v>527</v>
      </c>
      <c r="J141" s="186"/>
    </row>
    <row r="142" spans="1:12" x14ac:dyDescent="0.3">
      <c r="A142" s="190" t="s">
        <v>528</v>
      </c>
      <c r="B142" s="191">
        <v>30</v>
      </c>
      <c r="C142" s="186"/>
      <c r="D142" s="186"/>
      <c r="E142" s="186"/>
      <c r="F142" s="192" t="s">
        <v>528</v>
      </c>
      <c r="G142" s="193">
        <v>14000</v>
      </c>
      <c r="H142" s="193">
        <v>34000</v>
      </c>
      <c r="I142" s="193">
        <v>9000</v>
      </c>
      <c r="J142" s="186"/>
    </row>
    <row r="143" spans="1:12" x14ac:dyDescent="0.3">
      <c r="A143" s="190" t="s">
        <v>529</v>
      </c>
      <c r="B143" s="191">
        <v>70</v>
      </c>
      <c r="C143" s="186"/>
      <c r="D143" s="186"/>
      <c r="E143" s="186"/>
      <c r="F143" s="192" t="s">
        <v>529</v>
      </c>
      <c r="G143" s="193">
        <v>43000</v>
      </c>
      <c r="H143" s="193">
        <v>51000</v>
      </c>
      <c r="I143" s="193">
        <v>35000</v>
      </c>
      <c r="J143" s="186"/>
    </row>
    <row r="144" spans="1:12" x14ac:dyDescent="0.3">
      <c r="A144" s="190" t="s">
        <v>530</v>
      </c>
      <c r="B144" s="191">
        <v>35</v>
      </c>
      <c r="C144" s="186"/>
      <c r="D144" s="186"/>
      <c r="E144" s="186"/>
      <c r="F144" s="192" t="s">
        <v>530</v>
      </c>
      <c r="G144" s="193">
        <v>20000</v>
      </c>
      <c r="H144" s="193">
        <v>23000</v>
      </c>
      <c r="I144" s="193">
        <v>18000</v>
      </c>
      <c r="J144" s="186"/>
    </row>
    <row r="145" spans="1:10" x14ac:dyDescent="0.3">
      <c r="A145" s="190" t="s">
        <v>531</v>
      </c>
      <c r="B145" s="191">
        <v>50</v>
      </c>
      <c r="C145" s="186"/>
      <c r="D145" s="186"/>
      <c r="E145" s="186"/>
      <c r="F145" s="192" t="s">
        <v>531</v>
      </c>
      <c r="G145" s="193">
        <v>42000</v>
      </c>
      <c r="H145" s="193">
        <v>45000</v>
      </c>
      <c r="I145" s="193">
        <v>39000</v>
      </c>
      <c r="J145" s="186"/>
    </row>
    <row r="146" spans="1:10" x14ac:dyDescent="0.3">
      <c r="A146" s="186"/>
      <c r="B146" s="186"/>
      <c r="C146" s="186"/>
      <c r="D146" s="186"/>
      <c r="E146" s="186"/>
      <c r="F146" s="186"/>
      <c r="G146" s="186"/>
      <c r="H146" s="186"/>
      <c r="I146" s="186"/>
      <c r="J146" s="186"/>
    </row>
    <row r="147" spans="1:10" x14ac:dyDescent="0.3">
      <c r="A147" s="194" t="s">
        <v>532</v>
      </c>
      <c r="B147" s="194"/>
      <c r="C147" s="194"/>
      <c r="D147" s="194"/>
      <c r="E147" s="194"/>
      <c r="F147" s="194"/>
      <c r="G147" s="194"/>
      <c r="H147" s="194"/>
      <c r="I147" s="194"/>
      <c r="J147" s="186"/>
    </row>
    <row r="148" spans="1:10" x14ac:dyDescent="0.3">
      <c r="A148" s="186"/>
      <c r="B148" s="186"/>
      <c r="C148" s="186"/>
      <c r="D148" s="186"/>
      <c r="E148" s="186"/>
      <c r="F148" s="186"/>
      <c r="G148" s="186"/>
      <c r="H148" s="186"/>
      <c r="I148" s="186"/>
      <c r="J148" s="186"/>
    </row>
    <row r="149" spans="1:10" x14ac:dyDescent="0.3">
      <c r="A149" s="195" t="s">
        <v>533</v>
      </c>
      <c r="B149" s="195" t="s">
        <v>523</v>
      </c>
      <c r="C149" s="195" t="s">
        <v>534</v>
      </c>
      <c r="D149" s="195" t="s">
        <v>364</v>
      </c>
      <c r="E149" s="195" t="s">
        <v>535</v>
      </c>
      <c r="F149" s="195" t="s">
        <v>536</v>
      </c>
      <c r="G149" s="195" t="s">
        <v>219</v>
      </c>
      <c r="H149" s="195" t="s">
        <v>524</v>
      </c>
      <c r="I149" s="195" t="s">
        <v>537</v>
      </c>
      <c r="J149" s="195" t="s">
        <v>220</v>
      </c>
    </row>
    <row r="150" spans="1:10" x14ac:dyDescent="0.3">
      <c r="A150" s="196" t="s">
        <v>538</v>
      </c>
      <c r="B150" s="197" t="s">
        <v>529</v>
      </c>
      <c r="C150" s="197" t="s">
        <v>525</v>
      </c>
      <c r="D150" s="197" t="s">
        <v>375</v>
      </c>
      <c r="E150" s="197" t="s">
        <v>539</v>
      </c>
      <c r="F150" s="197" t="s">
        <v>497</v>
      </c>
      <c r="G150" s="199">
        <f t="shared" ref="G150:G213" ca="1" si="8">RANDBETWEEN(1,20)</f>
        <v>14</v>
      </c>
      <c r="H150" s="198"/>
      <c r="I150" s="198"/>
      <c r="J150" s="198"/>
    </row>
    <row r="151" spans="1:10" x14ac:dyDescent="0.3">
      <c r="A151" s="200" t="s">
        <v>540</v>
      </c>
      <c r="B151" s="186" t="s">
        <v>528</v>
      </c>
      <c r="C151" s="186" t="s">
        <v>526</v>
      </c>
      <c r="D151" s="186" t="s">
        <v>369</v>
      </c>
      <c r="E151" s="186" t="s">
        <v>539</v>
      </c>
      <c r="F151" s="186" t="s">
        <v>499</v>
      </c>
      <c r="G151" s="201">
        <f t="shared" ca="1" si="8"/>
        <v>18</v>
      </c>
      <c r="H151" s="198"/>
      <c r="I151" s="198"/>
      <c r="J151" s="198"/>
    </row>
    <row r="152" spans="1:10" x14ac:dyDescent="0.3">
      <c r="A152" s="200" t="s">
        <v>540</v>
      </c>
      <c r="B152" s="186" t="s">
        <v>531</v>
      </c>
      <c r="C152" s="186" t="s">
        <v>527</v>
      </c>
      <c r="D152" s="186" t="s">
        <v>369</v>
      </c>
      <c r="E152" s="186" t="s">
        <v>541</v>
      </c>
      <c r="F152" s="186" t="s">
        <v>500</v>
      </c>
      <c r="G152" s="201">
        <f t="shared" ca="1" si="8"/>
        <v>19</v>
      </c>
      <c r="H152" s="198"/>
      <c r="I152" s="198"/>
      <c r="J152" s="198"/>
    </row>
    <row r="153" spans="1:10" x14ac:dyDescent="0.3">
      <c r="A153" s="200" t="s">
        <v>540</v>
      </c>
      <c r="B153" s="186" t="s">
        <v>530</v>
      </c>
      <c r="C153" s="186" t="s">
        <v>525</v>
      </c>
      <c r="D153" s="186" t="s">
        <v>375</v>
      </c>
      <c r="E153" s="186" t="s">
        <v>539</v>
      </c>
      <c r="F153" s="186" t="s">
        <v>502</v>
      </c>
      <c r="G153" s="201">
        <f t="shared" ca="1" si="8"/>
        <v>16</v>
      </c>
      <c r="H153" s="198"/>
      <c r="I153" s="198"/>
      <c r="J153" s="198"/>
    </row>
    <row r="154" spans="1:10" x14ac:dyDescent="0.3">
      <c r="A154" s="200" t="s">
        <v>538</v>
      </c>
      <c r="B154" s="186" t="s">
        <v>529</v>
      </c>
      <c r="C154" s="186" t="s">
        <v>526</v>
      </c>
      <c r="D154" s="186" t="s">
        <v>375</v>
      </c>
      <c r="E154" s="186" t="s">
        <v>541</v>
      </c>
      <c r="F154" s="186" t="s">
        <v>503</v>
      </c>
      <c r="G154" s="201">
        <f t="shared" ca="1" si="8"/>
        <v>5</v>
      </c>
      <c r="H154" s="198"/>
      <c r="I154" s="198"/>
      <c r="J154" s="198"/>
    </row>
    <row r="155" spans="1:10" x14ac:dyDescent="0.3">
      <c r="A155" s="200" t="s">
        <v>540</v>
      </c>
      <c r="B155" s="186" t="s">
        <v>528</v>
      </c>
      <c r="C155" s="186" t="s">
        <v>527</v>
      </c>
      <c r="D155" s="186" t="s">
        <v>375</v>
      </c>
      <c r="E155" s="186" t="s">
        <v>539</v>
      </c>
      <c r="F155" s="186" t="s">
        <v>505</v>
      </c>
      <c r="G155" s="201">
        <f t="shared" ca="1" si="8"/>
        <v>7</v>
      </c>
      <c r="H155" s="198"/>
      <c r="I155" s="198"/>
      <c r="J155" s="198"/>
    </row>
    <row r="156" spans="1:10" x14ac:dyDescent="0.3">
      <c r="A156" s="200" t="s">
        <v>538</v>
      </c>
      <c r="B156" s="186" t="s">
        <v>531</v>
      </c>
      <c r="C156" s="186" t="s">
        <v>525</v>
      </c>
      <c r="D156" s="186" t="s">
        <v>369</v>
      </c>
      <c r="E156" s="186" t="s">
        <v>539</v>
      </c>
      <c r="F156" s="186" t="s">
        <v>506</v>
      </c>
      <c r="G156" s="201">
        <f t="shared" ca="1" si="8"/>
        <v>8</v>
      </c>
      <c r="H156" s="198"/>
      <c r="I156" s="198"/>
      <c r="J156" s="198"/>
    </row>
    <row r="157" spans="1:10" x14ac:dyDescent="0.3">
      <c r="A157" s="200" t="s">
        <v>538</v>
      </c>
      <c r="B157" s="186" t="s">
        <v>530</v>
      </c>
      <c r="C157" s="186" t="s">
        <v>526</v>
      </c>
      <c r="D157" s="186" t="s">
        <v>375</v>
      </c>
      <c r="E157" s="186" t="s">
        <v>541</v>
      </c>
      <c r="F157" s="186" t="s">
        <v>510</v>
      </c>
      <c r="G157" s="201">
        <f t="shared" ca="1" si="8"/>
        <v>16</v>
      </c>
      <c r="H157" s="198"/>
      <c r="I157" s="198"/>
      <c r="J157" s="198"/>
    </row>
    <row r="158" spans="1:10" x14ac:dyDescent="0.3">
      <c r="A158" s="200" t="s">
        <v>538</v>
      </c>
      <c r="B158" s="186" t="s">
        <v>529</v>
      </c>
      <c r="C158" s="186" t="s">
        <v>527</v>
      </c>
      <c r="D158" s="186" t="s">
        <v>369</v>
      </c>
      <c r="E158" s="186" t="s">
        <v>539</v>
      </c>
      <c r="F158" s="186" t="s">
        <v>504</v>
      </c>
      <c r="G158" s="201">
        <f t="shared" ca="1" si="8"/>
        <v>3</v>
      </c>
      <c r="H158" s="198"/>
      <c r="I158" s="198"/>
      <c r="J158" s="198"/>
    </row>
    <row r="159" spans="1:10" x14ac:dyDescent="0.3">
      <c r="A159" s="200" t="s">
        <v>540</v>
      </c>
      <c r="B159" s="186" t="s">
        <v>528</v>
      </c>
      <c r="C159" s="186" t="s">
        <v>525</v>
      </c>
      <c r="D159" s="186" t="s">
        <v>369</v>
      </c>
      <c r="E159" s="186" t="s">
        <v>541</v>
      </c>
      <c r="F159" s="186" t="s">
        <v>515</v>
      </c>
      <c r="G159" s="201">
        <f t="shared" ca="1" si="8"/>
        <v>1</v>
      </c>
      <c r="H159" s="198"/>
      <c r="I159" s="198"/>
      <c r="J159" s="198"/>
    </row>
    <row r="160" spans="1:10" x14ac:dyDescent="0.3">
      <c r="A160" s="200" t="s">
        <v>538</v>
      </c>
      <c r="B160" s="186" t="s">
        <v>531</v>
      </c>
      <c r="C160" s="186" t="s">
        <v>526</v>
      </c>
      <c r="D160" s="186" t="s">
        <v>375</v>
      </c>
      <c r="E160" s="186" t="s">
        <v>539</v>
      </c>
      <c r="F160" s="186" t="s">
        <v>498</v>
      </c>
      <c r="G160" s="201">
        <f t="shared" ca="1" si="8"/>
        <v>3</v>
      </c>
      <c r="H160" s="198"/>
      <c r="I160" s="198"/>
      <c r="J160" s="198"/>
    </row>
    <row r="161" spans="1:10" x14ac:dyDescent="0.3">
      <c r="A161" s="200" t="s">
        <v>540</v>
      </c>
      <c r="B161" s="186" t="s">
        <v>530</v>
      </c>
      <c r="C161" s="186" t="s">
        <v>527</v>
      </c>
      <c r="D161" s="186" t="s">
        <v>375</v>
      </c>
      <c r="E161" s="186" t="s">
        <v>539</v>
      </c>
      <c r="F161" s="186" t="s">
        <v>516</v>
      </c>
      <c r="G161" s="201">
        <f t="shared" ca="1" si="8"/>
        <v>10</v>
      </c>
      <c r="H161" s="198"/>
      <c r="I161" s="198"/>
      <c r="J161" s="198"/>
    </row>
    <row r="162" spans="1:10" x14ac:dyDescent="0.3">
      <c r="A162" s="200" t="s">
        <v>540</v>
      </c>
      <c r="B162" s="186" t="s">
        <v>529</v>
      </c>
      <c r="C162" s="186" t="s">
        <v>525</v>
      </c>
      <c r="D162" s="186" t="s">
        <v>369</v>
      </c>
      <c r="E162" s="186" t="s">
        <v>541</v>
      </c>
      <c r="F162" s="186" t="s">
        <v>542</v>
      </c>
      <c r="G162" s="201">
        <f t="shared" ca="1" si="8"/>
        <v>5</v>
      </c>
      <c r="H162" s="198"/>
      <c r="I162" s="198"/>
      <c r="J162" s="198"/>
    </row>
    <row r="163" spans="1:10" x14ac:dyDescent="0.3">
      <c r="A163" s="200" t="s">
        <v>538</v>
      </c>
      <c r="B163" s="186" t="s">
        <v>528</v>
      </c>
      <c r="C163" s="186" t="s">
        <v>526</v>
      </c>
      <c r="D163" s="186" t="s">
        <v>375</v>
      </c>
      <c r="E163" s="186" t="s">
        <v>539</v>
      </c>
      <c r="F163" s="186" t="s">
        <v>543</v>
      </c>
      <c r="G163" s="201">
        <f t="shared" ca="1" si="8"/>
        <v>19</v>
      </c>
      <c r="H163" s="198"/>
      <c r="I163" s="198"/>
      <c r="J163" s="198"/>
    </row>
    <row r="164" spans="1:10" x14ac:dyDescent="0.3">
      <c r="A164" s="200" t="s">
        <v>540</v>
      </c>
      <c r="B164" s="186" t="s">
        <v>531</v>
      </c>
      <c r="C164" s="186" t="s">
        <v>527</v>
      </c>
      <c r="D164" s="186" t="s">
        <v>375</v>
      </c>
      <c r="E164" s="186" t="s">
        <v>541</v>
      </c>
      <c r="F164" s="186" t="s">
        <v>544</v>
      </c>
      <c r="G164" s="201">
        <f t="shared" ca="1" si="8"/>
        <v>17</v>
      </c>
      <c r="H164" s="198"/>
      <c r="I164" s="198"/>
      <c r="J164" s="198"/>
    </row>
    <row r="165" spans="1:10" x14ac:dyDescent="0.3">
      <c r="A165" s="200" t="s">
        <v>540</v>
      </c>
      <c r="B165" s="186" t="s">
        <v>530</v>
      </c>
      <c r="C165" s="186" t="s">
        <v>525</v>
      </c>
      <c r="D165" s="186" t="s">
        <v>369</v>
      </c>
      <c r="E165" s="186" t="s">
        <v>539</v>
      </c>
      <c r="F165" s="186" t="s">
        <v>545</v>
      </c>
      <c r="G165" s="201">
        <f t="shared" ca="1" si="8"/>
        <v>9</v>
      </c>
      <c r="H165" s="198"/>
      <c r="I165" s="198"/>
      <c r="J165" s="198"/>
    </row>
    <row r="166" spans="1:10" x14ac:dyDescent="0.3">
      <c r="A166" s="200" t="s">
        <v>538</v>
      </c>
      <c r="B166" s="186" t="s">
        <v>529</v>
      </c>
      <c r="C166" s="186" t="s">
        <v>526</v>
      </c>
      <c r="D166" s="186" t="s">
        <v>369</v>
      </c>
      <c r="E166" s="186" t="s">
        <v>539</v>
      </c>
      <c r="F166" s="186" t="s">
        <v>546</v>
      </c>
      <c r="G166" s="201">
        <f t="shared" ca="1" si="8"/>
        <v>3</v>
      </c>
      <c r="H166" s="198"/>
      <c r="I166" s="198"/>
      <c r="J166" s="198"/>
    </row>
    <row r="167" spans="1:10" x14ac:dyDescent="0.3">
      <c r="A167" s="200" t="s">
        <v>538</v>
      </c>
      <c r="B167" s="186" t="s">
        <v>528</v>
      </c>
      <c r="C167" s="186" t="s">
        <v>527</v>
      </c>
      <c r="D167" s="186" t="s">
        <v>375</v>
      </c>
      <c r="E167" s="186" t="s">
        <v>541</v>
      </c>
      <c r="F167" s="186" t="s">
        <v>547</v>
      </c>
      <c r="G167" s="201">
        <f t="shared" ca="1" si="8"/>
        <v>8</v>
      </c>
      <c r="H167" s="198"/>
      <c r="I167" s="198"/>
      <c r="J167" s="198"/>
    </row>
    <row r="168" spans="1:10" x14ac:dyDescent="0.3">
      <c r="A168" s="200" t="s">
        <v>540</v>
      </c>
      <c r="B168" s="186" t="s">
        <v>531</v>
      </c>
      <c r="C168" s="186" t="s">
        <v>525</v>
      </c>
      <c r="D168" s="186" t="s">
        <v>375</v>
      </c>
      <c r="E168" s="186" t="s">
        <v>539</v>
      </c>
      <c r="F168" s="186" t="s">
        <v>548</v>
      </c>
      <c r="G168" s="201">
        <f t="shared" ca="1" si="8"/>
        <v>17</v>
      </c>
      <c r="H168" s="198"/>
      <c r="I168" s="198"/>
      <c r="J168" s="198"/>
    </row>
    <row r="169" spans="1:10" x14ac:dyDescent="0.3">
      <c r="A169" s="200" t="s">
        <v>538</v>
      </c>
      <c r="B169" s="186" t="s">
        <v>530</v>
      </c>
      <c r="C169" s="186" t="s">
        <v>526</v>
      </c>
      <c r="D169" s="186" t="s">
        <v>375</v>
      </c>
      <c r="E169" s="186" t="s">
        <v>541</v>
      </c>
      <c r="F169" s="186" t="s">
        <v>549</v>
      </c>
      <c r="G169" s="201">
        <f t="shared" ca="1" si="8"/>
        <v>13</v>
      </c>
      <c r="H169" s="198"/>
      <c r="I169" s="198"/>
      <c r="J169" s="198"/>
    </row>
    <row r="170" spans="1:10" x14ac:dyDescent="0.3">
      <c r="A170" s="200" t="s">
        <v>540</v>
      </c>
      <c r="B170" s="186" t="s">
        <v>529</v>
      </c>
      <c r="C170" s="186" t="s">
        <v>527</v>
      </c>
      <c r="D170" s="186" t="s">
        <v>369</v>
      </c>
      <c r="E170" s="186" t="s">
        <v>539</v>
      </c>
      <c r="F170" s="186" t="s">
        <v>550</v>
      </c>
      <c r="G170" s="201">
        <f t="shared" ca="1" si="8"/>
        <v>4</v>
      </c>
      <c r="H170" s="198"/>
      <c r="I170" s="198"/>
      <c r="J170" s="198"/>
    </row>
    <row r="171" spans="1:10" x14ac:dyDescent="0.3">
      <c r="A171" s="200" t="s">
        <v>540</v>
      </c>
      <c r="B171" s="186" t="s">
        <v>528</v>
      </c>
      <c r="C171" s="186" t="s">
        <v>525</v>
      </c>
      <c r="D171" s="186" t="s">
        <v>375</v>
      </c>
      <c r="E171" s="186" t="s">
        <v>539</v>
      </c>
      <c r="F171" s="186" t="s">
        <v>551</v>
      </c>
      <c r="G171" s="201">
        <f t="shared" ca="1" si="8"/>
        <v>12</v>
      </c>
      <c r="H171" s="198"/>
      <c r="I171" s="198"/>
      <c r="J171" s="198"/>
    </row>
    <row r="172" spans="1:10" x14ac:dyDescent="0.3">
      <c r="A172" s="200" t="s">
        <v>538</v>
      </c>
      <c r="B172" s="186" t="s">
        <v>531</v>
      </c>
      <c r="C172" s="186" t="s">
        <v>526</v>
      </c>
      <c r="D172" s="186" t="s">
        <v>369</v>
      </c>
      <c r="E172" s="186" t="s">
        <v>541</v>
      </c>
      <c r="F172" s="186" t="s">
        <v>552</v>
      </c>
      <c r="G172" s="201">
        <f t="shared" ca="1" si="8"/>
        <v>17</v>
      </c>
      <c r="H172" s="198"/>
      <c r="I172" s="198"/>
      <c r="J172" s="198"/>
    </row>
    <row r="173" spans="1:10" x14ac:dyDescent="0.3">
      <c r="A173" s="200" t="s">
        <v>540</v>
      </c>
      <c r="B173" s="186" t="s">
        <v>530</v>
      </c>
      <c r="C173" s="186" t="s">
        <v>527</v>
      </c>
      <c r="D173" s="186" t="s">
        <v>369</v>
      </c>
      <c r="E173" s="186" t="s">
        <v>539</v>
      </c>
      <c r="F173" s="186" t="s">
        <v>553</v>
      </c>
      <c r="G173" s="201">
        <f t="shared" ca="1" si="8"/>
        <v>12</v>
      </c>
      <c r="H173" s="198"/>
      <c r="I173" s="198"/>
      <c r="J173" s="198"/>
    </row>
    <row r="174" spans="1:10" x14ac:dyDescent="0.3">
      <c r="A174" s="200" t="s">
        <v>538</v>
      </c>
      <c r="B174" s="186" t="s">
        <v>529</v>
      </c>
      <c r="C174" s="186" t="s">
        <v>525</v>
      </c>
      <c r="D174" s="186" t="s">
        <v>375</v>
      </c>
      <c r="E174" s="186" t="s">
        <v>541</v>
      </c>
      <c r="F174" s="186" t="s">
        <v>554</v>
      </c>
      <c r="G174" s="201">
        <f t="shared" ca="1" si="8"/>
        <v>5</v>
      </c>
      <c r="H174" s="198"/>
      <c r="I174" s="198"/>
      <c r="J174" s="198"/>
    </row>
    <row r="175" spans="1:10" x14ac:dyDescent="0.3">
      <c r="A175" s="200" t="s">
        <v>540</v>
      </c>
      <c r="B175" s="186" t="s">
        <v>528</v>
      </c>
      <c r="C175" s="186" t="s">
        <v>526</v>
      </c>
      <c r="D175" s="186" t="s">
        <v>375</v>
      </c>
      <c r="E175" s="186" t="s">
        <v>539</v>
      </c>
      <c r="F175" s="186" t="s">
        <v>555</v>
      </c>
      <c r="G175" s="201">
        <f t="shared" ca="1" si="8"/>
        <v>5</v>
      </c>
      <c r="H175" s="198"/>
      <c r="I175" s="198"/>
      <c r="J175" s="198"/>
    </row>
    <row r="176" spans="1:10" x14ac:dyDescent="0.3">
      <c r="A176" s="200" t="s">
        <v>540</v>
      </c>
      <c r="B176" s="186" t="s">
        <v>531</v>
      </c>
      <c r="C176" s="186" t="s">
        <v>527</v>
      </c>
      <c r="D176" s="186" t="s">
        <v>369</v>
      </c>
      <c r="E176" s="186" t="s">
        <v>539</v>
      </c>
      <c r="F176" s="186" t="s">
        <v>556</v>
      </c>
      <c r="G176" s="201">
        <f t="shared" ca="1" si="8"/>
        <v>16</v>
      </c>
      <c r="H176" s="198"/>
      <c r="I176" s="198"/>
      <c r="J176" s="198"/>
    </row>
    <row r="177" spans="1:10" x14ac:dyDescent="0.3">
      <c r="A177" s="200" t="s">
        <v>540</v>
      </c>
      <c r="B177" s="186" t="s">
        <v>530</v>
      </c>
      <c r="C177" s="186" t="s">
        <v>525</v>
      </c>
      <c r="D177" s="186" t="s">
        <v>375</v>
      </c>
      <c r="E177" s="186" t="s">
        <v>541</v>
      </c>
      <c r="F177" s="186" t="s">
        <v>557</v>
      </c>
      <c r="G177" s="201">
        <f t="shared" ca="1" si="8"/>
        <v>18</v>
      </c>
      <c r="H177" s="198"/>
      <c r="I177" s="198"/>
      <c r="J177" s="198"/>
    </row>
    <row r="178" spans="1:10" x14ac:dyDescent="0.3">
      <c r="A178" s="200" t="s">
        <v>538</v>
      </c>
      <c r="B178" s="186" t="s">
        <v>529</v>
      </c>
      <c r="C178" s="186" t="s">
        <v>526</v>
      </c>
      <c r="D178" s="186" t="s">
        <v>375</v>
      </c>
      <c r="E178" s="186" t="s">
        <v>539</v>
      </c>
      <c r="F178" s="186" t="s">
        <v>558</v>
      </c>
      <c r="G178" s="201">
        <f t="shared" ca="1" si="8"/>
        <v>11</v>
      </c>
      <c r="H178" s="198"/>
      <c r="I178" s="198"/>
      <c r="J178" s="198"/>
    </row>
    <row r="179" spans="1:10" x14ac:dyDescent="0.3">
      <c r="A179" s="200" t="s">
        <v>540</v>
      </c>
      <c r="B179" s="186" t="s">
        <v>528</v>
      </c>
      <c r="C179" s="186" t="s">
        <v>527</v>
      </c>
      <c r="D179" s="186" t="s">
        <v>369</v>
      </c>
      <c r="E179" s="186" t="s">
        <v>541</v>
      </c>
      <c r="F179" s="186" t="s">
        <v>559</v>
      </c>
      <c r="G179" s="201">
        <f t="shared" ca="1" si="8"/>
        <v>8</v>
      </c>
      <c r="H179" s="198"/>
      <c r="I179" s="198"/>
      <c r="J179" s="198"/>
    </row>
    <row r="180" spans="1:10" x14ac:dyDescent="0.3">
      <c r="A180" s="200" t="s">
        <v>540</v>
      </c>
      <c r="B180" s="186" t="s">
        <v>531</v>
      </c>
      <c r="C180" s="186" t="s">
        <v>525</v>
      </c>
      <c r="D180" s="186" t="s">
        <v>369</v>
      </c>
      <c r="E180" s="186" t="s">
        <v>539</v>
      </c>
      <c r="F180" s="186" t="s">
        <v>560</v>
      </c>
      <c r="G180" s="201">
        <f t="shared" ca="1" si="8"/>
        <v>17</v>
      </c>
      <c r="H180" s="198"/>
      <c r="I180" s="198"/>
      <c r="J180" s="198"/>
    </row>
    <row r="181" spans="1:10" x14ac:dyDescent="0.3">
      <c r="A181" s="200" t="s">
        <v>540</v>
      </c>
      <c r="B181" s="186" t="s">
        <v>530</v>
      </c>
      <c r="C181" s="186" t="s">
        <v>526</v>
      </c>
      <c r="D181" s="186" t="s">
        <v>375</v>
      </c>
      <c r="E181" s="186" t="s">
        <v>539</v>
      </c>
      <c r="F181" s="186" t="s">
        <v>561</v>
      </c>
      <c r="G181" s="201">
        <f t="shared" ca="1" si="8"/>
        <v>1</v>
      </c>
      <c r="H181" s="198"/>
      <c r="I181" s="198"/>
      <c r="J181" s="198"/>
    </row>
    <row r="182" spans="1:10" x14ac:dyDescent="0.3">
      <c r="A182" s="200" t="s">
        <v>538</v>
      </c>
      <c r="B182" s="186" t="s">
        <v>529</v>
      </c>
      <c r="C182" s="186" t="s">
        <v>527</v>
      </c>
      <c r="D182" s="186" t="s">
        <v>375</v>
      </c>
      <c r="E182" s="186" t="s">
        <v>541</v>
      </c>
      <c r="F182" s="186" t="s">
        <v>562</v>
      </c>
      <c r="G182" s="201">
        <f t="shared" ca="1" si="8"/>
        <v>4</v>
      </c>
      <c r="H182" s="198"/>
      <c r="I182" s="198"/>
      <c r="J182" s="198"/>
    </row>
    <row r="183" spans="1:10" x14ac:dyDescent="0.3">
      <c r="A183" s="200" t="s">
        <v>538</v>
      </c>
      <c r="B183" s="186" t="s">
        <v>528</v>
      </c>
      <c r="C183" s="186" t="s">
        <v>525</v>
      </c>
      <c r="D183" s="186" t="s">
        <v>375</v>
      </c>
      <c r="E183" s="186" t="s">
        <v>539</v>
      </c>
      <c r="F183" s="186" t="s">
        <v>563</v>
      </c>
      <c r="G183" s="201">
        <f t="shared" ca="1" si="8"/>
        <v>2</v>
      </c>
      <c r="H183" s="198"/>
      <c r="I183" s="198"/>
      <c r="J183" s="198"/>
    </row>
    <row r="184" spans="1:10" x14ac:dyDescent="0.3">
      <c r="A184" s="200" t="s">
        <v>540</v>
      </c>
      <c r="B184" s="186" t="s">
        <v>531</v>
      </c>
      <c r="C184" s="186" t="s">
        <v>526</v>
      </c>
      <c r="D184" s="186" t="s">
        <v>369</v>
      </c>
      <c r="E184" s="186" t="s">
        <v>541</v>
      </c>
      <c r="F184" s="186" t="s">
        <v>564</v>
      </c>
      <c r="G184" s="201">
        <f t="shared" ca="1" si="8"/>
        <v>19</v>
      </c>
      <c r="H184" s="198"/>
      <c r="I184" s="198"/>
      <c r="J184" s="198"/>
    </row>
    <row r="185" spans="1:10" x14ac:dyDescent="0.3">
      <c r="A185" s="200" t="s">
        <v>538</v>
      </c>
      <c r="B185" s="186" t="s">
        <v>530</v>
      </c>
      <c r="C185" s="186" t="s">
        <v>527</v>
      </c>
      <c r="D185" s="186" t="s">
        <v>375</v>
      </c>
      <c r="E185" s="186" t="s">
        <v>539</v>
      </c>
      <c r="F185" s="186" t="s">
        <v>565</v>
      </c>
      <c r="G185" s="201">
        <f t="shared" ca="1" si="8"/>
        <v>6</v>
      </c>
      <c r="H185" s="198"/>
      <c r="I185" s="198"/>
      <c r="J185" s="198"/>
    </row>
    <row r="186" spans="1:10" x14ac:dyDescent="0.3">
      <c r="A186" s="200" t="s">
        <v>540</v>
      </c>
      <c r="B186" s="186" t="s">
        <v>529</v>
      </c>
      <c r="C186" s="186" t="s">
        <v>525</v>
      </c>
      <c r="D186" s="186" t="s">
        <v>369</v>
      </c>
      <c r="E186" s="186" t="s">
        <v>539</v>
      </c>
      <c r="F186" s="186" t="s">
        <v>566</v>
      </c>
      <c r="G186" s="201">
        <f t="shared" ca="1" si="8"/>
        <v>4</v>
      </c>
      <c r="H186" s="198"/>
      <c r="I186" s="198"/>
      <c r="J186" s="198"/>
    </row>
    <row r="187" spans="1:10" x14ac:dyDescent="0.3">
      <c r="A187" s="200" t="s">
        <v>540</v>
      </c>
      <c r="B187" s="186" t="s">
        <v>528</v>
      </c>
      <c r="C187" s="186" t="s">
        <v>526</v>
      </c>
      <c r="D187" s="186" t="s">
        <v>369</v>
      </c>
      <c r="E187" s="186" t="s">
        <v>541</v>
      </c>
      <c r="F187" s="186" t="s">
        <v>567</v>
      </c>
      <c r="G187" s="201">
        <f t="shared" ca="1" si="8"/>
        <v>10</v>
      </c>
      <c r="H187" s="198"/>
      <c r="I187" s="198"/>
      <c r="J187" s="198"/>
    </row>
    <row r="188" spans="1:10" x14ac:dyDescent="0.3">
      <c r="A188" s="200" t="s">
        <v>538</v>
      </c>
      <c r="B188" s="186" t="s">
        <v>531</v>
      </c>
      <c r="C188" s="186" t="s">
        <v>527</v>
      </c>
      <c r="D188" s="186" t="s">
        <v>375</v>
      </c>
      <c r="E188" s="186" t="s">
        <v>539</v>
      </c>
      <c r="F188" s="186" t="s">
        <v>568</v>
      </c>
      <c r="G188" s="201">
        <f t="shared" ca="1" si="8"/>
        <v>11</v>
      </c>
      <c r="H188" s="198"/>
      <c r="I188" s="198"/>
      <c r="J188" s="198"/>
    </row>
    <row r="189" spans="1:10" x14ac:dyDescent="0.3">
      <c r="A189" s="200" t="s">
        <v>540</v>
      </c>
      <c r="B189" s="186" t="s">
        <v>530</v>
      </c>
      <c r="C189" s="186" t="s">
        <v>525</v>
      </c>
      <c r="D189" s="186" t="s">
        <v>375</v>
      </c>
      <c r="E189" s="186" t="s">
        <v>541</v>
      </c>
      <c r="F189" s="186" t="s">
        <v>569</v>
      </c>
      <c r="G189" s="201">
        <f t="shared" ca="1" si="8"/>
        <v>17</v>
      </c>
      <c r="H189" s="198"/>
      <c r="I189" s="198"/>
      <c r="J189" s="198"/>
    </row>
    <row r="190" spans="1:10" x14ac:dyDescent="0.3">
      <c r="A190" s="200" t="s">
        <v>538</v>
      </c>
      <c r="B190" s="186" t="s">
        <v>529</v>
      </c>
      <c r="C190" s="186" t="s">
        <v>526</v>
      </c>
      <c r="D190" s="186" t="s">
        <v>369</v>
      </c>
      <c r="E190" s="186" t="s">
        <v>539</v>
      </c>
      <c r="F190" s="186" t="s">
        <v>570</v>
      </c>
      <c r="G190" s="201">
        <f t="shared" ca="1" si="8"/>
        <v>16</v>
      </c>
      <c r="H190" s="198"/>
      <c r="I190" s="198"/>
      <c r="J190" s="198"/>
    </row>
    <row r="191" spans="1:10" x14ac:dyDescent="0.3">
      <c r="A191" s="200" t="s">
        <v>540</v>
      </c>
      <c r="B191" s="186" t="s">
        <v>528</v>
      </c>
      <c r="C191" s="186" t="s">
        <v>527</v>
      </c>
      <c r="D191" s="186" t="s">
        <v>375</v>
      </c>
      <c r="E191" s="186" t="s">
        <v>539</v>
      </c>
      <c r="F191" s="186" t="s">
        <v>571</v>
      </c>
      <c r="G191" s="201">
        <f t="shared" ca="1" si="8"/>
        <v>1</v>
      </c>
      <c r="H191" s="198"/>
      <c r="I191" s="198"/>
      <c r="J191" s="198"/>
    </row>
    <row r="192" spans="1:10" x14ac:dyDescent="0.3">
      <c r="A192" s="200" t="s">
        <v>540</v>
      </c>
      <c r="B192" s="186" t="s">
        <v>531</v>
      </c>
      <c r="C192" s="186" t="s">
        <v>525</v>
      </c>
      <c r="D192" s="186" t="s">
        <v>375</v>
      </c>
      <c r="E192" s="186" t="s">
        <v>541</v>
      </c>
      <c r="F192" s="186" t="s">
        <v>572</v>
      </c>
      <c r="G192" s="201">
        <f t="shared" ca="1" si="8"/>
        <v>9</v>
      </c>
      <c r="H192" s="198"/>
      <c r="I192" s="198"/>
      <c r="J192" s="198"/>
    </row>
    <row r="193" spans="1:10" x14ac:dyDescent="0.3">
      <c r="A193" s="200" t="s">
        <v>540</v>
      </c>
      <c r="B193" s="186" t="s">
        <v>530</v>
      </c>
      <c r="C193" s="186" t="s">
        <v>526</v>
      </c>
      <c r="D193" s="186" t="s">
        <v>369</v>
      </c>
      <c r="E193" s="186" t="s">
        <v>539</v>
      </c>
      <c r="F193" s="186" t="s">
        <v>573</v>
      </c>
      <c r="G193" s="201">
        <f t="shared" ca="1" si="8"/>
        <v>18</v>
      </c>
      <c r="H193" s="198"/>
      <c r="I193" s="198"/>
      <c r="J193" s="198"/>
    </row>
    <row r="194" spans="1:10" x14ac:dyDescent="0.3">
      <c r="A194" s="200" t="s">
        <v>538</v>
      </c>
      <c r="B194" s="186" t="s">
        <v>529</v>
      </c>
      <c r="C194" s="186" t="s">
        <v>527</v>
      </c>
      <c r="D194" s="186" t="s">
        <v>369</v>
      </c>
      <c r="E194" s="186" t="s">
        <v>541</v>
      </c>
      <c r="F194" s="186" t="s">
        <v>574</v>
      </c>
      <c r="G194" s="201">
        <f t="shared" ca="1" si="8"/>
        <v>12</v>
      </c>
      <c r="H194" s="198"/>
      <c r="I194" s="198"/>
      <c r="J194" s="198"/>
    </row>
    <row r="195" spans="1:10" x14ac:dyDescent="0.3">
      <c r="A195" s="186" t="s">
        <v>540</v>
      </c>
      <c r="B195" s="186" t="s">
        <v>528</v>
      </c>
      <c r="C195" s="186" t="s">
        <v>525</v>
      </c>
      <c r="D195" s="186" t="s">
        <v>375</v>
      </c>
      <c r="E195" s="186" t="s">
        <v>539</v>
      </c>
      <c r="F195" s="186" t="s">
        <v>575</v>
      </c>
      <c r="G195" s="201">
        <f t="shared" ca="1" si="8"/>
        <v>17</v>
      </c>
      <c r="H195" s="198"/>
      <c r="I195" s="198"/>
      <c r="J195" s="198"/>
    </row>
    <row r="196" spans="1:10" x14ac:dyDescent="0.3">
      <c r="A196" s="200" t="s">
        <v>540</v>
      </c>
      <c r="B196" s="186" t="s">
        <v>528</v>
      </c>
      <c r="C196" s="186" t="s">
        <v>527</v>
      </c>
      <c r="D196" s="186" t="s">
        <v>369</v>
      </c>
      <c r="E196" s="186" t="s">
        <v>541</v>
      </c>
      <c r="F196" s="186" t="s">
        <v>576</v>
      </c>
      <c r="G196" s="201">
        <f t="shared" ca="1" si="8"/>
        <v>3</v>
      </c>
      <c r="H196" s="202"/>
      <c r="I196" s="202"/>
      <c r="J196" s="202"/>
    </row>
    <row r="197" spans="1:10" x14ac:dyDescent="0.3">
      <c r="A197" s="200" t="s">
        <v>540</v>
      </c>
      <c r="B197" s="186" t="s">
        <v>531</v>
      </c>
      <c r="C197" s="186" t="s">
        <v>525</v>
      </c>
      <c r="D197" s="186" t="s">
        <v>369</v>
      </c>
      <c r="E197" s="186" t="s">
        <v>539</v>
      </c>
      <c r="F197" s="186" t="s">
        <v>577</v>
      </c>
      <c r="G197" s="201">
        <f t="shared" ca="1" si="8"/>
        <v>8</v>
      </c>
      <c r="H197" s="202"/>
      <c r="I197" s="202"/>
      <c r="J197" s="202"/>
    </row>
    <row r="198" spans="1:10" x14ac:dyDescent="0.3">
      <c r="A198" s="200" t="s">
        <v>538</v>
      </c>
      <c r="B198" s="186" t="s">
        <v>530</v>
      </c>
      <c r="C198" s="186" t="s">
        <v>526</v>
      </c>
      <c r="D198" s="186" t="s">
        <v>375</v>
      </c>
      <c r="E198" s="186" t="s">
        <v>541</v>
      </c>
      <c r="F198" s="186" t="s">
        <v>578</v>
      </c>
      <c r="G198" s="201">
        <f t="shared" ca="1" si="8"/>
        <v>14</v>
      </c>
      <c r="H198" s="202"/>
      <c r="I198" s="202"/>
      <c r="J198" s="202"/>
    </row>
    <row r="199" spans="1:10" x14ac:dyDescent="0.3">
      <c r="A199" s="200" t="s">
        <v>538</v>
      </c>
      <c r="B199" s="186" t="s">
        <v>529</v>
      </c>
      <c r="C199" s="186" t="s">
        <v>527</v>
      </c>
      <c r="D199" s="186" t="s">
        <v>375</v>
      </c>
      <c r="E199" s="186" t="s">
        <v>539</v>
      </c>
      <c r="F199" s="186" t="s">
        <v>579</v>
      </c>
      <c r="G199" s="201">
        <f t="shared" ca="1" si="8"/>
        <v>11</v>
      </c>
      <c r="H199" s="202"/>
      <c r="I199" s="202"/>
      <c r="J199" s="202"/>
    </row>
    <row r="200" spans="1:10" x14ac:dyDescent="0.3">
      <c r="A200" s="200" t="s">
        <v>540</v>
      </c>
      <c r="B200" s="186" t="s">
        <v>528</v>
      </c>
      <c r="C200" s="186" t="s">
        <v>525</v>
      </c>
      <c r="D200" s="186" t="s">
        <v>369</v>
      </c>
      <c r="E200" s="186" t="s">
        <v>539</v>
      </c>
      <c r="F200" s="186" t="s">
        <v>580</v>
      </c>
      <c r="G200" s="201">
        <f t="shared" ca="1" si="8"/>
        <v>10</v>
      </c>
      <c r="H200" s="202"/>
      <c r="I200" s="202"/>
      <c r="J200" s="202"/>
    </row>
    <row r="201" spans="1:10" x14ac:dyDescent="0.3">
      <c r="A201" s="200" t="s">
        <v>540</v>
      </c>
      <c r="B201" s="186" t="s">
        <v>531</v>
      </c>
      <c r="C201" s="186" t="s">
        <v>526</v>
      </c>
      <c r="D201" s="186" t="s">
        <v>375</v>
      </c>
      <c r="E201" s="186" t="s">
        <v>541</v>
      </c>
      <c r="F201" s="186" t="s">
        <v>581</v>
      </c>
      <c r="G201" s="201">
        <f t="shared" ca="1" si="8"/>
        <v>1</v>
      </c>
      <c r="H201" s="202"/>
      <c r="I201" s="202"/>
      <c r="J201" s="202"/>
    </row>
    <row r="202" spans="1:10" x14ac:dyDescent="0.3">
      <c r="A202" s="200" t="s">
        <v>538</v>
      </c>
      <c r="B202" s="186" t="s">
        <v>530</v>
      </c>
      <c r="C202" s="186" t="s">
        <v>527</v>
      </c>
      <c r="D202" s="186" t="s">
        <v>375</v>
      </c>
      <c r="E202" s="186" t="s">
        <v>539</v>
      </c>
      <c r="F202" s="186" t="s">
        <v>582</v>
      </c>
      <c r="G202" s="201">
        <f t="shared" ca="1" si="8"/>
        <v>7</v>
      </c>
      <c r="H202" s="202"/>
      <c r="I202" s="202"/>
      <c r="J202" s="202"/>
    </row>
    <row r="203" spans="1:10" x14ac:dyDescent="0.3">
      <c r="A203" s="200" t="s">
        <v>540</v>
      </c>
      <c r="B203" s="186" t="s">
        <v>529</v>
      </c>
      <c r="C203" s="186" t="s">
        <v>525</v>
      </c>
      <c r="D203" s="186" t="s">
        <v>369</v>
      </c>
      <c r="E203" s="186" t="s">
        <v>541</v>
      </c>
      <c r="F203" s="186" t="s">
        <v>583</v>
      </c>
      <c r="G203" s="201">
        <f t="shared" ca="1" si="8"/>
        <v>10</v>
      </c>
      <c r="H203" s="202"/>
      <c r="I203" s="202"/>
      <c r="J203" s="202"/>
    </row>
    <row r="204" spans="1:10" x14ac:dyDescent="0.3">
      <c r="A204" s="200" t="s">
        <v>540</v>
      </c>
      <c r="B204" s="186" t="s">
        <v>528</v>
      </c>
      <c r="C204" s="186" t="s">
        <v>526</v>
      </c>
      <c r="D204" s="186" t="s">
        <v>369</v>
      </c>
      <c r="E204" s="186" t="s">
        <v>539</v>
      </c>
      <c r="F204" s="186" t="s">
        <v>584</v>
      </c>
      <c r="G204" s="201">
        <f t="shared" ca="1" si="8"/>
        <v>4</v>
      </c>
      <c r="H204" s="202"/>
      <c r="I204" s="202"/>
      <c r="J204" s="202"/>
    </row>
    <row r="205" spans="1:10" x14ac:dyDescent="0.3">
      <c r="A205" s="200" t="s">
        <v>538</v>
      </c>
      <c r="B205" s="186" t="s">
        <v>531</v>
      </c>
      <c r="C205" s="186" t="s">
        <v>527</v>
      </c>
      <c r="D205" s="186" t="s">
        <v>375</v>
      </c>
      <c r="E205" s="186" t="s">
        <v>539</v>
      </c>
      <c r="F205" s="186" t="s">
        <v>585</v>
      </c>
      <c r="G205" s="201">
        <f t="shared" ca="1" si="8"/>
        <v>12</v>
      </c>
      <c r="H205" s="202"/>
      <c r="I205" s="202"/>
      <c r="J205" s="202"/>
    </row>
    <row r="206" spans="1:10" x14ac:dyDescent="0.3">
      <c r="A206" s="200" t="s">
        <v>538</v>
      </c>
      <c r="B206" s="186" t="s">
        <v>530</v>
      </c>
      <c r="C206" s="186" t="s">
        <v>525</v>
      </c>
      <c r="D206" s="186" t="s">
        <v>375</v>
      </c>
      <c r="E206" s="186" t="s">
        <v>541</v>
      </c>
      <c r="F206" s="186" t="s">
        <v>586</v>
      </c>
      <c r="G206" s="201">
        <f t="shared" ca="1" si="8"/>
        <v>8</v>
      </c>
      <c r="H206" s="202"/>
      <c r="I206" s="202"/>
      <c r="J206" s="202"/>
    </row>
    <row r="207" spans="1:10" x14ac:dyDescent="0.3">
      <c r="A207" s="200" t="s">
        <v>538</v>
      </c>
      <c r="B207" s="186" t="s">
        <v>529</v>
      </c>
      <c r="C207" s="186" t="s">
        <v>526</v>
      </c>
      <c r="D207" s="186" t="s">
        <v>375</v>
      </c>
      <c r="E207" s="186" t="s">
        <v>539</v>
      </c>
      <c r="F207" s="186" t="s">
        <v>587</v>
      </c>
      <c r="G207" s="201">
        <f t="shared" ca="1" si="8"/>
        <v>1</v>
      </c>
      <c r="H207" s="202"/>
      <c r="I207" s="202"/>
      <c r="J207" s="202"/>
    </row>
    <row r="208" spans="1:10" x14ac:dyDescent="0.3">
      <c r="A208" s="200" t="s">
        <v>540</v>
      </c>
      <c r="B208" s="186" t="s">
        <v>528</v>
      </c>
      <c r="C208" s="186" t="s">
        <v>527</v>
      </c>
      <c r="D208" s="186" t="s">
        <v>369</v>
      </c>
      <c r="E208" s="186" t="s">
        <v>541</v>
      </c>
      <c r="F208" s="186" t="s">
        <v>588</v>
      </c>
      <c r="G208" s="201">
        <f t="shared" ca="1" si="8"/>
        <v>5</v>
      </c>
      <c r="H208" s="202"/>
      <c r="I208" s="202"/>
      <c r="J208" s="202"/>
    </row>
    <row r="209" spans="1:10" x14ac:dyDescent="0.3">
      <c r="A209" s="200" t="s">
        <v>538</v>
      </c>
      <c r="B209" s="186" t="s">
        <v>531</v>
      </c>
      <c r="C209" s="186" t="s">
        <v>526</v>
      </c>
      <c r="D209" s="186" t="s">
        <v>375</v>
      </c>
      <c r="E209" s="186" t="s">
        <v>539</v>
      </c>
      <c r="F209" s="186" t="s">
        <v>589</v>
      </c>
      <c r="G209" s="201">
        <f t="shared" ca="1" si="8"/>
        <v>1</v>
      </c>
      <c r="H209" s="202"/>
      <c r="I209" s="202"/>
      <c r="J209" s="202"/>
    </row>
    <row r="210" spans="1:10" x14ac:dyDescent="0.3">
      <c r="A210" s="200" t="s">
        <v>538</v>
      </c>
      <c r="B210" s="186" t="s">
        <v>530</v>
      </c>
      <c r="C210" s="186" t="s">
        <v>526</v>
      </c>
      <c r="D210" s="186" t="s">
        <v>369</v>
      </c>
      <c r="E210" s="186" t="s">
        <v>539</v>
      </c>
      <c r="F210" s="186" t="s">
        <v>590</v>
      </c>
      <c r="G210" s="201">
        <f t="shared" ca="1" si="8"/>
        <v>11</v>
      </c>
      <c r="H210" s="202"/>
      <c r="I210" s="202"/>
      <c r="J210" s="202"/>
    </row>
    <row r="211" spans="1:10" x14ac:dyDescent="0.3">
      <c r="A211" s="200" t="s">
        <v>540</v>
      </c>
      <c r="B211" s="186" t="s">
        <v>529</v>
      </c>
      <c r="C211" s="186" t="s">
        <v>525</v>
      </c>
      <c r="D211" s="186" t="s">
        <v>375</v>
      </c>
      <c r="E211" s="186" t="s">
        <v>541</v>
      </c>
      <c r="F211" s="186" t="s">
        <v>591</v>
      </c>
      <c r="G211" s="201">
        <f t="shared" ca="1" si="8"/>
        <v>2</v>
      </c>
      <c r="H211" s="202"/>
      <c r="I211" s="202"/>
      <c r="J211" s="202"/>
    </row>
    <row r="212" spans="1:10" x14ac:dyDescent="0.3">
      <c r="A212" s="200" t="s">
        <v>538</v>
      </c>
      <c r="B212" s="186" t="s">
        <v>530</v>
      </c>
      <c r="C212" s="186" t="s">
        <v>525</v>
      </c>
      <c r="D212" s="186" t="s">
        <v>375</v>
      </c>
      <c r="E212" s="186" t="s">
        <v>539</v>
      </c>
      <c r="F212" s="186" t="s">
        <v>592</v>
      </c>
      <c r="G212" s="201">
        <f t="shared" ca="1" si="8"/>
        <v>3</v>
      </c>
      <c r="H212" s="202"/>
      <c r="I212" s="202"/>
      <c r="J212" s="202"/>
    </row>
    <row r="213" spans="1:10" x14ac:dyDescent="0.3">
      <c r="A213" s="200" t="s">
        <v>538</v>
      </c>
      <c r="B213" s="186" t="s">
        <v>529</v>
      </c>
      <c r="C213" s="186" t="s">
        <v>527</v>
      </c>
      <c r="D213" s="186" t="s">
        <v>375</v>
      </c>
      <c r="E213" s="186" t="s">
        <v>541</v>
      </c>
      <c r="F213" s="186" t="s">
        <v>593</v>
      </c>
      <c r="G213" s="201">
        <f t="shared" ca="1" si="8"/>
        <v>19</v>
      </c>
      <c r="H213" s="202"/>
      <c r="I213" s="202"/>
      <c r="J213" s="202"/>
    </row>
    <row r="214" spans="1:10" x14ac:dyDescent="0.3">
      <c r="A214" s="200" t="s">
        <v>538</v>
      </c>
      <c r="B214" s="186" t="s">
        <v>528</v>
      </c>
      <c r="C214" s="186" t="s">
        <v>527</v>
      </c>
      <c r="D214" s="186" t="s">
        <v>369</v>
      </c>
      <c r="E214" s="186" t="s">
        <v>539</v>
      </c>
      <c r="F214" s="186" t="s">
        <v>594</v>
      </c>
      <c r="G214" s="201">
        <f t="shared" ref="G214:G249" ca="1" si="9">RANDBETWEEN(1,20)</f>
        <v>5</v>
      </c>
      <c r="H214" s="202"/>
      <c r="I214" s="202"/>
      <c r="J214" s="202"/>
    </row>
    <row r="215" spans="1:10" x14ac:dyDescent="0.3">
      <c r="A215" s="200" t="s">
        <v>540</v>
      </c>
      <c r="B215" s="186" t="s">
        <v>531</v>
      </c>
      <c r="C215" s="186" t="s">
        <v>526</v>
      </c>
      <c r="D215" s="186" t="s">
        <v>375</v>
      </c>
      <c r="E215" s="186" t="s">
        <v>539</v>
      </c>
      <c r="F215" s="186" t="s">
        <v>595</v>
      </c>
      <c r="G215" s="201">
        <f t="shared" ca="1" si="9"/>
        <v>9</v>
      </c>
      <c r="H215" s="202"/>
      <c r="I215" s="202"/>
      <c r="J215" s="202"/>
    </row>
    <row r="216" spans="1:10" x14ac:dyDescent="0.3">
      <c r="A216" s="200" t="s">
        <v>538</v>
      </c>
      <c r="B216" s="186" t="s">
        <v>530</v>
      </c>
      <c r="C216" s="186" t="s">
        <v>526</v>
      </c>
      <c r="D216" s="186" t="s">
        <v>375</v>
      </c>
      <c r="E216" s="186" t="s">
        <v>541</v>
      </c>
      <c r="F216" s="186" t="s">
        <v>596</v>
      </c>
      <c r="G216" s="201">
        <f t="shared" ca="1" si="9"/>
        <v>16</v>
      </c>
      <c r="H216" s="202"/>
      <c r="I216" s="202"/>
      <c r="J216" s="202"/>
    </row>
    <row r="217" spans="1:10" x14ac:dyDescent="0.3">
      <c r="A217" s="200" t="s">
        <v>540</v>
      </c>
      <c r="B217" s="186" t="s">
        <v>529</v>
      </c>
      <c r="C217" s="186" t="s">
        <v>525</v>
      </c>
      <c r="D217" s="186" t="s">
        <v>369</v>
      </c>
      <c r="E217" s="186" t="s">
        <v>539</v>
      </c>
      <c r="F217" s="186" t="s">
        <v>597</v>
      </c>
      <c r="G217" s="201">
        <f t="shared" ca="1" si="9"/>
        <v>12</v>
      </c>
      <c r="H217" s="202"/>
      <c r="I217" s="202"/>
      <c r="J217" s="202"/>
    </row>
    <row r="218" spans="1:10" x14ac:dyDescent="0.3">
      <c r="A218" s="200" t="s">
        <v>540</v>
      </c>
      <c r="B218" s="186" t="s">
        <v>528</v>
      </c>
      <c r="C218" s="186" t="s">
        <v>527</v>
      </c>
      <c r="D218" s="186" t="s">
        <v>369</v>
      </c>
      <c r="E218" s="186" t="s">
        <v>541</v>
      </c>
      <c r="F218" s="186" t="s">
        <v>598</v>
      </c>
      <c r="G218" s="201">
        <f t="shared" ca="1" si="9"/>
        <v>9</v>
      </c>
      <c r="H218" s="202"/>
      <c r="I218" s="202"/>
      <c r="J218" s="202"/>
    </row>
    <row r="219" spans="1:10" x14ac:dyDescent="0.3">
      <c r="A219" s="200" t="s">
        <v>538</v>
      </c>
      <c r="B219" s="186" t="s">
        <v>531</v>
      </c>
      <c r="C219" s="186" t="s">
        <v>525</v>
      </c>
      <c r="D219" s="186" t="s">
        <v>375</v>
      </c>
      <c r="E219" s="186" t="s">
        <v>539</v>
      </c>
      <c r="F219" s="186" t="s">
        <v>599</v>
      </c>
      <c r="G219" s="201">
        <f t="shared" ca="1" si="9"/>
        <v>16</v>
      </c>
      <c r="H219" s="202"/>
      <c r="I219" s="202"/>
      <c r="J219" s="202"/>
    </row>
    <row r="220" spans="1:10" x14ac:dyDescent="0.3">
      <c r="A220" s="200" t="s">
        <v>538</v>
      </c>
      <c r="B220" s="186" t="s">
        <v>530</v>
      </c>
      <c r="C220" s="186" t="s">
        <v>526</v>
      </c>
      <c r="D220" s="186" t="s">
        <v>369</v>
      </c>
      <c r="E220" s="186" t="s">
        <v>539</v>
      </c>
      <c r="F220" s="186" t="s">
        <v>600</v>
      </c>
      <c r="G220" s="201">
        <f t="shared" ca="1" si="9"/>
        <v>18</v>
      </c>
      <c r="H220" s="202"/>
      <c r="I220" s="202"/>
      <c r="J220" s="202"/>
    </row>
    <row r="221" spans="1:10" x14ac:dyDescent="0.3">
      <c r="A221" s="200" t="s">
        <v>540</v>
      </c>
      <c r="B221" s="186" t="s">
        <v>529</v>
      </c>
      <c r="C221" s="186" t="s">
        <v>526</v>
      </c>
      <c r="D221" s="186" t="s">
        <v>369</v>
      </c>
      <c r="E221" s="186" t="s">
        <v>541</v>
      </c>
      <c r="F221" s="186" t="s">
        <v>601</v>
      </c>
      <c r="G221" s="201">
        <f t="shared" ca="1" si="9"/>
        <v>4</v>
      </c>
      <c r="H221" s="202"/>
      <c r="I221" s="202"/>
      <c r="J221" s="202"/>
    </row>
    <row r="222" spans="1:10" x14ac:dyDescent="0.3">
      <c r="A222" s="200" t="s">
        <v>538</v>
      </c>
      <c r="B222" s="186" t="s">
        <v>528</v>
      </c>
      <c r="C222" s="186" t="s">
        <v>525</v>
      </c>
      <c r="D222" s="186" t="s">
        <v>369</v>
      </c>
      <c r="E222" s="186" t="s">
        <v>541</v>
      </c>
      <c r="F222" s="186" t="s">
        <v>602</v>
      </c>
      <c r="G222" s="201">
        <f t="shared" ca="1" si="9"/>
        <v>12</v>
      </c>
      <c r="H222" s="202"/>
      <c r="I222" s="202"/>
      <c r="J222" s="202"/>
    </row>
    <row r="223" spans="1:10" x14ac:dyDescent="0.3">
      <c r="A223" s="200" t="s">
        <v>540</v>
      </c>
      <c r="B223" s="186" t="s">
        <v>528</v>
      </c>
      <c r="C223" s="186" t="s">
        <v>526</v>
      </c>
      <c r="D223" s="186" t="s">
        <v>375</v>
      </c>
      <c r="E223" s="186" t="s">
        <v>541</v>
      </c>
      <c r="F223" s="186" t="s">
        <v>603</v>
      </c>
      <c r="G223" s="201">
        <f t="shared" ca="1" si="9"/>
        <v>4</v>
      </c>
      <c r="H223" s="202"/>
      <c r="I223" s="202"/>
      <c r="J223" s="202"/>
    </row>
    <row r="224" spans="1:10" x14ac:dyDescent="0.3">
      <c r="A224" s="200" t="s">
        <v>538</v>
      </c>
      <c r="B224" s="186" t="s">
        <v>531</v>
      </c>
      <c r="C224" s="186" t="s">
        <v>525</v>
      </c>
      <c r="D224" s="186" t="s">
        <v>375</v>
      </c>
      <c r="E224" s="186" t="s">
        <v>541</v>
      </c>
      <c r="F224" s="186" t="s">
        <v>604</v>
      </c>
      <c r="G224" s="201">
        <f t="shared" ca="1" si="9"/>
        <v>11</v>
      </c>
      <c r="H224" s="202"/>
      <c r="I224" s="202"/>
      <c r="J224" s="202"/>
    </row>
    <row r="225" spans="1:10" x14ac:dyDescent="0.3">
      <c r="A225" s="200" t="s">
        <v>538</v>
      </c>
      <c r="B225" s="186" t="s">
        <v>530</v>
      </c>
      <c r="C225" s="186" t="s">
        <v>527</v>
      </c>
      <c r="D225" s="186" t="s">
        <v>375</v>
      </c>
      <c r="E225" s="186" t="s">
        <v>539</v>
      </c>
      <c r="F225" s="186" t="s">
        <v>605</v>
      </c>
      <c r="G225" s="201">
        <f t="shared" ca="1" si="9"/>
        <v>14</v>
      </c>
      <c r="H225" s="202"/>
      <c r="I225" s="202"/>
      <c r="J225" s="202"/>
    </row>
    <row r="226" spans="1:10" x14ac:dyDescent="0.3">
      <c r="A226" s="200" t="s">
        <v>538</v>
      </c>
      <c r="B226" s="186" t="s">
        <v>529</v>
      </c>
      <c r="C226" s="186" t="s">
        <v>527</v>
      </c>
      <c r="D226" s="186" t="s">
        <v>375</v>
      </c>
      <c r="E226" s="186" t="s">
        <v>539</v>
      </c>
      <c r="F226" s="186" t="s">
        <v>606</v>
      </c>
      <c r="G226" s="201">
        <f t="shared" ca="1" si="9"/>
        <v>19</v>
      </c>
      <c r="H226" s="202"/>
      <c r="I226" s="202"/>
      <c r="J226" s="202"/>
    </row>
    <row r="227" spans="1:10" x14ac:dyDescent="0.3">
      <c r="A227" s="200" t="s">
        <v>540</v>
      </c>
      <c r="B227" s="186" t="s">
        <v>528</v>
      </c>
      <c r="C227" s="186" t="s">
        <v>526</v>
      </c>
      <c r="D227" s="186" t="s">
        <v>369</v>
      </c>
      <c r="E227" s="186" t="s">
        <v>541</v>
      </c>
      <c r="F227" s="186" t="s">
        <v>607</v>
      </c>
      <c r="G227" s="201">
        <f t="shared" ca="1" si="9"/>
        <v>7</v>
      </c>
      <c r="H227" s="202"/>
      <c r="I227" s="202"/>
      <c r="J227" s="202"/>
    </row>
    <row r="228" spans="1:10" x14ac:dyDescent="0.3">
      <c r="A228" s="200" t="s">
        <v>538</v>
      </c>
      <c r="B228" s="186" t="s">
        <v>531</v>
      </c>
      <c r="C228" s="186" t="s">
        <v>525</v>
      </c>
      <c r="D228" s="186" t="s">
        <v>369</v>
      </c>
      <c r="E228" s="186" t="s">
        <v>539</v>
      </c>
      <c r="F228" s="186" t="s">
        <v>608</v>
      </c>
      <c r="G228" s="201">
        <f t="shared" ca="1" si="9"/>
        <v>2</v>
      </c>
      <c r="H228" s="202"/>
      <c r="I228" s="202"/>
      <c r="J228" s="202"/>
    </row>
    <row r="229" spans="1:10" x14ac:dyDescent="0.3">
      <c r="A229" s="200" t="s">
        <v>538</v>
      </c>
      <c r="B229" s="186" t="s">
        <v>530</v>
      </c>
      <c r="C229" s="186" t="s">
        <v>525</v>
      </c>
      <c r="D229" s="186" t="s">
        <v>375</v>
      </c>
      <c r="E229" s="186" t="s">
        <v>539</v>
      </c>
      <c r="F229" s="186" t="s">
        <v>609</v>
      </c>
      <c r="G229" s="201">
        <f t="shared" ca="1" si="9"/>
        <v>5</v>
      </c>
      <c r="H229" s="202"/>
      <c r="I229" s="202"/>
      <c r="J229" s="202"/>
    </row>
    <row r="230" spans="1:10" x14ac:dyDescent="0.3">
      <c r="A230" s="200" t="s">
        <v>538</v>
      </c>
      <c r="B230" s="186" t="s">
        <v>529</v>
      </c>
      <c r="C230" s="186" t="s">
        <v>525</v>
      </c>
      <c r="D230" s="186" t="s">
        <v>369</v>
      </c>
      <c r="E230" s="186" t="s">
        <v>541</v>
      </c>
      <c r="F230" s="186" t="s">
        <v>610</v>
      </c>
      <c r="G230" s="201">
        <f t="shared" ca="1" si="9"/>
        <v>11</v>
      </c>
      <c r="H230" s="202"/>
      <c r="I230" s="202"/>
      <c r="J230" s="202"/>
    </row>
    <row r="231" spans="1:10" x14ac:dyDescent="0.3">
      <c r="A231" s="200" t="s">
        <v>540</v>
      </c>
      <c r="B231" s="186" t="s">
        <v>529</v>
      </c>
      <c r="C231" s="186" t="s">
        <v>526</v>
      </c>
      <c r="D231" s="186" t="s">
        <v>369</v>
      </c>
      <c r="E231" s="186" t="s">
        <v>539</v>
      </c>
      <c r="F231" s="186" t="s">
        <v>611</v>
      </c>
      <c r="G231" s="201">
        <f t="shared" ca="1" si="9"/>
        <v>5</v>
      </c>
      <c r="H231" s="202"/>
      <c r="I231" s="202"/>
      <c r="J231" s="202"/>
    </row>
    <row r="232" spans="1:10" x14ac:dyDescent="0.3">
      <c r="A232" s="200" t="s">
        <v>540</v>
      </c>
      <c r="B232" s="186" t="s">
        <v>528</v>
      </c>
      <c r="C232" s="186" t="s">
        <v>525</v>
      </c>
      <c r="D232" s="186" t="s">
        <v>375</v>
      </c>
      <c r="E232" s="186" t="s">
        <v>541</v>
      </c>
      <c r="F232" s="186" t="s">
        <v>612</v>
      </c>
      <c r="G232" s="201">
        <f t="shared" ca="1" si="9"/>
        <v>16</v>
      </c>
      <c r="H232" s="202"/>
      <c r="I232" s="202"/>
      <c r="J232" s="202"/>
    </row>
    <row r="233" spans="1:10" x14ac:dyDescent="0.3">
      <c r="A233" s="200" t="s">
        <v>540</v>
      </c>
      <c r="B233" s="186" t="s">
        <v>531</v>
      </c>
      <c r="C233" s="186" t="s">
        <v>526</v>
      </c>
      <c r="D233" s="186" t="s">
        <v>375</v>
      </c>
      <c r="E233" s="186" t="s">
        <v>539</v>
      </c>
      <c r="F233" s="186" t="s">
        <v>613</v>
      </c>
      <c r="G233" s="201">
        <f t="shared" ca="1" si="9"/>
        <v>14</v>
      </c>
      <c r="H233" s="202"/>
      <c r="I233" s="202"/>
      <c r="J233" s="202"/>
    </row>
    <row r="234" spans="1:10" x14ac:dyDescent="0.3">
      <c r="A234" s="200" t="s">
        <v>538</v>
      </c>
      <c r="B234" s="186" t="s">
        <v>530</v>
      </c>
      <c r="C234" s="186" t="s">
        <v>526</v>
      </c>
      <c r="D234" s="186" t="s">
        <v>375</v>
      </c>
      <c r="E234" s="186" t="s">
        <v>539</v>
      </c>
      <c r="F234" s="186" t="s">
        <v>614</v>
      </c>
      <c r="G234" s="201">
        <f t="shared" ca="1" si="9"/>
        <v>15</v>
      </c>
      <c r="H234" s="202"/>
      <c r="I234" s="202"/>
      <c r="J234" s="202"/>
    </row>
    <row r="235" spans="1:10" x14ac:dyDescent="0.3">
      <c r="A235" s="200" t="s">
        <v>538</v>
      </c>
      <c r="B235" s="186" t="s">
        <v>529</v>
      </c>
      <c r="C235" s="186" t="s">
        <v>525</v>
      </c>
      <c r="D235" s="186" t="s">
        <v>369</v>
      </c>
      <c r="E235" s="186" t="s">
        <v>539</v>
      </c>
      <c r="F235" s="186" t="s">
        <v>615</v>
      </c>
      <c r="G235" s="201">
        <f t="shared" ca="1" si="9"/>
        <v>20</v>
      </c>
      <c r="H235" s="202"/>
      <c r="I235" s="202"/>
      <c r="J235" s="202"/>
    </row>
    <row r="236" spans="1:10" x14ac:dyDescent="0.3">
      <c r="A236" s="200" t="s">
        <v>538</v>
      </c>
      <c r="B236" s="186" t="s">
        <v>528</v>
      </c>
      <c r="C236" s="186" t="s">
        <v>527</v>
      </c>
      <c r="D236" s="186" t="s">
        <v>369</v>
      </c>
      <c r="E236" s="186" t="s">
        <v>541</v>
      </c>
      <c r="F236" s="186" t="s">
        <v>616</v>
      </c>
      <c r="G236" s="201">
        <f t="shared" ca="1" si="9"/>
        <v>7</v>
      </c>
      <c r="H236" s="202"/>
      <c r="I236" s="202"/>
      <c r="J236" s="202"/>
    </row>
    <row r="237" spans="1:10" x14ac:dyDescent="0.3">
      <c r="A237" s="200" t="s">
        <v>540</v>
      </c>
      <c r="B237" s="186" t="s">
        <v>528</v>
      </c>
      <c r="C237" s="186" t="s">
        <v>527</v>
      </c>
      <c r="D237" s="186" t="s">
        <v>375</v>
      </c>
      <c r="E237" s="186" t="s">
        <v>539</v>
      </c>
      <c r="F237" s="186" t="s">
        <v>617</v>
      </c>
      <c r="G237" s="201">
        <f t="shared" ca="1" si="9"/>
        <v>14</v>
      </c>
      <c r="H237" s="202"/>
      <c r="I237" s="202"/>
      <c r="J237" s="202"/>
    </row>
    <row r="238" spans="1:10" x14ac:dyDescent="0.3">
      <c r="A238" s="200" t="s">
        <v>538</v>
      </c>
      <c r="B238" s="186" t="s">
        <v>528</v>
      </c>
      <c r="C238" s="186" t="s">
        <v>526</v>
      </c>
      <c r="D238" s="186" t="s">
        <v>375</v>
      </c>
      <c r="E238" s="186" t="s">
        <v>541</v>
      </c>
      <c r="F238" s="186" t="s">
        <v>618</v>
      </c>
      <c r="G238" s="201">
        <f t="shared" ca="1" si="9"/>
        <v>6</v>
      </c>
      <c r="H238" s="202"/>
      <c r="I238" s="202"/>
      <c r="J238" s="202"/>
    </row>
    <row r="239" spans="1:10" x14ac:dyDescent="0.3">
      <c r="A239" s="200" t="s">
        <v>538</v>
      </c>
      <c r="B239" s="186" t="s">
        <v>531</v>
      </c>
      <c r="C239" s="186" t="s">
        <v>526</v>
      </c>
      <c r="D239" s="186" t="s">
        <v>375</v>
      </c>
      <c r="E239" s="186" t="s">
        <v>541</v>
      </c>
      <c r="F239" s="186" t="s">
        <v>619</v>
      </c>
      <c r="G239" s="201">
        <f t="shared" ca="1" si="9"/>
        <v>16</v>
      </c>
      <c r="H239" s="202"/>
      <c r="I239" s="202"/>
      <c r="J239" s="202"/>
    </row>
    <row r="240" spans="1:10" x14ac:dyDescent="0.3">
      <c r="A240" s="200" t="s">
        <v>538</v>
      </c>
      <c r="B240" s="186" t="s">
        <v>530</v>
      </c>
      <c r="C240" s="186" t="s">
        <v>525</v>
      </c>
      <c r="D240" s="186" t="s">
        <v>369</v>
      </c>
      <c r="E240" s="186" t="s">
        <v>541</v>
      </c>
      <c r="F240" s="186" t="s">
        <v>620</v>
      </c>
      <c r="G240" s="201">
        <f t="shared" ca="1" si="9"/>
        <v>11</v>
      </c>
      <c r="H240" s="202"/>
      <c r="I240" s="202"/>
      <c r="J240" s="202"/>
    </row>
    <row r="241" spans="1:10" x14ac:dyDescent="0.3">
      <c r="A241" s="200" t="s">
        <v>538</v>
      </c>
      <c r="B241" s="186" t="s">
        <v>529</v>
      </c>
      <c r="C241" s="186" t="s">
        <v>525</v>
      </c>
      <c r="D241" s="186" t="s">
        <v>369</v>
      </c>
      <c r="E241" s="186" t="s">
        <v>539</v>
      </c>
      <c r="F241" s="186" t="s">
        <v>621</v>
      </c>
      <c r="G241" s="201">
        <f t="shared" ca="1" si="9"/>
        <v>4</v>
      </c>
      <c r="H241" s="202"/>
      <c r="I241" s="202"/>
      <c r="J241" s="202"/>
    </row>
    <row r="242" spans="1:10" x14ac:dyDescent="0.3">
      <c r="A242" s="200" t="s">
        <v>538</v>
      </c>
      <c r="B242" s="186" t="s">
        <v>528</v>
      </c>
      <c r="C242" s="186" t="s">
        <v>526</v>
      </c>
      <c r="D242" s="186" t="s">
        <v>369</v>
      </c>
      <c r="E242" s="186" t="s">
        <v>539</v>
      </c>
      <c r="F242" s="186" t="s">
        <v>622</v>
      </c>
      <c r="G242" s="201">
        <f t="shared" ca="1" si="9"/>
        <v>1</v>
      </c>
      <c r="H242" s="202"/>
      <c r="I242" s="202"/>
      <c r="J242" s="202"/>
    </row>
    <row r="243" spans="1:10" x14ac:dyDescent="0.3">
      <c r="A243" s="200" t="s">
        <v>540</v>
      </c>
      <c r="B243" s="186" t="s">
        <v>531</v>
      </c>
      <c r="C243" s="186" t="s">
        <v>526</v>
      </c>
      <c r="D243" s="186" t="s">
        <v>375</v>
      </c>
      <c r="E243" s="186" t="s">
        <v>541</v>
      </c>
      <c r="F243" s="186" t="s">
        <v>623</v>
      </c>
      <c r="G243" s="201">
        <f t="shared" ca="1" si="9"/>
        <v>6</v>
      </c>
      <c r="H243" s="202"/>
      <c r="I243" s="202"/>
      <c r="J243" s="202"/>
    </row>
    <row r="244" spans="1:10" x14ac:dyDescent="0.3">
      <c r="A244" s="200" t="s">
        <v>540</v>
      </c>
      <c r="B244" s="186" t="s">
        <v>530</v>
      </c>
      <c r="C244" s="186" t="s">
        <v>525</v>
      </c>
      <c r="D244" s="186" t="s">
        <v>369</v>
      </c>
      <c r="E244" s="186" t="s">
        <v>541</v>
      </c>
      <c r="F244" s="186" t="s">
        <v>624</v>
      </c>
      <c r="G244" s="201">
        <f t="shared" ca="1" si="9"/>
        <v>20</v>
      </c>
      <c r="H244" s="202"/>
      <c r="I244" s="202"/>
      <c r="J244" s="202"/>
    </row>
    <row r="245" spans="1:10" x14ac:dyDescent="0.3">
      <c r="A245" s="200" t="s">
        <v>540</v>
      </c>
      <c r="B245" s="186" t="s">
        <v>529</v>
      </c>
      <c r="C245" s="186" t="s">
        <v>525</v>
      </c>
      <c r="D245" s="186" t="s">
        <v>375</v>
      </c>
      <c r="E245" s="186" t="s">
        <v>541</v>
      </c>
      <c r="F245" s="186" t="s">
        <v>625</v>
      </c>
      <c r="G245" s="201">
        <f t="shared" ca="1" si="9"/>
        <v>17</v>
      </c>
      <c r="H245" s="202"/>
      <c r="I245" s="202"/>
      <c r="J245" s="202"/>
    </row>
    <row r="246" spans="1:10" x14ac:dyDescent="0.3">
      <c r="A246" s="200" t="s">
        <v>538</v>
      </c>
      <c r="B246" s="186" t="s">
        <v>528</v>
      </c>
      <c r="C246" s="186" t="s">
        <v>527</v>
      </c>
      <c r="D246" s="186" t="s">
        <v>369</v>
      </c>
      <c r="E246" s="186" t="s">
        <v>541</v>
      </c>
      <c r="F246" s="186" t="s">
        <v>626</v>
      </c>
      <c r="G246" s="201">
        <f t="shared" ca="1" si="9"/>
        <v>5</v>
      </c>
      <c r="H246" s="202"/>
      <c r="I246" s="202"/>
      <c r="J246" s="202"/>
    </row>
    <row r="247" spans="1:10" x14ac:dyDescent="0.3">
      <c r="A247" s="200" t="s">
        <v>538</v>
      </c>
      <c r="B247" s="186" t="s">
        <v>531</v>
      </c>
      <c r="C247" s="186" t="s">
        <v>527</v>
      </c>
      <c r="D247" s="186" t="s">
        <v>369</v>
      </c>
      <c r="E247" s="186" t="s">
        <v>539</v>
      </c>
      <c r="F247" s="186" t="s">
        <v>627</v>
      </c>
      <c r="G247" s="201">
        <f t="shared" ca="1" si="9"/>
        <v>12</v>
      </c>
      <c r="H247" s="202"/>
      <c r="I247" s="202"/>
      <c r="J247" s="202"/>
    </row>
    <row r="248" spans="1:10" x14ac:dyDescent="0.3">
      <c r="A248" s="200" t="s">
        <v>538</v>
      </c>
      <c r="B248" s="186" t="s">
        <v>530</v>
      </c>
      <c r="C248" s="186" t="s">
        <v>526</v>
      </c>
      <c r="D248" s="186" t="s">
        <v>375</v>
      </c>
      <c r="E248" s="186" t="s">
        <v>539</v>
      </c>
      <c r="F248" s="186" t="s">
        <v>628</v>
      </c>
      <c r="G248" s="201">
        <f t="shared" ca="1" si="9"/>
        <v>7</v>
      </c>
      <c r="H248" s="202"/>
      <c r="I248" s="202"/>
      <c r="J248" s="202"/>
    </row>
    <row r="249" spans="1:10" x14ac:dyDescent="0.3">
      <c r="A249" s="200" t="s">
        <v>540</v>
      </c>
      <c r="B249" s="186" t="s">
        <v>529</v>
      </c>
      <c r="C249" s="186" t="s">
        <v>525</v>
      </c>
      <c r="D249" s="186" t="s">
        <v>369</v>
      </c>
      <c r="E249" s="186" t="s">
        <v>541</v>
      </c>
      <c r="F249" s="186" t="s">
        <v>629</v>
      </c>
      <c r="G249" s="201">
        <f t="shared" ca="1" si="9"/>
        <v>9</v>
      </c>
      <c r="H249" s="202"/>
      <c r="I249" s="202"/>
      <c r="J249" s="202"/>
    </row>
  </sheetData>
  <autoFilter ref="J5:L5" xr:uid="{BDEE1884-FC31-42E5-862A-A7349945F7B9}">
    <sortState xmlns:xlrd2="http://schemas.microsoft.com/office/spreadsheetml/2017/richdata2" ref="J6:L10">
      <sortCondition ref="J5"/>
    </sortState>
  </autoFilter>
  <mergeCells count="11">
    <mergeCell ref="J135:L135"/>
    <mergeCell ref="J136:L136"/>
    <mergeCell ref="A140:B140"/>
    <mergeCell ref="F140:I140"/>
    <mergeCell ref="A17:E17"/>
    <mergeCell ref="A45:E45"/>
    <mergeCell ref="A107:E107"/>
    <mergeCell ref="B122:G122"/>
    <mergeCell ref="J132:K132"/>
    <mergeCell ref="J134:L134"/>
    <mergeCell ref="G61:H61"/>
  </mergeCells>
  <phoneticPr fontId="92" type="noConversion"/>
  <conditionalFormatting sqref="A61:A89 G63:G66">
    <cfRule type="cellIs" dxfId="3" priority="5" stopIfTrue="1" operator="equal">
      <formula>"Factor 1"</formula>
    </cfRule>
    <cfRule type="cellIs" dxfId="2" priority="6" stopIfTrue="1" operator="equal">
      <formula>"Factor 2"</formula>
    </cfRule>
  </conditionalFormatting>
  <conditionalFormatting sqref="G68">
    <cfRule type="cellIs" dxfId="1" priority="3" stopIfTrue="1" operator="equal">
      <formula>"Factor 1"</formula>
    </cfRule>
    <cfRule type="cellIs" dxfId="0" priority="4" stopIfTrue="1" operator="equal">
      <formula>"Factor 2"</formula>
    </cfRule>
  </conditionalFormatting>
  <dataValidations count="2">
    <dataValidation type="list" allowBlank="1" showInputMessage="1" showErrorMessage="1" sqref="I128 I124 J134:L134" xr:uid="{133E1CDC-D5F3-4BEF-B4B0-F17E9D0C5CD7}">
      <formula1>$A$124:$A$136</formula1>
    </dataValidation>
    <dataValidation type="list" allowBlank="1" showInputMessage="1" showErrorMessage="1" sqref="J135:L135" xr:uid="{839C1AAA-09BC-4832-9014-B80AF6ADDA00}">
      <formula1>$B$123:$G$123</formula1>
    </dataValidation>
  </dataValidations>
  <pageMargins left="0.7" right="0.7" top="0.75" bottom="0.75" header="0.3" footer="0.3"/>
  <pageSetup orientation="portrait" r:id="rId1"/>
  <legacy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DFA3-84E4-430C-9685-0D51CCDEBB1D}">
  <sheetPr codeName="Hoja21"/>
  <dimension ref="A1:BG121"/>
  <sheetViews>
    <sheetView showGridLines="0" topLeftCell="J1" zoomScale="70" zoomScaleNormal="70" workbookViewId="0">
      <pane ySplit="1" topLeftCell="A24" activePane="bottomLeft" state="frozen"/>
      <selection sqref="A1:J1"/>
      <selection pane="bottomLeft" activeCell="P29" sqref="P29"/>
    </sheetView>
  </sheetViews>
  <sheetFormatPr baseColWidth="10" defaultColWidth="11.44140625" defaultRowHeight="13.8" x14ac:dyDescent="0.3"/>
  <cols>
    <col min="1" max="1" width="11.77734375" style="94" customWidth="1"/>
    <col min="2" max="2" width="12" style="94" customWidth="1"/>
    <col min="3" max="3" width="12.21875" style="94" customWidth="1"/>
    <col min="4" max="4" width="11.44140625" style="94"/>
    <col min="5" max="5" width="10.44140625" style="94" customWidth="1"/>
    <col min="6" max="6" width="18.88671875" style="94" customWidth="1"/>
    <col min="7" max="7" width="25.88671875" style="94" customWidth="1"/>
    <col min="8" max="8" width="11.33203125" style="94" customWidth="1"/>
    <col min="9" max="9" width="19" style="94" customWidth="1"/>
    <col min="10" max="10" width="15.5546875" style="94" customWidth="1"/>
    <col min="11" max="11" width="13.6640625" style="94" customWidth="1"/>
    <col min="12" max="20" width="11.44140625" style="94"/>
    <col min="21" max="21" width="14.44140625" style="94" bestFit="1" customWidth="1"/>
    <col min="22" max="22" width="13.44140625" style="94" bestFit="1" customWidth="1"/>
    <col min="23" max="24" width="11.44140625" style="94"/>
    <col min="25" max="25" width="17" style="94" customWidth="1"/>
    <col min="26" max="29" width="11.44140625" style="94"/>
    <col min="30" max="30" width="16.33203125" style="94" bestFit="1" customWidth="1"/>
    <col min="31" max="33" width="11.44140625" style="94"/>
    <col min="34" max="34" width="13.44140625" style="94" bestFit="1" customWidth="1"/>
    <col min="35" max="45" width="11.44140625" style="94"/>
    <col min="46" max="46" width="13.44140625" style="94" bestFit="1" customWidth="1"/>
    <col min="47" max="47" width="9.6640625" style="94" bestFit="1" customWidth="1"/>
    <col min="48" max="49" width="11.44140625" style="94"/>
    <col min="50" max="50" width="12.6640625" style="94" customWidth="1"/>
    <col min="51" max="56" width="11.44140625" style="94"/>
    <col min="57" max="57" width="14.44140625" style="94" bestFit="1" customWidth="1"/>
    <col min="58" max="58" width="13.44140625" style="94" bestFit="1" customWidth="1"/>
    <col min="59" max="59" width="9.6640625" style="94" bestFit="1" customWidth="1"/>
    <col min="60" max="16384" width="11.44140625" style="94"/>
  </cols>
  <sheetData>
    <row r="1" spans="1:59" x14ac:dyDescent="0.3">
      <c r="A1" s="205" t="s">
        <v>630</v>
      </c>
      <c r="B1" s="205" t="s">
        <v>631</v>
      </c>
      <c r="C1" s="205" t="s">
        <v>632</v>
      </c>
      <c r="D1" s="204" t="s">
        <v>166</v>
      </c>
      <c r="E1" s="204" t="s">
        <v>633</v>
      </c>
      <c r="F1" s="205" t="s">
        <v>634</v>
      </c>
      <c r="G1" s="204" t="s">
        <v>635</v>
      </c>
      <c r="H1" s="206" t="s">
        <v>636</v>
      </c>
      <c r="I1" s="204" t="s">
        <v>637</v>
      </c>
      <c r="J1" s="206" t="s">
        <v>638</v>
      </c>
      <c r="K1" s="206" t="s">
        <v>639</v>
      </c>
      <c r="M1" s="286" t="s">
        <v>640</v>
      </c>
      <c r="N1" s="212"/>
      <c r="O1" s="212"/>
      <c r="P1" s="212"/>
      <c r="Q1" s="212"/>
      <c r="R1" s="212"/>
      <c r="S1" s="212"/>
      <c r="Y1" s="286" t="s">
        <v>641</v>
      </c>
      <c r="Z1" s="99"/>
      <c r="AK1" s="99" t="s">
        <v>642</v>
      </c>
      <c r="AW1" s="99" t="s">
        <v>643</v>
      </c>
    </row>
    <row r="2" spans="1:59" x14ac:dyDescent="0.3">
      <c r="A2" s="207" t="s">
        <v>644</v>
      </c>
      <c r="B2" s="207" t="s">
        <v>645</v>
      </c>
      <c r="C2" s="207" t="s">
        <v>646</v>
      </c>
      <c r="D2" s="208" t="s">
        <v>176</v>
      </c>
      <c r="E2" s="208">
        <v>27</v>
      </c>
      <c r="F2" s="207" t="s">
        <v>647</v>
      </c>
      <c r="G2" s="208" t="s">
        <v>648</v>
      </c>
      <c r="H2" s="209">
        <v>2111</v>
      </c>
      <c r="I2" s="208">
        <f t="shared" ref="I2:I65" si="0">H2*0.1</f>
        <v>211.10000000000002</v>
      </c>
      <c r="J2" s="209">
        <f t="shared" ref="J2:J65" si="1">H2*0.05</f>
        <v>105.55000000000001</v>
      </c>
      <c r="K2" s="209">
        <f t="shared" ref="K2:K65" si="2">H2+I2-J2</f>
        <v>2216.5499999999997</v>
      </c>
      <c r="M2" s="286" t="s">
        <v>649</v>
      </c>
      <c r="N2" s="212"/>
      <c r="O2" s="212"/>
      <c r="P2" s="212"/>
      <c r="Q2" s="212"/>
      <c r="R2" s="212"/>
      <c r="S2" s="212"/>
      <c r="Y2" s="99" t="s">
        <v>650</v>
      </c>
      <c r="Z2" s="99"/>
    </row>
    <row r="3" spans="1:59" x14ac:dyDescent="0.3">
      <c r="A3" s="207" t="s">
        <v>651</v>
      </c>
      <c r="B3" s="207" t="s">
        <v>652</v>
      </c>
      <c r="C3" s="207" t="s">
        <v>653</v>
      </c>
      <c r="D3" s="208" t="s">
        <v>181</v>
      </c>
      <c r="E3" s="208">
        <v>27</v>
      </c>
      <c r="F3" s="207" t="s">
        <v>654</v>
      </c>
      <c r="G3" s="208" t="s">
        <v>648</v>
      </c>
      <c r="H3" s="209">
        <v>2138</v>
      </c>
      <c r="I3" s="208">
        <f t="shared" si="0"/>
        <v>213.8</v>
      </c>
      <c r="J3" s="209">
        <f t="shared" si="1"/>
        <v>106.9</v>
      </c>
      <c r="K3" s="209">
        <f t="shared" si="2"/>
        <v>2244.9</v>
      </c>
    </row>
    <row r="4" spans="1:59" x14ac:dyDescent="0.3">
      <c r="A4" s="207" t="s">
        <v>655</v>
      </c>
      <c r="B4" s="207" t="s">
        <v>656</v>
      </c>
      <c r="C4" s="207" t="s">
        <v>657</v>
      </c>
      <c r="D4" s="208" t="s">
        <v>176</v>
      </c>
      <c r="E4" s="208">
        <v>37</v>
      </c>
      <c r="F4" s="207" t="s">
        <v>658</v>
      </c>
      <c r="G4" s="208" t="s">
        <v>659</v>
      </c>
      <c r="H4" s="209">
        <v>3900</v>
      </c>
      <c r="I4" s="208">
        <f t="shared" si="0"/>
        <v>390</v>
      </c>
      <c r="J4" s="209">
        <f t="shared" si="1"/>
        <v>195</v>
      </c>
      <c r="K4" s="209">
        <f t="shared" si="2"/>
        <v>4095</v>
      </c>
      <c r="M4" s="99" t="s">
        <v>660</v>
      </c>
      <c r="Y4" s="99" t="s">
        <v>660</v>
      </c>
      <c r="AK4" s="99" t="s">
        <v>660</v>
      </c>
      <c r="AW4" s="99" t="s">
        <v>660</v>
      </c>
    </row>
    <row r="5" spans="1:59" x14ac:dyDescent="0.3">
      <c r="A5" s="207" t="s">
        <v>655</v>
      </c>
      <c r="B5" s="207" t="s">
        <v>661</v>
      </c>
      <c r="C5" s="207" t="s">
        <v>662</v>
      </c>
      <c r="D5" s="208" t="s">
        <v>176</v>
      </c>
      <c r="E5" s="208">
        <v>41</v>
      </c>
      <c r="F5" s="207" t="s">
        <v>663</v>
      </c>
      <c r="G5" s="208" t="s">
        <v>664</v>
      </c>
      <c r="H5" s="209">
        <v>2950</v>
      </c>
      <c r="I5" s="208">
        <f t="shared" si="0"/>
        <v>295</v>
      </c>
      <c r="J5" s="209">
        <f t="shared" si="1"/>
        <v>147.5</v>
      </c>
      <c r="K5" s="209">
        <f t="shared" si="2"/>
        <v>3097.5</v>
      </c>
    </row>
    <row r="6" spans="1:59" x14ac:dyDescent="0.3">
      <c r="A6" s="207" t="s">
        <v>665</v>
      </c>
      <c r="B6" s="207" t="s">
        <v>666</v>
      </c>
      <c r="C6" s="207" t="s">
        <v>667</v>
      </c>
      <c r="D6" s="208" t="s">
        <v>181</v>
      </c>
      <c r="E6" s="208">
        <v>27</v>
      </c>
      <c r="F6" s="207" t="s">
        <v>658</v>
      </c>
      <c r="G6" s="208" t="s">
        <v>648</v>
      </c>
      <c r="H6" s="209">
        <v>2404</v>
      </c>
      <c r="I6" s="208">
        <f t="shared" si="0"/>
        <v>240.4</v>
      </c>
      <c r="J6" s="209">
        <f t="shared" si="1"/>
        <v>120.2</v>
      </c>
      <c r="K6" s="209">
        <f t="shared" si="2"/>
        <v>2524.2000000000003</v>
      </c>
      <c r="M6" s="204" t="s">
        <v>166</v>
      </c>
      <c r="N6" s="204" t="s">
        <v>633</v>
      </c>
      <c r="O6" s="204" t="s">
        <v>633</v>
      </c>
      <c r="Y6" s="205" t="s">
        <v>634</v>
      </c>
      <c r="Z6" s="206" t="s">
        <v>639</v>
      </c>
      <c r="AA6" s="206" t="s">
        <v>639</v>
      </c>
      <c r="AC6" s="218"/>
      <c r="AK6" s="204" t="s">
        <v>166</v>
      </c>
      <c r="AL6" s="204" t="s">
        <v>635</v>
      </c>
      <c r="AW6" s="204" t="s">
        <v>166</v>
      </c>
      <c r="AX6" s="204" t="s">
        <v>635</v>
      </c>
    </row>
    <row r="7" spans="1:59" ht="14.4" x14ac:dyDescent="0.3">
      <c r="A7" s="210" t="s">
        <v>668</v>
      </c>
      <c r="B7" s="210" t="s">
        <v>669</v>
      </c>
      <c r="C7" s="207" t="s">
        <v>670</v>
      </c>
      <c r="D7" s="208" t="s">
        <v>181</v>
      </c>
      <c r="E7" s="208">
        <v>31</v>
      </c>
      <c r="F7" s="207" t="s">
        <v>658</v>
      </c>
      <c r="G7" s="208" t="s">
        <v>671</v>
      </c>
      <c r="H7" s="209">
        <v>3785</v>
      </c>
      <c r="I7" s="208">
        <f t="shared" si="0"/>
        <v>378.5</v>
      </c>
      <c r="J7" s="209">
        <f t="shared" si="1"/>
        <v>189.25</v>
      </c>
      <c r="K7" s="209">
        <f t="shared" si="2"/>
        <v>3974.25</v>
      </c>
      <c r="M7" s="227" t="s">
        <v>176</v>
      </c>
      <c r="N7" s="227" t="s">
        <v>848</v>
      </c>
      <c r="O7" s="227" t="s">
        <v>849</v>
      </c>
      <c r="Y7" s="207" t="s">
        <v>658</v>
      </c>
      <c r="Z7" s="213" t="s">
        <v>672</v>
      </c>
      <c r="AA7" s="213" t="s">
        <v>673</v>
      </c>
      <c r="AK7" s="213" t="s">
        <v>176</v>
      </c>
      <c r="AL7" s="213" t="s">
        <v>659</v>
      </c>
      <c r="AW7" s="213" t="s">
        <v>181</v>
      </c>
      <c r="AX7" s="213" t="s">
        <v>659</v>
      </c>
    </row>
    <row r="8" spans="1:59" ht="14.4" x14ac:dyDescent="0.3">
      <c r="A8" s="207" t="s">
        <v>674</v>
      </c>
      <c r="B8" s="207" t="s">
        <v>15</v>
      </c>
      <c r="C8" s="207" t="s">
        <v>675</v>
      </c>
      <c r="D8" s="208" t="s">
        <v>176</v>
      </c>
      <c r="E8" s="208">
        <v>35</v>
      </c>
      <c r="F8" s="207" t="s">
        <v>663</v>
      </c>
      <c r="G8" s="208" t="s">
        <v>676</v>
      </c>
      <c r="H8" s="209">
        <v>2050</v>
      </c>
      <c r="I8" s="208">
        <f t="shared" si="0"/>
        <v>205</v>
      </c>
      <c r="J8" s="209">
        <f t="shared" si="1"/>
        <v>102.5</v>
      </c>
      <c r="K8" s="209">
        <f t="shared" si="2"/>
        <v>2152.5</v>
      </c>
      <c r="Y8" s="207" t="s">
        <v>647</v>
      </c>
      <c r="Z8" s="213" t="s">
        <v>672</v>
      </c>
      <c r="AA8" s="213" t="s">
        <v>673</v>
      </c>
      <c r="AW8" s="213" t="s">
        <v>181</v>
      </c>
      <c r="AX8" s="213" t="s">
        <v>677</v>
      </c>
    </row>
    <row r="9" spans="1:59" ht="14.4" x14ac:dyDescent="0.3">
      <c r="A9" s="207" t="s">
        <v>678</v>
      </c>
      <c r="B9" s="207" t="s">
        <v>679</v>
      </c>
      <c r="C9" s="207" t="s">
        <v>680</v>
      </c>
      <c r="D9" s="208" t="s">
        <v>176</v>
      </c>
      <c r="E9" s="208">
        <v>33</v>
      </c>
      <c r="F9" s="207" t="s">
        <v>658</v>
      </c>
      <c r="G9" s="208" t="s">
        <v>664</v>
      </c>
      <c r="H9" s="209">
        <v>3312</v>
      </c>
      <c r="I9" s="208">
        <f t="shared" si="0"/>
        <v>331.20000000000005</v>
      </c>
      <c r="J9" s="209">
        <f t="shared" si="1"/>
        <v>165.60000000000002</v>
      </c>
      <c r="K9" s="209">
        <f t="shared" si="2"/>
        <v>3477.6</v>
      </c>
      <c r="M9" s="94" t="s">
        <v>900</v>
      </c>
      <c r="AW9" s="213" t="s">
        <v>181</v>
      </c>
      <c r="AX9" s="213" t="s">
        <v>671</v>
      </c>
    </row>
    <row r="10" spans="1:59" x14ac:dyDescent="0.3">
      <c r="A10" s="207" t="s">
        <v>681</v>
      </c>
      <c r="B10" s="207" t="s">
        <v>682</v>
      </c>
      <c r="C10" s="207" t="s">
        <v>683</v>
      </c>
      <c r="D10" s="208" t="s">
        <v>181</v>
      </c>
      <c r="E10" s="208">
        <v>38</v>
      </c>
      <c r="F10" s="207" t="s">
        <v>684</v>
      </c>
      <c r="G10" s="208" t="s">
        <v>685</v>
      </c>
      <c r="H10" s="209">
        <v>2970</v>
      </c>
      <c r="I10" s="208">
        <f t="shared" si="0"/>
        <v>297</v>
      </c>
      <c r="J10" s="209">
        <f t="shared" si="1"/>
        <v>148.5</v>
      </c>
      <c r="K10" s="209">
        <f t="shared" si="2"/>
        <v>3118.5</v>
      </c>
    </row>
    <row r="11" spans="1:59" x14ac:dyDescent="0.3">
      <c r="A11" s="207" t="s">
        <v>686</v>
      </c>
      <c r="B11" s="207" t="s">
        <v>687</v>
      </c>
      <c r="C11" s="207" t="s">
        <v>688</v>
      </c>
      <c r="D11" s="208" t="s">
        <v>176</v>
      </c>
      <c r="E11" s="208">
        <v>40</v>
      </c>
      <c r="F11" s="207" t="s">
        <v>647</v>
      </c>
      <c r="G11" s="208" t="s">
        <v>671</v>
      </c>
      <c r="H11" s="209">
        <v>4150</v>
      </c>
      <c r="I11" s="208">
        <f t="shared" si="0"/>
        <v>415</v>
      </c>
      <c r="J11" s="209">
        <f t="shared" si="1"/>
        <v>207.5</v>
      </c>
      <c r="K11" s="209">
        <f t="shared" si="2"/>
        <v>4357.5</v>
      </c>
      <c r="M11" s="205" t="s">
        <v>630</v>
      </c>
      <c r="N11" s="205" t="s">
        <v>631</v>
      </c>
      <c r="O11" s="205" t="s">
        <v>632</v>
      </c>
      <c r="P11" s="204" t="s">
        <v>166</v>
      </c>
      <c r="Q11" s="204" t="s">
        <v>633</v>
      </c>
      <c r="R11" s="205" t="s">
        <v>634</v>
      </c>
      <c r="S11" s="204" t="s">
        <v>635</v>
      </c>
      <c r="T11" s="206" t="s">
        <v>636</v>
      </c>
      <c r="U11" s="204" t="s">
        <v>637</v>
      </c>
      <c r="V11" s="206" t="s">
        <v>638</v>
      </c>
      <c r="W11" s="206" t="s">
        <v>639</v>
      </c>
      <c r="Y11" s="205" t="s">
        <v>630</v>
      </c>
      <c r="Z11" s="205" t="s">
        <v>631</v>
      </c>
      <c r="AA11" s="205" t="s">
        <v>632</v>
      </c>
      <c r="AB11" s="204" t="s">
        <v>166</v>
      </c>
      <c r="AC11" s="204" t="s">
        <v>633</v>
      </c>
      <c r="AD11" s="205" t="s">
        <v>634</v>
      </c>
      <c r="AE11" s="204" t="s">
        <v>635</v>
      </c>
      <c r="AF11" s="206" t="s">
        <v>636</v>
      </c>
      <c r="AG11" s="204" t="s">
        <v>637</v>
      </c>
      <c r="AH11" s="206" t="s">
        <v>638</v>
      </c>
      <c r="AI11" s="206" t="s">
        <v>639</v>
      </c>
      <c r="AK11" s="205" t="s">
        <v>630</v>
      </c>
      <c r="AL11" s="205" t="s">
        <v>631</v>
      </c>
      <c r="AM11" s="205" t="s">
        <v>632</v>
      </c>
      <c r="AN11" s="204" t="s">
        <v>166</v>
      </c>
      <c r="AO11" s="204" t="s">
        <v>633</v>
      </c>
      <c r="AP11" s="205" t="s">
        <v>634</v>
      </c>
      <c r="AQ11" s="204" t="s">
        <v>635</v>
      </c>
      <c r="AR11" s="206" t="s">
        <v>636</v>
      </c>
      <c r="AS11" s="204" t="s">
        <v>637</v>
      </c>
      <c r="AT11" s="206" t="s">
        <v>638</v>
      </c>
      <c r="AU11" s="206" t="s">
        <v>639</v>
      </c>
      <c r="AW11" s="205" t="s">
        <v>630</v>
      </c>
      <c r="AX11" s="205" t="s">
        <v>631</v>
      </c>
      <c r="AY11" s="205" t="s">
        <v>632</v>
      </c>
      <c r="AZ11" s="204" t="s">
        <v>166</v>
      </c>
      <c r="BA11" s="204" t="s">
        <v>633</v>
      </c>
      <c r="BB11" s="205" t="s">
        <v>634</v>
      </c>
      <c r="BC11" s="204" t="s">
        <v>635</v>
      </c>
      <c r="BD11" s="206" t="s">
        <v>636</v>
      </c>
      <c r="BE11" s="204" t="s">
        <v>637</v>
      </c>
      <c r="BF11" s="206" t="s">
        <v>638</v>
      </c>
      <c r="BG11" s="206" t="s">
        <v>639</v>
      </c>
    </row>
    <row r="12" spans="1:59" ht="14.4" x14ac:dyDescent="0.3">
      <c r="A12" s="207" t="s">
        <v>686</v>
      </c>
      <c r="B12" s="207" t="s">
        <v>687</v>
      </c>
      <c r="C12" s="207" t="s">
        <v>689</v>
      </c>
      <c r="D12" s="208" t="s">
        <v>176</v>
      </c>
      <c r="E12" s="208">
        <v>45</v>
      </c>
      <c r="F12" s="207" t="s">
        <v>647</v>
      </c>
      <c r="G12" s="208" t="s">
        <v>671</v>
      </c>
      <c r="H12" s="209">
        <v>3850</v>
      </c>
      <c r="I12" s="208">
        <f t="shared" si="0"/>
        <v>385</v>
      </c>
      <c r="J12" s="209">
        <f t="shared" si="1"/>
        <v>192.5</v>
      </c>
      <c r="K12" s="209">
        <f t="shared" si="2"/>
        <v>4042.5</v>
      </c>
      <c r="M12" s="207" t="s">
        <v>644</v>
      </c>
      <c r="N12" s="207" t="s">
        <v>645</v>
      </c>
      <c r="O12" s="207" t="s">
        <v>646</v>
      </c>
      <c r="P12" s="208" t="s">
        <v>176</v>
      </c>
      <c r="Q12" s="208">
        <v>27</v>
      </c>
      <c r="R12" s="207" t="s">
        <v>647</v>
      </c>
      <c r="S12" s="208" t="s">
        <v>648</v>
      </c>
      <c r="T12" s="209">
        <v>2111</v>
      </c>
      <c r="U12" s="208">
        <v>211.10000000000002</v>
      </c>
      <c r="V12" s="209">
        <v>105.55000000000001</v>
      </c>
      <c r="W12" s="209">
        <v>2216.5499999999997</v>
      </c>
      <c r="X12"/>
      <c r="Y12"/>
      <c r="Z12"/>
      <c r="AA12"/>
      <c r="AB12"/>
      <c r="AC12"/>
      <c r="AD12"/>
      <c r="AE12"/>
      <c r="AF12"/>
      <c r="AG12"/>
      <c r="AH12"/>
      <c r="AI12"/>
    </row>
    <row r="13" spans="1:59" ht="14.4" x14ac:dyDescent="0.3">
      <c r="A13" s="207" t="s">
        <v>693</v>
      </c>
      <c r="B13" s="207" t="s">
        <v>694</v>
      </c>
      <c r="C13" s="207" t="s">
        <v>695</v>
      </c>
      <c r="D13" s="208" t="s">
        <v>181</v>
      </c>
      <c r="E13" s="208">
        <v>27</v>
      </c>
      <c r="F13" s="207" t="s">
        <v>663</v>
      </c>
      <c r="G13" s="208" t="s">
        <v>659</v>
      </c>
      <c r="H13" s="209">
        <v>4687</v>
      </c>
      <c r="I13" s="208">
        <f t="shared" si="0"/>
        <v>468.70000000000005</v>
      </c>
      <c r="J13" s="209">
        <f t="shared" si="1"/>
        <v>234.35000000000002</v>
      </c>
      <c r="K13" s="209">
        <f t="shared" si="2"/>
        <v>4921.3499999999995</v>
      </c>
      <c r="M13" s="207" t="s">
        <v>705</v>
      </c>
      <c r="N13" s="207" t="s">
        <v>706</v>
      </c>
      <c r="O13" s="207" t="s">
        <v>657</v>
      </c>
      <c r="P13" s="208" t="s">
        <v>176</v>
      </c>
      <c r="Q13" s="208">
        <v>28</v>
      </c>
      <c r="R13" s="207" t="s">
        <v>663</v>
      </c>
      <c r="S13" s="208" t="s">
        <v>648</v>
      </c>
      <c r="T13" s="209">
        <v>2596</v>
      </c>
      <c r="U13" s="208">
        <v>259.60000000000002</v>
      </c>
      <c r="V13" s="209">
        <v>129.80000000000001</v>
      </c>
      <c r="W13" s="209">
        <v>2725.7999999999997</v>
      </c>
      <c r="X13"/>
      <c r="Y13"/>
      <c r="Z13"/>
      <c r="AA13"/>
      <c r="AB13"/>
      <c r="AC13"/>
      <c r="AD13"/>
      <c r="AE13"/>
      <c r="AF13"/>
      <c r="AG13"/>
      <c r="AH13"/>
      <c r="AI13"/>
    </row>
    <row r="14" spans="1:59" ht="14.4" x14ac:dyDescent="0.3">
      <c r="A14" s="207" t="s">
        <v>693</v>
      </c>
      <c r="B14" s="207" t="s">
        <v>694</v>
      </c>
      <c r="C14" s="207" t="s">
        <v>700</v>
      </c>
      <c r="D14" s="208" t="s">
        <v>181</v>
      </c>
      <c r="E14" s="208">
        <v>29</v>
      </c>
      <c r="F14" s="207" t="s">
        <v>684</v>
      </c>
      <c r="G14" s="208" t="s">
        <v>701</v>
      </c>
      <c r="H14" s="209">
        <v>3133</v>
      </c>
      <c r="I14" s="208">
        <f t="shared" si="0"/>
        <v>313.3</v>
      </c>
      <c r="J14" s="209">
        <f t="shared" si="1"/>
        <v>156.65</v>
      </c>
      <c r="K14" s="209">
        <f t="shared" si="2"/>
        <v>3289.65</v>
      </c>
      <c r="M14" s="207" t="s">
        <v>682</v>
      </c>
      <c r="N14" s="207" t="s">
        <v>711</v>
      </c>
      <c r="O14" s="207" t="s">
        <v>712</v>
      </c>
      <c r="P14" s="208" t="s">
        <v>176</v>
      </c>
      <c r="Q14" s="208">
        <v>24</v>
      </c>
      <c r="R14" s="207" t="s">
        <v>654</v>
      </c>
      <c r="S14" s="208" t="s">
        <v>713</v>
      </c>
      <c r="T14" s="209">
        <v>1718</v>
      </c>
      <c r="U14" s="208">
        <v>171.8</v>
      </c>
      <c r="V14" s="209">
        <v>85.9</v>
      </c>
      <c r="W14" s="209">
        <v>1803.8999999999999</v>
      </c>
      <c r="X14"/>
      <c r="Y14"/>
      <c r="Z14"/>
      <c r="AA14"/>
      <c r="AB14"/>
      <c r="AC14"/>
      <c r="AD14"/>
      <c r="AE14"/>
      <c r="AF14"/>
      <c r="AG14"/>
      <c r="AH14"/>
      <c r="AI14"/>
    </row>
    <row r="15" spans="1:59" ht="14.4" x14ac:dyDescent="0.3">
      <c r="A15" s="207" t="s">
        <v>705</v>
      </c>
      <c r="B15" s="207" t="s">
        <v>706</v>
      </c>
      <c r="C15" s="207" t="s">
        <v>657</v>
      </c>
      <c r="D15" s="208" t="s">
        <v>176</v>
      </c>
      <c r="E15" s="208">
        <v>28</v>
      </c>
      <c r="F15" s="207" t="s">
        <v>663</v>
      </c>
      <c r="G15" s="208" t="s">
        <v>648</v>
      </c>
      <c r="H15" s="209">
        <v>2596</v>
      </c>
      <c r="I15" s="208">
        <f t="shared" si="0"/>
        <v>259.60000000000002</v>
      </c>
      <c r="J15" s="209">
        <f t="shared" si="1"/>
        <v>129.80000000000001</v>
      </c>
      <c r="K15" s="209">
        <f t="shared" si="2"/>
        <v>2725.7999999999997</v>
      </c>
      <c r="M15" s="207" t="s">
        <v>730</v>
      </c>
      <c r="N15" s="207" t="s">
        <v>731</v>
      </c>
      <c r="O15" s="207" t="s">
        <v>732</v>
      </c>
      <c r="P15" s="208" t="s">
        <v>176</v>
      </c>
      <c r="Q15" s="208">
        <v>27</v>
      </c>
      <c r="R15" s="207" t="s">
        <v>663</v>
      </c>
      <c r="S15" s="208" t="s">
        <v>671</v>
      </c>
      <c r="T15" s="209">
        <v>2862</v>
      </c>
      <c r="U15" s="208">
        <v>286.2</v>
      </c>
      <c r="V15" s="209">
        <v>143.1</v>
      </c>
      <c r="W15" s="209">
        <v>3005.1</v>
      </c>
      <c r="X15"/>
      <c r="Y15"/>
      <c r="Z15"/>
      <c r="AA15"/>
      <c r="AB15"/>
      <c r="AC15"/>
      <c r="AD15"/>
      <c r="AE15"/>
      <c r="AF15"/>
      <c r="AG15"/>
      <c r="AH15"/>
      <c r="AI15"/>
    </row>
    <row r="16" spans="1:59" ht="14.4" x14ac:dyDescent="0.3">
      <c r="A16" s="207" t="s">
        <v>707</v>
      </c>
      <c r="B16" s="207" t="s">
        <v>708</v>
      </c>
      <c r="C16" s="207" t="s">
        <v>709</v>
      </c>
      <c r="D16" s="208" t="s">
        <v>181</v>
      </c>
      <c r="E16" s="208">
        <v>44</v>
      </c>
      <c r="F16" s="207" t="s">
        <v>710</v>
      </c>
      <c r="G16" s="208" t="s">
        <v>699</v>
      </c>
      <c r="H16" s="209">
        <v>2950</v>
      </c>
      <c r="I16" s="208">
        <f t="shared" si="0"/>
        <v>295</v>
      </c>
      <c r="J16" s="209">
        <f t="shared" si="1"/>
        <v>147.5</v>
      </c>
      <c r="K16" s="209">
        <f t="shared" si="2"/>
        <v>3097.5</v>
      </c>
      <c r="M16" s="207" t="s">
        <v>645</v>
      </c>
      <c r="N16" s="207" t="s">
        <v>715</v>
      </c>
      <c r="O16" s="207" t="s">
        <v>675</v>
      </c>
      <c r="P16" s="208" t="s">
        <v>176</v>
      </c>
      <c r="Q16" s="208">
        <v>29</v>
      </c>
      <c r="R16" s="207" t="s">
        <v>663</v>
      </c>
      <c r="S16" s="208" t="s">
        <v>742</v>
      </c>
      <c r="T16" s="209">
        <v>2351</v>
      </c>
      <c r="U16" s="208">
        <v>235.10000000000002</v>
      </c>
      <c r="V16" s="209">
        <v>117.55000000000001</v>
      </c>
      <c r="W16" s="209">
        <v>2468.5499999999997</v>
      </c>
      <c r="X16"/>
      <c r="Y16"/>
      <c r="Z16"/>
      <c r="AA16"/>
      <c r="AB16"/>
      <c r="AC16"/>
      <c r="AD16"/>
      <c r="AE16"/>
      <c r="AF16"/>
      <c r="AG16"/>
      <c r="AH16"/>
      <c r="AI16"/>
    </row>
    <row r="17" spans="1:35" ht="14.4" x14ac:dyDescent="0.3">
      <c r="A17" s="207" t="s">
        <v>682</v>
      </c>
      <c r="B17" s="207" t="s">
        <v>711</v>
      </c>
      <c r="C17" s="207" t="s">
        <v>712</v>
      </c>
      <c r="D17" s="208" t="s">
        <v>176</v>
      </c>
      <c r="E17" s="208">
        <v>24</v>
      </c>
      <c r="F17" s="207" t="s">
        <v>654</v>
      </c>
      <c r="G17" s="208" t="s">
        <v>713</v>
      </c>
      <c r="H17" s="209">
        <v>1718</v>
      </c>
      <c r="I17" s="208">
        <f t="shared" si="0"/>
        <v>171.8</v>
      </c>
      <c r="J17" s="209">
        <f t="shared" si="1"/>
        <v>85.9</v>
      </c>
      <c r="K17" s="209">
        <f t="shared" si="2"/>
        <v>1803.8999999999999</v>
      </c>
      <c r="M17" s="207" t="s">
        <v>743</v>
      </c>
      <c r="N17" s="207" t="s">
        <v>744</v>
      </c>
      <c r="O17" s="207" t="s">
        <v>745</v>
      </c>
      <c r="P17" s="208" t="s">
        <v>176</v>
      </c>
      <c r="Q17" s="208">
        <v>22</v>
      </c>
      <c r="R17" s="207" t="s">
        <v>658</v>
      </c>
      <c r="S17" s="208" t="s">
        <v>720</v>
      </c>
      <c r="T17" s="209">
        <v>2248</v>
      </c>
      <c r="U17" s="208">
        <v>224.8</v>
      </c>
      <c r="V17" s="209">
        <v>112.4</v>
      </c>
      <c r="W17" s="209">
        <v>2360.4</v>
      </c>
      <c r="X17"/>
      <c r="Y17"/>
      <c r="Z17"/>
      <c r="AA17"/>
      <c r="AB17"/>
      <c r="AC17"/>
      <c r="AD17"/>
      <c r="AE17"/>
      <c r="AF17"/>
      <c r="AG17"/>
      <c r="AH17"/>
      <c r="AI17"/>
    </row>
    <row r="18" spans="1:35" ht="14.4" x14ac:dyDescent="0.3">
      <c r="A18" s="207" t="s">
        <v>714</v>
      </c>
      <c r="B18" s="207" t="s">
        <v>715</v>
      </c>
      <c r="C18" s="207" t="s">
        <v>716</v>
      </c>
      <c r="D18" s="208" t="s">
        <v>176</v>
      </c>
      <c r="E18" s="208">
        <v>41</v>
      </c>
      <c r="F18" s="207" t="s">
        <v>658</v>
      </c>
      <c r="G18" s="208" t="s">
        <v>677</v>
      </c>
      <c r="H18" s="209">
        <v>6950</v>
      </c>
      <c r="I18" s="208">
        <f t="shared" si="0"/>
        <v>695</v>
      </c>
      <c r="J18" s="209">
        <f t="shared" si="1"/>
        <v>347.5</v>
      </c>
      <c r="K18" s="209">
        <f t="shared" si="2"/>
        <v>7297.5</v>
      </c>
      <c r="M18" s="207" t="s">
        <v>750</v>
      </c>
      <c r="N18" s="207" t="s">
        <v>751</v>
      </c>
      <c r="O18" s="207" t="s">
        <v>665</v>
      </c>
      <c r="P18" s="208" t="s">
        <v>176</v>
      </c>
      <c r="Q18" s="208">
        <v>29</v>
      </c>
      <c r="R18" s="211" t="s">
        <v>723</v>
      </c>
      <c r="S18" s="208" t="s">
        <v>727</v>
      </c>
      <c r="T18" s="209">
        <v>2665</v>
      </c>
      <c r="U18" s="208">
        <v>266.5</v>
      </c>
      <c r="V18" s="209">
        <v>133.25</v>
      </c>
      <c r="W18" s="209">
        <v>2798.25</v>
      </c>
      <c r="X18"/>
      <c r="Y18"/>
      <c r="Z18"/>
      <c r="AA18"/>
      <c r="AB18"/>
      <c r="AC18"/>
      <c r="AD18"/>
      <c r="AE18"/>
      <c r="AF18"/>
      <c r="AG18"/>
      <c r="AH18"/>
      <c r="AI18"/>
    </row>
    <row r="19" spans="1:35" ht="14.4" x14ac:dyDescent="0.3">
      <c r="A19" s="207" t="s">
        <v>714</v>
      </c>
      <c r="B19" s="207" t="s">
        <v>715</v>
      </c>
      <c r="C19" s="207" t="s">
        <v>717</v>
      </c>
      <c r="D19" s="208" t="s">
        <v>176</v>
      </c>
      <c r="E19" s="208">
        <v>45</v>
      </c>
      <c r="F19" s="207" t="s">
        <v>658</v>
      </c>
      <c r="G19" s="208" t="s">
        <v>677</v>
      </c>
      <c r="H19" s="209">
        <v>3099</v>
      </c>
      <c r="I19" s="208">
        <f t="shared" si="0"/>
        <v>309.90000000000003</v>
      </c>
      <c r="J19" s="209">
        <f t="shared" si="1"/>
        <v>154.95000000000002</v>
      </c>
      <c r="K19" s="209">
        <f t="shared" si="2"/>
        <v>3253.9500000000003</v>
      </c>
      <c r="M19" s="207" t="s">
        <v>751</v>
      </c>
      <c r="N19" s="207" t="s">
        <v>707</v>
      </c>
      <c r="O19" s="207" t="s">
        <v>758</v>
      </c>
      <c r="P19" s="208" t="s">
        <v>176</v>
      </c>
      <c r="Q19" s="208">
        <v>24</v>
      </c>
      <c r="R19" s="207" t="s">
        <v>647</v>
      </c>
      <c r="S19" s="208" t="s">
        <v>699</v>
      </c>
      <c r="T19" s="209">
        <v>4135</v>
      </c>
      <c r="U19" s="208">
        <v>413.5</v>
      </c>
      <c r="V19" s="209">
        <v>206.75</v>
      </c>
      <c r="W19" s="209">
        <v>4341.75</v>
      </c>
      <c r="X19"/>
      <c r="Y19"/>
      <c r="Z19"/>
      <c r="AA19"/>
      <c r="AB19"/>
      <c r="AC19"/>
      <c r="AD19"/>
      <c r="AE19"/>
      <c r="AF19"/>
      <c r="AG19"/>
      <c r="AH19"/>
      <c r="AI19"/>
    </row>
    <row r="20" spans="1:35" ht="14.4" x14ac:dyDescent="0.3">
      <c r="A20" s="207" t="s">
        <v>718</v>
      </c>
      <c r="B20" s="207" t="s">
        <v>719</v>
      </c>
      <c r="C20" s="207" t="s">
        <v>662</v>
      </c>
      <c r="D20" s="208" t="s">
        <v>176</v>
      </c>
      <c r="E20" s="208">
        <v>39</v>
      </c>
      <c r="F20" s="207" t="s">
        <v>663</v>
      </c>
      <c r="G20" s="208" t="s">
        <v>720</v>
      </c>
      <c r="H20" s="209">
        <v>3850</v>
      </c>
      <c r="I20" s="208">
        <f t="shared" si="0"/>
        <v>385</v>
      </c>
      <c r="J20" s="209">
        <f t="shared" si="1"/>
        <v>192.5</v>
      </c>
      <c r="K20" s="209">
        <f t="shared" si="2"/>
        <v>4042.5</v>
      </c>
      <c r="M20" s="207" t="s">
        <v>744</v>
      </c>
      <c r="N20" s="207" t="s">
        <v>681</v>
      </c>
      <c r="O20" s="207" t="s">
        <v>732</v>
      </c>
      <c r="P20" s="208" t="s">
        <v>176</v>
      </c>
      <c r="Q20" s="208">
        <v>28</v>
      </c>
      <c r="R20" s="211" t="s">
        <v>723</v>
      </c>
      <c r="S20" s="208" t="s">
        <v>739</v>
      </c>
      <c r="T20" s="209">
        <v>2747</v>
      </c>
      <c r="U20" s="208">
        <v>274.7</v>
      </c>
      <c r="V20" s="209">
        <v>137.35</v>
      </c>
      <c r="W20" s="209">
        <v>2884.35</v>
      </c>
      <c r="X20"/>
      <c r="Y20"/>
      <c r="Z20"/>
      <c r="AA20"/>
      <c r="AB20"/>
      <c r="AC20"/>
      <c r="AD20"/>
      <c r="AE20"/>
      <c r="AF20"/>
      <c r="AG20"/>
      <c r="AH20"/>
      <c r="AI20"/>
    </row>
    <row r="21" spans="1:35" ht="14.4" x14ac:dyDescent="0.3">
      <c r="A21" s="207" t="s">
        <v>697</v>
      </c>
      <c r="B21" s="207" t="s">
        <v>721</v>
      </c>
      <c r="C21" s="207" t="s">
        <v>722</v>
      </c>
      <c r="D21" s="208" t="s">
        <v>181</v>
      </c>
      <c r="E21" s="208">
        <v>37</v>
      </c>
      <c r="F21" s="211" t="s">
        <v>723</v>
      </c>
      <c r="G21" s="208" t="s">
        <v>671</v>
      </c>
      <c r="H21" s="209">
        <v>4500</v>
      </c>
      <c r="I21" s="208">
        <f t="shared" si="0"/>
        <v>450</v>
      </c>
      <c r="J21" s="209">
        <f t="shared" si="1"/>
        <v>225</v>
      </c>
      <c r="K21" s="209">
        <f t="shared" si="2"/>
        <v>4725</v>
      </c>
      <c r="M21" s="207" t="s">
        <v>773</v>
      </c>
      <c r="N21" s="207" t="s">
        <v>762</v>
      </c>
      <c r="O21" s="207" t="s">
        <v>732</v>
      </c>
      <c r="P21" s="208" t="s">
        <v>176</v>
      </c>
      <c r="Q21" s="208">
        <v>25</v>
      </c>
      <c r="R21" s="207" t="s">
        <v>654</v>
      </c>
      <c r="S21" s="208" t="s">
        <v>720</v>
      </c>
      <c r="T21" s="209">
        <v>2460</v>
      </c>
      <c r="U21" s="208">
        <v>246</v>
      </c>
      <c r="V21" s="209">
        <v>123</v>
      </c>
      <c r="W21" s="209">
        <v>2583</v>
      </c>
      <c r="X21"/>
      <c r="Y21"/>
      <c r="Z21"/>
      <c r="AA21"/>
      <c r="AB21"/>
      <c r="AC21"/>
      <c r="AD21"/>
      <c r="AE21"/>
      <c r="AF21"/>
      <c r="AG21"/>
      <c r="AH21"/>
      <c r="AI21"/>
    </row>
    <row r="22" spans="1:35" ht="14.4" x14ac:dyDescent="0.3">
      <c r="A22" s="207" t="s">
        <v>697</v>
      </c>
      <c r="B22" s="207" t="s">
        <v>724</v>
      </c>
      <c r="C22" s="207" t="s">
        <v>725</v>
      </c>
      <c r="D22" s="208" t="s">
        <v>176</v>
      </c>
      <c r="E22" s="208">
        <v>33</v>
      </c>
      <c r="F22" s="207" t="s">
        <v>726</v>
      </c>
      <c r="G22" s="208" t="s">
        <v>727</v>
      </c>
      <c r="H22" s="209">
        <v>2950</v>
      </c>
      <c r="I22" s="208">
        <f t="shared" si="0"/>
        <v>295</v>
      </c>
      <c r="J22" s="209">
        <f t="shared" si="1"/>
        <v>147.5</v>
      </c>
      <c r="K22" s="209">
        <f t="shared" si="2"/>
        <v>3097.5</v>
      </c>
      <c r="M22" s="207" t="s">
        <v>400</v>
      </c>
      <c r="N22" s="207" t="s">
        <v>774</v>
      </c>
      <c r="O22" s="207" t="s">
        <v>717</v>
      </c>
      <c r="P22" s="208" t="s">
        <v>176</v>
      </c>
      <c r="Q22" s="208">
        <v>24</v>
      </c>
      <c r="R22" s="207" t="s">
        <v>710</v>
      </c>
      <c r="S22" s="208" t="s">
        <v>764</v>
      </c>
      <c r="T22" s="209">
        <v>2479</v>
      </c>
      <c r="U22" s="208">
        <v>247.9</v>
      </c>
      <c r="V22" s="209">
        <v>123.95</v>
      </c>
      <c r="W22" s="209">
        <v>2602.9500000000003</v>
      </c>
      <c r="X22"/>
      <c r="Y22"/>
      <c r="Z22"/>
      <c r="AA22"/>
      <c r="AB22"/>
      <c r="AC22"/>
      <c r="AD22"/>
      <c r="AE22"/>
      <c r="AF22"/>
      <c r="AG22"/>
      <c r="AH22"/>
      <c r="AI22"/>
    </row>
    <row r="23" spans="1:35" ht="14.4" x14ac:dyDescent="0.3">
      <c r="A23" s="207" t="s">
        <v>728</v>
      </c>
      <c r="B23" s="207" t="s">
        <v>729</v>
      </c>
      <c r="C23" s="207" t="s">
        <v>695</v>
      </c>
      <c r="D23" s="208" t="s">
        <v>181</v>
      </c>
      <c r="E23" s="208">
        <v>27</v>
      </c>
      <c r="F23" s="211" t="s">
        <v>723</v>
      </c>
      <c r="G23" s="208" t="s">
        <v>677</v>
      </c>
      <c r="H23" s="209">
        <v>1594</v>
      </c>
      <c r="I23" s="208">
        <f t="shared" si="0"/>
        <v>159.4</v>
      </c>
      <c r="J23" s="209">
        <f t="shared" si="1"/>
        <v>79.7</v>
      </c>
      <c r="K23" s="209">
        <f t="shared" si="2"/>
        <v>1673.7</v>
      </c>
      <c r="M23" s="207" t="s">
        <v>779</v>
      </c>
      <c r="N23" s="211" t="s">
        <v>743</v>
      </c>
      <c r="O23" s="207" t="s">
        <v>780</v>
      </c>
      <c r="P23" s="208" t="s">
        <v>176</v>
      </c>
      <c r="Q23" s="208">
        <v>22</v>
      </c>
      <c r="R23" s="207" t="s">
        <v>710</v>
      </c>
      <c r="S23" s="208" t="s">
        <v>766</v>
      </c>
      <c r="T23" s="209">
        <v>1330</v>
      </c>
      <c r="U23" s="208">
        <v>133</v>
      </c>
      <c r="V23" s="209">
        <v>66.5</v>
      </c>
      <c r="W23" s="209">
        <v>1396.5</v>
      </c>
      <c r="X23"/>
      <c r="Y23"/>
      <c r="Z23"/>
      <c r="AA23"/>
      <c r="AB23"/>
      <c r="AC23"/>
      <c r="AD23"/>
      <c r="AE23"/>
      <c r="AF23"/>
      <c r="AG23"/>
      <c r="AH23"/>
      <c r="AI23"/>
    </row>
    <row r="24" spans="1:35" ht="14.4" x14ac:dyDescent="0.3">
      <c r="A24" s="207" t="s">
        <v>690</v>
      </c>
      <c r="B24" s="207" t="s">
        <v>691</v>
      </c>
      <c r="C24" s="207" t="s">
        <v>692</v>
      </c>
      <c r="D24" s="208" t="s">
        <v>181</v>
      </c>
      <c r="E24" s="208">
        <v>39</v>
      </c>
      <c r="F24" s="210" t="s">
        <v>647</v>
      </c>
      <c r="G24" s="208" t="s">
        <v>671</v>
      </c>
      <c r="H24" s="209">
        <v>6150</v>
      </c>
      <c r="I24" s="208">
        <f t="shared" si="0"/>
        <v>615</v>
      </c>
      <c r="J24" s="209">
        <f t="shared" si="1"/>
        <v>307.5</v>
      </c>
      <c r="K24" s="209">
        <f t="shared" si="2"/>
        <v>6457.5</v>
      </c>
      <c r="M24" s="207" t="s">
        <v>787</v>
      </c>
      <c r="N24" s="207" t="s">
        <v>788</v>
      </c>
      <c r="O24" s="207" t="s">
        <v>789</v>
      </c>
      <c r="P24" s="208" t="s">
        <v>176</v>
      </c>
      <c r="Q24" s="208">
        <v>27</v>
      </c>
      <c r="R24" s="207" t="s">
        <v>647</v>
      </c>
      <c r="S24" s="208" t="s">
        <v>659</v>
      </c>
      <c r="T24" s="209">
        <v>1917</v>
      </c>
      <c r="U24" s="208">
        <v>191.70000000000002</v>
      </c>
      <c r="V24" s="209">
        <v>95.850000000000009</v>
      </c>
      <c r="W24" s="209">
        <v>2012.85</v>
      </c>
      <c r="X24"/>
      <c r="Y24"/>
      <c r="Z24"/>
      <c r="AA24"/>
      <c r="AB24"/>
      <c r="AC24"/>
      <c r="AD24"/>
      <c r="AE24"/>
      <c r="AF24"/>
      <c r="AG24"/>
      <c r="AH24"/>
      <c r="AI24"/>
    </row>
    <row r="25" spans="1:35" ht="14.4" x14ac:dyDescent="0.3">
      <c r="A25" s="207" t="s">
        <v>730</v>
      </c>
      <c r="B25" s="207" t="s">
        <v>731</v>
      </c>
      <c r="C25" s="207" t="s">
        <v>732</v>
      </c>
      <c r="D25" s="208" t="s">
        <v>176</v>
      </c>
      <c r="E25" s="208">
        <v>27</v>
      </c>
      <c r="F25" s="207" t="s">
        <v>663</v>
      </c>
      <c r="G25" s="208" t="s">
        <v>671</v>
      </c>
      <c r="H25" s="209">
        <v>2862</v>
      </c>
      <c r="I25" s="208">
        <f t="shared" si="0"/>
        <v>286.2</v>
      </c>
      <c r="J25" s="209">
        <f t="shared" si="1"/>
        <v>143.1</v>
      </c>
      <c r="K25" s="209">
        <f t="shared" si="2"/>
        <v>3005.1</v>
      </c>
      <c r="M25" s="207" t="s">
        <v>790</v>
      </c>
      <c r="N25" s="207" t="s">
        <v>693</v>
      </c>
      <c r="O25" s="207" t="s">
        <v>789</v>
      </c>
      <c r="P25" s="208" t="s">
        <v>176</v>
      </c>
      <c r="Q25" s="208">
        <v>27</v>
      </c>
      <c r="R25" s="207" t="s">
        <v>663</v>
      </c>
      <c r="S25" s="208" t="s">
        <v>659</v>
      </c>
      <c r="T25" s="209">
        <v>6195</v>
      </c>
      <c r="U25" s="208">
        <v>619.5</v>
      </c>
      <c r="V25" s="209">
        <v>309.75</v>
      </c>
      <c r="W25" s="209">
        <v>6504.75</v>
      </c>
      <c r="X25"/>
      <c r="Y25"/>
      <c r="Z25"/>
      <c r="AA25"/>
      <c r="AB25"/>
      <c r="AC25"/>
      <c r="AD25"/>
      <c r="AE25"/>
      <c r="AF25"/>
      <c r="AG25"/>
      <c r="AH25"/>
      <c r="AI25"/>
    </row>
    <row r="26" spans="1:35" ht="14.4" x14ac:dyDescent="0.3">
      <c r="A26" s="207" t="s">
        <v>733</v>
      </c>
      <c r="B26" s="207" t="s">
        <v>734</v>
      </c>
      <c r="C26" s="207" t="s">
        <v>735</v>
      </c>
      <c r="D26" s="208" t="s">
        <v>176</v>
      </c>
      <c r="E26" s="208">
        <v>45</v>
      </c>
      <c r="F26" s="211" t="s">
        <v>723</v>
      </c>
      <c r="G26" s="208" t="s">
        <v>671</v>
      </c>
      <c r="H26" s="209">
        <v>5400</v>
      </c>
      <c r="I26" s="208">
        <f t="shared" si="0"/>
        <v>540</v>
      </c>
      <c r="J26" s="209">
        <f t="shared" si="1"/>
        <v>270</v>
      </c>
      <c r="K26" s="209">
        <f t="shared" si="2"/>
        <v>5670</v>
      </c>
      <c r="M26" s="207" t="s">
        <v>788</v>
      </c>
      <c r="N26" s="207" t="s">
        <v>779</v>
      </c>
      <c r="O26" s="207" t="s">
        <v>793</v>
      </c>
      <c r="P26" s="208" t="s">
        <v>176</v>
      </c>
      <c r="Q26" s="208">
        <v>21</v>
      </c>
      <c r="R26" s="207" t="s">
        <v>654</v>
      </c>
      <c r="S26" s="208" t="s">
        <v>664</v>
      </c>
      <c r="T26" s="209">
        <v>5723</v>
      </c>
      <c r="U26" s="208">
        <v>572.30000000000007</v>
      </c>
      <c r="V26" s="209">
        <v>286.15000000000003</v>
      </c>
      <c r="W26" s="209">
        <v>6009.1500000000005</v>
      </c>
      <c r="X26"/>
      <c r="Y26"/>
      <c r="Z26"/>
      <c r="AA26"/>
      <c r="AB26"/>
      <c r="AC26"/>
      <c r="AD26"/>
      <c r="AE26"/>
      <c r="AF26"/>
      <c r="AG26"/>
      <c r="AH26"/>
      <c r="AI26"/>
    </row>
    <row r="27" spans="1:35" ht="14.4" x14ac:dyDescent="0.3">
      <c r="A27" s="207" t="s">
        <v>736</v>
      </c>
      <c r="B27" s="207" t="s">
        <v>737</v>
      </c>
      <c r="C27" s="207" t="s">
        <v>738</v>
      </c>
      <c r="D27" s="208" t="s">
        <v>181</v>
      </c>
      <c r="E27" s="208">
        <v>27</v>
      </c>
      <c r="F27" s="207" t="s">
        <v>654</v>
      </c>
      <c r="G27" s="208" t="s">
        <v>739</v>
      </c>
      <c r="H27" s="209">
        <v>2942</v>
      </c>
      <c r="I27" s="208">
        <f t="shared" si="0"/>
        <v>294.2</v>
      </c>
      <c r="J27" s="209">
        <f t="shared" si="1"/>
        <v>147.1</v>
      </c>
      <c r="K27" s="209">
        <f t="shared" si="2"/>
        <v>3089.1</v>
      </c>
      <c r="M27" s="207" t="s">
        <v>794</v>
      </c>
      <c r="N27" s="207" t="s">
        <v>771</v>
      </c>
      <c r="O27" s="207" t="s">
        <v>795</v>
      </c>
      <c r="P27" s="208" t="s">
        <v>176</v>
      </c>
      <c r="Q27" s="208">
        <v>21</v>
      </c>
      <c r="R27" s="207" t="s">
        <v>654</v>
      </c>
      <c r="S27" s="208" t="s">
        <v>739</v>
      </c>
      <c r="T27" s="209">
        <v>5622</v>
      </c>
      <c r="U27" s="208">
        <v>562.20000000000005</v>
      </c>
      <c r="V27" s="209">
        <v>281.10000000000002</v>
      </c>
      <c r="W27" s="209">
        <v>5903.0999999999995</v>
      </c>
      <c r="X27"/>
      <c r="Y27"/>
      <c r="Z27"/>
      <c r="AA27"/>
      <c r="AB27"/>
      <c r="AC27"/>
      <c r="AD27"/>
      <c r="AE27"/>
      <c r="AF27"/>
      <c r="AG27"/>
      <c r="AH27"/>
      <c r="AI27"/>
    </row>
    <row r="28" spans="1:35" ht="14.4" x14ac:dyDescent="0.3">
      <c r="A28" s="207" t="s">
        <v>694</v>
      </c>
      <c r="B28" s="207" t="s">
        <v>740</v>
      </c>
      <c r="C28" s="207" t="s">
        <v>741</v>
      </c>
      <c r="D28" s="208" t="s">
        <v>181</v>
      </c>
      <c r="E28" s="208">
        <v>24</v>
      </c>
      <c r="F28" s="207" t="s">
        <v>726</v>
      </c>
      <c r="G28" s="208" t="s">
        <v>739</v>
      </c>
      <c r="H28" s="209">
        <v>2466</v>
      </c>
      <c r="I28" s="208">
        <f t="shared" si="0"/>
        <v>246.60000000000002</v>
      </c>
      <c r="J28" s="209">
        <f t="shared" si="1"/>
        <v>123.30000000000001</v>
      </c>
      <c r="K28" s="209">
        <f t="shared" si="2"/>
        <v>2589.2999999999997</v>
      </c>
      <c r="M28" s="207" t="s">
        <v>797</v>
      </c>
      <c r="N28" s="207" t="s">
        <v>769</v>
      </c>
      <c r="O28" s="207" t="s">
        <v>800</v>
      </c>
      <c r="P28" s="208" t="s">
        <v>176</v>
      </c>
      <c r="Q28" s="208">
        <v>29</v>
      </c>
      <c r="R28" s="207" t="s">
        <v>658</v>
      </c>
      <c r="S28" s="208" t="s">
        <v>671</v>
      </c>
      <c r="T28" s="209">
        <v>4364</v>
      </c>
      <c r="U28" s="208">
        <v>436.40000000000003</v>
      </c>
      <c r="V28" s="209">
        <v>218.20000000000002</v>
      </c>
      <c r="W28" s="209">
        <v>4582.2</v>
      </c>
      <c r="X28"/>
      <c r="Y28"/>
      <c r="Z28"/>
      <c r="AA28"/>
      <c r="AB28"/>
      <c r="AC28"/>
      <c r="AD28"/>
      <c r="AE28"/>
      <c r="AF28"/>
      <c r="AG28"/>
      <c r="AH28"/>
      <c r="AI28"/>
    </row>
    <row r="29" spans="1:35" ht="14.4" x14ac:dyDescent="0.3">
      <c r="A29" s="207" t="s">
        <v>645</v>
      </c>
      <c r="B29" s="207" t="s">
        <v>715</v>
      </c>
      <c r="C29" s="207" t="s">
        <v>675</v>
      </c>
      <c r="D29" s="208" t="s">
        <v>176</v>
      </c>
      <c r="E29" s="208">
        <v>29</v>
      </c>
      <c r="F29" s="207" t="s">
        <v>663</v>
      </c>
      <c r="G29" s="208" t="s">
        <v>742</v>
      </c>
      <c r="H29" s="209">
        <v>2351</v>
      </c>
      <c r="I29" s="208">
        <f t="shared" si="0"/>
        <v>235.10000000000002</v>
      </c>
      <c r="J29" s="209">
        <f t="shared" si="1"/>
        <v>117.55000000000001</v>
      </c>
      <c r="K29" s="209">
        <f t="shared" si="2"/>
        <v>2468.5499999999997</v>
      </c>
      <c r="M29" s="207" t="s">
        <v>774</v>
      </c>
      <c r="N29" s="207" t="s">
        <v>690</v>
      </c>
      <c r="O29" s="207" t="s">
        <v>801</v>
      </c>
      <c r="P29" s="208" t="s">
        <v>176</v>
      </c>
      <c r="Q29" s="208">
        <v>27</v>
      </c>
      <c r="R29" s="207" t="s">
        <v>658</v>
      </c>
      <c r="S29" s="208" t="s">
        <v>766</v>
      </c>
      <c r="T29" s="209">
        <v>3256</v>
      </c>
      <c r="U29" s="208">
        <v>325.60000000000002</v>
      </c>
      <c r="V29" s="209">
        <v>162.80000000000001</v>
      </c>
      <c r="W29" s="209">
        <v>3418.7999999999997</v>
      </c>
      <c r="X29"/>
      <c r="Y29"/>
      <c r="Z29"/>
      <c r="AA29"/>
      <c r="AB29"/>
      <c r="AC29"/>
      <c r="AD29"/>
      <c r="AE29"/>
      <c r="AF29"/>
      <c r="AG29"/>
      <c r="AH29"/>
      <c r="AI29"/>
    </row>
    <row r="30" spans="1:35" ht="14.4" x14ac:dyDescent="0.3">
      <c r="A30" s="207" t="s">
        <v>743</v>
      </c>
      <c r="B30" s="207" t="s">
        <v>744</v>
      </c>
      <c r="C30" s="207" t="s">
        <v>745</v>
      </c>
      <c r="D30" s="208" t="s">
        <v>176</v>
      </c>
      <c r="E30" s="208">
        <v>22</v>
      </c>
      <c r="F30" s="207" t="s">
        <v>658</v>
      </c>
      <c r="G30" s="208" t="s">
        <v>720</v>
      </c>
      <c r="H30" s="209">
        <v>2248</v>
      </c>
      <c r="I30" s="208">
        <f t="shared" si="0"/>
        <v>224.8</v>
      </c>
      <c r="J30" s="209">
        <f t="shared" si="1"/>
        <v>112.4</v>
      </c>
      <c r="K30" s="209">
        <f t="shared" si="2"/>
        <v>2360.4</v>
      </c>
      <c r="M30" s="207" t="s">
        <v>827</v>
      </c>
      <c r="N30" s="207" t="s">
        <v>775</v>
      </c>
      <c r="O30" s="207" t="s">
        <v>829</v>
      </c>
      <c r="P30" s="208" t="s">
        <v>176</v>
      </c>
      <c r="Q30" s="208">
        <v>29</v>
      </c>
      <c r="R30" s="207" t="s">
        <v>654</v>
      </c>
      <c r="S30" s="208" t="s">
        <v>701</v>
      </c>
      <c r="T30" s="209">
        <v>1565</v>
      </c>
      <c r="U30" s="208">
        <v>156.5</v>
      </c>
      <c r="V30" s="209">
        <v>78.25</v>
      </c>
      <c r="W30" s="209">
        <v>1643.25</v>
      </c>
      <c r="X30"/>
      <c r="Y30"/>
      <c r="Z30"/>
      <c r="AA30"/>
      <c r="AB30"/>
      <c r="AC30"/>
      <c r="AD30"/>
      <c r="AE30"/>
      <c r="AF30"/>
      <c r="AG30"/>
      <c r="AH30"/>
      <c r="AI30"/>
    </row>
    <row r="31" spans="1:35" ht="14.4" x14ac:dyDescent="0.3">
      <c r="A31" s="211" t="s">
        <v>743</v>
      </c>
      <c r="B31" s="207" t="s">
        <v>744</v>
      </c>
      <c r="C31" s="207" t="s">
        <v>746</v>
      </c>
      <c r="D31" s="208" t="s">
        <v>181</v>
      </c>
      <c r="E31" s="208">
        <v>26</v>
      </c>
      <c r="F31" s="207" t="s">
        <v>663</v>
      </c>
      <c r="G31" s="208" t="s">
        <v>685</v>
      </c>
      <c r="H31" s="209">
        <v>2070</v>
      </c>
      <c r="I31" s="208">
        <f t="shared" si="0"/>
        <v>207</v>
      </c>
      <c r="J31" s="209">
        <f t="shared" si="1"/>
        <v>103.5</v>
      </c>
      <c r="K31" s="209">
        <f t="shared" si="2"/>
        <v>2173.5</v>
      </c>
      <c r="M31" s="339" t="s">
        <v>834</v>
      </c>
      <c r="N31" s="339" t="s">
        <v>697</v>
      </c>
      <c r="O31" s="339" t="s">
        <v>835</v>
      </c>
      <c r="P31" s="340" t="s">
        <v>176</v>
      </c>
      <c r="Q31" s="340">
        <v>26</v>
      </c>
      <c r="R31" s="339" t="s">
        <v>710</v>
      </c>
      <c r="S31" s="340" t="s">
        <v>727</v>
      </c>
      <c r="T31" s="341">
        <v>7061</v>
      </c>
      <c r="U31" s="340">
        <v>706.1</v>
      </c>
      <c r="V31" s="341">
        <v>353.05</v>
      </c>
      <c r="W31" s="341">
        <v>7414.05</v>
      </c>
      <c r="X31"/>
      <c r="Y31"/>
      <c r="Z31"/>
      <c r="AA31"/>
      <c r="AB31"/>
      <c r="AC31"/>
      <c r="AD31"/>
      <c r="AE31"/>
      <c r="AF31"/>
      <c r="AG31"/>
      <c r="AH31"/>
      <c r="AI31"/>
    </row>
    <row r="32" spans="1:35" ht="14.4" x14ac:dyDescent="0.3">
      <c r="A32" s="207" t="s">
        <v>747</v>
      </c>
      <c r="B32" s="207" t="s">
        <v>748</v>
      </c>
      <c r="C32" s="207" t="s">
        <v>749</v>
      </c>
      <c r="D32" s="208" t="s">
        <v>181</v>
      </c>
      <c r="E32" s="208">
        <v>29</v>
      </c>
      <c r="F32" s="207" t="s">
        <v>647</v>
      </c>
      <c r="G32" s="208" t="s">
        <v>713</v>
      </c>
      <c r="H32" s="209">
        <v>1819</v>
      </c>
      <c r="I32" s="208">
        <f t="shared" si="0"/>
        <v>181.9</v>
      </c>
      <c r="J32" s="209">
        <f t="shared" si="1"/>
        <v>90.95</v>
      </c>
      <c r="K32" s="209">
        <f t="shared" si="2"/>
        <v>1909.95</v>
      </c>
      <c r="M32"/>
      <c r="N32"/>
      <c r="O32"/>
      <c r="P32"/>
      <c r="Q32"/>
      <c r="R32"/>
      <c r="S32"/>
      <c r="T32"/>
      <c r="U32"/>
      <c r="V32"/>
      <c r="W32"/>
      <c r="X32"/>
      <c r="Y32"/>
      <c r="Z32"/>
      <c r="AA32"/>
      <c r="AB32"/>
      <c r="AC32"/>
      <c r="AD32"/>
      <c r="AE32"/>
      <c r="AF32"/>
      <c r="AG32"/>
      <c r="AH32"/>
      <c r="AI32"/>
    </row>
    <row r="33" spans="1:35" ht="14.4" x14ac:dyDescent="0.3">
      <c r="A33" s="207" t="s">
        <v>750</v>
      </c>
      <c r="B33" s="207" t="s">
        <v>751</v>
      </c>
      <c r="C33" s="207" t="s">
        <v>665</v>
      </c>
      <c r="D33" s="208" t="s">
        <v>176</v>
      </c>
      <c r="E33" s="208">
        <v>29</v>
      </c>
      <c r="F33" s="211" t="s">
        <v>723</v>
      </c>
      <c r="G33" s="208" t="s">
        <v>727</v>
      </c>
      <c r="H33" s="209">
        <v>2665</v>
      </c>
      <c r="I33" s="208">
        <f t="shared" si="0"/>
        <v>266.5</v>
      </c>
      <c r="J33" s="209">
        <f t="shared" si="1"/>
        <v>133.25</v>
      </c>
      <c r="K33" s="209">
        <f t="shared" si="2"/>
        <v>2798.25</v>
      </c>
      <c r="M33"/>
      <c r="N33"/>
      <c r="O33"/>
      <c r="P33"/>
      <c r="Q33"/>
      <c r="R33"/>
      <c r="S33"/>
      <c r="T33"/>
      <c r="U33"/>
      <c r="V33"/>
      <c r="W33"/>
      <c r="X33"/>
      <c r="Y33"/>
      <c r="Z33"/>
      <c r="AA33"/>
      <c r="AB33"/>
      <c r="AC33"/>
      <c r="AD33"/>
      <c r="AE33"/>
      <c r="AF33"/>
      <c r="AG33"/>
      <c r="AH33"/>
      <c r="AI33"/>
    </row>
    <row r="34" spans="1:35" ht="14.4" x14ac:dyDescent="0.3">
      <c r="A34" s="207" t="s">
        <v>752</v>
      </c>
      <c r="B34" s="207" t="s">
        <v>753</v>
      </c>
      <c r="C34" s="207" t="s">
        <v>754</v>
      </c>
      <c r="D34" s="208" t="s">
        <v>181</v>
      </c>
      <c r="E34" s="208">
        <v>35</v>
      </c>
      <c r="F34" s="207" t="s">
        <v>658</v>
      </c>
      <c r="G34" s="208" t="s">
        <v>671</v>
      </c>
      <c r="H34" s="209">
        <v>3670</v>
      </c>
      <c r="I34" s="208">
        <f t="shared" si="0"/>
        <v>367</v>
      </c>
      <c r="J34" s="209">
        <f t="shared" si="1"/>
        <v>183.5</v>
      </c>
      <c r="K34" s="209">
        <f t="shared" si="2"/>
        <v>3853.5</v>
      </c>
      <c r="M34" t="s">
        <v>901</v>
      </c>
      <c r="N34"/>
      <c r="O34"/>
      <c r="P34" t="s">
        <v>903</v>
      </c>
      <c r="Q34"/>
      <c r="R34"/>
      <c r="S34"/>
      <c r="T34"/>
      <c r="U34"/>
      <c r="V34"/>
      <c r="W34"/>
      <c r="X34"/>
      <c r="Y34"/>
      <c r="Z34"/>
      <c r="AA34"/>
      <c r="AB34"/>
      <c r="AC34"/>
      <c r="AD34"/>
      <c r="AE34"/>
      <c r="AF34"/>
      <c r="AG34"/>
      <c r="AH34"/>
      <c r="AI34"/>
    </row>
    <row r="35" spans="1:35" ht="14.4" x14ac:dyDescent="0.3">
      <c r="A35" s="207" t="s">
        <v>755</v>
      </c>
      <c r="B35" s="207" t="s">
        <v>645</v>
      </c>
      <c r="C35" s="207" t="s">
        <v>738</v>
      </c>
      <c r="D35" s="208" t="s">
        <v>181</v>
      </c>
      <c r="E35" s="208">
        <v>27</v>
      </c>
      <c r="F35" s="207" t="s">
        <v>658</v>
      </c>
      <c r="G35" s="208" t="s">
        <v>664</v>
      </c>
      <c r="H35" s="209">
        <v>3060</v>
      </c>
      <c r="I35" s="208">
        <f t="shared" si="0"/>
        <v>306</v>
      </c>
      <c r="J35" s="209">
        <f t="shared" si="1"/>
        <v>153</v>
      </c>
      <c r="K35" s="209">
        <f t="shared" si="2"/>
        <v>3213</v>
      </c>
      <c r="M35" s="94" t="s">
        <v>904</v>
      </c>
      <c r="R35"/>
      <c r="S35"/>
      <c r="T35"/>
      <c r="U35"/>
      <c r="V35"/>
      <c r="W35"/>
      <c r="X35"/>
      <c r="Y35"/>
      <c r="Z35"/>
      <c r="AA35"/>
      <c r="AB35"/>
      <c r="AC35"/>
      <c r="AD35"/>
      <c r="AE35"/>
      <c r="AF35"/>
      <c r="AG35"/>
      <c r="AH35"/>
      <c r="AI35"/>
    </row>
    <row r="36" spans="1:35" ht="14.4" x14ac:dyDescent="0.3">
      <c r="A36" s="207" t="s">
        <v>756</v>
      </c>
      <c r="B36" s="207" t="s">
        <v>696</v>
      </c>
      <c r="C36" s="207" t="s">
        <v>757</v>
      </c>
      <c r="D36" s="208" t="s">
        <v>176</v>
      </c>
      <c r="E36" s="208">
        <v>48</v>
      </c>
      <c r="F36" s="207" t="s">
        <v>710</v>
      </c>
      <c r="G36" s="208" t="s">
        <v>671</v>
      </c>
      <c r="H36" s="209">
        <v>4020</v>
      </c>
      <c r="I36" s="208">
        <f t="shared" si="0"/>
        <v>402</v>
      </c>
      <c r="J36" s="209">
        <f t="shared" si="1"/>
        <v>201</v>
      </c>
      <c r="K36" s="209">
        <f t="shared" si="2"/>
        <v>4221</v>
      </c>
      <c r="M36" s="99" t="s">
        <v>660</v>
      </c>
      <c r="P36"/>
      <c r="Q36"/>
      <c r="R36"/>
      <c r="S36"/>
      <c r="T36"/>
      <c r="U36"/>
      <c r="V36"/>
      <c r="W36"/>
      <c r="X36"/>
      <c r="Y36"/>
      <c r="Z36"/>
      <c r="AA36"/>
      <c r="AB36"/>
      <c r="AC36"/>
      <c r="AD36"/>
      <c r="AE36"/>
      <c r="AF36"/>
      <c r="AG36"/>
      <c r="AH36"/>
      <c r="AI36"/>
    </row>
    <row r="37" spans="1:35" ht="14.4" x14ac:dyDescent="0.3">
      <c r="A37" s="207" t="s">
        <v>751</v>
      </c>
      <c r="B37" s="207" t="s">
        <v>707</v>
      </c>
      <c r="C37" s="207" t="s">
        <v>758</v>
      </c>
      <c r="D37" s="208" t="s">
        <v>176</v>
      </c>
      <c r="E37" s="208">
        <v>24</v>
      </c>
      <c r="F37" s="207" t="s">
        <v>647</v>
      </c>
      <c r="G37" s="208" t="s">
        <v>699</v>
      </c>
      <c r="H37" s="209">
        <v>4135</v>
      </c>
      <c r="I37" s="208">
        <f t="shared" si="0"/>
        <v>413.5</v>
      </c>
      <c r="J37" s="209">
        <f t="shared" si="1"/>
        <v>206.75</v>
      </c>
      <c r="K37" s="209">
        <f t="shared" si="2"/>
        <v>4341.75</v>
      </c>
      <c r="M37" s="204" t="s">
        <v>166</v>
      </c>
      <c r="N37" s="204" t="s">
        <v>633</v>
      </c>
      <c r="O37" s="204" t="s">
        <v>634</v>
      </c>
      <c r="S37"/>
      <c r="T37"/>
      <c r="U37"/>
      <c r="V37"/>
      <c r="W37"/>
      <c r="X37"/>
      <c r="Y37"/>
      <c r="Z37"/>
      <c r="AA37"/>
      <c r="AB37"/>
      <c r="AC37"/>
      <c r="AD37"/>
      <c r="AE37"/>
      <c r="AF37"/>
      <c r="AG37"/>
      <c r="AH37"/>
      <c r="AI37"/>
    </row>
    <row r="38" spans="1:35" ht="14.4" x14ac:dyDescent="0.3">
      <c r="A38" s="207" t="s">
        <v>759</v>
      </c>
      <c r="B38" s="207" t="s">
        <v>760</v>
      </c>
      <c r="C38" s="207" t="s">
        <v>761</v>
      </c>
      <c r="D38" s="208" t="s">
        <v>181</v>
      </c>
      <c r="E38" s="208">
        <v>38</v>
      </c>
      <c r="F38" s="210" t="s">
        <v>658</v>
      </c>
      <c r="G38" s="208" t="s">
        <v>713</v>
      </c>
      <c r="H38" s="209">
        <v>3700</v>
      </c>
      <c r="I38" s="208">
        <f t="shared" si="0"/>
        <v>370</v>
      </c>
      <c r="J38" s="209">
        <f t="shared" si="1"/>
        <v>185</v>
      </c>
      <c r="K38" s="209">
        <f t="shared" si="2"/>
        <v>3885</v>
      </c>
      <c r="M38" s="227" t="s">
        <v>176</v>
      </c>
      <c r="N38" s="227" t="s">
        <v>902</v>
      </c>
      <c r="O38" s="349" t="s">
        <v>663</v>
      </c>
      <c r="P38" s="344"/>
      <c r="Q38" s="344"/>
      <c r="R38" s="343"/>
      <c r="S38" s="344"/>
      <c r="T38" s="345"/>
      <c r="U38" s="344"/>
      <c r="V38" s="345"/>
      <c r="W38" s="345"/>
      <c r="X38"/>
      <c r="Y38"/>
      <c r="Z38"/>
      <c r="AA38"/>
      <c r="AB38"/>
      <c r="AC38"/>
      <c r="AD38"/>
      <c r="AE38"/>
      <c r="AF38"/>
      <c r="AG38"/>
      <c r="AH38"/>
      <c r="AI38"/>
    </row>
    <row r="39" spans="1:35" ht="14.4" x14ac:dyDescent="0.3">
      <c r="A39" s="207" t="s">
        <v>762</v>
      </c>
      <c r="B39" s="207" t="s">
        <v>728</v>
      </c>
      <c r="C39" s="207" t="s">
        <v>763</v>
      </c>
      <c r="D39" s="208" t="s">
        <v>181</v>
      </c>
      <c r="E39" s="208">
        <v>39</v>
      </c>
      <c r="F39" s="207" t="s">
        <v>710</v>
      </c>
      <c r="G39" s="208" t="s">
        <v>764</v>
      </c>
      <c r="H39" s="209">
        <v>4023</v>
      </c>
      <c r="I39" s="208">
        <f t="shared" si="0"/>
        <v>402.3</v>
      </c>
      <c r="J39" s="209">
        <f t="shared" si="1"/>
        <v>201.15</v>
      </c>
      <c r="K39" s="209">
        <f t="shared" si="2"/>
        <v>4224.1500000000005</v>
      </c>
      <c r="M39"/>
      <c r="N39"/>
      <c r="O39"/>
      <c r="P39"/>
      <c r="Q39"/>
      <c r="R39"/>
      <c r="V39"/>
      <c r="W39"/>
      <c r="X39"/>
      <c r="Y39"/>
      <c r="Z39"/>
      <c r="AA39"/>
      <c r="AB39"/>
      <c r="AC39"/>
      <c r="AD39"/>
      <c r="AE39"/>
      <c r="AF39"/>
      <c r="AG39"/>
      <c r="AH39"/>
      <c r="AI39"/>
    </row>
    <row r="40" spans="1:35" ht="14.4" x14ac:dyDescent="0.3">
      <c r="A40" s="207" t="s">
        <v>737</v>
      </c>
      <c r="B40" s="207" t="s">
        <v>762</v>
      </c>
      <c r="C40" s="207" t="s">
        <v>765</v>
      </c>
      <c r="D40" s="208" t="s">
        <v>181</v>
      </c>
      <c r="E40" s="208">
        <v>32</v>
      </c>
      <c r="F40" s="211" t="s">
        <v>723</v>
      </c>
      <c r="G40" s="208" t="s">
        <v>766</v>
      </c>
      <c r="H40" s="209">
        <v>3600</v>
      </c>
      <c r="I40" s="208">
        <f t="shared" si="0"/>
        <v>360</v>
      </c>
      <c r="J40" s="209">
        <f t="shared" si="1"/>
        <v>180</v>
      </c>
      <c r="K40" s="209">
        <f t="shared" si="2"/>
        <v>3780</v>
      </c>
      <c r="M40"/>
      <c r="N40"/>
      <c r="O40"/>
      <c r="P40"/>
      <c r="Q40"/>
      <c r="R40"/>
      <c r="V40"/>
      <c r="W40"/>
      <c r="X40"/>
      <c r="Y40"/>
      <c r="Z40"/>
      <c r="AA40"/>
      <c r="AB40"/>
      <c r="AC40"/>
      <c r="AD40"/>
      <c r="AE40"/>
      <c r="AF40"/>
      <c r="AG40"/>
      <c r="AH40"/>
      <c r="AI40"/>
    </row>
    <row r="41" spans="1:35" ht="14.4" x14ac:dyDescent="0.3">
      <c r="A41" s="207" t="s">
        <v>744</v>
      </c>
      <c r="B41" s="207" t="s">
        <v>681</v>
      </c>
      <c r="C41" s="207" t="s">
        <v>732</v>
      </c>
      <c r="D41" s="208" t="s">
        <v>176</v>
      </c>
      <c r="E41" s="208">
        <v>28</v>
      </c>
      <c r="F41" s="211" t="s">
        <v>723</v>
      </c>
      <c r="G41" s="208" t="s">
        <v>739</v>
      </c>
      <c r="H41" s="209">
        <v>2747</v>
      </c>
      <c r="I41" s="208">
        <f t="shared" si="0"/>
        <v>274.7</v>
      </c>
      <c r="J41" s="209">
        <f t="shared" si="1"/>
        <v>137.35</v>
      </c>
      <c r="K41" s="209">
        <f t="shared" si="2"/>
        <v>2884.35</v>
      </c>
      <c r="M41"/>
      <c r="N41"/>
      <c r="O41"/>
      <c r="P41"/>
      <c r="Q41"/>
      <c r="R41"/>
      <c r="V41"/>
      <c r="W41"/>
      <c r="X41"/>
      <c r="Y41"/>
      <c r="Z41"/>
      <c r="AA41"/>
      <c r="AB41"/>
      <c r="AC41"/>
      <c r="AD41"/>
      <c r="AE41"/>
      <c r="AF41"/>
      <c r="AG41"/>
      <c r="AH41"/>
      <c r="AI41"/>
    </row>
    <row r="42" spans="1:35" ht="14.4" x14ac:dyDescent="0.3">
      <c r="A42" s="207" t="s">
        <v>652</v>
      </c>
      <c r="B42" s="207" t="s">
        <v>767</v>
      </c>
      <c r="C42" s="207" t="s">
        <v>768</v>
      </c>
      <c r="D42" s="208" t="s">
        <v>181</v>
      </c>
      <c r="E42" s="208">
        <v>26</v>
      </c>
      <c r="F42" s="207" t="s">
        <v>654</v>
      </c>
      <c r="G42" s="208" t="s">
        <v>685</v>
      </c>
      <c r="H42" s="209">
        <v>3861</v>
      </c>
      <c r="I42" s="208">
        <f t="shared" si="0"/>
        <v>386.1</v>
      </c>
      <c r="J42" s="209">
        <f t="shared" si="1"/>
        <v>193.05</v>
      </c>
      <c r="K42" s="209">
        <f t="shared" si="2"/>
        <v>4054.05</v>
      </c>
      <c r="M42" s="205" t="s">
        <v>630</v>
      </c>
      <c r="N42" s="205" t="s">
        <v>631</v>
      </c>
      <c r="O42" s="205" t="s">
        <v>632</v>
      </c>
      <c r="P42" s="204" t="s">
        <v>166</v>
      </c>
      <c r="Q42" s="204" t="s">
        <v>633</v>
      </c>
      <c r="R42" s="205" t="s">
        <v>634</v>
      </c>
      <c r="V42"/>
      <c r="W42"/>
      <c r="X42"/>
      <c r="Y42"/>
      <c r="Z42"/>
      <c r="AA42"/>
      <c r="AB42"/>
      <c r="AC42"/>
      <c r="AD42"/>
      <c r="AE42"/>
      <c r="AF42"/>
      <c r="AG42"/>
      <c r="AH42"/>
      <c r="AI42"/>
    </row>
    <row r="43" spans="1:35" ht="14.4" x14ac:dyDescent="0.3">
      <c r="A43" s="207" t="s">
        <v>769</v>
      </c>
      <c r="B43" s="207" t="s">
        <v>747</v>
      </c>
      <c r="C43" s="207" t="s">
        <v>770</v>
      </c>
      <c r="D43" s="208" t="s">
        <v>181</v>
      </c>
      <c r="E43" s="208">
        <v>29</v>
      </c>
      <c r="F43" s="211" t="s">
        <v>723</v>
      </c>
      <c r="G43" s="208" t="s">
        <v>659</v>
      </c>
      <c r="H43" s="209">
        <v>5414</v>
      </c>
      <c r="I43" s="208">
        <f t="shared" si="0"/>
        <v>541.4</v>
      </c>
      <c r="J43" s="209">
        <f t="shared" si="1"/>
        <v>270.7</v>
      </c>
      <c r="K43" s="209">
        <f t="shared" si="2"/>
        <v>5684.7</v>
      </c>
      <c r="M43" s="207" t="s">
        <v>655</v>
      </c>
      <c r="N43" s="207" t="s">
        <v>661</v>
      </c>
      <c r="O43" s="207" t="s">
        <v>662</v>
      </c>
      <c r="P43" s="208" t="s">
        <v>176</v>
      </c>
      <c r="Q43" s="208">
        <v>41</v>
      </c>
      <c r="R43" s="207" t="s">
        <v>663</v>
      </c>
      <c r="S43"/>
      <c r="T43"/>
      <c r="U43"/>
      <c r="V43"/>
      <c r="W43"/>
      <c r="X43"/>
      <c r="Y43"/>
      <c r="Z43"/>
      <c r="AA43"/>
      <c r="AB43"/>
      <c r="AC43"/>
      <c r="AD43"/>
      <c r="AE43"/>
      <c r="AF43"/>
      <c r="AG43"/>
      <c r="AH43"/>
      <c r="AI43"/>
    </row>
    <row r="44" spans="1:35" ht="14.4" x14ac:dyDescent="0.3">
      <c r="A44" s="207" t="s">
        <v>771</v>
      </c>
      <c r="B44" s="207" t="s">
        <v>651</v>
      </c>
      <c r="C44" s="207" t="s">
        <v>772</v>
      </c>
      <c r="D44" s="208" t="s">
        <v>181</v>
      </c>
      <c r="E44" s="208">
        <v>28</v>
      </c>
      <c r="F44" s="211" t="s">
        <v>723</v>
      </c>
      <c r="G44" s="208" t="s">
        <v>766</v>
      </c>
      <c r="H44" s="209">
        <v>1397</v>
      </c>
      <c r="I44" s="208">
        <f t="shared" si="0"/>
        <v>139.70000000000002</v>
      </c>
      <c r="J44" s="209">
        <f t="shared" si="1"/>
        <v>69.850000000000009</v>
      </c>
      <c r="K44" s="209">
        <f t="shared" si="2"/>
        <v>1466.8500000000001</v>
      </c>
      <c r="M44" s="207" t="s">
        <v>674</v>
      </c>
      <c r="N44" s="207" t="s">
        <v>15</v>
      </c>
      <c r="O44" s="207" t="s">
        <v>675</v>
      </c>
      <c r="P44" s="208" t="s">
        <v>176</v>
      </c>
      <c r="Q44" s="208">
        <v>35</v>
      </c>
      <c r="R44" s="207" t="s">
        <v>663</v>
      </c>
      <c r="S44"/>
      <c r="T44"/>
      <c r="U44"/>
      <c r="V44"/>
      <c r="W44"/>
      <c r="X44"/>
      <c r="Y44"/>
      <c r="Z44"/>
      <c r="AA44"/>
      <c r="AB44"/>
      <c r="AC44"/>
      <c r="AD44"/>
      <c r="AE44"/>
      <c r="AF44"/>
      <c r="AG44"/>
      <c r="AH44"/>
      <c r="AI44"/>
    </row>
    <row r="45" spans="1:35" ht="14.4" x14ac:dyDescent="0.3">
      <c r="A45" s="207" t="s">
        <v>773</v>
      </c>
      <c r="B45" s="207" t="s">
        <v>762</v>
      </c>
      <c r="C45" s="207" t="s">
        <v>732</v>
      </c>
      <c r="D45" s="208" t="s">
        <v>176</v>
      </c>
      <c r="E45" s="208">
        <v>25</v>
      </c>
      <c r="F45" s="207" t="s">
        <v>654</v>
      </c>
      <c r="G45" s="208" t="s">
        <v>720</v>
      </c>
      <c r="H45" s="209">
        <v>2460</v>
      </c>
      <c r="I45" s="208">
        <f t="shared" si="0"/>
        <v>246</v>
      </c>
      <c r="J45" s="209">
        <f t="shared" si="1"/>
        <v>123</v>
      </c>
      <c r="K45" s="209">
        <f t="shared" si="2"/>
        <v>2583</v>
      </c>
      <c r="M45" s="207" t="s">
        <v>705</v>
      </c>
      <c r="N45" s="207" t="s">
        <v>706</v>
      </c>
      <c r="O45" s="207" t="s">
        <v>657</v>
      </c>
      <c r="P45" s="208" t="s">
        <v>176</v>
      </c>
      <c r="Q45" s="208">
        <v>28</v>
      </c>
      <c r="R45" s="207" t="s">
        <v>663</v>
      </c>
      <c r="S45"/>
      <c r="T45"/>
      <c r="U45"/>
      <c r="V45"/>
      <c r="W45"/>
      <c r="X45"/>
      <c r="Y45"/>
      <c r="Z45"/>
      <c r="AA45"/>
      <c r="AB45"/>
      <c r="AC45"/>
      <c r="AD45"/>
      <c r="AE45"/>
      <c r="AF45"/>
      <c r="AG45"/>
      <c r="AH45"/>
      <c r="AI45"/>
    </row>
    <row r="46" spans="1:35" ht="14.4" x14ac:dyDescent="0.3">
      <c r="A46" s="207" t="s">
        <v>400</v>
      </c>
      <c r="B46" s="207" t="s">
        <v>774</v>
      </c>
      <c r="C46" s="207" t="s">
        <v>717</v>
      </c>
      <c r="D46" s="208" t="s">
        <v>176</v>
      </c>
      <c r="E46" s="208">
        <v>24</v>
      </c>
      <c r="F46" s="207" t="s">
        <v>710</v>
      </c>
      <c r="G46" s="208" t="s">
        <v>764</v>
      </c>
      <c r="H46" s="209">
        <v>2479</v>
      </c>
      <c r="I46" s="208">
        <f t="shared" si="0"/>
        <v>247.9</v>
      </c>
      <c r="J46" s="209">
        <f t="shared" si="1"/>
        <v>123.95</v>
      </c>
      <c r="K46" s="209">
        <f t="shared" si="2"/>
        <v>2602.9500000000003</v>
      </c>
      <c r="M46" s="207" t="s">
        <v>718</v>
      </c>
      <c r="N46" s="207" t="s">
        <v>719</v>
      </c>
      <c r="O46" s="207" t="s">
        <v>662</v>
      </c>
      <c r="P46" s="208" t="s">
        <v>176</v>
      </c>
      <c r="Q46" s="208">
        <v>39</v>
      </c>
      <c r="R46" s="207" t="s">
        <v>663</v>
      </c>
      <c r="S46"/>
      <c r="T46"/>
      <c r="U46"/>
      <c r="V46"/>
      <c r="W46"/>
      <c r="X46"/>
      <c r="Y46"/>
      <c r="Z46"/>
      <c r="AA46"/>
      <c r="AB46"/>
      <c r="AC46"/>
      <c r="AD46"/>
      <c r="AE46"/>
      <c r="AF46"/>
      <c r="AG46"/>
      <c r="AH46"/>
      <c r="AI46"/>
    </row>
    <row r="47" spans="1:35" ht="14.4" x14ac:dyDescent="0.3">
      <c r="A47" s="207" t="s">
        <v>775</v>
      </c>
      <c r="B47" s="207" t="s">
        <v>776</v>
      </c>
      <c r="C47" s="207" t="s">
        <v>777</v>
      </c>
      <c r="D47" s="208" t="s">
        <v>181</v>
      </c>
      <c r="E47" s="208">
        <v>30</v>
      </c>
      <c r="F47" s="207" t="s">
        <v>684</v>
      </c>
      <c r="G47" s="208" t="s">
        <v>677</v>
      </c>
      <c r="H47" s="209">
        <v>2367</v>
      </c>
      <c r="I47" s="208">
        <f t="shared" si="0"/>
        <v>236.70000000000002</v>
      </c>
      <c r="J47" s="209">
        <f t="shared" si="1"/>
        <v>118.35000000000001</v>
      </c>
      <c r="K47" s="209">
        <f t="shared" si="2"/>
        <v>2485.35</v>
      </c>
      <c r="M47" s="207" t="s">
        <v>730</v>
      </c>
      <c r="N47" s="207" t="s">
        <v>731</v>
      </c>
      <c r="O47" s="207" t="s">
        <v>732</v>
      </c>
      <c r="P47" s="208" t="s">
        <v>176</v>
      </c>
      <c r="Q47" s="208">
        <v>27</v>
      </c>
      <c r="R47" s="207" t="s">
        <v>663</v>
      </c>
      <c r="S47"/>
      <c r="T47"/>
      <c r="U47"/>
      <c r="V47"/>
      <c r="W47"/>
      <c r="X47"/>
      <c r="Y47"/>
      <c r="Z47"/>
      <c r="AA47"/>
      <c r="AB47"/>
      <c r="AC47"/>
      <c r="AD47"/>
      <c r="AE47"/>
      <c r="AF47"/>
      <c r="AG47"/>
      <c r="AH47"/>
      <c r="AI47"/>
    </row>
    <row r="48" spans="1:35" ht="14.4" x14ac:dyDescent="0.3">
      <c r="A48" s="207" t="s">
        <v>715</v>
      </c>
      <c r="B48" s="210" t="s">
        <v>668</v>
      </c>
      <c r="C48" s="207" t="s">
        <v>778</v>
      </c>
      <c r="D48" s="208" t="s">
        <v>176</v>
      </c>
      <c r="E48" s="208">
        <v>45</v>
      </c>
      <c r="F48" s="207" t="s">
        <v>647</v>
      </c>
      <c r="G48" s="208" t="s">
        <v>720</v>
      </c>
      <c r="H48" s="209">
        <v>6216</v>
      </c>
      <c r="I48" s="208">
        <f t="shared" si="0"/>
        <v>621.6</v>
      </c>
      <c r="J48" s="209">
        <f t="shared" si="1"/>
        <v>310.8</v>
      </c>
      <c r="K48" s="209">
        <f t="shared" si="2"/>
        <v>6526.8</v>
      </c>
      <c r="M48" s="207" t="s">
        <v>645</v>
      </c>
      <c r="N48" s="207" t="s">
        <v>715</v>
      </c>
      <c r="O48" s="207" t="s">
        <v>675</v>
      </c>
      <c r="P48" s="208" t="s">
        <v>176</v>
      </c>
      <c r="Q48" s="208">
        <v>29</v>
      </c>
      <c r="R48" s="207" t="s">
        <v>663</v>
      </c>
      <c r="S48"/>
      <c r="T48"/>
      <c r="U48"/>
      <c r="V48"/>
      <c r="W48"/>
      <c r="X48"/>
      <c r="Y48"/>
      <c r="Z48"/>
      <c r="AA48"/>
      <c r="AB48"/>
      <c r="AC48"/>
      <c r="AD48"/>
      <c r="AE48"/>
      <c r="AF48"/>
      <c r="AG48"/>
      <c r="AH48"/>
      <c r="AI48"/>
    </row>
    <row r="49" spans="1:35" ht="14.4" x14ac:dyDescent="0.3">
      <c r="A49" s="207" t="s">
        <v>779</v>
      </c>
      <c r="B49" s="211" t="s">
        <v>743</v>
      </c>
      <c r="C49" s="207" t="s">
        <v>780</v>
      </c>
      <c r="D49" s="208" t="s">
        <v>176</v>
      </c>
      <c r="E49" s="208">
        <v>22</v>
      </c>
      <c r="F49" s="207" t="s">
        <v>710</v>
      </c>
      <c r="G49" s="208" t="s">
        <v>766</v>
      </c>
      <c r="H49" s="209">
        <v>1330</v>
      </c>
      <c r="I49" s="208">
        <f t="shared" si="0"/>
        <v>133</v>
      </c>
      <c r="J49" s="209">
        <f t="shared" si="1"/>
        <v>66.5</v>
      </c>
      <c r="K49" s="209">
        <f t="shared" si="2"/>
        <v>1396.5</v>
      </c>
      <c r="M49" s="207" t="s">
        <v>790</v>
      </c>
      <c r="N49" s="207" t="s">
        <v>693</v>
      </c>
      <c r="O49" s="207" t="s">
        <v>789</v>
      </c>
      <c r="P49" s="208" t="s">
        <v>176</v>
      </c>
      <c r="Q49" s="208">
        <v>27</v>
      </c>
      <c r="R49" s="207" t="s">
        <v>663</v>
      </c>
      <c r="S49"/>
      <c r="T49"/>
      <c r="U49"/>
      <c r="V49"/>
      <c r="W49"/>
      <c r="X49"/>
      <c r="Y49"/>
      <c r="Z49"/>
      <c r="AA49"/>
      <c r="AB49"/>
      <c r="AC49"/>
      <c r="AD49"/>
      <c r="AE49"/>
      <c r="AF49"/>
      <c r="AG49"/>
      <c r="AH49"/>
      <c r="AI49"/>
    </row>
    <row r="50" spans="1:35" ht="14.4" x14ac:dyDescent="0.3">
      <c r="A50" s="207" t="s">
        <v>781</v>
      </c>
      <c r="B50" s="207" t="s">
        <v>782</v>
      </c>
      <c r="C50" s="207" t="s">
        <v>783</v>
      </c>
      <c r="D50" s="208" t="s">
        <v>181</v>
      </c>
      <c r="E50" s="208">
        <v>36</v>
      </c>
      <c r="F50" s="207" t="s">
        <v>658</v>
      </c>
      <c r="G50" s="208" t="s">
        <v>671</v>
      </c>
      <c r="H50" s="209">
        <v>4030</v>
      </c>
      <c r="I50" s="208">
        <f t="shared" si="0"/>
        <v>403</v>
      </c>
      <c r="J50" s="209">
        <f t="shared" si="1"/>
        <v>201.5</v>
      </c>
      <c r="K50" s="209">
        <f t="shared" si="2"/>
        <v>4231.5</v>
      </c>
      <c r="M50" s="207"/>
      <c r="N50" s="207"/>
      <c r="O50" s="207"/>
      <c r="P50" s="208"/>
      <c r="Q50" s="208"/>
      <c r="R50" s="207"/>
      <c r="S50"/>
      <c r="T50"/>
      <c r="U50"/>
      <c r="V50"/>
      <c r="W50"/>
      <c r="X50"/>
      <c r="Y50"/>
      <c r="Z50"/>
      <c r="AA50"/>
      <c r="AB50"/>
      <c r="AC50"/>
      <c r="AD50"/>
      <c r="AE50"/>
      <c r="AF50"/>
      <c r="AG50"/>
      <c r="AH50"/>
      <c r="AI50"/>
    </row>
    <row r="51" spans="1:35" ht="14.4" x14ac:dyDescent="0.3">
      <c r="A51" s="207" t="s">
        <v>696</v>
      </c>
      <c r="B51" s="207" t="s">
        <v>697</v>
      </c>
      <c r="C51" s="207" t="s">
        <v>698</v>
      </c>
      <c r="D51" s="208" t="s">
        <v>181</v>
      </c>
      <c r="E51" s="208">
        <v>41</v>
      </c>
      <c r="F51" s="207" t="s">
        <v>647</v>
      </c>
      <c r="G51" s="208" t="s">
        <v>699</v>
      </c>
      <c r="H51" s="209">
        <v>3120</v>
      </c>
      <c r="I51" s="208">
        <f t="shared" si="0"/>
        <v>312</v>
      </c>
      <c r="J51" s="209">
        <f t="shared" si="1"/>
        <v>156</v>
      </c>
      <c r="K51" s="209">
        <f t="shared" si="2"/>
        <v>3276</v>
      </c>
      <c r="M51" s="207"/>
      <c r="N51" s="207"/>
      <c r="O51" s="207"/>
      <c r="P51" s="208"/>
      <c r="Q51" s="208"/>
      <c r="R51" s="207"/>
      <c r="S51"/>
      <c r="T51"/>
      <c r="U51"/>
      <c r="V51"/>
      <c r="W51"/>
      <c r="X51"/>
      <c r="Y51"/>
      <c r="Z51"/>
      <c r="AA51"/>
      <c r="AB51"/>
      <c r="AC51"/>
      <c r="AD51"/>
      <c r="AE51"/>
      <c r="AF51"/>
      <c r="AG51"/>
      <c r="AH51"/>
      <c r="AI51"/>
    </row>
    <row r="52" spans="1:35" ht="14.4" x14ac:dyDescent="0.3">
      <c r="A52" s="210" t="s">
        <v>784</v>
      </c>
      <c r="B52" s="211" t="s">
        <v>785</v>
      </c>
      <c r="C52" s="207" t="s">
        <v>786</v>
      </c>
      <c r="D52" s="208" t="s">
        <v>181</v>
      </c>
      <c r="E52" s="208">
        <v>31</v>
      </c>
      <c r="F52" s="207" t="s">
        <v>658</v>
      </c>
      <c r="G52" s="208" t="s">
        <v>671</v>
      </c>
      <c r="H52" s="209">
        <v>3298</v>
      </c>
      <c r="I52" s="208">
        <f t="shared" si="0"/>
        <v>329.8</v>
      </c>
      <c r="J52" s="209">
        <f t="shared" si="1"/>
        <v>164.9</v>
      </c>
      <c r="K52" s="209">
        <f t="shared" si="2"/>
        <v>3462.9</v>
      </c>
      <c r="M52" s="342"/>
      <c r="N52" s="342"/>
      <c r="O52" s="342"/>
      <c r="P52" s="346"/>
      <c r="Q52" s="346"/>
      <c r="R52" s="342"/>
      <c r="S52"/>
      <c r="T52"/>
      <c r="U52"/>
      <c r="V52"/>
      <c r="W52"/>
      <c r="X52"/>
      <c r="Y52"/>
      <c r="Z52"/>
      <c r="AA52"/>
      <c r="AB52"/>
      <c r="AC52"/>
      <c r="AD52"/>
      <c r="AE52"/>
      <c r="AF52"/>
      <c r="AG52"/>
      <c r="AH52"/>
      <c r="AI52"/>
    </row>
    <row r="53" spans="1:35" ht="14.4" x14ac:dyDescent="0.3">
      <c r="A53" s="207" t="s">
        <v>787</v>
      </c>
      <c r="B53" s="207" t="s">
        <v>788</v>
      </c>
      <c r="C53" s="207" t="s">
        <v>789</v>
      </c>
      <c r="D53" s="208" t="s">
        <v>176</v>
      </c>
      <c r="E53" s="208">
        <v>27</v>
      </c>
      <c r="F53" s="207" t="s">
        <v>647</v>
      </c>
      <c r="G53" s="208" t="s">
        <v>659</v>
      </c>
      <c r="H53" s="209">
        <v>1917</v>
      </c>
      <c r="I53" s="208">
        <f t="shared" si="0"/>
        <v>191.70000000000002</v>
      </c>
      <c r="J53" s="209">
        <f t="shared" si="1"/>
        <v>95.850000000000009</v>
      </c>
      <c r="K53" s="209">
        <f t="shared" si="2"/>
        <v>2012.85</v>
      </c>
      <c r="M53" s="342"/>
      <c r="N53" s="342"/>
      <c r="O53" s="342"/>
      <c r="P53" s="346"/>
      <c r="Q53" s="346"/>
      <c r="R53" s="342"/>
      <c r="S53"/>
      <c r="T53"/>
      <c r="U53"/>
      <c r="V53"/>
      <c r="W53"/>
      <c r="X53"/>
      <c r="Y53"/>
      <c r="Z53"/>
      <c r="AA53"/>
      <c r="AB53"/>
      <c r="AC53"/>
      <c r="AD53"/>
      <c r="AE53"/>
      <c r="AF53"/>
      <c r="AG53"/>
      <c r="AH53"/>
      <c r="AI53"/>
    </row>
    <row r="54" spans="1:35" ht="14.4" x14ac:dyDescent="0.3">
      <c r="A54" s="207" t="s">
        <v>790</v>
      </c>
      <c r="B54" s="207" t="s">
        <v>693</v>
      </c>
      <c r="C54" s="207" t="s">
        <v>789</v>
      </c>
      <c r="D54" s="208" t="s">
        <v>176</v>
      </c>
      <c r="E54" s="208">
        <v>27</v>
      </c>
      <c r="F54" s="207" t="s">
        <v>663</v>
      </c>
      <c r="G54" s="208" t="s">
        <v>659</v>
      </c>
      <c r="H54" s="209">
        <v>6195</v>
      </c>
      <c r="I54" s="208">
        <f t="shared" si="0"/>
        <v>619.5</v>
      </c>
      <c r="J54" s="209">
        <f t="shared" si="1"/>
        <v>309.75</v>
      </c>
      <c r="K54" s="209">
        <f t="shared" si="2"/>
        <v>6504.75</v>
      </c>
      <c r="M54" s="342"/>
      <c r="N54" s="342"/>
      <c r="O54" s="342"/>
      <c r="P54" s="346"/>
      <c r="Q54" s="346"/>
      <c r="R54" s="342"/>
      <c r="S54"/>
      <c r="T54"/>
      <c r="U54"/>
      <c r="V54"/>
      <c r="W54"/>
      <c r="X54"/>
      <c r="Y54"/>
      <c r="Z54"/>
      <c r="AA54"/>
      <c r="AB54"/>
      <c r="AC54"/>
      <c r="AD54"/>
      <c r="AE54"/>
      <c r="AF54"/>
      <c r="AG54"/>
      <c r="AH54"/>
      <c r="AI54"/>
    </row>
    <row r="55" spans="1:35" ht="14.4" x14ac:dyDescent="0.3">
      <c r="A55" s="207" t="s">
        <v>788</v>
      </c>
      <c r="B55" s="207" t="s">
        <v>791</v>
      </c>
      <c r="C55" s="207" t="s">
        <v>792</v>
      </c>
      <c r="D55" s="208" t="s">
        <v>176</v>
      </c>
      <c r="E55" s="208">
        <v>45</v>
      </c>
      <c r="F55" s="207" t="s">
        <v>658</v>
      </c>
      <c r="G55" s="208" t="s">
        <v>648</v>
      </c>
      <c r="H55" s="209">
        <v>9452</v>
      </c>
      <c r="I55" s="208">
        <f t="shared" si="0"/>
        <v>945.2</v>
      </c>
      <c r="J55" s="209">
        <f t="shared" si="1"/>
        <v>472.6</v>
      </c>
      <c r="K55" s="209">
        <f t="shared" si="2"/>
        <v>9924.6</v>
      </c>
      <c r="M55" s="342"/>
      <c r="N55" s="342"/>
      <c r="O55" s="342"/>
      <c r="P55" s="346"/>
      <c r="Q55" s="346"/>
      <c r="R55" s="342"/>
      <c r="S55"/>
      <c r="T55"/>
      <c r="U55"/>
      <c r="V55"/>
      <c r="W55"/>
      <c r="X55"/>
      <c r="Y55"/>
      <c r="Z55"/>
      <c r="AA55"/>
      <c r="AB55"/>
      <c r="AC55"/>
      <c r="AD55"/>
      <c r="AE55"/>
      <c r="AF55"/>
      <c r="AG55"/>
      <c r="AH55"/>
      <c r="AI55"/>
    </row>
    <row r="56" spans="1:35" ht="14.4" x14ac:dyDescent="0.3">
      <c r="A56" s="207" t="s">
        <v>788</v>
      </c>
      <c r="B56" s="207" t="s">
        <v>779</v>
      </c>
      <c r="C56" s="207" t="s">
        <v>793</v>
      </c>
      <c r="D56" s="208" t="s">
        <v>176</v>
      </c>
      <c r="E56" s="208">
        <v>21</v>
      </c>
      <c r="F56" s="207" t="s">
        <v>654</v>
      </c>
      <c r="G56" s="208" t="s">
        <v>664</v>
      </c>
      <c r="H56" s="209">
        <v>5723</v>
      </c>
      <c r="I56" s="208">
        <f t="shared" si="0"/>
        <v>572.30000000000007</v>
      </c>
      <c r="J56" s="209">
        <f t="shared" si="1"/>
        <v>286.15000000000003</v>
      </c>
      <c r="K56" s="209">
        <f t="shared" si="2"/>
        <v>6009.1500000000005</v>
      </c>
      <c r="M56" s="342"/>
      <c r="N56" s="342"/>
      <c r="O56" s="342"/>
      <c r="P56" s="346"/>
      <c r="Q56" s="346"/>
      <c r="R56" s="342"/>
      <c r="S56"/>
      <c r="T56"/>
      <c r="U56"/>
      <c r="V56"/>
      <c r="W56"/>
      <c r="X56"/>
      <c r="Y56"/>
      <c r="Z56"/>
      <c r="AA56"/>
      <c r="AB56"/>
      <c r="AC56"/>
      <c r="AD56"/>
      <c r="AE56"/>
      <c r="AF56"/>
      <c r="AG56"/>
      <c r="AH56"/>
      <c r="AI56"/>
    </row>
    <row r="57" spans="1:35" ht="14.4" x14ac:dyDescent="0.3">
      <c r="A57" s="207" t="s">
        <v>794</v>
      </c>
      <c r="B57" s="207" t="s">
        <v>771</v>
      </c>
      <c r="C57" s="207" t="s">
        <v>795</v>
      </c>
      <c r="D57" s="208" t="s">
        <v>176</v>
      </c>
      <c r="E57" s="208">
        <v>21</v>
      </c>
      <c r="F57" s="207" t="s">
        <v>654</v>
      </c>
      <c r="G57" s="208" t="s">
        <v>739</v>
      </c>
      <c r="H57" s="209">
        <v>5622</v>
      </c>
      <c r="I57" s="208">
        <f t="shared" si="0"/>
        <v>562.20000000000005</v>
      </c>
      <c r="J57" s="209">
        <f t="shared" si="1"/>
        <v>281.10000000000002</v>
      </c>
      <c r="K57" s="209">
        <f t="shared" si="2"/>
        <v>5903.0999999999995</v>
      </c>
      <c r="M57" s="342"/>
      <c r="N57" s="342"/>
      <c r="O57" s="342"/>
      <c r="P57" s="346"/>
      <c r="Q57" s="346"/>
      <c r="R57" s="342"/>
      <c r="S57"/>
      <c r="T57"/>
      <c r="U57"/>
      <c r="V57"/>
      <c r="W57"/>
      <c r="X57"/>
      <c r="Y57"/>
      <c r="Z57"/>
      <c r="AA57"/>
      <c r="AB57"/>
      <c r="AC57"/>
      <c r="AD57"/>
      <c r="AE57"/>
      <c r="AF57"/>
      <c r="AG57"/>
      <c r="AH57"/>
      <c r="AI57"/>
    </row>
    <row r="58" spans="1:35" ht="14.4" x14ac:dyDescent="0.3">
      <c r="A58" s="207" t="s">
        <v>724</v>
      </c>
      <c r="B58" s="207" t="s">
        <v>674</v>
      </c>
      <c r="C58" s="207" t="s">
        <v>796</v>
      </c>
      <c r="D58" s="208" t="s">
        <v>181</v>
      </c>
      <c r="E58" s="208">
        <v>29</v>
      </c>
      <c r="F58" s="211" t="s">
        <v>723</v>
      </c>
      <c r="G58" s="208" t="s">
        <v>677</v>
      </c>
      <c r="H58" s="209">
        <v>2538</v>
      </c>
      <c r="I58" s="208">
        <f t="shared" si="0"/>
        <v>253.8</v>
      </c>
      <c r="J58" s="209">
        <f t="shared" si="1"/>
        <v>126.9</v>
      </c>
      <c r="K58" s="209">
        <f t="shared" si="2"/>
        <v>2664.9</v>
      </c>
      <c r="M58" s="342"/>
      <c r="N58" s="342"/>
      <c r="O58" s="342"/>
      <c r="P58" s="346"/>
      <c r="Q58" s="346"/>
      <c r="R58" s="342"/>
      <c r="S58"/>
      <c r="T58"/>
      <c r="U58"/>
      <c r="V58"/>
      <c r="W58"/>
      <c r="X58"/>
      <c r="Y58"/>
      <c r="Z58"/>
      <c r="AA58"/>
      <c r="AB58"/>
      <c r="AC58"/>
      <c r="AD58"/>
      <c r="AE58"/>
      <c r="AF58"/>
      <c r="AG58"/>
      <c r="AH58"/>
      <c r="AI58"/>
    </row>
    <row r="59" spans="1:35" ht="14.4" x14ac:dyDescent="0.3">
      <c r="A59" s="207" t="s">
        <v>797</v>
      </c>
      <c r="B59" s="207" t="s">
        <v>769</v>
      </c>
      <c r="C59" s="207" t="s">
        <v>798</v>
      </c>
      <c r="D59" s="208" t="s">
        <v>181</v>
      </c>
      <c r="E59" s="208">
        <v>29</v>
      </c>
      <c r="F59" s="207" t="s">
        <v>684</v>
      </c>
      <c r="G59" s="208" t="s">
        <v>799</v>
      </c>
      <c r="H59" s="209">
        <v>2323</v>
      </c>
      <c r="I59" s="208">
        <f t="shared" si="0"/>
        <v>232.3</v>
      </c>
      <c r="J59" s="209">
        <f t="shared" si="1"/>
        <v>116.15</v>
      </c>
      <c r="K59" s="209">
        <f t="shared" si="2"/>
        <v>2439.15</v>
      </c>
      <c r="M59" s="342"/>
      <c r="N59" s="342"/>
      <c r="O59" s="342"/>
      <c r="P59" s="346"/>
      <c r="Q59" s="346"/>
      <c r="R59" s="342"/>
      <c r="S59"/>
      <c r="T59"/>
      <c r="U59"/>
      <c r="V59"/>
      <c r="W59"/>
      <c r="X59"/>
      <c r="Y59"/>
      <c r="Z59"/>
      <c r="AA59"/>
      <c r="AB59"/>
      <c r="AC59"/>
      <c r="AD59"/>
      <c r="AE59"/>
      <c r="AF59"/>
      <c r="AG59"/>
      <c r="AH59"/>
      <c r="AI59"/>
    </row>
    <row r="60" spans="1:35" ht="14.4" x14ac:dyDescent="0.3">
      <c r="A60" s="207" t="s">
        <v>797</v>
      </c>
      <c r="B60" s="207" t="s">
        <v>769</v>
      </c>
      <c r="C60" s="207" t="s">
        <v>800</v>
      </c>
      <c r="D60" s="208" t="s">
        <v>176</v>
      </c>
      <c r="E60" s="208">
        <v>29</v>
      </c>
      <c r="F60" s="207" t="s">
        <v>658</v>
      </c>
      <c r="G60" s="208" t="s">
        <v>671</v>
      </c>
      <c r="H60" s="209">
        <v>4364</v>
      </c>
      <c r="I60" s="208">
        <f t="shared" si="0"/>
        <v>436.40000000000003</v>
      </c>
      <c r="J60" s="209">
        <f t="shared" si="1"/>
        <v>218.20000000000002</v>
      </c>
      <c r="K60" s="209">
        <f t="shared" si="2"/>
        <v>4582.2</v>
      </c>
      <c r="M60" s="342"/>
      <c r="N60" s="342"/>
      <c r="O60" s="342"/>
      <c r="P60" s="346"/>
      <c r="Q60" s="346"/>
      <c r="R60" s="342"/>
      <c r="S60"/>
      <c r="T60"/>
      <c r="U60"/>
      <c r="V60"/>
      <c r="W60"/>
      <c r="X60"/>
      <c r="Y60"/>
      <c r="Z60"/>
      <c r="AA60"/>
      <c r="AB60"/>
      <c r="AC60"/>
      <c r="AD60"/>
      <c r="AE60"/>
      <c r="AF60"/>
      <c r="AG60"/>
      <c r="AH60"/>
      <c r="AI60"/>
    </row>
    <row r="61" spans="1:35" ht="14.4" x14ac:dyDescent="0.3">
      <c r="A61" s="207" t="s">
        <v>734</v>
      </c>
      <c r="B61" s="207" t="s">
        <v>665</v>
      </c>
      <c r="C61" s="207" t="s">
        <v>738</v>
      </c>
      <c r="D61" s="208" t="s">
        <v>181</v>
      </c>
      <c r="E61" s="208">
        <v>40</v>
      </c>
      <c r="F61" s="207" t="s">
        <v>684</v>
      </c>
      <c r="G61" s="208" t="s">
        <v>664</v>
      </c>
      <c r="H61" s="209">
        <v>7250</v>
      </c>
      <c r="I61" s="208">
        <f t="shared" si="0"/>
        <v>725</v>
      </c>
      <c r="J61" s="209">
        <f t="shared" si="1"/>
        <v>362.5</v>
      </c>
      <c r="K61" s="209">
        <f t="shared" si="2"/>
        <v>7612.5</v>
      </c>
      <c r="M61" s="342"/>
      <c r="N61" s="342"/>
      <c r="O61" s="342"/>
      <c r="P61" s="346"/>
      <c r="Q61" s="346"/>
      <c r="R61" s="342"/>
      <c r="S61"/>
      <c r="T61"/>
      <c r="U61"/>
      <c r="V61"/>
      <c r="W61"/>
      <c r="X61"/>
      <c r="Y61"/>
      <c r="Z61"/>
      <c r="AA61"/>
      <c r="AB61"/>
      <c r="AC61"/>
      <c r="AD61"/>
      <c r="AE61"/>
      <c r="AF61"/>
      <c r="AG61"/>
      <c r="AH61"/>
      <c r="AI61"/>
    </row>
    <row r="62" spans="1:35" ht="14.4" x14ac:dyDescent="0.3">
      <c r="A62" s="207" t="s">
        <v>774</v>
      </c>
      <c r="B62" s="207" t="s">
        <v>690</v>
      </c>
      <c r="C62" s="207" t="s">
        <v>801</v>
      </c>
      <c r="D62" s="208" t="s">
        <v>176</v>
      </c>
      <c r="E62" s="208">
        <v>27</v>
      </c>
      <c r="F62" s="207" t="s">
        <v>658</v>
      </c>
      <c r="G62" s="208" t="s">
        <v>766</v>
      </c>
      <c r="H62" s="209">
        <v>3256</v>
      </c>
      <c r="I62" s="208">
        <f t="shared" si="0"/>
        <v>325.60000000000002</v>
      </c>
      <c r="J62" s="209">
        <f t="shared" si="1"/>
        <v>162.80000000000001</v>
      </c>
      <c r="K62" s="209">
        <f t="shared" si="2"/>
        <v>3418.7999999999997</v>
      </c>
      <c r="M62" s="342"/>
      <c r="N62" s="342"/>
      <c r="O62" s="342"/>
      <c r="P62" s="346"/>
      <c r="Q62" s="346"/>
      <c r="R62" s="347"/>
      <c r="S62"/>
      <c r="T62"/>
      <c r="U62"/>
      <c r="V62"/>
      <c r="W62"/>
      <c r="X62"/>
      <c r="Y62"/>
      <c r="Z62"/>
      <c r="AA62"/>
      <c r="AB62"/>
      <c r="AC62"/>
      <c r="AD62"/>
      <c r="AE62"/>
      <c r="AF62"/>
      <c r="AG62"/>
      <c r="AH62"/>
      <c r="AI62"/>
    </row>
    <row r="63" spans="1:35" ht="14.4" x14ac:dyDescent="0.3">
      <c r="A63" s="207" t="s">
        <v>802</v>
      </c>
      <c r="B63" s="207" t="s">
        <v>731</v>
      </c>
      <c r="C63" s="207" t="s">
        <v>803</v>
      </c>
      <c r="D63" s="208" t="s">
        <v>181</v>
      </c>
      <c r="E63" s="208">
        <v>39</v>
      </c>
      <c r="F63" s="207" t="s">
        <v>658</v>
      </c>
      <c r="G63" s="208" t="s">
        <v>664</v>
      </c>
      <c r="H63" s="209">
        <v>2950</v>
      </c>
      <c r="I63" s="208">
        <f t="shared" si="0"/>
        <v>295</v>
      </c>
      <c r="J63" s="209">
        <f t="shared" si="1"/>
        <v>147.5</v>
      </c>
      <c r="K63" s="209">
        <f t="shared" si="2"/>
        <v>3097.5</v>
      </c>
      <c r="M63" s="342"/>
      <c r="N63" s="342"/>
      <c r="O63" s="342"/>
      <c r="P63" s="346"/>
      <c r="Q63" s="346"/>
      <c r="R63" s="342"/>
      <c r="S63"/>
      <c r="T63"/>
      <c r="U63"/>
      <c r="V63"/>
      <c r="W63"/>
      <c r="X63"/>
      <c r="Y63"/>
      <c r="Z63"/>
      <c r="AA63"/>
      <c r="AB63"/>
      <c r="AC63"/>
      <c r="AD63"/>
      <c r="AE63"/>
      <c r="AF63"/>
      <c r="AG63"/>
      <c r="AH63"/>
      <c r="AI63"/>
    </row>
    <row r="64" spans="1:35" ht="14.4" x14ac:dyDescent="0.3">
      <c r="A64" s="207" t="s">
        <v>804</v>
      </c>
      <c r="B64" s="207" t="s">
        <v>759</v>
      </c>
      <c r="C64" s="207" t="s">
        <v>805</v>
      </c>
      <c r="D64" s="208" t="s">
        <v>181</v>
      </c>
      <c r="E64" s="208">
        <v>24</v>
      </c>
      <c r="F64" s="207" t="s">
        <v>654</v>
      </c>
      <c r="G64" s="208" t="s">
        <v>720</v>
      </c>
      <c r="H64" s="209">
        <v>3823</v>
      </c>
      <c r="I64" s="208">
        <f t="shared" si="0"/>
        <v>382.3</v>
      </c>
      <c r="J64" s="209">
        <f t="shared" si="1"/>
        <v>191.15</v>
      </c>
      <c r="K64" s="209">
        <f t="shared" si="2"/>
        <v>4014.15</v>
      </c>
      <c r="M64" s="342"/>
      <c r="N64" s="342"/>
      <c r="O64" s="342"/>
      <c r="P64" s="346"/>
      <c r="Q64" s="346"/>
      <c r="R64" s="347"/>
      <c r="S64"/>
      <c r="T64"/>
      <c r="U64"/>
      <c r="V64"/>
      <c r="W64"/>
      <c r="X64"/>
      <c r="Y64"/>
      <c r="Z64"/>
      <c r="AA64"/>
      <c r="AB64"/>
      <c r="AC64"/>
      <c r="AD64"/>
      <c r="AE64"/>
      <c r="AF64"/>
      <c r="AG64"/>
      <c r="AH64"/>
      <c r="AI64"/>
    </row>
    <row r="65" spans="1:23" ht="14.4" x14ac:dyDescent="0.3">
      <c r="A65" s="207" t="s">
        <v>806</v>
      </c>
      <c r="B65" s="207" t="s">
        <v>807</v>
      </c>
      <c r="C65" s="207" t="s">
        <v>808</v>
      </c>
      <c r="D65" s="208" t="s">
        <v>176</v>
      </c>
      <c r="E65" s="208">
        <v>31</v>
      </c>
      <c r="F65" s="207" t="s">
        <v>647</v>
      </c>
      <c r="G65" s="208" t="s">
        <v>799</v>
      </c>
      <c r="H65" s="209">
        <v>1802</v>
      </c>
      <c r="I65" s="208">
        <f t="shared" si="0"/>
        <v>180.20000000000002</v>
      </c>
      <c r="J65" s="209">
        <f t="shared" si="1"/>
        <v>90.100000000000009</v>
      </c>
      <c r="K65" s="209">
        <f t="shared" si="2"/>
        <v>1892.1000000000001</v>
      </c>
      <c r="M65" s="342"/>
      <c r="N65" s="342"/>
      <c r="O65" s="342"/>
      <c r="P65" s="346"/>
      <c r="Q65" s="346"/>
      <c r="R65" s="348"/>
      <c r="S65"/>
      <c r="T65"/>
      <c r="U65"/>
      <c r="V65"/>
      <c r="W65"/>
    </row>
    <row r="66" spans="1:23" ht="14.4" x14ac:dyDescent="0.3">
      <c r="A66" s="207" t="s">
        <v>809</v>
      </c>
      <c r="B66" s="210" t="s">
        <v>784</v>
      </c>
      <c r="C66" s="207" t="s">
        <v>810</v>
      </c>
      <c r="D66" s="208" t="s">
        <v>181</v>
      </c>
      <c r="E66" s="208">
        <v>31</v>
      </c>
      <c r="F66" s="207" t="s">
        <v>726</v>
      </c>
      <c r="G66" s="208" t="s">
        <v>677</v>
      </c>
      <c r="H66" s="209">
        <v>2868</v>
      </c>
      <c r="I66" s="208">
        <f t="shared" ref="I66:I80" si="3">H66*0.1</f>
        <v>286.8</v>
      </c>
      <c r="J66" s="209">
        <f t="shared" ref="J66:J80" si="4">H66*0.05</f>
        <v>143.4</v>
      </c>
      <c r="K66" s="209">
        <f t="shared" ref="K66:K80" si="5">H66+I66-J66</f>
        <v>3011.4</v>
      </c>
      <c r="M66" s="342"/>
      <c r="N66" s="342"/>
      <c r="O66" s="342"/>
      <c r="P66" s="346"/>
      <c r="Q66" s="346"/>
      <c r="R66" s="342"/>
      <c r="S66"/>
      <c r="T66"/>
      <c r="U66"/>
      <c r="V66"/>
      <c r="W66"/>
    </row>
    <row r="67" spans="1:23" ht="14.4" x14ac:dyDescent="0.3">
      <c r="A67" s="207" t="s">
        <v>811</v>
      </c>
      <c r="B67" s="207" t="s">
        <v>812</v>
      </c>
      <c r="C67" s="207" t="s">
        <v>813</v>
      </c>
      <c r="D67" s="208" t="s">
        <v>181</v>
      </c>
      <c r="E67" s="208">
        <v>29</v>
      </c>
      <c r="F67" s="207" t="s">
        <v>647</v>
      </c>
      <c r="G67" s="208" t="s">
        <v>685</v>
      </c>
      <c r="H67" s="209">
        <v>2613</v>
      </c>
      <c r="I67" s="208">
        <f t="shared" si="3"/>
        <v>261.3</v>
      </c>
      <c r="J67" s="209">
        <f t="shared" si="4"/>
        <v>130.65</v>
      </c>
      <c r="K67" s="209">
        <f t="shared" si="5"/>
        <v>2743.65</v>
      </c>
      <c r="M67" s="342"/>
      <c r="N67" s="342"/>
      <c r="O67" s="342"/>
      <c r="P67" s="346"/>
      <c r="Q67" s="346"/>
      <c r="R67" s="347"/>
      <c r="S67"/>
      <c r="T67"/>
      <c r="U67"/>
      <c r="V67"/>
      <c r="W67"/>
    </row>
    <row r="68" spans="1:23" ht="14.4" x14ac:dyDescent="0.3">
      <c r="A68" s="207" t="s">
        <v>811</v>
      </c>
      <c r="B68" s="207" t="s">
        <v>814</v>
      </c>
      <c r="C68" s="207" t="s">
        <v>815</v>
      </c>
      <c r="D68" s="208" t="s">
        <v>176</v>
      </c>
      <c r="E68" s="208">
        <v>33</v>
      </c>
      <c r="F68" s="207" t="s">
        <v>647</v>
      </c>
      <c r="G68" s="208" t="s">
        <v>676</v>
      </c>
      <c r="H68" s="209">
        <v>3200</v>
      </c>
      <c r="I68" s="208">
        <f t="shared" si="3"/>
        <v>320</v>
      </c>
      <c r="J68" s="209">
        <f t="shared" si="4"/>
        <v>160</v>
      </c>
      <c r="K68" s="209">
        <f t="shared" si="5"/>
        <v>3360</v>
      </c>
      <c r="M68" s="342"/>
      <c r="N68" s="342"/>
      <c r="O68" s="342"/>
      <c r="P68" s="346"/>
      <c r="Q68" s="346"/>
      <c r="R68" s="342"/>
      <c r="S68"/>
      <c r="T68"/>
      <c r="U68"/>
      <c r="V68"/>
      <c r="W68"/>
    </row>
    <row r="69" spans="1:23" ht="14.4" x14ac:dyDescent="0.3">
      <c r="A69" s="207" t="s">
        <v>816</v>
      </c>
      <c r="B69" s="207" t="s">
        <v>804</v>
      </c>
      <c r="C69" s="211" t="s">
        <v>817</v>
      </c>
      <c r="D69" s="208" t="s">
        <v>176</v>
      </c>
      <c r="E69" s="208">
        <v>37</v>
      </c>
      <c r="F69" s="207" t="s">
        <v>710</v>
      </c>
      <c r="G69" s="208" t="s">
        <v>648</v>
      </c>
      <c r="H69" s="209">
        <v>3650</v>
      </c>
      <c r="I69" s="208">
        <f t="shared" si="3"/>
        <v>365</v>
      </c>
      <c r="J69" s="209">
        <f t="shared" si="4"/>
        <v>182.5</v>
      </c>
      <c r="K69" s="209">
        <f t="shared" si="5"/>
        <v>3832.5</v>
      </c>
      <c r="M69" s="342"/>
      <c r="N69" s="342"/>
      <c r="O69" s="342"/>
      <c r="P69" s="346"/>
      <c r="Q69" s="346"/>
      <c r="R69" s="342"/>
      <c r="S69"/>
      <c r="T69"/>
      <c r="U69"/>
      <c r="V69"/>
      <c r="W69"/>
    </row>
    <row r="70" spans="1:23" ht="14.4" x14ac:dyDescent="0.3">
      <c r="A70" s="207" t="s">
        <v>818</v>
      </c>
      <c r="B70" s="207" t="s">
        <v>819</v>
      </c>
      <c r="C70" s="207" t="s">
        <v>692</v>
      </c>
      <c r="D70" s="208" t="s">
        <v>181</v>
      </c>
      <c r="E70" s="208">
        <v>50</v>
      </c>
      <c r="F70" s="207" t="s">
        <v>663</v>
      </c>
      <c r="G70" s="208" t="s">
        <v>739</v>
      </c>
      <c r="H70" s="209">
        <v>1950</v>
      </c>
      <c r="I70" s="208">
        <f t="shared" si="3"/>
        <v>195</v>
      </c>
      <c r="J70" s="209">
        <f t="shared" si="4"/>
        <v>97.5</v>
      </c>
      <c r="K70" s="209">
        <f t="shared" si="5"/>
        <v>2047.5</v>
      </c>
      <c r="M70" s="342"/>
      <c r="N70" s="342"/>
      <c r="O70" s="342"/>
      <c r="P70" s="346"/>
      <c r="Q70" s="346"/>
      <c r="R70" s="342"/>
      <c r="S70"/>
      <c r="T70"/>
      <c r="U70"/>
      <c r="V70"/>
      <c r="W70"/>
    </row>
    <row r="71" spans="1:23" ht="14.4" x14ac:dyDescent="0.3">
      <c r="A71" s="207" t="s">
        <v>820</v>
      </c>
      <c r="B71" s="207" t="s">
        <v>736</v>
      </c>
      <c r="C71" s="207" t="s">
        <v>821</v>
      </c>
      <c r="D71" s="208" t="s">
        <v>176</v>
      </c>
      <c r="E71" s="208">
        <v>34</v>
      </c>
      <c r="F71" s="207" t="s">
        <v>684</v>
      </c>
      <c r="G71" s="208" t="s">
        <v>648</v>
      </c>
      <c r="H71" s="209">
        <v>3340</v>
      </c>
      <c r="I71" s="208">
        <f t="shared" si="3"/>
        <v>334</v>
      </c>
      <c r="J71" s="209">
        <f t="shared" si="4"/>
        <v>167</v>
      </c>
      <c r="K71" s="209">
        <f t="shared" si="5"/>
        <v>3507</v>
      </c>
      <c r="M71" s="342"/>
      <c r="N71" s="342"/>
      <c r="O71" s="342"/>
      <c r="P71" s="346"/>
      <c r="Q71" s="346"/>
      <c r="R71" s="342"/>
      <c r="S71"/>
      <c r="T71"/>
      <c r="U71"/>
      <c r="V71"/>
      <c r="W71"/>
    </row>
    <row r="72" spans="1:23" ht="14.4" x14ac:dyDescent="0.3">
      <c r="A72" s="207" t="s">
        <v>822</v>
      </c>
      <c r="B72" s="207" t="s">
        <v>651</v>
      </c>
      <c r="C72" s="207" t="s">
        <v>823</v>
      </c>
      <c r="D72" s="208" t="s">
        <v>176</v>
      </c>
      <c r="E72" s="208">
        <v>32</v>
      </c>
      <c r="F72" s="207" t="s">
        <v>726</v>
      </c>
      <c r="G72" s="208" t="s">
        <v>648</v>
      </c>
      <c r="H72" s="209">
        <v>2524</v>
      </c>
      <c r="I72" s="208">
        <f t="shared" si="3"/>
        <v>252.4</v>
      </c>
      <c r="J72" s="209">
        <f t="shared" si="4"/>
        <v>126.2</v>
      </c>
      <c r="K72" s="209">
        <f t="shared" si="5"/>
        <v>2650.2000000000003</v>
      </c>
      <c r="M72" s="347"/>
      <c r="N72" s="342"/>
      <c r="O72" s="342"/>
      <c r="P72" s="346"/>
      <c r="Q72" s="346"/>
      <c r="R72" s="342"/>
      <c r="S72"/>
      <c r="T72"/>
      <c r="U72"/>
      <c r="V72"/>
      <c r="W72"/>
    </row>
    <row r="73" spans="1:23" ht="14.4" x14ac:dyDescent="0.3">
      <c r="A73" s="207" t="s">
        <v>824</v>
      </c>
      <c r="B73" s="207" t="s">
        <v>794</v>
      </c>
      <c r="C73" s="207" t="s">
        <v>825</v>
      </c>
      <c r="D73" s="208" t="s">
        <v>176</v>
      </c>
      <c r="E73" s="208">
        <v>33</v>
      </c>
      <c r="F73" s="211" t="s">
        <v>723</v>
      </c>
      <c r="G73" s="208" t="s">
        <v>671</v>
      </c>
      <c r="H73" s="209">
        <v>3500</v>
      </c>
      <c r="I73" s="208">
        <f t="shared" si="3"/>
        <v>350</v>
      </c>
      <c r="J73" s="209">
        <f t="shared" si="4"/>
        <v>175</v>
      </c>
      <c r="K73" s="209">
        <f t="shared" si="5"/>
        <v>3675</v>
      </c>
      <c r="M73" s="342"/>
      <c r="N73" s="342"/>
      <c r="O73" s="342"/>
      <c r="P73" s="346"/>
      <c r="Q73" s="346"/>
      <c r="R73" s="342"/>
      <c r="S73"/>
      <c r="T73"/>
      <c r="U73"/>
      <c r="V73"/>
      <c r="W73"/>
    </row>
    <row r="74" spans="1:23" ht="14.4" x14ac:dyDescent="0.3">
      <c r="A74" s="207" t="s">
        <v>826</v>
      </c>
      <c r="B74" s="207" t="s">
        <v>809</v>
      </c>
      <c r="C74" s="207" t="s">
        <v>815</v>
      </c>
      <c r="D74" s="208" t="s">
        <v>176</v>
      </c>
      <c r="E74" s="208">
        <v>43</v>
      </c>
      <c r="F74" s="207" t="s">
        <v>647</v>
      </c>
      <c r="G74" s="208" t="s">
        <v>671</v>
      </c>
      <c r="H74" s="209">
        <v>6790</v>
      </c>
      <c r="I74" s="208">
        <f t="shared" si="3"/>
        <v>679</v>
      </c>
      <c r="J74" s="209">
        <f t="shared" si="4"/>
        <v>339.5</v>
      </c>
      <c r="K74" s="209">
        <f t="shared" si="5"/>
        <v>7129.5</v>
      </c>
      <c r="M74" s="342"/>
      <c r="N74" s="342"/>
      <c r="O74" s="342"/>
      <c r="P74" s="346"/>
      <c r="Q74" s="346"/>
      <c r="R74" s="347"/>
      <c r="S74"/>
      <c r="T74"/>
      <c r="U74"/>
      <c r="V74"/>
      <c r="W74"/>
    </row>
    <row r="75" spans="1:23" ht="14.4" x14ac:dyDescent="0.3">
      <c r="A75" s="207" t="s">
        <v>826</v>
      </c>
      <c r="B75" s="207" t="s">
        <v>827</v>
      </c>
      <c r="C75" s="207" t="s">
        <v>828</v>
      </c>
      <c r="D75" s="208" t="s">
        <v>176</v>
      </c>
      <c r="E75" s="208">
        <v>39</v>
      </c>
      <c r="F75" s="207" t="s">
        <v>647</v>
      </c>
      <c r="G75" s="208" t="s">
        <v>671</v>
      </c>
      <c r="H75" s="209">
        <v>3950</v>
      </c>
      <c r="I75" s="208">
        <f t="shared" si="3"/>
        <v>395</v>
      </c>
      <c r="J75" s="209">
        <f t="shared" si="4"/>
        <v>197.5</v>
      </c>
      <c r="K75" s="209">
        <f t="shared" si="5"/>
        <v>4147.5</v>
      </c>
      <c r="M75" s="342"/>
      <c r="N75" s="342"/>
      <c r="O75" s="342"/>
      <c r="P75" s="346"/>
      <c r="Q75" s="346"/>
      <c r="R75" s="342"/>
      <c r="S75"/>
      <c r="T75"/>
      <c r="U75"/>
      <c r="V75"/>
      <c r="W75"/>
    </row>
    <row r="76" spans="1:23" ht="14.4" x14ac:dyDescent="0.3">
      <c r="A76" s="207" t="s">
        <v>827</v>
      </c>
      <c r="B76" s="207" t="s">
        <v>775</v>
      </c>
      <c r="C76" s="207" t="s">
        <v>829</v>
      </c>
      <c r="D76" s="208" t="s">
        <v>176</v>
      </c>
      <c r="E76" s="208">
        <v>29</v>
      </c>
      <c r="F76" s="207" t="s">
        <v>654</v>
      </c>
      <c r="G76" s="208" t="s">
        <v>701</v>
      </c>
      <c r="H76" s="209">
        <v>1565</v>
      </c>
      <c r="I76" s="208">
        <f t="shared" si="3"/>
        <v>156.5</v>
      </c>
      <c r="J76" s="209">
        <f t="shared" si="4"/>
        <v>78.25</v>
      </c>
      <c r="K76" s="209">
        <f t="shared" si="5"/>
        <v>1643.25</v>
      </c>
      <c r="M76" s="342"/>
      <c r="N76" s="342"/>
      <c r="O76" s="342"/>
      <c r="P76" s="346"/>
      <c r="Q76" s="346"/>
      <c r="R76" s="342"/>
      <c r="S76"/>
      <c r="T76"/>
      <c r="U76"/>
      <c r="V76"/>
      <c r="W76"/>
    </row>
    <row r="77" spans="1:23" ht="14.4" x14ac:dyDescent="0.3">
      <c r="A77" s="207" t="s">
        <v>814</v>
      </c>
      <c r="B77" s="207" t="s">
        <v>755</v>
      </c>
      <c r="C77" s="207" t="s">
        <v>830</v>
      </c>
      <c r="D77" s="208" t="s">
        <v>181</v>
      </c>
      <c r="E77" s="208">
        <v>25</v>
      </c>
      <c r="F77" s="207" t="s">
        <v>654</v>
      </c>
      <c r="G77" s="208" t="s">
        <v>659</v>
      </c>
      <c r="H77" s="209">
        <v>5901</v>
      </c>
      <c r="I77" s="208">
        <f t="shared" si="3"/>
        <v>590.1</v>
      </c>
      <c r="J77" s="209">
        <f t="shared" si="4"/>
        <v>295.05</v>
      </c>
      <c r="K77" s="209">
        <f t="shared" si="5"/>
        <v>6196.05</v>
      </c>
      <c r="M77" s="342"/>
      <c r="N77" s="342"/>
      <c r="O77" s="342"/>
      <c r="P77" s="346"/>
      <c r="Q77" s="346"/>
      <c r="R77" s="342"/>
      <c r="S77"/>
      <c r="T77"/>
      <c r="U77"/>
      <c r="V77"/>
      <c r="W77"/>
    </row>
    <row r="78" spans="1:23" ht="14.4" x14ac:dyDescent="0.3">
      <c r="A78" s="207" t="s">
        <v>702</v>
      </c>
      <c r="B78" s="207" t="s">
        <v>703</v>
      </c>
      <c r="C78" s="207" t="s">
        <v>704</v>
      </c>
      <c r="D78" s="208" t="s">
        <v>181</v>
      </c>
      <c r="E78" s="208">
        <v>44</v>
      </c>
      <c r="F78" s="207" t="s">
        <v>647</v>
      </c>
      <c r="G78" s="208" t="s">
        <v>677</v>
      </c>
      <c r="H78" s="209">
        <v>6850</v>
      </c>
      <c r="I78" s="208">
        <f t="shared" si="3"/>
        <v>685</v>
      </c>
      <c r="J78" s="209">
        <f t="shared" si="4"/>
        <v>342.5</v>
      </c>
      <c r="K78" s="209">
        <f t="shared" si="5"/>
        <v>7192.5</v>
      </c>
      <c r="M78" s="342"/>
      <c r="N78" s="342"/>
      <c r="O78" s="342"/>
      <c r="P78" s="346"/>
      <c r="Q78" s="346"/>
      <c r="R78" s="342"/>
      <c r="S78"/>
      <c r="T78"/>
      <c r="U78"/>
      <c r="V78"/>
      <c r="W78"/>
    </row>
    <row r="79" spans="1:23" ht="14.4" x14ac:dyDescent="0.3">
      <c r="A79" s="210" t="s">
        <v>831</v>
      </c>
      <c r="B79" s="207" t="s">
        <v>832</v>
      </c>
      <c r="C79" s="207" t="s">
        <v>833</v>
      </c>
      <c r="D79" s="208" t="s">
        <v>181</v>
      </c>
      <c r="E79" s="208">
        <v>28</v>
      </c>
      <c r="F79" s="207" t="s">
        <v>654</v>
      </c>
      <c r="G79" s="208" t="s">
        <v>648</v>
      </c>
      <c r="H79" s="209">
        <v>3164</v>
      </c>
      <c r="I79" s="208">
        <f t="shared" si="3"/>
        <v>316.40000000000003</v>
      </c>
      <c r="J79" s="209">
        <f t="shared" si="4"/>
        <v>158.20000000000002</v>
      </c>
      <c r="K79" s="209">
        <f t="shared" si="5"/>
        <v>3322.2000000000003</v>
      </c>
      <c r="M79" s="342"/>
      <c r="N79" s="342"/>
      <c r="O79" s="342"/>
      <c r="P79" s="346"/>
      <c r="Q79" s="346"/>
      <c r="R79" s="348"/>
      <c r="S79"/>
      <c r="T79"/>
      <c r="U79"/>
      <c r="V79"/>
      <c r="W79"/>
    </row>
    <row r="80" spans="1:23" ht="14.4" x14ac:dyDescent="0.3">
      <c r="A80" s="339" t="s">
        <v>834</v>
      </c>
      <c r="B80" s="339" t="s">
        <v>697</v>
      </c>
      <c r="C80" s="339" t="s">
        <v>835</v>
      </c>
      <c r="D80" s="340" t="s">
        <v>176</v>
      </c>
      <c r="E80" s="340">
        <v>26</v>
      </c>
      <c r="F80" s="339" t="s">
        <v>710</v>
      </c>
      <c r="G80" s="340" t="s">
        <v>727</v>
      </c>
      <c r="H80" s="341">
        <v>7061</v>
      </c>
      <c r="I80" s="340">
        <f t="shared" si="3"/>
        <v>706.1</v>
      </c>
      <c r="J80" s="341">
        <f t="shared" si="4"/>
        <v>353.05</v>
      </c>
      <c r="K80" s="341">
        <f t="shared" si="5"/>
        <v>7414.05</v>
      </c>
      <c r="M80" s="342"/>
      <c r="N80" s="342"/>
      <c r="O80" s="342"/>
      <c r="P80" s="346"/>
      <c r="Q80" s="346"/>
      <c r="R80" s="342"/>
      <c r="S80"/>
      <c r="T80"/>
      <c r="U80"/>
      <c r="V80"/>
      <c r="W80"/>
    </row>
    <row r="81" spans="13:23" ht="14.4" x14ac:dyDescent="0.3">
      <c r="M81" s="342"/>
      <c r="N81" s="342"/>
      <c r="O81" s="342"/>
      <c r="P81" s="346"/>
      <c r="Q81" s="346"/>
      <c r="R81" s="347"/>
      <c r="S81"/>
      <c r="T81"/>
      <c r="U81"/>
      <c r="V81"/>
      <c r="W81"/>
    </row>
    <row r="82" spans="13:23" ht="14.4" x14ac:dyDescent="0.3">
      <c r="M82" s="342"/>
      <c r="N82" s="342"/>
      <c r="O82" s="342"/>
      <c r="P82" s="346"/>
      <c r="Q82" s="346"/>
      <c r="R82" s="347"/>
      <c r="S82"/>
      <c r="T82"/>
      <c r="U82"/>
      <c r="V82"/>
      <c r="W82"/>
    </row>
    <row r="83" spans="13:23" ht="14.4" x14ac:dyDescent="0.3">
      <c r="M83" s="342"/>
      <c r="N83" s="342"/>
      <c r="O83" s="342"/>
      <c r="P83" s="346"/>
      <c r="Q83" s="346"/>
      <c r="R83" s="342"/>
      <c r="S83"/>
      <c r="T83"/>
      <c r="U83"/>
      <c r="V83"/>
      <c r="W83"/>
    </row>
    <row r="84" spans="13:23" ht="14.4" x14ac:dyDescent="0.3">
      <c r="M84" s="342"/>
      <c r="N84" s="342"/>
      <c r="O84" s="342"/>
      <c r="P84" s="346"/>
      <c r="Q84" s="346"/>
      <c r="R84" s="347"/>
      <c r="S84"/>
      <c r="T84"/>
      <c r="U84"/>
      <c r="V84"/>
      <c r="W84"/>
    </row>
    <row r="85" spans="13:23" ht="14.4" x14ac:dyDescent="0.3">
      <c r="M85" s="342"/>
      <c r="N85" s="342"/>
      <c r="O85" s="342"/>
      <c r="P85" s="346"/>
      <c r="Q85" s="346"/>
      <c r="R85" s="347"/>
      <c r="S85"/>
      <c r="T85"/>
      <c r="U85"/>
      <c r="V85"/>
      <c r="W85"/>
    </row>
    <row r="86" spans="13:23" ht="14.4" x14ac:dyDescent="0.3">
      <c r="M86" s="342"/>
      <c r="N86" s="342"/>
      <c r="O86" s="342"/>
      <c r="P86" s="346"/>
      <c r="Q86" s="346"/>
      <c r="R86" s="342"/>
      <c r="S86"/>
      <c r="T86"/>
      <c r="U86"/>
      <c r="V86"/>
      <c r="W86"/>
    </row>
    <row r="87" spans="13:23" ht="14.4" x14ac:dyDescent="0.3">
      <c r="M87" s="342"/>
      <c r="N87" s="342"/>
      <c r="O87" s="342"/>
      <c r="P87" s="346"/>
      <c r="Q87" s="346"/>
      <c r="R87" s="342"/>
      <c r="S87"/>
      <c r="T87"/>
      <c r="U87"/>
      <c r="V87"/>
      <c r="W87"/>
    </row>
    <row r="88" spans="13:23" ht="14.4" x14ac:dyDescent="0.3">
      <c r="M88" s="342"/>
      <c r="N88" s="342"/>
      <c r="O88" s="342"/>
      <c r="P88" s="346"/>
      <c r="Q88" s="346"/>
      <c r="R88" s="342"/>
      <c r="S88"/>
      <c r="T88"/>
      <c r="U88"/>
      <c r="V88"/>
      <c r="W88"/>
    </row>
    <row r="89" spans="13:23" ht="14.4" x14ac:dyDescent="0.3">
      <c r="M89" s="342"/>
      <c r="N89" s="348"/>
      <c r="O89" s="342"/>
      <c r="P89" s="346"/>
      <c r="Q89" s="346"/>
      <c r="R89" s="342"/>
      <c r="S89"/>
      <c r="T89"/>
      <c r="U89"/>
      <c r="V89"/>
      <c r="W89"/>
    </row>
    <row r="90" spans="13:23" ht="14.4" x14ac:dyDescent="0.3">
      <c r="M90" s="342"/>
      <c r="N90" s="347"/>
      <c r="O90" s="342"/>
      <c r="P90" s="346"/>
      <c r="Q90" s="346"/>
      <c r="R90" s="342"/>
      <c r="S90"/>
      <c r="T90"/>
      <c r="U90"/>
      <c r="V90"/>
      <c r="W90"/>
    </row>
    <row r="91" spans="13:23" ht="14.4" x14ac:dyDescent="0.3">
      <c r="M91" s="342"/>
      <c r="N91" s="342"/>
      <c r="O91" s="342"/>
      <c r="P91" s="346"/>
      <c r="Q91" s="346"/>
      <c r="R91" s="342"/>
      <c r="S91"/>
      <c r="T91"/>
      <c r="U91"/>
      <c r="V91"/>
      <c r="W91"/>
    </row>
    <row r="92" spans="13:23" ht="14.4" x14ac:dyDescent="0.3">
      <c r="M92" s="342"/>
      <c r="N92" s="342"/>
      <c r="O92" s="342"/>
      <c r="P92" s="346"/>
      <c r="Q92" s="346"/>
      <c r="R92" s="342"/>
      <c r="S92"/>
      <c r="T92"/>
      <c r="U92"/>
      <c r="V92"/>
      <c r="W92"/>
    </row>
    <row r="93" spans="13:23" ht="14.4" x14ac:dyDescent="0.3">
      <c r="M93" s="348"/>
      <c r="N93" s="347"/>
      <c r="O93" s="342"/>
      <c r="P93" s="346"/>
      <c r="Q93" s="346"/>
      <c r="R93" s="342"/>
      <c r="S93"/>
      <c r="T93"/>
      <c r="U93"/>
      <c r="V93"/>
      <c r="W93"/>
    </row>
    <row r="94" spans="13:23" ht="14.4" x14ac:dyDescent="0.3">
      <c r="M94" s="342"/>
      <c r="N94" s="342"/>
      <c r="O94" s="342"/>
      <c r="P94" s="346"/>
      <c r="Q94" s="346"/>
      <c r="R94" s="342"/>
      <c r="S94"/>
      <c r="T94"/>
      <c r="U94"/>
      <c r="V94"/>
      <c r="W94"/>
    </row>
    <row r="95" spans="13:23" x14ac:dyDescent="0.3">
      <c r="M95" s="342"/>
      <c r="N95" s="342"/>
      <c r="O95" s="342"/>
      <c r="P95" s="346"/>
      <c r="Q95" s="346"/>
      <c r="R95" s="342"/>
    </row>
    <row r="96" spans="13:23" x14ac:dyDescent="0.3">
      <c r="M96" s="342"/>
      <c r="N96" s="342"/>
      <c r="O96" s="342"/>
      <c r="P96" s="346"/>
      <c r="Q96" s="346"/>
      <c r="R96" s="342"/>
    </row>
    <row r="97" spans="13:18" x14ac:dyDescent="0.3">
      <c r="M97" s="342"/>
      <c r="N97" s="342"/>
      <c r="O97" s="342"/>
      <c r="P97" s="346"/>
      <c r="Q97" s="346"/>
      <c r="R97" s="342"/>
    </row>
    <row r="98" spans="13:18" x14ac:dyDescent="0.3">
      <c r="M98" s="342"/>
      <c r="N98" s="342"/>
      <c r="O98" s="342"/>
      <c r="P98" s="346"/>
      <c r="Q98" s="346"/>
      <c r="R98" s="342"/>
    </row>
    <row r="99" spans="13:18" x14ac:dyDescent="0.3">
      <c r="M99" s="342"/>
      <c r="N99" s="342"/>
      <c r="O99" s="342"/>
      <c r="P99" s="346"/>
      <c r="Q99" s="346"/>
      <c r="R99" s="347"/>
    </row>
    <row r="100" spans="13:18" x14ac:dyDescent="0.3">
      <c r="M100" s="342"/>
      <c r="N100" s="342"/>
      <c r="O100" s="342"/>
      <c r="P100" s="346"/>
      <c r="Q100" s="346"/>
      <c r="R100" s="342"/>
    </row>
    <row r="101" spans="13:18" x14ac:dyDescent="0.3">
      <c r="M101" s="342"/>
      <c r="N101" s="342"/>
      <c r="O101" s="342"/>
      <c r="P101" s="346"/>
      <c r="Q101" s="346"/>
      <c r="R101" s="342"/>
    </row>
    <row r="102" spans="13:18" x14ac:dyDescent="0.3">
      <c r="M102" s="342"/>
      <c r="N102" s="342"/>
      <c r="O102" s="342"/>
      <c r="P102" s="346"/>
      <c r="Q102" s="346"/>
      <c r="R102" s="342"/>
    </row>
    <row r="103" spans="13:18" x14ac:dyDescent="0.3">
      <c r="M103" s="342"/>
      <c r="N103" s="342"/>
      <c r="O103" s="342"/>
      <c r="P103" s="346"/>
      <c r="Q103" s="346"/>
      <c r="R103" s="342"/>
    </row>
    <row r="104" spans="13:18" x14ac:dyDescent="0.3">
      <c r="M104" s="342"/>
      <c r="N104" s="342"/>
      <c r="O104" s="342"/>
      <c r="P104" s="346"/>
      <c r="Q104" s="346"/>
      <c r="R104" s="342"/>
    </row>
    <row r="105" spans="13:18" x14ac:dyDescent="0.3">
      <c r="M105" s="342"/>
      <c r="N105" s="342"/>
      <c r="O105" s="342"/>
      <c r="P105" s="346"/>
      <c r="Q105" s="346"/>
      <c r="R105" s="342"/>
    </row>
    <row r="106" spans="13:18" x14ac:dyDescent="0.3">
      <c r="M106" s="342"/>
      <c r="N106" s="342"/>
      <c r="O106" s="342"/>
      <c r="P106" s="346"/>
      <c r="Q106" s="346"/>
      <c r="R106" s="342"/>
    </row>
    <row r="107" spans="13:18" x14ac:dyDescent="0.3">
      <c r="M107" s="342"/>
      <c r="N107" s="348"/>
      <c r="O107" s="342"/>
      <c r="P107" s="346"/>
      <c r="Q107" s="346"/>
      <c r="R107" s="342"/>
    </row>
    <row r="108" spans="13:18" x14ac:dyDescent="0.3">
      <c r="M108" s="342"/>
      <c r="N108" s="342"/>
      <c r="O108" s="342"/>
      <c r="P108" s="346"/>
      <c r="Q108" s="346"/>
      <c r="R108" s="342"/>
    </row>
    <row r="109" spans="13:18" x14ac:dyDescent="0.3">
      <c r="M109" s="342"/>
      <c r="N109" s="342"/>
      <c r="O109" s="342"/>
      <c r="P109" s="346"/>
      <c r="Q109" s="346"/>
      <c r="R109" s="342"/>
    </row>
    <row r="110" spans="13:18" x14ac:dyDescent="0.3">
      <c r="M110" s="342"/>
      <c r="N110" s="342"/>
      <c r="O110" s="347"/>
      <c r="P110" s="346"/>
      <c r="Q110" s="346"/>
      <c r="R110" s="342"/>
    </row>
    <row r="111" spans="13:18" x14ac:dyDescent="0.3">
      <c r="M111" s="342"/>
      <c r="N111" s="342"/>
      <c r="O111" s="342"/>
      <c r="P111" s="346"/>
      <c r="Q111" s="346"/>
      <c r="R111" s="342"/>
    </row>
    <row r="112" spans="13:18" x14ac:dyDescent="0.3">
      <c r="M112" s="342"/>
      <c r="N112" s="342"/>
      <c r="O112" s="342"/>
      <c r="P112" s="346"/>
      <c r="Q112" s="346"/>
      <c r="R112" s="342"/>
    </row>
    <row r="113" spans="13:18" x14ac:dyDescent="0.3">
      <c r="M113" s="342"/>
      <c r="N113" s="342"/>
      <c r="O113" s="342"/>
      <c r="P113" s="346"/>
      <c r="Q113" s="346"/>
      <c r="R113" s="342"/>
    </row>
    <row r="114" spans="13:18" x14ac:dyDescent="0.3">
      <c r="M114" s="342"/>
      <c r="N114" s="342"/>
      <c r="O114" s="342"/>
      <c r="P114" s="346"/>
      <c r="Q114" s="346"/>
      <c r="R114" s="347"/>
    </row>
    <row r="115" spans="13:18" x14ac:dyDescent="0.3">
      <c r="M115" s="342"/>
      <c r="N115" s="342"/>
      <c r="O115" s="342"/>
      <c r="P115" s="346"/>
      <c r="Q115" s="346"/>
      <c r="R115" s="342"/>
    </row>
    <row r="116" spans="13:18" x14ac:dyDescent="0.3">
      <c r="M116" s="342"/>
      <c r="N116" s="342"/>
      <c r="O116" s="342"/>
      <c r="P116" s="346"/>
      <c r="Q116" s="346"/>
      <c r="R116" s="342"/>
    </row>
    <row r="117" spans="13:18" x14ac:dyDescent="0.3">
      <c r="M117" s="342"/>
      <c r="N117" s="342"/>
      <c r="O117" s="342"/>
      <c r="P117" s="346"/>
      <c r="Q117" s="346"/>
      <c r="R117" s="342"/>
    </row>
    <row r="118" spans="13:18" x14ac:dyDescent="0.3">
      <c r="M118" s="342"/>
      <c r="N118" s="342"/>
      <c r="O118" s="342"/>
      <c r="P118" s="346"/>
      <c r="Q118" s="346"/>
      <c r="R118" s="342"/>
    </row>
    <row r="119" spans="13:18" x14ac:dyDescent="0.3">
      <c r="M119" s="342"/>
      <c r="N119" s="342"/>
      <c r="O119" s="342"/>
      <c r="P119" s="346"/>
      <c r="Q119" s="346"/>
      <c r="R119" s="342"/>
    </row>
    <row r="120" spans="13:18" x14ac:dyDescent="0.3">
      <c r="M120" s="348"/>
      <c r="N120" s="342"/>
      <c r="O120" s="342"/>
      <c r="P120" s="346"/>
      <c r="Q120" s="346"/>
      <c r="R120" s="342"/>
    </row>
    <row r="121" spans="13:18" x14ac:dyDescent="0.3">
      <c r="M121" s="342"/>
      <c r="N121" s="342"/>
      <c r="O121" s="342"/>
      <c r="P121" s="346"/>
      <c r="Q121" s="346"/>
      <c r="R121" s="342"/>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46990-AED5-4B1D-B65D-567D6AFC0884}">
  <sheetPr codeName="Hoja24"/>
  <dimension ref="A1:K83"/>
  <sheetViews>
    <sheetView showGridLines="0" workbookViewId="0">
      <pane ySplit="4" topLeftCell="A5" activePane="bottomLeft" state="frozen"/>
      <selection pane="bottomLeft" activeCell="B3" sqref="B3"/>
    </sheetView>
  </sheetViews>
  <sheetFormatPr baseColWidth="10" defaultColWidth="11.44140625" defaultRowHeight="14.4" x14ac:dyDescent="0.3"/>
  <cols>
    <col min="1" max="1" width="13.33203125" customWidth="1"/>
    <col min="2" max="2" width="13.109375" customWidth="1"/>
    <col min="6" max="6" width="19.88671875" customWidth="1"/>
    <col min="7" max="7" width="12.33203125" customWidth="1"/>
    <col min="8" max="9" width="13.44140625" customWidth="1"/>
    <col min="10" max="10" width="13" customWidth="1"/>
  </cols>
  <sheetData>
    <row r="1" spans="1:11" x14ac:dyDescent="0.3">
      <c r="A1" s="241" t="s">
        <v>630</v>
      </c>
      <c r="B1" s="242" t="s">
        <v>631</v>
      </c>
      <c r="C1" s="242" t="s">
        <v>632</v>
      </c>
      <c r="D1" s="243" t="s">
        <v>166</v>
      </c>
      <c r="E1" s="243" t="s">
        <v>633</v>
      </c>
      <c r="F1" s="242" t="s">
        <v>836</v>
      </c>
      <c r="G1" s="243" t="s">
        <v>635</v>
      </c>
      <c r="H1" s="244" t="s">
        <v>636</v>
      </c>
      <c r="I1" s="243" t="s">
        <v>637</v>
      </c>
      <c r="J1" s="244" t="s">
        <v>638</v>
      </c>
      <c r="K1" s="245" t="s">
        <v>639</v>
      </c>
    </row>
    <row r="2" spans="1:11" x14ac:dyDescent="0.3">
      <c r="A2" s="266"/>
      <c r="B2" s="267"/>
      <c r="C2" s="267"/>
      <c r="D2" s="267"/>
      <c r="E2" s="267"/>
      <c r="F2" s="267"/>
      <c r="G2" s="267"/>
      <c r="H2" s="267"/>
      <c r="I2" s="267"/>
      <c r="J2" s="267"/>
      <c r="K2" s="268"/>
    </row>
    <row r="4" spans="1:11" x14ac:dyDescent="0.3">
      <c r="A4" s="205" t="s">
        <v>630</v>
      </c>
      <c r="B4" s="205" t="s">
        <v>631</v>
      </c>
      <c r="C4" s="205" t="s">
        <v>632</v>
      </c>
      <c r="D4" s="243" t="s">
        <v>166</v>
      </c>
      <c r="E4" s="243" t="s">
        <v>633</v>
      </c>
      <c r="F4" s="205" t="s">
        <v>836</v>
      </c>
      <c r="G4" s="204" t="s">
        <v>635</v>
      </c>
      <c r="H4" s="206" t="s">
        <v>636</v>
      </c>
      <c r="I4" s="204" t="s">
        <v>637</v>
      </c>
      <c r="J4" s="206" t="s">
        <v>638</v>
      </c>
      <c r="K4" s="206" t="s">
        <v>639</v>
      </c>
    </row>
    <row r="5" spans="1:11" x14ac:dyDescent="0.3">
      <c r="A5" s="207" t="s">
        <v>644</v>
      </c>
      <c r="B5" s="207" t="s">
        <v>645</v>
      </c>
      <c r="C5" s="207" t="s">
        <v>646</v>
      </c>
      <c r="D5" s="208" t="s">
        <v>176</v>
      </c>
      <c r="E5" s="208">
        <v>27</v>
      </c>
      <c r="F5" s="207" t="s">
        <v>647</v>
      </c>
      <c r="G5" s="208" t="s">
        <v>648</v>
      </c>
      <c r="H5" s="209">
        <v>2111</v>
      </c>
      <c r="I5" s="208">
        <f t="shared" ref="I5:I68" si="0">H5*0.1</f>
        <v>211.10000000000002</v>
      </c>
      <c r="J5" s="209">
        <f t="shared" ref="J5:J68" si="1">H5*0.05</f>
        <v>105.55000000000001</v>
      </c>
      <c r="K5" s="209">
        <f t="shared" ref="K5:K68" si="2">H5+I5-J5</f>
        <v>2216.5499999999997</v>
      </c>
    </row>
    <row r="6" spans="1:11" x14ac:dyDescent="0.3">
      <c r="A6" s="207" t="s">
        <v>651</v>
      </c>
      <c r="B6" s="207" t="s">
        <v>652</v>
      </c>
      <c r="C6" s="207" t="s">
        <v>653</v>
      </c>
      <c r="D6" s="208" t="s">
        <v>181</v>
      </c>
      <c r="E6" s="208">
        <v>27</v>
      </c>
      <c r="F6" s="207" t="s">
        <v>654</v>
      </c>
      <c r="G6" s="208" t="s">
        <v>648</v>
      </c>
      <c r="H6" s="209">
        <v>2138</v>
      </c>
      <c r="I6" s="208">
        <f t="shared" si="0"/>
        <v>213.8</v>
      </c>
      <c r="J6" s="209">
        <f t="shared" si="1"/>
        <v>106.9</v>
      </c>
      <c r="K6" s="209">
        <f t="shared" si="2"/>
        <v>2244.9</v>
      </c>
    </row>
    <row r="7" spans="1:11" x14ac:dyDescent="0.3">
      <c r="A7" s="207" t="s">
        <v>655</v>
      </c>
      <c r="B7" s="207" t="s">
        <v>656</v>
      </c>
      <c r="C7" s="207" t="s">
        <v>657</v>
      </c>
      <c r="D7" s="208" t="s">
        <v>176</v>
      </c>
      <c r="E7" s="208">
        <v>37</v>
      </c>
      <c r="F7" s="207" t="s">
        <v>658</v>
      </c>
      <c r="G7" s="208" t="s">
        <v>659</v>
      </c>
      <c r="H7" s="209">
        <v>3900</v>
      </c>
      <c r="I7" s="208">
        <f t="shared" si="0"/>
        <v>390</v>
      </c>
      <c r="J7" s="209">
        <f t="shared" si="1"/>
        <v>195</v>
      </c>
      <c r="K7" s="209">
        <f t="shared" si="2"/>
        <v>4095</v>
      </c>
    </row>
    <row r="8" spans="1:11" x14ac:dyDescent="0.3">
      <c r="A8" s="207" t="s">
        <v>655</v>
      </c>
      <c r="B8" s="207" t="s">
        <v>661</v>
      </c>
      <c r="C8" s="207" t="s">
        <v>662</v>
      </c>
      <c r="D8" s="208" t="s">
        <v>176</v>
      </c>
      <c r="E8" s="208">
        <v>41</v>
      </c>
      <c r="F8" s="207" t="s">
        <v>663</v>
      </c>
      <c r="G8" s="208" t="s">
        <v>664</v>
      </c>
      <c r="H8" s="209">
        <v>2950</v>
      </c>
      <c r="I8" s="208">
        <f t="shared" si="0"/>
        <v>295</v>
      </c>
      <c r="J8" s="209">
        <f t="shared" si="1"/>
        <v>147.5</v>
      </c>
      <c r="K8" s="209">
        <f t="shared" si="2"/>
        <v>3097.5</v>
      </c>
    </row>
    <row r="9" spans="1:11" x14ac:dyDescent="0.3">
      <c r="A9" s="207" t="s">
        <v>665</v>
      </c>
      <c r="B9" s="207" t="s">
        <v>666</v>
      </c>
      <c r="C9" s="207" t="s">
        <v>667</v>
      </c>
      <c r="D9" s="208" t="s">
        <v>181</v>
      </c>
      <c r="E9" s="208">
        <v>27</v>
      </c>
      <c r="F9" s="207" t="s">
        <v>658</v>
      </c>
      <c r="G9" s="208" t="s">
        <v>648</v>
      </c>
      <c r="H9" s="209">
        <v>2404</v>
      </c>
      <c r="I9" s="208">
        <f t="shared" si="0"/>
        <v>240.4</v>
      </c>
      <c r="J9" s="209">
        <f t="shared" si="1"/>
        <v>120.2</v>
      </c>
      <c r="K9" s="209">
        <f t="shared" si="2"/>
        <v>2524.2000000000003</v>
      </c>
    </row>
    <row r="10" spans="1:11" x14ac:dyDescent="0.3">
      <c r="A10" s="210" t="s">
        <v>668</v>
      </c>
      <c r="B10" s="210" t="s">
        <v>669</v>
      </c>
      <c r="C10" s="207" t="s">
        <v>670</v>
      </c>
      <c r="D10" s="208" t="s">
        <v>181</v>
      </c>
      <c r="E10" s="208">
        <v>31</v>
      </c>
      <c r="F10" s="207" t="s">
        <v>658</v>
      </c>
      <c r="G10" s="208" t="s">
        <v>671</v>
      </c>
      <c r="H10" s="209">
        <v>3785</v>
      </c>
      <c r="I10" s="208">
        <f t="shared" si="0"/>
        <v>378.5</v>
      </c>
      <c r="J10" s="209">
        <f t="shared" si="1"/>
        <v>189.25</v>
      </c>
      <c r="K10" s="209">
        <f t="shared" si="2"/>
        <v>3974.25</v>
      </c>
    </row>
    <row r="11" spans="1:11" x14ac:dyDescent="0.3">
      <c r="A11" s="207" t="s">
        <v>674</v>
      </c>
      <c r="B11" s="207" t="s">
        <v>15</v>
      </c>
      <c r="C11" s="207" t="s">
        <v>675</v>
      </c>
      <c r="D11" s="208" t="s">
        <v>176</v>
      </c>
      <c r="E11" s="208">
        <v>35</v>
      </c>
      <c r="F11" s="207" t="s">
        <v>663</v>
      </c>
      <c r="G11" s="208" t="s">
        <v>676</v>
      </c>
      <c r="H11" s="209">
        <v>2050</v>
      </c>
      <c r="I11" s="208">
        <f t="shared" si="0"/>
        <v>205</v>
      </c>
      <c r="J11" s="209">
        <f t="shared" si="1"/>
        <v>102.5</v>
      </c>
      <c r="K11" s="209">
        <f t="shared" si="2"/>
        <v>2152.5</v>
      </c>
    </row>
    <row r="12" spans="1:11" x14ac:dyDescent="0.3">
      <c r="A12" s="207" t="s">
        <v>678</v>
      </c>
      <c r="B12" s="207" t="s">
        <v>679</v>
      </c>
      <c r="C12" s="207" t="s">
        <v>680</v>
      </c>
      <c r="D12" s="208" t="s">
        <v>176</v>
      </c>
      <c r="E12" s="208">
        <v>33</v>
      </c>
      <c r="F12" s="207" t="s">
        <v>658</v>
      </c>
      <c r="G12" s="208" t="s">
        <v>664</v>
      </c>
      <c r="H12" s="209">
        <v>3312</v>
      </c>
      <c r="I12" s="208">
        <f t="shared" si="0"/>
        <v>331.20000000000005</v>
      </c>
      <c r="J12" s="209">
        <f t="shared" si="1"/>
        <v>165.60000000000002</v>
      </c>
      <c r="K12" s="209">
        <f t="shared" si="2"/>
        <v>3477.6</v>
      </c>
    </row>
    <row r="13" spans="1:11" x14ac:dyDescent="0.3">
      <c r="A13" s="207" t="s">
        <v>681</v>
      </c>
      <c r="B13" s="207" t="s">
        <v>682</v>
      </c>
      <c r="C13" s="207" t="s">
        <v>683</v>
      </c>
      <c r="D13" s="208" t="s">
        <v>181</v>
      </c>
      <c r="E13" s="208">
        <v>38</v>
      </c>
      <c r="F13" s="207" t="s">
        <v>684</v>
      </c>
      <c r="G13" s="208" t="s">
        <v>685</v>
      </c>
      <c r="H13" s="209">
        <v>2970</v>
      </c>
      <c r="I13" s="208">
        <f t="shared" si="0"/>
        <v>297</v>
      </c>
      <c r="J13" s="209">
        <f t="shared" si="1"/>
        <v>148.5</v>
      </c>
      <c r="K13" s="209">
        <f t="shared" si="2"/>
        <v>3118.5</v>
      </c>
    </row>
    <row r="14" spans="1:11" x14ac:dyDescent="0.3">
      <c r="A14" s="207" t="s">
        <v>686</v>
      </c>
      <c r="B14" s="207" t="s">
        <v>687</v>
      </c>
      <c r="C14" s="207" t="s">
        <v>688</v>
      </c>
      <c r="D14" s="208" t="s">
        <v>176</v>
      </c>
      <c r="E14" s="208">
        <v>40</v>
      </c>
      <c r="F14" s="207" t="s">
        <v>647</v>
      </c>
      <c r="G14" s="208" t="s">
        <v>671</v>
      </c>
      <c r="H14" s="209">
        <v>4150</v>
      </c>
      <c r="I14" s="208">
        <f t="shared" si="0"/>
        <v>415</v>
      </c>
      <c r="J14" s="209">
        <f t="shared" si="1"/>
        <v>207.5</v>
      </c>
      <c r="K14" s="209">
        <f t="shared" si="2"/>
        <v>4357.5</v>
      </c>
    </row>
    <row r="15" spans="1:11" x14ac:dyDescent="0.3">
      <c r="A15" s="207" t="s">
        <v>686</v>
      </c>
      <c r="B15" s="207" t="s">
        <v>687</v>
      </c>
      <c r="C15" s="207" t="s">
        <v>689</v>
      </c>
      <c r="D15" s="208" t="s">
        <v>176</v>
      </c>
      <c r="E15" s="208">
        <v>45</v>
      </c>
      <c r="F15" s="207" t="s">
        <v>647</v>
      </c>
      <c r="G15" s="208" t="s">
        <v>671</v>
      </c>
      <c r="H15" s="209">
        <v>3850</v>
      </c>
      <c r="I15" s="208">
        <f t="shared" si="0"/>
        <v>385</v>
      </c>
      <c r="J15" s="209">
        <f t="shared" si="1"/>
        <v>192.5</v>
      </c>
      <c r="K15" s="209">
        <f t="shared" si="2"/>
        <v>4042.5</v>
      </c>
    </row>
    <row r="16" spans="1:11" x14ac:dyDescent="0.3">
      <c r="A16" s="207" t="s">
        <v>693</v>
      </c>
      <c r="B16" s="207" t="s">
        <v>694</v>
      </c>
      <c r="C16" s="207" t="s">
        <v>695</v>
      </c>
      <c r="D16" s="208" t="s">
        <v>181</v>
      </c>
      <c r="E16" s="208">
        <v>27</v>
      </c>
      <c r="F16" s="207" t="s">
        <v>663</v>
      </c>
      <c r="G16" s="208" t="s">
        <v>659</v>
      </c>
      <c r="H16" s="209">
        <v>4687</v>
      </c>
      <c r="I16" s="208">
        <f t="shared" si="0"/>
        <v>468.70000000000005</v>
      </c>
      <c r="J16" s="209">
        <f t="shared" si="1"/>
        <v>234.35000000000002</v>
      </c>
      <c r="K16" s="209">
        <f t="shared" si="2"/>
        <v>4921.3499999999995</v>
      </c>
    </row>
    <row r="17" spans="1:11" x14ac:dyDescent="0.3">
      <c r="A17" s="207" t="s">
        <v>693</v>
      </c>
      <c r="B17" s="207" t="s">
        <v>694</v>
      </c>
      <c r="C17" s="207" t="s">
        <v>700</v>
      </c>
      <c r="D17" s="208" t="s">
        <v>181</v>
      </c>
      <c r="E17" s="208">
        <v>29</v>
      </c>
      <c r="F17" s="207" t="s">
        <v>684</v>
      </c>
      <c r="G17" s="208" t="s">
        <v>701</v>
      </c>
      <c r="H17" s="209">
        <v>3133</v>
      </c>
      <c r="I17" s="208">
        <f t="shared" si="0"/>
        <v>313.3</v>
      </c>
      <c r="J17" s="209">
        <f t="shared" si="1"/>
        <v>156.65</v>
      </c>
      <c r="K17" s="209">
        <f t="shared" si="2"/>
        <v>3289.65</v>
      </c>
    </row>
    <row r="18" spans="1:11" x14ac:dyDescent="0.3">
      <c r="A18" s="207" t="s">
        <v>705</v>
      </c>
      <c r="B18" s="207" t="s">
        <v>706</v>
      </c>
      <c r="C18" s="207" t="s">
        <v>657</v>
      </c>
      <c r="D18" s="208" t="s">
        <v>176</v>
      </c>
      <c r="E18" s="208">
        <v>28</v>
      </c>
      <c r="F18" s="207" t="s">
        <v>663</v>
      </c>
      <c r="G18" s="208" t="s">
        <v>648</v>
      </c>
      <c r="H18" s="209">
        <v>2596</v>
      </c>
      <c r="I18" s="208">
        <f t="shared" si="0"/>
        <v>259.60000000000002</v>
      </c>
      <c r="J18" s="209">
        <f t="shared" si="1"/>
        <v>129.80000000000001</v>
      </c>
      <c r="K18" s="209">
        <f t="shared" si="2"/>
        <v>2725.7999999999997</v>
      </c>
    </row>
    <row r="19" spans="1:11" x14ac:dyDescent="0.3">
      <c r="A19" s="207" t="s">
        <v>707</v>
      </c>
      <c r="B19" s="207" t="s">
        <v>708</v>
      </c>
      <c r="C19" s="207" t="s">
        <v>709</v>
      </c>
      <c r="D19" s="208" t="s">
        <v>181</v>
      </c>
      <c r="E19" s="208">
        <v>44</v>
      </c>
      <c r="F19" s="207" t="s">
        <v>710</v>
      </c>
      <c r="G19" s="208" t="s">
        <v>699</v>
      </c>
      <c r="H19" s="209">
        <v>2950</v>
      </c>
      <c r="I19" s="208">
        <f t="shared" si="0"/>
        <v>295</v>
      </c>
      <c r="J19" s="209">
        <f t="shared" si="1"/>
        <v>147.5</v>
      </c>
      <c r="K19" s="209">
        <f t="shared" si="2"/>
        <v>3097.5</v>
      </c>
    </row>
    <row r="20" spans="1:11" x14ac:dyDescent="0.3">
      <c r="A20" s="207" t="s">
        <v>682</v>
      </c>
      <c r="B20" s="207" t="s">
        <v>711</v>
      </c>
      <c r="C20" s="207" t="s">
        <v>712</v>
      </c>
      <c r="D20" s="208" t="s">
        <v>176</v>
      </c>
      <c r="E20" s="208">
        <v>24</v>
      </c>
      <c r="F20" s="207" t="s">
        <v>654</v>
      </c>
      <c r="G20" s="208" t="s">
        <v>713</v>
      </c>
      <c r="H20" s="209">
        <v>1718</v>
      </c>
      <c r="I20" s="208">
        <f t="shared" si="0"/>
        <v>171.8</v>
      </c>
      <c r="J20" s="209">
        <f t="shared" si="1"/>
        <v>85.9</v>
      </c>
      <c r="K20" s="209">
        <f t="shared" si="2"/>
        <v>1803.8999999999999</v>
      </c>
    </row>
    <row r="21" spans="1:11" x14ac:dyDescent="0.3">
      <c r="A21" s="207" t="s">
        <v>714</v>
      </c>
      <c r="B21" s="207" t="s">
        <v>715</v>
      </c>
      <c r="C21" s="207" t="s">
        <v>716</v>
      </c>
      <c r="D21" s="208" t="s">
        <v>176</v>
      </c>
      <c r="E21" s="208">
        <v>41</v>
      </c>
      <c r="F21" s="207" t="s">
        <v>658</v>
      </c>
      <c r="G21" s="208" t="s">
        <v>677</v>
      </c>
      <c r="H21" s="209">
        <v>6950</v>
      </c>
      <c r="I21" s="208">
        <f t="shared" si="0"/>
        <v>695</v>
      </c>
      <c r="J21" s="209">
        <f t="shared" si="1"/>
        <v>347.5</v>
      </c>
      <c r="K21" s="209">
        <f t="shared" si="2"/>
        <v>7297.5</v>
      </c>
    </row>
    <row r="22" spans="1:11" x14ac:dyDescent="0.3">
      <c r="A22" s="207" t="s">
        <v>714</v>
      </c>
      <c r="B22" s="207" t="s">
        <v>715</v>
      </c>
      <c r="C22" s="207" t="s">
        <v>717</v>
      </c>
      <c r="D22" s="208" t="s">
        <v>176</v>
      </c>
      <c r="E22" s="208">
        <v>45</v>
      </c>
      <c r="F22" s="207" t="s">
        <v>658</v>
      </c>
      <c r="G22" s="208" t="s">
        <v>677</v>
      </c>
      <c r="H22" s="209">
        <v>3099</v>
      </c>
      <c r="I22" s="208">
        <f t="shared" si="0"/>
        <v>309.90000000000003</v>
      </c>
      <c r="J22" s="209">
        <f t="shared" si="1"/>
        <v>154.95000000000002</v>
      </c>
      <c r="K22" s="209">
        <f t="shared" si="2"/>
        <v>3253.9500000000003</v>
      </c>
    </row>
    <row r="23" spans="1:11" x14ac:dyDescent="0.3">
      <c r="A23" s="207" t="s">
        <v>718</v>
      </c>
      <c r="B23" s="207" t="s">
        <v>719</v>
      </c>
      <c r="C23" s="207" t="s">
        <v>662</v>
      </c>
      <c r="D23" s="208" t="s">
        <v>176</v>
      </c>
      <c r="E23" s="208">
        <v>39</v>
      </c>
      <c r="F23" s="207" t="s">
        <v>663</v>
      </c>
      <c r="G23" s="208" t="s">
        <v>720</v>
      </c>
      <c r="H23" s="209">
        <v>3850</v>
      </c>
      <c r="I23" s="208">
        <f t="shared" si="0"/>
        <v>385</v>
      </c>
      <c r="J23" s="209">
        <f t="shared" si="1"/>
        <v>192.5</v>
      </c>
      <c r="K23" s="209">
        <f t="shared" si="2"/>
        <v>4042.5</v>
      </c>
    </row>
    <row r="24" spans="1:11" x14ac:dyDescent="0.3">
      <c r="A24" s="207" t="s">
        <v>697</v>
      </c>
      <c r="B24" s="207" t="s">
        <v>721</v>
      </c>
      <c r="C24" s="207" t="s">
        <v>722</v>
      </c>
      <c r="D24" s="208" t="s">
        <v>181</v>
      </c>
      <c r="E24" s="208">
        <v>37</v>
      </c>
      <c r="F24" s="211" t="s">
        <v>723</v>
      </c>
      <c r="G24" s="208" t="s">
        <v>671</v>
      </c>
      <c r="H24" s="209">
        <v>4500</v>
      </c>
      <c r="I24" s="208">
        <f t="shared" si="0"/>
        <v>450</v>
      </c>
      <c r="J24" s="209">
        <f t="shared" si="1"/>
        <v>225</v>
      </c>
      <c r="K24" s="209">
        <f t="shared" si="2"/>
        <v>4725</v>
      </c>
    </row>
    <row r="25" spans="1:11" x14ac:dyDescent="0.3">
      <c r="A25" s="207" t="s">
        <v>697</v>
      </c>
      <c r="B25" s="207" t="s">
        <v>724</v>
      </c>
      <c r="C25" s="207" t="s">
        <v>725</v>
      </c>
      <c r="D25" s="208" t="s">
        <v>176</v>
      </c>
      <c r="E25" s="208">
        <v>33</v>
      </c>
      <c r="F25" s="207" t="s">
        <v>726</v>
      </c>
      <c r="G25" s="208" t="s">
        <v>727</v>
      </c>
      <c r="H25" s="209">
        <v>2950</v>
      </c>
      <c r="I25" s="208">
        <f t="shared" si="0"/>
        <v>295</v>
      </c>
      <c r="J25" s="209">
        <f t="shared" si="1"/>
        <v>147.5</v>
      </c>
      <c r="K25" s="209">
        <f t="shared" si="2"/>
        <v>3097.5</v>
      </c>
    </row>
    <row r="26" spans="1:11" x14ac:dyDescent="0.3">
      <c r="A26" s="207" t="s">
        <v>728</v>
      </c>
      <c r="B26" s="207" t="s">
        <v>729</v>
      </c>
      <c r="C26" s="207" t="s">
        <v>695</v>
      </c>
      <c r="D26" s="208" t="s">
        <v>181</v>
      </c>
      <c r="E26" s="208">
        <v>27</v>
      </c>
      <c r="F26" s="211" t="s">
        <v>723</v>
      </c>
      <c r="G26" s="208" t="s">
        <v>677</v>
      </c>
      <c r="H26" s="209">
        <v>1594</v>
      </c>
      <c r="I26" s="208">
        <f t="shared" si="0"/>
        <v>159.4</v>
      </c>
      <c r="J26" s="209">
        <f t="shared" si="1"/>
        <v>79.7</v>
      </c>
      <c r="K26" s="209">
        <f t="shared" si="2"/>
        <v>1673.7</v>
      </c>
    </row>
    <row r="27" spans="1:11" x14ac:dyDescent="0.3">
      <c r="A27" s="207" t="s">
        <v>690</v>
      </c>
      <c r="B27" s="207" t="s">
        <v>691</v>
      </c>
      <c r="C27" s="207" t="s">
        <v>692</v>
      </c>
      <c r="D27" s="208" t="s">
        <v>181</v>
      </c>
      <c r="E27" s="208">
        <v>39</v>
      </c>
      <c r="F27" s="210" t="s">
        <v>647</v>
      </c>
      <c r="G27" s="208" t="s">
        <v>671</v>
      </c>
      <c r="H27" s="209">
        <v>6150</v>
      </c>
      <c r="I27" s="208">
        <f t="shared" si="0"/>
        <v>615</v>
      </c>
      <c r="J27" s="209">
        <f t="shared" si="1"/>
        <v>307.5</v>
      </c>
      <c r="K27" s="209">
        <f t="shared" si="2"/>
        <v>6457.5</v>
      </c>
    </row>
    <row r="28" spans="1:11" x14ac:dyDescent="0.3">
      <c r="A28" s="207" t="s">
        <v>730</v>
      </c>
      <c r="B28" s="207" t="s">
        <v>731</v>
      </c>
      <c r="C28" s="207" t="s">
        <v>732</v>
      </c>
      <c r="D28" s="208" t="s">
        <v>176</v>
      </c>
      <c r="E28" s="208">
        <v>27</v>
      </c>
      <c r="F28" s="207" t="s">
        <v>663</v>
      </c>
      <c r="G28" s="208" t="s">
        <v>671</v>
      </c>
      <c r="H28" s="209">
        <v>2862</v>
      </c>
      <c r="I28" s="208">
        <f t="shared" si="0"/>
        <v>286.2</v>
      </c>
      <c r="J28" s="209">
        <f t="shared" si="1"/>
        <v>143.1</v>
      </c>
      <c r="K28" s="209">
        <f t="shared" si="2"/>
        <v>3005.1</v>
      </c>
    </row>
    <row r="29" spans="1:11" x14ac:dyDescent="0.3">
      <c r="A29" s="207" t="s">
        <v>733</v>
      </c>
      <c r="B29" s="207" t="s">
        <v>734</v>
      </c>
      <c r="C29" s="207" t="s">
        <v>735</v>
      </c>
      <c r="D29" s="208" t="s">
        <v>176</v>
      </c>
      <c r="E29" s="208">
        <v>45</v>
      </c>
      <c r="F29" s="211" t="s">
        <v>723</v>
      </c>
      <c r="G29" s="208" t="s">
        <v>671</v>
      </c>
      <c r="H29" s="209">
        <v>5400</v>
      </c>
      <c r="I29" s="208">
        <f t="shared" si="0"/>
        <v>540</v>
      </c>
      <c r="J29" s="209">
        <f t="shared" si="1"/>
        <v>270</v>
      </c>
      <c r="K29" s="209">
        <f t="shared" si="2"/>
        <v>5670</v>
      </c>
    </row>
    <row r="30" spans="1:11" x14ac:dyDescent="0.3">
      <c r="A30" s="207" t="s">
        <v>736</v>
      </c>
      <c r="B30" s="207" t="s">
        <v>737</v>
      </c>
      <c r="C30" s="207" t="s">
        <v>738</v>
      </c>
      <c r="D30" s="208" t="s">
        <v>181</v>
      </c>
      <c r="E30" s="208">
        <v>27</v>
      </c>
      <c r="F30" s="207" t="s">
        <v>654</v>
      </c>
      <c r="G30" s="208" t="s">
        <v>739</v>
      </c>
      <c r="H30" s="209">
        <v>2942</v>
      </c>
      <c r="I30" s="208">
        <f t="shared" si="0"/>
        <v>294.2</v>
      </c>
      <c r="J30" s="209">
        <f t="shared" si="1"/>
        <v>147.1</v>
      </c>
      <c r="K30" s="209">
        <f t="shared" si="2"/>
        <v>3089.1</v>
      </c>
    </row>
    <row r="31" spans="1:11" x14ac:dyDescent="0.3">
      <c r="A31" s="207" t="s">
        <v>694</v>
      </c>
      <c r="B31" s="207" t="s">
        <v>740</v>
      </c>
      <c r="C31" s="207" t="s">
        <v>741</v>
      </c>
      <c r="D31" s="208" t="s">
        <v>181</v>
      </c>
      <c r="E31" s="208">
        <v>24</v>
      </c>
      <c r="F31" s="207" t="s">
        <v>726</v>
      </c>
      <c r="G31" s="208" t="s">
        <v>739</v>
      </c>
      <c r="H31" s="209">
        <v>2466</v>
      </c>
      <c r="I31" s="208">
        <f t="shared" si="0"/>
        <v>246.60000000000002</v>
      </c>
      <c r="J31" s="209">
        <f t="shared" si="1"/>
        <v>123.30000000000001</v>
      </c>
      <c r="K31" s="209">
        <f t="shared" si="2"/>
        <v>2589.2999999999997</v>
      </c>
    </row>
    <row r="32" spans="1:11" x14ac:dyDescent="0.3">
      <c r="A32" s="207" t="s">
        <v>645</v>
      </c>
      <c r="B32" s="207" t="s">
        <v>715</v>
      </c>
      <c r="C32" s="207" t="s">
        <v>675</v>
      </c>
      <c r="D32" s="208" t="s">
        <v>176</v>
      </c>
      <c r="E32" s="208">
        <v>29</v>
      </c>
      <c r="F32" s="207" t="s">
        <v>663</v>
      </c>
      <c r="G32" s="208" t="s">
        <v>742</v>
      </c>
      <c r="H32" s="209">
        <v>2351</v>
      </c>
      <c r="I32" s="208">
        <f t="shared" si="0"/>
        <v>235.10000000000002</v>
      </c>
      <c r="J32" s="209">
        <f t="shared" si="1"/>
        <v>117.55000000000001</v>
      </c>
      <c r="K32" s="209">
        <f t="shared" si="2"/>
        <v>2468.5499999999997</v>
      </c>
    </row>
    <row r="33" spans="1:11" x14ac:dyDescent="0.3">
      <c r="A33" s="207" t="s">
        <v>743</v>
      </c>
      <c r="B33" s="207" t="s">
        <v>744</v>
      </c>
      <c r="C33" s="207" t="s">
        <v>745</v>
      </c>
      <c r="D33" s="208" t="s">
        <v>176</v>
      </c>
      <c r="E33" s="208">
        <v>22</v>
      </c>
      <c r="F33" s="207" t="s">
        <v>658</v>
      </c>
      <c r="G33" s="208" t="s">
        <v>720</v>
      </c>
      <c r="H33" s="209">
        <v>2248</v>
      </c>
      <c r="I33" s="208">
        <f t="shared" si="0"/>
        <v>224.8</v>
      </c>
      <c r="J33" s="209">
        <f t="shared" si="1"/>
        <v>112.4</v>
      </c>
      <c r="K33" s="209">
        <f t="shared" si="2"/>
        <v>2360.4</v>
      </c>
    </row>
    <row r="34" spans="1:11" x14ac:dyDescent="0.3">
      <c r="A34" s="211" t="s">
        <v>743</v>
      </c>
      <c r="B34" s="207" t="s">
        <v>744</v>
      </c>
      <c r="C34" s="207" t="s">
        <v>746</v>
      </c>
      <c r="D34" s="208" t="s">
        <v>181</v>
      </c>
      <c r="E34" s="208">
        <v>26</v>
      </c>
      <c r="F34" s="207" t="s">
        <v>663</v>
      </c>
      <c r="G34" s="208" t="s">
        <v>685</v>
      </c>
      <c r="H34" s="209">
        <v>2070</v>
      </c>
      <c r="I34" s="208">
        <f t="shared" si="0"/>
        <v>207</v>
      </c>
      <c r="J34" s="209">
        <f t="shared" si="1"/>
        <v>103.5</v>
      </c>
      <c r="K34" s="209">
        <f t="shared" si="2"/>
        <v>2173.5</v>
      </c>
    </row>
    <row r="35" spans="1:11" x14ac:dyDescent="0.3">
      <c r="A35" s="207" t="s">
        <v>747</v>
      </c>
      <c r="B35" s="207" t="s">
        <v>748</v>
      </c>
      <c r="C35" s="207" t="s">
        <v>749</v>
      </c>
      <c r="D35" s="208" t="s">
        <v>181</v>
      </c>
      <c r="E35" s="208">
        <v>29</v>
      </c>
      <c r="F35" s="207" t="s">
        <v>647</v>
      </c>
      <c r="G35" s="208" t="s">
        <v>713</v>
      </c>
      <c r="H35" s="209">
        <v>1819</v>
      </c>
      <c r="I35" s="208">
        <f t="shared" si="0"/>
        <v>181.9</v>
      </c>
      <c r="J35" s="209">
        <f t="shared" si="1"/>
        <v>90.95</v>
      </c>
      <c r="K35" s="209">
        <f t="shared" si="2"/>
        <v>1909.95</v>
      </c>
    </row>
    <row r="36" spans="1:11" x14ac:dyDescent="0.3">
      <c r="A36" s="207" t="s">
        <v>750</v>
      </c>
      <c r="B36" s="207" t="s">
        <v>751</v>
      </c>
      <c r="C36" s="207" t="s">
        <v>665</v>
      </c>
      <c r="D36" s="208" t="s">
        <v>176</v>
      </c>
      <c r="E36" s="208">
        <v>29</v>
      </c>
      <c r="F36" s="211" t="s">
        <v>723</v>
      </c>
      <c r="G36" s="208" t="s">
        <v>727</v>
      </c>
      <c r="H36" s="209">
        <v>2665</v>
      </c>
      <c r="I36" s="208">
        <f t="shared" si="0"/>
        <v>266.5</v>
      </c>
      <c r="J36" s="209">
        <f t="shared" si="1"/>
        <v>133.25</v>
      </c>
      <c r="K36" s="209">
        <f t="shared" si="2"/>
        <v>2798.25</v>
      </c>
    </row>
    <row r="37" spans="1:11" x14ac:dyDescent="0.3">
      <c r="A37" s="207" t="s">
        <v>752</v>
      </c>
      <c r="B37" s="207" t="s">
        <v>753</v>
      </c>
      <c r="C37" s="207" t="s">
        <v>754</v>
      </c>
      <c r="D37" s="208" t="s">
        <v>181</v>
      </c>
      <c r="E37" s="208">
        <v>35</v>
      </c>
      <c r="F37" s="207" t="s">
        <v>658</v>
      </c>
      <c r="G37" s="208" t="s">
        <v>671</v>
      </c>
      <c r="H37" s="209">
        <v>3670</v>
      </c>
      <c r="I37" s="208">
        <f t="shared" si="0"/>
        <v>367</v>
      </c>
      <c r="J37" s="209">
        <f t="shared" si="1"/>
        <v>183.5</v>
      </c>
      <c r="K37" s="209">
        <f t="shared" si="2"/>
        <v>3853.5</v>
      </c>
    </row>
    <row r="38" spans="1:11" x14ac:dyDescent="0.3">
      <c r="A38" s="207" t="s">
        <v>755</v>
      </c>
      <c r="B38" s="207" t="s">
        <v>645</v>
      </c>
      <c r="C38" s="207" t="s">
        <v>738</v>
      </c>
      <c r="D38" s="208" t="s">
        <v>181</v>
      </c>
      <c r="E38" s="208">
        <v>27</v>
      </c>
      <c r="F38" s="207" t="s">
        <v>658</v>
      </c>
      <c r="G38" s="208" t="s">
        <v>664</v>
      </c>
      <c r="H38" s="209">
        <v>3060</v>
      </c>
      <c r="I38" s="208">
        <f t="shared" si="0"/>
        <v>306</v>
      </c>
      <c r="J38" s="209">
        <f t="shared" si="1"/>
        <v>153</v>
      </c>
      <c r="K38" s="209">
        <f t="shared" si="2"/>
        <v>3213</v>
      </c>
    </row>
    <row r="39" spans="1:11" x14ac:dyDescent="0.3">
      <c r="A39" s="207" t="s">
        <v>756</v>
      </c>
      <c r="B39" s="207" t="s">
        <v>696</v>
      </c>
      <c r="C39" s="207" t="s">
        <v>757</v>
      </c>
      <c r="D39" s="208" t="s">
        <v>176</v>
      </c>
      <c r="E39" s="208">
        <v>48</v>
      </c>
      <c r="F39" s="207" t="s">
        <v>710</v>
      </c>
      <c r="G39" s="208" t="s">
        <v>671</v>
      </c>
      <c r="H39" s="209">
        <v>4020</v>
      </c>
      <c r="I39" s="208">
        <f t="shared" si="0"/>
        <v>402</v>
      </c>
      <c r="J39" s="209">
        <f t="shared" si="1"/>
        <v>201</v>
      </c>
      <c r="K39" s="209">
        <f t="shared" si="2"/>
        <v>4221</v>
      </c>
    </row>
    <row r="40" spans="1:11" x14ac:dyDescent="0.3">
      <c r="A40" s="207" t="s">
        <v>751</v>
      </c>
      <c r="B40" s="207" t="s">
        <v>707</v>
      </c>
      <c r="C40" s="207" t="s">
        <v>758</v>
      </c>
      <c r="D40" s="208" t="s">
        <v>176</v>
      </c>
      <c r="E40" s="208">
        <v>24</v>
      </c>
      <c r="F40" s="207" t="s">
        <v>647</v>
      </c>
      <c r="G40" s="208" t="s">
        <v>699</v>
      </c>
      <c r="H40" s="209">
        <v>4135</v>
      </c>
      <c r="I40" s="208">
        <f t="shared" si="0"/>
        <v>413.5</v>
      </c>
      <c r="J40" s="209">
        <f t="shared" si="1"/>
        <v>206.75</v>
      </c>
      <c r="K40" s="209">
        <f t="shared" si="2"/>
        <v>4341.75</v>
      </c>
    </row>
    <row r="41" spans="1:11" x14ac:dyDescent="0.3">
      <c r="A41" s="207" t="s">
        <v>759</v>
      </c>
      <c r="B41" s="207" t="s">
        <v>760</v>
      </c>
      <c r="C41" s="207" t="s">
        <v>761</v>
      </c>
      <c r="D41" s="208" t="s">
        <v>181</v>
      </c>
      <c r="E41" s="208">
        <v>38</v>
      </c>
      <c r="F41" s="210" t="s">
        <v>658</v>
      </c>
      <c r="G41" s="208" t="s">
        <v>713</v>
      </c>
      <c r="H41" s="209">
        <v>3700</v>
      </c>
      <c r="I41" s="208">
        <f t="shared" si="0"/>
        <v>370</v>
      </c>
      <c r="J41" s="209">
        <f t="shared" si="1"/>
        <v>185</v>
      </c>
      <c r="K41" s="209">
        <f t="shared" si="2"/>
        <v>3885</v>
      </c>
    </row>
    <row r="42" spans="1:11" x14ac:dyDescent="0.3">
      <c r="A42" s="207" t="s">
        <v>762</v>
      </c>
      <c r="B42" s="207" t="s">
        <v>728</v>
      </c>
      <c r="C42" s="207" t="s">
        <v>763</v>
      </c>
      <c r="D42" s="208" t="s">
        <v>181</v>
      </c>
      <c r="E42" s="208">
        <v>39</v>
      </c>
      <c r="F42" s="207" t="s">
        <v>710</v>
      </c>
      <c r="G42" s="208" t="s">
        <v>764</v>
      </c>
      <c r="H42" s="209">
        <v>4023</v>
      </c>
      <c r="I42" s="208">
        <f t="shared" si="0"/>
        <v>402.3</v>
      </c>
      <c r="J42" s="209">
        <f t="shared" si="1"/>
        <v>201.15</v>
      </c>
      <c r="K42" s="209">
        <f t="shared" si="2"/>
        <v>4224.1500000000005</v>
      </c>
    </row>
    <row r="43" spans="1:11" x14ac:dyDescent="0.3">
      <c r="A43" s="207" t="s">
        <v>737</v>
      </c>
      <c r="B43" s="207" t="s">
        <v>762</v>
      </c>
      <c r="C43" s="207" t="s">
        <v>765</v>
      </c>
      <c r="D43" s="208" t="s">
        <v>181</v>
      </c>
      <c r="E43" s="208">
        <v>32</v>
      </c>
      <c r="F43" s="211" t="s">
        <v>723</v>
      </c>
      <c r="G43" s="208" t="s">
        <v>766</v>
      </c>
      <c r="H43" s="209">
        <v>3600</v>
      </c>
      <c r="I43" s="208">
        <f t="shared" si="0"/>
        <v>360</v>
      </c>
      <c r="J43" s="209">
        <f t="shared" si="1"/>
        <v>180</v>
      </c>
      <c r="K43" s="209">
        <f t="shared" si="2"/>
        <v>3780</v>
      </c>
    </row>
    <row r="44" spans="1:11" x14ac:dyDescent="0.3">
      <c r="A44" s="207" t="s">
        <v>744</v>
      </c>
      <c r="B44" s="207" t="s">
        <v>681</v>
      </c>
      <c r="C44" s="207" t="s">
        <v>732</v>
      </c>
      <c r="D44" s="208" t="s">
        <v>176</v>
      </c>
      <c r="E44" s="208">
        <v>28</v>
      </c>
      <c r="F44" s="211" t="s">
        <v>723</v>
      </c>
      <c r="G44" s="208" t="s">
        <v>739</v>
      </c>
      <c r="H44" s="209">
        <v>2747</v>
      </c>
      <c r="I44" s="208">
        <f t="shared" si="0"/>
        <v>274.7</v>
      </c>
      <c r="J44" s="209">
        <f t="shared" si="1"/>
        <v>137.35</v>
      </c>
      <c r="K44" s="209">
        <f t="shared" si="2"/>
        <v>2884.35</v>
      </c>
    </row>
    <row r="45" spans="1:11" x14ac:dyDescent="0.3">
      <c r="A45" s="207" t="s">
        <v>652</v>
      </c>
      <c r="B45" s="207" t="s">
        <v>767</v>
      </c>
      <c r="C45" s="207" t="s">
        <v>768</v>
      </c>
      <c r="D45" s="208" t="s">
        <v>181</v>
      </c>
      <c r="E45" s="208">
        <v>26</v>
      </c>
      <c r="F45" s="207" t="s">
        <v>654</v>
      </c>
      <c r="G45" s="208" t="s">
        <v>685</v>
      </c>
      <c r="H45" s="209">
        <v>3861</v>
      </c>
      <c r="I45" s="208">
        <f t="shared" si="0"/>
        <v>386.1</v>
      </c>
      <c r="J45" s="209">
        <f t="shared" si="1"/>
        <v>193.05</v>
      </c>
      <c r="K45" s="209">
        <f t="shared" si="2"/>
        <v>4054.05</v>
      </c>
    </row>
    <row r="46" spans="1:11" x14ac:dyDescent="0.3">
      <c r="A46" s="207" t="s">
        <v>769</v>
      </c>
      <c r="B46" s="207" t="s">
        <v>747</v>
      </c>
      <c r="C46" s="207" t="s">
        <v>770</v>
      </c>
      <c r="D46" s="208" t="s">
        <v>181</v>
      </c>
      <c r="E46" s="208">
        <v>29</v>
      </c>
      <c r="F46" s="211" t="s">
        <v>723</v>
      </c>
      <c r="G46" s="208" t="s">
        <v>659</v>
      </c>
      <c r="H46" s="209">
        <v>5414</v>
      </c>
      <c r="I46" s="208">
        <f t="shared" si="0"/>
        <v>541.4</v>
      </c>
      <c r="J46" s="209">
        <f t="shared" si="1"/>
        <v>270.7</v>
      </c>
      <c r="K46" s="209">
        <f t="shared" si="2"/>
        <v>5684.7</v>
      </c>
    </row>
    <row r="47" spans="1:11" x14ac:dyDescent="0.3">
      <c r="A47" s="207" t="s">
        <v>771</v>
      </c>
      <c r="B47" s="207" t="s">
        <v>651</v>
      </c>
      <c r="C47" s="207" t="s">
        <v>772</v>
      </c>
      <c r="D47" s="208" t="s">
        <v>181</v>
      </c>
      <c r="E47" s="208">
        <v>28</v>
      </c>
      <c r="F47" s="211" t="s">
        <v>723</v>
      </c>
      <c r="G47" s="208" t="s">
        <v>766</v>
      </c>
      <c r="H47" s="209">
        <v>1397</v>
      </c>
      <c r="I47" s="208">
        <f t="shared" si="0"/>
        <v>139.70000000000002</v>
      </c>
      <c r="J47" s="209">
        <f t="shared" si="1"/>
        <v>69.850000000000009</v>
      </c>
      <c r="K47" s="209">
        <f t="shared" si="2"/>
        <v>1466.8500000000001</v>
      </c>
    </row>
    <row r="48" spans="1:11" x14ac:dyDescent="0.3">
      <c r="A48" s="207" t="s">
        <v>773</v>
      </c>
      <c r="B48" s="207" t="s">
        <v>762</v>
      </c>
      <c r="C48" s="207" t="s">
        <v>732</v>
      </c>
      <c r="D48" s="208" t="s">
        <v>176</v>
      </c>
      <c r="E48" s="208">
        <v>25</v>
      </c>
      <c r="F48" s="207" t="s">
        <v>654</v>
      </c>
      <c r="G48" s="208" t="s">
        <v>720</v>
      </c>
      <c r="H48" s="209">
        <v>2460</v>
      </c>
      <c r="I48" s="208">
        <f t="shared" si="0"/>
        <v>246</v>
      </c>
      <c r="J48" s="209">
        <f t="shared" si="1"/>
        <v>123</v>
      </c>
      <c r="K48" s="209">
        <f t="shared" si="2"/>
        <v>2583</v>
      </c>
    </row>
    <row r="49" spans="1:11" x14ac:dyDescent="0.3">
      <c r="A49" s="207" t="s">
        <v>400</v>
      </c>
      <c r="B49" s="207" t="s">
        <v>774</v>
      </c>
      <c r="C49" s="207" t="s">
        <v>717</v>
      </c>
      <c r="D49" s="208" t="s">
        <v>176</v>
      </c>
      <c r="E49" s="208">
        <v>24</v>
      </c>
      <c r="F49" s="207" t="s">
        <v>710</v>
      </c>
      <c r="G49" s="208" t="s">
        <v>764</v>
      </c>
      <c r="H49" s="209">
        <v>2479</v>
      </c>
      <c r="I49" s="208">
        <f t="shared" si="0"/>
        <v>247.9</v>
      </c>
      <c r="J49" s="209">
        <f t="shared" si="1"/>
        <v>123.95</v>
      </c>
      <c r="K49" s="209">
        <f t="shared" si="2"/>
        <v>2602.9500000000003</v>
      </c>
    </row>
    <row r="50" spans="1:11" x14ac:dyDescent="0.3">
      <c r="A50" s="207" t="s">
        <v>775</v>
      </c>
      <c r="B50" s="207" t="s">
        <v>776</v>
      </c>
      <c r="C50" s="207" t="s">
        <v>777</v>
      </c>
      <c r="D50" s="208" t="s">
        <v>181</v>
      </c>
      <c r="E50" s="208">
        <v>30</v>
      </c>
      <c r="F50" s="207" t="s">
        <v>684</v>
      </c>
      <c r="G50" s="208" t="s">
        <v>677</v>
      </c>
      <c r="H50" s="209">
        <v>2367</v>
      </c>
      <c r="I50" s="208">
        <f t="shared" si="0"/>
        <v>236.70000000000002</v>
      </c>
      <c r="J50" s="209">
        <f t="shared" si="1"/>
        <v>118.35000000000001</v>
      </c>
      <c r="K50" s="209">
        <f t="shared" si="2"/>
        <v>2485.35</v>
      </c>
    </row>
    <row r="51" spans="1:11" x14ac:dyDescent="0.3">
      <c r="A51" s="207" t="s">
        <v>715</v>
      </c>
      <c r="B51" s="210" t="s">
        <v>668</v>
      </c>
      <c r="C51" s="207" t="s">
        <v>778</v>
      </c>
      <c r="D51" s="208" t="s">
        <v>176</v>
      </c>
      <c r="E51" s="208">
        <v>45</v>
      </c>
      <c r="F51" s="207" t="s">
        <v>647</v>
      </c>
      <c r="G51" s="208" t="s">
        <v>720</v>
      </c>
      <c r="H51" s="209">
        <v>6216</v>
      </c>
      <c r="I51" s="208">
        <f t="shared" si="0"/>
        <v>621.6</v>
      </c>
      <c r="J51" s="209">
        <f t="shared" si="1"/>
        <v>310.8</v>
      </c>
      <c r="K51" s="209">
        <f t="shared" si="2"/>
        <v>6526.8</v>
      </c>
    </row>
    <row r="52" spans="1:11" x14ac:dyDescent="0.3">
      <c r="A52" s="207" t="s">
        <v>779</v>
      </c>
      <c r="B52" s="211" t="s">
        <v>743</v>
      </c>
      <c r="C52" s="207" t="s">
        <v>780</v>
      </c>
      <c r="D52" s="208" t="s">
        <v>176</v>
      </c>
      <c r="E52" s="208">
        <v>22</v>
      </c>
      <c r="F52" s="207" t="s">
        <v>710</v>
      </c>
      <c r="G52" s="208" t="s">
        <v>766</v>
      </c>
      <c r="H52" s="209">
        <v>1330</v>
      </c>
      <c r="I52" s="208">
        <f t="shared" si="0"/>
        <v>133</v>
      </c>
      <c r="J52" s="209">
        <f t="shared" si="1"/>
        <v>66.5</v>
      </c>
      <c r="K52" s="209">
        <f t="shared" si="2"/>
        <v>1396.5</v>
      </c>
    </row>
    <row r="53" spans="1:11" x14ac:dyDescent="0.3">
      <c r="A53" s="207" t="s">
        <v>781</v>
      </c>
      <c r="B53" s="207" t="s">
        <v>782</v>
      </c>
      <c r="C53" s="207" t="s">
        <v>783</v>
      </c>
      <c r="D53" s="208" t="s">
        <v>181</v>
      </c>
      <c r="E53" s="208">
        <v>36</v>
      </c>
      <c r="F53" s="207" t="s">
        <v>658</v>
      </c>
      <c r="G53" s="208" t="s">
        <v>671</v>
      </c>
      <c r="H53" s="209">
        <v>4030</v>
      </c>
      <c r="I53" s="208">
        <f t="shared" si="0"/>
        <v>403</v>
      </c>
      <c r="J53" s="209">
        <f t="shared" si="1"/>
        <v>201.5</v>
      </c>
      <c r="K53" s="209">
        <f t="shared" si="2"/>
        <v>4231.5</v>
      </c>
    </row>
    <row r="54" spans="1:11" x14ac:dyDescent="0.3">
      <c r="A54" s="207" t="s">
        <v>696</v>
      </c>
      <c r="B54" s="207" t="s">
        <v>697</v>
      </c>
      <c r="C54" s="207" t="s">
        <v>698</v>
      </c>
      <c r="D54" s="208" t="s">
        <v>181</v>
      </c>
      <c r="E54" s="208">
        <v>41</v>
      </c>
      <c r="F54" s="207" t="s">
        <v>647</v>
      </c>
      <c r="G54" s="208" t="s">
        <v>699</v>
      </c>
      <c r="H54" s="209">
        <v>3120</v>
      </c>
      <c r="I54" s="208">
        <f t="shared" si="0"/>
        <v>312</v>
      </c>
      <c r="J54" s="209">
        <f t="shared" si="1"/>
        <v>156</v>
      </c>
      <c r="K54" s="209">
        <f t="shared" si="2"/>
        <v>3276</v>
      </c>
    </row>
    <row r="55" spans="1:11" x14ac:dyDescent="0.3">
      <c r="A55" s="210" t="s">
        <v>784</v>
      </c>
      <c r="B55" s="211" t="s">
        <v>785</v>
      </c>
      <c r="C55" s="207" t="s">
        <v>786</v>
      </c>
      <c r="D55" s="208" t="s">
        <v>181</v>
      </c>
      <c r="E55" s="208">
        <v>31</v>
      </c>
      <c r="F55" s="207" t="s">
        <v>658</v>
      </c>
      <c r="G55" s="208" t="s">
        <v>671</v>
      </c>
      <c r="H55" s="209">
        <v>3298</v>
      </c>
      <c r="I55" s="208">
        <f t="shared" si="0"/>
        <v>329.8</v>
      </c>
      <c r="J55" s="209">
        <f t="shared" si="1"/>
        <v>164.9</v>
      </c>
      <c r="K55" s="209">
        <f t="shared" si="2"/>
        <v>3462.9</v>
      </c>
    </row>
    <row r="56" spans="1:11" x14ac:dyDescent="0.3">
      <c r="A56" s="207" t="s">
        <v>787</v>
      </c>
      <c r="B56" s="207" t="s">
        <v>788</v>
      </c>
      <c r="C56" s="207" t="s">
        <v>789</v>
      </c>
      <c r="D56" s="208" t="s">
        <v>176</v>
      </c>
      <c r="E56" s="208">
        <v>27</v>
      </c>
      <c r="F56" s="207" t="s">
        <v>647</v>
      </c>
      <c r="G56" s="208" t="s">
        <v>659</v>
      </c>
      <c r="H56" s="209">
        <v>1917</v>
      </c>
      <c r="I56" s="208">
        <f t="shared" si="0"/>
        <v>191.70000000000002</v>
      </c>
      <c r="J56" s="209">
        <f t="shared" si="1"/>
        <v>95.850000000000009</v>
      </c>
      <c r="K56" s="209">
        <f t="shared" si="2"/>
        <v>2012.85</v>
      </c>
    </row>
    <row r="57" spans="1:11" x14ac:dyDescent="0.3">
      <c r="A57" s="207" t="s">
        <v>790</v>
      </c>
      <c r="B57" s="207" t="s">
        <v>693</v>
      </c>
      <c r="C57" s="207" t="s">
        <v>789</v>
      </c>
      <c r="D57" s="208" t="s">
        <v>176</v>
      </c>
      <c r="E57" s="208">
        <v>27</v>
      </c>
      <c r="F57" s="207" t="s">
        <v>663</v>
      </c>
      <c r="G57" s="208" t="s">
        <v>659</v>
      </c>
      <c r="H57" s="209">
        <v>6195</v>
      </c>
      <c r="I57" s="208">
        <f t="shared" si="0"/>
        <v>619.5</v>
      </c>
      <c r="J57" s="209">
        <f t="shared" si="1"/>
        <v>309.75</v>
      </c>
      <c r="K57" s="209">
        <f t="shared" si="2"/>
        <v>6504.75</v>
      </c>
    </row>
    <row r="58" spans="1:11" x14ac:dyDescent="0.3">
      <c r="A58" s="207" t="s">
        <v>788</v>
      </c>
      <c r="B58" s="207" t="s">
        <v>791</v>
      </c>
      <c r="C58" s="207" t="s">
        <v>792</v>
      </c>
      <c r="D58" s="208" t="s">
        <v>176</v>
      </c>
      <c r="E58" s="208">
        <v>45</v>
      </c>
      <c r="F58" s="207" t="s">
        <v>658</v>
      </c>
      <c r="G58" s="208" t="s">
        <v>648</v>
      </c>
      <c r="H58" s="209">
        <v>9452</v>
      </c>
      <c r="I58" s="208">
        <f t="shared" si="0"/>
        <v>945.2</v>
      </c>
      <c r="J58" s="209">
        <f t="shared" si="1"/>
        <v>472.6</v>
      </c>
      <c r="K58" s="209">
        <f t="shared" si="2"/>
        <v>9924.6</v>
      </c>
    </row>
    <row r="59" spans="1:11" x14ac:dyDescent="0.3">
      <c r="A59" s="207" t="s">
        <v>788</v>
      </c>
      <c r="B59" s="207" t="s">
        <v>779</v>
      </c>
      <c r="C59" s="207" t="s">
        <v>793</v>
      </c>
      <c r="D59" s="208" t="s">
        <v>176</v>
      </c>
      <c r="E59" s="208">
        <v>21</v>
      </c>
      <c r="F59" s="207" t="s">
        <v>654</v>
      </c>
      <c r="G59" s="208" t="s">
        <v>664</v>
      </c>
      <c r="H59" s="209">
        <v>5723</v>
      </c>
      <c r="I59" s="208">
        <f t="shared" si="0"/>
        <v>572.30000000000007</v>
      </c>
      <c r="J59" s="209">
        <f t="shared" si="1"/>
        <v>286.15000000000003</v>
      </c>
      <c r="K59" s="209">
        <f t="shared" si="2"/>
        <v>6009.1500000000005</v>
      </c>
    </row>
    <row r="60" spans="1:11" x14ac:dyDescent="0.3">
      <c r="A60" s="207" t="s">
        <v>794</v>
      </c>
      <c r="B60" s="207" t="s">
        <v>771</v>
      </c>
      <c r="C60" s="207" t="s">
        <v>795</v>
      </c>
      <c r="D60" s="208" t="s">
        <v>176</v>
      </c>
      <c r="E60" s="208">
        <v>21</v>
      </c>
      <c r="F60" s="207" t="s">
        <v>654</v>
      </c>
      <c r="G60" s="208" t="s">
        <v>739</v>
      </c>
      <c r="H60" s="209">
        <v>5622</v>
      </c>
      <c r="I60" s="208">
        <f t="shared" si="0"/>
        <v>562.20000000000005</v>
      </c>
      <c r="J60" s="209">
        <f t="shared" si="1"/>
        <v>281.10000000000002</v>
      </c>
      <c r="K60" s="209">
        <f t="shared" si="2"/>
        <v>5903.0999999999995</v>
      </c>
    </row>
    <row r="61" spans="1:11" x14ac:dyDescent="0.3">
      <c r="A61" s="207" t="s">
        <v>724</v>
      </c>
      <c r="B61" s="207" t="s">
        <v>674</v>
      </c>
      <c r="C61" s="207" t="s">
        <v>796</v>
      </c>
      <c r="D61" s="208" t="s">
        <v>181</v>
      </c>
      <c r="E61" s="208">
        <v>29</v>
      </c>
      <c r="F61" s="211" t="s">
        <v>723</v>
      </c>
      <c r="G61" s="208" t="s">
        <v>677</v>
      </c>
      <c r="H61" s="209">
        <v>2538</v>
      </c>
      <c r="I61" s="208">
        <f t="shared" si="0"/>
        <v>253.8</v>
      </c>
      <c r="J61" s="209">
        <f t="shared" si="1"/>
        <v>126.9</v>
      </c>
      <c r="K61" s="209">
        <f t="shared" si="2"/>
        <v>2664.9</v>
      </c>
    </row>
    <row r="62" spans="1:11" x14ac:dyDescent="0.3">
      <c r="A62" s="207" t="s">
        <v>797</v>
      </c>
      <c r="B62" s="207" t="s">
        <v>769</v>
      </c>
      <c r="C62" s="207" t="s">
        <v>798</v>
      </c>
      <c r="D62" s="208" t="s">
        <v>181</v>
      </c>
      <c r="E62" s="208">
        <v>29</v>
      </c>
      <c r="F62" s="207" t="s">
        <v>684</v>
      </c>
      <c r="G62" s="208" t="s">
        <v>799</v>
      </c>
      <c r="H62" s="209">
        <v>2323</v>
      </c>
      <c r="I62" s="208">
        <f t="shared" si="0"/>
        <v>232.3</v>
      </c>
      <c r="J62" s="209">
        <f t="shared" si="1"/>
        <v>116.15</v>
      </c>
      <c r="K62" s="209">
        <f t="shared" si="2"/>
        <v>2439.15</v>
      </c>
    </row>
    <row r="63" spans="1:11" x14ac:dyDescent="0.3">
      <c r="A63" s="207" t="s">
        <v>797</v>
      </c>
      <c r="B63" s="207" t="s">
        <v>769</v>
      </c>
      <c r="C63" s="207" t="s">
        <v>800</v>
      </c>
      <c r="D63" s="208" t="s">
        <v>176</v>
      </c>
      <c r="E63" s="208">
        <v>29</v>
      </c>
      <c r="F63" s="207" t="s">
        <v>658</v>
      </c>
      <c r="G63" s="208" t="s">
        <v>671</v>
      </c>
      <c r="H63" s="209">
        <v>4364</v>
      </c>
      <c r="I63" s="208">
        <f t="shared" si="0"/>
        <v>436.40000000000003</v>
      </c>
      <c r="J63" s="209">
        <f t="shared" si="1"/>
        <v>218.20000000000002</v>
      </c>
      <c r="K63" s="209">
        <f t="shared" si="2"/>
        <v>4582.2</v>
      </c>
    </row>
    <row r="64" spans="1:11" x14ac:dyDescent="0.3">
      <c r="A64" s="207" t="s">
        <v>734</v>
      </c>
      <c r="B64" s="207" t="s">
        <v>665</v>
      </c>
      <c r="C64" s="207" t="s">
        <v>738</v>
      </c>
      <c r="D64" s="208" t="s">
        <v>181</v>
      </c>
      <c r="E64" s="208">
        <v>40</v>
      </c>
      <c r="F64" s="207" t="s">
        <v>684</v>
      </c>
      <c r="G64" s="208" t="s">
        <v>664</v>
      </c>
      <c r="H64" s="209">
        <v>7250</v>
      </c>
      <c r="I64" s="208">
        <f t="shared" si="0"/>
        <v>725</v>
      </c>
      <c r="J64" s="209">
        <f t="shared" si="1"/>
        <v>362.5</v>
      </c>
      <c r="K64" s="209">
        <f t="shared" si="2"/>
        <v>7612.5</v>
      </c>
    </row>
    <row r="65" spans="1:11" x14ac:dyDescent="0.3">
      <c r="A65" s="207" t="s">
        <v>774</v>
      </c>
      <c r="B65" s="207" t="s">
        <v>690</v>
      </c>
      <c r="C65" s="207" t="s">
        <v>801</v>
      </c>
      <c r="D65" s="208" t="s">
        <v>176</v>
      </c>
      <c r="E65" s="208">
        <v>27</v>
      </c>
      <c r="F65" s="207" t="s">
        <v>658</v>
      </c>
      <c r="G65" s="208" t="s">
        <v>766</v>
      </c>
      <c r="H65" s="209">
        <v>3256</v>
      </c>
      <c r="I65" s="208">
        <f t="shared" si="0"/>
        <v>325.60000000000002</v>
      </c>
      <c r="J65" s="209">
        <f t="shared" si="1"/>
        <v>162.80000000000001</v>
      </c>
      <c r="K65" s="209">
        <f t="shared" si="2"/>
        <v>3418.7999999999997</v>
      </c>
    </row>
    <row r="66" spans="1:11" x14ac:dyDescent="0.3">
      <c r="A66" s="207" t="s">
        <v>802</v>
      </c>
      <c r="B66" s="207" t="s">
        <v>731</v>
      </c>
      <c r="C66" s="207" t="s">
        <v>803</v>
      </c>
      <c r="D66" s="208" t="s">
        <v>181</v>
      </c>
      <c r="E66" s="208">
        <v>39</v>
      </c>
      <c r="F66" s="207" t="s">
        <v>658</v>
      </c>
      <c r="G66" s="208" t="s">
        <v>664</v>
      </c>
      <c r="H66" s="209">
        <v>2950</v>
      </c>
      <c r="I66" s="208">
        <f t="shared" si="0"/>
        <v>295</v>
      </c>
      <c r="J66" s="209">
        <f t="shared" si="1"/>
        <v>147.5</v>
      </c>
      <c r="K66" s="209">
        <f t="shared" si="2"/>
        <v>3097.5</v>
      </c>
    </row>
    <row r="67" spans="1:11" x14ac:dyDescent="0.3">
      <c r="A67" s="207" t="s">
        <v>804</v>
      </c>
      <c r="B67" s="207" t="s">
        <v>759</v>
      </c>
      <c r="C67" s="207" t="s">
        <v>805</v>
      </c>
      <c r="D67" s="208" t="s">
        <v>181</v>
      </c>
      <c r="E67" s="208">
        <v>24</v>
      </c>
      <c r="F67" s="207" t="s">
        <v>654</v>
      </c>
      <c r="G67" s="208" t="s">
        <v>720</v>
      </c>
      <c r="H67" s="209">
        <v>3823</v>
      </c>
      <c r="I67" s="208">
        <f t="shared" si="0"/>
        <v>382.3</v>
      </c>
      <c r="J67" s="209">
        <f t="shared" si="1"/>
        <v>191.15</v>
      </c>
      <c r="K67" s="209">
        <f t="shared" si="2"/>
        <v>4014.15</v>
      </c>
    </row>
    <row r="68" spans="1:11" x14ac:dyDescent="0.3">
      <c r="A68" s="207" t="s">
        <v>806</v>
      </c>
      <c r="B68" s="207" t="s">
        <v>807</v>
      </c>
      <c r="C68" s="207" t="s">
        <v>808</v>
      </c>
      <c r="D68" s="208" t="s">
        <v>176</v>
      </c>
      <c r="E68" s="208">
        <v>31</v>
      </c>
      <c r="F68" s="207" t="s">
        <v>647</v>
      </c>
      <c r="G68" s="208" t="s">
        <v>799</v>
      </c>
      <c r="H68" s="209">
        <v>1802</v>
      </c>
      <c r="I68" s="208">
        <f t="shared" si="0"/>
        <v>180.20000000000002</v>
      </c>
      <c r="J68" s="209">
        <f t="shared" si="1"/>
        <v>90.100000000000009</v>
      </c>
      <c r="K68" s="209">
        <f t="shared" si="2"/>
        <v>1892.1000000000001</v>
      </c>
    </row>
    <row r="69" spans="1:11" x14ac:dyDescent="0.3">
      <c r="A69" s="207" t="s">
        <v>809</v>
      </c>
      <c r="B69" s="210" t="s">
        <v>784</v>
      </c>
      <c r="C69" s="207" t="s">
        <v>810</v>
      </c>
      <c r="D69" s="208" t="s">
        <v>181</v>
      </c>
      <c r="E69" s="208">
        <v>31</v>
      </c>
      <c r="F69" s="207" t="s">
        <v>726</v>
      </c>
      <c r="G69" s="208" t="s">
        <v>677</v>
      </c>
      <c r="H69" s="209">
        <v>2868</v>
      </c>
      <c r="I69" s="208">
        <f t="shared" ref="I69:I83" si="3">H69*0.1</f>
        <v>286.8</v>
      </c>
      <c r="J69" s="209">
        <f t="shared" ref="J69:J83" si="4">H69*0.05</f>
        <v>143.4</v>
      </c>
      <c r="K69" s="209">
        <f t="shared" ref="K69:K83" si="5">H69+I69-J69</f>
        <v>3011.4</v>
      </c>
    </row>
    <row r="70" spans="1:11" x14ac:dyDescent="0.3">
      <c r="A70" s="207" t="s">
        <v>811</v>
      </c>
      <c r="B70" s="207" t="s">
        <v>812</v>
      </c>
      <c r="C70" s="207" t="s">
        <v>813</v>
      </c>
      <c r="D70" s="208" t="s">
        <v>181</v>
      </c>
      <c r="E70" s="208">
        <v>29</v>
      </c>
      <c r="F70" s="207" t="s">
        <v>647</v>
      </c>
      <c r="G70" s="208" t="s">
        <v>837</v>
      </c>
      <c r="H70" s="209">
        <v>2613</v>
      </c>
      <c r="I70" s="208">
        <f t="shared" si="3"/>
        <v>261.3</v>
      </c>
      <c r="J70" s="209">
        <f t="shared" si="4"/>
        <v>130.65</v>
      </c>
      <c r="K70" s="209">
        <f t="shared" si="5"/>
        <v>2743.65</v>
      </c>
    </row>
    <row r="71" spans="1:11" x14ac:dyDescent="0.3">
      <c r="A71" s="207" t="s">
        <v>811</v>
      </c>
      <c r="B71" s="207" t="s">
        <v>814</v>
      </c>
      <c r="C71" s="207" t="s">
        <v>815</v>
      </c>
      <c r="D71" s="208" t="s">
        <v>176</v>
      </c>
      <c r="E71" s="208">
        <v>33</v>
      </c>
      <c r="F71" s="207" t="s">
        <v>647</v>
      </c>
      <c r="G71" s="208" t="s">
        <v>676</v>
      </c>
      <c r="H71" s="209">
        <v>3200</v>
      </c>
      <c r="I71" s="208">
        <f t="shared" si="3"/>
        <v>320</v>
      </c>
      <c r="J71" s="209">
        <f t="shared" si="4"/>
        <v>160</v>
      </c>
      <c r="K71" s="209">
        <f t="shared" si="5"/>
        <v>3360</v>
      </c>
    </row>
    <row r="72" spans="1:11" x14ac:dyDescent="0.3">
      <c r="A72" s="207" t="s">
        <v>816</v>
      </c>
      <c r="B72" s="207" t="s">
        <v>804</v>
      </c>
      <c r="C72" s="211" t="s">
        <v>817</v>
      </c>
      <c r="D72" s="208" t="s">
        <v>176</v>
      </c>
      <c r="E72" s="208">
        <v>37</v>
      </c>
      <c r="F72" s="207" t="s">
        <v>710</v>
      </c>
      <c r="G72" s="208" t="s">
        <v>648</v>
      </c>
      <c r="H72" s="209">
        <v>3650</v>
      </c>
      <c r="I72" s="208">
        <f t="shared" si="3"/>
        <v>365</v>
      </c>
      <c r="J72" s="209">
        <f t="shared" si="4"/>
        <v>182.5</v>
      </c>
      <c r="K72" s="209">
        <f t="shared" si="5"/>
        <v>3832.5</v>
      </c>
    </row>
    <row r="73" spans="1:11" x14ac:dyDescent="0.3">
      <c r="A73" s="207" t="s">
        <v>818</v>
      </c>
      <c r="B73" s="207" t="s">
        <v>819</v>
      </c>
      <c r="C73" s="207" t="s">
        <v>692</v>
      </c>
      <c r="D73" s="208" t="s">
        <v>181</v>
      </c>
      <c r="E73" s="208">
        <v>50</v>
      </c>
      <c r="F73" s="207" t="s">
        <v>663</v>
      </c>
      <c r="G73" s="208" t="s">
        <v>739</v>
      </c>
      <c r="H73" s="209">
        <v>1950</v>
      </c>
      <c r="I73" s="208">
        <f t="shared" si="3"/>
        <v>195</v>
      </c>
      <c r="J73" s="209">
        <f t="shared" si="4"/>
        <v>97.5</v>
      </c>
      <c r="K73" s="209">
        <f t="shared" si="5"/>
        <v>2047.5</v>
      </c>
    </row>
    <row r="74" spans="1:11" x14ac:dyDescent="0.3">
      <c r="A74" s="207" t="s">
        <v>820</v>
      </c>
      <c r="B74" s="207" t="s">
        <v>736</v>
      </c>
      <c r="C74" s="207" t="s">
        <v>821</v>
      </c>
      <c r="D74" s="208" t="s">
        <v>176</v>
      </c>
      <c r="E74" s="208">
        <v>34</v>
      </c>
      <c r="F74" s="207" t="s">
        <v>684</v>
      </c>
      <c r="G74" s="208" t="s">
        <v>648</v>
      </c>
      <c r="H74" s="209">
        <v>3340</v>
      </c>
      <c r="I74" s="208">
        <f t="shared" si="3"/>
        <v>334</v>
      </c>
      <c r="J74" s="209">
        <f t="shared" si="4"/>
        <v>167</v>
      </c>
      <c r="K74" s="209">
        <f t="shared" si="5"/>
        <v>3507</v>
      </c>
    </row>
    <row r="75" spans="1:11" x14ac:dyDescent="0.3">
      <c r="A75" s="207" t="s">
        <v>822</v>
      </c>
      <c r="B75" s="207" t="s">
        <v>651</v>
      </c>
      <c r="C75" s="207" t="s">
        <v>823</v>
      </c>
      <c r="D75" s="208" t="s">
        <v>176</v>
      </c>
      <c r="E75" s="208">
        <v>32</v>
      </c>
      <c r="F75" s="207" t="s">
        <v>726</v>
      </c>
      <c r="G75" s="208" t="s">
        <v>648</v>
      </c>
      <c r="H75" s="209">
        <v>2524</v>
      </c>
      <c r="I75" s="208">
        <f t="shared" si="3"/>
        <v>252.4</v>
      </c>
      <c r="J75" s="209">
        <f t="shared" si="4"/>
        <v>126.2</v>
      </c>
      <c r="K75" s="209">
        <f t="shared" si="5"/>
        <v>2650.2000000000003</v>
      </c>
    </row>
    <row r="76" spans="1:11" x14ac:dyDescent="0.3">
      <c r="A76" s="207" t="s">
        <v>824</v>
      </c>
      <c r="B76" s="207" t="s">
        <v>794</v>
      </c>
      <c r="C76" s="207" t="s">
        <v>825</v>
      </c>
      <c r="D76" s="208" t="s">
        <v>176</v>
      </c>
      <c r="E76" s="208">
        <v>33</v>
      </c>
      <c r="F76" s="211" t="s">
        <v>723</v>
      </c>
      <c r="G76" s="208" t="s">
        <v>671</v>
      </c>
      <c r="H76" s="209">
        <v>3500</v>
      </c>
      <c r="I76" s="208">
        <f t="shared" si="3"/>
        <v>350</v>
      </c>
      <c r="J76" s="209">
        <f t="shared" si="4"/>
        <v>175</v>
      </c>
      <c r="K76" s="209">
        <f t="shared" si="5"/>
        <v>3675</v>
      </c>
    </row>
    <row r="77" spans="1:11" x14ac:dyDescent="0.3">
      <c r="A77" s="207" t="s">
        <v>826</v>
      </c>
      <c r="B77" s="207" t="s">
        <v>809</v>
      </c>
      <c r="C77" s="207" t="s">
        <v>815</v>
      </c>
      <c r="D77" s="208" t="s">
        <v>176</v>
      </c>
      <c r="E77" s="208">
        <v>43</v>
      </c>
      <c r="F77" s="207" t="s">
        <v>647</v>
      </c>
      <c r="G77" s="208" t="s">
        <v>671</v>
      </c>
      <c r="H77" s="209">
        <v>6790</v>
      </c>
      <c r="I77" s="208">
        <f t="shared" si="3"/>
        <v>679</v>
      </c>
      <c r="J77" s="209">
        <f t="shared" si="4"/>
        <v>339.5</v>
      </c>
      <c r="K77" s="209">
        <f t="shared" si="5"/>
        <v>7129.5</v>
      </c>
    </row>
    <row r="78" spans="1:11" x14ac:dyDescent="0.3">
      <c r="A78" s="207" t="s">
        <v>826</v>
      </c>
      <c r="B78" s="207" t="s">
        <v>827</v>
      </c>
      <c r="C78" s="207" t="s">
        <v>828</v>
      </c>
      <c r="D78" s="208" t="s">
        <v>176</v>
      </c>
      <c r="E78" s="208">
        <v>39</v>
      </c>
      <c r="F78" s="207" t="s">
        <v>647</v>
      </c>
      <c r="G78" s="208" t="s">
        <v>671</v>
      </c>
      <c r="H78" s="209">
        <v>3950</v>
      </c>
      <c r="I78" s="208">
        <f t="shared" si="3"/>
        <v>395</v>
      </c>
      <c r="J78" s="209">
        <f t="shared" si="4"/>
        <v>197.5</v>
      </c>
      <c r="K78" s="209">
        <f t="shared" si="5"/>
        <v>4147.5</v>
      </c>
    </row>
    <row r="79" spans="1:11" x14ac:dyDescent="0.3">
      <c r="A79" s="207" t="s">
        <v>827</v>
      </c>
      <c r="B79" s="207" t="s">
        <v>775</v>
      </c>
      <c r="C79" s="207" t="s">
        <v>829</v>
      </c>
      <c r="D79" s="208" t="s">
        <v>176</v>
      </c>
      <c r="E79" s="208">
        <v>29</v>
      </c>
      <c r="F79" s="207" t="s">
        <v>654</v>
      </c>
      <c r="G79" s="208" t="s">
        <v>701</v>
      </c>
      <c r="H79" s="209">
        <v>1565</v>
      </c>
      <c r="I79" s="208">
        <f t="shared" si="3"/>
        <v>156.5</v>
      </c>
      <c r="J79" s="209">
        <f t="shared" si="4"/>
        <v>78.25</v>
      </c>
      <c r="K79" s="209">
        <f t="shared" si="5"/>
        <v>1643.25</v>
      </c>
    </row>
    <row r="80" spans="1:11" x14ac:dyDescent="0.3">
      <c r="A80" s="207" t="s">
        <v>814</v>
      </c>
      <c r="B80" s="207" t="s">
        <v>755</v>
      </c>
      <c r="C80" s="207" t="s">
        <v>830</v>
      </c>
      <c r="D80" s="208" t="s">
        <v>181</v>
      </c>
      <c r="E80" s="208">
        <v>25</v>
      </c>
      <c r="F80" s="207" t="s">
        <v>654</v>
      </c>
      <c r="G80" s="208" t="s">
        <v>659</v>
      </c>
      <c r="H80" s="209">
        <v>5901</v>
      </c>
      <c r="I80" s="208">
        <f t="shared" si="3"/>
        <v>590.1</v>
      </c>
      <c r="J80" s="209">
        <f t="shared" si="4"/>
        <v>295.05</v>
      </c>
      <c r="K80" s="209">
        <f t="shared" si="5"/>
        <v>6196.05</v>
      </c>
    </row>
    <row r="81" spans="1:11" x14ac:dyDescent="0.3">
      <c r="A81" s="207" t="s">
        <v>702</v>
      </c>
      <c r="B81" s="207" t="s">
        <v>703</v>
      </c>
      <c r="C81" s="207" t="s">
        <v>704</v>
      </c>
      <c r="D81" s="208" t="s">
        <v>181</v>
      </c>
      <c r="E81" s="208">
        <v>44</v>
      </c>
      <c r="F81" s="207" t="s">
        <v>647</v>
      </c>
      <c r="G81" s="208" t="s">
        <v>677</v>
      </c>
      <c r="H81" s="209">
        <v>6850</v>
      </c>
      <c r="I81" s="208">
        <f t="shared" si="3"/>
        <v>685</v>
      </c>
      <c r="J81" s="209">
        <f t="shared" si="4"/>
        <v>342.5</v>
      </c>
      <c r="K81" s="209">
        <f t="shared" si="5"/>
        <v>7192.5</v>
      </c>
    </row>
    <row r="82" spans="1:11" x14ac:dyDescent="0.3">
      <c r="A82" s="210" t="s">
        <v>831</v>
      </c>
      <c r="B82" s="207" t="s">
        <v>832</v>
      </c>
      <c r="C82" s="207" t="s">
        <v>833</v>
      </c>
      <c r="D82" s="208" t="s">
        <v>181</v>
      </c>
      <c r="E82" s="208">
        <v>28</v>
      </c>
      <c r="F82" s="207" t="s">
        <v>654</v>
      </c>
      <c r="G82" s="208" t="s">
        <v>648</v>
      </c>
      <c r="H82" s="209">
        <v>3164</v>
      </c>
      <c r="I82" s="208">
        <f t="shared" si="3"/>
        <v>316.40000000000003</v>
      </c>
      <c r="J82" s="209">
        <f t="shared" si="4"/>
        <v>158.20000000000002</v>
      </c>
      <c r="K82" s="209">
        <f t="shared" si="5"/>
        <v>3322.2000000000003</v>
      </c>
    </row>
    <row r="83" spans="1:11" x14ac:dyDescent="0.3">
      <c r="A83" s="207" t="s">
        <v>834</v>
      </c>
      <c r="B83" s="207" t="s">
        <v>697</v>
      </c>
      <c r="C83" s="207" t="s">
        <v>835</v>
      </c>
      <c r="D83" s="208" t="s">
        <v>176</v>
      </c>
      <c r="E83" s="208">
        <v>26</v>
      </c>
      <c r="F83" s="207" t="s">
        <v>710</v>
      </c>
      <c r="G83" s="208" t="s">
        <v>727</v>
      </c>
      <c r="H83" s="209">
        <v>7061</v>
      </c>
      <c r="I83" s="208">
        <f t="shared" si="3"/>
        <v>706.1</v>
      </c>
      <c r="J83" s="209">
        <f t="shared" si="4"/>
        <v>353.05</v>
      </c>
      <c r="K83" s="209">
        <f t="shared" si="5"/>
        <v>7414.05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7EB8F-8627-4D24-A40F-FEC8295F5443}">
  <sheetPr codeName="Hoja23"/>
  <dimension ref="A1:AU80"/>
  <sheetViews>
    <sheetView showGridLines="0" tabSelected="1" topLeftCell="N1" workbookViewId="0">
      <pane ySplit="1" topLeftCell="A14" activePane="bottomLeft" state="frozen"/>
      <selection sqref="A1:J1"/>
      <selection pane="bottomLeft" activeCell="Q22" sqref="Q22"/>
    </sheetView>
  </sheetViews>
  <sheetFormatPr baseColWidth="10" defaultColWidth="11.44140625" defaultRowHeight="14.4" x14ac:dyDescent="0.3"/>
  <cols>
    <col min="1" max="11" width="11.44140625" style="232"/>
    <col min="12" max="12" width="5.6640625" style="232" customWidth="1"/>
    <col min="13" max="13" width="13" style="232" customWidth="1"/>
    <col min="14" max="14" width="15.88671875" style="232" customWidth="1"/>
    <col min="15" max="17" width="11.44140625" style="232" customWidth="1"/>
    <col min="18" max="18" width="17" style="232" customWidth="1"/>
    <col min="19" max="23" width="11.44140625" style="232" customWidth="1"/>
    <col min="24" max="24" width="11.44140625" style="232"/>
    <col min="25" max="25" width="11.44140625" style="232" customWidth="1"/>
    <col min="26" max="26" width="13.5546875" style="232" customWidth="1"/>
    <col min="27" max="29" width="11.44140625" style="232" customWidth="1"/>
    <col min="30" max="30" width="12.44140625" style="232" customWidth="1"/>
    <col min="31" max="35" width="11.44140625" style="232" customWidth="1"/>
    <col min="36" max="42" width="11.44140625" style="232"/>
    <col min="43" max="43" width="16.5546875" style="232" customWidth="1"/>
    <col min="44" max="16384" width="11.44140625" style="232"/>
  </cols>
  <sheetData>
    <row r="1" spans="1:47" x14ac:dyDescent="0.3">
      <c r="A1" s="229" t="s">
        <v>630</v>
      </c>
      <c r="B1" s="229" t="s">
        <v>631</v>
      </c>
      <c r="C1" s="229" t="s">
        <v>632</v>
      </c>
      <c r="D1" s="230" t="s">
        <v>166</v>
      </c>
      <c r="E1" s="230" t="s">
        <v>633</v>
      </c>
      <c r="F1" s="229" t="s">
        <v>836</v>
      </c>
      <c r="G1" s="230" t="s">
        <v>635</v>
      </c>
      <c r="H1" s="231" t="s">
        <v>636</v>
      </c>
      <c r="I1" s="230" t="s">
        <v>637</v>
      </c>
      <c r="J1" s="231" t="s">
        <v>638</v>
      </c>
      <c r="K1" s="231" t="s">
        <v>639</v>
      </c>
      <c r="M1" s="238" t="s">
        <v>838</v>
      </c>
      <c r="N1" s="239"/>
      <c r="O1" s="239"/>
      <c r="Y1" s="238" t="s">
        <v>839</v>
      </c>
      <c r="Z1" s="239"/>
      <c r="AA1" s="239"/>
      <c r="AK1" s="238" t="s">
        <v>840</v>
      </c>
      <c r="AL1" s="238"/>
      <c r="AM1" s="238"/>
      <c r="AN1" s="238"/>
      <c r="AO1" s="238"/>
    </row>
    <row r="2" spans="1:47" x14ac:dyDescent="0.3">
      <c r="A2" s="233" t="s">
        <v>644</v>
      </c>
      <c r="B2" s="233" t="s">
        <v>645</v>
      </c>
      <c r="C2" s="233" t="s">
        <v>646</v>
      </c>
      <c r="D2" s="234" t="s">
        <v>176</v>
      </c>
      <c r="E2" s="234">
        <v>27</v>
      </c>
      <c r="F2" s="233" t="s">
        <v>647</v>
      </c>
      <c r="G2" s="234" t="s">
        <v>648</v>
      </c>
      <c r="H2" s="235">
        <v>2111</v>
      </c>
      <c r="I2" s="234">
        <f t="shared" ref="I2:I65" si="0">H2*0.1</f>
        <v>211.10000000000002</v>
      </c>
      <c r="J2" s="235">
        <f t="shared" ref="J2:J65" si="1">H2*0.05</f>
        <v>105.55000000000001</v>
      </c>
      <c r="K2" s="235">
        <f t="shared" ref="K2:K65" si="2">H2+I2-J2</f>
        <v>2216.5499999999997</v>
      </c>
    </row>
    <row r="3" spans="1:47" x14ac:dyDescent="0.3">
      <c r="A3" s="233" t="s">
        <v>651</v>
      </c>
      <c r="B3" s="233" t="s">
        <v>652</v>
      </c>
      <c r="C3" s="233" t="s">
        <v>653</v>
      </c>
      <c r="D3" s="234" t="s">
        <v>181</v>
      </c>
      <c r="E3" s="234">
        <v>27</v>
      </c>
      <c r="F3" s="233" t="s">
        <v>654</v>
      </c>
      <c r="G3" s="234" t="s">
        <v>648</v>
      </c>
      <c r="H3" s="235">
        <v>2138</v>
      </c>
      <c r="I3" s="234">
        <f t="shared" si="0"/>
        <v>213.8</v>
      </c>
      <c r="J3" s="235">
        <f t="shared" si="1"/>
        <v>106.9</v>
      </c>
      <c r="K3" s="235">
        <f t="shared" si="2"/>
        <v>2244.9</v>
      </c>
      <c r="M3" s="231" t="s">
        <v>836</v>
      </c>
      <c r="N3" s="232" t="s">
        <v>663</v>
      </c>
      <c r="P3" s="351" t="s">
        <v>905</v>
      </c>
      <c r="Q3" s="350" t="s">
        <v>176</v>
      </c>
      <c r="Y3" s="231" t="s">
        <v>836</v>
      </c>
      <c r="Z3" s="232" t="s">
        <v>663</v>
      </c>
      <c r="AA3" s="230" t="s">
        <v>166</v>
      </c>
      <c r="AB3" s="232" t="s">
        <v>176</v>
      </c>
      <c r="AC3" s="240"/>
      <c r="AD3"/>
      <c r="AK3" s="231" t="s">
        <v>836</v>
      </c>
      <c r="AL3" s="232" t="s">
        <v>710</v>
      </c>
      <c r="AM3" s="230" t="s">
        <v>166</v>
      </c>
      <c r="AN3" s="232" t="s">
        <v>176</v>
      </c>
    </row>
    <row r="4" spans="1:47" x14ac:dyDescent="0.3">
      <c r="A4" s="233" t="s">
        <v>655</v>
      </c>
      <c r="B4" s="233" t="s">
        <v>656</v>
      </c>
      <c r="C4" s="233" t="s">
        <v>657</v>
      </c>
      <c r="D4" s="234" t="s">
        <v>176</v>
      </c>
      <c r="E4" s="234">
        <v>37</v>
      </c>
      <c r="F4" s="233" t="s">
        <v>658</v>
      </c>
      <c r="G4" s="234" t="s">
        <v>659</v>
      </c>
      <c r="H4" s="235">
        <v>3900</v>
      </c>
      <c r="I4" s="234">
        <f t="shared" si="0"/>
        <v>390</v>
      </c>
      <c r="J4" s="235">
        <f t="shared" si="1"/>
        <v>195</v>
      </c>
      <c r="K4" s="235">
        <f t="shared" si="2"/>
        <v>4095</v>
      </c>
    </row>
    <row r="5" spans="1:47" x14ac:dyDescent="0.3">
      <c r="A5" s="233" t="s">
        <v>655</v>
      </c>
      <c r="B5" s="233" t="s">
        <v>661</v>
      </c>
      <c r="C5" s="233" t="s">
        <v>662</v>
      </c>
      <c r="D5" s="234" t="s">
        <v>176</v>
      </c>
      <c r="E5" s="234">
        <v>41</v>
      </c>
      <c r="F5" s="233" t="s">
        <v>663</v>
      </c>
      <c r="G5" s="234" t="s">
        <v>664</v>
      </c>
      <c r="H5" s="235">
        <v>2950</v>
      </c>
      <c r="I5" s="234">
        <f t="shared" si="0"/>
        <v>295</v>
      </c>
      <c r="J5" s="235">
        <f t="shared" si="1"/>
        <v>147.5</v>
      </c>
      <c r="K5" s="235">
        <f t="shared" si="2"/>
        <v>3097.5</v>
      </c>
      <c r="M5" s="229" t="s">
        <v>630</v>
      </c>
      <c r="N5" s="229" t="s">
        <v>631</v>
      </c>
      <c r="O5" s="229" t="s">
        <v>632</v>
      </c>
      <c r="P5" s="230" t="s">
        <v>166</v>
      </c>
      <c r="Q5" s="230" t="s">
        <v>633</v>
      </c>
      <c r="R5" s="229" t="s">
        <v>836</v>
      </c>
      <c r="S5" s="230" t="s">
        <v>635</v>
      </c>
      <c r="T5" s="231" t="s">
        <v>636</v>
      </c>
      <c r="U5" s="230" t="s">
        <v>637</v>
      </c>
      <c r="V5" s="231" t="s">
        <v>638</v>
      </c>
      <c r="W5" s="231" t="s">
        <v>841</v>
      </c>
      <c r="Y5" s="229" t="s">
        <v>630</v>
      </c>
      <c r="Z5" s="229" t="s">
        <v>631</v>
      </c>
      <c r="AA5" s="229" t="s">
        <v>632</v>
      </c>
      <c r="AB5" s="230" t="s">
        <v>166</v>
      </c>
      <c r="AC5" s="230" t="s">
        <v>633</v>
      </c>
      <c r="AD5" s="229" t="s">
        <v>836</v>
      </c>
      <c r="AE5" s="230" t="s">
        <v>635</v>
      </c>
      <c r="AF5" s="231" t="s">
        <v>636</v>
      </c>
      <c r="AG5" s="230" t="s">
        <v>637</v>
      </c>
      <c r="AH5" s="231" t="s">
        <v>638</v>
      </c>
      <c r="AI5" s="231" t="s">
        <v>841</v>
      </c>
      <c r="AK5" s="229" t="s">
        <v>630</v>
      </c>
      <c r="AL5" s="229" t="s">
        <v>631</v>
      </c>
      <c r="AM5" s="229" t="s">
        <v>632</v>
      </c>
      <c r="AN5" s="230" t="s">
        <v>166</v>
      </c>
      <c r="AO5" s="230" t="s">
        <v>633</v>
      </c>
      <c r="AP5" s="229" t="s">
        <v>836</v>
      </c>
      <c r="AQ5" s="230" t="s">
        <v>635</v>
      </c>
      <c r="AR5" s="231" t="s">
        <v>636</v>
      </c>
      <c r="AS5" s="230" t="s">
        <v>637</v>
      </c>
      <c r="AT5" s="231" t="s">
        <v>638</v>
      </c>
      <c r="AU5" s="231" t="s">
        <v>841</v>
      </c>
    </row>
    <row r="6" spans="1:47" x14ac:dyDescent="0.3">
      <c r="A6" s="233" t="s">
        <v>665</v>
      </c>
      <c r="B6" s="233" t="s">
        <v>666</v>
      </c>
      <c r="C6" s="233" t="s">
        <v>667</v>
      </c>
      <c r="D6" s="234" t="s">
        <v>181</v>
      </c>
      <c r="E6" s="234">
        <v>27</v>
      </c>
      <c r="F6" s="233" t="s">
        <v>658</v>
      </c>
      <c r="G6" s="234" t="s">
        <v>648</v>
      </c>
      <c r="H6" s="235">
        <v>2404</v>
      </c>
      <c r="I6" s="234">
        <f t="shared" si="0"/>
        <v>240.4</v>
      </c>
      <c r="J6" s="235">
        <f t="shared" si="1"/>
        <v>120.2</v>
      </c>
      <c r="K6" s="235">
        <f t="shared" si="2"/>
        <v>2524.2000000000003</v>
      </c>
      <c r="M6" s="232" t="str" cm="1">
        <f t="array" ref="M6:W15">_xlfn._xlws.FILTER(A2:K80,F2:F80=N3)</f>
        <v>ALVAREZ</v>
      </c>
      <c r="N6" s="232" t="str">
        <v>RONDON</v>
      </c>
      <c r="O6" s="232" t="str">
        <v>CARLOS</v>
      </c>
      <c r="P6" s="232" t="str">
        <v>M</v>
      </c>
      <c r="Q6" s="232">
        <v>41</v>
      </c>
      <c r="R6" s="232" t="str">
        <v>ABOGADO</v>
      </c>
      <c r="S6" s="232" t="str">
        <v>SAN BORJA</v>
      </c>
      <c r="T6" s="232">
        <v>2950</v>
      </c>
      <c r="U6" s="232">
        <v>295</v>
      </c>
      <c r="V6" s="232">
        <v>147.5</v>
      </c>
      <c r="W6" s="232">
        <v>3097.5</v>
      </c>
      <c r="Y6" s="232" t="str" cm="1">
        <f t="array" ref="Y6:AI12">_xlfn._xlws.FILTER(A2:K80,(F2:F80=N3)*(D2:D80=AB3))</f>
        <v>ALVAREZ</v>
      </c>
      <c r="Z6" s="232" t="str">
        <v>RONDON</v>
      </c>
      <c r="AA6" s="232" t="str">
        <v>CARLOS</v>
      </c>
      <c r="AB6" s="232" t="str">
        <v>M</v>
      </c>
      <c r="AC6" s="232">
        <v>41</v>
      </c>
      <c r="AD6" s="232" t="str">
        <v>ABOGADO</v>
      </c>
      <c r="AE6" s="232" t="str">
        <v>SAN BORJA</v>
      </c>
      <c r="AF6" s="232">
        <v>2950</v>
      </c>
      <c r="AG6" s="232">
        <v>295</v>
      </c>
      <c r="AH6" s="232">
        <v>147.5</v>
      </c>
      <c r="AI6" s="232">
        <v>3097.5</v>
      </c>
      <c r="AK6" s="232" t="str" cm="1">
        <f t="array" ref="AK6:AU10">_xlfn._xlws.SORT(_xlfn._xlws.FILTER(A2:K80,(F2:F80=AL3)*(D2:D80=AN3)),7,1)</f>
        <v>TRENT</v>
      </c>
      <c r="AL6" s="232" t="str">
        <v>RUESTA</v>
      </c>
      <c r="AM6" s="232" t="str">
        <v>JUAN</v>
      </c>
      <c r="AN6" s="232" t="str">
        <v>M</v>
      </c>
      <c r="AO6" s="232">
        <v>37</v>
      </c>
      <c r="AP6" s="232" t="str">
        <v>ING. IND.</v>
      </c>
      <c r="AQ6" s="232" t="str">
        <v>BREÑA</v>
      </c>
      <c r="AR6" s="232">
        <v>3650</v>
      </c>
      <c r="AS6" s="232">
        <v>365</v>
      </c>
      <c r="AT6" s="232">
        <v>182.5</v>
      </c>
      <c r="AU6" s="297">
        <v>3832.5</v>
      </c>
    </row>
    <row r="7" spans="1:47" x14ac:dyDescent="0.3">
      <c r="A7" s="236" t="s">
        <v>668</v>
      </c>
      <c r="B7" s="236" t="s">
        <v>669</v>
      </c>
      <c r="C7" s="233" t="s">
        <v>670</v>
      </c>
      <c r="D7" s="234" t="s">
        <v>181</v>
      </c>
      <c r="E7" s="234">
        <v>31</v>
      </c>
      <c r="F7" s="233" t="s">
        <v>658</v>
      </c>
      <c r="G7" s="234" t="s">
        <v>671</v>
      </c>
      <c r="H7" s="235">
        <v>3785</v>
      </c>
      <c r="I7" s="234">
        <f t="shared" si="0"/>
        <v>378.5</v>
      </c>
      <c r="J7" s="235">
        <f t="shared" si="1"/>
        <v>189.25</v>
      </c>
      <c r="K7" s="235">
        <f t="shared" si="2"/>
        <v>3974.25</v>
      </c>
      <c r="M7" s="232" t="str">
        <v>AVILA</v>
      </c>
      <c r="N7" s="232" t="str">
        <v>MOLINA</v>
      </c>
      <c r="O7" s="232" t="str">
        <v>JOSE</v>
      </c>
      <c r="P7" s="232" t="str">
        <v>M</v>
      </c>
      <c r="Q7" s="232">
        <v>35</v>
      </c>
      <c r="R7" s="232" t="str">
        <v>ABOGADO</v>
      </c>
      <c r="S7" s="232" t="str">
        <v>CHORRILLOS</v>
      </c>
      <c r="T7" s="232">
        <v>2050</v>
      </c>
      <c r="U7" s="232">
        <v>205</v>
      </c>
      <c r="V7" s="232">
        <v>102.5</v>
      </c>
      <c r="W7" s="232">
        <v>2152.5</v>
      </c>
      <c r="Y7" s="232" t="str">
        <v>AVILA</v>
      </c>
      <c r="Z7" s="232" t="str">
        <v>MOLINA</v>
      </c>
      <c r="AA7" s="232" t="str">
        <v>JOSE</v>
      </c>
      <c r="AB7" s="232" t="str">
        <v>M</v>
      </c>
      <c r="AC7" s="232">
        <v>35</v>
      </c>
      <c r="AD7" s="232" t="str">
        <v>ABOGADO</v>
      </c>
      <c r="AE7" s="232" t="str">
        <v>CHORRILLOS</v>
      </c>
      <c r="AF7" s="232">
        <v>2050</v>
      </c>
      <c r="AG7" s="232">
        <v>205</v>
      </c>
      <c r="AH7" s="232">
        <v>102.5</v>
      </c>
      <c r="AI7" s="232">
        <v>2152.5</v>
      </c>
      <c r="AK7" s="232" t="str">
        <v>ZUTA</v>
      </c>
      <c r="AL7" s="232" t="str">
        <v>CASTRO</v>
      </c>
      <c r="AM7" s="232" t="str">
        <v>MADIEL</v>
      </c>
      <c r="AN7" s="232" t="str">
        <v>M</v>
      </c>
      <c r="AO7" s="232">
        <v>26</v>
      </c>
      <c r="AP7" s="232" t="str">
        <v>ING. IND.</v>
      </c>
      <c r="AQ7" s="232" t="str">
        <v>LA PERLA</v>
      </c>
      <c r="AR7" s="232">
        <v>7061</v>
      </c>
      <c r="AS7" s="232">
        <v>706.1</v>
      </c>
      <c r="AT7" s="232">
        <v>353.05</v>
      </c>
      <c r="AU7" s="297">
        <v>7414.05</v>
      </c>
    </row>
    <row r="8" spans="1:47" x14ac:dyDescent="0.3">
      <c r="A8" s="233" t="s">
        <v>674</v>
      </c>
      <c r="B8" s="233" t="s">
        <v>15</v>
      </c>
      <c r="C8" s="233" t="s">
        <v>675</v>
      </c>
      <c r="D8" s="234" t="s">
        <v>176</v>
      </c>
      <c r="E8" s="234">
        <v>35</v>
      </c>
      <c r="F8" s="233" t="s">
        <v>663</v>
      </c>
      <c r="G8" s="234" t="s">
        <v>676</v>
      </c>
      <c r="H8" s="235">
        <v>2050</v>
      </c>
      <c r="I8" s="234">
        <f t="shared" si="0"/>
        <v>205</v>
      </c>
      <c r="J8" s="235">
        <f t="shared" si="1"/>
        <v>102.5</v>
      </c>
      <c r="K8" s="235">
        <f t="shared" si="2"/>
        <v>2152.5</v>
      </c>
      <c r="M8" s="232" t="str">
        <v>BARDALES</v>
      </c>
      <c r="N8" s="232" t="str">
        <v>FELICES</v>
      </c>
      <c r="O8" s="232" t="str">
        <v>JUANA</v>
      </c>
      <c r="P8" s="232" t="str">
        <v>F</v>
      </c>
      <c r="Q8" s="232">
        <v>27</v>
      </c>
      <c r="R8" s="232" t="str">
        <v>ABOGADO</v>
      </c>
      <c r="S8" s="232" t="str">
        <v>LA MOLINA</v>
      </c>
      <c r="T8" s="232">
        <v>4687</v>
      </c>
      <c r="U8" s="232">
        <v>468.70000000000005</v>
      </c>
      <c r="V8" s="232">
        <v>234.35000000000002</v>
      </c>
      <c r="W8" s="232">
        <v>4921.3499999999995</v>
      </c>
      <c r="Y8" s="232" t="str">
        <v>BARTRA</v>
      </c>
      <c r="Z8" s="232" t="str">
        <v>PEREZ</v>
      </c>
      <c r="AA8" s="232" t="str">
        <v>LUIS</v>
      </c>
      <c r="AB8" s="232" t="str">
        <v>M</v>
      </c>
      <c r="AC8" s="232">
        <v>28</v>
      </c>
      <c r="AD8" s="232" t="str">
        <v>ABOGADO</v>
      </c>
      <c r="AE8" s="232" t="str">
        <v>BREÑA</v>
      </c>
      <c r="AF8" s="232">
        <v>2596</v>
      </c>
      <c r="AG8" s="232">
        <v>259.60000000000002</v>
      </c>
      <c r="AH8" s="232">
        <v>129.80000000000001</v>
      </c>
      <c r="AI8" s="232">
        <v>2725.7999999999997</v>
      </c>
      <c r="AK8" s="232" t="str">
        <v>MONDRAGÓN</v>
      </c>
      <c r="AL8" s="232" t="str">
        <v>FRIAS</v>
      </c>
      <c r="AM8" s="232" t="str">
        <v>GUILLERMO</v>
      </c>
      <c r="AN8" s="232" t="str">
        <v>M</v>
      </c>
      <c r="AO8" s="232">
        <v>22</v>
      </c>
      <c r="AP8" s="232" t="str">
        <v>ING. IND.</v>
      </c>
      <c r="AQ8" s="232" t="str">
        <v>PUEBLO LIBRE</v>
      </c>
      <c r="AR8" s="232">
        <v>1330</v>
      </c>
      <c r="AS8" s="232">
        <v>133</v>
      </c>
      <c r="AT8" s="232">
        <v>66.5</v>
      </c>
      <c r="AU8" s="297">
        <v>1396.5</v>
      </c>
    </row>
    <row r="9" spans="1:47" x14ac:dyDescent="0.3">
      <c r="A9" s="233" t="s">
        <v>678</v>
      </c>
      <c r="B9" s="233" t="s">
        <v>679</v>
      </c>
      <c r="C9" s="233" t="s">
        <v>680</v>
      </c>
      <c r="D9" s="234" t="s">
        <v>176</v>
      </c>
      <c r="E9" s="234">
        <v>33</v>
      </c>
      <c r="F9" s="233" t="s">
        <v>658</v>
      </c>
      <c r="G9" s="234" t="s">
        <v>664</v>
      </c>
      <c r="H9" s="235">
        <v>3312</v>
      </c>
      <c r="I9" s="234">
        <f t="shared" si="0"/>
        <v>331.20000000000005</v>
      </c>
      <c r="J9" s="235">
        <f t="shared" si="1"/>
        <v>165.60000000000002</v>
      </c>
      <c r="K9" s="235">
        <f t="shared" si="2"/>
        <v>3477.6</v>
      </c>
      <c r="M9" s="232" t="str">
        <v>BARTRA</v>
      </c>
      <c r="N9" s="232" t="str">
        <v>PEREZ</v>
      </c>
      <c r="O9" s="232" t="str">
        <v>LUIS</v>
      </c>
      <c r="P9" s="232" t="str">
        <v>M</v>
      </c>
      <c r="Q9" s="232">
        <v>28</v>
      </c>
      <c r="R9" s="232" t="str">
        <v>ABOGADO</v>
      </c>
      <c r="S9" s="232" t="str">
        <v>BREÑA</v>
      </c>
      <c r="T9" s="232">
        <v>2596</v>
      </c>
      <c r="U9" s="232">
        <v>259.60000000000002</v>
      </c>
      <c r="V9" s="232">
        <v>129.80000000000001</v>
      </c>
      <c r="W9" s="232">
        <v>2725.7999999999997</v>
      </c>
      <c r="Y9" s="232" t="str">
        <v>CARRASCO</v>
      </c>
      <c r="Z9" s="232" t="str">
        <v>SOTO</v>
      </c>
      <c r="AA9" s="232" t="str">
        <v>CARLOS</v>
      </c>
      <c r="AB9" s="232" t="str">
        <v>M</v>
      </c>
      <c r="AC9" s="232">
        <v>39</v>
      </c>
      <c r="AD9" s="232" t="str">
        <v>ABOGADO</v>
      </c>
      <c r="AE9" s="232" t="str">
        <v>SAN MIGUEL</v>
      </c>
      <c r="AF9" s="232">
        <v>3850</v>
      </c>
      <c r="AG9" s="232">
        <v>385</v>
      </c>
      <c r="AH9" s="232">
        <v>192.5</v>
      </c>
      <c r="AI9" s="232">
        <v>4042.5</v>
      </c>
      <c r="AK9" s="232" t="str">
        <v>MADERA</v>
      </c>
      <c r="AL9" s="232" t="str">
        <v>ROSAS</v>
      </c>
      <c r="AM9" s="232" t="str">
        <v>JORGE</v>
      </c>
      <c r="AN9" s="232" t="str">
        <v>M</v>
      </c>
      <c r="AO9" s="232">
        <v>24</v>
      </c>
      <c r="AP9" s="232" t="str">
        <v>ING. IND.</v>
      </c>
      <c r="AQ9" s="232" t="str">
        <v>SURCO</v>
      </c>
      <c r="AR9" s="232">
        <v>2479</v>
      </c>
      <c r="AS9" s="232">
        <v>247.9</v>
      </c>
      <c r="AT9" s="232">
        <v>123.95</v>
      </c>
      <c r="AU9" s="297">
        <v>2602.9500000000003</v>
      </c>
    </row>
    <row r="10" spans="1:47" x14ac:dyDescent="0.3">
      <c r="A10" s="233" t="s">
        <v>681</v>
      </c>
      <c r="B10" s="233" t="s">
        <v>682</v>
      </c>
      <c r="C10" s="233" t="s">
        <v>683</v>
      </c>
      <c r="D10" s="234" t="s">
        <v>181</v>
      </c>
      <c r="E10" s="234">
        <v>38</v>
      </c>
      <c r="F10" s="233" t="s">
        <v>684</v>
      </c>
      <c r="G10" s="234" t="s">
        <v>685</v>
      </c>
      <c r="H10" s="235">
        <v>2970</v>
      </c>
      <c r="I10" s="234">
        <f t="shared" si="0"/>
        <v>297</v>
      </c>
      <c r="J10" s="235">
        <f t="shared" si="1"/>
        <v>148.5</v>
      </c>
      <c r="K10" s="235">
        <f t="shared" si="2"/>
        <v>3118.5</v>
      </c>
      <c r="M10" s="232" t="str">
        <v>CARRASCO</v>
      </c>
      <c r="N10" s="232" t="str">
        <v>SOTO</v>
      </c>
      <c r="O10" s="232" t="str">
        <v>CARLOS</v>
      </c>
      <c r="P10" s="232" t="str">
        <v>M</v>
      </c>
      <c r="Q10" s="232">
        <v>39</v>
      </c>
      <c r="R10" s="232" t="str">
        <v>ABOGADO</v>
      </c>
      <c r="S10" s="232" t="str">
        <v>SAN MIGUEL</v>
      </c>
      <c r="T10" s="232">
        <v>3850</v>
      </c>
      <c r="U10" s="232">
        <v>385</v>
      </c>
      <c r="V10" s="232">
        <v>192.5</v>
      </c>
      <c r="W10" s="232">
        <v>4042.5</v>
      </c>
      <c r="Y10" s="232" t="str">
        <v>DEL CASTILLO</v>
      </c>
      <c r="Z10" s="232" t="str">
        <v>CHALCO</v>
      </c>
      <c r="AA10" s="232" t="str">
        <v>MANUEL</v>
      </c>
      <c r="AB10" s="232" t="str">
        <v>M</v>
      </c>
      <c r="AC10" s="232">
        <v>27</v>
      </c>
      <c r="AD10" s="232" t="str">
        <v>ABOGADO</v>
      </c>
      <c r="AE10" s="232" t="str">
        <v>SURQUILLO</v>
      </c>
      <c r="AF10" s="232">
        <v>2862</v>
      </c>
      <c r="AG10" s="232">
        <v>286.2</v>
      </c>
      <c r="AH10" s="232">
        <v>143.1</v>
      </c>
      <c r="AI10" s="232">
        <v>3005.1</v>
      </c>
      <c r="AK10" s="232" t="str">
        <v>HUAMAN</v>
      </c>
      <c r="AL10" s="232" t="str">
        <v>OROZCO</v>
      </c>
      <c r="AM10" s="232" t="str">
        <v>ANGEL</v>
      </c>
      <c r="AN10" s="232" t="str">
        <v>M</v>
      </c>
      <c r="AO10" s="232">
        <v>48</v>
      </c>
      <c r="AP10" s="232" t="str">
        <v>ING. IND.</v>
      </c>
      <c r="AQ10" s="232" t="str">
        <v>SURQUILLO</v>
      </c>
      <c r="AR10" s="232">
        <v>4020</v>
      </c>
      <c r="AS10" s="232">
        <v>402</v>
      </c>
      <c r="AT10" s="232">
        <v>201</v>
      </c>
      <c r="AU10" s="297">
        <v>4221</v>
      </c>
    </row>
    <row r="11" spans="1:47" x14ac:dyDescent="0.3">
      <c r="A11" s="233" t="s">
        <v>686</v>
      </c>
      <c r="B11" s="233" t="s">
        <v>687</v>
      </c>
      <c r="C11" s="233" t="s">
        <v>688</v>
      </c>
      <c r="D11" s="234" t="s">
        <v>176</v>
      </c>
      <c r="E11" s="234">
        <v>40</v>
      </c>
      <c r="F11" s="233" t="s">
        <v>647</v>
      </c>
      <c r="G11" s="234" t="s">
        <v>671</v>
      </c>
      <c r="H11" s="235">
        <v>4150</v>
      </c>
      <c r="I11" s="234">
        <f t="shared" si="0"/>
        <v>415</v>
      </c>
      <c r="J11" s="235">
        <f t="shared" si="1"/>
        <v>207.5</v>
      </c>
      <c r="K11" s="235">
        <f t="shared" si="2"/>
        <v>4357.5</v>
      </c>
      <c r="M11" s="232" t="str">
        <v>DEL CASTILLO</v>
      </c>
      <c r="N11" s="232" t="str">
        <v>CHALCO</v>
      </c>
      <c r="O11" s="232" t="str">
        <v>MANUEL</v>
      </c>
      <c r="P11" s="232" t="str">
        <v>M</v>
      </c>
      <c r="Q11" s="232">
        <v>27</v>
      </c>
      <c r="R11" s="232" t="str">
        <v>ABOGADO</v>
      </c>
      <c r="S11" s="232" t="str">
        <v>SURQUILLO</v>
      </c>
      <c r="T11" s="232">
        <v>2862</v>
      </c>
      <c r="U11" s="232">
        <v>286.2</v>
      </c>
      <c r="V11" s="232">
        <v>143.1</v>
      </c>
      <c r="W11" s="232">
        <v>3005.1</v>
      </c>
      <c r="Y11" s="232" t="str">
        <v>FLORES</v>
      </c>
      <c r="Z11" s="232" t="str">
        <v>MENA</v>
      </c>
      <c r="AA11" s="232" t="str">
        <v>JOSE</v>
      </c>
      <c r="AB11" s="232" t="str">
        <v>M</v>
      </c>
      <c r="AC11" s="232">
        <v>29</v>
      </c>
      <c r="AD11" s="232" t="str">
        <v>ABOGADO</v>
      </c>
      <c r="AE11" s="232" t="str">
        <v>SAN ISIDRO</v>
      </c>
      <c r="AF11" s="232">
        <v>2351</v>
      </c>
      <c r="AG11" s="232">
        <v>235.10000000000002</v>
      </c>
      <c r="AH11" s="232">
        <v>117.55000000000001</v>
      </c>
      <c r="AI11" s="232">
        <v>2468.5499999999997</v>
      </c>
    </row>
    <row r="12" spans="1:47" x14ac:dyDescent="0.3">
      <c r="A12" s="233" t="s">
        <v>686</v>
      </c>
      <c r="B12" s="233" t="s">
        <v>687</v>
      </c>
      <c r="C12" s="233" t="s">
        <v>689</v>
      </c>
      <c r="D12" s="234" t="s">
        <v>176</v>
      </c>
      <c r="E12" s="234">
        <v>45</v>
      </c>
      <c r="F12" s="233" t="s">
        <v>647</v>
      </c>
      <c r="G12" s="234" t="s">
        <v>671</v>
      </c>
      <c r="H12" s="235">
        <v>3850</v>
      </c>
      <c r="I12" s="234">
        <f t="shared" si="0"/>
        <v>385</v>
      </c>
      <c r="J12" s="235">
        <f t="shared" si="1"/>
        <v>192.5</v>
      </c>
      <c r="K12" s="235">
        <f t="shared" si="2"/>
        <v>4042.5</v>
      </c>
      <c r="M12" s="232" t="str">
        <v>FLORES</v>
      </c>
      <c r="N12" s="232" t="str">
        <v>MENA</v>
      </c>
      <c r="O12" s="232" t="str">
        <v>JOSE</v>
      </c>
      <c r="P12" s="232" t="str">
        <v>M</v>
      </c>
      <c r="Q12" s="232">
        <v>29</v>
      </c>
      <c r="R12" s="232" t="str">
        <v>ABOGADO</v>
      </c>
      <c r="S12" s="232" t="str">
        <v>SAN ISIDRO</v>
      </c>
      <c r="T12" s="232">
        <v>2351</v>
      </c>
      <c r="U12" s="232">
        <v>235.10000000000002</v>
      </c>
      <c r="V12" s="232">
        <v>117.55000000000001</v>
      </c>
      <c r="W12" s="232">
        <v>2468.5499999999997</v>
      </c>
      <c r="Y12" s="232" t="str">
        <v>PANA</v>
      </c>
      <c r="Z12" s="232" t="str">
        <v>BARDALES</v>
      </c>
      <c r="AA12" s="232" t="str">
        <v>ALDO</v>
      </c>
      <c r="AB12" s="232" t="str">
        <v>M</v>
      </c>
      <c r="AC12" s="232">
        <v>27</v>
      </c>
      <c r="AD12" s="232" t="str">
        <v>ABOGADO</v>
      </c>
      <c r="AE12" s="232" t="str">
        <v>LA MOLINA</v>
      </c>
      <c r="AF12" s="232">
        <v>6195</v>
      </c>
      <c r="AG12" s="232">
        <v>619.5</v>
      </c>
      <c r="AH12" s="232">
        <v>309.75</v>
      </c>
      <c r="AI12" s="232">
        <v>6504.75</v>
      </c>
    </row>
    <row r="13" spans="1:47" x14ac:dyDescent="0.3">
      <c r="A13" s="233" t="s">
        <v>693</v>
      </c>
      <c r="B13" s="233" t="s">
        <v>694</v>
      </c>
      <c r="C13" s="233" t="s">
        <v>695</v>
      </c>
      <c r="D13" s="234" t="s">
        <v>181</v>
      </c>
      <c r="E13" s="234">
        <v>27</v>
      </c>
      <c r="F13" s="233" t="s">
        <v>663</v>
      </c>
      <c r="G13" s="234" t="s">
        <v>659</v>
      </c>
      <c r="H13" s="235">
        <v>4687</v>
      </c>
      <c r="I13" s="234">
        <f t="shared" si="0"/>
        <v>468.70000000000005</v>
      </c>
      <c r="J13" s="235">
        <f t="shared" si="1"/>
        <v>234.35000000000002</v>
      </c>
      <c r="K13" s="235">
        <f t="shared" si="2"/>
        <v>4921.3499999999995</v>
      </c>
      <c r="M13" s="232" t="str">
        <v>FRIAS</v>
      </c>
      <c r="N13" s="232" t="str">
        <v>LEYVA</v>
      </c>
      <c r="O13" s="232" t="str">
        <v>ANA</v>
      </c>
      <c r="P13" s="232" t="str">
        <v>F</v>
      </c>
      <c r="Q13" s="232">
        <v>26</v>
      </c>
      <c r="R13" s="232" t="str">
        <v>ABOGADO</v>
      </c>
      <c r="S13" s="232" t="str">
        <v>SAN MARTIN DE PORRES</v>
      </c>
      <c r="T13" s="232">
        <v>2070</v>
      </c>
      <c r="U13" s="232">
        <v>207</v>
      </c>
      <c r="V13" s="232">
        <v>103.5</v>
      </c>
      <c r="W13" s="232">
        <v>2173.5</v>
      </c>
    </row>
    <row r="14" spans="1:47" x14ac:dyDescent="0.3">
      <c r="A14" s="233" t="s">
        <v>693</v>
      </c>
      <c r="B14" s="233" t="s">
        <v>694</v>
      </c>
      <c r="C14" s="233" t="s">
        <v>700</v>
      </c>
      <c r="D14" s="234" t="s">
        <v>181</v>
      </c>
      <c r="E14" s="234">
        <v>29</v>
      </c>
      <c r="F14" s="233" t="s">
        <v>684</v>
      </c>
      <c r="G14" s="234" t="s">
        <v>701</v>
      </c>
      <c r="H14" s="235">
        <v>3133</v>
      </c>
      <c r="I14" s="234">
        <f t="shared" si="0"/>
        <v>313.3</v>
      </c>
      <c r="J14" s="235">
        <f t="shared" si="1"/>
        <v>156.65</v>
      </c>
      <c r="K14" s="235">
        <f t="shared" si="2"/>
        <v>3289.65</v>
      </c>
      <c r="M14" s="232" t="str">
        <v>PANA</v>
      </c>
      <c r="N14" s="232" t="str">
        <v>BARDALES</v>
      </c>
      <c r="O14" s="232" t="str">
        <v>ALDO</v>
      </c>
      <c r="P14" s="232" t="str">
        <v>M</v>
      </c>
      <c r="Q14" s="232">
        <v>27</v>
      </c>
      <c r="R14" s="232" t="str">
        <v>ABOGADO</v>
      </c>
      <c r="S14" s="232" t="str">
        <v>LA MOLINA</v>
      </c>
      <c r="T14" s="232">
        <v>6195</v>
      </c>
      <c r="U14" s="232">
        <v>619.5</v>
      </c>
      <c r="V14" s="232">
        <v>309.75</v>
      </c>
      <c r="W14" s="232">
        <v>6504.75</v>
      </c>
    </row>
    <row r="15" spans="1:47" x14ac:dyDescent="0.3">
      <c r="A15" s="233" t="s">
        <v>705</v>
      </c>
      <c r="B15" s="233" t="s">
        <v>706</v>
      </c>
      <c r="C15" s="233" t="s">
        <v>657</v>
      </c>
      <c r="D15" s="234" t="s">
        <v>176</v>
      </c>
      <c r="E15" s="234">
        <v>28</v>
      </c>
      <c r="F15" s="233" t="s">
        <v>663</v>
      </c>
      <c r="G15" s="234" t="s">
        <v>648</v>
      </c>
      <c r="H15" s="235">
        <v>2596</v>
      </c>
      <c r="I15" s="234">
        <f t="shared" si="0"/>
        <v>259.60000000000002</v>
      </c>
      <c r="J15" s="235">
        <f t="shared" si="1"/>
        <v>129.80000000000001</v>
      </c>
      <c r="K15" s="235">
        <f t="shared" si="2"/>
        <v>2725.7999999999997</v>
      </c>
      <c r="M15" s="232" t="str">
        <v>TREVIÑO</v>
      </c>
      <c r="N15" s="232" t="str">
        <v>QUEVEDO</v>
      </c>
      <c r="O15" s="232" t="str">
        <v>ROSA</v>
      </c>
      <c r="P15" s="232" t="str">
        <v>F</v>
      </c>
      <c r="Q15" s="232">
        <v>50</v>
      </c>
      <c r="R15" s="232" t="str">
        <v>ABOGADO</v>
      </c>
      <c r="S15" s="232" t="str">
        <v>EL CERCADO</v>
      </c>
      <c r="T15" s="232">
        <v>1950</v>
      </c>
      <c r="U15" s="232">
        <v>195</v>
      </c>
      <c r="V15" s="232">
        <v>97.5</v>
      </c>
      <c r="W15" s="232">
        <v>2047.5</v>
      </c>
    </row>
    <row r="16" spans="1:47" x14ac:dyDescent="0.3">
      <c r="A16" s="233" t="s">
        <v>707</v>
      </c>
      <c r="B16" s="233" t="s">
        <v>708</v>
      </c>
      <c r="C16" s="233" t="s">
        <v>709</v>
      </c>
      <c r="D16" s="234" t="s">
        <v>181</v>
      </c>
      <c r="E16" s="234">
        <v>44</v>
      </c>
      <c r="F16" s="233" t="s">
        <v>710</v>
      </c>
      <c r="G16" s="234" t="s">
        <v>699</v>
      </c>
      <c r="H16" s="235">
        <v>2950</v>
      </c>
      <c r="I16" s="234">
        <f t="shared" si="0"/>
        <v>295</v>
      </c>
      <c r="J16" s="235">
        <f t="shared" si="1"/>
        <v>147.5</v>
      </c>
      <c r="K16" s="235">
        <f t="shared" si="2"/>
        <v>3097.5</v>
      </c>
    </row>
    <row r="17" spans="1:27" x14ac:dyDescent="0.3">
      <c r="A17" s="233" t="s">
        <v>682</v>
      </c>
      <c r="B17" s="233" t="s">
        <v>711</v>
      </c>
      <c r="C17" s="233" t="s">
        <v>712</v>
      </c>
      <c r="D17" s="234" t="s">
        <v>176</v>
      </c>
      <c r="E17" s="234">
        <v>24</v>
      </c>
      <c r="F17" s="233" t="s">
        <v>654</v>
      </c>
      <c r="G17" s="234" t="s">
        <v>713</v>
      </c>
      <c r="H17" s="235">
        <v>1718</v>
      </c>
      <c r="I17" s="234">
        <f t="shared" si="0"/>
        <v>171.8</v>
      </c>
      <c r="J17" s="235">
        <f t="shared" si="1"/>
        <v>85.9</v>
      </c>
      <c r="K17" s="235">
        <f t="shared" si="2"/>
        <v>1803.8999999999999</v>
      </c>
      <c r="Q17" s="352"/>
      <c r="R17" s="352"/>
      <c r="S17" s="352"/>
      <c r="T17" s="353"/>
      <c r="U17" s="353"/>
      <c r="V17" s="352"/>
      <c r="W17" s="353"/>
      <c r="X17" s="354"/>
      <c r="Y17" s="353"/>
      <c r="Z17" s="354"/>
      <c r="AA17" s="354"/>
    </row>
    <row r="18" spans="1:27" x14ac:dyDescent="0.3">
      <c r="A18" s="233" t="s">
        <v>714</v>
      </c>
      <c r="B18" s="233" t="s">
        <v>715</v>
      </c>
      <c r="C18" s="233" t="s">
        <v>716</v>
      </c>
      <c r="D18" s="234" t="s">
        <v>176</v>
      </c>
      <c r="E18" s="234">
        <v>41</v>
      </c>
      <c r="F18" s="233" t="s">
        <v>658</v>
      </c>
      <c r="G18" s="234" t="s">
        <v>677</v>
      </c>
      <c r="H18" s="235">
        <v>6950</v>
      </c>
      <c r="I18" s="234">
        <f t="shared" si="0"/>
        <v>695</v>
      </c>
      <c r="J18" s="235">
        <f t="shared" si="1"/>
        <v>347.5</v>
      </c>
      <c r="K18" s="235">
        <f t="shared" si="2"/>
        <v>7297.5</v>
      </c>
    </row>
    <row r="19" spans="1:27" x14ac:dyDescent="0.3">
      <c r="A19" s="233" t="s">
        <v>714</v>
      </c>
      <c r="B19" s="233" t="s">
        <v>715</v>
      </c>
      <c r="C19" s="233" t="s">
        <v>717</v>
      </c>
      <c r="D19" s="234" t="s">
        <v>176</v>
      </c>
      <c r="E19" s="234">
        <v>45</v>
      </c>
      <c r="F19" s="233" t="s">
        <v>658</v>
      </c>
      <c r="G19" s="234" t="s">
        <v>677</v>
      </c>
      <c r="H19" s="235">
        <v>3099</v>
      </c>
      <c r="I19" s="234">
        <f t="shared" si="0"/>
        <v>309.90000000000003</v>
      </c>
      <c r="J19" s="235">
        <f t="shared" si="1"/>
        <v>154.95000000000002</v>
      </c>
      <c r="K19" s="235">
        <f t="shared" si="2"/>
        <v>3253.9500000000003</v>
      </c>
    </row>
    <row r="20" spans="1:27" x14ac:dyDescent="0.3">
      <c r="A20" s="233" t="s">
        <v>718</v>
      </c>
      <c r="B20" s="233" t="s">
        <v>719</v>
      </c>
      <c r="C20" s="233" t="s">
        <v>662</v>
      </c>
      <c r="D20" s="234" t="s">
        <v>176</v>
      </c>
      <c r="E20" s="234">
        <v>39</v>
      </c>
      <c r="F20" s="233" t="s">
        <v>663</v>
      </c>
      <c r="G20" s="234" t="s">
        <v>720</v>
      </c>
      <c r="H20" s="235">
        <v>3850</v>
      </c>
      <c r="I20" s="234">
        <f t="shared" si="0"/>
        <v>385</v>
      </c>
      <c r="J20" s="235">
        <f t="shared" si="1"/>
        <v>192.5</v>
      </c>
      <c r="K20" s="235">
        <f t="shared" si="2"/>
        <v>4042.5</v>
      </c>
    </row>
    <row r="21" spans="1:27" x14ac:dyDescent="0.3">
      <c r="A21" s="233" t="s">
        <v>697</v>
      </c>
      <c r="B21" s="233" t="s">
        <v>721</v>
      </c>
      <c r="C21" s="233" t="s">
        <v>722</v>
      </c>
      <c r="D21" s="234" t="s">
        <v>181</v>
      </c>
      <c r="E21" s="234">
        <v>37</v>
      </c>
      <c r="F21" s="237" t="s">
        <v>723</v>
      </c>
      <c r="G21" s="234" t="s">
        <v>671</v>
      </c>
      <c r="H21" s="235">
        <v>4500</v>
      </c>
      <c r="I21" s="234">
        <f t="shared" si="0"/>
        <v>450</v>
      </c>
      <c r="J21" s="235">
        <f t="shared" si="1"/>
        <v>225</v>
      </c>
      <c r="K21" s="235">
        <f t="shared" si="2"/>
        <v>4725</v>
      </c>
      <c r="Q21" s="232" t="s">
        <v>906</v>
      </c>
    </row>
    <row r="22" spans="1:27" x14ac:dyDescent="0.3">
      <c r="A22" s="233" t="s">
        <v>697</v>
      </c>
      <c r="B22" s="233" t="s">
        <v>724</v>
      </c>
      <c r="C22" s="233" t="s">
        <v>725</v>
      </c>
      <c r="D22" s="234" t="s">
        <v>176</v>
      </c>
      <c r="E22" s="234">
        <v>33</v>
      </c>
      <c r="F22" s="233" t="s">
        <v>726</v>
      </c>
      <c r="G22" s="234" t="s">
        <v>727</v>
      </c>
      <c r="H22" s="235">
        <v>2950</v>
      </c>
      <c r="I22" s="234">
        <f t="shared" si="0"/>
        <v>295</v>
      </c>
      <c r="J22" s="235">
        <f t="shared" si="1"/>
        <v>147.5</v>
      </c>
      <c r="K22" s="235">
        <f t="shared" si="2"/>
        <v>3097.5</v>
      </c>
      <c r="M22" s="229" t="s">
        <v>630</v>
      </c>
      <c r="N22" s="229" t="s">
        <v>632</v>
      </c>
      <c r="O22" s="229" t="s">
        <v>633</v>
      </c>
      <c r="Q22" s="232" t="str" cm="1">
        <f t="array" ref="Q22:R31">_xlfn.CHOOSECOLS(A1:K10,5,3)</f>
        <v>EDAD</v>
      </c>
      <c r="R22" s="232" t="str">
        <v>NOMBRES</v>
      </c>
    </row>
    <row r="23" spans="1:27" x14ac:dyDescent="0.3">
      <c r="A23" s="233" t="s">
        <v>728</v>
      </c>
      <c r="B23" s="233" t="s">
        <v>729</v>
      </c>
      <c r="C23" s="233" t="s">
        <v>695</v>
      </c>
      <c r="D23" s="234" t="s">
        <v>181</v>
      </c>
      <c r="E23" s="234">
        <v>27</v>
      </c>
      <c r="F23" s="237" t="s">
        <v>723</v>
      </c>
      <c r="G23" s="234" t="s">
        <v>677</v>
      </c>
      <c r="H23" s="235">
        <v>1594</v>
      </c>
      <c r="I23" s="234">
        <f t="shared" si="0"/>
        <v>159.4</v>
      </c>
      <c r="J23" s="235">
        <f t="shared" si="1"/>
        <v>79.7</v>
      </c>
      <c r="K23" s="235">
        <f t="shared" si="2"/>
        <v>1673.7</v>
      </c>
      <c r="M23" s="232" t="str" cm="1">
        <f t="array" ref="M23:O32">_xlfn._xlws.FILTER(_xlfn.CHOOSECOLS(A2:K80,1,3,5),F2:F80=N3)</f>
        <v>ALVAREZ</v>
      </c>
      <c r="N23" s="232" t="str">
        <v>CARLOS</v>
      </c>
      <c r="O23" s="232">
        <v>41</v>
      </c>
      <c r="Q23" s="232">
        <v>27</v>
      </c>
      <c r="R23" s="232" t="str">
        <v>FEDOR</v>
      </c>
    </row>
    <row r="24" spans="1:27" x14ac:dyDescent="0.3">
      <c r="A24" s="233" t="s">
        <v>690</v>
      </c>
      <c r="B24" s="233" t="s">
        <v>691</v>
      </c>
      <c r="C24" s="233" t="s">
        <v>692</v>
      </c>
      <c r="D24" s="234" t="s">
        <v>181</v>
      </c>
      <c r="E24" s="234">
        <v>39</v>
      </c>
      <c r="F24" s="236" t="s">
        <v>647</v>
      </c>
      <c r="G24" s="234" t="s">
        <v>671</v>
      </c>
      <c r="H24" s="235">
        <v>6150</v>
      </c>
      <c r="I24" s="234">
        <f t="shared" si="0"/>
        <v>615</v>
      </c>
      <c r="J24" s="235">
        <f t="shared" si="1"/>
        <v>307.5</v>
      </c>
      <c r="K24" s="235">
        <f t="shared" si="2"/>
        <v>6457.5</v>
      </c>
      <c r="M24" s="232" t="str">
        <v>AVILA</v>
      </c>
      <c r="N24" s="232" t="str">
        <v>JOSE</v>
      </c>
      <c r="O24" s="232">
        <v>35</v>
      </c>
      <c r="Q24" s="232">
        <v>27</v>
      </c>
      <c r="R24" s="232" t="str">
        <v>NANCY</v>
      </c>
    </row>
    <row r="25" spans="1:27" x14ac:dyDescent="0.3">
      <c r="A25" s="233" t="s">
        <v>730</v>
      </c>
      <c r="B25" s="233" t="s">
        <v>731</v>
      </c>
      <c r="C25" s="233" t="s">
        <v>732</v>
      </c>
      <c r="D25" s="234" t="s">
        <v>176</v>
      </c>
      <c r="E25" s="234">
        <v>27</v>
      </c>
      <c r="F25" s="233" t="s">
        <v>663</v>
      </c>
      <c r="G25" s="234" t="s">
        <v>671</v>
      </c>
      <c r="H25" s="235">
        <v>2862</v>
      </c>
      <c r="I25" s="234">
        <f t="shared" si="0"/>
        <v>286.2</v>
      </c>
      <c r="J25" s="235">
        <f t="shared" si="1"/>
        <v>143.1</v>
      </c>
      <c r="K25" s="235">
        <f t="shared" si="2"/>
        <v>3005.1</v>
      </c>
      <c r="M25" s="232" t="str">
        <v>BARDALES</v>
      </c>
      <c r="N25" s="232" t="str">
        <v>JUANA</v>
      </c>
      <c r="O25" s="232">
        <v>27</v>
      </c>
      <c r="Q25" s="232">
        <v>37</v>
      </c>
      <c r="R25" s="232" t="str">
        <v>LUIS</v>
      </c>
    </row>
    <row r="26" spans="1:27" x14ac:dyDescent="0.3">
      <c r="A26" s="233" t="s">
        <v>733</v>
      </c>
      <c r="B26" s="233" t="s">
        <v>734</v>
      </c>
      <c r="C26" s="233" t="s">
        <v>735</v>
      </c>
      <c r="D26" s="234" t="s">
        <v>176</v>
      </c>
      <c r="E26" s="234">
        <v>45</v>
      </c>
      <c r="F26" s="237" t="s">
        <v>723</v>
      </c>
      <c r="G26" s="234" t="s">
        <v>671</v>
      </c>
      <c r="H26" s="235">
        <v>5400</v>
      </c>
      <c r="I26" s="234">
        <f t="shared" si="0"/>
        <v>540</v>
      </c>
      <c r="J26" s="235">
        <f t="shared" si="1"/>
        <v>270</v>
      </c>
      <c r="K26" s="235">
        <f t="shared" si="2"/>
        <v>5670</v>
      </c>
      <c r="M26" s="232" t="str">
        <v>BARTRA</v>
      </c>
      <c r="N26" s="232" t="str">
        <v>LUIS</v>
      </c>
      <c r="O26" s="232">
        <v>28</v>
      </c>
      <c r="Q26" s="232">
        <v>41</v>
      </c>
      <c r="R26" s="232" t="str">
        <v>CARLOS</v>
      </c>
    </row>
    <row r="27" spans="1:27" x14ac:dyDescent="0.3">
      <c r="A27" s="233" t="s">
        <v>736</v>
      </c>
      <c r="B27" s="233" t="s">
        <v>737</v>
      </c>
      <c r="C27" s="233" t="s">
        <v>738</v>
      </c>
      <c r="D27" s="234" t="s">
        <v>181</v>
      </c>
      <c r="E27" s="234">
        <v>27</v>
      </c>
      <c r="F27" s="233" t="s">
        <v>654</v>
      </c>
      <c r="G27" s="234" t="s">
        <v>739</v>
      </c>
      <c r="H27" s="235">
        <v>2942</v>
      </c>
      <c r="I27" s="234">
        <f t="shared" si="0"/>
        <v>294.2</v>
      </c>
      <c r="J27" s="235">
        <f t="shared" si="1"/>
        <v>147.1</v>
      </c>
      <c r="K27" s="235">
        <f t="shared" si="2"/>
        <v>3089.1</v>
      </c>
      <c r="M27" s="232" t="str">
        <v>CARRASCO</v>
      </c>
      <c r="N27" s="232" t="str">
        <v>CARLOS</v>
      </c>
      <c r="O27" s="232">
        <v>39</v>
      </c>
      <c r="Q27" s="232">
        <v>27</v>
      </c>
      <c r="R27" s="232" t="str">
        <v>LILIANA</v>
      </c>
    </row>
    <row r="28" spans="1:27" x14ac:dyDescent="0.3">
      <c r="A28" s="233" t="s">
        <v>694</v>
      </c>
      <c r="B28" s="233" t="s">
        <v>740</v>
      </c>
      <c r="C28" s="233" t="s">
        <v>741</v>
      </c>
      <c r="D28" s="234" t="s">
        <v>181</v>
      </c>
      <c r="E28" s="234">
        <v>24</v>
      </c>
      <c r="F28" s="233" t="s">
        <v>726</v>
      </c>
      <c r="G28" s="234" t="s">
        <v>739</v>
      </c>
      <c r="H28" s="235">
        <v>2466</v>
      </c>
      <c r="I28" s="234">
        <f t="shared" si="0"/>
        <v>246.60000000000002</v>
      </c>
      <c r="J28" s="235">
        <f t="shared" si="1"/>
        <v>123.30000000000001</v>
      </c>
      <c r="K28" s="235">
        <f t="shared" si="2"/>
        <v>2589.2999999999997</v>
      </c>
      <c r="M28" s="232" t="str">
        <v>DEL CASTILLO</v>
      </c>
      <c r="N28" s="232" t="str">
        <v>MANUEL</v>
      </c>
      <c r="O28" s="232">
        <v>27</v>
      </c>
      <c r="Q28" s="232">
        <v>31</v>
      </c>
      <c r="R28" s="232" t="str">
        <v>MARLA</v>
      </c>
    </row>
    <row r="29" spans="1:27" x14ac:dyDescent="0.3">
      <c r="A29" s="233" t="s">
        <v>645</v>
      </c>
      <c r="B29" s="233" t="s">
        <v>715</v>
      </c>
      <c r="C29" s="233" t="s">
        <v>675</v>
      </c>
      <c r="D29" s="234" t="s">
        <v>176</v>
      </c>
      <c r="E29" s="234">
        <v>29</v>
      </c>
      <c r="F29" s="233" t="s">
        <v>663</v>
      </c>
      <c r="G29" s="234" t="s">
        <v>742</v>
      </c>
      <c r="H29" s="235">
        <v>2351</v>
      </c>
      <c r="I29" s="234">
        <f t="shared" si="0"/>
        <v>235.10000000000002</v>
      </c>
      <c r="J29" s="235">
        <f t="shared" si="1"/>
        <v>117.55000000000001</v>
      </c>
      <c r="K29" s="235">
        <f t="shared" si="2"/>
        <v>2468.5499999999997</v>
      </c>
      <c r="M29" s="232" t="str">
        <v>FLORES</v>
      </c>
      <c r="N29" s="232" t="str">
        <v>JOSE</v>
      </c>
      <c r="O29" s="232">
        <v>29</v>
      </c>
      <c r="Q29" s="232">
        <v>35</v>
      </c>
      <c r="R29" s="232" t="str">
        <v>JOSE</v>
      </c>
    </row>
    <row r="30" spans="1:27" x14ac:dyDescent="0.3">
      <c r="A30" s="233" t="s">
        <v>743</v>
      </c>
      <c r="B30" s="233" t="s">
        <v>744</v>
      </c>
      <c r="C30" s="233" t="s">
        <v>745</v>
      </c>
      <c r="D30" s="234" t="s">
        <v>176</v>
      </c>
      <c r="E30" s="234">
        <v>22</v>
      </c>
      <c r="F30" s="233" t="s">
        <v>658</v>
      </c>
      <c r="G30" s="234" t="s">
        <v>720</v>
      </c>
      <c r="H30" s="235">
        <v>2248</v>
      </c>
      <c r="I30" s="234">
        <f t="shared" si="0"/>
        <v>224.8</v>
      </c>
      <c r="J30" s="235">
        <f t="shared" si="1"/>
        <v>112.4</v>
      </c>
      <c r="K30" s="235">
        <f t="shared" si="2"/>
        <v>2360.4</v>
      </c>
      <c r="M30" s="232" t="str">
        <v>FRIAS</v>
      </c>
      <c r="N30" s="232" t="str">
        <v>ANA</v>
      </c>
      <c r="O30" s="232">
        <v>26</v>
      </c>
      <c r="Q30" s="232">
        <v>33</v>
      </c>
      <c r="R30" s="232" t="str">
        <v>ELADIO</v>
      </c>
    </row>
    <row r="31" spans="1:27" x14ac:dyDescent="0.3">
      <c r="A31" s="237" t="s">
        <v>743</v>
      </c>
      <c r="B31" s="233" t="s">
        <v>744</v>
      </c>
      <c r="C31" s="233" t="s">
        <v>746</v>
      </c>
      <c r="D31" s="234" t="s">
        <v>181</v>
      </c>
      <c r="E31" s="234">
        <v>26</v>
      </c>
      <c r="F31" s="233" t="s">
        <v>663</v>
      </c>
      <c r="G31" s="234" t="s">
        <v>685</v>
      </c>
      <c r="H31" s="235">
        <v>2070</v>
      </c>
      <c r="I31" s="234">
        <f t="shared" si="0"/>
        <v>207</v>
      </c>
      <c r="J31" s="235">
        <f t="shared" si="1"/>
        <v>103.5</v>
      </c>
      <c r="K31" s="235">
        <f t="shared" si="2"/>
        <v>2173.5</v>
      </c>
      <c r="M31" s="232" t="str">
        <v>PANA</v>
      </c>
      <c r="N31" s="232" t="str">
        <v>ALDO</v>
      </c>
      <c r="O31" s="232">
        <v>27</v>
      </c>
      <c r="Q31" s="232">
        <v>38</v>
      </c>
      <c r="R31" s="232" t="str">
        <v>NILFA</v>
      </c>
    </row>
    <row r="32" spans="1:27" x14ac:dyDescent="0.3">
      <c r="A32" s="233" t="s">
        <v>747</v>
      </c>
      <c r="B32" s="233" t="s">
        <v>748</v>
      </c>
      <c r="C32" s="233" t="s">
        <v>749</v>
      </c>
      <c r="D32" s="234" t="s">
        <v>181</v>
      </c>
      <c r="E32" s="234">
        <v>29</v>
      </c>
      <c r="F32" s="233" t="s">
        <v>647</v>
      </c>
      <c r="G32" s="234" t="s">
        <v>713</v>
      </c>
      <c r="H32" s="235">
        <v>1819</v>
      </c>
      <c r="I32" s="234">
        <f t="shared" si="0"/>
        <v>181.9</v>
      </c>
      <c r="J32" s="235">
        <f t="shared" si="1"/>
        <v>90.95</v>
      </c>
      <c r="K32" s="235">
        <f t="shared" si="2"/>
        <v>1909.95</v>
      </c>
      <c r="M32" s="232" t="str">
        <v>TREVIÑO</v>
      </c>
      <c r="N32" s="232" t="str">
        <v>ROSA</v>
      </c>
      <c r="O32" s="232">
        <v>50</v>
      </c>
    </row>
    <row r="33" spans="1:11" x14ac:dyDescent="0.3">
      <c r="A33" s="233" t="s">
        <v>750</v>
      </c>
      <c r="B33" s="233" t="s">
        <v>751</v>
      </c>
      <c r="C33" s="233" t="s">
        <v>665</v>
      </c>
      <c r="D33" s="234" t="s">
        <v>176</v>
      </c>
      <c r="E33" s="234">
        <v>29</v>
      </c>
      <c r="F33" s="237" t="s">
        <v>723</v>
      </c>
      <c r="G33" s="234" t="s">
        <v>727</v>
      </c>
      <c r="H33" s="235">
        <v>2665</v>
      </c>
      <c r="I33" s="234">
        <f t="shared" si="0"/>
        <v>266.5</v>
      </c>
      <c r="J33" s="235">
        <f t="shared" si="1"/>
        <v>133.25</v>
      </c>
      <c r="K33" s="235">
        <f t="shared" si="2"/>
        <v>2798.25</v>
      </c>
    </row>
    <row r="34" spans="1:11" x14ac:dyDescent="0.3">
      <c r="A34" s="233" t="s">
        <v>752</v>
      </c>
      <c r="B34" s="233" t="s">
        <v>753</v>
      </c>
      <c r="C34" s="233" t="s">
        <v>754</v>
      </c>
      <c r="D34" s="234" t="s">
        <v>181</v>
      </c>
      <c r="E34" s="234">
        <v>35</v>
      </c>
      <c r="F34" s="233" t="s">
        <v>658</v>
      </c>
      <c r="G34" s="234" t="s">
        <v>671</v>
      </c>
      <c r="H34" s="235">
        <v>3670</v>
      </c>
      <c r="I34" s="234">
        <f t="shared" si="0"/>
        <v>367</v>
      </c>
      <c r="J34" s="235">
        <f t="shared" si="1"/>
        <v>183.5</v>
      </c>
      <c r="K34" s="235">
        <f t="shared" si="2"/>
        <v>3853.5</v>
      </c>
    </row>
    <row r="35" spans="1:11" x14ac:dyDescent="0.3">
      <c r="A35" s="233" t="s">
        <v>755</v>
      </c>
      <c r="B35" s="233" t="s">
        <v>645</v>
      </c>
      <c r="C35" s="233" t="s">
        <v>738</v>
      </c>
      <c r="D35" s="234" t="s">
        <v>181</v>
      </c>
      <c r="E35" s="234">
        <v>27</v>
      </c>
      <c r="F35" s="233" t="s">
        <v>658</v>
      </c>
      <c r="G35" s="234" t="s">
        <v>664</v>
      </c>
      <c r="H35" s="235">
        <v>3060</v>
      </c>
      <c r="I35" s="234">
        <f t="shared" si="0"/>
        <v>306</v>
      </c>
      <c r="J35" s="235">
        <f t="shared" si="1"/>
        <v>153</v>
      </c>
      <c r="K35" s="235">
        <f t="shared" si="2"/>
        <v>3213</v>
      </c>
    </row>
    <row r="36" spans="1:11" x14ac:dyDescent="0.3">
      <c r="A36" s="233" t="s">
        <v>756</v>
      </c>
      <c r="B36" s="233" t="s">
        <v>696</v>
      </c>
      <c r="C36" s="233" t="s">
        <v>757</v>
      </c>
      <c r="D36" s="234" t="s">
        <v>176</v>
      </c>
      <c r="E36" s="234">
        <v>48</v>
      </c>
      <c r="F36" s="233" t="s">
        <v>710</v>
      </c>
      <c r="G36" s="234" t="s">
        <v>671</v>
      </c>
      <c r="H36" s="235">
        <v>4020</v>
      </c>
      <c r="I36" s="234">
        <f t="shared" si="0"/>
        <v>402</v>
      </c>
      <c r="J36" s="235">
        <f t="shared" si="1"/>
        <v>201</v>
      </c>
      <c r="K36" s="235">
        <f t="shared" si="2"/>
        <v>4221</v>
      </c>
    </row>
    <row r="37" spans="1:11" x14ac:dyDescent="0.3">
      <c r="A37" s="233" t="s">
        <v>751</v>
      </c>
      <c r="B37" s="233" t="s">
        <v>707</v>
      </c>
      <c r="C37" s="233" t="s">
        <v>758</v>
      </c>
      <c r="D37" s="234" t="s">
        <v>176</v>
      </c>
      <c r="E37" s="234">
        <v>24</v>
      </c>
      <c r="F37" s="233" t="s">
        <v>647</v>
      </c>
      <c r="G37" s="234" t="s">
        <v>699</v>
      </c>
      <c r="H37" s="235">
        <v>4135</v>
      </c>
      <c r="I37" s="234">
        <f t="shared" si="0"/>
        <v>413.5</v>
      </c>
      <c r="J37" s="235">
        <f t="shared" si="1"/>
        <v>206.75</v>
      </c>
      <c r="K37" s="235">
        <f t="shared" si="2"/>
        <v>4341.75</v>
      </c>
    </row>
    <row r="38" spans="1:11" x14ac:dyDescent="0.3">
      <c r="A38" s="233" t="s">
        <v>759</v>
      </c>
      <c r="B38" s="233" t="s">
        <v>760</v>
      </c>
      <c r="C38" s="233" t="s">
        <v>761</v>
      </c>
      <c r="D38" s="234" t="s">
        <v>181</v>
      </c>
      <c r="E38" s="234">
        <v>38</v>
      </c>
      <c r="F38" s="236" t="s">
        <v>658</v>
      </c>
      <c r="G38" s="234" t="s">
        <v>713</v>
      </c>
      <c r="H38" s="235">
        <v>3700</v>
      </c>
      <c r="I38" s="234">
        <f t="shared" si="0"/>
        <v>370</v>
      </c>
      <c r="J38" s="235">
        <f t="shared" si="1"/>
        <v>185</v>
      </c>
      <c r="K38" s="235">
        <f t="shared" si="2"/>
        <v>3885</v>
      </c>
    </row>
    <row r="39" spans="1:11" x14ac:dyDescent="0.3">
      <c r="A39" s="233" t="s">
        <v>762</v>
      </c>
      <c r="B39" s="233" t="s">
        <v>728</v>
      </c>
      <c r="C39" s="233" t="s">
        <v>763</v>
      </c>
      <c r="D39" s="234" t="s">
        <v>181</v>
      </c>
      <c r="E39" s="234">
        <v>39</v>
      </c>
      <c r="F39" s="233" t="s">
        <v>710</v>
      </c>
      <c r="G39" s="234" t="s">
        <v>764</v>
      </c>
      <c r="H39" s="235">
        <v>4023</v>
      </c>
      <c r="I39" s="234">
        <f t="shared" si="0"/>
        <v>402.3</v>
      </c>
      <c r="J39" s="235">
        <f t="shared" si="1"/>
        <v>201.15</v>
      </c>
      <c r="K39" s="235">
        <f t="shared" si="2"/>
        <v>4224.1500000000005</v>
      </c>
    </row>
    <row r="40" spans="1:11" x14ac:dyDescent="0.3">
      <c r="A40" s="233" t="s">
        <v>737</v>
      </c>
      <c r="B40" s="233" t="s">
        <v>762</v>
      </c>
      <c r="C40" s="233" t="s">
        <v>765</v>
      </c>
      <c r="D40" s="234" t="s">
        <v>181</v>
      </c>
      <c r="E40" s="234">
        <v>32</v>
      </c>
      <c r="F40" s="237" t="s">
        <v>723</v>
      </c>
      <c r="G40" s="234" t="s">
        <v>766</v>
      </c>
      <c r="H40" s="235">
        <v>3600</v>
      </c>
      <c r="I40" s="234">
        <f t="shared" si="0"/>
        <v>360</v>
      </c>
      <c r="J40" s="235">
        <f t="shared" si="1"/>
        <v>180</v>
      </c>
      <c r="K40" s="235">
        <f t="shared" si="2"/>
        <v>3780</v>
      </c>
    </row>
    <row r="41" spans="1:11" x14ac:dyDescent="0.3">
      <c r="A41" s="233" t="s">
        <v>744</v>
      </c>
      <c r="B41" s="233" t="s">
        <v>681</v>
      </c>
      <c r="C41" s="233" t="s">
        <v>732</v>
      </c>
      <c r="D41" s="234" t="s">
        <v>176</v>
      </c>
      <c r="E41" s="234">
        <v>28</v>
      </c>
      <c r="F41" s="237" t="s">
        <v>723</v>
      </c>
      <c r="G41" s="234" t="s">
        <v>739</v>
      </c>
      <c r="H41" s="235">
        <v>2747</v>
      </c>
      <c r="I41" s="234">
        <f t="shared" si="0"/>
        <v>274.7</v>
      </c>
      <c r="J41" s="235">
        <f t="shared" si="1"/>
        <v>137.35</v>
      </c>
      <c r="K41" s="235">
        <f t="shared" si="2"/>
        <v>2884.35</v>
      </c>
    </row>
    <row r="42" spans="1:11" x14ac:dyDescent="0.3">
      <c r="A42" s="233" t="s">
        <v>652</v>
      </c>
      <c r="B42" s="233" t="s">
        <v>767</v>
      </c>
      <c r="C42" s="233" t="s">
        <v>768</v>
      </c>
      <c r="D42" s="234" t="s">
        <v>181</v>
      </c>
      <c r="E42" s="234">
        <v>26</v>
      </c>
      <c r="F42" s="233" t="s">
        <v>654</v>
      </c>
      <c r="G42" s="234" t="s">
        <v>685</v>
      </c>
      <c r="H42" s="235">
        <v>3861</v>
      </c>
      <c r="I42" s="234">
        <f t="shared" si="0"/>
        <v>386.1</v>
      </c>
      <c r="J42" s="235">
        <f t="shared" si="1"/>
        <v>193.05</v>
      </c>
      <c r="K42" s="235">
        <f t="shared" si="2"/>
        <v>4054.05</v>
      </c>
    </row>
    <row r="43" spans="1:11" x14ac:dyDescent="0.3">
      <c r="A43" s="233" t="s">
        <v>769</v>
      </c>
      <c r="B43" s="233" t="s">
        <v>747</v>
      </c>
      <c r="C43" s="233" t="s">
        <v>770</v>
      </c>
      <c r="D43" s="234" t="s">
        <v>181</v>
      </c>
      <c r="E43" s="234">
        <v>29</v>
      </c>
      <c r="F43" s="237" t="s">
        <v>723</v>
      </c>
      <c r="G43" s="234" t="s">
        <v>659</v>
      </c>
      <c r="H43" s="235">
        <v>5414</v>
      </c>
      <c r="I43" s="234">
        <f t="shared" si="0"/>
        <v>541.4</v>
      </c>
      <c r="J43" s="235">
        <f t="shared" si="1"/>
        <v>270.7</v>
      </c>
      <c r="K43" s="235">
        <f t="shared" si="2"/>
        <v>5684.7</v>
      </c>
    </row>
    <row r="44" spans="1:11" x14ac:dyDescent="0.3">
      <c r="A44" s="233" t="s">
        <v>771</v>
      </c>
      <c r="B44" s="233" t="s">
        <v>651</v>
      </c>
      <c r="C44" s="233" t="s">
        <v>772</v>
      </c>
      <c r="D44" s="234" t="s">
        <v>181</v>
      </c>
      <c r="E44" s="234">
        <v>28</v>
      </c>
      <c r="F44" s="237" t="s">
        <v>723</v>
      </c>
      <c r="G44" s="234" t="s">
        <v>766</v>
      </c>
      <c r="H44" s="235">
        <v>1397</v>
      </c>
      <c r="I44" s="234">
        <f t="shared" si="0"/>
        <v>139.70000000000002</v>
      </c>
      <c r="J44" s="235">
        <f t="shared" si="1"/>
        <v>69.850000000000009</v>
      </c>
      <c r="K44" s="235">
        <f t="shared" si="2"/>
        <v>1466.8500000000001</v>
      </c>
    </row>
    <row r="45" spans="1:11" x14ac:dyDescent="0.3">
      <c r="A45" s="233" t="s">
        <v>773</v>
      </c>
      <c r="B45" s="233" t="s">
        <v>762</v>
      </c>
      <c r="C45" s="233" t="s">
        <v>732</v>
      </c>
      <c r="D45" s="234" t="s">
        <v>176</v>
      </c>
      <c r="E45" s="234">
        <v>25</v>
      </c>
      <c r="F45" s="233" t="s">
        <v>654</v>
      </c>
      <c r="G45" s="234" t="s">
        <v>720</v>
      </c>
      <c r="H45" s="235">
        <v>2460</v>
      </c>
      <c r="I45" s="234">
        <f t="shared" si="0"/>
        <v>246</v>
      </c>
      <c r="J45" s="235">
        <f t="shared" si="1"/>
        <v>123</v>
      </c>
      <c r="K45" s="235">
        <f t="shared" si="2"/>
        <v>2583</v>
      </c>
    </row>
    <row r="46" spans="1:11" x14ac:dyDescent="0.3">
      <c r="A46" s="233" t="s">
        <v>400</v>
      </c>
      <c r="B46" s="233" t="s">
        <v>774</v>
      </c>
      <c r="C46" s="233" t="s">
        <v>717</v>
      </c>
      <c r="D46" s="234" t="s">
        <v>176</v>
      </c>
      <c r="E46" s="234">
        <v>24</v>
      </c>
      <c r="F46" s="233" t="s">
        <v>710</v>
      </c>
      <c r="G46" s="234" t="s">
        <v>764</v>
      </c>
      <c r="H46" s="235">
        <v>2479</v>
      </c>
      <c r="I46" s="234">
        <f t="shared" si="0"/>
        <v>247.9</v>
      </c>
      <c r="J46" s="235">
        <f t="shared" si="1"/>
        <v>123.95</v>
      </c>
      <c r="K46" s="235">
        <f t="shared" si="2"/>
        <v>2602.9500000000003</v>
      </c>
    </row>
    <row r="47" spans="1:11" x14ac:dyDescent="0.3">
      <c r="A47" s="233" t="s">
        <v>775</v>
      </c>
      <c r="B47" s="233" t="s">
        <v>776</v>
      </c>
      <c r="C47" s="233" t="s">
        <v>777</v>
      </c>
      <c r="D47" s="234" t="s">
        <v>181</v>
      </c>
      <c r="E47" s="234">
        <v>30</v>
      </c>
      <c r="F47" s="233" t="s">
        <v>684</v>
      </c>
      <c r="G47" s="234" t="s">
        <v>677</v>
      </c>
      <c r="H47" s="235">
        <v>2367</v>
      </c>
      <c r="I47" s="234">
        <f t="shared" si="0"/>
        <v>236.70000000000002</v>
      </c>
      <c r="J47" s="235">
        <f t="shared" si="1"/>
        <v>118.35000000000001</v>
      </c>
      <c r="K47" s="235">
        <f t="shared" si="2"/>
        <v>2485.35</v>
      </c>
    </row>
    <row r="48" spans="1:11" x14ac:dyDescent="0.3">
      <c r="A48" s="233" t="s">
        <v>715</v>
      </c>
      <c r="B48" s="236" t="s">
        <v>668</v>
      </c>
      <c r="C48" s="233" t="s">
        <v>778</v>
      </c>
      <c r="D48" s="234" t="s">
        <v>176</v>
      </c>
      <c r="E48" s="234">
        <v>45</v>
      </c>
      <c r="F48" s="233" t="s">
        <v>647</v>
      </c>
      <c r="G48" s="234" t="s">
        <v>720</v>
      </c>
      <c r="H48" s="235">
        <v>6216</v>
      </c>
      <c r="I48" s="234">
        <f t="shared" si="0"/>
        <v>621.6</v>
      </c>
      <c r="J48" s="235">
        <f t="shared" si="1"/>
        <v>310.8</v>
      </c>
      <c r="K48" s="235">
        <f t="shared" si="2"/>
        <v>6526.8</v>
      </c>
    </row>
    <row r="49" spans="1:11" x14ac:dyDescent="0.3">
      <c r="A49" s="233" t="s">
        <v>779</v>
      </c>
      <c r="B49" s="237" t="s">
        <v>743</v>
      </c>
      <c r="C49" s="233" t="s">
        <v>780</v>
      </c>
      <c r="D49" s="234" t="s">
        <v>176</v>
      </c>
      <c r="E49" s="234">
        <v>22</v>
      </c>
      <c r="F49" s="233" t="s">
        <v>710</v>
      </c>
      <c r="G49" s="234" t="s">
        <v>766</v>
      </c>
      <c r="H49" s="235">
        <v>1330</v>
      </c>
      <c r="I49" s="234">
        <f t="shared" si="0"/>
        <v>133</v>
      </c>
      <c r="J49" s="235">
        <f t="shared" si="1"/>
        <v>66.5</v>
      </c>
      <c r="K49" s="235">
        <f t="shared" si="2"/>
        <v>1396.5</v>
      </c>
    </row>
    <row r="50" spans="1:11" x14ac:dyDescent="0.3">
      <c r="A50" s="233" t="s">
        <v>781</v>
      </c>
      <c r="B50" s="233" t="s">
        <v>782</v>
      </c>
      <c r="C50" s="233" t="s">
        <v>783</v>
      </c>
      <c r="D50" s="234" t="s">
        <v>181</v>
      </c>
      <c r="E50" s="234">
        <v>36</v>
      </c>
      <c r="F50" s="233" t="s">
        <v>658</v>
      </c>
      <c r="G50" s="234" t="s">
        <v>671</v>
      </c>
      <c r="H50" s="235">
        <v>4030</v>
      </c>
      <c r="I50" s="234">
        <f t="shared" si="0"/>
        <v>403</v>
      </c>
      <c r="J50" s="235">
        <f t="shared" si="1"/>
        <v>201.5</v>
      </c>
      <c r="K50" s="235">
        <f t="shared" si="2"/>
        <v>4231.5</v>
      </c>
    </row>
    <row r="51" spans="1:11" x14ac:dyDescent="0.3">
      <c r="A51" s="233" t="s">
        <v>696</v>
      </c>
      <c r="B51" s="233" t="s">
        <v>697</v>
      </c>
      <c r="C51" s="233" t="s">
        <v>698</v>
      </c>
      <c r="D51" s="234" t="s">
        <v>181</v>
      </c>
      <c r="E51" s="234">
        <v>41</v>
      </c>
      <c r="F51" s="233" t="s">
        <v>647</v>
      </c>
      <c r="G51" s="234" t="s">
        <v>699</v>
      </c>
      <c r="H51" s="235">
        <v>3120</v>
      </c>
      <c r="I51" s="234">
        <f t="shared" si="0"/>
        <v>312</v>
      </c>
      <c r="J51" s="235">
        <f t="shared" si="1"/>
        <v>156</v>
      </c>
      <c r="K51" s="235">
        <f t="shared" si="2"/>
        <v>3276</v>
      </c>
    </row>
    <row r="52" spans="1:11" x14ac:dyDescent="0.3">
      <c r="A52" s="236" t="s">
        <v>784</v>
      </c>
      <c r="B52" s="237" t="s">
        <v>785</v>
      </c>
      <c r="C52" s="233" t="s">
        <v>786</v>
      </c>
      <c r="D52" s="234" t="s">
        <v>181</v>
      </c>
      <c r="E52" s="234">
        <v>31</v>
      </c>
      <c r="F52" s="233" t="s">
        <v>658</v>
      </c>
      <c r="G52" s="234" t="s">
        <v>671</v>
      </c>
      <c r="H52" s="235">
        <v>3298</v>
      </c>
      <c r="I52" s="234">
        <f t="shared" si="0"/>
        <v>329.8</v>
      </c>
      <c r="J52" s="235">
        <f t="shared" si="1"/>
        <v>164.9</v>
      </c>
      <c r="K52" s="235">
        <f t="shared" si="2"/>
        <v>3462.9</v>
      </c>
    </row>
    <row r="53" spans="1:11" x14ac:dyDescent="0.3">
      <c r="A53" s="233" t="s">
        <v>787</v>
      </c>
      <c r="B53" s="233" t="s">
        <v>788</v>
      </c>
      <c r="C53" s="233" t="s">
        <v>789</v>
      </c>
      <c r="D53" s="234" t="s">
        <v>176</v>
      </c>
      <c r="E53" s="234">
        <v>27</v>
      </c>
      <c r="F53" s="233" t="s">
        <v>647</v>
      </c>
      <c r="G53" s="234" t="s">
        <v>659</v>
      </c>
      <c r="H53" s="235">
        <v>1917</v>
      </c>
      <c r="I53" s="234">
        <f t="shared" si="0"/>
        <v>191.70000000000002</v>
      </c>
      <c r="J53" s="235">
        <f t="shared" si="1"/>
        <v>95.850000000000009</v>
      </c>
      <c r="K53" s="235">
        <f t="shared" si="2"/>
        <v>2012.85</v>
      </c>
    </row>
    <row r="54" spans="1:11" x14ac:dyDescent="0.3">
      <c r="A54" s="233" t="s">
        <v>790</v>
      </c>
      <c r="B54" s="233" t="s">
        <v>693</v>
      </c>
      <c r="C54" s="233" t="s">
        <v>789</v>
      </c>
      <c r="D54" s="234" t="s">
        <v>176</v>
      </c>
      <c r="E54" s="234">
        <v>27</v>
      </c>
      <c r="F54" s="233" t="s">
        <v>663</v>
      </c>
      <c r="G54" s="234" t="s">
        <v>659</v>
      </c>
      <c r="H54" s="235">
        <v>6195</v>
      </c>
      <c r="I54" s="234">
        <f t="shared" si="0"/>
        <v>619.5</v>
      </c>
      <c r="J54" s="235">
        <f t="shared" si="1"/>
        <v>309.75</v>
      </c>
      <c r="K54" s="235">
        <f t="shared" si="2"/>
        <v>6504.75</v>
      </c>
    </row>
    <row r="55" spans="1:11" x14ac:dyDescent="0.3">
      <c r="A55" s="233" t="s">
        <v>788</v>
      </c>
      <c r="B55" s="233" t="s">
        <v>791</v>
      </c>
      <c r="C55" s="233" t="s">
        <v>792</v>
      </c>
      <c r="D55" s="234" t="s">
        <v>176</v>
      </c>
      <c r="E55" s="234">
        <v>45</v>
      </c>
      <c r="F55" s="233" t="s">
        <v>658</v>
      </c>
      <c r="G55" s="234" t="s">
        <v>648</v>
      </c>
      <c r="H55" s="235">
        <v>9452</v>
      </c>
      <c r="I55" s="234">
        <f t="shared" si="0"/>
        <v>945.2</v>
      </c>
      <c r="J55" s="235">
        <f t="shared" si="1"/>
        <v>472.6</v>
      </c>
      <c r="K55" s="235">
        <f t="shared" si="2"/>
        <v>9924.6</v>
      </c>
    </row>
    <row r="56" spans="1:11" x14ac:dyDescent="0.3">
      <c r="A56" s="233" t="s">
        <v>788</v>
      </c>
      <c r="B56" s="233" t="s">
        <v>779</v>
      </c>
      <c r="C56" s="233" t="s">
        <v>793</v>
      </c>
      <c r="D56" s="234" t="s">
        <v>176</v>
      </c>
      <c r="E56" s="234">
        <v>21</v>
      </c>
      <c r="F56" s="233" t="s">
        <v>654</v>
      </c>
      <c r="G56" s="234" t="s">
        <v>664</v>
      </c>
      <c r="H56" s="235">
        <v>5723</v>
      </c>
      <c r="I56" s="234">
        <f t="shared" si="0"/>
        <v>572.30000000000007</v>
      </c>
      <c r="J56" s="235">
        <f t="shared" si="1"/>
        <v>286.15000000000003</v>
      </c>
      <c r="K56" s="235">
        <f t="shared" si="2"/>
        <v>6009.1500000000005</v>
      </c>
    </row>
    <row r="57" spans="1:11" x14ac:dyDescent="0.3">
      <c r="A57" s="233" t="s">
        <v>794</v>
      </c>
      <c r="B57" s="233" t="s">
        <v>771</v>
      </c>
      <c r="C57" s="233" t="s">
        <v>795</v>
      </c>
      <c r="D57" s="234" t="s">
        <v>176</v>
      </c>
      <c r="E57" s="234">
        <v>21</v>
      </c>
      <c r="F57" s="233" t="s">
        <v>654</v>
      </c>
      <c r="G57" s="234" t="s">
        <v>739</v>
      </c>
      <c r="H57" s="235">
        <v>5622</v>
      </c>
      <c r="I57" s="234">
        <f t="shared" si="0"/>
        <v>562.20000000000005</v>
      </c>
      <c r="J57" s="235">
        <f t="shared" si="1"/>
        <v>281.10000000000002</v>
      </c>
      <c r="K57" s="235">
        <f t="shared" si="2"/>
        <v>5903.0999999999995</v>
      </c>
    </row>
    <row r="58" spans="1:11" x14ac:dyDescent="0.3">
      <c r="A58" s="233" t="s">
        <v>724</v>
      </c>
      <c r="B58" s="233" t="s">
        <v>674</v>
      </c>
      <c r="C58" s="233" t="s">
        <v>796</v>
      </c>
      <c r="D58" s="234" t="s">
        <v>181</v>
      </c>
      <c r="E58" s="234">
        <v>29</v>
      </c>
      <c r="F58" s="237" t="s">
        <v>723</v>
      </c>
      <c r="G58" s="234" t="s">
        <v>677</v>
      </c>
      <c r="H58" s="235">
        <v>2538</v>
      </c>
      <c r="I58" s="234">
        <f t="shared" si="0"/>
        <v>253.8</v>
      </c>
      <c r="J58" s="235">
        <f t="shared" si="1"/>
        <v>126.9</v>
      </c>
      <c r="K58" s="235">
        <f t="shared" si="2"/>
        <v>2664.9</v>
      </c>
    </row>
    <row r="59" spans="1:11" x14ac:dyDescent="0.3">
      <c r="A59" s="233" t="s">
        <v>797</v>
      </c>
      <c r="B59" s="233" t="s">
        <v>769</v>
      </c>
      <c r="C59" s="233" t="s">
        <v>798</v>
      </c>
      <c r="D59" s="234" t="s">
        <v>181</v>
      </c>
      <c r="E59" s="234">
        <v>29</v>
      </c>
      <c r="F59" s="233" t="s">
        <v>684</v>
      </c>
      <c r="G59" s="234" t="s">
        <v>799</v>
      </c>
      <c r="H59" s="235">
        <v>2323</v>
      </c>
      <c r="I59" s="234">
        <f t="shared" si="0"/>
        <v>232.3</v>
      </c>
      <c r="J59" s="235">
        <f t="shared" si="1"/>
        <v>116.15</v>
      </c>
      <c r="K59" s="235">
        <f t="shared" si="2"/>
        <v>2439.15</v>
      </c>
    </row>
    <row r="60" spans="1:11" x14ac:dyDescent="0.3">
      <c r="A60" s="233" t="s">
        <v>797</v>
      </c>
      <c r="B60" s="233" t="s">
        <v>769</v>
      </c>
      <c r="C60" s="233" t="s">
        <v>800</v>
      </c>
      <c r="D60" s="234" t="s">
        <v>176</v>
      </c>
      <c r="E60" s="234">
        <v>29</v>
      </c>
      <c r="F60" s="233" t="s">
        <v>658</v>
      </c>
      <c r="G60" s="234" t="s">
        <v>671</v>
      </c>
      <c r="H60" s="235">
        <v>4364</v>
      </c>
      <c r="I60" s="234">
        <f t="shared" si="0"/>
        <v>436.40000000000003</v>
      </c>
      <c r="J60" s="235">
        <f t="shared" si="1"/>
        <v>218.20000000000002</v>
      </c>
      <c r="K60" s="235">
        <f t="shared" si="2"/>
        <v>4582.2</v>
      </c>
    </row>
    <row r="61" spans="1:11" x14ac:dyDescent="0.3">
      <c r="A61" s="233" t="s">
        <v>734</v>
      </c>
      <c r="B61" s="233" t="s">
        <v>665</v>
      </c>
      <c r="C61" s="233" t="s">
        <v>738</v>
      </c>
      <c r="D61" s="234" t="s">
        <v>181</v>
      </c>
      <c r="E61" s="234">
        <v>40</v>
      </c>
      <c r="F61" s="233" t="s">
        <v>684</v>
      </c>
      <c r="G61" s="234" t="s">
        <v>664</v>
      </c>
      <c r="H61" s="235">
        <v>7250</v>
      </c>
      <c r="I61" s="234">
        <f t="shared" si="0"/>
        <v>725</v>
      </c>
      <c r="J61" s="235">
        <f t="shared" si="1"/>
        <v>362.5</v>
      </c>
      <c r="K61" s="235">
        <f t="shared" si="2"/>
        <v>7612.5</v>
      </c>
    </row>
    <row r="62" spans="1:11" x14ac:dyDescent="0.3">
      <c r="A62" s="233" t="s">
        <v>774</v>
      </c>
      <c r="B62" s="233" t="s">
        <v>690</v>
      </c>
      <c r="C62" s="233" t="s">
        <v>801</v>
      </c>
      <c r="D62" s="234" t="s">
        <v>176</v>
      </c>
      <c r="E62" s="234">
        <v>27</v>
      </c>
      <c r="F62" s="233" t="s">
        <v>658</v>
      </c>
      <c r="G62" s="234" t="s">
        <v>766</v>
      </c>
      <c r="H62" s="235">
        <v>3256</v>
      </c>
      <c r="I62" s="234">
        <f t="shared" si="0"/>
        <v>325.60000000000002</v>
      </c>
      <c r="J62" s="235">
        <f t="shared" si="1"/>
        <v>162.80000000000001</v>
      </c>
      <c r="K62" s="235">
        <f t="shared" si="2"/>
        <v>3418.7999999999997</v>
      </c>
    </row>
    <row r="63" spans="1:11" x14ac:dyDescent="0.3">
      <c r="A63" s="233" t="s">
        <v>802</v>
      </c>
      <c r="B63" s="233" t="s">
        <v>731</v>
      </c>
      <c r="C63" s="233" t="s">
        <v>803</v>
      </c>
      <c r="D63" s="234" t="s">
        <v>181</v>
      </c>
      <c r="E63" s="234">
        <v>39</v>
      </c>
      <c r="F63" s="233" t="s">
        <v>658</v>
      </c>
      <c r="G63" s="234" t="s">
        <v>664</v>
      </c>
      <c r="H63" s="235">
        <v>2950</v>
      </c>
      <c r="I63" s="234">
        <f t="shared" si="0"/>
        <v>295</v>
      </c>
      <c r="J63" s="235">
        <f t="shared" si="1"/>
        <v>147.5</v>
      </c>
      <c r="K63" s="235">
        <f t="shared" si="2"/>
        <v>3097.5</v>
      </c>
    </row>
    <row r="64" spans="1:11" x14ac:dyDescent="0.3">
      <c r="A64" s="233" t="s">
        <v>804</v>
      </c>
      <c r="B64" s="233" t="s">
        <v>759</v>
      </c>
      <c r="C64" s="233" t="s">
        <v>805</v>
      </c>
      <c r="D64" s="234" t="s">
        <v>181</v>
      </c>
      <c r="E64" s="234">
        <v>24</v>
      </c>
      <c r="F64" s="233" t="s">
        <v>654</v>
      </c>
      <c r="G64" s="234" t="s">
        <v>720</v>
      </c>
      <c r="H64" s="235">
        <v>3823</v>
      </c>
      <c r="I64" s="234">
        <f t="shared" si="0"/>
        <v>382.3</v>
      </c>
      <c r="J64" s="235">
        <f t="shared" si="1"/>
        <v>191.15</v>
      </c>
      <c r="K64" s="235">
        <f t="shared" si="2"/>
        <v>4014.15</v>
      </c>
    </row>
    <row r="65" spans="1:11" x14ac:dyDescent="0.3">
      <c r="A65" s="233" t="s">
        <v>806</v>
      </c>
      <c r="B65" s="233" t="s">
        <v>807</v>
      </c>
      <c r="C65" s="233" t="s">
        <v>808</v>
      </c>
      <c r="D65" s="234" t="s">
        <v>176</v>
      </c>
      <c r="E65" s="234">
        <v>31</v>
      </c>
      <c r="F65" s="233" t="s">
        <v>647</v>
      </c>
      <c r="G65" s="234" t="s">
        <v>799</v>
      </c>
      <c r="H65" s="235">
        <v>1802</v>
      </c>
      <c r="I65" s="234">
        <f t="shared" si="0"/>
        <v>180.20000000000002</v>
      </c>
      <c r="J65" s="235">
        <f t="shared" si="1"/>
        <v>90.100000000000009</v>
      </c>
      <c r="K65" s="235">
        <f t="shared" si="2"/>
        <v>1892.1000000000001</v>
      </c>
    </row>
    <row r="66" spans="1:11" x14ac:dyDescent="0.3">
      <c r="A66" s="233" t="s">
        <v>809</v>
      </c>
      <c r="B66" s="236" t="s">
        <v>784</v>
      </c>
      <c r="C66" s="233" t="s">
        <v>810</v>
      </c>
      <c r="D66" s="234" t="s">
        <v>181</v>
      </c>
      <c r="E66" s="234">
        <v>31</v>
      </c>
      <c r="F66" s="233" t="s">
        <v>726</v>
      </c>
      <c r="G66" s="234" t="s">
        <v>677</v>
      </c>
      <c r="H66" s="235">
        <v>2868</v>
      </c>
      <c r="I66" s="234">
        <f t="shared" ref="I66:I80" si="3">H66*0.1</f>
        <v>286.8</v>
      </c>
      <c r="J66" s="235">
        <f t="shared" ref="J66:J80" si="4">H66*0.05</f>
        <v>143.4</v>
      </c>
      <c r="K66" s="235">
        <f t="shared" ref="K66:K80" si="5">H66+I66-J66</f>
        <v>3011.4</v>
      </c>
    </row>
    <row r="67" spans="1:11" x14ac:dyDescent="0.3">
      <c r="A67" s="233" t="s">
        <v>811</v>
      </c>
      <c r="B67" s="233" t="s">
        <v>812</v>
      </c>
      <c r="C67" s="233" t="s">
        <v>813</v>
      </c>
      <c r="D67" s="234" t="s">
        <v>181</v>
      </c>
      <c r="E67" s="234">
        <v>29</v>
      </c>
      <c r="F67" s="233" t="s">
        <v>647</v>
      </c>
      <c r="G67" s="234" t="s">
        <v>837</v>
      </c>
      <c r="H67" s="235">
        <v>2613</v>
      </c>
      <c r="I67" s="234">
        <f t="shared" si="3"/>
        <v>261.3</v>
      </c>
      <c r="J67" s="235">
        <f t="shared" si="4"/>
        <v>130.65</v>
      </c>
      <c r="K67" s="235">
        <f t="shared" si="5"/>
        <v>2743.65</v>
      </c>
    </row>
    <row r="68" spans="1:11" x14ac:dyDescent="0.3">
      <c r="A68" s="233" t="s">
        <v>811</v>
      </c>
      <c r="B68" s="233" t="s">
        <v>814</v>
      </c>
      <c r="C68" s="233" t="s">
        <v>815</v>
      </c>
      <c r="D68" s="234" t="s">
        <v>176</v>
      </c>
      <c r="E68" s="234">
        <v>33</v>
      </c>
      <c r="F68" s="233" t="s">
        <v>647</v>
      </c>
      <c r="G68" s="234" t="s">
        <v>676</v>
      </c>
      <c r="H68" s="235">
        <v>3200</v>
      </c>
      <c r="I68" s="234">
        <f t="shared" si="3"/>
        <v>320</v>
      </c>
      <c r="J68" s="235">
        <f t="shared" si="4"/>
        <v>160</v>
      </c>
      <c r="K68" s="235">
        <f t="shared" si="5"/>
        <v>3360</v>
      </c>
    </row>
    <row r="69" spans="1:11" x14ac:dyDescent="0.3">
      <c r="A69" s="233" t="s">
        <v>816</v>
      </c>
      <c r="B69" s="233" t="s">
        <v>804</v>
      </c>
      <c r="C69" s="237" t="s">
        <v>817</v>
      </c>
      <c r="D69" s="234" t="s">
        <v>176</v>
      </c>
      <c r="E69" s="234">
        <v>37</v>
      </c>
      <c r="F69" s="233" t="s">
        <v>710</v>
      </c>
      <c r="G69" s="234" t="s">
        <v>648</v>
      </c>
      <c r="H69" s="235">
        <v>3650</v>
      </c>
      <c r="I69" s="234">
        <f t="shared" si="3"/>
        <v>365</v>
      </c>
      <c r="J69" s="235">
        <f t="shared" si="4"/>
        <v>182.5</v>
      </c>
      <c r="K69" s="235">
        <f t="shared" si="5"/>
        <v>3832.5</v>
      </c>
    </row>
    <row r="70" spans="1:11" x14ac:dyDescent="0.3">
      <c r="A70" s="233" t="s">
        <v>818</v>
      </c>
      <c r="B70" s="233" t="s">
        <v>819</v>
      </c>
      <c r="C70" s="233" t="s">
        <v>692</v>
      </c>
      <c r="D70" s="234" t="s">
        <v>181</v>
      </c>
      <c r="E70" s="234">
        <v>50</v>
      </c>
      <c r="F70" s="233" t="s">
        <v>663</v>
      </c>
      <c r="G70" s="234" t="s">
        <v>739</v>
      </c>
      <c r="H70" s="235">
        <v>1950</v>
      </c>
      <c r="I70" s="234">
        <f t="shared" si="3"/>
        <v>195</v>
      </c>
      <c r="J70" s="235">
        <f t="shared" si="4"/>
        <v>97.5</v>
      </c>
      <c r="K70" s="235">
        <f t="shared" si="5"/>
        <v>2047.5</v>
      </c>
    </row>
    <row r="71" spans="1:11" x14ac:dyDescent="0.3">
      <c r="A71" s="233" t="s">
        <v>820</v>
      </c>
      <c r="B71" s="233" t="s">
        <v>736</v>
      </c>
      <c r="C71" s="233" t="s">
        <v>821</v>
      </c>
      <c r="D71" s="234" t="s">
        <v>176</v>
      </c>
      <c r="E71" s="234">
        <v>34</v>
      </c>
      <c r="F71" s="233" t="s">
        <v>684</v>
      </c>
      <c r="G71" s="234" t="s">
        <v>648</v>
      </c>
      <c r="H71" s="235">
        <v>3340</v>
      </c>
      <c r="I71" s="234">
        <f t="shared" si="3"/>
        <v>334</v>
      </c>
      <c r="J71" s="235">
        <f t="shared" si="4"/>
        <v>167</v>
      </c>
      <c r="K71" s="235">
        <f t="shared" si="5"/>
        <v>3507</v>
      </c>
    </row>
    <row r="72" spans="1:11" x14ac:dyDescent="0.3">
      <c r="A72" s="233" t="s">
        <v>822</v>
      </c>
      <c r="B72" s="233" t="s">
        <v>651</v>
      </c>
      <c r="C72" s="233" t="s">
        <v>823</v>
      </c>
      <c r="D72" s="234" t="s">
        <v>176</v>
      </c>
      <c r="E72" s="234">
        <v>32</v>
      </c>
      <c r="F72" s="233" t="s">
        <v>726</v>
      </c>
      <c r="G72" s="234" t="s">
        <v>648</v>
      </c>
      <c r="H72" s="235">
        <v>2524</v>
      </c>
      <c r="I72" s="234">
        <f t="shared" si="3"/>
        <v>252.4</v>
      </c>
      <c r="J72" s="235">
        <f t="shared" si="4"/>
        <v>126.2</v>
      </c>
      <c r="K72" s="235">
        <f t="shared" si="5"/>
        <v>2650.2000000000003</v>
      </c>
    </row>
    <row r="73" spans="1:11" x14ac:dyDescent="0.3">
      <c r="A73" s="233" t="s">
        <v>824</v>
      </c>
      <c r="B73" s="233" t="s">
        <v>794</v>
      </c>
      <c r="C73" s="233" t="s">
        <v>825</v>
      </c>
      <c r="D73" s="234" t="s">
        <v>176</v>
      </c>
      <c r="E73" s="234">
        <v>33</v>
      </c>
      <c r="F73" s="237" t="s">
        <v>723</v>
      </c>
      <c r="G73" s="234" t="s">
        <v>671</v>
      </c>
      <c r="H73" s="235">
        <v>3500</v>
      </c>
      <c r="I73" s="234">
        <f t="shared" si="3"/>
        <v>350</v>
      </c>
      <c r="J73" s="235">
        <f t="shared" si="4"/>
        <v>175</v>
      </c>
      <c r="K73" s="235">
        <f t="shared" si="5"/>
        <v>3675</v>
      </c>
    </row>
    <row r="74" spans="1:11" x14ac:dyDescent="0.3">
      <c r="A74" s="233" t="s">
        <v>826</v>
      </c>
      <c r="B74" s="233" t="s">
        <v>809</v>
      </c>
      <c r="C74" s="233" t="s">
        <v>815</v>
      </c>
      <c r="D74" s="234" t="s">
        <v>176</v>
      </c>
      <c r="E74" s="234">
        <v>43</v>
      </c>
      <c r="F74" s="233" t="s">
        <v>647</v>
      </c>
      <c r="G74" s="234" t="s">
        <v>671</v>
      </c>
      <c r="H74" s="235">
        <v>6790</v>
      </c>
      <c r="I74" s="234">
        <f t="shared" si="3"/>
        <v>679</v>
      </c>
      <c r="J74" s="235">
        <f t="shared" si="4"/>
        <v>339.5</v>
      </c>
      <c r="K74" s="235">
        <f t="shared" si="5"/>
        <v>7129.5</v>
      </c>
    </row>
    <row r="75" spans="1:11" x14ac:dyDescent="0.3">
      <c r="A75" s="233" t="s">
        <v>826</v>
      </c>
      <c r="B75" s="233" t="s">
        <v>827</v>
      </c>
      <c r="C75" s="233" t="s">
        <v>828</v>
      </c>
      <c r="D75" s="234" t="s">
        <v>176</v>
      </c>
      <c r="E75" s="234">
        <v>39</v>
      </c>
      <c r="F75" s="233" t="s">
        <v>647</v>
      </c>
      <c r="G75" s="234" t="s">
        <v>671</v>
      </c>
      <c r="H75" s="235">
        <v>3950</v>
      </c>
      <c r="I75" s="234">
        <f t="shared" si="3"/>
        <v>395</v>
      </c>
      <c r="J75" s="235">
        <f t="shared" si="4"/>
        <v>197.5</v>
      </c>
      <c r="K75" s="235">
        <f t="shared" si="5"/>
        <v>4147.5</v>
      </c>
    </row>
    <row r="76" spans="1:11" x14ac:dyDescent="0.3">
      <c r="A76" s="233" t="s">
        <v>827</v>
      </c>
      <c r="B76" s="233" t="s">
        <v>775</v>
      </c>
      <c r="C76" s="233" t="s">
        <v>829</v>
      </c>
      <c r="D76" s="234" t="s">
        <v>176</v>
      </c>
      <c r="E76" s="234">
        <v>29</v>
      </c>
      <c r="F76" s="233" t="s">
        <v>654</v>
      </c>
      <c r="G76" s="234" t="s">
        <v>701</v>
      </c>
      <c r="H76" s="235">
        <v>1565</v>
      </c>
      <c r="I76" s="234">
        <f t="shared" si="3"/>
        <v>156.5</v>
      </c>
      <c r="J76" s="235">
        <f t="shared" si="4"/>
        <v>78.25</v>
      </c>
      <c r="K76" s="235">
        <f t="shared" si="5"/>
        <v>1643.25</v>
      </c>
    </row>
    <row r="77" spans="1:11" x14ac:dyDescent="0.3">
      <c r="A77" s="233" t="s">
        <v>814</v>
      </c>
      <c r="B77" s="233" t="s">
        <v>755</v>
      </c>
      <c r="C77" s="233" t="s">
        <v>830</v>
      </c>
      <c r="D77" s="234" t="s">
        <v>181</v>
      </c>
      <c r="E77" s="234">
        <v>25</v>
      </c>
      <c r="F77" s="233" t="s">
        <v>654</v>
      </c>
      <c r="G77" s="234" t="s">
        <v>659</v>
      </c>
      <c r="H77" s="235">
        <v>5901</v>
      </c>
      <c r="I77" s="234">
        <f t="shared" si="3"/>
        <v>590.1</v>
      </c>
      <c r="J77" s="235">
        <f t="shared" si="4"/>
        <v>295.05</v>
      </c>
      <c r="K77" s="235">
        <f t="shared" si="5"/>
        <v>6196.05</v>
      </c>
    </row>
    <row r="78" spans="1:11" x14ac:dyDescent="0.3">
      <c r="A78" s="233" t="s">
        <v>702</v>
      </c>
      <c r="B78" s="233" t="s">
        <v>703</v>
      </c>
      <c r="C78" s="233" t="s">
        <v>704</v>
      </c>
      <c r="D78" s="234" t="s">
        <v>181</v>
      </c>
      <c r="E78" s="234">
        <v>44</v>
      </c>
      <c r="F78" s="233" t="s">
        <v>647</v>
      </c>
      <c r="G78" s="234" t="s">
        <v>677</v>
      </c>
      <c r="H78" s="235">
        <v>6850</v>
      </c>
      <c r="I78" s="234">
        <f t="shared" si="3"/>
        <v>685</v>
      </c>
      <c r="J78" s="235">
        <f t="shared" si="4"/>
        <v>342.5</v>
      </c>
      <c r="K78" s="235">
        <f t="shared" si="5"/>
        <v>7192.5</v>
      </c>
    </row>
    <row r="79" spans="1:11" x14ac:dyDescent="0.3">
      <c r="A79" s="236" t="s">
        <v>831</v>
      </c>
      <c r="B79" s="233" t="s">
        <v>832</v>
      </c>
      <c r="C79" s="233" t="s">
        <v>833</v>
      </c>
      <c r="D79" s="234" t="s">
        <v>181</v>
      </c>
      <c r="E79" s="234">
        <v>28</v>
      </c>
      <c r="F79" s="233" t="s">
        <v>654</v>
      </c>
      <c r="G79" s="234" t="s">
        <v>648</v>
      </c>
      <c r="H79" s="235">
        <v>3164</v>
      </c>
      <c r="I79" s="234">
        <f t="shared" si="3"/>
        <v>316.40000000000003</v>
      </c>
      <c r="J79" s="235">
        <f t="shared" si="4"/>
        <v>158.20000000000002</v>
      </c>
      <c r="K79" s="235">
        <f t="shared" si="5"/>
        <v>3322.2000000000003</v>
      </c>
    </row>
    <row r="80" spans="1:11" x14ac:dyDescent="0.3">
      <c r="A80" s="233" t="s">
        <v>834</v>
      </c>
      <c r="B80" s="233" t="s">
        <v>697</v>
      </c>
      <c r="C80" s="233" t="s">
        <v>835</v>
      </c>
      <c r="D80" s="234" t="s">
        <v>176</v>
      </c>
      <c r="E80" s="234">
        <v>26</v>
      </c>
      <c r="F80" s="233" t="s">
        <v>710</v>
      </c>
      <c r="G80" s="234" t="s">
        <v>727</v>
      </c>
      <c r="H80" s="235">
        <v>7061</v>
      </c>
      <c r="I80" s="234">
        <f t="shared" si="3"/>
        <v>706.1</v>
      </c>
      <c r="J80" s="235">
        <f t="shared" si="4"/>
        <v>353.05</v>
      </c>
      <c r="K80" s="235">
        <f t="shared" si="5"/>
        <v>7414.05</v>
      </c>
    </row>
  </sheetData>
  <dataValidations count="3">
    <dataValidation type="list" allowBlank="1" showInputMessage="1" showErrorMessage="1" sqref="N3 Z3 AL3" xr:uid="{C4634D7B-79AF-474B-AA31-68C8EFD5D35E}">
      <formula1>$F$2:$F$80</formula1>
    </dataValidation>
    <dataValidation type="list" allowBlank="1" showInputMessage="1" showErrorMessage="1" sqref="AB3 AN3" xr:uid="{4C9C8E18-DFA3-4B5F-A5D6-CE776063D396}">
      <formula1>$D$2:$D$80</formula1>
    </dataValidation>
    <dataValidation type="list" allowBlank="1" showInputMessage="1" showErrorMessage="1" sqref="Q3" xr:uid="{9034F6EF-6FE8-4F6F-9A59-DA675612819B}">
      <formula1>"F,M"</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8D87F-D227-4FB0-8C56-3C4CD3E9EF7D}">
  <sheetPr codeName="Hoja20"/>
  <dimension ref="GHW150146:SFI970683"/>
  <sheetViews>
    <sheetView workbookViewId="0"/>
  </sheetViews>
  <sheetFormatPr baseColWidth="10" defaultColWidth="11.44140625" defaultRowHeight="14.4" x14ac:dyDescent="0.3"/>
  <sheetData>
    <row r="150146" spans="9343:9343" x14ac:dyDescent="0.3">
      <c r="MUI150146" t="s">
        <v>842</v>
      </c>
    </row>
    <row r="159183" spans="5039:5039" x14ac:dyDescent="0.3">
      <c r="GKU159183" t="s">
        <v>843</v>
      </c>
    </row>
    <row r="171598" spans="13009:13009" x14ac:dyDescent="0.3">
      <c r="SFI171598" t="s">
        <v>844</v>
      </c>
    </row>
    <row r="615723" spans="6549:6549" x14ac:dyDescent="0.3">
      <c r="IQW615723" t="s">
        <v>845</v>
      </c>
    </row>
    <row r="636518" spans="6811:6811" x14ac:dyDescent="0.3">
      <c r="JAY636518" t="s">
        <v>846</v>
      </c>
    </row>
    <row r="970683" spans="4963:4963" x14ac:dyDescent="0.3">
      <c r="GHW970683" t="s">
        <v>847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7</vt:i4>
      </vt:variant>
    </vt:vector>
  </HeadingPairs>
  <TitlesOfParts>
    <vt:vector size="18" baseType="lpstr">
      <vt:lpstr>Frase</vt:lpstr>
      <vt:lpstr>Docente</vt:lpstr>
      <vt:lpstr>F. Matematicas</vt:lpstr>
      <vt:lpstr>Ejercicio 1</vt:lpstr>
      <vt:lpstr>F. Condicionales</vt:lpstr>
      <vt:lpstr>Ejercicio 2</vt:lpstr>
      <vt:lpstr>Extra</vt:lpstr>
      <vt:lpstr>F. Busqueda</vt:lpstr>
      <vt:lpstr>Filtros avanzados</vt:lpstr>
      <vt:lpstr>Filtros Macro</vt:lpstr>
      <vt:lpstr>F. Filtrar</vt:lpstr>
      <vt:lpstr>'Filtros avanzados'!Área_de_extracción</vt:lpstr>
      <vt:lpstr>'Filtros avanzados'!Criterios</vt:lpstr>
      <vt:lpstr>'Filtros Macro'!Criterios</vt:lpstr>
      <vt:lpstr>MOLINA</vt:lpstr>
      <vt:lpstr>TABLA_CRITERIOS1</vt:lpstr>
      <vt:lpstr>TABLA_CRITERIOS2</vt:lpstr>
      <vt:lpstr>UNI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Chrisardo Rolo</cp:lastModifiedBy>
  <cp:revision/>
  <dcterms:created xsi:type="dcterms:W3CDTF">2023-06-02T14:12:25Z</dcterms:created>
  <dcterms:modified xsi:type="dcterms:W3CDTF">2024-08-08T01:11:46Z</dcterms:modified>
  <cp:category/>
  <cp:contentStatus/>
</cp:coreProperties>
</file>